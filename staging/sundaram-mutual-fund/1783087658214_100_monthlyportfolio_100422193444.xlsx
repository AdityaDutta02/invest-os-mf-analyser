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12. Mar 2022\"/>
    </mc:Choice>
  </mc:AlternateContent>
  <xr:revisionPtr revIDLastSave="0" documentId="13_ncr:1_{C89C6094-4BDE-4B79-B956-7783F5137F2A}" xr6:coauthVersionLast="47" xr6:coauthVersionMax="47" xr10:uidLastSave="{00000000-0000-0000-0000-000000000000}"/>
  <bookViews>
    <workbookView xWindow="-120" yWindow="-120" windowWidth="20730" windowHeight="11160" tabRatio="942" xr2:uid="{00000000-000D-0000-FFFF-FFFF00000000}"/>
  </bookViews>
  <sheets>
    <sheet name="Index" sheetId="40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LTADV3" sheetId="17" r:id="rId18"/>
    <sheet name="SLTADV4" sheetId="18" r:id="rId19"/>
    <sheet name="SLTAX1" sheetId="19" r:id="rId20"/>
    <sheet name="SLTAX2" sheetId="20" r:id="rId21"/>
    <sheet name="SLTAX3" sheetId="21" r:id="rId22"/>
    <sheet name="SLTAX4" sheetId="22" r:id="rId23"/>
    <sheet name="SLTAX5" sheetId="23" r:id="rId24"/>
    <sheet name="SLTAX6" sheetId="24" r:id="rId25"/>
    <sheet name="SMILE" sheetId="25" r:id="rId26"/>
    <sheet name="SPAHF" sheetId="26" r:id="rId27"/>
    <sheet name="SPARF" sheetId="27" r:id="rId28"/>
    <sheet name="SPBAF" sheetId="28" r:id="rId29"/>
    <sheet name="SPDYF" sheetId="29" r:id="rId30"/>
    <sheet name="SPESF" sheetId="30" r:id="rId31"/>
    <sheet name="SPFOCUS" sheetId="31" r:id="rId32"/>
    <sheet name="SPMUCF" sheetId="32" r:id="rId33"/>
    <sheet name="SPSN100" sheetId="33" r:id="rId34"/>
    <sheet name="SPTAX" sheetId="34" r:id="rId35"/>
    <sheet name="SRURAL" sheetId="35" r:id="rId36"/>
    <sheet name="SSFUND" sheetId="36" r:id="rId37"/>
    <sheet name="STAX" sheetId="37" r:id="rId38"/>
    <sheet name="SUNBCF" sheetId="38" r:id="rId39"/>
    <sheet name="SUNFOP" sheetId="39" r:id="rId40"/>
    <sheet name="GLOB" sheetId="41" r:id="rId41"/>
  </sheets>
  <definedNames>
    <definedName name="_xlnm._FilterDatabase" localSheetId="1" hidden="1">CAPEXG!$I$7:$J$53</definedName>
    <definedName name="_xlnm._FilterDatabase" localSheetId="0" hidden="1">Index!$B$1:$C$41</definedName>
    <definedName name="_xlnm._FilterDatabase" localSheetId="3" hidden="1">MICAP15!$A$7:$Q$47</definedName>
    <definedName name="_xlnm._FilterDatabase" localSheetId="4" hidden="1">MICAP16!$I$7:$J$73</definedName>
    <definedName name="_xlnm._FilterDatabase" localSheetId="5" hidden="1">MICAP17!$I$7:$J$80</definedName>
    <definedName name="_xlnm._FilterDatabase" localSheetId="6" hidden="1">MIDCAP!$I$7:$J$68</definedName>
    <definedName name="_xlnm._FilterDatabase" localSheetId="7" hidden="1">MULTI1!$A$7:$Q$59</definedName>
    <definedName name="_xlnm._FilterDatabase" localSheetId="8" hidden="1">MULTI2!$I$7:$J$58</definedName>
    <definedName name="_xlnm._FilterDatabase" localSheetId="9" hidden="1">MULTIP!$I$7:$J$81</definedName>
    <definedName name="_xlnm._FilterDatabase" localSheetId="10" hidden="1">SESCAP1!$I$7:$J$81</definedName>
    <definedName name="_xlnm._FilterDatabase" localSheetId="11" hidden="1">SESCAP2!$I$7:$J$81</definedName>
    <definedName name="_xlnm._FilterDatabase" localSheetId="12" hidden="1">SESCAP3!$I$7:$J$80</definedName>
    <definedName name="_xlnm._FilterDatabase" localSheetId="13" hidden="1">SESCAP4!$I$7:$J$80</definedName>
    <definedName name="_xlnm._FilterDatabase" localSheetId="14" hidden="1">SESCAP5!$I$7:$J$80</definedName>
    <definedName name="_xlnm._FilterDatabase" localSheetId="15" hidden="1">SESCAP6!$I$7:$J$80</definedName>
    <definedName name="_xlnm._FilterDatabase" localSheetId="16" hidden="1">SESCAP7!$I$7:$J$78</definedName>
    <definedName name="_xlnm._FilterDatabase" localSheetId="17" hidden="1">SLTADV3!$I$7:$J$66</definedName>
    <definedName name="_xlnm._FilterDatabase" localSheetId="18" hidden="1">SLTADV4!$I$7:$J$68</definedName>
    <definedName name="_xlnm._FilterDatabase" localSheetId="19" hidden="1">SLTAX1!$I$7:$J$44</definedName>
    <definedName name="_xlnm._FilterDatabase" localSheetId="20" hidden="1">SLTAX2!$I$7:$J$43</definedName>
    <definedName name="_xlnm._FilterDatabase" localSheetId="21" hidden="1">SLTAX3!$I$7:$J$67</definedName>
    <definedName name="_xlnm._FilterDatabase" localSheetId="22" hidden="1">SLTAX4!$I$7:$J$65</definedName>
    <definedName name="_xlnm._FilterDatabase" localSheetId="23" hidden="1">SLTAX5!$A$7:$J$68</definedName>
    <definedName name="_xlnm._FilterDatabase" localSheetId="24" hidden="1">SLTAX6!$I$7:$J$68</definedName>
    <definedName name="_xlnm._FilterDatabase" localSheetId="25" hidden="1">SMILE!$A$7:$J$87</definedName>
    <definedName name="_xlnm._FilterDatabase" localSheetId="26" hidden="1">SPAHF!$A$7:$Q$63</definedName>
    <definedName name="_xlnm._FilterDatabase" localSheetId="27" hidden="1">SPARF!$I$7:$J$24</definedName>
    <definedName name="_xlnm._FilterDatabase" localSheetId="28" hidden="1">SPBAF!$A$7:$J$87</definedName>
    <definedName name="_xlnm._FilterDatabase" localSheetId="29" hidden="1">SPDYF!$I$7:$J$44</definedName>
    <definedName name="_xlnm._FilterDatabase" localSheetId="30" hidden="1">SPESF!$A$7:$Q$67</definedName>
    <definedName name="_xlnm._FilterDatabase" localSheetId="31" hidden="1">SPFOCUS!$A$4:$Q$36</definedName>
    <definedName name="_xlnm._FilterDatabase" localSheetId="32" hidden="1">SPMUCF!$I$7:$J$99</definedName>
    <definedName name="_xlnm._FilterDatabase" localSheetId="33" hidden="1">SPSN100!$I$7:$J$106</definedName>
    <definedName name="_xlnm._FilterDatabase" localSheetId="34" hidden="1">SPTAX!$I$7:$J$70</definedName>
    <definedName name="_xlnm._FilterDatabase" localSheetId="35" hidden="1">SRURAL!$I$7:$J$45</definedName>
    <definedName name="_xlnm._FilterDatabase" localSheetId="36" hidden="1">SSFUND!$I$7:$J$56</definedName>
    <definedName name="_xlnm._FilterDatabase" localSheetId="37" hidden="1">STAX!$I$7:$J$56</definedName>
    <definedName name="_xlnm._FilterDatabase" localSheetId="38" hidden="1">SUNBCF!$I$7:$J$55</definedName>
    <definedName name="_xlnm._FilterDatabase" localSheetId="39" hidden="1">SUNFOP!$A$7:$Q$26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1" i="34" l="1"/>
  <c r="F15" i="41" l="1"/>
  <c r="F17" i="41" s="1"/>
  <c r="G17" i="41" s="1"/>
  <c r="G13" i="41"/>
  <c r="G15" i="41" s="1"/>
  <c r="G12" i="41"/>
  <c r="F8" i="41"/>
  <c r="G6" i="41"/>
  <c r="G8" i="41" s="1"/>
  <c r="G19" i="41" l="1"/>
  <c r="J220" i="26" l="1"/>
  <c r="G78" i="38" l="1"/>
  <c r="G79" i="38" s="1"/>
  <c r="G153" i="25"/>
  <c r="F88" i="28" l="1"/>
  <c r="G88" i="28"/>
</calcChain>
</file>

<file path=xl/sharedStrings.xml><?xml version="1.0" encoding="utf-8"?>
<sst xmlns="http://schemas.openxmlformats.org/spreadsheetml/2006/main" count="11559" uniqueCount="1205">
  <si>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</si>
  <si>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</si>
  <si>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</si>
  <si>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</si>
  <si>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</si>
  <si>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</si>
  <si>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</si>
  <si>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</si>
  <si>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</si>
  <si>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</si>
  <si>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</si>
  <si>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</si>
  <si>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</si>
  <si>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INE002A01018</t>
  </si>
  <si>
    <t>Reliance Industries Ltd</t>
  </si>
  <si>
    <t>Petroleum Products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</si>
  <si>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</si>
  <si>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</si>
  <si>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</si>
  <si>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</si>
  <si>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</si>
  <si>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</si>
  <si>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</si>
  <si>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</si>
  <si>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INE245A01021</t>
  </si>
  <si>
    <t>Tata Power Company Ltd</t>
  </si>
  <si>
    <t>Power</t>
  </si>
  <si>
    <t>INE455K01017</t>
  </si>
  <si>
    <t>Polycab India Ltd</t>
  </si>
  <si>
    <t>Industrial Products</t>
  </si>
  <si>
    <t>INE536A01023</t>
  </si>
  <si>
    <t>Grindwell Norton Ltd</t>
  </si>
  <si>
    <t>INE284A01012</t>
  </si>
  <si>
    <t>ESAB India Ltd</t>
  </si>
  <si>
    <t>INE671A01010</t>
  </si>
  <si>
    <t>Honeywell Automation India Ltd</t>
  </si>
  <si>
    <t>INE733E01010</t>
  </si>
  <si>
    <t>NTPC Ltd</t>
  </si>
  <si>
    <t>INE999A01015</t>
  </si>
  <si>
    <t>KSB Ltd</t>
  </si>
  <si>
    <t>INE029A01011</t>
  </si>
  <si>
    <t>Bharat Petroleum Corporation Ltd</t>
  </si>
  <si>
    <t>INE823G01014</t>
  </si>
  <si>
    <t>JK Cement Ltd</t>
  </si>
  <si>
    <t>INE331A01037</t>
  </si>
  <si>
    <t>The Ramco Cements Ltd</t>
  </si>
  <si>
    <t>INE213A01029</t>
  </si>
  <si>
    <t>Oil &amp; Natural Gas Corporation Ltd</t>
  </si>
  <si>
    <t>Oil</t>
  </si>
  <si>
    <t>INE062A01020</t>
  </si>
  <si>
    <t>State Bank of India</t>
  </si>
  <si>
    <t>INE129A01019</t>
  </si>
  <si>
    <t>GAIL (India) Ltd</t>
  </si>
  <si>
    <t>Gas</t>
  </si>
  <si>
    <t>INE541A01023</t>
  </si>
  <si>
    <t>GMM Pfaudler Ltd</t>
  </si>
  <si>
    <t>INE742F01042</t>
  </si>
  <si>
    <t>Adani Ports and Special Economic Zone Ltd</t>
  </si>
  <si>
    <t>INE195J01029</t>
  </si>
  <si>
    <t>PNC Infratech Ltd</t>
  </si>
  <si>
    <t>Construction</t>
  </si>
  <si>
    <t>INE111A01025</t>
  </si>
  <si>
    <t>Container Corporation of India Ltd</t>
  </si>
  <si>
    <t>INE242A01010</t>
  </si>
  <si>
    <t>Indian Oil Corporation Ltd</t>
  </si>
  <si>
    <t>INE868B01028</t>
  </si>
  <si>
    <t>NCC Ltd</t>
  </si>
  <si>
    <t>INE752E01010</t>
  </si>
  <si>
    <t>Power Grid Corporation of India Ltd</t>
  </si>
  <si>
    <t>INE08ZM01014</t>
  </si>
  <si>
    <t>Green Panel Industries Ltd</t>
  </si>
  <si>
    <t>Consumer Durables</t>
  </si>
  <si>
    <t>INE258A01016</t>
  </si>
  <si>
    <t>BEML Ltd</t>
  </si>
  <si>
    <t>INE766P01016</t>
  </si>
  <si>
    <t>Mahindra Logistics Ltd</t>
  </si>
  <si>
    <t>INE371P01015</t>
  </si>
  <si>
    <t>Amber Enterprises India Ltd</t>
  </si>
  <si>
    <t>INE702C01027</t>
  </si>
  <si>
    <t>APL Apollo Tubes Ltd</t>
  </si>
  <si>
    <t>INE121A01024</t>
  </si>
  <si>
    <t>Cholamandalam Investment and Finance Company Ltd</t>
  </si>
  <si>
    <t>Finance</t>
  </si>
  <si>
    <t>INE208A01029</t>
  </si>
  <si>
    <t>Ashok Leyland Ltd</t>
  </si>
  <si>
    <t>INE201P01022</t>
  </si>
  <si>
    <t>GR Infraprojects Ltd</t>
  </si>
  <si>
    <t>INE791I01019</t>
  </si>
  <si>
    <t>Brigade Enterprises Ltd</t>
  </si>
  <si>
    <t>INE114A01011</t>
  </si>
  <si>
    <t>Steel Authority of India Ltd</t>
  </si>
  <si>
    <t>Ferrous Metals</t>
  </si>
  <si>
    <t>INE264T01014</t>
  </si>
  <si>
    <t>Capacite Infraprojects Ltd</t>
  </si>
  <si>
    <t>INE513A01022</t>
  </si>
  <si>
    <t>Schaeffler India Ltd</t>
  </si>
  <si>
    <t>INE811K01011</t>
  </si>
  <si>
    <t>Prestige Estates Projects Ltd</t>
  </si>
  <si>
    <t>INE844O01030</t>
  </si>
  <si>
    <t>Gujarat Gas Co Ltd</t>
  </si>
  <si>
    <t>INE203G01027</t>
  </si>
  <si>
    <t>Indraprastha Gas Ltd</t>
  </si>
  <si>
    <t>INE246F01010</t>
  </si>
  <si>
    <t>Gujarat State Petronet Ltd</t>
  </si>
  <si>
    <t>INE217L01019</t>
  </si>
  <si>
    <t>Shriram Properties Ltd</t>
  </si>
  <si>
    <t>INE896L01010</t>
  </si>
  <si>
    <t>Indostar Capital Finance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</si>
  <si>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</si>
  <si>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</si>
  <si>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</si>
  <si>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</si>
  <si>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</si>
  <si>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</si>
  <si>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</si>
  <si>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</si>
  <si>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</si>
  <si>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</si>
  <si>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</si>
  <si>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</si>
  <si>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</si>
  <si>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</si>
  <si>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</si>
  <si>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</si>
  <si>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</si>
  <si>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</si>
  <si>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</si>
  <si>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</si>
  <si>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</si>
  <si>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</si>
  <si>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</si>
  <si>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</si>
  <si>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</si>
  <si>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</si>
  <si>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</si>
  <si>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</si>
  <si>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</si>
  <si>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</si>
  <si>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</si>
  <si>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</si>
  <si>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</si>
  <si>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</si>
  <si>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</si>
  <si>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</si>
  <si>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</si>
  <si>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</si>
  <si>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</si>
  <si>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</si>
  <si>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28/02/2022</t>
  </si>
  <si>
    <t>31/03/2022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</si>
  <si>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</si>
  <si>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</si>
  <si>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</si>
  <si>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</si>
  <si>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</si>
  <si>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</si>
  <si>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</si>
  <si>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INE042A01014</t>
  </si>
  <si>
    <t>Escorts</t>
  </si>
  <si>
    <t>INE873D01024</t>
  </si>
  <si>
    <t>Indoco Remedies Ltd</t>
  </si>
  <si>
    <t>Sundaram Select Micro Cap Series XV</t>
  </si>
  <si>
    <t>INE806T01012</t>
  </si>
  <si>
    <t>Sapphire Foods India Ltd</t>
  </si>
  <si>
    <t>INE988K01017</t>
  </si>
  <si>
    <t>Equitas Holdings Ltd</t>
  </si>
  <si>
    <t>INE00WC01027</t>
  </si>
  <si>
    <t>Affle (India) Ltd</t>
  </si>
  <si>
    <t>INE731H01025</t>
  </si>
  <si>
    <t>ACTION CONSTRUCTION EQUIPMENTS LTD</t>
  </si>
  <si>
    <t>INE732I01013</t>
  </si>
  <si>
    <t>Angel One Ltd</t>
  </si>
  <si>
    <t>INE386C01029</t>
  </si>
  <si>
    <t>Astra Microwave Products Ltd</t>
  </si>
  <si>
    <t>INE477A01020</t>
  </si>
  <si>
    <t>Can Fin Homes Ltd</t>
  </si>
  <si>
    <t>INE782A01015</t>
  </si>
  <si>
    <t>Johnson Controls-Hitachi AirConditioning India Ltd</t>
  </si>
  <si>
    <t>INE02A801020</t>
  </si>
  <si>
    <t>Rossari Biotech Ltd</t>
  </si>
  <si>
    <t>INE978A01027</t>
  </si>
  <si>
    <t>Heritage Foods Ltd</t>
  </si>
  <si>
    <t>INE578A01017</t>
  </si>
  <si>
    <t>HeidelbergCement India Ltd</t>
  </si>
  <si>
    <t>INE126A01031</t>
  </si>
  <si>
    <t>EID Parry India Ltd</t>
  </si>
  <si>
    <t>INE285J01028</t>
  </si>
  <si>
    <t>SIS Ltd</t>
  </si>
  <si>
    <t>INE615P01015</t>
  </si>
  <si>
    <t>Quess Corp Ltd</t>
  </si>
  <si>
    <t>INE060A01024</t>
  </si>
  <si>
    <t>Navneet Education Ltd</t>
  </si>
  <si>
    <t>INE274F01020</t>
  </si>
  <si>
    <t>Westlife Development Ltd</t>
  </si>
  <si>
    <t>INE745G01035</t>
  </si>
  <si>
    <t>Multi Commodity Exchange of India Ltd</t>
  </si>
  <si>
    <t>INE572A01028</t>
  </si>
  <si>
    <t>JB Chemicals &amp; Pharmaceuticals Ltd</t>
  </si>
  <si>
    <t>INE947Q01028</t>
  </si>
  <si>
    <t>Laurus Labs Ltd</t>
  </si>
  <si>
    <t>INE442H01029</t>
  </si>
  <si>
    <t>Ashoka Buildcon Ltd</t>
  </si>
  <si>
    <t>INE834I01025</t>
  </si>
  <si>
    <t>Khadim India Ltd</t>
  </si>
  <si>
    <t>INE586B01026</t>
  </si>
  <si>
    <t>Taj GVK Hotels &amp; Resorts Ltd</t>
  </si>
  <si>
    <t>INE136B01020</t>
  </si>
  <si>
    <t>Cyient Ltd</t>
  </si>
  <si>
    <t>INE00IN01015</t>
  </si>
  <si>
    <t>Stove Kraft Ltd</t>
  </si>
  <si>
    <t>INE056C01010</t>
  </si>
  <si>
    <t>Tata Metaliks Ltd</t>
  </si>
  <si>
    <t>INE290S01011</t>
  </si>
  <si>
    <t>CarTrade Tech Ltd</t>
  </si>
  <si>
    <t>INE503A01015</t>
  </si>
  <si>
    <t>DCB Bank Ltd</t>
  </si>
  <si>
    <t>INE199A01012</t>
  </si>
  <si>
    <t>Procter &amp; Gamble Health Ltd</t>
  </si>
  <si>
    <t>INE07T201019</t>
  </si>
  <si>
    <t>Restaurant Brands Asia Ltd</t>
  </si>
  <si>
    <t>INE312H01016</t>
  </si>
  <si>
    <t>INOX Leisure Ltd</t>
  </si>
  <si>
    <t>INE565V01010</t>
  </si>
  <si>
    <t>Valiant Organics Ltd</t>
  </si>
  <si>
    <t>INE934S01014</t>
  </si>
  <si>
    <t>GNA Axles Ltd</t>
  </si>
  <si>
    <t>INE481N01025</t>
  </si>
  <si>
    <t>Home First Finance Company Ltd</t>
  </si>
  <si>
    <t>INE386A01015</t>
  </si>
  <si>
    <t>Vesuvius India Ltd</t>
  </si>
  <si>
    <t>Sundaram Select Micro Cap Series XVI</t>
  </si>
  <si>
    <t>INE878B01027</t>
  </si>
  <si>
    <t>KEI Industries Ltd</t>
  </si>
  <si>
    <t>INE348B01021</t>
  </si>
  <si>
    <t>Century Plyboards (India) Ltd</t>
  </si>
  <si>
    <t>INE067A01029</t>
  </si>
  <si>
    <t>CG Power and Industrial Solutions Ltd</t>
  </si>
  <si>
    <t>INE048G01026</t>
  </si>
  <si>
    <t>Navin Fluorine International Ltd</t>
  </si>
  <si>
    <t>INE04I401011</t>
  </si>
  <si>
    <t>KPIT Technologies Ltd</t>
  </si>
  <si>
    <t>INE262H01013</t>
  </si>
  <si>
    <t>Persistent Systems Ltd</t>
  </si>
  <si>
    <t>INE211B01039</t>
  </si>
  <si>
    <t>The Phoenix Mills Ltd</t>
  </si>
  <si>
    <t>INE227C01017</t>
  </si>
  <si>
    <t>MM Forgings Ltd</t>
  </si>
  <si>
    <t>INE974X01010</t>
  </si>
  <si>
    <t>Tube Investments of India Ltd</t>
  </si>
  <si>
    <t>INE220B01022</t>
  </si>
  <si>
    <t>Kalpataru Power Transmission Ltd</t>
  </si>
  <si>
    <t>INE075I01017</t>
  </si>
  <si>
    <t>Healthcare Global Enterprises Ltd</t>
  </si>
  <si>
    <t>Healthcare Services</t>
  </si>
  <si>
    <t>INE094A01015</t>
  </si>
  <si>
    <t>Hindustan Petroleum Corporation Ltd</t>
  </si>
  <si>
    <t>INE864I01014</t>
  </si>
  <si>
    <t>MTAR Technologies Ltd</t>
  </si>
  <si>
    <t>INE03QK01018</t>
  </si>
  <si>
    <t>Suven Pharmaceuticals Ltd</t>
  </si>
  <si>
    <t>INE421D01022</t>
  </si>
  <si>
    <t>CCL Products (India) Ltd</t>
  </si>
  <si>
    <t>INE435A01028</t>
  </si>
  <si>
    <t>International Paper APPM Ltd</t>
  </si>
  <si>
    <t>INE884B01025</t>
  </si>
  <si>
    <t>Kirloskar Ferrous Ind Ltd</t>
  </si>
  <si>
    <t>INE049A01027</t>
  </si>
  <si>
    <t>Himatsingka Seide Ltd</t>
  </si>
  <si>
    <t>INE144Z01023</t>
  </si>
  <si>
    <t>Tarsons Products Ltd</t>
  </si>
  <si>
    <t>INE384A01010</t>
  </si>
  <si>
    <t>Rane Holdings Ltd</t>
  </si>
  <si>
    <t>INE877F01012</t>
  </si>
  <si>
    <t>PTC India Ltd</t>
  </si>
  <si>
    <t>INE858B01029</t>
  </si>
  <si>
    <t>ISGEC Heavy  Engineering Ltd</t>
  </si>
  <si>
    <t>INE0H5O01029</t>
  </si>
  <si>
    <t>Windlas Biotech Ltd</t>
  </si>
  <si>
    <t>Sundaram Select Micro Cap Series XVII</t>
  </si>
  <si>
    <t>INE043D01016</t>
  </si>
  <si>
    <t>IDFC Ltd</t>
  </si>
  <si>
    <t>INE325A01013</t>
  </si>
  <si>
    <t>Timken India Ltd</t>
  </si>
  <si>
    <t>INE045A01017</t>
  </si>
  <si>
    <t>Ador Welding Ltd</t>
  </si>
  <si>
    <t>INE113A01013</t>
  </si>
  <si>
    <t>Gujarat Narmada Valley Fertilizers &amp; Chemicals Ltd</t>
  </si>
  <si>
    <t>INE295F01017</t>
  </si>
  <si>
    <t>Butterfly Gandhimathi Appliances Ltd</t>
  </si>
  <si>
    <t>INE488A01050</t>
  </si>
  <si>
    <t>Chemplast Sanmar Ltd</t>
  </si>
  <si>
    <t>Sundaram Mid Cap Fund</t>
  </si>
  <si>
    <t>INE018I01017</t>
  </si>
  <si>
    <t>MindTree Ltd</t>
  </si>
  <si>
    <t>INE647A01010</t>
  </si>
  <si>
    <t>SRF Ltd</t>
  </si>
  <si>
    <t>INE437A01024</t>
  </si>
  <si>
    <t>Apollo Hospitals Enterprise Ltd</t>
  </si>
  <si>
    <t>INE171A01029</t>
  </si>
  <si>
    <t>The Federal Bank  Ltd</t>
  </si>
  <si>
    <t>INE238A01034</t>
  </si>
  <si>
    <t>Axis Bank Ltd</t>
  </si>
  <si>
    <t>INE761H01022</t>
  </si>
  <si>
    <t>Page Industries Ltd</t>
  </si>
  <si>
    <t>INE028A01039</t>
  </si>
  <si>
    <t>Bank of Baroda</t>
  </si>
  <si>
    <t>INE849A01020</t>
  </si>
  <si>
    <t>Trent Ltd</t>
  </si>
  <si>
    <t>Retailing</t>
  </si>
  <si>
    <t>INE749A01030</t>
  </si>
  <si>
    <t>Jindal Steel &amp; Power Ltd</t>
  </si>
  <si>
    <t>INE226A01021</t>
  </si>
  <si>
    <t>Voltas Ltd</t>
  </si>
  <si>
    <t>INE180A01020</t>
  </si>
  <si>
    <t>Max Financial Services Ltd</t>
  </si>
  <si>
    <t>INE298A01020</t>
  </si>
  <si>
    <t>Cummins India Ltd</t>
  </si>
  <si>
    <t>INE200M01013</t>
  </si>
  <si>
    <t>Varun Beverages Ltd</t>
  </si>
  <si>
    <t>INE465A01025</t>
  </si>
  <si>
    <t>Bharat Forge Ltd</t>
  </si>
  <si>
    <t>INE299U01018</t>
  </si>
  <si>
    <t>Crompton Greaves Consumer Electricals Ltd</t>
  </si>
  <si>
    <t>INE356A01018</t>
  </si>
  <si>
    <t>MphasiS Ltd</t>
  </si>
  <si>
    <t>INE010V01017</t>
  </si>
  <si>
    <t>L&amp;T Technology Services Ltd</t>
  </si>
  <si>
    <t>INE949L01017</t>
  </si>
  <si>
    <t>AU Small Finance Bank Ltd</t>
  </si>
  <si>
    <t>INE571A01038</t>
  </si>
  <si>
    <t>IPCA Laboratories Ltd</t>
  </si>
  <si>
    <t>INE263A01024</t>
  </si>
  <si>
    <t>Bharat Electronics Ltd</t>
  </si>
  <si>
    <t>INE721A01013</t>
  </si>
  <si>
    <t>Shriram Transport Finance Company Ltd</t>
  </si>
  <si>
    <t>INE068V01023</t>
  </si>
  <si>
    <t>Gland Pharma Ltd</t>
  </si>
  <si>
    <t>INE987B01026</t>
  </si>
  <si>
    <t>Natco Pharma Ltd</t>
  </si>
  <si>
    <t>INE603J01030</t>
  </si>
  <si>
    <t>PI Industries Ltd</t>
  </si>
  <si>
    <t>INE149A01033</t>
  </si>
  <si>
    <t>Cholamandalam Financial Holdings Ltd</t>
  </si>
  <si>
    <t>INE797F01012</t>
  </si>
  <si>
    <t>Jubilant Foodworks Ltd</t>
  </si>
  <si>
    <t>INE763G01038</t>
  </si>
  <si>
    <t>ICICI Securities Ltd</t>
  </si>
  <si>
    <t>INE548C01032</t>
  </si>
  <si>
    <t>Emami Ltd</t>
  </si>
  <si>
    <t>INE256A01028</t>
  </si>
  <si>
    <t>Zee Entertainment Enterprises Ltd</t>
  </si>
  <si>
    <t>INE105A01035</t>
  </si>
  <si>
    <t>Sundaram Clayton Ltd</t>
  </si>
  <si>
    <t>INE169A01031</t>
  </si>
  <si>
    <t>Coromandel International Ltd</t>
  </si>
  <si>
    <t>INE303R01014</t>
  </si>
  <si>
    <t>Kalyan Jewellers India Ltd</t>
  </si>
  <si>
    <t>INE935N01020</t>
  </si>
  <si>
    <t>Dixon Technologies (India) Ltd</t>
  </si>
  <si>
    <t>INE918I01018</t>
  </si>
  <si>
    <t>Bajaj Finserv Ltd</t>
  </si>
  <si>
    <t>INE115A01026</t>
  </si>
  <si>
    <t>LIC Housing Finance Ltd</t>
  </si>
  <si>
    <t>INE192A01025</t>
  </si>
  <si>
    <t>TATA Consumer Products Ltd</t>
  </si>
  <si>
    <t>INE317I01021</t>
  </si>
  <si>
    <t>Metro Brands Ltd</t>
  </si>
  <si>
    <t>INE405E01023</t>
  </si>
  <si>
    <t>Minda Industries Ltd</t>
  </si>
  <si>
    <t>INE093I01010</t>
  </si>
  <si>
    <t>Oberoi Realty Ltd</t>
  </si>
  <si>
    <t>INE006I01046</t>
  </si>
  <si>
    <t>Astral Ltd</t>
  </si>
  <si>
    <t>INE061F01013</t>
  </si>
  <si>
    <t>Fortis Health Care Ltd</t>
  </si>
  <si>
    <t>INE217B01036</t>
  </si>
  <si>
    <t>Kajaria Ceramics Ltd</t>
  </si>
  <si>
    <t>INE00R701025</t>
  </si>
  <si>
    <t>Dalmia Cement (Bharat) Ltd.</t>
  </si>
  <si>
    <t>INE342J01019</t>
  </si>
  <si>
    <t>Wabco India Ltd</t>
  </si>
  <si>
    <t>INE494B01023</t>
  </si>
  <si>
    <t>TVS Motor Company Ltd</t>
  </si>
  <si>
    <t>INE787D01026</t>
  </si>
  <si>
    <t>Balkrishna Industries Ltd</t>
  </si>
  <si>
    <t>Sundaram Multi Cap Fund Series I</t>
  </si>
  <si>
    <t>INE009A01021</t>
  </si>
  <si>
    <t>Infosys Ltd</t>
  </si>
  <si>
    <t>INE040A01034</t>
  </si>
  <si>
    <t>HDFC Bank Ltd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</si>
  <si>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</si>
  <si>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</si>
  <si>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</si>
  <si>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</si>
  <si>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</si>
  <si>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</si>
  <si>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</si>
  <si>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</si>
  <si>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INE075A01022</t>
  </si>
  <si>
    <t>Wipro Ltd</t>
  </si>
  <si>
    <t>INE860A01027</t>
  </si>
  <si>
    <t>HCL Technologies Ltd</t>
  </si>
  <si>
    <t>INE030A01027</t>
  </si>
  <si>
    <t>Hindustan UniLever Ltd</t>
  </si>
  <si>
    <t>INE669C01036</t>
  </si>
  <si>
    <t>Tech Mahindra Ltd</t>
  </si>
  <si>
    <t>INE101A01026</t>
  </si>
  <si>
    <t>Mahindra &amp; Mahindra Ltd</t>
  </si>
  <si>
    <t>INE154A01025</t>
  </si>
  <si>
    <t>ITC Ltd</t>
  </si>
  <si>
    <t>INE038A01020</t>
  </si>
  <si>
    <t>Hindalco Industries Ltd</t>
  </si>
  <si>
    <t>Non - Ferrous Metals</t>
  </si>
  <si>
    <t>INE081A01012</t>
  </si>
  <si>
    <t>Tata Steel Ltd</t>
  </si>
  <si>
    <t>INE237A01028</t>
  </si>
  <si>
    <t>Kotak Mahindra Bank Ltd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</si>
  <si>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</si>
  <si>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</si>
  <si>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</si>
  <si>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</si>
  <si>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</si>
  <si>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INE476A01014</t>
  </si>
  <si>
    <t>Canara Bank</t>
  </si>
  <si>
    <t>INE361B01024</t>
  </si>
  <si>
    <t>Divis Laboratories Ltd</t>
  </si>
  <si>
    <t>INE296A01024</t>
  </si>
  <si>
    <t>Bajaj Finance Ltd</t>
  </si>
  <si>
    <t>INE117A01022</t>
  </si>
  <si>
    <t>ABB India Ltd</t>
  </si>
  <si>
    <t>INE893J01029</t>
  </si>
  <si>
    <t>Mold-Tek Packaging Ltd</t>
  </si>
  <si>
    <t>INE155A01022</t>
  </si>
  <si>
    <t>Tata Motors Ltd</t>
  </si>
  <si>
    <t>INE192R01011</t>
  </si>
  <si>
    <t>Avenue Supermarts Ltd</t>
  </si>
  <si>
    <t>INE100A01010</t>
  </si>
  <si>
    <t>Atul Ltd</t>
  </si>
  <si>
    <t>INE586V01016</t>
  </si>
  <si>
    <t>TCI Express Ltd</t>
  </si>
  <si>
    <t>INE585B01010</t>
  </si>
  <si>
    <t>Maruti Suzuki India Ltd</t>
  </si>
  <si>
    <t>INE131B01039</t>
  </si>
  <si>
    <t>Relaxo Footwears Ltd</t>
  </si>
  <si>
    <t>INE070A01015</t>
  </si>
  <si>
    <t>Shree Cement Ltd</t>
  </si>
  <si>
    <t>INE388Y01029</t>
  </si>
  <si>
    <t>FSN E–Commerce Ventures Ltd(NYKAA)</t>
  </si>
  <si>
    <t>INE387A01021</t>
  </si>
  <si>
    <t>Sundram Fasteners Ltd</t>
  </si>
  <si>
    <t>INE775A01035</t>
  </si>
  <si>
    <t>Motherson Sumi Systems Ltd</t>
  </si>
  <si>
    <t>INE640A01023</t>
  </si>
  <si>
    <t>SKF India Ltd</t>
  </si>
  <si>
    <t>INE280A01028</t>
  </si>
  <si>
    <t>Titan Company Ltd</t>
  </si>
  <si>
    <t>INE0FS801015</t>
  </si>
  <si>
    <t>Motherson Sumi Wiring India Ltd</t>
  </si>
  <si>
    <t>Sundaram Emerging Small Cap Series I</t>
  </si>
  <si>
    <t>INE142Z01019</t>
  </si>
  <si>
    <t>Orient Electric Ltd</t>
  </si>
  <si>
    <t>INE717A01029</t>
  </si>
  <si>
    <t>Kennametal India Ltd</t>
  </si>
  <si>
    <t>INE743M01012</t>
  </si>
  <si>
    <t>RHI Magnesita India Ltd</t>
  </si>
  <si>
    <t>INE429E01023</t>
  </si>
  <si>
    <t>Safari Industries (India) Ltd</t>
  </si>
  <si>
    <t>INE472A01039</t>
  </si>
  <si>
    <t>Blue Star Ltd</t>
  </si>
  <si>
    <t>INE120A01034</t>
  </si>
  <si>
    <t>Carborundum Universal Ltd</t>
  </si>
  <si>
    <t>INE688A01022</t>
  </si>
  <si>
    <t>Transport Corporation of India Ltd</t>
  </si>
  <si>
    <t>INE296E01026</t>
  </si>
  <si>
    <t>Rajapalayam Mills Ltd</t>
  </si>
  <si>
    <t>INE741K01010</t>
  </si>
  <si>
    <t>Creditaccess Grameen Ltd</t>
  </si>
  <si>
    <t>INE750A01020</t>
  </si>
  <si>
    <t>Oriental Hotels Ltd</t>
  </si>
  <si>
    <t>INE679A01013</t>
  </si>
  <si>
    <t>CSB Bank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</si>
  <si>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</si>
  <si>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</si>
  <si>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</si>
  <si>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</si>
  <si>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</si>
  <si>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</si>
  <si>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</si>
  <si>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</si>
  <si>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</si>
  <si>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</si>
  <si>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INE854D01024</t>
  </si>
  <si>
    <t>United Spirits Ltd</t>
  </si>
  <si>
    <t>INE716A01013</t>
  </si>
  <si>
    <t>Whirlpool of India Ltd</t>
  </si>
  <si>
    <t>INE172A01027</t>
  </si>
  <si>
    <t>Castrol India Ltd</t>
  </si>
  <si>
    <t>INE182A01018</t>
  </si>
  <si>
    <t>Pfizer Ltd</t>
  </si>
  <si>
    <t>INE517F01014</t>
  </si>
  <si>
    <t>Gujarat Pipavav Port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</si>
  <si>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</si>
  <si>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</si>
  <si>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</si>
  <si>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</si>
  <si>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</si>
  <si>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INE647O01011</t>
  </si>
  <si>
    <t>Aditya Birla Fashion and Retail Ltd</t>
  </si>
  <si>
    <t>INE059A01026</t>
  </si>
  <si>
    <t>Cipla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</si>
  <si>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</si>
  <si>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</si>
  <si>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</si>
  <si>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</si>
  <si>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</si>
  <si>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</si>
  <si>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INE136S01016</t>
  </si>
  <si>
    <t>Neogen Chemicals Ltd</t>
  </si>
  <si>
    <t>INE836A01035</t>
  </si>
  <si>
    <t>Birlasoft Ltd</t>
  </si>
  <si>
    <t>INE098F01031</t>
  </si>
  <si>
    <t>Amrutanjan Health Care Ltd</t>
  </si>
  <si>
    <t>INE596I01012</t>
  </si>
  <si>
    <t>Computer Age Management Services Ltd</t>
  </si>
  <si>
    <t>INE022Q01020</t>
  </si>
  <si>
    <t>Indian Energy Exchange Ltd</t>
  </si>
  <si>
    <t>INE0BV301023</t>
  </si>
  <si>
    <t>CE Info Systems Private Limited</t>
  </si>
  <si>
    <t>INE119A01028</t>
  </si>
  <si>
    <t>Balrampur Chini Mills Ltd</t>
  </si>
  <si>
    <t>INE736A01011</t>
  </si>
  <si>
    <t>Central Depository Services (India) Ltd</t>
  </si>
  <si>
    <t>IN9155A01020</t>
  </si>
  <si>
    <t>INE094J01016</t>
  </si>
  <si>
    <t>UTI Asset Management Co Ltd</t>
  </si>
  <si>
    <t>INE930H01031</t>
  </si>
  <si>
    <t>K.P.R. Mill Ltd</t>
  </si>
  <si>
    <t>INE768C01010</t>
  </si>
  <si>
    <t>Zydus Wellness Ltd</t>
  </si>
  <si>
    <t>INE287B01021</t>
  </si>
  <si>
    <t>Subros Ltd</t>
  </si>
  <si>
    <t>INE725G01011</t>
  </si>
  <si>
    <t>ICRA Ltd</t>
  </si>
  <si>
    <t>INE944F01028</t>
  </si>
  <si>
    <t>Radico Khaitan Ltd</t>
  </si>
  <si>
    <t>INE451A01017</t>
  </si>
  <si>
    <t>Force Motors Ltd</t>
  </si>
  <si>
    <t>INE634I01029</t>
  </si>
  <si>
    <t>KNR Construction Ltd</t>
  </si>
  <si>
    <t>INE177F01017</t>
  </si>
  <si>
    <t>Kovai Medical Center &amp; Hospital Ltd</t>
  </si>
  <si>
    <t>INE930P01018</t>
  </si>
  <si>
    <t>Anupam Rasayan India Ltd</t>
  </si>
  <si>
    <t>INE670A01012</t>
  </si>
  <si>
    <t>Tata Elxsi Ltd</t>
  </si>
  <si>
    <t>INE389H01022</t>
  </si>
  <si>
    <t>KEC International Ltd</t>
  </si>
  <si>
    <t>INE600K01018</t>
  </si>
  <si>
    <t>Galaxy Surfactants Ltd</t>
  </si>
  <si>
    <t>INE739E01017</t>
  </si>
  <si>
    <t>Cera Sanitaryware Ltd</t>
  </si>
  <si>
    <t>INE054A01027</t>
  </si>
  <si>
    <t>VIP Industries Ltd</t>
  </si>
  <si>
    <t>INE343H01029</t>
  </si>
  <si>
    <t>Solar Industries India Ltd</t>
  </si>
  <si>
    <t>INE450U01017</t>
  </si>
  <si>
    <t>Route Mobile Ltd</t>
  </si>
  <si>
    <t>INE690A01028</t>
  </si>
  <si>
    <t>TTK Prestige Ltd</t>
  </si>
  <si>
    <t>INE418L01021</t>
  </si>
  <si>
    <t>Nazara Technologies Ltd</t>
  </si>
  <si>
    <t>INE112L01020</t>
  </si>
  <si>
    <t>Metropolis Healthcare Ltd</t>
  </si>
  <si>
    <t>INE825V01034</t>
  </si>
  <si>
    <t>Vedant Fashions Ltd</t>
  </si>
  <si>
    <t>Sundaram Aggressive Hybrid Fund</t>
  </si>
  <si>
    <t>INE179A01014</t>
  </si>
  <si>
    <t>Procter &amp; Gamble Hygiene and Health Care Ltd</t>
  </si>
  <si>
    <t>INE095A01012</t>
  </si>
  <si>
    <t>IndusInd Bank Ltd</t>
  </si>
  <si>
    <t>INE917I01010</t>
  </si>
  <si>
    <t>Bajaj Auto Ltd</t>
  </si>
  <si>
    <t>INE102D01028</t>
  </si>
  <si>
    <t>Godrej Consumer Products Ltd</t>
  </si>
  <si>
    <t>INE191H01014</t>
  </si>
  <si>
    <t>PVR Ltd</t>
  </si>
  <si>
    <t>INE852S01026</t>
  </si>
  <si>
    <t>INE261F08CS2</t>
  </si>
  <si>
    <t>National Bank for Agricultural &amp; Rural Development - 4.6% - 29/07/2022</t>
  </si>
  <si>
    <t>INE134E08KO6</t>
  </si>
  <si>
    <t>Power Finance Corporation Ltd - 6.83% - 24/04/2023**</t>
  </si>
  <si>
    <t xml:space="preserve"> CRISIL AAA </t>
  </si>
  <si>
    <t>INE556F08JO9</t>
  </si>
  <si>
    <t>Small Industrial Development Bank of India - 6.8% - 29/09/2022</t>
  </si>
  <si>
    <t xml:space="preserve"> CARE AAA </t>
  </si>
  <si>
    <t>INE062A08157</t>
  </si>
  <si>
    <t xml:space="preserve"> CRISIL AA+ </t>
  </si>
  <si>
    <t>INE020B08DR1</t>
  </si>
  <si>
    <t>REC Ltd - 5.74% - 20/06/2024**</t>
  </si>
  <si>
    <t>INE040A08377</t>
  </si>
  <si>
    <t>INE115A07OZ3</t>
  </si>
  <si>
    <t>LIC Housing Finance Ltd - 4.96% - 14/09/2023**</t>
  </si>
  <si>
    <t>INE028A08158</t>
  </si>
  <si>
    <t xml:space="preserve"> IND AAA </t>
  </si>
  <si>
    <t>INE557F08FG1</t>
  </si>
  <si>
    <t>National Housing Bank  - 7.05% - 18/12/2024**</t>
  </si>
  <si>
    <t>INE001A07SG6</t>
  </si>
  <si>
    <t>Housing Development Finance Corporation Ltd - 7.35% - 10/02/2025**</t>
  </si>
  <si>
    <t>INE001A07SD3</t>
  </si>
  <si>
    <t>Housing Development Finance Corporation Ltd - 7.21% - 30/12/2022**</t>
  </si>
  <si>
    <t>INE028A08117</t>
  </si>
  <si>
    <t>INE134E08KD9</t>
  </si>
  <si>
    <t>Power Finance Corporation Ltd - 8.1% - 04/06/2024**</t>
  </si>
  <si>
    <t>INE018A08BA7</t>
  </si>
  <si>
    <t>Larsen &amp; Toubro Ltd - 7.7% - 28/04/2025**</t>
  </si>
  <si>
    <t>INE020B08AA3</t>
  </si>
  <si>
    <t>REC Ltd - 7.52% - 07/11/2026**</t>
  </si>
  <si>
    <t>INE261F08BK1</t>
  </si>
  <si>
    <t>National Bank for Agricultural &amp; Rural Development - 7.69% - 29/05/2024**</t>
  </si>
  <si>
    <t>INE115A07OJ7</t>
  </si>
  <si>
    <t>LIC Housing Finance Ltd - 7.445% - 13/01/2023**</t>
  </si>
  <si>
    <t>INE238A08443</t>
  </si>
  <si>
    <t>INE115A07PC9</t>
  </si>
  <si>
    <t>LIC Housing Finance Ltd - 5.35% - 20/03/2023</t>
  </si>
  <si>
    <t>INE261F08DI1</t>
  </si>
  <si>
    <t>National Bank for Agricultural &amp; Rural Development - 5.23% - 31/01/2025</t>
  </si>
  <si>
    <t>INE020B08CG6</t>
  </si>
  <si>
    <t>REC Ltd - 7.24% - 31/12/2022</t>
  </si>
  <si>
    <t>INE090A08TU6</t>
  </si>
  <si>
    <t>ICICI Bank Ltd - 7.6% - 07/10/2023**</t>
  </si>
  <si>
    <t>INE261F08CA0</t>
  </si>
  <si>
    <t>National Bank for Agricultural &amp; Rural Development - 6.4% - 31/07/2023**</t>
  </si>
  <si>
    <t>INE261F08AT4</t>
  </si>
  <si>
    <t>National Bank for Agricultural &amp; Rural Development - 8.5% - 31/01/2023**</t>
  </si>
  <si>
    <t>INE557F08FI7</t>
  </si>
  <si>
    <t>National Housing Bank  - 6.55% - 17/04/2023**</t>
  </si>
  <si>
    <t>INE556F08JN1</t>
  </si>
  <si>
    <t>Small Industrial Development Bank of India - 6.99% - 08/08/2022**</t>
  </si>
  <si>
    <t>INE261F08DF7</t>
  </si>
  <si>
    <t>National Bank for Agricultural &amp; Rural Development - 5.27% - 23/07/2024</t>
  </si>
  <si>
    <t>INE528G08246</t>
  </si>
  <si>
    <t>INE895D07487</t>
  </si>
  <si>
    <t>Tata Sons Pvt Ltd - 9.3% - 19/06/2024**</t>
  </si>
  <si>
    <t>INE115A07OV2</t>
  </si>
  <si>
    <t>LIC Housing Finance Ltd - 5.45% - 25/08/2023</t>
  </si>
  <si>
    <t>IN0020180488</t>
  </si>
  <si>
    <t>7.32% Central Government Securities 28/01/2024</t>
  </si>
  <si>
    <t>Sovereign</t>
  </si>
  <si>
    <t>IN0020130012</t>
  </si>
  <si>
    <t>7.16% Central Government Securities 20/05/2023</t>
  </si>
  <si>
    <t>IN0020190396</t>
  </si>
  <si>
    <t>6.18% Central Government Securities 04/11/2024</t>
  </si>
  <si>
    <t>IN0020160050</t>
  </si>
  <si>
    <t xml:space="preserve">6.84% Central Government Securities 19/12/2022 </t>
  </si>
  <si>
    <t>IN0020200021</t>
  </si>
  <si>
    <t>5.09% Central Government Securities 13/04/2022</t>
  </si>
  <si>
    <t>IN2220150030</t>
  </si>
  <si>
    <t>8.25% Maharashtra State Development Loan 10/06/2025</t>
  </si>
  <si>
    <t>IN1920140119</t>
  </si>
  <si>
    <t>8.08% Karnataka State Development Loan 11/03/2025</t>
  </si>
  <si>
    <t>IN2220140205</t>
  </si>
  <si>
    <t>8.06% Maharashtra State Development Loan 11/02/2025</t>
  </si>
  <si>
    <t>IN0020070051</t>
  </si>
  <si>
    <t>8.13% Central Government Securities 21/09/2022</t>
  </si>
  <si>
    <t>IN0020020072</t>
  </si>
  <si>
    <t>8.35% Central Government Securities 14/05/2022</t>
  </si>
  <si>
    <t>INE028A16CS9</t>
  </si>
  <si>
    <t>Bank of Baroda - 13/06/2022**</t>
  </si>
  <si>
    <t xml:space="preserve"> IND A1+ </t>
  </si>
  <si>
    <t>INE556F16879</t>
  </si>
  <si>
    <t>Small Industrial Development Bank of India - 02/06/2022**</t>
  </si>
  <si>
    <t xml:space="preserve"> CRISIL A1+ </t>
  </si>
  <si>
    <t>INE238A164X2</t>
  </si>
  <si>
    <t>Axis Bank Ltd - 16/06/2022**</t>
  </si>
  <si>
    <t>INE028A16CO8</t>
  </si>
  <si>
    <t>Bank of Baroda - 14/02/2023**</t>
  </si>
  <si>
    <t>INE514E14QH8</t>
  </si>
  <si>
    <t>Export Import Bank of India - 30/09/2022</t>
  </si>
  <si>
    <t>IN002021Y510</t>
  </si>
  <si>
    <t>IN002021Y437</t>
  </si>
  <si>
    <t>IN002021Y536</t>
  </si>
  <si>
    <t>IN002021Z368</t>
  </si>
  <si>
    <t>** Thinly traded / Non Traded Securities</t>
  </si>
  <si>
    <t>INE018E01016</t>
  </si>
  <si>
    <t>SBI Cards and Payment Services Ltd</t>
  </si>
  <si>
    <t>INE795G01014</t>
  </si>
  <si>
    <t>HDFC Life Insurance Company Ltd</t>
  </si>
  <si>
    <t>Stock Future</t>
  </si>
  <si>
    <t>IN002021Y445</t>
  </si>
  <si>
    <t>Margin Money For Derivatives</t>
  </si>
  <si>
    <t>Sundaram Balanced Advantage Fund</t>
  </si>
  <si>
    <t>INE318A01026</t>
  </si>
  <si>
    <t>Pidilite Industries Ltd</t>
  </si>
  <si>
    <t>INE021A01026</t>
  </si>
  <si>
    <t>Asian Paints Ltd</t>
  </si>
  <si>
    <t>INE176A01028</t>
  </si>
  <si>
    <t>Bata India Ltd</t>
  </si>
  <si>
    <t>INE089A01023</t>
  </si>
  <si>
    <t>Dr. Reddys Laboratories Ltd</t>
  </si>
  <si>
    <t>INE047A01021</t>
  </si>
  <si>
    <t>Grasim Industries Ltd</t>
  </si>
  <si>
    <t>INE326A01037</t>
  </si>
  <si>
    <t>Lupin Ltd</t>
  </si>
  <si>
    <t>INE066A01021</t>
  </si>
  <si>
    <t>Eicher Motors Ltd</t>
  </si>
  <si>
    <t>INE092A01019</t>
  </si>
  <si>
    <t>Tata Chemicals Ltd</t>
  </si>
  <si>
    <t>INE406A01037</t>
  </si>
  <si>
    <t>Aurobindo Pharma Ltd</t>
  </si>
  <si>
    <t>INE160A01022</t>
  </si>
  <si>
    <t>Punjab National Bank</t>
  </si>
  <si>
    <t>INE127D01025</t>
  </si>
  <si>
    <t>HDFC Asset Management Company Ltd</t>
  </si>
  <si>
    <t>Index Future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</si>
  <si>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</si>
  <si>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</si>
  <si>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</si>
  <si>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</si>
  <si>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INE020B08CN2</t>
  </si>
  <si>
    <t>REC Ltd - 6.8% - 30/06/2023**</t>
  </si>
  <si>
    <t>INE261F08BW6</t>
  </si>
  <si>
    <t>National Bank for Agricultural &amp; Rural Development - 6.72% - 14/04/2023**</t>
  </si>
  <si>
    <t>INE115A07OH1</t>
  </si>
  <si>
    <t>LIC Housing Finance Ltd - 7.6% - 22/11/2022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</si>
  <si>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</si>
  <si>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</si>
  <si>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</si>
  <si>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</si>
  <si>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</si>
  <si>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</si>
  <si>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</si>
  <si>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</si>
  <si>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</si>
  <si>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</si>
  <si>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INE053F07BZ2</t>
  </si>
  <si>
    <t>Indian Railway Finance Corporation Ltd - 6.59% - 14/04/2023**</t>
  </si>
  <si>
    <t>INE020B08CD3</t>
  </si>
  <si>
    <t>REC Ltd - 7.09% - 13/12/2022**</t>
  </si>
  <si>
    <t>INE031A08731</t>
  </si>
  <si>
    <t>Housing and Urban Development Corp. Ltd - 7.34% - 16/09/2022**</t>
  </si>
  <si>
    <t>INE020B08BT1</t>
  </si>
  <si>
    <t>REC Ltd - 8.15% - 10/06/2022**</t>
  </si>
  <si>
    <t>INE047A08133</t>
  </si>
  <si>
    <t>Grasim Industries Ltd - 7.65% - 15/04/2022**</t>
  </si>
  <si>
    <t>INE053F07BB3</t>
  </si>
  <si>
    <t>Indian Railway Finance Corporation Ltd - 8.25% - 28/02/2024**</t>
  </si>
  <si>
    <t>INE733E07JD2</t>
  </si>
  <si>
    <t>NTPC Ltd - 8.8% - 04/04/2023**</t>
  </si>
  <si>
    <t>INE242A08460</t>
  </si>
  <si>
    <t>Indian Oil Corporation Ltd - 5.05% - 25/11/2022</t>
  </si>
  <si>
    <t>INE018A08AR3</t>
  </si>
  <si>
    <t>Larsen &amp; Toubro Ltd - 7.87% - 18/04/2022</t>
  </si>
  <si>
    <t>IN0020200112</t>
  </si>
  <si>
    <t>5.22% Central Government Securities 15/06/2025</t>
  </si>
  <si>
    <t>IN0020210046</t>
  </si>
  <si>
    <t>4.26% Central Government Securities 17/05/2023</t>
  </si>
  <si>
    <t>IN2220170111</t>
  </si>
  <si>
    <t>7.02% Maharashtra State Development Loan 27/09/2022</t>
  </si>
  <si>
    <t>IN0020120013</t>
  </si>
  <si>
    <t xml:space="preserve">8.15% Central Government Securities 11/06/2022 </t>
  </si>
  <si>
    <t>Sundaram Dividend Yield Fund</t>
  </si>
  <si>
    <t>INE916U01025</t>
  </si>
  <si>
    <t>Sheela Foam Ltd</t>
  </si>
  <si>
    <t>INE212H01026</t>
  </si>
  <si>
    <t>AIA Engineering Ltd</t>
  </si>
  <si>
    <t>INE267A01025</t>
  </si>
  <si>
    <t>Hindustan Zinc Ltd</t>
  </si>
  <si>
    <t>INE710A01016</t>
  </si>
  <si>
    <t>VST Industries Ltd</t>
  </si>
  <si>
    <t>INE216A01030</t>
  </si>
  <si>
    <t>Britannia Industries Ltd</t>
  </si>
  <si>
    <t>INE482A01020</t>
  </si>
  <si>
    <t>Ceat Ltd</t>
  </si>
  <si>
    <t>INE459A01010</t>
  </si>
  <si>
    <t>Bannari Amman Sugars Ltd</t>
  </si>
  <si>
    <t>INE121J01017</t>
  </si>
  <si>
    <t>Indus Towers Ltd (Prev Bharti Infratel Ltd)</t>
  </si>
  <si>
    <t>INE02CF01010</t>
  </si>
  <si>
    <t>INE759J01022</t>
  </si>
  <si>
    <t>IDIA00069480</t>
  </si>
  <si>
    <t>IDIA00069477</t>
  </si>
  <si>
    <t>INE216A08027</t>
  </si>
  <si>
    <t>Britannia Industries Ltd - 5.5% - 03/06/2024**</t>
  </si>
  <si>
    <t>Sundaram Equity Savings Fund</t>
  </si>
  <si>
    <t>INE214T01019</t>
  </si>
  <si>
    <t>Larsen &amp; Toubro Infotech Ltd</t>
  </si>
  <si>
    <t>INE562A01011</t>
  </si>
  <si>
    <t>Indian Bank</t>
  </si>
  <si>
    <t>INE591G01017</t>
  </si>
  <si>
    <t>Coforge Ltd</t>
  </si>
  <si>
    <t>INE020B08AT3</t>
  </si>
  <si>
    <t>REC Ltd - 7.99% - 23/02/2023**</t>
  </si>
  <si>
    <t>IN0020200278</t>
  </si>
  <si>
    <t>5.15% Central Government Securities 09/11/2025</t>
  </si>
  <si>
    <t>IN2220150022</t>
  </si>
  <si>
    <t>8.14% Maharashtra State Development Loan 27/05/2025</t>
  </si>
  <si>
    <t>Sundaram Multi Cap Fund</t>
  </si>
  <si>
    <t>INE227W01023</t>
  </si>
  <si>
    <t>Clean Science &amp; Technology Ltd</t>
  </si>
  <si>
    <t>INE470A01017</t>
  </si>
  <si>
    <t>3M India Ltd</t>
  </si>
  <si>
    <t>INE738I01010</t>
  </si>
  <si>
    <t>eClerx Services Ltd</t>
  </si>
  <si>
    <t>INE147E01013</t>
  </si>
  <si>
    <t>INE151H01018</t>
  </si>
  <si>
    <t>INE348C01011</t>
  </si>
  <si>
    <t>IDIA00069356</t>
  </si>
  <si>
    <t>INE406B01019</t>
  </si>
  <si>
    <t>INE431E01011</t>
  </si>
  <si>
    <t>IDIA00069359</t>
  </si>
  <si>
    <t>INE604A01011</t>
  </si>
  <si>
    <t>INE364U01010</t>
  </si>
  <si>
    <t>Adani Green Energy Ltd</t>
  </si>
  <si>
    <t>INE931S01010</t>
  </si>
  <si>
    <t>Adani Transmission Ltd</t>
  </si>
  <si>
    <t>INE522F01014</t>
  </si>
  <si>
    <t>Coal India Ltd</t>
  </si>
  <si>
    <t>INE584A01023</t>
  </si>
  <si>
    <t>NMDC Ltd</t>
  </si>
  <si>
    <t>INE545U01014</t>
  </si>
  <si>
    <t>Bandhan Bank Ltd</t>
  </si>
  <si>
    <t>INE205A01025</t>
  </si>
  <si>
    <t>Vedanta Ltd</t>
  </si>
  <si>
    <t>INE423A01024</t>
  </si>
  <si>
    <t>Adani Enterprises</t>
  </si>
  <si>
    <t>INE019A01038</t>
  </si>
  <si>
    <t>JSW Steel Ltd</t>
  </si>
  <si>
    <t>INE259A01022</t>
  </si>
  <si>
    <t>Colgate Palmolive (India) Ltd</t>
  </si>
  <si>
    <t>INE196A01026</t>
  </si>
  <si>
    <t>Marico Ltd</t>
  </si>
  <si>
    <t>INE628A01036</t>
  </si>
  <si>
    <t>UPL Ltd</t>
  </si>
  <si>
    <t>INE646L01027</t>
  </si>
  <si>
    <t>Interglobe Aviation Ltd</t>
  </si>
  <si>
    <t>INE012A01025</t>
  </si>
  <si>
    <t>ACC Ltd</t>
  </si>
  <si>
    <t>INE271C01023</t>
  </si>
  <si>
    <t>DLF Ltd</t>
  </si>
  <si>
    <t>INE118A01012</t>
  </si>
  <si>
    <t>Bajaj Holdings &amp; Investment Ltd</t>
  </si>
  <si>
    <t>INE003A01024</t>
  </si>
  <si>
    <t>Siemens Ltd</t>
  </si>
  <si>
    <t>INE016A01026</t>
  </si>
  <si>
    <t>Dabur India Ltd</t>
  </si>
  <si>
    <t>INE765G01017</t>
  </si>
  <si>
    <t>ICICI Lombard General Insurance Company Ltd</t>
  </si>
  <si>
    <t>INE158A01026</t>
  </si>
  <si>
    <t>Hero MotoCorp Ltd</t>
  </si>
  <si>
    <t>INE376G01013</t>
  </si>
  <si>
    <t>Biocon Ltd</t>
  </si>
  <si>
    <t>INE463A01038</t>
  </si>
  <si>
    <t>Berger Paints (I) Ltd</t>
  </si>
  <si>
    <t>INE528G01035</t>
  </si>
  <si>
    <t>Yes Bank Ltd</t>
  </si>
  <si>
    <t>INE239A01016</t>
  </si>
  <si>
    <t>Nestle India Ltd</t>
  </si>
  <si>
    <t>INE414G01012</t>
  </si>
  <si>
    <t>Muthoot Finance Ltd</t>
  </si>
  <si>
    <t>INE685A01028</t>
  </si>
  <si>
    <t>Torrent Pharmaceuticals Ltd</t>
  </si>
  <si>
    <t>INE726G01019</t>
  </si>
  <si>
    <t>ICICI Prudential Life Insurance Company Ltd</t>
  </si>
  <si>
    <t>INE323A01026</t>
  </si>
  <si>
    <t>Bosch Ltd</t>
  </si>
  <si>
    <t>INE140A01024</t>
  </si>
  <si>
    <t>Piramal Enterprises Ltd</t>
  </si>
  <si>
    <t>INE663F01024</t>
  </si>
  <si>
    <t>Info Edge (India) Ltd</t>
  </si>
  <si>
    <t>INE176B01034</t>
  </si>
  <si>
    <t>Havells India Ltd</t>
  </si>
  <si>
    <t>INE079A01024</t>
  </si>
  <si>
    <t>Ambuja Cements Ltd</t>
  </si>
  <si>
    <t>INE010B01027</t>
  </si>
  <si>
    <t>Zydus Lifesciences Ltd</t>
  </si>
  <si>
    <t>INEDUMMYYESB</t>
  </si>
  <si>
    <t>INE758T01015</t>
  </si>
  <si>
    <t>Zomato Ltd</t>
  </si>
  <si>
    <t>Sundaram Rural and Consumption Fund</t>
  </si>
  <si>
    <t>INE872J01023</t>
  </si>
  <si>
    <t>Devyani international limited</t>
  </si>
  <si>
    <t>INE355A01028</t>
  </si>
  <si>
    <t>Somany Ceramics Ltd</t>
  </si>
  <si>
    <t>Sundaram Services Fund</t>
  </si>
  <si>
    <t>INE419U01012</t>
  </si>
  <si>
    <t>Happiest Minds Technologies Limited</t>
  </si>
  <si>
    <t>INE970X01018</t>
  </si>
  <si>
    <t>Lemon Tree Hotels Ltd</t>
  </si>
  <si>
    <t>INE0CLI01024</t>
  </si>
  <si>
    <t>Rate Gain Travel Technologies Ltd</t>
  </si>
  <si>
    <t>MU0295S00016</t>
  </si>
  <si>
    <t>Make My Trip Ltd (USD)</t>
  </si>
  <si>
    <t>Sundaram Diversified Equity</t>
  </si>
  <si>
    <t>Sundaram Financial Services Opportunities Fund</t>
  </si>
  <si>
    <t>Institutional Plan - Growth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</si>
  <si>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</si>
  <si>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</si>
  <si>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</si>
  <si>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</si>
  <si>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</si>
  <si>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</si>
  <si>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</si>
  <si>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</si>
  <si>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</si>
  <si>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</si>
  <si>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</si>
  <si>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</si>
  <si>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</si>
  <si>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</si>
  <si>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</si>
  <si>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</si>
  <si>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</si>
  <si>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</si>
  <si>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</si>
  <si>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</si>
  <si>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</si>
  <si>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</si>
  <si>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</si>
  <si>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</si>
  <si>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</si>
  <si>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</si>
  <si>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</si>
  <si>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</si>
  <si>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</si>
  <si>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</si>
  <si>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</si>
  <si>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</si>
  <si>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</si>
  <si>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</si>
  <si>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</si>
  <si>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</si>
  <si>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</si>
  <si>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</si>
  <si>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</si>
  <si>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</si>
  <si>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</si>
  <si>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</si>
  <si>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</si>
  <si>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</si>
  <si>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</si>
  <si>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</si>
  <si>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</si>
  <si>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</si>
  <si>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</si>
  <si>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</si>
  <si>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</si>
  <si>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</si>
  <si>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</si>
  <si>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Sundaram Bluechip Fund</t>
  </si>
  <si>
    <t>SUNFOP</t>
  </si>
  <si>
    <t>GLOB</t>
  </si>
  <si>
    <t>Sundaram Global Brand Fund</t>
  </si>
  <si>
    <t>182 Days - T Bill - 07/07/2022</t>
  </si>
  <si>
    <t>182 Days - T Bill - 01/09/2022</t>
  </si>
  <si>
    <t>182 Days - T Bill - 15/09/2022</t>
  </si>
  <si>
    <t>364 Days - TBill - 01/12/2022</t>
  </si>
  <si>
    <t>182 Days - T Bill - 14/07/2022</t>
  </si>
  <si>
    <t>Page Industries Ltd Apr 2022</t>
  </si>
  <si>
    <t>HDFC Life Insurance Company Ltd Apr 2022</t>
  </si>
  <si>
    <t>Larsen &amp; Toubro Ltd Apr 2022</t>
  </si>
  <si>
    <t>SBI Life Insurance Company Ltd Apr 2022</t>
  </si>
  <si>
    <t>SBI Cards and Payment Services Ltd Apr 2022</t>
  </si>
  <si>
    <t>Bharat Forge Ltd Apr 2022</t>
  </si>
  <si>
    <t>Canara Bank Apr 2022</t>
  </si>
  <si>
    <t>Housing Development Fin Corp Ltd Apr 2022</t>
  </si>
  <si>
    <t>Kotak Mahindra Bank Ltd Apr 2022</t>
  </si>
  <si>
    <t>LIC Housing Finance Ltd Apr 2022</t>
  </si>
  <si>
    <t>Bajaj Finserv Limited Apr 2022</t>
  </si>
  <si>
    <t>Adani Ports &amp; SEZ Ltd Apr 2022</t>
  </si>
  <si>
    <t>Hindustan Unilever Ltd Apr 2022</t>
  </si>
  <si>
    <t>Axis Bank Ltd Apr 2022</t>
  </si>
  <si>
    <t>Bajaj Finance Limited Apr 2022</t>
  </si>
  <si>
    <t>State Bank of India Apr 2022</t>
  </si>
  <si>
    <t>Jindal Steel &amp; Power Ltd Apr 2022</t>
  </si>
  <si>
    <t>Reliance Industries Ltd Apr 2022</t>
  </si>
  <si>
    <t>HDFC Asset Management Company Ltd Apr 2022</t>
  </si>
  <si>
    <t>Mahindra &amp; Mahindra Ltd Apr 2022</t>
  </si>
  <si>
    <t>Punjab National Bank Apr 2022</t>
  </si>
  <si>
    <t>Aurobindo Pharma Limited Apr 2022</t>
  </si>
  <si>
    <t>Apollo Hospitals Enterprise Limited Apr 2022</t>
  </si>
  <si>
    <t>Tata Chemicals Limited Apr 2022</t>
  </si>
  <si>
    <t>Eicher Motors Limited Apr 2022</t>
  </si>
  <si>
    <t>Ashok Leyland Ltd Apr 2022</t>
  </si>
  <si>
    <t>Lupin Ltd Apr 2022</t>
  </si>
  <si>
    <t>Grasim Industries Limited Apr 2022</t>
  </si>
  <si>
    <t>Sun Pharmaceutical Industries Limited Apr 2022</t>
  </si>
  <si>
    <t>IPCA Laboratories Limited Apr 2022</t>
  </si>
  <si>
    <t>Dr.Reddys Laboratories Ltd Apr 2022</t>
  </si>
  <si>
    <t>ICICI Bank Ltd Apr 2022</t>
  </si>
  <si>
    <t>Asian Paints Limited Apr 2022</t>
  </si>
  <si>
    <t>ITC Ltd Apr 2022</t>
  </si>
  <si>
    <t>Infosys Limited Apr 2022</t>
  </si>
  <si>
    <t>Divis Labarotories Ltd Apr 2022</t>
  </si>
  <si>
    <t>Pidilite Industries Ltd Apr 2022</t>
  </si>
  <si>
    <t>Hindalco Industries Ltd Apr 2022</t>
  </si>
  <si>
    <t>Nifty Apr 2022</t>
  </si>
  <si>
    <t>TATA Consultancy Services Ltd Apr 2022</t>
  </si>
  <si>
    <t>Tata Steel Limited Apr 2022</t>
  </si>
  <si>
    <t>Tech Mahindra Ltd Apr 2022</t>
  </si>
  <si>
    <t>United Spirits Ltd Apr 2022</t>
  </si>
  <si>
    <t>Bharti Airtel Ltd Apr 2022</t>
  </si>
  <si>
    <t>Federal Bank Apr 2022</t>
  </si>
  <si>
    <t>TATA Consumer Products Ltd Apr 2022</t>
  </si>
  <si>
    <t>Titan Company Limited Apr 2022</t>
  </si>
  <si>
    <t>Larsen &amp; Toubro Infotech Limited Apr 2022</t>
  </si>
  <si>
    <t>INE041025011</t>
  </si>
  <si>
    <t>Embassy Office Parks(REIT)</t>
  </si>
  <si>
    <t>INE0GGX23010</t>
  </si>
  <si>
    <t>Power Grid Infrastructure Investment Trust(InvIT)</t>
  </si>
  <si>
    <t>INE001A13049</t>
  </si>
  <si>
    <t>Housing Development Finance Corporation Ltd.</t>
  </si>
  <si>
    <t>Cash and Other Net Current Assets ^</t>
  </si>
  <si>
    <t>^ Net current assets includes interest accrued on fixed income securities</t>
  </si>
  <si>
    <t>Bharti Airtel Ltd - Partly Paid Right Shares</t>
  </si>
  <si>
    <t>0.00 / #</t>
  </si>
  <si>
    <t>b) Total value and percentage of illiquid equity shares@</t>
  </si>
  <si>
    <t>Sandur Laminates Ltd @</t>
  </si>
  <si>
    <t>Crystal Cable Industries Ltd @</t>
  </si>
  <si>
    <t>Tirrihannah Company Ltd @</t>
  </si>
  <si>
    <t>Minerava Holdings Ltd @</t>
  </si>
  <si>
    <t>Yes Bank Ltd ~</t>
  </si>
  <si>
    <t>~ Any realization beyond the carrying value shall be distributed to the investors existed as on March 13, 2020.</t>
  </si>
  <si>
    <t>Hindustan Dorr-Oliver Ltd @</t>
  </si>
  <si>
    <t>b) Total value and percentage of illiquid equity shares @</t>
  </si>
  <si>
    <t>Chennai Super Kings Ltd @</t>
  </si>
  <si>
    <t>Rs. 1.91 lacs/0.00%</t>
  </si>
  <si>
    <t>Leisure Services</t>
  </si>
  <si>
    <t>Capital Markets</t>
  </si>
  <si>
    <t>Milestone Global Ltd $$</t>
  </si>
  <si>
    <t>Crescent Finstock Ltd @</t>
  </si>
  <si>
    <t>Sangam Health Care Products Ltd @</t>
  </si>
  <si>
    <t>Virtual Dynamics Software Ltd @</t>
  </si>
  <si>
    <t>Noble Brothers Impex Ltd @</t>
  </si>
  <si>
    <t>Balmer Lawrie Freight Containers Ltd @</t>
  </si>
  <si>
    <t>Mukerian Papers Ltd @</t>
  </si>
  <si>
    <t>Precision Fasteners Ltd @</t>
  </si>
  <si>
    <t>$$ - Thinly Traded securities</t>
  </si>
  <si>
    <t>Rs. 59.75 lacs / 0.03%</t>
  </si>
  <si>
    <t>Rs. 23.41 lacs / 0.03%</t>
  </si>
  <si>
    <t>Individual &amp; HUF</t>
  </si>
  <si>
    <t>Others</t>
  </si>
  <si>
    <t>-</t>
  </si>
  <si>
    <t>Refer above</t>
  </si>
  <si>
    <t>Rs.781.16 Lacs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</si>
  <si>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</si>
  <si>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</si>
  <si>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</si>
  <si>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</si>
  <si>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Refer below point k)</t>
  </si>
  <si>
    <t>Tata Motors Ltd - DVR</t>
  </si>
  <si>
    <t xml:space="preserve"> ICRA AAA </t>
  </si>
  <si>
    <t xml:space="preserve"> ICRA BBB </t>
  </si>
  <si>
    <t>YTM (%)</t>
  </si>
  <si>
    <t>Monthly Portfolio Statement for the month ended 31 March 2022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</si>
  <si>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</si>
  <si>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</si>
  <si>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</si>
  <si>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</si>
  <si>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</si>
  <si>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</si>
  <si>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</si>
  <si>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</si>
  <si>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</si>
  <si>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</si>
  <si>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</si>
  <si>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</si>
  <si>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</si>
  <si>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</si>
  <si>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</si>
  <si>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</si>
  <si>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</si>
  <si>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</si>
  <si>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</si>
  <si>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</si>
  <si>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k) Exposure to securities classified as below investment grade or default as on March 31, 2022:-</t>
  </si>
  <si>
    <t>% to AUM as on 31/03/2022</t>
  </si>
  <si>
    <t>Total - Cr</t>
  </si>
  <si>
    <t>SPAHF - AUM</t>
  </si>
  <si>
    <t>21.50% Dewan Rubber Ltd</t>
  </si>
  <si>
    <t>Not Available</t>
  </si>
  <si>
    <t>Chemox Chemicals Industries</t>
  </si>
  <si>
    <t>i) Exposure to securities classified as below investment grade or default as on March 31, 2022:-</t>
  </si>
  <si>
    <t>Refer below point i)</t>
  </si>
  <si>
    <t>15% Premier Vinyl Ltd</t>
  </si>
  <si>
    <t>18% Jord Engineering Ltd</t>
  </si>
  <si>
    <t>Yield to call date %</t>
  </si>
  <si>
    <t>State Bank of India - 8.15% - Call Dt 02/08/2022** (Perpetual Bond under Basel III)</t>
  </si>
  <si>
    <t>HDFC Bank Ltd - 8.85% - Call Dt 12/05/2022** (Perpetual Bond under Basel III)</t>
  </si>
  <si>
    <t>Bank of Baroda - 8.55% - Call Dt 14-Feb-2024 (Tier II Bond under Basel III)**</t>
  </si>
  <si>
    <t>Bank of Baroda - 8.65% - Call Dt 11/08/2022**  (Perpetual Bond under Basel III)</t>
  </si>
  <si>
    <t>Axis Bank Ltd - 8.75% - Call Dt 28/06/2022** (Perpetual Bond under Basel III)</t>
  </si>
  <si>
    <t>Yes Bank Ltd - 9.9% - 31/10/2022** (Tier II bond under Basel II)</t>
  </si>
  <si>
    <t>Direct Plan - IDCW^^</t>
  </si>
  <si>
    <t>Regular Plan - IDCW^^</t>
  </si>
  <si>
    <t>d) IDCW^^ declared during the period (Rupees per unit)</t>
  </si>
  <si>
    <t>Direct Plan - Halfyearly IDCW^^</t>
  </si>
  <si>
    <t>Regular Plan - Halfyearly IDCW^^</t>
  </si>
  <si>
    <t>Direct Plan - Monthly IDCW^^</t>
  </si>
  <si>
    <t>Direct Plan - Quarterly IDCW^^</t>
  </si>
  <si>
    <t>Regular Plan - Monthly IDCW^^</t>
  </si>
  <si>
    <t>Regular Plan - Quarterly IDCW^^</t>
  </si>
  <si>
    <t>Institutional Plan - IDCW^^</t>
  </si>
  <si>
    <t>^^ IDCW means Income distribution cum capital withdrawal (Payout/Reinvestment/Transfer)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</si>
  <si>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</si>
  <si>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</si>
  <si>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</si>
  <si>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</si>
  <si>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</si>
  <si>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</si>
  <si>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</si>
  <si>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</si>
  <si>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</si>
  <si>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</si>
  <si>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SUNDARAM GLOBAL BRAND FUND</t>
  </si>
  <si>
    <t>Monthly Portfolio Statement for the period ended 31 Mar 2022</t>
  </si>
  <si>
    <t>S.NO</t>
  </si>
  <si>
    <t>ISIN CODE</t>
  </si>
  <si>
    <t>Name of the Instrument</t>
  </si>
  <si>
    <t>Industry/ Rating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</si>
  <si>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</si>
  <si>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</si>
  <si>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</si>
  <si>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</si>
  <si>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</si>
  <si>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</si>
  <si>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</si>
  <si>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</si>
  <si>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</si>
  <si>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</si>
  <si>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</si>
  <si>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</si>
  <si>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</si>
  <si>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</si>
  <si>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</si>
  <si>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</si>
  <si>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12,966.25 lacs</t>
  </si>
  <si>
    <t>g) Repo in Corporate Debt - Nil</t>
  </si>
  <si>
    <t>Agricultural, Commercial &amp; Construction Vehicles</t>
  </si>
  <si>
    <t>Pharmaceuticals &amp; Biotechnology</t>
  </si>
  <si>
    <t>Healthcare Equipment &amp; Supplies</t>
  </si>
  <si>
    <t>Transport Services</t>
  </si>
  <si>
    <t>Paper, Forest &amp; Jute Products</t>
  </si>
  <si>
    <t>Insurance</t>
  </si>
  <si>
    <t>IT - Software</t>
  </si>
  <si>
    <t>Beverages</t>
  </si>
  <si>
    <t>Agricultural Food &amp; other Products</t>
  </si>
  <si>
    <t>Automobiles</t>
  </si>
  <si>
    <t>Personal Products</t>
  </si>
  <si>
    <t>Diversified FMCG</t>
  </si>
  <si>
    <t>Entertainment</t>
  </si>
  <si>
    <t>Cement &amp; Cement Products</t>
  </si>
  <si>
    <t>Transport Infrastructure</t>
  </si>
  <si>
    <t>Fertilizers &amp; Agrochemicals</t>
  </si>
  <si>
    <t>Chemicals &amp; Petrochemicals</t>
  </si>
  <si>
    <t>Auto Components</t>
  </si>
  <si>
    <t>Textiles &amp; Apparels</t>
  </si>
  <si>
    <t>Food Products</t>
  </si>
  <si>
    <t>Realty</t>
  </si>
  <si>
    <t>Commercial Services &amp; Supplies</t>
  </si>
  <si>
    <t>IT - Services</t>
  </si>
  <si>
    <t>Electrical Equipment</t>
  </si>
  <si>
    <t>Consumable Fuels</t>
  </si>
  <si>
    <t>Minerals &amp; Mining</t>
  </si>
  <si>
    <t>Diversified Metals</t>
  </si>
  <si>
    <t>Metals &amp; Minerals Trading</t>
  </si>
  <si>
    <t>Diversified</t>
  </si>
  <si>
    <t>Aerospace &amp; Defense</t>
  </si>
  <si>
    <t>Cigarettes &amp; Tobacco Products</t>
  </si>
  <si>
    <t>Industrial Manufacturing</t>
  </si>
  <si>
    <t>Printing &amp; Publication</t>
  </si>
  <si>
    <t>Direct Plan - Half Yearly IDCW^^</t>
  </si>
  <si>
    <t>Regular Plan - Half Yearly IDCW^^</t>
  </si>
  <si>
    <t>Scheme Riskometer</t>
  </si>
  <si>
    <t>Benchmark Riskometer - NIFTY Infrastructure TRI</t>
  </si>
  <si>
    <t>Benchmark Riskometer - S&amp;P BSE Small Cap INDEX</t>
  </si>
  <si>
    <t>Tier I Benchmark Riskometer - Nifty MidCap 150 TRI</t>
  </si>
  <si>
    <t>Tier II Benchmark Riskometer - Nifty MidCap 100 TRI</t>
  </si>
  <si>
    <t>Benchmark Riskometer - S&amp;P BSE 500 INDDX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</si>
  <si>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</si>
  <si>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</si>
  <si>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</si>
  <si>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</si>
  <si>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 TRI</t>
  </si>
  <si>
    <t>Tier I Benchmark Riskometer - Nifty Small Cap 250 TRI</t>
  </si>
  <si>
    <t>Tier II 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</si>
  <si>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</si>
  <si>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</si>
  <si>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</si>
  <si>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 TRI</t>
  </si>
  <si>
    <t>Tier II Benchmark Riskometer - NIFTY 500 TRI</t>
  </si>
  <si>
    <t>Benchmark Riskometer - Nifty Equity Savings INDEX</t>
  </si>
  <si>
    <t>Tier I Benchmark Riskometer - Nifty 500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</si>
  <si>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</si>
  <si>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</si>
  <si>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</si>
  <si>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</si>
  <si>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</si>
  <si>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</si>
  <si>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 Benchmark Riskometer - NIFTY 500 Index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</si>
  <si>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</si>
  <si>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</si>
  <si>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</si>
  <si>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</si>
  <si>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</si>
  <si>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Tier II Benchmark Riskometer - 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</si>
</sst>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1" formatCode="[$-1014009]#,##0.000000;\-#,##0.000000"/>
    <numFmt numFmtId="172" formatCode="[$-1014009]#,##0.00;\(#,##0.00\)"/>
    <numFmt numFmtId="173" formatCode="_(* #,##0.00_);_(* \(#,##0.00\);_(* &quot;-&quot;??_);_(@_)"/>
    <numFmt numFmtId="174" formatCode="_(* #,##0_);_(* \(#,##0\);_(* &quot;-&quot;??_);_(@_)"/>
    <numFmt numFmtId="175" formatCode="0.000"/>
    <numFmt numFmtId="176" formatCode="#,##0.000"/>
    <numFmt numFmtId="177" formatCode="0.00000"/>
    <numFmt numFmtId="178" formatCode="dd\/mm\/yyyy"/>
    <numFmt numFmtId="179" formatCode="0.00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7">
    <xf numFmtId="0" fontId="0" fillId="0" borderId="0">
      <alignment wrapText="1"/>
    </xf>
    <xf numFmtId="0" fontId="3" fillId="0" borderId="0"/>
    <xf numFmtId="0" fontId="10" fillId="0" borderId="0">
      <alignment wrapText="1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" fillId="0" borderId="0"/>
    <xf numFmtId="17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wrapText="1"/>
    </xf>
  </cellStyleXfs>
  <cellXfs count="223">
    <xf numFmtId="0" fontId="0" fillId="0" borderId="0" xfId="0">
      <alignment wrapText="1"/>
    </xf>
    <xf numFmtId="0" fontId="5" fillId="2" borderId="3" xfId="0" applyFont="1" applyFill="1" applyBorder="1" applyAlignment="1">
      <alignment horizontal="right" vertical="top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164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165" fontId="5" fillId="2" borderId="3" xfId="0" applyNumberFormat="1" applyFont="1" applyFill="1" applyBorder="1" applyAlignment="1">
      <alignment horizontal="right" vertical="center" wrapText="1" readingOrder="1"/>
    </xf>
    <xf numFmtId="166" fontId="5" fillId="2" borderId="3" xfId="0" applyNumberFormat="1" applyFont="1" applyFill="1" applyBorder="1" applyAlignment="1">
      <alignment horizontal="right" vertical="center" wrapText="1" readingOrder="1"/>
    </xf>
    <xf numFmtId="167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right" vertical="center" wrapText="1" readingOrder="1"/>
    </xf>
    <xf numFmtId="166" fontId="6" fillId="2" borderId="3" xfId="0" applyNumberFormat="1" applyFont="1" applyFill="1" applyBorder="1" applyAlignment="1">
      <alignment horizontal="right" vertical="center" wrapText="1" readingOrder="1"/>
    </xf>
    <xf numFmtId="167" fontId="6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168" fontId="6" fillId="2" borderId="3" xfId="0" applyNumberFormat="1" applyFont="1" applyFill="1" applyBorder="1" applyAlignment="1">
      <alignment horizontal="right" vertical="center" wrapText="1" readingOrder="1"/>
    </xf>
    <xf numFmtId="169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3" xfId="0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7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7" fillId="2" borderId="0" xfId="0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right" vertical="top" wrapText="1" readingOrder="1"/>
    </xf>
    <xf numFmtId="0" fontId="6" fillId="2" borderId="3" xfId="0" applyFont="1" applyFill="1" applyBorder="1" applyAlignment="1">
      <alignment horizontal="right" vertical="top" wrapText="1" readingOrder="1"/>
    </xf>
    <xf numFmtId="170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0" fillId="2" borderId="0" xfId="0" applyFill="1" applyBorder="1" applyAlignment="1">
      <alignment horizontal="center" vertical="top" readingOrder="1"/>
    </xf>
    <xf numFmtId="0" fontId="5" fillId="2" borderId="4" xfId="0" applyFont="1" applyFill="1" applyBorder="1" applyAlignment="1">
      <alignment horizontal="right" vertical="top" wrapText="1" readingOrder="1"/>
    </xf>
    <xf numFmtId="169" fontId="6" fillId="2" borderId="3" xfId="0" applyNumberFormat="1" applyFont="1" applyFill="1" applyBorder="1" applyAlignment="1">
      <alignment horizontal="left" vertical="center" wrapText="1" readingOrder="1"/>
    </xf>
    <xf numFmtId="0" fontId="8" fillId="0" borderId="6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11" fillId="0" borderId="0" xfId="2" applyFont="1">
      <alignment wrapText="1"/>
    </xf>
    <xf numFmtId="0" fontId="11" fillId="0" borderId="6" xfId="2" applyFont="1" applyBorder="1">
      <alignment wrapText="1"/>
    </xf>
    <xf numFmtId="0" fontId="11" fillId="0" borderId="6" xfId="2" applyFont="1" applyBorder="1" applyAlignment="1"/>
    <xf numFmtId="0" fontId="11" fillId="0" borderId="6" xfId="0" applyFont="1" applyBorder="1" applyAlignment="1"/>
    <xf numFmtId="0" fontId="5" fillId="2" borderId="0" xfId="0" applyFont="1" applyFill="1" applyBorder="1" applyAlignment="1">
      <alignment horizontal="left" vertical="center" wrapText="1" readingOrder="1"/>
    </xf>
    <xf numFmtId="164" fontId="12" fillId="2" borderId="3" xfId="0" applyNumberFormat="1" applyFont="1" applyFill="1" applyBorder="1" applyAlignment="1">
      <alignment horizontal="right" vertical="center" wrapText="1" readingOrder="1"/>
    </xf>
    <xf numFmtId="0" fontId="12" fillId="2" borderId="3" xfId="0" applyFont="1" applyFill="1" applyBorder="1" applyAlignment="1">
      <alignment horizontal="left" vertical="center" wrapText="1" readingOrder="1"/>
    </xf>
    <xf numFmtId="165" fontId="12" fillId="2" borderId="3" xfId="0" applyNumberFormat="1" applyFont="1" applyFill="1" applyBorder="1" applyAlignment="1">
      <alignment horizontal="right" vertical="center" wrapText="1" readingOrder="1"/>
    </xf>
    <xf numFmtId="166" fontId="12" fillId="2" borderId="3" xfId="0" applyNumberFormat="1" applyFont="1" applyFill="1" applyBorder="1" applyAlignment="1">
      <alignment horizontal="right" vertical="center" wrapText="1" readingOrder="1"/>
    </xf>
    <xf numFmtId="167" fontId="12" fillId="2" borderId="3" xfId="0" applyNumberFormat="1" applyFont="1" applyFill="1" applyBorder="1" applyAlignment="1">
      <alignment horizontal="right" vertical="center" wrapText="1" readingOrder="1"/>
    </xf>
    <xf numFmtId="0" fontId="10" fillId="0" borderId="0" xfId="2">
      <alignment wrapText="1"/>
    </xf>
    <xf numFmtId="0" fontId="13" fillId="2" borderId="0" xfId="2" applyFont="1" applyFill="1" applyAlignment="1">
      <alignment horizontal="left" vertical="center" wrapText="1" readingOrder="1"/>
    </xf>
    <xf numFmtId="0" fontId="13" fillId="2" borderId="0" xfId="2" applyFont="1" applyFill="1" applyAlignment="1">
      <alignment horizontal="right" vertical="center" wrapText="1" readingOrder="1"/>
    </xf>
    <xf numFmtId="0" fontId="10" fillId="0" borderId="0" xfId="2" applyAlignment="1">
      <alignment vertical="center" wrapText="1"/>
    </xf>
    <xf numFmtId="0" fontId="14" fillId="2" borderId="3" xfId="0" applyFont="1" applyFill="1" applyBorder="1" applyAlignment="1">
      <alignment horizontal="left" vertical="top" readingOrder="1"/>
    </xf>
    <xf numFmtId="0" fontId="12" fillId="0" borderId="3" xfId="0" applyFont="1" applyBorder="1" applyAlignment="1">
      <alignment horizontal="left" vertical="center" wrapText="1" readingOrder="1"/>
    </xf>
    <xf numFmtId="0" fontId="13" fillId="2" borderId="0" xfId="0" applyFont="1" applyFill="1" applyAlignment="1">
      <alignment horizontal="left" vertical="center" wrapText="1" readingOrder="1"/>
    </xf>
    <xf numFmtId="0" fontId="12" fillId="2" borderId="0" xfId="0" applyFont="1" applyFill="1" applyAlignment="1">
      <alignment horizontal="left" vertical="center" readingOrder="1"/>
    </xf>
    <xf numFmtId="0" fontId="13" fillId="2" borderId="0" xfId="0" applyFont="1" applyFill="1" applyAlignment="1">
      <alignment horizontal="right" vertical="center" wrapText="1" readingOrder="1"/>
    </xf>
    <xf numFmtId="0" fontId="12" fillId="2" borderId="0" xfId="0" applyFont="1" applyFill="1" applyAlignment="1">
      <alignment horizontal="left" vertical="center" wrapText="1" readingOrder="1"/>
    </xf>
    <xf numFmtId="0" fontId="14" fillId="2" borderId="3" xfId="0" applyFont="1" applyFill="1" applyBorder="1" applyAlignment="1">
      <alignment horizontal="left" vertical="center" wrapText="1" readingOrder="1"/>
    </xf>
    <xf numFmtId="0" fontId="10" fillId="0" borderId="0" xfId="0" applyFont="1">
      <alignment wrapText="1"/>
    </xf>
    <xf numFmtId="0" fontId="12" fillId="2" borderId="0" xfId="0" applyFont="1" applyFill="1" applyAlignment="1">
      <alignment vertical="center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15" fillId="2" borderId="3" xfId="0" applyFont="1" applyFill="1" applyBorder="1" applyAlignment="1">
      <alignment horizontal="left" vertical="center" wrapText="1" readingOrder="1"/>
    </xf>
    <xf numFmtId="0" fontId="15" fillId="2" borderId="3" xfId="0" applyFont="1" applyFill="1" applyBorder="1" applyAlignment="1">
      <alignment horizontal="right" vertical="center" wrapText="1" readingOrder="1"/>
    </xf>
    <xf numFmtId="171" fontId="12" fillId="2" borderId="3" xfId="0" applyNumberFormat="1" applyFont="1" applyFill="1" applyBorder="1" applyAlignment="1">
      <alignment horizontal="right" vertical="center" wrapText="1" readingOrder="1"/>
    </xf>
    <xf numFmtId="0" fontId="12" fillId="2" borderId="3" xfId="0" applyFont="1" applyFill="1" applyBorder="1" applyAlignment="1">
      <alignment horizontal="right" vertical="center" wrapText="1" readingOrder="1"/>
    </xf>
    <xf numFmtId="0" fontId="12" fillId="2" borderId="0" xfId="0" applyFont="1" applyFill="1" applyAlignment="1">
      <alignment horizontal="right" vertical="top" wrapText="1" readingOrder="1"/>
    </xf>
    <xf numFmtId="172" fontId="14" fillId="2" borderId="3" xfId="0" applyNumberFormat="1" applyFont="1" applyFill="1" applyBorder="1" applyAlignment="1">
      <alignment horizontal="left" vertical="center" wrapText="1" readingOrder="1"/>
    </xf>
    <xf numFmtId="0" fontId="12" fillId="2" borderId="5" xfId="0" applyFont="1" applyFill="1" applyBorder="1" applyAlignment="1">
      <alignment horizontal="right" vertical="top" wrapText="1" readingOrder="1"/>
    </xf>
    <xf numFmtId="0" fontId="12" fillId="2" borderId="0" xfId="0" applyFont="1" applyFill="1" applyAlignment="1">
      <alignment horizontal="right" vertical="center" wrapText="1" readingOrder="1"/>
    </xf>
    <xf numFmtId="0" fontId="12" fillId="2" borderId="0" xfId="2" applyFont="1" applyFill="1" applyAlignment="1">
      <alignment horizontal="right" vertical="top" wrapText="1" readingOrder="1"/>
    </xf>
    <xf numFmtId="172" fontId="14" fillId="2" borderId="3" xfId="2" applyNumberFormat="1" applyFont="1" applyFill="1" applyBorder="1" applyAlignment="1">
      <alignment horizontal="left" vertical="center" wrapText="1" readingOrder="1"/>
    </xf>
    <xf numFmtId="0" fontId="12" fillId="2" borderId="5" xfId="2" applyFont="1" applyFill="1" applyBorder="1" applyAlignment="1">
      <alignment horizontal="right" vertical="top" wrapText="1" readingOrder="1"/>
    </xf>
    <xf numFmtId="0" fontId="19" fillId="0" borderId="6" xfId="5" applyFont="1" applyBorder="1" applyAlignment="1">
      <alignment horizontal="center" vertical="center" wrapText="1" readingOrder="1"/>
    </xf>
    <xf numFmtId="0" fontId="21" fillId="0" borderId="0" xfId="0" applyFont="1" applyAlignment="1"/>
    <xf numFmtId="0" fontId="22" fillId="0" borderId="6" xfId="0" applyFont="1" applyBorder="1" applyAlignment="1">
      <alignment horizontal="center" vertical="center" wrapText="1"/>
    </xf>
    <xf numFmtId="0" fontId="23" fillId="0" borderId="6" xfId="0" applyFont="1" applyBorder="1">
      <alignment wrapText="1"/>
    </xf>
    <xf numFmtId="0" fontId="23" fillId="0" borderId="6" xfId="0" applyFont="1" applyBorder="1" applyAlignment="1"/>
    <xf numFmtId="2" fontId="23" fillId="0" borderId="6" xfId="0" applyNumberFormat="1" applyFont="1" applyBorder="1" applyAlignment="1"/>
    <xf numFmtId="10" fontId="21" fillId="0" borderId="6" xfId="4" applyNumberFormat="1" applyFont="1" applyBorder="1"/>
    <xf numFmtId="4" fontId="23" fillId="0" borderId="6" xfId="0" applyNumberFormat="1" applyFont="1" applyBorder="1" applyAlignment="1"/>
    <xf numFmtId="0" fontId="22" fillId="0" borderId="6" xfId="1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1" fillId="0" borderId="6" xfId="1" applyFont="1" applyBorder="1"/>
    <xf numFmtId="0" fontId="21" fillId="0" borderId="6" xfId="1" applyFont="1" applyBorder="1" applyAlignment="1">
      <alignment wrapText="1"/>
    </xf>
    <xf numFmtId="0" fontId="21" fillId="0" borderId="0" xfId="1" applyFont="1" applyAlignment="1">
      <alignment horizontal="center"/>
    </xf>
    <xf numFmtId="0" fontId="21" fillId="0" borderId="0" xfId="1" applyFont="1"/>
    <xf numFmtId="0" fontId="22" fillId="0" borderId="6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left" vertical="center"/>
    </xf>
    <xf numFmtId="0" fontId="21" fillId="0" borderId="6" xfId="1" applyFont="1" applyBorder="1" applyAlignment="1">
      <alignment vertical="center" wrapText="1"/>
    </xf>
    <xf numFmtId="2" fontId="21" fillId="0" borderId="6" xfId="1" applyNumberFormat="1" applyFont="1" applyBorder="1" applyAlignment="1">
      <alignment horizontal="right" vertical="center" wrapText="1"/>
    </xf>
    <xf numFmtId="173" fontId="21" fillId="0" borderId="6" xfId="6" applyFont="1" applyBorder="1" applyAlignment="1">
      <alignment horizontal="right" vertical="center" wrapText="1"/>
    </xf>
    <xf numFmtId="4" fontId="21" fillId="0" borderId="6" xfId="1" applyNumberFormat="1" applyFont="1" applyBorder="1" applyAlignment="1">
      <alignment horizontal="right" vertical="center"/>
    </xf>
    <xf numFmtId="10" fontId="21" fillId="0" borderId="6" xfId="7" applyNumberFormat="1" applyFont="1" applyBorder="1" applyAlignment="1">
      <alignment vertical="center" wrapText="1"/>
    </xf>
    <xf numFmtId="4" fontId="21" fillId="0" borderId="6" xfId="1" applyNumberFormat="1" applyFont="1" applyBorder="1"/>
    <xf numFmtId="2" fontId="21" fillId="0" borderId="6" xfId="1" applyNumberFormat="1" applyFont="1" applyBorder="1"/>
    <xf numFmtId="10" fontId="21" fillId="0" borderId="6" xfId="7" applyNumberFormat="1" applyFont="1" applyBorder="1"/>
    <xf numFmtId="10" fontId="21" fillId="0" borderId="0" xfId="7" applyNumberFormat="1" applyFont="1" applyBorder="1"/>
    <xf numFmtId="0" fontId="21" fillId="0" borderId="0" xfId="1" applyFont="1" applyAlignment="1">
      <alignment horizontal="left"/>
    </xf>
    <xf numFmtId="0" fontId="17" fillId="0" borderId="0" xfId="2" applyFont="1" applyAlignment="1">
      <alignment horizontal="center" vertical="center"/>
    </xf>
    <xf numFmtId="4" fontId="18" fillId="0" borderId="0" xfId="2" applyNumberFormat="1" applyFont="1" applyAlignment="1"/>
    <xf numFmtId="0" fontId="21" fillId="0" borderId="6" xfId="0" applyFont="1" applyBorder="1" applyAlignment="1"/>
    <xf numFmtId="174" fontId="21" fillId="0" borderId="6" xfId="3" applyNumberFormat="1" applyFont="1" applyBorder="1"/>
    <xf numFmtId="43" fontId="21" fillId="0" borderId="0" xfId="3" applyFont="1"/>
    <xf numFmtId="0" fontId="23" fillId="0" borderId="6" xfId="0" applyFont="1" applyBorder="1" applyAlignment="1">
      <alignment horizontal="center" wrapText="1"/>
    </xf>
    <xf numFmtId="174" fontId="21" fillId="0" borderId="0" xfId="3" applyNumberFormat="1" applyFont="1"/>
    <xf numFmtId="0" fontId="22" fillId="0" borderId="6" xfId="0" applyFont="1" applyBorder="1" applyAlignment="1">
      <alignment horizontal="left" wrapText="1"/>
    </xf>
    <xf numFmtId="0" fontId="22" fillId="0" borderId="6" xfId="0" applyFont="1" applyBorder="1" applyAlignment="1">
      <alignment horizontal="center" wrapText="1"/>
    </xf>
    <xf numFmtId="0" fontId="0" fillId="0" borderId="0" xfId="0" applyAlignment="1"/>
    <xf numFmtId="0" fontId="23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4" fontId="23" fillId="0" borderId="6" xfId="8" applyNumberFormat="1" applyFont="1" applyFill="1" applyBorder="1" applyAlignment="1">
      <alignment horizontal="center" vertical="center"/>
    </xf>
    <xf numFmtId="10" fontId="23" fillId="0" borderId="6" xfId="8" applyNumberFormat="1" applyFont="1" applyFill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 vertical="center"/>
    </xf>
    <xf numFmtId="0" fontId="0" fillId="0" borderId="0" xfId="0" applyBorder="1">
      <alignment wrapText="1"/>
    </xf>
    <xf numFmtId="0" fontId="23" fillId="0" borderId="0" xfId="0" applyFont="1" applyBorder="1" applyAlignment="1"/>
    <xf numFmtId="43" fontId="23" fillId="0" borderId="6" xfId="8" applyFont="1" applyFill="1" applyBorder="1" applyAlignment="1">
      <alignment horizontal="right" vertical="center"/>
    </xf>
    <xf numFmtId="43" fontId="23" fillId="0" borderId="6" xfId="8" applyFont="1" applyFill="1" applyBorder="1" applyAlignment="1">
      <alignment horizontal="center" vertical="center"/>
    </xf>
    <xf numFmtId="4" fontId="23" fillId="0" borderId="6" xfId="0" applyNumberFormat="1" applyFont="1" applyBorder="1" applyAlignment="1">
      <alignment horizontal="right" vertical="center"/>
    </xf>
    <xf numFmtId="0" fontId="21" fillId="0" borderId="0" xfId="0" applyFont="1" applyBorder="1" applyAlignment="1"/>
    <xf numFmtId="0" fontId="19" fillId="0" borderId="10" xfId="0" applyFont="1" applyBorder="1" applyAlignment="1">
      <alignment horizontal="center" vertical="center" wrapText="1" readingOrder="1"/>
    </xf>
    <xf numFmtId="0" fontId="12" fillId="2" borderId="0" xfId="0" applyFont="1" applyFill="1" applyBorder="1" applyAlignment="1">
      <alignment horizontal="left" vertical="center" wrapText="1" readingOrder="1"/>
    </xf>
    <xf numFmtId="171" fontId="12" fillId="2" borderId="0" xfId="0" applyNumberFormat="1" applyFont="1" applyFill="1" applyBorder="1" applyAlignment="1">
      <alignment horizontal="right" vertical="center" wrapText="1" readingOrder="1"/>
    </xf>
    <xf numFmtId="0" fontId="1" fillId="0" borderId="0" xfId="9"/>
    <xf numFmtId="0" fontId="9" fillId="0" borderId="6" xfId="10" applyFont="1" applyBorder="1" applyAlignment="1">
      <alignment horizontal="center" vertical="center" wrapText="1"/>
    </xf>
    <xf numFmtId="0" fontId="19" fillId="0" borderId="6" xfId="9" applyFont="1" applyBorder="1" applyAlignment="1">
      <alignment horizontal="center" vertical="center" wrapText="1" readingOrder="1"/>
    </xf>
    <xf numFmtId="0" fontId="23" fillId="0" borderId="6" xfId="11" applyFont="1" applyBorder="1" applyProtection="1">
      <protection locked="0"/>
    </xf>
    <xf numFmtId="0" fontId="25" fillId="0" borderId="6" xfId="11" applyFont="1" applyBorder="1" applyAlignment="1" applyProtection="1">
      <alignment wrapText="1"/>
      <protection locked="0"/>
    </xf>
    <xf numFmtId="0" fontId="23" fillId="0" borderId="6" xfId="11" applyFont="1" applyBorder="1" applyAlignment="1">
      <alignment horizontal="right"/>
    </xf>
    <xf numFmtId="0" fontId="1" fillId="0" borderId="6" xfId="9" applyBorder="1"/>
    <xf numFmtId="0" fontId="23" fillId="0" borderId="6" xfId="11" applyFont="1" applyBorder="1" applyAlignment="1" applyProtection="1">
      <alignment wrapText="1"/>
      <protection locked="0"/>
    </xf>
    <xf numFmtId="175" fontId="23" fillId="0" borderId="6" xfId="11" applyNumberFormat="1" applyFont="1" applyBorder="1" applyProtection="1">
      <protection locked="0"/>
    </xf>
    <xf numFmtId="43" fontId="23" fillId="0" borderId="6" xfId="12" applyFont="1" applyFill="1" applyBorder="1" applyAlignment="1">
      <alignment horizontal="right"/>
    </xf>
    <xf numFmtId="2" fontId="23" fillId="0" borderId="6" xfId="11" applyNumberFormat="1" applyFont="1" applyBorder="1" applyAlignment="1">
      <alignment horizontal="right"/>
    </xf>
    <xf numFmtId="43" fontId="1" fillId="0" borderId="0" xfId="9" applyNumberFormat="1"/>
    <xf numFmtId="0" fontId="23" fillId="0" borderId="6" xfId="11" applyFont="1" applyBorder="1" applyAlignment="1">
      <alignment horizontal="center"/>
    </xf>
    <xf numFmtId="176" fontId="1" fillId="0" borderId="6" xfId="9" applyNumberFormat="1" applyBorder="1"/>
    <xf numFmtId="0" fontId="23" fillId="0" borderId="6" xfId="11" applyFont="1" applyBorder="1"/>
    <xf numFmtId="0" fontId="25" fillId="0" borderId="6" xfId="10" applyFont="1" applyBorder="1" applyAlignment="1">
      <alignment vertical="center" wrapText="1"/>
    </xf>
    <xf numFmtId="175" fontId="25" fillId="0" borderId="6" xfId="10" applyNumberFormat="1" applyFont="1" applyBorder="1" applyAlignment="1">
      <alignment vertical="center" wrapText="1"/>
    </xf>
    <xf numFmtId="173" fontId="25" fillId="0" borderId="6" xfId="13" applyFont="1" applyFill="1" applyBorder="1" applyAlignment="1">
      <alignment vertical="center" wrapText="1"/>
    </xf>
    <xf numFmtId="43" fontId="25" fillId="0" borderId="6" xfId="12" applyFont="1" applyBorder="1" applyAlignment="1">
      <alignment horizontal="right" vertical="center"/>
    </xf>
    <xf numFmtId="10" fontId="1" fillId="0" borderId="6" xfId="9" applyNumberFormat="1" applyBorder="1"/>
    <xf numFmtId="173" fontId="23" fillId="0" borderId="6" xfId="13" applyFont="1" applyFill="1" applyBorder="1" applyAlignment="1">
      <alignment horizontal="right"/>
    </xf>
    <xf numFmtId="0" fontId="25" fillId="0" borderId="6" xfId="11" applyFont="1" applyBorder="1" applyProtection="1">
      <protection locked="0"/>
    </xf>
    <xf numFmtId="173" fontId="23" fillId="0" borderId="6" xfId="13" applyFont="1" applyFill="1" applyBorder="1" applyAlignment="1" applyProtection="1">
      <alignment horizontal="right"/>
      <protection locked="0"/>
    </xf>
    <xf numFmtId="0" fontId="14" fillId="2" borderId="3" xfId="9" applyFont="1" applyFill="1" applyBorder="1" applyAlignment="1">
      <alignment horizontal="left" vertical="center" wrapText="1" readingOrder="1"/>
    </xf>
    <xf numFmtId="0" fontId="23" fillId="0" borderId="6" xfId="9" applyFont="1" applyBorder="1"/>
    <xf numFmtId="173" fontId="23" fillId="0" borderId="6" xfId="13" applyFont="1" applyFill="1" applyBorder="1"/>
    <xf numFmtId="43" fontId="21" fillId="0" borderId="6" xfId="9" applyNumberFormat="1" applyFont="1" applyBorder="1"/>
    <xf numFmtId="0" fontId="25" fillId="0" borderId="6" xfId="11" applyFont="1" applyBorder="1"/>
    <xf numFmtId="173" fontId="25" fillId="0" borderId="6" xfId="13" applyFont="1" applyFill="1" applyBorder="1" applyAlignment="1">
      <alignment horizontal="right"/>
    </xf>
    <xf numFmtId="43" fontId="1" fillId="0" borderId="6" xfId="9" applyNumberFormat="1" applyBorder="1"/>
    <xf numFmtId="2" fontId="25" fillId="0" borderId="6" xfId="11" applyNumberFormat="1" applyFont="1" applyBorder="1" applyAlignment="1">
      <alignment horizontal="right"/>
    </xf>
    <xf numFmtId="4" fontId="26" fillId="0" borderId="6" xfId="9" applyNumberFormat="1" applyFont="1" applyBorder="1"/>
    <xf numFmtId="4" fontId="1" fillId="0" borderId="0" xfId="9" applyNumberFormat="1"/>
    <xf numFmtId="177" fontId="1" fillId="0" borderId="0" xfId="9" applyNumberFormat="1"/>
    <xf numFmtId="0" fontId="27" fillId="0" borderId="0" xfId="14" applyFont="1" applyAlignment="1">
      <alignment horizontal="left" vertical="center" wrapText="1"/>
    </xf>
    <xf numFmtId="0" fontId="28" fillId="0" borderId="0" xfId="14" applyFont="1" applyAlignment="1">
      <alignment vertical="center"/>
    </xf>
    <xf numFmtId="43" fontId="28" fillId="0" borderId="0" xfId="14" applyNumberFormat="1" applyFont="1" applyAlignment="1">
      <alignment vertical="center"/>
    </xf>
    <xf numFmtId="4" fontId="29" fillId="0" borderId="0" xfId="9" applyNumberFormat="1" applyFont="1"/>
    <xf numFmtId="2" fontId="28" fillId="0" borderId="0" xfId="14" applyNumberFormat="1" applyFont="1" applyAlignment="1">
      <alignment vertical="center"/>
    </xf>
    <xf numFmtId="0" fontId="23" fillId="0" borderId="0" xfId="15" applyFont="1" applyAlignment="1">
      <alignment vertical="center"/>
    </xf>
    <xf numFmtId="0" fontId="28" fillId="0" borderId="6" xfId="14" applyFont="1" applyBorder="1" applyAlignment="1">
      <alignment vertical="center"/>
    </xf>
    <xf numFmtId="0" fontId="25" fillId="0" borderId="6" xfId="15" applyFont="1" applyBorder="1" applyAlignment="1">
      <alignment horizontal="center" vertical="center"/>
    </xf>
    <xf numFmtId="0" fontId="27" fillId="0" borderId="0" xfId="14" applyFont="1" applyAlignment="1">
      <alignment vertical="center"/>
    </xf>
    <xf numFmtId="0" fontId="25" fillId="0" borderId="6" xfId="15" applyFont="1" applyBorder="1" applyAlignment="1">
      <alignment vertical="center"/>
    </xf>
    <xf numFmtId="178" fontId="27" fillId="0" borderId="6" xfId="14" applyNumberFormat="1" applyFont="1" applyBorder="1" applyAlignment="1">
      <alignment horizontal="center"/>
    </xf>
    <xf numFmtId="14" fontId="27" fillId="0" borderId="0" xfId="14" applyNumberFormat="1" applyFont="1" applyAlignment="1">
      <alignment horizontal="center"/>
    </xf>
    <xf numFmtId="0" fontId="21" fillId="0" borderId="0" xfId="9" applyFont="1"/>
    <xf numFmtId="0" fontId="28" fillId="0" borderId="6" xfId="14" applyFont="1" applyBorder="1" applyAlignment="1">
      <alignment horizontal="left" vertical="center"/>
    </xf>
    <xf numFmtId="179" fontId="21" fillId="0" borderId="6" xfId="9" applyNumberFormat="1" applyFont="1" applyBorder="1"/>
    <xf numFmtId="179" fontId="21" fillId="0" borderId="0" xfId="9" applyNumberFormat="1" applyFont="1"/>
    <xf numFmtId="0" fontId="12" fillId="0" borderId="3" xfId="9" applyFont="1" applyBorder="1" applyAlignment="1">
      <alignment horizontal="left" vertical="center" wrapText="1" readingOrder="1"/>
    </xf>
    <xf numFmtId="0" fontId="12" fillId="0" borderId="6" xfId="9" applyFont="1" applyBorder="1" applyAlignment="1">
      <alignment horizontal="left" vertical="center" wrapText="1" readingOrder="1"/>
    </xf>
    <xf numFmtId="0" fontId="12" fillId="0" borderId="0" xfId="9" applyFont="1" applyAlignment="1">
      <alignment vertical="center" readingOrder="1"/>
    </xf>
    <xf numFmtId="0" fontId="12" fillId="0" borderId="0" xfId="9" applyFont="1" applyAlignment="1">
      <alignment vertical="center" wrapText="1" readingOrder="1"/>
    </xf>
    <xf numFmtId="0" fontId="23" fillId="0" borderId="0" xfId="14" applyFont="1" applyAlignment="1">
      <alignment horizontal="center" vertical="center"/>
    </xf>
    <xf numFmtId="0" fontId="28" fillId="0" borderId="0" xfId="14" quotePrefix="1" applyFont="1" applyAlignment="1">
      <alignment vertical="center"/>
    </xf>
    <xf numFmtId="0" fontId="23" fillId="0" borderId="0" xfId="9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" fillId="0" borderId="0" xfId="9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2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30" fillId="0" borderId="0" xfId="0" applyFont="1">
      <alignment wrapText="1"/>
    </xf>
    <xf numFmtId="0" fontId="11" fillId="0" borderId="0" xfId="5" applyFont="1"/>
    <xf numFmtId="0" fontId="11" fillId="0" borderId="0" xfId="5" applyFont="1" applyAlignment="1">
      <alignment horizontal="center" vertical="center"/>
    </xf>
    <xf numFmtId="175" fontId="11" fillId="0" borderId="0" xfId="5" applyNumberFormat="1" applyFont="1"/>
    <xf numFmtId="0" fontId="9" fillId="0" borderId="0" xfId="0" applyFont="1" applyAlignment="1">
      <alignment horizontal="left" vertical="center"/>
    </xf>
    <xf numFmtId="0" fontId="20" fillId="2" borderId="6" xfId="0" applyFont="1" applyFill="1" applyBorder="1" applyAlignment="1">
      <alignment horizontal="center" vertical="center" wrapText="1" readingOrder="1"/>
    </xf>
    <xf numFmtId="0" fontId="20" fillId="2" borderId="7" xfId="0" applyFont="1" applyFill="1" applyBorder="1" applyAlignment="1">
      <alignment horizontal="center" vertical="center" readingOrder="1"/>
    </xf>
    <xf numFmtId="0" fontId="20" fillId="2" borderId="8" xfId="0" applyFont="1" applyFill="1" applyBorder="1" applyAlignment="1">
      <alignment horizontal="center" vertical="center" readingOrder="1"/>
    </xf>
    <xf numFmtId="0" fontId="20" fillId="2" borderId="9" xfId="0" applyFont="1" applyFill="1" applyBorder="1" applyAlignment="1">
      <alignment horizontal="center" vertical="center" readingOrder="1"/>
    </xf>
    <xf numFmtId="0" fontId="9" fillId="0" borderId="0" xfId="16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12" fillId="2" borderId="1" xfId="0" applyFont="1" applyFill="1" applyBorder="1" applyAlignment="1">
      <alignment horizontal="left" vertical="center" wrapText="1" readingOrder="1"/>
    </xf>
    <xf numFmtId="0" fontId="12" fillId="2" borderId="2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12" fillId="2" borderId="0" xfId="0" applyFont="1" applyFill="1" applyAlignment="1">
      <alignment horizontal="lef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22" fillId="0" borderId="6" xfId="1" applyFont="1" applyBorder="1" applyAlignment="1">
      <alignment horizontal="center" vertical="center"/>
    </xf>
    <xf numFmtId="0" fontId="21" fillId="0" borderId="6" xfId="1" applyFont="1" applyBorder="1" applyAlignment="1">
      <alignment horizontal="left" wrapText="1"/>
    </xf>
    <xf numFmtId="0" fontId="21" fillId="0" borderId="6" xfId="1" applyFont="1" applyBorder="1" applyAlignment="1">
      <alignment horizontal="left"/>
    </xf>
    <xf numFmtId="43" fontId="21" fillId="0" borderId="6" xfId="3" applyFont="1" applyBorder="1" applyAlignment="1">
      <alignment horizontal="center"/>
    </xf>
    <xf numFmtId="0" fontId="21" fillId="0" borderId="6" xfId="1" applyFont="1" applyBorder="1" applyAlignment="1">
      <alignment horizontal="center"/>
    </xf>
    <xf numFmtId="0" fontId="22" fillId="0" borderId="6" xfId="1" applyFont="1" applyBorder="1" applyAlignment="1">
      <alignment horizontal="center"/>
    </xf>
    <xf numFmtId="0" fontId="20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 readingOrder="1"/>
    </xf>
    <xf numFmtId="0" fontId="22" fillId="0" borderId="6" xfId="1" applyFont="1" applyBorder="1" applyAlignment="1">
      <alignment horizontal="center" wrapText="1"/>
    </xf>
    <xf numFmtId="0" fontId="12" fillId="0" borderId="1" xfId="0" applyFont="1" applyBorder="1" applyAlignment="1">
      <alignment horizontal="left" vertical="top" wrapText="1" readingOrder="1"/>
    </xf>
    <xf numFmtId="0" fontId="12" fillId="0" borderId="2" xfId="0" applyFont="1" applyBorder="1" applyAlignment="1">
      <alignment horizontal="left" vertical="top" wrapText="1" readingOrder="1"/>
    </xf>
    <xf numFmtId="0" fontId="12" fillId="2" borderId="0" xfId="2" applyFont="1" applyFill="1" applyAlignment="1">
      <alignment horizontal="left" vertical="center" wrapText="1" readingOrder="1"/>
    </xf>
    <xf numFmtId="0" fontId="12" fillId="2" borderId="1" xfId="2" applyFont="1" applyFill="1" applyBorder="1" applyAlignment="1">
      <alignment horizontal="left" vertical="center" wrapText="1" readingOrder="1"/>
    </xf>
    <xf numFmtId="0" fontId="12" fillId="2" borderId="2" xfId="2" applyFont="1" applyFill="1" applyBorder="1" applyAlignment="1">
      <alignment horizontal="left" vertical="center" wrapText="1" readingOrder="1"/>
    </xf>
    <xf numFmtId="0" fontId="12" fillId="2" borderId="1" xfId="0" applyFont="1" applyFill="1" applyBorder="1" applyAlignment="1">
      <alignment horizontal="left" vertical="top" wrapText="1" readingOrder="1"/>
    </xf>
    <xf numFmtId="0" fontId="12" fillId="2" borderId="2" xfId="0" applyFont="1" applyFill="1" applyBorder="1" applyAlignment="1">
      <alignment horizontal="left" vertical="top" wrapText="1" readingOrder="1"/>
    </xf>
    <xf numFmtId="0" fontId="28" fillId="0" borderId="0" xfId="14" applyFont="1" applyAlignment="1">
      <alignment horizontal="left" vertical="center"/>
    </xf>
    <xf numFmtId="0" fontId="21" fillId="0" borderId="0" xfId="9" applyFont="1" applyAlignment="1">
      <alignment horizontal="left"/>
    </xf>
    <xf numFmtId="0" fontId="8" fillId="0" borderId="6" xfId="9" applyFont="1" applyBorder="1" applyAlignment="1">
      <alignment horizontal="center"/>
    </xf>
    <xf numFmtId="0" fontId="9" fillId="0" borderId="6" xfId="10" applyFont="1" applyBorder="1" applyAlignment="1">
      <alignment horizontal="center" vertical="center"/>
    </xf>
    <xf numFmtId="0" fontId="19" fillId="3" borderId="6" xfId="10" applyFont="1" applyFill="1" applyBorder="1" applyAlignment="1">
      <alignment horizontal="center" vertical="center" wrapText="1"/>
    </xf>
    <xf numFmtId="0" fontId="28" fillId="0" borderId="7" xfId="14" applyFont="1" applyBorder="1" applyAlignment="1">
      <alignment horizontal="left" vertical="center"/>
    </xf>
    <xf numFmtId="0" fontId="28" fillId="0" borderId="8" xfId="14" applyFont="1" applyBorder="1" applyAlignment="1">
      <alignment horizontal="left" vertical="center"/>
    </xf>
    <xf numFmtId="0" fontId="28" fillId="0" borderId="9" xfId="14" applyFont="1" applyBorder="1" applyAlignment="1">
      <alignment horizontal="left" vertical="center"/>
    </xf>
    <xf numFmtId="0" fontId="28" fillId="0" borderId="0" xfId="14" applyFont="1" applyAlignment="1">
      <alignment horizontal="left"/>
    </xf>
  </cellXfs>
  <cellStyles count="17">
    <cellStyle name="Comma" xfId="3" builtinId="3"/>
    <cellStyle name="Comma 10" xfId="13" xr:uid="{5CA8C2E9-35D3-4B63-8217-734C84B03F9B}"/>
    <cellStyle name="Comma 2" xfId="8" xr:uid="{140CA88D-1A42-4632-8DD1-602772873B1E}"/>
    <cellStyle name="Comma 2 2" xfId="6" xr:uid="{C2128AC9-E082-47BA-98CF-7EDDF9E4F91A}"/>
    <cellStyle name="Comma 3" xfId="12" xr:uid="{A3753F4A-3341-48FD-AFA2-179A0E7A6286}"/>
    <cellStyle name="Normal" xfId="0" builtinId="0"/>
    <cellStyle name="Normal 2" xfId="2" xr:uid="{B5586423-61B6-4C03-916A-4A0B47355385}"/>
    <cellStyle name="Normal 2 2" xfId="11" xr:uid="{EDBD5DB3-96FB-4B79-AB75-6E33DA9D835D}"/>
    <cellStyle name="Normal 2 2 3" xfId="1" xr:uid="{E8C1F26A-0B08-46C6-BD05-2E5C010B9D08}"/>
    <cellStyle name="Normal 3" xfId="16" xr:uid="{B0527494-3312-4731-853C-78A35289768D}"/>
    <cellStyle name="Normal 4" xfId="5" xr:uid="{7EC4485F-5E28-4733-9608-1242393C5D76}"/>
    <cellStyle name="Normal 4 2" xfId="9" xr:uid="{75C6D322-7DD0-4130-89FF-BE394C479B22}"/>
    <cellStyle name="Normal_Bonsaverportfolio 2 2" xfId="10" xr:uid="{E8D0C0EB-9EA0-40AF-BE93-23D0F6D242DF}"/>
    <cellStyle name="Normal_Halfyearly_Debtholdings_30092011 2" xfId="14" xr:uid="{DCAA6EA6-F918-47AD-A0FF-A71845A23F76}"/>
    <cellStyle name="Normal_Holdingotherschemes new" xfId="15" xr:uid="{3C474401-7305-4F3A-8D2A-DCA190C89D00}"/>
    <cellStyle name="Percent" xfId="4" builtinId="5"/>
    <cellStyle name="Percent 2" xfId="7" xr:uid="{95443E7E-BAA6-46A9-8D0E-DD34393DC7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0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1C411-E799-4ADD-9DCF-8C36B74E3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E385AE-45FE-4BEF-93F3-59C347A2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BDE60-0B80-43A1-B46B-6D69838D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DEF728-EED4-4054-83DD-B57919407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0350" y="571500"/>
          <a:ext cx="3179167" cy="201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13</xdr:row>
      <xdr:rowOff>123825</xdr:rowOff>
    </xdr:from>
    <xdr:to>
      <xdr:col>14</xdr:col>
      <xdr:colOff>197146</xdr:colOff>
      <xdr:row>21</xdr:row>
      <xdr:rowOff>66673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ABF2E-483B-48DA-8558-065DED097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181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226417</xdr:colOff>
      <xdr:row>11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BE08A9-230C-493B-8F2D-456F6A8B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0350" y="571500"/>
          <a:ext cx="3274417" cy="2095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161925</xdr:rowOff>
    </xdr:from>
    <xdr:to>
      <xdr:col>14</xdr:col>
      <xdr:colOff>235942</xdr:colOff>
      <xdr:row>11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0160C-B85A-40E3-A7CE-2A4F85A2F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000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B6B70-56D2-4951-A1AC-5874D4AE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D458B-68D8-47A0-BE7D-F2FC87811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27AE4-8D46-44E2-9336-84D5F16E8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10C7D-C66A-4EE6-A5FF-25BA4F98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15</xdr:row>
      <xdr:rowOff>47625</xdr:rowOff>
    </xdr:from>
    <xdr:to>
      <xdr:col>14</xdr:col>
      <xdr:colOff>111421</xdr:colOff>
      <xdr:row>24</xdr:row>
      <xdr:rowOff>314323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01DE5B-1BFA-479F-8B04-9F2947A30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3295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600075</xdr:colOff>
      <xdr:row>27</xdr:row>
      <xdr:rowOff>95250</xdr:rowOff>
    </xdr:from>
    <xdr:to>
      <xdr:col>14</xdr:col>
      <xdr:colOff>216196</xdr:colOff>
      <xdr:row>36</xdr:row>
      <xdr:rowOff>38098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BF3692-126C-40AA-A929-DDEF86488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10825" y="56388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C8BED-45B5-4293-A4C3-BFBE3DBF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BDEC8-9863-462E-A45F-5BD81FCBE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052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80717-889C-4C79-8DC9-B8D683F80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0A331-846B-451C-B92D-20C18ADE8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052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C0B46-4B44-4683-804B-5FA986BEE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180975</xdr:rowOff>
    </xdr:from>
    <xdr:to>
      <xdr:col>14</xdr:col>
      <xdr:colOff>225721</xdr:colOff>
      <xdr:row>25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C7CBA-4312-4D6A-9E0B-4773BF85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0400"/>
          <a:ext cx="3273721" cy="1895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30</xdr:row>
      <xdr:rowOff>19050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46FBEA8E-E524-4D8D-A284-A9204C69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5848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E77656-8447-4E14-A046-8E466C53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5C951-943F-4A7E-99C7-4A82CC71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E38C3-7FBB-41BB-9F79-37FBB51FD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42F52-0092-4B67-8CC4-E2DF6614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9839E-149A-4B82-BD59-F07702C4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D5DF1-8037-4013-A14D-1385A096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2F5D2-C994-439C-8BE2-690AF73E8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11ED79-A528-4A1B-B114-FDA4594A3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0DA7B4-8217-4A82-952E-83FC9351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7BA61B-D092-4E41-A581-E3770E5D8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B06A0-FB49-48EA-98B6-990091AB1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28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8631D-4A24-4AEC-9179-CF7C0A8D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8884F-3D09-4957-BE46-48E5FDE6C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A8A20-BB2E-43D8-9571-4431FD385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A8EB0-B4CC-4C4F-86F2-7D261FC73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581696-802A-46AE-A1F6-D25B48DA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195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E0FEB-DA5A-456D-AD44-EA4909764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9923E-9E5F-4326-948F-E113AE00C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5D4D7-4940-4E2C-B17D-E3EA0DA2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165820-B9A8-4138-A7D8-C6F16D45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59C6A-BC8B-4D99-B86C-FD7C6C3B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5F6AD-4547-410E-9773-8FBA7D7B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190500</xdr:rowOff>
    </xdr:from>
    <xdr:to>
      <xdr:col>14</xdr:col>
      <xdr:colOff>235942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E315E-2122-45B7-AEE9-935F2E9F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191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7F489-26D4-444B-80C3-599EAF13D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052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7775A-053D-4301-B173-3CE88F86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9D4701-0F6B-4EA5-80C8-A50DCF09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7CA59-187A-4BF6-9878-82E85A37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D7C0A-043F-4A58-9DE0-9E5B5439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383CA-1558-4206-8AD2-2E710168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AEAD6-452E-41BF-B4A5-20FD2F05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68D76-7109-41C5-BF46-6A8DAE81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133348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2816D1-1594-462A-AEA4-4F209B43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9925"/>
          <a:ext cx="3273721" cy="1914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2FCAD74-FD99-4DA6-B6BC-D29C015B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5054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14</xdr:col>
      <xdr:colOff>504826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B8B24-E7D2-4CBF-A845-B2D3EBD9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0" y="70485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63796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4EE36-3924-48BC-8845-6C0D6882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201400" y="32099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15</xdr:row>
      <xdr:rowOff>114300</xdr:rowOff>
    </xdr:from>
    <xdr:to>
      <xdr:col>14</xdr:col>
      <xdr:colOff>231655</xdr:colOff>
      <xdr:row>26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9278E-E514-45FC-A684-0338CED0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3200400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</xdr:row>
      <xdr:rowOff>57150</xdr:rowOff>
    </xdr:from>
    <xdr:to>
      <xdr:col>14</xdr:col>
      <xdr:colOff>112117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A48FF-1B23-44CF-B167-C0388F24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01300" y="495300"/>
          <a:ext cx="3160117" cy="19812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66675</xdr:rowOff>
    </xdr:from>
    <xdr:to>
      <xdr:col>14</xdr:col>
      <xdr:colOff>276225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AF942-C64F-46AB-B05B-279640444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504825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104775</xdr:rowOff>
    </xdr:from>
    <xdr:to>
      <xdr:col>14</xdr:col>
      <xdr:colOff>324928</xdr:colOff>
      <xdr:row>25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5F37CB-87C9-452D-877C-D40BA1F9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3028950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95250</xdr:rowOff>
    </xdr:from>
    <xdr:to>
      <xdr:col>14</xdr:col>
      <xdr:colOff>245467</xdr:colOff>
      <xdr:row>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E7155-6D66-4E58-A103-B57580F66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6575" y="4762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22</xdr:row>
      <xdr:rowOff>142873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53B2B-8A70-4A7C-9C72-AEABF158A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25075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25</xdr:row>
      <xdr:rowOff>95250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830EAA18-0DB0-4D16-BC1E-21A4E672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06025" y="5276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523875</xdr:colOff>
      <xdr:row>15</xdr:row>
      <xdr:rowOff>28575</xdr:rowOff>
    </xdr:from>
    <xdr:to>
      <xdr:col>14</xdr:col>
      <xdr:colOff>288805</xdr:colOff>
      <xdr:row>26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A0C74-8885-4137-B1EF-5499EB810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3409950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2</xdr:row>
      <xdr:rowOff>190500</xdr:rowOff>
    </xdr:from>
    <xdr:to>
      <xdr:col>14</xdr:col>
      <xdr:colOff>274042</xdr:colOff>
      <xdr:row>11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A0575-CF3E-43EB-9FC9-788771664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9900" y="628650"/>
          <a:ext cx="3274417" cy="20955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9825E-01AD-4909-A83F-E767B317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23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303737-D307-4731-8C4D-1CA9276C7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957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3ED077F7-BE2D-4041-8CB2-27E125CC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153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D0E92-CA7C-4711-857B-37EE5162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103244-4A97-4D2B-96F7-4429FEDCC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99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32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CE0589A-E2DC-47B5-802B-0A712F2A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153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8F53A-C7CD-4007-A114-50657BD31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BC9C7-F7C5-4178-BB99-1651CABB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C0990-21A9-492E-A7DA-711C710C1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57150</xdr:rowOff>
    </xdr:from>
    <xdr:to>
      <xdr:col>14</xdr:col>
      <xdr:colOff>225721</xdr:colOff>
      <xdr:row>22</xdr:row>
      <xdr:rowOff>161923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63E56-BE59-46BD-A592-85B157A93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05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27</xdr:row>
      <xdr:rowOff>9525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9BD2B75C-F045-44B3-92B1-5753FDAC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6483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E06B4-DBBA-49F5-8531-CEB53FB3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47700"/>
          <a:ext cx="3283942" cy="20383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24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71B3B3-721E-412A-9149-8C9CFD92E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2035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712C2-6998-49D8-8A90-C7D62007C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605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A1E485-3F58-41DA-8515-AFF9B588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3EEDA1A3-44C7-4138-8AE4-7ABAB1542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58293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A53A6-6FDF-4124-882A-BA97951F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B6BF9-AA16-4F9D-897B-77376A1B5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57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80FB0F98-D9C9-4E44-96DC-F03B5735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991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B1662-7305-4B8E-A6DD-310E3599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1F30E-CCA3-42C4-A177-E216C4344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9DF2FBAD-E66C-4119-B7AD-B294CEA10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61245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E499A-7653-4E11-851D-40104568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FF928-45F5-4779-B7C6-6C801DDC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B050C-2052-42EF-A2BC-167A9CB7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71500"/>
          <a:ext cx="337919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306E4E-7C90-431E-B690-DD98B781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29650" y="3276600"/>
          <a:ext cx="336897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24FE-50F2-49AB-9B6F-37C6C36F692E}">
  <dimension ref="A1:C41"/>
  <sheetViews>
    <sheetView tabSelected="1" workbookViewId="0"/>
  </sheetViews>
  <sheetFormatPr defaultRowHeight="15" x14ac:dyDescent="0.25"/>
  <cols>
    <col min="1" max="1" width="6" style="31" bestFit="1" customWidth="1"/>
    <col min="2" max="2" width="10.42578125" style="31" bestFit="1" customWidth="1"/>
    <col min="3" max="3" width="56.42578125" style="31" bestFit="1" customWidth="1"/>
    <col min="4" max="4" width="21.5703125" style="31" customWidth="1"/>
    <col min="5" max="16384" width="9.140625" style="31"/>
  </cols>
  <sheetData>
    <row r="1" spans="1:3" x14ac:dyDescent="0.25">
      <c r="A1" s="29" t="s">
        <v>895</v>
      </c>
      <c r="B1" s="30" t="s">
        <v>896</v>
      </c>
      <c r="C1" s="30" t="s">
        <v>897</v>
      </c>
    </row>
    <row r="2" spans="1:3" x14ac:dyDescent="0.25">
      <c r="A2" s="32">
        <v>1</v>
      </c>
      <c r="B2" s="33" t="s">
        <v>898</v>
      </c>
      <c r="C2" s="33" t="s">
        <v>1</v>
      </c>
    </row>
    <row r="3" spans="1:3" x14ac:dyDescent="0.25">
      <c r="A3" s="32">
        <v>2</v>
      </c>
      <c r="B3" s="33" t="s">
        <v>899</v>
      </c>
      <c r="C3" s="33" t="s">
        <v>156</v>
      </c>
    </row>
    <row r="4" spans="1:3" x14ac:dyDescent="0.25">
      <c r="A4" s="32">
        <v>3</v>
      </c>
      <c r="B4" s="33" t="s">
        <v>900</v>
      </c>
      <c r="C4" s="33" t="s">
        <v>161</v>
      </c>
    </row>
    <row r="5" spans="1:3" x14ac:dyDescent="0.25">
      <c r="A5" s="32">
        <v>4</v>
      </c>
      <c r="B5" s="33" t="s">
        <v>901</v>
      </c>
      <c r="C5" s="33" t="s">
        <v>230</v>
      </c>
    </row>
    <row r="6" spans="1:3" x14ac:dyDescent="0.25">
      <c r="A6" s="32">
        <v>5</v>
      </c>
      <c r="B6" s="33" t="s">
        <v>902</v>
      </c>
      <c r="C6" s="33" t="s">
        <v>278</v>
      </c>
    </row>
    <row r="7" spans="1:3" x14ac:dyDescent="0.25">
      <c r="A7" s="32">
        <v>6</v>
      </c>
      <c r="B7" s="33" t="s">
        <v>903</v>
      </c>
      <c r="C7" s="33" t="s">
        <v>291</v>
      </c>
    </row>
    <row r="8" spans="1:3" x14ac:dyDescent="0.25">
      <c r="A8" s="32">
        <v>7</v>
      </c>
      <c r="B8" s="33" t="s">
        <v>904</v>
      </c>
      <c r="C8" s="33" t="s">
        <v>385</v>
      </c>
    </row>
    <row r="9" spans="1:3" x14ac:dyDescent="0.25">
      <c r="A9" s="32">
        <v>8</v>
      </c>
      <c r="B9" s="33" t="s">
        <v>905</v>
      </c>
      <c r="C9" s="33" t="s">
        <v>906</v>
      </c>
    </row>
    <row r="10" spans="1:3" x14ac:dyDescent="0.25">
      <c r="A10" s="32">
        <v>9</v>
      </c>
      <c r="B10" s="33" t="s">
        <v>907</v>
      </c>
      <c r="C10" s="33" t="s">
        <v>908</v>
      </c>
    </row>
    <row r="11" spans="1:3" x14ac:dyDescent="0.25">
      <c r="A11" s="32">
        <v>10</v>
      </c>
      <c r="B11" s="33" t="s">
        <v>909</v>
      </c>
      <c r="C11" s="33" t="s">
        <v>458</v>
      </c>
    </row>
    <row r="12" spans="1:3" x14ac:dyDescent="0.25">
      <c r="A12" s="32">
        <v>11</v>
      </c>
      <c r="B12" s="33" t="s">
        <v>910</v>
      </c>
      <c r="C12" s="33" t="s">
        <v>481</v>
      </c>
    </row>
    <row r="13" spans="1:3" x14ac:dyDescent="0.25">
      <c r="A13" s="32">
        <v>12</v>
      </c>
      <c r="B13" s="33" t="s">
        <v>911</v>
      </c>
      <c r="C13" s="33" t="s">
        <v>482</v>
      </c>
    </row>
    <row r="14" spans="1:3" x14ac:dyDescent="0.25">
      <c r="A14" s="32">
        <v>13</v>
      </c>
      <c r="B14" s="33" t="s">
        <v>912</v>
      </c>
      <c r="C14" s="33" t="s">
        <v>485</v>
      </c>
    </row>
    <row r="15" spans="1:3" x14ac:dyDescent="0.25">
      <c r="A15" s="32">
        <v>14</v>
      </c>
      <c r="B15" s="33" t="s">
        <v>913</v>
      </c>
      <c r="C15" s="33" t="s">
        <v>486</v>
      </c>
    </row>
    <row r="16" spans="1:3" x14ac:dyDescent="0.25">
      <c r="A16" s="32">
        <v>15</v>
      </c>
      <c r="B16" s="33" t="s">
        <v>914</v>
      </c>
      <c r="C16" s="33" t="s">
        <v>487</v>
      </c>
    </row>
    <row r="17" spans="1:3" x14ac:dyDescent="0.25">
      <c r="A17" s="32">
        <v>16</v>
      </c>
      <c r="B17" s="33" t="s">
        <v>915</v>
      </c>
      <c r="C17" s="33" t="s">
        <v>488</v>
      </c>
    </row>
    <row r="18" spans="1:3" x14ac:dyDescent="0.25">
      <c r="A18" s="32">
        <v>17</v>
      </c>
      <c r="B18" s="33" t="s">
        <v>916</v>
      </c>
      <c r="C18" s="33" t="s">
        <v>917</v>
      </c>
    </row>
    <row r="19" spans="1:3" x14ac:dyDescent="0.25">
      <c r="A19" s="32">
        <v>18</v>
      </c>
      <c r="B19" s="33" t="s">
        <v>918</v>
      </c>
      <c r="C19" s="33" t="s">
        <v>919</v>
      </c>
    </row>
    <row r="20" spans="1:3" x14ac:dyDescent="0.25">
      <c r="A20" s="32">
        <v>19</v>
      </c>
      <c r="B20" s="33" t="s">
        <v>920</v>
      </c>
      <c r="C20" s="33" t="s">
        <v>921</v>
      </c>
    </row>
    <row r="21" spans="1:3" x14ac:dyDescent="0.25">
      <c r="A21" s="32">
        <v>20</v>
      </c>
      <c r="B21" s="33" t="s">
        <v>922</v>
      </c>
      <c r="C21" s="33" t="s">
        <v>923</v>
      </c>
    </row>
    <row r="22" spans="1:3" x14ac:dyDescent="0.25">
      <c r="A22" s="32">
        <v>21</v>
      </c>
      <c r="B22" s="33" t="s">
        <v>924</v>
      </c>
      <c r="C22" s="33" t="s">
        <v>511</v>
      </c>
    </row>
    <row r="23" spans="1:3" x14ac:dyDescent="0.25">
      <c r="A23" s="32">
        <v>22</v>
      </c>
      <c r="B23" s="33" t="s">
        <v>925</v>
      </c>
      <c r="C23" s="33" t="s">
        <v>512</v>
      </c>
    </row>
    <row r="24" spans="1:3" x14ac:dyDescent="0.25">
      <c r="A24" s="32">
        <v>23</v>
      </c>
      <c r="B24" s="33" t="s">
        <v>926</v>
      </c>
      <c r="C24" s="33" t="s">
        <v>513</v>
      </c>
    </row>
    <row r="25" spans="1:3" x14ac:dyDescent="0.25">
      <c r="A25" s="32">
        <v>24</v>
      </c>
      <c r="B25" s="33" t="s">
        <v>927</v>
      </c>
      <c r="C25" s="33" t="s">
        <v>514</v>
      </c>
    </row>
    <row r="26" spans="1:3" x14ac:dyDescent="0.25">
      <c r="A26" s="32">
        <v>25</v>
      </c>
      <c r="B26" s="33" t="s">
        <v>928</v>
      </c>
      <c r="C26" s="33" t="s">
        <v>515</v>
      </c>
    </row>
    <row r="27" spans="1:3" x14ac:dyDescent="0.25">
      <c r="A27" s="32">
        <v>26</v>
      </c>
      <c r="B27" s="33" t="s">
        <v>929</v>
      </c>
      <c r="C27" s="33" t="s">
        <v>575</v>
      </c>
    </row>
    <row r="28" spans="1:3" x14ac:dyDescent="0.25">
      <c r="A28" s="32">
        <v>27</v>
      </c>
      <c r="B28" s="33" t="s">
        <v>930</v>
      </c>
      <c r="C28" s="33" t="s">
        <v>931</v>
      </c>
    </row>
    <row r="29" spans="1:3" x14ac:dyDescent="0.25">
      <c r="A29" s="32">
        <v>28</v>
      </c>
      <c r="B29" s="33" t="s">
        <v>932</v>
      </c>
      <c r="C29" s="33" t="s">
        <v>690</v>
      </c>
    </row>
    <row r="30" spans="1:3" x14ac:dyDescent="0.25">
      <c r="A30" s="32">
        <v>29</v>
      </c>
      <c r="B30" s="33" t="s">
        <v>933</v>
      </c>
      <c r="C30" s="34" t="s">
        <v>760</v>
      </c>
    </row>
    <row r="31" spans="1:3" x14ac:dyDescent="0.25">
      <c r="A31" s="32">
        <v>30</v>
      </c>
      <c r="B31" s="33" t="s">
        <v>934</v>
      </c>
      <c r="C31" s="33" t="s">
        <v>783</v>
      </c>
    </row>
    <row r="32" spans="1:3" x14ac:dyDescent="0.25">
      <c r="A32" s="32">
        <v>31</v>
      </c>
      <c r="B32" s="33" t="s">
        <v>935</v>
      </c>
      <c r="C32" s="33" t="s">
        <v>936</v>
      </c>
    </row>
    <row r="33" spans="1:3" x14ac:dyDescent="0.25">
      <c r="A33" s="32">
        <v>32</v>
      </c>
      <c r="B33" s="33" t="s">
        <v>937</v>
      </c>
      <c r="C33" s="33" t="s">
        <v>796</v>
      </c>
    </row>
    <row r="34" spans="1:3" x14ac:dyDescent="0.25">
      <c r="A34" s="32">
        <v>33</v>
      </c>
      <c r="B34" s="33" t="s">
        <v>938</v>
      </c>
      <c r="C34" s="33" t="s">
        <v>939</v>
      </c>
    </row>
    <row r="35" spans="1:3" x14ac:dyDescent="0.25">
      <c r="A35" s="32">
        <v>34</v>
      </c>
      <c r="B35" s="33" t="s">
        <v>940</v>
      </c>
      <c r="C35" s="33" t="s">
        <v>941</v>
      </c>
    </row>
    <row r="36" spans="1:3" x14ac:dyDescent="0.25">
      <c r="A36" s="32">
        <v>35</v>
      </c>
      <c r="B36" s="33" t="s">
        <v>942</v>
      </c>
      <c r="C36" s="33" t="s">
        <v>943</v>
      </c>
    </row>
    <row r="37" spans="1:3" x14ac:dyDescent="0.25">
      <c r="A37" s="32">
        <v>36</v>
      </c>
      <c r="B37" s="33" t="s">
        <v>944</v>
      </c>
      <c r="C37" s="33" t="s">
        <v>945</v>
      </c>
    </row>
    <row r="38" spans="1:3" x14ac:dyDescent="0.25">
      <c r="A38" s="32">
        <v>37</v>
      </c>
      <c r="B38" s="33" t="s">
        <v>946</v>
      </c>
      <c r="C38" s="33" t="s">
        <v>892</v>
      </c>
    </row>
    <row r="39" spans="1:3" x14ac:dyDescent="0.25">
      <c r="A39" s="32">
        <v>38</v>
      </c>
      <c r="B39" s="33" t="s">
        <v>947</v>
      </c>
      <c r="C39" s="33" t="s">
        <v>948</v>
      </c>
    </row>
    <row r="40" spans="1:3" x14ac:dyDescent="0.25">
      <c r="A40" s="32">
        <v>39</v>
      </c>
      <c r="B40" s="33" t="s">
        <v>949</v>
      </c>
      <c r="C40" s="33" t="s">
        <v>893</v>
      </c>
    </row>
    <row r="41" spans="1:3" x14ac:dyDescent="0.25">
      <c r="A41" s="32">
        <v>40</v>
      </c>
      <c r="B41" s="33" t="s">
        <v>950</v>
      </c>
      <c r="C41" s="33" t="s">
        <v>951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3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9" max="9" width="11.42578125" bestFit="1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11</v>
      </c>
      <c r="C7" s="4" t="s">
        <v>12</v>
      </c>
      <c r="D7" s="4" t="s">
        <v>60</v>
      </c>
      <c r="E7" s="5">
        <v>308887</v>
      </c>
      <c r="F7" s="6">
        <v>5460.0410554999999</v>
      </c>
      <c r="G7" s="7">
        <v>8.9175739000000004E-2</v>
      </c>
      <c r="H7" s="39"/>
    </row>
    <row r="8" spans="1:14" x14ac:dyDescent="0.2">
      <c r="A8" s="3">
        <v>2</v>
      </c>
      <c r="B8" s="4" t="s">
        <v>13</v>
      </c>
      <c r="C8" s="4" t="s">
        <v>14</v>
      </c>
      <c r="D8" s="4" t="s">
        <v>15</v>
      </c>
      <c r="E8" s="5">
        <v>196104</v>
      </c>
      <c r="F8" s="6">
        <v>5166.8501399999996</v>
      </c>
      <c r="G8" s="7">
        <v>8.4387218999999999E-2</v>
      </c>
      <c r="H8" s="39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570288</v>
      </c>
      <c r="F9" s="6">
        <v>4164.8132640000003</v>
      </c>
      <c r="G9" s="7">
        <v>6.8021521000000001E-2</v>
      </c>
      <c r="H9" s="39"/>
    </row>
    <row r="10" spans="1:14" x14ac:dyDescent="0.2">
      <c r="A10" s="3">
        <v>4</v>
      </c>
      <c r="B10" s="4" t="s">
        <v>19</v>
      </c>
      <c r="C10" s="4" t="s">
        <v>20</v>
      </c>
      <c r="D10" s="4" t="s">
        <v>21</v>
      </c>
      <c r="E10" s="5">
        <v>551604</v>
      </c>
      <c r="F10" s="6">
        <v>4164.334398</v>
      </c>
      <c r="G10" s="7">
        <v>6.8013699999999996E-2</v>
      </c>
      <c r="H10" s="39"/>
    </row>
    <row r="11" spans="1:14" ht="25.5" x14ac:dyDescent="0.2">
      <c r="A11" s="3">
        <v>5</v>
      </c>
      <c r="B11" s="4" t="s">
        <v>22</v>
      </c>
      <c r="C11" s="4" t="s">
        <v>23</v>
      </c>
      <c r="D11" s="4" t="s">
        <v>1150</v>
      </c>
      <c r="E11" s="5">
        <v>44676</v>
      </c>
      <c r="F11" s="6">
        <v>2949.643548</v>
      </c>
      <c r="G11" s="7">
        <v>4.8174847E-2</v>
      </c>
      <c r="H11" s="39"/>
    </row>
    <row r="12" spans="1:14" x14ac:dyDescent="0.2">
      <c r="A12" s="3">
        <v>6</v>
      </c>
      <c r="B12" s="4" t="s">
        <v>24</v>
      </c>
      <c r="C12" s="4" t="s">
        <v>25</v>
      </c>
      <c r="D12" s="4" t="s">
        <v>26</v>
      </c>
      <c r="E12" s="5">
        <v>870416</v>
      </c>
      <c r="F12" s="6">
        <v>2077.2477840000001</v>
      </c>
      <c r="G12" s="7">
        <v>3.3926504000000003E-2</v>
      </c>
      <c r="H12" s="39"/>
    </row>
    <row r="13" spans="1:14" x14ac:dyDescent="0.2">
      <c r="A13" s="3">
        <v>7</v>
      </c>
      <c r="B13" s="4" t="s">
        <v>27</v>
      </c>
      <c r="C13" s="4" t="s">
        <v>28</v>
      </c>
      <c r="D13" s="4" t="s">
        <v>29</v>
      </c>
      <c r="E13" s="5">
        <v>86173</v>
      </c>
      <c r="F13" s="6">
        <v>2037.474412</v>
      </c>
      <c r="G13" s="7">
        <v>3.3276908000000001E-2</v>
      </c>
      <c r="H13" s="39"/>
    </row>
    <row r="14" spans="1:14" x14ac:dyDescent="0.2">
      <c r="A14" s="3">
        <v>8</v>
      </c>
      <c r="B14" s="4" t="s">
        <v>30</v>
      </c>
      <c r="C14" s="4" t="s">
        <v>31</v>
      </c>
      <c r="D14" s="4" t="s">
        <v>29</v>
      </c>
      <c r="E14" s="5">
        <v>107815</v>
      </c>
      <c r="F14" s="6">
        <v>1940.6160924999999</v>
      </c>
      <c r="G14" s="7">
        <v>3.1694976999999999E-2</v>
      </c>
      <c r="H14" s="39"/>
    </row>
    <row r="15" spans="1:14" ht="15" x14ac:dyDescent="0.2">
      <c r="A15" s="3">
        <v>9</v>
      </c>
      <c r="B15" s="4" t="s">
        <v>32</v>
      </c>
      <c r="C15" s="4" t="s">
        <v>33</v>
      </c>
      <c r="D15" s="4" t="s">
        <v>29</v>
      </c>
      <c r="E15" s="5">
        <v>57290</v>
      </c>
      <c r="F15" s="6">
        <v>1730.988705</v>
      </c>
      <c r="G15" s="7">
        <v>2.8271252E-2</v>
      </c>
      <c r="H15" s="39"/>
      <c r="J15" s="176" t="s">
        <v>1173</v>
      </c>
    </row>
    <row r="16" spans="1:14" x14ac:dyDescent="0.2">
      <c r="A16" s="3">
        <v>10</v>
      </c>
      <c r="B16" s="4" t="s">
        <v>34</v>
      </c>
      <c r="C16" s="4" t="s">
        <v>35</v>
      </c>
      <c r="D16" s="4" t="s">
        <v>1168</v>
      </c>
      <c r="E16" s="5">
        <v>4234</v>
      </c>
      <c r="F16" s="6">
        <v>1679.915712</v>
      </c>
      <c r="G16" s="7">
        <v>2.7437105999999999E-2</v>
      </c>
      <c r="H16" s="39"/>
    </row>
    <row r="17" spans="1:8" x14ac:dyDescent="0.2">
      <c r="A17" s="3">
        <v>11</v>
      </c>
      <c r="B17" s="4" t="s">
        <v>36</v>
      </c>
      <c r="C17" s="4" t="s">
        <v>37</v>
      </c>
      <c r="D17" s="4" t="s">
        <v>26</v>
      </c>
      <c r="E17" s="5">
        <v>1234236</v>
      </c>
      <c r="F17" s="6">
        <v>1666.2185999999999</v>
      </c>
      <c r="G17" s="7">
        <v>2.7213398999999999E-2</v>
      </c>
      <c r="H17" s="39"/>
    </row>
    <row r="18" spans="1:8" x14ac:dyDescent="0.2">
      <c r="A18" s="3">
        <v>12</v>
      </c>
      <c r="B18" s="4" t="s">
        <v>38</v>
      </c>
      <c r="C18" s="4" t="s">
        <v>39</v>
      </c>
      <c r="D18" s="4" t="s">
        <v>29</v>
      </c>
      <c r="E18" s="5">
        <v>123067</v>
      </c>
      <c r="F18" s="6">
        <v>1623.8075315000001</v>
      </c>
      <c r="G18" s="7">
        <v>2.6520723E-2</v>
      </c>
      <c r="H18" s="39"/>
    </row>
    <row r="19" spans="1:8" x14ac:dyDescent="0.2">
      <c r="A19" s="3">
        <v>13</v>
      </c>
      <c r="B19" s="4" t="s">
        <v>40</v>
      </c>
      <c r="C19" s="4" t="s">
        <v>41</v>
      </c>
      <c r="D19" s="4" t="s">
        <v>15</v>
      </c>
      <c r="E19" s="5">
        <v>395130</v>
      </c>
      <c r="F19" s="6">
        <v>1419.8996549999999</v>
      </c>
      <c r="G19" s="7">
        <v>2.3190412000000001E-2</v>
      </c>
      <c r="H19" s="39"/>
    </row>
    <row r="20" spans="1:8" ht="25.5" x14ac:dyDescent="0.2">
      <c r="A20" s="3">
        <v>14</v>
      </c>
      <c r="B20" s="4" t="s">
        <v>42</v>
      </c>
      <c r="C20" s="4" t="s">
        <v>43</v>
      </c>
      <c r="D20" s="4" t="s">
        <v>1150</v>
      </c>
      <c r="E20" s="5">
        <v>51710</v>
      </c>
      <c r="F20" s="6">
        <v>1257.22523</v>
      </c>
      <c r="G20" s="7">
        <v>2.0533543000000001E-2</v>
      </c>
      <c r="H20" s="39"/>
    </row>
    <row r="21" spans="1:8" ht="25.5" x14ac:dyDescent="0.2">
      <c r="A21" s="3">
        <v>15</v>
      </c>
      <c r="B21" s="4" t="s">
        <v>44</v>
      </c>
      <c r="C21" s="4" t="s">
        <v>45</v>
      </c>
      <c r="D21" s="4" t="s">
        <v>1150</v>
      </c>
      <c r="E21" s="5">
        <v>161942</v>
      </c>
      <c r="F21" s="6">
        <v>1243.795531</v>
      </c>
      <c r="G21" s="7">
        <v>2.0314203999999999E-2</v>
      </c>
      <c r="H21" s="39"/>
    </row>
    <row r="22" spans="1:8" x14ac:dyDescent="0.2">
      <c r="A22" s="3">
        <v>16</v>
      </c>
      <c r="B22" s="4" t="s">
        <v>46</v>
      </c>
      <c r="C22" s="4" t="s">
        <v>47</v>
      </c>
      <c r="D22" s="4" t="s">
        <v>48</v>
      </c>
      <c r="E22" s="5">
        <v>716100</v>
      </c>
      <c r="F22" s="6">
        <v>1173.6878999999999</v>
      </c>
      <c r="G22" s="7">
        <v>1.9169176E-2</v>
      </c>
      <c r="H22" s="39"/>
    </row>
    <row r="23" spans="1:8" x14ac:dyDescent="0.2">
      <c r="A23" s="3">
        <v>17</v>
      </c>
      <c r="B23" s="4" t="s">
        <v>49</v>
      </c>
      <c r="C23" s="4" t="s">
        <v>50</v>
      </c>
      <c r="D23" s="4" t="s">
        <v>18</v>
      </c>
      <c r="E23" s="5">
        <v>235591</v>
      </c>
      <c r="F23" s="6">
        <v>1162.7593804999999</v>
      </c>
      <c r="G23" s="7">
        <v>1.8990686E-2</v>
      </c>
      <c r="H23" s="39"/>
    </row>
    <row r="24" spans="1:8" x14ac:dyDescent="0.2">
      <c r="A24" s="3">
        <v>18</v>
      </c>
      <c r="B24" s="4" t="s">
        <v>51</v>
      </c>
      <c r="C24" s="4" t="s">
        <v>52</v>
      </c>
      <c r="D24" s="4" t="s">
        <v>53</v>
      </c>
      <c r="E24" s="5">
        <v>716249</v>
      </c>
      <c r="F24" s="6">
        <v>1114.8415685</v>
      </c>
      <c r="G24" s="7">
        <v>1.8208071999999999E-2</v>
      </c>
      <c r="H24" s="39"/>
    </row>
    <row r="25" spans="1:8" x14ac:dyDescent="0.2">
      <c r="A25" s="3">
        <v>19</v>
      </c>
      <c r="B25" s="4" t="s">
        <v>54</v>
      </c>
      <c r="C25" s="4" t="s">
        <v>55</v>
      </c>
      <c r="D25" s="4" t="s">
        <v>1168</v>
      </c>
      <c r="E25" s="5">
        <v>23847</v>
      </c>
      <c r="F25" s="6">
        <v>1086.3620085</v>
      </c>
      <c r="G25" s="7">
        <v>1.7742931999999999E-2</v>
      </c>
      <c r="H25" s="39"/>
    </row>
    <row r="26" spans="1:8" ht="25.5" x14ac:dyDescent="0.2">
      <c r="A26" s="3">
        <v>20</v>
      </c>
      <c r="B26" s="4" t="s">
        <v>56</v>
      </c>
      <c r="C26" s="4" t="s">
        <v>57</v>
      </c>
      <c r="D26" s="4" t="s">
        <v>1151</v>
      </c>
      <c r="E26" s="5">
        <v>140270</v>
      </c>
      <c r="F26" s="6">
        <v>1085.9703400000001</v>
      </c>
      <c r="G26" s="7">
        <v>1.7736535000000001E-2</v>
      </c>
      <c r="H26" s="39"/>
    </row>
    <row r="27" spans="1:8" x14ac:dyDescent="0.2">
      <c r="A27" s="3">
        <v>21</v>
      </c>
      <c r="B27" s="4" t="s">
        <v>58</v>
      </c>
      <c r="C27" s="4" t="s">
        <v>59</v>
      </c>
      <c r="D27" s="4" t="s">
        <v>60</v>
      </c>
      <c r="E27" s="5">
        <v>366525</v>
      </c>
      <c r="F27" s="6">
        <v>949.8495375</v>
      </c>
      <c r="G27" s="7">
        <v>1.5513351E-2</v>
      </c>
      <c r="H27" s="39"/>
    </row>
    <row r="28" spans="1:8" x14ac:dyDescent="0.2">
      <c r="A28" s="3">
        <v>22</v>
      </c>
      <c r="B28" s="4" t="s">
        <v>61</v>
      </c>
      <c r="C28" s="4" t="s">
        <v>62</v>
      </c>
      <c r="D28" s="4" t="s">
        <v>1140</v>
      </c>
      <c r="E28" s="5">
        <v>139967</v>
      </c>
      <c r="F28" s="6">
        <v>940.78819050000004</v>
      </c>
      <c r="G28" s="7">
        <v>1.5365357E-2</v>
      </c>
      <c r="H28" s="39"/>
    </row>
    <row r="29" spans="1:8" x14ac:dyDescent="0.2">
      <c r="A29" s="3">
        <v>23</v>
      </c>
      <c r="B29" s="4" t="s">
        <v>63</v>
      </c>
      <c r="C29" s="4" t="s">
        <v>64</v>
      </c>
      <c r="D29" s="4" t="s">
        <v>15</v>
      </c>
      <c r="E29" s="5">
        <v>773705</v>
      </c>
      <c r="F29" s="6">
        <v>920.32209750000004</v>
      </c>
      <c r="G29" s="7">
        <v>1.5031096000000001E-2</v>
      </c>
      <c r="H29" s="39"/>
    </row>
    <row r="30" spans="1:8" x14ac:dyDescent="0.2">
      <c r="A30" s="3">
        <v>24</v>
      </c>
      <c r="B30" s="4" t="s">
        <v>65</v>
      </c>
      <c r="C30" s="4" t="s">
        <v>66</v>
      </c>
      <c r="D30" s="4" t="s">
        <v>60</v>
      </c>
      <c r="E30" s="5">
        <v>1542666</v>
      </c>
      <c r="F30" s="6">
        <v>903.23094300000002</v>
      </c>
      <c r="G30" s="7">
        <v>1.4751956E-2</v>
      </c>
      <c r="H30" s="39"/>
    </row>
    <row r="31" spans="1:8" x14ac:dyDescent="0.2">
      <c r="A31" s="3">
        <v>25</v>
      </c>
      <c r="B31" s="4" t="s">
        <v>67</v>
      </c>
      <c r="C31" s="4" t="s">
        <v>68</v>
      </c>
      <c r="D31" s="4" t="s">
        <v>26</v>
      </c>
      <c r="E31" s="5">
        <v>414816</v>
      </c>
      <c r="F31" s="6">
        <v>899.32108800000003</v>
      </c>
      <c r="G31" s="7">
        <v>1.4688099E-2</v>
      </c>
      <c r="H31" s="39"/>
    </row>
    <row r="32" spans="1:8" x14ac:dyDescent="0.2">
      <c r="A32" s="3">
        <v>26</v>
      </c>
      <c r="B32" s="4" t="s">
        <v>69</v>
      </c>
      <c r="C32" s="4" t="s">
        <v>70</v>
      </c>
      <c r="D32" s="4" t="s">
        <v>71</v>
      </c>
      <c r="E32" s="5">
        <v>153349</v>
      </c>
      <c r="F32" s="6">
        <v>897.78172050000001</v>
      </c>
      <c r="G32" s="7">
        <v>1.4662957000000001E-2</v>
      </c>
      <c r="H32" s="39"/>
    </row>
    <row r="33" spans="1:8" ht="25.5" x14ac:dyDescent="0.2">
      <c r="A33" s="3">
        <v>27</v>
      </c>
      <c r="B33" s="4" t="s">
        <v>72</v>
      </c>
      <c r="C33" s="4" t="s">
        <v>73</v>
      </c>
      <c r="D33" s="4" t="s">
        <v>1137</v>
      </c>
      <c r="E33" s="5">
        <v>45404</v>
      </c>
      <c r="F33" s="6">
        <v>825.83065399999998</v>
      </c>
      <c r="G33" s="7">
        <v>1.3487821000000001E-2</v>
      </c>
      <c r="H33" s="39"/>
    </row>
    <row r="34" spans="1:8" x14ac:dyDescent="0.2">
      <c r="A34" s="3">
        <v>28</v>
      </c>
      <c r="B34" s="4" t="s">
        <v>74</v>
      </c>
      <c r="C34" s="4" t="s">
        <v>75</v>
      </c>
      <c r="D34" s="4" t="s">
        <v>1140</v>
      </c>
      <c r="E34" s="5">
        <v>161617</v>
      </c>
      <c r="F34" s="6">
        <v>815.51938199999995</v>
      </c>
      <c r="G34" s="7">
        <v>1.3319413E-2</v>
      </c>
      <c r="H34" s="39"/>
    </row>
    <row r="35" spans="1:8" x14ac:dyDescent="0.2">
      <c r="A35" s="3">
        <v>29</v>
      </c>
      <c r="B35" s="4" t="s">
        <v>76</v>
      </c>
      <c r="C35" s="4" t="s">
        <v>77</v>
      </c>
      <c r="D35" s="4" t="s">
        <v>71</v>
      </c>
      <c r="E35" s="5">
        <v>22325</v>
      </c>
      <c r="F35" s="6">
        <v>786.56556250000006</v>
      </c>
      <c r="G35" s="7">
        <v>1.2846527E-2</v>
      </c>
      <c r="H35" s="39"/>
    </row>
    <row r="36" spans="1:8" x14ac:dyDescent="0.2">
      <c r="A36" s="3">
        <v>30</v>
      </c>
      <c r="B36" s="4" t="s">
        <v>78</v>
      </c>
      <c r="C36" s="4" t="s">
        <v>79</v>
      </c>
      <c r="D36" s="4" t="s">
        <v>29</v>
      </c>
      <c r="E36" s="5">
        <v>84259</v>
      </c>
      <c r="F36" s="6">
        <v>770.63281400000005</v>
      </c>
      <c r="G36" s="7">
        <v>1.2586307E-2</v>
      </c>
      <c r="H36" s="39"/>
    </row>
    <row r="37" spans="1:8" ht="25.5" x14ac:dyDescent="0.2">
      <c r="A37" s="3">
        <v>31</v>
      </c>
      <c r="B37" s="4" t="s">
        <v>80</v>
      </c>
      <c r="C37" s="4" t="s">
        <v>81</v>
      </c>
      <c r="D37" s="4" t="s">
        <v>82</v>
      </c>
      <c r="E37" s="5">
        <v>102316</v>
      </c>
      <c r="F37" s="6">
        <v>735.08930199999998</v>
      </c>
      <c r="G37" s="7">
        <v>1.2005795E-2</v>
      </c>
      <c r="H37" s="39"/>
    </row>
    <row r="38" spans="1:8" ht="25.5" x14ac:dyDescent="0.2">
      <c r="A38" s="3">
        <v>32</v>
      </c>
      <c r="B38" s="4" t="s">
        <v>83</v>
      </c>
      <c r="C38" s="4" t="s">
        <v>84</v>
      </c>
      <c r="D38" s="4" t="s">
        <v>1137</v>
      </c>
      <c r="E38" s="5">
        <v>624467</v>
      </c>
      <c r="F38" s="6">
        <v>732.18755750000003</v>
      </c>
      <c r="G38" s="7">
        <v>1.1958402E-2</v>
      </c>
      <c r="H38" s="39"/>
    </row>
    <row r="39" spans="1:8" x14ac:dyDescent="0.2">
      <c r="A39" s="3">
        <v>33</v>
      </c>
      <c r="B39" s="4" t="s">
        <v>85</v>
      </c>
      <c r="C39" s="4" t="s">
        <v>86</v>
      </c>
      <c r="D39" s="4" t="s">
        <v>60</v>
      </c>
      <c r="E39" s="5">
        <v>44400</v>
      </c>
      <c r="F39" s="6">
        <v>681.02940000000001</v>
      </c>
      <c r="G39" s="7">
        <v>1.1122864999999999E-2</v>
      </c>
      <c r="H39" s="39"/>
    </row>
    <row r="40" spans="1:8" x14ac:dyDescent="0.2">
      <c r="A40" s="3">
        <v>34</v>
      </c>
      <c r="B40" s="4" t="s">
        <v>87</v>
      </c>
      <c r="C40" s="4" t="s">
        <v>88</v>
      </c>
      <c r="D40" s="4" t="s">
        <v>1157</v>
      </c>
      <c r="E40" s="5">
        <v>115326</v>
      </c>
      <c r="F40" s="6">
        <v>596.06243099999995</v>
      </c>
      <c r="G40" s="7">
        <v>9.7351480000000008E-3</v>
      </c>
      <c r="H40" s="39"/>
    </row>
    <row r="41" spans="1:8" x14ac:dyDescent="0.2">
      <c r="A41" s="3">
        <v>35</v>
      </c>
      <c r="B41" s="4" t="s">
        <v>89</v>
      </c>
      <c r="C41" s="4" t="s">
        <v>90</v>
      </c>
      <c r="D41" s="4" t="s">
        <v>91</v>
      </c>
      <c r="E41" s="5">
        <v>589999</v>
      </c>
      <c r="F41" s="6">
        <v>581.44401449999998</v>
      </c>
      <c r="G41" s="7">
        <v>9.496394E-3</v>
      </c>
      <c r="H41" s="39"/>
    </row>
    <row r="42" spans="1:8" x14ac:dyDescent="0.2">
      <c r="A42" s="3">
        <v>36</v>
      </c>
      <c r="B42" s="4" t="s">
        <v>92</v>
      </c>
      <c r="C42" s="4" t="s">
        <v>93</v>
      </c>
      <c r="D42" s="4" t="s">
        <v>60</v>
      </c>
      <c r="E42" s="5">
        <v>479706</v>
      </c>
      <c r="F42" s="6">
        <v>525.27806999999996</v>
      </c>
      <c r="G42" s="7">
        <v>8.5790669999999992E-3</v>
      </c>
      <c r="H42" s="39"/>
    </row>
    <row r="43" spans="1:8" x14ac:dyDescent="0.2">
      <c r="A43" s="3">
        <v>37</v>
      </c>
      <c r="B43" s="4" t="s">
        <v>94</v>
      </c>
      <c r="C43" s="4" t="s">
        <v>95</v>
      </c>
      <c r="D43" s="4" t="s">
        <v>1154</v>
      </c>
      <c r="E43" s="5">
        <v>26495</v>
      </c>
      <c r="F43" s="6">
        <v>514.53290000000004</v>
      </c>
      <c r="G43" s="7">
        <v>8.4035729999999993E-3</v>
      </c>
      <c r="H43" s="39"/>
    </row>
    <row r="44" spans="1:8" x14ac:dyDescent="0.2">
      <c r="A44" s="3">
        <v>38</v>
      </c>
      <c r="B44" s="4" t="s">
        <v>96</v>
      </c>
      <c r="C44" s="4" t="s">
        <v>97</v>
      </c>
      <c r="D44" s="4" t="s">
        <v>1157</v>
      </c>
      <c r="E44" s="5">
        <v>91065</v>
      </c>
      <c r="F44" s="6">
        <v>449.67896999999999</v>
      </c>
      <c r="G44" s="7">
        <v>7.3443500000000004E-3</v>
      </c>
      <c r="H44" s="39"/>
    </row>
    <row r="45" spans="1:8" x14ac:dyDescent="0.2">
      <c r="A45" s="3">
        <v>39</v>
      </c>
      <c r="B45" s="4" t="s">
        <v>98</v>
      </c>
      <c r="C45" s="4" t="s">
        <v>99</v>
      </c>
      <c r="D45" s="4" t="s">
        <v>53</v>
      </c>
      <c r="E45" s="5">
        <v>87973</v>
      </c>
      <c r="F45" s="6">
        <v>442.72412250000002</v>
      </c>
      <c r="G45" s="7">
        <v>7.2307609999999996E-3</v>
      </c>
      <c r="H45" s="39"/>
    </row>
    <row r="46" spans="1:8" x14ac:dyDescent="0.2">
      <c r="A46" s="3">
        <v>40</v>
      </c>
      <c r="B46" s="4" t="s">
        <v>100</v>
      </c>
      <c r="C46" s="4" t="s">
        <v>101</v>
      </c>
      <c r="D46" s="4" t="s">
        <v>53</v>
      </c>
      <c r="E46" s="5">
        <v>81311</v>
      </c>
      <c r="F46" s="6">
        <v>303.41199649999999</v>
      </c>
      <c r="G46" s="7">
        <v>4.9554550000000001E-3</v>
      </c>
      <c r="H46" s="39"/>
    </row>
    <row r="47" spans="1:8" x14ac:dyDescent="0.2">
      <c r="A47" s="3">
        <v>41</v>
      </c>
      <c r="B47" s="4" t="s">
        <v>102</v>
      </c>
      <c r="C47" s="4" t="s">
        <v>103</v>
      </c>
      <c r="D47" s="4" t="s">
        <v>53</v>
      </c>
      <c r="E47" s="5">
        <v>105798</v>
      </c>
      <c r="F47" s="6">
        <v>274.06971900000002</v>
      </c>
      <c r="G47" s="7">
        <v>4.4762250000000003E-3</v>
      </c>
      <c r="H47" s="39"/>
    </row>
    <row r="48" spans="1:8" x14ac:dyDescent="0.2">
      <c r="A48" s="3">
        <v>42</v>
      </c>
      <c r="B48" s="4" t="s">
        <v>104</v>
      </c>
      <c r="C48" s="4" t="s">
        <v>105</v>
      </c>
      <c r="D48" s="4" t="s">
        <v>1157</v>
      </c>
      <c r="E48" s="5">
        <v>339227</v>
      </c>
      <c r="F48" s="6">
        <v>263.74899249999999</v>
      </c>
      <c r="G48" s="7">
        <v>4.3076620000000003E-3</v>
      </c>
      <c r="H48" s="39"/>
    </row>
    <row r="49" spans="1:8" x14ac:dyDescent="0.2">
      <c r="A49" s="3">
        <v>43</v>
      </c>
      <c r="B49" s="4" t="s">
        <v>106</v>
      </c>
      <c r="C49" s="4" t="s">
        <v>107</v>
      </c>
      <c r="D49" s="4" t="s">
        <v>82</v>
      </c>
      <c r="E49" s="5">
        <v>35346</v>
      </c>
      <c r="F49" s="6">
        <v>74.615405999999993</v>
      </c>
      <c r="G49" s="7">
        <v>1.2186510000000001E-3</v>
      </c>
      <c r="H49" s="39"/>
    </row>
    <row r="50" spans="1:8" x14ac:dyDescent="0.2">
      <c r="A50" s="1"/>
      <c r="B50" s="1"/>
      <c r="C50" s="2" t="s">
        <v>111</v>
      </c>
      <c r="D50" s="1"/>
      <c r="E50" s="1" t="s">
        <v>112</v>
      </c>
      <c r="F50" s="9">
        <v>59090.207738188998</v>
      </c>
      <c r="G50" s="10">
        <v>0.965086687</v>
      </c>
      <c r="H50" s="39"/>
    </row>
    <row r="51" spans="1:8" x14ac:dyDescent="0.2">
      <c r="A51" s="1"/>
      <c r="B51" s="1"/>
      <c r="C51" s="11"/>
      <c r="D51" s="1"/>
      <c r="E51" s="1"/>
      <c r="F51" s="12"/>
      <c r="G51" s="12"/>
      <c r="H51" s="39"/>
    </row>
    <row r="52" spans="1:8" x14ac:dyDescent="0.2">
      <c r="A52" s="1"/>
      <c r="B52" s="1"/>
      <c r="C52" s="2" t="s">
        <v>113</v>
      </c>
      <c r="D52" s="1"/>
      <c r="E52" s="1"/>
      <c r="F52" s="1"/>
      <c r="G52" s="1"/>
      <c r="H52" s="39"/>
    </row>
    <row r="53" spans="1:8" x14ac:dyDescent="0.2">
      <c r="A53" s="3">
        <v>1</v>
      </c>
      <c r="B53" s="4" t="s">
        <v>108</v>
      </c>
      <c r="C53" s="37" t="s">
        <v>1022</v>
      </c>
      <c r="D53" s="4" t="s">
        <v>109</v>
      </c>
      <c r="E53" s="5">
        <v>559425</v>
      </c>
      <c r="F53" s="6">
        <v>1.1189000000000001E-5</v>
      </c>
      <c r="G53" s="8" t="s">
        <v>110</v>
      </c>
      <c r="H53" s="39"/>
    </row>
    <row r="54" spans="1:8" x14ac:dyDescent="0.2">
      <c r="A54" s="1"/>
      <c r="B54" s="1"/>
      <c r="C54" s="2" t="s">
        <v>111</v>
      </c>
      <c r="D54" s="1"/>
      <c r="E54" s="1" t="s">
        <v>112</v>
      </c>
      <c r="F54" s="13">
        <v>0</v>
      </c>
      <c r="G54" s="14">
        <v>0</v>
      </c>
      <c r="H54" s="39"/>
    </row>
    <row r="55" spans="1:8" x14ac:dyDescent="0.2">
      <c r="A55" s="1"/>
      <c r="B55" s="1"/>
      <c r="C55" s="11"/>
      <c r="D55" s="1"/>
      <c r="E55" s="1"/>
      <c r="F55" s="12"/>
      <c r="G55" s="12"/>
      <c r="H55" s="39"/>
    </row>
    <row r="56" spans="1:8" x14ac:dyDescent="0.2">
      <c r="A56" s="1"/>
      <c r="B56" s="1"/>
      <c r="C56" s="2" t="s">
        <v>114</v>
      </c>
      <c r="D56" s="1"/>
      <c r="E56" s="1"/>
      <c r="F56" s="1"/>
      <c r="G56" s="1"/>
      <c r="H56" s="39"/>
    </row>
    <row r="57" spans="1:8" x14ac:dyDescent="0.2">
      <c r="A57" s="1"/>
      <c r="B57" s="1"/>
      <c r="C57" s="2" t="s">
        <v>111</v>
      </c>
      <c r="D57" s="1"/>
      <c r="E57" s="1" t="s">
        <v>112</v>
      </c>
      <c r="F57" s="13">
        <v>0</v>
      </c>
      <c r="G57" s="14">
        <v>0</v>
      </c>
      <c r="H57" s="39"/>
    </row>
    <row r="58" spans="1:8" x14ac:dyDescent="0.2">
      <c r="A58" s="1"/>
      <c r="B58" s="1"/>
      <c r="C58" s="11"/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115</v>
      </c>
      <c r="D59" s="1"/>
      <c r="E59" s="1"/>
      <c r="F59" s="1"/>
      <c r="G59" s="1"/>
      <c r="H59" s="39"/>
    </row>
    <row r="60" spans="1:8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39"/>
    </row>
    <row r="61" spans="1:8" x14ac:dyDescent="0.2">
      <c r="A61" s="1"/>
      <c r="B61" s="1"/>
      <c r="C61" s="11"/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116</v>
      </c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39"/>
    </row>
    <row r="64" spans="1:8" x14ac:dyDescent="0.2">
      <c r="A64" s="1"/>
      <c r="B64" s="1"/>
      <c r="C64" s="11"/>
      <c r="D64" s="1"/>
      <c r="E64" s="1"/>
      <c r="F64" s="12"/>
      <c r="G64" s="12"/>
      <c r="H64" s="39"/>
    </row>
    <row r="65" spans="1:8" x14ac:dyDescent="0.2">
      <c r="A65" s="1"/>
      <c r="B65" s="1"/>
      <c r="C65" s="2" t="s">
        <v>117</v>
      </c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39"/>
    </row>
    <row r="67" spans="1:8" x14ac:dyDescent="0.2">
      <c r="A67" s="1"/>
      <c r="B67" s="1"/>
      <c r="C67" s="11"/>
      <c r="D67" s="1"/>
      <c r="E67" s="1"/>
      <c r="F67" s="12"/>
      <c r="G67" s="12"/>
      <c r="H67" s="39"/>
    </row>
    <row r="68" spans="1:8" x14ac:dyDescent="0.2">
      <c r="A68" s="1"/>
      <c r="B68" s="1"/>
      <c r="C68" s="2" t="s">
        <v>118</v>
      </c>
      <c r="D68" s="1"/>
      <c r="E68" s="1"/>
      <c r="F68" s="9">
        <v>59090.207738188998</v>
      </c>
      <c r="G68" s="10">
        <v>0.965086687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119</v>
      </c>
      <c r="D70" s="1"/>
      <c r="E70" s="1"/>
      <c r="F70" s="12"/>
      <c r="G70" s="12"/>
      <c r="H70" s="39"/>
    </row>
    <row r="71" spans="1:8" ht="25.5" x14ac:dyDescent="0.2">
      <c r="A71" s="1"/>
      <c r="B71" s="1"/>
      <c r="C71" s="2" t="s">
        <v>10</v>
      </c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120</v>
      </c>
      <c r="D74" s="1"/>
      <c r="E74" s="1"/>
      <c r="F74" s="1"/>
      <c r="G74" s="1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121</v>
      </c>
      <c r="D77" s="1"/>
      <c r="E77" s="1"/>
      <c r="F77" s="1"/>
      <c r="G77" s="1"/>
      <c r="H77" s="39"/>
    </row>
    <row r="78" spans="1:8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122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123</v>
      </c>
      <c r="D83" s="1"/>
      <c r="E83" s="1"/>
      <c r="F83" s="9">
        <v>0</v>
      </c>
      <c r="G83" s="10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124</v>
      </c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125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126</v>
      </c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127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128</v>
      </c>
      <c r="D95" s="1"/>
      <c r="E95" s="1"/>
      <c r="F95" s="12"/>
      <c r="G95" s="12"/>
      <c r="H95" s="39"/>
    </row>
    <row r="96" spans="1:8" x14ac:dyDescent="0.2">
      <c r="A96" s="3">
        <v>1</v>
      </c>
      <c r="B96" s="4"/>
      <c r="C96" s="4" t="s">
        <v>129</v>
      </c>
      <c r="D96" s="4"/>
      <c r="E96" s="8"/>
      <c r="F96" s="6">
        <v>1091.5471546000001</v>
      </c>
      <c r="G96" s="7">
        <v>1.7827618E-2</v>
      </c>
      <c r="H96" s="39">
        <v>3.6151121728634927</v>
      </c>
    </row>
    <row r="97" spans="1:8" x14ac:dyDescent="0.2">
      <c r="A97" s="3">
        <v>2</v>
      </c>
      <c r="B97" s="4"/>
      <c r="C97" s="4" t="s">
        <v>130</v>
      </c>
      <c r="D97" s="4"/>
      <c r="E97" s="8"/>
      <c r="F97" s="6">
        <v>385.94599590000001</v>
      </c>
      <c r="G97" s="7">
        <v>6.3034359999999999E-3</v>
      </c>
      <c r="H97" s="39">
        <v>3.7142625760646584</v>
      </c>
    </row>
    <row r="98" spans="1:8" x14ac:dyDescent="0.2">
      <c r="A98" s="1"/>
      <c r="B98" s="1"/>
      <c r="C98" s="2" t="s">
        <v>111</v>
      </c>
      <c r="D98" s="1"/>
      <c r="E98" s="1" t="s">
        <v>112</v>
      </c>
      <c r="F98" s="9">
        <v>1477.4931505</v>
      </c>
      <c r="G98" s="10">
        <v>2.4131053999999999E-2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131</v>
      </c>
      <c r="D100" s="1"/>
      <c r="E100" s="1"/>
      <c r="F100" s="9">
        <v>1477.4931505</v>
      </c>
      <c r="G100" s="10">
        <v>2.4131053999999999E-2</v>
      </c>
      <c r="H100" s="39"/>
    </row>
    <row r="101" spans="1:8" x14ac:dyDescent="0.2">
      <c r="A101" s="1"/>
      <c r="B101" s="1"/>
      <c r="C101" s="12"/>
      <c r="D101" s="1"/>
      <c r="E101" s="1"/>
      <c r="F101" s="1"/>
      <c r="G101" s="1"/>
      <c r="H101" s="39"/>
    </row>
    <row r="102" spans="1:8" x14ac:dyDescent="0.2">
      <c r="A102" s="1"/>
      <c r="B102" s="1"/>
      <c r="C102" s="2" t="s">
        <v>132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133</v>
      </c>
      <c r="D103" s="1"/>
      <c r="E103" s="1"/>
      <c r="F103" s="1"/>
      <c r="G103" s="1"/>
      <c r="H103" s="39"/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134</v>
      </c>
      <c r="D106" s="1"/>
      <c r="E106" s="1"/>
      <c r="F106" s="1"/>
      <c r="G106" s="1"/>
      <c r="H106" s="39"/>
    </row>
    <row r="107" spans="1:8" x14ac:dyDescent="0.2">
      <c r="A107" s="1"/>
      <c r="B107" s="1"/>
      <c r="C107" s="2" t="s">
        <v>135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ht="25.5" x14ac:dyDescent="0.2">
      <c r="A111" s="1"/>
      <c r="B111" s="1"/>
      <c r="C111" s="2" t="s">
        <v>136</v>
      </c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15" x14ac:dyDescent="0.2">
      <c r="A113" s="1"/>
      <c r="B113" s="1"/>
      <c r="C113" s="11"/>
      <c r="D113" s="1"/>
      <c r="E113" s="1"/>
      <c r="F113" s="12"/>
      <c r="G113" s="12"/>
      <c r="H113" s="39"/>
    </row>
    <row r="114" spans="1:15" x14ac:dyDescent="0.2">
      <c r="A114" s="1"/>
      <c r="B114" s="4"/>
      <c r="C114" s="4"/>
      <c r="D114" s="2"/>
      <c r="E114" s="1"/>
      <c r="F114" s="4"/>
      <c r="G114" s="8"/>
      <c r="H114" s="39"/>
    </row>
    <row r="115" spans="1:15" x14ac:dyDescent="0.2">
      <c r="A115" s="8"/>
      <c r="B115" s="4"/>
      <c r="C115" s="4" t="s">
        <v>137</v>
      </c>
      <c r="D115" s="4"/>
      <c r="E115" s="8"/>
      <c r="F115" s="6">
        <v>660.17489109999997</v>
      </c>
      <c r="G115" s="7">
        <v>1.078226E-2</v>
      </c>
      <c r="H115" s="39"/>
    </row>
    <row r="116" spans="1:15" x14ac:dyDescent="0.2">
      <c r="A116" s="11"/>
      <c r="B116" s="11"/>
      <c r="C116" s="2" t="s">
        <v>138</v>
      </c>
      <c r="D116" s="15"/>
      <c r="E116" s="15"/>
      <c r="F116" s="9">
        <v>61227.875779788999</v>
      </c>
      <c r="G116" s="10">
        <v>1.0000000010000001</v>
      </c>
      <c r="H116" s="39"/>
    </row>
    <row r="117" spans="1:15" ht="14.1" customHeight="1" x14ac:dyDescent="0.2">
      <c r="A117" s="16"/>
      <c r="B117" s="16"/>
      <c r="C117" s="16"/>
      <c r="D117" s="17"/>
      <c r="E117" s="17"/>
      <c r="F117" s="17"/>
      <c r="G117" s="17"/>
    </row>
    <row r="118" spans="1:15" ht="17.100000000000001" customHeight="1" x14ac:dyDescent="0.2">
      <c r="A118" s="47"/>
      <c r="B118" s="196" t="s">
        <v>139</v>
      </c>
      <c r="C118" s="196"/>
      <c r="D118" s="196"/>
      <c r="E118" s="196"/>
      <c r="F118" s="196"/>
      <c r="G118" s="49"/>
    </row>
    <row r="119" spans="1:15" ht="14.1" customHeight="1" x14ac:dyDescent="0.2">
      <c r="A119" s="18"/>
      <c r="B119" s="18"/>
      <c r="C119" s="18"/>
      <c r="D119" s="20"/>
      <c r="E119" s="20"/>
      <c r="F119" s="20"/>
      <c r="G119" s="20"/>
    </row>
    <row r="120" spans="1:15" ht="14.1" customHeight="1" x14ac:dyDescent="0.2">
      <c r="A120" s="18"/>
      <c r="B120" s="194" t="s">
        <v>140</v>
      </c>
      <c r="C120" s="195"/>
      <c r="D120" s="12" t="s">
        <v>112</v>
      </c>
      <c r="E120" s="21"/>
      <c r="F120" s="20"/>
      <c r="G120" s="20"/>
    </row>
    <row r="121" spans="1:15" ht="29.1" customHeight="1" x14ac:dyDescent="0.2">
      <c r="A121" s="18"/>
      <c r="B121" s="189" t="s">
        <v>141</v>
      </c>
      <c r="C121" s="190"/>
      <c r="D121" s="2" t="s">
        <v>142</v>
      </c>
      <c r="E121" s="21"/>
      <c r="F121" s="20"/>
      <c r="G121" s="20"/>
    </row>
    <row r="122" spans="1:15" ht="17.100000000000001" customHeight="1" x14ac:dyDescent="0.2">
      <c r="A122" s="18"/>
      <c r="B122" s="191" t="s">
        <v>1023</v>
      </c>
      <c r="C122" s="192"/>
      <c r="D122" s="45" t="s">
        <v>1014</v>
      </c>
      <c r="E122" s="21"/>
      <c r="F122" s="20"/>
      <c r="G122" s="20"/>
    </row>
    <row r="123" spans="1:15" ht="17.100000000000001" customHeight="1" x14ac:dyDescent="0.2">
      <c r="A123" s="18"/>
      <c r="B123" s="189" t="s">
        <v>144</v>
      </c>
      <c r="C123" s="190"/>
      <c r="D123" s="12" t="s">
        <v>112</v>
      </c>
      <c r="E123" s="21"/>
      <c r="F123" s="20"/>
      <c r="G123" s="20"/>
    </row>
    <row r="124" spans="1:15" ht="24" customHeight="1" x14ac:dyDescent="0.2">
      <c r="A124" s="22"/>
      <c r="B124" s="23" t="s">
        <v>112</v>
      </c>
      <c r="C124" s="23" t="s">
        <v>145</v>
      </c>
      <c r="D124" s="23" t="s">
        <v>146</v>
      </c>
      <c r="E124" s="22"/>
      <c r="F124" s="22"/>
      <c r="G124" s="22"/>
    </row>
    <row r="125" spans="1:15" ht="18" customHeight="1" x14ac:dyDescent="0.2">
      <c r="A125" s="22"/>
      <c r="B125" s="23" t="s">
        <v>147</v>
      </c>
      <c r="C125" s="23" t="s">
        <v>148</v>
      </c>
      <c r="D125" s="23" t="s">
        <v>149</v>
      </c>
      <c r="E125" s="22"/>
      <c r="F125" s="22"/>
      <c r="G125" s="22"/>
    </row>
    <row r="126" spans="1:15" ht="17.100000000000001" customHeight="1" x14ac:dyDescent="0.2">
      <c r="A126" s="22"/>
      <c r="B126" s="4" t="s">
        <v>150</v>
      </c>
      <c r="C126" s="24">
        <v>50.517400000000002</v>
      </c>
      <c r="D126" s="24">
        <v>52.3262</v>
      </c>
      <c r="E126" s="22"/>
      <c r="F126" s="19"/>
      <c r="G126" s="25"/>
    </row>
    <row r="127" spans="1:15" ht="17.100000000000001" customHeight="1" x14ac:dyDescent="0.2">
      <c r="A127" s="22"/>
      <c r="B127" s="4" t="s">
        <v>1092</v>
      </c>
      <c r="C127" s="24">
        <v>38.975700000000003</v>
      </c>
      <c r="D127" s="24">
        <v>40.371299999999998</v>
      </c>
      <c r="E127" s="22"/>
      <c r="F127" s="19"/>
      <c r="G127" s="25"/>
    </row>
    <row r="128" spans="1:15" ht="17.100000000000001" customHeight="1" x14ac:dyDescent="0.2">
      <c r="A128" s="22"/>
      <c r="B128" s="4" t="s">
        <v>151</v>
      </c>
      <c r="C128" s="24">
        <v>48.179400000000001</v>
      </c>
      <c r="D128" s="24">
        <v>49.8827</v>
      </c>
      <c r="E128" s="22"/>
      <c r="F128" s="19"/>
      <c r="G128" s="25"/>
      <c r="J128" s="101"/>
      <c r="K128" s="101"/>
      <c r="L128" s="101"/>
      <c r="M128" s="101"/>
      <c r="N128" s="101"/>
      <c r="O128" s="101"/>
    </row>
    <row r="129" spans="1:17" ht="17.100000000000001" customHeight="1" x14ac:dyDescent="0.2">
      <c r="A129" s="22"/>
      <c r="B129" s="4" t="s">
        <v>1093</v>
      </c>
      <c r="C129" s="24">
        <v>36.984000000000002</v>
      </c>
      <c r="D129" s="24">
        <v>38.291499999999999</v>
      </c>
      <c r="E129" s="22"/>
      <c r="F129" s="19"/>
      <c r="G129" s="25"/>
    </row>
    <row r="130" spans="1:17" ht="14.1" customHeight="1" x14ac:dyDescent="0.2">
      <c r="A130" s="22"/>
      <c r="B130" s="22"/>
      <c r="C130" s="22"/>
      <c r="D130" s="22"/>
      <c r="E130" s="22"/>
      <c r="F130" s="22"/>
      <c r="G130" s="22"/>
    </row>
    <row r="131" spans="1:17" ht="17.100000000000001" customHeight="1" x14ac:dyDescent="0.2">
      <c r="A131" s="22"/>
      <c r="B131" s="189" t="s">
        <v>1094</v>
      </c>
      <c r="C131" s="190"/>
      <c r="D131" s="2" t="s">
        <v>142</v>
      </c>
      <c r="E131" s="22"/>
      <c r="F131" s="22"/>
      <c r="G131" s="22"/>
    </row>
    <row r="132" spans="1:17" ht="18" customHeight="1" x14ac:dyDescent="0.2">
      <c r="A132" s="22"/>
      <c r="B132" s="26"/>
      <c r="C132" s="26"/>
      <c r="D132" s="27"/>
      <c r="E132" s="22"/>
      <c r="F132" s="22"/>
      <c r="G132" s="22"/>
    </row>
    <row r="133" spans="1:17" s="101" customFormat="1" x14ac:dyDescent="0.2">
      <c r="B133" s="193" t="s">
        <v>1102</v>
      </c>
      <c r="C133" s="193"/>
      <c r="D133" s="193"/>
      <c r="E133" s="193"/>
      <c r="F133" s="193"/>
      <c r="I133"/>
      <c r="J133"/>
      <c r="K133"/>
      <c r="L133"/>
      <c r="M133"/>
      <c r="N133"/>
      <c r="O133"/>
      <c r="P133" s="41"/>
      <c r="Q133" s="41"/>
    </row>
    <row r="134" spans="1:17" ht="14.1" customHeight="1" x14ac:dyDescent="0.2">
      <c r="A134" s="22"/>
      <c r="B134" s="19"/>
      <c r="C134" s="19"/>
      <c r="D134" s="22"/>
      <c r="E134" s="22"/>
      <c r="F134" s="22"/>
      <c r="G134" s="22"/>
    </row>
    <row r="135" spans="1:17" ht="29.1" customHeight="1" x14ac:dyDescent="0.2">
      <c r="A135" s="22"/>
      <c r="B135" s="189" t="s">
        <v>152</v>
      </c>
      <c r="C135" s="190"/>
      <c r="D135" s="2" t="s">
        <v>142</v>
      </c>
      <c r="E135" s="22"/>
      <c r="F135" s="22"/>
      <c r="G135" s="22"/>
    </row>
    <row r="136" spans="1:17" ht="29.1" customHeight="1" x14ac:dyDescent="0.2">
      <c r="A136" s="22"/>
      <c r="B136" s="189" t="s">
        <v>153</v>
      </c>
      <c r="C136" s="190"/>
      <c r="D136" s="2" t="s">
        <v>142</v>
      </c>
      <c r="E136" s="22"/>
      <c r="F136" s="22"/>
      <c r="G136" s="22"/>
    </row>
    <row r="137" spans="1:17" ht="17.100000000000001" customHeight="1" x14ac:dyDescent="0.2">
      <c r="A137" s="22"/>
      <c r="B137" s="189" t="s">
        <v>154</v>
      </c>
      <c r="C137" s="190"/>
      <c r="D137" s="28">
        <v>0.39965584177577729</v>
      </c>
      <c r="E137" s="22"/>
      <c r="F137" s="19"/>
      <c r="G137" s="25"/>
    </row>
    <row r="138" spans="1:17" ht="17.100000000000001" customHeight="1" x14ac:dyDescent="0.2">
      <c r="A138" s="22"/>
      <c r="B138" s="189" t="s">
        <v>155</v>
      </c>
      <c r="C138" s="190"/>
      <c r="D138" s="2" t="s">
        <v>142</v>
      </c>
      <c r="E138" s="22"/>
      <c r="F138" s="22"/>
      <c r="G138" s="22"/>
    </row>
  </sheetData>
  <mergeCells count="15">
    <mergeCell ref="B138:C138"/>
    <mergeCell ref="B121:C121"/>
    <mergeCell ref="B122:C122"/>
    <mergeCell ref="B123:C123"/>
    <mergeCell ref="B131:C131"/>
    <mergeCell ref="B135:C135"/>
    <mergeCell ref="B136:C136"/>
    <mergeCell ref="B133:F133"/>
    <mergeCell ref="A1:H1"/>
    <mergeCell ref="A2:H2"/>
    <mergeCell ref="A3:H3"/>
    <mergeCell ref="J2:N2"/>
    <mergeCell ref="B137:C137"/>
    <mergeCell ref="B120:C120"/>
    <mergeCell ref="B118:F11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156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ht="25.5" x14ac:dyDescent="0.2">
      <c r="A7" s="3">
        <v>1</v>
      </c>
      <c r="B7" s="4" t="s">
        <v>157</v>
      </c>
      <c r="C7" s="4" t="s">
        <v>158</v>
      </c>
      <c r="D7" s="4" t="s">
        <v>1137</v>
      </c>
      <c r="E7" s="5">
        <v>70393</v>
      </c>
      <c r="F7" s="6">
        <v>1190.2400405000001</v>
      </c>
      <c r="G7" s="7">
        <v>5.5086779000000002E-2</v>
      </c>
      <c r="H7" s="39"/>
    </row>
    <row r="8" spans="1:14" ht="25.5" x14ac:dyDescent="0.2">
      <c r="A8" s="3">
        <v>2</v>
      </c>
      <c r="B8" s="4" t="s">
        <v>159</v>
      </c>
      <c r="C8" s="4" t="s">
        <v>160</v>
      </c>
      <c r="D8" s="4" t="s">
        <v>1138</v>
      </c>
      <c r="E8" s="5">
        <v>34674</v>
      </c>
      <c r="F8" s="6">
        <v>130.738317</v>
      </c>
      <c r="G8" s="7">
        <v>6.0508410000000004E-3</v>
      </c>
      <c r="H8" s="39"/>
    </row>
    <row r="9" spans="1:14" x14ac:dyDescent="0.2">
      <c r="A9" s="1"/>
      <c r="B9" s="1"/>
      <c r="C9" s="2" t="s">
        <v>111</v>
      </c>
      <c r="D9" s="1"/>
      <c r="E9" s="1" t="s">
        <v>112</v>
      </c>
      <c r="F9" s="9">
        <v>1320.9783574999999</v>
      </c>
      <c r="G9" s="10">
        <v>6.1137619999999997E-2</v>
      </c>
      <c r="H9" s="39"/>
    </row>
    <row r="10" spans="1:14" x14ac:dyDescent="0.2">
      <c r="A10" s="1"/>
      <c r="B10" s="1"/>
      <c r="C10" s="11"/>
      <c r="D10" s="1"/>
      <c r="E10" s="1"/>
      <c r="F10" s="12"/>
      <c r="G10" s="12"/>
      <c r="H10" s="39"/>
    </row>
    <row r="11" spans="1:14" x14ac:dyDescent="0.2">
      <c r="A11" s="1"/>
      <c r="B11" s="1"/>
      <c r="C11" s="2" t="s">
        <v>113</v>
      </c>
      <c r="D11" s="1"/>
      <c r="E11" s="1"/>
      <c r="F11" s="1"/>
      <c r="G11" s="1"/>
      <c r="H11" s="39"/>
    </row>
    <row r="12" spans="1:14" x14ac:dyDescent="0.2">
      <c r="A12" s="1"/>
      <c r="B12" s="1"/>
      <c r="C12" s="2" t="s">
        <v>111</v>
      </c>
      <c r="D12" s="1"/>
      <c r="E12" s="1" t="s">
        <v>112</v>
      </c>
      <c r="F12" s="13">
        <v>0</v>
      </c>
      <c r="G12" s="14">
        <v>0</v>
      </c>
      <c r="H12" s="39"/>
    </row>
    <row r="13" spans="1:14" x14ac:dyDescent="0.2">
      <c r="A13" s="1"/>
      <c r="B13" s="1"/>
      <c r="C13" s="11"/>
      <c r="D13" s="1"/>
      <c r="E13" s="1"/>
      <c r="F13" s="12"/>
      <c r="G13" s="12"/>
      <c r="H13" s="39"/>
    </row>
    <row r="14" spans="1:14" x14ac:dyDescent="0.2">
      <c r="A14" s="1"/>
      <c r="B14" s="1"/>
      <c r="C14" s="2" t="s">
        <v>114</v>
      </c>
      <c r="D14" s="1"/>
      <c r="E14" s="1"/>
      <c r="F14" s="1"/>
      <c r="G14" s="1"/>
      <c r="H14" s="39"/>
    </row>
    <row r="15" spans="1:14" ht="15" x14ac:dyDescent="0.2">
      <c r="A15" s="1"/>
      <c r="B15" s="1"/>
      <c r="C15" s="2" t="s">
        <v>111</v>
      </c>
      <c r="D15" s="1"/>
      <c r="E15" s="1" t="s">
        <v>112</v>
      </c>
      <c r="F15" s="13">
        <v>0</v>
      </c>
      <c r="G15" s="14">
        <v>0</v>
      </c>
      <c r="H15" s="39"/>
      <c r="J15" s="176" t="s">
        <v>1174</v>
      </c>
    </row>
    <row r="16" spans="1:14" x14ac:dyDescent="0.2">
      <c r="A16" s="1"/>
      <c r="B16" s="1"/>
      <c r="C16" s="11"/>
      <c r="D16" s="1"/>
      <c r="E16" s="1"/>
      <c r="F16" s="12"/>
      <c r="G16" s="12"/>
      <c r="H16" s="39"/>
    </row>
    <row r="17" spans="1:8" x14ac:dyDescent="0.2">
      <c r="A17" s="1"/>
      <c r="B17" s="1"/>
      <c r="C17" s="2" t="s">
        <v>115</v>
      </c>
      <c r="D17" s="1"/>
      <c r="E17" s="1"/>
      <c r="F17" s="1"/>
      <c r="G17" s="1"/>
      <c r="H17" s="39"/>
    </row>
    <row r="18" spans="1:8" x14ac:dyDescent="0.2">
      <c r="A18" s="1"/>
      <c r="B18" s="1"/>
      <c r="C18" s="2" t="s">
        <v>111</v>
      </c>
      <c r="D18" s="1"/>
      <c r="E18" s="1" t="s">
        <v>112</v>
      </c>
      <c r="F18" s="13">
        <v>0</v>
      </c>
      <c r="G18" s="14">
        <v>0</v>
      </c>
      <c r="H18" s="39"/>
    </row>
    <row r="19" spans="1:8" x14ac:dyDescent="0.2">
      <c r="A19" s="1"/>
      <c r="B19" s="1"/>
      <c r="C19" s="11"/>
      <c r="D19" s="1"/>
      <c r="E19" s="1"/>
      <c r="F19" s="12"/>
      <c r="G19" s="12"/>
      <c r="H19" s="39"/>
    </row>
    <row r="20" spans="1:8" x14ac:dyDescent="0.2">
      <c r="A20" s="1"/>
      <c r="B20" s="1"/>
      <c r="C20" s="2" t="s">
        <v>116</v>
      </c>
      <c r="D20" s="1"/>
      <c r="E20" s="1"/>
      <c r="F20" s="12"/>
      <c r="G20" s="12"/>
      <c r="H20" s="39"/>
    </row>
    <row r="21" spans="1:8" x14ac:dyDescent="0.2">
      <c r="A21" s="1"/>
      <c r="B21" s="1"/>
      <c r="C21" s="2" t="s">
        <v>111</v>
      </c>
      <c r="D21" s="1"/>
      <c r="E21" s="1" t="s">
        <v>112</v>
      </c>
      <c r="F21" s="13">
        <v>0</v>
      </c>
      <c r="G21" s="14">
        <v>0</v>
      </c>
      <c r="H21" s="39"/>
    </row>
    <row r="22" spans="1:8" x14ac:dyDescent="0.2">
      <c r="A22" s="1"/>
      <c r="B22" s="1"/>
      <c r="C22" s="11"/>
      <c r="D22" s="1"/>
      <c r="E22" s="1"/>
      <c r="F22" s="12"/>
      <c r="G22" s="12"/>
      <c r="H22" s="39"/>
    </row>
    <row r="23" spans="1:8" x14ac:dyDescent="0.2">
      <c r="A23" s="1"/>
      <c r="B23" s="1"/>
      <c r="C23" s="2" t="s">
        <v>117</v>
      </c>
      <c r="D23" s="1"/>
      <c r="E23" s="1"/>
      <c r="F23" s="12"/>
      <c r="G23" s="12"/>
      <c r="H23" s="39"/>
    </row>
    <row r="24" spans="1:8" x14ac:dyDescent="0.2">
      <c r="A24" s="1"/>
      <c r="B24" s="1"/>
      <c r="C24" s="2" t="s">
        <v>111</v>
      </c>
      <c r="D24" s="1"/>
      <c r="E24" s="1" t="s">
        <v>112</v>
      </c>
      <c r="F24" s="13">
        <v>0</v>
      </c>
      <c r="G24" s="14">
        <v>0</v>
      </c>
      <c r="H24" s="39"/>
    </row>
    <row r="25" spans="1:8" x14ac:dyDescent="0.2">
      <c r="A25" s="1"/>
      <c r="B25" s="1"/>
      <c r="C25" s="11"/>
      <c r="D25" s="1"/>
      <c r="E25" s="1"/>
      <c r="F25" s="12"/>
      <c r="G25" s="12"/>
      <c r="H25" s="39"/>
    </row>
    <row r="26" spans="1:8" x14ac:dyDescent="0.2">
      <c r="A26" s="1"/>
      <c r="B26" s="1"/>
      <c r="C26" s="2" t="s">
        <v>118</v>
      </c>
      <c r="D26" s="1"/>
      <c r="E26" s="1"/>
      <c r="F26" s="9">
        <v>1320.9783574999999</v>
      </c>
      <c r="G26" s="10">
        <v>6.1137619999999997E-2</v>
      </c>
      <c r="H26" s="39"/>
    </row>
    <row r="27" spans="1:8" x14ac:dyDescent="0.2">
      <c r="A27" s="1"/>
      <c r="B27" s="1"/>
      <c r="C27" s="11"/>
      <c r="D27" s="1"/>
      <c r="E27" s="1"/>
      <c r="F27" s="12"/>
      <c r="G27" s="12"/>
      <c r="H27" s="39"/>
    </row>
    <row r="28" spans="1:8" x14ac:dyDescent="0.2">
      <c r="A28" s="1"/>
      <c r="B28" s="1"/>
      <c r="C28" s="2" t="s">
        <v>119</v>
      </c>
      <c r="D28" s="1"/>
      <c r="E28" s="1"/>
      <c r="F28" s="12"/>
      <c r="G28" s="12"/>
      <c r="H28" s="39"/>
    </row>
    <row r="29" spans="1:8" ht="25.5" x14ac:dyDescent="0.2">
      <c r="A29" s="1"/>
      <c r="B29" s="1"/>
      <c r="C29" s="2" t="s">
        <v>10</v>
      </c>
      <c r="D29" s="1"/>
      <c r="E29" s="1"/>
      <c r="F29" s="12"/>
      <c r="G29" s="12"/>
      <c r="H29" s="39"/>
    </row>
    <row r="30" spans="1:8" x14ac:dyDescent="0.2">
      <c r="A30" s="1"/>
      <c r="B30" s="1"/>
      <c r="C30" s="2" t="s">
        <v>111</v>
      </c>
      <c r="D30" s="1"/>
      <c r="E30" s="1" t="s">
        <v>112</v>
      </c>
      <c r="F30" s="13">
        <v>0</v>
      </c>
      <c r="G30" s="14">
        <v>0</v>
      </c>
      <c r="H30" s="39"/>
    </row>
    <row r="31" spans="1:8" x14ac:dyDescent="0.2">
      <c r="A31" s="1"/>
      <c r="B31" s="1"/>
      <c r="C31" s="11"/>
      <c r="D31" s="1"/>
      <c r="E31" s="1"/>
      <c r="F31" s="12"/>
      <c r="G31" s="12"/>
      <c r="H31" s="39"/>
    </row>
    <row r="32" spans="1:8" x14ac:dyDescent="0.2">
      <c r="A32" s="1"/>
      <c r="B32" s="1"/>
      <c r="C32" s="2" t="s">
        <v>120</v>
      </c>
      <c r="D32" s="1"/>
      <c r="E32" s="1"/>
      <c r="F32" s="1"/>
      <c r="G32" s="1"/>
      <c r="H32" s="39"/>
    </row>
    <row r="33" spans="1:8" x14ac:dyDescent="0.2">
      <c r="A33" s="1"/>
      <c r="B33" s="1"/>
      <c r="C33" s="2" t="s">
        <v>111</v>
      </c>
      <c r="D33" s="1"/>
      <c r="E33" s="1" t="s">
        <v>112</v>
      </c>
      <c r="F33" s="13">
        <v>0</v>
      </c>
      <c r="G33" s="14">
        <v>0</v>
      </c>
      <c r="H33" s="39"/>
    </row>
    <row r="34" spans="1:8" x14ac:dyDescent="0.2">
      <c r="A34" s="1"/>
      <c r="B34" s="1"/>
      <c r="C34" s="11"/>
      <c r="D34" s="1"/>
      <c r="E34" s="1"/>
      <c r="F34" s="12"/>
      <c r="G34" s="12"/>
      <c r="H34" s="39"/>
    </row>
    <row r="35" spans="1:8" x14ac:dyDescent="0.2">
      <c r="A35" s="1"/>
      <c r="B35" s="1"/>
      <c r="C35" s="2" t="s">
        <v>121</v>
      </c>
      <c r="D35" s="1"/>
      <c r="E35" s="1"/>
      <c r="F35" s="1"/>
      <c r="G35" s="1"/>
      <c r="H35" s="39"/>
    </row>
    <row r="36" spans="1:8" x14ac:dyDescent="0.2">
      <c r="A36" s="1"/>
      <c r="B36" s="1"/>
      <c r="C36" s="2" t="s">
        <v>111</v>
      </c>
      <c r="D36" s="1"/>
      <c r="E36" s="1" t="s">
        <v>112</v>
      </c>
      <c r="F36" s="13">
        <v>0</v>
      </c>
      <c r="G36" s="14">
        <v>0</v>
      </c>
      <c r="H36" s="39"/>
    </row>
    <row r="37" spans="1:8" x14ac:dyDescent="0.2">
      <c r="A37" s="1"/>
      <c r="B37" s="1"/>
      <c r="C37" s="11"/>
      <c r="D37" s="1"/>
      <c r="E37" s="1"/>
      <c r="F37" s="12"/>
      <c r="G37" s="12"/>
      <c r="H37" s="39"/>
    </row>
    <row r="38" spans="1:8" x14ac:dyDescent="0.2">
      <c r="A38" s="1"/>
      <c r="B38" s="1"/>
      <c r="C38" s="2" t="s">
        <v>122</v>
      </c>
      <c r="D38" s="1"/>
      <c r="E38" s="1"/>
      <c r="F38" s="12"/>
      <c r="G38" s="12"/>
      <c r="H38" s="39"/>
    </row>
    <row r="39" spans="1:8" x14ac:dyDescent="0.2">
      <c r="A39" s="1"/>
      <c r="B39" s="1"/>
      <c r="C39" s="2" t="s">
        <v>111</v>
      </c>
      <c r="D39" s="1"/>
      <c r="E39" s="1" t="s">
        <v>112</v>
      </c>
      <c r="F39" s="13">
        <v>0</v>
      </c>
      <c r="G39" s="14">
        <v>0</v>
      </c>
      <c r="H39" s="39"/>
    </row>
    <row r="40" spans="1:8" x14ac:dyDescent="0.2">
      <c r="A40" s="1"/>
      <c r="B40" s="1"/>
      <c r="C40" s="11"/>
      <c r="D40" s="1"/>
      <c r="E40" s="1"/>
      <c r="F40" s="12"/>
      <c r="G40" s="12"/>
      <c r="H40" s="39"/>
    </row>
    <row r="41" spans="1:8" x14ac:dyDescent="0.2">
      <c r="A41" s="1"/>
      <c r="B41" s="1"/>
      <c r="C41" s="2" t="s">
        <v>123</v>
      </c>
      <c r="D41" s="1"/>
      <c r="E41" s="1"/>
      <c r="F41" s="9">
        <v>0</v>
      </c>
      <c r="G41" s="10">
        <v>0</v>
      </c>
      <c r="H41" s="39"/>
    </row>
    <row r="42" spans="1:8" x14ac:dyDescent="0.2">
      <c r="A42" s="1"/>
      <c r="B42" s="1"/>
      <c r="C42" s="11"/>
      <c r="D42" s="1"/>
      <c r="E42" s="1"/>
      <c r="F42" s="12"/>
      <c r="G42" s="12"/>
      <c r="H42" s="39"/>
    </row>
    <row r="43" spans="1:8" x14ac:dyDescent="0.2">
      <c r="A43" s="1"/>
      <c r="B43" s="1"/>
      <c r="C43" s="2" t="s">
        <v>124</v>
      </c>
      <c r="D43" s="1"/>
      <c r="E43" s="1"/>
      <c r="F43" s="12"/>
      <c r="G43" s="12"/>
      <c r="H43" s="39"/>
    </row>
    <row r="44" spans="1:8" x14ac:dyDescent="0.2">
      <c r="A44" s="1"/>
      <c r="B44" s="1"/>
      <c r="C44" s="2" t="s">
        <v>125</v>
      </c>
      <c r="D44" s="1"/>
      <c r="E44" s="1"/>
      <c r="F44" s="12"/>
      <c r="G44" s="12"/>
      <c r="H44" s="39"/>
    </row>
    <row r="45" spans="1:8" x14ac:dyDescent="0.2">
      <c r="A45" s="1"/>
      <c r="B45" s="1"/>
      <c r="C45" s="2" t="s">
        <v>111</v>
      </c>
      <c r="D45" s="1"/>
      <c r="E45" s="1" t="s">
        <v>112</v>
      </c>
      <c r="F45" s="13">
        <v>0</v>
      </c>
      <c r="G45" s="14">
        <v>0</v>
      </c>
      <c r="H45" s="39"/>
    </row>
    <row r="46" spans="1:8" x14ac:dyDescent="0.2">
      <c r="A46" s="1"/>
      <c r="B46" s="1"/>
      <c r="C46" s="11"/>
      <c r="D46" s="1"/>
      <c r="E46" s="1"/>
      <c r="F46" s="12"/>
      <c r="G46" s="12"/>
      <c r="H46" s="39"/>
    </row>
    <row r="47" spans="1:8" x14ac:dyDescent="0.2">
      <c r="A47" s="1"/>
      <c r="B47" s="1"/>
      <c r="C47" s="2" t="s">
        <v>126</v>
      </c>
      <c r="D47" s="1"/>
      <c r="E47" s="1"/>
      <c r="F47" s="12"/>
      <c r="G47" s="12"/>
      <c r="H47" s="39"/>
    </row>
    <row r="48" spans="1:8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39"/>
    </row>
    <row r="49" spans="1:8" x14ac:dyDescent="0.2">
      <c r="A49" s="1"/>
      <c r="B49" s="1"/>
      <c r="C49" s="11"/>
      <c r="D49" s="1"/>
      <c r="E49" s="1"/>
      <c r="F49" s="12"/>
      <c r="G49" s="12"/>
      <c r="H49" s="39"/>
    </row>
    <row r="50" spans="1:8" x14ac:dyDescent="0.2">
      <c r="A50" s="1"/>
      <c r="B50" s="1"/>
      <c r="C50" s="2" t="s">
        <v>127</v>
      </c>
      <c r="D50" s="1"/>
      <c r="E50" s="1"/>
      <c r="F50" s="12"/>
      <c r="G50" s="12"/>
      <c r="H50" s="39"/>
    </row>
    <row r="51" spans="1:8" x14ac:dyDescent="0.2">
      <c r="A51" s="1"/>
      <c r="B51" s="1"/>
      <c r="C51" s="2" t="s">
        <v>111</v>
      </c>
      <c r="D51" s="1"/>
      <c r="E51" s="1" t="s">
        <v>112</v>
      </c>
      <c r="F51" s="13">
        <v>0</v>
      </c>
      <c r="G51" s="14">
        <v>0</v>
      </c>
      <c r="H51" s="39"/>
    </row>
    <row r="52" spans="1:8" x14ac:dyDescent="0.2">
      <c r="A52" s="1"/>
      <c r="B52" s="1"/>
      <c r="C52" s="11"/>
      <c r="D52" s="1"/>
      <c r="E52" s="1"/>
      <c r="F52" s="12"/>
      <c r="G52" s="12"/>
      <c r="H52" s="39"/>
    </row>
    <row r="53" spans="1:8" x14ac:dyDescent="0.2">
      <c r="A53" s="1"/>
      <c r="B53" s="1"/>
      <c r="C53" s="2" t="s">
        <v>128</v>
      </c>
      <c r="D53" s="1"/>
      <c r="E53" s="1"/>
      <c r="F53" s="12"/>
      <c r="G53" s="12"/>
      <c r="H53" s="39"/>
    </row>
    <row r="54" spans="1:8" x14ac:dyDescent="0.2">
      <c r="A54" s="3">
        <v>1</v>
      </c>
      <c r="B54" s="4"/>
      <c r="C54" s="4" t="s">
        <v>129</v>
      </c>
      <c r="D54" s="4"/>
      <c r="E54" s="8"/>
      <c r="F54" s="6">
        <v>14662.6089173</v>
      </c>
      <c r="G54" s="7">
        <v>0.67861596300000004</v>
      </c>
      <c r="H54" s="39">
        <v>3.6151121728634927</v>
      </c>
    </row>
    <row r="55" spans="1:8" x14ac:dyDescent="0.2">
      <c r="A55" s="3">
        <v>2</v>
      </c>
      <c r="B55" s="4"/>
      <c r="C55" s="4" t="s">
        <v>130</v>
      </c>
      <c r="D55" s="4"/>
      <c r="E55" s="8"/>
      <c r="F55" s="6">
        <v>5184.3613754999997</v>
      </c>
      <c r="G55" s="7">
        <v>0.23994300099999999</v>
      </c>
      <c r="H55" s="39">
        <v>3.7142625760646584</v>
      </c>
    </row>
    <row r="56" spans="1:8" x14ac:dyDescent="0.2">
      <c r="A56" s="1"/>
      <c r="B56" s="1"/>
      <c r="C56" s="2" t="s">
        <v>111</v>
      </c>
      <c r="D56" s="1"/>
      <c r="E56" s="1" t="s">
        <v>112</v>
      </c>
      <c r="F56" s="9">
        <v>19846.970292800001</v>
      </c>
      <c r="G56" s="10">
        <v>0.91855896400000003</v>
      </c>
      <c r="H56" s="39"/>
    </row>
    <row r="57" spans="1:8" x14ac:dyDescent="0.2">
      <c r="A57" s="1"/>
      <c r="B57" s="1"/>
      <c r="C57" s="11"/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131</v>
      </c>
      <c r="D58" s="1"/>
      <c r="E58" s="1"/>
      <c r="F58" s="9">
        <v>19846.970292800001</v>
      </c>
      <c r="G58" s="10">
        <v>0.91855896400000003</v>
      </c>
      <c r="H58" s="39"/>
    </row>
    <row r="59" spans="1:8" x14ac:dyDescent="0.2">
      <c r="A59" s="1"/>
      <c r="B59" s="1"/>
      <c r="C59" s="12"/>
      <c r="D59" s="1"/>
      <c r="E59" s="1"/>
      <c r="F59" s="1"/>
      <c r="G59" s="1"/>
      <c r="H59" s="39"/>
    </row>
    <row r="60" spans="1:8" x14ac:dyDescent="0.2">
      <c r="A60" s="1"/>
      <c r="B60" s="1"/>
      <c r="C60" s="2" t="s">
        <v>132</v>
      </c>
      <c r="D60" s="1"/>
      <c r="E60" s="1"/>
      <c r="F60" s="1"/>
      <c r="G60" s="1"/>
      <c r="H60" s="39"/>
    </row>
    <row r="61" spans="1:8" x14ac:dyDescent="0.2">
      <c r="A61" s="1"/>
      <c r="B61" s="1"/>
      <c r="C61" s="2" t="s">
        <v>133</v>
      </c>
      <c r="D61" s="1"/>
      <c r="E61" s="1"/>
      <c r="F61" s="1"/>
      <c r="G61" s="1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134</v>
      </c>
      <c r="D64" s="1"/>
      <c r="E64" s="1"/>
      <c r="F64" s="1"/>
      <c r="G64" s="1"/>
      <c r="H64" s="39"/>
    </row>
    <row r="65" spans="1:8" x14ac:dyDescent="0.2">
      <c r="A65" s="1"/>
      <c r="B65" s="1"/>
      <c r="C65" s="2" t="s">
        <v>135</v>
      </c>
      <c r="D65" s="1"/>
      <c r="E65" s="1"/>
      <c r="F65" s="1"/>
      <c r="G65" s="1"/>
      <c r="H65" s="39"/>
    </row>
    <row r="66" spans="1:8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39"/>
    </row>
    <row r="67" spans="1:8" x14ac:dyDescent="0.2">
      <c r="A67" s="1"/>
      <c r="B67" s="1"/>
      <c r="C67" s="11"/>
      <c r="D67" s="1"/>
      <c r="E67" s="1"/>
      <c r="F67" s="12"/>
      <c r="G67" s="12"/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ht="25.5" x14ac:dyDescent="0.2">
      <c r="A69" s="1"/>
      <c r="B69" s="1"/>
      <c r="C69" s="2" t="s">
        <v>136</v>
      </c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39"/>
    </row>
    <row r="71" spans="1:8" x14ac:dyDescent="0.2">
      <c r="A71" s="1"/>
      <c r="B71" s="1"/>
      <c r="C71" s="11"/>
      <c r="D71" s="1"/>
      <c r="E71" s="1"/>
      <c r="F71" s="12"/>
      <c r="G71" s="12"/>
      <c r="H71" s="39"/>
    </row>
    <row r="72" spans="1:8" x14ac:dyDescent="0.2">
      <c r="A72" s="1"/>
      <c r="B72" s="4"/>
      <c r="C72" s="4"/>
      <c r="D72" s="2"/>
      <c r="E72" s="1"/>
      <c r="F72" s="4"/>
      <c r="G72" s="8"/>
      <c r="H72" s="39"/>
    </row>
    <row r="73" spans="1:8" x14ac:dyDescent="0.2">
      <c r="A73" s="8"/>
      <c r="B73" s="4"/>
      <c r="C73" s="4" t="s">
        <v>137</v>
      </c>
      <c r="D73" s="4"/>
      <c r="E73" s="8"/>
      <c r="F73" s="6">
        <v>438.68856420999998</v>
      </c>
      <c r="G73" s="7">
        <v>2.0303417000000001E-2</v>
      </c>
      <c r="H73" s="39"/>
    </row>
    <row r="74" spans="1:8" x14ac:dyDescent="0.2">
      <c r="A74" s="11"/>
      <c r="B74" s="11"/>
      <c r="C74" s="2" t="s">
        <v>138</v>
      </c>
      <c r="D74" s="15"/>
      <c r="E74" s="15"/>
      <c r="F74" s="9">
        <v>21606.637214509999</v>
      </c>
      <c r="G74" s="10">
        <v>1.0000000010000001</v>
      </c>
      <c r="H74" s="39"/>
    </row>
    <row r="75" spans="1:8" ht="14.1" customHeight="1" x14ac:dyDescent="0.2">
      <c r="A75" s="16"/>
      <c r="B75" s="16"/>
      <c r="C75" s="16"/>
      <c r="D75" s="17"/>
      <c r="E75" s="17"/>
      <c r="F75" s="17"/>
      <c r="G75" s="17"/>
    </row>
    <row r="76" spans="1:8" ht="14.1" customHeight="1" x14ac:dyDescent="0.2">
      <c r="A76" s="18"/>
      <c r="B76" s="18"/>
      <c r="C76" s="18"/>
      <c r="D76" s="20"/>
      <c r="E76" s="20"/>
      <c r="F76" s="20"/>
      <c r="G76" s="20"/>
    </row>
    <row r="77" spans="1:8" ht="14.1" customHeight="1" x14ac:dyDescent="0.2">
      <c r="A77" s="18"/>
      <c r="B77" s="194" t="s">
        <v>140</v>
      </c>
      <c r="C77" s="195"/>
      <c r="D77" s="12" t="s">
        <v>112</v>
      </c>
      <c r="E77" s="21"/>
      <c r="F77" s="20"/>
      <c r="G77" s="20"/>
    </row>
    <row r="78" spans="1:8" ht="29.1" customHeight="1" x14ac:dyDescent="0.2">
      <c r="A78" s="18"/>
      <c r="B78" s="189" t="s">
        <v>141</v>
      </c>
      <c r="C78" s="190"/>
      <c r="D78" s="2" t="s">
        <v>142</v>
      </c>
      <c r="E78" s="21"/>
      <c r="F78" s="20"/>
      <c r="G78" s="20"/>
    </row>
    <row r="79" spans="1:8" ht="17.100000000000001" customHeight="1" x14ac:dyDescent="0.2">
      <c r="A79" s="18"/>
      <c r="B79" s="189" t="s">
        <v>143</v>
      </c>
      <c r="C79" s="190"/>
      <c r="D79" s="2" t="s">
        <v>142</v>
      </c>
      <c r="E79" s="21"/>
      <c r="F79" s="20"/>
      <c r="G79" s="20"/>
    </row>
    <row r="80" spans="1:8" ht="17.100000000000001" customHeight="1" x14ac:dyDescent="0.2">
      <c r="A80" s="18"/>
      <c r="B80" s="189" t="s">
        <v>144</v>
      </c>
      <c r="C80" s="190"/>
      <c r="D80" s="12" t="s">
        <v>112</v>
      </c>
      <c r="E80" s="21"/>
      <c r="F80" s="20"/>
      <c r="G80" s="20"/>
    </row>
    <row r="81" spans="1:17" ht="24" customHeight="1" x14ac:dyDescent="0.2">
      <c r="A81" s="22"/>
      <c r="B81" s="23" t="s">
        <v>112</v>
      </c>
      <c r="C81" s="23" t="s">
        <v>145</v>
      </c>
      <c r="D81" s="23" t="s">
        <v>146</v>
      </c>
      <c r="E81" s="22"/>
      <c r="F81" s="22"/>
      <c r="G81" s="22"/>
    </row>
    <row r="82" spans="1:17" ht="18" customHeight="1" x14ac:dyDescent="0.2">
      <c r="A82" s="22"/>
      <c r="B82" s="23" t="s">
        <v>147</v>
      </c>
      <c r="C82" s="23" t="s">
        <v>148</v>
      </c>
      <c r="D82" s="23" t="s">
        <v>149</v>
      </c>
      <c r="E82" s="22"/>
      <c r="F82" s="22"/>
      <c r="G82" s="22"/>
    </row>
    <row r="83" spans="1:17" ht="17.100000000000001" customHeight="1" x14ac:dyDescent="0.2">
      <c r="A83" s="22"/>
      <c r="B83" s="4" t="s">
        <v>150</v>
      </c>
      <c r="C83" s="24">
        <v>16.652999999999999</v>
      </c>
      <c r="D83" s="24">
        <v>16.765699999999999</v>
      </c>
      <c r="E83" s="22"/>
      <c r="F83" s="19"/>
      <c r="G83" s="25"/>
    </row>
    <row r="84" spans="1:17" ht="17.100000000000001" customHeight="1" x14ac:dyDescent="0.2">
      <c r="A84" s="22"/>
      <c r="B84" s="4" t="s">
        <v>1092</v>
      </c>
      <c r="C84" s="24">
        <v>16.652999999999999</v>
      </c>
      <c r="D84" s="24">
        <v>16.765699999999999</v>
      </c>
      <c r="E84" s="22"/>
      <c r="F84" s="19"/>
      <c r="G84" s="25"/>
    </row>
    <row r="85" spans="1:17" ht="17.100000000000001" customHeight="1" x14ac:dyDescent="0.2">
      <c r="A85" s="22"/>
      <c r="B85" s="4" t="s">
        <v>151</v>
      </c>
      <c r="C85" s="24">
        <v>16.1602</v>
      </c>
      <c r="D85" s="24">
        <v>16.260899999999999</v>
      </c>
      <c r="E85" s="22"/>
      <c r="F85" s="19"/>
      <c r="G85" s="25"/>
    </row>
    <row r="86" spans="1:17" ht="17.100000000000001" customHeight="1" x14ac:dyDescent="0.2">
      <c r="A86" s="22"/>
      <c r="B86" s="4" t="s">
        <v>1093</v>
      </c>
      <c r="C86" s="24">
        <v>16.1602</v>
      </c>
      <c r="D86" s="24">
        <v>16.260899999999999</v>
      </c>
      <c r="E86" s="22"/>
      <c r="F86" s="19"/>
      <c r="G86" s="25"/>
    </row>
    <row r="87" spans="1:17" ht="14.1" customHeight="1" x14ac:dyDescent="0.2">
      <c r="A87" s="22"/>
      <c r="B87" s="22"/>
      <c r="C87" s="22"/>
      <c r="D87" s="22"/>
      <c r="E87" s="22"/>
      <c r="F87" s="22"/>
      <c r="G87" s="22"/>
    </row>
    <row r="88" spans="1:17" ht="17.100000000000001" customHeight="1" x14ac:dyDescent="0.2">
      <c r="A88" s="22"/>
      <c r="B88" s="189" t="s">
        <v>1094</v>
      </c>
      <c r="C88" s="190"/>
      <c r="D88" s="2" t="s">
        <v>142</v>
      </c>
      <c r="E88" s="22"/>
      <c r="F88" s="22"/>
      <c r="G88" s="22"/>
    </row>
    <row r="89" spans="1:17" ht="18" customHeight="1" x14ac:dyDescent="0.2">
      <c r="A89" s="22"/>
      <c r="B89" s="26"/>
      <c r="C89" s="26"/>
      <c r="D89" s="27"/>
      <c r="E89" s="22"/>
      <c r="F89" s="22"/>
      <c r="G89" s="22"/>
    </row>
    <row r="90" spans="1:17" s="101" customFormat="1" x14ac:dyDescent="0.2">
      <c r="B90" s="193" t="s">
        <v>1102</v>
      </c>
      <c r="C90" s="193"/>
      <c r="D90" s="193"/>
      <c r="E90" s="193"/>
      <c r="F90" s="193"/>
      <c r="I90"/>
      <c r="J90"/>
      <c r="K90"/>
      <c r="L90"/>
      <c r="M90"/>
      <c r="N90"/>
      <c r="O90"/>
      <c r="P90" s="41"/>
      <c r="Q90" s="41"/>
    </row>
    <row r="91" spans="1:17" ht="14.1" customHeight="1" x14ac:dyDescent="0.2">
      <c r="A91" s="22"/>
      <c r="B91" s="19"/>
      <c r="C91" s="19"/>
      <c r="D91" s="22"/>
      <c r="E91" s="22"/>
      <c r="F91" s="22"/>
      <c r="G91" s="22"/>
    </row>
    <row r="92" spans="1:17" ht="29.1" customHeight="1" x14ac:dyDescent="0.2">
      <c r="A92" s="22"/>
      <c r="B92" s="189" t="s">
        <v>152</v>
      </c>
      <c r="C92" s="190"/>
      <c r="D92" s="2" t="s">
        <v>142</v>
      </c>
      <c r="E92" s="22"/>
      <c r="F92" s="22"/>
      <c r="G92" s="22"/>
    </row>
    <row r="93" spans="1:17" ht="29.1" customHeight="1" x14ac:dyDescent="0.2">
      <c r="A93" s="22"/>
      <c r="B93" s="189" t="s">
        <v>153</v>
      </c>
      <c r="C93" s="190"/>
      <c r="D93" s="2" t="s">
        <v>142</v>
      </c>
      <c r="E93" s="22"/>
      <c r="F93" s="22"/>
      <c r="G93" s="22"/>
    </row>
    <row r="94" spans="1:17" ht="17.100000000000001" customHeight="1" x14ac:dyDescent="0.2">
      <c r="A94" s="22"/>
      <c r="B94" s="189" t="s">
        <v>154</v>
      </c>
      <c r="C94" s="190"/>
      <c r="D94" s="28">
        <v>0.34339280390977289</v>
      </c>
      <c r="E94" s="22"/>
      <c r="F94" s="19"/>
      <c r="G94" s="25"/>
    </row>
    <row r="95" spans="1:17" ht="17.100000000000001" customHeight="1" x14ac:dyDescent="0.2">
      <c r="A95" s="22"/>
      <c r="B95" s="189" t="s">
        <v>155</v>
      </c>
      <c r="C95" s="190"/>
      <c r="D95" s="2" t="s">
        <v>142</v>
      </c>
      <c r="E95" s="22"/>
      <c r="F95" s="22"/>
      <c r="G95" s="22"/>
    </row>
    <row r="165" spans="10:15" x14ac:dyDescent="0.2">
      <c r="J165" s="101"/>
      <c r="K165" s="101"/>
      <c r="L165" s="101"/>
      <c r="M165" s="101"/>
      <c r="N165" s="101"/>
      <c r="O165" s="101"/>
    </row>
  </sheetData>
  <mergeCells count="14">
    <mergeCell ref="B95:C95"/>
    <mergeCell ref="B78:C78"/>
    <mergeCell ref="B79:C79"/>
    <mergeCell ref="B80:C80"/>
    <mergeCell ref="B88:C88"/>
    <mergeCell ref="B92:C92"/>
    <mergeCell ref="B93:C93"/>
    <mergeCell ref="B94:C94"/>
    <mergeCell ref="A1:H1"/>
    <mergeCell ref="A2:H2"/>
    <mergeCell ref="A3:H3"/>
    <mergeCell ref="B90:F90"/>
    <mergeCell ref="J2:N2"/>
    <mergeCell ref="B77:C7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161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ht="25.5" x14ac:dyDescent="0.2">
      <c r="A7" s="3">
        <v>1</v>
      </c>
      <c r="B7" s="4" t="s">
        <v>157</v>
      </c>
      <c r="C7" s="4" t="s">
        <v>158</v>
      </c>
      <c r="D7" s="4" t="s">
        <v>1137</v>
      </c>
      <c r="E7" s="5">
        <v>66256</v>
      </c>
      <c r="F7" s="6">
        <v>1120.2895759999999</v>
      </c>
      <c r="G7" s="7">
        <v>5.3885757999999999E-2</v>
      </c>
      <c r="H7" s="39"/>
    </row>
    <row r="8" spans="1:14" x14ac:dyDescent="0.2">
      <c r="A8" s="3">
        <v>2</v>
      </c>
      <c r="B8" s="4" t="s">
        <v>162</v>
      </c>
      <c r="C8" s="4" t="s">
        <v>163</v>
      </c>
      <c r="D8" s="4" t="s">
        <v>1026</v>
      </c>
      <c r="E8" s="5">
        <v>23137</v>
      </c>
      <c r="F8" s="6">
        <v>342.93661400000002</v>
      </c>
      <c r="G8" s="7">
        <v>1.6495198999999999E-2</v>
      </c>
      <c r="H8" s="39"/>
    </row>
    <row r="9" spans="1:14" x14ac:dyDescent="0.2">
      <c r="A9" s="3">
        <v>3</v>
      </c>
      <c r="B9" s="4" t="s">
        <v>164</v>
      </c>
      <c r="C9" s="4" t="s">
        <v>165</v>
      </c>
      <c r="D9" s="4" t="s">
        <v>82</v>
      </c>
      <c r="E9" s="5">
        <v>313096</v>
      </c>
      <c r="F9" s="6">
        <v>333.44724000000002</v>
      </c>
      <c r="G9" s="7">
        <v>1.6038762000000002E-2</v>
      </c>
      <c r="H9" s="39"/>
    </row>
    <row r="10" spans="1:14" x14ac:dyDescent="0.2">
      <c r="A10" s="3">
        <v>4</v>
      </c>
      <c r="B10" s="4" t="s">
        <v>166</v>
      </c>
      <c r="C10" s="4" t="s">
        <v>167</v>
      </c>
      <c r="D10" s="4" t="s">
        <v>1159</v>
      </c>
      <c r="E10" s="5">
        <v>26197</v>
      </c>
      <c r="F10" s="6">
        <v>330.09529850000001</v>
      </c>
      <c r="G10" s="7">
        <v>1.5877533999999999E-2</v>
      </c>
      <c r="H10" s="39"/>
    </row>
    <row r="11" spans="1:14" ht="25.5" x14ac:dyDescent="0.2">
      <c r="A11" s="3">
        <v>5</v>
      </c>
      <c r="B11" s="4" t="s">
        <v>168</v>
      </c>
      <c r="C11" s="4" t="s">
        <v>169</v>
      </c>
      <c r="D11" s="4" t="s">
        <v>1137</v>
      </c>
      <c r="E11" s="5">
        <v>107960</v>
      </c>
      <c r="F11" s="6">
        <v>259.6438</v>
      </c>
      <c r="G11" s="7">
        <v>1.2488826999999999E-2</v>
      </c>
      <c r="H11" s="39"/>
    </row>
    <row r="12" spans="1:14" x14ac:dyDescent="0.2">
      <c r="A12" s="3">
        <v>6</v>
      </c>
      <c r="B12" s="4" t="s">
        <v>170</v>
      </c>
      <c r="C12" s="4" t="s">
        <v>171</v>
      </c>
      <c r="D12" s="4" t="s">
        <v>1027</v>
      </c>
      <c r="E12" s="5">
        <v>16128</v>
      </c>
      <c r="F12" s="6">
        <v>247.84703999999999</v>
      </c>
      <c r="G12" s="7">
        <v>1.1921405E-2</v>
      </c>
      <c r="H12" s="39"/>
    </row>
    <row r="13" spans="1:14" ht="25.5" x14ac:dyDescent="0.2">
      <c r="A13" s="3">
        <v>7</v>
      </c>
      <c r="B13" s="4" t="s">
        <v>42</v>
      </c>
      <c r="C13" s="4" t="s">
        <v>43</v>
      </c>
      <c r="D13" s="4" t="s">
        <v>1150</v>
      </c>
      <c r="E13" s="5">
        <v>9645</v>
      </c>
      <c r="F13" s="6">
        <v>234.498885</v>
      </c>
      <c r="G13" s="7">
        <v>1.1279361E-2</v>
      </c>
      <c r="H13" s="39"/>
      <c r="J13" s="176" t="s">
        <v>1174</v>
      </c>
    </row>
    <row r="14" spans="1:14" x14ac:dyDescent="0.2">
      <c r="A14" s="3">
        <v>8</v>
      </c>
      <c r="B14" s="4" t="s">
        <v>172</v>
      </c>
      <c r="C14" s="4" t="s">
        <v>173</v>
      </c>
      <c r="D14" s="4" t="s">
        <v>1166</v>
      </c>
      <c r="E14" s="5">
        <v>93457</v>
      </c>
      <c r="F14" s="6">
        <v>210.23152150000001</v>
      </c>
      <c r="G14" s="7">
        <v>1.0112104E-2</v>
      </c>
      <c r="H14" s="39"/>
    </row>
    <row r="15" spans="1:14" x14ac:dyDescent="0.2">
      <c r="A15" s="3">
        <v>9</v>
      </c>
      <c r="B15" s="4" t="s">
        <v>174</v>
      </c>
      <c r="C15" s="4" t="s">
        <v>175</v>
      </c>
      <c r="D15" s="4" t="s">
        <v>82</v>
      </c>
      <c r="E15" s="5">
        <v>29017</v>
      </c>
      <c r="F15" s="6">
        <v>183.2278465</v>
      </c>
      <c r="G15" s="7">
        <v>8.8132320000000007E-3</v>
      </c>
      <c r="H15" s="39"/>
    </row>
    <row r="16" spans="1:14" ht="25.5" x14ac:dyDescent="0.2">
      <c r="A16" s="3">
        <v>10</v>
      </c>
      <c r="B16" s="4" t="s">
        <v>159</v>
      </c>
      <c r="C16" s="4" t="s">
        <v>160</v>
      </c>
      <c r="D16" s="4" t="s">
        <v>1138</v>
      </c>
      <c r="E16" s="5">
        <v>47916</v>
      </c>
      <c r="F16" s="6">
        <v>180.66727800000001</v>
      </c>
      <c r="G16" s="7">
        <v>8.6900689999999999E-3</v>
      </c>
      <c r="H16" s="39"/>
    </row>
    <row r="17" spans="1:8" ht="25.5" x14ac:dyDescent="0.2">
      <c r="A17" s="3">
        <v>11</v>
      </c>
      <c r="B17" s="4" t="s">
        <v>176</v>
      </c>
      <c r="C17" s="4" t="s">
        <v>177</v>
      </c>
      <c r="D17" s="4" t="s">
        <v>71</v>
      </c>
      <c r="E17" s="5">
        <v>10136</v>
      </c>
      <c r="F17" s="6">
        <v>179.48321999999999</v>
      </c>
      <c r="G17" s="7">
        <v>8.6331159999999997E-3</v>
      </c>
      <c r="H17" s="39"/>
    </row>
    <row r="18" spans="1:8" x14ac:dyDescent="0.2">
      <c r="A18" s="3">
        <v>12</v>
      </c>
      <c r="B18" s="4" t="s">
        <v>38</v>
      </c>
      <c r="C18" s="4" t="s">
        <v>39</v>
      </c>
      <c r="D18" s="4" t="s">
        <v>29</v>
      </c>
      <c r="E18" s="5">
        <v>13538</v>
      </c>
      <c r="F18" s="6">
        <v>178.62714099999999</v>
      </c>
      <c r="G18" s="7">
        <v>8.5919380000000004E-3</v>
      </c>
      <c r="H18" s="39"/>
    </row>
    <row r="19" spans="1:8" ht="25.5" x14ac:dyDescent="0.2">
      <c r="A19" s="3">
        <v>13</v>
      </c>
      <c r="B19" s="4" t="s">
        <v>178</v>
      </c>
      <c r="C19" s="4" t="s">
        <v>179</v>
      </c>
      <c r="D19" s="4" t="s">
        <v>1153</v>
      </c>
      <c r="E19" s="5">
        <v>19534</v>
      </c>
      <c r="F19" s="6">
        <v>178.071944</v>
      </c>
      <c r="G19" s="7">
        <v>8.5652330000000002E-3</v>
      </c>
      <c r="H19" s="39"/>
    </row>
    <row r="20" spans="1:8" x14ac:dyDescent="0.2">
      <c r="A20" s="3">
        <v>14</v>
      </c>
      <c r="B20" s="4" t="s">
        <v>180</v>
      </c>
      <c r="C20" s="4" t="s">
        <v>181</v>
      </c>
      <c r="D20" s="4" t="s">
        <v>1156</v>
      </c>
      <c r="E20" s="5">
        <v>54888</v>
      </c>
      <c r="F20" s="6">
        <v>175.77882</v>
      </c>
      <c r="G20" s="7">
        <v>8.4549350000000002E-3</v>
      </c>
      <c r="H20" s="39"/>
    </row>
    <row r="21" spans="1:8" ht="25.5" x14ac:dyDescent="0.2">
      <c r="A21" s="3">
        <v>15</v>
      </c>
      <c r="B21" s="4" t="s">
        <v>182</v>
      </c>
      <c r="C21" s="4" t="s">
        <v>183</v>
      </c>
      <c r="D21" s="4" t="s">
        <v>1150</v>
      </c>
      <c r="E21" s="5">
        <v>91225</v>
      </c>
      <c r="F21" s="6">
        <v>172.96260000000001</v>
      </c>
      <c r="G21" s="7">
        <v>8.3194749999999998E-3</v>
      </c>
      <c r="H21" s="39"/>
    </row>
    <row r="22" spans="1:8" ht="25.5" x14ac:dyDescent="0.2">
      <c r="A22" s="3">
        <v>16</v>
      </c>
      <c r="B22" s="4" t="s">
        <v>184</v>
      </c>
      <c r="C22" s="4" t="s">
        <v>185</v>
      </c>
      <c r="D22" s="4" t="s">
        <v>1145</v>
      </c>
      <c r="E22" s="5">
        <v>37162</v>
      </c>
      <c r="F22" s="6">
        <v>168.13946899999999</v>
      </c>
      <c r="G22" s="7">
        <v>8.0874829999999995E-3</v>
      </c>
      <c r="H22" s="39"/>
    </row>
    <row r="23" spans="1:8" ht="25.5" x14ac:dyDescent="0.2">
      <c r="A23" s="3">
        <v>17</v>
      </c>
      <c r="B23" s="4" t="s">
        <v>186</v>
      </c>
      <c r="C23" s="4" t="s">
        <v>187</v>
      </c>
      <c r="D23" s="4" t="s">
        <v>1158</v>
      </c>
      <c r="E23" s="5">
        <v>34607</v>
      </c>
      <c r="F23" s="6">
        <v>167.8612535</v>
      </c>
      <c r="G23" s="7">
        <v>8.0741010000000002E-3</v>
      </c>
      <c r="H23" s="39"/>
    </row>
    <row r="24" spans="1:8" ht="25.5" x14ac:dyDescent="0.2">
      <c r="A24" s="3">
        <v>18</v>
      </c>
      <c r="B24" s="4" t="s">
        <v>188</v>
      </c>
      <c r="C24" s="4" t="s">
        <v>189</v>
      </c>
      <c r="D24" s="4" t="s">
        <v>1158</v>
      </c>
      <c r="E24" s="5">
        <v>25190</v>
      </c>
      <c r="F24" s="6">
        <v>166.01469499999999</v>
      </c>
      <c r="G24" s="7">
        <v>7.9852819999999998E-3</v>
      </c>
      <c r="H24" s="39"/>
    </row>
    <row r="25" spans="1:8" x14ac:dyDescent="0.2">
      <c r="A25" s="3">
        <v>19</v>
      </c>
      <c r="B25" s="4" t="s">
        <v>190</v>
      </c>
      <c r="C25" s="4" t="s">
        <v>191</v>
      </c>
      <c r="D25" s="4" t="s">
        <v>1169</v>
      </c>
      <c r="E25" s="5">
        <v>183660</v>
      </c>
      <c r="F25" s="6">
        <v>164.19203999999999</v>
      </c>
      <c r="G25" s="7">
        <v>7.897612E-3</v>
      </c>
      <c r="H25" s="39"/>
    </row>
    <row r="26" spans="1:8" x14ac:dyDescent="0.2">
      <c r="A26" s="3">
        <v>20</v>
      </c>
      <c r="B26" s="4" t="s">
        <v>192</v>
      </c>
      <c r="C26" s="4" t="s">
        <v>193</v>
      </c>
      <c r="D26" s="4" t="s">
        <v>1026</v>
      </c>
      <c r="E26" s="5">
        <v>33942</v>
      </c>
      <c r="F26" s="6">
        <v>162.70097699999999</v>
      </c>
      <c r="G26" s="7">
        <v>7.8258919999999992E-3</v>
      </c>
      <c r="H26" s="39"/>
    </row>
    <row r="27" spans="1:8" x14ac:dyDescent="0.2">
      <c r="A27" s="3">
        <v>21</v>
      </c>
      <c r="B27" s="4" t="s">
        <v>194</v>
      </c>
      <c r="C27" s="4" t="s">
        <v>195</v>
      </c>
      <c r="D27" s="4" t="s">
        <v>1027</v>
      </c>
      <c r="E27" s="5">
        <v>10313</v>
      </c>
      <c r="F27" s="6">
        <v>145.9753585</v>
      </c>
      <c r="G27" s="7">
        <v>7.0213929999999999E-3</v>
      </c>
      <c r="H27" s="39"/>
    </row>
    <row r="28" spans="1:8" ht="25.5" x14ac:dyDescent="0.2">
      <c r="A28" s="3">
        <v>22</v>
      </c>
      <c r="B28" s="4" t="s">
        <v>196</v>
      </c>
      <c r="C28" s="4" t="s">
        <v>197</v>
      </c>
      <c r="D28" s="4" t="s">
        <v>1138</v>
      </c>
      <c r="E28" s="5">
        <v>9159</v>
      </c>
      <c r="F28" s="6">
        <v>144.245091</v>
      </c>
      <c r="G28" s="7">
        <v>6.9381670000000003E-3</v>
      </c>
      <c r="H28" s="39"/>
    </row>
    <row r="29" spans="1:8" ht="25.5" x14ac:dyDescent="0.2">
      <c r="A29" s="3">
        <v>23</v>
      </c>
      <c r="B29" s="4" t="s">
        <v>198</v>
      </c>
      <c r="C29" s="4" t="s">
        <v>199</v>
      </c>
      <c r="D29" s="4" t="s">
        <v>1138</v>
      </c>
      <c r="E29" s="5">
        <v>23371</v>
      </c>
      <c r="F29" s="6">
        <v>137.912271</v>
      </c>
      <c r="G29" s="7">
        <v>6.6335589999999998E-3</v>
      </c>
      <c r="H29" s="39"/>
    </row>
    <row r="30" spans="1:8" x14ac:dyDescent="0.2">
      <c r="A30" s="3">
        <v>24</v>
      </c>
      <c r="B30" s="4" t="s">
        <v>200</v>
      </c>
      <c r="C30" s="4" t="s">
        <v>201</v>
      </c>
      <c r="D30" s="4" t="s">
        <v>60</v>
      </c>
      <c r="E30" s="5">
        <v>160292</v>
      </c>
      <c r="F30" s="6">
        <v>137.53053600000001</v>
      </c>
      <c r="G30" s="7">
        <v>6.6151980000000001E-3</v>
      </c>
      <c r="H30" s="39"/>
    </row>
    <row r="31" spans="1:8" x14ac:dyDescent="0.2">
      <c r="A31" s="3">
        <v>25</v>
      </c>
      <c r="B31" s="4" t="s">
        <v>202</v>
      </c>
      <c r="C31" s="4" t="s">
        <v>203</v>
      </c>
      <c r="D31" s="4" t="s">
        <v>71</v>
      </c>
      <c r="E31" s="5">
        <v>56576</v>
      </c>
      <c r="F31" s="6">
        <v>125.485568</v>
      </c>
      <c r="G31" s="7">
        <v>6.0358369999999996E-3</v>
      </c>
      <c r="H31" s="39"/>
    </row>
    <row r="32" spans="1:8" x14ac:dyDescent="0.2">
      <c r="A32" s="3">
        <v>26</v>
      </c>
      <c r="B32" s="4" t="s">
        <v>204</v>
      </c>
      <c r="C32" s="4" t="s">
        <v>205</v>
      </c>
      <c r="D32" s="4" t="s">
        <v>1026</v>
      </c>
      <c r="E32" s="5">
        <v>77946</v>
      </c>
      <c r="F32" s="6">
        <v>118.94559599999999</v>
      </c>
      <c r="G32" s="7">
        <v>5.7212649999999997E-3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12254</v>
      </c>
      <c r="F33" s="6">
        <v>113.686485</v>
      </c>
      <c r="G33" s="7">
        <v>5.4683029999999999E-3</v>
      </c>
      <c r="H33" s="39"/>
    </row>
    <row r="34" spans="1:8" x14ac:dyDescent="0.2">
      <c r="A34" s="3">
        <v>28</v>
      </c>
      <c r="B34" s="4" t="s">
        <v>208</v>
      </c>
      <c r="C34" s="4" t="s">
        <v>209</v>
      </c>
      <c r="D34" s="4" t="s">
        <v>71</v>
      </c>
      <c r="E34" s="5">
        <v>17828</v>
      </c>
      <c r="F34" s="6">
        <v>109.455006</v>
      </c>
      <c r="G34" s="7">
        <v>5.2647689999999999E-3</v>
      </c>
      <c r="H34" s="39"/>
    </row>
    <row r="35" spans="1:8" x14ac:dyDescent="0.2">
      <c r="A35" s="3">
        <v>29</v>
      </c>
      <c r="B35" s="4" t="s">
        <v>210</v>
      </c>
      <c r="C35" s="4" t="s">
        <v>211</v>
      </c>
      <c r="D35" s="4" t="s">
        <v>91</v>
      </c>
      <c r="E35" s="5">
        <v>12703</v>
      </c>
      <c r="F35" s="6">
        <v>97.997293499999998</v>
      </c>
      <c r="G35" s="7">
        <v>4.7136549999999998E-3</v>
      </c>
      <c r="H35" s="39"/>
    </row>
    <row r="36" spans="1:8" x14ac:dyDescent="0.2">
      <c r="A36" s="3">
        <v>30</v>
      </c>
      <c r="B36" s="4" t="s">
        <v>212</v>
      </c>
      <c r="C36" s="4" t="s">
        <v>213</v>
      </c>
      <c r="D36" s="4" t="s">
        <v>308</v>
      </c>
      <c r="E36" s="5">
        <v>13630</v>
      </c>
      <c r="F36" s="6">
        <v>78.999480000000005</v>
      </c>
      <c r="G36" s="7">
        <v>3.7998630000000001E-3</v>
      </c>
      <c r="H36" s="39"/>
    </row>
    <row r="37" spans="1:8" x14ac:dyDescent="0.2">
      <c r="A37" s="3">
        <v>31</v>
      </c>
      <c r="B37" s="4" t="s">
        <v>214</v>
      </c>
      <c r="C37" s="4" t="s">
        <v>215</v>
      </c>
      <c r="D37" s="4" t="s">
        <v>18</v>
      </c>
      <c r="E37" s="5">
        <v>113502</v>
      </c>
      <c r="F37" s="6">
        <v>78.770387999999997</v>
      </c>
      <c r="G37" s="7">
        <v>3.788844E-3</v>
      </c>
      <c r="H37" s="39"/>
    </row>
    <row r="38" spans="1:8" x14ac:dyDescent="0.2">
      <c r="A38" s="3">
        <v>32</v>
      </c>
      <c r="B38" s="4" t="s">
        <v>104</v>
      </c>
      <c r="C38" s="4" t="s">
        <v>105</v>
      </c>
      <c r="D38" s="4" t="s">
        <v>1157</v>
      </c>
      <c r="E38" s="5">
        <v>100338</v>
      </c>
      <c r="F38" s="6">
        <v>78.012794999999997</v>
      </c>
      <c r="G38" s="7">
        <v>3.752404E-3</v>
      </c>
      <c r="H38" s="39"/>
    </row>
    <row r="39" spans="1:8" ht="25.5" x14ac:dyDescent="0.2">
      <c r="A39" s="3">
        <v>33</v>
      </c>
      <c r="B39" s="4" t="s">
        <v>216</v>
      </c>
      <c r="C39" s="4" t="s">
        <v>217</v>
      </c>
      <c r="D39" s="4" t="s">
        <v>1138</v>
      </c>
      <c r="E39" s="5">
        <v>1872</v>
      </c>
      <c r="F39" s="6">
        <v>74.924927999999994</v>
      </c>
      <c r="G39" s="7">
        <v>3.603878E-3</v>
      </c>
      <c r="H39" s="39"/>
    </row>
    <row r="40" spans="1:8" x14ac:dyDescent="0.2">
      <c r="A40" s="3">
        <v>34</v>
      </c>
      <c r="B40" s="4" t="s">
        <v>218</v>
      </c>
      <c r="C40" s="4" t="s">
        <v>219</v>
      </c>
      <c r="D40" s="4" t="s">
        <v>1026</v>
      </c>
      <c r="E40" s="5">
        <v>68432</v>
      </c>
      <c r="F40" s="6">
        <v>68.945239999999998</v>
      </c>
      <c r="G40" s="7">
        <v>3.3162560000000001E-3</v>
      </c>
      <c r="H40" s="39"/>
    </row>
    <row r="41" spans="1:8" x14ac:dyDescent="0.2">
      <c r="A41" s="3">
        <v>35</v>
      </c>
      <c r="B41" s="4" t="s">
        <v>220</v>
      </c>
      <c r="C41" s="4" t="s">
        <v>221</v>
      </c>
      <c r="D41" s="4" t="s">
        <v>1149</v>
      </c>
      <c r="E41" s="5">
        <v>11612</v>
      </c>
      <c r="F41" s="6">
        <v>61.520375999999999</v>
      </c>
      <c r="G41" s="7">
        <v>2.9591209999999999E-3</v>
      </c>
      <c r="H41" s="39"/>
    </row>
    <row r="42" spans="1:8" ht="25.5" x14ac:dyDescent="0.2">
      <c r="A42" s="3">
        <v>36</v>
      </c>
      <c r="B42" s="4" t="s">
        <v>222</v>
      </c>
      <c r="C42" s="4" t="s">
        <v>223</v>
      </c>
      <c r="D42" s="4" t="s">
        <v>1153</v>
      </c>
      <c r="E42" s="5">
        <v>5114</v>
      </c>
      <c r="F42" s="6">
        <v>47.094825999999998</v>
      </c>
      <c r="G42" s="7">
        <v>2.265254E-3</v>
      </c>
      <c r="H42" s="39"/>
    </row>
    <row r="43" spans="1:8" x14ac:dyDescent="0.2">
      <c r="A43" s="3">
        <v>37</v>
      </c>
      <c r="B43" s="4" t="s">
        <v>92</v>
      </c>
      <c r="C43" s="4" t="s">
        <v>93</v>
      </c>
      <c r="D43" s="4" t="s">
        <v>60</v>
      </c>
      <c r="E43" s="5">
        <v>34443</v>
      </c>
      <c r="F43" s="6">
        <v>37.715085000000002</v>
      </c>
      <c r="G43" s="7">
        <v>1.81409E-3</v>
      </c>
      <c r="H43" s="39"/>
    </row>
    <row r="44" spans="1:8" x14ac:dyDescent="0.2">
      <c r="A44" s="3">
        <v>38</v>
      </c>
      <c r="B44" s="4" t="s">
        <v>224</v>
      </c>
      <c r="C44" s="4" t="s">
        <v>225</v>
      </c>
      <c r="D44" s="4" t="s">
        <v>1154</v>
      </c>
      <c r="E44" s="5">
        <v>6906</v>
      </c>
      <c r="F44" s="6">
        <v>33.690921000000003</v>
      </c>
      <c r="G44" s="7">
        <v>1.620528E-3</v>
      </c>
      <c r="H44" s="39"/>
    </row>
    <row r="45" spans="1:8" x14ac:dyDescent="0.2">
      <c r="A45" s="3">
        <v>39</v>
      </c>
      <c r="B45" s="4" t="s">
        <v>226</v>
      </c>
      <c r="C45" s="4" t="s">
        <v>227</v>
      </c>
      <c r="D45" s="4" t="s">
        <v>82</v>
      </c>
      <c r="E45" s="5">
        <v>3629</v>
      </c>
      <c r="F45" s="6">
        <v>27.923340499999998</v>
      </c>
      <c r="G45" s="7">
        <v>1.343108E-3</v>
      </c>
      <c r="H45" s="39"/>
    </row>
    <row r="46" spans="1:8" x14ac:dyDescent="0.2">
      <c r="A46" s="3">
        <v>40</v>
      </c>
      <c r="B46" s="4" t="s">
        <v>228</v>
      </c>
      <c r="C46" s="4" t="s">
        <v>229</v>
      </c>
      <c r="D46" s="4" t="s">
        <v>29</v>
      </c>
      <c r="E46" s="5">
        <v>2132</v>
      </c>
      <c r="F46" s="6">
        <v>21.745334</v>
      </c>
      <c r="G46" s="7">
        <v>1.045947E-3</v>
      </c>
      <c r="H46" s="39"/>
    </row>
    <row r="47" spans="1:8" x14ac:dyDescent="0.2">
      <c r="A47" s="1"/>
      <c r="B47" s="1"/>
      <c r="C47" s="2" t="s">
        <v>111</v>
      </c>
      <c r="D47" s="1"/>
      <c r="E47" s="1" t="s">
        <v>112</v>
      </c>
      <c r="F47" s="9">
        <v>6897.2931774999997</v>
      </c>
      <c r="G47" s="10">
        <v>0.33175875700000002</v>
      </c>
      <c r="H47" s="39"/>
    </row>
    <row r="48" spans="1:8" x14ac:dyDescent="0.2">
      <c r="A48" s="1"/>
      <c r="B48" s="1"/>
      <c r="C48" s="11"/>
      <c r="D48" s="1"/>
      <c r="E48" s="1"/>
      <c r="F48" s="12"/>
      <c r="G48" s="12"/>
      <c r="H48" s="39"/>
    </row>
    <row r="49" spans="1:8" x14ac:dyDescent="0.2">
      <c r="A49" s="1"/>
      <c r="B49" s="1"/>
      <c r="C49" s="2" t="s">
        <v>113</v>
      </c>
      <c r="D49" s="1"/>
      <c r="E49" s="1"/>
      <c r="F49" s="1"/>
      <c r="G49" s="1"/>
      <c r="H49" s="39"/>
    </row>
    <row r="50" spans="1:8" x14ac:dyDescent="0.2">
      <c r="A50" s="1"/>
      <c r="B50" s="1"/>
      <c r="C50" s="2" t="s">
        <v>111</v>
      </c>
      <c r="D50" s="1"/>
      <c r="E50" s="1" t="s">
        <v>112</v>
      </c>
      <c r="F50" s="13">
        <v>0</v>
      </c>
      <c r="G50" s="14">
        <v>0</v>
      </c>
      <c r="H50" s="39"/>
    </row>
    <row r="51" spans="1:8" x14ac:dyDescent="0.2">
      <c r="A51" s="1"/>
      <c r="B51" s="1"/>
      <c r="C51" s="11"/>
      <c r="D51" s="1"/>
      <c r="E51" s="1"/>
      <c r="F51" s="12"/>
      <c r="G51" s="12"/>
      <c r="H51" s="39"/>
    </row>
    <row r="52" spans="1:8" x14ac:dyDescent="0.2">
      <c r="A52" s="1"/>
      <c r="B52" s="1"/>
      <c r="C52" s="2" t="s">
        <v>114</v>
      </c>
      <c r="D52" s="1"/>
      <c r="E52" s="1"/>
      <c r="F52" s="1"/>
      <c r="G52" s="1"/>
      <c r="H52" s="39"/>
    </row>
    <row r="53" spans="1:8" x14ac:dyDescent="0.2">
      <c r="A53" s="1"/>
      <c r="B53" s="1"/>
      <c r="C53" s="2" t="s">
        <v>111</v>
      </c>
      <c r="D53" s="1"/>
      <c r="E53" s="1" t="s">
        <v>112</v>
      </c>
      <c r="F53" s="13">
        <v>0</v>
      </c>
      <c r="G53" s="14">
        <v>0</v>
      </c>
      <c r="H53" s="39"/>
    </row>
    <row r="54" spans="1:8" x14ac:dyDescent="0.2">
      <c r="A54" s="1"/>
      <c r="B54" s="1"/>
      <c r="C54" s="11"/>
      <c r="D54" s="1"/>
      <c r="E54" s="1"/>
      <c r="F54" s="12"/>
      <c r="G54" s="12"/>
      <c r="H54" s="39"/>
    </row>
    <row r="55" spans="1:8" x14ac:dyDescent="0.2">
      <c r="A55" s="1"/>
      <c r="B55" s="1"/>
      <c r="C55" s="2" t="s">
        <v>115</v>
      </c>
      <c r="D55" s="1"/>
      <c r="E55" s="1"/>
      <c r="F55" s="1"/>
      <c r="G55" s="1"/>
      <c r="H55" s="39"/>
    </row>
    <row r="56" spans="1:8" x14ac:dyDescent="0.2">
      <c r="A56" s="1"/>
      <c r="B56" s="1"/>
      <c r="C56" s="2" t="s">
        <v>111</v>
      </c>
      <c r="D56" s="1"/>
      <c r="E56" s="1" t="s">
        <v>112</v>
      </c>
      <c r="F56" s="13">
        <v>0</v>
      </c>
      <c r="G56" s="14">
        <v>0</v>
      </c>
      <c r="H56" s="39"/>
    </row>
    <row r="57" spans="1:8" x14ac:dyDescent="0.2">
      <c r="A57" s="1"/>
      <c r="B57" s="1"/>
      <c r="C57" s="11"/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116</v>
      </c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111</v>
      </c>
      <c r="D59" s="1"/>
      <c r="E59" s="1" t="s">
        <v>112</v>
      </c>
      <c r="F59" s="13">
        <v>0</v>
      </c>
      <c r="G59" s="14">
        <v>0</v>
      </c>
      <c r="H59" s="39"/>
    </row>
    <row r="60" spans="1:8" x14ac:dyDescent="0.2">
      <c r="A60" s="1"/>
      <c r="B60" s="1"/>
      <c r="C60" s="11"/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117</v>
      </c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118</v>
      </c>
      <c r="D64" s="1"/>
      <c r="E64" s="1"/>
      <c r="F64" s="9">
        <v>6897.2931774999997</v>
      </c>
      <c r="G64" s="10">
        <v>0.33175875700000002</v>
      </c>
      <c r="H64" s="39"/>
    </row>
    <row r="65" spans="1:8" x14ac:dyDescent="0.2">
      <c r="A65" s="1"/>
      <c r="B65" s="1"/>
      <c r="C65" s="11"/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119</v>
      </c>
      <c r="D66" s="1"/>
      <c r="E66" s="1"/>
      <c r="F66" s="12"/>
      <c r="G66" s="12"/>
      <c r="H66" s="39"/>
    </row>
    <row r="67" spans="1:8" ht="25.5" x14ac:dyDescent="0.2">
      <c r="A67" s="1"/>
      <c r="B67" s="1"/>
      <c r="C67" s="2" t="s">
        <v>10</v>
      </c>
      <c r="D67" s="1"/>
      <c r="E67" s="1"/>
      <c r="F67" s="12"/>
      <c r="G67" s="12"/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120</v>
      </c>
      <c r="D70" s="1"/>
      <c r="E70" s="1"/>
      <c r="F70" s="1"/>
      <c r="G70" s="1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121</v>
      </c>
      <c r="D73" s="1"/>
      <c r="E73" s="1"/>
      <c r="F73" s="1"/>
      <c r="G73" s="1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122</v>
      </c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123</v>
      </c>
      <c r="D79" s="1"/>
      <c r="E79" s="1"/>
      <c r="F79" s="9">
        <v>0</v>
      </c>
      <c r="G79" s="10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124</v>
      </c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125</v>
      </c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126</v>
      </c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127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128</v>
      </c>
      <c r="D91" s="1"/>
      <c r="E91" s="1"/>
      <c r="F91" s="12"/>
      <c r="G91" s="12"/>
      <c r="H91" s="39"/>
    </row>
    <row r="92" spans="1:8" x14ac:dyDescent="0.2">
      <c r="A92" s="3">
        <v>1</v>
      </c>
      <c r="B92" s="4"/>
      <c r="C92" s="4" t="s">
        <v>129</v>
      </c>
      <c r="D92" s="4"/>
      <c r="E92" s="8"/>
      <c r="F92" s="6">
        <v>9155.9782156000001</v>
      </c>
      <c r="G92" s="7">
        <v>0.44040116099999999</v>
      </c>
      <c r="H92" s="39">
        <v>3.6151121728634927</v>
      </c>
    </row>
    <row r="93" spans="1:8" x14ac:dyDescent="0.2">
      <c r="A93" s="3">
        <v>2</v>
      </c>
      <c r="B93" s="4"/>
      <c r="C93" s="4" t="s">
        <v>130</v>
      </c>
      <c r="D93" s="4"/>
      <c r="E93" s="8"/>
      <c r="F93" s="6">
        <v>3237.3434478999998</v>
      </c>
      <c r="G93" s="7">
        <v>0.155715728</v>
      </c>
      <c r="H93" s="39">
        <v>3.7142625760646584</v>
      </c>
    </row>
    <row r="94" spans="1:8" x14ac:dyDescent="0.2">
      <c r="A94" s="1"/>
      <c r="B94" s="1"/>
      <c r="C94" s="2" t="s">
        <v>111</v>
      </c>
      <c r="D94" s="1"/>
      <c r="E94" s="1" t="s">
        <v>112</v>
      </c>
      <c r="F94" s="9">
        <v>12393.321663500001</v>
      </c>
      <c r="G94" s="10">
        <v>0.59611688900000004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131</v>
      </c>
      <c r="D96" s="1"/>
      <c r="E96" s="1"/>
      <c r="F96" s="9">
        <v>12393.321663500001</v>
      </c>
      <c r="G96" s="10">
        <v>0.59611688900000004</v>
      </c>
      <c r="H96" s="39"/>
    </row>
    <row r="97" spans="1:8" x14ac:dyDescent="0.2">
      <c r="A97" s="1"/>
      <c r="B97" s="1"/>
      <c r="C97" s="12"/>
      <c r="D97" s="1"/>
      <c r="E97" s="1"/>
      <c r="F97" s="1"/>
      <c r="G97" s="1"/>
      <c r="H97" s="39"/>
    </row>
    <row r="98" spans="1:8" x14ac:dyDescent="0.2">
      <c r="A98" s="1"/>
      <c r="B98" s="1"/>
      <c r="C98" s="2" t="s">
        <v>132</v>
      </c>
      <c r="D98" s="1"/>
      <c r="E98" s="1"/>
      <c r="F98" s="1"/>
      <c r="G98" s="1"/>
      <c r="H98" s="39"/>
    </row>
    <row r="99" spans="1:8" x14ac:dyDescent="0.2">
      <c r="A99" s="1"/>
      <c r="B99" s="1"/>
      <c r="C99" s="2" t="s">
        <v>133</v>
      </c>
      <c r="D99" s="1"/>
      <c r="E99" s="1"/>
      <c r="F99" s="1"/>
      <c r="G99" s="1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134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135</v>
      </c>
      <c r="D103" s="1"/>
      <c r="E103" s="1"/>
      <c r="F103" s="1"/>
      <c r="G103" s="1"/>
      <c r="H103" s="39"/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ht="25.5" x14ac:dyDescent="0.2">
      <c r="A107" s="1"/>
      <c r="B107" s="1"/>
      <c r="C107" s="2" t="s">
        <v>136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4"/>
      <c r="C110" s="4"/>
      <c r="D110" s="2"/>
      <c r="E110" s="1"/>
      <c r="F110" s="4"/>
      <c r="G110" s="8"/>
      <c r="H110" s="39"/>
    </row>
    <row r="111" spans="1:8" x14ac:dyDescent="0.2">
      <c r="A111" s="8"/>
      <c r="B111" s="4"/>
      <c r="C111" s="4" t="s">
        <v>137</v>
      </c>
      <c r="D111" s="4"/>
      <c r="E111" s="8"/>
      <c r="F111" s="6">
        <v>1499.4716071</v>
      </c>
      <c r="G111" s="7">
        <v>7.2124357E-2</v>
      </c>
      <c r="H111" s="39"/>
    </row>
    <row r="112" spans="1:8" x14ac:dyDescent="0.2">
      <c r="A112" s="11"/>
      <c r="B112" s="11"/>
      <c r="C112" s="2" t="s">
        <v>138</v>
      </c>
      <c r="D112" s="15"/>
      <c r="E112" s="15"/>
      <c r="F112" s="9">
        <v>20790.086448099999</v>
      </c>
      <c r="G112" s="10">
        <v>1.000000003</v>
      </c>
      <c r="H112" s="39"/>
    </row>
    <row r="113" spans="1:17" ht="14.1" customHeight="1" x14ac:dyDescent="0.2">
      <c r="A113" s="16"/>
      <c r="B113" s="16"/>
      <c r="C113" s="16"/>
      <c r="D113" s="17"/>
      <c r="E113" s="17"/>
      <c r="F113" s="17"/>
      <c r="G113" s="17"/>
    </row>
    <row r="114" spans="1:17" ht="14.1" customHeight="1" x14ac:dyDescent="0.2">
      <c r="A114" s="18"/>
      <c r="B114" s="18"/>
      <c r="C114" s="18"/>
      <c r="D114" s="20"/>
      <c r="E114" s="20"/>
      <c r="F114" s="20"/>
      <c r="G114" s="20"/>
    </row>
    <row r="115" spans="1:17" ht="14.1" customHeight="1" x14ac:dyDescent="0.2">
      <c r="A115" s="18"/>
      <c r="B115" s="194" t="s">
        <v>140</v>
      </c>
      <c r="C115" s="195"/>
      <c r="D115" s="12" t="s">
        <v>112</v>
      </c>
      <c r="E115" s="21"/>
      <c r="F115" s="20"/>
      <c r="G115" s="20"/>
    </row>
    <row r="116" spans="1:17" ht="29.1" customHeight="1" x14ac:dyDescent="0.2">
      <c r="A116" s="18"/>
      <c r="B116" s="189" t="s">
        <v>141</v>
      </c>
      <c r="C116" s="190"/>
      <c r="D116" s="2" t="s">
        <v>142</v>
      </c>
      <c r="E116" s="21"/>
      <c r="F116" s="20"/>
      <c r="G116" s="20"/>
    </row>
    <row r="117" spans="1:17" ht="17.100000000000001" customHeight="1" x14ac:dyDescent="0.2">
      <c r="A117" s="18"/>
      <c r="B117" s="189" t="s">
        <v>143</v>
      </c>
      <c r="C117" s="190"/>
      <c r="D117" s="2" t="s">
        <v>142</v>
      </c>
      <c r="E117" s="21"/>
      <c r="F117" s="20"/>
      <c r="G117" s="20"/>
    </row>
    <row r="118" spans="1:17" ht="17.100000000000001" customHeight="1" x14ac:dyDescent="0.2">
      <c r="A118" s="18"/>
      <c r="B118" s="189" t="s">
        <v>144</v>
      </c>
      <c r="C118" s="190"/>
      <c r="D118" s="12" t="s">
        <v>112</v>
      </c>
      <c r="E118" s="21"/>
      <c r="F118" s="20"/>
      <c r="G118" s="20"/>
    </row>
    <row r="119" spans="1:17" ht="24" customHeight="1" x14ac:dyDescent="0.2">
      <c r="A119" s="22"/>
      <c r="B119" s="23" t="s">
        <v>112</v>
      </c>
      <c r="C119" s="23" t="s">
        <v>145</v>
      </c>
      <c r="D119" s="23" t="s">
        <v>146</v>
      </c>
      <c r="E119" s="22"/>
      <c r="F119" s="22"/>
      <c r="G119" s="22"/>
    </row>
    <row r="120" spans="1:17" ht="18" customHeight="1" x14ac:dyDescent="0.2">
      <c r="A120" s="22"/>
      <c r="B120" s="23" t="s">
        <v>147</v>
      </c>
      <c r="C120" s="23" t="s">
        <v>148</v>
      </c>
      <c r="D120" s="23" t="s">
        <v>149</v>
      </c>
      <c r="E120" s="22"/>
      <c r="F120" s="22"/>
      <c r="G120" s="22"/>
    </row>
    <row r="121" spans="1:17" ht="17.100000000000001" customHeight="1" x14ac:dyDescent="0.2">
      <c r="A121" s="22"/>
      <c r="B121" s="4" t="s">
        <v>150</v>
      </c>
      <c r="C121" s="24">
        <v>15.632999999999999</v>
      </c>
      <c r="D121" s="24">
        <v>16.191400000000002</v>
      </c>
      <c r="E121" s="22"/>
      <c r="F121" s="19"/>
      <c r="G121" s="25"/>
    </row>
    <row r="122" spans="1:17" ht="17.100000000000001" customHeight="1" x14ac:dyDescent="0.2">
      <c r="A122" s="22"/>
      <c r="B122" s="4" t="s">
        <v>1092</v>
      </c>
      <c r="C122" s="24">
        <v>15.6328</v>
      </c>
      <c r="D122" s="24">
        <v>16.191199999999998</v>
      </c>
      <c r="E122" s="22"/>
      <c r="F122" s="19"/>
      <c r="G122" s="25"/>
    </row>
    <row r="123" spans="1:17" ht="17.100000000000001" customHeight="1" x14ac:dyDescent="0.2">
      <c r="A123" s="22"/>
      <c r="B123" s="4" t="s">
        <v>151</v>
      </c>
      <c r="C123" s="24">
        <v>15.0504</v>
      </c>
      <c r="D123" s="24">
        <v>15.5794</v>
      </c>
      <c r="E123" s="22"/>
      <c r="F123" s="19"/>
      <c r="G123" s="25"/>
    </row>
    <row r="124" spans="1:17" ht="17.100000000000001" customHeight="1" x14ac:dyDescent="0.2">
      <c r="A124" s="22"/>
      <c r="B124" s="4" t="s">
        <v>1093</v>
      </c>
      <c r="C124" s="24">
        <v>15.0504</v>
      </c>
      <c r="D124" s="24">
        <v>15.5794</v>
      </c>
      <c r="E124" s="22"/>
      <c r="F124" s="19"/>
      <c r="G124" s="25"/>
    </row>
    <row r="125" spans="1:17" ht="14.1" customHeight="1" x14ac:dyDescent="0.2">
      <c r="A125" s="22"/>
      <c r="B125" s="22"/>
      <c r="C125" s="22"/>
      <c r="D125" s="22"/>
      <c r="E125" s="22"/>
      <c r="F125" s="22"/>
      <c r="G125" s="22"/>
    </row>
    <row r="126" spans="1:17" ht="17.100000000000001" customHeight="1" x14ac:dyDescent="0.2">
      <c r="A126" s="22"/>
      <c r="B126" s="189" t="s">
        <v>1094</v>
      </c>
      <c r="C126" s="190"/>
      <c r="D126" s="2" t="s">
        <v>142</v>
      </c>
      <c r="E126" s="22"/>
      <c r="F126" s="22"/>
      <c r="G126" s="22"/>
    </row>
    <row r="127" spans="1:17" ht="18" customHeight="1" x14ac:dyDescent="0.2">
      <c r="A127" s="22"/>
      <c r="B127" s="26"/>
      <c r="C127" s="26"/>
      <c r="D127" s="27"/>
      <c r="E127" s="22"/>
      <c r="F127" s="22"/>
      <c r="G127" s="22"/>
    </row>
    <row r="128" spans="1:17" s="101" customFormat="1" x14ac:dyDescent="0.2">
      <c r="B128" s="193" t="s">
        <v>1102</v>
      </c>
      <c r="C128" s="193"/>
      <c r="D128" s="193"/>
      <c r="E128" s="193"/>
      <c r="F128" s="193"/>
      <c r="I128"/>
      <c r="J128"/>
      <c r="K128"/>
      <c r="L128"/>
      <c r="M128"/>
      <c r="N128"/>
      <c r="O128"/>
      <c r="P128" s="41"/>
      <c r="Q128" s="41"/>
    </row>
    <row r="129" spans="1:7" ht="14.1" customHeight="1" x14ac:dyDescent="0.2">
      <c r="A129" s="22"/>
      <c r="B129" s="19"/>
      <c r="C129" s="19"/>
      <c r="D129" s="22"/>
      <c r="E129" s="22"/>
      <c r="F129" s="22"/>
      <c r="G129" s="22"/>
    </row>
    <row r="130" spans="1:7" ht="29.1" customHeight="1" x14ac:dyDescent="0.2">
      <c r="A130" s="22"/>
      <c r="B130" s="189" t="s">
        <v>152</v>
      </c>
      <c r="C130" s="190"/>
      <c r="D130" s="2" t="s">
        <v>142</v>
      </c>
      <c r="E130" s="22"/>
      <c r="F130" s="22"/>
      <c r="G130" s="22"/>
    </row>
    <row r="131" spans="1:7" ht="29.1" customHeight="1" x14ac:dyDescent="0.2">
      <c r="A131" s="22"/>
      <c r="B131" s="189" t="s">
        <v>153</v>
      </c>
      <c r="C131" s="190"/>
      <c r="D131" s="2" t="s">
        <v>142</v>
      </c>
      <c r="E131" s="22"/>
      <c r="F131" s="22"/>
      <c r="G131" s="22"/>
    </row>
    <row r="132" spans="1:7" ht="17.100000000000001" customHeight="1" x14ac:dyDescent="0.2">
      <c r="A132" s="22"/>
      <c r="B132" s="189" t="s">
        <v>154</v>
      </c>
      <c r="C132" s="190"/>
      <c r="D132" s="28">
        <v>0.35931238640326407</v>
      </c>
      <c r="E132" s="22"/>
      <c r="F132" s="19"/>
      <c r="G132" s="25"/>
    </row>
    <row r="133" spans="1:7" ht="17.100000000000001" customHeight="1" x14ac:dyDescent="0.2">
      <c r="A133" s="22"/>
      <c r="B133" s="189" t="s">
        <v>155</v>
      </c>
      <c r="C133" s="190"/>
      <c r="D133" s="2" t="s">
        <v>142</v>
      </c>
      <c r="E133" s="22"/>
      <c r="F133" s="22"/>
      <c r="G133" s="22"/>
    </row>
    <row r="164" spans="10:15" x14ac:dyDescent="0.2">
      <c r="J164" s="101"/>
      <c r="K164" s="101"/>
      <c r="L164" s="101"/>
      <c r="M164" s="101"/>
      <c r="N164" s="101"/>
      <c r="O164" s="101"/>
    </row>
  </sheetData>
  <mergeCells count="14">
    <mergeCell ref="B133:C133"/>
    <mergeCell ref="B116:C116"/>
    <mergeCell ref="B117:C117"/>
    <mergeCell ref="B118:C118"/>
    <mergeCell ref="B126:C126"/>
    <mergeCell ref="B130:C130"/>
    <mergeCell ref="B131:C131"/>
    <mergeCell ref="B132:C132"/>
    <mergeCell ref="A1:H1"/>
    <mergeCell ref="A2:H2"/>
    <mergeCell ref="A3:H3"/>
    <mergeCell ref="B128:F128"/>
    <mergeCell ref="J2:N2"/>
    <mergeCell ref="B115:C11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230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38777</v>
      </c>
      <c r="F7" s="6">
        <v>488.97797000000003</v>
      </c>
      <c r="G7" s="7">
        <v>3.4603450000000001E-2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59035</v>
      </c>
      <c r="F8" s="6">
        <v>422.867705</v>
      </c>
      <c r="G8" s="7">
        <v>2.9925032000000001E-2</v>
      </c>
      <c r="H8" s="39"/>
    </row>
    <row r="9" spans="1:14" x14ac:dyDescent="0.2">
      <c r="A9" s="3">
        <v>3</v>
      </c>
      <c r="B9" s="4" t="s">
        <v>235</v>
      </c>
      <c r="C9" s="4" t="s">
        <v>236</v>
      </c>
      <c r="D9" s="4" t="s">
        <v>1160</v>
      </c>
      <c r="E9" s="5">
        <v>223169</v>
      </c>
      <c r="F9" s="6">
        <v>422.79367050000002</v>
      </c>
      <c r="G9" s="7">
        <v>2.9919793E-2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10290</v>
      </c>
      <c r="F10" s="6">
        <v>420.05838</v>
      </c>
      <c r="G10" s="7">
        <v>2.9726224999999998E-2</v>
      </c>
      <c r="H10" s="39"/>
    </row>
    <row r="11" spans="1:14" x14ac:dyDescent="0.2">
      <c r="A11" s="3">
        <v>5</v>
      </c>
      <c r="B11" s="4" t="s">
        <v>239</v>
      </c>
      <c r="C11" s="4" t="s">
        <v>240</v>
      </c>
      <c r="D11" s="4" t="s">
        <v>1143</v>
      </c>
      <c r="E11" s="5">
        <v>58996</v>
      </c>
      <c r="F11" s="6">
        <v>354.59545800000001</v>
      </c>
      <c r="G11" s="7">
        <v>2.5093618000000002E-2</v>
      </c>
      <c r="H11" s="39"/>
    </row>
    <row r="12" spans="1:14" x14ac:dyDescent="0.2">
      <c r="A12" s="3">
        <v>6</v>
      </c>
      <c r="B12" s="4" t="s">
        <v>170</v>
      </c>
      <c r="C12" s="4" t="s">
        <v>171</v>
      </c>
      <c r="D12" s="4" t="s">
        <v>1027</v>
      </c>
      <c r="E12" s="5">
        <v>22647</v>
      </c>
      <c r="F12" s="6">
        <v>348.02777250000003</v>
      </c>
      <c r="G12" s="7">
        <v>2.4628843000000001E-2</v>
      </c>
      <c r="H12" s="39"/>
    </row>
    <row r="13" spans="1:14" x14ac:dyDescent="0.2">
      <c r="A13" s="3">
        <v>7</v>
      </c>
      <c r="B13" s="4" t="s">
        <v>220</v>
      </c>
      <c r="C13" s="4" t="s">
        <v>221</v>
      </c>
      <c r="D13" s="4" t="s">
        <v>1149</v>
      </c>
      <c r="E13" s="5">
        <v>65257</v>
      </c>
      <c r="F13" s="6">
        <v>345.73158599999999</v>
      </c>
      <c r="G13" s="7">
        <v>2.4466348999999998E-2</v>
      </c>
      <c r="H13" s="39"/>
    </row>
    <row r="14" spans="1:14" x14ac:dyDescent="0.2">
      <c r="A14" s="3">
        <v>8</v>
      </c>
      <c r="B14" s="4" t="s">
        <v>241</v>
      </c>
      <c r="C14" s="4" t="s">
        <v>242</v>
      </c>
      <c r="D14" s="4" t="s">
        <v>1143</v>
      </c>
      <c r="E14" s="5">
        <v>6844</v>
      </c>
      <c r="F14" s="6">
        <v>326.13713200000001</v>
      </c>
      <c r="G14" s="7">
        <v>2.307971E-2</v>
      </c>
      <c r="H14" s="39"/>
    </row>
    <row r="15" spans="1:14" x14ac:dyDescent="0.2">
      <c r="A15" s="3">
        <v>9</v>
      </c>
      <c r="B15" s="4" t="s">
        <v>166</v>
      </c>
      <c r="C15" s="4" t="s">
        <v>167</v>
      </c>
      <c r="D15" s="4" t="s">
        <v>1159</v>
      </c>
      <c r="E15" s="5">
        <v>25532</v>
      </c>
      <c r="F15" s="6">
        <v>321.71596599999998</v>
      </c>
      <c r="G15" s="7">
        <v>2.2766838000000001E-2</v>
      </c>
      <c r="H15" s="39"/>
    </row>
    <row r="16" spans="1:14" ht="15" x14ac:dyDescent="0.2">
      <c r="A16" s="3">
        <v>10</v>
      </c>
      <c r="B16" s="4" t="s">
        <v>162</v>
      </c>
      <c r="C16" s="4" t="s">
        <v>163</v>
      </c>
      <c r="D16" s="4" t="s">
        <v>1026</v>
      </c>
      <c r="E16" s="5">
        <v>21096</v>
      </c>
      <c r="F16" s="6">
        <v>312.684912</v>
      </c>
      <c r="G16" s="7">
        <v>2.2127739E-2</v>
      </c>
      <c r="H16" s="39"/>
      <c r="J16" s="176" t="s">
        <v>1174</v>
      </c>
    </row>
    <row r="17" spans="1:8" x14ac:dyDescent="0.2">
      <c r="A17" s="3">
        <v>11</v>
      </c>
      <c r="B17" s="4" t="s">
        <v>164</v>
      </c>
      <c r="C17" s="4" t="s">
        <v>165</v>
      </c>
      <c r="D17" s="4" t="s">
        <v>82</v>
      </c>
      <c r="E17" s="5">
        <v>273941</v>
      </c>
      <c r="F17" s="6">
        <v>291.747165</v>
      </c>
      <c r="G17" s="7">
        <v>2.0646039000000001E-2</v>
      </c>
      <c r="H17" s="39"/>
    </row>
    <row r="18" spans="1:8" x14ac:dyDescent="0.2">
      <c r="A18" s="3">
        <v>12</v>
      </c>
      <c r="B18" s="4" t="s">
        <v>69</v>
      </c>
      <c r="C18" s="4" t="s">
        <v>70</v>
      </c>
      <c r="D18" s="4" t="s">
        <v>71</v>
      </c>
      <c r="E18" s="5">
        <v>44009</v>
      </c>
      <c r="F18" s="6">
        <v>257.6506905</v>
      </c>
      <c r="G18" s="7">
        <v>1.8233137999999999E-2</v>
      </c>
      <c r="H18" s="39"/>
    </row>
    <row r="19" spans="1:8" ht="25.5" x14ac:dyDescent="0.2">
      <c r="A19" s="3">
        <v>13</v>
      </c>
      <c r="B19" s="4" t="s">
        <v>157</v>
      </c>
      <c r="C19" s="4" t="s">
        <v>158</v>
      </c>
      <c r="D19" s="4" t="s">
        <v>1137</v>
      </c>
      <c r="E19" s="5">
        <v>14601</v>
      </c>
      <c r="F19" s="6">
        <v>246.88100850000001</v>
      </c>
      <c r="G19" s="7">
        <v>1.7471001E-2</v>
      </c>
      <c r="H19" s="39"/>
    </row>
    <row r="20" spans="1:8" x14ac:dyDescent="0.2">
      <c r="A20" s="3">
        <v>14</v>
      </c>
      <c r="B20" s="4" t="s">
        <v>226</v>
      </c>
      <c r="C20" s="4" t="s">
        <v>227</v>
      </c>
      <c r="D20" s="4" t="s">
        <v>82</v>
      </c>
      <c r="E20" s="5">
        <v>32038</v>
      </c>
      <c r="F20" s="6">
        <v>246.516391</v>
      </c>
      <c r="G20" s="7">
        <v>1.7445197999999999E-2</v>
      </c>
      <c r="H20" s="39"/>
    </row>
    <row r="21" spans="1:8" x14ac:dyDescent="0.2">
      <c r="A21" s="3">
        <v>15</v>
      </c>
      <c r="B21" s="4" t="s">
        <v>85</v>
      </c>
      <c r="C21" s="4" t="s">
        <v>86</v>
      </c>
      <c r="D21" s="4" t="s">
        <v>60</v>
      </c>
      <c r="E21" s="5">
        <v>15135</v>
      </c>
      <c r="F21" s="6">
        <v>232.14819750000001</v>
      </c>
      <c r="G21" s="7">
        <v>1.6428406E-2</v>
      </c>
      <c r="H21" s="39"/>
    </row>
    <row r="22" spans="1:8" x14ac:dyDescent="0.2">
      <c r="A22" s="3">
        <v>16</v>
      </c>
      <c r="B22" s="4" t="s">
        <v>38</v>
      </c>
      <c r="C22" s="4" t="s">
        <v>39</v>
      </c>
      <c r="D22" s="4" t="s">
        <v>29</v>
      </c>
      <c r="E22" s="5">
        <v>16846</v>
      </c>
      <c r="F22" s="6">
        <v>222.27454700000001</v>
      </c>
      <c r="G22" s="7">
        <v>1.5729678E-2</v>
      </c>
      <c r="H22" s="39"/>
    </row>
    <row r="23" spans="1:8" x14ac:dyDescent="0.2">
      <c r="A23" s="3">
        <v>17</v>
      </c>
      <c r="B23" s="4" t="s">
        <v>194</v>
      </c>
      <c r="C23" s="4" t="s">
        <v>195</v>
      </c>
      <c r="D23" s="4" t="s">
        <v>1027</v>
      </c>
      <c r="E23" s="5">
        <v>15696</v>
      </c>
      <c r="F23" s="6">
        <v>222.16903199999999</v>
      </c>
      <c r="G23" s="7">
        <v>1.5722211E-2</v>
      </c>
      <c r="H23" s="39"/>
    </row>
    <row r="24" spans="1:8" x14ac:dyDescent="0.2">
      <c r="A24" s="3">
        <v>18</v>
      </c>
      <c r="B24" s="4" t="s">
        <v>174</v>
      </c>
      <c r="C24" s="4" t="s">
        <v>175</v>
      </c>
      <c r="D24" s="4" t="s">
        <v>82</v>
      </c>
      <c r="E24" s="5">
        <v>34323</v>
      </c>
      <c r="F24" s="6">
        <v>216.7325835</v>
      </c>
      <c r="G24" s="7">
        <v>1.5337491E-2</v>
      </c>
      <c r="H24" s="39"/>
    </row>
    <row r="25" spans="1:8" x14ac:dyDescent="0.2">
      <c r="A25" s="3">
        <v>19</v>
      </c>
      <c r="B25" s="4" t="s">
        <v>243</v>
      </c>
      <c r="C25" s="4" t="s">
        <v>244</v>
      </c>
      <c r="D25" s="4" t="s">
        <v>1157</v>
      </c>
      <c r="E25" s="5">
        <v>19504</v>
      </c>
      <c r="F25" s="6">
        <v>214.53424799999999</v>
      </c>
      <c r="G25" s="7">
        <v>1.5181920999999999E-2</v>
      </c>
      <c r="H25" s="39"/>
    </row>
    <row r="26" spans="1:8" ht="25.5" x14ac:dyDescent="0.2">
      <c r="A26" s="3">
        <v>20</v>
      </c>
      <c r="B26" s="4" t="s">
        <v>159</v>
      </c>
      <c r="C26" s="4" t="s">
        <v>160</v>
      </c>
      <c r="D26" s="4" t="s">
        <v>1138</v>
      </c>
      <c r="E26" s="5">
        <v>56271</v>
      </c>
      <c r="F26" s="6">
        <v>212.1698055</v>
      </c>
      <c r="G26" s="7">
        <v>1.5014596999999999E-2</v>
      </c>
      <c r="H26" s="39"/>
    </row>
    <row r="27" spans="1:8" x14ac:dyDescent="0.2">
      <c r="A27" s="3">
        <v>21</v>
      </c>
      <c r="B27" s="4" t="s">
        <v>245</v>
      </c>
      <c r="C27" s="4" t="s">
        <v>246</v>
      </c>
      <c r="D27" s="4" t="s">
        <v>29</v>
      </c>
      <c r="E27" s="5">
        <v>24885</v>
      </c>
      <c r="F27" s="6">
        <v>210.4648875</v>
      </c>
      <c r="G27" s="7">
        <v>1.4893945E-2</v>
      </c>
      <c r="H27" s="39"/>
    </row>
    <row r="28" spans="1:8" ht="25.5" x14ac:dyDescent="0.2">
      <c r="A28" s="3">
        <v>22</v>
      </c>
      <c r="B28" s="4" t="s">
        <v>168</v>
      </c>
      <c r="C28" s="4" t="s">
        <v>169</v>
      </c>
      <c r="D28" s="4" t="s">
        <v>1137</v>
      </c>
      <c r="E28" s="5">
        <v>85861</v>
      </c>
      <c r="F28" s="6">
        <v>206.49570499999999</v>
      </c>
      <c r="G28" s="7">
        <v>1.4613058999999999E-2</v>
      </c>
      <c r="H28" s="39"/>
    </row>
    <row r="29" spans="1:8" x14ac:dyDescent="0.2">
      <c r="A29" s="3">
        <v>23</v>
      </c>
      <c r="B29" s="4" t="s">
        <v>87</v>
      </c>
      <c r="C29" s="4" t="s">
        <v>88</v>
      </c>
      <c r="D29" s="4" t="s">
        <v>1157</v>
      </c>
      <c r="E29" s="5">
        <v>39107</v>
      </c>
      <c r="F29" s="6">
        <v>202.12452949999999</v>
      </c>
      <c r="G29" s="7">
        <v>1.4303724E-2</v>
      </c>
      <c r="H29" s="39"/>
    </row>
    <row r="30" spans="1:8" ht="25.5" x14ac:dyDescent="0.2">
      <c r="A30" s="3">
        <v>24</v>
      </c>
      <c r="B30" s="4" t="s">
        <v>188</v>
      </c>
      <c r="C30" s="4" t="s">
        <v>189</v>
      </c>
      <c r="D30" s="4" t="s">
        <v>1158</v>
      </c>
      <c r="E30" s="5">
        <v>30169</v>
      </c>
      <c r="F30" s="6">
        <v>198.82879449999999</v>
      </c>
      <c r="G30" s="7">
        <v>1.4070495000000001E-2</v>
      </c>
      <c r="H30" s="39"/>
    </row>
    <row r="31" spans="1:8" x14ac:dyDescent="0.2">
      <c r="A31" s="3">
        <v>25</v>
      </c>
      <c r="B31" s="4" t="s">
        <v>206</v>
      </c>
      <c r="C31" s="4" t="s">
        <v>207</v>
      </c>
      <c r="D31" s="4" t="s">
        <v>1159</v>
      </c>
      <c r="E31" s="5">
        <v>21404</v>
      </c>
      <c r="F31" s="6">
        <v>198.57561000000001</v>
      </c>
      <c r="G31" s="7">
        <v>1.4052578E-2</v>
      </c>
      <c r="H31" s="39"/>
    </row>
    <row r="32" spans="1:8" x14ac:dyDescent="0.2">
      <c r="A32" s="3">
        <v>26</v>
      </c>
      <c r="B32" s="4" t="s">
        <v>247</v>
      </c>
      <c r="C32" s="4" t="s">
        <v>248</v>
      </c>
      <c r="D32" s="4" t="s">
        <v>1154</v>
      </c>
      <c r="E32" s="5">
        <v>11897</v>
      </c>
      <c r="F32" s="6">
        <v>193.290559</v>
      </c>
      <c r="G32" s="7">
        <v>1.3678572E-2</v>
      </c>
      <c r="H32" s="39"/>
    </row>
    <row r="33" spans="1:8" x14ac:dyDescent="0.2">
      <c r="A33" s="3">
        <v>27</v>
      </c>
      <c r="B33" s="4" t="s">
        <v>249</v>
      </c>
      <c r="C33" s="4" t="s">
        <v>250</v>
      </c>
      <c r="D33" s="4" t="s">
        <v>60</v>
      </c>
      <c r="E33" s="5">
        <v>51485</v>
      </c>
      <c r="F33" s="6">
        <v>188.8212375</v>
      </c>
      <c r="G33" s="7">
        <v>1.3362292E-2</v>
      </c>
      <c r="H33" s="39"/>
    </row>
    <row r="34" spans="1:8" ht="25.5" x14ac:dyDescent="0.2">
      <c r="A34" s="3">
        <v>28</v>
      </c>
      <c r="B34" s="4" t="s">
        <v>42</v>
      </c>
      <c r="C34" s="4" t="s">
        <v>43</v>
      </c>
      <c r="D34" s="4" t="s">
        <v>1150</v>
      </c>
      <c r="E34" s="5">
        <v>7660</v>
      </c>
      <c r="F34" s="6">
        <v>186.23758000000001</v>
      </c>
      <c r="G34" s="7">
        <v>1.3179454E-2</v>
      </c>
      <c r="H34" s="39"/>
    </row>
    <row r="35" spans="1:8" x14ac:dyDescent="0.2">
      <c r="A35" s="3">
        <v>29</v>
      </c>
      <c r="B35" s="4" t="s">
        <v>251</v>
      </c>
      <c r="C35" s="4" t="s">
        <v>252</v>
      </c>
      <c r="D35" s="4" t="s">
        <v>253</v>
      </c>
      <c r="E35" s="5">
        <v>66934</v>
      </c>
      <c r="F35" s="6">
        <v>180.654866</v>
      </c>
      <c r="G35" s="7">
        <v>1.2784383E-2</v>
      </c>
      <c r="H35" s="39"/>
    </row>
    <row r="36" spans="1:8" ht="25.5" x14ac:dyDescent="0.2">
      <c r="A36" s="3">
        <v>30</v>
      </c>
      <c r="B36" s="4" t="s">
        <v>186</v>
      </c>
      <c r="C36" s="4" t="s">
        <v>187</v>
      </c>
      <c r="D36" s="4" t="s">
        <v>1158</v>
      </c>
      <c r="E36" s="5">
        <v>36074</v>
      </c>
      <c r="F36" s="6">
        <v>174.97693699999999</v>
      </c>
      <c r="G36" s="7">
        <v>1.2382574E-2</v>
      </c>
      <c r="H36" s="39"/>
    </row>
    <row r="37" spans="1:8" x14ac:dyDescent="0.2">
      <c r="A37" s="3">
        <v>31</v>
      </c>
      <c r="B37" s="4" t="s">
        <v>254</v>
      </c>
      <c r="C37" s="4" t="s">
        <v>255</v>
      </c>
      <c r="D37" s="4" t="s">
        <v>15</v>
      </c>
      <c r="E37" s="5">
        <v>63875</v>
      </c>
      <c r="F37" s="6">
        <v>172.0473125</v>
      </c>
      <c r="G37" s="7">
        <v>1.2175253E-2</v>
      </c>
      <c r="H37" s="39"/>
    </row>
    <row r="38" spans="1:8" ht="25.5" x14ac:dyDescent="0.2">
      <c r="A38" s="3">
        <v>32</v>
      </c>
      <c r="B38" s="4" t="s">
        <v>178</v>
      </c>
      <c r="C38" s="4" t="s">
        <v>179</v>
      </c>
      <c r="D38" s="4" t="s">
        <v>1153</v>
      </c>
      <c r="E38" s="5">
        <v>18450</v>
      </c>
      <c r="F38" s="6">
        <v>168.1902</v>
      </c>
      <c r="G38" s="7">
        <v>1.1902296999999999E-2</v>
      </c>
      <c r="H38" s="39"/>
    </row>
    <row r="39" spans="1:8" x14ac:dyDescent="0.2">
      <c r="A39" s="3">
        <v>33</v>
      </c>
      <c r="B39" s="4" t="s">
        <v>256</v>
      </c>
      <c r="C39" s="4" t="s">
        <v>257</v>
      </c>
      <c r="D39" s="4" t="s">
        <v>1166</v>
      </c>
      <c r="E39" s="5">
        <v>9119</v>
      </c>
      <c r="F39" s="6">
        <v>159.9244625</v>
      </c>
      <c r="G39" s="7">
        <v>1.1317357E-2</v>
      </c>
      <c r="H39" s="39"/>
    </row>
    <row r="40" spans="1:8" ht="25.5" x14ac:dyDescent="0.2">
      <c r="A40" s="3">
        <v>34</v>
      </c>
      <c r="B40" s="4" t="s">
        <v>198</v>
      </c>
      <c r="C40" s="4" t="s">
        <v>199</v>
      </c>
      <c r="D40" s="4" t="s">
        <v>1138</v>
      </c>
      <c r="E40" s="5">
        <v>25404</v>
      </c>
      <c r="F40" s="6">
        <v>149.90900400000001</v>
      </c>
      <c r="G40" s="7">
        <v>1.0608594000000001E-2</v>
      </c>
      <c r="H40" s="39"/>
    </row>
    <row r="41" spans="1:8" ht="25.5" x14ac:dyDescent="0.2">
      <c r="A41" s="3">
        <v>35</v>
      </c>
      <c r="B41" s="4" t="s">
        <v>182</v>
      </c>
      <c r="C41" s="4" t="s">
        <v>183</v>
      </c>
      <c r="D41" s="4" t="s">
        <v>1150</v>
      </c>
      <c r="E41" s="5">
        <v>78693</v>
      </c>
      <c r="F41" s="6">
        <v>149.20192800000001</v>
      </c>
      <c r="G41" s="7">
        <v>1.0558556E-2</v>
      </c>
      <c r="H41" s="39"/>
    </row>
    <row r="42" spans="1:8" x14ac:dyDescent="0.2">
      <c r="A42" s="3">
        <v>36</v>
      </c>
      <c r="B42" s="4" t="s">
        <v>192</v>
      </c>
      <c r="C42" s="4" t="s">
        <v>193</v>
      </c>
      <c r="D42" s="4" t="s">
        <v>1026</v>
      </c>
      <c r="E42" s="5">
        <v>30931</v>
      </c>
      <c r="F42" s="6">
        <v>148.26774850000001</v>
      </c>
      <c r="G42" s="7">
        <v>1.0492447E-2</v>
      </c>
      <c r="H42" s="39"/>
    </row>
    <row r="43" spans="1:8" x14ac:dyDescent="0.2">
      <c r="A43" s="3">
        <v>37</v>
      </c>
      <c r="B43" s="4" t="s">
        <v>200</v>
      </c>
      <c r="C43" s="4" t="s">
        <v>201</v>
      </c>
      <c r="D43" s="4" t="s">
        <v>60</v>
      </c>
      <c r="E43" s="5">
        <v>172563</v>
      </c>
      <c r="F43" s="6">
        <v>148.059054</v>
      </c>
      <c r="G43" s="7">
        <v>1.0477679E-2</v>
      </c>
      <c r="H43" s="39"/>
    </row>
    <row r="44" spans="1:8" ht="25.5" x14ac:dyDescent="0.2">
      <c r="A44" s="3">
        <v>38</v>
      </c>
      <c r="B44" s="4" t="s">
        <v>258</v>
      </c>
      <c r="C44" s="4" t="s">
        <v>259</v>
      </c>
      <c r="D44" s="4" t="s">
        <v>1138</v>
      </c>
      <c r="E44" s="5">
        <v>21563</v>
      </c>
      <c r="F44" s="6">
        <v>133.35637349999999</v>
      </c>
      <c r="G44" s="7">
        <v>9.437216E-3</v>
      </c>
      <c r="H44" s="39"/>
    </row>
    <row r="45" spans="1:8" ht="25.5" x14ac:dyDescent="0.2">
      <c r="A45" s="3">
        <v>39</v>
      </c>
      <c r="B45" s="4" t="s">
        <v>184</v>
      </c>
      <c r="C45" s="4" t="s">
        <v>185</v>
      </c>
      <c r="D45" s="4" t="s">
        <v>1145</v>
      </c>
      <c r="E45" s="5">
        <v>29335</v>
      </c>
      <c r="F45" s="6">
        <v>132.72620749999999</v>
      </c>
      <c r="G45" s="7">
        <v>9.3926210000000003E-3</v>
      </c>
      <c r="H45" s="39"/>
    </row>
    <row r="46" spans="1:8" ht="25.5" x14ac:dyDescent="0.2">
      <c r="A46" s="3">
        <v>40</v>
      </c>
      <c r="B46" s="4" t="s">
        <v>260</v>
      </c>
      <c r="C46" s="4" t="s">
        <v>261</v>
      </c>
      <c r="D46" s="4" t="s">
        <v>1145</v>
      </c>
      <c r="E46" s="5">
        <v>30826</v>
      </c>
      <c r="F46" s="6">
        <v>124.444562</v>
      </c>
      <c r="G46" s="7">
        <v>8.8065550000000006E-3</v>
      </c>
      <c r="H46" s="39"/>
    </row>
    <row r="47" spans="1:8" x14ac:dyDescent="0.2">
      <c r="A47" s="3">
        <v>41</v>
      </c>
      <c r="B47" s="4" t="s">
        <v>180</v>
      </c>
      <c r="C47" s="4" t="s">
        <v>181</v>
      </c>
      <c r="D47" s="4" t="s">
        <v>1156</v>
      </c>
      <c r="E47" s="5">
        <v>37245</v>
      </c>
      <c r="F47" s="6">
        <v>119.2771125</v>
      </c>
      <c r="G47" s="7">
        <v>8.4408699999999996E-3</v>
      </c>
      <c r="H47" s="39"/>
    </row>
    <row r="48" spans="1:8" x14ac:dyDescent="0.2">
      <c r="A48" s="3">
        <v>42</v>
      </c>
      <c r="B48" s="4" t="s">
        <v>208</v>
      </c>
      <c r="C48" s="4" t="s">
        <v>209</v>
      </c>
      <c r="D48" s="4" t="s">
        <v>71</v>
      </c>
      <c r="E48" s="5">
        <v>19380</v>
      </c>
      <c r="F48" s="6">
        <v>118.98351</v>
      </c>
      <c r="G48" s="7">
        <v>8.420093E-3</v>
      </c>
      <c r="H48" s="39"/>
    </row>
    <row r="49" spans="1:8" x14ac:dyDescent="0.2">
      <c r="A49" s="3">
        <v>43</v>
      </c>
      <c r="B49" s="4" t="s">
        <v>172</v>
      </c>
      <c r="C49" s="4" t="s">
        <v>173</v>
      </c>
      <c r="D49" s="4" t="s">
        <v>1166</v>
      </c>
      <c r="E49" s="5">
        <v>52171</v>
      </c>
      <c r="F49" s="6">
        <v>117.3586645</v>
      </c>
      <c r="G49" s="7">
        <v>8.3051080000000003E-3</v>
      </c>
      <c r="H49" s="39"/>
    </row>
    <row r="50" spans="1:8" x14ac:dyDescent="0.2">
      <c r="A50" s="3">
        <v>44</v>
      </c>
      <c r="B50" s="4" t="s">
        <v>228</v>
      </c>
      <c r="C50" s="4" t="s">
        <v>229</v>
      </c>
      <c r="D50" s="4" t="s">
        <v>29</v>
      </c>
      <c r="E50" s="5">
        <v>11492</v>
      </c>
      <c r="F50" s="6">
        <v>117.212654</v>
      </c>
      <c r="G50" s="7">
        <v>8.2947750000000008E-3</v>
      </c>
      <c r="H50" s="39"/>
    </row>
    <row r="51" spans="1:8" ht="25.5" x14ac:dyDescent="0.2">
      <c r="A51" s="3">
        <v>45</v>
      </c>
      <c r="B51" s="4" t="s">
        <v>176</v>
      </c>
      <c r="C51" s="4" t="s">
        <v>177</v>
      </c>
      <c r="D51" s="4" t="s">
        <v>71</v>
      </c>
      <c r="E51" s="5">
        <v>6492</v>
      </c>
      <c r="F51" s="6">
        <v>114.95708999999999</v>
      </c>
      <c r="G51" s="7">
        <v>8.1351559999999993E-3</v>
      </c>
      <c r="H51" s="39"/>
    </row>
    <row r="52" spans="1:8" ht="25.5" x14ac:dyDescent="0.2">
      <c r="A52" s="3">
        <v>46</v>
      </c>
      <c r="B52" s="4" t="s">
        <v>196</v>
      </c>
      <c r="C52" s="4" t="s">
        <v>197</v>
      </c>
      <c r="D52" s="4" t="s">
        <v>1138</v>
      </c>
      <c r="E52" s="5">
        <v>7157</v>
      </c>
      <c r="F52" s="6">
        <v>112.715593</v>
      </c>
      <c r="G52" s="7">
        <v>7.9765319999999997E-3</v>
      </c>
      <c r="H52" s="39"/>
    </row>
    <row r="53" spans="1:8" x14ac:dyDescent="0.2">
      <c r="A53" s="3">
        <v>47</v>
      </c>
      <c r="B53" s="4" t="s">
        <v>202</v>
      </c>
      <c r="C53" s="4" t="s">
        <v>203</v>
      </c>
      <c r="D53" s="4" t="s">
        <v>71</v>
      </c>
      <c r="E53" s="5">
        <v>48497</v>
      </c>
      <c r="F53" s="6">
        <v>107.566346</v>
      </c>
      <c r="G53" s="7">
        <v>7.6121360000000002E-3</v>
      </c>
      <c r="H53" s="39"/>
    </row>
    <row r="54" spans="1:8" x14ac:dyDescent="0.2">
      <c r="A54" s="3">
        <v>48</v>
      </c>
      <c r="B54" s="4" t="s">
        <v>190</v>
      </c>
      <c r="C54" s="4" t="s">
        <v>191</v>
      </c>
      <c r="D54" s="4" t="s">
        <v>1169</v>
      </c>
      <c r="E54" s="5">
        <v>118261</v>
      </c>
      <c r="F54" s="6">
        <v>105.725334</v>
      </c>
      <c r="G54" s="7">
        <v>7.4818530000000001E-3</v>
      </c>
      <c r="H54" s="39"/>
    </row>
    <row r="55" spans="1:8" ht="25.5" x14ac:dyDescent="0.2">
      <c r="A55" s="3">
        <v>49</v>
      </c>
      <c r="B55" s="4" t="s">
        <v>262</v>
      </c>
      <c r="C55" s="4" t="s">
        <v>263</v>
      </c>
      <c r="D55" s="4" t="s">
        <v>1141</v>
      </c>
      <c r="E55" s="5">
        <v>35518</v>
      </c>
      <c r="F55" s="6">
        <v>104.67154600000001</v>
      </c>
      <c r="G55" s="7">
        <v>7.4072799999999996E-3</v>
      </c>
      <c r="H55" s="39"/>
    </row>
    <row r="56" spans="1:8" x14ac:dyDescent="0.2">
      <c r="A56" s="3">
        <v>50</v>
      </c>
      <c r="B56" s="4" t="s">
        <v>264</v>
      </c>
      <c r="C56" s="4" t="s">
        <v>265</v>
      </c>
      <c r="D56" s="4" t="s">
        <v>91</v>
      </c>
      <c r="E56" s="5">
        <v>48714</v>
      </c>
      <c r="F56" s="6">
        <v>104.662029</v>
      </c>
      <c r="G56" s="7">
        <v>7.4066059999999996E-3</v>
      </c>
      <c r="H56" s="39"/>
    </row>
    <row r="57" spans="1:8" x14ac:dyDescent="0.2">
      <c r="A57" s="3">
        <v>51</v>
      </c>
      <c r="B57" s="4" t="s">
        <v>266</v>
      </c>
      <c r="C57" s="4" t="s">
        <v>267</v>
      </c>
      <c r="D57" s="4" t="s">
        <v>1155</v>
      </c>
      <c r="E57" s="5">
        <v>67193</v>
      </c>
      <c r="F57" s="6">
        <v>101.12546500000001</v>
      </c>
      <c r="G57" s="7">
        <v>7.1563349999999998E-3</v>
      </c>
      <c r="H57" s="39"/>
    </row>
    <row r="58" spans="1:8" ht="25.5" x14ac:dyDescent="0.2">
      <c r="A58" s="3">
        <v>52</v>
      </c>
      <c r="B58" s="4" t="s">
        <v>268</v>
      </c>
      <c r="C58" s="4" t="s">
        <v>269</v>
      </c>
      <c r="D58" s="4" t="s">
        <v>1139</v>
      </c>
      <c r="E58" s="5">
        <v>13957</v>
      </c>
      <c r="F58" s="6">
        <v>98.1107315</v>
      </c>
      <c r="G58" s="7">
        <v>6.9429909999999999E-3</v>
      </c>
      <c r="H58" s="39"/>
    </row>
    <row r="59" spans="1:8" x14ac:dyDescent="0.2">
      <c r="A59" s="3">
        <v>53</v>
      </c>
      <c r="B59" s="4" t="s">
        <v>270</v>
      </c>
      <c r="C59" s="4" t="s">
        <v>271</v>
      </c>
      <c r="D59" s="4" t="s">
        <v>1154</v>
      </c>
      <c r="E59" s="5">
        <v>14660</v>
      </c>
      <c r="F59" s="6">
        <v>86.391379999999998</v>
      </c>
      <c r="G59" s="7">
        <v>6.1136489999999996E-3</v>
      </c>
      <c r="H59" s="39"/>
    </row>
    <row r="60" spans="1:8" x14ac:dyDescent="0.2">
      <c r="A60" s="3">
        <v>54</v>
      </c>
      <c r="B60" s="4" t="s">
        <v>224</v>
      </c>
      <c r="C60" s="4" t="s">
        <v>225</v>
      </c>
      <c r="D60" s="4" t="s">
        <v>1154</v>
      </c>
      <c r="E60" s="5">
        <v>17673</v>
      </c>
      <c r="F60" s="6">
        <v>86.217730500000002</v>
      </c>
      <c r="G60" s="7">
        <v>6.1013609999999996E-3</v>
      </c>
      <c r="H60" s="39"/>
    </row>
    <row r="61" spans="1:8" x14ac:dyDescent="0.2">
      <c r="A61" s="3">
        <v>55</v>
      </c>
      <c r="B61" s="4" t="s">
        <v>218</v>
      </c>
      <c r="C61" s="4" t="s">
        <v>219</v>
      </c>
      <c r="D61" s="4" t="s">
        <v>1026</v>
      </c>
      <c r="E61" s="5">
        <v>77084</v>
      </c>
      <c r="F61" s="6">
        <v>77.662130000000005</v>
      </c>
      <c r="G61" s="7">
        <v>5.4959070000000004E-3</v>
      </c>
      <c r="H61" s="39"/>
    </row>
    <row r="62" spans="1:8" x14ac:dyDescent="0.2">
      <c r="A62" s="3">
        <v>56</v>
      </c>
      <c r="B62" s="4" t="s">
        <v>204</v>
      </c>
      <c r="C62" s="4" t="s">
        <v>205</v>
      </c>
      <c r="D62" s="4" t="s">
        <v>1026</v>
      </c>
      <c r="E62" s="5">
        <v>50412</v>
      </c>
      <c r="F62" s="6">
        <v>76.928712000000004</v>
      </c>
      <c r="G62" s="7">
        <v>5.4440060000000004E-3</v>
      </c>
      <c r="H62" s="39"/>
    </row>
    <row r="63" spans="1:8" x14ac:dyDescent="0.2">
      <c r="A63" s="3">
        <v>57</v>
      </c>
      <c r="B63" s="4" t="s">
        <v>210</v>
      </c>
      <c r="C63" s="4" t="s">
        <v>211</v>
      </c>
      <c r="D63" s="4" t="s">
        <v>91</v>
      </c>
      <c r="E63" s="5">
        <v>9967</v>
      </c>
      <c r="F63" s="6">
        <v>76.890421500000002</v>
      </c>
      <c r="G63" s="7">
        <v>5.441296E-3</v>
      </c>
      <c r="H63" s="39"/>
    </row>
    <row r="64" spans="1:8" x14ac:dyDescent="0.2">
      <c r="A64" s="3">
        <v>58</v>
      </c>
      <c r="B64" s="4" t="s">
        <v>30</v>
      </c>
      <c r="C64" s="4" t="s">
        <v>31</v>
      </c>
      <c r="D64" s="4" t="s">
        <v>29</v>
      </c>
      <c r="E64" s="5">
        <v>4174</v>
      </c>
      <c r="F64" s="6">
        <v>75.129913000000002</v>
      </c>
      <c r="G64" s="7">
        <v>5.3167099999999997E-3</v>
      </c>
      <c r="H64" s="39"/>
    </row>
    <row r="65" spans="1:8" x14ac:dyDescent="0.2">
      <c r="A65" s="3">
        <v>59</v>
      </c>
      <c r="B65" s="4" t="s">
        <v>272</v>
      </c>
      <c r="C65" s="4" t="s">
        <v>273</v>
      </c>
      <c r="D65" s="4" t="s">
        <v>26</v>
      </c>
      <c r="E65" s="5">
        <v>90749</v>
      </c>
      <c r="F65" s="6">
        <v>74.641052500000001</v>
      </c>
      <c r="G65" s="7">
        <v>5.2821150000000004E-3</v>
      </c>
      <c r="H65" s="39"/>
    </row>
    <row r="66" spans="1:8" x14ac:dyDescent="0.2">
      <c r="A66" s="3">
        <v>60</v>
      </c>
      <c r="B66" s="4" t="s">
        <v>212</v>
      </c>
      <c r="C66" s="4" t="s">
        <v>213</v>
      </c>
      <c r="D66" s="4" t="s">
        <v>308</v>
      </c>
      <c r="E66" s="5">
        <v>10857</v>
      </c>
      <c r="F66" s="6">
        <v>62.927171999999999</v>
      </c>
      <c r="G66" s="7">
        <v>4.4531600000000003E-3</v>
      </c>
      <c r="H66" s="39"/>
    </row>
    <row r="67" spans="1:8" x14ac:dyDescent="0.2">
      <c r="A67" s="3">
        <v>61</v>
      </c>
      <c r="B67" s="4" t="s">
        <v>104</v>
      </c>
      <c r="C67" s="4" t="s">
        <v>105</v>
      </c>
      <c r="D67" s="4" t="s">
        <v>1157</v>
      </c>
      <c r="E67" s="5">
        <v>78875</v>
      </c>
      <c r="F67" s="6">
        <v>61.325312500000003</v>
      </c>
      <c r="G67" s="7">
        <v>4.3398020000000002E-3</v>
      </c>
      <c r="H67" s="39"/>
    </row>
    <row r="68" spans="1:8" x14ac:dyDescent="0.2">
      <c r="A68" s="3">
        <v>62</v>
      </c>
      <c r="B68" s="4" t="s">
        <v>214</v>
      </c>
      <c r="C68" s="4" t="s">
        <v>215</v>
      </c>
      <c r="D68" s="4" t="s">
        <v>18</v>
      </c>
      <c r="E68" s="5">
        <v>86786</v>
      </c>
      <c r="F68" s="6">
        <v>60.229483999999999</v>
      </c>
      <c r="G68" s="7">
        <v>4.2622529999999997E-3</v>
      </c>
      <c r="H68" s="39"/>
    </row>
    <row r="69" spans="1:8" ht="25.5" x14ac:dyDescent="0.2">
      <c r="A69" s="3">
        <v>63</v>
      </c>
      <c r="B69" s="4" t="s">
        <v>216</v>
      </c>
      <c r="C69" s="4" t="s">
        <v>217</v>
      </c>
      <c r="D69" s="4" t="s">
        <v>1138</v>
      </c>
      <c r="E69" s="5">
        <v>1484</v>
      </c>
      <c r="F69" s="6">
        <v>59.395615999999997</v>
      </c>
      <c r="G69" s="7">
        <v>4.2032429999999997E-3</v>
      </c>
      <c r="H69" s="39"/>
    </row>
    <row r="70" spans="1:8" x14ac:dyDescent="0.2">
      <c r="A70" s="3">
        <v>64</v>
      </c>
      <c r="B70" s="4" t="s">
        <v>274</v>
      </c>
      <c r="C70" s="4" t="s">
        <v>275</v>
      </c>
      <c r="D70" s="4" t="s">
        <v>60</v>
      </c>
      <c r="E70" s="5">
        <v>7314</v>
      </c>
      <c r="F70" s="6">
        <v>37.542762000000003</v>
      </c>
      <c r="G70" s="7">
        <v>2.6567840000000001E-3</v>
      </c>
      <c r="H70" s="39"/>
    </row>
    <row r="71" spans="1:8" ht="25.5" x14ac:dyDescent="0.2">
      <c r="A71" s="3">
        <v>65</v>
      </c>
      <c r="B71" s="4" t="s">
        <v>276</v>
      </c>
      <c r="C71" s="4" t="s">
        <v>277</v>
      </c>
      <c r="D71" s="4" t="s">
        <v>1138</v>
      </c>
      <c r="E71" s="5">
        <v>17716</v>
      </c>
      <c r="F71" s="6">
        <v>37.212457999999998</v>
      </c>
      <c r="G71" s="7">
        <v>2.6334100000000001E-3</v>
      </c>
      <c r="H71" s="39"/>
    </row>
    <row r="72" spans="1:8" ht="25.5" x14ac:dyDescent="0.2">
      <c r="A72" s="3">
        <v>66</v>
      </c>
      <c r="B72" s="4" t="s">
        <v>222</v>
      </c>
      <c r="C72" s="4" t="s">
        <v>223</v>
      </c>
      <c r="D72" s="4" t="s">
        <v>1153</v>
      </c>
      <c r="E72" s="5">
        <v>3966</v>
      </c>
      <c r="F72" s="6">
        <v>36.522894000000001</v>
      </c>
      <c r="G72" s="7">
        <v>2.584612E-3</v>
      </c>
      <c r="H72" s="39"/>
    </row>
    <row r="73" spans="1:8" x14ac:dyDescent="0.2">
      <c r="A73" s="3">
        <v>67</v>
      </c>
      <c r="B73" s="4" t="s">
        <v>92</v>
      </c>
      <c r="C73" s="4" t="s">
        <v>93</v>
      </c>
      <c r="D73" s="4" t="s">
        <v>60</v>
      </c>
      <c r="E73" s="5">
        <v>27635</v>
      </c>
      <c r="F73" s="6">
        <v>30.260325000000002</v>
      </c>
      <c r="G73" s="7">
        <v>2.1414289999999998E-3</v>
      </c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9">
        <v>11814.6552175</v>
      </c>
      <c r="G74" s="10">
        <v>0.83608640000000001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113</v>
      </c>
      <c r="D76" s="1"/>
      <c r="E76" s="1"/>
      <c r="F76" s="1"/>
      <c r="G76" s="1"/>
      <c r="H76" s="39"/>
    </row>
    <row r="77" spans="1:8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114</v>
      </c>
      <c r="D79" s="1"/>
      <c r="E79" s="1"/>
      <c r="F79" s="1"/>
      <c r="G79" s="1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117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118</v>
      </c>
      <c r="D91" s="1"/>
      <c r="E91" s="1"/>
      <c r="F91" s="9">
        <v>11814.6552175</v>
      </c>
      <c r="G91" s="10">
        <v>0.83608640000000001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119</v>
      </c>
      <c r="D93" s="1"/>
      <c r="E93" s="1"/>
      <c r="F93" s="12"/>
      <c r="G93" s="12"/>
      <c r="H93" s="39"/>
    </row>
    <row r="94" spans="1:8" ht="25.5" x14ac:dyDescent="0.2">
      <c r="A94" s="1"/>
      <c r="B94" s="1"/>
      <c r="C94" s="2" t="s">
        <v>10</v>
      </c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120</v>
      </c>
      <c r="D97" s="1"/>
      <c r="E97" s="1"/>
      <c r="F97" s="1"/>
      <c r="G97" s="1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121</v>
      </c>
      <c r="D100" s="1"/>
      <c r="E100" s="1"/>
      <c r="F100" s="1"/>
      <c r="G100" s="1"/>
      <c r="H100" s="39"/>
    </row>
    <row r="101" spans="1:8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122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123</v>
      </c>
      <c r="D106" s="1"/>
      <c r="E106" s="1"/>
      <c r="F106" s="9">
        <v>0</v>
      </c>
      <c r="G106" s="10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124</v>
      </c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125</v>
      </c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39"/>
    </row>
    <row r="111" spans="1:8" x14ac:dyDescent="0.2">
      <c r="A111" s="1"/>
      <c r="B111" s="1"/>
      <c r="C111" s="11"/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126</v>
      </c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111</v>
      </c>
      <c r="D113" s="1"/>
      <c r="E113" s="1" t="s">
        <v>112</v>
      </c>
      <c r="F113" s="13">
        <v>0</v>
      </c>
      <c r="G113" s="14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127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128</v>
      </c>
      <c r="D118" s="1"/>
      <c r="E118" s="1"/>
      <c r="F118" s="12"/>
      <c r="G118" s="12"/>
      <c r="H118" s="39"/>
    </row>
    <row r="119" spans="1:8" x14ac:dyDescent="0.2">
      <c r="A119" s="3">
        <v>1</v>
      </c>
      <c r="B119" s="4"/>
      <c r="C119" s="4" t="s">
        <v>129</v>
      </c>
      <c r="D119" s="4"/>
      <c r="E119" s="8"/>
      <c r="F119" s="6">
        <v>1652.4496380999999</v>
      </c>
      <c r="G119" s="7">
        <v>0.116938721</v>
      </c>
      <c r="H119" s="39">
        <v>3.6151121728634927</v>
      </c>
    </row>
    <row r="120" spans="1:8" x14ac:dyDescent="0.2">
      <c r="A120" s="3">
        <v>2</v>
      </c>
      <c r="B120" s="4"/>
      <c r="C120" s="4" t="s">
        <v>130</v>
      </c>
      <c r="D120" s="4"/>
      <c r="E120" s="8"/>
      <c r="F120" s="6">
        <v>584.26820540000006</v>
      </c>
      <c r="G120" s="7">
        <v>4.1346843000000001E-2</v>
      </c>
      <c r="H120" s="39">
        <v>3.7142625760646584</v>
      </c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9">
        <v>2236.7178435000001</v>
      </c>
      <c r="G121" s="10">
        <v>0.15828556399999999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131</v>
      </c>
      <c r="D123" s="1"/>
      <c r="E123" s="1"/>
      <c r="F123" s="9">
        <v>2236.7178435000001</v>
      </c>
      <c r="G123" s="10">
        <v>0.15828556399999999</v>
      </c>
      <c r="H123" s="39"/>
    </row>
    <row r="124" spans="1:8" x14ac:dyDescent="0.2">
      <c r="A124" s="1"/>
      <c r="B124" s="1"/>
      <c r="C124" s="12"/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132</v>
      </c>
      <c r="D125" s="1"/>
      <c r="E125" s="1"/>
      <c r="F125" s="1"/>
      <c r="G125" s="1"/>
      <c r="H125" s="39"/>
    </row>
    <row r="126" spans="1:8" x14ac:dyDescent="0.2">
      <c r="A126" s="1"/>
      <c r="B126" s="1"/>
      <c r="C126" s="2" t="s">
        <v>133</v>
      </c>
      <c r="D126" s="1"/>
      <c r="E126" s="1"/>
      <c r="F126" s="1"/>
      <c r="G126" s="1"/>
      <c r="H126" s="39"/>
    </row>
    <row r="127" spans="1:8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x14ac:dyDescent="0.2">
      <c r="A129" s="1"/>
      <c r="B129" s="1"/>
      <c r="C129" s="2" t="s">
        <v>134</v>
      </c>
      <c r="D129" s="1"/>
      <c r="E129" s="1"/>
      <c r="F129" s="1"/>
      <c r="G129" s="1"/>
      <c r="H129" s="39"/>
    </row>
    <row r="130" spans="1:8" x14ac:dyDescent="0.2">
      <c r="A130" s="1"/>
      <c r="B130" s="1"/>
      <c r="C130" s="2" t="s">
        <v>135</v>
      </c>
      <c r="D130" s="1"/>
      <c r="E130" s="1"/>
      <c r="F130" s="1"/>
      <c r="G130" s="1"/>
      <c r="H130" s="39"/>
    </row>
    <row r="131" spans="1:8" x14ac:dyDescent="0.2">
      <c r="A131" s="1"/>
      <c r="B131" s="1"/>
      <c r="C131" s="2" t="s">
        <v>111</v>
      </c>
      <c r="D131" s="1"/>
      <c r="E131" s="1" t="s">
        <v>112</v>
      </c>
      <c r="F131" s="13">
        <v>0</v>
      </c>
      <c r="G131" s="14">
        <v>0</v>
      </c>
      <c r="H131" s="39"/>
    </row>
    <row r="132" spans="1:8" x14ac:dyDescent="0.2">
      <c r="A132" s="1"/>
      <c r="B132" s="1"/>
      <c r="C132" s="11"/>
      <c r="D132" s="1"/>
      <c r="E132" s="1"/>
      <c r="F132" s="12"/>
      <c r="G132" s="12"/>
      <c r="H132" s="39"/>
    </row>
    <row r="133" spans="1:8" x14ac:dyDescent="0.2">
      <c r="A133" s="1"/>
      <c r="B133" s="1"/>
      <c r="C133" s="11"/>
      <c r="D133" s="1"/>
      <c r="E133" s="1"/>
      <c r="F133" s="12"/>
      <c r="G133" s="12"/>
      <c r="H133" s="39"/>
    </row>
    <row r="134" spans="1:8" ht="25.5" x14ac:dyDescent="0.2">
      <c r="A134" s="1"/>
      <c r="B134" s="1"/>
      <c r="C134" s="2" t="s">
        <v>136</v>
      </c>
      <c r="D134" s="1"/>
      <c r="E134" s="1"/>
      <c r="F134" s="12"/>
      <c r="G134" s="12"/>
      <c r="H134" s="39"/>
    </row>
    <row r="135" spans="1:8" x14ac:dyDescent="0.2">
      <c r="A135" s="1"/>
      <c r="B135" s="1"/>
      <c r="C135" s="2" t="s">
        <v>111</v>
      </c>
      <c r="D135" s="1"/>
      <c r="E135" s="1" t="s">
        <v>112</v>
      </c>
      <c r="F135" s="13">
        <v>0</v>
      </c>
      <c r="G135" s="14">
        <v>0</v>
      </c>
      <c r="H135" s="39"/>
    </row>
    <row r="136" spans="1:8" x14ac:dyDescent="0.2">
      <c r="A136" s="1"/>
      <c r="B136" s="1"/>
      <c r="C136" s="11"/>
      <c r="D136" s="1"/>
      <c r="E136" s="1"/>
      <c r="F136" s="12"/>
      <c r="G136" s="12"/>
      <c r="H136" s="39"/>
    </row>
    <row r="137" spans="1:8" x14ac:dyDescent="0.2">
      <c r="A137" s="1"/>
      <c r="B137" s="4"/>
      <c r="C137" s="4"/>
      <c r="D137" s="2"/>
      <c r="E137" s="1"/>
      <c r="F137" s="4"/>
      <c r="G137" s="8"/>
      <c r="H137" s="39"/>
    </row>
    <row r="138" spans="1:8" x14ac:dyDescent="0.2">
      <c r="A138" s="8"/>
      <c r="B138" s="4"/>
      <c r="C138" s="4" t="s">
        <v>137</v>
      </c>
      <c r="D138" s="4"/>
      <c r="E138" s="8"/>
      <c r="F138" s="6">
        <v>79.529259100000004</v>
      </c>
      <c r="G138" s="7">
        <v>5.6280380000000001E-3</v>
      </c>
      <c r="H138" s="39"/>
    </row>
    <row r="139" spans="1:8" x14ac:dyDescent="0.2">
      <c r="A139" s="11"/>
      <c r="B139" s="11"/>
      <c r="C139" s="2" t="s">
        <v>138</v>
      </c>
      <c r="D139" s="15"/>
      <c r="E139" s="15"/>
      <c r="F139" s="9">
        <v>14130.9023201</v>
      </c>
      <c r="G139" s="10">
        <v>1.0000000019999999</v>
      </c>
      <c r="H139" s="39"/>
    </row>
    <row r="140" spans="1:8" ht="14.1" customHeight="1" x14ac:dyDescent="0.2">
      <c r="A140" s="16"/>
      <c r="B140" s="16"/>
      <c r="C140" s="16"/>
      <c r="D140" s="17"/>
      <c r="E140" s="17"/>
      <c r="F140" s="17"/>
      <c r="G140" s="17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194" t="s">
        <v>140</v>
      </c>
      <c r="C142" s="195"/>
      <c r="D142" s="12" t="s">
        <v>112</v>
      </c>
      <c r="E142" s="21"/>
      <c r="F142" s="20"/>
      <c r="G142" s="20"/>
    </row>
    <row r="143" spans="1:8" ht="29.1" customHeight="1" x14ac:dyDescent="0.2">
      <c r="A143" s="18"/>
      <c r="B143" s="189" t="s">
        <v>141</v>
      </c>
      <c r="C143" s="190"/>
      <c r="D143" s="2" t="s">
        <v>142</v>
      </c>
      <c r="E143" s="21"/>
      <c r="F143" s="20"/>
      <c r="G143" s="20"/>
    </row>
    <row r="144" spans="1:8" ht="17.100000000000001" customHeight="1" x14ac:dyDescent="0.2">
      <c r="A144" s="18"/>
      <c r="B144" s="189" t="s">
        <v>143</v>
      </c>
      <c r="C144" s="190"/>
      <c r="D144" s="2" t="s">
        <v>142</v>
      </c>
      <c r="E144" s="21"/>
      <c r="F144" s="20"/>
      <c r="G144" s="20"/>
    </row>
    <row r="145" spans="1:17" ht="17.100000000000001" customHeight="1" x14ac:dyDescent="0.2">
      <c r="A145" s="18"/>
      <c r="B145" s="189" t="s">
        <v>144</v>
      </c>
      <c r="C145" s="190"/>
      <c r="D145" s="12" t="s">
        <v>112</v>
      </c>
      <c r="E145" s="21"/>
      <c r="F145" s="20"/>
      <c r="G145" s="20"/>
    </row>
    <row r="146" spans="1:17" ht="24" customHeight="1" x14ac:dyDescent="0.2">
      <c r="A146" s="22"/>
      <c r="B146" s="23" t="s">
        <v>112</v>
      </c>
      <c r="C146" s="23" t="s">
        <v>145</v>
      </c>
      <c r="D146" s="23" t="s">
        <v>146</v>
      </c>
      <c r="E146" s="22"/>
      <c r="F146" s="22"/>
      <c r="G146" s="22"/>
    </row>
    <row r="147" spans="1:17" ht="18" customHeight="1" x14ac:dyDescent="0.2">
      <c r="A147" s="22"/>
      <c r="B147" s="23" t="s">
        <v>147</v>
      </c>
      <c r="C147" s="23" t="s">
        <v>148</v>
      </c>
      <c r="D147" s="23" t="s">
        <v>149</v>
      </c>
      <c r="E147" s="22"/>
      <c r="F147" s="22"/>
      <c r="G147" s="22"/>
    </row>
    <row r="148" spans="1:17" ht="17.100000000000001" customHeight="1" x14ac:dyDescent="0.2">
      <c r="A148" s="22"/>
      <c r="B148" s="4" t="s">
        <v>150</v>
      </c>
      <c r="C148" s="24">
        <v>14.848699999999999</v>
      </c>
      <c r="D148" s="24">
        <v>15.9628</v>
      </c>
      <c r="E148" s="22"/>
      <c r="F148" s="19"/>
      <c r="G148" s="25"/>
    </row>
    <row r="149" spans="1:17" ht="17.100000000000001" customHeight="1" x14ac:dyDescent="0.2">
      <c r="A149" s="22"/>
      <c r="B149" s="4" t="s">
        <v>1092</v>
      </c>
      <c r="C149" s="24">
        <v>14.848699999999999</v>
      </c>
      <c r="D149" s="24">
        <v>15.9628</v>
      </c>
      <c r="E149" s="22"/>
      <c r="F149" s="19"/>
      <c r="G149" s="25"/>
    </row>
    <row r="150" spans="1:17" ht="17.100000000000001" customHeight="1" x14ac:dyDescent="0.2">
      <c r="A150" s="22"/>
      <c r="B150" s="4" t="s">
        <v>151</v>
      </c>
      <c r="C150" s="24">
        <v>14.462899999999999</v>
      </c>
      <c r="D150" s="24">
        <v>15.5403</v>
      </c>
      <c r="E150" s="22"/>
      <c r="F150" s="19"/>
      <c r="G150" s="25"/>
    </row>
    <row r="151" spans="1:17" ht="17.100000000000001" customHeight="1" x14ac:dyDescent="0.2">
      <c r="A151" s="22"/>
      <c r="B151" s="4" t="s">
        <v>1093</v>
      </c>
      <c r="C151" s="24">
        <v>14.462899999999999</v>
      </c>
      <c r="D151" s="24">
        <v>15.5403</v>
      </c>
      <c r="E151" s="22"/>
      <c r="F151" s="19"/>
      <c r="G151" s="25"/>
    </row>
    <row r="152" spans="1:17" ht="14.1" customHeight="1" x14ac:dyDescent="0.2">
      <c r="A152" s="22"/>
      <c r="B152" s="22"/>
      <c r="C152" s="22"/>
      <c r="D152" s="22"/>
      <c r="E152" s="22"/>
      <c r="F152" s="22"/>
      <c r="G152" s="22"/>
    </row>
    <row r="153" spans="1:17" ht="17.100000000000001" customHeight="1" x14ac:dyDescent="0.2">
      <c r="A153" s="22"/>
      <c r="B153" s="189" t="s">
        <v>1094</v>
      </c>
      <c r="C153" s="190"/>
      <c r="D153" s="2" t="s">
        <v>142</v>
      </c>
      <c r="E153" s="22"/>
      <c r="F153" s="22"/>
      <c r="G153" s="22"/>
    </row>
    <row r="154" spans="1:17" ht="18" customHeight="1" x14ac:dyDescent="0.2">
      <c r="A154" s="22"/>
      <c r="B154" s="26"/>
      <c r="C154" s="26"/>
      <c r="D154" s="27"/>
      <c r="E154" s="22"/>
      <c r="F154" s="22"/>
      <c r="G154" s="22"/>
    </row>
    <row r="155" spans="1:17" s="101" customFormat="1" x14ac:dyDescent="0.2">
      <c r="B155" s="193" t="s">
        <v>1102</v>
      </c>
      <c r="C155" s="193"/>
      <c r="D155" s="193"/>
      <c r="E155" s="193"/>
      <c r="F155" s="193"/>
      <c r="I155"/>
      <c r="J155"/>
      <c r="K155"/>
      <c r="L155"/>
      <c r="M155"/>
      <c r="N155"/>
      <c r="O155"/>
      <c r="P155" s="41"/>
      <c r="Q155" s="41"/>
    </row>
    <row r="156" spans="1:17" ht="14.1" customHeight="1" x14ac:dyDescent="0.2">
      <c r="A156" s="22"/>
      <c r="B156" s="19"/>
      <c r="C156" s="19"/>
      <c r="D156" s="22"/>
      <c r="E156" s="22"/>
      <c r="F156" s="22"/>
      <c r="G156" s="22"/>
    </row>
    <row r="157" spans="1:17" ht="29.1" customHeight="1" x14ac:dyDescent="0.2">
      <c r="A157" s="22"/>
      <c r="B157" s="189" t="s">
        <v>152</v>
      </c>
      <c r="C157" s="190"/>
      <c r="D157" s="2" t="s">
        <v>142</v>
      </c>
      <c r="E157" s="22"/>
      <c r="F157" s="22"/>
      <c r="G157" s="22"/>
    </row>
    <row r="158" spans="1:17" ht="29.1" customHeight="1" x14ac:dyDescent="0.2">
      <c r="A158" s="22"/>
      <c r="B158" s="189" t="s">
        <v>153</v>
      </c>
      <c r="C158" s="190"/>
      <c r="D158" s="2" t="s">
        <v>142</v>
      </c>
      <c r="E158" s="22"/>
      <c r="F158" s="22"/>
      <c r="G158" s="22"/>
    </row>
    <row r="159" spans="1:17" ht="17.100000000000001" customHeight="1" x14ac:dyDescent="0.2">
      <c r="A159" s="22"/>
      <c r="B159" s="189" t="s">
        <v>154</v>
      </c>
      <c r="C159" s="190"/>
      <c r="D159" s="28">
        <v>0.37503075731145963</v>
      </c>
      <c r="E159" s="22"/>
      <c r="F159" s="19"/>
      <c r="G159" s="25"/>
    </row>
    <row r="160" spans="1:17" ht="17.100000000000001" customHeight="1" x14ac:dyDescent="0.2">
      <c r="A160" s="22"/>
      <c r="B160" s="189" t="s">
        <v>155</v>
      </c>
      <c r="C160" s="190"/>
      <c r="D160" s="2" t="s">
        <v>142</v>
      </c>
      <c r="E160" s="22"/>
      <c r="F160" s="22"/>
      <c r="G160" s="22"/>
    </row>
    <row r="165" spans="10:15" x14ac:dyDescent="0.2">
      <c r="J165" s="101"/>
      <c r="K165" s="101"/>
      <c r="L165" s="101"/>
      <c r="M165" s="101"/>
      <c r="N165" s="101"/>
      <c r="O165" s="101"/>
    </row>
  </sheetData>
  <mergeCells count="14">
    <mergeCell ref="B160:C160"/>
    <mergeCell ref="B143:C143"/>
    <mergeCell ref="B144:C144"/>
    <mergeCell ref="B145:C145"/>
    <mergeCell ref="B153:C153"/>
    <mergeCell ref="B157:C157"/>
    <mergeCell ref="B158:C158"/>
    <mergeCell ref="B159:C159"/>
    <mergeCell ref="A1:H1"/>
    <mergeCell ref="A2:H2"/>
    <mergeCell ref="A3:H3"/>
    <mergeCell ref="B155:F155"/>
    <mergeCell ref="J2:N2"/>
    <mergeCell ref="B142:C14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278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32056</v>
      </c>
      <c r="F7" s="6">
        <v>404.22615999999999</v>
      </c>
      <c r="G7" s="7">
        <v>3.3845945000000002E-2</v>
      </c>
      <c r="H7" s="39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62247</v>
      </c>
      <c r="F8" s="6">
        <v>364.42506150000003</v>
      </c>
      <c r="G8" s="7">
        <v>3.0513390000000001E-2</v>
      </c>
      <c r="H8" s="39"/>
    </row>
    <row r="9" spans="1:14" x14ac:dyDescent="0.2">
      <c r="A9" s="3">
        <v>3</v>
      </c>
      <c r="B9" s="4" t="s">
        <v>235</v>
      </c>
      <c r="C9" s="4" t="s">
        <v>236</v>
      </c>
      <c r="D9" s="4" t="s">
        <v>1160</v>
      </c>
      <c r="E9" s="5">
        <v>188288</v>
      </c>
      <c r="F9" s="6">
        <v>356.71161599999999</v>
      </c>
      <c r="G9" s="7">
        <v>2.9867542E-2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8708</v>
      </c>
      <c r="F10" s="6">
        <v>355.47797600000001</v>
      </c>
      <c r="G10" s="7">
        <v>2.9764249E-2</v>
      </c>
      <c r="H10" s="39"/>
    </row>
    <row r="11" spans="1:14" x14ac:dyDescent="0.2">
      <c r="A11" s="3">
        <v>5</v>
      </c>
      <c r="B11" s="4" t="s">
        <v>233</v>
      </c>
      <c r="C11" s="4" t="s">
        <v>234</v>
      </c>
      <c r="D11" s="4" t="s">
        <v>71</v>
      </c>
      <c r="E11" s="5">
        <v>49555</v>
      </c>
      <c r="F11" s="6">
        <v>354.96246500000001</v>
      </c>
      <c r="G11" s="7">
        <v>2.9721085000000001E-2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18618</v>
      </c>
      <c r="F12" s="6">
        <v>335.11469099999999</v>
      </c>
      <c r="G12" s="7">
        <v>2.8059226E-2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49716</v>
      </c>
      <c r="F13" s="6">
        <v>298.818018</v>
      </c>
      <c r="G13" s="7">
        <v>2.5020098000000001E-2</v>
      </c>
      <c r="H13" s="39"/>
    </row>
    <row r="14" spans="1:14" x14ac:dyDescent="0.2">
      <c r="A14" s="3">
        <v>8</v>
      </c>
      <c r="B14" s="4" t="s">
        <v>170</v>
      </c>
      <c r="C14" s="4" t="s">
        <v>171</v>
      </c>
      <c r="D14" s="4" t="s">
        <v>1027</v>
      </c>
      <c r="E14" s="5">
        <v>19044</v>
      </c>
      <c r="F14" s="6">
        <v>292.65866999999997</v>
      </c>
      <c r="G14" s="7">
        <v>2.4504373999999999E-2</v>
      </c>
      <c r="H14" s="39"/>
    </row>
    <row r="15" spans="1:14" x14ac:dyDescent="0.2">
      <c r="A15" s="3">
        <v>9</v>
      </c>
      <c r="B15" s="4" t="s">
        <v>220</v>
      </c>
      <c r="C15" s="4" t="s">
        <v>221</v>
      </c>
      <c r="D15" s="4" t="s">
        <v>1149</v>
      </c>
      <c r="E15" s="5">
        <v>55085</v>
      </c>
      <c r="F15" s="6">
        <v>291.84032999999999</v>
      </c>
      <c r="G15" s="7">
        <v>2.4435854999999999E-2</v>
      </c>
      <c r="H15" s="39"/>
    </row>
    <row r="16" spans="1:14" ht="15" x14ac:dyDescent="0.2">
      <c r="A16" s="3">
        <v>10</v>
      </c>
      <c r="B16" s="4" t="s">
        <v>245</v>
      </c>
      <c r="C16" s="4" t="s">
        <v>246</v>
      </c>
      <c r="D16" s="4" t="s">
        <v>29</v>
      </c>
      <c r="E16" s="5">
        <v>32433</v>
      </c>
      <c r="F16" s="6">
        <v>274.3020975</v>
      </c>
      <c r="G16" s="7">
        <v>2.2967375000000002E-2</v>
      </c>
      <c r="H16" s="39"/>
      <c r="J16" s="176" t="s">
        <v>1174</v>
      </c>
    </row>
    <row r="17" spans="1:8" x14ac:dyDescent="0.2">
      <c r="A17" s="3">
        <v>11</v>
      </c>
      <c r="B17" s="4" t="s">
        <v>241</v>
      </c>
      <c r="C17" s="4" t="s">
        <v>242</v>
      </c>
      <c r="D17" s="4" t="s">
        <v>1143</v>
      </c>
      <c r="E17" s="5">
        <v>5738</v>
      </c>
      <c r="F17" s="6">
        <v>273.43291399999998</v>
      </c>
      <c r="G17" s="7">
        <v>2.2894597999999999E-2</v>
      </c>
      <c r="H17" s="39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1159</v>
      </c>
      <c r="E18" s="5">
        <v>21516</v>
      </c>
      <c r="F18" s="6">
        <v>271.11235799999997</v>
      </c>
      <c r="G18" s="7">
        <v>2.2700297000000001E-2</v>
      </c>
      <c r="H18" s="39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1026</v>
      </c>
      <c r="E19" s="5">
        <v>17819</v>
      </c>
      <c r="F19" s="6">
        <v>264.11321800000002</v>
      </c>
      <c r="G19" s="7">
        <v>2.2114256999999998E-2</v>
      </c>
      <c r="H19" s="39"/>
    </row>
    <row r="20" spans="1:8" x14ac:dyDescent="0.2">
      <c r="A20" s="3">
        <v>14</v>
      </c>
      <c r="B20" s="4" t="s">
        <v>164</v>
      </c>
      <c r="C20" s="4" t="s">
        <v>165</v>
      </c>
      <c r="D20" s="4" t="s">
        <v>82</v>
      </c>
      <c r="E20" s="5">
        <v>230364</v>
      </c>
      <c r="F20" s="6">
        <v>245.33766</v>
      </c>
      <c r="G20" s="7">
        <v>2.0542175999999999E-2</v>
      </c>
      <c r="H20" s="39"/>
    </row>
    <row r="21" spans="1:8" x14ac:dyDescent="0.2">
      <c r="A21" s="3">
        <v>15</v>
      </c>
      <c r="B21" s="4" t="s">
        <v>226</v>
      </c>
      <c r="C21" s="4" t="s">
        <v>227</v>
      </c>
      <c r="D21" s="4" t="s">
        <v>82</v>
      </c>
      <c r="E21" s="5">
        <v>27098</v>
      </c>
      <c r="F21" s="6">
        <v>208.505561</v>
      </c>
      <c r="G21" s="7">
        <v>1.7458215999999999E-2</v>
      </c>
      <c r="H21" s="39"/>
    </row>
    <row r="22" spans="1:8" ht="25.5" x14ac:dyDescent="0.2">
      <c r="A22" s="3">
        <v>16</v>
      </c>
      <c r="B22" s="4" t="s">
        <v>157</v>
      </c>
      <c r="C22" s="4" t="s">
        <v>158</v>
      </c>
      <c r="D22" s="4" t="s">
        <v>1137</v>
      </c>
      <c r="E22" s="5">
        <v>12327</v>
      </c>
      <c r="F22" s="6">
        <v>208.43107950000001</v>
      </c>
      <c r="G22" s="7">
        <v>1.7451979999999999E-2</v>
      </c>
      <c r="H22" s="39"/>
    </row>
    <row r="23" spans="1:8" x14ac:dyDescent="0.2">
      <c r="A23" s="3">
        <v>17</v>
      </c>
      <c r="B23" s="4" t="s">
        <v>87</v>
      </c>
      <c r="C23" s="4" t="s">
        <v>88</v>
      </c>
      <c r="D23" s="4" t="s">
        <v>1157</v>
      </c>
      <c r="E23" s="5">
        <v>39179</v>
      </c>
      <c r="F23" s="6">
        <v>202.49666149999999</v>
      </c>
      <c r="G23" s="7">
        <v>1.6955089999999999E-2</v>
      </c>
      <c r="H23" s="39"/>
    </row>
    <row r="24" spans="1:8" x14ac:dyDescent="0.2">
      <c r="A24" s="3">
        <v>18</v>
      </c>
      <c r="B24" s="4" t="s">
        <v>251</v>
      </c>
      <c r="C24" s="4" t="s">
        <v>252</v>
      </c>
      <c r="D24" s="4" t="s">
        <v>253</v>
      </c>
      <c r="E24" s="5">
        <v>72801</v>
      </c>
      <c r="F24" s="6">
        <v>196.48989900000001</v>
      </c>
      <c r="G24" s="7">
        <v>1.6452141999999999E-2</v>
      </c>
      <c r="H24" s="39"/>
    </row>
    <row r="25" spans="1:8" x14ac:dyDescent="0.2">
      <c r="A25" s="3">
        <v>19</v>
      </c>
      <c r="B25" s="4" t="s">
        <v>85</v>
      </c>
      <c r="C25" s="4" t="s">
        <v>86</v>
      </c>
      <c r="D25" s="4" t="s">
        <v>60</v>
      </c>
      <c r="E25" s="5">
        <v>12753</v>
      </c>
      <c r="F25" s="6">
        <v>195.61189049999999</v>
      </c>
      <c r="G25" s="7">
        <v>1.6378626E-2</v>
      </c>
      <c r="H25" s="39"/>
    </row>
    <row r="26" spans="1:8" x14ac:dyDescent="0.2">
      <c r="A26" s="3">
        <v>20</v>
      </c>
      <c r="B26" s="4" t="s">
        <v>194</v>
      </c>
      <c r="C26" s="4" t="s">
        <v>195</v>
      </c>
      <c r="D26" s="4" t="s">
        <v>1027</v>
      </c>
      <c r="E26" s="5">
        <v>13239</v>
      </c>
      <c r="F26" s="6">
        <v>187.3914255</v>
      </c>
      <c r="G26" s="7">
        <v>1.5690325000000001E-2</v>
      </c>
      <c r="H26" s="39"/>
    </row>
    <row r="27" spans="1:8" x14ac:dyDescent="0.2">
      <c r="A27" s="3">
        <v>21</v>
      </c>
      <c r="B27" s="4" t="s">
        <v>38</v>
      </c>
      <c r="C27" s="4" t="s">
        <v>39</v>
      </c>
      <c r="D27" s="4" t="s">
        <v>29</v>
      </c>
      <c r="E27" s="5">
        <v>14186</v>
      </c>
      <c r="F27" s="6">
        <v>187.177177</v>
      </c>
      <c r="G27" s="7">
        <v>1.5672386E-2</v>
      </c>
      <c r="H27" s="39"/>
    </row>
    <row r="28" spans="1:8" x14ac:dyDescent="0.2">
      <c r="A28" s="3">
        <v>22</v>
      </c>
      <c r="B28" s="4" t="s">
        <v>174</v>
      </c>
      <c r="C28" s="4" t="s">
        <v>175</v>
      </c>
      <c r="D28" s="4" t="s">
        <v>82</v>
      </c>
      <c r="E28" s="5">
        <v>28924</v>
      </c>
      <c r="F28" s="6">
        <v>182.64059800000001</v>
      </c>
      <c r="G28" s="7">
        <v>1.5292537E-2</v>
      </c>
      <c r="H28" s="39"/>
    </row>
    <row r="29" spans="1:8" x14ac:dyDescent="0.2">
      <c r="A29" s="3">
        <v>23</v>
      </c>
      <c r="B29" s="4" t="s">
        <v>243</v>
      </c>
      <c r="C29" s="4" t="s">
        <v>244</v>
      </c>
      <c r="D29" s="4" t="s">
        <v>1157</v>
      </c>
      <c r="E29" s="5">
        <v>16360</v>
      </c>
      <c r="F29" s="6">
        <v>179.95182</v>
      </c>
      <c r="G29" s="7">
        <v>1.5067405000000001E-2</v>
      </c>
      <c r="H29" s="39"/>
    </row>
    <row r="30" spans="1:8" ht="25.5" x14ac:dyDescent="0.2">
      <c r="A30" s="3">
        <v>24</v>
      </c>
      <c r="B30" s="4" t="s">
        <v>159</v>
      </c>
      <c r="C30" s="4" t="s">
        <v>160</v>
      </c>
      <c r="D30" s="4" t="s">
        <v>1138</v>
      </c>
      <c r="E30" s="5">
        <v>47293</v>
      </c>
      <c r="F30" s="6">
        <v>178.31825649999999</v>
      </c>
      <c r="G30" s="7">
        <v>1.4930627E-2</v>
      </c>
      <c r="H30" s="39"/>
    </row>
    <row r="31" spans="1:8" ht="25.5" x14ac:dyDescent="0.2">
      <c r="A31" s="3">
        <v>25</v>
      </c>
      <c r="B31" s="4" t="s">
        <v>168</v>
      </c>
      <c r="C31" s="4" t="s">
        <v>169</v>
      </c>
      <c r="D31" s="4" t="s">
        <v>1137</v>
      </c>
      <c r="E31" s="5">
        <v>72461</v>
      </c>
      <c r="F31" s="6">
        <v>174.26870500000001</v>
      </c>
      <c r="G31" s="7">
        <v>1.4591557E-2</v>
      </c>
      <c r="H31" s="39"/>
    </row>
    <row r="32" spans="1:8" ht="25.5" x14ac:dyDescent="0.2">
      <c r="A32" s="3">
        <v>26</v>
      </c>
      <c r="B32" s="4" t="s">
        <v>188</v>
      </c>
      <c r="C32" s="4" t="s">
        <v>189</v>
      </c>
      <c r="D32" s="4" t="s">
        <v>1158</v>
      </c>
      <c r="E32" s="5">
        <v>25510</v>
      </c>
      <c r="F32" s="6">
        <v>168.12365500000001</v>
      </c>
      <c r="G32" s="7">
        <v>1.4077030000000001E-2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18035</v>
      </c>
      <c r="F33" s="6">
        <v>167.31971250000001</v>
      </c>
      <c r="G33" s="7">
        <v>1.4009716E-2</v>
      </c>
      <c r="H33" s="39"/>
    </row>
    <row r="34" spans="1:8" x14ac:dyDescent="0.2">
      <c r="A34" s="3">
        <v>28</v>
      </c>
      <c r="B34" s="4" t="s">
        <v>279</v>
      </c>
      <c r="C34" s="4" t="s">
        <v>280</v>
      </c>
      <c r="D34" s="4" t="s">
        <v>82</v>
      </c>
      <c r="E34" s="5">
        <v>264030</v>
      </c>
      <c r="F34" s="6">
        <v>163.03852499999999</v>
      </c>
      <c r="G34" s="7">
        <v>1.3651251E-2</v>
      </c>
      <c r="H34" s="39"/>
    </row>
    <row r="35" spans="1:8" x14ac:dyDescent="0.2">
      <c r="A35" s="3">
        <v>29</v>
      </c>
      <c r="B35" s="4" t="s">
        <v>247</v>
      </c>
      <c r="C35" s="4" t="s">
        <v>248</v>
      </c>
      <c r="D35" s="4" t="s">
        <v>1154</v>
      </c>
      <c r="E35" s="5">
        <v>10027</v>
      </c>
      <c r="F35" s="6">
        <v>162.908669</v>
      </c>
      <c r="G35" s="7">
        <v>1.3640378E-2</v>
      </c>
      <c r="H35" s="39"/>
    </row>
    <row r="36" spans="1:8" ht="25.5" x14ac:dyDescent="0.2">
      <c r="A36" s="3">
        <v>30</v>
      </c>
      <c r="B36" s="4" t="s">
        <v>42</v>
      </c>
      <c r="C36" s="4" t="s">
        <v>43</v>
      </c>
      <c r="D36" s="4" t="s">
        <v>1150</v>
      </c>
      <c r="E36" s="5">
        <v>6481</v>
      </c>
      <c r="F36" s="6">
        <v>157.572553</v>
      </c>
      <c r="G36" s="7">
        <v>1.3193584E-2</v>
      </c>
      <c r="H36" s="39"/>
    </row>
    <row r="37" spans="1:8" x14ac:dyDescent="0.2">
      <c r="A37" s="3">
        <v>31</v>
      </c>
      <c r="B37" s="4" t="s">
        <v>281</v>
      </c>
      <c r="C37" s="4" t="s">
        <v>282</v>
      </c>
      <c r="D37" s="4" t="s">
        <v>29</v>
      </c>
      <c r="E37" s="5">
        <v>7016</v>
      </c>
      <c r="F37" s="6">
        <v>150.21957599999999</v>
      </c>
      <c r="G37" s="7">
        <v>1.2577918E-2</v>
      </c>
      <c r="H37" s="39"/>
    </row>
    <row r="38" spans="1:8" x14ac:dyDescent="0.2">
      <c r="A38" s="3">
        <v>32</v>
      </c>
      <c r="B38" s="4" t="s">
        <v>283</v>
      </c>
      <c r="C38" s="4" t="s">
        <v>284</v>
      </c>
      <c r="D38" s="4" t="s">
        <v>29</v>
      </c>
      <c r="E38" s="5">
        <v>23981</v>
      </c>
      <c r="F38" s="6">
        <v>149.13783900000001</v>
      </c>
      <c r="G38" s="7">
        <v>1.2487343999999999E-2</v>
      </c>
      <c r="H38" s="39"/>
    </row>
    <row r="39" spans="1:8" ht="25.5" x14ac:dyDescent="0.2">
      <c r="A39" s="3">
        <v>33</v>
      </c>
      <c r="B39" s="4" t="s">
        <v>186</v>
      </c>
      <c r="C39" s="4" t="s">
        <v>187</v>
      </c>
      <c r="D39" s="4" t="s">
        <v>1158</v>
      </c>
      <c r="E39" s="5">
        <v>30419</v>
      </c>
      <c r="F39" s="6">
        <v>147.5473595</v>
      </c>
      <c r="G39" s="7">
        <v>1.2354173E-2</v>
      </c>
      <c r="H39" s="39"/>
    </row>
    <row r="40" spans="1:8" x14ac:dyDescent="0.2">
      <c r="A40" s="3">
        <v>34</v>
      </c>
      <c r="B40" s="4" t="s">
        <v>249</v>
      </c>
      <c r="C40" s="4" t="s">
        <v>250</v>
      </c>
      <c r="D40" s="4" t="s">
        <v>60</v>
      </c>
      <c r="E40" s="5">
        <v>40089</v>
      </c>
      <c r="F40" s="6">
        <v>147.0264075</v>
      </c>
      <c r="G40" s="7">
        <v>1.2310553E-2</v>
      </c>
      <c r="H40" s="39"/>
    </row>
    <row r="41" spans="1:8" x14ac:dyDescent="0.2">
      <c r="A41" s="3">
        <v>35</v>
      </c>
      <c r="B41" s="4" t="s">
        <v>254</v>
      </c>
      <c r="C41" s="4" t="s">
        <v>255</v>
      </c>
      <c r="D41" s="4" t="s">
        <v>15</v>
      </c>
      <c r="E41" s="5">
        <v>53872</v>
      </c>
      <c r="F41" s="6">
        <v>145.104232</v>
      </c>
      <c r="G41" s="7">
        <v>1.2149609E-2</v>
      </c>
      <c r="H41" s="39"/>
    </row>
    <row r="42" spans="1:8" x14ac:dyDescent="0.2">
      <c r="A42" s="3">
        <v>36</v>
      </c>
      <c r="B42" s="4" t="s">
        <v>200</v>
      </c>
      <c r="C42" s="4" t="s">
        <v>201</v>
      </c>
      <c r="D42" s="4" t="s">
        <v>60</v>
      </c>
      <c r="E42" s="5">
        <v>152329</v>
      </c>
      <c r="F42" s="6">
        <v>130.69828200000001</v>
      </c>
      <c r="G42" s="7">
        <v>1.0943395999999999E-2</v>
      </c>
      <c r="H42" s="39"/>
    </row>
    <row r="43" spans="1:8" ht="25.5" x14ac:dyDescent="0.2">
      <c r="A43" s="3">
        <v>37</v>
      </c>
      <c r="B43" s="4" t="s">
        <v>198</v>
      </c>
      <c r="C43" s="4" t="s">
        <v>199</v>
      </c>
      <c r="D43" s="4" t="s">
        <v>1138</v>
      </c>
      <c r="E43" s="5">
        <v>21308</v>
      </c>
      <c r="F43" s="6">
        <v>125.738508</v>
      </c>
      <c r="G43" s="7">
        <v>1.0528113E-2</v>
      </c>
      <c r="H43" s="39"/>
    </row>
    <row r="44" spans="1:8" ht="25.5" x14ac:dyDescent="0.2">
      <c r="A44" s="3">
        <v>38</v>
      </c>
      <c r="B44" s="4" t="s">
        <v>182</v>
      </c>
      <c r="C44" s="4" t="s">
        <v>183</v>
      </c>
      <c r="D44" s="4" t="s">
        <v>1150</v>
      </c>
      <c r="E44" s="5">
        <v>66035</v>
      </c>
      <c r="F44" s="6">
        <v>125.20236</v>
      </c>
      <c r="G44" s="7">
        <v>1.0483220999999999E-2</v>
      </c>
      <c r="H44" s="39"/>
    </row>
    <row r="45" spans="1:8" x14ac:dyDescent="0.2">
      <c r="A45" s="3">
        <v>39</v>
      </c>
      <c r="B45" s="4" t="s">
        <v>192</v>
      </c>
      <c r="C45" s="4" t="s">
        <v>193</v>
      </c>
      <c r="D45" s="4" t="s">
        <v>1026</v>
      </c>
      <c r="E45" s="5">
        <v>26053</v>
      </c>
      <c r="F45" s="6">
        <v>124.88505550000001</v>
      </c>
      <c r="G45" s="7">
        <v>1.0456653E-2</v>
      </c>
      <c r="H45" s="39"/>
    </row>
    <row r="46" spans="1:8" x14ac:dyDescent="0.2">
      <c r="A46" s="3">
        <v>40</v>
      </c>
      <c r="B46" s="4" t="s">
        <v>256</v>
      </c>
      <c r="C46" s="4" t="s">
        <v>257</v>
      </c>
      <c r="D46" s="4" t="s">
        <v>1166</v>
      </c>
      <c r="E46" s="5">
        <v>6688</v>
      </c>
      <c r="F46" s="6">
        <v>117.2908</v>
      </c>
      <c r="G46" s="7">
        <v>9.8207840000000008E-3</v>
      </c>
      <c r="H46" s="39"/>
    </row>
    <row r="47" spans="1:8" ht="25.5" x14ac:dyDescent="0.2">
      <c r="A47" s="3">
        <v>41</v>
      </c>
      <c r="B47" s="4" t="s">
        <v>258</v>
      </c>
      <c r="C47" s="4" t="s">
        <v>259</v>
      </c>
      <c r="D47" s="4" t="s">
        <v>1138</v>
      </c>
      <c r="E47" s="5">
        <v>18233</v>
      </c>
      <c r="F47" s="6">
        <v>112.7619885</v>
      </c>
      <c r="G47" s="7">
        <v>9.4415860000000001E-3</v>
      </c>
      <c r="H47" s="39"/>
    </row>
    <row r="48" spans="1:8" ht="25.5" x14ac:dyDescent="0.2">
      <c r="A48" s="3">
        <v>42</v>
      </c>
      <c r="B48" s="4" t="s">
        <v>184</v>
      </c>
      <c r="C48" s="4" t="s">
        <v>185</v>
      </c>
      <c r="D48" s="4" t="s">
        <v>1145</v>
      </c>
      <c r="E48" s="5">
        <v>24808</v>
      </c>
      <c r="F48" s="6">
        <v>112.243796</v>
      </c>
      <c r="G48" s="7">
        <v>9.398198E-3</v>
      </c>
      <c r="H48" s="39"/>
    </row>
    <row r="49" spans="1:8" ht="25.5" x14ac:dyDescent="0.2">
      <c r="A49" s="3">
        <v>43</v>
      </c>
      <c r="B49" s="4" t="s">
        <v>178</v>
      </c>
      <c r="C49" s="4" t="s">
        <v>179</v>
      </c>
      <c r="D49" s="4" t="s">
        <v>1153</v>
      </c>
      <c r="E49" s="5">
        <v>12112</v>
      </c>
      <c r="F49" s="6">
        <v>110.412992</v>
      </c>
      <c r="G49" s="7">
        <v>9.244904E-3</v>
      </c>
      <c r="H49" s="39"/>
    </row>
    <row r="50" spans="1:8" x14ac:dyDescent="0.2">
      <c r="A50" s="3">
        <v>44</v>
      </c>
      <c r="B50" s="4" t="s">
        <v>76</v>
      </c>
      <c r="C50" s="4" t="s">
        <v>77</v>
      </c>
      <c r="D50" s="4" t="s">
        <v>71</v>
      </c>
      <c r="E50" s="5">
        <v>3000</v>
      </c>
      <c r="F50" s="6">
        <v>105.69750000000001</v>
      </c>
      <c r="G50" s="7">
        <v>8.8500750000000006E-3</v>
      </c>
      <c r="H50" s="39"/>
    </row>
    <row r="51" spans="1:8" ht="25.5" x14ac:dyDescent="0.2">
      <c r="A51" s="3">
        <v>45</v>
      </c>
      <c r="B51" s="4" t="s">
        <v>260</v>
      </c>
      <c r="C51" s="4" t="s">
        <v>261</v>
      </c>
      <c r="D51" s="4" t="s">
        <v>1145</v>
      </c>
      <c r="E51" s="5">
        <v>25988</v>
      </c>
      <c r="F51" s="6">
        <v>104.913556</v>
      </c>
      <c r="G51" s="7">
        <v>8.7844350000000002E-3</v>
      </c>
      <c r="H51" s="39"/>
    </row>
    <row r="52" spans="1:8" x14ac:dyDescent="0.2">
      <c r="A52" s="3">
        <v>46</v>
      </c>
      <c r="B52" s="4" t="s">
        <v>172</v>
      </c>
      <c r="C52" s="4" t="s">
        <v>173</v>
      </c>
      <c r="D52" s="4" t="s">
        <v>1166</v>
      </c>
      <c r="E52" s="5">
        <v>45236</v>
      </c>
      <c r="F52" s="6">
        <v>101.758382</v>
      </c>
      <c r="G52" s="7">
        <v>8.5202520000000007E-3</v>
      </c>
      <c r="H52" s="39"/>
    </row>
    <row r="53" spans="1:8" ht="25.5" x14ac:dyDescent="0.2">
      <c r="A53" s="3">
        <v>47</v>
      </c>
      <c r="B53" s="4" t="s">
        <v>285</v>
      </c>
      <c r="C53" s="4" t="s">
        <v>286</v>
      </c>
      <c r="D53" s="4" t="s">
        <v>1153</v>
      </c>
      <c r="E53" s="5">
        <v>11989</v>
      </c>
      <c r="F53" s="6">
        <v>101.2411105</v>
      </c>
      <c r="G53" s="7">
        <v>8.4769400000000005E-3</v>
      </c>
      <c r="H53" s="39"/>
    </row>
    <row r="54" spans="1:8" x14ac:dyDescent="0.2">
      <c r="A54" s="3">
        <v>48</v>
      </c>
      <c r="B54" s="4" t="s">
        <v>180</v>
      </c>
      <c r="C54" s="4" t="s">
        <v>181</v>
      </c>
      <c r="D54" s="4" t="s">
        <v>1156</v>
      </c>
      <c r="E54" s="5">
        <v>31242</v>
      </c>
      <c r="F54" s="6">
        <v>100.052505</v>
      </c>
      <c r="G54" s="7">
        <v>8.3774179999999993E-3</v>
      </c>
      <c r="H54" s="39"/>
    </row>
    <row r="55" spans="1:8" x14ac:dyDescent="0.2">
      <c r="A55" s="3">
        <v>49</v>
      </c>
      <c r="B55" s="4" t="s">
        <v>208</v>
      </c>
      <c r="C55" s="4" t="s">
        <v>209</v>
      </c>
      <c r="D55" s="4" t="s">
        <v>71</v>
      </c>
      <c r="E55" s="5">
        <v>16226</v>
      </c>
      <c r="F55" s="6">
        <v>99.619527000000005</v>
      </c>
      <c r="G55" s="7">
        <v>8.3411649999999993E-3</v>
      </c>
      <c r="H55" s="39"/>
    </row>
    <row r="56" spans="1:8" x14ac:dyDescent="0.2">
      <c r="A56" s="3">
        <v>50</v>
      </c>
      <c r="B56" s="4" t="s">
        <v>228</v>
      </c>
      <c r="C56" s="4" t="s">
        <v>229</v>
      </c>
      <c r="D56" s="4" t="s">
        <v>29</v>
      </c>
      <c r="E56" s="5">
        <v>9688</v>
      </c>
      <c r="F56" s="6">
        <v>98.812755999999993</v>
      </c>
      <c r="G56" s="7">
        <v>8.2736140000000003E-3</v>
      </c>
      <c r="H56" s="39"/>
    </row>
    <row r="57" spans="1:8" ht="25.5" x14ac:dyDescent="0.2">
      <c r="A57" s="3">
        <v>51</v>
      </c>
      <c r="B57" s="4" t="s">
        <v>196</v>
      </c>
      <c r="C57" s="4" t="s">
        <v>197</v>
      </c>
      <c r="D57" s="4" t="s">
        <v>1138</v>
      </c>
      <c r="E57" s="5">
        <v>5980</v>
      </c>
      <c r="F57" s="6">
        <v>94.179019999999994</v>
      </c>
      <c r="G57" s="7">
        <v>7.8856299999999994E-3</v>
      </c>
      <c r="H57" s="39"/>
    </row>
    <row r="58" spans="1:8" x14ac:dyDescent="0.2">
      <c r="A58" s="3">
        <v>52</v>
      </c>
      <c r="B58" s="4" t="s">
        <v>266</v>
      </c>
      <c r="C58" s="4" t="s">
        <v>267</v>
      </c>
      <c r="D58" s="4" t="s">
        <v>1155</v>
      </c>
      <c r="E58" s="5">
        <v>61316</v>
      </c>
      <c r="F58" s="6">
        <v>92.28058</v>
      </c>
      <c r="G58" s="7">
        <v>7.7266729999999999E-3</v>
      </c>
      <c r="H58" s="39"/>
    </row>
    <row r="59" spans="1:8" x14ac:dyDescent="0.2">
      <c r="A59" s="3">
        <v>53</v>
      </c>
      <c r="B59" s="4" t="s">
        <v>264</v>
      </c>
      <c r="C59" s="4" t="s">
        <v>265</v>
      </c>
      <c r="D59" s="4" t="s">
        <v>91</v>
      </c>
      <c r="E59" s="5">
        <v>42614</v>
      </c>
      <c r="F59" s="6">
        <v>91.556179</v>
      </c>
      <c r="G59" s="7">
        <v>7.6660189999999996E-3</v>
      </c>
      <c r="H59" s="39"/>
    </row>
    <row r="60" spans="1:8" x14ac:dyDescent="0.2">
      <c r="A60" s="3">
        <v>54</v>
      </c>
      <c r="B60" s="4" t="s">
        <v>202</v>
      </c>
      <c r="C60" s="4" t="s">
        <v>203</v>
      </c>
      <c r="D60" s="4" t="s">
        <v>71</v>
      </c>
      <c r="E60" s="5">
        <v>40563</v>
      </c>
      <c r="F60" s="6">
        <v>89.968733999999998</v>
      </c>
      <c r="G60" s="7">
        <v>7.5331019999999999E-3</v>
      </c>
      <c r="H60" s="39"/>
    </row>
    <row r="61" spans="1:8" x14ac:dyDescent="0.2">
      <c r="A61" s="3">
        <v>55</v>
      </c>
      <c r="B61" s="4" t="s">
        <v>190</v>
      </c>
      <c r="C61" s="4" t="s">
        <v>191</v>
      </c>
      <c r="D61" s="4" t="s">
        <v>1169</v>
      </c>
      <c r="E61" s="5">
        <v>100256</v>
      </c>
      <c r="F61" s="6">
        <v>89.628863999999993</v>
      </c>
      <c r="G61" s="7">
        <v>7.5046440000000004E-3</v>
      </c>
      <c r="H61" s="39"/>
    </row>
    <row r="62" spans="1:8" ht="25.5" x14ac:dyDescent="0.2">
      <c r="A62" s="3">
        <v>56</v>
      </c>
      <c r="B62" s="4" t="s">
        <v>262</v>
      </c>
      <c r="C62" s="4" t="s">
        <v>263</v>
      </c>
      <c r="D62" s="4" t="s">
        <v>1141</v>
      </c>
      <c r="E62" s="5">
        <v>29657</v>
      </c>
      <c r="F62" s="6">
        <v>87.399179000000004</v>
      </c>
      <c r="G62" s="7">
        <v>7.317952E-3</v>
      </c>
      <c r="H62" s="39"/>
    </row>
    <row r="63" spans="1:8" ht="25.5" x14ac:dyDescent="0.2">
      <c r="A63" s="3">
        <v>57</v>
      </c>
      <c r="B63" s="4" t="s">
        <v>268</v>
      </c>
      <c r="C63" s="4" t="s">
        <v>269</v>
      </c>
      <c r="D63" s="4" t="s">
        <v>1139</v>
      </c>
      <c r="E63" s="5">
        <v>11772</v>
      </c>
      <c r="F63" s="6">
        <v>82.751273999999995</v>
      </c>
      <c r="G63" s="7">
        <v>6.9287819999999996E-3</v>
      </c>
      <c r="H63" s="39"/>
    </row>
    <row r="64" spans="1:8" ht="25.5" x14ac:dyDescent="0.2">
      <c r="A64" s="3">
        <v>58</v>
      </c>
      <c r="B64" s="4" t="s">
        <v>176</v>
      </c>
      <c r="C64" s="4" t="s">
        <v>177</v>
      </c>
      <c r="D64" s="4" t="s">
        <v>71</v>
      </c>
      <c r="E64" s="5">
        <v>4600</v>
      </c>
      <c r="F64" s="6">
        <v>81.454499999999996</v>
      </c>
      <c r="G64" s="7">
        <v>6.8202030000000004E-3</v>
      </c>
      <c r="H64" s="39"/>
    </row>
    <row r="65" spans="1:8" x14ac:dyDescent="0.2">
      <c r="A65" s="3">
        <v>59</v>
      </c>
      <c r="B65" s="4" t="s">
        <v>287</v>
      </c>
      <c r="C65" s="4" t="s">
        <v>288</v>
      </c>
      <c r="D65" s="4" t="s">
        <v>71</v>
      </c>
      <c r="E65" s="5">
        <v>5211</v>
      </c>
      <c r="F65" s="6">
        <v>72.386000999999993</v>
      </c>
      <c r="G65" s="7">
        <v>6.0608959999999996E-3</v>
      </c>
      <c r="H65" s="39"/>
    </row>
    <row r="66" spans="1:8" x14ac:dyDescent="0.2">
      <c r="A66" s="3">
        <v>60</v>
      </c>
      <c r="B66" s="4" t="s">
        <v>270</v>
      </c>
      <c r="C66" s="4" t="s">
        <v>271</v>
      </c>
      <c r="D66" s="4" t="s">
        <v>1154</v>
      </c>
      <c r="E66" s="5">
        <v>12261</v>
      </c>
      <c r="F66" s="6">
        <v>72.254073000000005</v>
      </c>
      <c r="G66" s="7">
        <v>6.0498490000000004E-3</v>
      </c>
      <c r="H66" s="39"/>
    </row>
    <row r="67" spans="1:8" x14ac:dyDescent="0.2">
      <c r="A67" s="3">
        <v>61</v>
      </c>
      <c r="B67" s="4" t="s">
        <v>218</v>
      </c>
      <c r="C67" s="4" t="s">
        <v>219</v>
      </c>
      <c r="D67" s="4" t="s">
        <v>1026</v>
      </c>
      <c r="E67" s="5">
        <v>70479</v>
      </c>
      <c r="F67" s="6">
        <v>71.007592500000001</v>
      </c>
      <c r="G67" s="7">
        <v>5.9454809999999999E-3</v>
      </c>
      <c r="H67" s="39"/>
    </row>
    <row r="68" spans="1:8" ht="25.5" x14ac:dyDescent="0.2">
      <c r="A68" s="3">
        <v>62</v>
      </c>
      <c r="B68" s="4" t="s">
        <v>289</v>
      </c>
      <c r="C68" s="4" t="s">
        <v>290</v>
      </c>
      <c r="D68" s="4" t="s">
        <v>1153</v>
      </c>
      <c r="E68" s="5">
        <v>9829</v>
      </c>
      <c r="F68" s="6">
        <v>65.377593500000003</v>
      </c>
      <c r="G68" s="7">
        <v>5.4740800000000001E-3</v>
      </c>
      <c r="H68" s="39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91</v>
      </c>
      <c r="E69" s="5">
        <v>8427</v>
      </c>
      <c r="F69" s="6">
        <v>65.010091500000001</v>
      </c>
      <c r="G69" s="7">
        <v>5.4433090000000003E-3</v>
      </c>
      <c r="H69" s="39"/>
    </row>
    <row r="70" spans="1:8" x14ac:dyDescent="0.2">
      <c r="A70" s="3">
        <v>64</v>
      </c>
      <c r="B70" s="4" t="s">
        <v>204</v>
      </c>
      <c r="C70" s="4" t="s">
        <v>205</v>
      </c>
      <c r="D70" s="4" t="s">
        <v>1026</v>
      </c>
      <c r="E70" s="5">
        <v>42305</v>
      </c>
      <c r="F70" s="6">
        <v>64.557429999999997</v>
      </c>
      <c r="G70" s="7">
        <v>5.4054079999999996E-3</v>
      </c>
      <c r="H70" s="39"/>
    </row>
    <row r="71" spans="1:8" x14ac:dyDescent="0.2">
      <c r="A71" s="3">
        <v>65</v>
      </c>
      <c r="B71" s="4" t="s">
        <v>224</v>
      </c>
      <c r="C71" s="4" t="s">
        <v>225</v>
      </c>
      <c r="D71" s="4" t="s">
        <v>1154</v>
      </c>
      <c r="E71" s="5">
        <v>13025</v>
      </c>
      <c r="F71" s="6">
        <v>63.542462499999999</v>
      </c>
      <c r="G71" s="7">
        <v>5.3204239999999998E-3</v>
      </c>
      <c r="H71" s="39"/>
    </row>
    <row r="72" spans="1:8" x14ac:dyDescent="0.2">
      <c r="A72" s="3">
        <v>66</v>
      </c>
      <c r="B72" s="4" t="s">
        <v>272</v>
      </c>
      <c r="C72" s="4" t="s">
        <v>273</v>
      </c>
      <c r="D72" s="4" t="s">
        <v>26</v>
      </c>
      <c r="E72" s="5">
        <v>76703</v>
      </c>
      <c r="F72" s="6">
        <v>63.088217499999999</v>
      </c>
      <c r="G72" s="7">
        <v>5.2823899999999997E-3</v>
      </c>
      <c r="H72" s="39"/>
    </row>
    <row r="73" spans="1:8" x14ac:dyDescent="0.2">
      <c r="A73" s="3">
        <v>67</v>
      </c>
      <c r="B73" s="4" t="s">
        <v>212</v>
      </c>
      <c r="C73" s="4" t="s">
        <v>213</v>
      </c>
      <c r="D73" s="4" t="s">
        <v>308</v>
      </c>
      <c r="E73" s="5">
        <v>9171</v>
      </c>
      <c r="F73" s="6">
        <v>53.155116</v>
      </c>
      <c r="G73" s="7">
        <v>4.4506889999999999E-3</v>
      </c>
      <c r="H73" s="39"/>
    </row>
    <row r="74" spans="1:8" x14ac:dyDescent="0.2">
      <c r="A74" s="3">
        <v>68</v>
      </c>
      <c r="B74" s="4" t="s">
        <v>104</v>
      </c>
      <c r="C74" s="4" t="s">
        <v>105</v>
      </c>
      <c r="D74" s="4" t="s">
        <v>1157</v>
      </c>
      <c r="E74" s="5">
        <v>67000</v>
      </c>
      <c r="F74" s="6">
        <v>52.092500000000001</v>
      </c>
      <c r="G74" s="7">
        <v>4.3617159999999999E-3</v>
      </c>
      <c r="H74" s="39"/>
    </row>
    <row r="75" spans="1:8" ht="25.5" x14ac:dyDescent="0.2">
      <c r="A75" s="3">
        <v>69</v>
      </c>
      <c r="B75" s="4" t="s">
        <v>216</v>
      </c>
      <c r="C75" s="4" t="s">
        <v>217</v>
      </c>
      <c r="D75" s="4" t="s">
        <v>1138</v>
      </c>
      <c r="E75" s="5">
        <v>1256</v>
      </c>
      <c r="F75" s="6">
        <v>50.270144000000002</v>
      </c>
      <c r="G75" s="7">
        <v>4.2091300000000002E-3</v>
      </c>
      <c r="H75" s="39"/>
    </row>
    <row r="76" spans="1:8" x14ac:dyDescent="0.2">
      <c r="A76" s="3">
        <v>70</v>
      </c>
      <c r="B76" s="4" t="s">
        <v>214</v>
      </c>
      <c r="C76" s="4" t="s">
        <v>215</v>
      </c>
      <c r="D76" s="4" t="s">
        <v>18</v>
      </c>
      <c r="E76" s="5">
        <v>71994</v>
      </c>
      <c r="F76" s="6">
        <v>49.963836000000001</v>
      </c>
      <c r="G76" s="7">
        <v>4.183483E-3</v>
      </c>
      <c r="H76" s="39"/>
    </row>
    <row r="77" spans="1:8" x14ac:dyDescent="0.2">
      <c r="A77" s="3">
        <v>71</v>
      </c>
      <c r="B77" s="4" t="s">
        <v>274</v>
      </c>
      <c r="C77" s="4" t="s">
        <v>275</v>
      </c>
      <c r="D77" s="4" t="s">
        <v>60</v>
      </c>
      <c r="E77" s="5">
        <v>6176</v>
      </c>
      <c r="F77" s="6">
        <v>31.701408000000001</v>
      </c>
      <c r="G77" s="7">
        <v>2.654366E-3</v>
      </c>
      <c r="H77" s="39"/>
    </row>
    <row r="78" spans="1:8" ht="25.5" x14ac:dyDescent="0.2">
      <c r="A78" s="3">
        <v>72</v>
      </c>
      <c r="B78" s="4" t="s">
        <v>276</v>
      </c>
      <c r="C78" s="4" t="s">
        <v>277</v>
      </c>
      <c r="D78" s="4" t="s">
        <v>1138</v>
      </c>
      <c r="E78" s="5">
        <v>14986</v>
      </c>
      <c r="F78" s="6">
        <v>31.478093000000001</v>
      </c>
      <c r="G78" s="7">
        <v>2.6356679999999999E-3</v>
      </c>
      <c r="H78" s="39"/>
    </row>
    <row r="79" spans="1:8" ht="25.5" x14ac:dyDescent="0.2">
      <c r="A79" s="3">
        <v>73</v>
      </c>
      <c r="B79" s="4" t="s">
        <v>222</v>
      </c>
      <c r="C79" s="4" t="s">
        <v>223</v>
      </c>
      <c r="D79" s="4" t="s">
        <v>1153</v>
      </c>
      <c r="E79" s="5">
        <v>3329</v>
      </c>
      <c r="F79" s="6">
        <v>30.656760999999999</v>
      </c>
      <c r="G79" s="7">
        <v>2.5668969999999998E-3</v>
      </c>
      <c r="H79" s="39"/>
    </row>
    <row r="80" spans="1:8" x14ac:dyDescent="0.2">
      <c r="A80" s="3">
        <v>74</v>
      </c>
      <c r="B80" s="4" t="s">
        <v>92</v>
      </c>
      <c r="C80" s="4" t="s">
        <v>93</v>
      </c>
      <c r="D80" s="4" t="s">
        <v>60</v>
      </c>
      <c r="E80" s="5">
        <v>24117</v>
      </c>
      <c r="F80" s="6">
        <v>26.408114999999999</v>
      </c>
      <c r="G80" s="7">
        <v>2.2111570000000001E-3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11285.31172</v>
      </c>
      <c r="G81" s="10">
        <v>0.94492161600000002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11285.31172</v>
      </c>
      <c r="G98" s="10">
        <v>0.94492161600000002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493.17011769999999</v>
      </c>
      <c r="G126" s="7">
        <v>4.1293242000000001E-2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174.37358090000001</v>
      </c>
      <c r="G127" s="7">
        <v>1.4600337999999999E-2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667.54369859999997</v>
      </c>
      <c r="G128" s="10">
        <v>5.5893579999999998E-2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667.54369859999997</v>
      </c>
      <c r="G130" s="10">
        <v>5.5893579999999998E-2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-9.7359854000000006</v>
      </c>
      <c r="G145" s="7">
        <v>-8.1519600000000002E-4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11943.1194332</v>
      </c>
      <c r="G146" s="10">
        <v>1</v>
      </c>
      <c r="H146" s="39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94" t="s">
        <v>140</v>
      </c>
      <c r="C149" s="1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189" t="s">
        <v>141</v>
      </c>
      <c r="C150" s="190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189" t="s">
        <v>143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144</v>
      </c>
      <c r="C152" s="190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14.2697</v>
      </c>
      <c r="D155" s="24">
        <v>15.359299999999999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1092</v>
      </c>
      <c r="C156" s="24">
        <v>14.2697</v>
      </c>
      <c r="D156" s="24">
        <v>15.359299999999999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13.718500000000001</v>
      </c>
      <c r="D157" s="24">
        <v>14.7592</v>
      </c>
      <c r="E157" s="22"/>
      <c r="F157" s="19"/>
      <c r="G157" s="25"/>
    </row>
    <row r="158" spans="1:8" ht="17.100000000000001" customHeight="1" x14ac:dyDescent="0.2">
      <c r="A158" s="22"/>
      <c r="B158" s="4" t="s">
        <v>1093</v>
      </c>
      <c r="C158" s="24">
        <v>13.718400000000001</v>
      </c>
      <c r="D158" s="24">
        <v>14.7592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89" t="s">
        <v>1094</v>
      </c>
      <c r="C160" s="190"/>
      <c r="D160" s="2" t="s">
        <v>142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101" customFormat="1" x14ac:dyDescent="0.2">
      <c r="B162" s="193" t="s">
        <v>1102</v>
      </c>
      <c r="C162" s="193"/>
      <c r="D162" s="193"/>
      <c r="E162" s="193"/>
      <c r="F162" s="193"/>
      <c r="I162"/>
      <c r="J162"/>
      <c r="K162"/>
      <c r="L162"/>
      <c r="M162"/>
      <c r="N162"/>
      <c r="O162"/>
      <c r="P162" s="41"/>
      <c r="Q162" s="41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89" t="s">
        <v>152</v>
      </c>
      <c r="C164" s="190"/>
      <c r="D164" s="2" t="s">
        <v>142</v>
      </c>
      <c r="E164" s="22"/>
      <c r="F164" s="22"/>
      <c r="G164" s="22"/>
    </row>
    <row r="165" spans="1:17" ht="29.1" customHeight="1" x14ac:dyDescent="0.2">
      <c r="A165" s="22"/>
      <c r="B165" s="189" t="s">
        <v>153</v>
      </c>
      <c r="C165" s="190"/>
      <c r="D165" s="2" t="s">
        <v>142</v>
      </c>
      <c r="E165" s="22"/>
      <c r="F165" s="22"/>
      <c r="G165" s="22"/>
    </row>
    <row r="166" spans="1:17" ht="17.100000000000001" customHeight="1" x14ac:dyDescent="0.2">
      <c r="A166" s="22"/>
      <c r="B166" s="189" t="s">
        <v>154</v>
      </c>
      <c r="C166" s="190"/>
      <c r="D166" s="28">
        <v>0.38616054396483368</v>
      </c>
      <c r="E166" s="22"/>
      <c r="F166" s="19"/>
      <c r="G166" s="25"/>
      <c r="J166" s="101"/>
      <c r="K166" s="101"/>
      <c r="L166" s="101"/>
      <c r="M166" s="101"/>
      <c r="N166" s="101"/>
      <c r="O166" s="101"/>
    </row>
    <row r="167" spans="1:17" ht="17.100000000000001" customHeight="1" x14ac:dyDescent="0.2">
      <c r="A167" s="22"/>
      <c r="B167" s="189" t="s">
        <v>155</v>
      </c>
      <c r="C167" s="190"/>
      <c r="D167" s="2" t="s">
        <v>142</v>
      </c>
      <c r="E167" s="22"/>
      <c r="F167" s="22"/>
      <c r="G167" s="22"/>
    </row>
  </sheetData>
  <mergeCells count="14">
    <mergeCell ref="B167:C167"/>
    <mergeCell ref="B150:C150"/>
    <mergeCell ref="B151:C151"/>
    <mergeCell ref="B152:C152"/>
    <mergeCell ref="B160:C160"/>
    <mergeCell ref="B164:C164"/>
    <mergeCell ref="B165:C165"/>
    <mergeCell ref="B166:C166"/>
    <mergeCell ref="A1:H1"/>
    <mergeCell ref="A2:H2"/>
    <mergeCell ref="A3:H3"/>
    <mergeCell ref="B162:F162"/>
    <mergeCell ref="J2:N2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291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94</v>
      </c>
      <c r="C7" s="4" t="s">
        <v>95</v>
      </c>
      <c r="D7" s="4" t="s">
        <v>1154</v>
      </c>
      <c r="E7" s="5">
        <v>1225535</v>
      </c>
      <c r="F7" s="6">
        <v>23799.8897</v>
      </c>
      <c r="G7" s="7">
        <v>3.3410998999999997E-2</v>
      </c>
      <c r="H7" s="39"/>
    </row>
    <row r="8" spans="1:14" x14ac:dyDescent="0.2">
      <c r="A8" s="3">
        <v>2</v>
      </c>
      <c r="B8" s="4" t="s">
        <v>292</v>
      </c>
      <c r="C8" s="4" t="s">
        <v>293</v>
      </c>
      <c r="D8" s="4" t="s">
        <v>1143</v>
      </c>
      <c r="E8" s="5">
        <v>500927</v>
      </c>
      <c r="F8" s="6">
        <v>21554.387882999999</v>
      </c>
      <c r="G8" s="7">
        <v>3.0258696000000002E-2</v>
      </c>
      <c r="H8" s="39"/>
    </row>
    <row r="9" spans="1:14" ht="25.5" x14ac:dyDescent="0.2">
      <c r="A9" s="3">
        <v>3</v>
      </c>
      <c r="B9" s="4" t="s">
        <v>294</v>
      </c>
      <c r="C9" s="4" t="s">
        <v>295</v>
      </c>
      <c r="D9" s="4" t="s">
        <v>1153</v>
      </c>
      <c r="E9" s="5">
        <v>782831</v>
      </c>
      <c r="F9" s="6">
        <v>20974.7823985</v>
      </c>
      <c r="G9" s="7">
        <v>2.9445029000000001E-2</v>
      </c>
      <c r="H9" s="39"/>
    </row>
    <row r="10" spans="1:14" ht="25.5" x14ac:dyDescent="0.2">
      <c r="A10" s="3">
        <v>4</v>
      </c>
      <c r="B10" s="4" t="s">
        <v>80</v>
      </c>
      <c r="C10" s="4" t="s">
        <v>81</v>
      </c>
      <c r="D10" s="4" t="s">
        <v>82</v>
      </c>
      <c r="E10" s="5">
        <v>2762472</v>
      </c>
      <c r="F10" s="6">
        <v>19846.980083999999</v>
      </c>
      <c r="G10" s="7">
        <v>2.7861785999999999E-2</v>
      </c>
      <c r="H10" s="39"/>
    </row>
    <row r="11" spans="1:14" x14ac:dyDescent="0.2">
      <c r="A11" s="3">
        <v>5</v>
      </c>
      <c r="B11" s="4" t="s">
        <v>30</v>
      </c>
      <c r="C11" s="4" t="s">
        <v>31</v>
      </c>
      <c r="D11" s="4" t="s">
        <v>29</v>
      </c>
      <c r="E11" s="5">
        <v>1085736</v>
      </c>
      <c r="F11" s="6">
        <v>19542.705131999999</v>
      </c>
      <c r="G11" s="7">
        <v>2.7434635999999998E-2</v>
      </c>
      <c r="H11" s="39"/>
    </row>
    <row r="12" spans="1:14" x14ac:dyDescent="0.2">
      <c r="A12" s="3">
        <v>6</v>
      </c>
      <c r="B12" s="4" t="s">
        <v>296</v>
      </c>
      <c r="C12" s="4" t="s">
        <v>297</v>
      </c>
      <c r="D12" s="4" t="s">
        <v>253</v>
      </c>
      <c r="E12" s="5">
        <v>429567</v>
      </c>
      <c r="F12" s="6">
        <v>19399.675286999998</v>
      </c>
      <c r="G12" s="7">
        <v>2.7233845999999999E-2</v>
      </c>
      <c r="H12" s="39"/>
    </row>
    <row r="13" spans="1:14" x14ac:dyDescent="0.2">
      <c r="A13" s="3">
        <v>7</v>
      </c>
      <c r="B13" s="4" t="s">
        <v>298</v>
      </c>
      <c r="C13" s="4" t="s">
        <v>299</v>
      </c>
      <c r="D13" s="4" t="s">
        <v>18</v>
      </c>
      <c r="E13" s="5">
        <v>19328108</v>
      </c>
      <c r="F13" s="6">
        <v>18825.577192000001</v>
      </c>
      <c r="G13" s="7">
        <v>2.6427909999999999E-2</v>
      </c>
      <c r="H13" s="39"/>
    </row>
    <row r="14" spans="1:14" x14ac:dyDescent="0.2">
      <c r="A14" s="3">
        <v>8</v>
      </c>
      <c r="B14" s="4" t="s">
        <v>300</v>
      </c>
      <c r="C14" s="4" t="s">
        <v>301</v>
      </c>
      <c r="D14" s="4" t="s">
        <v>18</v>
      </c>
      <c r="E14" s="5">
        <v>2406977</v>
      </c>
      <c r="F14" s="6">
        <v>18320.7054355</v>
      </c>
      <c r="G14" s="7">
        <v>2.5719156E-2</v>
      </c>
      <c r="H14" s="39"/>
    </row>
    <row r="15" spans="1:14" ht="15" x14ac:dyDescent="0.2">
      <c r="A15" s="3">
        <v>9</v>
      </c>
      <c r="B15" s="4" t="s">
        <v>302</v>
      </c>
      <c r="C15" s="4" t="s">
        <v>303</v>
      </c>
      <c r="D15" s="4" t="s">
        <v>1155</v>
      </c>
      <c r="E15" s="5">
        <v>41292</v>
      </c>
      <c r="F15" s="6">
        <v>17833.746402000001</v>
      </c>
      <c r="G15" s="7">
        <v>2.5035548000000001E-2</v>
      </c>
      <c r="H15" s="39"/>
      <c r="J15" s="176" t="s">
        <v>1175</v>
      </c>
    </row>
    <row r="16" spans="1:14" ht="25.5" x14ac:dyDescent="0.2">
      <c r="A16" s="3">
        <v>10</v>
      </c>
      <c r="B16" s="4" t="s">
        <v>237</v>
      </c>
      <c r="C16" s="4" t="s">
        <v>238</v>
      </c>
      <c r="D16" s="4" t="s">
        <v>1153</v>
      </c>
      <c r="E16" s="5">
        <v>435083</v>
      </c>
      <c r="F16" s="6">
        <v>17760.958225999999</v>
      </c>
      <c r="G16" s="7">
        <v>2.4933365999999998E-2</v>
      </c>
      <c r="H16" s="39"/>
    </row>
    <row r="17" spans="1:10" x14ac:dyDescent="0.2">
      <c r="A17" s="3">
        <v>11</v>
      </c>
      <c r="B17" s="4" t="s">
        <v>304</v>
      </c>
      <c r="C17" s="4" t="s">
        <v>305</v>
      </c>
      <c r="D17" s="4" t="s">
        <v>18</v>
      </c>
      <c r="E17" s="5">
        <v>15875025</v>
      </c>
      <c r="F17" s="6">
        <v>17716.527900000001</v>
      </c>
      <c r="G17" s="7">
        <v>2.4870993000000001E-2</v>
      </c>
      <c r="H17" s="39"/>
    </row>
    <row r="18" spans="1:10" x14ac:dyDescent="0.2">
      <c r="A18" s="3">
        <v>12</v>
      </c>
      <c r="B18" s="4" t="s">
        <v>306</v>
      </c>
      <c r="C18" s="4" t="s">
        <v>307</v>
      </c>
      <c r="D18" s="4" t="s">
        <v>308</v>
      </c>
      <c r="E18" s="5">
        <v>1353998</v>
      </c>
      <c r="F18" s="6">
        <v>17270.244490000001</v>
      </c>
      <c r="G18" s="7">
        <v>2.4244486999999999E-2</v>
      </c>
      <c r="H18" s="39"/>
    </row>
    <row r="19" spans="1:10" x14ac:dyDescent="0.2">
      <c r="A19" s="3">
        <v>13</v>
      </c>
      <c r="B19" s="4" t="s">
        <v>309</v>
      </c>
      <c r="C19" s="4" t="s">
        <v>310</v>
      </c>
      <c r="D19" s="4" t="s">
        <v>91</v>
      </c>
      <c r="E19" s="5">
        <v>2996495</v>
      </c>
      <c r="F19" s="6">
        <v>15966.8236075</v>
      </c>
      <c r="G19" s="7">
        <v>2.2414706E-2</v>
      </c>
      <c r="H19" s="39"/>
    </row>
    <row r="20" spans="1:10" x14ac:dyDescent="0.2">
      <c r="A20" s="3">
        <v>14</v>
      </c>
      <c r="B20" s="4" t="s">
        <v>311</v>
      </c>
      <c r="C20" s="4" t="s">
        <v>312</v>
      </c>
      <c r="D20" s="4" t="s">
        <v>71</v>
      </c>
      <c r="E20" s="5">
        <v>1281156</v>
      </c>
      <c r="F20" s="6">
        <v>15955.516824</v>
      </c>
      <c r="G20" s="7">
        <v>2.2398833E-2</v>
      </c>
      <c r="H20" s="39"/>
    </row>
    <row r="21" spans="1:10" x14ac:dyDescent="0.2">
      <c r="A21" s="3">
        <v>15</v>
      </c>
      <c r="B21" s="4" t="s">
        <v>313</v>
      </c>
      <c r="C21" s="4" t="s">
        <v>314</v>
      </c>
      <c r="D21" s="4" t="s">
        <v>1142</v>
      </c>
      <c r="E21" s="5">
        <v>2075144</v>
      </c>
      <c r="F21" s="6">
        <v>15644.510616</v>
      </c>
      <c r="G21" s="7">
        <v>2.1962233000000001E-2</v>
      </c>
      <c r="H21" s="39"/>
    </row>
    <row r="22" spans="1:10" x14ac:dyDescent="0.2">
      <c r="A22" s="3">
        <v>16</v>
      </c>
      <c r="B22" s="4" t="s">
        <v>315</v>
      </c>
      <c r="C22" s="4" t="s">
        <v>316</v>
      </c>
      <c r="D22" s="4" t="s">
        <v>29</v>
      </c>
      <c r="E22" s="5">
        <v>1380352</v>
      </c>
      <c r="F22" s="6">
        <v>15477.886976</v>
      </c>
      <c r="G22" s="7">
        <v>2.1728322000000001E-2</v>
      </c>
      <c r="H22" s="39"/>
    </row>
    <row r="23" spans="1:10" x14ac:dyDescent="0.2">
      <c r="A23" s="3">
        <v>17</v>
      </c>
      <c r="B23" s="4" t="s">
        <v>317</v>
      </c>
      <c r="C23" s="4" t="s">
        <v>318</v>
      </c>
      <c r="D23" s="4" t="s">
        <v>1144</v>
      </c>
      <c r="E23" s="5">
        <v>1593553</v>
      </c>
      <c r="F23" s="6">
        <v>15000.114389</v>
      </c>
      <c r="G23" s="7">
        <v>2.1057610000000001E-2</v>
      </c>
      <c r="H23" s="39"/>
    </row>
    <row r="24" spans="1:10" x14ac:dyDescent="0.2">
      <c r="A24" s="3">
        <v>18</v>
      </c>
      <c r="B24" s="4" t="s">
        <v>319</v>
      </c>
      <c r="C24" s="4" t="s">
        <v>320</v>
      </c>
      <c r="D24" s="4" t="s">
        <v>29</v>
      </c>
      <c r="E24" s="5">
        <v>2110535</v>
      </c>
      <c r="F24" s="6">
        <v>14786.40821</v>
      </c>
      <c r="G24" s="7">
        <v>2.0757602999999999E-2</v>
      </c>
      <c r="H24" s="39"/>
    </row>
    <row r="25" spans="1:10" ht="25.5" x14ac:dyDescent="0.2">
      <c r="A25" s="3">
        <v>19</v>
      </c>
      <c r="B25" s="4" t="s">
        <v>321</v>
      </c>
      <c r="C25" s="4" t="s">
        <v>322</v>
      </c>
      <c r="D25" s="4" t="s">
        <v>71</v>
      </c>
      <c r="E25" s="5">
        <v>3823535</v>
      </c>
      <c r="F25" s="6">
        <v>14300.0209</v>
      </c>
      <c r="G25" s="7">
        <v>2.0074798000000001E-2</v>
      </c>
      <c r="H25" s="39"/>
    </row>
    <row r="26" spans="1:10" x14ac:dyDescent="0.2">
      <c r="A26" s="3">
        <v>20</v>
      </c>
      <c r="B26" s="4" t="s">
        <v>323</v>
      </c>
      <c r="C26" s="4" t="s">
        <v>324</v>
      </c>
      <c r="D26" s="4" t="s">
        <v>1143</v>
      </c>
      <c r="E26" s="5">
        <v>410908</v>
      </c>
      <c r="F26" s="6">
        <v>13875.746798</v>
      </c>
      <c r="G26" s="7">
        <v>1.947919E-2</v>
      </c>
      <c r="H26" s="39"/>
    </row>
    <row r="27" spans="1:10" ht="15" x14ac:dyDescent="0.2">
      <c r="A27" s="3">
        <v>21</v>
      </c>
      <c r="B27" s="4" t="s">
        <v>325</v>
      </c>
      <c r="C27" s="4" t="s">
        <v>326</v>
      </c>
      <c r="D27" s="4" t="s">
        <v>1159</v>
      </c>
      <c r="E27" s="5">
        <v>270065</v>
      </c>
      <c r="F27" s="6">
        <v>13787.628445</v>
      </c>
      <c r="G27" s="7">
        <v>1.9355486000000002E-2</v>
      </c>
      <c r="H27" s="39"/>
      <c r="J27" s="176" t="s">
        <v>1176</v>
      </c>
    </row>
    <row r="28" spans="1:10" x14ac:dyDescent="0.2">
      <c r="A28" s="3">
        <v>22</v>
      </c>
      <c r="B28" s="4" t="s">
        <v>327</v>
      </c>
      <c r="C28" s="4" t="s">
        <v>328</v>
      </c>
      <c r="D28" s="4" t="s">
        <v>18</v>
      </c>
      <c r="E28" s="5">
        <v>1084567</v>
      </c>
      <c r="F28" s="6">
        <v>13516.4162375</v>
      </c>
      <c r="G28" s="7">
        <v>1.8974751000000002E-2</v>
      </c>
      <c r="H28" s="39"/>
    </row>
    <row r="29" spans="1:10" ht="25.5" x14ac:dyDescent="0.2">
      <c r="A29" s="3">
        <v>23</v>
      </c>
      <c r="B29" s="4" t="s">
        <v>329</v>
      </c>
      <c r="C29" s="4" t="s">
        <v>330</v>
      </c>
      <c r="D29" s="4" t="s">
        <v>1138</v>
      </c>
      <c r="E29" s="5">
        <v>1232552</v>
      </c>
      <c r="F29" s="6">
        <v>13135.92294</v>
      </c>
      <c r="G29" s="7">
        <v>1.8440603E-2</v>
      </c>
      <c r="H29" s="39"/>
    </row>
    <row r="30" spans="1:10" x14ac:dyDescent="0.2">
      <c r="A30" s="3">
        <v>24</v>
      </c>
      <c r="B30" s="4" t="s">
        <v>331</v>
      </c>
      <c r="C30" s="4" t="s">
        <v>332</v>
      </c>
      <c r="D30" s="4" t="s">
        <v>1166</v>
      </c>
      <c r="E30" s="5">
        <v>6156624</v>
      </c>
      <c r="F30" s="6">
        <v>12978.163392</v>
      </c>
      <c r="G30" s="7">
        <v>1.8219135000000001E-2</v>
      </c>
      <c r="H30" s="39"/>
    </row>
    <row r="31" spans="1:10" x14ac:dyDescent="0.2">
      <c r="A31" s="3">
        <v>25</v>
      </c>
      <c r="B31" s="4" t="s">
        <v>333</v>
      </c>
      <c r="C31" s="4" t="s">
        <v>334</v>
      </c>
      <c r="D31" s="4" t="s">
        <v>82</v>
      </c>
      <c r="E31" s="5">
        <v>1047411</v>
      </c>
      <c r="F31" s="6">
        <v>11886.543733500001</v>
      </c>
      <c r="G31" s="7">
        <v>1.6686686999999999E-2</v>
      </c>
      <c r="H31" s="39"/>
    </row>
    <row r="32" spans="1:10" x14ac:dyDescent="0.2">
      <c r="A32" s="3">
        <v>26</v>
      </c>
      <c r="B32" s="4" t="s">
        <v>247</v>
      </c>
      <c r="C32" s="4" t="s">
        <v>248</v>
      </c>
      <c r="D32" s="4" t="s">
        <v>1154</v>
      </c>
      <c r="E32" s="5">
        <v>712201</v>
      </c>
      <c r="F32" s="6">
        <v>11571.129647</v>
      </c>
      <c r="G32" s="7">
        <v>1.6243898999999999E-2</v>
      </c>
      <c r="H32" s="39"/>
    </row>
    <row r="33" spans="1:8" ht="25.5" x14ac:dyDescent="0.2">
      <c r="A33" s="3">
        <v>27</v>
      </c>
      <c r="B33" s="4" t="s">
        <v>335</v>
      </c>
      <c r="C33" s="4" t="s">
        <v>336</v>
      </c>
      <c r="D33" s="4" t="s">
        <v>1138</v>
      </c>
      <c r="E33" s="5">
        <v>344341</v>
      </c>
      <c r="F33" s="6">
        <v>11269.075736500001</v>
      </c>
      <c r="G33" s="7">
        <v>1.5819867000000001E-2</v>
      </c>
      <c r="H33" s="39"/>
    </row>
    <row r="34" spans="1:8" x14ac:dyDescent="0.2">
      <c r="A34" s="3">
        <v>28</v>
      </c>
      <c r="B34" s="4" t="s">
        <v>16</v>
      </c>
      <c r="C34" s="4" t="s">
        <v>17</v>
      </c>
      <c r="D34" s="4" t="s">
        <v>18</v>
      </c>
      <c r="E34" s="5">
        <v>1503901</v>
      </c>
      <c r="F34" s="6">
        <v>10982.989003000001</v>
      </c>
      <c r="G34" s="7">
        <v>1.5418249E-2</v>
      </c>
      <c r="H34" s="39"/>
    </row>
    <row r="35" spans="1:8" ht="25.5" x14ac:dyDescent="0.2">
      <c r="A35" s="3">
        <v>29</v>
      </c>
      <c r="B35" s="4" t="s">
        <v>337</v>
      </c>
      <c r="C35" s="4" t="s">
        <v>338</v>
      </c>
      <c r="D35" s="4" t="s">
        <v>1138</v>
      </c>
      <c r="E35" s="5">
        <v>1441332</v>
      </c>
      <c r="F35" s="6">
        <v>10898.631917999999</v>
      </c>
      <c r="G35" s="7">
        <v>1.5299826000000001E-2</v>
      </c>
      <c r="H35" s="39"/>
    </row>
    <row r="36" spans="1:8" x14ac:dyDescent="0.2">
      <c r="A36" s="3">
        <v>30</v>
      </c>
      <c r="B36" s="4" t="s">
        <v>61</v>
      </c>
      <c r="C36" s="4" t="s">
        <v>62</v>
      </c>
      <c r="D36" s="4" t="s">
        <v>1140</v>
      </c>
      <c r="E36" s="5">
        <v>1609771</v>
      </c>
      <c r="F36" s="6">
        <v>10820.0757765</v>
      </c>
      <c r="G36" s="7">
        <v>1.5189546999999999E-2</v>
      </c>
      <c r="H36" s="39"/>
    </row>
    <row r="37" spans="1:8" ht="25.5" x14ac:dyDescent="0.2">
      <c r="A37" s="3">
        <v>31</v>
      </c>
      <c r="B37" s="4" t="s">
        <v>188</v>
      </c>
      <c r="C37" s="4" t="s">
        <v>189</v>
      </c>
      <c r="D37" s="4" t="s">
        <v>1158</v>
      </c>
      <c r="E37" s="5">
        <v>1638755</v>
      </c>
      <c r="F37" s="6">
        <v>10800.2148275</v>
      </c>
      <c r="G37" s="7">
        <v>1.5161666000000001E-2</v>
      </c>
      <c r="H37" s="39"/>
    </row>
    <row r="38" spans="1:8" ht="25.5" x14ac:dyDescent="0.2">
      <c r="A38" s="3">
        <v>32</v>
      </c>
      <c r="B38" s="4" t="s">
        <v>83</v>
      </c>
      <c r="C38" s="4" t="s">
        <v>84</v>
      </c>
      <c r="D38" s="4" t="s">
        <v>1137</v>
      </c>
      <c r="E38" s="5">
        <v>8464608</v>
      </c>
      <c r="F38" s="6">
        <v>9924.75288</v>
      </c>
      <c r="G38" s="7">
        <v>1.3932666E-2</v>
      </c>
      <c r="H38" s="39"/>
    </row>
    <row r="39" spans="1:8" ht="25.5" x14ac:dyDescent="0.2">
      <c r="A39" s="3">
        <v>33</v>
      </c>
      <c r="B39" s="4" t="s">
        <v>339</v>
      </c>
      <c r="C39" s="4" t="s">
        <v>340</v>
      </c>
      <c r="D39" s="4" t="s">
        <v>1152</v>
      </c>
      <c r="E39" s="5">
        <v>351395</v>
      </c>
      <c r="F39" s="6">
        <v>9908.1091175000001</v>
      </c>
      <c r="G39" s="7">
        <v>1.3909301000000001E-2</v>
      </c>
      <c r="H39" s="39"/>
    </row>
    <row r="40" spans="1:8" x14ac:dyDescent="0.2">
      <c r="A40" s="3">
        <v>34</v>
      </c>
      <c r="B40" s="4" t="s">
        <v>341</v>
      </c>
      <c r="C40" s="4" t="s">
        <v>342</v>
      </c>
      <c r="D40" s="4" t="s">
        <v>82</v>
      </c>
      <c r="E40" s="5">
        <v>1549881</v>
      </c>
      <c r="F40" s="6">
        <v>9586.7889254999991</v>
      </c>
      <c r="G40" s="7">
        <v>1.3458222000000001E-2</v>
      </c>
      <c r="H40" s="39"/>
    </row>
    <row r="41" spans="1:8" x14ac:dyDescent="0.2">
      <c r="A41" s="3">
        <v>35</v>
      </c>
      <c r="B41" s="4" t="s">
        <v>102</v>
      </c>
      <c r="C41" s="4" t="s">
        <v>103</v>
      </c>
      <c r="D41" s="4" t="s">
        <v>53</v>
      </c>
      <c r="E41" s="5">
        <v>3569540</v>
      </c>
      <c r="F41" s="6">
        <v>9246.8933699999998</v>
      </c>
      <c r="G41" s="7">
        <v>1.2981065999999999E-2</v>
      </c>
      <c r="H41" s="39"/>
    </row>
    <row r="42" spans="1:8" x14ac:dyDescent="0.2">
      <c r="A42" s="3">
        <v>36</v>
      </c>
      <c r="B42" s="4" t="s">
        <v>343</v>
      </c>
      <c r="C42" s="4" t="s">
        <v>344</v>
      </c>
      <c r="D42" s="4" t="s">
        <v>1026</v>
      </c>
      <c r="E42" s="5">
        <v>335278</v>
      </c>
      <c r="F42" s="6">
        <v>8839.6044700000002</v>
      </c>
      <c r="G42" s="7">
        <v>1.2409302000000001E-2</v>
      </c>
      <c r="H42" s="39"/>
    </row>
    <row r="43" spans="1:8" x14ac:dyDescent="0.2">
      <c r="A43" s="3">
        <v>37</v>
      </c>
      <c r="B43" s="4" t="s">
        <v>345</v>
      </c>
      <c r="C43" s="4" t="s">
        <v>346</v>
      </c>
      <c r="D43" s="4" t="s">
        <v>1027</v>
      </c>
      <c r="E43" s="5">
        <v>1401632</v>
      </c>
      <c r="F43" s="6">
        <v>8707.6388000000006</v>
      </c>
      <c r="G43" s="7">
        <v>1.2224044999999999E-2</v>
      </c>
      <c r="H43" s="39"/>
    </row>
    <row r="44" spans="1:8" x14ac:dyDescent="0.2">
      <c r="A44" s="3">
        <v>38</v>
      </c>
      <c r="B44" s="4" t="s">
        <v>347</v>
      </c>
      <c r="C44" s="4" t="s">
        <v>348</v>
      </c>
      <c r="D44" s="4" t="s">
        <v>1147</v>
      </c>
      <c r="E44" s="5">
        <v>1905598</v>
      </c>
      <c r="F44" s="6">
        <v>8520.8814569999995</v>
      </c>
      <c r="G44" s="7">
        <v>1.1961869E-2</v>
      </c>
      <c r="H44" s="39"/>
    </row>
    <row r="45" spans="1:8" x14ac:dyDescent="0.2">
      <c r="A45" s="3">
        <v>39</v>
      </c>
      <c r="B45" s="4" t="s">
        <v>349</v>
      </c>
      <c r="C45" s="4" t="s">
        <v>350</v>
      </c>
      <c r="D45" s="4" t="s">
        <v>1149</v>
      </c>
      <c r="E45" s="5">
        <v>2870296</v>
      </c>
      <c r="F45" s="6">
        <v>8276.4985159999997</v>
      </c>
      <c r="G45" s="7">
        <v>1.1618797E-2</v>
      </c>
      <c r="H45" s="39"/>
    </row>
    <row r="46" spans="1:8" x14ac:dyDescent="0.2">
      <c r="A46" s="3">
        <v>40</v>
      </c>
      <c r="B46" s="4" t="s">
        <v>351</v>
      </c>
      <c r="C46" s="4" t="s">
        <v>352</v>
      </c>
      <c r="D46" s="4" t="s">
        <v>1154</v>
      </c>
      <c r="E46" s="5">
        <v>227079</v>
      </c>
      <c r="F46" s="6">
        <v>8119.4367240000001</v>
      </c>
      <c r="G46" s="7">
        <v>1.1398309000000001E-2</v>
      </c>
      <c r="H46" s="39"/>
    </row>
    <row r="47" spans="1:8" x14ac:dyDescent="0.2">
      <c r="A47" s="3">
        <v>41</v>
      </c>
      <c r="B47" s="4" t="s">
        <v>34</v>
      </c>
      <c r="C47" s="4" t="s">
        <v>35</v>
      </c>
      <c r="D47" s="4" t="s">
        <v>1168</v>
      </c>
      <c r="E47" s="5">
        <v>20359</v>
      </c>
      <c r="F47" s="6">
        <v>8077.799712</v>
      </c>
      <c r="G47" s="7">
        <v>1.1339858E-2</v>
      </c>
      <c r="H47" s="39"/>
    </row>
    <row r="48" spans="1:8" ht="25.5" x14ac:dyDescent="0.2">
      <c r="A48" s="3">
        <v>42</v>
      </c>
      <c r="B48" s="4" t="s">
        <v>353</v>
      </c>
      <c r="C48" s="4" t="s">
        <v>354</v>
      </c>
      <c r="D48" s="4" t="s">
        <v>1152</v>
      </c>
      <c r="E48" s="5">
        <v>1000000</v>
      </c>
      <c r="F48" s="6">
        <v>7996</v>
      </c>
      <c r="G48" s="7">
        <v>1.1225025E-2</v>
      </c>
      <c r="H48" s="39"/>
    </row>
    <row r="49" spans="1:8" x14ac:dyDescent="0.2">
      <c r="A49" s="3">
        <v>43</v>
      </c>
      <c r="B49" s="4" t="s">
        <v>355</v>
      </c>
      <c r="C49" s="4" t="s">
        <v>356</v>
      </c>
      <c r="D49" s="4" t="s">
        <v>71</v>
      </c>
      <c r="E49" s="5">
        <v>12290296</v>
      </c>
      <c r="F49" s="6">
        <v>7220.5488999999998</v>
      </c>
      <c r="G49" s="7">
        <v>1.0136423E-2</v>
      </c>
      <c r="H49" s="39"/>
    </row>
    <row r="50" spans="1:8" x14ac:dyDescent="0.2">
      <c r="A50" s="3">
        <v>44</v>
      </c>
      <c r="B50" s="4" t="s">
        <v>357</v>
      </c>
      <c r="C50" s="4" t="s">
        <v>358</v>
      </c>
      <c r="D50" s="4" t="s">
        <v>71</v>
      </c>
      <c r="E50" s="5">
        <v>164169</v>
      </c>
      <c r="F50" s="6">
        <v>7073.7138720000003</v>
      </c>
      <c r="G50" s="7">
        <v>9.9302920000000003E-3</v>
      </c>
      <c r="H50" s="39"/>
    </row>
    <row r="51" spans="1:8" x14ac:dyDescent="0.2">
      <c r="A51" s="3">
        <v>45</v>
      </c>
      <c r="B51" s="4" t="s">
        <v>359</v>
      </c>
      <c r="C51" s="4" t="s">
        <v>360</v>
      </c>
      <c r="D51" s="4" t="s">
        <v>82</v>
      </c>
      <c r="E51" s="5">
        <v>40831</v>
      </c>
      <c r="F51" s="6">
        <v>6965.9523394999997</v>
      </c>
      <c r="G51" s="7">
        <v>9.7790129999999996E-3</v>
      </c>
      <c r="H51" s="39"/>
    </row>
    <row r="52" spans="1:8" ht="25.5" x14ac:dyDescent="0.2">
      <c r="A52" s="3">
        <v>46</v>
      </c>
      <c r="B52" s="4" t="s">
        <v>198</v>
      </c>
      <c r="C52" s="4" t="s">
        <v>199</v>
      </c>
      <c r="D52" s="4" t="s">
        <v>1138</v>
      </c>
      <c r="E52" s="5">
        <v>1150200</v>
      </c>
      <c r="F52" s="6">
        <v>6787.3302000000003</v>
      </c>
      <c r="G52" s="7">
        <v>9.5282579999999995E-3</v>
      </c>
      <c r="H52" s="39"/>
    </row>
    <row r="53" spans="1:8" x14ac:dyDescent="0.2">
      <c r="A53" s="3">
        <v>47</v>
      </c>
      <c r="B53" s="4" t="s">
        <v>254</v>
      </c>
      <c r="C53" s="4" t="s">
        <v>255</v>
      </c>
      <c r="D53" s="4" t="s">
        <v>15</v>
      </c>
      <c r="E53" s="5">
        <v>2430815</v>
      </c>
      <c r="F53" s="6">
        <v>6547.4002025</v>
      </c>
      <c r="G53" s="7">
        <v>9.1914370000000002E-3</v>
      </c>
      <c r="H53" s="39"/>
    </row>
    <row r="54" spans="1:8" x14ac:dyDescent="0.2">
      <c r="A54" s="3">
        <v>48</v>
      </c>
      <c r="B54" s="4" t="s">
        <v>361</v>
      </c>
      <c r="C54" s="4" t="s">
        <v>362</v>
      </c>
      <c r="D54" s="4" t="s">
        <v>82</v>
      </c>
      <c r="E54" s="5">
        <v>1765967</v>
      </c>
      <c r="F54" s="6">
        <v>6338.9385464999996</v>
      </c>
      <c r="G54" s="7">
        <v>8.8987920000000009E-3</v>
      </c>
      <c r="H54" s="39"/>
    </row>
    <row r="55" spans="1:8" x14ac:dyDescent="0.2">
      <c r="A55" s="3">
        <v>49</v>
      </c>
      <c r="B55" s="4" t="s">
        <v>100</v>
      </c>
      <c r="C55" s="4" t="s">
        <v>101</v>
      </c>
      <c r="D55" s="4" t="s">
        <v>53</v>
      </c>
      <c r="E55" s="5">
        <v>1692500</v>
      </c>
      <c r="F55" s="6">
        <v>6315.5637500000003</v>
      </c>
      <c r="G55" s="7">
        <v>8.8659780000000001E-3</v>
      </c>
      <c r="H55" s="39"/>
    </row>
    <row r="56" spans="1:8" ht="25.5" x14ac:dyDescent="0.2">
      <c r="A56" s="3">
        <v>50</v>
      </c>
      <c r="B56" s="4" t="s">
        <v>363</v>
      </c>
      <c r="C56" s="4" t="s">
        <v>364</v>
      </c>
      <c r="D56" s="4" t="s">
        <v>1145</v>
      </c>
      <c r="E56" s="5">
        <v>754391</v>
      </c>
      <c r="F56" s="6">
        <v>5864.6356340000002</v>
      </c>
      <c r="G56" s="7">
        <v>8.2329510000000005E-3</v>
      </c>
      <c r="H56" s="39"/>
    </row>
    <row r="57" spans="1:8" x14ac:dyDescent="0.2">
      <c r="A57" s="3">
        <v>51</v>
      </c>
      <c r="B57" s="4" t="s">
        <v>365</v>
      </c>
      <c r="C57" s="4" t="s">
        <v>366</v>
      </c>
      <c r="D57" s="4" t="s">
        <v>71</v>
      </c>
      <c r="E57" s="5">
        <v>881680</v>
      </c>
      <c r="F57" s="6">
        <v>5397.6449599999996</v>
      </c>
      <c r="G57" s="7">
        <v>7.5773760000000003E-3</v>
      </c>
      <c r="H57" s="39"/>
    </row>
    <row r="58" spans="1:8" x14ac:dyDescent="0.2">
      <c r="A58" s="3">
        <v>52</v>
      </c>
      <c r="B58" s="4" t="s">
        <v>367</v>
      </c>
      <c r="C58" s="4" t="s">
        <v>368</v>
      </c>
      <c r="D58" s="4" t="s">
        <v>1154</v>
      </c>
      <c r="E58" s="5">
        <v>575236</v>
      </c>
      <c r="F58" s="6">
        <v>5362.9252280000001</v>
      </c>
      <c r="G58" s="7">
        <v>7.5286349999999997E-3</v>
      </c>
      <c r="H58" s="39"/>
    </row>
    <row r="59" spans="1:8" x14ac:dyDescent="0.2">
      <c r="A59" s="3">
        <v>53</v>
      </c>
      <c r="B59" s="4" t="s">
        <v>27</v>
      </c>
      <c r="C59" s="4" t="s">
        <v>28</v>
      </c>
      <c r="D59" s="4" t="s">
        <v>29</v>
      </c>
      <c r="E59" s="5">
        <v>195331</v>
      </c>
      <c r="F59" s="6">
        <v>4618.406164</v>
      </c>
      <c r="G59" s="7">
        <v>6.4834569999999998E-3</v>
      </c>
      <c r="H59" s="39"/>
    </row>
    <row r="60" spans="1:8" x14ac:dyDescent="0.2">
      <c r="A60" s="3">
        <v>54</v>
      </c>
      <c r="B60" s="4" t="s">
        <v>369</v>
      </c>
      <c r="C60" s="4" t="s">
        <v>370</v>
      </c>
      <c r="D60" s="4" t="s">
        <v>1157</v>
      </c>
      <c r="E60" s="5">
        <v>484390</v>
      </c>
      <c r="F60" s="6">
        <v>4552.5394150000002</v>
      </c>
      <c r="G60" s="7">
        <v>6.3909910000000004E-3</v>
      </c>
      <c r="H60" s="39"/>
    </row>
    <row r="61" spans="1:8" x14ac:dyDescent="0.2">
      <c r="A61" s="3">
        <v>55</v>
      </c>
      <c r="B61" s="4" t="s">
        <v>371</v>
      </c>
      <c r="C61" s="4" t="s">
        <v>372</v>
      </c>
      <c r="D61" s="4" t="s">
        <v>29</v>
      </c>
      <c r="E61" s="5">
        <v>208669</v>
      </c>
      <c r="F61" s="6">
        <v>4221.2695354999996</v>
      </c>
      <c r="G61" s="7">
        <v>5.9259450000000002E-3</v>
      </c>
      <c r="H61" s="39"/>
    </row>
    <row r="62" spans="1:8" x14ac:dyDescent="0.2">
      <c r="A62" s="3">
        <v>56</v>
      </c>
      <c r="B62" s="4" t="s">
        <v>373</v>
      </c>
      <c r="C62" s="4" t="s">
        <v>374</v>
      </c>
      <c r="D62" s="4" t="s">
        <v>253</v>
      </c>
      <c r="E62" s="5">
        <v>1416138</v>
      </c>
      <c r="F62" s="6">
        <v>4112.4647519999999</v>
      </c>
      <c r="G62" s="7">
        <v>5.7732010000000004E-3</v>
      </c>
      <c r="H62" s="39"/>
    </row>
    <row r="63" spans="1:8" x14ac:dyDescent="0.2">
      <c r="A63" s="3">
        <v>57</v>
      </c>
      <c r="B63" s="4" t="s">
        <v>24</v>
      </c>
      <c r="C63" s="4" t="s">
        <v>25</v>
      </c>
      <c r="D63" s="4" t="s">
        <v>26</v>
      </c>
      <c r="E63" s="5">
        <v>1617175</v>
      </c>
      <c r="F63" s="6">
        <v>3859.3881375000001</v>
      </c>
      <c r="G63" s="7">
        <v>5.4179249999999997E-3</v>
      </c>
      <c r="H63" s="39"/>
    </row>
    <row r="64" spans="1:8" x14ac:dyDescent="0.2">
      <c r="A64" s="3">
        <v>58</v>
      </c>
      <c r="B64" s="4" t="s">
        <v>375</v>
      </c>
      <c r="C64" s="4" t="s">
        <v>376</v>
      </c>
      <c r="D64" s="4" t="s">
        <v>71</v>
      </c>
      <c r="E64" s="5">
        <v>235058</v>
      </c>
      <c r="F64" s="6">
        <v>2395.9461940000001</v>
      </c>
      <c r="G64" s="7">
        <v>3.3635010000000001E-3</v>
      </c>
      <c r="H64" s="39"/>
    </row>
    <row r="65" spans="1:8" ht="25.5" x14ac:dyDescent="0.2">
      <c r="A65" s="3">
        <v>59</v>
      </c>
      <c r="B65" s="4" t="s">
        <v>377</v>
      </c>
      <c r="C65" s="4" t="s">
        <v>378</v>
      </c>
      <c r="D65" s="4" t="s">
        <v>1150</v>
      </c>
      <c r="E65" s="5">
        <v>110147</v>
      </c>
      <c r="F65" s="6">
        <v>1647.358532</v>
      </c>
      <c r="G65" s="7">
        <v>2.312611E-3</v>
      </c>
      <c r="H65" s="39"/>
    </row>
    <row r="66" spans="1:8" x14ac:dyDescent="0.2">
      <c r="A66" s="3">
        <v>60</v>
      </c>
      <c r="B66" s="4" t="s">
        <v>379</v>
      </c>
      <c r="C66" s="4" t="s">
        <v>380</v>
      </c>
      <c r="D66" s="4" t="s">
        <v>1154</v>
      </c>
      <c r="E66" s="5">
        <v>16411</v>
      </c>
      <c r="F66" s="6">
        <v>1252.4382869999999</v>
      </c>
      <c r="G66" s="7">
        <v>1.7582100000000001E-3</v>
      </c>
      <c r="H66" s="39"/>
    </row>
    <row r="67" spans="1:8" x14ac:dyDescent="0.2">
      <c r="A67" s="3">
        <v>61</v>
      </c>
      <c r="B67" s="4" t="s">
        <v>381</v>
      </c>
      <c r="C67" s="4" t="s">
        <v>382</v>
      </c>
      <c r="D67" s="4" t="s">
        <v>1146</v>
      </c>
      <c r="E67" s="5">
        <v>151166</v>
      </c>
      <c r="F67" s="6">
        <v>945.77007900000001</v>
      </c>
      <c r="G67" s="7">
        <v>1.3277E-3</v>
      </c>
      <c r="H67" s="39"/>
    </row>
    <row r="68" spans="1:8" x14ac:dyDescent="0.2">
      <c r="A68" s="3">
        <v>62</v>
      </c>
      <c r="B68" s="4" t="s">
        <v>383</v>
      </c>
      <c r="C68" s="4" t="s">
        <v>384</v>
      </c>
      <c r="D68" s="4" t="s">
        <v>1154</v>
      </c>
      <c r="E68" s="5">
        <v>20000</v>
      </c>
      <c r="F68" s="6">
        <v>427.24</v>
      </c>
      <c r="G68" s="7">
        <v>5.9977200000000004E-4</v>
      </c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9">
        <v>674611.8788075</v>
      </c>
      <c r="G69" s="10">
        <v>0.94704039100000004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113</v>
      </c>
      <c r="D71" s="1"/>
      <c r="E71" s="1"/>
      <c r="F71" s="1"/>
      <c r="G71" s="1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114</v>
      </c>
      <c r="D74" s="1"/>
      <c r="E74" s="1"/>
      <c r="F74" s="1"/>
      <c r="G74" s="1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115</v>
      </c>
      <c r="D77" s="1"/>
      <c r="E77" s="1"/>
      <c r="F77" s="1"/>
      <c r="G77" s="1"/>
      <c r="H77" s="39"/>
    </row>
    <row r="78" spans="1:8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116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117</v>
      </c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118</v>
      </c>
      <c r="D86" s="1"/>
      <c r="E86" s="1"/>
      <c r="F86" s="9">
        <v>674611.8788075</v>
      </c>
      <c r="G86" s="10">
        <v>0.94704039100000004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119</v>
      </c>
      <c r="D88" s="1"/>
      <c r="E88" s="1"/>
      <c r="F88" s="12"/>
      <c r="G88" s="12"/>
      <c r="H88" s="39"/>
    </row>
    <row r="89" spans="1:8" ht="25.5" x14ac:dyDescent="0.2">
      <c r="A89" s="1"/>
      <c r="B89" s="1"/>
      <c r="C89" s="2" t="s">
        <v>10</v>
      </c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120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121</v>
      </c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122</v>
      </c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123</v>
      </c>
      <c r="D101" s="1"/>
      <c r="E101" s="1"/>
      <c r="F101" s="9">
        <v>0</v>
      </c>
      <c r="G101" s="10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124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125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126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127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128</v>
      </c>
      <c r="D113" s="1"/>
      <c r="E113" s="1"/>
      <c r="F113" s="12"/>
      <c r="G113" s="12"/>
      <c r="H113" s="39"/>
    </row>
    <row r="114" spans="1:8" x14ac:dyDescent="0.2">
      <c r="A114" s="3">
        <v>1</v>
      </c>
      <c r="B114" s="4"/>
      <c r="C114" s="4" t="s">
        <v>129</v>
      </c>
      <c r="D114" s="4"/>
      <c r="E114" s="8"/>
      <c r="F114" s="6">
        <v>23647.2326192</v>
      </c>
      <c r="G114" s="7">
        <v>3.3196693999999999E-2</v>
      </c>
      <c r="H114" s="39">
        <v>3.6151121728634927</v>
      </c>
    </row>
    <row r="115" spans="1:8" x14ac:dyDescent="0.2">
      <c r="A115" s="3">
        <v>2</v>
      </c>
      <c r="B115" s="4"/>
      <c r="C115" s="4" t="s">
        <v>130</v>
      </c>
      <c r="D115" s="4"/>
      <c r="E115" s="8"/>
      <c r="F115" s="6">
        <v>8361.1177587000002</v>
      </c>
      <c r="G115" s="7">
        <v>1.1737588E-2</v>
      </c>
      <c r="H115" s="39">
        <v>3.7142625760646584</v>
      </c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9">
        <v>32008.350377899998</v>
      </c>
      <c r="G116" s="10">
        <v>4.4934281999999999E-2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131</v>
      </c>
      <c r="D118" s="1"/>
      <c r="E118" s="1"/>
      <c r="F118" s="9">
        <v>32008.350377899998</v>
      </c>
      <c r="G118" s="10">
        <v>4.4934281999999999E-2</v>
      </c>
      <c r="H118" s="39"/>
    </row>
    <row r="119" spans="1:8" x14ac:dyDescent="0.2">
      <c r="A119" s="1"/>
      <c r="B119" s="1"/>
      <c r="C119" s="12"/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132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133</v>
      </c>
      <c r="D121" s="1"/>
      <c r="E121" s="1"/>
      <c r="F121" s="1"/>
      <c r="G121" s="1"/>
      <c r="H121" s="39"/>
    </row>
    <row r="122" spans="1:8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39"/>
    </row>
    <row r="123" spans="1:8" x14ac:dyDescent="0.2">
      <c r="A123" s="1"/>
      <c r="B123" s="1"/>
      <c r="C123" s="11"/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134</v>
      </c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135</v>
      </c>
      <c r="D125" s="1"/>
      <c r="E125" s="1"/>
      <c r="F125" s="1"/>
      <c r="G125" s="1"/>
      <c r="H125" s="39"/>
    </row>
    <row r="126" spans="1:8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ht="25.5" x14ac:dyDescent="0.2">
      <c r="A129" s="1"/>
      <c r="B129" s="1"/>
      <c r="C129" s="2" t="s">
        <v>136</v>
      </c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4"/>
      <c r="C132" s="4"/>
      <c r="D132" s="2"/>
      <c r="E132" s="1"/>
      <c r="F132" s="4"/>
      <c r="G132" s="8"/>
      <c r="H132" s="39"/>
    </row>
    <row r="133" spans="1:8" x14ac:dyDescent="0.2">
      <c r="A133" s="8"/>
      <c r="B133" s="4"/>
      <c r="C133" s="4" t="s">
        <v>137</v>
      </c>
      <c r="D133" s="4"/>
      <c r="E133" s="8"/>
      <c r="F133" s="6">
        <v>5716.73785365</v>
      </c>
      <c r="G133" s="7">
        <v>8.025328E-3</v>
      </c>
      <c r="H133" s="39"/>
    </row>
    <row r="134" spans="1:8" x14ac:dyDescent="0.2">
      <c r="A134" s="11"/>
      <c r="B134" s="11"/>
      <c r="C134" s="2" t="s">
        <v>138</v>
      </c>
      <c r="D134" s="15"/>
      <c r="E134" s="15"/>
      <c r="F134" s="9">
        <v>712336.96703904995</v>
      </c>
      <c r="G134" s="10">
        <v>1.0000000010000001</v>
      </c>
      <c r="H134" s="39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194" t="s">
        <v>140</v>
      </c>
      <c r="C137" s="195"/>
      <c r="D137" s="12" t="s">
        <v>112</v>
      </c>
      <c r="E137" s="21"/>
      <c r="F137" s="20"/>
      <c r="G137" s="20"/>
    </row>
    <row r="138" spans="1:8" ht="29.1" customHeight="1" x14ac:dyDescent="0.2">
      <c r="A138" s="18"/>
      <c r="B138" s="189" t="s">
        <v>141</v>
      </c>
      <c r="C138" s="190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189" t="s">
        <v>143</v>
      </c>
      <c r="C139" s="190"/>
      <c r="D139" s="2" t="s">
        <v>142</v>
      </c>
      <c r="E139" s="21"/>
      <c r="F139" s="20"/>
      <c r="G139" s="20"/>
    </row>
    <row r="140" spans="1:8" ht="17.100000000000001" customHeight="1" x14ac:dyDescent="0.2">
      <c r="A140" s="18"/>
      <c r="B140" s="189" t="s">
        <v>144</v>
      </c>
      <c r="C140" s="190"/>
      <c r="D140" s="12" t="s">
        <v>112</v>
      </c>
      <c r="E140" s="21"/>
      <c r="F140" s="20"/>
      <c r="G140" s="20"/>
    </row>
    <row r="141" spans="1:8" ht="24" customHeight="1" x14ac:dyDescent="0.2">
      <c r="A141" s="22"/>
      <c r="B141" s="23" t="s">
        <v>112</v>
      </c>
      <c r="C141" s="23" t="s">
        <v>145</v>
      </c>
      <c r="D141" s="23" t="s">
        <v>146</v>
      </c>
      <c r="E141" s="22"/>
      <c r="F141" s="22"/>
      <c r="G141" s="22"/>
    </row>
    <row r="142" spans="1:8" ht="18" customHeight="1" x14ac:dyDescent="0.2">
      <c r="A142" s="22"/>
      <c r="B142" s="23" t="s">
        <v>147</v>
      </c>
      <c r="C142" s="23" t="s">
        <v>148</v>
      </c>
      <c r="D142" s="23" t="s">
        <v>149</v>
      </c>
      <c r="E142" s="22"/>
      <c r="F142" s="22"/>
      <c r="G142" s="22"/>
    </row>
    <row r="143" spans="1:8" ht="17.100000000000001" customHeight="1" x14ac:dyDescent="0.2">
      <c r="A143" s="22"/>
      <c r="B143" s="4" t="s">
        <v>150</v>
      </c>
      <c r="C143" s="24">
        <v>717.12419999999997</v>
      </c>
      <c r="D143" s="24">
        <v>738.97379999999998</v>
      </c>
      <c r="E143" s="22"/>
      <c r="F143" s="19"/>
      <c r="G143" s="25"/>
    </row>
    <row r="144" spans="1:8" ht="17.100000000000001" customHeight="1" x14ac:dyDescent="0.2">
      <c r="A144" s="22"/>
      <c r="B144" s="4" t="s">
        <v>1092</v>
      </c>
      <c r="C144" s="24">
        <v>44.991399999999999</v>
      </c>
      <c r="D144" s="24">
        <v>46.362900000000003</v>
      </c>
      <c r="E144" s="22"/>
      <c r="F144" s="19"/>
      <c r="G144" s="25"/>
    </row>
    <row r="145" spans="1:17" ht="17.100000000000001" customHeight="1" x14ac:dyDescent="0.2">
      <c r="A145" s="22"/>
      <c r="B145" s="4" t="s">
        <v>151</v>
      </c>
      <c r="C145" s="24">
        <v>676.15599999999995</v>
      </c>
      <c r="D145" s="24">
        <v>696.20500000000004</v>
      </c>
      <c r="E145" s="22"/>
      <c r="F145" s="19"/>
      <c r="G145" s="25"/>
    </row>
    <row r="146" spans="1:17" ht="17.100000000000001" customHeight="1" x14ac:dyDescent="0.2">
      <c r="A146" s="22"/>
      <c r="B146" s="4" t="s">
        <v>1093</v>
      </c>
      <c r="C146" s="24">
        <v>41.8279</v>
      </c>
      <c r="D146" s="24">
        <v>43.068199999999997</v>
      </c>
      <c r="E146" s="22"/>
      <c r="F146" s="19"/>
      <c r="G146" s="25"/>
    </row>
    <row r="147" spans="1:17" ht="14.1" customHeight="1" x14ac:dyDescent="0.2">
      <c r="A147" s="22"/>
      <c r="B147" s="22"/>
      <c r="C147" s="22"/>
      <c r="D147" s="22"/>
      <c r="E147" s="22"/>
      <c r="F147" s="22"/>
      <c r="G147" s="22"/>
    </row>
    <row r="148" spans="1:17" ht="17.100000000000001" customHeight="1" x14ac:dyDescent="0.2">
      <c r="A148" s="22"/>
      <c r="B148" s="189" t="s">
        <v>1094</v>
      </c>
      <c r="C148" s="190"/>
      <c r="D148" s="2" t="s">
        <v>142</v>
      </c>
      <c r="E148" s="22"/>
      <c r="F148" s="22"/>
      <c r="G148" s="22"/>
    </row>
    <row r="149" spans="1:17" ht="18" customHeight="1" x14ac:dyDescent="0.2">
      <c r="A149" s="22"/>
      <c r="B149" s="26"/>
      <c r="C149" s="26"/>
      <c r="D149" s="27"/>
      <c r="E149" s="22"/>
      <c r="F149" s="22"/>
      <c r="G149" s="22"/>
    </row>
    <row r="150" spans="1:17" s="101" customFormat="1" x14ac:dyDescent="0.2">
      <c r="B150" s="193" t="s">
        <v>1102</v>
      </c>
      <c r="C150" s="193"/>
      <c r="D150" s="193"/>
      <c r="E150" s="193"/>
      <c r="F150" s="193"/>
      <c r="I150"/>
      <c r="J150"/>
      <c r="K150"/>
      <c r="L150"/>
      <c r="M150"/>
      <c r="N150"/>
      <c r="O150"/>
      <c r="P150" s="41"/>
      <c r="Q150" s="41"/>
    </row>
    <row r="151" spans="1:17" ht="14.1" customHeight="1" x14ac:dyDescent="0.2">
      <c r="A151" s="22"/>
      <c r="B151" s="19"/>
      <c r="C151" s="19"/>
      <c r="D151" s="22"/>
      <c r="E151" s="22"/>
      <c r="F151" s="22"/>
      <c r="G151" s="22"/>
    </row>
    <row r="152" spans="1:17" ht="29.1" customHeight="1" x14ac:dyDescent="0.2">
      <c r="A152" s="22"/>
      <c r="B152" s="189" t="s">
        <v>152</v>
      </c>
      <c r="C152" s="190"/>
      <c r="D152" s="2" t="s">
        <v>142</v>
      </c>
      <c r="E152" s="22"/>
      <c r="F152" s="22"/>
      <c r="G152" s="22"/>
    </row>
    <row r="153" spans="1:17" ht="29.1" customHeight="1" x14ac:dyDescent="0.2">
      <c r="A153" s="22"/>
      <c r="B153" s="189" t="s">
        <v>153</v>
      </c>
      <c r="C153" s="190"/>
      <c r="D153" s="2" t="s">
        <v>142</v>
      </c>
      <c r="E153" s="22"/>
      <c r="F153" s="22"/>
      <c r="G153" s="22"/>
    </row>
    <row r="154" spans="1:17" ht="17.100000000000001" customHeight="1" x14ac:dyDescent="0.2">
      <c r="A154" s="22"/>
      <c r="B154" s="189" t="s">
        <v>154</v>
      </c>
      <c r="C154" s="190"/>
      <c r="D154" s="28">
        <v>0.38130551272086116</v>
      </c>
      <c r="E154" s="22"/>
      <c r="F154" s="19"/>
      <c r="G154" s="25"/>
    </row>
    <row r="155" spans="1:17" ht="17.100000000000001" customHeight="1" x14ac:dyDescent="0.2">
      <c r="A155" s="22"/>
      <c r="B155" s="189" t="s">
        <v>155</v>
      </c>
      <c r="C155" s="190"/>
      <c r="D155" s="2" t="s">
        <v>142</v>
      </c>
      <c r="E155" s="22"/>
      <c r="F155" s="22"/>
      <c r="G155" s="22"/>
    </row>
  </sheetData>
  <mergeCells count="14">
    <mergeCell ref="B155:C155"/>
    <mergeCell ref="B138:C138"/>
    <mergeCell ref="B139:C139"/>
    <mergeCell ref="B140:C140"/>
    <mergeCell ref="B148:C148"/>
    <mergeCell ref="B152:C152"/>
    <mergeCell ref="B153:C153"/>
    <mergeCell ref="B154:C154"/>
    <mergeCell ref="A1:H1"/>
    <mergeCell ref="A2:H2"/>
    <mergeCell ref="A3:H3"/>
    <mergeCell ref="B150:F150"/>
    <mergeCell ref="J2:N2"/>
    <mergeCell ref="B137:C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385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13</v>
      </c>
      <c r="C7" s="4" t="s">
        <v>14</v>
      </c>
      <c r="D7" s="4" t="s">
        <v>15</v>
      </c>
      <c r="E7" s="5">
        <v>44211</v>
      </c>
      <c r="F7" s="6">
        <v>1164.8493225</v>
      </c>
      <c r="G7" s="7">
        <v>8.0874335000000006E-2</v>
      </c>
      <c r="H7" s="39"/>
    </row>
    <row r="8" spans="1:14" x14ac:dyDescent="0.2">
      <c r="A8" s="3">
        <v>2</v>
      </c>
      <c r="B8" s="4" t="s">
        <v>386</v>
      </c>
      <c r="C8" s="4" t="s">
        <v>387</v>
      </c>
      <c r="D8" s="4" t="s">
        <v>1143</v>
      </c>
      <c r="E8" s="5">
        <v>53410</v>
      </c>
      <c r="F8" s="6">
        <v>1018.448585</v>
      </c>
      <c r="G8" s="7">
        <v>7.0709877000000004E-2</v>
      </c>
      <c r="H8" s="39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137271</v>
      </c>
      <c r="F9" s="6">
        <v>1002.490113</v>
      </c>
      <c r="G9" s="7">
        <v>6.9601895999999996E-2</v>
      </c>
      <c r="H9" s="39"/>
    </row>
    <row r="10" spans="1:14" x14ac:dyDescent="0.2">
      <c r="A10" s="3">
        <v>4</v>
      </c>
      <c r="B10" s="4" t="s">
        <v>388</v>
      </c>
      <c r="C10" s="4" t="s">
        <v>389</v>
      </c>
      <c r="D10" s="4" t="s">
        <v>18</v>
      </c>
      <c r="E10" s="5">
        <v>54472</v>
      </c>
      <c r="F10" s="6">
        <v>800.92905199999996</v>
      </c>
      <c r="G10" s="7">
        <v>5.5607710999999997E-2</v>
      </c>
      <c r="H10" s="39"/>
    </row>
    <row r="11" spans="1:14" x14ac:dyDescent="0.2">
      <c r="A11" s="3">
        <v>5</v>
      </c>
      <c r="B11" s="4" t="s">
        <v>49</v>
      </c>
      <c r="C11" s="4" t="s">
        <v>50</v>
      </c>
      <c r="D11" s="4" t="s">
        <v>18</v>
      </c>
      <c r="E11" s="5">
        <v>108901</v>
      </c>
      <c r="F11" s="6">
        <v>537.4808855</v>
      </c>
      <c r="G11" s="7">
        <v>3.7316766000000001E-2</v>
      </c>
      <c r="H11" s="39"/>
    </row>
    <row r="12" spans="1:14" ht="25.5" x14ac:dyDescent="0.2">
      <c r="A12" s="3">
        <v>6</v>
      </c>
      <c r="B12" s="4" t="s">
        <v>390</v>
      </c>
      <c r="C12" s="4" t="s">
        <v>391</v>
      </c>
      <c r="D12" s="4" t="s">
        <v>82</v>
      </c>
      <c r="E12" s="5">
        <v>21645</v>
      </c>
      <c r="F12" s="6">
        <v>517.40207999999996</v>
      </c>
      <c r="G12" s="7">
        <v>3.5922714000000001E-2</v>
      </c>
      <c r="H12" s="39"/>
    </row>
    <row r="13" spans="1:14" x14ac:dyDescent="0.2">
      <c r="A13" s="3">
        <v>7</v>
      </c>
      <c r="B13" s="4" t="s">
        <v>300</v>
      </c>
      <c r="C13" s="4" t="s">
        <v>301</v>
      </c>
      <c r="D13" s="4" t="s">
        <v>18</v>
      </c>
      <c r="E13" s="5">
        <v>66020</v>
      </c>
      <c r="F13" s="6">
        <v>502.51123000000001</v>
      </c>
      <c r="G13" s="7">
        <v>3.4888857000000002E-2</v>
      </c>
      <c r="H13" s="39"/>
    </row>
    <row r="14" spans="1:14" x14ac:dyDescent="0.2">
      <c r="A14" s="3">
        <v>8</v>
      </c>
      <c r="B14" s="4" t="s">
        <v>317</v>
      </c>
      <c r="C14" s="4" t="s">
        <v>318</v>
      </c>
      <c r="D14" s="4" t="s">
        <v>1144</v>
      </c>
      <c r="E14" s="5">
        <v>46412</v>
      </c>
      <c r="F14" s="6">
        <v>436.87615599999998</v>
      </c>
      <c r="G14" s="7">
        <v>3.0331878999999999E-2</v>
      </c>
      <c r="H14" s="39"/>
    </row>
    <row r="15" spans="1:14" ht="25.5" x14ac:dyDescent="0.2">
      <c r="A15" s="3">
        <v>9</v>
      </c>
      <c r="B15" s="4" t="s">
        <v>237</v>
      </c>
      <c r="C15" s="4" t="s">
        <v>238</v>
      </c>
      <c r="D15" s="4" t="s">
        <v>1153</v>
      </c>
      <c r="E15" s="5">
        <v>10484</v>
      </c>
      <c r="F15" s="6">
        <v>427.97784799999999</v>
      </c>
      <c r="G15" s="7">
        <v>2.9714078000000001E-2</v>
      </c>
      <c r="H15" s="39"/>
      <c r="J15" s="176" t="s">
        <v>1177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60</v>
      </c>
      <c r="E16" s="5">
        <v>23069</v>
      </c>
      <c r="F16" s="6">
        <v>407.7791785</v>
      </c>
      <c r="G16" s="7">
        <v>2.8311705E-2</v>
      </c>
      <c r="H16" s="39"/>
    </row>
    <row r="17" spans="1:8" x14ac:dyDescent="0.2">
      <c r="A17" s="3">
        <v>11</v>
      </c>
      <c r="B17" s="4" t="s">
        <v>30</v>
      </c>
      <c r="C17" s="4" t="s">
        <v>31</v>
      </c>
      <c r="D17" s="4" t="s">
        <v>29</v>
      </c>
      <c r="E17" s="5">
        <v>20126</v>
      </c>
      <c r="F17" s="6">
        <v>362.25793700000003</v>
      </c>
      <c r="G17" s="7">
        <v>2.515121E-2</v>
      </c>
      <c r="H17" s="39"/>
    </row>
    <row r="18" spans="1:8" x14ac:dyDescent="0.2">
      <c r="A18" s="3">
        <v>12</v>
      </c>
      <c r="B18" s="4" t="s">
        <v>19</v>
      </c>
      <c r="C18" s="4" t="s">
        <v>20</v>
      </c>
      <c r="D18" s="4" t="s">
        <v>21</v>
      </c>
      <c r="E18" s="5">
        <v>45416</v>
      </c>
      <c r="F18" s="6">
        <v>342.86809199999999</v>
      </c>
      <c r="G18" s="7">
        <v>2.3804992000000001E-2</v>
      </c>
      <c r="H18" s="39"/>
    </row>
    <row r="19" spans="1:8" x14ac:dyDescent="0.2">
      <c r="A19" s="3">
        <v>13</v>
      </c>
      <c r="B19" s="4" t="s">
        <v>392</v>
      </c>
      <c r="C19" s="4" t="s">
        <v>393</v>
      </c>
      <c r="D19" s="4" t="s">
        <v>1143</v>
      </c>
      <c r="E19" s="5">
        <v>8814</v>
      </c>
      <c r="F19" s="6">
        <v>329.63919299999998</v>
      </c>
      <c r="G19" s="7">
        <v>2.2886522999999999E-2</v>
      </c>
      <c r="H19" s="39"/>
    </row>
    <row r="20" spans="1:8" x14ac:dyDescent="0.2">
      <c r="A20" s="3">
        <v>14</v>
      </c>
      <c r="B20" s="4" t="s">
        <v>220</v>
      </c>
      <c r="C20" s="4" t="s">
        <v>221</v>
      </c>
      <c r="D20" s="4" t="s">
        <v>1149</v>
      </c>
      <c r="E20" s="5">
        <v>53148</v>
      </c>
      <c r="F20" s="6">
        <v>281.578104</v>
      </c>
      <c r="G20" s="7">
        <v>1.9549688999999999E-2</v>
      </c>
      <c r="H20" s="39"/>
    </row>
    <row r="21" spans="1:8" x14ac:dyDescent="0.2">
      <c r="A21" s="3">
        <v>15</v>
      </c>
      <c r="B21" s="4" t="s">
        <v>394</v>
      </c>
      <c r="C21" s="4" t="s">
        <v>395</v>
      </c>
      <c r="D21" s="4" t="s">
        <v>1142</v>
      </c>
      <c r="E21" s="5">
        <v>24719</v>
      </c>
      <c r="F21" s="6">
        <v>277.21122550000001</v>
      </c>
      <c r="G21" s="7">
        <v>1.9246500999999999E-2</v>
      </c>
      <c r="H21" s="39"/>
    </row>
    <row r="22" spans="1:8" ht="25.5" x14ac:dyDescent="0.2">
      <c r="A22" s="3">
        <v>16</v>
      </c>
      <c r="B22" s="4" t="s">
        <v>396</v>
      </c>
      <c r="C22" s="4" t="s">
        <v>397</v>
      </c>
      <c r="D22" s="4" t="s">
        <v>1138</v>
      </c>
      <c r="E22" s="5">
        <v>28492</v>
      </c>
      <c r="F22" s="6">
        <v>260.63056999999998</v>
      </c>
      <c r="G22" s="7">
        <v>1.8095322E-2</v>
      </c>
      <c r="H22" s="39"/>
    </row>
    <row r="23" spans="1:8" x14ac:dyDescent="0.2">
      <c r="A23" s="3">
        <v>17</v>
      </c>
      <c r="B23" s="4" t="s">
        <v>247</v>
      </c>
      <c r="C23" s="4" t="s">
        <v>248</v>
      </c>
      <c r="D23" s="4" t="s">
        <v>1154</v>
      </c>
      <c r="E23" s="5">
        <v>16000</v>
      </c>
      <c r="F23" s="6">
        <v>259.952</v>
      </c>
      <c r="G23" s="7">
        <v>1.8048209999999999E-2</v>
      </c>
      <c r="H23" s="39"/>
    </row>
    <row r="24" spans="1:8" ht="25.5" x14ac:dyDescent="0.2">
      <c r="A24" s="3">
        <v>18</v>
      </c>
      <c r="B24" s="4" t="s">
        <v>22</v>
      </c>
      <c r="C24" s="4" t="s">
        <v>23</v>
      </c>
      <c r="D24" s="4" t="s">
        <v>1150</v>
      </c>
      <c r="E24" s="5">
        <v>3567</v>
      </c>
      <c r="F24" s="6">
        <v>235.504041</v>
      </c>
      <c r="G24" s="7">
        <v>1.6350811999999999E-2</v>
      </c>
      <c r="H24" s="39"/>
    </row>
    <row r="25" spans="1:8" ht="25.5" x14ac:dyDescent="0.2">
      <c r="A25" s="3">
        <v>19</v>
      </c>
      <c r="B25" s="4" t="s">
        <v>321</v>
      </c>
      <c r="C25" s="4" t="s">
        <v>322</v>
      </c>
      <c r="D25" s="4" t="s">
        <v>71</v>
      </c>
      <c r="E25" s="5">
        <v>62892</v>
      </c>
      <c r="F25" s="6">
        <v>235.21608000000001</v>
      </c>
      <c r="G25" s="7">
        <v>1.6330819E-2</v>
      </c>
      <c r="H25" s="39"/>
    </row>
    <row r="26" spans="1:8" ht="25.5" x14ac:dyDescent="0.2">
      <c r="A26" s="3">
        <v>20</v>
      </c>
      <c r="B26" s="4" t="s">
        <v>289</v>
      </c>
      <c r="C26" s="4" t="s">
        <v>290</v>
      </c>
      <c r="D26" s="4" t="s">
        <v>1153</v>
      </c>
      <c r="E26" s="5">
        <v>34955</v>
      </c>
      <c r="F26" s="6">
        <v>232.50318250000001</v>
      </c>
      <c r="G26" s="7">
        <v>1.6142466000000001E-2</v>
      </c>
      <c r="H26" s="39"/>
    </row>
    <row r="27" spans="1:8" x14ac:dyDescent="0.2">
      <c r="A27" s="3">
        <v>21</v>
      </c>
      <c r="B27" s="4" t="s">
        <v>398</v>
      </c>
      <c r="C27" s="4" t="s">
        <v>399</v>
      </c>
      <c r="D27" s="4" t="s">
        <v>1143</v>
      </c>
      <c r="E27" s="5">
        <v>39000</v>
      </c>
      <c r="F27" s="6">
        <v>230.84100000000001</v>
      </c>
      <c r="G27" s="7">
        <v>1.6027062000000002E-2</v>
      </c>
      <c r="H27" s="39"/>
    </row>
    <row r="28" spans="1:8" x14ac:dyDescent="0.2">
      <c r="A28" s="3">
        <v>22</v>
      </c>
      <c r="B28" s="4" t="s">
        <v>343</v>
      </c>
      <c r="C28" s="4" t="s">
        <v>344</v>
      </c>
      <c r="D28" s="4" t="s">
        <v>1026</v>
      </c>
      <c r="E28" s="5">
        <v>8139</v>
      </c>
      <c r="F28" s="6">
        <v>214.58473499999999</v>
      </c>
      <c r="G28" s="7">
        <v>1.4898405999999999E-2</v>
      </c>
      <c r="H28" s="39"/>
    </row>
    <row r="29" spans="1:8" ht="25.5" x14ac:dyDescent="0.2">
      <c r="A29" s="3">
        <v>23</v>
      </c>
      <c r="B29" s="4" t="s">
        <v>188</v>
      </c>
      <c r="C29" s="4" t="s">
        <v>189</v>
      </c>
      <c r="D29" s="4" t="s">
        <v>1158</v>
      </c>
      <c r="E29" s="5">
        <v>32477</v>
      </c>
      <c r="F29" s="6">
        <v>214.0396685</v>
      </c>
      <c r="G29" s="7">
        <v>1.4860562000000001E-2</v>
      </c>
      <c r="H29" s="39"/>
    </row>
    <row r="30" spans="1:8" x14ac:dyDescent="0.2">
      <c r="A30" s="3">
        <v>24</v>
      </c>
      <c r="B30" s="4" t="s">
        <v>400</v>
      </c>
      <c r="C30" s="4" t="s">
        <v>401</v>
      </c>
      <c r="D30" s="4" t="s">
        <v>1143</v>
      </c>
      <c r="E30" s="5">
        <v>18271</v>
      </c>
      <c r="F30" s="6">
        <v>212.62876249999999</v>
      </c>
      <c r="G30" s="7">
        <v>1.4762604E-2</v>
      </c>
      <c r="H30" s="39"/>
    </row>
    <row r="31" spans="1:8" x14ac:dyDescent="0.2">
      <c r="A31" s="3">
        <v>25</v>
      </c>
      <c r="B31" s="4" t="s">
        <v>402</v>
      </c>
      <c r="C31" s="4" t="s">
        <v>403</v>
      </c>
      <c r="D31" s="4" t="s">
        <v>1148</v>
      </c>
      <c r="E31" s="5">
        <v>9430</v>
      </c>
      <c r="F31" s="6">
        <v>193.18769499999999</v>
      </c>
      <c r="G31" s="7">
        <v>1.3412830000000001E-2</v>
      </c>
      <c r="H31" s="39"/>
    </row>
    <row r="32" spans="1:8" x14ac:dyDescent="0.2">
      <c r="A32" s="3">
        <v>26</v>
      </c>
      <c r="B32" s="4" t="s">
        <v>302</v>
      </c>
      <c r="C32" s="4" t="s">
        <v>303</v>
      </c>
      <c r="D32" s="4" t="s">
        <v>1155</v>
      </c>
      <c r="E32" s="5">
        <v>443</v>
      </c>
      <c r="F32" s="6">
        <v>191.32882050000001</v>
      </c>
      <c r="G32" s="7">
        <v>1.3283771E-2</v>
      </c>
      <c r="H32" s="39"/>
    </row>
    <row r="33" spans="1:8" x14ac:dyDescent="0.2">
      <c r="A33" s="3">
        <v>27</v>
      </c>
      <c r="B33" s="4" t="s">
        <v>309</v>
      </c>
      <c r="C33" s="4" t="s">
        <v>310</v>
      </c>
      <c r="D33" s="4" t="s">
        <v>91</v>
      </c>
      <c r="E33" s="5">
        <v>35316</v>
      </c>
      <c r="F33" s="6">
        <v>188.18130600000001</v>
      </c>
      <c r="G33" s="7">
        <v>1.3065241999999999E-2</v>
      </c>
      <c r="H33" s="39"/>
    </row>
    <row r="34" spans="1:8" x14ac:dyDescent="0.2">
      <c r="A34" s="3">
        <v>28</v>
      </c>
      <c r="B34" s="4" t="s">
        <v>304</v>
      </c>
      <c r="C34" s="4" t="s">
        <v>305</v>
      </c>
      <c r="D34" s="4" t="s">
        <v>18</v>
      </c>
      <c r="E34" s="5">
        <v>160000</v>
      </c>
      <c r="F34" s="6">
        <v>178.56</v>
      </c>
      <c r="G34" s="7">
        <v>1.2397244E-2</v>
      </c>
      <c r="H34" s="39"/>
    </row>
    <row r="35" spans="1:8" x14ac:dyDescent="0.2">
      <c r="A35" s="3">
        <v>29</v>
      </c>
      <c r="B35" s="4" t="s">
        <v>170</v>
      </c>
      <c r="C35" s="4" t="s">
        <v>171</v>
      </c>
      <c r="D35" s="4" t="s">
        <v>1027</v>
      </c>
      <c r="E35" s="5">
        <v>11380</v>
      </c>
      <c r="F35" s="6">
        <v>174.88215</v>
      </c>
      <c r="G35" s="7">
        <v>1.2141894E-2</v>
      </c>
      <c r="H35" s="39"/>
    </row>
    <row r="36" spans="1:8" x14ac:dyDescent="0.2">
      <c r="A36" s="3">
        <v>30</v>
      </c>
      <c r="B36" s="4" t="s">
        <v>306</v>
      </c>
      <c r="C36" s="4" t="s">
        <v>307</v>
      </c>
      <c r="D36" s="4" t="s">
        <v>308</v>
      </c>
      <c r="E36" s="5">
        <v>13636</v>
      </c>
      <c r="F36" s="6">
        <v>173.92717999999999</v>
      </c>
      <c r="G36" s="7">
        <v>1.2075592E-2</v>
      </c>
      <c r="H36" s="39"/>
    </row>
    <row r="37" spans="1:8" x14ac:dyDescent="0.2">
      <c r="A37" s="3">
        <v>31</v>
      </c>
      <c r="B37" s="4" t="s">
        <v>315</v>
      </c>
      <c r="C37" s="4" t="s">
        <v>316</v>
      </c>
      <c r="D37" s="4" t="s">
        <v>29</v>
      </c>
      <c r="E37" s="5">
        <v>15454</v>
      </c>
      <c r="F37" s="6">
        <v>173.28570199999999</v>
      </c>
      <c r="G37" s="7">
        <v>1.2031055000000001E-2</v>
      </c>
      <c r="H37" s="39"/>
    </row>
    <row r="38" spans="1:8" x14ac:dyDescent="0.2">
      <c r="A38" s="3">
        <v>32</v>
      </c>
      <c r="B38" s="4" t="s">
        <v>404</v>
      </c>
      <c r="C38" s="4" t="s">
        <v>405</v>
      </c>
      <c r="D38" s="4" t="s">
        <v>1143</v>
      </c>
      <c r="E38" s="5">
        <v>11437</v>
      </c>
      <c r="F38" s="6">
        <v>171.4920965</v>
      </c>
      <c r="G38" s="7">
        <v>1.1906526000000001E-2</v>
      </c>
      <c r="H38" s="39"/>
    </row>
    <row r="39" spans="1:8" x14ac:dyDescent="0.2">
      <c r="A39" s="3">
        <v>33</v>
      </c>
      <c r="B39" s="4" t="s">
        <v>61</v>
      </c>
      <c r="C39" s="4" t="s">
        <v>62</v>
      </c>
      <c r="D39" s="4" t="s">
        <v>1140</v>
      </c>
      <c r="E39" s="5">
        <v>24502</v>
      </c>
      <c r="F39" s="6">
        <v>164.69019299999999</v>
      </c>
      <c r="G39" s="7">
        <v>1.1434277E-2</v>
      </c>
      <c r="H39" s="39"/>
    </row>
    <row r="40" spans="1:8" x14ac:dyDescent="0.2">
      <c r="A40" s="3">
        <v>34</v>
      </c>
      <c r="B40" s="4" t="s">
        <v>235</v>
      </c>
      <c r="C40" s="4" t="s">
        <v>236</v>
      </c>
      <c r="D40" s="4" t="s">
        <v>1160</v>
      </c>
      <c r="E40" s="5">
        <v>84020</v>
      </c>
      <c r="F40" s="6">
        <v>159.17589000000001</v>
      </c>
      <c r="G40" s="7">
        <v>1.1051424000000001E-2</v>
      </c>
      <c r="H40" s="39"/>
    </row>
    <row r="41" spans="1:8" x14ac:dyDescent="0.2">
      <c r="A41" s="3">
        <v>35</v>
      </c>
      <c r="B41" s="4" t="s">
        <v>345</v>
      </c>
      <c r="C41" s="4" t="s">
        <v>346</v>
      </c>
      <c r="D41" s="4" t="s">
        <v>1027</v>
      </c>
      <c r="E41" s="5">
        <v>25439</v>
      </c>
      <c r="F41" s="6">
        <v>158.03978749999999</v>
      </c>
      <c r="G41" s="7">
        <v>1.0972546E-2</v>
      </c>
      <c r="H41" s="39"/>
    </row>
    <row r="42" spans="1:8" x14ac:dyDescent="0.2">
      <c r="A42" s="3">
        <v>36</v>
      </c>
      <c r="B42" s="4" t="s">
        <v>94</v>
      </c>
      <c r="C42" s="4" t="s">
        <v>95</v>
      </c>
      <c r="D42" s="4" t="s">
        <v>1154</v>
      </c>
      <c r="E42" s="5">
        <v>8130</v>
      </c>
      <c r="F42" s="6">
        <v>157.88460000000001</v>
      </c>
      <c r="G42" s="7">
        <v>1.0961771E-2</v>
      </c>
      <c r="H42" s="39"/>
    </row>
    <row r="43" spans="1:8" x14ac:dyDescent="0.2">
      <c r="A43" s="3">
        <v>37</v>
      </c>
      <c r="B43" s="4" t="s">
        <v>406</v>
      </c>
      <c r="C43" s="4" t="s">
        <v>407</v>
      </c>
      <c r="D43" s="4" t="s">
        <v>1146</v>
      </c>
      <c r="E43" s="5">
        <v>17387</v>
      </c>
      <c r="F43" s="6">
        <v>140.2348485</v>
      </c>
      <c r="G43" s="7">
        <v>9.7363669999999992E-3</v>
      </c>
      <c r="H43" s="39"/>
    </row>
    <row r="44" spans="1:8" ht="25.5" x14ac:dyDescent="0.2">
      <c r="A44" s="3">
        <v>38</v>
      </c>
      <c r="B44" s="4" t="s">
        <v>335</v>
      </c>
      <c r="C44" s="4" t="s">
        <v>336</v>
      </c>
      <c r="D44" s="4" t="s">
        <v>1138</v>
      </c>
      <c r="E44" s="5">
        <v>4108</v>
      </c>
      <c r="F44" s="6">
        <v>134.440462</v>
      </c>
      <c r="G44" s="7">
        <v>9.3340679999999992E-3</v>
      </c>
      <c r="H44" s="39"/>
    </row>
    <row r="45" spans="1:8" x14ac:dyDescent="0.2">
      <c r="A45" s="3">
        <v>39</v>
      </c>
      <c r="B45" s="4" t="s">
        <v>408</v>
      </c>
      <c r="C45" s="4" t="s">
        <v>409</v>
      </c>
      <c r="D45" s="4" t="s">
        <v>1148</v>
      </c>
      <c r="E45" s="5">
        <v>53592</v>
      </c>
      <c r="F45" s="6">
        <v>134.32834800000001</v>
      </c>
      <c r="G45" s="7">
        <v>9.3262840000000007E-3</v>
      </c>
      <c r="H45" s="39"/>
    </row>
    <row r="46" spans="1:8" x14ac:dyDescent="0.2">
      <c r="A46" s="3">
        <v>40</v>
      </c>
      <c r="B46" s="4" t="s">
        <v>40</v>
      </c>
      <c r="C46" s="4" t="s">
        <v>41</v>
      </c>
      <c r="D46" s="4" t="s">
        <v>15</v>
      </c>
      <c r="E46" s="5">
        <v>37123</v>
      </c>
      <c r="F46" s="6">
        <v>133.4015005</v>
      </c>
      <c r="G46" s="7">
        <v>9.2619339999999994E-3</v>
      </c>
      <c r="H46" s="39"/>
    </row>
    <row r="47" spans="1:8" ht="25.5" x14ac:dyDescent="0.2">
      <c r="A47" s="3">
        <v>41</v>
      </c>
      <c r="B47" s="4" t="s">
        <v>353</v>
      </c>
      <c r="C47" s="4" t="s">
        <v>354</v>
      </c>
      <c r="D47" s="4" t="s">
        <v>1152</v>
      </c>
      <c r="E47" s="5">
        <v>16000</v>
      </c>
      <c r="F47" s="6">
        <v>127.93600000000001</v>
      </c>
      <c r="G47" s="7">
        <v>8.8824699999999999E-3</v>
      </c>
      <c r="H47" s="39"/>
    </row>
    <row r="48" spans="1:8" x14ac:dyDescent="0.2">
      <c r="A48" s="3">
        <v>42</v>
      </c>
      <c r="B48" s="4" t="s">
        <v>410</v>
      </c>
      <c r="C48" s="4" t="s">
        <v>411</v>
      </c>
      <c r="D48" s="4" t="s">
        <v>412</v>
      </c>
      <c r="E48" s="5">
        <v>19132</v>
      </c>
      <c r="F48" s="6">
        <v>108.95674</v>
      </c>
      <c r="G48" s="7">
        <v>7.5647589999999999E-3</v>
      </c>
      <c r="H48" s="39"/>
    </row>
    <row r="49" spans="1:8" x14ac:dyDescent="0.2">
      <c r="A49" s="3">
        <v>43</v>
      </c>
      <c r="B49" s="4" t="s">
        <v>413</v>
      </c>
      <c r="C49" s="4" t="s">
        <v>414</v>
      </c>
      <c r="D49" s="4" t="s">
        <v>91</v>
      </c>
      <c r="E49" s="5">
        <v>7773</v>
      </c>
      <c r="F49" s="6">
        <v>101.608656</v>
      </c>
      <c r="G49" s="7">
        <v>7.0545879999999997E-3</v>
      </c>
      <c r="H49" s="39"/>
    </row>
    <row r="50" spans="1:8" x14ac:dyDescent="0.2">
      <c r="A50" s="3">
        <v>44</v>
      </c>
      <c r="B50" s="4" t="s">
        <v>254</v>
      </c>
      <c r="C50" s="4" t="s">
        <v>255</v>
      </c>
      <c r="D50" s="4" t="s">
        <v>15</v>
      </c>
      <c r="E50" s="5">
        <v>35000</v>
      </c>
      <c r="F50" s="6">
        <v>94.272499999999994</v>
      </c>
      <c r="G50" s="7">
        <v>6.5452460000000002E-3</v>
      </c>
      <c r="H50" s="39"/>
    </row>
    <row r="51" spans="1:8" ht="25.5" x14ac:dyDescent="0.2">
      <c r="A51" s="3">
        <v>45</v>
      </c>
      <c r="B51" s="4" t="s">
        <v>168</v>
      </c>
      <c r="C51" s="4" t="s">
        <v>169</v>
      </c>
      <c r="D51" s="4" t="s">
        <v>1137</v>
      </c>
      <c r="E51" s="5">
        <v>36162</v>
      </c>
      <c r="F51" s="6">
        <v>86.969610000000003</v>
      </c>
      <c r="G51" s="7">
        <v>6.0382140000000001E-3</v>
      </c>
      <c r="H51" s="39"/>
    </row>
    <row r="52" spans="1:8" x14ac:dyDescent="0.2">
      <c r="A52" s="3">
        <v>46</v>
      </c>
      <c r="B52" s="4" t="s">
        <v>104</v>
      </c>
      <c r="C52" s="4" t="s">
        <v>105</v>
      </c>
      <c r="D52" s="4" t="s">
        <v>1157</v>
      </c>
      <c r="E52" s="5">
        <v>111123</v>
      </c>
      <c r="F52" s="6">
        <v>86.398132500000003</v>
      </c>
      <c r="G52" s="7">
        <v>5.998537E-3</v>
      </c>
      <c r="H52" s="39"/>
    </row>
    <row r="53" spans="1:8" x14ac:dyDescent="0.2">
      <c r="A53" s="3">
        <v>47</v>
      </c>
      <c r="B53" s="4" t="s">
        <v>415</v>
      </c>
      <c r="C53" s="4" t="s">
        <v>416</v>
      </c>
      <c r="D53" s="4" t="s">
        <v>18</v>
      </c>
      <c r="E53" s="5">
        <v>4709</v>
      </c>
      <c r="F53" s="6">
        <v>82.588796500000001</v>
      </c>
      <c r="G53" s="7">
        <v>5.7340580000000002E-3</v>
      </c>
      <c r="H53" s="39"/>
    </row>
    <row r="54" spans="1:8" x14ac:dyDescent="0.2">
      <c r="A54" s="3">
        <v>48</v>
      </c>
      <c r="B54" s="4" t="s">
        <v>333</v>
      </c>
      <c r="C54" s="4" t="s">
        <v>334</v>
      </c>
      <c r="D54" s="4" t="s">
        <v>82</v>
      </c>
      <c r="E54" s="5">
        <v>7100</v>
      </c>
      <c r="F54" s="6">
        <v>80.574349999999995</v>
      </c>
      <c r="G54" s="7">
        <v>5.5941970000000004E-3</v>
      </c>
      <c r="H54" s="39"/>
    </row>
    <row r="55" spans="1:8" x14ac:dyDescent="0.2">
      <c r="A55" s="3">
        <v>49</v>
      </c>
      <c r="B55" s="4" t="s">
        <v>313</v>
      </c>
      <c r="C55" s="4" t="s">
        <v>314</v>
      </c>
      <c r="D55" s="4" t="s">
        <v>1142</v>
      </c>
      <c r="E55" s="5">
        <v>10058</v>
      </c>
      <c r="F55" s="6">
        <v>75.827262000000005</v>
      </c>
      <c r="G55" s="7">
        <v>5.2646120000000001E-3</v>
      </c>
      <c r="H55" s="39"/>
    </row>
    <row r="56" spans="1:8" x14ac:dyDescent="0.2">
      <c r="A56" s="3">
        <v>50</v>
      </c>
      <c r="B56" s="4" t="s">
        <v>355</v>
      </c>
      <c r="C56" s="4" t="s">
        <v>356</v>
      </c>
      <c r="D56" s="4" t="s">
        <v>71</v>
      </c>
      <c r="E56" s="5">
        <v>100655</v>
      </c>
      <c r="F56" s="6">
        <v>59.134812500000002</v>
      </c>
      <c r="G56" s="7">
        <v>4.105671E-3</v>
      </c>
      <c r="H56" s="39"/>
    </row>
    <row r="57" spans="1:8" ht="25.5" x14ac:dyDescent="0.2">
      <c r="A57" s="3">
        <v>51</v>
      </c>
      <c r="B57" s="37" t="s">
        <v>417</v>
      </c>
      <c r="C57" s="37" t="s">
        <v>1013</v>
      </c>
      <c r="D57" s="37" t="s">
        <v>21</v>
      </c>
      <c r="E57" s="5">
        <v>3244</v>
      </c>
      <c r="F57" s="6">
        <v>12.844618000000001</v>
      </c>
      <c r="G57" s="7">
        <v>8.9178900000000004E-4</v>
      </c>
      <c r="H57" s="39"/>
    </row>
    <row r="58" spans="1:8" x14ac:dyDescent="0.2">
      <c r="A58" s="3">
        <v>52</v>
      </c>
      <c r="B58" s="4" t="s">
        <v>162</v>
      </c>
      <c r="C58" s="4" t="s">
        <v>163</v>
      </c>
      <c r="D58" s="4" t="s">
        <v>1026</v>
      </c>
      <c r="E58" s="5">
        <v>730</v>
      </c>
      <c r="F58" s="6">
        <v>10.82006</v>
      </c>
      <c r="G58" s="7">
        <v>7.5122600000000002E-4</v>
      </c>
      <c r="H58" s="39"/>
    </row>
    <row r="59" spans="1:8" x14ac:dyDescent="0.2">
      <c r="A59" s="1"/>
      <c r="B59" s="1"/>
      <c r="C59" s="2" t="s">
        <v>111</v>
      </c>
      <c r="D59" s="1"/>
      <c r="E59" s="1" t="s">
        <v>112</v>
      </c>
      <c r="F59" s="9">
        <v>14061.171158500001</v>
      </c>
      <c r="G59" s="10">
        <v>0.97625318799999994</v>
      </c>
      <c r="H59" s="39"/>
    </row>
    <row r="60" spans="1:8" x14ac:dyDescent="0.2">
      <c r="A60" s="1"/>
      <c r="B60" s="1"/>
      <c r="C60" s="11"/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113</v>
      </c>
      <c r="D61" s="1"/>
      <c r="E61" s="1"/>
      <c r="F61" s="1"/>
      <c r="G61" s="1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114</v>
      </c>
      <c r="D64" s="1"/>
      <c r="E64" s="1"/>
      <c r="F64" s="1"/>
      <c r="G64" s="1"/>
      <c r="H64" s="39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39"/>
    </row>
    <row r="66" spans="1:8" x14ac:dyDescent="0.2">
      <c r="A66" s="1"/>
      <c r="B66" s="1"/>
      <c r="C66" s="11"/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115</v>
      </c>
      <c r="D67" s="1"/>
      <c r="E67" s="1"/>
      <c r="F67" s="1"/>
      <c r="G67" s="1"/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9">
        <v>0</v>
      </c>
      <c r="G68" s="10">
        <v>0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116</v>
      </c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117</v>
      </c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118</v>
      </c>
      <c r="D76" s="1"/>
      <c r="E76" s="1"/>
      <c r="F76" s="9">
        <v>14061.171158499999</v>
      </c>
      <c r="G76" s="10">
        <v>0.97625318800000005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119</v>
      </c>
      <c r="D78" s="1"/>
      <c r="E78" s="1"/>
      <c r="F78" s="12"/>
      <c r="G78" s="12"/>
      <c r="H78" s="39"/>
    </row>
    <row r="79" spans="1:8" ht="25.5" x14ac:dyDescent="0.2">
      <c r="A79" s="1"/>
      <c r="B79" s="1"/>
      <c r="C79" s="2" t="s">
        <v>10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120</v>
      </c>
      <c r="D82" s="1"/>
      <c r="E82" s="1"/>
      <c r="F82" s="1"/>
      <c r="G82" s="1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121</v>
      </c>
      <c r="D85" s="1"/>
      <c r="E85" s="1"/>
      <c r="F85" s="1"/>
      <c r="G85" s="1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122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123</v>
      </c>
      <c r="D91" s="1"/>
      <c r="E91" s="1"/>
      <c r="F91" s="9">
        <v>0</v>
      </c>
      <c r="G91" s="10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124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125</v>
      </c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126</v>
      </c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127</v>
      </c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128</v>
      </c>
      <c r="D103" s="1"/>
      <c r="E103" s="1"/>
      <c r="F103" s="12"/>
      <c r="G103" s="12"/>
      <c r="H103" s="39"/>
    </row>
    <row r="104" spans="1:8" x14ac:dyDescent="0.2">
      <c r="A104" s="3">
        <v>1</v>
      </c>
      <c r="B104" s="4"/>
      <c r="C104" s="4" t="s">
        <v>129</v>
      </c>
      <c r="D104" s="4"/>
      <c r="E104" s="8"/>
      <c r="F104" s="6">
        <v>262.90074499999997</v>
      </c>
      <c r="G104" s="7">
        <v>1.8252938E-2</v>
      </c>
      <c r="H104" s="39">
        <v>3.6151121728634927</v>
      </c>
    </row>
    <row r="105" spans="1:8" x14ac:dyDescent="0.2">
      <c r="A105" s="3">
        <v>2</v>
      </c>
      <c r="B105" s="4"/>
      <c r="C105" s="4" t="s">
        <v>130</v>
      </c>
      <c r="D105" s="4"/>
      <c r="E105" s="8"/>
      <c r="F105" s="6">
        <v>92.955633800000001</v>
      </c>
      <c r="G105" s="7">
        <v>6.4538180000000001E-3</v>
      </c>
      <c r="H105" s="39">
        <v>3.7142625760646584</v>
      </c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9">
        <v>355.85637880000002</v>
      </c>
      <c r="G106" s="10">
        <v>2.4706756E-2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131</v>
      </c>
      <c r="D108" s="1"/>
      <c r="E108" s="1"/>
      <c r="F108" s="9">
        <v>355.85637880000002</v>
      </c>
      <c r="G108" s="10">
        <v>2.4706756E-2</v>
      </c>
      <c r="H108" s="39"/>
    </row>
    <row r="109" spans="1:8" x14ac:dyDescent="0.2">
      <c r="A109" s="1"/>
      <c r="B109" s="1"/>
      <c r="C109" s="12"/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132</v>
      </c>
      <c r="D110" s="1"/>
      <c r="E110" s="1"/>
      <c r="F110" s="1"/>
      <c r="G110" s="1"/>
      <c r="H110" s="39"/>
    </row>
    <row r="111" spans="1:8" x14ac:dyDescent="0.2">
      <c r="A111" s="1"/>
      <c r="B111" s="1"/>
      <c r="C111" s="2" t="s">
        <v>133</v>
      </c>
      <c r="D111" s="1"/>
      <c r="E111" s="1"/>
      <c r="F111" s="1"/>
      <c r="G111" s="1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8" x14ac:dyDescent="0.2">
      <c r="A113" s="1"/>
      <c r="B113" s="1"/>
      <c r="C113" s="11"/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134</v>
      </c>
      <c r="D114" s="1"/>
      <c r="E114" s="1"/>
      <c r="F114" s="1"/>
      <c r="G114" s="1"/>
      <c r="H114" s="39"/>
    </row>
    <row r="115" spans="1:8" x14ac:dyDescent="0.2">
      <c r="A115" s="1"/>
      <c r="B115" s="1"/>
      <c r="C115" s="2" t="s">
        <v>135</v>
      </c>
      <c r="D115" s="1"/>
      <c r="E115" s="1"/>
      <c r="F115" s="1"/>
      <c r="G115" s="1"/>
      <c r="H115" s="39"/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ht="25.5" x14ac:dyDescent="0.2">
      <c r="A119" s="1"/>
      <c r="B119" s="1"/>
      <c r="C119" s="2" t="s">
        <v>136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4"/>
      <c r="C122" s="4"/>
      <c r="D122" s="2"/>
      <c r="E122" s="1"/>
      <c r="F122" s="4"/>
      <c r="G122" s="8"/>
      <c r="H122" s="39"/>
    </row>
    <row r="123" spans="1:8" x14ac:dyDescent="0.2">
      <c r="A123" s="8"/>
      <c r="B123" s="4"/>
      <c r="C123" s="4" t="s">
        <v>137</v>
      </c>
      <c r="D123" s="4"/>
      <c r="E123" s="8"/>
      <c r="F123" s="6">
        <v>-13.826266909999999</v>
      </c>
      <c r="G123" s="7">
        <v>-9.5994400000000001E-4</v>
      </c>
      <c r="H123" s="39"/>
    </row>
    <row r="124" spans="1:8" x14ac:dyDescent="0.2">
      <c r="A124" s="11"/>
      <c r="B124" s="11"/>
      <c r="C124" s="2" t="s">
        <v>138</v>
      </c>
      <c r="D124" s="15"/>
      <c r="E124" s="15"/>
      <c r="F124" s="9">
        <v>14403.20127039</v>
      </c>
      <c r="G124" s="10">
        <v>1</v>
      </c>
      <c r="H124" s="39"/>
    </row>
    <row r="125" spans="1:8" ht="14.1" customHeight="1" x14ac:dyDescent="0.2">
      <c r="A125" s="16"/>
      <c r="B125" s="16"/>
      <c r="C125" s="16"/>
      <c r="D125" s="17"/>
      <c r="E125" s="17"/>
      <c r="F125" s="17"/>
      <c r="G125" s="17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94" t="s">
        <v>140</v>
      </c>
      <c r="C127" s="195"/>
      <c r="D127" s="12" t="s">
        <v>112</v>
      </c>
      <c r="E127" s="21"/>
      <c r="F127" s="20"/>
      <c r="G127" s="20"/>
    </row>
    <row r="128" spans="1:8" ht="29.1" customHeight="1" x14ac:dyDescent="0.2">
      <c r="A128" s="18"/>
      <c r="B128" s="189" t="s">
        <v>141</v>
      </c>
      <c r="C128" s="190"/>
      <c r="D128" s="2" t="s">
        <v>142</v>
      </c>
      <c r="E128" s="21"/>
      <c r="F128" s="20"/>
      <c r="G128" s="20"/>
    </row>
    <row r="129" spans="1:17" ht="17.100000000000001" customHeight="1" x14ac:dyDescent="0.2">
      <c r="A129" s="18"/>
      <c r="B129" s="189" t="s">
        <v>143</v>
      </c>
      <c r="C129" s="190"/>
      <c r="D129" s="2" t="s">
        <v>142</v>
      </c>
      <c r="E129" s="21"/>
      <c r="F129" s="20"/>
      <c r="G129" s="20"/>
    </row>
    <row r="130" spans="1:17" ht="17.100000000000001" customHeight="1" x14ac:dyDescent="0.2">
      <c r="A130" s="18"/>
      <c r="B130" s="189" t="s">
        <v>144</v>
      </c>
      <c r="C130" s="190"/>
      <c r="D130" s="12" t="s">
        <v>112</v>
      </c>
      <c r="E130" s="21"/>
      <c r="F130" s="20"/>
      <c r="G130" s="20"/>
    </row>
    <row r="131" spans="1:17" ht="24" customHeight="1" x14ac:dyDescent="0.2">
      <c r="A131" s="22"/>
      <c r="B131" s="23" t="s">
        <v>112</v>
      </c>
      <c r="C131" s="23" t="s">
        <v>145</v>
      </c>
      <c r="D131" s="23" t="s">
        <v>146</v>
      </c>
      <c r="E131" s="22"/>
      <c r="F131" s="22"/>
      <c r="G131" s="22"/>
    </row>
    <row r="132" spans="1:17" ht="18" customHeight="1" x14ac:dyDescent="0.2">
      <c r="A132" s="22"/>
      <c r="B132" s="23" t="s">
        <v>147</v>
      </c>
      <c r="C132" s="23" t="s">
        <v>148</v>
      </c>
      <c r="D132" s="23" t="s">
        <v>149</v>
      </c>
      <c r="E132" s="22"/>
      <c r="F132" s="22"/>
      <c r="G132" s="22"/>
    </row>
    <row r="133" spans="1:17" ht="17.100000000000001" customHeight="1" x14ac:dyDescent="0.2">
      <c r="A133" s="22"/>
      <c r="B133" s="4" t="s">
        <v>150</v>
      </c>
      <c r="C133" s="24">
        <v>16.5669</v>
      </c>
      <c r="D133" s="24">
        <v>17.356100000000001</v>
      </c>
      <c r="E133" s="22"/>
      <c r="F133" s="19"/>
      <c r="G133" s="25"/>
    </row>
    <row r="134" spans="1:17" ht="17.100000000000001" customHeight="1" x14ac:dyDescent="0.2">
      <c r="A134" s="22"/>
      <c r="B134" s="4" t="s">
        <v>1092</v>
      </c>
      <c r="C134" s="24">
        <v>15.7576</v>
      </c>
      <c r="D134" s="24">
        <v>16.508199999999999</v>
      </c>
      <c r="E134" s="22"/>
      <c r="F134" s="19"/>
      <c r="G134" s="25"/>
    </row>
    <row r="135" spans="1:17" ht="17.100000000000001" customHeight="1" x14ac:dyDescent="0.2">
      <c r="A135" s="22"/>
      <c r="B135" s="4" t="s">
        <v>151</v>
      </c>
      <c r="C135" s="24">
        <v>16.218800000000002</v>
      </c>
      <c r="D135" s="24">
        <v>16.9832</v>
      </c>
      <c r="E135" s="22"/>
      <c r="F135" s="19"/>
      <c r="G135" s="25"/>
    </row>
    <row r="136" spans="1:17" ht="17.100000000000001" customHeight="1" x14ac:dyDescent="0.2">
      <c r="A136" s="22"/>
      <c r="B136" s="4" t="s">
        <v>1093</v>
      </c>
      <c r="C136" s="24">
        <v>15.6035</v>
      </c>
      <c r="D136" s="24">
        <v>16.338899999999999</v>
      </c>
      <c r="E136" s="22"/>
      <c r="F136" s="19"/>
      <c r="G136" s="25"/>
    </row>
    <row r="137" spans="1:17" ht="14.1" customHeight="1" x14ac:dyDescent="0.2">
      <c r="A137" s="22"/>
      <c r="B137" s="22"/>
      <c r="C137" s="22"/>
      <c r="D137" s="22"/>
      <c r="E137" s="22"/>
      <c r="F137" s="22"/>
      <c r="G137" s="22"/>
    </row>
    <row r="138" spans="1:17" ht="17.100000000000001" customHeight="1" x14ac:dyDescent="0.2">
      <c r="A138" s="22"/>
      <c r="B138" s="189" t="s">
        <v>1094</v>
      </c>
      <c r="C138" s="190"/>
      <c r="D138" s="2" t="s">
        <v>142</v>
      </c>
      <c r="E138" s="22"/>
      <c r="F138" s="22"/>
      <c r="G138" s="22"/>
    </row>
    <row r="139" spans="1:17" ht="18" customHeight="1" x14ac:dyDescent="0.2">
      <c r="A139" s="22"/>
      <c r="B139" s="26"/>
      <c r="C139" s="26"/>
      <c r="D139" s="27"/>
      <c r="E139" s="22"/>
      <c r="F139" s="22"/>
      <c r="G139" s="22"/>
    </row>
    <row r="140" spans="1:17" s="101" customFormat="1" x14ac:dyDescent="0.2">
      <c r="B140" s="193" t="s">
        <v>1102</v>
      </c>
      <c r="C140" s="193"/>
      <c r="D140" s="193"/>
      <c r="E140" s="193"/>
      <c r="F140" s="193"/>
      <c r="I140"/>
      <c r="P140" s="41"/>
      <c r="Q140" s="41"/>
    </row>
    <row r="141" spans="1:17" ht="14.1" customHeight="1" x14ac:dyDescent="0.2">
      <c r="A141" s="22"/>
      <c r="B141" s="19"/>
      <c r="C141" s="19"/>
      <c r="D141" s="22"/>
      <c r="E141" s="22"/>
      <c r="F141" s="22"/>
      <c r="G141" s="22"/>
    </row>
    <row r="142" spans="1:17" ht="29.1" customHeight="1" x14ac:dyDescent="0.2">
      <c r="A142" s="22"/>
      <c r="B142" s="189" t="s">
        <v>152</v>
      </c>
      <c r="C142" s="190"/>
      <c r="D142" s="2" t="s">
        <v>142</v>
      </c>
      <c r="E142" s="22"/>
      <c r="F142" s="22"/>
      <c r="G142" s="22"/>
    </row>
    <row r="143" spans="1:17" ht="29.1" customHeight="1" x14ac:dyDescent="0.2">
      <c r="A143" s="22"/>
      <c r="B143" s="189" t="s">
        <v>153</v>
      </c>
      <c r="C143" s="190"/>
      <c r="D143" s="2" t="s">
        <v>142</v>
      </c>
      <c r="E143" s="22"/>
      <c r="F143" s="22"/>
      <c r="G143" s="22"/>
    </row>
    <row r="144" spans="1:17" ht="17.100000000000001" customHeight="1" x14ac:dyDescent="0.2">
      <c r="A144" s="22"/>
      <c r="B144" s="189" t="s">
        <v>154</v>
      </c>
      <c r="C144" s="190"/>
      <c r="D144" s="28">
        <v>0.28172903145855094</v>
      </c>
      <c r="E144" s="22"/>
      <c r="F144" s="19"/>
      <c r="G144" s="25"/>
    </row>
    <row r="145" spans="1:7" ht="17.100000000000001" customHeight="1" x14ac:dyDescent="0.2">
      <c r="A145" s="22"/>
      <c r="B145" s="189" t="s">
        <v>155</v>
      </c>
      <c r="C145" s="190"/>
      <c r="D145" s="2" t="s">
        <v>142</v>
      </c>
      <c r="E145" s="22"/>
      <c r="F145" s="22"/>
      <c r="G145" s="22"/>
    </row>
  </sheetData>
  <mergeCells count="14">
    <mergeCell ref="B145:C145"/>
    <mergeCell ref="B128:C128"/>
    <mergeCell ref="B129:C129"/>
    <mergeCell ref="B130:C130"/>
    <mergeCell ref="B138:C138"/>
    <mergeCell ref="B142:C142"/>
    <mergeCell ref="B143:C143"/>
    <mergeCell ref="B144:C144"/>
    <mergeCell ref="A1:H1"/>
    <mergeCell ref="A2:H2"/>
    <mergeCell ref="A3:H3"/>
    <mergeCell ref="B140:F140"/>
    <mergeCell ref="J2:N2"/>
    <mergeCell ref="B127:C12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418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13</v>
      </c>
      <c r="C7" s="4" t="s">
        <v>14</v>
      </c>
      <c r="D7" s="4" t="s">
        <v>15</v>
      </c>
      <c r="E7" s="5">
        <v>26043</v>
      </c>
      <c r="F7" s="6">
        <v>686.16794249999998</v>
      </c>
      <c r="G7" s="7">
        <v>8.0993177E-2</v>
      </c>
      <c r="H7" s="39"/>
    </row>
    <row r="8" spans="1:14" x14ac:dyDescent="0.2">
      <c r="A8" s="3">
        <v>2</v>
      </c>
      <c r="B8" s="4" t="s">
        <v>386</v>
      </c>
      <c r="C8" s="4" t="s">
        <v>387</v>
      </c>
      <c r="D8" s="4" t="s">
        <v>1143</v>
      </c>
      <c r="E8" s="5">
        <v>31453</v>
      </c>
      <c r="F8" s="6">
        <v>599.76153050000005</v>
      </c>
      <c r="G8" s="7">
        <v>7.0794026999999995E-2</v>
      </c>
      <c r="H8" s="39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80632</v>
      </c>
      <c r="F9" s="6">
        <v>588.85549600000002</v>
      </c>
      <c r="G9" s="7">
        <v>6.9506711999999998E-2</v>
      </c>
      <c r="H9" s="39"/>
    </row>
    <row r="10" spans="1:14" x14ac:dyDescent="0.2">
      <c r="A10" s="3">
        <v>4</v>
      </c>
      <c r="B10" s="4" t="s">
        <v>388</v>
      </c>
      <c r="C10" s="4" t="s">
        <v>389</v>
      </c>
      <c r="D10" s="4" t="s">
        <v>18</v>
      </c>
      <c r="E10" s="5">
        <v>32012</v>
      </c>
      <c r="F10" s="6">
        <v>470.68844200000001</v>
      </c>
      <c r="G10" s="7">
        <v>5.5558631999999997E-2</v>
      </c>
      <c r="H10" s="39"/>
    </row>
    <row r="11" spans="1:14" x14ac:dyDescent="0.2">
      <c r="A11" s="3">
        <v>5</v>
      </c>
      <c r="B11" s="4" t="s">
        <v>49</v>
      </c>
      <c r="C11" s="4" t="s">
        <v>50</v>
      </c>
      <c r="D11" s="4" t="s">
        <v>18</v>
      </c>
      <c r="E11" s="5">
        <v>64105</v>
      </c>
      <c r="F11" s="6">
        <v>316.39022749999998</v>
      </c>
      <c r="G11" s="7">
        <v>3.7345740000000002E-2</v>
      </c>
      <c r="H11" s="39"/>
    </row>
    <row r="12" spans="1:14" ht="25.5" x14ac:dyDescent="0.2">
      <c r="A12" s="3">
        <v>6</v>
      </c>
      <c r="B12" s="4" t="s">
        <v>390</v>
      </c>
      <c r="C12" s="4" t="s">
        <v>391</v>
      </c>
      <c r="D12" s="4" t="s">
        <v>82</v>
      </c>
      <c r="E12" s="5">
        <v>12776</v>
      </c>
      <c r="F12" s="6">
        <v>305.39750400000003</v>
      </c>
      <c r="G12" s="7">
        <v>3.6048192999999999E-2</v>
      </c>
      <c r="H12" s="39"/>
    </row>
    <row r="13" spans="1:14" x14ac:dyDescent="0.2">
      <c r="A13" s="3">
        <v>7</v>
      </c>
      <c r="B13" s="4" t="s">
        <v>300</v>
      </c>
      <c r="C13" s="4" t="s">
        <v>301</v>
      </c>
      <c r="D13" s="4" t="s">
        <v>18</v>
      </c>
      <c r="E13" s="5">
        <v>38735</v>
      </c>
      <c r="F13" s="6">
        <v>294.83145250000001</v>
      </c>
      <c r="G13" s="7">
        <v>3.4801008000000001E-2</v>
      </c>
      <c r="H13" s="39"/>
    </row>
    <row r="14" spans="1:14" x14ac:dyDescent="0.2">
      <c r="A14" s="3">
        <v>8</v>
      </c>
      <c r="B14" s="4" t="s">
        <v>317</v>
      </c>
      <c r="C14" s="4" t="s">
        <v>318</v>
      </c>
      <c r="D14" s="4" t="s">
        <v>1144</v>
      </c>
      <c r="E14" s="5">
        <v>27323</v>
      </c>
      <c r="F14" s="6">
        <v>257.19139899999999</v>
      </c>
      <c r="G14" s="7">
        <v>3.0358091E-2</v>
      </c>
      <c r="H14" s="39"/>
    </row>
    <row r="15" spans="1:14" ht="25.5" x14ac:dyDescent="0.2">
      <c r="A15" s="3">
        <v>9</v>
      </c>
      <c r="B15" s="4" t="s">
        <v>237</v>
      </c>
      <c r="C15" s="4" t="s">
        <v>238</v>
      </c>
      <c r="D15" s="4" t="s">
        <v>1153</v>
      </c>
      <c r="E15" s="5">
        <v>6166</v>
      </c>
      <c r="F15" s="6">
        <v>251.70845199999999</v>
      </c>
      <c r="G15" s="7">
        <v>2.9710899999999998E-2</v>
      </c>
      <c r="H15" s="39"/>
      <c r="J15" s="176" t="s">
        <v>1178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60</v>
      </c>
      <c r="E16" s="5">
        <v>13567</v>
      </c>
      <c r="F16" s="6">
        <v>239.81707549999999</v>
      </c>
      <c r="G16" s="7">
        <v>2.8307278000000002E-2</v>
      </c>
      <c r="H16" s="39"/>
    </row>
    <row r="17" spans="1:8" x14ac:dyDescent="0.2">
      <c r="A17" s="3">
        <v>11</v>
      </c>
      <c r="B17" s="4" t="s">
        <v>30</v>
      </c>
      <c r="C17" s="4" t="s">
        <v>31</v>
      </c>
      <c r="D17" s="4" t="s">
        <v>29</v>
      </c>
      <c r="E17" s="5">
        <v>11834</v>
      </c>
      <c r="F17" s="6">
        <v>213.00608299999999</v>
      </c>
      <c r="G17" s="7">
        <v>2.5142589999999999E-2</v>
      </c>
      <c r="H17" s="39"/>
    </row>
    <row r="18" spans="1:8" x14ac:dyDescent="0.2">
      <c r="A18" s="3">
        <v>12</v>
      </c>
      <c r="B18" s="4" t="s">
        <v>19</v>
      </c>
      <c r="C18" s="4" t="s">
        <v>20</v>
      </c>
      <c r="D18" s="4" t="s">
        <v>21</v>
      </c>
      <c r="E18" s="5">
        <v>26720</v>
      </c>
      <c r="F18" s="6">
        <v>201.72264000000001</v>
      </c>
      <c r="G18" s="7">
        <v>2.3810727E-2</v>
      </c>
      <c r="H18" s="39"/>
    </row>
    <row r="19" spans="1:8" x14ac:dyDescent="0.2">
      <c r="A19" s="3">
        <v>13</v>
      </c>
      <c r="B19" s="4" t="s">
        <v>392</v>
      </c>
      <c r="C19" s="4" t="s">
        <v>393</v>
      </c>
      <c r="D19" s="4" t="s">
        <v>1143</v>
      </c>
      <c r="E19" s="5">
        <v>5191</v>
      </c>
      <c r="F19" s="6">
        <v>194.1408045</v>
      </c>
      <c r="G19" s="7">
        <v>2.2915789999999998E-2</v>
      </c>
      <c r="H19" s="39"/>
    </row>
    <row r="20" spans="1:8" x14ac:dyDescent="0.2">
      <c r="A20" s="3">
        <v>14</v>
      </c>
      <c r="B20" s="4" t="s">
        <v>220</v>
      </c>
      <c r="C20" s="4" t="s">
        <v>221</v>
      </c>
      <c r="D20" s="4" t="s">
        <v>1149</v>
      </c>
      <c r="E20" s="5">
        <v>31260</v>
      </c>
      <c r="F20" s="6">
        <v>165.61547999999999</v>
      </c>
      <c r="G20" s="7">
        <v>1.9548748000000001E-2</v>
      </c>
      <c r="H20" s="39"/>
    </row>
    <row r="21" spans="1:8" x14ac:dyDescent="0.2">
      <c r="A21" s="3">
        <v>15</v>
      </c>
      <c r="B21" s="4" t="s">
        <v>394</v>
      </c>
      <c r="C21" s="4" t="s">
        <v>395</v>
      </c>
      <c r="D21" s="4" t="s">
        <v>1142</v>
      </c>
      <c r="E21" s="5">
        <v>14560</v>
      </c>
      <c r="F21" s="6">
        <v>163.28312</v>
      </c>
      <c r="G21" s="7">
        <v>1.9273443000000001E-2</v>
      </c>
      <c r="H21" s="39"/>
    </row>
    <row r="22" spans="1:8" x14ac:dyDescent="0.2">
      <c r="A22" s="3">
        <v>16</v>
      </c>
      <c r="B22" s="4" t="s">
        <v>247</v>
      </c>
      <c r="C22" s="4" t="s">
        <v>248</v>
      </c>
      <c r="D22" s="4" t="s">
        <v>1154</v>
      </c>
      <c r="E22" s="5">
        <v>9500</v>
      </c>
      <c r="F22" s="6">
        <v>154.34649999999999</v>
      </c>
      <c r="G22" s="7">
        <v>1.8218590999999999E-2</v>
      </c>
      <c r="H22" s="39"/>
    </row>
    <row r="23" spans="1:8" ht="25.5" x14ac:dyDescent="0.2">
      <c r="A23" s="3">
        <v>17</v>
      </c>
      <c r="B23" s="4" t="s">
        <v>396</v>
      </c>
      <c r="C23" s="4" t="s">
        <v>397</v>
      </c>
      <c r="D23" s="4" t="s">
        <v>1138</v>
      </c>
      <c r="E23" s="5">
        <v>16801</v>
      </c>
      <c r="F23" s="6">
        <v>153.68714750000001</v>
      </c>
      <c r="G23" s="7">
        <v>1.8140763000000001E-2</v>
      </c>
      <c r="H23" s="39"/>
    </row>
    <row r="24" spans="1:8" ht="25.5" x14ac:dyDescent="0.2">
      <c r="A24" s="3">
        <v>18</v>
      </c>
      <c r="B24" s="4" t="s">
        <v>22</v>
      </c>
      <c r="C24" s="4" t="s">
        <v>23</v>
      </c>
      <c r="D24" s="4" t="s">
        <v>1150</v>
      </c>
      <c r="E24" s="5">
        <v>2097</v>
      </c>
      <c r="F24" s="6">
        <v>138.450231</v>
      </c>
      <c r="G24" s="7">
        <v>1.6342243999999999E-2</v>
      </c>
      <c r="H24" s="39"/>
    </row>
    <row r="25" spans="1:8" ht="25.5" x14ac:dyDescent="0.2">
      <c r="A25" s="3">
        <v>19</v>
      </c>
      <c r="B25" s="4" t="s">
        <v>321</v>
      </c>
      <c r="C25" s="4" t="s">
        <v>322</v>
      </c>
      <c r="D25" s="4" t="s">
        <v>71</v>
      </c>
      <c r="E25" s="5">
        <v>37015</v>
      </c>
      <c r="F25" s="6">
        <v>138.43610000000001</v>
      </c>
      <c r="G25" s="7">
        <v>1.6340575999999999E-2</v>
      </c>
      <c r="H25" s="39"/>
    </row>
    <row r="26" spans="1:8" ht="25.5" x14ac:dyDescent="0.2">
      <c r="A26" s="3">
        <v>20</v>
      </c>
      <c r="B26" s="4" t="s">
        <v>289</v>
      </c>
      <c r="C26" s="4" t="s">
        <v>290</v>
      </c>
      <c r="D26" s="4" t="s">
        <v>1153</v>
      </c>
      <c r="E26" s="5">
        <v>20479</v>
      </c>
      <c r="F26" s="6">
        <v>136.21606850000001</v>
      </c>
      <c r="G26" s="7">
        <v>1.6078530000000001E-2</v>
      </c>
      <c r="H26" s="39"/>
    </row>
    <row r="27" spans="1:8" x14ac:dyDescent="0.2">
      <c r="A27" s="3">
        <v>21</v>
      </c>
      <c r="B27" s="4" t="s">
        <v>398</v>
      </c>
      <c r="C27" s="4" t="s">
        <v>399</v>
      </c>
      <c r="D27" s="4" t="s">
        <v>1143</v>
      </c>
      <c r="E27" s="5">
        <v>23000</v>
      </c>
      <c r="F27" s="6">
        <v>136.137</v>
      </c>
      <c r="G27" s="7">
        <v>1.6069197E-2</v>
      </c>
      <c r="H27" s="39"/>
    </row>
    <row r="28" spans="1:8" ht="25.5" x14ac:dyDescent="0.2">
      <c r="A28" s="3">
        <v>22</v>
      </c>
      <c r="B28" s="4" t="s">
        <v>188</v>
      </c>
      <c r="C28" s="4" t="s">
        <v>189</v>
      </c>
      <c r="D28" s="4" t="s">
        <v>1158</v>
      </c>
      <c r="E28" s="5">
        <v>19626</v>
      </c>
      <c r="F28" s="6">
        <v>129.34515300000001</v>
      </c>
      <c r="G28" s="7">
        <v>1.5267508000000001E-2</v>
      </c>
      <c r="H28" s="39"/>
    </row>
    <row r="29" spans="1:8" x14ac:dyDescent="0.2">
      <c r="A29" s="3">
        <v>23</v>
      </c>
      <c r="B29" s="4" t="s">
        <v>343</v>
      </c>
      <c r="C29" s="4" t="s">
        <v>344</v>
      </c>
      <c r="D29" s="4" t="s">
        <v>1026</v>
      </c>
      <c r="E29" s="5">
        <v>4786</v>
      </c>
      <c r="F29" s="6">
        <v>126.18289</v>
      </c>
      <c r="G29" s="7">
        <v>1.4894245E-2</v>
      </c>
      <c r="H29" s="39"/>
    </row>
    <row r="30" spans="1:8" x14ac:dyDescent="0.2">
      <c r="A30" s="3">
        <v>24</v>
      </c>
      <c r="B30" s="4" t="s">
        <v>400</v>
      </c>
      <c r="C30" s="4" t="s">
        <v>401</v>
      </c>
      <c r="D30" s="4" t="s">
        <v>1143</v>
      </c>
      <c r="E30" s="5">
        <v>10771</v>
      </c>
      <c r="F30" s="6">
        <v>125.34751249999999</v>
      </c>
      <c r="G30" s="7">
        <v>1.4795638999999999E-2</v>
      </c>
      <c r="H30" s="39"/>
    </row>
    <row r="31" spans="1:8" x14ac:dyDescent="0.2">
      <c r="A31" s="3">
        <v>25</v>
      </c>
      <c r="B31" s="4" t="s">
        <v>402</v>
      </c>
      <c r="C31" s="4" t="s">
        <v>403</v>
      </c>
      <c r="D31" s="4" t="s">
        <v>1148</v>
      </c>
      <c r="E31" s="5">
        <v>5513</v>
      </c>
      <c r="F31" s="6">
        <v>112.9420745</v>
      </c>
      <c r="G31" s="7">
        <v>1.3331338999999999E-2</v>
      </c>
      <c r="H31" s="39"/>
    </row>
    <row r="32" spans="1:8" x14ac:dyDescent="0.2">
      <c r="A32" s="3">
        <v>26</v>
      </c>
      <c r="B32" s="4" t="s">
        <v>302</v>
      </c>
      <c r="C32" s="4" t="s">
        <v>303</v>
      </c>
      <c r="D32" s="4" t="s">
        <v>1155</v>
      </c>
      <c r="E32" s="5">
        <v>260</v>
      </c>
      <c r="F32" s="6">
        <v>112.29231</v>
      </c>
      <c r="G32" s="7">
        <v>1.3254643E-2</v>
      </c>
      <c r="H32" s="39"/>
    </row>
    <row r="33" spans="1:8" x14ac:dyDescent="0.2">
      <c r="A33" s="3">
        <v>27</v>
      </c>
      <c r="B33" s="4" t="s">
        <v>309</v>
      </c>
      <c r="C33" s="4" t="s">
        <v>310</v>
      </c>
      <c r="D33" s="4" t="s">
        <v>91</v>
      </c>
      <c r="E33" s="5">
        <v>20478</v>
      </c>
      <c r="F33" s="6">
        <v>109.117023</v>
      </c>
      <c r="G33" s="7">
        <v>1.2879842000000001E-2</v>
      </c>
      <c r="H33" s="39"/>
    </row>
    <row r="34" spans="1:8" x14ac:dyDescent="0.2">
      <c r="A34" s="3">
        <v>28</v>
      </c>
      <c r="B34" s="4" t="s">
        <v>304</v>
      </c>
      <c r="C34" s="4" t="s">
        <v>305</v>
      </c>
      <c r="D34" s="4" t="s">
        <v>18</v>
      </c>
      <c r="E34" s="5">
        <v>96000</v>
      </c>
      <c r="F34" s="6">
        <v>107.136</v>
      </c>
      <c r="G34" s="7">
        <v>1.2646008E-2</v>
      </c>
      <c r="H34" s="39"/>
    </row>
    <row r="35" spans="1:8" x14ac:dyDescent="0.2">
      <c r="A35" s="3">
        <v>29</v>
      </c>
      <c r="B35" s="4" t="s">
        <v>170</v>
      </c>
      <c r="C35" s="4" t="s">
        <v>171</v>
      </c>
      <c r="D35" s="4" t="s">
        <v>1027</v>
      </c>
      <c r="E35" s="5">
        <v>6693</v>
      </c>
      <c r="F35" s="6">
        <v>102.85467749999999</v>
      </c>
      <c r="G35" s="7">
        <v>1.2140653E-2</v>
      </c>
      <c r="H35" s="39"/>
    </row>
    <row r="36" spans="1:8" x14ac:dyDescent="0.2">
      <c r="A36" s="3">
        <v>30</v>
      </c>
      <c r="B36" s="4" t="s">
        <v>306</v>
      </c>
      <c r="C36" s="4" t="s">
        <v>307</v>
      </c>
      <c r="D36" s="4" t="s">
        <v>308</v>
      </c>
      <c r="E36" s="5">
        <v>8029</v>
      </c>
      <c r="F36" s="6">
        <v>102.40989500000001</v>
      </c>
      <c r="G36" s="7">
        <v>1.2088153000000001E-2</v>
      </c>
      <c r="H36" s="39"/>
    </row>
    <row r="37" spans="1:8" x14ac:dyDescent="0.2">
      <c r="A37" s="3">
        <v>31</v>
      </c>
      <c r="B37" s="4" t="s">
        <v>315</v>
      </c>
      <c r="C37" s="4" t="s">
        <v>316</v>
      </c>
      <c r="D37" s="4" t="s">
        <v>29</v>
      </c>
      <c r="E37" s="5">
        <v>9085</v>
      </c>
      <c r="F37" s="6">
        <v>101.870105</v>
      </c>
      <c r="G37" s="7">
        <v>1.2024437000000001E-2</v>
      </c>
      <c r="H37" s="39"/>
    </row>
    <row r="38" spans="1:8" x14ac:dyDescent="0.2">
      <c r="A38" s="3">
        <v>32</v>
      </c>
      <c r="B38" s="4" t="s">
        <v>404</v>
      </c>
      <c r="C38" s="4" t="s">
        <v>405</v>
      </c>
      <c r="D38" s="4" t="s">
        <v>1143</v>
      </c>
      <c r="E38" s="5">
        <v>6698</v>
      </c>
      <c r="F38" s="6">
        <v>100.433161</v>
      </c>
      <c r="G38" s="7">
        <v>1.1854824999999999E-2</v>
      </c>
      <c r="H38" s="39"/>
    </row>
    <row r="39" spans="1:8" x14ac:dyDescent="0.2">
      <c r="A39" s="3">
        <v>33</v>
      </c>
      <c r="B39" s="4" t="s">
        <v>61</v>
      </c>
      <c r="C39" s="4" t="s">
        <v>62</v>
      </c>
      <c r="D39" s="4" t="s">
        <v>1140</v>
      </c>
      <c r="E39" s="5">
        <v>14383</v>
      </c>
      <c r="F39" s="6">
        <v>96.675334500000005</v>
      </c>
      <c r="G39" s="7">
        <v>1.1411262E-2</v>
      </c>
      <c r="H39" s="39"/>
    </row>
    <row r="40" spans="1:8" x14ac:dyDescent="0.2">
      <c r="A40" s="3">
        <v>34</v>
      </c>
      <c r="B40" s="4" t="s">
        <v>345</v>
      </c>
      <c r="C40" s="4" t="s">
        <v>346</v>
      </c>
      <c r="D40" s="4" t="s">
        <v>1027</v>
      </c>
      <c r="E40" s="5">
        <v>15345</v>
      </c>
      <c r="F40" s="6">
        <v>95.330812499999993</v>
      </c>
      <c r="G40" s="7">
        <v>1.1252559000000001E-2</v>
      </c>
      <c r="H40" s="39"/>
    </row>
    <row r="41" spans="1:8" x14ac:dyDescent="0.2">
      <c r="A41" s="3">
        <v>35</v>
      </c>
      <c r="B41" s="4" t="s">
        <v>235</v>
      </c>
      <c r="C41" s="4" t="s">
        <v>236</v>
      </c>
      <c r="D41" s="4" t="s">
        <v>1160</v>
      </c>
      <c r="E41" s="5">
        <v>49416</v>
      </c>
      <c r="F41" s="6">
        <v>93.618611999999999</v>
      </c>
      <c r="G41" s="7">
        <v>1.1050456E-2</v>
      </c>
      <c r="H41" s="39"/>
    </row>
    <row r="42" spans="1:8" x14ac:dyDescent="0.2">
      <c r="A42" s="3">
        <v>36</v>
      </c>
      <c r="B42" s="4" t="s">
        <v>94</v>
      </c>
      <c r="C42" s="4" t="s">
        <v>95</v>
      </c>
      <c r="D42" s="4" t="s">
        <v>1154</v>
      </c>
      <c r="E42" s="5">
        <v>4780</v>
      </c>
      <c r="F42" s="6">
        <v>92.827600000000004</v>
      </c>
      <c r="G42" s="7">
        <v>1.0957088E-2</v>
      </c>
      <c r="H42" s="39"/>
    </row>
    <row r="43" spans="1:8" x14ac:dyDescent="0.2">
      <c r="A43" s="3">
        <v>37</v>
      </c>
      <c r="B43" s="4" t="s">
        <v>406</v>
      </c>
      <c r="C43" s="4" t="s">
        <v>407</v>
      </c>
      <c r="D43" s="4" t="s">
        <v>1146</v>
      </c>
      <c r="E43" s="5">
        <v>10176</v>
      </c>
      <c r="F43" s="6">
        <v>82.074528000000001</v>
      </c>
      <c r="G43" s="7">
        <v>9.6878280000000008E-3</v>
      </c>
      <c r="H43" s="39"/>
    </row>
    <row r="44" spans="1:8" ht="25.5" x14ac:dyDescent="0.2">
      <c r="A44" s="3">
        <v>38</v>
      </c>
      <c r="B44" s="4" t="s">
        <v>335</v>
      </c>
      <c r="C44" s="4" t="s">
        <v>336</v>
      </c>
      <c r="D44" s="4" t="s">
        <v>1138</v>
      </c>
      <c r="E44" s="5">
        <v>2422</v>
      </c>
      <c r="F44" s="6">
        <v>79.263582999999997</v>
      </c>
      <c r="G44" s="7">
        <v>9.3560320000000002E-3</v>
      </c>
      <c r="H44" s="39"/>
    </row>
    <row r="45" spans="1:8" x14ac:dyDescent="0.2">
      <c r="A45" s="3">
        <v>39</v>
      </c>
      <c r="B45" s="4" t="s">
        <v>40</v>
      </c>
      <c r="C45" s="4" t="s">
        <v>41</v>
      </c>
      <c r="D45" s="4" t="s">
        <v>15</v>
      </c>
      <c r="E45" s="5">
        <v>21882</v>
      </c>
      <c r="F45" s="6">
        <v>78.632966999999994</v>
      </c>
      <c r="G45" s="7">
        <v>9.2815959999999996E-3</v>
      </c>
      <c r="H45" s="39"/>
    </row>
    <row r="46" spans="1:8" x14ac:dyDescent="0.2">
      <c r="A46" s="3">
        <v>40</v>
      </c>
      <c r="B46" s="4" t="s">
        <v>408</v>
      </c>
      <c r="C46" s="4" t="s">
        <v>409</v>
      </c>
      <c r="D46" s="4" t="s">
        <v>1148</v>
      </c>
      <c r="E46" s="5">
        <v>31300</v>
      </c>
      <c r="F46" s="6">
        <v>78.453450000000004</v>
      </c>
      <c r="G46" s="7">
        <v>9.260407E-3</v>
      </c>
      <c r="H46" s="39"/>
    </row>
    <row r="47" spans="1:8" ht="25.5" x14ac:dyDescent="0.2">
      <c r="A47" s="3">
        <v>41</v>
      </c>
      <c r="B47" s="4" t="s">
        <v>353</v>
      </c>
      <c r="C47" s="4" t="s">
        <v>354</v>
      </c>
      <c r="D47" s="4" t="s">
        <v>1152</v>
      </c>
      <c r="E47" s="5">
        <v>9400</v>
      </c>
      <c r="F47" s="6">
        <v>75.162400000000005</v>
      </c>
      <c r="G47" s="7">
        <v>8.8719409999999995E-3</v>
      </c>
      <c r="H47" s="39"/>
    </row>
    <row r="48" spans="1:8" x14ac:dyDescent="0.2">
      <c r="A48" s="3">
        <v>42</v>
      </c>
      <c r="B48" s="4" t="s">
        <v>410</v>
      </c>
      <c r="C48" s="4" t="s">
        <v>411</v>
      </c>
      <c r="D48" s="4" t="s">
        <v>412</v>
      </c>
      <c r="E48" s="5">
        <v>11575</v>
      </c>
      <c r="F48" s="6">
        <v>65.919624999999996</v>
      </c>
      <c r="G48" s="7">
        <v>7.7809519999999998E-3</v>
      </c>
      <c r="H48" s="39"/>
    </row>
    <row r="49" spans="1:8" x14ac:dyDescent="0.2">
      <c r="A49" s="3">
        <v>43</v>
      </c>
      <c r="B49" s="4" t="s">
        <v>413</v>
      </c>
      <c r="C49" s="4" t="s">
        <v>414</v>
      </c>
      <c r="D49" s="4" t="s">
        <v>91</v>
      </c>
      <c r="E49" s="5">
        <v>4575</v>
      </c>
      <c r="F49" s="6">
        <v>59.804400000000001</v>
      </c>
      <c r="G49" s="7">
        <v>7.0591289999999999E-3</v>
      </c>
      <c r="H49" s="39"/>
    </row>
    <row r="50" spans="1:8" x14ac:dyDescent="0.2">
      <c r="A50" s="3">
        <v>44</v>
      </c>
      <c r="B50" s="4" t="s">
        <v>254</v>
      </c>
      <c r="C50" s="4" t="s">
        <v>255</v>
      </c>
      <c r="D50" s="4" t="s">
        <v>15</v>
      </c>
      <c r="E50" s="5">
        <v>21000</v>
      </c>
      <c r="F50" s="6">
        <v>56.563499999999998</v>
      </c>
      <c r="G50" s="7">
        <v>6.6765840000000002E-3</v>
      </c>
      <c r="H50" s="39"/>
    </row>
    <row r="51" spans="1:8" ht="25.5" x14ac:dyDescent="0.2">
      <c r="A51" s="3">
        <v>45</v>
      </c>
      <c r="B51" s="4" t="s">
        <v>168</v>
      </c>
      <c r="C51" s="4" t="s">
        <v>169</v>
      </c>
      <c r="D51" s="4" t="s">
        <v>1137</v>
      </c>
      <c r="E51" s="5">
        <v>21287</v>
      </c>
      <c r="F51" s="6">
        <v>51.195234999999997</v>
      </c>
      <c r="G51" s="7">
        <v>6.0429300000000002E-3</v>
      </c>
      <c r="H51" s="39"/>
    </row>
    <row r="52" spans="1:8" x14ac:dyDescent="0.2">
      <c r="A52" s="3">
        <v>46</v>
      </c>
      <c r="B52" s="4" t="s">
        <v>415</v>
      </c>
      <c r="C52" s="4" t="s">
        <v>416</v>
      </c>
      <c r="D52" s="4" t="s">
        <v>18</v>
      </c>
      <c r="E52" s="5">
        <v>2804</v>
      </c>
      <c r="F52" s="6">
        <v>49.177954</v>
      </c>
      <c r="G52" s="7">
        <v>5.804816E-3</v>
      </c>
      <c r="H52" s="39"/>
    </row>
    <row r="53" spans="1:8" x14ac:dyDescent="0.2">
      <c r="A53" s="3">
        <v>47</v>
      </c>
      <c r="B53" s="4" t="s">
        <v>333</v>
      </c>
      <c r="C53" s="4" t="s">
        <v>334</v>
      </c>
      <c r="D53" s="4" t="s">
        <v>82</v>
      </c>
      <c r="E53" s="5">
        <v>4150</v>
      </c>
      <c r="F53" s="6">
        <v>47.096274999999999</v>
      </c>
      <c r="G53" s="7">
        <v>5.5591010000000003E-3</v>
      </c>
      <c r="H53" s="39"/>
    </row>
    <row r="54" spans="1:8" x14ac:dyDescent="0.2">
      <c r="A54" s="3">
        <v>48</v>
      </c>
      <c r="B54" s="4" t="s">
        <v>313</v>
      </c>
      <c r="C54" s="4" t="s">
        <v>314</v>
      </c>
      <c r="D54" s="4" t="s">
        <v>1142</v>
      </c>
      <c r="E54" s="5">
        <v>5927</v>
      </c>
      <c r="F54" s="6">
        <v>44.683653</v>
      </c>
      <c r="G54" s="7">
        <v>5.274323E-3</v>
      </c>
      <c r="H54" s="39"/>
    </row>
    <row r="55" spans="1:8" x14ac:dyDescent="0.2">
      <c r="A55" s="3">
        <v>49</v>
      </c>
      <c r="B55" s="4" t="s">
        <v>104</v>
      </c>
      <c r="C55" s="4" t="s">
        <v>105</v>
      </c>
      <c r="D55" s="4" t="s">
        <v>1157</v>
      </c>
      <c r="E55" s="5">
        <v>55523</v>
      </c>
      <c r="F55" s="6">
        <v>43.169132500000003</v>
      </c>
      <c r="G55" s="7">
        <v>5.0955530000000001E-3</v>
      </c>
      <c r="H55" s="39"/>
    </row>
    <row r="56" spans="1:8" x14ac:dyDescent="0.2">
      <c r="A56" s="3">
        <v>50</v>
      </c>
      <c r="B56" s="4" t="s">
        <v>355</v>
      </c>
      <c r="C56" s="4" t="s">
        <v>356</v>
      </c>
      <c r="D56" s="4" t="s">
        <v>71</v>
      </c>
      <c r="E56" s="5">
        <v>59307</v>
      </c>
      <c r="F56" s="6">
        <v>34.842862500000003</v>
      </c>
      <c r="G56" s="7">
        <v>4.1127459999999996E-3</v>
      </c>
      <c r="H56" s="39"/>
    </row>
    <row r="57" spans="1:8" ht="25.5" x14ac:dyDescent="0.2">
      <c r="A57" s="3">
        <v>51</v>
      </c>
      <c r="B57" s="4" t="s">
        <v>417</v>
      </c>
      <c r="C57" s="37" t="s">
        <v>1013</v>
      </c>
      <c r="D57" s="37" t="s">
        <v>21</v>
      </c>
      <c r="E57" s="5">
        <v>1908</v>
      </c>
      <c r="F57" s="6">
        <v>7.5547259999999996</v>
      </c>
      <c r="G57" s="7">
        <v>8.9173699999999998E-4</v>
      </c>
      <c r="H57" s="39"/>
    </row>
    <row r="58" spans="1:8" x14ac:dyDescent="0.2">
      <c r="A58" s="3">
        <v>52</v>
      </c>
      <c r="B58" s="4" t="s">
        <v>162</v>
      </c>
      <c r="C58" s="4" t="s">
        <v>163</v>
      </c>
      <c r="D58" s="4" t="s">
        <v>1026</v>
      </c>
      <c r="E58" s="5">
        <v>430</v>
      </c>
      <c r="F58" s="6">
        <v>6.3734599999999997</v>
      </c>
      <c r="G58" s="7">
        <v>7.5230399999999997E-4</v>
      </c>
      <c r="H58" s="39"/>
    </row>
    <row r="59" spans="1:8" x14ac:dyDescent="0.2">
      <c r="A59" s="1"/>
      <c r="B59" s="1"/>
      <c r="C59" s="2" t="s">
        <v>111</v>
      </c>
      <c r="D59" s="1"/>
      <c r="E59" s="1" t="s">
        <v>112</v>
      </c>
      <c r="F59" s="9">
        <v>8274.201607500001</v>
      </c>
      <c r="G59" s="10">
        <v>0.97666159300000022</v>
      </c>
      <c r="H59" s="39"/>
    </row>
    <row r="60" spans="1:8" x14ac:dyDescent="0.2">
      <c r="A60" s="1"/>
      <c r="B60" s="1"/>
      <c r="C60" s="11"/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113</v>
      </c>
      <c r="D61" s="1"/>
      <c r="E61" s="1"/>
      <c r="F61" s="1"/>
      <c r="G61" s="1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114</v>
      </c>
      <c r="D64" s="1"/>
      <c r="E64" s="1"/>
      <c r="F64" s="1"/>
      <c r="G64" s="1"/>
      <c r="H64" s="39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39"/>
    </row>
    <row r="66" spans="1:8" x14ac:dyDescent="0.2">
      <c r="A66" s="1"/>
      <c r="B66" s="1"/>
      <c r="C66" s="11"/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115</v>
      </c>
      <c r="D67" s="1"/>
      <c r="E67" s="1"/>
      <c r="F67" s="1"/>
      <c r="G67" s="1"/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9">
        <v>0</v>
      </c>
      <c r="G68" s="10">
        <v>0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116</v>
      </c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117</v>
      </c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118</v>
      </c>
      <c r="D76" s="1"/>
      <c r="E76" s="1"/>
      <c r="F76" s="9">
        <v>8274.2016074999992</v>
      </c>
      <c r="G76" s="10">
        <v>0.97666159299999999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119</v>
      </c>
      <c r="D78" s="1"/>
      <c r="E78" s="1"/>
      <c r="F78" s="12"/>
      <c r="G78" s="12"/>
      <c r="H78" s="39"/>
    </row>
    <row r="79" spans="1:8" ht="25.5" x14ac:dyDescent="0.2">
      <c r="A79" s="1"/>
      <c r="B79" s="1"/>
      <c r="C79" s="2" t="s">
        <v>10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120</v>
      </c>
      <c r="D82" s="1"/>
      <c r="E82" s="1"/>
      <c r="F82" s="1"/>
      <c r="G82" s="1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121</v>
      </c>
      <c r="D85" s="1"/>
      <c r="E85" s="1"/>
      <c r="F85" s="1"/>
      <c r="G85" s="1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122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123</v>
      </c>
      <c r="D91" s="1"/>
      <c r="E91" s="1"/>
      <c r="F91" s="9">
        <v>0</v>
      </c>
      <c r="G91" s="10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124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125</v>
      </c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126</v>
      </c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127</v>
      </c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128</v>
      </c>
      <c r="D103" s="1"/>
      <c r="E103" s="1"/>
      <c r="F103" s="12"/>
      <c r="G103" s="12"/>
      <c r="H103" s="39"/>
    </row>
    <row r="104" spans="1:8" x14ac:dyDescent="0.2">
      <c r="A104" s="3">
        <v>1</v>
      </c>
      <c r="B104" s="4"/>
      <c r="C104" s="4" t="s">
        <v>129</v>
      </c>
      <c r="D104" s="4"/>
      <c r="E104" s="8"/>
      <c r="F104" s="6">
        <v>152.10623910000001</v>
      </c>
      <c r="G104" s="7">
        <v>1.7954158000000001E-2</v>
      </c>
      <c r="H104" s="39">
        <v>3.6151121728634927</v>
      </c>
    </row>
    <row r="105" spans="1:8" x14ac:dyDescent="0.2">
      <c r="A105" s="3">
        <v>2</v>
      </c>
      <c r="B105" s="4"/>
      <c r="C105" s="4" t="s">
        <v>130</v>
      </c>
      <c r="D105" s="4"/>
      <c r="E105" s="8"/>
      <c r="F105" s="6">
        <v>53.781280199999998</v>
      </c>
      <c r="G105" s="7">
        <v>6.3481789999999998E-3</v>
      </c>
      <c r="H105" s="39">
        <v>3.7142625760646584</v>
      </c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9">
        <v>205.88751930000001</v>
      </c>
      <c r="G106" s="10">
        <v>2.4302337E-2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131</v>
      </c>
      <c r="D108" s="1"/>
      <c r="E108" s="1"/>
      <c r="F108" s="9">
        <v>205.88751930000001</v>
      </c>
      <c r="G108" s="10">
        <v>2.4302337E-2</v>
      </c>
      <c r="H108" s="39"/>
    </row>
    <row r="109" spans="1:8" x14ac:dyDescent="0.2">
      <c r="A109" s="1"/>
      <c r="B109" s="1"/>
      <c r="C109" s="12"/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132</v>
      </c>
      <c r="D110" s="1"/>
      <c r="E110" s="1"/>
      <c r="F110" s="1"/>
      <c r="G110" s="1"/>
      <c r="H110" s="39"/>
    </row>
    <row r="111" spans="1:8" x14ac:dyDescent="0.2">
      <c r="A111" s="1"/>
      <c r="B111" s="1"/>
      <c r="C111" s="2" t="s">
        <v>133</v>
      </c>
      <c r="D111" s="1"/>
      <c r="E111" s="1"/>
      <c r="F111" s="1"/>
      <c r="G111" s="1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8" x14ac:dyDescent="0.2">
      <c r="A113" s="1"/>
      <c r="B113" s="1"/>
      <c r="C113" s="11"/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134</v>
      </c>
      <c r="D114" s="1"/>
      <c r="E114" s="1"/>
      <c r="F114" s="1"/>
      <c r="G114" s="1"/>
      <c r="H114" s="39"/>
    </row>
    <row r="115" spans="1:8" x14ac:dyDescent="0.2">
      <c r="A115" s="1"/>
      <c r="B115" s="1"/>
      <c r="C115" s="2" t="s">
        <v>135</v>
      </c>
      <c r="D115" s="1"/>
      <c r="E115" s="1"/>
      <c r="F115" s="1"/>
      <c r="G115" s="1"/>
      <c r="H115" s="39"/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13">
        <v>0</v>
      </c>
      <c r="G116" s="14">
        <v>0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ht="25.5" x14ac:dyDescent="0.2">
      <c r="A119" s="1"/>
      <c r="B119" s="1"/>
      <c r="C119" s="2" t="s">
        <v>136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4"/>
      <c r="C122" s="4"/>
      <c r="D122" s="2"/>
      <c r="E122" s="1"/>
      <c r="F122" s="4"/>
      <c r="G122" s="8"/>
      <c r="H122" s="39"/>
    </row>
    <row r="123" spans="1:8" x14ac:dyDescent="0.2">
      <c r="A123" s="8"/>
      <c r="B123" s="4"/>
      <c r="C123" s="4" t="s">
        <v>137</v>
      </c>
      <c r="D123" s="4"/>
      <c r="E123" s="8"/>
      <c r="F123" s="6">
        <v>-8.1663449999999997</v>
      </c>
      <c r="G123" s="7">
        <v>-9.6393100000000001E-4</v>
      </c>
      <c r="H123" s="39"/>
    </row>
    <row r="124" spans="1:8" x14ac:dyDescent="0.2">
      <c r="A124" s="11"/>
      <c r="B124" s="11"/>
      <c r="C124" s="2" t="s">
        <v>138</v>
      </c>
      <c r="D124" s="15"/>
      <c r="E124" s="15"/>
      <c r="F124" s="9">
        <v>8471.9227817999999</v>
      </c>
      <c r="G124" s="10">
        <v>0.99999999900000003</v>
      </c>
      <c r="H124" s="39"/>
    </row>
    <row r="125" spans="1:8" ht="14.1" customHeight="1" x14ac:dyDescent="0.2">
      <c r="A125" s="16"/>
      <c r="B125" s="16"/>
      <c r="C125" s="16"/>
      <c r="D125" s="17"/>
      <c r="E125" s="17"/>
      <c r="F125" s="17"/>
      <c r="G125" s="17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94" t="s">
        <v>140</v>
      </c>
      <c r="C127" s="195"/>
      <c r="D127" s="12" t="s">
        <v>112</v>
      </c>
      <c r="E127" s="21"/>
      <c r="F127" s="20"/>
      <c r="G127" s="20"/>
    </row>
    <row r="128" spans="1:8" ht="29.1" customHeight="1" x14ac:dyDescent="0.2">
      <c r="A128" s="18"/>
      <c r="B128" s="189" t="s">
        <v>141</v>
      </c>
      <c r="C128" s="190"/>
      <c r="D128" s="2" t="s">
        <v>142</v>
      </c>
      <c r="E128" s="21"/>
      <c r="F128" s="20"/>
      <c r="G128" s="20"/>
    </row>
    <row r="129" spans="1:17" ht="17.100000000000001" customHeight="1" x14ac:dyDescent="0.2">
      <c r="A129" s="18"/>
      <c r="B129" s="189" t="s">
        <v>143</v>
      </c>
      <c r="C129" s="190"/>
      <c r="D129" s="2" t="s">
        <v>142</v>
      </c>
      <c r="E129" s="21"/>
      <c r="F129" s="20"/>
      <c r="G129" s="20"/>
    </row>
    <row r="130" spans="1:17" ht="17.100000000000001" customHeight="1" x14ac:dyDescent="0.2">
      <c r="A130" s="18"/>
      <c r="B130" s="189" t="s">
        <v>144</v>
      </c>
      <c r="C130" s="190"/>
      <c r="D130" s="12" t="s">
        <v>112</v>
      </c>
      <c r="E130" s="21"/>
      <c r="F130" s="20"/>
      <c r="G130" s="20"/>
    </row>
    <row r="131" spans="1:17" ht="24" customHeight="1" x14ac:dyDescent="0.2">
      <c r="A131" s="22"/>
      <c r="B131" s="23" t="s">
        <v>112</v>
      </c>
      <c r="C131" s="23" t="s">
        <v>145</v>
      </c>
      <c r="D131" s="23" t="s">
        <v>146</v>
      </c>
      <c r="E131" s="22"/>
      <c r="F131" s="22"/>
      <c r="G131" s="22"/>
    </row>
    <row r="132" spans="1:17" ht="18" customHeight="1" x14ac:dyDescent="0.2">
      <c r="A132" s="22"/>
      <c r="B132" s="23" t="s">
        <v>147</v>
      </c>
      <c r="C132" s="23" t="s">
        <v>148</v>
      </c>
      <c r="D132" s="23" t="s">
        <v>149</v>
      </c>
      <c r="E132" s="22"/>
      <c r="F132" s="22"/>
      <c r="G132" s="22"/>
    </row>
    <row r="133" spans="1:17" ht="17.100000000000001" customHeight="1" x14ac:dyDescent="0.2">
      <c r="A133" s="22"/>
      <c r="B133" s="4" t="s">
        <v>150</v>
      </c>
      <c r="C133" s="24">
        <v>16.566099999999999</v>
      </c>
      <c r="D133" s="24">
        <v>17.355499999999999</v>
      </c>
      <c r="E133" s="22"/>
      <c r="F133" s="19"/>
      <c r="G133" s="25"/>
    </row>
    <row r="134" spans="1:17" ht="17.100000000000001" customHeight="1" x14ac:dyDescent="0.2">
      <c r="A134" s="22"/>
      <c r="B134" s="4" t="s">
        <v>1092</v>
      </c>
      <c r="C134" s="24">
        <v>15.7667</v>
      </c>
      <c r="D134" s="24">
        <v>16.518000000000001</v>
      </c>
      <c r="E134" s="22"/>
      <c r="F134" s="19"/>
      <c r="G134" s="25"/>
    </row>
    <row r="135" spans="1:17" ht="17.100000000000001" customHeight="1" x14ac:dyDescent="0.2">
      <c r="A135" s="22"/>
      <c r="B135" s="4" t="s">
        <v>151</v>
      </c>
      <c r="C135" s="24">
        <v>16.207100000000001</v>
      </c>
      <c r="D135" s="24">
        <v>16.971299999999999</v>
      </c>
      <c r="E135" s="22"/>
      <c r="F135" s="19"/>
      <c r="G135" s="25"/>
    </row>
    <row r="136" spans="1:17" ht="17.100000000000001" customHeight="1" x14ac:dyDescent="0.2">
      <c r="A136" s="22"/>
      <c r="B136" s="4" t="s">
        <v>1093</v>
      </c>
      <c r="C136" s="24">
        <v>15.601800000000001</v>
      </c>
      <c r="D136" s="24">
        <v>16.337499999999999</v>
      </c>
      <c r="E136" s="22"/>
      <c r="F136" s="19"/>
      <c r="G136" s="25"/>
    </row>
    <row r="137" spans="1:17" ht="14.1" customHeight="1" x14ac:dyDescent="0.2">
      <c r="A137" s="22"/>
      <c r="B137" s="22"/>
      <c r="C137" s="22"/>
      <c r="D137" s="22"/>
      <c r="E137" s="22"/>
      <c r="F137" s="22"/>
      <c r="G137" s="22"/>
    </row>
    <row r="138" spans="1:17" ht="17.100000000000001" customHeight="1" x14ac:dyDescent="0.2">
      <c r="A138" s="22"/>
      <c r="B138" s="189" t="s">
        <v>1094</v>
      </c>
      <c r="C138" s="190"/>
      <c r="D138" s="2" t="s">
        <v>142</v>
      </c>
      <c r="E138" s="22"/>
      <c r="F138" s="22"/>
      <c r="G138" s="22"/>
    </row>
    <row r="139" spans="1:17" ht="18" customHeight="1" x14ac:dyDescent="0.2">
      <c r="A139" s="22"/>
      <c r="B139" s="26"/>
      <c r="C139" s="26"/>
      <c r="D139" s="27"/>
      <c r="E139" s="22"/>
      <c r="F139" s="22"/>
      <c r="G139" s="22"/>
    </row>
    <row r="140" spans="1:17" s="101" customFormat="1" x14ac:dyDescent="0.2">
      <c r="B140" s="193" t="s">
        <v>1102</v>
      </c>
      <c r="C140" s="193"/>
      <c r="D140" s="193"/>
      <c r="E140" s="193"/>
      <c r="F140" s="193"/>
      <c r="I140"/>
      <c r="P140" s="41"/>
      <c r="Q140" s="41"/>
    </row>
    <row r="141" spans="1:17" ht="14.1" customHeight="1" x14ac:dyDescent="0.2">
      <c r="A141" s="22"/>
      <c r="B141" s="19"/>
      <c r="C141" s="19"/>
      <c r="D141" s="22"/>
      <c r="E141" s="22"/>
      <c r="F141" s="22"/>
      <c r="G141" s="22"/>
    </row>
    <row r="142" spans="1:17" ht="29.1" customHeight="1" x14ac:dyDescent="0.2">
      <c r="A142" s="22"/>
      <c r="B142" s="189" t="s">
        <v>152</v>
      </c>
      <c r="C142" s="190"/>
      <c r="D142" s="2" t="s">
        <v>142</v>
      </c>
      <c r="E142" s="22"/>
      <c r="F142" s="22"/>
      <c r="G142" s="22"/>
    </row>
    <row r="143" spans="1:17" ht="29.1" customHeight="1" x14ac:dyDescent="0.2">
      <c r="A143" s="22"/>
      <c r="B143" s="189" t="s">
        <v>153</v>
      </c>
      <c r="C143" s="190"/>
      <c r="D143" s="2" t="s">
        <v>142</v>
      </c>
      <c r="E143" s="22"/>
      <c r="F143" s="22"/>
      <c r="G143" s="22"/>
    </row>
    <row r="144" spans="1:17" ht="17.100000000000001" customHeight="1" x14ac:dyDescent="0.2">
      <c r="A144" s="22"/>
      <c r="B144" s="189" t="s">
        <v>154</v>
      </c>
      <c r="C144" s="190"/>
      <c r="D144" s="28">
        <v>0.28097224413541888</v>
      </c>
      <c r="E144" s="22"/>
      <c r="F144" s="19"/>
      <c r="G144" s="25"/>
    </row>
    <row r="145" spans="1:7" ht="17.100000000000001" customHeight="1" x14ac:dyDescent="0.2">
      <c r="A145" s="22"/>
      <c r="B145" s="189" t="s">
        <v>155</v>
      </c>
      <c r="C145" s="190"/>
      <c r="D145" s="2" t="s">
        <v>142</v>
      </c>
      <c r="E145" s="22"/>
      <c r="F145" s="22"/>
      <c r="G145" s="22"/>
    </row>
  </sheetData>
  <mergeCells count="14">
    <mergeCell ref="B145:C145"/>
    <mergeCell ref="B128:C128"/>
    <mergeCell ref="B129:C129"/>
    <mergeCell ref="B130:C130"/>
    <mergeCell ref="B138:C138"/>
    <mergeCell ref="B142:C142"/>
    <mergeCell ref="B143:C143"/>
    <mergeCell ref="B144:C144"/>
    <mergeCell ref="A1:H1"/>
    <mergeCell ref="A2:H2"/>
    <mergeCell ref="A3:H3"/>
    <mergeCell ref="B140:F140"/>
    <mergeCell ref="J2:N2"/>
    <mergeCell ref="B127:C12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419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4495006</v>
      </c>
      <c r="F7" s="6">
        <v>32827.028817999999</v>
      </c>
      <c r="G7" s="7">
        <v>6.5437749000000003E-2</v>
      </c>
      <c r="H7" s="39"/>
    </row>
    <row r="8" spans="1:14" x14ac:dyDescent="0.2">
      <c r="A8" s="3">
        <v>2</v>
      </c>
      <c r="B8" s="4" t="s">
        <v>386</v>
      </c>
      <c r="C8" s="4" t="s">
        <v>387</v>
      </c>
      <c r="D8" s="4" t="s">
        <v>1143</v>
      </c>
      <c r="E8" s="5">
        <v>1335079</v>
      </c>
      <c r="F8" s="6">
        <v>25457.953911500001</v>
      </c>
      <c r="G8" s="7">
        <v>5.0748156000000003E-2</v>
      </c>
      <c r="H8" s="39"/>
    </row>
    <row r="9" spans="1:14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1323852</v>
      </c>
      <c r="F9" s="6">
        <v>19465.257882000002</v>
      </c>
      <c r="G9" s="7">
        <v>3.8802252000000002E-2</v>
      </c>
      <c r="H9" s="39"/>
    </row>
    <row r="10" spans="1:14" x14ac:dyDescent="0.2">
      <c r="A10" s="3">
        <v>4</v>
      </c>
      <c r="B10" s="4" t="s">
        <v>13</v>
      </c>
      <c r="C10" s="4" t="s">
        <v>14</v>
      </c>
      <c r="D10" s="4" t="s">
        <v>15</v>
      </c>
      <c r="E10" s="5">
        <v>707712</v>
      </c>
      <c r="F10" s="6">
        <v>18646.441920000001</v>
      </c>
      <c r="G10" s="7">
        <v>3.7170016E-2</v>
      </c>
      <c r="H10" s="39"/>
    </row>
    <row r="11" spans="1:14" x14ac:dyDescent="0.2">
      <c r="A11" s="3">
        <v>5</v>
      </c>
      <c r="B11" s="4" t="s">
        <v>359</v>
      </c>
      <c r="C11" s="4" t="s">
        <v>360</v>
      </c>
      <c r="D11" s="4" t="s">
        <v>82</v>
      </c>
      <c r="E11" s="5">
        <v>82672</v>
      </c>
      <c r="F11" s="6">
        <v>14104.215224</v>
      </c>
      <c r="G11" s="7">
        <v>2.8115492999999998E-2</v>
      </c>
      <c r="H11" s="39"/>
    </row>
    <row r="12" spans="1:14" x14ac:dyDescent="0.2">
      <c r="A12" s="3">
        <v>6</v>
      </c>
      <c r="B12" s="4" t="s">
        <v>11</v>
      </c>
      <c r="C12" s="4" t="s">
        <v>12</v>
      </c>
      <c r="D12" s="4" t="s">
        <v>60</v>
      </c>
      <c r="E12" s="5">
        <v>746883</v>
      </c>
      <c r="F12" s="6">
        <v>13202.2773495</v>
      </c>
      <c r="G12" s="7">
        <v>2.631756E-2</v>
      </c>
      <c r="H12" s="39"/>
    </row>
    <row r="13" spans="1:14" x14ac:dyDescent="0.2">
      <c r="A13" s="3">
        <v>7</v>
      </c>
      <c r="B13" s="4" t="s">
        <v>420</v>
      </c>
      <c r="C13" s="4" t="s">
        <v>421</v>
      </c>
      <c r="D13" s="4" t="s">
        <v>1154</v>
      </c>
      <c r="E13" s="5">
        <v>1685076</v>
      </c>
      <c r="F13" s="6">
        <v>11449.248882</v>
      </c>
      <c r="G13" s="7">
        <v>2.2823054999999998E-2</v>
      </c>
      <c r="H13" s="39"/>
    </row>
    <row r="14" spans="1:14" x14ac:dyDescent="0.2">
      <c r="A14" s="3">
        <v>8</v>
      </c>
      <c r="B14" s="4" t="s">
        <v>49</v>
      </c>
      <c r="C14" s="4" t="s">
        <v>50</v>
      </c>
      <c r="D14" s="4" t="s">
        <v>18</v>
      </c>
      <c r="E14" s="5">
        <v>2191327</v>
      </c>
      <c r="F14" s="6">
        <v>10815.2944085</v>
      </c>
      <c r="G14" s="7">
        <v>2.1559322999999998E-2</v>
      </c>
      <c r="H14" s="39"/>
    </row>
    <row r="15" spans="1:14" x14ac:dyDescent="0.2">
      <c r="A15" s="3">
        <v>9</v>
      </c>
      <c r="B15" s="4" t="s">
        <v>300</v>
      </c>
      <c r="C15" s="4" t="s">
        <v>301</v>
      </c>
      <c r="D15" s="4" t="s">
        <v>18</v>
      </c>
      <c r="E15" s="5">
        <v>1371950</v>
      </c>
      <c r="F15" s="6">
        <v>10442.597425</v>
      </c>
      <c r="G15" s="7">
        <v>2.0816385E-2</v>
      </c>
      <c r="H15" s="39"/>
    </row>
    <row r="16" spans="1:14" ht="15" x14ac:dyDescent="0.2">
      <c r="A16" s="3">
        <v>10</v>
      </c>
      <c r="B16" s="4" t="s">
        <v>323</v>
      </c>
      <c r="C16" s="4" t="s">
        <v>324</v>
      </c>
      <c r="D16" s="4" t="s">
        <v>1143</v>
      </c>
      <c r="E16" s="5">
        <v>302385</v>
      </c>
      <c r="F16" s="6">
        <v>10211.0878725</v>
      </c>
      <c r="G16" s="7">
        <v>2.0354891E-2</v>
      </c>
      <c r="H16" s="39"/>
      <c r="J16" s="176" t="s">
        <v>1179</v>
      </c>
    </row>
    <row r="17" spans="1:10" x14ac:dyDescent="0.2">
      <c r="A17" s="3">
        <v>11</v>
      </c>
      <c r="B17" s="4" t="s">
        <v>410</v>
      </c>
      <c r="C17" s="4" t="s">
        <v>411</v>
      </c>
      <c r="D17" s="4" t="s">
        <v>412</v>
      </c>
      <c r="E17" s="5">
        <v>1649310</v>
      </c>
      <c r="F17" s="6">
        <v>9392.8204499999993</v>
      </c>
      <c r="G17" s="7">
        <v>1.8723747999999998E-2</v>
      </c>
      <c r="H17" s="39"/>
    </row>
    <row r="18" spans="1:10" ht="25.5" x14ac:dyDescent="0.2">
      <c r="A18" s="3">
        <v>12</v>
      </c>
      <c r="B18" s="4" t="s">
        <v>390</v>
      </c>
      <c r="C18" s="4" t="s">
        <v>391</v>
      </c>
      <c r="D18" s="4" t="s">
        <v>82</v>
      </c>
      <c r="E18" s="5">
        <v>384006</v>
      </c>
      <c r="F18" s="6">
        <v>9179.2794240000003</v>
      </c>
      <c r="G18" s="7">
        <v>1.8298073000000002E-2</v>
      </c>
      <c r="H18" s="39"/>
    </row>
    <row r="19" spans="1:10" x14ac:dyDescent="0.2">
      <c r="A19" s="3">
        <v>13</v>
      </c>
      <c r="B19" s="4" t="s">
        <v>422</v>
      </c>
      <c r="C19" s="4" t="s">
        <v>423</v>
      </c>
      <c r="D19" s="4" t="s">
        <v>18</v>
      </c>
      <c r="E19" s="5">
        <v>3875118</v>
      </c>
      <c r="F19" s="6">
        <v>8825.5812449999994</v>
      </c>
      <c r="G19" s="7">
        <v>1.7593008E-2</v>
      </c>
      <c r="H19" s="39"/>
    </row>
    <row r="20" spans="1:10" ht="25.5" x14ac:dyDescent="0.2">
      <c r="A20" s="3">
        <v>14</v>
      </c>
      <c r="B20" s="4" t="s">
        <v>424</v>
      </c>
      <c r="C20" s="4" t="s">
        <v>425</v>
      </c>
      <c r="D20" s="4" t="s">
        <v>1138</v>
      </c>
      <c r="E20" s="5">
        <v>197830</v>
      </c>
      <c r="F20" s="6">
        <v>8708.5755150000005</v>
      </c>
      <c r="G20" s="7">
        <v>1.7359767000000002E-2</v>
      </c>
      <c r="H20" s="39"/>
    </row>
    <row r="21" spans="1:10" x14ac:dyDescent="0.2">
      <c r="A21" s="3">
        <v>15</v>
      </c>
      <c r="B21" s="4" t="s">
        <v>317</v>
      </c>
      <c r="C21" s="4" t="s">
        <v>318</v>
      </c>
      <c r="D21" s="4" t="s">
        <v>1144</v>
      </c>
      <c r="E21" s="5">
        <v>900646</v>
      </c>
      <c r="F21" s="6">
        <v>8477.7807979999998</v>
      </c>
      <c r="G21" s="7">
        <v>1.6899698000000001E-2</v>
      </c>
      <c r="H21" s="39"/>
    </row>
    <row r="22" spans="1:10" x14ac:dyDescent="0.2">
      <c r="A22" s="3">
        <v>16</v>
      </c>
      <c r="B22" s="4" t="s">
        <v>426</v>
      </c>
      <c r="C22" s="4" t="s">
        <v>427</v>
      </c>
      <c r="D22" s="4" t="s">
        <v>82</v>
      </c>
      <c r="E22" s="5">
        <v>113013</v>
      </c>
      <c r="F22" s="6">
        <v>8204.6872934999992</v>
      </c>
      <c r="G22" s="7">
        <v>1.6355311000000001E-2</v>
      </c>
      <c r="H22" s="39"/>
    </row>
    <row r="23" spans="1:10" x14ac:dyDescent="0.2">
      <c r="A23" s="3">
        <v>17</v>
      </c>
      <c r="B23" s="4" t="s">
        <v>357</v>
      </c>
      <c r="C23" s="4" t="s">
        <v>358</v>
      </c>
      <c r="D23" s="4" t="s">
        <v>71</v>
      </c>
      <c r="E23" s="5">
        <v>184208</v>
      </c>
      <c r="F23" s="6">
        <v>7937.1543039999997</v>
      </c>
      <c r="G23" s="7">
        <v>1.5822007999999999E-2</v>
      </c>
      <c r="H23" s="39"/>
    </row>
    <row r="24" spans="1:10" x14ac:dyDescent="0.2">
      <c r="A24" s="3">
        <v>18</v>
      </c>
      <c r="B24" s="4" t="s">
        <v>371</v>
      </c>
      <c r="C24" s="4" t="s">
        <v>372</v>
      </c>
      <c r="D24" s="4" t="s">
        <v>29</v>
      </c>
      <c r="E24" s="5">
        <v>374960</v>
      </c>
      <c r="F24" s="6">
        <v>7585.2533199999998</v>
      </c>
      <c r="G24" s="7">
        <v>1.5120524999999999E-2</v>
      </c>
      <c r="H24" s="39"/>
    </row>
    <row r="25" spans="1:10" x14ac:dyDescent="0.2">
      <c r="A25" s="3">
        <v>19</v>
      </c>
      <c r="B25" s="4" t="s">
        <v>19</v>
      </c>
      <c r="C25" s="4" t="s">
        <v>20</v>
      </c>
      <c r="D25" s="4" t="s">
        <v>21</v>
      </c>
      <c r="E25" s="5">
        <v>1002403</v>
      </c>
      <c r="F25" s="6">
        <v>7567.6414484999996</v>
      </c>
      <c r="G25" s="7">
        <v>1.5085417E-2</v>
      </c>
      <c r="H25" s="39"/>
    </row>
    <row r="26" spans="1:10" x14ac:dyDescent="0.2">
      <c r="A26" s="3">
        <v>20</v>
      </c>
      <c r="B26" s="4" t="s">
        <v>367</v>
      </c>
      <c r="C26" s="4" t="s">
        <v>368</v>
      </c>
      <c r="D26" s="4" t="s">
        <v>1154</v>
      </c>
      <c r="E26" s="5">
        <v>805172</v>
      </c>
      <c r="F26" s="6">
        <v>7506.6185560000004</v>
      </c>
      <c r="G26" s="7">
        <v>1.4963773E-2</v>
      </c>
      <c r="H26" s="39"/>
    </row>
    <row r="27" spans="1:10" ht="25.5" x14ac:dyDescent="0.2">
      <c r="A27" s="3">
        <v>21</v>
      </c>
      <c r="B27" s="4" t="s">
        <v>83</v>
      </c>
      <c r="C27" s="4" t="s">
        <v>84</v>
      </c>
      <c r="D27" s="4" t="s">
        <v>1137</v>
      </c>
      <c r="E27" s="5">
        <v>6352636</v>
      </c>
      <c r="F27" s="6">
        <v>7448.4657100000004</v>
      </c>
      <c r="G27" s="7">
        <v>1.4847851E-2</v>
      </c>
      <c r="H27" s="39"/>
    </row>
    <row r="28" spans="1:10" x14ac:dyDescent="0.2">
      <c r="A28" s="3">
        <v>22</v>
      </c>
      <c r="B28" s="4" t="s">
        <v>392</v>
      </c>
      <c r="C28" s="4" t="s">
        <v>393</v>
      </c>
      <c r="D28" s="4" t="s">
        <v>1143</v>
      </c>
      <c r="E28" s="5">
        <v>191953</v>
      </c>
      <c r="F28" s="6">
        <v>7178.9462235000001</v>
      </c>
      <c r="G28" s="7">
        <v>1.4310588000000001E-2</v>
      </c>
      <c r="H28" s="39"/>
    </row>
    <row r="29" spans="1:10" x14ac:dyDescent="0.2">
      <c r="A29" s="3">
        <v>23</v>
      </c>
      <c r="B29" s="4" t="s">
        <v>369</v>
      </c>
      <c r="C29" s="4" t="s">
        <v>370</v>
      </c>
      <c r="D29" s="4" t="s">
        <v>1157</v>
      </c>
      <c r="E29" s="5">
        <v>749225</v>
      </c>
      <c r="F29" s="6">
        <v>7041.5911624999999</v>
      </c>
      <c r="G29" s="7">
        <v>1.4036783000000001E-2</v>
      </c>
      <c r="H29" s="39"/>
    </row>
    <row r="30" spans="1:10" ht="15" x14ac:dyDescent="0.2">
      <c r="A30" s="3">
        <v>24</v>
      </c>
      <c r="B30" s="4" t="s">
        <v>94</v>
      </c>
      <c r="C30" s="4" t="s">
        <v>95</v>
      </c>
      <c r="D30" s="4" t="s">
        <v>1154</v>
      </c>
      <c r="E30" s="5">
        <v>357500</v>
      </c>
      <c r="F30" s="6">
        <v>6942.65</v>
      </c>
      <c r="G30" s="7">
        <v>1.3839552E-2</v>
      </c>
      <c r="H30" s="39"/>
      <c r="J30" s="176" t="s">
        <v>1180</v>
      </c>
    </row>
    <row r="31" spans="1:10" x14ac:dyDescent="0.2">
      <c r="A31" s="3">
        <v>25</v>
      </c>
      <c r="B31" s="4" t="s">
        <v>313</v>
      </c>
      <c r="C31" s="4" t="s">
        <v>314</v>
      </c>
      <c r="D31" s="4" t="s">
        <v>1142</v>
      </c>
      <c r="E31" s="5">
        <v>897373</v>
      </c>
      <c r="F31" s="6">
        <v>6765.2950469999996</v>
      </c>
      <c r="G31" s="7">
        <v>1.3486010999999999E-2</v>
      </c>
      <c r="H31" s="39"/>
    </row>
    <row r="32" spans="1:10" x14ac:dyDescent="0.2">
      <c r="A32" s="3">
        <v>26</v>
      </c>
      <c r="B32" s="4" t="s">
        <v>428</v>
      </c>
      <c r="C32" s="4" t="s">
        <v>429</v>
      </c>
      <c r="D32" s="4" t="s">
        <v>1160</v>
      </c>
      <c r="E32" s="5">
        <v>311047</v>
      </c>
      <c r="F32" s="6">
        <v>6712.2387365000004</v>
      </c>
      <c r="G32" s="7">
        <v>1.3380248000000001E-2</v>
      </c>
      <c r="H32" s="39"/>
    </row>
    <row r="33" spans="1:8" ht="25.5" x14ac:dyDescent="0.2">
      <c r="A33" s="3">
        <v>27</v>
      </c>
      <c r="B33" s="4" t="s">
        <v>72</v>
      </c>
      <c r="C33" s="4" t="s">
        <v>73</v>
      </c>
      <c r="D33" s="4" t="s">
        <v>1137</v>
      </c>
      <c r="E33" s="5">
        <v>360100</v>
      </c>
      <c r="F33" s="6">
        <v>6549.6788500000002</v>
      </c>
      <c r="G33" s="7">
        <v>1.30562E-2</v>
      </c>
      <c r="H33" s="39"/>
    </row>
    <row r="34" spans="1:8" x14ac:dyDescent="0.2">
      <c r="A34" s="3">
        <v>28</v>
      </c>
      <c r="B34" s="4" t="s">
        <v>292</v>
      </c>
      <c r="C34" s="4" t="s">
        <v>293</v>
      </c>
      <c r="D34" s="4" t="s">
        <v>1143</v>
      </c>
      <c r="E34" s="5">
        <v>149876</v>
      </c>
      <c r="F34" s="6">
        <v>6449.0144039999996</v>
      </c>
      <c r="G34" s="7">
        <v>1.2855534E-2</v>
      </c>
      <c r="H34" s="39"/>
    </row>
    <row r="35" spans="1:8" ht="25.5" x14ac:dyDescent="0.2">
      <c r="A35" s="3">
        <v>29</v>
      </c>
      <c r="B35" s="4" t="s">
        <v>22</v>
      </c>
      <c r="C35" s="4" t="s">
        <v>23</v>
      </c>
      <c r="D35" s="4" t="s">
        <v>1150</v>
      </c>
      <c r="E35" s="5">
        <v>97004</v>
      </c>
      <c r="F35" s="6">
        <v>6404.4950920000001</v>
      </c>
      <c r="G35" s="7">
        <v>1.2766789000000001E-2</v>
      </c>
      <c r="H35" s="39"/>
    </row>
    <row r="36" spans="1:8" x14ac:dyDescent="0.2">
      <c r="A36" s="3">
        <v>30</v>
      </c>
      <c r="B36" s="4" t="s">
        <v>430</v>
      </c>
      <c r="C36" s="4" t="s">
        <v>431</v>
      </c>
      <c r="D36" s="4" t="s">
        <v>29</v>
      </c>
      <c r="E36" s="5">
        <v>856506</v>
      </c>
      <c r="F36" s="6">
        <v>6252.9220530000002</v>
      </c>
      <c r="G36" s="7">
        <v>1.2464641E-2</v>
      </c>
      <c r="H36" s="39"/>
    </row>
    <row r="37" spans="1:8" x14ac:dyDescent="0.2">
      <c r="A37" s="3">
        <v>31</v>
      </c>
      <c r="B37" s="4" t="s">
        <v>27</v>
      </c>
      <c r="C37" s="4" t="s">
        <v>28</v>
      </c>
      <c r="D37" s="4" t="s">
        <v>29</v>
      </c>
      <c r="E37" s="5">
        <v>253247</v>
      </c>
      <c r="F37" s="6">
        <v>5987.7720680000002</v>
      </c>
      <c r="G37" s="7">
        <v>1.1936089E-2</v>
      </c>
      <c r="H37" s="39"/>
    </row>
    <row r="38" spans="1:8" x14ac:dyDescent="0.2">
      <c r="A38" s="3">
        <v>32</v>
      </c>
      <c r="B38" s="4" t="s">
        <v>432</v>
      </c>
      <c r="C38" s="4" t="s">
        <v>433</v>
      </c>
      <c r="D38" s="4" t="s">
        <v>1146</v>
      </c>
      <c r="E38" s="5">
        <v>1355977</v>
      </c>
      <c r="F38" s="6">
        <v>5881.5502374999996</v>
      </c>
      <c r="G38" s="7">
        <v>1.1724345000000001E-2</v>
      </c>
      <c r="H38" s="39"/>
    </row>
    <row r="39" spans="1:8" ht="25.5" x14ac:dyDescent="0.2">
      <c r="A39" s="3">
        <v>33</v>
      </c>
      <c r="B39" s="4" t="s">
        <v>237</v>
      </c>
      <c r="C39" s="4" t="s">
        <v>238</v>
      </c>
      <c r="D39" s="4" t="s">
        <v>1153</v>
      </c>
      <c r="E39" s="5">
        <v>140588</v>
      </c>
      <c r="F39" s="6">
        <v>5739.0833359999997</v>
      </c>
      <c r="G39" s="7">
        <v>1.144035E-2</v>
      </c>
      <c r="H39" s="39"/>
    </row>
    <row r="40" spans="1:8" ht="25.5" x14ac:dyDescent="0.2">
      <c r="A40" s="3">
        <v>34</v>
      </c>
      <c r="B40" s="4" t="s">
        <v>396</v>
      </c>
      <c r="C40" s="4" t="s">
        <v>397</v>
      </c>
      <c r="D40" s="4" t="s">
        <v>1138</v>
      </c>
      <c r="E40" s="5">
        <v>622280</v>
      </c>
      <c r="F40" s="6">
        <v>5692.3063000000002</v>
      </c>
      <c r="G40" s="7">
        <v>1.1347104E-2</v>
      </c>
      <c r="H40" s="39"/>
    </row>
    <row r="41" spans="1:8" x14ac:dyDescent="0.2">
      <c r="A41" s="3">
        <v>35</v>
      </c>
      <c r="B41" s="4" t="s">
        <v>24</v>
      </c>
      <c r="C41" s="4" t="s">
        <v>25</v>
      </c>
      <c r="D41" s="4" t="s">
        <v>26</v>
      </c>
      <c r="E41" s="5">
        <v>2249244</v>
      </c>
      <c r="F41" s="6">
        <v>5367.8208059999997</v>
      </c>
      <c r="G41" s="7">
        <v>1.0700271000000001E-2</v>
      </c>
      <c r="H41" s="39"/>
    </row>
    <row r="42" spans="1:8" x14ac:dyDescent="0.2">
      <c r="A42" s="3">
        <v>36</v>
      </c>
      <c r="B42" s="4" t="s">
        <v>434</v>
      </c>
      <c r="C42" s="4" t="s">
        <v>435</v>
      </c>
      <c r="D42" s="4" t="s">
        <v>308</v>
      </c>
      <c r="E42" s="5">
        <v>133556</v>
      </c>
      <c r="F42" s="6">
        <v>5346.7141259999999</v>
      </c>
      <c r="G42" s="7">
        <v>1.0658196999999999E-2</v>
      </c>
      <c r="H42" s="39"/>
    </row>
    <row r="43" spans="1:8" ht="25.5" x14ac:dyDescent="0.2">
      <c r="A43" s="3">
        <v>37</v>
      </c>
      <c r="B43" s="4" t="s">
        <v>80</v>
      </c>
      <c r="C43" s="4" t="s">
        <v>81</v>
      </c>
      <c r="D43" s="4" t="s">
        <v>82</v>
      </c>
      <c r="E43" s="5">
        <v>737755</v>
      </c>
      <c r="F43" s="6">
        <v>5300.4007975000004</v>
      </c>
      <c r="G43" s="7">
        <v>1.0565875000000001E-2</v>
      </c>
      <c r="H43" s="39"/>
    </row>
    <row r="44" spans="1:8" ht="25.5" x14ac:dyDescent="0.2">
      <c r="A44" s="3">
        <v>38</v>
      </c>
      <c r="B44" s="4" t="s">
        <v>436</v>
      </c>
      <c r="C44" s="4" t="s">
        <v>437</v>
      </c>
      <c r="D44" s="4" t="s">
        <v>1153</v>
      </c>
      <c r="E44" s="5">
        <v>51087</v>
      </c>
      <c r="F44" s="6">
        <v>5258.1550184999996</v>
      </c>
      <c r="G44" s="7">
        <v>1.0481661999999999E-2</v>
      </c>
      <c r="H44" s="39"/>
    </row>
    <row r="45" spans="1:8" x14ac:dyDescent="0.2">
      <c r="A45" s="3">
        <v>39</v>
      </c>
      <c r="B45" s="4" t="s">
        <v>438</v>
      </c>
      <c r="C45" s="4" t="s">
        <v>439</v>
      </c>
      <c r="D45" s="4" t="s">
        <v>1140</v>
      </c>
      <c r="E45" s="5">
        <v>302944</v>
      </c>
      <c r="F45" s="6">
        <v>5168.982</v>
      </c>
      <c r="G45" s="7">
        <v>1.0303903999999999E-2</v>
      </c>
      <c r="H45" s="39"/>
    </row>
    <row r="46" spans="1:8" x14ac:dyDescent="0.2">
      <c r="A46" s="3">
        <v>40</v>
      </c>
      <c r="B46" s="4" t="s">
        <v>241</v>
      </c>
      <c r="C46" s="4" t="s">
        <v>242</v>
      </c>
      <c r="D46" s="4" t="s">
        <v>1143</v>
      </c>
      <c r="E46" s="5">
        <v>107723</v>
      </c>
      <c r="F46" s="6">
        <v>5133.3241189999999</v>
      </c>
      <c r="G46" s="7">
        <v>1.0232823E-2</v>
      </c>
      <c r="H46" s="39"/>
    </row>
    <row r="47" spans="1:8" x14ac:dyDescent="0.2">
      <c r="A47" s="3">
        <v>41</v>
      </c>
      <c r="B47" s="4" t="s">
        <v>373</v>
      </c>
      <c r="C47" s="4" t="s">
        <v>374</v>
      </c>
      <c r="D47" s="4" t="s">
        <v>253</v>
      </c>
      <c r="E47" s="5">
        <v>1743213</v>
      </c>
      <c r="F47" s="6">
        <v>5062.2905520000004</v>
      </c>
      <c r="G47" s="7">
        <v>1.0091223999999999E-2</v>
      </c>
      <c r="H47" s="39"/>
    </row>
    <row r="48" spans="1:8" ht="25.5" x14ac:dyDescent="0.2">
      <c r="A48" s="3">
        <v>42</v>
      </c>
      <c r="B48" s="4" t="s">
        <v>335</v>
      </c>
      <c r="C48" s="4" t="s">
        <v>336</v>
      </c>
      <c r="D48" s="4" t="s">
        <v>1138</v>
      </c>
      <c r="E48" s="5">
        <v>152279</v>
      </c>
      <c r="F48" s="6">
        <v>4983.5586935000001</v>
      </c>
      <c r="G48" s="7">
        <v>9.9342790000000007E-3</v>
      </c>
      <c r="H48" s="39"/>
    </row>
    <row r="49" spans="1:8" x14ac:dyDescent="0.2">
      <c r="A49" s="3">
        <v>43</v>
      </c>
      <c r="B49" s="4" t="s">
        <v>304</v>
      </c>
      <c r="C49" s="4" t="s">
        <v>305</v>
      </c>
      <c r="D49" s="4" t="s">
        <v>18</v>
      </c>
      <c r="E49" s="5">
        <v>4445537</v>
      </c>
      <c r="F49" s="6">
        <v>4961.2192919999998</v>
      </c>
      <c r="G49" s="7">
        <v>9.8897470000000008E-3</v>
      </c>
      <c r="H49" s="39"/>
    </row>
    <row r="50" spans="1:8" x14ac:dyDescent="0.2">
      <c r="A50" s="3">
        <v>44</v>
      </c>
      <c r="B50" s="4" t="s">
        <v>98</v>
      </c>
      <c r="C50" s="4" t="s">
        <v>99</v>
      </c>
      <c r="D50" s="4" t="s">
        <v>53</v>
      </c>
      <c r="E50" s="5">
        <v>964378</v>
      </c>
      <c r="F50" s="6">
        <v>4853.232285</v>
      </c>
      <c r="G50" s="7">
        <v>9.674485E-3</v>
      </c>
      <c r="H50" s="39"/>
    </row>
    <row r="51" spans="1:8" x14ac:dyDescent="0.2">
      <c r="A51" s="3">
        <v>45</v>
      </c>
      <c r="B51" s="4" t="s">
        <v>100</v>
      </c>
      <c r="C51" s="4" t="s">
        <v>101</v>
      </c>
      <c r="D51" s="4" t="s">
        <v>53</v>
      </c>
      <c r="E51" s="5">
        <v>1283717</v>
      </c>
      <c r="F51" s="6">
        <v>4790.1899855000001</v>
      </c>
      <c r="G51" s="7">
        <v>9.5488159999999999E-3</v>
      </c>
      <c r="H51" s="39"/>
    </row>
    <row r="52" spans="1:8" ht="25.5" x14ac:dyDescent="0.2">
      <c r="A52" s="3">
        <v>46</v>
      </c>
      <c r="B52" s="4" t="s">
        <v>339</v>
      </c>
      <c r="C52" s="4" t="s">
        <v>340</v>
      </c>
      <c r="D52" s="4" t="s">
        <v>1152</v>
      </c>
      <c r="E52" s="5">
        <v>167631</v>
      </c>
      <c r="F52" s="6">
        <v>4726.6074914999999</v>
      </c>
      <c r="G52" s="7">
        <v>9.4220699999999994E-3</v>
      </c>
      <c r="H52" s="39"/>
    </row>
    <row r="53" spans="1:8" ht="25.5" x14ac:dyDescent="0.2">
      <c r="A53" s="3">
        <v>47</v>
      </c>
      <c r="B53" s="4" t="s">
        <v>321</v>
      </c>
      <c r="C53" s="4" t="s">
        <v>322</v>
      </c>
      <c r="D53" s="4" t="s">
        <v>71</v>
      </c>
      <c r="E53" s="5">
        <v>1227129</v>
      </c>
      <c r="F53" s="6">
        <v>4589.4624599999997</v>
      </c>
      <c r="G53" s="7">
        <v>9.1486829999999995E-3</v>
      </c>
      <c r="H53" s="39"/>
    </row>
    <row r="54" spans="1:8" x14ac:dyDescent="0.2">
      <c r="A54" s="3">
        <v>48</v>
      </c>
      <c r="B54" s="4" t="s">
        <v>61</v>
      </c>
      <c r="C54" s="4" t="s">
        <v>62</v>
      </c>
      <c r="D54" s="4" t="s">
        <v>1140</v>
      </c>
      <c r="E54" s="5">
        <v>601177</v>
      </c>
      <c r="F54" s="6">
        <v>4040.8112055000001</v>
      </c>
      <c r="G54" s="7">
        <v>8.054996E-3</v>
      </c>
      <c r="H54" s="39"/>
    </row>
    <row r="55" spans="1:8" ht="25.5" x14ac:dyDescent="0.2">
      <c r="A55" s="3">
        <v>49</v>
      </c>
      <c r="B55" s="4" t="s">
        <v>294</v>
      </c>
      <c r="C55" s="4" t="s">
        <v>295</v>
      </c>
      <c r="D55" s="4" t="s">
        <v>1153</v>
      </c>
      <c r="E55" s="5">
        <v>150285</v>
      </c>
      <c r="F55" s="6">
        <v>4026.6611475</v>
      </c>
      <c r="G55" s="7">
        <v>8.0267889999999995E-3</v>
      </c>
      <c r="H55" s="39"/>
    </row>
    <row r="56" spans="1:8" x14ac:dyDescent="0.2">
      <c r="A56" s="3">
        <v>50</v>
      </c>
      <c r="B56" s="4" t="s">
        <v>413</v>
      </c>
      <c r="C56" s="4" t="s">
        <v>414</v>
      </c>
      <c r="D56" s="4" t="s">
        <v>91</v>
      </c>
      <c r="E56" s="5">
        <v>307717</v>
      </c>
      <c r="F56" s="6">
        <v>4022.4766239999999</v>
      </c>
      <c r="G56" s="7">
        <v>8.0184479999999992E-3</v>
      </c>
      <c r="H56" s="39"/>
    </row>
    <row r="57" spans="1:8" x14ac:dyDescent="0.2">
      <c r="A57" s="3">
        <v>51</v>
      </c>
      <c r="B57" s="4" t="s">
        <v>398</v>
      </c>
      <c r="C57" s="4" t="s">
        <v>399</v>
      </c>
      <c r="D57" s="4" t="s">
        <v>1143</v>
      </c>
      <c r="E57" s="5">
        <v>661260</v>
      </c>
      <c r="F57" s="6">
        <v>3913.9979400000002</v>
      </c>
      <c r="G57" s="7">
        <v>7.8022050000000004E-3</v>
      </c>
      <c r="H57" s="39"/>
    </row>
    <row r="58" spans="1:8" x14ac:dyDescent="0.2">
      <c r="A58" s="3">
        <v>52</v>
      </c>
      <c r="B58" s="4" t="s">
        <v>440</v>
      </c>
      <c r="C58" s="4" t="s">
        <v>441</v>
      </c>
      <c r="D58" s="4" t="s">
        <v>1146</v>
      </c>
      <c r="E58" s="5">
        <v>49246</v>
      </c>
      <c r="F58" s="6">
        <v>3723.6377980000002</v>
      </c>
      <c r="G58" s="7">
        <v>7.4227390000000002E-3</v>
      </c>
      <c r="H58" s="39"/>
    </row>
    <row r="59" spans="1:8" x14ac:dyDescent="0.2">
      <c r="A59" s="3">
        <v>53</v>
      </c>
      <c r="B59" s="4" t="s">
        <v>442</v>
      </c>
      <c r="C59" s="4" t="s">
        <v>443</v>
      </c>
      <c r="D59" s="4" t="s">
        <v>71</v>
      </c>
      <c r="E59" s="5">
        <v>348399</v>
      </c>
      <c r="F59" s="6">
        <v>3715.1527365000002</v>
      </c>
      <c r="G59" s="7">
        <v>7.4058250000000004E-3</v>
      </c>
      <c r="H59" s="39"/>
    </row>
    <row r="60" spans="1:8" ht="25.5" x14ac:dyDescent="0.2">
      <c r="A60" s="3">
        <v>54</v>
      </c>
      <c r="B60" s="4" t="s">
        <v>444</v>
      </c>
      <c r="C60" s="4" t="s">
        <v>445</v>
      </c>
      <c r="D60" s="4" t="s">
        <v>1150</v>
      </c>
      <c r="E60" s="5">
        <v>14764</v>
      </c>
      <c r="F60" s="6">
        <v>3548.1730640000001</v>
      </c>
      <c r="G60" s="7">
        <v>7.072966E-3</v>
      </c>
      <c r="H60" s="39"/>
    </row>
    <row r="61" spans="1:8" ht="25.5" x14ac:dyDescent="0.2">
      <c r="A61" s="3">
        <v>55</v>
      </c>
      <c r="B61" s="4" t="s">
        <v>363</v>
      </c>
      <c r="C61" s="4" t="s">
        <v>364</v>
      </c>
      <c r="D61" s="4" t="s">
        <v>1145</v>
      </c>
      <c r="E61" s="5">
        <v>441591</v>
      </c>
      <c r="F61" s="6">
        <v>3432.9284339999999</v>
      </c>
      <c r="G61" s="7">
        <v>6.8432359999999999E-3</v>
      </c>
      <c r="H61" s="39"/>
    </row>
    <row r="62" spans="1:8" x14ac:dyDescent="0.2">
      <c r="A62" s="3">
        <v>56</v>
      </c>
      <c r="B62" s="4" t="s">
        <v>315</v>
      </c>
      <c r="C62" s="4" t="s">
        <v>316</v>
      </c>
      <c r="D62" s="4" t="s">
        <v>29</v>
      </c>
      <c r="E62" s="5">
        <v>286278</v>
      </c>
      <c r="F62" s="6">
        <v>3210.035214</v>
      </c>
      <c r="G62" s="7">
        <v>6.398918E-3</v>
      </c>
      <c r="H62" s="39"/>
    </row>
    <row r="63" spans="1:8" x14ac:dyDescent="0.2">
      <c r="A63" s="3">
        <v>57</v>
      </c>
      <c r="B63" s="4" t="s">
        <v>446</v>
      </c>
      <c r="C63" s="4" t="s">
        <v>447</v>
      </c>
      <c r="D63" s="4" t="s">
        <v>308</v>
      </c>
      <c r="E63" s="5">
        <v>185641</v>
      </c>
      <c r="F63" s="6">
        <v>3136.4975155000002</v>
      </c>
      <c r="G63" s="7">
        <v>6.2523279999999997E-3</v>
      </c>
      <c r="H63" s="39"/>
    </row>
    <row r="64" spans="1:8" x14ac:dyDescent="0.2">
      <c r="A64" s="3">
        <v>58</v>
      </c>
      <c r="B64" s="4" t="s">
        <v>365</v>
      </c>
      <c r="C64" s="4" t="s">
        <v>366</v>
      </c>
      <c r="D64" s="4" t="s">
        <v>71</v>
      </c>
      <c r="E64" s="5">
        <v>509693</v>
      </c>
      <c r="F64" s="6">
        <v>3120.3405459999999</v>
      </c>
      <c r="G64" s="7">
        <v>6.22012E-3</v>
      </c>
      <c r="H64" s="39"/>
    </row>
    <row r="65" spans="1:8" x14ac:dyDescent="0.2">
      <c r="A65" s="3">
        <v>59</v>
      </c>
      <c r="B65" s="4" t="s">
        <v>247</v>
      </c>
      <c r="C65" s="4" t="s">
        <v>248</v>
      </c>
      <c r="D65" s="4" t="s">
        <v>1154</v>
      </c>
      <c r="E65" s="5">
        <v>190000</v>
      </c>
      <c r="F65" s="6">
        <v>3086.93</v>
      </c>
      <c r="G65" s="7">
        <v>6.1535189999999997E-3</v>
      </c>
      <c r="H65" s="39"/>
    </row>
    <row r="66" spans="1:8" ht="25.5" x14ac:dyDescent="0.2">
      <c r="A66" s="3">
        <v>60</v>
      </c>
      <c r="B66" s="4" t="s">
        <v>329</v>
      </c>
      <c r="C66" s="4" t="s">
        <v>330</v>
      </c>
      <c r="D66" s="4" t="s">
        <v>1138</v>
      </c>
      <c r="E66" s="5">
        <v>286464</v>
      </c>
      <c r="F66" s="6">
        <v>3052.99008</v>
      </c>
      <c r="G66" s="7">
        <v>6.0858630000000004E-3</v>
      </c>
      <c r="H66" s="39"/>
    </row>
    <row r="67" spans="1:8" ht="25.5" x14ac:dyDescent="0.2">
      <c r="A67" s="3">
        <v>61</v>
      </c>
      <c r="B67" s="4" t="s">
        <v>337</v>
      </c>
      <c r="C67" s="4" t="s">
        <v>338</v>
      </c>
      <c r="D67" s="4" t="s">
        <v>1138</v>
      </c>
      <c r="E67" s="5">
        <v>403490</v>
      </c>
      <c r="F67" s="6">
        <v>3050.9896349999999</v>
      </c>
      <c r="G67" s="7">
        <v>6.0818749999999996E-3</v>
      </c>
      <c r="H67" s="39"/>
    </row>
    <row r="68" spans="1:8" x14ac:dyDescent="0.2">
      <c r="A68" s="3">
        <v>62</v>
      </c>
      <c r="B68" s="4" t="s">
        <v>341</v>
      </c>
      <c r="C68" s="4" t="s">
        <v>342</v>
      </c>
      <c r="D68" s="4" t="s">
        <v>82</v>
      </c>
      <c r="E68" s="5">
        <v>492415</v>
      </c>
      <c r="F68" s="6">
        <v>3045.8329825000001</v>
      </c>
      <c r="G68" s="7">
        <v>6.0715960000000003E-3</v>
      </c>
      <c r="H68" s="39"/>
    </row>
    <row r="69" spans="1:8" x14ac:dyDescent="0.2">
      <c r="A69" s="3">
        <v>63</v>
      </c>
      <c r="B69" s="4" t="s">
        <v>448</v>
      </c>
      <c r="C69" s="4" t="s">
        <v>449</v>
      </c>
      <c r="D69" s="4" t="s">
        <v>1154</v>
      </c>
      <c r="E69" s="5">
        <v>328185</v>
      </c>
      <c r="F69" s="6">
        <v>2953.0086299999998</v>
      </c>
      <c r="G69" s="7">
        <v>5.8865590000000004E-3</v>
      </c>
      <c r="H69" s="39"/>
    </row>
    <row r="70" spans="1:8" x14ac:dyDescent="0.2">
      <c r="A70" s="3">
        <v>64</v>
      </c>
      <c r="B70" s="4" t="s">
        <v>450</v>
      </c>
      <c r="C70" s="4" t="s">
        <v>451</v>
      </c>
      <c r="D70" s="4" t="s">
        <v>1154</v>
      </c>
      <c r="E70" s="5">
        <v>2081348</v>
      </c>
      <c r="F70" s="6">
        <v>2902.4397859999999</v>
      </c>
      <c r="G70" s="7">
        <v>5.7857539999999997E-3</v>
      </c>
      <c r="H70" s="39"/>
    </row>
    <row r="71" spans="1:8" x14ac:dyDescent="0.2">
      <c r="A71" s="3">
        <v>65</v>
      </c>
      <c r="B71" s="4" t="s">
        <v>343</v>
      </c>
      <c r="C71" s="4" t="s">
        <v>344</v>
      </c>
      <c r="D71" s="4" t="s">
        <v>1026</v>
      </c>
      <c r="E71" s="5">
        <v>106694</v>
      </c>
      <c r="F71" s="6">
        <v>2812.98731</v>
      </c>
      <c r="G71" s="7">
        <v>5.6074389999999997E-3</v>
      </c>
      <c r="H71" s="39"/>
    </row>
    <row r="72" spans="1:8" x14ac:dyDescent="0.2">
      <c r="A72" s="3">
        <v>66</v>
      </c>
      <c r="B72" s="4" t="s">
        <v>452</v>
      </c>
      <c r="C72" s="4" t="s">
        <v>453</v>
      </c>
      <c r="D72" s="4" t="s">
        <v>29</v>
      </c>
      <c r="E72" s="5">
        <v>77582</v>
      </c>
      <c r="F72" s="6">
        <v>2742.0582079999999</v>
      </c>
      <c r="G72" s="7">
        <v>5.4660480000000003E-3</v>
      </c>
      <c r="H72" s="39"/>
    </row>
    <row r="73" spans="1:8" x14ac:dyDescent="0.2">
      <c r="A73" s="3">
        <v>67</v>
      </c>
      <c r="B73" s="4" t="s">
        <v>302</v>
      </c>
      <c r="C73" s="4" t="s">
        <v>303</v>
      </c>
      <c r="D73" s="4" t="s">
        <v>1155</v>
      </c>
      <c r="E73" s="5">
        <v>6256</v>
      </c>
      <c r="F73" s="6">
        <v>2701.9257360000001</v>
      </c>
      <c r="G73" s="7">
        <v>5.3860480000000001E-3</v>
      </c>
      <c r="H73" s="39"/>
    </row>
    <row r="74" spans="1:8" x14ac:dyDescent="0.2">
      <c r="A74" s="3">
        <v>68</v>
      </c>
      <c r="B74" s="4" t="s">
        <v>306</v>
      </c>
      <c r="C74" s="4" t="s">
        <v>307</v>
      </c>
      <c r="D74" s="4" t="s">
        <v>308</v>
      </c>
      <c r="E74" s="5">
        <v>175633</v>
      </c>
      <c r="F74" s="6">
        <v>2240.1989149999999</v>
      </c>
      <c r="G74" s="7">
        <v>4.4656360000000003E-3</v>
      </c>
      <c r="H74" s="39"/>
    </row>
    <row r="75" spans="1:8" x14ac:dyDescent="0.2">
      <c r="A75" s="3">
        <v>69</v>
      </c>
      <c r="B75" s="4" t="s">
        <v>454</v>
      </c>
      <c r="C75" s="4" t="s">
        <v>455</v>
      </c>
      <c r="D75" s="4" t="s">
        <v>71</v>
      </c>
      <c r="E75" s="5">
        <v>80959</v>
      </c>
      <c r="F75" s="6">
        <v>2053.2416785</v>
      </c>
      <c r="G75" s="7">
        <v>4.0929540000000002E-3</v>
      </c>
      <c r="H75" s="39"/>
    </row>
    <row r="76" spans="1:8" x14ac:dyDescent="0.2">
      <c r="A76" s="3">
        <v>70</v>
      </c>
      <c r="B76" s="4" t="s">
        <v>375</v>
      </c>
      <c r="C76" s="4" t="s">
        <v>376</v>
      </c>
      <c r="D76" s="4" t="s">
        <v>71</v>
      </c>
      <c r="E76" s="5">
        <v>198211</v>
      </c>
      <c r="F76" s="6">
        <v>2020.3647229999999</v>
      </c>
      <c r="G76" s="7">
        <v>4.0274170000000001E-3</v>
      </c>
      <c r="H76" s="39"/>
    </row>
    <row r="77" spans="1:8" x14ac:dyDescent="0.2">
      <c r="A77" s="3">
        <v>71</v>
      </c>
      <c r="B77" s="4" t="s">
        <v>296</v>
      </c>
      <c r="C77" s="4" t="s">
        <v>297</v>
      </c>
      <c r="D77" s="4" t="s">
        <v>253</v>
      </c>
      <c r="E77" s="5">
        <v>42261</v>
      </c>
      <c r="F77" s="6">
        <v>1908.549021</v>
      </c>
      <c r="G77" s="7">
        <v>3.8045219999999999E-3</v>
      </c>
      <c r="H77" s="39"/>
    </row>
    <row r="78" spans="1:8" ht="25.5" x14ac:dyDescent="0.2">
      <c r="A78" s="3">
        <v>72</v>
      </c>
      <c r="B78" s="4" t="s">
        <v>377</v>
      </c>
      <c r="C78" s="4" t="s">
        <v>378</v>
      </c>
      <c r="D78" s="4" t="s">
        <v>1150</v>
      </c>
      <c r="E78" s="5">
        <v>126915</v>
      </c>
      <c r="F78" s="6">
        <v>1898.1407400000001</v>
      </c>
      <c r="G78" s="7">
        <v>3.7837740000000002E-3</v>
      </c>
      <c r="H78" s="39"/>
    </row>
    <row r="79" spans="1:8" x14ac:dyDescent="0.2">
      <c r="A79" s="3">
        <v>73</v>
      </c>
      <c r="B79" s="4" t="s">
        <v>311</v>
      </c>
      <c r="C79" s="4" t="s">
        <v>312</v>
      </c>
      <c r="D79" s="4" t="s">
        <v>71</v>
      </c>
      <c r="E79" s="5">
        <v>124614</v>
      </c>
      <c r="F79" s="6">
        <v>1551.9427559999999</v>
      </c>
      <c r="G79" s="7">
        <v>3.0936589999999999E-3</v>
      </c>
      <c r="H79" s="39"/>
    </row>
    <row r="80" spans="1:8" x14ac:dyDescent="0.2">
      <c r="A80" s="3">
        <v>74</v>
      </c>
      <c r="B80" s="4" t="s">
        <v>456</v>
      </c>
      <c r="C80" s="4" t="s">
        <v>457</v>
      </c>
      <c r="D80" s="4" t="s">
        <v>1154</v>
      </c>
      <c r="E80" s="5">
        <v>2081348</v>
      </c>
      <c r="F80" s="6">
        <v>1341.4287859999999</v>
      </c>
      <c r="G80" s="7">
        <v>2.6740179999999998E-3</v>
      </c>
      <c r="H80" s="39"/>
    </row>
    <row r="81" spans="1:8" ht="25.5" x14ac:dyDescent="0.2">
      <c r="A81" s="3">
        <v>75</v>
      </c>
      <c r="B81" s="4" t="s">
        <v>417</v>
      </c>
      <c r="C81" s="37" t="s">
        <v>1013</v>
      </c>
      <c r="D81" s="37" t="s">
        <v>21</v>
      </c>
      <c r="E81" s="5">
        <v>71599</v>
      </c>
      <c r="F81" s="6">
        <v>283.4962405</v>
      </c>
      <c r="G81" s="7">
        <v>5.6512399999999996E-4</v>
      </c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9">
        <v>486132.00034599984</v>
      </c>
      <c r="G82" s="10">
        <v>0.96906070399999999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113</v>
      </c>
      <c r="D84" s="1"/>
      <c r="E84" s="1"/>
      <c r="F84" s="1"/>
      <c r="G84" s="1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114</v>
      </c>
      <c r="D87" s="1"/>
      <c r="E87" s="1"/>
      <c r="F87" s="1"/>
      <c r="G87" s="1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115</v>
      </c>
      <c r="D90" s="1"/>
      <c r="E90" s="1"/>
      <c r="F90" s="1"/>
      <c r="G90" s="1"/>
      <c r="H90" s="39"/>
    </row>
    <row r="91" spans="1:8" x14ac:dyDescent="0.2">
      <c r="A91" s="1"/>
      <c r="B91" s="1"/>
      <c r="C91" s="2" t="s">
        <v>111</v>
      </c>
      <c r="D91" s="1"/>
      <c r="E91" s="1" t="s">
        <v>112</v>
      </c>
      <c r="F91" s="9">
        <v>0</v>
      </c>
      <c r="G91" s="10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116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117</v>
      </c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118</v>
      </c>
      <c r="D99" s="1"/>
      <c r="E99" s="1"/>
      <c r="F99" s="9">
        <v>486132.00034600002</v>
      </c>
      <c r="G99" s="10">
        <v>0.96906070399999999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119</v>
      </c>
      <c r="D101" s="1"/>
      <c r="E101" s="1"/>
      <c r="F101" s="12"/>
      <c r="G101" s="12"/>
      <c r="H101" s="39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120</v>
      </c>
      <c r="D105" s="1"/>
      <c r="E105" s="1"/>
      <c r="F105" s="1"/>
      <c r="G105" s="1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121</v>
      </c>
      <c r="D108" s="1"/>
      <c r="E108" s="1"/>
      <c r="F108" s="1"/>
      <c r="G108" s="1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122</v>
      </c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8" x14ac:dyDescent="0.2">
      <c r="A113" s="1"/>
      <c r="B113" s="1"/>
      <c r="C113" s="11"/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123</v>
      </c>
      <c r="D114" s="1"/>
      <c r="E114" s="1"/>
      <c r="F114" s="9">
        <v>0</v>
      </c>
      <c r="G114" s="10">
        <v>0</v>
      </c>
      <c r="H114" s="39"/>
    </row>
    <row r="115" spans="1:8" x14ac:dyDescent="0.2">
      <c r="A115" s="1"/>
      <c r="B115" s="1"/>
      <c r="C115" s="11"/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124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125</v>
      </c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126</v>
      </c>
      <c r="D120" s="1"/>
      <c r="E120" s="1"/>
      <c r="F120" s="12"/>
      <c r="G120" s="12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127</v>
      </c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x14ac:dyDescent="0.2">
      <c r="A126" s="1"/>
      <c r="B126" s="1"/>
      <c r="C126" s="2" t="s">
        <v>128</v>
      </c>
      <c r="D126" s="1"/>
      <c r="E126" s="1"/>
      <c r="F126" s="12"/>
      <c r="G126" s="12"/>
      <c r="H126" s="39"/>
    </row>
    <row r="127" spans="1:8" x14ac:dyDescent="0.2">
      <c r="A127" s="3">
        <v>1</v>
      </c>
      <c r="B127" s="4"/>
      <c r="C127" s="4" t="s">
        <v>129</v>
      </c>
      <c r="D127" s="4"/>
      <c r="E127" s="8"/>
      <c r="F127" s="6">
        <v>10817.5504394</v>
      </c>
      <c r="G127" s="7">
        <v>2.1563820000000001E-2</v>
      </c>
      <c r="H127" s="39">
        <v>3.6151121728634927</v>
      </c>
    </row>
    <row r="128" spans="1:8" x14ac:dyDescent="0.2">
      <c r="A128" s="3">
        <v>2</v>
      </c>
      <c r="B128" s="4"/>
      <c r="C128" s="4" t="s">
        <v>130</v>
      </c>
      <c r="D128" s="4"/>
      <c r="E128" s="8"/>
      <c r="F128" s="6">
        <v>3824.8371944999999</v>
      </c>
      <c r="G128" s="7">
        <v>7.6244709999999999E-3</v>
      </c>
      <c r="H128" s="39">
        <v>3.7142625760646584</v>
      </c>
    </row>
    <row r="129" spans="1:15" x14ac:dyDescent="0.2">
      <c r="A129" s="1"/>
      <c r="B129" s="1"/>
      <c r="C129" s="2" t="s">
        <v>111</v>
      </c>
      <c r="D129" s="1"/>
      <c r="E129" s="1" t="s">
        <v>112</v>
      </c>
      <c r="F129" s="9">
        <v>14642.3876339</v>
      </c>
      <c r="G129" s="10">
        <v>2.9188291000000002E-2</v>
      </c>
      <c r="H129" s="39"/>
    </row>
    <row r="130" spans="1:15" x14ac:dyDescent="0.2">
      <c r="A130" s="1"/>
      <c r="B130" s="1"/>
      <c r="C130" s="11"/>
      <c r="D130" s="1"/>
      <c r="E130" s="1"/>
      <c r="F130" s="12"/>
      <c r="G130" s="12"/>
      <c r="H130" s="39"/>
    </row>
    <row r="131" spans="1:15" x14ac:dyDescent="0.2">
      <c r="A131" s="1"/>
      <c r="B131" s="1"/>
      <c r="C131" s="2" t="s">
        <v>131</v>
      </c>
      <c r="D131" s="1"/>
      <c r="E131" s="1"/>
      <c r="F131" s="9">
        <v>14642.3876339</v>
      </c>
      <c r="G131" s="10">
        <v>2.9188291000000002E-2</v>
      </c>
      <c r="H131" s="39"/>
    </row>
    <row r="132" spans="1:15" x14ac:dyDescent="0.2">
      <c r="A132" s="1"/>
      <c r="B132" s="1"/>
      <c r="C132" s="12"/>
      <c r="D132" s="1"/>
      <c r="E132" s="1"/>
      <c r="F132" s="1"/>
      <c r="G132" s="1"/>
      <c r="H132" s="39"/>
    </row>
    <row r="133" spans="1:15" x14ac:dyDescent="0.2">
      <c r="A133" s="1"/>
      <c r="B133" s="1"/>
      <c r="C133" s="2" t="s">
        <v>132</v>
      </c>
      <c r="D133" s="1"/>
      <c r="E133" s="1"/>
      <c r="F133" s="1"/>
      <c r="G133" s="1"/>
      <c r="H133" s="39"/>
    </row>
    <row r="134" spans="1:15" x14ac:dyDescent="0.2">
      <c r="A134" s="1"/>
      <c r="B134" s="1"/>
      <c r="C134" s="2" t="s">
        <v>133</v>
      </c>
      <c r="D134" s="1"/>
      <c r="E134" s="1"/>
      <c r="F134" s="1"/>
      <c r="G134" s="1"/>
      <c r="H134" s="39"/>
    </row>
    <row r="135" spans="1:15" x14ac:dyDescent="0.2">
      <c r="A135" s="1"/>
      <c r="B135" s="1"/>
      <c r="C135" s="2" t="s">
        <v>111</v>
      </c>
      <c r="D135" s="1"/>
      <c r="E135" s="1" t="s">
        <v>112</v>
      </c>
      <c r="F135" s="13">
        <v>0</v>
      </c>
      <c r="G135" s="14">
        <v>0</v>
      </c>
      <c r="H135" s="39"/>
    </row>
    <row r="136" spans="1:15" x14ac:dyDescent="0.2">
      <c r="A136" s="1"/>
      <c r="B136" s="1"/>
      <c r="C136" s="11"/>
      <c r="D136" s="1"/>
      <c r="E136" s="1"/>
      <c r="F136" s="12"/>
      <c r="G136" s="12"/>
      <c r="H136" s="39"/>
    </row>
    <row r="137" spans="1:15" x14ac:dyDescent="0.2">
      <c r="A137" s="1"/>
      <c r="B137" s="1"/>
      <c r="C137" s="2" t="s">
        <v>134</v>
      </c>
      <c r="D137" s="1"/>
      <c r="E137" s="1"/>
      <c r="F137" s="1"/>
      <c r="G137" s="1"/>
      <c r="H137" s="39"/>
      <c r="J137" s="101"/>
      <c r="K137" s="101"/>
      <c r="L137" s="101"/>
      <c r="M137" s="101"/>
      <c r="N137" s="101"/>
      <c r="O137" s="101"/>
    </row>
    <row r="138" spans="1:15" x14ac:dyDescent="0.2">
      <c r="A138" s="1"/>
      <c r="B138" s="1"/>
      <c r="C138" s="2" t="s">
        <v>135</v>
      </c>
      <c r="D138" s="1"/>
      <c r="E138" s="1"/>
      <c r="F138" s="1"/>
      <c r="G138" s="1"/>
      <c r="H138" s="39"/>
    </row>
    <row r="139" spans="1:15" x14ac:dyDescent="0.2">
      <c r="A139" s="1"/>
      <c r="B139" s="1"/>
      <c r="C139" s="2" t="s">
        <v>111</v>
      </c>
      <c r="D139" s="1"/>
      <c r="E139" s="1" t="s">
        <v>112</v>
      </c>
      <c r="F139" s="13">
        <v>0</v>
      </c>
      <c r="G139" s="14">
        <v>0</v>
      </c>
      <c r="H139" s="39"/>
    </row>
    <row r="140" spans="1:15" x14ac:dyDescent="0.2">
      <c r="A140" s="1"/>
      <c r="B140" s="1"/>
      <c r="C140" s="11"/>
      <c r="D140" s="1"/>
      <c r="E140" s="1"/>
      <c r="F140" s="12"/>
      <c r="G140" s="12"/>
      <c r="H140" s="39"/>
    </row>
    <row r="141" spans="1:15" x14ac:dyDescent="0.2">
      <c r="A141" s="1"/>
      <c r="B141" s="1"/>
      <c r="C141" s="11"/>
      <c r="D141" s="1"/>
      <c r="E141" s="1"/>
      <c r="F141" s="12"/>
      <c r="G141" s="12"/>
      <c r="H141" s="39"/>
    </row>
    <row r="142" spans="1:15" ht="25.5" x14ac:dyDescent="0.2">
      <c r="A142" s="1"/>
      <c r="B142" s="1"/>
      <c r="C142" s="2" t="s">
        <v>136</v>
      </c>
      <c r="D142" s="1"/>
      <c r="E142" s="1"/>
      <c r="F142" s="12"/>
      <c r="G142" s="12"/>
      <c r="H142" s="39"/>
    </row>
    <row r="143" spans="1:15" x14ac:dyDescent="0.2">
      <c r="A143" s="1"/>
      <c r="B143" s="1"/>
      <c r="C143" s="2" t="s">
        <v>111</v>
      </c>
      <c r="D143" s="1"/>
      <c r="E143" s="1" t="s">
        <v>112</v>
      </c>
      <c r="F143" s="13">
        <v>0</v>
      </c>
      <c r="G143" s="14">
        <v>0</v>
      </c>
      <c r="H143" s="39"/>
    </row>
    <row r="144" spans="1:15" x14ac:dyDescent="0.2">
      <c r="A144" s="1"/>
      <c r="B144" s="1"/>
      <c r="C144" s="11"/>
      <c r="D144" s="1"/>
      <c r="E144" s="1"/>
      <c r="F144" s="12"/>
      <c r="G144" s="12"/>
      <c r="H144" s="39"/>
    </row>
    <row r="145" spans="1:8" x14ac:dyDescent="0.2">
      <c r="A145" s="1"/>
      <c r="B145" s="4"/>
      <c r="C145" s="4"/>
      <c r="D145" s="2"/>
      <c r="E145" s="1"/>
      <c r="F145" s="4"/>
      <c r="G145" s="8"/>
      <c r="H145" s="39"/>
    </row>
    <row r="146" spans="1:8" x14ac:dyDescent="0.2">
      <c r="A146" s="8"/>
      <c r="B146" s="4"/>
      <c r="C146" s="4" t="s">
        <v>137</v>
      </c>
      <c r="D146" s="4"/>
      <c r="E146" s="8"/>
      <c r="F146" s="6">
        <v>878.39661231000002</v>
      </c>
      <c r="G146" s="7">
        <v>1.7510049999999999E-3</v>
      </c>
      <c r="H146" s="39"/>
    </row>
    <row r="147" spans="1:8" x14ac:dyDescent="0.2">
      <c r="A147" s="11"/>
      <c r="B147" s="11"/>
      <c r="C147" s="2" t="s">
        <v>138</v>
      </c>
      <c r="D147" s="15"/>
      <c r="E147" s="15"/>
      <c r="F147" s="9">
        <v>501652.78459221002</v>
      </c>
      <c r="G147" s="10">
        <v>1</v>
      </c>
      <c r="H147" s="39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94" t="s">
        <v>140</v>
      </c>
      <c r="C150" s="195"/>
      <c r="D150" s="12" t="s">
        <v>112</v>
      </c>
      <c r="E150" s="21"/>
      <c r="F150" s="20"/>
      <c r="G150" s="20"/>
    </row>
    <row r="151" spans="1:8" ht="29.1" customHeight="1" x14ac:dyDescent="0.2">
      <c r="A151" s="18"/>
      <c r="B151" s="189" t="s">
        <v>141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143</v>
      </c>
      <c r="C152" s="190"/>
      <c r="D152" s="2" t="s">
        <v>142</v>
      </c>
      <c r="E152" s="21"/>
      <c r="F152" s="20"/>
      <c r="G152" s="20"/>
    </row>
    <row r="153" spans="1:8" ht="17.100000000000001" customHeight="1" x14ac:dyDescent="0.2">
      <c r="A153" s="18"/>
      <c r="B153" s="189" t="s">
        <v>144</v>
      </c>
      <c r="C153" s="190"/>
      <c r="D153" s="12" t="s">
        <v>112</v>
      </c>
      <c r="E153" s="21"/>
      <c r="F153" s="20"/>
      <c r="G153" s="20"/>
    </row>
    <row r="154" spans="1:8" ht="24" customHeight="1" x14ac:dyDescent="0.2">
      <c r="A154" s="22"/>
      <c r="B154" s="23" t="s">
        <v>112</v>
      </c>
      <c r="C154" s="23" t="s">
        <v>145</v>
      </c>
      <c r="D154" s="23" t="s">
        <v>146</v>
      </c>
      <c r="E154" s="22"/>
      <c r="F154" s="22"/>
      <c r="G154" s="22"/>
    </row>
    <row r="155" spans="1:8" ht="18" customHeight="1" x14ac:dyDescent="0.2">
      <c r="A155" s="22"/>
      <c r="B155" s="23" t="s">
        <v>147</v>
      </c>
      <c r="C155" s="23" t="s">
        <v>148</v>
      </c>
      <c r="D155" s="23" t="s">
        <v>149</v>
      </c>
      <c r="E155" s="22"/>
      <c r="F155" s="22"/>
      <c r="G155" s="22"/>
    </row>
    <row r="156" spans="1:8" ht="17.100000000000001" customHeight="1" x14ac:dyDescent="0.2">
      <c r="A156" s="22"/>
      <c r="B156" s="4" t="s">
        <v>150</v>
      </c>
      <c r="C156" s="24">
        <v>57.252800000000001</v>
      </c>
      <c r="D156" s="24">
        <v>59.0687</v>
      </c>
      <c r="E156" s="22"/>
      <c r="F156" s="19"/>
      <c r="G156" s="25"/>
    </row>
    <row r="157" spans="1:8" ht="17.100000000000001" customHeight="1" x14ac:dyDescent="0.2">
      <c r="A157" s="22"/>
      <c r="B157" s="4" t="s">
        <v>1092</v>
      </c>
      <c r="C157" s="24">
        <v>26.500299999999999</v>
      </c>
      <c r="D157" s="24">
        <v>27.340900000000001</v>
      </c>
      <c r="E157" s="22"/>
      <c r="F157" s="19"/>
      <c r="G157" s="25"/>
    </row>
    <row r="158" spans="1:8" ht="17.100000000000001" customHeight="1" x14ac:dyDescent="0.2">
      <c r="A158" s="22"/>
      <c r="B158" s="4" t="s">
        <v>151</v>
      </c>
      <c r="C158" s="24">
        <v>52.837299999999999</v>
      </c>
      <c r="D158" s="24">
        <v>54.458399999999997</v>
      </c>
      <c r="E158" s="22"/>
      <c r="F158" s="19"/>
      <c r="G158" s="25"/>
    </row>
    <row r="159" spans="1:8" ht="17.100000000000001" customHeight="1" x14ac:dyDescent="0.2">
      <c r="A159" s="22"/>
      <c r="B159" s="4" t="s">
        <v>1093</v>
      </c>
      <c r="C159" s="24">
        <v>23.942</v>
      </c>
      <c r="D159" s="24">
        <v>24.676600000000001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89" t="s">
        <v>1094</v>
      </c>
      <c r="C161" s="190"/>
      <c r="D161" s="2" t="s">
        <v>142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101" customFormat="1" x14ac:dyDescent="0.2">
      <c r="B163" s="193" t="s">
        <v>1102</v>
      </c>
      <c r="C163" s="193"/>
      <c r="D163" s="193"/>
      <c r="E163" s="193"/>
      <c r="F163" s="193"/>
      <c r="I163"/>
      <c r="J163"/>
      <c r="K163"/>
      <c r="L163"/>
      <c r="M163"/>
      <c r="N163"/>
      <c r="O163"/>
      <c r="P163" s="41"/>
      <c r="Q163" s="41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</row>
    <row r="165" spans="1:17" ht="29.1" customHeight="1" x14ac:dyDescent="0.2">
      <c r="A165" s="22"/>
      <c r="B165" s="189" t="s">
        <v>152</v>
      </c>
      <c r="C165" s="190"/>
      <c r="D165" s="2" t="s">
        <v>142</v>
      </c>
      <c r="E165" s="22"/>
      <c r="F165" s="22"/>
      <c r="G165" s="22"/>
    </row>
    <row r="166" spans="1:17" ht="29.1" customHeight="1" x14ac:dyDescent="0.2">
      <c r="A166" s="22"/>
      <c r="B166" s="189" t="s">
        <v>153</v>
      </c>
      <c r="C166" s="190"/>
      <c r="D166" s="2" t="s">
        <v>142</v>
      </c>
      <c r="E166" s="22"/>
      <c r="F166" s="22"/>
      <c r="G166" s="22"/>
    </row>
    <row r="167" spans="1:17" ht="17.100000000000001" customHeight="1" x14ac:dyDescent="0.2">
      <c r="A167" s="22"/>
      <c r="B167" s="189" t="s">
        <v>154</v>
      </c>
      <c r="C167" s="190"/>
      <c r="D167" s="28">
        <v>0.46437081596512741</v>
      </c>
      <c r="E167" s="22"/>
      <c r="F167" s="19"/>
      <c r="G167" s="25"/>
    </row>
    <row r="168" spans="1:17" ht="17.100000000000001" customHeight="1" x14ac:dyDescent="0.2">
      <c r="A168" s="22"/>
      <c r="B168" s="189" t="s">
        <v>155</v>
      </c>
      <c r="C168" s="190"/>
      <c r="D168" s="2" t="s">
        <v>142</v>
      </c>
      <c r="E168" s="22"/>
      <c r="F168" s="22"/>
      <c r="G168" s="22"/>
    </row>
  </sheetData>
  <mergeCells count="14">
    <mergeCell ref="B168:C168"/>
    <mergeCell ref="B151:C151"/>
    <mergeCell ref="B152:C152"/>
    <mergeCell ref="B153:C153"/>
    <mergeCell ref="B161:C161"/>
    <mergeCell ref="B165:C165"/>
    <mergeCell ref="B166:C166"/>
    <mergeCell ref="B167:C167"/>
    <mergeCell ref="A1:H1"/>
    <mergeCell ref="A2:H2"/>
    <mergeCell ref="A3:H3"/>
    <mergeCell ref="B163:F163"/>
    <mergeCell ref="J2:N2"/>
    <mergeCell ref="B150:C15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458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76859</v>
      </c>
      <c r="F7" s="6">
        <v>969.19199000000003</v>
      </c>
      <c r="G7" s="7">
        <v>3.3157888000000003E-2</v>
      </c>
      <c r="H7" s="39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151986</v>
      </c>
      <c r="F8" s="6">
        <v>889.80203700000004</v>
      </c>
      <c r="G8" s="7">
        <v>3.0441808000000001E-2</v>
      </c>
      <c r="H8" s="39"/>
    </row>
    <row r="9" spans="1:14" ht="25.5" x14ac:dyDescent="0.2">
      <c r="A9" s="3">
        <v>3</v>
      </c>
      <c r="B9" s="4" t="s">
        <v>237</v>
      </c>
      <c r="C9" s="4" t="s">
        <v>238</v>
      </c>
      <c r="D9" s="4" t="s">
        <v>1153</v>
      </c>
      <c r="E9" s="5">
        <v>20969</v>
      </c>
      <c r="F9" s="6">
        <v>855.99651800000004</v>
      </c>
      <c r="G9" s="7">
        <v>2.9285258000000002E-2</v>
      </c>
      <c r="H9" s="39"/>
    </row>
    <row r="10" spans="1:14" x14ac:dyDescent="0.2">
      <c r="A10" s="3">
        <v>4</v>
      </c>
      <c r="B10" s="4" t="s">
        <v>235</v>
      </c>
      <c r="C10" s="4" t="s">
        <v>236</v>
      </c>
      <c r="D10" s="4" t="s">
        <v>1160</v>
      </c>
      <c r="E10" s="5">
        <v>446179</v>
      </c>
      <c r="F10" s="6">
        <v>845.28611550000005</v>
      </c>
      <c r="G10" s="7">
        <v>2.8918834000000001E-2</v>
      </c>
      <c r="H10" s="39"/>
    </row>
    <row r="11" spans="1:14" x14ac:dyDescent="0.2">
      <c r="A11" s="3">
        <v>5</v>
      </c>
      <c r="B11" s="4" t="s">
        <v>233</v>
      </c>
      <c r="C11" s="4" t="s">
        <v>234</v>
      </c>
      <c r="D11" s="4" t="s">
        <v>71</v>
      </c>
      <c r="E11" s="5">
        <v>114509</v>
      </c>
      <c r="F11" s="6">
        <v>820.22796700000004</v>
      </c>
      <c r="G11" s="7">
        <v>2.8061547999999999E-2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40694</v>
      </c>
      <c r="F12" s="6">
        <v>732.47165299999995</v>
      </c>
      <c r="G12" s="7">
        <v>2.5059239000000001E-2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121156</v>
      </c>
      <c r="F13" s="6">
        <v>728.20813799999996</v>
      </c>
      <c r="G13" s="7">
        <v>2.4913376000000001E-2</v>
      </c>
      <c r="H13" s="39"/>
    </row>
    <row r="14" spans="1:14" x14ac:dyDescent="0.2">
      <c r="A14" s="3">
        <v>8</v>
      </c>
      <c r="B14" s="4" t="s">
        <v>220</v>
      </c>
      <c r="C14" s="4" t="s">
        <v>221</v>
      </c>
      <c r="D14" s="4" t="s">
        <v>1149</v>
      </c>
      <c r="E14" s="5">
        <v>134532</v>
      </c>
      <c r="F14" s="6">
        <v>712.75053600000001</v>
      </c>
      <c r="G14" s="7">
        <v>2.4384541999999999E-2</v>
      </c>
      <c r="H14" s="39"/>
    </row>
    <row r="15" spans="1:14" x14ac:dyDescent="0.2">
      <c r="A15" s="3">
        <v>9</v>
      </c>
      <c r="B15" s="4" t="s">
        <v>241</v>
      </c>
      <c r="C15" s="4" t="s">
        <v>242</v>
      </c>
      <c r="D15" s="4" t="s">
        <v>1143</v>
      </c>
      <c r="E15" s="5">
        <v>14600</v>
      </c>
      <c r="F15" s="6">
        <v>695.73379999999997</v>
      </c>
      <c r="G15" s="7">
        <v>2.3802367000000001E-2</v>
      </c>
      <c r="H15" s="39"/>
    </row>
    <row r="16" spans="1:14" ht="15" x14ac:dyDescent="0.2">
      <c r="A16" s="3">
        <v>10</v>
      </c>
      <c r="B16" s="4" t="s">
        <v>38</v>
      </c>
      <c r="C16" s="4" t="s">
        <v>39</v>
      </c>
      <c r="D16" s="4" t="s">
        <v>29</v>
      </c>
      <c r="E16" s="5">
        <v>51448</v>
      </c>
      <c r="F16" s="6">
        <v>678.83063600000003</v>
      </c>
      <c r="G16" s="7">
        <v>2.3224077999999999E-2</v>
      </c>
      <c r="H16" s="39"/>
      <c r="J16" s="176" t="s">
        <v>1174</v>
      </c>
    </row>
    <row r="17" spans="1:8" x14ac:dyDescent="0.2">
      <c r="A17" s="3">
        <v>11</v>
      </c>
      <c r="B17" s="4" t="s">
        <v>245</v>
      </c>
      <c r="C17" s="4" t="s">
        <v>246</v>
      </c>
      <c r="D17" s="4" t="s">
        <v>29</v>
      </c>
      <c r="E17" s="5">
        <v>78752</v>
      </c>
      <c r="F17" s="6">
        <v>666.04503999999997</v>
      </c>
      <c r="G17" s="7">
        <v>2.2786659000000001E-2</v>
      </c>
      <c r="H17" s="39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1159</v>
      </c>
      <c r="E18" s="5">
        <v>52435</v>
      </c>
      <c r="F18" s="6">
        <v>660.70721749999996</v>
      </c>
      <c r="G18" s="7">
        <v>2.2604042000000001E-2</v>
      </c>
      <c r="H18" s="39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1026</v>
      </c>
      <c r="E19" s="5">
        <v>42900</v>
      </c>
      <c r="F19" s="6">
        <v>635.86379999999997</v>
      </c>
      <c r="G19" s="7">
        <v>2.1754102000000001E-2</v>
      </c>
      <c r="H19" s="39"/>
    </row>
    <row r="20" spans="1:8" x14ac:dyDescent="0.2">
      <c r="A20" s="3">
        <v>14</v>
      </c>
      <c r="B20" s="4" t="s">
        <v>164</v>
      </c>
      <c r="C20" s="4" t="s">
        <v>165</v>
      </c>
      <c r="D20" s="4" t="s">
        <v>82</v>
      </c>
      <c r="E20" s="5">
        <v>566165</v>
      </c>
      <c r="F20" s="6">
        <v>602.96572500000002</v>
      </c>
      <c r="G20" s="7">
        <v>2.0628595999999999E-2</v>
      </c>
      <c r="H20" s="39"/>
    </row>
    <row r="21" spans="1:8" x14ac:dyDescent="0.2">
      <c r="A21" s="3">
        <v>15</v>
      </c>
      <c r="B21" s="4" t="s">
        <v>87</v>
      </c>
      <c r="C21" s="4" t="s">
        <v>88</v>
      </c>
      <c r="D21" s="4" t="s">
        <v>1157</v>
      </c>
      <c r="E21" s="5">
        <v>108670</v>
      </c>
      <c r="F21" s="6">
        <v>561.66089499999998</v>
      </c>
      <c r="G21" s="7">
        <v>1.921548E-2</v>
      </c>
      <c r="H21" s="39"/>
    </row>
    <row r="22" spans="1:8" x14ac:dyDescent="0.2">
      <c r="A22" s="3">
        <v>16</v>
      </c>
      <c r="B22" s="4" t="s">
        <v>283</v>
      </c>
      <c r="C22" s="4" t="s">
        <v>284</v>
      </c>
      <c r="D22" s="4" t="s">
        <v>29</v>
      </c>
      <c r="E22" s="5">
        <v>89666</v>
      </c>
      <c r="F22" s="6">
        <v>557.63285399999995</v>
      </c>
      <c r="G22" s="7">
        <v>1.9077673E-2</v>
      </c>
      <c r="H22" s="39"/>
    </row>
    <row r="23" spans="1:8" x14ac:dyDescent="0.2">
      <c r="A23" s="3">
        <v>17</v>
      </c>
      <c r="B23" s="4" t="s">
        <v>459</v>
      </c>
      <c r="C23" s="4" t="s">
        <v>460</v>
      </c>
      <c r="D23" s="4" t="s">
        <v>71</v>
      </c>
      <c r="E23" s="5">
        <v>161016</v>
      </c>
      <c r="F23" s="6">
        <v>517.26390000000004</v>
      </c>
      <c r="G23" s="7">
        <v>1.7696574999999999E-2</v>
      </c>
      <c r="H23" s="39"/>
    </row>
    <row r="24" spans="1:8" x14ac:dyDescent="0.2">
      <c r="A24" s="3">
        <v>18</v>
      </c>
      <c r="B24" s="4" t="s">
        <v>226</v>
      </c>
      <c r="C24" s="4" t="s">
        <v>227</v>
      </c>
      <c r="D24" s="4" t="s">
        <v>82</v>
      </c>
      <c r="E24" s="5">
        <v>64874</v>
      </c>
      <c r="F24" s="6">
        <v>499.17299300000002</v>
      </c>
      <c r="G24" s="7">
        <v>1.7077650999999999E-2</v>
      </c>
      <c r="H24" s="39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1027</v>
      </c>
      <c r="E25" s="5">
        <v>31521</v>
      </c>
      <c r="F25" s="6">
        <v>484.39896750000003</v>
      </c>
      <c r="G25" s="7">
        <v>1.6572204E-2</v>
      </c>
      <c r="H25" s="39"/>
    </row>
    <row r="26" spans="1:8" x14ac:dyDescent="0.2">
      <c r="A26" s="3">
        <v>20</v>
      </c>
      <c r="B26" s="4" t="s">
        <v>251</v>
      </c>
      <c r="C26" s="4" t="s">
        <v>252</v>
      </c>
      <c r="D26" s="4" t="s">
        <v>253</v>
      </c>
      <c r="E26" s="5">
        <v>178406</v>
      </c>
      <c r="F26" s="6">
        <v>481.51779399999998</v>
      </c>
      <c r="G26" s="7">
        <v>1.6473633000000001E-2</v>
      </c>
      <c r="H26" s="39"/>
    </row>
    <row r="27" spans="1:8" x14ac:dyDescent="0.2">
      <c r="A27" s="3">
        <v>21</v>
      </c>
      <c r="B27" s="4" t="s">
        <v>461</v>
      </c>
      <c r="C27" s="4" t="s">
        <v>462</v>
      </c>
      <c r="D27" s="4" t="s">
        <v>1168</v>
      </c>
      <c r="E27" s="5">
        <v>22331</v>
      </c>
      <c r="F27" s="6">
        <v>461.76041800000002</v>
      </c>
      <c r="G27" s="7">
        <v>1.5797696E-2</v>
      </c>
      <c r="H27" s="39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1027</v>
      </c>
      <c r="E28" s="5">
        <v>32420</v>
      </c>
      <c r="F28" s="6">
        <v>458.88889</v>
      </c>
      <c r="G28" s="7">
        <v>1.5699456000000001E-2</v>
      </c>
      <c r="H28" s="39"/>
    </row>
    <row r="29" spans="1:8" x14ac:dyDescent="0.2">
      <c r="A29" s="3">
        <v>23</v>
      </c>
      <c r="B29" s="4" t="s">
        <v>174</v>
      </c>
      <c r="C29" s="4" t="s">
        <v>175</v>
      </c>
      <c r="D29" s="4" t="s">
        <v>82</v>
      </c>
      <c r="E29" s="5">
        <v>70489</v>
      </c>
      <c r="F29" s="6">
        <v>445.10279050000003</v>
      </c>
      <c r="G29" s="7">
        <v>1.5227806999999999E-2</v>
      </c>
      <c r="H29" s="39"/>
    </row>
    <row r="30" spans="1:8" x14ac:dyDescent="0.2">
      <c r="A30" s="3">
        <v>24</v>
      </c>
      <c r="B30" s="4" t="s">
        <v>463</v>
      </c>
      <c r="C30" s="4" t="s">
        <v>464</v>
      </c>
      <c r="D30" s="4" t="s">
        <v>29</v>
      </c>
      <c r="E30" s="5">
        <v>70855</v>
      </c>
      <c r="F30" s="6">
        <v>434.3057225</v>
      </c>
      <c r="G30" s="7">
        <v>1.4858418999999999E-2</v>
      </c>
      <c r="H30" s="39"/>
    </row>
    <row r="31" spans="1:8" x14ac:dyDescent="0.2">
      <c r="A31" s="3">
        <v>25</v>
      </c>
      <c r="B31" s="4" t="s">
        <v>243</v>
      </c>
      <c r="C31" s="4" t="s">
        <v>244</v>
      </c>
      <c r="D31" s="4" t="s">
        <v>1157</v>
      </c>
      <c r="E31" s="5">
        <v>37395</v>
      </c>
      <c r="F31" s="6">
        <v>411.3263025</v>
      </c>
      <c r="G31" s="7">
        <v>1.407225E-2</v>
      </c>
      <c r="H31" s="39"/>
    </row>
    <row r="32" spans="1:8" ht="25.5" x14ac:dyDescent="0.2">
      <c r="A32" s="3">
        <v>26</v>
      </c>
      <c r="B32" s="4" t="s">
        <v>188</v>
      </c>
      <c r="C32" s="4" t="s">
        <v>189</v>
      </c>
      <c r="D32" s="4" t="s">
        <v>1158</v>
      </c>
      <c r="E32" s="5">
        <v>62196</v>
      </c>
      <c r="F32" s="6">
        <v>409.902738</v>
      </c>
      <c r="G32" s="7">
        <v>1.4023547000000001E-2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43772</v>
      </c>
      <c r="F33" s="6">
        <v>406.09473000000003</v>
      </c>
      <c r="G33" s="7">
        <v>1.3893268E-2</v>
      </c>
      <c r="H33" s="39"/>
    </row>
    <row r="34" spans="1:8" x14ac:dyDescent="0.2">
      <c r="A34" s="3">
        <v>28</v>
      </c>
      <c r="B34" s="4" t="s">
        <v>247</v>
      </c>
      <c r="C34" s="4" t="s">
        <v>248</v>
      </c>
      <c r="D34" s="4" t="s">
        <v>1154</v>
      </c>
      <c r="E34" s="5">
        <v>24341</v>
      </c>
      <c r="F34" s="6">
        <v>395.46822700000001</v>
      </c>
      <c r="G34" s="7">
        <v>1.3529714999999999E-2</v>
      </c>
      <c r="H34" s="39"/>
    </row>
    <row r="35" spans="1:8" x14ac:dyDescent="0.2">
      <c r="A35" s="3">
        <v>29</v>
      </c>
      <c r="B35" s="4" t="s">
        <v>465</v>
      </c>
      <c r="C35" s="4" t="s">
        <v>466</v>
      </c>
      <c r="D35" s="4" t="s">
        <v>71</v>
      </c>
      <c r="E35" s="5">
        <v>39266</v>
      </c>
      <c r="F35" s="6">
        <v>382.64717000000002</v>
      </c>
      <c r="G35" s="7">
        <v>1.3091082E-2</v>
      </c>
      <c r="H35" s="39"/>
    </row>
    <row r="36" spans="1:8" ht="25.5" x14ac:dyDescent="0.2">
      <c r="A36" s="3">
        <v>30</v>
      </c>
      <c r="B36" s="4" t="s">
        <v>42</v>
      </c>
      <c r="C36" s="4" t="s">
        <v>43</v>
      </c>
      <c r="D36" s="4" t="s">
        <v>1150</v>
      </c>
      <c r="E36" s="5">
        <v>15321</v>
      </c>
      <c r="F36" s="6">
        <v>372.49947300000002</v>
      </c>
      <c r="G36" s="7">
        <v>1.2743910000000001E-2</v>
      </c>
      <c r="H36" s="39"/>
    </row>
    <row r="37" spans="1:8" x14ac:dyDescent="0.2">
      <c r="A37" s="3">
        <v>31</v>
      </c>
      <c r="B37" s="4" t="s">
        <v>281</v>
      </c>
      <c r="C37" s="4" t="s">
        <v>282</v>
      </c>
      <c r="D37" s="4" t="s">
        <v>29</v>
      </c>
      <c r="E37" s="5">
        <v>17215</v>
      </c>
      <c r="F37" s="6">
        <v>368.59036500000002</v>
      </c>
      <c r="G37" s="7">
        <v>1.2610173000000001E-2</v>
      </c>
      <c r="H37" s="39"/>
    </row>
    <row r="38" spans="1:8" x14ac:dyDescent="0.2">
      <c r="A38" s="3">
        <v>32</v>
      </c>
      <c r="B38" s="4" t="s">
        <v>467</v>
      </c>
      <c r="C38" s="4" t="s">
        <v>468</v>
      </c>
      <c r="D38" s="4" t="s">
        <v>71</v>
      </c>
      <c r="E38" s="5">
        <v>34343</v>
      </c>
      <c r="F38" s="6">
        <v>361.30553149999997</v>
      </c>
      <c r="G38" s="7">
        <v>1.2360945E-2</v>
      </c>
      <c r="H38" s="39"/>
    </row>
    <row r="39" spans="1:8" ht="25.5" x14ac:dyDescent="0.2">
      <c r="A39" s="3">
        <v>33</v>
      </c>
      <c r="B39" s="4" t="s">
        <v>186</v>
      </c>
      <c r="C39" s="4" t="s">
        <v>187</v>
      </c>
      <c r="D39" s="4" t="s">
        <v>1158</v>
      </c>
      <c r="E39" s="5">
        <v>65640</v>
      </c>
      <c r="F39" s="6">
        <v>318.38682</v>
      </c>
      <c r="G39" s="7">
        <v>1.0892614E-2</v>
      </c>
      <c r="H39" s="39"/>
    </row>
    <row r="40" spans="1:8" ht="25.5" x14ac:dyDescent="0.2">
      <c r="A40" s="3">
        <v>34</v>
      </c>
      <c r="B40" s="4" t="s">
        <v>198</v>
      </c>
      <c r="C40" s="4" t="s">
        <v>199</v>
      </c>
      <c r="D40" s="4" t="s">
        <v>1138</v>
      </c>
      <c r="E40" s="5">
        <v>53835</v>
      </c>
      <c r="F40" s="6">
        <v>317.68033500000001</v>
      </c>
      <c r="G40" s="7">
        <v>1.0868444E-2</v>
      </c>
      <c r="H40" s="39"/>
    </row>
    <row r="41" spans="1:8" x14ac:dyDescent="0.2">
      <c r="A41" s="3">
        <v>35</v>
      </c>
      <c r="B41" s="4" t="s">
        <v>85</v>
      </c>
      <c r="C41" s="4" t="s">
        <v>86</v>
      </c>
      <c r="D41" s="4" t="s">
        <v>60</v>
      </c>
      <c r="E41" s="5">
        <v>20392</v>
      </c>
      <c r="F41" s="6">
        <v>312.782692</v>
      </c>
      <c r="G41" s="7">
        <v>1.0700886999999999E-2</v>
      </c>
      <c r="H41" s="39"/>
    </row>
    <row r="42" spans="1:8" ht="25.5" x14ac:dyDescent="0.2">
      <c r="A42" s="3">
        <v>36</v>
      </c>
      <c r="B42" s="4" t="s">
        <v>159</v>
      </c>
      <c r="C42" s="4" t="s">
        <v>160</v>
      </c>
      <c r="D42" s="4" t="s">
        <v>1138</v>
      </c>
      <c r="E42" s="5">
        <v>82543</v>
      </c>
      <c r="F42" s="6">
        <v>311.22838150000001</v>
      </c>
      <c r="G42" s="7">
        <v>1.0647711000000001E-2</v>
      </c>
      <c r="H42" s="39"/>
    </row>
    <row r="43" spans="1:8" x14ac:dyDescent="0.2">
      <c r="A43" s="3">
        <v>37</v>
      </c>
      <c r="B43" s="4" t="s">
        <v>192</v>
      </c>
      <c r="C43" s="4" t="s">
        <v>193</v>
      </c>
      <c r="D43" s="4" t="s">
        <v>1026</v>
      </c>
      <c r="E43" s="5">
        <v>63091</v>
      </c>
      <c r="F43" s="6">
        <v>302.42670850000002</v>
      </c>
      <c r="G43" s="7">
        <v>1.0346589E-2</v>
      </c>
      <c r="H43" s="39"/>
    </row>
    <row r="44" spans="1:8" x14ac:dyDescent="0.2">
      <c r="A44" s="3">
        <v>38</v>
      </c>
      <c r="B44" s="4" t="s">
        <v>469</v>
      </c>
      <c r="C44" s="4" t="s">
        <v>470</v>
      </c>
      <c r="D44" s="4" t="s">
        <v>29</v>
      </c>
      <c r="E44" s="5">
        <v>37025</v>
      </c>
      <c r="F44" s="6">
        <v>295.36693750000001</v>
      </c>
      <c r="G44" s="7">
        <v>1.0105061E-2</v>
      </c>
      <c r="H44" s="39"/>
    </row>
    <row r="45" spans="1:8" x14ac:dyDescent="0.2">
      <c r="A45" s="3">
        <v>39</v>
      </c>
      <c r="B45" s="4" t="s">
        <v>200</v>
      </c>
      <c r="C45" s="4" t="s">
        <v>201</v>
      </c>
      <c r="D45" s="4" t="s">
        <v>60</v>
      </c>
      <c r="E45" s="5">
        <v>343241</v>
      </c>
      <c r="F45" s="6">
        <v>294.50077800000003</v>
      </c>
      <c r="G45" s="7">
        <v>1.0075428000000001E-2</v>
      </c>
      <c r="H45" s="39"/>
    </row>
    <row r="46" spans="1:8" ht="25.5" x14ac:dyDescent="0.2">
      <c r="A46" s="3">
        <v>40</v>
      </c>
      <c r="B46" s="4" t="s">
        <v>182</v>
      </c>
      <c r="C46" s="4" t="s">
        <v>183</v>
      </c>
      <c r="D46" s="4" t="s">
        <v>1150</v>
      </c>
      <c r="E46" s="5">
        <v>154145</v>
      </c>
      <c r="F46" s="6">
        <v>292.25891999999999</v>
      </c>
      <c r="G46" s="7">
        <v>9.9987300000000008E-3</v>
      </c>
      <c r="H46" s="39"/>
    </row>
    <row r="47" spans="1:8" x14ac:dyDescent="0.2">
      <c r="A47" s="3">
        <v>41</v>
      </c>
      <c r="B47" s="4" t="s">
        <v>279</v>
      </c>
      <c r="C47" s="4" t="s">
        <v>280</v>
      </c>
      <c r="D47" s="4" t="s">
        <v>82</v>
      </c>
      <c r="E47" s="5">
        <v>471010</v>
      </c>
      <c r="F47" s="6">
        <v>290.84867500000001</v>
      </c>
      <c r="G47" s="7">
        <v>9.9504820000000001E-3</v>
      </c>
      <c r="H47" s="39"/>
    </row>
    <row r="48" spans="1:8" x14ac:dyDescent="0.2">
      <c r="A48" s="3">
        <v>42</v>
      </c>
      <c r="B48" s="4" t="s">
        <v>351</v>
      </c>
      <c r="C48" s="4" t="s">
        <v>352</v>
      </c>
      <c r="D48" s="4" t="s">
        <v>1154</v>
      </c>
      <c r="E48" s="5">
        <v>7944</v>
      </c>
      <c r="F48" s="6">
        <v>284.04566399999999</v>
      </c>
      <c r="G48" s="7">
        <v>9.7177389999999995E-3</v>
      </c>
      <c r="H48" s="39"/>
    </row>
    <row r="49" spans="1:8" x14ac:dyDescent="0.2">
      <c r="A49" s="3">
        <v>43</v>
      </c>
      <c r="B49" s="4" t="s">
        <v>471</v>
      </c>
      <c r="C49" s="4" t="s">
        <v>472</v>
      </c>
      <c r="D49" s="4" t="s">
        <v>1140</v>
      </c>
      <c r="E49" s="5">
        <v>47169</v>
      </c>
      <c r="F49" s="6">
        <v>282.58947899999998</v>
      </c>
      <c r="G49" s="7">
        <v>9.66792E-3</v>
      </c>
      <c r="H49" s="39"/>
    </row>
    <row r="50" spans="1:8" x14ac:dyDescent="0.2">
      <c r="A50" s="3">
        <v>44</v>
      </c>
      <c r="B50" s="4" t="s">
        <v>249</v>
      </c>
      <c r="C50" s="4" t="s">
        <v>250</v>
      </c>
      <c r="D50" s="4" t="s">
        <v>60</v>
      </c>
      <c r="E50" s="5">
        <v>76646</v>
      </c>
      <c r="F50" s="6">
        <v>281.09920499999998</v>
      </c>
      <c r="G50" s="7">
        <v>9.6169350000000001E-3</v>
      </c>
      <c r="H50" s="39"/>
    </row>
    <row r="51" spans="1:8" ht="25.5" x14ac:dyDescent="0.2">
      <c r="A51" s="3">
        <v>45</v>
      </c>
      <c r="B51" s="4" t="s">
        <v>184</v>
      </c>
      <c r="C51" s="4" t="s">
        <v>185</v>
      </c>
      <c r="D51" s="4" t="s">
        <v>1145</v>
      </c>
      <c r="E51" s="5">
        <v>60329</v>
      </c>
      <c r="F51" s="6">
        <v>272.95856049999998</v>
      </c>
      <c r="G51" s="7">
        <v>9.3384279999999993E-3</v>
      </c>
      <c r="H51" s="39"/>
    </row>
    <row r="52" spans="1:8" x14ac:dyDescent="0.2">
      <c r="A52" s="3">
        <v>46</v>
      </c>
      <c r="B52" s="4" t="s">
        <v>32</v>
      </c>
      <c r="C52" s="4" t="s">
        <v>33</v>
      </c>
      <c r="D52" s="4" t="s">
        <v>29</v>
      </c>
      <c r="E52" s="5">
        <v>8669</v>
      </c>
      <c r="F52" s="6">
        <v>261.92950050000002</v>
      </c>
      <c r="G52" s="7">
        <v>8.9611029999999998E-3</v>
      </c>
      <c r="H52" s="39"/>
    </row>
    <row r="53" spans="1:8" ht="25.5" x14ac:dyDescent="0.2">
      <c r="A53" s="3">
        <v>47</v>
      </c>
      <c r="B53" s="4" t="s">
        <v>168</v>
      </c>
      <c r="C53" s="4" t="s">
        <v>169</v>
      </c>
      <c r="D53" s="4" t="s">
        <v>1137</v>
      </c>
      <c r="E53" s="5">
        <v>108094</v>
      </c>
      <c r="F53" s="6">
        <v>259.96607</v>
      </c>
      <c r="G53" s="7">
        <v>8.8939299999999995E-3</v>
      </c>
      <c r="H53" s="39"/>
    </row>
    <row r="54" spans="1:8" x14ac:dyDescent="0.2">
      <c r="A54" s="3">
        <v>48</v>
      </c>
      <c r="B54" s="4" t="s">
        <v>180</v>
      </c>
      <c r="C54" s="4" t="s">
        <v>181</v>
      </c>
      <c r="D54" s="4" t="s">
        <v>1156</v>
      </c>
      <c r="E54" s="5">
        <v>79781</v>
      </c>
      <c r="F54" s="6">
        <v>255.49865249999999</v>
      </c>
      <c r="G54" s="7">
        <v>8.7410909999999994E-3</v>
      </c>
      <c r="H54" s="39"/>
    </row>
    <row r="55" spans="1:8" ht="25.5" x14ac:dyDescent="0.2">
      <c r="A55" s="3">
        <v>49</v>
      </c>
      <c r="B55" s="4" t="s">
        <v>260</v>
      </c>
      <c r="C55" s="4" t="s">
        <v>261</v>
      </c>
      <c r="D55" s="4" t="s">
        <v>1145</v>
      </c>
      <c r="E55" s="5">
        <v>63174</v>
      </c>
      <c r="F55" s="6">
        <v>255.03343799999999</v>
      </c>
      <c r="G55" s="7">
        <v>8.7251759999999994E-3</v>
      </c>
      <c r="H55" s="39"/>
    </row>
    <row r="56" spans="1:8" x14ac:dyDescent="0.2">
      <c r="A56" s="3">
        <v>50</v>
      </c>
      <c r="B56" s="4" t="s">
        <v>473</v>
      </c>
      <c r="C56" s="4" t="s">
        <v>474</v>
      </c>
      <c r="D56" s="4" t="s">
        <v>1155</v>
      </c>
      <c r="E56" s="5">
        <v>26884</v>
      </c>
      <c r="F56" s="6">
        <v>242.30549199999999</v>
      </c>
      <c r="G56" s="7">
        <v>8.2897289999999992E-3</v>
      </c>
      <c r="H56" s="39"/>
    </row>
    <row r="57" spans="1:8" ht="25.5" x14ac:dyDescent="0.2">
      <c r="A57" s="3">
        <v>51</v>
      </c>
      <c r="B57" s="4" t="s">
        <v>196</v>
      </c>
      <c r="C57" s="4" t="s">
        <v>197</v>
      </c>
      <c r="D57" s="4" t="s">
        <v>1138</v>
      </c>
      <c r="E57" s="5">
        <v>15127</v>
      </c>
      <c r="F57" s="6">
        <v>238.23512299999999</v>
      </c>
      <c r="G57" s="7">
        <v>8.1504730000000001E-3</v>
      </c>
      <c r="H57" s="39"/>
    </row>
    <row r="58" spans="1:8" x14ac:dyDescent="0.2">
      <c r="A58" s="3">
        <v>52</v>
      </c>
      <c r="B58" s="4" t="s">
        <v>254</v>
      </c>
      <c r="C58" s="4" t="s">
        <v>255</v>
      </c>
      <c r="D58" s="4" t="s">
        <v>15</v>
      </c>
      <c r="E58" s="5">
        <v>85308</v>
      </c>
      <c r="F58" s="6">
        <v>229.777098</v>
      </c>
      <c r="G58" s="7">
        <v>7.8611080000000003E-3</v>
      </c>
      <c r="H58" s="39"/>
    </row>
    <row r="59" spans="1:8" x14ac:dyDescent="0.2">
      <c r="A59" s="3">
        <v>53</v>
      </c>
      <c r="B59" s="4" t="s">
        <v>190</v>
      </c>
      <c r="C59" s="4" t="s">
        <v>191</v>
      </c>
      <c r="D59" s="4" t="s">
        <v>1169</v>
      </c>
      <c r="E59" s="5">
        <v>253152</v>
      </c>
      <c r="F59" s="6">
        <v>226.31788800000001</v>
      </c>
      <c r="G59" s="7">
        <v>7.7427620000000003E-3</v>
      </c>
      <c r="H59" s="39"/>
    </row>
    <row r="60" spans="1:8" ht="25.5" x14ac:dyDescent="0.2">
      <c r="A60" s="3">
        <v>54</v>
      </c>
      <c r="B60" s="4" t="s">
        <v>262</v>
      </c>
      <c r="C60" s="4" t="s">
        <v>263</v>
      </c>
      <c r="D60" s="4" t="s">
        <v>1141</v>
      </c>
      <c r="E60" s="5">
        <v>75410</v>
      </c>
      <c r="F60" s="6">
        <v>222.23327</v>
      </c>
      <c r="G60" s="7">
        <v>7.6030200000000003E-3</v>
      </c>
      <c r="H60" s="39"/>
    </row>
    <row r="61" spans="1:8" x14ac:dyDescent="0.2">
      <c r="A61" s="3">
        <v>55</v>
      </c>
      <c r="B61" s="4" t="s">
        <v>228</v>
      </c>
      <c r="C61" s="4" t="s">
        <v>229</v>
      </c>
      <c r="D61" s="4" t="s">
        <v>29</v>
      </c>
      <c r="E61" s="5">
        <v>21784</v>
      </c>
      <c r="F61" s="6">
        <v>222.18590800000001</v>
      </c>
      <c r="G61" s="7">
        <v>7.6014000000000003E-3</v>
      </c>
      <c r="H61" s="39"/>
    </row>
    <row r="62" spans="1:8" ht="25.5" x14ac:dyDescent="0.2">
      <c r="A62" s="3">
        <v>56</v>
      </c>
      <c r="B62" s="4" t="s">
        <v>176</v>
      </c>
      <c r="C62" s="4" t="s">
        <v>177</v>
      </c>
      <c r="D62" s="4" t="s">
        <v>71</v>
      </c>
      <c r="E62" s="5">
        <v>12284</v>
      </c>
      <c r="F62" s="6">
        <v>217.51893000000001</v>
      </c>
      <c r="G62" s="7">
        <v>7.4417329999999999E-3</v>
      </c>
      <c r="H62" s="39"/>
    </row>
    <row r="63" spans="1:8" x14ac:dyDescent="0.2">
      <c r="A63" s="3">
        <v>57</v>
      </c>
      <c r="B63" s="4" t="s">
        <v>475</v>
      </c>
      <c r="C63" s="4" t="s">
        <v>476</v>
      </c>
      <c r="D63" s="4" t="s">
        <v>82</v>
      </c>
      <c r="E63" s="5">
        <v>25528</v>
      </c>
      <c r="F63" s="6">
        <v>216.911416</v>
      </c>
      <c r="G63" s="7">
        <v>7.4209489999999996E-3</v>
      </c>
      <c r="H63" s="39"/>
    </row>
    <row r="64" spans="1:8" x14ac:dyDescent="0.2">
      <c r="A64" s="3">
        <v>58</v>
      </c>
      <c r="B64" s="4" t="s">
        <v>477</v>
      </c>
      <c r="C64" s="4" t="s">
        <v>478</v>
      </c>
      <c r="D64" s="4" t="s">
        <v>1026</v>
      </c>
      <c r="E64" s="5">
        <v>342887</v>
      </c>
      <c r="F64" s="6">
        <v>216.87602749999999</v>
      </c>
      <c r="G64" s="7">
        <v>7.4197380000000004E-3</v>
      </c>
      <c r="H64" s="39"/>
    </row>
    <row r="65" spans="1:8" ht="25.5" x14ac:dyDescent="0.2">
      <c r="A65" s="3">
        <v>59</v>
      </c>
      <c r="B65" s="4" t="s">
        <v>178</v>
      </c>
      <c r="C65" s="4" t="s">
        <v>179</v>
      </c>
      <c r="D65" s="4" t="s">
        <v>1153</v>
      </c>
      <c r="E65" s="5">
        <v>23134</v>
      </c>
      <c r="F65" s="6">
        <v>210.889544</v>
      </c>
      <c r="G65" s="7">
        <v>7.2149299999999996E-3</v>
      </c>
      <c r="H65" s="39"/>
    </row>
    <row r="66" spans="1:8" ht="25.5" x14ac:dyDescent="0.2">
      <c r="A66" s="3">
        <v>60</v>
      </c>
      <c r="B66" s="4" t="s">
        <v>268</v>
      </c>
      <c r="C66" s="4" t="s">
        <v>269</v>
      </c>
      <c r="D66" s="4" t="s">
        <v>1139</v>
      </c>
      <c r="E66" s="5">
        <v>28337</v>
      </c>
      <c r="F66" s="6">
        <v>199.1949415</v>
      </c>
      <c r="G66" s="7">
        <v>6.814835E-3</v>
      </c>
      <c r="H66" s="39"/>
    </row>
    <row r="67" spans="1:8" x14ac:dyDescent="0.2">
      <c r="A67" s="3">
        <v>61</v>
      </c>
      <c r="B67" s="4" t="s">
        <v>266</v>
      </c>
      <c r="C67" s="4" t="s">
        <v>267</v>
      </c>
      <c r="D67" s="4" t="s">
        <v>1155</v>
      </c>
      <c r="E67" s="5">
        <v>129053</v>
      </c>
      <c r="F67" s="6">
        <v>194.22476499999999</v>
      </c>
      <c r="G67" s="7">
        <v>6.6447959999999997E-3</v>
      </c>
      <c r="H67" s="39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1154</v>
      </c>
      <c r="E68" s="5">
        <v>31011</v>
      </c>
      <c r="F68" s="6">
        <v>182.74782300000001</v>
      </c>
      <c r="G68" s="7">
        <v>6.2521479999999999E-3</v>
      </c>
      <c r="H68" s="39"/>
    </row>
    <row r="69" spans="1:8" x14ac:dyDescent="0.2">
      <c r="A69" s="3">
        <v>63</v>
      </c>
      <c r="B69" s="4" t="s">
        <v>218</v>
      </c>
      <c r="C69" s="4" t="s">
        <v>219</v>
      </c>
      <c r="D69" s="4" t="s">
        <v>1026</v>
      </c>
      <c r="E69" s="5">
        <v>172816</v>
      </c>
      <c r="F69" s="6">
        <v>174.11212</v>
      </c>
      <c r="G69" s="7">
        <v>5.9567040000000002E-3</v>
      </c>
      <c r="H69" s="39"/>
    </row>
    <row r="70" spans="1:8" x14ac:dyDescent="0.2">
      <c r="A70" s="3">
        <v>64</v>
      </c>
      <c r="B70" s="4" t="s">
        <v>210</v>
      </c>
      <c r="C70" s="4" t="s">
        <v>211</v>
      </c>
      <c r="D70" s="4" t="s">
        <v>91</v>
      </c>
      <c r="E70" s="5">
        <v>20203</v>
      </c>
      <c r="F70" s="6">
        <v>155.8560435</v>
      </c>
      <c r="G70" s="7">
        <v>5.33213E-3</v>
      </c>
      <c r="H70" s="39"/>
    </row>
    <row r="71" spans="1:8" ht="25.5" x14ac:dyDescent="0.2">
      <c r="A71" s="3">
        <v>65</v>
      </c>
      <c r="B71" s="4" t="s">
        <v>289</v>
      </c>
      <c r="C71" s="4" t="s">
        <v>290</v>
      </c>
      <c r="D71" s="4" t="s">
        <v>1153</v>
      </c>
      <c r="E71" s="5">
        <v>23384</v>
      </c>
      <c r="F71" s="6">
        <v>155.53867600000001</v>
      </c>
      <c r="G71" s="7">
        <v>5.3212720000000002E-3</v>
      </c>
      <c r="H71" s="39"/>
    </row>
    <row r="72" spans="1:8" x14ac:dyDescent="0.2">
      <c r="A72" s="3">
        <v>66</v>
      </c>
      <c r="B72" s="4" t="s">
        <v>208</v>
      </c>
      <c r="C72" s="4" t="s">
        <v>209</v>
      </c>
      <c r="D72" s="4" t="s">
        <v>71</v>
      </c>
      <c r="E72" s="5">
        <v>25180</v>
      </c>
      <c r="F72" s="6">
        <v>154.59261000000001</v>
      </c>
      <c r="G72" s="7">
        <v>5.288905E-3</v>
      </c>
      <c r="H72" s="39"/>
    </row>
    <row r="73" spans="1:8" x14ac:dyDescent="0.2">
      <c r="A73" s="3">
        <v>67</v>
      </c>
      <c r="B73" s="4" t="s">
        <v>202</v>
      </c>
      <c r="C73" s="4" t="s">
        <v>203</v>
      </c>
      <c r="D73" s="4" t="s">
        <v>71</v>
      </c>
      <c r="E73" s="5">
        <v>66104</v>
      </c>
      <c r="F73" s="6">
        <v>146.618672</v>
      </c>
      <c r="G73" s="7">
        <v>5.0161019999999997E-3</v>
      </c>
      <c r="H73" s="39"/>
    </row>
    <row r="74" spans="1:8" x14ac:dyDescent="0.2">
      <c r="A74" s="3">
        <v>68</v>
      </c>
      <c r="B74" s="4" t="s">
        <v>479</v>
      </c>
      <c r="C74" s="4" t="s">
        <v>480</v>
      </c>
      <c r="D74" s="4" t="s">
        <v>18</v>
      </c>
      <c r="E74" s="5">
        <v>64744</v>
      </c>
      <c r="F74" s="6">
        <v>136.70695599999999</v>
      </c>
      <c r="G74" s="7">
        <v>4.6770029999999999E-3</v>
      </c>
      <c r="H74" s="39"/>
    </row>
    <row r="75" spans="1:8" x14ac:dyDescent="0.2">
      <c r="A75" s="3">
        <v>69</v>
      </c>
      <c r="B75" s="4" t="s">
        <v>224</v>
      </c>
      <c r="C75" s="4" t="s">
        <v>225</v>
      </c>
      <c r="D75" s="4" t="s">
        <v>1154</v>
      </c>
      <c r="E75" s="5">
        <v>27652</v>
      </c>
      <c r="F75" s="6">
        <v>134.900282</v>
      </c>
      <c r="G75" s="7">
        <v>4.6151930000000001E-3</v>
      </c>
      <c r="H75" s="39"/>
    </row>
    <row r="76" spans="1:8" x14ac:dyDescent="0.2">
      <c r="A76" s="3">
        <v>70</v>
      </c>
      <c r="B76" s="4" t="s">
        <v>104</v>
      </c>
      <c r="C76" s="4" t="s">
        <v>105</v>
      </c>
      <c r="D76" s="4" t="s">
        <v>1157</v>
      </c>
      <c r="E76" s="5">
        <v>161000</v>
      </c>
      <c r="F76" s="6">
        <v>125.17749999999999</v>
      </c>
      <c r="G76" s="7">
        <v>4.282559E-3</v>
      </c>
      <c r="H76" s="39"/>
    </row>
    <row r="77" spans="1:8" ht="25.5" x14ac:dyDescent="0.2">
      <c r="A77" s="3">
        <v>71</v>
      </c>
      <c r="B77" s="4" t="s">
        <v>216</v>
      </c>
      <c r="C77" s="4" t="s">
        <v>217</v>
      </c>
      <c r="D77" s="4" t="s">
        <v>1138</v>
      </c>
      <c r="E77" s="5">
        <v>3032</v>
      </c>
      <c r="F77" s="6">
        <v>121.352768</v>
      </c>
      <c r="G77" s="7">
        <v>4.1517070000000001E-3</v>
      </c>
      <c r="H77" s="39"/>
    </row>
    <row r="78" spans="1:8" ht="25.5" x14ac:dyDescent="0.2">
      <c r="A78" s="3">
        <v>72</v>
      </c>
      <c r="B78" s="4" t="s">
        <v>276</v>
      </c>
      <c r="C78" s="4" t="s">
        <v>277</v>
      </c>
      <c r="D78" s="4" t="s">
        <v>1138</v>
      </c>
      <c r="E78" s="5">
        <v>49569</v>
      </c>
      <c r="F78" s="6">
        <v>104.11968450000001</v>
      </c>
      <c r="G78" s="7">
        <v>3.5621310000000001E-3</v>
      </c>
      <c r="H78" s="39"/>
    </row>
    <row r="79" spans="1:8" ht="25.5" x14ac:dyDescent="0.2">
      <c r="A79" s="3">
        <v>73</v>
      </c>
      <c r="B79" s="4" t="s">
        <v>222</v>
      </c>
      <c r="C79" s="4" t="s">
        <v>223</v>
      </c>
      <c r="D79" s="4" t="s">
        <v>1153</v>
      </c>
      <c r="E79" s="5">
        <v>9154</v>
      </c>
      <c r="F79" s="6">
        <v>84.299186000000006</v>
      </c>
      <c r="G79" s="7">
        <v>2.8840340000000002E-3</v>
      </c>
      <c r="H79" s="39"/>
    </row>
    <row r="80" spans="1:8" x14ac:dyDescent="0.2">
      <c r="A80" s="3">
        <v>74</v>
      </c>
      <c r="B80" s="4" t="s">
        <v>212</v>
      </c>
      <c r="C80" s="4" t="s">
        <v>213</v>
      </c>
      <c r="D80" s="4" t="s">
        <v>308</v>
      </c>
      <c r="E80" s="5">
        <v>13773</v>
      </c>
      <c r="F80" s="6">
        <v>79.828308000000007</v>
      </c>
      <c r="G80" s="7">
        <v>2.7310770000000002E-3</v>
      </c>
      <c r="H80" s="39"/>
    </row>
    <row r="81" spans="1:8" x14ac:dyDescent="0.2">
      <c r="A81" s="3">
        <v>75</v>
      </c>
      <c r="B81" s="4" t="s">
        <v>214</v>
      </c>
      <c r="C81" s="4" t="s">
        <v>215</v>
      </c>
      <c r="D81" s="4" t="s">
        <v>18</v>
      </c>
      <c r="E81" s="5">
        <v>65187</v>
      </c>
      <c r="F81" s="6">
        <v>45.239778000000001</v>
      </c>
      <c r="G81" s="7">
        <v>1.5477379999999999E-3</v>
      </c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9">
        <v>27829.982561500001</v>
      </c>
      <c r="G82" s="10">
        <v>0.95211626500000002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113</v>
      </c>
      <c r="D84" s="1"/>
      <c r="E84" s="1"/>
      <c r="F84" s="1"/>
      <c r="G84" s="1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114</v>
      </c>
      <c r="D87" s="1"/>
      <c r="E87" s="1"/>
      <c r="F87" s="1"/>
      <c r="G87" s="1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115</v>
      </c>
      <c r="D90" s="1"/>
      <c r="E90" s="1"/>
      <c r="F90" s="1"/>
      <c r="G90" s="1"/>
      <c r="H90" s="39"/>
    </row>
    <row r="91" spans="1:8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116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117</v>
      </c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118</v>
      </c>
      <c r="D99" s="1"/>
      <c r="E99" s="1"/>
      <c r="F99" s="9">
        <v>27829.982561500001</v>
      </c>
      <c r="G99" s="10">
        <v>0.95211626500000002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119</v>
      </c>
      <c r="D101" s="1"/>
      <c r="E101" s="1"/>
      <c r="F101" s="12"/>
      <c r="G101" s="12"/>
      <c r="H101" s="39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120</v>
      </c>
      <c r="D105" s="1"/>
      <c r="E105" s="1"/>
      <c r="F105" s="1"/>
      <c r="G105" s="1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121</v>
      </c>
      <c r="D108" s="1"/>
      <c r="E108" s="1"/>
      <c r="F108" s="1"/>
      <c r="G108" s="1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122</v>
      </c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8" x14ac:dyDescent="0.2">
      <c r="A113" s="1"/>
      <c r="B113" s="1"/>
      <c r="C113" s="11"/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123</v>
      </c>
      <c r="D114" s="1"/>
      <c r="E114" s="1"/>
      <c r="F114" s="9">
        <v>0</v>
      </c>
      <c r="G114" s="10">
        <v>0</v>
      </c>
      <c r="H114" s="39"/>
    </row>
    <row r="115" spans="1:8" x14ac:dyDescent="0.2">
      <c r="A115" s="1"/>
      <c r="B115" s="1"/>
      <c r="C115" s="11"/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124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125</v>
      </c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126</v>
      </c>
      <c r="D120" s="1"/>
      <c r="E120" s="1"/>
      <c r="F120" s="12"/>
      <c r="G120" s="12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127</v>
      </c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x14ac:dyDescent="0.2">
      <c r="A126" s="1"/>
      <c r="B126" s="1"/>
      <c r="C126" s="2" t="s">
        <v>128</v>
      </c>
      <c r="D126" s="1"/>
      <c r="E126" s="1"/>
      <c r="F126" s="12"/>
      <c r="G126" s="12"/>
      <c r="H126" s="39"/>
    </row>
    <row r="127" spans="1:8" x14ac:dyDescent="0.2">
      <c r="A127" s="3">
        <v>1</v>
      </c>
      <c r="B127" s="4"/>
      <c r="C127" s="4" t="s">
        <v>129</v>
      </c>
      <c r="D127" s="4"/>
      <c r="E127" s="8"/>
      <c r="F127" s="6">
        <v>1085.1252987</v>
      </c>
      <c r="G127" s="7">
        <v>3.7124186000000003E-2</v>
      </c>
      <c r="H127" s="39">
        <v>3.6151121728634927</v>
      </c>
    </row>
    <row r="128" spans="1:8" x14ac:dyDescent="0.2">
      <c r="A128" s="3">
        <v>2</v>
      </c>
      <c r="B128" s="4"/>
      <c r="C128" s="4" t="s">
        <v>130</v>
      </c>
      <c r="D128" s="4"/>
      <c r="E128" s="8"/>
      <c r="F128" s="6">
        <v>383.67534920000003</v>
      </c>
      <c r="G128" s="7">
        <v>1.3126258E-2</v>
      </c>
      <c r="H128" s="39">
        <v>3.7142625760646584</v>
      </c>
    </row>
    <row r="129" spans="1:8" x14ac:dyDescent="0.2">
      <c r="A129" s="1"/>
      <c r="B129" s="1"/>
      <c r="C129" s="2" t="s">
        <v>111</v>
      </c>
      <c r="D129" s="1"/>
      <c r="E129" s="1" t="s">
        <v>112</v>
      </c>
      <c r="F129" s="9">
        <v>1468.8006479000001</v>
      </c>
      <c r="G129" s="10">
        <v>5.0250443999999998E-2</v>
      </c>
      <c r="H129" s="39"/>
    </row>
    <row r="130" spans="1:8" x14ac:dyDescent="0.2">
      <c r="A130" s="1"/>
      <c r="B130" s="1"/>
      <c r="C130" s="11"/>
      <c r="D130" s="1"/>
      <c r="E130" s="1"/>
      <c r="F130" s="12"/>
      <c r="G130" s="12"/>
      <c r="H130" s="39"/>
    </row>
    <row r="131" spans="1:8" x14ac:dyDescent="0.2">
      <c r="A131" s="1"/>
      <c r="B131" s="1"/>
      <c r="C131" s="2" t="s">
        <v>131</v>
      </c>
      <c r="D131" s="1"/>
      <c r="E131" s="1"/>
      <c r="F131" s="9">
        <v>1468.8006479000001</v>
      </c>
      <c r="G131" s="10">
        <v>5.0250443999999998E-2</v>
      </c>
      <c r="H131" s="39"/>
    </row>
    <row r="132" spans="1:8" x14ac:dyDescent="0.2">
      <c r="A132" s="1"/>
      <c r="B132" s="1"/>
      <c r="C132" s="12"/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132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133</v>
      </c>
      <c r="D134" s="1"/>
      <c r="E134" s="1"/>
      <c r="F134" s="1"/>
      <c r="G134" s="1"/>
      <c r="H134" s="39"/>
    </row>
    <row r="135" spans="1:8" x14ac:dyDescent="0.2">
      <c r="A135" s="1"/>
      <c r="B135" s="1"/>
      <c r="C135" s="2" t="s">
        <v>111</v>
      </c>
      <c r="D135" s="1"/>
      <c r="E135" s="1" t="s">
        <v>112</v>
      </c>
      <c r="F135" s="13">
        <v>0</v>
      </c>
      <c r="G135" s="14">
        <v>0</v>
      </c>
      <c r="H135" s="39"/>
    </row>
    <row r="136" spans="1:8" x14ac:dyDescent="0.2">
      <c r="A136" s="1"/>
      <c r="B136" s="1"/>
      <c r="C136" s="11"/>
      <c r="D136" s="1"/>
      <c r="E136" s="1"/>
      <c r="F136" s="12"/>
      <c r="G136" s="12"/>
      <c r="H136" s="39"/>
    </row>
    <row r="137" spans="1:8" x14ac:dyDescent="0.2">
      <c r="A137" s="1"/>
      <c r="B137" s="1"/>
      <c r="C137" s="2" t="s">
        <v>134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135</v>
      </c>
      <c r="D138" s="1"/>
      <c r="E138" s="1"/>
      <c r="F138" s="1"/>
      <c r="G138" s="1"/>
      <c r="H138" s="39"/>
    </row>
    <row r="139" spans="1:8" x14ac:dyDescent="0.2">
      <c r="A139" s="1"/>
      <c r="B139" s="1"/>
      <c r="C139" s="2" t="s">
        <v>111</v>
      </c>
      <c r="D139" s="1"/>
      <c r="E139" s="1" t="s">
        <v>112</v>
      </c>
      <c r="F139" s="13">
        <v>0</v>
      </c>
      <c r="G139" s="14">
        <v>0</v>
      </c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x14ac:dyDescent="0.2">
      <c r="A141" s="1"/>
      <c r="B141" s="1"/>
      <c r="C141" s="11"/>
      <c r="D141" s="1"/>
      <c r="E141" s="1"/>
      <c r="F141" s="12"/>
      <c r="G141" s="12"/>
      <c r="H141" s="39"/>
    </row>
    <row r="142" spans="1:8" ht="25.5" x14ac:dyDescent="0.2">
      <c r="A142" s="1"/>
      <c r="B142" s="1"/>
      <c r="C142" s="2" t="s">
        <v>136</v>
      </c>
      <c r="D142" s="1"/>
      <c r="E142" s="1"/>
      <c r="F142" s="12"/>
      <c r="G142" s="12"/>
      <c r="H142" s="39"/>
    </row>
    <row r="143" spans="1:8" x14ac:dyDescent="0.2">
      <c r="A143" s="1"/>
      <c r="B143" s="1"/>
      <c r="C143" s="2" t="s">
        <v>111</v>
      </c>
      <c r="D143" s="1"/>
      <c r="E143" s="1" t="s">
        <v>112</v>
      </c>
      <c r="F143" s="13">
        <v>0</v>
      </c>
      <c r="G143" s="14">
        <v>0</v>
      </c>
      <c r="H143" s="39"/>
    </row>
    <row r="144" spans="1:8" x14ac:dyDescent="0.2">
      <c r="A144" s="1"/>
      <c r="B144" s="1"/>
      <c r="C144" s="11"/>
      <c r="D144" s="1"/>
      <c r="E144" s="1"/>
      <c r="F144" s="12"/>
      <c r="G144" s="12"/>
      <c r="H144" s="39"/>
    </row>
    <row r="145" spans="1:8" x14ac:dyDescent="0.2">
      <c r="A145" s="1"/>
      <c r="B145" s="4"/>
      <c r="C145" s="4"/>
      <c r="D145" s="2"/>
      <c r="E145" s="1"/>
      <c r="F145" s="4"/>
      <c r="G145" s="8"/>
      <c r="H145" s="39"/>
    </row>
    <row r="146" spans="1:8" x14ac:dyDescent="0.2">
      <c r="A146" s="8"/>
      <c r="B146" s="4"/>
      <c r="C146" s="4" t="s">
        <v>137</v>
      </c>
      <c r="D146" s="4"/>
      <c r="E146" s="8"/>
      <c r="F146" s="6">
        <v>-69.17794361</v>
      </c>
      <c r="G146" s="7">
        <v>-2.3667079999999999E-3</v>
      </c>
      <c r="H146" s="39"/>
    </row>
    <row r="147" spans="1:8" x14ac:dyDescent="0.2">
      <c r="A147" s="11"/>
      <c r="B147" s="11"/>
      <c r="C147" s="2" t="s">
        <v>138</v>
      </c>
      <c r="D147" s="15"/>
      <c r="E147" s="15"/>
      <c r="F147" s="9">
        <v>29229.60526579</v>
      </c>
      <c r="G147" s="10">
        <v>1.0000000010000001</v>
      </c>
      <c r="H147" s="39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94" t="s">
        <v>140</v>
      </c>
      <c r="C150" s="195"/>
      <c r="D150" s="12" t="s">
        <v>112</v>
      </c>
      <c r="E150" s="21"/>
      <c r="F150" s="20"/>
      <c r="G150" s="20"/>
    </row>
    <row r="151" spans="1:8" ht="29.1" customHeight="1" x14ac:dyDescent="0.2">
      <c r="A151" s="18"/>
      <c r="B151" s="189" t="s">
        <v>141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143</v>
      </c>
      <c r="C152" s="190"/>
      <c r="D152" s="2" t="s">
        <v>142</v>
      </c>
      <c r="E152" s="21"/>
      <c r="F152" s="20"/>
      <c r="G152" s="20"/>
    </row>
    <row r="153" spans="1:8" ht="17.100000000000001" customHeight="1" x14ac:dyDescent="0.2">
      <c r="A153" s="18"/>
      <c r="B153" s="189" t="s">
        <v>144</v>
      </c>
      <c r="C153" s="190"/>
      <c r="D153" s="12" t="s">
        <v>112</v>
      </c>
      <c r="E153" s="21"/>
      <c r="F153" s="20"/>
      <c r="G153" s="20"/>
    </row>
    <row r="154" spans="1:8" ht="24" customHeight="1" x14ac:dyDescent="0.2">
      <c r="A154" s="22"/>
      <c r="B154" s="23" t="s">
        <v>112</v>
      </c>
      <c r="C154" s="23" t="s">
        <v>145</v>
      </c>
      <c r="D154" s="23" t="s">
        <v>146</v>
      </c>
      <c r="E154" s="22"/>
      <c r="F154" s="22"/>
      <c r="G154" s="22"/>
    </row>
    <row r="155" spans="1:8" ht="18" customHeight="1" x14ac:dyDescent="0.2">
      <c r="A155" s="22"/>
      <c r="B155" s="23" t="s">
        <v>147</v>
      </c>
      <c r="C155" s="23" t="s">
        <v>148</v>
      </c>
      <c r="D155" s="23" t="s">
        <v>149</v>
      </c>
      <c r="E155" s="22"/>
      <c r="F155" s="22"/>
      <c r="G155" s="22"/>
    </row>
    <row r="156" spans="1:8" ht="17.100000000000001" customHeight="1" x14ac:dyDescent="0.2">
      <c r="A156" s="22"/>
      <c r="B156" s="4" t="s">
        <v>150</v>
      </c>
      <c r="C156" s="24">
        <v>15.063499999999999</v>
      </c>
      <c r="D156" s="24">
        <v>16.189699999999998</v>
      </c>
      <c r="E156" s="22"/>
      <c r="F156" s="19"/>
      <c r="G156" s="25"/>
    </row>
    <row r="157" spans="1:8" ht="17.100000000000001" customHeight="1" x14ac:dyDescent="0.2">
      <c r="A157" s="22"/>
      <c r="B157" s="4" t="s">
        <v>1092</v>
      </c>
      <c r="C157" s="24">
        <v>15.063499999999999</v>
      </c>
      <c r="D157" s="24">
        <v>16.189699999999998</v>
      </c>
      <c r="E157" s="22"/>
      <c r="F157" s="19"/>
      <c r="G157" s="25"/>
    </row>
    <row r="158" spans="1:8" ht="17.100000000000001" customHeight="1" x14ac:dyDescent="0.2">
      <c r="A158" s="22"/>
      <c r="B158" s="4" t="s">
        <v>151</v>
      </c>
      <c r="C158" s="24">
        <v>14.6592</v>
      </c>
      <c r="D158" s="24">
        <v>15.7492</v>
      </c>
      <c r="E158" s="22"/>
      <c r="F158" s="19"/>
      <c r="G158" s="25"/>
    </row>
    <row r="159" spans="1:8" ht="17.100000000000001" customHeight="1" x14ac:dyDescent="0.2">
      <c r="A159" s="22"/>
      <c r="B159" s="4" t="s">
        <v>1093</v>
      </c>
      <c r="C159" s="24">
        <v>14.6592</v>
      </c>
      <c r="D159" s="24">
        <v>15.7492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89" t="s">
        <v>1094</v>
      </c>
      <c r="C161" s="190"/>
      <c r="D161" s="2" t="s">
        <v>142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101" customFormat="1" x14ac:dyDescent="0.2">
      <c r="B163" s="193" t="s">
        <v>1102</v>
      </c>
      <c r="C163" s="193"/>
      <c r="D163" s="193"/>
      <c r="E163" s="193"/>
      <c r="F163" s="193"/>
      <c r="I163"/>
      <c r="J163"/>
      <c r="K163"/>
      <c r="L163"/>
      <c r="M163"/>
      <c r="N163"/>
      <c r="O163"/>
      <c r="P163" s="41"/>
      <c r="Q163" s="41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</row>
    <row r="165" spans="1:17" ht="29.1" customHeight="1" x14ac:dyDescent="0.2">
      <c r="A165" s="22"/>
      <c r="B165" s="189" t="s">
        <v>152</v>
      </c>
      <c r="C165" s="190"/>
      <c r="D165" s="2" t="s">
        <v>142</v>
      </c>
      <c r="E165" s="22"/>
      <c r="F165" s="22"/>
      <c r="G165" s="22"/>
      <c r="J165" s="101"/>
      <c r="K165" s="101"/>
      <c r="L165" s="101"/>
      <c r="M165" s="101"/>
      <c r="N165" s="101"/>
      <c r="O165" s="101"/>
    </row>
    <row r="166" spans="1:17" ht="29.1" customHeight="1" x14ac:dyDescent="0.2">
      <c r="A166" s="22"/>
      <c r="B166" s="189" t="s">
        <v>153</v>
      </c>
      <c r="C166" s="190"/>
      <c r="D166" s="2" t="s">
        <v>142</v>
      </c>
      <c r="E166" s="22"/>
      <c r="F166" s="22"/>
      <c r="G166" s="22"/>
    </row>
    <row r="167" spans="1:17" ht="17.100000000000001" customHeight="1" x14ac:dyDescent="0.2">
      <c r="A167" s="22"/>
      <c r="B167" s="189" t="s">
        <v>154</v>
      </c>
      <c r="C167" s="190"/>
      <c r="D167" s="28">
        <v>0.34558126498503888</v>
      </c>
      <c r="E167" s="22"/>
      <c r="F167" s="19"/>
      <c r="G167" s="25"/>
    </row>
    <row r="168" spans="1:17" ht="17.100000000000001" customHeight="1" x14ac:dyDescent="0.2">
      <c r="A168" s="22"/>
      <c r="B168" s="189" t="s">
        <v>155</v>
      </c>
      <c r="C168" s="190"/>
      <c r="D168" s="2" t="s">
        <v>142</v>
      </c>
      <c r="E168" s="22"/>
      <c r="F168" s="22"/>
      <c r="G168" s="22"/>
    </row>
  </sheetData>
  <mergeCells count="14">
    <mergeCell ref="B168:C168"/>
    <mergeCell ref="B151:C151"/>
    <mergeCell ref="B152:C152"/>
    <mergeCell ref="B153:C153"/>
    <mergeCell ref="B161:C161"/>
    <mergeCell ref="B165:C165"/>
    <mergeCell ref="B166:C166"/>
    <mergeCell ref="B167:C167"/>
    <mergeCell ref="A1:H1"/>
    <mergeCell ref="A2:H2"/>
    <mergeCell ref="A3:H3"/>
    <mergeCell ref="B163:F163"/>
    <mergeCell ref="J2:N2"/>
    <mergeCell ref="B150:C15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84041</v>
      </c>
      <c r="F7" s="6">
        <v>1059.75701</v>
      </c>
      <c r="G7" s="7">
        <v>3.3912572000000002E-2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135633</v>
      </c>
      <c r="F8" s="6">
        <v>971.53917899999999</v>
      </c>
      <c r="G8" s="7">
        <v>3.1089572999999999E-2</v>
      </c>
      <c r="H8" s="39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162335</v>
      </c>
      <c r="F9" s="6">
        <v>950.39025749999996</v>
      </c>
      <c r="G9" s="7">
        <v>3.04128E-2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22704</v>
      </c>
      <c r="F10" s="6">
        <v>926.82268799999997</v>
      </c>
      <c r="G10" s="7">
        <v>2.9658629999999998E-2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479000</v>
      </c>
      <c r="F11" s="6">
        <v>907.46550000000002</v>
      </c>
      <c r="G11" s="7">
        <v>2.9039194000000001E-2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43750</v>
      </c>
      <c r="F12" s="6">
        <v>787.47812499999998</v>
      </c>
      <c r="G12" s="7">
        <v>2.5199558E-2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129586</v>
      </c>
      <c r="F13" s="6">
        <v>778.87665300000003</v>
      </c>
      <c r="G13" s="7">
        <v>2.4924308999999999E-2</v>
      </c>
      <c r="H13" s="39"/>
    </row>
    <row r="14" spans="1:14" x14ac:dyDescent="0.2">
      <c r="A14" s="3">
        <v>8</v>
      </c>
      <c r="B14" s="4" t="s">
        <v>245</v>
      </c>
      <c r="C14" s="4" t="s">
        <v>246</v>
      </c>
      <c r="D14" s="4" t="s">
        <v>29</v>
      </c>
      <c r="E14" s="5">
        <v>90886</v>
      </c>
      <c r="F14" s="6">
        <v>768.66834500000004</v>
      </c>
      <c r="G14" s="7">
        <v>2.4597639000000001E-2</v>
      </c>
      <c r="H14" s="39"/>
    </row>
    <row r="15" spans="1:14" x14ac:dyDescent="0.2">
      <c r="A15" s="3">
        <v>9</v>
      </c>
      <c r="B15" s="4" t="s">
        <v>220</v>
      </c>
      <c r="C15" s="4" t="s">
        <v>221</v>
      </c>
      <c r="D15" s="4" t="s">
        <v>1149</v>
      </c>
      <c r="E15" s="5">
        <v>143859</v>
      </c>
      <c r="F15" s="6">
        <v>762.16498200000001</v>
      </c>
      <c r="G15" s="7">
        <v>2.438953E-2</v>
      </c>
      <c r="H15" s="39"/>
    </row>
    <row r="16" spans="1:14" ht="15" x14ac:dyDescent="0.2">
      <c r="A16" s="3">
        <v>10</v>
      </c>
      <c r="B16" s="4" t="s">
        <v>241</v>
      </c>
      <c r="C16" s="4" t="s">
        <v>242</v>
      </c>
      <c r="D16" s="4" t="s">
        <v>1143</v>
      </c>
      <c r="E16" s="5">
        <v>15854</v>
      </c>
      <c r="F16" s="6">
        <v>755.49066200000004</v>
      </c>
      <c r="G16" s="7">
        <v>2.4175948999999999E-2</v>
      </c>
      <c r="H16" s="39"/>
      <c r="J16" s="176" t="s">
        <v>1181</v>
      </c>
    </row>
    <row r="17" spans="1:8" x14ac:dyDescent="0.2">
      <c r="A17" s="3">
        <v>11</v>
      </c>
      <c r="B17" s="4" t="s">
        <v>38</v>
      </c>
      <c r="C17" s="4" t="s">
        <v>39</v>
      </c>
      <c r="D17" s="4" t="s">
        <v>29</v>
      </c>
      <c r="E17" s="5">
        <v>55216</v>
      </c>
      <c r="F17" s="6">
        <v>728.54751199999998</v>
      </c>
      <c r="G17" s="7">
        <v>2.3313759E-2</v>
      </c>
      <c r="H17" s="39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1159</v>
      </c>
      <c r="E18" s="5">
        <v>56083</v>
      </c>
      <c r="F18" s="6">
        <v>706.67384149999998</v>
      </c>
      <c r="G18" s="7">
        <v>2.2613794999999999E-2</v>
      </c>
      <c r="H18" s="39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1026</v>
      </c>
      <c r="E19" s="5">
        <v>46040</v>
      </c>
      <c r="F19" s="6">
        <v>682.40488000000005</v>
      </c>
      <c r="G19" s="7">
        <v>2.1837180000000001E-2</v>
      </c>
      <c r="H19" s="39"/>
    </row>
    <row r="20" spans="1:8" x14ac:dyDescent="0.2">
      <c r="A20" s="3">
        <v>14</v>
      </c>
      <c r="B20" s="4" t="s">
        <v>164</v>
      </c>
      <c r="C20" s="4" t="s">
        <v>165</v>
      </c>
      <c r="D20" s="4" t="s">
        <v>82</v>
      </c>
      <c r="E20" s="5">
        <v>612949</v>
      </c>
      <c r="F20" s="6">
        <v>652.79068500000005</v>
      </c>
      <c r="G20" s="7">
        <v>2.0889516E-2</v>
      </c>
      <c r="H20" s="39"/>
    </row>
    <row r="21" spans="1:8" x14ac:dyDescent="0.2">
      <c r="A21" s="3">
        <v>15</v>
      </c>
      <c r="B21" s="4" t="s">
        <v>283</v>
      </c>
      <c r="C21" s="4" t="s">
        <v>284</v>
      </c>
      <c r="D21" s="4" t="s">
        <v>29</v>
      </c>
      <c r="E21" s="5">
        <v>98456</v>
      </c>
      <c r="F21" s="6">
        <v>612.297864</v>
      </c>
      <c r="G21" s="7">
        <v>1.9593732999999999E-2</v>
      </c>
      <c r="H21" s="39"/>
    </row>
    <row r="22" spans="1:8" x14ac:dyDescent="0.2">
      <c r="A22" s="3">
        <v>16</v>
      </c>
      <c r="B22" s="4" t="s">
        <v>87</v>
      </c>
      <c r="C22" s="4" t="s">
        <v>88</v>
      </c>
      <c r="D22" s="4" t="s">
        <v>1157</v>
      </c>
      <c r="E22" s="5">
        <v>114200</v>
      </c>
      <c r="F22" s="6">
        <v>590.24270000000001</v>
      </c>
      <c r="G22" s="7">
        <v>1.8887959999999999E-2</v>
      </c>
      <c r="H22" s="39"/>
    </row>
    <row r="23" spans="1:8" x14ac:dyDescent="0.2">
      <c r="A23" s="3">
        <v>17</v>
      </c>
      <c r="B23" s="4" t="s">
        <v>459</v>
      </c>
      <c r="C23" s="4" t="s">
        <v>460</v>
      </c>
      <c r="D23" s="4" t="s">
        <v>71</v>
      </c>
      <c r="E23" s="5">
        <v>175415</v>
      </c>
      <c r="F23" s="6">
        <v>563.52068750000001</v>
      </c>
      <c r="G23" s="7">
        <v>1.8032847000000001E-2</v>
      </c>
      <c r="H23" s="39"/>
    </row>
    <row r="24" spans="1:8" x14ac:dyDescent="0.2">
      <c r="A24" s="3">
        <v>18</v>
      </c>
      <c r="B24" s="4" t="s">
        <v>226</v>
      </c>
      <c r="C24" s="4" t="s">
        <v>227</v>
      </c>
      <c r="D24" s="4" t="s">
        <v>82</v>
      </c>
      <c r="E24" s="5">
        <v>69806</v>
      </c>
      <c r="F24" s="6">
        <v>537.12226699999997</v>
      </c>
      <c r="G24" s="7">
        <v>1.7188089E-2</v>
      </c>
      <c r="H24" s="39"/>
    </row>
    <row r="25" spans="1:8" x14ac:dyDescent="0.2">
      <c r="A25" s="3">
        <v>19</v>
      </c>
      <c r="B25" s="4" t="s">
        <v>251</v>
      </c>
      <c r="C25" s="4" t="s">
        <v>252</v>
      </c>
      <c r="D25" s="4" t="s">
        <v>253</v>
      </c>
      <c r="E25" s="5">
        <v>194334</v>
      </c>
      <c r="F25" s="6">
        <v>524.50746600000002</v>
      </c>
      <c r="G25" s="7">
        <v>1.6784410999999999E-2</v>
      </c>
      <c r="H25" s="39"/>
    </row>
    <row r="26" spans="1:8" x14ac:dyDescent="0.2">
      <c r="A26" s="3">
        <v>20</v>
      </c>
      <c r="B26" s="4" t="s">
        <v>170</v>
      </c>
      <c r="C26" s="4" t="s">
        <v>171</v>
      </c>
      <c r="D26" s="4" t="s">
        <v>1027</v>
      </c>
      <c r="E26" s="5">
        <v>33694</v>
      </c>
      <c r="F26" s="6">
        <v>517.79254500000002</v>
      </c>
      <c r="G26" s="7">
        <v>1.6569530999999998E-2</v>
      </c>
      <c r="H26" s="39"/>
    </row>
    <row r="27" spans="1:8" x14ac:dyDescent="0.2">
      <c r="A27" s="3">
        <v>21</v>
      </c>
      <c r="B27" s="4" t="s">
        <v>194</v>
      </c>
      <c r="C27" s="4" t="s">
        <v>195</v>
      </c>
      <c r="D27" s="4" t="s">
        <v>1027</v>
      </c>
      <c r="E27" s="5">
        <v>34737</v>
      </c>
      <c r="F27" s="6">
        <v>491.6848665</v>
      </c>
      <c r="G27" s="7">
        <v>1.5734076999999999E-2</v>
      </c>
      <c r="H27" s="39"/>
    </row>
    <row r="28" spans="1:8" x14ac:dyDescent="0.2">
      <c r="A28" s="3">
        <v>22</v>
      </c>
      <c r="B28" s="4" t="s">
        <v>461</v>
      </c>
      <c r="C28" s="4" t="s">
        <v>462</v>
      </c>
      <c r="D28" s="4" t="s">
        <v>1168</v>
      </c>
      <c r="E28" s="5">
        <v>23625</v>
      </c>
      <c r="F28" s="6">
        <v>488.51774999999998</v>
      </c>
      <c r="G28" s="7">
        <v>1.5632727999999999E-2</v>
      </c>
      <c r="H28" s="39"/>
    </row>
    <row r="29" spans="1:8" x14ac:dyDescent="0.2">
      <c r="A29" s="3">
        <v>23</v>
      </c>
      <c r="B29" s="4" t="s">
        <v>174</v>
      </c>
      <c r="C29" s="4" t="s">
        <v>175</v>
      </c>
      <c r="D29" s="4" t="s">
        <v>82</v>
      </c>
      <c r="E29" s="5">
        <v>75393</v>
      </c>
      <c r="F29" s="6">
        <v>476.0690985</v>
      </c>
      <c r="G29" s="7">
        <v>1.5234367E-2</v>
      </c>
      <c r="H29" s="39"/>
    </row>
    <row r="30" spans="1:8" x14ac:dyDescent="0.2">
      <c r="A30" s="3">
        <v>24</v>
      </c>
      <c r="B30" s="4" t="s">
        <v>463</v>
      </c>
      <c r="C30" s="4" t="s">
        <v>464</v>
      </c>
      <c r="D30" s="4" t="s">
        <v>29</v>
      </c>
      <c r="E30" s="5">
        <v>76076</v>
      </c>
      <c r="F30" s="6">
        <v>466.30784199999999</v>
      </c>
      <c r="G30" s="7">
        <v>1.4922004000000001E-2</v>
      </c>
      <c r="H30" s="39"/>
    </row>
    <row r="31" spans="1:8" x14ac:dyDescent="0.2">
      <c r="A31" s="3">
        <v>25</v>
      </c>
      <c r="B31" s="4" t="s">
        <v>243</v>
      </c>
      <c r="C31" s="4" t="s">
        <v>244</v>
      </c>
      <c r="D31" s="4" t="s">
        <v>1157</v>
      </c>
      <c r="E31" s="5">
        <v>40454</v>
      </c>
      <c r="F31" s="6">
        <v>444.97377299999999</v>
      </c>
      <c r="G31" s="7">
        <v>1.4239307E-2</v>
      </c>
      <c r="H31" s="39"/>
    </row>
    <row r="32" spans="1:8" ht="25.5" x14ac:dyDescent="0.2">
      <c r="A32" s="3">
        <v>26</v>
      </c>
      <c r="B32" s="4" t="s">
        <v>188</v>
      </c>
      <c r="C32" s="4" t="s">
        <v>189</v>
      </c>
      <c r="D32" s="4" t="s">
        <v>1158</v>
      </c>
      <c r="E32" s="5">
        <v>66434</v>
      </c>
      <c r="F32" s="6">
        <v>437.83327700000001</v>
      </c>
      <c r="G32" s="7">
        <v>1.4010809000000001E-2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46872</v>
      </c>
      <c r="F33" s="6">
        <v>434.85498000000001</v>
      </c>
      <c r="G33" s="7">
        <v>1.3915502E-2</v>
      </c>
      <c r="H33" s="39"/>
    </row>
    <row r="34" spans="1:8" x14ac:dyDescent="0.2">
      <c r="A34" s="3">
        <v>28</v>
      </c>
      <c r="B34" s="4" t="s">
        <v>247</v>
      </c>
      <c r="C34" s="4" t="s">
        <v>248</v>
      </c>
      <c r="D34" s="4" t="s">
        <v>1154</v>
      </c>
      <c r="E34" s="5">
        <v>26014</v>
      </c>
      <c r="F34" s="6">
        <v>422.64945799999998</v>
      </c>
      <c r="G34" s="7">
        <v>1.3524921000000001E-2</v>
      </c>
      <c r="H34" s="39"/>
    </row>
    <row r="35" spans="1:8" x14ac:dyDescent="0.2">
      <c r="A35" s="3">
        <v>29</v>
      </c>
      <c r="B35" s="4" t="s">
        <v>465</v>
      </c>
      <c r="C35" s="4" t="s">
        <v>466</v>
      </c>
      <c r="D35" s="4" t="s">
        <v>71</v>
      </c>
      <c r="E35" s="5">
        <v>42388</v>
      </c>
      <c r="F35" s="6">
        <v>413.07105999999999</v>
      </c>
      <c r="G35" s="7">
        <v>1.3218409E-2</v>
      </c>
      <c r="H35" s="39"/>
    </row>
    <row r="36" spans="1:8" ht="25.5" x14ac:dyDescent="0.2">
      <c r="A36" s="3">
        <v>30</v>
      </c>
      <c r="B36" s="4" t="s">
        <v>42</v>
      </c>
      <c r="C36" s="4" t="s">
        <v>43</v>
      </c>
      <c r="D36" s="4" t="s">
        <v>1150</v>
      </c>
      <c r="E36" s="5">
        <v>16781</v>
      </c>
      <c r="F36" s="6">
        <v>407.99645299999997</v>
      </c>
      <c r="G36" s="7">
        <v>1.305602E-2</v>
      </c>
      <c r="H36" s="39"/>
    </row>
    <row r="37" spans="1:8" x14ac:dyDescent="0.2">
      <c r="A37" s="3">
        <v>31</v>
      </c>
      <c r="B37" s="4" t="s">
        <v>281</v>
      </c>
      <c r="C37" s="4" t="s">
        <v>282</v>
      </c>
      <c r="D37" s="4" t="s">
        <v>29</v>
      </c>
      <c r="E37" s="5">
        <v>18641</v>
      </c>
      <c r="F37" s="6">
        <v>399.12245100000001</v>
      </c>
      <c r="G37" s="7">
        <v>1.2772049000000001E-2</v>
      </c>
      <c r="H37" s="39"/>
    </row>
    <row r="38" spans="1:8" x14ac:dyDescent="0.2">
      <c r="A38" s="3">
        <v>32</v>
      </c>
      <c r="B38" s="4" t="s">
        <v>467</v>
      </c>
      <c r="C38" s="4" t="s">
        <v>468</v>
      </c>
      <c r="D38" s="4" t="s">
        <v>71</v>
      </c>
      <c r="E38" s="5">
        <v>37170</v>
      </c>
      <c r="F38" s="6">
        <v>391.04698500000001</v>
      </c>
      <c r="G38" s="7">
        <v>1.2513632E-2</v>
      </c>
      <c r="H38" s="39"/>
    </row>
    <row r="39" spans="1:8" ht="25.5" x14ac:dyDescent="0.2">
      <c r="A39" s="3">
        <v>33</v>
      </c>
      <c r="B39" s="4" t="s">
        <v>159</v>
      </c>
      <c r="C39" s="4" t="s">
        <v>160</v>
      </c>
      <c r="D39" s="4" t="s">
        <v>1138</v>
      </c>
      <c r="E39" s="5">
        <v>96348</v>
      </c>
      <c r="F39" s="6">
        <v>363.28013399999998</v>
      </c>
      <c r="G39" s="7">
        <v>1.1625084000000001E-2</v>
      </c>
      <c r="H39" s="39"/>
    </row>
    <row r="40" spans="1:8" ht="25.5" x14ac:dyDescent="0.2">
      <c r="A40" s="3">
        <v>34</v>
      </c>
      <c r="B40" s="4" t="s">
        <v>198</v>
      </c>
      <c r="C40" s="4" t="s">
        <v>199</v>
      </c>
      <c r="D40" s="4" t="s">
        <v>1138</v>
      </c>
      <c r="E40" s="5">
        <v>58282</v>
      </c>
      <c r="F40" s="6">
        <v>343.92208199999999</v>
      </c>
      <c r="G40" s="7">
        <v>1.1005618999999999E-2</v>
      </c>
      <c r="H40" s="39"/>
    </row>
    <row r="41" spans="1:8" ht="25.5" x14ac:dyDescent="0.2">
      <c r="A41" s="3">
        <v>35</v>
      </c>
      <c r="B41" s="4" t="s">
        <v>186</v>
      </c>
      <c r="C41" s="4" t="s">
        <v>187</v>
      </c>
      <c r="D41" s="4" t="s">
        <v>1158</v>
      </c>
      <c r="E41" s="5">
        <v>70561</v>
      </c>
      <c r="F41" s="6">
        <v>342.25613049999998</v>
      </c>
      <c r="G41" s="7">
        <v>1.0952309E-2</v>
      </c>
      <c r="H41" s="39"/>
    </row>
    <row r="42" spans="1:8" ht="25.5" x14ac:dyDescent="0.2">
      <c r="A42" s="3">
        <v>36</v>
      </c>
      <c r="B42" s="4" t="s">
        <v>182</v>
      </c>
      <c r="C42" s="4" t="s">
        <v>183</v>
      </c>
      <c r="D42" s="4" t="s">
        <v>1150</v>
      </c>
      <c r="E42" s="5">
        <v>174815</v>
      </c>
      <c r="F42" s="6">
        <v>331.44923999999997</v>
      </c>
      <c r="G42" s="7">
        <v>1.0606483999999999E-2</v>
      </c>
      <c r="H42" s="39"/>
    </row>
    <row r="43" spans="1:8" x14ac:dyDescent="0.2">
      <c r="A43" s="3">
        <v>37</v>
      </c>
      <c r="B43" s="4" t="s">
        <v>192</v>
      </c>
      <c r="C43" s="4" t="s">
        <v>193</v>
      </c>
      <c r="D43" s="4" t="s">
        <v>1026</v>
      </c>
      <c r="E43" s="5">
        <v>67450</v>
      </c>
      <c r="F43" s="6">
        <v>323.321575</v>
      </c>
      <c r="G43" s="7">
        <v>1.0346397E-2</v>
      </c>
      <c r="H43" s="39"/>
    </row>
    <row r="44" spans="1:8" x14ac:dyDescent="0.2">
      <c r="A44" s="3">
        <v>38</v>
      </c>
      <c r="B44" s="4" t="s">
        <v>469</v>
      </c>
      <c r="C44" s="4" t="s">
        <v>470</v>
      </c>
      <c r="D44" s="4" t="s">
        <v>29</v>
      </c>
      <c r="E44" s="5">
        <v>40294</v>
      </c>
      <c r="F44" s="6">
        <v>321.44538499999999</v>
      </c>
      <c r="G44" s="7">
        <v>1.0286358000000001E-2</v>
      </c>
      <c r="H44" s="39"/>
    </row>
    <row r="45" spans="1:8" x14ac:dyDescent="0.2">
      <c r="A45" s="3">
        <v>39</v>
      </c>
      <c r="B45" s="4" t="s">
        <v>200</v>
      </c>
      <c r="C45" s="4" t="s">
        <v>201</v>
      </c>
      <c r="D45" s="4" t="s">
        <v>60</v>
      </c>
      <c r="E45" s="5">
        <v>369322</v>
      </c>
      <c r="F45" s="6">
        <v>316.87827600000003</v>
      </c>
      <c r="G45" s="7">
        <v>1.0140209000000001E-2</v>
      </c>
      <c r="H45" s="39"/>
    </row>
    <row r="46" spans="1:8" x14ac:dyDescent="0.2">
      <c r="A46" s="3">
        <v>40</v>
      </c>
      <c r="B46" s="4" t="s">
        <v>279</v>
      </c>
      <c r="C46" s="4" t="s">
        <v>280</v>
      </c>
      <c r="D46" s="4" t="s">
        <v>82</v>
      </c>
      <c r="E46" s="5">
        <v>503774</v>
      </c>
      <c r="F46" s="6">
        <v>311.080445</v>
      </c>
      <c r="G46" s="7">
        <v>9.9546760000000008E-3</v>
      </c>
      <c r="H46" s="39"/>
    </row>
    <row r="47" spans="1:8" x14ac:dyDescent="0.2">
      <c r="A47" s="3">
        <v>41</v>
      </c>
      <c r="B47" s="4" t="s">
        <v>351</v>
      </c>
      <c r="C47" s="4" t="s">
        <v>352</v>
      </c>
      <c r="D47" s="4" t="s">
        <v>1154</v>
      </c>
      <c r="E47" s="5">
        <v>8487</v>
      </c>
      <c r="F47" s="6">
        <v>303.46117199999998</v>
      </c>
      <c r="G47" s="7">
        <v>9.7108569999999998E-3</v>
      </c>
      <c r="H47" s="39"/>
    </row>
    <row r="48" spans="1:8" x14ac:dyDescent="0.2">
      <c r="A48" s="3">
        <v>42</v>
      </c>
      <c r="B48" s="4" t="s">
        <v>471</v>
      </c>
      <c r="C48" s="4" t="s">
        <v>472</v>
      </c>
      <c r="D48" s="4" t="s">
        <v>1140</v>
      </c>
      <c r="E48" s="5">
        <v>50312</v>
      </c>
      <c r="F48" s="6">
        <v>301.41919200000001</v>
      </c>
      <c r="G48" s="7">
        <v>9.6455129999999997E-3</v>
      </c>
      <c r="H48" s="39"/>
    </row>
    <row r="49" spans="1:8" x14ac:dyDescent="0.2">
      <c r="A49" s="3">
        <v>43</v>
      </c>
      <c r="B49" s="4" t="s">
        <v>249</v>
      </c>
      <c r="C49" s="4" t="s">
        <v>250</v>
      </c>
      <c r="D49" s="4" t="s">
        <v>60</v>
      </c>
      <c r="E49" s="5">
        <v>81720</v>
      </c>
      <c r="F49" s="6">
        <v>299.7081</v>
      </c>
      <c r="G49" s="7">
        <v>9.5907579999999996E-3</v>
      </c>
      <c r="H49" s="39"/>
    </row>
    <row r="50" spans="1:8" ht="25.5" x14ac:dyDescent="0.2">
      <c r="A50" s="3">
        <v>44</v>
      </c>
      <c r="B50" s="4" t="s">
        <v>184</v>
      </c>
      <c r="C50" s="4" t="s">
        <v>185</v>
      </c>
      <c r="D50" s="4" t="s">
        <v>1145</v>
      </c>
      <c r="E50" s="5">
        <v>65469</v>
      </c>
      <c r="F50" s="6">
        <v>296.21449050000001</v>
      </c>
      <c r="G50" s="7">
        <v>9.4789609999999993E-3</v>
      </c>
      <c r="H50" s="39"/>
    </row>
    <row r="51" spans="1:8" x14ac:dyDescent="0.2">
      <c r="A51" s="3">
        <v>45</v>
      </c>
      <c r="B51" s="4" t="s">
        <v>473</v>
      </c>
      <c r="C51" s="4" t="s">
        <v>474</v>
      </c>
      <c r="D51" s="4" t="s">
        <v>1155</v>
      </c>
      <c r="E51" s="5">
        <v>31437</v>
      </c>
      <c r="F51" s="6">
        <v>283.34168099999999</v>
      </c>
      <c r="G51" s="7">
        <v>9.0670270000000001E-3</v>
      </c>
      <c r="H51" s="39"/>
    </row>
    <row r="52" spans="1:8" x14ac:dyDescent="0.2">
      <c r="A52" s="3">
        <v>46</v>
      </c>
      <c r="B52" s="4" t="s">
        <v>32</v>
      </c>
      <c r="C52" s="4" t="s">
        <v>33</v>
      </c>
      <c r="D52" s="4" t="s">
        <v>29</v>
      </c>
      <c r="E52" s="5">
        <v>9264</v>
      </c>
      <c r="F52" s="6">
        <v>279.907128</v>
      </c>
      <c r="G52" s="7">
        <v>8.9571200000000007E-3</v>
      </c>
      <c r="H52" s="39"/>
    </row>
    <row r="53" spans="1:8" ht="25.5" x14ac:dyDescent="0.2">
      <c r="A53" s="3">
        <v>47</v>
      </c>
      <c r="B53" s="4" t="s">
        <v>168</v>
      </c>
      <c r="C53" s="4" t="s">
        <v>169</v>
      </c>
      <c r="D53" s="4" t="s">
        <v>1137</v>
      </c>
      <c r="E53" s="5">
        <v>116365</v>
      </c>
      <c r="F53" s="6">
        <v>279.85782499999999</v>
      </c>
      <c r="G53" s="7">
        <v>8.9555420000000004E-3</v>
      </c>
      <c r="H53" s="39"/>
    </row>
    <row r="54" spans="1:8" x14ac:dyDescent="0.2">
      <c r="A54" s="3">
        <v>48</v>
      </c>
      <c r="B54" s="4" t="s">
        <v>180</v>
      </c>
      <c r="C54" s="4" t="s">
        <v>181</v>
      </c>
      <c r="D54" s="4" t="s">
        <v>1156</v>
      </c>
      <c r="E54" s="5">
        <v>86680</v>
      </c>
      <c r="F54" s="6">
        <v>277.59269999999998</v>
      </c>
      <c r="G54" s="7">
        <v>8.8830579999999992E-3</v>
      </c>
      <c r="H54" s="39"/>
    </row>
    <row r="55" spans="1:8" ht="25.5" x14ac:dyDescent="0.2">
      <c r="A55" s="3">
        <v>49</v>
      </c>
      <c r="B55" s="4" t="s">
        <v>260</v>
      </c>
      <c r="C55" s="4" t="s">
        <v>261</v>
      </c>
      <c r="D55" s="4" t="s">
        <v>1145</v>
      </c>
      <c r="E55" s="5">
        <v>68454</v>
      </c>
      <c r="F55" s="6">
        <v>276.34879799999999</v>
      </c>
      <c r="G55" s="7">
        <v>8.8432519999999994E-3</v>
      </c>
      <c r="H55" s="39"/>
    </row>
    <row r="56" spans="1:8" ht="25.5" x14ac:dyDescent="0.2">
      <c r="A56" s="3">
        <v>50</v>
      </c>
      <c r="B56" s="4" t="s">
        <v>196</v>
      </c>
      <c r="C56" s="4" t="s">
        <v>197</v>
      </c>
      <c r="D56" s="4" t="s">
        <v>1138</v>
      </c>
      <c r="E56" s="5">
        <v>16433</v>
      </c>
      <c r="F56" s="6">
        <v>258.80331699999999</v>
      </c>
      <c r="G56" s="7">
        <v>8.2817910000000002E-3</v>
      </c>
      <c r="H56" s="39"/>
    </row>
    <row r="57" spans="1:8" x14ac:dyDescent="0.2">
      <c r="A57" s="3">
        <v>51</v>
      </c>
      <c r="B57" s="4" t="s">
        <v>475</v>
      </c>
      <c r="C57" s="4" t="s">
        <v>476</v>
      </c>
      <c r="D57" s="4" t="s">
        <v>82</v>
      </c>
      <c r="E57" s="5">
        <v>30109</v>
      </c>
      <c r="F57" s="6">
        <v>255.836173</v>
      </c>
      <c r="G57" s="7">
        <v>8.1868419999999997E-3</v>
      </c>
      <c r="H57" s="39"/>
    </row>
    <row r="58" spans="1:8" x14ac:dyDescent="0.2">
      <c r="A58" s="3">
        <v>52</v>
      </c>
      <c r="B58" s="4" t="s">
        <v>254</v>
      </c>
      <c r="C58" s="4" t="s">
        <v>255</v>
      </c>
      <c r="D58" s="4" t="s">
        <v>15</v>
      </c>
      <c r="E58" s="5">
        <v>91543</v>
      </c>
      <c r="F58" s="6">
        <v>246.57107049999999</v>
      </c>
      <c r="G58" s="7">
        <v>7.8903549999999999E-3</v>
      </c>
      <c r="H58" s="39"/>
    </row>
    <row r="59" spans="1:8" x14ac:dyDescent="0.2">
      <c r="A59" s="3">
        <v>53</v>
      </c>
      <c r="B59" s="4" t="s">
        <v>190</v>
      </c>
      <c r="C59" s="4" t="s">
        <v>191</v>
      </c>
      <c r="D59" s="4" t="s">
        <v>1169</v>
      </c>
      <c r="E59" s="5">
        <v>274546</v>
      </c>
      <c r="F59" s="6">
        <v>245.44412399999999</v>
      </c>
      <c r="G59" s="7">
        <v>7.854293E-3</v>
      </c>
      <c r="H59" s="39"/>
    </row>
    <row r="60" spans="1:8" x14ac:dyDescent="0.2">
      <c r="A60" s="3">
        <v>54</v>
      </c>
      <c r="B60" s="4" t="s">
        <v>228</v>
      </c>
      <c r="C60" s="4" t="s">
        <v>229</v>
      </c>
      <c r="D60" s="4" t="s">
        <v>29</v>
      </c>
      <c r="E60" s="5">
        <v>23852</v>
      </c>
      <c r="F60" s="6">
        <v>243.27847399999999</v>
      </c>
      <c r="G60" s="7">
        <v>7.7849909999999998E-3</v>
      </c>
      <c r="H60" s="39"/>
    </row>
    <row r="61" spans="1:8" ht="25.5" x14ac:dyDescent="0.2">
      <c r="A61" s="3">
        <v>55</v>
      </c>
      <c r="B61" s="4" t="s">
        <v>262</v>
      </c>
      <c r="C61" s="4" t="s">
        <v>263</v>
      </c>
      <c r="D61" s="4" t="s">
        <v>1141</v>
      </c>
      <c r="E61" s="5">
        <v>81931</v>
      </c>
      <c r="F61" s="6">
        <v>241.45065700000001</v>
      </c>
      <c r="G61" s="7">
        <v>7.7264999999999999E-3</v>
      </c>
      <c r="H61" s="39"/>
    </row>
    <row r="62" spans="1:8" x14ac:dyDescent="0.2">
      <c r="A62" s="3">
        <v>56</v>
      </c>
      <c r="B62" s="4" t="s">
        <v>477</v>
      </c>
      <c r="C62" s="4" t="s">
        <v>478</v>
      </c>
      <c r="D62" s="4" t="s">
        <v>1026</v>
      </c>
      <c r="E62" s="5">
        <v>363090</v>
      </c>
      <c r="F62" s="6">
        <v>229.654425</v>
      </c>
      <c r="G62" s="7">
        <v>7.3490170000000002E-3</v>
      </c>
      <c r="H62" s="39"/>
    </row>
    <row r="63" spans="1:8" ht="25.5" x14ac:dyDescent="0.2">
      <c r="A63" s="3">
        <v>57</v>
      </c>
      <c r="B63" s="4" t="s">
        <v>178</v>
      </c>
      <c r="C63" s="4" t="s">
        <v>179</v>
      </c>
      <c r="D63" s="4" t="s">
        <v>1153</v>
      </c>
      <c r="E63" s="5">
        <v>24941</v>
      </c>
      <c r="F63" s="6">
        <v>227.362156</v>
      </c>
      <c r="G63" s="7">
        <v>7.2756640000000003E-3</v>
      </c>
      <c r="H63" s="39"/>
    </row>
    <row r="64" spans="1:8" ht="25.5" x14ac:dyDescent="0.2">
      <c r="A64" s="3">
        <v>58</v>
      </c>
      <c r="B64" s="4" t="s">
        <v>268</v>
      </c>
      <c r="C64" s="4" t="s">
        <v>269</v>
      </c>
      <c r="D64" s="4" t="s">
        <v>1139</v>
      </c>
      <c r="E64" s="5">
        <v>30413</v>
      </c>
      <c r="F64" s="6">
        <v>213.7881835</v>
      </c>
      <c r="G64" s="7">
        <v>6.8412919999999997E-3</v>
      </c>
      <c r="H64" s="39"/>
    </row>
    <row r="65" spans="1:8" x14ac:dyDescent="0.2">
      <c r="A65" s="3">
        <v>59</v>
      </c>
      <c r="B65" s="4" t="s">
        <v>266</v>
      </c>
      <c r="C65" s="4" t="s">
        <v>267</v>
      </c>
      <c r="D65" s="4" t="s">
        <v>1155</v>
      </c>
      <c r="E65" s="5">
        <v>140250</v>
      </c>
      <c r="F65" s="6">
        <v>211.07624999999999</v>
      </c>
      <c r="G65" s="7">
        <v>6.7545089999999997E-3</v>
      </c>
      <c r="H65" s="39"/>
    </row>
    <row r="66" spans="1:8" x14ac:dyDescent="0.2">
      <c r="A66" s="3">
        <v>60</v>
      </c>
      <c r="B66" s="4" t="s">
        <v>202</v>
      </c>
      <c r="C66" s="4" t="s">
        <v>203</v>
      </c>
      <c r="D66" s="4" t="s">
        <v>71</v>
      </c>
      <c r="E66" s="5">
        <v>92539</v>
      </c>
      <c r="F66" s="6">
        <v>205.25150199999999</v>
      </c>
      <c r="G66" s="7">
        <v>6.5681150000000002E-3</v>
      </c>
      <c r="H66" s="39"/>
    </row>
    <row r="67" spans="1:8" x14ac:dyDescent="0.2">
      <c r="A67" s="3">
        <v>61</v>
      </c>
      <c r="B67" s="4" t="s">
        <v>270</v>
      </c>
      <c r="C67" s="4" t="s">
        <v>271</v>
      </c>
      <c r="D67" s="4" t="s">
        <v>1154</v>
      </c>
      <c r="E67" s="5">
        <v>33763</v>
      </c>
      <c r="F67" s="6">
        <v>198.96535900000001</v>
      </c>
      <c r="G67" s="7">
        <v>6.3669570000000003E-3</v>
      </c>
      <c r="H67" s="39"/>
    </row>
    <row r="68" spans="1:8" ht="25.5" x14ac:dyDescent="0.2">
      <c r="A68" s="3">
        <v>62</v>
      </c>
      <c r="B68" s="4" t="s">
        <v>176</v>
      </c>
      <c r="C68" s="4" t="s">
        <v>177</v>
      </c>
      <c r="D68" s="4" t="s">
        <v>71</v>
      </c>
      <c r="E68" s="5">
        <v>9707</v>
      </c>
      <c r="F68" s="6">
        <v>171.88670250000001</v>
      </c>
      <c r="G68" s="7">
        <v>5.5004310000000001E-3</v>
      </c>
      <c r="H68" s="39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91</v>
      </c>
      <c r="E69" s="5">
        <v>22179</v>
      </c>
      <c r="F69" s="6">
        <v>171.0998955</v>
      </c>
      <c r="G69" s="7">
        <v>5.4752530000000002E-3</v>
      </c>
      <c r="H69" s="39"/>
    </row>
    <row r="70" spans="1:8" ht="25.5" x14ac:dyDescent="0.2">
      <c r="A70" s="3">
        <v>64</v>
      </c>
      <c r="B70" s="4" t="s">
        <v>289</v>
      </c>
      <c r="C70" s="4" t="s">
        <v>290</v>
      </c>
      <c r="D70" s="4" t="s">
        <v>1153</v>
      </c>
      <c r="E70" s="5">
        <v>25075</v>
      </c>
      <c r="F70" s="6">
        <v>166.7863625</v>
      </c>
      <c r="G70" s="7">
        <v>5.3372180000000003E-3</v>
      </c>
      <c r="H70" s="39"/>
    </row>
    <row r="71" spans="1:8" x14ac:dyDescent="0.2">
      <c r="A71" s="3">
        <v>65</v>
      </c>
      <c r="B71" s="4" t="s">
        <v>208</v>
      </c>
      <c r="C71" s="4" t="s">
        <v>209</v>
      </c>
      <c r="D71" s="4" t="s">
        <v>71</v>
      </c>
      <c r="E71" s="5">
        <v>27062</v>
      </c>
      <c r="F71" s="6">
        <v>166.14714900000001</v>
      </c>
      <c r="G71" s="7">
        <v>5.3167630000000004E-3</v>
      </c>
      <c r="H71" s="39"/>
    </row>
    <row r="72" spans="1:8" x14ac:dyDescent="0.2">
      <c r="A72" s="3">
        <v>66</v>
      </c>
      <c r="B72" s="4" t="s">
        <v>218</v>
      </c>
      <c r="C72" s="4" t="s">
        <v>219</v>
      </c>
      <c r="D72" s="4" t="s">
        <v>1026</v>
      </c>
      <c r="E72" s="5">
        <v>154615</v>
      </c>
      <c r="F72" s="6">
        <v>155.77461249999999</v>
      </c>
      <c r="G72" s="7">
        <v>4.9848389999999996E-3</v>
      </c>
      <c r="H72" s="39"/>
    </row>
    <row r="73" spans="1:8" x14ac:dyDescent="0.2">
      <c r="A73" s="3">
        <v>67</v>
      </c>
      <c r="B73" s="4" t="s">
        <v>479</v>
      </c>
      <c r="C73" s="4" t="s">
        <v>480</v>
      </c>
      <c r="D73" s="4" t="s">
        <v>18</v>
      </c>
      <c r="E73" s="5">
        <v>69201</v>
      </c>
      <c r="F73" s="6">
        <v>146.11791149999999</v>
      </c>
      <c r="G73" s="7">
        <v>4.6758210000000001E-3</v>
      </c>
      <c r="H73" s="39"/>
    </row>
    <row r="74" spans="1:8" x14ac:dyDescent="0.2">
      <c r="A74" s="3">
        <v>68</v>
      </c>
      <c r="B74" s="4" t="s">
        <v>224</v>
      </c>
      <c r="C74" s="4" t="s">
        <v>225</v>
      </c>
      <c r="D74" s="4" t="s">
        <v>1154</v>
      </c>
      <c r="E74" s="5">
        <v>29548</v>
      </c>
      <c r="F74" s="6">
        <v>144.14991800000001</v>
      </c>
      <c r="G74" s="7">
        <v>4.612845E-3</v>
      </c>
      <c r="H74" s="39"/>
    </row>
    <row r="75" spans="1:8" x14ac:dyDescent="0.2">
      <c r="A75" s="3">
        <v>69</v>
      </c>
      <c r="B75" s="4" t="s">
        <v>104</v>
      </c>
      <c r="C75" s="4" t="s">
        <v>105</v>
      </c>
      <c r="D75" s="4" t="s">
        <v>1157</v>
      </c>
      <c r="E75" s="5">
        <v>172875</v>
      </c>
      <c r="F75" s="6">
        <v>134.4103125</v>
      </c>
      <c r="G75" s="7">
        <v>4.3011739999999996E-3</v>
      </c>
      <c r="H75" s="39"/>
    </row>
    <row r="76" spans="1:8" ht="25.5" x14ac:dyDescent="0.2">
      <c r="A76" s="3">
        <v>70</v>
      </c>
      <c r="B76" s="4" t="s">
        <v>216</v>
      </c>
      <c r="C76" s="4" t="s">
        <v>217</v>
      </c>
      <c r="D76" s="4" t="s">
        <v>1138</v>
      </c>
      <c r="E76" s="5">
        <v>3290</v>
      </c>
      <c r="F76" s="6">
        <v>131.67895999999999</v>
      </c>
      <c r="G76" s="7">
        <v>4.2137700000000004E-3</v>
      </c>
      <c r="H76" s="39"/>
    </row>
    <row r="77" spans="1:8" ht="25.5" x14ac:dyDescent="0.2">
      <c r="A77" s="3">
        <v>71</v>
      </c>
      <c r="B77" s="4" t="s">
        <v>276</v>
      </c>
      <c r="C77" s="4" t="s">
        <v>277</v>
      </c>
      <c r="D77" s="4" t="s">
        <v>1138</v>
      </c>
      <c r="E77" s="5">
        <v>53264</v>
      </c>
      <c r="F77" s="6">
        <v>111.881032</v>
      </c>
      <c r="G77" s="7">
        <v>3.5802299999999998E-3</v>
      </c>
      <c r="H77" s="39"/>
    </row>
    <row r="78" spans="1:8" x14ac:dyDescent="0.2">
      <c r="A78" s="3">
        <v>72</v>
      </c>
      <c r="B78" s="4" t="s">
        <v>212</v>
      </c>
      <c r="C78" s="4" t="s">
        <v>213</v>
      </c>
      <c r="D78" s="4" t="s">
        <v>308</v>
      </c>
      <c r="E78" s="5">
        <v>15493</v>
      </c>
      <c r="F78" s="6">
        <v>89.797427999999996</v>
      </c>
      <c r="G78" s="7">
        <v>2.8735470000000002E-3</v>
      </c>
      <c r="H78" s="39"/>
    </row>
    <row r="79" spans="1:8" ht="25.5" x14ac:dyDescent="0.2">
      <c r="A79" s="3">
        <v>73</v>
      </c>
      <c r="B79" s="4" t="s">
        <v>222</v>
      </c>
      <c r="C79" s="4" t="s">
        <v>223</v>
      </c>
      <c r="D79" s="4" t="s">
        <v>1153</v>
      </c>
      <c r="E79" s="5">
        <v>9638</v>
      </c>
      <c r="F79" s="6">
        <v>88.756342000000004</v>
      </c>
      <c r="G79" s="7">
        <v>2.8402319999999998E-3</v>
      </c>
      <c r="H79" s="39"/>
    </row>
    <row r="80" spans="1:8" x14ac:dyDescent="0.2">
      <c r="A80" s="3">
        <v>74</v>
      </c>
      <c r="B80" s="4" t="s">
        <v>214</v>
      </c>
      <c r="C80" s="4" t="s">
        <v>215</v>
      </c>
      <c r="D80" s="4" t="s">
        <v>18</v>
      </c>
      <c r="E80" s="5">
        <v>70663</v>
      </c>
      <c r="F80" s="6">
        <v>49.040121999999997</v>
      </c>
      <c r="G80" s="7">
        <v>1.5693E-3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29815.1746365</v>
      </c>
      <c r="G81" s="10">
        <v>0.95409537300000002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29815.1746365</v>
      </c>
      <c r="G98" s="10">
        <v>0.95409537300000002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1102.6888405</v>
      </c>
      <c r="G126" s="7">
        <v>3.5286405E-2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389.88547290000002</v>
      </c>
      <c r="G127" s="7">
        <v>1.2476463E-2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1492.5743133999999</v>
      </c>
      <c r="G128" s="10">
        <v>4.7762868E-2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1492.5743133999999</v>
      </c>
      <c r="G130" s="10">
        <v>4.7762868E-2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-58.069453879999998</v>
      </c>
      <c r="G145" s="7">
        <v>-1.858242E-3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31249.679496019999</v>
      </c>
      <c r="G146" s="10">
        <v>0.99999999900000003</v>
      </c>
      <c r="H146" s="39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94" t="s">
        <v>140</v>
      </c>
      <c r="C149" s="1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189" t="s">
        <v>141</v>
      </c>
      <c r="C150" s="190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189" t="s">
        <v>143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144</v>
      </c>
      <c r="C152" s="190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15.420400000000001</v>
      </c>
      <c r="D155" s="24">
        <v>16.5807</v>
      </c>
      <c r="E155" s="22"/>
      <c r="F155" s="19"/>
      <c r="G155" s="25"/>
    </row>
    <row r="156" spans="1:8" ht="17.100000000000001" customHeight="1" x14ac:dyDescent="0.2">
      <c r="A156" s="22"/>
      <c r="B156" s="4" t="s">
        <v>1092</v>
      </c>
      <c r="C156" s="24">
        <v>15.420400000000001</v>
      </c>
      <c r="D156" s="24">
        <v>16.5807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14.8401</v>
      </c>
      <c r="D157" s="24">
        <v>15.946199999999999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1093</v>
      </c>
      <c r="C158" s="24">
        <v>14.8401</v>
      </c>
      <c r="D158" s="24">
        <v>15.946199999999999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89" t="s">
        <v>1094</v>
      </c>
      <c r="C160" s="190"/>
      <c r="D160" s="2" t="s">
        <v>142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101" customFormat="1" x14ac:dyDescent="0.2">
      <c r="B162" s="193" t="s">
        <v>1102</v>
      </c>
      <c r="C162" s="193"/>
      <c r="D162" s="193"/>
      <c r="E162" s="193"/>
      <c r="F162" s="193"/>
      <c r="I162"/>
      <c r="J162"/>
      <c r="K162"/>
      <c r="L162"/>
      <c r="M162"/>
      <c r="N162"/>
      <c r="O162"/>
      <c r="P162" s="41"/>
      <c r="Q162" s="41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89" t="s">
        <v>152</v>
      </c>
      <c r="C164" s="190"/>
      <c r="D164" s="2" t="s">
        <v>142</v>
      </c>
      <c r="E164" s="22"/>
      <c r="F164" s="22"/>
      <c r="G164" s="22"/>
    </row>
    <row r="165" spans="1:17" ht="29.1" customHeight="1" x14ac:dyDescent="0.2">
      <c r="A165" s="22"/>
      <c r="B165" s="189" t="s">
        <v>153</v>
      </c>
      <c r="C165" s="190"/>
      <c r="D165" s="2" t="s">
        <v>142</v>
      </c>
      <c r="E165" s="22"/>
      <c r="F165" s="22"/>
      <c r="G165" s="22"/>
      <c r="J165" s="101"/>
      <c r="K165" s="101"/>
      <c r="L165" s="101"/>
      <c r="M165" s="101"/>
      <c r="N165" s="101"/>
      <c r="O165" s="101"/>
    </row>
    <row r="166" spans="1:17" ht="17.100000000000001" customHeight="1" x14ac:dyDescent="0.2">
      <c r="A166" s="22"/>
      <c r="B166" s="189" t="s">
        <v>154</v>
      </c>
      <c r="C166" s="190"/>
      <c r="D166" s="28">
        <v>0.31265905245333464</v>
      </c>
      <c r="E166" s="22"/>
      <c r="F166" s="19"/>
      <c r="G166" s="25"/>
    </row>
    <row r="167" spans="1:17" ht="17.100000000000001" customHeight="1" x14ac:dyDescent="0.2">
      <c r="A167" s="22"/>
      <c r="B167" s="189" t="s">
        <v>155</v>
      </c>
      <c r="C167" s="190"/>
      <c r="D167" s="2" t="s">
        <v>142</v>
      </c>
      <c r="E167" s="22"/>
      <c r="F167" s="22"/>
      <c r="G167" s="22"/>
    </row>
  </sheetData>
  <mergeCells count="14">
    <mergeCell ref="B167:C167"/>
    <mergeCell ref="B150:C150"/>
    <mergeCell ref="B151:C151"/>
    <mergeCell ref="B152:C152"/>
    <mergeCell ref="B160:C160"/>
    <mergeCell ref="B164:C164"/>
    <mergeCell ref="B165:C165"/>
    <mergeCell ref="B166:C166"/>
    <mergeCell ref="A1:H1"/>
    <mergeCell ref="A2:H2"/>
    <mergeCell ref="A3:H3"/>
    <mergeCell ref="B162:F162"/>
    <mergeCell ref="J2:N2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482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73643</v>
      </c>
      <c r="F7" s="6">
        <v>928.63823000000002</v>
      </c>
      <c r="G7" s="7">
        <v>3.3211534000000001E-2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119696</v>
      </c>
      <c r="F8" s="6">
        <v>857.38244799999995</v>
      </c>
      <c r="G8" s="7">
        <v>3.0663164E-2</v>
      </c>
      <c r="H8" s="39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145167</v>
      </c>
      <c r="F9" s="6">
        <v>849.8802015</v>
      </c>
      <c r="G9" s="7">
        <v>3.0394856000000001E-2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20245</v>
      </c>
      <c r="F10" s="6">
        <v>826.44138999999996</v>
      </c>
      <c r="G10" s="7">
        <v>2.9556597E-2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426752</v>
      </c>
      <c r="F11" s="6">
        <v>808.48166400000002</v>
      </c>
      <c r="G11" s="7">
        <v>2.8914291000000002E-2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39496</v>
      </c>
      <c r="F12" s="6">
        <v>710.90825199999995</v>
      </c>
      <c r="G12" s="7">
        <v>2.5424705999999998E-2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115911</v>
      </c>
      <c r="F13" s="6">
        <v>696.6830655</v>
      </c>
      <c r="G13" s="7">
        <v>2.4915960000000001E-2</v>
      </c>
      <c r="H13" s="39"/>
    </row>
    <row r="14" spans="1:14" x14ac:dyDescent="0.2">
      <c r="A14" s="3">
        <v>8</v>
      </c>
      <c r="B14" s="4" t="s">
        <v>220</v>
      </c>
      <c r="C14" s="4" t="s">
        <v>221</v>
      </c>
      <c r="D14" s="4" t="s">
        <v>1149</v>
      </c>
      <c r="E14" s="5">
        <v>128698</v>
      </c>
      <c r="F14" s="6">
        <v>681.84200399999997</v>
      </c>
      <c r="G14" s="7">
        <v>2.4385189000000002E-2</v>
      </c>
      <c r="H14" s="39"/>
    </row>
    <row r="15" spans="1:14" x14ac:dyDescent="0.2">
      <c r="A15" s="3">
        <v>9</v>
      </c>
      <c r="B15" s="4" t="s">
        <v>241</v>
      </c>
      <c r="C15" s="4" t="s">
        <v>242</v>
      </c>
      <c r="D15" s="4" t="s">
        <v>1143</v>
      </c>
      <c r="E15" s="5">
        <v>13964</v>
      </c>
      <c r="F15" s="6">
        <v>665.42649200000005</v>
      </c>
      <c r="G15" s="7">
        <v>2.3798110000000001E-2</v>
      </c>
      <c r="H15" s="39"/>
    </row>
    <row r="16" spans="1:14" ht="15" x14ac:dyDescent="0.2">
      <c r="A16" s="3">
        <v>10</v>
      </c>
      <c r="B16" s="4" t="s">
        <v>38</v>
      </c>
      <c r="C16" s="4" t="s">
        <v>39</v>
      </c>
      <c r="D16" s="4" t="s">
        <v>29</v>
      </c>
      <c r="E16" s="5">
        <v>48732</v>
      </c>
      <c r="F16" s="6">
        <v>642.99437399999999</v>
      </c>
      <c r="G16" s="7">
        <v>2.2995854E-2</v>
      </c>
      <c r="H16" s="39"/>
      <c r="J16" s="176" t="s">
        <v>1181</v>
      </c>
    </row>
    <row r="17" spans="1:8" x14ac:dyDescent="0.2">
      <c r="A17" s="3">
        <v>11</v>
      </c>
      <c r="B17" s="4" t="s">
        <v>245</v>
      </c>
      <c r="C17" s="4" t="s">
        <v>246</v>
      </c>
      <c r="D17" s="4" t="s">
        <v>29</v>
      </c>
      <c r="E17" s="5">
        <v>75787</v>
      </c>
      <c r="F17" s="6">
        <v>640.96855249999999</v>
      </c>
      <c r="G17" s="7">
        <v>2.2923404000000001E-2</v>
      </c>
      <c r="H17" s="39"/>
    </row>
    <row r="18" spans="1:8" x14ac:dyDescent="0.2">
      <c r="A18" s="3">
        <v>12</v>
      </c>
      <c r="B18" s="4" t="s">
        <v>166</v>
      </c>
      <c r="C18" s="4" t="s">
        <v>167</v>
      </c>
      <c r="D18" s="4" t="s">
        <v>1159</v>
      </c>
      <c r="E18" s="5">
        <v>50165</v>
      </c>
      <c r="F18" s="6">
        <v>632.1040825</v>
      </c>
      <c r="G18" s="7">
        <v>2.2606377E-2</v>
      </c>
      <c r="H18" s="39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1026</v>
      </c>
      <c r="E19" s="5">
        <v>41227</v>
      </c>
      <c r="F19" s="6">
        <v>611.06659400000001</v>
      </c>
      <c r="G19" s="7">
        <v>2.1853998999999999E-2</v>
      </c>
      <c r="H19" s="39"/>
    </row>
    <row r="20" spans="1:8" x14ac:dyDescent="0.2">
      <c r="A20" s="3">
        <v>14</v>
      </c>
      <c r="B20" s="4" t="s">
        <v>164</v>
      </c>
      <c r="C20" s="4" t="s">
        <v>165</v>
      </c>
      <c r="D20" s="4" t="s">
        <v>82</v>
      </c>
      <c r="E20" s="5">
        <v>543584</v>
      </c>
      <c r="F20" s="6">
        <v>578.91696000000002</v>
      </c>
      <c r="G20" s="7">
        <v>2.0704209000000001E-2</v>
      </c>
      <c r="H20" s="39"/>
    </row>
    <row r="21" spans="1:8" x14ac:dyDescent="0.2">
      <c r="A21" s="3">
        <v>15</v>
      </c>
      <c r="B21" s="4" t="s">
        <v>87</v>
      </c>
      <c r="C21" s="4" t="s">
        <v>88</v>
      </c>
      <c r="D21" s="4" t="s">
        <v>1157</v>
      </c>
      <c r="E21" s="5">
        <v>110331</v>
      </c>
      <c r="F21" s="6">
        <v>570.24577350000004</v>
      </c>
      <c r="G21" s="7">
        <v>2.0394096E-2</v>
      </c>
      <c r="H21" s="39"/>
    </row>
    <row r="22" spans="1:8" x14ac:dyDescent="0.2">
      <c r="A22" s="3">
        <v>16</v>
      </c>
      <c r="B22" s="4" t="s">
        <v>283</v>
      </c>
      <c r="C22" s="4" t="s">
        <v>284</v>
      </c>
      <c r="D22" s="4" t="s">
        <v>29</v>
      </c>
      <c r="E22" s="5">
        <v>87229</v>
      </c>
      <c r="F22" s="6">
        <v>542.47715100000005</v>
      </c>
      <c r="G22" s="7">
        <v>1.9400987000000001E-2</v>
      </c>
      <c r="H22" s="39"/>
    </row>
    <row r="23" spans="1:8" x14ac:dyDescent="0.2">
      <c r="A23" s="3">
        <v>17</v>
      </c>
      <c r="B23" s="4" t="s">
        <v>459</v>
      </c>
      <c r="C23" s="4" t="s">
        <v>460</v>
      </c>
      <c r="D23" s="4" t="s">
        <v>71</v>
      </c>
      <c r="E23" s="5">
        <v>164997</v>
      </c>
      <c r="F23" s="6">
        <v>530.05286249999995</v>
      </c>
      <c r="G23" s="7">
        <v>1.8956648999999999E-2</v>
      </c>
      <c r="H23" s="39"/>
    </row>
    <row r="24" spans="1:8" x14ac:dyDescent="0.2">
      <c r="A24" s="3">
        <v>18</v>
      </c>
      <c r="B24" s="4" t="s">
        <v>226</v>
      </c>
      <c r="C24" s="4" t="s">
        <v>227</v>
      </c>
      <c r="D24" s="4" t="s">
        <v>82</v>
      </c>
      <c r="E24" s="5">
        <v>62271</v>
      </c>
      <c r="F24" s="6">
        <v>479.14420949999999</v>
      </c>
      <c r="G24" s="7">
        <v>1.7135966999999998E-2</v>
      </c>
      <c r="H24" s="39"/>
    </row>
    <row r="25" spans="1:8" x14ac:dyDescent="0.2">
      <c r="A25" s="3">
        <v>19</v>
      </c>
      <c r="B25" s="4" t="s">
        <v>243</v>
      </c>
      <c r="C25" s="4" t="s">
        <v>244</v>
      </c>
      <c r="D25" s="4" t="s">
        <v>1157</v>
      </c>
      <c r="E25" s="5">
        <v>42208</v>
      </c>
      <c r="F25" s="6">
        <v>464.26689599999997</v>
      </c>
      <c r="G25" s="7">
        <v>1.6603898999999998E-2</v>
      </c>
      <c r="H25" s="39"/>
    </row>
    <row r="26" spans="1:8" x14ac:dyDescent="0.2">
      <c r="A26" s="3">
        <v>20</v>
      </c>
      <c r="B26" s="4" t="s">
        <v>170</v>
      </c>
      <c r="C26" s="4" t="s">
        <v>171</v>
      </c>
      <c r="D26" s="4" t="s">
        <v>1027</v>
      </c>
      <c r="E26" s="5">
        <v>30086</v>
      </c>
      <c r="F26" s="6">
        <v>462.34660500000001</v>
      </c>
      <c r="G26" s="7">
        <v>1.6535223000000002E-2</v>
      </c>
      <c r="H26" s="39"/>
    </row>
    <row r="27" spans="1:8" x14ac:dyDescent="0.2">
      <c r="A27" s="3">
        <v>21</v>
      </c>
      <c r="B27" s="4" t="s">
        <v>251</v>
      </c>
      <c r="C27" s="4" t="s">
        <v>252</v>
      </c>
      <c r="D27" s="4" t="s">
        <v>253</v>
      </c>
      <c r="E27" s="5">
        <v>171020</v>
      </c>
      <c r="F27" s="6">
        <v>461.58298000000002</v>
      </c>
      <c r="G27" s="7">
        <v>1.6507912999999999E-2</v>
      </c>
      <c r="H27" s="39"/>
    </row>
    <row r="28" spans="1:8" x14ac:dyDescent="0.2">
      <c r="A28" s="3">
        <v>22</v>
      </c>
      <c r="B28" s="4" t="s">
        <v>465</v>
      </c>
      <c r="C28" s="4" t="s">
        <v>466</v>
      </c>
      <c r="D28" s="4" t="s">
        <v>71</v>
      </c>
      <c r="E28" s="5">
        <v>45571</v>
      </c>
      <c r="F28" s="6">
        <v>444.08939500000002</v>
      </c>
      <c r="G28" s="7">
        <v>1.5882277E-2</v>
      </c>
      <c r="H28" s="39"/>
    </row>
    <row r="29" spans="1:8" x14ac:dyDescent="0.2">
      <c r="A29" s="3">
        <v>23</v>
      </c>
      <c r="B29" s="4" t="s">
        <v>461</v>
      </c>
      <c r="C29" s="4" t="s">
        <v>462</v>
      </c>
      <c r="D29" s="4" t="s">
        <v>1168</v>
      </c>
      <c r="E29" s="5">
        <v>21290</v>
      </c>
      <c r="F29" s="6">
        <v>440.23462000000001</v>
      </c>
      <c r="G29" s="7">
        <v>1.5744416000000001E-2</v>
      </c>
      <c r="H29" s="39"/>
    </row>
    <row r="30" spans="1:8" x14ac:dyDescent="0.2">
      <c r="A30" s="3">
        <v>24</v>
      </c>
      <c r="B30" s="4" t="s">
        <v>194</v>
      </c>
      <c r="C30" s="4" t="s">
        <v>195</v>
      </c>
      <c r="D30" s="4" t="s">
        <v>1027</v>
      </c>
      <c r="E30" s="5">
        <v>30957</v>
      </c>
      <c r="F30" s="6">
        <v>438.1808565</v>
      </c>
      <c r="G30" s="7">
        <v>1.5670966000000001E-2</v>
      </c>
      <c r="H30" s="39"/>
    </row>
    <row r="31" spans="1:8" x14ac:dyDescent="0.2">
      <c r="A31" s="3">
        <v>25</v>
      </c>
      <c r="B31" s="4" t="s">
        <v>174</v>
      </c>
      <c r="C31" s="4" t="s">
        <v>175</v>
      </c>
      <c r="D31" s="4" t="s">
        <v>82</v>
      </c>
      <c r="E31" s="5">
        <v>67437</v>
      </c>
      <c r="F31" s="6">
        <v>425.83093650000001</v>
      </c>
      <c r="G31" s="7">
        <v>1.5229288000000001E-2</v>
      </c>
      <c r="H31" s="39"/>
    </row>
    <row r="32" spans="1:8" x14ac:dyDescent="0.2">
      <c r="A32" s="3">
        <v>26</v>
      </c>
      <c r="B32" s="4" t="s">
        <v>463</v>
      </c>
      <c r="C32" s="4" t="s">
        <v>464</v>
      </c>
      <c r="D32" s="4" t="s">
        <v>29</v>
      </c>
      <c r="E32" s="5">
        <v>67785</v>
      </c>
      <c r="F32" s="6">
        <v>415.4881575</v>
      </c>
      <c r="G32" s="7">
        <v>1.4859392000000001E-2</v>
      </c>
      <c r="H32" s="39"/>
    </row>
    <row r="33" spans="1:8" ht="25.5" x14ac:dyDescent="0.2">
      <c r="A33" s="3">
        <v>27</v>
      </c>
      <c r="B33" s="4" t="s">
        <v>188</v>
      </c>
      <c r="C33" s="4" t="s">
        <v>189</v>
      </c>
      <c r="D33" s="4" t="s">
        <v>1158</v>
      </c>
      <c r="E33" s="5">
        <v>59402</v>
      </c>
      <c r="F33" s="6">
        <v>391.48888099999999</v>
      </c>
      <c r="G33" s="7">
        <v>1.4001089E-2</v>
      </c>
      <c r="H33" s="39"/>
    </row>
    <row r="34" spans="1:8" x14ac:dyDescent="0.2">
      <c r="A34" s="3">
        <v>28</v>
      </c>
      <c r="B34" s="4" t="s">
        <v>206</v>
      </c>
      <c r="C34" s="4" t="s">
        <v>207</v>
      </c>
      <c r="D34" s="4" t="s">
        <v>1159</v>
      </c>
      <c r="E34" s="5">
        <v>41908</v>
      </c>
      <c r="F34" s="6">
        <v>388.80146999999999</v>
      </c>
      <c r="G34" s="7">
        <v>1.3904977000000001E-2</v>
      </c>
      <c r="H34" s="39"/>
    </row>
    <row r="35" spans="1:8" x14ac:dyDescent="0.2">
      <c r="A35" s="3">
        <v>29</v>
      </c>
      <c r="B35" s="4" t="s">
        <v>247</v>
      </c>
      <c r="C35" s="4" t="s">
        <v>248</v>
      </c>
      <c r="D35" s="4" t="s">
        <v>1154</v>
      </c>
      <c r="E35" s="5">
        <v>23267</v>
      </c>
      <c r="F35" s="6">
        <v>378.01894900000002</v>
      </c>
      <c r="G35" s="7">
        <v>1.3519354000000001E-2</v>
      </c>
      <c r="H35" s="39"/>
    </row>
    <row r="36" spans="1:8" ht="25.5" x14ac:dyDescent="0.2">
      <c r="A36" s="3">
        <v>30</v>
      </c>
      <c r="B36" s="4" t="s">
        <v>42</v>
      </c>
      <c r="C36" s="4" t="s">
        <v>43</v>
      </c>
      <c r="D36" s="4" t="s">
        <v>1150</v>
      </c>
      <c r="E36" s="5">
        <v>14971</v>
      </c>
      <c r="F36" s="6">
        <v>363.98992299999998</v>
      </c>
      <c r="G36" s="7">
        <v>1.3017624E-2</v>
      </c>
      <c r="H36" s="39"/>
    </row>
    <row r="37" spans="1:8" x14ac:dyDescent="0.2">
      <c r="A37" s="3">
        <v>31</v>
      </c>
      <c r="B37" s="4" t="s">
        <v>281</v>
      </c>
      <c r="C37" s="4" t="s">
        <v>282</v>
      </c>
      <c r="D37" s="4" t="s">
        <v>29</v>
      </c>
      <c r="E37" s="5">
        <v>16547</v>
      </c>
      <c r="F37" s="6">
        <v>354.28781700000002</v>
      </c>
      <c r="G37" s="7">
        <v>1.2670641E-2</v>
      </c>
      <c r="H37" s="39"/>
    </row>
    <row r="38" spans="1:8" x14ac:dyDescent="0.2">
      <c r="A38" s="3">
        <v>32</v>
      </c>
      <c r="B38" s="4" t="s">
        <v>471</v>
      </c>
      <c r="C38" s="4" t="s">
        <v>472</v>
      </c>
      <c r="D38" s="4" t="s">
        <v>1140</v>
      </c>
      <c r="E38" s="5">
        <v>57816</v>
      </c>
      <c r="F38" s="6">
        <v>346.37565599999999</v>
      </c>
      <c r="G38" s="7">
        <v>1.2387673E-2</v>
      </c>
      <c r="H38" s="39"/>
    </row>
    <row r="39" spans="1:8" x14ac:dyDescent="0.2">
      <c r="A39" s="3">
        <v>33</v>
      </c>
      <c r="B39" s="4" t="s">
        <v>467</v>
      </c>
      <c r="C39" s="4" t="s">
        <v>468</v>
      </c>
      <c r="D39" s="4" t="s">
        <v>71</v>
      </c>
      <c r="E39" s="5">
        <v>32427</v>
      </c>
      <c r="F39" s="6">
        <v>341.14825350000001</v>
      </c>
      <c r="G39" s="7">
        <v>1.2200722000000001E-2</v>
      </c>
      <c r="H39" s="39"/>
    </row>
    <row r="40" spans="1:8" ht="25.5" x14ac:dyDescent="0.2">
      <c r="A40" s="3">
        <v>34</v>
      </c>
      <c r="B40" s="4" t="s">
        <v>186</v>
      </c>
      <c r="C40" s="4" t="s">
        <v>187</v>
      </c>
      <c r="D40" s="4" t="s">
        <v>1158</v>
      </c>
      <c r="E40" s="5">
        <v>62869</v>
      </c>
      <c r="F40" s="6">
        <v>304.94608449999998</v>
      </c>
      <c r="G40" s="7">
        <v>1.0905999E-2</v>
      </c>
      <c r="H40" s="39"/>
    </row>
    <row r="41" spans="1:8" ht="25.5" x14ac:dyDescent="0.2">
      <c r="A41" s="3">
        <v>35</v>
      </c>
      <c r="B41" s="4" t="s">
        <v>198</v>
      </c>
      <c r="C41" s="4" t="s">
        <v>199</v>
      </c>
      <c r="D41" s="4" t="s">
        <v>1138</v>
      </c>
      <c r="E41" s="5">
        <v>51431</v>
      </c>
      <c r="F41" s="6">
        <v>303.49433099999999</v>
      </c>
      <c r="G41" s="7">
        <v>1.0854079000000001E-2</v>
      </c>
      <c r="H41" s="39"/>
    </row>
    <row r="42" spans="1:8" ht="25.5" x14ac:dyDescent="0.2">
      <c r="A42" s="3">
        <v>36</v>
      </c>
      <c r="B42" s="4" t="s">
        <v>159</v>
      </c>
      <c r="C42" s="4" t="s">
        <v>160</v>
      </c>
      <c r="D42" s="4" t="s">
        <v>1138</v>
      </c>
      <c r="E42" s="5">
        <v>77421</v>
      </c>
      <c r="F42" s="6">
        <v>291.91588050000001</v>
      </c>
      <c r="G42" s="7">
        <v>1.043999E-2</v>
      </c>
      <c r="H42" s="39"/>
    </row>
    <row r="43" spans="1:8" x14ac:dyDescent="0.2">
      <c r="A43" s="3">
        <v>37</v>
      </c>
      <c r="B43" s="4" t="s">
        <v>192</v>
      </c>
      <c r="C43" s="4" t="s">
        <v>193</v>
      </c>
      <c r="D43" s="4" t="s">
        <v>1026</v>
      </c>
      <c r="E43" s="5">
        <v>60258</v>
      </c>
      <c r="F43" s="6">
        <v>288.846723</v>
      </c>
      <c r="G43" s="7">
        <v>1.0330226E-2</v>
      </c>
      <c r="H43" s="39"/>
    </row>
    <row r="44" spans="1:8" ht="25.5" x14ac:dyDescent="0.2">
      <c r="A44" s="3">
        <v>38</v>
      </c>
      <c r="B44" s="4" t="s">
        <v>182</v>
      </c>
      <c r="C44" s="4" t="s">
        <v>183</v>
      </c>
      <c r="D44" s="4" t="s">
        <v>1150</v>
      </c>
      <c r="E44" s="5">
        <v>151609</v>
      </c>
      <c r="F44" s="6">
        <v>287.45066400000002</v>
      </c>
      <c r="G44" s="7">
        <v>1.0280298E-2</v>
      </c>
      <c r="H44" s="39"/>
    </row>
    <row r="45" spans="1:8" x14ac:dyDescent="0.2">
      <c r="A45" s="3">
        <v>39</v>
      </c>
      <c r="B45" s="4" t="s">
        <v>200</v>
      </c>
      <c r="C45" s="4" t="s">
        <v>201</v>
      </c>
      <c r="D45" s="4" t="s">
        <v>60</v>
      </c>
      <c r="E45" s="5">
        <v>329417</v>
      </c>
      <c r="F45" s="6">
        <v>282.63978600000002</v>
      </c>
      <c r="G45" s="7">
        <v>1.0108242999999999E-2</v>
      </c>
      <c r="H45" s="39"/>
    </row>
    <row r="46" spans="1:8" x14ac:dyDescent="0.2">
      <c r="A46" s="3">
        <v>40</v>
      </c>
      <c r="B46" s="4" t="s">
        <v>469</v>
      </c>
      <c r="C46" s="4" t="s">
        <v>470</v>
      </c>
      <c r="D46" s="4" t="s">
        <v>29</v>
      </c>
      <c r="E46" s="5">
        <v>35318</v>
      </c>
      <c r="F46" s="6">
        <v>281.74934500000001</v>
      </c>
      <c r="G46" s="7">
        <v>1.0076398E-2</v>
      </c>
      <c r="H46" s="39"/>
    </row>
    <row r="47" spans="1:8" x14ac:dyDescent="0.2">
      <c r="A47" s="3">
        <v>41</v>
      </c>
      <c r="B47" s="4" t="s">
        <v>279</v>
      </c>
      <c r="C47" s="4" t="s">
        <v>280</v>
      </c>
      <c r="D47" s="4" t="s">
        <v>82</v>
      </c>
      <c r="E47" s="5">
        <v>450454</v>
      </c>
      <c r="F47" s="6">
        <v>278.15534500000001</v>
      </c>
      <c r="G47" s="7">
        <v>9.9478629999999995E-3</v>
      </c>
      <c r="H47" s="39"/>
    </row>
    <row r="48" spans="1:8" x14ac:dyDescent="0.2">
      <c r="A48" s="3">
        <v>42</v>
      </c>
      <c r="B48" s="4" t="s">
        <v>351</v>
      </c>
      <c r="C48" s="4" t="s">
        <v>352</v>
      </c>
      <c r="D48" s="4" t="s">
        <v>1154</v>
      </c>
      <c r="E48" s="5">
        <v>7574</v>
      </c>
      <c r="F48" s="6">
        <v>270.815944</v>
      </c>
      <c r="G48" s="7">
        <v>9.6853789999999992E-3</v>
      </c>
      <c r="H48" s="39"/>
    </row>
    <row r="49" spans="1:8" ht="25.5" x14ac:dyDescent="0.2">
      <c r="A49" s="3">
        <v>43</v>
      </c>
      <c r="B49" s="4" t="s">
        <v>184</v>
      </c>
      <c r="C49" s="4" t="s">
        <v>185</v>
      </c>
      <c r="D49" s="4" t="s">
        <v>1145</v>
      </c>
      <c r="E49" s="5">
        <v>58166</v>
      </c>
      <c r="F49" s="6">
        <v>263.17206700000003</v>
      </c>
      <c r="G49" s="7">
        <v>9.4120049999999993E-3</v>
      </c>
      <c r="H49" s="39"/>
    </row>
    <row r="50" spans="1:8" x14ac:dyDescent="0.2">
      <c r="A50" s="3">
        <v>44</v>
      </c>
      <c r="B50" s="4" t="s">
        <v>473</v>
      </c>
      <c r="C50" s="4" t="s">
        <v>474</v>
      </c>
      <c r="D50" s="4" t="s">
        <v>1155</v>
      </c>
      <c r="E50" s="5">
        <v>28480</v>
      </c>
      <c r="F50" s="6">
        <v>256.69024000000002</v>
      </c>
      <c r="G50" s="7">
        <v>9.1801910000000007E-3</v>
      </c>
      <c r="H50" s="39"/>
    </row>
    <row r="51" spans="1:8" ht="25.5" x14ac:dyDescent="0.2">
      <c r="A51" s="3">
        <v>45</v>
      </c>
      <c r="B51" s="4" t="s">
        <v>168</v>
      </c>
      <c r="C51" s="4" t="s">
        <v>169</v>
      </c>
      <c r="D51" s="4" t="s">
        <v>1137</v>
      </c>
      <c r="E51" s="5">
        <v>104294</v>
      </c>
      <c r="F51" s="6">
        <v>250.82706999999999</v>
      </c>
      <c r="G51" s="7">
        <v>8.9705029999999995E-3</v>
      </c>
      <c r="H51" s="39"/>
    </row>
    <row r="52" spans="1:8" x14ac:dyDescent="0.2">
      <c r="A52" s="3">
        <v>46</v>
      </c>
      <c r="B52" s="4" t="s">
        <v>32</v>
      </c>
      <c r="C52" s="4" t="s">
        <v>33</v>
      </c>
      <c r="D52" s="4" t="s">
        <v>29</v>
      </c>
      <c r="E52" s="5">
        <v>8287</v>
      </c>
      <c r="F52" s="6">
        <v>250.3875615</v>
      </c>
      <c r="G52" s="7">
        <v>8.9547840000000004E-3</v>
      </c>
      <c r="H52" s="39"/>
    </row>
    <row r="53" spans="1:8" ht="25.5" x14ac:dyDescent="0.2">
      <c r="A53" s="3">
        <v>47</v>
      </c>
      <c r="B53" s="4" t="s">
        <v>260</v>
      </c>
      <c r="C53" s="4" t="s">
        <v>261</v>
      </c>
      <c r="D53" s="4" t="s">
        <v>1145</v>
      </c>
      <c r="E53" s="5">
        <v>60710</v>
      </c>
      <c r="F53" s="6">
        <v>245.08627000000001</v>
      </c>
      <c r="G53" s="7">
        <v>8.7651900000000008E-3</v>
      </c>
      <c r="H53" s="39"/>
    </row>
    <row r="54" spans="1:8" x14ac:dyDescent="0.2">
      <c r="A54" s="3">
        <v>48</v>
      </c>
      <c r="B54" s="4" t="s">
        <v>180</v>
      </c>
      <c r="C54" s="4" t="s">
        <v>181</v>
      </c>
      <c r="D54" s="4" t="s">
        <v>1156</v>
      </c>
      <c r="E54" s="5">
        <v>76500</v>
      </c>
      <c r="F54" s="6">
        <v>244.99125000000001</v>
      </c>
      <c r="G54" s="7">
        <v>8.7617919999999992E-3</v>
      </c>
      <c r="H54" s="39"/>
    </row>
    <row r="55" spans="1:8" ht="25.5" x14ac:dyDescent="0.2">
      <c r="A55" s="3">
        <v>49</v>
      </c>
      <c r="B55" s="4" t="s">
        <v>196</v>
      </c>
      <c r="C55" s="4" t="s">
        <v>197</v>
      </c>
      <c r="D55" s="4" t="s">
        <v>1138</v>
      </c>
      <c r="E55" s="5">
        <v>14493</v>
      </c>
      <c r="F55" s="6">
        <v>228.250257</v>
      </c>
      <c r="G55" s="7">
        <v>8.1630720000000004E-3</v>
      </c>
      <c r="H55" s="39"/>
    </row>
    <row r="56" spans="1:8" x14ac:dyDescent="0.2">
      <c r="A56" s="3">
        <v>50</v>
      </c>
      <c r="B56" s="4" t="s">
        <v>475</v>
      </c>
      <c r="C56" s="4" t="s">
        <v>476</v>
      </c>
      <c r="D56" s="4" t="s">
        <v>82</v>
      </c>
      <c r="E56" s="5">
        <v>26475</v>
      </c>
      <c r="F56" s="6">
        <v>224.95807500000001</v>
      </c>
      <c r="G56" s="7">
        <v>8.0453320000000005E-3</v>
      </c>
      <c r="H56" s="39"/>
    </row>
    <row r="57" spans="1:8" x14ac:dyDescent="0.2">
      <c r="A57" s="3">
        <v>51</v>
      </c>
      <c r="B57" s="4" t="s">
        <v>228</v>
      </c>
      <c r="C57" s="4" t="s">
        <v>229</v>
      </c>
      <c r="D57" s="4" t="s">
        <v>29</v>
      </c>
      <c r="E57" s="5">
        <v>21572</v>
      </c>
      <c r="F57" s="6">
        <v>220.02361400000001</v>
      </c>
      <c r="G57" s="7">
        <v>7.8688569999999999E-3</v>
      </c>
      <c r="H57" s="39"/>
    </row>
    <row r="58" spans="1:8" x14ac:dyDescent="0.2">
      <c r="A58" s="3">
        <v>52</v>
      </c>
      <c r="B58" s="4" t="s">
        <v>254</v>
      </c>
      <c r="C58" s="4" t="s">
        <v>255</v>
      </c>
      <c r="D58" s="4" t="s">
        <v>15</v>
      </c>
      <c r="E58" s="5">
        <v>81590</v>
      </c>
      <c r="F58" s="6">
        <v>219.762665</v>
      </c>
      <c r="G58" s="7">
        <v>7.8595249999999992E-3</v>
      </c>
      <c r="H58" s="39"/>
    </row>
    <row r="59" spans="1:8" x14ac:dyDescent="0.2">
      <c r="A59" s="3">
        <v>53</v>
      </c>
      <c r="B59" s="4" t="s">
        <v>202</v>
      </c>
      <c r="C59" s="4" t="s">
        <v>203</v>
      </c>
      <c r="D59" s="4" t="s">
        <v>71</v>
      </c>
      <c r="E59" s="5">
        <v>98339</v>
      </c>
      <c r="F59" s="6">
        <v>218.11590200000001</v>
      </c>
      <c r="G59" s="7">
        <v>7.8006300000000002E-3</v>
      </c>
      <c r="H59" s="39"/>
    </row>
    <row r="60" spans="1:8" x14ac:dyDescent="0.2">
      <c r="A60" s="3">
        <v>54</v>
      </c>
      <c r="B60" s="4" t="s">
        <v>190</v>
      </c>
      <c r="C60" s="4" t="s">
        <v>191</v>
      </c>
      <c r="D60" s="4" t="s">
        <v>1169</v>
      </c>
      <c r="E60" s="5">
        <v>243936</v>
      </c>
      <c r="F60" s="6">
        <v>218.07878400000001</v>
      </c>
      <c r="G60" s="7">
        <v>7.7993029999999996E-3</v>
      </c>
      <c r="H60" s="39"/>
    </row>
    <row r="61" spans="1:8" ht="25.5" x14ac:dyDescent="0.2">
      <c r="A61" s="3">
        <v>55</v>
      </c>
      <c r="B61" s="4" t="s">
        <v>262</v>
      </c>
      <c r="C61" s="4" t="s">
        <v>263</v>
      </c>
      <c r="D61" s="4" t="s">
        <v>1141</v>
      </c>
      <c r="E61" s="5">
        <v>72207</v>
      </c>
      <c r="F61" s="6">
        <v>212.79402899999999</v>
      </c>
      <c r="G61" s="7">
        <v>7.6103009999999999E-3</v>
      </c>
      <c r="H61" s="39"/>
    </row>
    <row r="62" spans="1:8" x14ac:dyDescent="0.2">
      <c r="A62" s="3">
        <v>56</v>
      </c>
      <c r="B62" s="4" t="s">
        <v>249</v>
      </c>
      <c r="C62" s="4" t="s">
        <v>250</v>
      </c>
      <c r="D62" s="4" t="s">
        <v>60</v>
      </c>
      <c r="E62" s="5">
        <v>53690</v>
      </c>
      <c r="F62" s="6">
        <v>196.908075</v>
      </c>
      <c r="G62" s="7">
        <v>7.0421600000000004E-3</v>
      </c>
      <c r="H62" s="39"/>
    </row>
    <row r="63" spans="1:8" ht="25.5" x14ac:dyDescent="0.2">
      <c r="A63" s="3">
        <v>57</v>
      </c>
      <c r="B63" s="4" t="s">
        <v>268</v>
      </c>
      <c r="C63" s="4" t="s">
        <v>269</v>
      </c>
      <c r="D63" s="4" t="s">
        <v>1139</v>
      </c>
      <c r="E63" s="5">
        <v>27300</v>
      </c>
      <c r="F63" s="6">
        <v>191.90535</v>
      </c>
      <c r="G63" s="7">
        <v>6.8632440000000001E-3</v>
      </c>
      <c r="H63" s="39"/>
    </row>
    <row r="64" spans="1:8" x14ac:dyDescent="0.2">
      <c r="A64" s="3">
        <v>58</v>
      </c>
      <c r="B64" s="4" t="s">
        <v>266</v>
      </c>
      <c r="C64" s="4" t="s">
        <v>267</v>
      </c>
      <c r="D64" s="4" t="s">
        <v>1155</v>
      </c>
      <c r="E64" s="5">
        <v>123782</v>
      </c>
      <c r="F64" s="6">
        <v>186.29191</v>
      </c>
      <c r="G64" s="7">
        <v>6.6624869999999999E-3</v>
      </c>
      <c r="H64" s="39"/>
    </row>
    <row r="65" spans="1:8" x14ac:dyDescent="0.2">
      <c r="A65" s="3">
        <v>59</v>
      </c>
      <c r="B65" s="4" t="s">
        <v>477</v>
      </c>
      <c r="C65" s="4" t="s">
        <v>478</v>
      </c>
      <c r="D65" s="4" t="s">
        <v>1026</v>
      </c>
      <c r="E65" s="5">
        <v>284562</v>
      </c>
      <c r="F65" s="6">
        <v>179.985465</v>
      </c>
      <c r="G65" s="7">
        <v>6.4369450000000003E-3</v>
      </c>
      <c r="H65" s="39"/>
    </row>
    <row r="66" spans="1:8" x14ac:dyDescent="0.2">
      <c r="A66" s="3">
        <v>60</v>
      </c>
      <c r="B66" s="4" t="s">
        <v>270</v>
      </c>
      <c r="C66" s="4" t="s">
        <v>271</v>
      </c>
      <c r="D66" s="4" t="s">
        <v>1154</v>
      </c>
      <c r="E66" s="5">
        <v>29625</v>
      </c>
      <c r="F66" s="6">
        <v>174.58012500000001</v>
      </c>
      <c r="G66" s="7">
        <v>6.24363E-3</v>
      </c>
      <c r="H66" s="39"/>
    </row>
    <row r="67" spans="1:8" ht="25.5" x14ac:dyDescent="0.2">
      <c r="A67" s="3">
        <v>61</v>
      </c>
      <c r="B67" s="4" t="s">
        <v>483</v>
      </c>
      <c r="C67" s="4" t="s">
        <v>484</v>
      </c>
      <c r="D67" s="4" t="s">
        <v>1138</v>
      </c>
      <c r="E67" s="5">
        <v>40059</v>
      </c>
      <c r="F67" s="6">
        <v>161.15735699999999</v>
      </c>
      <c r="G67" s="7">
        <v>5.7635819999999997E-3</v>
      </c>
      <c r="H67" s="39"/>
    </row>
    <row r="68" spans="1:8" x14ac:dyDescent="0.2">
      <c r="A68" s="3">
        <v>62</v>
      </c>
      <c r="B68" s="4" t="s">
        <v>210</v>
      </c>
      <c r="C68" s="4" t="s">
        <v>211</v>
      </c>
      <c r="D68" s="4" t="s">
        <v>91</v>
      </c>
      <c r="E68" s="5">
        <v>19778</v>
      </c>
      <c r="F68" s="6">
        <v>152.577381</v>
      </c>
      <c r="G68" s="7">
        <v>5.4567310000000003E-3</v>
      </c>
      <c r="H68" s="39"/>
    </row>
    <row r="69" spans="1:8" ht="25.5" x14ac:dyDescent="0.2">
      <c r="A69" s="3">
        <v>63</v>
      </c>
      <c r="B69" s="4" t="s">
        <v>289</v>
      </c>
      <c r="C69" s="4" t="s">
        <v>290</v>
      </c>
      <c r="D69" s="4" t="s">
        <v>1153</v>
      </c>
      <c r="E69" s="5">
        <v>22459</v>
      </c>
      <c r="F69" s="6">
        <v>149.38603850000001</v>
      </c>
      <c r="G69" s="7">
        <v>5.3425970000000001E-3</v>
      </c>
      <c r="H69" s="39"/>
    </row>
    <row r="70" spans="1:8" x14ac:dyDescent="0.2">
      <c r="A70" s="3">
        <v>64</v>
      </c>
      <c r="B70" s="4" t="s">
        <v>208</v>
      </c>
      <c r="C70" s="4" t="s">
        <v>209</v>
      </c>
      <c r="D70" s="4" t="s">
        <v>71</v>
      </c>
      <c r="E70" s="5">
        <v>24209</v>
      </c>
      <c r="F70" s="6">
        <v>148.63115550000001</v>
      </c>
      <c r="G70" s="7">
        <v>5.3155989999999998E-3</v>
      </c>
      <c r="H70" s="39"/>
    </row>
    <row r="71" spans="1:8" ht="25.5" x14ac:dyDescent="0.2">
      <c r="A71" s="3">
        <v>65</v>
      </c>
      <c r="B71" s="4" t="s">
        <v>176</v>
      </c>
      <c r="C71" s="4" t="s">
        <v>177</v>
      </c>
      <c r="D71" s="4" t="s">
        <v>71</v>
      </c>
      <c r="E71" s="5">
        <v>8392</v>
      </c>
      <c r="F71" s="6">
        <v>148.60133999999999</v>
      </c>
      <c r="G71" s="7">
        <v>5.3145329999999998E-3</v>
      </c>
      <c r="H71" s="39"/>
    </row>
    <row r="72" spans="1:8" x14ac:dyDescent="0.2">
      <c r="A72" s="3">
        <v>66</v>
      </c>
      <c r="B72" s="4" t="s">
        <v>218</v>
      </c>
      <c r="C72" s="4" t="s">
        <v>219</v>
      </c>
      <c r="D72" s="4" t="s">
        <v>1026</v>
      </c>
      <c r="E72" s="5">
        <v>138250</v>
      </c>
      <c r="F72" s="6">
        <v>139.28687500000001</v>
      </c>
      <c r="G72" s="7">
        <v>4.9814129999999996E-3</v>
      </c>
      <c r="H72" s="39"/>
    </row>
    <row r="73" spans="1:8" x14ac:dyDescent="0.2">
      <c r="A73" s="3">
        <v>67</v>
      </c>
      <c r="B73" s="4" t="s">
        <v>479</v>
      </c>
      <c r="C73" s="4" t="s">
        <v>480</v>
      </c>
      <c r="D73" s="4" t="s">
        <v>18</v>
      </c>
      <c r="E73" s="5">
        <v>61866</v>
      </c>
      <c r="F73" s="6">
        <v>130.63005899999999</v>
      </c>
      <c r="G73" s="7">
        <v>4.6718139999999998E-3</v>
      </c>
      <c r="H73" s="39"/>
    </row>
    <row r="74" spans="1:8" x14ac:dyDescent="0.2">
      <c r="A74" s="3">
        <v>68</v>
      </c>
      <c r="B74" s="4" t="s">
        <v>224</v>
      </c>
      <c r="C74" s="4" t="s">
        <v>225</v>
      </c>
      <c r="D74" s="4" t="s">
        <v>1154</v>
      </c>
      <c r="E74" s="5">
        <v>24787</v>
      </c>
      <c r="F74" s="6">
        <v>120.9233795</v>
      </c>
      <c r="G74" s="7">
        <v>4.3246669999999999E-3</v>
      </c>
      <c r="H74" s="39"/>
    </row>
    <row r="75" spans="1:8" x14ac:dyDescent="0.2">
      <c r="A75" s="3">
        <v>69</v>
      </c>
      <c r="B75" s="4" t="s">
        <v>104</v>
      </c>
      <c r="C75" s="4" t="s">
        <v>105</v>
      </c>
      <c r="D75" s="4" t="s">
        <v>1157</v>
      </c>
      <c r="E75" s="5">
        <v>154250</v>
      </c>
      <c r="F75" s="6">
        <v>119.92937499999999</v>
      </c>
      <c r="G75" s="7">
        <v>4.2891179999999998E-3</v>
      </c>
      <c r="H75" s="39"/>
    </row>
    <row r="76" spans="1:8" ht="25.5" x14ac:dyDescent="0.2">
      <c r="A76" s="3">
        <v>70</v>
      </c>
      <c r="B76" s="4" t="s">
        <v>216</v>
      </c>
      <c r="C76" s="4" t="s">
        <v>217</v>
      </c>
      <c r="D76" s="4" t="s">
        <v>1138</v>
      </c>
      <c r="E76" s="5">
        <v>2928</v>
      </c>
      <c r="F76" s="6">
        <v>117.19027199999999</v>
      </c>
      <c r="G76" s="7">
        <v>4.191157E-3</v>
      </c>
      <c r="H76" s="39"/>
    </row>
    <row r="77" spans="1:8" ht="25.5" x14ac:dyDescent="0.2">
      <c r="A77" s="3">
        <v>71</v>
      </c>
      <c r="B77" s="4" t="s">
        <v>276</v>
      </c>
      <c r="C77" s="4" t="s">
        <v>277</v>
      </c>
      <c r="D77" s="4" t="s">
        <v>1138</v>
      </c>
      <c r="E77" s="5">
        <v>47700</v>
      </c>
      <c r="F77" s="6">
        <v>100.19385</v>
      </c>
      <c r="G77" s="7">
        <v>3.583302E-3</v>
      </c>
      <c r="H77" s="39"/>
    </row>
    <row r="78" spans="1:8" x14ac:dyDescent="0.2">
      <c r="A78" s="3">
        <v>72</v>
      </c>
      <c r="B78" s="4" t="s">
        <v>212</v>
      </c>
      <c r="C78" s="4" t="s">
        <v>213</v>
      </c>
      <c r="D78" s="4" t="s">
        <v>308</v>
      </c>
      <c r="E78" s="5">
        <v>13264</v>
      </c>
      <c r="F78" s="6">
        <v>76.878144000000006</v>
      </c>
      <c r="G78" s="7">
        <v>2.749446E-3</v>
      </c>
      <c r="H78" s="39"/>
    </row>
    <row r="79" spans="1:8" ht="25.5" x14ac:dyDescent="0.2">
      <c r="A79" s="3">
        <v>73</v>
      </c>
      <c r="B79" s="4" t="s">
        <v>222</v>
      </c>
      <c r="C79" s="4" t="s">
        <v>223</v>
      </c>
      <c r="D79" s="4" t="s">
        <v>1153</v>
      </c>
      <c r="E79" s="5">
        <v>8196</v>
      </c>
      <c r="F79" s="6">
        <v>75.476963999999995</v>
      </c>
      <c r="G79" s="7">
        <v>2.6993350000000002E-3</v>
      </c>
      <c r="H79" s="39"/>
    </row>
    <row r="80" spans="1:8" x14ac:dyDescent="0.2">
      <c r="A80" s="3">
        <v>74</v>
      </c>
      <c r="B80" s="4" t="s">
        <v>214</v>
      </c>
      <c r="C80" s="4" t="s">
        <v>215</v>
      </c>
      <c r="D80" s="4" t="s">
        <v>18</v>
      </c>
      <c r="E80" s="5">
        <v>61227</v>
      </c>
      <c r="F80" s="6">
        <v>42.491537999999998</v>
      </c>
      <c r="G80" s="7">
        <v>1.5196540000000001E-3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26625.962243499998</v>
      </c>
      <c r="G81" s="10">
        <v>0.95224277700000004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26625.962243499998</v>
      </c>
      <c r="G98" s="10">
        <v>0.95224277700000004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1035.2467594</v>
      </c>
      <c r="G126" s="7">
        <v>3.7024249000000002E-2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366.03940230000001</v>
      </c>
      <c r="G127" s="7">
        <v>1.3090921E-2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1401.2861617000001</v>
      </c>
      <c r="G128" s="10">
        <v>5.0115170000000001E-2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1401.2861617000001</v>
      </c>
      <c r="G130" s="10">
        <v>5.0115170000000001E-2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-65.931403590000002</v>
      </c>
      <c r="G145" s="7">
        <v>-2.3579510000000001E-3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27961.317001610001</v>
      </c>
      <c r="G146" s="10">
        <v>0.999999996</v>
      </c>
      <c r="H146" s="39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94" t="s">
        <v>140</v>
      </c>
      <c r="C149" s="1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189" t="s">
        <v>141</v>
      </c>
      <c r="C150" s="190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189" t="s">
        <v>143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144</v>
      </c>
      <c r="C152" s="190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17.116</v>
      </c>
      <c r="D155" s="24">
        <v>18.422599999999999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1092</v>
      </c>
      <c r="C156" s="24">
        <v>16.8017</v>
      </c>
      <c r="D156" s="24">
        <v>18.084399999999999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16.607199999999999</v>
      </c>
      <c r="D157" s="24">
        <v>17.8658</v>
      </c>
      <c r="E157" s="22"/>
      <c r="F157" s="19"/>
      <c r="G157" s="25"/>
    </row>
    <row r="158" spans="1:8" ht="17.100000000000001" customHeight="1" x14ac:dyDescent="0.2">
      <c r="A158" s="22"/>
      <c r="B158" s="4" t="s">
        <v>1093</v>
      </c>
      <c r="C158" s="24">
        <v>16.2942</v>
      </c>
      <c r="D158" s="24">
        <v>17.529199999999999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89" t="s">
        <v>1094</v>
      </c>
      <c r="C160" s="190"/>
      <c r="D160" s="2" t="s">
        <v>142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101" customFormat="1" x14ac:dyDescent="0.2">
      <c r="B162" s="193" t="s">
        <v>1102</v>
      </c>
      <c r="C162" s="193"/>
      <c r="D162" s="193"/>
      <c r="E162" s="193"/>
      <c r="F162" s="193"/>
      <c r="I162"/>
      <c r="J162"/>
      <c r="K162"/>
      <c r="L162"/>
      <c r="M162"/>
      <c r="N162"/>
      <c r="O162"/>
      <c r="P162" s="41"/>
      <c r="Q162" s="41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89" t="s">
        <v>152</v>
      </c>
      <c r="C164" s="190"/>
      <c r="D164" s="2" t="s">
        <v>142</v>
      </c>
      <c r="E164" s="22"/>
      <c r="F164" s="22"/>
      <c r="G164" s="22"/>
      <c r="J164" s="101"/>
      <c r="K164" s="101"/>
      <c r="L164" s="101"/>
      <c r="M164" s="101"/>
      <c r="N164" s="101"/>
      <c r="O164" s="101"/>
    </row>
    <row r="165" spans="1:17" ht="29.1" customHeight="1" x14ac:dyDescent="0.2">
      <c r="A165" s="22"/>
      <c r="B165" s="189" t="s">
        <v>153</v>
      </c>
      <c r="C165" s="190"/>
      <c r="D165" s="2" t="s">
        <v>142</v>
      </c>
      <c r="E165" s="22"/>
      <c r="F165" s="22"/>
      <c r="G165" s="22"/>
    </row>
    <row r="166" spans="1:17" ht="17.100000000000001" customHeight="1" x14ac:dyDescent="0.2">
      <c r="A166" s="22"/>
      <c r="B166" s="189" t="s">
        <v>154</v>
      </c>
      <c r="C166" s="190"/>
      <c r="D166" s="28">
        <v>0.3146808675760589</v>
      </c>
      <c r="E166" s="22"/>
      <c r="F166" s="19"/>
      <c r="G166" s="25"/>
    </row>
    <row r="167" spans="1:17" ht="17.100000000000001" customHeight="1" x14ac:dyDescent="0.2">
      <c r="A167" s="22"/>
      <c r="B167" s="189" t="s">
        <v>155</v>
      </c>
      <c r="C167" s="190"/>
      <c r="D167" s="2" t="s">
        <v>142</v>
      </c>
      <c r="E167" s="22"/>
      <c r="F167" s="22"/>
      <c r="G167" s="22"/>
    </row>
  </sheetData>
  <mergeCells count="14">
    <mergeCell ref="B167:C167"/>
    <mergeCell ref="B150:C150"/>
    <mergeCell ref="B151:C151"/>
    <mergeCell ref="B152:C152"/>
    <mergeCell ref="B160:C160"/>
    <mergeCell ref="B164:C164"/>
    <mergeCell ref="B165:C165"/>
    <mergeCell ref="B166:C166"/>
    <mergeCell ref="A1:H1"/>
    <mergeCell ref="A2:H2"/>
    <mergeCell ref="A3:H3"/>
    <mergeCell ref="B162:F162"/>
    <mergeCell ref="J2:N2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485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55333</v>
      </c>
      <c r="F7" s="6">
        <v>697.74913000000004</v>
      </c>
      <c r="G7" s="7">
        <v>3.5061277000000002E-2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86795</v>
      </c>
      <c r="F8" s="6">
        <v>621.71258499999999</v>
      </c>
      <c r="G8" s="7">
        <v>3.1240508E-2</v>
      </c>
      <c r="H8" s="39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103381</v>
      </c>
      <c r="F9" s="6">
        <v>605.24406450000004</v>
      </c>
      <c r="G9" s="7">
        <v>3.0412979999999999E-2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14492</v>
      </c>
      <c r="F10" s="6">
        <v>591.59242400000005</v>
      </c>
      <c r="G10" s="7">
        <v>2.9726997000000002E-2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304491</v>
      </c>
      <c r="F11" s="6">
        <v>576.85819949999996</v>
      </c>
      <c r="G11" s="7">
        <v>2.8986615E-2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28200</v>
      </c>
      <c r="F12" s="6">
        <v>507.58589999999998</v>
      </c>
      <c r="G12" s="7">
        <v>2.5505743000000001E-2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82518</v>
      </c>
      <c r="F13" s="6">
        <v>495.97443900000002</v>
      </c>
      <c r="G13" s="7">
        <v>2.4922277E-2</v>
      </c>
      <c r="H13" s="39"/>
    </row>
    <row r="14" spans="1:14" x14ac:dyDescent="0.2">
      <c r="A14" s="3">
        <v>8</v>
      </c>
      <c r="B14" s="4" t="s">
        <v>220</v>
      </c>
      <c r="C14" s="4" t="s">
        <v>221</v>
      </c>
      <c r="D14" s="4" t="s">
        <v>1149</v>
      </c>
      <c r="E14" s="5">
        <v>91611</v>
      </c>
      <c r="F14" s="6">
        <v>485.35507799999999</v>
      </c>
      <c r="G14" s="7">
        <v>2.4388664000000001E-2</v>
      </c>
      <c r="H14" s="39"/>
    </row>
    <row r="15" spans="1:14" x14ac:dyDescent="0.2">
      <c r="A15" s="3">
        <v>9</v>
      </c>
      <c r="B15" s="4" t="s">
        <v>241</v>
      </c>
      <c r="C15" s="4" t="s">
        <v>242</v>
      </c>
      <c r="D15" s="4" t="s">
        <v>1143</v>
      </c>
      <c r="E15" s="5">
        <v>10158</v>
      </c>
      <c r="F15" s="6">
        <v>484.05917399999998</v>
      </c>
      <c r="G15" s="7">
        <v>2.4323546000000001E-2</v>
      </c>
      <c r="H15" s="39"/>
    </row>
    <row r="16" spans="1:14" ht="15" x14ac:dyDescent="0.2">
      <c r="A16" s="3">
        <v>10</v>
      </c>
      <c r="B16" s="4" t="s">
        <v>245</v>
      </c>
      <c r="C16" s="4" t="s">
        <v>246</v>
      </c>
      <c r="D16" s="4" t="s">
        <v>29</v>
      </c>
      <c r="E16" s="5">
        <v>55178</v>
      </c>
      <c r="F16" s="6">
        <v>466.667935</v>
      </c>
      <c r="G16" s="7">
        <v>2.3449652000000001E-2</v>
      </c>
      <c r="H16" s="39"/>
      <c r="J16" s="176" t="s">
        <v>1181</v>
      </c>
    </row>
    <row r="17" spans="1:8" x14ac:dyDescent="0.2">
      <c r="A17" s="3">
        <v>11</v>
      </c>
      <c r="B17" s="4" t="s">
        <v>166</v>
      </c>
      <c r="C17" s="4" t="s">
        <v>167</v>
      </c>
      <c r="D17" s="4" t="s">
        <v>1159</v>
      </c>
      <c r="E17" s="5">
        <v>35713</v>
      </c>
      <c r="F17" s="6">
        <v>450.00165650000002</v>
      </c>
      <c r="G17" s="7">
        <v>2.2612185999999999E-2</v>
      </c>
      <c r="H17" s="39"/>
    </row>
    <row r="18" spans="1:8" x14ac:dyDescent="0.2">
      <c r="A18" s="3">
        <v>12</v>
      </c>
      <c r="B18" s="4" t="s">
        <v>162</v>
      </c>
      <c r="C18" s="4" t="s">
        <v>163</v>
      </c>
      <c r="D18" s="4" t="s">
        <v>1026</v>
      </c>
      <c r="E18" s="5">
        <v>29273</v>
      </c>
      <c r="F18" s="6">
        <v>433.88440600000001</v>
      </c>
      <c r="G18" s="7">
        <v>2.1802307999999999E-2</v>
      </c>
      <c r="H18" s="39"/>
    </row>
    <row r="19" spans="1:8" x14ac:dyDescent="0.2">
      <c r="A19" s="3">
        <v>13</v>
      </c>
      <c r="B19" s="4" t="s">
        <v>38</v>
      </c>
      <c r="C19" s="4" t="s">
        <v>39</v>
      </c>
      <c r="D19" s="4" t="s">
        <v>29</v>
      </c>
      <c r="E19" s="5">
        <v>31667</v>
      </c>
      <c r="F19" s="6">
        <v>417.83023150000002</v>
      </c>
      <c r="G19" s="7">
        <v>2.09956E-2</v>
      </c>
      <c r="H19" s="39"/>
    </row>
    <row r="20" spans="1:8" x14ac:dyDescent="0.2">
      <c r="A20" s="3">
        <v>14</v>
      </c>
      <c r="B20" s="4" t="s">
        <v>164</v>
      </c>
      <c r="C20" s="4" t="s">
        <v>165</v>
      </c>
      <c r="D20" s="4" t="s">
        <v>82</v>
      </c>
      <c r="E20" s="5">
        <v>390579</v>
      </c>
      <c r="F20" s="6">
        <v>415.966635</v>
      </c>
      <c r="G20" s="7">
        <v>2.0901955999999999E-2</v>
      </c>
      <c r="H20" s="39"/>
    </row>
    <row r="21" spans="1:8" x14ac:dyDescent="0.2">
      <c r="A21" s="3">
        <v>15</v>
      </c>
      <c r="B21" s="4" t="s">
        <v>283</v>
      </c>
      <c r="C21" s="4" t="s">
        <v>284</v>
      </c>
      <c r="D21" s="4" t="s">
        <v>29</v>
      </c>
      <c r="E21" s="5">
        <v>64998</v>
      </c>
      <c r="F21" s="6">
        <v>404.22256199999998</v>
      </c>
      <c r="G21" s="7">
        <v>2.0311827000000001E-2</v>
      </c>
      <c r="H21" s="39"/>
    </row>
    <row r="22" spans="1:8" x14ac:dyDescent="0.2">
      <c r="A22" s="3">
        <v>16</v>
      </c>
      <c r="B22" s="4" t="s">
        <v>226</v>
      </c>
      <c r="C22" s="4" t="s">
        <v>227</v>
      </c>
      <c r="D22" s="4" t="s">
        <v>82</v>
      </c>
      <c r="E22" s="5">
        <v>44577</v>
      </c>
      <c r="F22" s="6">
        <v>342.9977265</v>
      </c>
      <c r="G22" s="7">
        <v>1.7235332999999999E-2</v>
      </c>
      <c r="H22" s="39"/>
    </row>
    <row r="23" spans="1:8" x14ac:dyDescent="0.2">
      <c r="A23" s="3">
        <v>17</v>
      </c>
      <c r="B23" s="4" t="s">
        <v>251</v>
      </c>
      <c r="C23" s="4" t="s">
        <v>252</v>
      </c>
      <c r="D23" s="4" t="s">
        <v>253</v>
      </c>
      <c r="E23" s="5">
        <v>124748</v>
      </c>
      <c r="F23" s="6">
        <v>336.69485200000003</v>
      </c>
      <c r="G23" s="7">
        <v>1.6918618999999999E-2</v>
      </c>
      <c r="H23" s="39"/>
    </row>
    <row r="24" spans="1:8" x14ac:dyDescent="0.2">
      <c r="A24" s="3">
        <v>18</v>
      </c>
      <c r="B24" s="4" t="s">
        <v>243</v>
      </c>
      <c r="C24" s="4" t="s">
        <v>244</v>
      </c>
      <c r="D24" s="4" t="s">
        <v>1157</v>
      </c>
      <c r="E24" s="5">
        <v>30347</v>
      </c>
      <c r="F24" s="6">
        <v>333.8018265</v>
      </c>
      <c r="G24" s="7">
        <v>1.6773247000000002E-2</v>
      </c>
      <c r="H24" s="39"/>
    </row>
    <row r="25" spans="1:8" x14ac:dyDescent="0.2">
      <c r="A25" s="3">
        <v>19</v>
      </c>
      <c r="B25" s="4" t="s">
        <v>170</v>
      </c>
      <c r="C25" s="4" t="s">
        <v>171</v>
      </c>
      <c r="D25" s="4" t="s">
        <v>1027</v>
      </c>
      <c r="E25" s="5">
        <v>21424</v>
      </c>
      <c r="F25" s="6">
        <v>329.23331999999999</v>
      </c>
      <c r="G25" s="7">
        <v>1.6543683999999999E-2</v>
      </c>
      <c r="H25" s="39"/>
    </row>
    <row r="26" spans="1:8" x14ac:dyDescent="0.2">
      <c r="A26" s="3">
        <v>20</v>
      </c>
      <c r="B26" s="4" t="s">
        <v>459</v>
      </c>
      <c r="C26" s="4" t="s">
        <v>460</v>
      </c>
      <c r="D26" s="4" t="s">
        <v>71</v>
      </c>
      <c r="E26" s="5">
        <v>101250</v>
      </c>
      <c r="F26" s="6">
        <v>325.265625</v>
      </c>
      <c r="G26" s="7">
        <v>1.6344310000000001E-2</v>
      </c>
      <c r="H26" s="39"/>
    </row>
    <row r="27" spans="1:8" x14ac:dyDescent="0.2">
      <c r="A27" s="3">
        <v>21</v>
      </c>
      <c r="B27" s="4" t="s">
        <v>461</v>
      </c>
      <c r="C27" s="4" t="s">
        <v>462</v>
      </c>
      <c r="D27" s="4" t="s">
        <v>1168</v>
      </c>
      <c r="E27" s="5">
        <v>15644</v>
      </c>
      <c r="F27" s="6">
        <v>323.48663199999999</v>
      </c>
      <c r="G27" s="7">
        <v>1.6254918E-2</v>
      </c>
      <c r="H27" s="39"/>
    </row>
    <row r="28" spans="1:8" x14ac:dyDescent="0.2">
      <c r="A28" s="3">
        <v>22</v>
      </c>
      <c r="B28" s="4" t="s">
        <v>465</v>
      </c>
      <c r="C28" s="4" t="s">
        <v>466</v>
      </c>
      <c r="D28" s="4" t="s">
        <v>71</v>
      </c>
      <c r="E28" s="5">
        <v>32500</v>
      </c>
      <c r="F28" s="6">
        <v>316.71249999999998</v>
      </c>
      <c r="G28" s="7">
        <v>1.5914523E-2</v>
      </c>
      <c r="H28" s="39"/>
    </row>
    <row r="29" spans="1:8" x14ac:dyDescent="0.2">
      <c r="A29" s="3">
        <v>23</v>
      </c>
      <c r="B29" s="4" t="s">
        <v>194</v>
      </c>
      <c r="C29" s="4" t="s">
        <v>195</v>
      </c>
      <c r="D29" s="4" t="s">
        <v>1027</v>
      </c>
      <c r="E29" s="5">
        <v>22068</v>
      </c>
      <c r="F29" s="6">
        <v>312.36150600000002</v>
      </c>
      <c r="G29" s="7">
        <v>1.5695890000000001E-2</v>
      </c>
      <c r="H29" s="39"/>
    </row>
    <row r="30" spans="1:8" x14ac:dyDescent="0.2">
      <c r="A30" s="3">
        <v>24</v>
      </c>
      <c r="B30" s="4" t="s">
        <v>174</v>
      </c>
      <c r="C30" s="4" t="s">
        <v>175</v>
      </c>
      <c r="D30" s="4" t="s">
        <v>82</v>
      </c>
      <c r="E30" s="5">
        <v>48009</v>
      </c>
      <c r="F30" s="6">
        <v>303.15283049999999</v>
      </c>
      <c r="G30" s="7">
        <v>1.5233162E-2</v>
      </c>
      <c r="H30" s="39"/>
    </row>
    <row r="31" spans="1:8" x14ac:dyDescent="0.2">
      <c r="A31" s="3">
        <v>25</v>
      </c>
      <c r="B31" s="4" t="s">
        <v>463</v>
      </c>
      <c r="C31" s="4" t="s">
        <v>464</v>
      </c>
      <c r="D31" s="4" t="s">
        <v>29</v>
      </c>
      <c r="E31" s="5">
        <v>48372</v>
      </c>
      <c r="F31" s="6">
        <v>296.496174</v>
      </c>
      <c r="G31" s="7">
        <v>1.4898671E-2</v>
      </c>
      <c r="H31" s="39"/>
    </row>
    <row r="32" spans="1:8" ht="25.5" x14ac:dyDescent="0.2">
      <c r="A32" s="3">
        <v>26</v>
      </c>
      <c r="B32" s="4" t="s">
        <v>188</v>
      </c>
      <c r="C32" s="4" t="s">
        <v>189</v>
      </c>
      <c r="D32" s="4" t="s">
        <v>1158</v>
      </c>
      <c r="E32" s="5">
        <v>42321</v>
      </c>
      <c r="F32" s="6">
        <v>278.91655050000003</v>
      </c>
      <c r="G32" s="7">
        <v>1.401531E-2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29851</v>
      </c>
      <c r="F33" s="6">
        <v>276.94265250000001</v>
      </c>
      <c r="G33" s="7">
        <v>1.3916124E-2</v>
      </c>
      <c r="H33" s="39"/>
    </row>
    <row r="34" spans="1:8" x14ac:dyDescent="0.2">
      <c r="A34" s="3">
        <v>28</v>
      </c>
      <c r="B34" s="4" t="s">
        <v>247</v>
      </c>
      <c r="C34" s="4" t="s">
        <v>248</v>
      </c>
      <c r="D34" s="4" t="s">
        <v>1154</v>
      </c>
      <c r="E34" s="5">
        <v>16566</v>
      </c>
      <c r="F34" s="6">
        <v>269.14780200000001</v>
      </c>
      <c r="G34" s="7">
        <v>1.3524438999999999E-2</v>
      </c>
      <c r="H34" s="39"/>
    </row>
    <row r="35" spans="1:8" ht="25.5" x14ac:dyDescent="0.2">
      <c r="A35" s="3">
        <v>29</v>
      </c>
      <c r="B35" s="4" t="s">
        <v>42</v>
      </c>
      <c r="C35" s="4" t="s">
        <v>43</v>
      </c>
      <c r="D35" s="4" t="s">
        <v>1150</v>
      </c>
      <c r="E35" s="5">
        <v>10728</v>
      </c>
      <c r="F35" s="6">
        <v>260.82986399999999</v>
      </c>
      <c r="G35" s="7">
        <v>1.310647E-2</v>
      </c>
      <c r="H35" s="39"/>
    </row>
    <row r="36" spans="1:8" x14ac:dyDescent="0.2">
      <c r="A36" s="3">
        <v>30</v>
      </c>
      <c r="B36" s="4" t="s">
        <v>281</v>
      </c>
      <c r="C36" s="4" t="s">
        <v>282</v>
      </c>
      <c r="D36" s="4" t="s">
        <v>29</v>
      </c>
      <c r="E36" s="5">
        <v>11898</v>
      </c>
      <c r="F36" s="6">
        <v>254.74807799999999</v>
      </c>
      <c r="G36" s="7">
        <v>1.2800865999999999E-2</v>
      </c>
      <c r="H36" s="39"/>
    </row>
    <row r="37" spans="1:8" x14ac:dyDescent="0.2">
      <c r="A37" s="3">
        <v>31</v>
      </c>
      <c r="B37" s="4" t="s">
        <v>467</v>
      </c>
      <c r="C37" s="4" t="s">
        <v>468</v>
      </c>
      <c r="D37" s="4" t="s">
        <v>71</v>
      </c>
      <c r="E37" s="5">
        <v>24137</v>
      </c>
      <c r="F37" s="6">
        <v>253.93330850000001</v>
      </c>
      <c r="G37" s="7">
        <v>1.2759924000000001E-2</v>
      </c>
      <c r="H37" s="39"/>
    </row>
    <row r="38" spans="1:8" x14ac:dyDescent="0.2">
      <c r="A38" s="3">
        <v>32</v>
      </c>
      <c r="B38" s="4" t="s">
        <v>471</v>
      </c>
      <c r="C38" s="4" t="s">
        <v>472</v>
      </c>
      <c r="D38" s="4" t="s">
        <v>1140</v>
      </c>
      <c r="E38" s="5">
        <v>41893</v>
      </c>
      <c r="F38" s="6">
        <v>250.980963</v>
      </c>
      <c r="G38" s="7">
        <v>1.2611572E-2</v>
      </c>
      <c r="H38" s="39"/>
    </row>
    <row r="39" spans="1:8" ht="25.5" x14ac:dyDescent="0.2">
      <c r="A39" s="3">
        <v>33</v>
      </c>
      <c r="B39" s="4" t="s">
        <v>198</v>
      </c>
      <c r="C39" s="4" t="s">
        <v>199</v>
      </c>
      <c r="D39" s="4" t="s">
        <v>1138</v>
      </c>
      <c r="E39" s="5">
        <v>37335</v>
      </c>
      <c r="F39" s="6">
        <v>220.31383500000001</v>
      </c>
      <c r="G39" s="7">
        <v>1.1070576E-2</v>
      </c>
      <c r="H39" s="39"/>
    </row>
    <row r="40" spans="1:8" ht="25.5" x14ac:dyDescent="0.2">
      <c r="A40" s="3">
        <v>34</v>
      </c>
      <c r="B40" s="4" t="s">
        <v>186</v>
      </c>
      <c r="C40" s="4" t="s">
        <v>187</v>
      </c>
      <c r="D40" s="4" t="s">
        <v>1158</v>
      </c>
      <c r="E40" s="5">
        <v>44870</v>
      </c>
      <c r="F40" s="6">
        <v>217.64193499999999</v>
      </c>
      <c r="G40" s="7">
        <v>1.0936315E-2</v>
      </c>
      <c r="H40" s="39"/>
    </row>
    <row r="41" spans="1:8" ht="25.5" x14ac:dyDescent="0.2">
      <c r="A41" s="3">
        <v>35</v>
      </c>
      <c r="B41" s="4" t="s">
        <v>159</v>
      </c>
      <c r="C41" s="4" t="s">
        <v>160</v>
      </c>
      <c r="D41" s="4" t="s">
        <v>1138</v>
      </c>
      <c r="E41" s="5">
        <v>56434</v>
      </c>
      <c r="F41" s="6">
        <v>212.78439700000001</v>
      </c>
      <c r="G41" s="7">
        <v>1.0692228E-2</v>
      </c>
      <c r="H41" s="39"/>
    </row>
    <row r="42" spans="1:8" ht="25.5" x14ac:dyDescent="0.2">
      <c r="A42" s="3">
        <v>36</v>
      </c>
      <c r="B42" s="4" t="s">
        <v>182</v>
      </c>
      <c r="C42" s="4" t="s">
        <v>183</v>
      </c>
      <c r="D42" s="4" t="s">
        <v>1150</v>
      </c>
      <c r="E42" s="5">
        <v>111054</v>
      </c>
      <c r="F42" s="6">
        <v>210.55838399999999</v>
      </c>
      <c r="G42" s="7">
        <v>1.0580373000000001E-2</v>
      </c>
      <c r="H42" s="39"/>
    </row>
    <row r="43" spans="1:8" x14ac:dyDescent="0.2">
      <c r="A43" s="3">
        <v>37</v>
      </c>
      <c r="B43" s="4" t="s">
        <v>87</v>
      </c>
      <c r="C43" s="4" t="s">
        <v>88</v>
      </c>
      <c r="D43" s="4" t="s">
        <v>1157</v>
      </c>
      <c r="E43" s="5">
        <v>40384</v>
      </c>
      <c r="F43" s="6">
        <v>208.724704</v>
      </c>
      <c r="G43" s="7">
        <v>1.0488232E-2</v>
      </c>
      <c r="H43" s="39"/>
    </row>
    <row r="44" spans="1:8" x14ac:dyDescent="0.2">
      <c r="A44" s="3">
        <v>38</v>
      </c>
      <c r="B44" s="4" t="s">
        <v>192</v>
      </c>
      <c r="C44" s="4" t="s">
        <v>193</v>
      </c>
      <c r="D44" s="4" t="s">
        <v>1026</v>
      </c>
      <c r="E44" s="5">
        <v>42900</v>
      </c>
      <c r="F44" s="6">
        <v>205.64115000000001</v>
      </c>
      <c r="G44" s="7">
        <v>1.0333286000000001E-2</v>
      </c>
      <c r="H44" s="39"/>
    </row>
    <row r="45" spans="1:8" x14ac:dyDescent="0.2">
      <c r="A45" s="3">
        <v>39</v>
      </c>
      <c r="B45" s="4" t="s">
        <v>469</v>
      </c>
      <c r="C45" s="4" t="s">
        <v>470</v>
      </c>
      <c r="D45" s="4" t="s">
        <v>29</v>
      </c>
      <c r="E45" s="5">
        <v>25628</v>
      </c>
      <c r="F45" s="6">
        <v>204.44737000000001</v>
      </c>
      <c r="G45" s="7">
        <v>1.0273300000000001E-2</v>
      </c>
      <c r="H45" s="39"/>
    </row>
    <row r="46" spans="1:8" x14ac:dyDescent="0.2">
      <c r="A46" s="3">
        <v>40</v>
      </c>
      <c r="B46" s="4" t="s">
        <v>200</v>
      </c>
      <c r="C46" s="4" t="s">
        <v>201</v>
      </c>
      <c r="D46" s="4" t="s">
        <v>60</v>
      </c>
      <c r="E46" s="5">
        <v>235040</v>
      </c>
      <c r="F46" s="6">
        <v>201.66432</v>
      </c>
      <c r="G46" s="7">
        <v>1.0133454E-2</v>
      </c>
      <c r="H46" s="39"/>
    </row>
    <row r="47" spans="1:8" x14ac:dyDescent="0.2">
      <c r="A47" s="3">
        <v>41</v>
      </c>
      <c r="B47" s="4" t="s">
        <v>279</v>
      </c>
      <c r="C47" s="4" t="s">
        <v>280</v>
      </c>
      <c r="D47" s="4" t="s">
        <v>82</v>
      </c>
      <c r="E47" s="5">
        <v>320700</v>
      </c>
      <c r="F47" s="6">
        <v>198.03225</v>
      </c>
      <c r="G47" s="7">
        <v>9.9509460000000004E-3</v>
      </c>
      <c r="H47" s="39"/>
    </row>
    <row r="48" spans="1:8" x14ac:dyDescent="0.2">
      <c r="A48" s="3">
        <v>42</v>
      </c>
      <c r="B48" s="4" t="s">
        <v>351</v>
      </c>
      <c r="C48" s="4" t="s">
        <v>352</v>
      </c>
      <c r="D48" s="4" t="s">
        <v>1154</v>
      </c>
      <c r="E48" s="5">
        <v>5394</v>
      </c>
      <c r="F48" s="6">
        <v>192.867864</v>
      </c>
      <c r="G48" s="7">
        <v>9.6914400000000008E-3</v>
      </c>
      <c r="H48" s="39"/>
    </row>
    <row r="49" spans="1:8" ht="25.5" x14ac:dyDescent="0.2">
      <c r="A49" s="3">
        <v>43</v>
      </c>
      <c r="B49" s="4" t="s">
        <v>184</v>
      </c>
      <c r="C49" s="4" t="s">
        <v>185</v>
      </c>
      <c r="D49" s="4" t="s">
        <v>1145</v>
      </c>
      <c r="E49" s="5">
        <v>41627</v>
      </c>
      <c r="F49" s="6">
        <v>188.3413615</v>
      </c>
      <c r="G49" s="7">
        <v>9.4639870000000001E-3</v>
      </c>
      <c r="H49" s="39"/>
    </row>
    <row r="50" spans="1:8" ht="25.5" x14ac:dyDescent="0.2">
      <c r="A50" s="3">
        <v>44</v>
      </c>
      <c r="B50" s="4" t="s">
        <v>176</v>
      </c>
      <c r="C50" s="4" t="s">
        <v>177</v>
      </c>
      <c r="D50" s="4" t="s">
        <v>71</v>
      </c>
      <c r="E50" s="5">
        <v>10609</v>
      </c>
      <c r="F50" s="6">
        <v>187.8588675</v>
      </c>
      <c r="G50" s="7">
        <v>9.4397419999999992E-3</v>
      </c>
      <c r="H50" s="39"/>
    </row>
    <row r="51" spans="1:8" x14ac:dyDescent="0.2">
      <c r="A51" s="3">
        <v>45</v>
      </c>
      <c r="B51" s="4" t="s">
        <v>479</v>
      </c>
      <c r="C51" s="4" t="s">
        <v>480</v>
      </c>
      <c r="D51" s="4" t="s">
        <v>18</v>
      </c>
      <c r="E51" s="5">
        <v>88710</v>
      </c>
      <c r="F51" s="6">
        <v>187.31116499999999</v>
      </c>
      <c r="G51" s="7">
        <v>9.4122210000000001E-3</v>
      </c>
      <c r="H51" s="39"/>
    </row>
    <row r="52" spans="1:8" ht="25.5" x14ac:dyDescent="0.2">
      <c r="A52" s="3">
        <v>46</v>
      </c>
      <c r="B52" s="4" t="s">
        <v>168</v>
      </c>
      <c r="C52" s="4" t="s">
        <v>169</v>
      </c>
      <c r="D52" s="4" t="s">
        <v>1137</v>
      </c>
      <c r="E52" s="5">
        <v>74468</v>
      </c>
      <c r="F52" s="6">
        <v>179.09554</v>
      </c>
      <c r="G52" s="7">
        <v>8.9993929999999996E-3</v>
      </c>
      <c r="H52" s="39"/>
    </row>
    <row r="53" spans="1:8" x14ac:dyDescent="0.2">
      <c r="A53" s="3">
        <v>47</v>
      </c>
      <c r="B53" s="4" t="s">
        <v>32</v>
      </c>
      <c r="C53" s="4" t="s">
        <v>33</v>
      </c>
      <c r="D53" s="4" t="s">
        <v>29</v>
      </c>
      <c r="E53" s="5">
        <v>5900</v>
      </c>
      <c r="F53" s="6">
        <v>178.26554999999999</v>
      </c>
      <c r="G53" s="7">
        <v>8.9576859999999994E-3</v>
      </c>
      <c r="H53" s="39"/>
    </row>
    <row r="54" spans="1:8" x14ac:dyDescent="0.2">
      <c r="A54" s="3">
        <v>48</v>
      </c>
      <c r="B54" s="4" t="s">
        <v>180</v>
      </c>
      <c r="C54" s="4" t="s">
        <v>181</v>
      </c>
      <c r="D54" s="4" t="s">
        <v>1156</v>
      </c>
      <c r="E54" s="5">
        <v>55539</v>
      </c>
      <c r="F54" s="6">
        <v>177.86364750000001</v>
      </c>
      <c r="G54" s="7">
        <v>8.9374910000000005E-3</v>
      </c>
      <c r="H54" s="39"/>
    </row>
    <row r="55" spans="1:8" x14ac:dyDescent="0.2">
      <c r="A55" s="3">
        <v>49</v>
      </c>
      <c r="B55" s="4" t="s">
        <v>473</v>
      </c>
      <c r="C55" s="4" t="s">
        <v>474</v>
      </c>
      <c r="D55" s="4" t="s">
        <v>1155</v>
      </c>
      <c r="E55" s="5">
        <v>19644</v>
      </c>
      <c r="F55" s="6">
        <v>177.05137199999999</v>
      </c>
      <c r="G55" s="7">
        <v>8.8966749999999997E-3</v>
      </c>
      <c r="H55" s="39"/>
    </row>
    <row r="56" spans="1:8" ht="25.5" x14ac:dyDescent="0.2">
      <c r="A56" s="3">
        <v>50</v>
      </c>
      <c r="B56" s="4" t="s">
        <v>260</v>
      </c>
      <c r="C56" s="4" t="s">
        <v>261</v>
      </c>
      <c r="D56" s="4" t="s">
        <v>1145</v>
      </c>
      <c r="E56" s="5">
        <v>43436</v>
      </c>
      <c r="F56" s="6">
        <v>175.35113200000001</v>
      </c>
      <c r="G56" s="7">
        <v>8.8112390000000002E-3</v>
      </c>
      <c r="H56" s="39"/>
    </row>
    <row r="57" spans="1:8" ht="25.5" x14ac:dyDescent="0.2">
      <c r="A57" s="3">
        <v>51</v>
      </c>
      <c r="B57" s="4" t="s">
        <v>196</v>
      </c>
      <c r="C57" s="4" t="s">
        <v>197</v>
      </c>
      <c r="D57" s="4" t="s">
        <v>1138</v>
      </c>
      <c r="E57" s="5">
        <v>10472</v>
      </c>
      <c r="F57" s="6">
        <v>164.923528</v>
      </c>
      <c r="G57" s="7">
        <v>8.2872620000000001E-3</v>
      </c>
      <c r="H57" s="39"/>
    </row>
    <row r="58" spans="1:8" x14ac:dyDescent="0.2">
      <c r="A58" s="3">
        <v>52</v>
      </c>
      <c r="B58" s="4" t="s">
        <v>475</v>
      </c>
      <c r="C58" s="4" t="s">
        <v>476</v>
      </c>
      <c r="D58" s="4" t="s">
        <v>82</v>
      </c>
      <c r="E58" s="5">
        <v>19196</v>
      </c>
      <c r="F58" s="6">
        <v>163.10841199999999</v>
      </c>
      <c r="G58" s="7">
        <v>8.1960539999999995E-3</v>
      </c>
      <c r="H58" s="39"/>
    </row>
    <row r="59" spans="1:8" x14ac:dyDescent="0.2">
      <c r="A59" s="3">
        <v>53</v>
      </c>
      <c r="B59" s="4" t="s">
        <v>202</v>
      </c>
      <c r="C59" s="4" t="s">
        <v>203</v>
      </c>
      <c r="D59" s="4" t="s">
        <v>71</v>
      </c>
      <c r="E59" s="5">
        <v>70796</v>
      </c>
      <c r="F59" s="6">
        <v>157.02552800000001</v>
      </c>
      <c r="G59" s="7">
        <v>7.8903940000000002E-3</v>
      </c>
      <c r="H59" s="39"/>
    </row>
    <row r="60" spans="1:8" x14ac:dyDescent="0.2">
      <c r="A60" s="3">
        <v>54</v>
      </c>
      <c r="B60" s="4" t="s">
        <v>254</v>
      </c>
      <c r="C60" s="4" t="s">
        <v>255</v>
      </c>
      <c r="D60" s="4" t="s">
        <v>15</v>
      </c>
      <c r="E60" s="5">
        <v>58207</v>
      </c>
      <c r="F60" s="6">
        <v>156.78055449999999</v>
      </c>
      <c r="G60" s="7">
        <v>7.8780840000000005E-3</v>
      </c>
      <c r="H60" s="39"/>
    </row>
    <row r="61" spans="1:8" x14ac:dyDescent="0.2">
      <c r="A61" s="3">
        <v>55</v>
      </c>
      <c r="B61" s="4" t="s">
        <v>190</v>
      </c>
      <c r="C61" s="4" t="s">
        <v>191</v>
      </c>
      <c r="D61" s="4" t="s">
        <v>1169</v>
      </c>
      <c r="E61" s="5">
        <v>174591</v>
      </c>
      <c r="F61" s="6">
        <v>156.08435399999999</v>
      </c>
      <c r="G61" s="7">
        <v>7.8431009999999999E-3</v>
      </c>
      <c r="H61" s="39"/>
    </row>
    <row r="62" spans="1:8" x14ac:dyDescent="0.2">
      <c r="A62" s="3">
        <v>56</v>
      </c>
      <c r="B62" s="4" t="s">
        <v>228</v>
      </c>
      <c r="C62" s="4" t="s">
        <v>229</v>
      </c>
      <c r="D62" s="4" t="s">
        <v>29</v>
      </c>
      <c r="E62" s="5">
        <v>15167</v>
      </c>
      <c r="F62" s="6">
        <v>154.69581650000001</v>
      </c>
      <c r="G62" s="7">
        <v>7.7733280000000004E-3</v>
      </c>
      <c r="H62" s="39"/>
    </row>
    <row r="63" spans="1:8" ht="25.5" x14ac:dyDescent="0.2">
      <c r="A63" s="3">
        <v>57</v>
      </c>
      <c r="B63" s="4" t="s">
        <v>262</v>
      </c>
      <c r="C63" s="4" t="s">
        <v>263</v>
      </c>
      <c r="D63" s="4" t="s">
        <v>1141</v>
      </c>
      <c r="E63" s="5">
        <v>52168</v>
      </c>
      <c r="F63" s="6">
        <v>153.73909599999999</v>
      </c>
      <c r="G63" s="7">
        <v>7.725254E-3</v>
      </c>
      <c r="H63" s="39"/>
    </row>
    <row r="64" spans="1:8" x14ac:dyDescent="0.2">
      <c r="A64" s="3">
        <v>58</v>
      </c>
      <c r="B64" s="4" t="s">
        <v>249</v>
      </c>
      <c r="C64" s="4" t="s">
        <v>250</v>
      </c>
      <c r="D64" s="4" t="s">
        <v>60</v>
      </c>
      <c r="E64" s="5">
        <v>39951</v>
      </c>
      <c r="F64" s="6">
        <v>146.52029250000001</v>
      </c>
      <c r="G64" s="7">
        <v>7.362515E-3</v>
      </c>
      <c r="H64" s="39"/>
    </row>
    <row r="65" spans="1:8" x14ac:dyDescent="0.2">
      <c r="A65" s="3">
        <v>59</v>
      </c>
      <c r="B65" s="4" t="s">
        <v>477</v>
      </c>
      <c r="C65" s="4" t="s">
        <v>478</v>
      </c>
      <c r="D65" s="4" t="s">
        <v>1026</v>
      </c>
      <c r="E65" s="5">
        <v>219877</v>
      </c>
      <c r="F65" s="6">
        <v>139.0722025</v>
      </c>
      <c r="G65" s="7">
        <v>6.9882549999999996E-3</v>
      </c>
      <c r="H65" s="39"/>
    </row>
    <row r="66" spans="1:8" ht="25.5" x14ac:dyDescent="0.2">
      <c r="A66" s="3">
        <v>60</v>
      </c>
      <c r="B66" s="4" t="s">
        <v>268</v>
      </c>
      <c r="C66" s="4" t="s">
        <v>269</v>
      </c>
      <c r="D66" s="4" t="s">
        <v>1139</v>
      </c>
      <c r="E66" s="5">
        <v>19348</v>
      </c>
      <c r="F66" s="6">
        <v>136.006766</v>
      </c>
      <c r="G66" s="7">
        <v>6.8342200000000002E-3</v>
      </c>
      <c r="H66" s="39"/>
    </row>
    <row r="67" spans="1:8" x14ac:dyDescent="0.2">
      <c r="A67" s="3">
        <v>61</v>
      </c>
      <c r="B67" s="4" t="s">
        <v>266</v>
      </c>
      <c r="C67" s="4" t="s">
        <v>267</v>
      </c>
      <c r="D67" s="4" t="s">
        <v>1155</v>
      </c>
      <c r="E67" s="5">
        <v>89345</v>
      </c>
      <c r="F67" s="6">
        <v>134.464225</v>
      </c>
      <c r="G67" s="7">
        <v>6.7567089999999996E-3</v>
      </c>
      <c r="H67" s="39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1154</v>
      </c>
      <c r="E68" s="5">
        <v>21471</v>
      </c>
      <c r="F68" s="6">
        <v>126.528603</v>
      </c>
      <c r="G68" s="7">
        <v>6.3579509999999997E-3</v>
      </c>
      <c r="H68" s="39"/>
    </row>
    <row r="69" spans="1:8" ht="25.5" x14ac:dyDescent="0.2">
      <c r="A69" s="3">
        <v>63</v>
      </c>
      <c r="B69" s="4" t="s">
        <v>483</v>
      </c>
      <c r="C69" s="4" t="s">
        <v>484</v>
      </c>
      <c r="D69" s="4" t="s">
        <v>1138</v>
      </c>
      <c r="E69" s="5">
        <v>29369</v>
      </c>
      <c r="F69" s="6">
        <v>118.151487</v>
      </c>
      <c r="G69" s="7">
        <v>5.9370079999999997E-3</v>
      </c>
      <c r="H69" s="39"/>
    </row>
    <row r="70" spans="1:8" x14ac:dyDescent="0.2">
      <c r="A70" s="3">
        <v>64</v>
      </c>
      <c r="B70" s="4" t="s">
        <v>210</v>
      </c>
      <c r="C70" s="4" t="s">
        <v>211</v>
      </c>
      <c r="D70" s="4" t="s">
        <v>91</v>
      </c>
      <c r="E70" s="5">
        <v>14169</v>
      </c>
      <c r="F70" s="6">
        <v>109.30675050000001</v>
      </c>
      <c r="G70" s="7">
        <v>5.4925679999999998E-3</v>
      </c>
      <c r="H70" s="39"/>
    </row>
    <row r="71" spans="1:8" ht="25.5" x14ac:dyDescent="0.2">
      <c r="A71" s="3">
        <v>65</v>
      </c>
      <c r="B71" s="4" t="s">
        <v>289</v>
      </c>
      <c r="C71" s="4" t="s">
        <v>290</v>
      </c>
      <c r="D71" s="4" t="s">
        <v>1153</v>
      </c>
      <c r="E71" s="5">
        <v>16020</v>
      </c>
      <c r="F71" s="6">
        <v>106.55703</v>
      </c>
      <c r="G71" s="7">
        <v>5.3543970000000003E-3</v>
      </c>
      <c r="H71" s="39"/>
    </row>
    <row r="72" spans="1:8" x14ac:dyDescent="0.2">
      <c r="A72" s="3">
        <v>66</v>
      </c>
      <c r="B72" s="4" t="s">
        <v>208</v>
      </c>
      <c r="C72" s="4" t="s">
        <v>209</v>
      </c>
      <c r="D72" s="4" t="s">
        <v>71</v>
      </c>
      <c r="E72" s="5">
        <v>17279</v>
      </c>
      <c r="F72" s="6">
        <v>106.08442049999999</v>
      </c>
      <c r="G72" s="7">
        <v>5.3306480000000003E-3</v>
      </c>
      <c r="H72" s="39"/>
    </row>
    <row r="73" spans="1:8" x14ac:dyDescent="0.2">
      <c r="A73" s="3">
        <v>67</v>
      </c>
      <c r="B73" s="4" t="s">
        <v>218</v>
      </c>
      <c r="C73" s="4" t="s">
        <v>219</v>
      </c>
      <c r="D73" s="4" t="s">
        <v>1026</v>
      </c>
      <c r="E73" s="5">
        <v>98416</v>
      </c>
      <c r="F73" s="6">
        <v>99.154120000000006</v>
      </c>
      <c r="G73" s="7">
        <v>4.9824070000000003E-3</v>
      </c>
      <c r="H73" s="39"/>
    </row>
    <row r="74" spans="1:8" x14ac:dyDescent="0.2">
      <c r="A74" s="3">
        <v>68</v>
      </c>
      <c r="B74" s="4" t="s">
        <v>224</v>
      </c>
      <c r="C74" s="4" t="s">
        <v>225</v>
      </c>
      <c r="D74" s="4" t="s">
        <v>1154</v>
      </c>
      <c r="E74" s="5">
        <v>17563</v>
      </c>
      <c r="F74" s="6">
        <v>85.681095499999998</v>
      </c>
      <c r="G74" s="7">
        <v>4.3053989999999997E-3</v>
      </c>
      <c r="H74" s="39"/>
    </row>
    <row r="75" spans="1:8" x14ac:dyDescent="0.2">
      <c r="A75" s="3">
        <v>69</v>
      </c>
      <c r="B75" s="4" t="s">
        <v>104</v>
      </c>
      <c r="C75" s="4" t="s">
        <v>105</v>
      </c>
      <c r="D75" s="4" t="s">
        <v>1157</v>
      </c>
      <c r="E75" s="5">
        <v>110125</v>
      </c>
      <c r="F75" s="6">
        <v>85.622187499999995</v>
      </c>
      <c r="G75" s="7">
        <v>4.3024389999999999E-3</v>
      </c>
      <c r="H75" s="39"/>
    </row>
    <row r="76" spans="1:8" ht="25.5" x14ac:dyDescent="0.2">
      <c r="A76" s="3">
        <v>70</v>
      </c>
      <c r="B76" s="4" t="s">
        <v>216</v>
      </c>
      <c r="C76" s="4" t="s">
        <v>217</v>
      </c>
      <c r="D76" s="4" t="s">
        <v>1138</v>
      </c>
      <c r="E76" s="5">
        <v>2097</v>
      </c>
      <c r="F76" s="6">
        <v>83.930328000000003</v>
      </c>
      <c r="G76" s="7">
        <v>4.2174250000000003E-3</v>
      </c>
      <c r="H76" s="39"/>
    </row>
    <row r="77" spans="1:8" ht="25.5" x14ac:dyDescent="0.2">
      <c r="A77" s="3">
        <v>71</v>
      </c>
      <c r="B77" s="4" t="s">
        <v>276</v>
      </c>
      <c r="C77" s="4" t="s">
        <v>277</v>
      </c>
      <c r="D77" s="4" t="s">
        <v>1138</v>
      </c>
      <c r="E77" s="5">
        <v>34046</v>
      </c>
      <c r="F77" s="6">
        <v>71.513622999999995</v>
      </c>
      <c r="G77" s="7">
        <v>3.5934959999999998E-3</v>
      </c>
      <c r="H77" s="39"/>
    </row>
    <row r="78" spans="1:8" ht="25.5" x14ac:dyDescent="0.2">
      <c r="A78" s="3">
        <v>72</v>
      </c>
      <c r="B78" s="4" t="s">
        <v>222</v>
      </c>
      <c r="C78" s="4" t="s">
        <v>223</v>
      </c>
      <c r="D78" s="4" t="s">
        <v>1153</v>
      </c>
      <c r="E78" s="5">
        <v>6324</v>
      </c>
      <c r="F78" s="6">
        <v>58.237715999999999</v>
      </c>
      <c r="G78" s="7">
        <v>2.9263940000000001E-3</v>
      </c>
      <c r="H78" s="39"/>
    </row>
    <row r="79" spans="1:8" x14ac:dyDescent="0.2">
      <c r="A79" s="3">
        <v>73</v>
      </c>
      <c r="B79" s="4" t="s">
        <v>212</v>
      </c>
      <c r="C79" s="4" t="s">
        <v>213</v>
      </c>
      <c r="D79" s="4" t="s">
        <v>308</v>
      </c>
      <c r="E79" s="5">
        <v>9457</v>
      </c>
      <c r="F79" s="6">
        <v>54.812772000000002</v>
      </c>
      <c r="G79" s="7">
        <v>2.7542930000000001E-3</v>
      </c>
      <c r="H79" s="39"/>
    </row>
    <row r="80" spans="1:8" x14ac:dyDescent="0.2">
      <c r="A80" s="3">
        <v>74</v>
      </c>
      <c r="B80" s="4" t="s">
        <v>214</v>
      </c>
      <c r="C80" s="4" t="s">
        <v>215</v>
      </c>
      <c r="D80" s="4" t="s">
        <v>18</v>
      </c>
      <c r="E80" s="5">
        <v>3489</v>
      </c>
      <c r="F80" s="6">
        <v>2.4213659999999999</v>
      </c>
      <c r="G80" s="7">
        <v>1.21672E-4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19014.643749499999</v>
      </c>
      <c r="G81" s="10">
        <v>0.95546905500000001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19014.643749499999</v>
      </c>
      <c r="G98" s="10">
        <v>0.95546905500000001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688.59789360000002</v>
      </c>
      <c r="G126" s="7">
        <v>3.4601435999999999E-2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243.47241460000001</v>
      </c>
      <c r="G127" s="7">
        <v>1.2234274E-2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932.0703082</v>
      </c>
      <c r="G128" s="10">
        <v>4.6835710000000003E-2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932.0703082</v>
      </c>
      <c r="G130" s="10">
        <v>4.6835710000000003E-2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-45.8667351</v>
      </c>
      <c r="G145" s="7">
        <v>-2.304763E-3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19900.847322599999</v>
      </c>
      <c r="G146" s="10">
        <v>1.0000000019999999</v>
      </c>
      <c r="H146" s="39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94" t="s">
        <v>140</v>
      </c>
      <c r="C149" s="1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189" t="s">
        <v>141</v>
      </c>
      <c r="C150" s="190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189" t="s">
        <v>143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144</v>
      </c>
      <c r="C152" s="190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17.541799999999999</v>
      </c>
      <c r="D155" s="24">
        <v>18.885899999999999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1092</v>
      </c>
      <c r="C156" s="24">
        <v>16.915800000000001</v>
      </c>
      <c r="D156" s="24">
        <v>18.212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17.014299999999999</v>
      </c>
      <c r="D157" s="24">
        <v>18.308700000000002</v>
      </c>
      <c r="E157" s="22"/>
      <c r="F157" s="19"/>
      <c r="G157" s="25"/>
    </row>
    <row r="158" spans="1:8" ht="17.100000000000001" customHeight="1" x14ac:dyDescent="0.2">
      <c r="A158" s="22"/>
      <c r="B158" s="4" t="s">
        <v>1093</v>
      </c>
      <c r="C158" s="24">
        <v>16.391400000000001</v>
      </c>
      <c r="D158" s="24">
        <v>17.638400000000001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89" t="s">
        <v>1094</v>
      </c>
      <c r="C160" s="190"/>
      <c r="D160" s="2" t="s">
        <v>142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101" customFormat="1" x14ac:dyDescent="0.2">
      <c r="B162" s="193" t="s">
        <v>1102</v>
      </c>
      <c r="C162" s="193"/>
      <c r="D162" s="193"/>
      <c r="E162" s="193"/>
      <c r="F162" s="193"/>
      <c r="I162"/>
      <c r="J162"/>
      <c r="K162"/>
      <c r="L162"/>
      <c r="M162"/>
      <c r="N162"/>
      <c r="O162"/>
      <c r="P162" s="41"/>
      <c r="Q162" s="41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89" t="s">
        <v>152</v>
      </c>
      <c r="C164" s="190"/>
      <c r="D164" s="2" t="s">
        <v>142</v>
      </c>
      <c r="E164" s="22"/>
      <c r="F164" s="22"/>
      <c r="G164" s="22"/>
      <c r="J164" s="101"/>
      <c r="K164" s="101"/>
      <c r="L164" s="101"/>
      <c r="M164" s="101"/>
      <c r="N164" s="101"/>
      <c r="O164" s="101"/>
    </row>
    <row r="165" spans="1:17" ht="29.1" customHeight="1" x14ac:dyDescent="0.2">
      <c r="A165" s="22"/>
      <c r="B165" s="189" t="s">
        <v>153</v>
      </c>
      <c r="C165" s="190"/>
      <c r="D165" s="2" t="s">
        <v>142</v>
      </c>
      <c r="E165" s="22"/>
      <c r="F165" s="22"/>
      <c r="G165" s="22"/>
    </row>
    <row r="166" spans="1:17" ht="17.100000000000001" customHeight="1" x14ac:dyDescent="0.2">
      <c r="A166" s="22"/>
      <c r="B166" s="189" t="s">
        <v>154</v>
      </c>
      <c r="C166" s="190"/>
      <c r="D166" s="28">
        <v>0.31829351273025419</v>
      </c>
      <c r="E166" s="22"/>
      <c r="F166" s="19"/>
      <c r="G166" s="25"/>
    </row>
    <row r="167" spans="1:17" ht="17.100000000000001" customHeight="1" x14ac:dyDescent="0.2">
      <c r="A167" s="22"/>
      <c r="B167" s="189" t="s">
        <v>155</v>
      </c>
      <c r="C167" s="190"/>
      <c r="D167" s="2" t="s">
        <v>142</v>
      </c>
      <c r="E167" s="22"/>
      <c r="F167" s="22"/>
      <c r="G167" s="22"/>
    </row>
  </sheetData>
  <mergeCells count="14">
    <mergeCell ref="B167:C167"/>
    <mergeCell ref="B150:C150"/>
    <mergeCell ref="B151:C151"/>
    <mergeCell ref="B152:C152"/>
    <mergeCell ref="B160:C160"/>
    <mergeCell ref="B164:C164"/>
    <mergeCell ref="B165:C165"/>
    <mergeCell ref="B166:C166"/>
    <mergeCell ref="A1:H1"/>
    <mergeCell ref="A2:H2"/>
    <mergeCell ref="A3:H3"/>
    <mergeCell ref="B162:F162"/>
    <mergeCell ref="J2:N2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486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22067</v>
      </c>
      <c r="F7" s="6">
        <v>278.26486999999997</v>
      </c>
      <c r="G7" s="7">
        <v>3.6907229999999999E-2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32456</v>
      </c>
      <c r="F8" s="6">
        <v>232.482328</v>
      </c>
      <c r="G8" s="7">
        <v>3.0834934000000001E-2</v>
      </c>
      <c r="H8" s="39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39179</v>
      </c>
      <c r="F9" s="6">
        <v>229.37345550000001</v>
      </c>
      <c r="G9" s="7">
        <v>3.0422593000000001E-2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5487</v>
      </c>
      <c r="F10" s="6">
        <v>223.99031400000001</v>
      </c>
      <c r="G10" s="7">
        <v>2.9708609E-2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115375</v>
      </c>
      <c r="F11" s="6">
        <v>218.57793749999999</v>
      </c>
      <c r="G11" s="7">
        <v>2.8990746000000001E-2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11769</v>
      </c>
      <c r="F12" s="6">
        <v>211.83611550000001</v>
      </c>
      <c r="G12" s="7">
        <v>2.8096554999999999E-2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31217</v>
      </c>
      <c r="F13" s="6">
        <v>187.62977849999999</v>
      </c>
      <c r="G13" s="7">
        <v>2.4885984999999999E-2</v>
      </c>
      <c r="H13" s="39"/>
    </row>
    <row r="14" spans="1:14" x14ac:dyDescent="0.2">
      <c r="A14" s="3">
        <v>8</v>
      </c>
      <c r="B14" s="4" t="s">
        <v>220</v>
      </c>
      <c r="C14" s="4" t="s">
        <v>221</v>
      </c>
      <c r="D14" s="4" t="s">
        <v>1149</v>
      </c>
      <c r="E14" s="5">
        <v>34698</v>
      </c>
      <c r="F14" s="6">
        <v>183.830004</v>
      </c>
      <c r="G14" s="7">
        <v>2.4382008E-2</v>
      </c>
      <c r="H14" s="39"/>
    </row>
    <row r="15" spans="1:14" x14ac:dyDescent="0.2">
      <c r="A15" s="3">
        <v>9</v>
      </c>
      <c r="B15" s="4" t="s">
        <v>241</v>
      </c>
      <c r="C15" s="4" t="s">
        <v>242</v>
      </c>
      <c r="D15" s="4" t="s">
        <v>1143</v>
      </c>
      <c r="E15" s="5">
        <v>3812</v>
      </c>
      <c r="F15" s="6">
        <v>181.65323599999999</v>
      </c>
      <c r="G15" s="7">
        <v>2.4093296E-2</v>
      </c>
      <c r="H15" s="39"/>
    </row>
    <row r="16" spans="1:14" ht="15" x14ac:dyDescent="0.2">
      <c r="A16" s="3">
        <v>10</v>
      </c>
      <c r="B16" s="4" t="s">
        <v>245</v>
      </c>
      <c r="C16" s="4" t="s">
        <v>246</v>
      </c>
      <c r="D16" s="4" t="s">
        <v>29</v>
      </c>
      <c r="E16" s="5">
        <v>21271</v>
      </c>
      <c r="F16" s="6">
        <v>179.8994825</v>
      </c>
      <c r="G16" s="7">
        <v>2.3860689000000001E-2</v>
      </c>
      <c r="H16" s="39"/>
      <c r="J16" s="176" t="s">
        <v>1181</v>
      </c>
    </row>
    <row r="17" spans="1:8" x14ac:dyDescent="0.2">
      <c r="A17" s="3">
        <v>11</v>
      </c>
      <c r="B17" s="4" t="s">
        <v>166</v>
      </c>
      <c r="C17" s="4" t="s">
        <v>167</v>
      </c>
      <c r="D17" s="4" t="s">
        <v>1159</v>
      </c>
      <c r="E17" s="5">
        <v>13510</v>
      </c>
      <c r="F17" s="6">
        <v>170.232755</v>
      </c>
      <c r="G17" s="7">
        <v>2.2578557999999999E-2</v>
      </c>
      <c r="H17" s="39"/>
    </row>
    <row r="18" spans="1:8" x14ac:dyDescent="0.2">
      <c r="A18" s="3">
        <v>12</v>
      </c>
      <c r="B18" s="4" t="s">
        <v>465</v>
      </c>
      <c r="C18" s="4" t="s">
        <v>466</v>
      </c>
      <c r="D18" s="4" t="s">
        <v>71</v>
      </c>
      <c r="E18" s="5">
        <v>17407</v>
      </c>
      <c r="F18" s="6">
        <v>169.631215</v>
      </c>
      <c r="G18" s="7">
        <v>2.2498773999999999E-2</v>
      </c>
      <c r="H18" s="39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1026</v>
      </c>
      <c r="E19" s="5">
        <v>11057</v>
      </c>
      <c r="F19" s="6">
        <v>163.886854</v>
      </c>
      <c r="G19" s="7">
        <v>2.1736879000000001E-2</v>
      </c>
      <c r="H19" s="39"/>
    </row>
    <row r="20" spans="1:8" x14ac:dyDescent="0.2">
      <c r="A20" s="3">
        <v>14</v>
      </c>
      <c r="B20" s="4" t="s">
        <v>38</v>
      </c>
      <c r="C20" s="4" t="s">
        <v>39</v>
      </c>
      <c r="D20" s="4" t="s">
        <v>29</v>
      </c>
      <c r="E20" s="5">
        <v>12093</v>
      </c>
      <c r="F20" s="6">
        <v>159.56108850000001</v>
      </c>
      <c r="G20" s="7">
        <v>2.1163138000000001E-2</v>
      </c>
      <c r="H20" s="39"/>
    </row>
    <row r="21" spans="1:8" x14ac:dyDescent="0.2">
      <c r="A21" s="3">
        <v>15</v>
      </c>
      <c r="B21" s="4" t="s">
        <v>164</v>
      </c>
      <c r="C21" s="4" t="s">
        <v>165</v>
      </c>
      <c r="D21" s="4" t="s">
        <v>82</v>
      </c>
      <c r="E21" s="5">
        <v>146354</v>
      </c>
      <c r="F21" s="6">
        <v>155.86700999999999</v>
      </c>
      <c r="G21" s="7">
        <v>2.0673179999999999E-2</v>
      </c>
      <c r="H21" s="39"/>
    </row>
    <row r="22" spans="1:8" x14ac:dyDescent="0.2">
      <c r="A22" s="3">
        <v>16</v>
      </c>
      <c r="B22" s="4" t="s">
        <v>283</v>
      </c>
      <c r="C22" s="4" t="s">
        <v>284</v>
      </c>
      <c r="D22" s="4" t="s">
        <v>29</v>
      </c>
      <c r="E22" s="5">
        <v>24026</v>
      </c>
      <c r="F22" s="6">
        <v>149.41769400000001</v>
      </c>
      <c r="G22" s="7">
        <v>1.9817785000000001E-2</v>
      </c>
      <c r="H22" s="39"/>
    </row>
    <row r="23" spans="1:8" x14ac:dyDescent="0.2">
      <c r="A23" s="3">
        <v>17</v>
      </c>
      <c r="B23" s="4" t="s">
        <v>226</v>
      </c>
      <c r="C23" s="4" t="s">
        <v>227</v>
      </c>
      <c r="D23" s="4" t="s">
        <v>82</v>
      </c>
      <c r="E23" s="5">
        <v>16888</v>
      </c>
      <c r="F23" s="6">
        <v>129.944716</v>
      </c>
      <c r="G23" s="7">
        <v>1.7235015999999999E-2</v>
      </c>
      <c r="H23" s="39"/>
    </row>
    <row r="24" spans="1:8" x14ac:dyDescent="0.2">
      <c r="A24" s="3">
        <v>18</v>
      </c>
      <c r="B24" s="4" t="s">
        <v>251</v>
      </c>
      <c r="C24" s="4" t="s">
        <v>252</v>
      </c>
      <c r="D24" s="4" t="s">
        <v>253</v>
      </c>
      <c r="E24" s="5">
        <v>46520</v>
      </c>
      <c r="F24" s="6">
        <v>125.55748</v>
      </c>
      <c r="G24" s="7">
        <v>1.6653121999999999E-2</v>
      </c>
      <c r="H24" s="39"/>
    </row>
    <row r="25" spans="1:8" x14ac:dyDescent="0.2">
      <c r="A25" s="3">
        <v>19</v>
      </c>
      <c r="B25" s="4" t="s">
        <v>461</v>
      </c>
      <c r="C25" s="4" t="s">
        <v>462</v>
      </c>
      <c r="D25" s="4" t="s">
        <v>1168</v>
      </c>
      <c r="E25" s="5">
        <v>6054</v>
      </c>
      <c r="F25" s="6">
        <v>125.184612</v>
      </c>
      <c r="G25" s="7">
        <v>1.6603666999999999E-2</v>
      </c>
      <c r="H25" s="39"/>
    </row>
    <row r="26" spans="1:8" x14ac:dyDescent="0.2">
      <c r="A26" s="3">
        <v>20</v>
      </c>
      <c r="B26" s="4" t="s">
        <v>243</v>
      </c>
      <c r="C26" s="4" t="s">
        <v>244</v>
      </c>
      <c r="D26" s="4" t="s">
        <v>1157</v>
      </c>
      <c r="E26" s="5">
        <v>11320</v>
      </c>
      <c r="F26" s="6">
        <v>124.51434</v>
      </c>
      <c r="G26" s="7">
        <v>1.6514767E-2</v>
      </c>
      <c r="H26" s="39"/>
    </row>
    <row r="27" spans="1:8" x14ac:dyDescent="0.2">
      <c r="A27" s="3">
        <v>21</v>
      </c>
      <c r="B27" s="4" t="s">
        <v>170</v>
      </c>
      <c r="C27" s="4" t="s">
        <v>171</v>
      </c>
      <c r="D27" s="4" t="s">
        <v>1027</v>
      </c>
      <c r="E27" s="5">
        <v>8101</v>
      </c>
      <c r="F27" s="6">
        <v>124.49211750000001</v>
      </c>
      <c r="G27" s="7">
        <v>1.6511819E-2</v>
      </c>
      <c r="H27" s="39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1027</v>
      </c>
      <c r="E28" s="5">
        <v>8355</v>
      </c>
      <c r="F28" s="6">
        <v>118.2608475</v>
      </c>
      <c r="G28" s="7">
        <v>1.5685344E-2</v>
      </c>
      <c r="H28" s="39"/>
    </row>
    <row r="29" spans="1:8" x14ac:dyDescent="0.2">
      <c r="A29" s="3">
        <v>23</v>
      </c>
      <c r="B29" s="4" t="s">
        <v>174</v>
      </c>
      <c r="C29" s="4" t="s">
        <v>175</v>
      </c>
      <c r="D29" s="4" t="s">
        <v>82</v>
      </c>
      <c r="E29" s="5">
        <v>18162</v>
      </c>
      <c r="F29" s="6">
        <v>114.683949</v>
      </c>
      <c r="G29" s="7">
        <v>1.5210928E-2</v>
      </c>
      <c r="H29" s="39"/>
    </row>
    <row r="30" spans="1:8" x14ac:dyDescent="0.2">
      <c r="A30" s="3">
        <v>24</v>
      </c>
      <c r="B30" s="4" t="s">
        <v>463</v>
      </c>
      <c r="C30" s="4" t="s">
        <v>464</v>
      </c>
      <c r="D30" s="4" t="s">
        <v>29</v>
      </c>
      <c r="E30" s="5">
        <v>18330</v>
      </c>
      <c r="F30" s="6">
        <v>112.353735</v>
      </c>
      <c r="G30" s="7">
        <v>1.4901864000000001E-2</v>
      </c>
      <c r="H30" s="39"/>
    </row>
    <row r="31" spans="1:8" ht="25.5" x14ac:dyDescent="0.2">
      <c r="A31" s="3">
        <v>25</v>
      </c>
      <c r="B31" s="4" t="s">
        <v>188</v>
      </c>
      <c r="C31" s="4" t="s">
        <v>189</v>
      </c>
      <c r="D31" s="4" t="s">
        <v>1158</v>
      </c>
      <c r="E31" s="5">
        <v>16028</v>
      </c>
      <c r="F31" s="6">
        <v>105.63253400000001</v>
      </c>
      <c r="G31" s="7">
        <v>1.4010408E-2</v>
      </c>
      <c r="H31" s="39"/>
    </row>
    <row r="32" spans="1:8" x14ac:dyDescent="0.2">
      <c r="A32" s="3">
        <v>26</v>
      </c>
      <c r="B32" s="4" t="s">
        <v>206</v>
      </c>
      <c r="C32" s="4" t="s">
        <v>207</v>
      </c>
      <c r="D32" s="4" t="s">
        <v>1159</v>
      </c>
      <c r="E32" s="5">
        <v>11291</v>
      </c>
      <c r="F32" s="6">
        <v>104.7522525</v>
      </c>
      <c r="G32" s="7">
        <v>1.3893653000000001E-2</v>
      </c>
      <c r="H32" s="39"/>
    </row>
    <row r="33" spans="1:8" x14ac:dyDescent="0.2">
      <c r="A33" s="3">
        <v>27</v>
      </c>
      <c r="B33" s="4" t="s">
        <v>247</v>
      </c>
      <c r="C33" s="4" t="s">
        <v>248</v>
      </c>
      <c r="D33" s="4" t="s">
        <v>1154</v>
      </c>
      <c r="E33" s="5">
        <v>6266</v>
      </c>
      <c r="F33" s="6">
        <v>101.803702</v>
      </c>
      <c r="G33" s="7">
        <v>1.3502576000000001E-2</v>
      </c>
      <c r="H33" s="39"/>
    </row>
    <row r="34" spans="1:8" ht="25.5" x14ac:dyDescent="0.2">
      <c r="A34" s="3">
        <v>28</v>
      </c>
      <c r="B34" s="4" t="s">
        <v>42</v>
      </c>
      <c r="C34" s="4" t="s">
        <v>43</v>
      </c>
      <c r="D34" s="4" t="s">
        <v>1150</v>
      </c>
      <c r="E34" s="5">
        <v>4064</v>
      </c>
      <c r="F34" s="6">
        <v>98.808031999999997</v>
      </c>
      <c r="G34" s="7">
        <v>1.3105250000000001E-2</v>
      </c>
      <c r="H34" s="39"/>
    </row>
    <row r="35" spans="1:8" x14ac:dyDescent="0.2">
      <c r="A35" s="3">
        <v>29</v>
      </c>
      <c r="B35" s="4" t="s">
        <v>471</v>
      </c>
      <c r="C35" s="4" t="s">
        <v>472</v>
      </c>
      <c r="D35" s="4" t="s">
        <v>1140</v>
      </c>
      <c r="E35" s="5">
        <v>16083</v>
      </c>
      <c r="F35" s="6">
        <v>96.353252999999995</v>
      </c>
      <c r="G35" s="7">
        <v>1.2779665000000001E-2</v>
      </c>
      <c r="H35" s="39"/>
    </row>
    <row r="36" spans="1:8" x14ac:dyDescent="0.2">
      <c r="A36" s="3">
        <v>30</v>
      </c>
      <c r="B36" s="4" t="s">
        <v>32</v>
      </c>
      <c r="C36" s="4" t="s">
        <v>33</v>
      </c>
      <c r="D36" s="4" t="s">
        <v>29</v>
      </c>
      <c r="E36" s="5">
        <v>3165</v>
      </c>
      <c r="F36" s="6">
        <v>95.628892500000006</v>
      </c>
      <c r="G36" s="7">
        <v>1.268359E-2</v>
      </c>
      <c r="H36" s="39"/>
    </row>
    <row r="37" spans="1:8" x14ac:dyDescent="0.2">
      <c r="A37" s="3">
        <v>31</v>
      </c>
      <c r="B37" s="4" t="s">
        <v>281</v>
      </c>
      <c r="C37" s="4" t="s">
        <v>282</v>
      </c>
      <c r="D37" s="4" t="s">
        <v>29</v>
      </c>
      <c r="E37" s="5">
        <v>4460</v>
      </c>
      <c r="F37" s="6">
        <v>95.49306</v>
      </c>
      <c r="G37" s="7">
        <v>1.2665574000000001E-2</v>
      </c>
      <c r="H37" s="39"/>
    </row>
    <row r="38" spans="1:8" x14ac:dyDescent="0.2">
      <c r="A38" s="3">
        <v>32</v>
      </c>
      <c r="B38" s="4" t="s">
        <v>467</v>
      </c>
      <c r="C38" s="4" t="s">
        <v>468</v>
      </c>
      <c r="D38" s="4" t="s">
        <v>71</v>
      </c>
      <c r="E38" s="5">
        <v>8981</v>
      </c>
      <c r="F38" s="6">
        <v>94.484610500000002</v>
      </c>
      <c r="G38" s="7">
        <v>1.2531820000000001E-2</v>
      </c>
      <c r="H38" s="39"/>
    </row>
    <row r="39" spans="1:8" ht="25.5" x14ac:dyDescent="0.2">
      <c r="A39" s="3">
        <v>33</v>
      </c>
      <c r="B39" s="4" t="s">
        <v>186</v>
      </c>
      <c r="C39" s="4" t="s">
        <v>187</v>
      </c>
      <c r="D39" s="4" t="s">
        <v>1158</v>
      </c>
      <c r="E39" s="5">
        <v>16994</v>
      </c>
      <c r="F39" s="6">
        <v>82.429396999999994</v>
      </c>
      <c r="G39" s="7">
        <v>1.0932895999999999E-2</v>
      </c>
      <c r="H39" s="39"/>
    </row>
    <row r="40" spans="1:8" ht="25.5" x14ac:dyDescent="0.2">
      <c r="A40" s="3">
        <v>34</v>
      </c>
      <c r="B40" s="4" t="s">
        <v>198</v>
      </c>
      <c r="C40" s="4" t="s">
        <v>199</v>
      </c>
      <c r="D40" s="4" t="s">
        <v>1138</v>
      </c>
      <c r="E40" s="5">
        <v>13902</v>
      </c>
      <c r="F40" s="6">
        <v>82.035702000000001</v>
      </c>
      <c r="G40" s="7">
        <v>1.0880678E-2</v>
      </c>
      <c r="H40" s="39"/>
    </row>
    <row r="41" spans="1:8" ht="25.5" x14ac:dyDescent="0.2">
      <c r="A41" s="3">
        <v>35</v>
      </c>
      <c r="B41" s="4" t="s">
        <v>159</v>
      </c>
      <c r="C41" s="4" t="s">
        <v>160</v>
      </c>
      <c r="D41" s="4" t="s">
        <v>1138</v>
      </c>
      <c r="E41" s="5">
        <v>21126</v>
      </c>
      <c r="F41" s="6">
        <v>79.655582999999993</v>
      </c>
      <c r="G41" s="7">
        <v>1.0564995000000001E-2</v>
      </c>
      <c r="H41" s="39"/>
    </row>
    <row r="42" spans="1:8" ht="25.5" x14ac:dyDescent="0.2">
      <c r="A42" s="3">
        <v>36</v>
      </c>
      <c r="B42" s="4" t="s">
        <v>182</v>
      </c>
      <c r="C42" s="4" t="s">
        <v>183</v>
      </c>
      <c r="D42" s="4" t="s">
        <v>1150</v>
      </c>
      <c r="E42" s="5">
        <v>42002</v>
      </c>
      <c r="F42" s="6">
        <v>79.635791999999995</v>
      </c>
      <c r="G42" s="7">
        <v>1.056237E-2</v>
      </c>
      <c r="H42" s="39"/>
    </row>
    <row r="43" spans="1:8" x14ac:dyDescent="0.2">
      <c r="A43" s="3">
        <v>37</v>
      </c>
      <c r="B43" s="4" t="s">
        <v>192</v>
      </c>
      <c r="C43" s="4" t="s">
        <v>193</v>
      </c>
      <c r="D43" s="4" t="s">
        <v>1026</v>
      </c>
      <c r="E43" s="5">
        <v>16224</v>
      </c>
      <c r="F43" s="6">
        <v>77.769744000000003</v>
      </c>
      <c r="G43" s="7">
        <v>1.031487E-2</v>
      </c>
      <c r="H43" s="39"/>
    </row>
    <row r="44" spans="1:8" x14ac:dyDescent="0.2">
      <c r="A44" s="3">
        <v>38</v>
      </c>
      <c r="B44" s="4" t="s">
        <v>469</v>
      </c>
      <c r="C44" s="4" t="s">
        <v>470</v>
      </c>
      <c r="D44" s="4" t="s">
        <v>29</v>
      </c>
      <c r="E44" s="5">
        <v>9582</v>
      </c>
      <c r="F44" s="6">
        <v>76.440404999999998</v>
      </c>
      <c r="G44" s="7">
        <v>1.0138555E-2</v>
      </c>
      <c r="H44" s="39"/>
    </row>
    <row r="45" spans="1:8" x14ac:dyDescent="0.2">
      <c r="A45" s="3">
        <v>39</v>
      </c>
      <c r="B45" s="4" t="s">
        <v>200</v>
      </c>
      <c r="C45" s="4" t="s">
        <v>201</v>
      </c>
      <c r="D45" s="4" t="s">
        <v>60</v>
      </c>
      <c r="E45" s="5">
        <v>88984</v>
      </c>
      <c r="F45" s="6">
        <v>76.348271999999994</v>
      </c>
      <c r="G45" s="7">
        <v>1.0126335E-2</v>
      </c>
      <c r="H45" s="39"/>
    </row>
    <row r="46" spans="1:8" x14ac:dyDescent="0.2">
      <c r="A46" s="3">
        <v>40</v>
      </c>
      <c r="B46" s="4" t="s">
        <v>279</v>
      </c>
      <c r="C46" s="4" t="s">
        <v>280</v>
      </c>
      <c r="D46" s="4" t="s">
        <v>82</v>
      </c>
      <c r="E46" s="5">
        <v>121452</v>
      </c>
      <c r="F46" s="6">
        <v>74.996610000000004</v>
      </c>
      <c r="G46" s="7">
        <v>9.9470589999999994E-3</v>
      </c>
      <c r="H46" s="39"/>
    </row>
    <row r="47" spans="1:8" x14ac:dyDescent="0.2">
      <c r="A47" s="3">
        <v>41</v>
      </c>
      <c r="B47" s="4" t="s">
        <v>351</v>
      </c>
      <c r="C47" s="4" t="s">
        <v>352</v>
      </c>
      <c r="D47" s="4" t="s">
        <v>1154</v>
      </c>
      <c r="E47" s="5">
        <v>2040</v>
      </c>
      <c r="F47" s="6">
        <v>72.942239999999998</v>
      </c>
      <c r="G47" s="7">
        <v>9.6745809999999998E-3</v>
      </c>
      <c r="H47" s="39"/>
    </row>
    <row r="48" spans="1:8" ht="25.5" x14ac:dyDescent="0.2">
      <c r="A48" s="3">
        <v>42</v>
      </c>
      <c r="B48" s="4" t="s">
        <v>184</v>
      </c>
      <c r="C48" s="4" t="s">
        <v>185</v>
      </c>
      <c r="D48" s="4" t="s">
        <v>1145</v>
      </c>
      <c r="E48" s="5">
        <v>15722</v>
      </c>
      <c r="F48" s="6">
        <v>71.134189000000006</v>
      </c>
      <c r="G48" s="7">
        <v>9.4347730000000005E-3</v>
      </c>
      <c r="H48" s="39"/>
    </row>
    <row r="49" spans="1:8" x14ac:dyDescent="0.2">
      <c r="A49" s="3">
        <v>43</v>
      </c>
      <c r="B49" s="4" t="s">
        <v>479</v>
      </c>
      <c r="C49" s="4" t="s">
        <v>480</v>
      </c>
      <c r="D49" s="4" t="s">
        <v>18</v>
      </c>
      <c r="E49" s="5">
        <v>33567</v>
      </c>
      <c r="F49" s="6">
        <v>70.876720500000005</v>
      </c>
      <c r="G49" s="7">
        <v>9.4006239999999998E-3</v>
      </c>
      <c r="H49" s="39"/>
    </row>
    <row r="50" spans="1:8" ht="25.5" x14ac:dyDescent="0.2">
      <c r="A50" s="3">
        <v>44</v>
      </c>
      <c r="B50" s="4" t="s">
        <v>176</v>
      </c>
      <c r="C50" s="4" t="s">
        <v>177</v>
      </c>
      <c r="D50" s="4" t="s">
        <v>71</v>
      </c>
      <c r="E50" s="5">
        <v>3957</v>
      </c>
      <c r="F50" s="6">
        <v>70.068577500000004</v>
      </c>
      <c r="G50" s="7">
        <v>9.2934369999999999E-3</v>
      </c>
      <c r="H50" s="39"/>
    </row>
    <row r="51" spans="1:8" ht="25.5" x14ac:dyDescent="0.2">
      <c r="A51" s="3">
        <v>45</v>
      </c>
      <c r="B51" s="4" t="s">
        <v>168</v>
      </c>
      <c r="C51" s="4" t="s">
        <v>169</v>
      </c>
      <c r="D51" s="4" t="s">
        <v>1137</v>
      </c>
      <c r="E51" s="5">
        <v>28232</v>
      </c>
      <c r="F51" s="6">
        <v>67.897959999999998</v>
      </c>
      <c r="G51" s="7">
        <v>9.0055410000000006E-3</v>
      </c>
      <c r="H51" s="39"/>
    </row>
    <row r="52" spans="1:8" x14ac:dyDescent="0.2">
      <c r="A52" s="3">
        <v>46</v>
      </c>
      <c r="B52" s="4" t="s">
        <v>180</v>
      </c>
      <c r="C52" s="4" t="s">
        <v>181</v>
      </c>
      <c r="D52" s="4" t="s">
        <v>1156</v>
      </c>
      <c r="E52" s="5">
        <v>20765</v>
      </c>
      <c r="F52" s="6">
        <v>66.499912499999994</v>
      </c>
      <c r="G52" s="7">
        <v>8.8201129999999992E-3</v>
      </c>
      <c r="H52" s="39"/>
    </row>
    <row r="53" spans="1:8" x14ac:dyDescent="0.2">
      <c r="A53" s="3">
        <v>47</v>
      </c>
      <c r="B53" s="4" t="s">
        <v>473</v>
      </c>
      <c r="C53" s="4" t="s">
        <v>474</v>
      </c>
      <c r="D53" s="4" t="s">
        <v>1155</v>
      </c>
      <c r="E53" s="5">
        <v>7374</v>
      </c>
      <c r="F53" s="6">
        <v>66.461861999999996</v>
      </c>
      <c r="G53" s="7">
        <v>8.8150659999999999E-3</v>
      </c>
      <c r="H53" s="39"/>
    </row>
    <row r="54" spans="1:8" ht="25.5" x14ac:dyDescent="0.2">
      <c r="A54" s="3">
        <v>48</v>
      </c>
      <c r="B54" s="4" t="s">
        <v>260</v>
      </c>
      <c r="C54" s="4" t="s">
        <v>261</v>
      </c>
      <c r="D54" s="4" t="s">
        <v>1145</v>
      </c>
      <c r="E54" s="5">
        <v>16397</v>
      </c>
      <c r="F54" s="6">
        <v>66.194688999999997</v>
      </c>
      <c r="G54" s="7">
        <v>8.7796300000000001E-3</v>
      </c>
      <c r="H54" s="39"/>
    </row>
    <row r="55" spans="1:8" ht="25.5" x14ac:dyDescent="0.2">
      <c r="A55" s="3">
        <v>49</v>
      </c>
      <c r="B55" s="4" t="s">
        <v>196</v>
      </c>
      <c r="C55" s="4" t="s">
        <v>197</v>
      </c>
      <c r="D55" s="4" t="s">
        <v>1138</v>
      </c>
      <c r="E55" s="5">
        <v>3920</v>
      </c>
      <c r="F55" s="6">
        <v>61.736080000000001</v>
      </c>
      <c r="G55" s="7">
        <v>8.1882689999999998E-3</v>
      </c>
      <c r="H55" s="39"/>
    </row>
    <row r="56" spans="1:8" x14ac:dyDescent="0.2">
      <c r="A56" s="3">
        <v>50</v>
      </c>
      <c r="B56" s="4" t="s">
        <v>475</v>
      </c>
      <c r="C56" s="4" t="s">
        <v>476</v>
      </c>
      <c r="D56" s="4" t="s">
        <v>82</v>
      </c>
      <c r="E56" s="5">
        <v>7194</v>
      </c>
      <c r="F56" s="6">
        <v>61.127417999999999</v>
      </c>
      <c r="G56" s="7">
        <v>8.1075399999999999E-3</v>
      </c>
      <c r="H56" s="39"/>
    </row>
    <row r="57" spans="1:8" x14ac:dyDescent="0.2">
      <c r="A57" s="3">
        <v>51</v>
      </c>
      <c r="B57" s="4" t="s">
        <v>254</v>
      </c>
      <c r="C57" s="4" t="s">
        <v>255</v>
      </c>
      <c r="D57" s="4" t="s">
        <v>15</v>
      </c>
      <c r="E57" s="5">
        <v>22056</v>
      </c>
      <c r="F57" s="6">
        <v>59.407836000000003</v>
      </c>
      <c r="G57" s="7">
        <v>7.8794659999999999E-3</v>
      </c>
      <c r="H57" s="39"/>
    </row>
    <row r="58" spans="1:8" x14ac:dyDescent="0.2">
      <c r="A58" s="3">
        <v>52</v>
      </c>
      <c r="B58" s="4" t="s">
        <v>190</v>
      </c>
      <c r="C58" s="4" t="s">
        <v>191</v>
      </c>
      <c r="D58" s="4" t="s">
        <v>1169</v>
      </c>
      <c r="E58" s="5">
        <v>65904</v>
      </c>
      <c r="F58" s="6">
        <v>58.918176000000003</v>
      </c>
      <c r="G58" s="7">
        <v>7.8145209999999996E-3</v>
      </c>
      <c r="H58" s="39"/>
    </row>
    <row r="59" spans="1:8" x14ac:dyDescent="0.2">
      <c r="A59" s="3">
        <v>53</v>
      </c>
      <c r="B59" s="4" t="s">
        <v>202</v>
      </c>
      <c r="C59" s="4" t="s">
        <v>203</v>
      </c>
      <c r="D59" s="4" t="s">
        <v>71</v>
      </c>
      <c r="E59" s="5">
        <v>26481</v>
      </c>
      <c r="F59" s="6">
        <v>58.734858000000003</v>
      </c>
      <c r="G59" s="7">
        <v>7.7902070000000004E-3</v>
      </c>
      <c r="H59" s="39"/>
    </row>
    <row r="60" spans="1:8" x14ac:dyDescent="0.2">
      <c r="A60" s="3">
        <v>54</v>
      </c>
      <c r="B60" s="4" t="s">
        <v>228</v>
      </c>
      <c r="C60" s="4" t="s">
        <v>229</v>
      </c>
      <c r="D60" s="4" t="s">
        <v>29</v>
      </c>
      <c r="E60" s="5">
        <v>5663</v>
      </c>
      <c r="F60" s="6">
        <v>57.7597685</v>
      </c>
      <c r="G60" s="7">
        <v>7.6608780000000003E-3</v>
      </c>
      <c r="H60" s="39"/>
    </row>
    <row r="61" spans="1:8" ht="25.5" x14ac:dyDescent="0.2">
      <c r="A61" s="3">
        <v>55</v>
      </c>
      <c r="B61" s="4" t="s">
        <v>262</v>
      </c>
      <c r="C61" s="4" t="s">
        <v>263</v>
      </c>
      <c r="D61" s="4" t="s">
        <v>1141</v>
      </c>
      <c r="E61" s="5">
        <v>19523</v>
      </c>
      <c r="F61" s="6">
        <v>57.534281</v>
      </c>
      <c r="G61" s="7">
        <v>7.6309699999999999E-3</v>
      </c>
      <c r="H61" s="39"/>
    </row>
    <row r="62" spans="1:8" x14ac:dyDescent="0.2">
      <c r="A62" s="3">
        <v>56</v>
      </c>
      <c r="B62" s="4" t="s">
        <v>87</v>
      </c>
      <c r="C62" s="4" t="s">
        <v>88</v>
      </c>
      <c r="D62" s="4" t="s">
        <v>1157</v>
      </c>
      <c r="E62" s="5">
        <v>10971</v>
      </c>
      <c r="F62" s="6">
        <v>56.703613500000003</v>
      </c>
      <c r="G62" s="7">
        <v>7.5207959999999997E-3</v>
      </c>
      <c r="H62" s="39"/>
    </row>
    <row r="63" spans="1:8" ht="25.5" x14ac:dyDescent="0.2">
      <c r="A63" s="3">
        <v>57</v>
      </c>
      <c r="B63" s="4" t="s">
        <v>483</v>
      </c>
      <c r="C63" s="4" t="s">
        <v>484</v>
      </c>
      <c r="D63" s="4" t="s">
        <v>1138</v>
      </c>
      <c r="E63" s="5">
        <v>14001</v>
      </c>
      <c r="F63" s="6">
        <v>56.326022999999999</v>
      </c>
      <c r="G63" s="7">
        <v>7.4707150000000002E-3</v>
      </c>
      <c r="H63" s="39"/>
    </row>
    <row r="64" spans="1:8" x14ac:dyDescent="0.2">
      <c r="A64" s="3">
        <v>58</v>
      </c>
      <c r="B64" s="4" t="s">
        <v>249</v>
      </c>
      <c r="C64" s="4" t="s">
        <v>250</v>
      </c>
      <c r="D64" s="4" t="s">
        <v>60</v>
      </c>
      <c r="E64" s="5">
        <v>15004</v>
      </c>
      <c r="F64" s="6">
        <v>55.027169999999998</v>
      </c>
      <c r="G64" s="7">
        <v>7.2984440000000003E-3</v>
      </c>
      <c r="H64" s="39"/>
    </row>
    <row r="65" spans="1:8" x14ac:dyDescent="0.2">
      <c r="A65" s="3">
        <v>59</v>
      </c>
      <c r="B65" s="4" t="s">
        <v>477</v>
      </c>
      <c r="C65" s="4" t="s">
        <v>478</v>
      </c>
      <c r="D65" s="4" t="s">
        <v>1026</v>
      </c>
      <c r="E65" s="5">
        <v>83814</v>
      </c>
      <c r="F65" s="6">
        <v>53.012354999999999</v>
      </c>
      <c r="G65" s="7">
        <v>7.0312120000000002E-3</v>
      </c>
      <c r="H65" s="39"/>
    </row>
    <row r="66" spans="1:8" ht="25.5" x14ac:dyDescent="0.2">
      <c r="A66" s="3">
        <v>60</v>
      </c>
      <c r="B66" s="4" t="s">
        <v>268</v>
      </c>
      <c r="C66" s="4" t="s">
        <v>269</v>
      </c>
      <c r="D66" s="4" t="s">
        <v>1139</v>
      </c>
      <c r="E66" s="5">
        <v>7412</v>
      </c>
      <c r="F66" s="6">
        <v>52.102654000000001</v>
      </c>
      <c r="G66" s="7">
        <v>6.9105549999999996E-3</v>
      </c>
      <c r="H66" s="39"/>
    </row>
    <row r="67" spans="1:8" x14ac:dyDescent="0.2">
      <c r="A67" s="3">
        <v>61</v>
      </c>
      <c r="B67" s="4" t="s">
        <v>266</v>
      </c>
      <c r="C67" s="4" t="s">
        <v>267</v>
      </c>
      <c r="D67" s="4" t="s">
        <v>1155</v>
      </c>
      <c r="E67" s="5">
        <v>33456</v>
      </c>
      <c r="F67" s="6">
        <v>50.351280000000003</v>
      </c>
      <c r="G67" s="7">
        <v>6.6782639999999997E-3</v>
      </c>
      <c r="H67" s="39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1154</v>
      </c>
      <c r="E68" s="5">
        <v>8028</v>
      </c>
      <c r="F68" s="6">
        <v>47.309004000000002</v>
      </c>
      <c r="G68" s="7">
        <v>6.2747569999999997E-3</v>
      </c>
      <c r="H68" s="39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91</v>
      </c>
      <c r="E69" s="5">
        <v>5369</v>
      </c>
      <c r="F69" s="6">
        <v>41.419150500000001</v>
      </c>
      <c r="G69" s="7">
        <v>5.4935649999999997E-3</v>
      </c>
      <c r="H69" s="39"/>
    </row>
    <row r="70" spans="1:8" ht="25.5" x14ac:dyDescent="0.2">
      <c r="A70" s="3">
        <v>64</v>
      </c>
      <c r="B70" s="4" t="s">
        <v>289</v>
      </c>
      <c r="C70" s="4" t="s">
        <v>290</v>
      </c>
      <c r="D70" s="4" t="s">
        <v>1153</v>
      </c>
      <c r="E70" s="5">
        <v>6070</v>
      </c>
      <c r="F70" s="6">
        <v>40.374605000000003</v>
      </c>
      <c r="G70" s="7">
        <v>5.3550230000000004E-3</v>
      </c>
      <c r="H70" s="39"/>
    </row>
    <row r="71" spans="1:8" x14ac:dyDescent="0.2">
      <c r="A71" s="3">
        <v>65</v>
      </c>
      <c r="B71" s="4" t="s">
        <v>208</v>
      </c>
      <c r="C71" s="4" t="s">
        <v>209</v>
      </c>
      <c r="D71" s="4" t="s">
        <v>71</v>
      </c>
      <c r="E71" s="5">
        <v>6547</v>
      </c>
      <c r="F71" s="6">
        <v>40.195306500000001</v>
      </c>
      <c r="G71" s="7">
        <v>5.3312419999999999E-3</v>
      </c>
      <c r="H71" s="39"/>
    </row>
    <row r="72" spans="1:8" x14ac:dyDescent="0.2">
      <c r="A72" s="3">
        <v>66</v>
      </c>
      <c r="B72" s="4" t="s">
        <v>218</v>
      </c>
      <c r="C72" s="4" t="s">
        <v>219</v>
      </c>
      <c r="D72" s="4" t="s">
        <v>1026</v>
      </c>
      <c r="E72" s="5">
        <v>37239</v>
      </c>
      <c r="F72" s="6">
        <v>37.518292500000001</v>
      </c>
      <c r="G72" s="7">
        <v>4.9761809999999997E-3</v>
      </c>
      <c r="H72" s="39"/>
    </row>
    <row r="73" spans="1:8" x14ac:dyDescent="0.2">
      <c r="A73" s="3">
        <v>67</v>
      </c>
      <c r="B73" s="4" t="s">
        <v>104</v>
      </c>
      <c r="C73" s="4" t="s">
        <v>105</v>
      </c>
      <c r="D73" s="4" t="s">
        <v>1157</v>
      </c>
      <c r="E73" s="5">
        <v>41500</v>
      </c>
      <c r="F73" s="6">
        <v>32.266249999999999</v>
      </c>
      <c r="G73" s="7">
        <v>4.2795840000000003E-3</v>
      </c>
      <c r="H73" s="39"/>
    </row>
    <row r="74" spans="1:8" x14ac:dyDescent="0.2">
      <c r="A74" s="3">
        <v>68</v>
      </c>
      <c r="B74" s="4" t="s">
        <v>224</v>
      </c>
      <c r="C74" s="4" t="s">
        <v>225</v>
      </c>
      <c r="D74" s="4" t="s">
        <v>1154</v>
      </c>
      <c r="E74" s="5">
        <v>6546</v>
      </c>
      <c r="F74" s="6">
        <v>31.934660999999998</v>
      </c>
      <c r="G74" s="7">
        <v>4.2356039999999996E-3</v>
      </c>
      <c r="H74" s="39"/>
    </row>
    <row r="75" spans="1:8" ht="25.5" x14ac:dyDescent="0.2">
      <c r="A75" s="3">
        <v>69</v>
      </c>
      <c r="B75" s="4" t="s">
        <v>216</v>
      </c>
      <c r="C75" s="4" t="s">
        <v>217</v>
      </c>
      <c r="D75" s="4" t="s">
        <v>1138</v>
      </c>
      <c r="E75" s="5">
        <v>792</v>
      </c>
      <c r="F75" s="6">
        <v>31.699007999999999</v>
      </c>
      <c r="G75" s="7">
        <v>4.2043489999999996E-3</v>
      </c>
      <c r="H75" s="39"/>
    </row>
    <row r="76" spans="1:8" x14ac:dyDescent="0.2">
      <c r="A76" s="3">
        <v>70</v>
      </c>
      <c r="B76" s="4" t="s">
        <v>459</v>
      </c>
      <c r="C76" s="4" t="s">
        <v>460</v>
      </c>
      <c r="D76" s="4" t="s">
        <v>71</v>
      </c>
      <c r="E76" s="5">
        <v>8699</v>
      </c>
      <c r="F76" s="6">
        <v>27.9455375</v>
      </c>
      <c r="G76" s="7">
        <v>3.7065129999999998E-3</v>
      </c>
      <c r="H76" s="39"/>
    </row>
    <row r="77" spans="1:8" ht="25.5" x14ac:dyDescent="0.2">
      <c r="A77" s="3">
        <v>71</v>
      </c>
      <c r="B77" s="4" t="s">
        <v>276</v>
      </c>
      <c r="C77" s="4" t="s">
        <v>277</v>
      </c>
      <c r="D77" s="4" t="s">
        <v>1138</v>
      </c>
      <c r="E77" s="5">
        <v>12902</v>
      </c>
      <c r="F77" s="6">
        <v>27.100650999999999</v>
      </c>
      <c r="G77" s="7">
        <v>3.5944530000000001E-3</v>
      </c>
      <c r="H77" s="39"/>
    </row>
    <row r="78" spans="1:8" x14ac:dyDescent="0.2">
      <c r="A78" s="3">
        <v>72</v>
      </c>
      <c r="B78" s="4" t="s">
        <v>214</v>
      </c>
      <c r="C78" s="4" t="s">
        <v>215</v>
      </c>
      <c r="D78" s="4" t="s">
        <v>18</v>
      </c>
      <c r="E78" s="5">
        <v>35198</v>
      </c>
      <c r="F78" s="6">
        <v>24.427412</v>
      </c>
      <c r="G78" s="7">
        <v>3.2398919999999999E-3</v>
      </c>
      <c r="H78" s="39"/>
    </row>
    <row r="79" spans="1:8" x14ac:dyDescent="0.2">
      <c r="A79" s="3">
        <v>73</v>
      </c>
      <c r="B79" s="4" t="s">
        <v>212</v>
      </c>
      <c r="C79" s="4" t="s">
        <v>213</v>
      </c>
      <c r="D79" s="4" t="s">
        <v>308</v>
      </c>
      <c r="E79" s="5">
        <v>3918</v>
      </c>
      <c r="F79" s="6">
        <v>22.708728000000001</v>
      </c>
      <c r="G79" s="7">
        <v>3.0119370000000001E-3</v>
      </c>
      <c r="H79" s="39"/>
    </row>
    <row r="80" spans="1:8" ht="25.5" x14ac:dyDescent="0.2">
      <c r="A80" s="3">
        <v>74</v>
      </c>
      <c r="B80" s="4" t="s">
        <v>222</v>
      </c>
      <c r="C80" s="4" t="s">
        <v>223</v>
      </c>
      <c r="D80" s="4" t="s">
        <v>1153</v>
      </c>
      <c r="E80" s="5">
        <v>1852</v>
      </c>
      <c r="F80" s="6">
        <v>17.055067999999999</v>
      </c>
      <c r="G80" s="7">
        <v>2.2620729999999999E-3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7206.1651140000004</v>
      </c>
      <c r="G81" s="10">
        <v>0.95577855499999997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7206.1651140000004</v>
      </c>
      <c r="G98" s="10">
        <v>0.95577855499999997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260.72380729999998</v>
      </c>
      <c r="G126" s="7">
        <v>3.4580698999999999E-2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92.185965100000004</v>
      </c>
      <c r="G127" s="7">
        <v>1.2226943000000001E-2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352.90977240000001</v>
      </c>
      <c r="G128" s="10">
        <v>4.6807642000000003E-2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352.90977240000001</v>
      </c>
      <c r="G130" s="10">
        <v>4.6807642000000003E-2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-19.498848389999999</v>
      </c>
      <c r="G145" s="7">
        <v>-2.5861999999999999E-3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7539.5760576100001</v>
      </c>
      <c r="G146" s="10">
        <v>1</v>
      </c>
      <c r="H146" s="39"/>
    </row>
    <row r="147" spans="1:8" ht="14.1" customHeight="1" x14ac:dyDescent="0.2">
      <c r="A147" s="18"/>
      <c r="B147" s="197" t="s">
        <v>112</v>
      </c>
      <c r="C147" s="197"/>
      <c r="D147" s="197"/>
      <c r="E147" s="197"/>
      <c r="F147" s="197"/>
      <c r="G147" s="20"/>
    </row>
    <row r="148" spans="1:8" ht="17.100000000000001" customHeight="1" x14ac:dyDescent="0.2">
      <c r="A148" s="18"/>
      <c r="B148" s="197" t="s">
        <v>139</v>
      </c>
      <c r="C148" s="197"/>
      <c r="D148" s="197"/>
      <c r="E148" s="197"/>
      <c r="F148" s="197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94" t="s">
        <v>140</v>
      </c>
      <c r="C150" s="195"/>
      <c r="D150" s="12" t="s">
        <v>112</v>
      </c>
      <c r="E150" s="21"/>
      <c r="F150" s="20"/>
      <c r="G150" s="20"/>
    </row>
    <row r="151" spans="1:8" ht="29.1" customHeight="1" x14ac:dyDescent="0.2">
      <c r="A151" s="18"/>
      <c r="B151" s="189" t="s">
        <v>141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143</v>
      </c>
      <c r="C152" s="190"/>
      <c r="D152" s="2" t="s">
        <v>142</v>
      </c>
      <c r="E152" s="21"/>
      <c r="F152" s="20"/>
      <c r="G152" s="20"/>
    </row>
    <row r="153" spans="1:8" ht="17.100000000000001" customHeight="1" x14ac:dyDescent="0.2">
      <c r="A153" s="18"/>
      <c r="B153" s="189" t="s">
        <v>144</v>
      </c>
      <c r="C153" s="190"/>
      <c r="D153" s="12" t="s">
        <v>112</v>
      </c>
      <c r="E153" s="21"/>
      <c r="F153" s="20"/>
      <c r="G153" s="20"/>
    </row>
    <row r="154" spans="1:8" ht="24" customHeight="1" x14ac:dyDescent="0.2">
      <c r="A154" s="22"/>
      <c r="B154" s="23" t="s">
        <v>112</v>
      </c>
      <c r="C154" s="23" t="s">
        <v>145</v>
      </c>
      <c r="D154" s="23" t="s">
        <v>146</v>
      </c>
      <c r="E154" s="22"/>
      <c r="F154" s="22"/>
      <c r="G154" s="22"/>
    </row>
    <row r="155" spans="1:8" ht="18" customHeight="1" x14ac:dyDescent="0.2">
      <c r="A155" s="22"/>
      <c r="B155" s="23" t="s">
        <v>147</v>
      </c>
      <c r="C155" s="23" t="s">
        <v>148</v>
      </c>
      <c r="D155" s="23" t="s">
        <v>149</v>
      </c>
      <c r="E155" s="22"/>
      <c r="F155" s="22"/>
      <c r="G155" s="22"/>
    </row>
    <row r="156" spans="1:8" ht="17.100000000000001" customHeight="1" x14ac:dyDescent="0.2">
      <c r="A156" s="22"/>
      <c r="B156" s="4" t="s">
        <v>150</v>
      </c>
      <c r="C156" s="24">
        <v>17.628799999999998</v>
      </c>
      <c r="D156" s="24">
        <v>19.020800000000001</v>
      </c>
      <c r="E156" s="22"/>
      <c r="F156" s="19"/>
      <c r="G156" s="25"/>
    </row>
    <row r="157" spans="1:8" ht="17.100000000000001" customHeight="1" x14ac:dyDescent="0.2">
      <c r="A157" s="22"/>
      <c r="B157" s="4" t="s">
        <v>1092</v>
      </c>
      <c r="C157" s="24">
        <v>17.001999999999999</v>
      </c>
      <c r="D157" s="24">
        <v>18.3445</v>
      </c>
      <c r="E157" s="22"/>
      <c r="F157" s="19"/>
      <c r="G157" s="25"/>
    </row>
    <row r="158" spans="1:8" ht="17.100000000000001" customHeight="1" x14ac:dyDescent="0.2">
      <c r="A158" s="22"/>
      <c r="B158" s="4" t="s">
        <v>151</v>
      </c>
      <c r="C158" s="24">
        <v>17.258400000000002</v>
      </c>
      <c r="D158" s="24">
        <v>18.612300000000001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1093</v>
      </c>
      <c r="C159" s="24">
        <v>16.6343</v>
      </c>
      <c r="D159" s="24">
        <v>17.939299999999999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7" ht="17.100000000000001" customHeight="1" x14ac:dyDescent="0.2">
      <c r="A161" s="22"/>
      <c r="B161" s="189" t="s">
        <v>1094</v>
      </c>
      <c r="C161" s="190"/>
      <c r="D161" s="2" t="s">
        <v>142</v>
      </c>
      <c r="E161" s="22"/>
      <c r="F161" s="22"/>
      <c r="G161" s="22"/>
    </row>
    <row r="162" spans="1:17" ht="18" customHeight="1" x14ac:dyDescent="0.2">
      <c r="A162" s="22"/>
      <c r="B162" s="26"/>
      <c r="C162" s="26"/>
      <c r="D162" s="27"/>
      <c r="E162" s="22"/>
      <c r="F162" s="22"/>
      <c r="G162" s="22"/>
    </row>
    <row r="163" spans="1:17" s="101" customFormat="1" x14ac:dyDescent="0.2">
      <c r="B163" s="193" t="s">
        <v>1102</v>
      </c>
      <c r="C163" s="193"/>
      <c r="D163" s="193"/>
      <c r="E163" s="193"/>
      <c r="F163" s="193"/>
      <c r="I163"/>
      <c r="J163"/>
      <c r="K163"/>
      <c r="L163"/>
      <c r="M163"/>
      <c r="N163"/>
      <c r="O163"/>
      <c r="P163" s="41"/>
      <c r="Q163" s="41"/>
    </row>
    <row r="164" spans="1:17" ht="14.1" customHeight="1" x14ac:dyDescent="0.2">
      <c r="A164" s="22"/>
      <c r="B164" s="19"/>
      <c r="C164" s="19"/>
      <c r="D164" s="22"/>
      <c r="E164" s="22"/>
      <c r="F164" s="22"/>
      <c r="G164" s="22"/>
      <c r="J164" s="101"/>
      <c r="K164" s="101"/>
      <c r="L164" s="101"/>
      <c r="M164" s="101"/>
      <c r="N164" s="101"/>
      <c r="O164" s="101"/>
    </row>
    <row r="165" spans="1:17" ht="29.1" customHeight="1" x14ac:dyDescent="0.2">
      <c r="A165" s="22"/>
      <c r="B165" s="189" t="s">
        <v>152</v>
      </c>
      <c r="C165" s="190"/>
      <c r="D165" s="2" t="s">
        <v>142</v>
      </c>
      <c r="E165" s="22"/>
      <c r="F165" s="22"/>
      <c r="G165" s="22"/>
    </row>
    <row r="166" spans="1:17" ht="29.1" customHeight="1" x14ac:dyDescent="0.2">
      <c r="A166" s="22"/>
      <c r="B166" s="189" t="s">
        <v>153</v>
      </c>
      <c r="C166" s="190"/>
      <c r="D166" s="2" t="s">
        <v>142</v>
      </c>
      <c r="E166" s="22"/>
      <c r="F166" s="22"/>
      <c r="G166" s="22"/>
    </row>
    <row r="167" spans="1:17" ht="17.100000000000001" customHeight="1" x14ac:dyDescent="0.2">
      <c r="A167" s="22"/>
      <c r="B167" s="189" t="s">
        <v>154</v>
      </c>
      <c r="C167" s="190"/>
      <c r="D167" s="28">
        <v>0.33647188156739893</v>
      </c>
      <c r="E167" s="22"/>
      <c r="F167" s="19"/>
      <c r="G167" s="25"/>
    </row>
    <row r="168" spans="1:17" ht="17.100000000000001" customHeight="1" x14ac:dyDescent="0.2">
      <c r="A168" s="22"/>
      <c r="B168" s="189" t="s">
        <v>155</v>
      </c>
      <c r="C168" s="190"/>
      <c r="D168" s="2" t="s">
        <v>142</v>
      </c>
      <c r="E168" s="22"/>
      <c r="F168" s="22"/>
      <c r="G168" s="22"/>
    </row>
  </sheetData>
  <mergeCells count="16"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A1:H1"/>
    <mergeCell ref="A2:H2"/>
    <mergeCell ref="A3:H3"/>
    <mergeCell ref="J2:N2"/>
    <mergeCell ref="B167:C167"/>
    <mergeCell ref="B150:C150"/>
    <mergeCell ref="B147:F147"/>
    <mergeCell ref="B148:F14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487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11268</v>
      </c>
      <c r="F7" s="6">
        <v>142.08948000000001</v>
      </c>
      <c r="G7" s="7">
        <v>3.6331143000000003E-2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17190</v>
      </c>
      <c r="F8" s="6">
        <v>123.13197</v>
      </c>
      <c r="G8" s="7">
        <v>3.1483860000000002E-2</v>
      </c>
      <c r="H8" s="39"/>
    </row>
    <row r="9" spans="1:14" x14ac:dyDescent="0.2">
      <c r="A9" s="3">
        <v>3</v>
      </c>
      <c r="B9" s="4" t="s">
        <v>69</v>
      </c>
      <c r="C9" s="4" t="s">
        <v>70</v>
      </c>
      <c r="D9" s="4" t="s">
        <v>71</v>
      </c>
      <c r="E9" s="5">
        <v>20283</v>
      </c>
      <c r="F9" s="6">
        <v>118.7468235</v>
      </c>
      <c r="G9" s="7">
        <v>3.0362613E-2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2845</v>
      </c>
      <c r="F10" s="6">
        <v>116.13858999999999</v>
      </c>
      <c r="G10" s="7">
        <v>2.9695708000000001E-2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59516</v>
      </c>
      <c r="F11" s="6">
        <v>112.753062</v>
      </c>
      <c r="G11" s="7">
        <v>2.8830056E-2</v>
      </c>
      <c r="H11" s="39"/>
    </row>
    <row r="12" spans="1:14" x14ac:dyDescent="0.2">
      <c r="A12" s="3">
        <v>6</v>
      </c>
      <c r="B12" s="4" t="s">
        <v>30</v>
      </c>
      <c r="C12" s="4" t="s">
        <v>31</v>
      </c>
      <c r="D12" s="4" t="s">
        <v>29</v>
      </c>
      <c r="E12" s="5">
        <v>6080</v>
      </c>
      <c r="F12" s="6">
        <v>109.43696</v>
      </c>
      <c r="G12" s="7">
        <v>2.7982155000000002E-2</v>
      </c>
      <c r="H12" s="39"/>
    </row>
    <row r="13" spans="1:14" x14ac:dyDescent="0.2">
      <c r="A13" s="3">
        <v>7</v>
      </c>
      <c r="B13" s="4" t="s">
        <v>245</v>
      </c>
      <c r="C13" s="4" t="s">
        <v>246</v>
      </c>
      <c r="D13" s="4" t="s">
        <v>29</v>
      </c>
      <c r="E13" s="5">
        <v>12363</v>
      </c>
      <c r="F13" s="6">
        <v>104.5600725</v>
      </c>
      <c r="G13" s="7">
        <v>2.6735174E-2</v>
      </c>
      <c r="H13" s="39"/>
    </row>
    <row r="14" spans="1:14" x14ac:dyDescent="0.2">
      <c r="A14" s="3">
        <v>8</v>
      </c>
      <c r="B14" s="4" t="s">
        <v>38</v>
      </c>
      <c r="C14" s="4" t="s">
        <v>39</v>
      </c>
      <c r="D14" s="4" t="s">
        <v>29</v>
      </c>
      <c r="E14" s="5">
        <v>7409</v>
      </c>
      <c r="F14" s="6">
        <v>97.758050499999996</v>
      </c>
      <c r="G14" s="7">
        <v>2.4995950999999999E-2</v>
      </c>
      <c r="H14" s="39"/>
    </row>
    <row r="15" spans="1:14" x14ac:dyDescent="0.2">
      <c r="A15" s="3">
        <v>9</v>
      </c>
      <c r="B15" s="4" t="s">
        <v>239</v>
      </c>
      <c r="C15" s="4" t="s">
        <v>240</v>
      </c>
      <c r="D15" s="4" t="s">
        <v>1143</v>
      </c>
      <c r="E15" s="5">
        <v>16149</v>
      </c>
      <c r="F15" s="6">
        <v>97.063564499999998</v>
      </c>
      <c r="G15" s="7">
        <v>2.4818376999999999E-2</v>
      </c>
      <c r="H15" s="39"/>
    </row>
    <row r="16" spans="1:14" ht="15" x14ac:dyDescent="0.2">
      <c r="A16" s="3">
        <v>10</v>
      </c>
      <c r="B16" s="4" t="s">
        <v>241</v>
      </c>
      <c r="C16" s="4" t="s">
        <v>242</v>
      </c>
      <c r="D16" s="4" t="s">
        <v>1143</v>
      </c>
      <c r="E16" s="5">
        <v>2021</v>
      </c>
      <c r="F16" s="6">
        <v>96.306713000000002</v>
      </c>
      <c r="G16" s="7">
        <v>2.4624856000000001E-2</v>
      </c>
      <c r="H16" s="39"/>
      <c r="J16" s="176" t="s">
        <v>1181</v>
      </c>
    </row>
    <row r="17" spans="1:8" x14ac:dyDescent="0.2">
      <c r="A17" s="3">
        <v>11</v>
      </c>
      <c r="B17" s="4" t="s">
        <v>220</v>
      </c>
      <c r="C17" s="4" t="s">
        <v>221</v>
      </c>
      <c r="D17" s="4" t="s">
        <v>1149</v>
      </c>
      <c r="E17" s="5">
        <v>17981</v>
      </c>
      <c r="F17" s="6">
        <v>95.263338000000005</v>
      </c>
      <c r="G17" s="7">
        <v>2.4358073000000001E-2</v>
      </c>
      <c r="H17" s="39"/>
    </row>
    <row r="18" spans="1:8" x14ac:dyDescent="0.2">
      <c r="A18" s="3">
        <v>12</v>
      </c>
      <c r="B18" s="4" t="s">
        <v>465</v>
      </c>
      <c r="C18" s="4" t="s">
        <v>466</v>
      </c>
      <c r="D18" s="4" t="s">
        <v>71</v>
      </c>
      <c r="E18" s="5">
        <v>9128</v>
      </c>
      <c r="F18" s="6">
        <v>88.952359999999999</v>
      </c>
      <c r="G18" s="7">
        <v>2.2744407000000001E-2</v>
      </c>
      <c r="H18" s="39"/>
    </row>
    <row r="19" spans="1:8" x14ac:dyDescent="0.2">
      <c r="A19" s="3">
        <v>13</v>
      </c>
      <c r="B19" s="4" t="s">
        <v>166</v>
      </c>
      <c r="C19" s="4" t="s">
        <v>167</v>
      </c>
      <c r="D19" s="4" t="s">
        <v>1159</v>
      </c>
      <c r="E19" s="5">
        <v>6988</v>
      </c>
      <c r="F19" s="6">
        <v>88.052294000000003</v>
      </c>
      <c r="G19" s="7">
        <v>2.2514267000000001E-2</v>
      </c>
      <c r="H19" s="39"/>
    </row>
    <row r="20" spans="1:8" x14ac:dyDescent="0.2">
      <c r="A20" s="3">
        <v>14</v>
      </c>
      <c r="B20" s="4" t="s">
        <v>162</v>
      </c>
      <c r="C20" s="4" t="s">
        <v>163</v>
      </c>
      <c r="D20" s="4" t="s">
        <v>1026</v>
      </c>
      <c r="E20" s="5">
        <v>5727</v>
      </c>
      <c r="F20" s="6">
        <v>84.885593999999998</v>
      </c>
      <c r="G20" s="7">
        <v>2.1704567000000001E-2</v>
      </c>
      <c r="H20" s="39"/>
    </row>
    <row r="21" spans="1:8" x14ac:dyDescent="0.2">
      <c r="A21" s="3">
        <v>15</v>
      </c>
      <c r="B21" s="4" t="s">
        <v>164</v>
      </c>
      <c r="C21" s="4" t="s">
        <v>165</v>
      </c>
      <c r="D21" s="4" t="s">
        <v>82</v>
      </c>
      <c r="E21" s="5">
        <v>77707</v>
      </c>
      <c r="F21" s="6">
        <v>82.757954999999995</v>
      </c>
      <c r="G21" s="7">
        <v>2.1160546999999998E-2</v>
      </c>
      <c r="H21" s="39"/>
    </row>
    <row r="22" spans="1:8" x14ac:dyDescent="0.2">
      <c r="A22" s="3">
        <v>16</v>
      </c>
      <c r="B22" s="4" t="s">
        <v>459</v>
      </c>
      <c r="C22" s="4" t="s">
        <v>460</v>
      </c>
      <c r="D22" s="4" t="s">
        <v>71</v>
      </c>
      <c r="E22" s="5">
        <v>22660</v>
      </c>
      <c r="F22" s="6">
        <v>72.795249999999996</v>
      </c>
      <c r="G22" s="7">
        <v>1.8613162999999999E-2</v>
      </c>
      <c r="H22" s="39"/>
    </row>
    <row r="23" spans="1:8" x14ac:dyDescent="0.2">
      <c r="A23" s="3">
        <v>17</v>
      </c>
      <c r="B23" s="4" t="s">
        <v>243</v>
      </c>
      <c r="C23" s="4" t="s">
        <v>244</v>
      </c>
      <c r="D23" s="4" t="s">
        <v>1157</v>
      </c>
      <c r="E23" s="5">
        <v>6219</v>
      </c>
      <c r="F23" s="6">
        <v>68.405890499999998</v>
      </c>
      <c r="G23" s="7">
        <v>1.7490839000000001E-2</v>
      </c>
      <c r="H23" s="39"/>
    </row>
    <row r="24" spans="1:8" x14ac:dyDescent="0.2">
      <c r="A24" s="3">
        <v>18</v>
      </c>
      <c r="B24" s="4" t="s">
        <v>226</v>
      </c>
      <c r="C24" s="4" t="s">
        <v>227</v>
      </c>
      <c r="D24" s="4" t="s">
        <v>82</v>
      </c>
      <c r="E24" s="5">
        <v>8757</v>
      </c>
      <c r="F24" s="6">
        <v>67.380736499999998</v>
      </c>
      <c r="G24" s="7">
        <v>1.7228714999999999E-2</v>
      </c>
      <c r="H24" s="39"/>
    </row>
    <row r="25" spans="1:8" x14ac:dyDescent="0.2">
      <c r="A25" s="3">
        <v>19</v>
      </c>
      <c r="B25" s="4" t="s">
        <v>251</v>
      </c>
      <c r="C25" s="4" t="s">
        <v>252</v>
      </c>
      <c r="D25" s="4" t="s">
        <v>253</v>
      </c>
      <c r="E25" s="5">
        <v>24683</v>
      </c>
      <c r="F25" s="6">
        <v>66.619416999999999</v>
      </c>
      <c r="G25" s="7">
        <v>1.7034052000000001E-2</v>
      </c>
      <c r="H25" s="39"/>
    </row>
    <row r="26" spans="1:8" x14ac:dyDescent="0.2">
      <c r="A26" s="3">
        <v>20</v>
      </c>
      <c r="B26" s="4" t="s">
        <v>170</v>
      </c>
      <c r="C26" s="4" t="s">
        <v>171</v>
      </c>
      <c r="D26" s="4" t="s">
        <v>1027</v>
      </c>
      <c r="E26" s="5">
        <v>4196</v>
      </c>
      <c r="F26" s="6">
        <v>64.482029999999995</v>
      </c>
      <c r="G26" s="7">
        <v>1.6487538999999999E-2</v>
      </c>
      <c r="H26" s="39"/>
    </row>
    <row r="27" spans="1:8" x14ac:dyDescent="0.2">
      <c r="A27" s="3">
        <v>21</v>
      </c>
      <c r="B27" s="4" t="s">
        <v>461</v>
      </c>
      <c r="C27" s="4" t="s">
        <v>462</v>
      </c>
      <c r="D27" s="4" t="s">
        <v>1168</v>
      </c>
      <c r="E27" s="5">
        <v>3075</v>
      </c>
      <c r="F27" s="6">
        <v>63.584850000000003</v>
      </c>
      <c r="G27" s="7">
        <v>1.6258136999999999E-2</v>
      </c>
      <c r="H27" s="39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1027</v>
      </c>
      <c r="E28" s="5">
        <v>4311</v>
      </c>
      <c r="F28" s="6">
        <v>61.020049499999999</v>
      </c>
      <c r="G28" s="7">
        <v>1.5602338E-2</v>
      </c>
      <c r="H28" s="39"/>
    </row>
    <row r="29" spans="1:8" x14ac:dyDescent="0.2">
      <c r="A29" s="3">
        <v>23</v>
      </c>
      <c r="B29" s="4" t="s">
        <v>174</v>
      </c>
      <c r="C29" s="4" t="s">
        <v>175</v>
      </c>
      <c r="D29" s="4" t="s">
        <v>82</v>
      </c>
      <c r="E29" s="5">
        <v>9395</v>
      </c>
      <c r="F29" s="6">
        <v>59.324727500000002</v>
      </c>
      <c r="G29" s="7">
        <v>1.5168858E-2</v>
      </c>
      <c r="H29" s="39"/>
    </row>
    <row r="30" spans="1:8" x14ac:dyDescent="0.2">
      <c r="A30" s="3">
        <v>24</v>
      </c>
      <c r="B30" s="4" t="s">
        <v>463</v>
      </c>
      <c r="C30" s="4" t="s">
        <v>464</v>
      </c>
      <c r="D30" s="4" t="s">
        <v>29</v>
      </c>
      <c r="E30" s="5">
        <v>9450</v>
      </c>
      <c r="F30" s="6">
        <v>57.923774999999999</v>
      </c>
      <c r="G30" s="7">
        <v>1.4810646E-2</v>
      </c>
      <c r="H30" s="39"/>
    </row>
    <row r="31" spans="1:8" ht="25.5" x14ac:dyDescent="0.2">
      <c r="A31" s="3">
        <v>25</v>
      </c>
      <c r="B31" s="4" t="s">
        <v>188</v>
      </c>
      <c r="C31" s="4" t="s">
        <v>189</v>
      </c>
      <c r="D31" s="4" t="s">
        <v>1158</v>
      </c>
      <c r="E31" s="5">
        <v>8297</v>
      </c>
      <c r="F31" s="6">
        <v>54.681378500000001</v>
      </c>
      <c r="G31" s="7">
        <v>1.3981591E-2</v>
      </c>
      <c r="H31" s="39"/>
    </row>
    <row r="32" spans="1:8" x14ac:dyDescent="0.2">
      <c r="A32" s="3">
        <v>26</v>
      </c>
      <c r="B32" s="4" t="s">
        <v>206</v>
      </c>
      <c r="C32" s="4" t="s">
        <v>207</v>
      </c>
      <c r="D32" s="4" t="s">
        <v>1159</v>
      </c>
      <c r="E32" s="5">
        <v>5849</v>
      </c>
      <c r="F32" s="6">
        <v>54.264097499999998</v>
      </c>
      <c r="G32" s="7">
        <v>1.3874895999999999E-2</v>
      </c>
      <c r="H32" s="39"/>
    </row>
    <row r="33" spans="1:8" x14ac:dyDescent="0.2">
      <c r="A33" s="3">
        <v>27</v>
      </c>
      <c r="B33" s="4" t="s">
        <v>247</v>
      </c>
      <c r="C33" s="4" t="s">
        <v>248</v>
      </c>
      <c r="D33" s="4" t="s">
        <v>1154</v>
      </c>
      <c r="E33" s="5">
        <v>3246</v>
      </c>
      <c r="F33" s="6">
        <v>52.737761999999996</v>
      </c>
      <c r="G33" s="7">
        <v>1.3484624000000001E-2</v>
      </c>
      <c r="H33" s="39"/>
    </row>
    <row r="34" spans="1:8" ht="25.5" x14ac:dyDescent="0.2">
      <c r="A34" s="3">
        <v>28</v>
      </c>
      <c r="B34" s="4" t="s">
        <v>42</v>
      </c>
      <c r="C34" s="4" t="s">
        <v>43</v>
      </c>
      <c r="D34" s="4" t="s">
        <v>1150</v>
      </c>
      <c r="E34" s="5">
        <v>2108</v>
      </c>
      <c r="F34" s="6">
        <v>51.251804</v>
      </c>
      <c r="G34" s="7">
        <v>1.3104676000000001E-2</v>
      </c>
      <c r="H34" s="39"/>
    </row>
    <row r="35" spans="1:8" x14ac:dyDescent="0.2">
      <c r="A35" s="3">
        <v>29</v>
      </c>
      <c r="B35" s="4" t="s">
        <v>281</v>
      </c>
      <c r="C35" s="4" t="s">
        <v>282</v>
      </c>
      <c r="D35" s="4" t="s">
        <v>29</v>
      </c>
      <c r="E35" s="5">
        <v>2370</v>
      </c>
      <c r="F35" s="6">
        <v>50.744070000000001</v>
      </c>
      <c r="G35" s="7">
        <v>1.2974853E-2</v>
      </c>
      <c r="H35" s="39"/>
    </row>
    <row r="36" spans="1:8" x14ac:dyDescent="0.2">
      <c r="A36" s="3">
        <v>30</v>
      </c>
      <c r="B36" s="4" t="s">
        <v>467</v>
      </c>
      <c r="C36" s="4" t="s">
        <v>468</v>
      </c>
      <c r="D36" s="4" t="s">
        <v>71</v>
      </c>
      <c r="E36" s="5">
        <v>4749</v>
      </c>
      <c r="F36" s="6">
        <v>49.961854500000001</v>
      </c>
      <c r="G36" s="7">
        <v>1.2774845999999999E-2</v>
      </c>
      <c r="H36" s="39"/>
    </row>
    <row r="37" spans="1:8" x14ac:dyDescent="0.2">
      <c r="A37" s="3">
        <v>31</v>
      </c>
      <c r="B37" s="4" t="s">
        <v>473</v>
      </c>
      <c r="C37" s="4" t="s">
        <v>474</v>
      </c>
      <c r="D37" s="4" t="s">
        <v>1155</v>
      </c>
      <c r="E37" s="5">
        <v>4863</v>
      </c>
      <c r="F37" s="6">
        <v>43.830219</v>
      </c>
      <c r="G37" s="7">
        <v>1.1207036E-2</v>
      </c>
      <c r="H37" s="39"/>
    </row>
    <row r="38" spans="1:8" ht="25.5" x14ac:dyDescent="0.2">
      <c r="A38" s="3">
        <v>32</v>
      </c>
      <c r="B38" s="4" t="s">
        <v>198</v>
      </c>
      <c r="C38" s="4" t="s">
        <v>199</v>
      </c>
      <c r="D38" s="4" t="s">
        <v>1138</v>
      </c>
      <c r="E38" s="5">
        <v>7372</v>
      </c>
      <c r="F38" s="6">
        <v>43.502172000000002</v>
      </c>
      <c r="G38" s="7">
        <v>1.1123157E-2</v>
      </c>
      <c r="H38" s="39"/>
    </row>
    <row r="39" spans="1:8" ht="25.5" x14ac:dyDescent="0.2">
      <c r="A39" s="3">
        <v>33</v>
      </c>
      <c r="B39" s="4" t="s">
        <v>186</v>
      </c>
      <c r="C39" s="4" t="s">
        <v>187</v>
      </c>
      <c r="D39" s="4" t="s">
        <v>1158</v>
      </c>
      <c r="E39" s="5">
        <v>8758</v>
      </c>
      <c r="F39" s="6">
        <v>42.480679000000002</v>
      </c>
      <c r="G39" s="7">
        <v>1.086197E-2</v>
      </c>
      <c r="H39" s="39"/>
    </row>
    <row r="40" spans="1:8" ht="25.5" x14ac:dyDescent="0.2">
      <c r="A40" s="3">
        <v>34</v>
      </c>
      <c r="B40" s="4" t="s">
        <v>159</v>
      </c>
      <c r="C40" s="4" t="s">
        <v>160</v>
      </c>
      <c r="D40" s="4" t="s">
        <v>1138</v>
      </c>
      <c r="E40" s="5">
        <v>11224</v>
      </c>
      <c r="F40" s="6">
        <v>42.320092000000002</v>
      </c>
      <c r="G40" s="7">
        <v>1.0820909E-2</v>
      </c>
      <c r="H40" s="39"/>
    </row>
    <row r="41" spans="1:8" ht="25.5" x14ac:dyDescent="0.2">
      <c r="A41" s="3">
        <v>35</v>
      </c>
      <c r="B41" s="4" t="s">
        <v>182</v>
      </c>
      <c r="C41" s="4" t="s">
        <v>183</v>
      </c>
      <c r="D41" s="4" t="s">
        <v>1150</v>
      </c>
      <c r="E41" s="5">
        <v>22301</v>
      </c>
      <c r="F41" s="6">
        <v>42.282696000000001</v>
      </c>
      <c r="G41" s="7">
        <v>1.0811347000000001E-2</v>
      </c>
      <c r="H41" s="39"/>
    </row>
    <row r="42" spans="1:8" ht="25.5" x14ac:dyDescent="0.2">
      <c r="A42" s="3">
        <v>36</v>
      </c>
      <c r="B42" s="4" t="s">
        <v>176</v>
      </c>
      <c r="C42" s="4" t="s">
        <v>177</v>
      </c>
      <c r="D42" s="4" t="s">
        <v>71</v>
      </c>
      <c r="E42" s="5">
        <v>2300</v>
      </c>
      <c r="F42" s="6">
        <v>40.727249999999998</v>
      </c>
      <c r="G42" s="7">
        <v>1.0413632000000001E-2</v>
      </c>
      <c r="H42" s="39"/>
    </row>
    <row r="43" spans="1:8" x14ac:dyDescent="0.2">
      <c r="A43" s="3">
        <v>37</v>
      </c>
      <c r="B43" s="4" t="s">
        <v>469</v>
      </c>
      <c r="C43" s="4" t="s">
        <v>470</v>
      </c>
      <c r="D43" s="4" t="s">
        <v>29</v>
      </c>
      <c r="E43" s="5">
        <v>5096</v>
      </c>
      <c r="F43" s="6">
        <v>40.65334</v>
      </c>
      <c r="G43" s="7">
        <v>1.0394733999999999E-2</v>
      </c>
      <c r="H43" s="39"/>
    </row>
    <row r="44" spans="1:8" x14ac:dyDescent="0.2">
      <c r="A44" s="3">
        <v>38</v>
      </c>
      <c r="B44" s="4" t="s">
        <v>192</v>
      </c>
      <c r="C44" s="4" t="s">
        <v>193</v>
      </c>
      <c r="D44" s="4" t="s">
        <v>1026</v>
      </c>
      <c r="E44" s="5">
        <v>8404</v>
      </c>
      <c r="F44" s="6">
        <v>40.284573999999999</v>
      </c>
      <c r="G44" s="7">
        <v>1.0300442999999999E-2</v>
      </c>
      <c r="H44" s="39"/>
    </row>
    <row r="45" spans="1:8" x14ac:dyDescent="0.2">
      <c r="A45" s="3">
        <v>39</v>
      </c>
      <c r="B45" s="4" t="s">
        <v>279</v>
      </c>
      <c r="C45" s="4" t="s">
        <v>280</v>
      </c>
      <c r="D45" s="4" t="s">
        <v>82</v>
      </c>
      <c r="E45" s="5">
        <v>62967</v>
      </c>
      <c r="F45" s="6">
        <v>38.882122500000001</v>
      </c>
      <c r="G45" s="7">
        <v>9.9418479999999997E-3</v>
      </c>
      <c r="H45" s="39"/>
    </row>
    <row r="46" spans="1:8" x14ac:dyDescent="0.2">
      <c r="A46" s="3">
        <v>40</v>
      </c>
      <c r="B46" s="4" t="s">
        <v>351</v>
      </c>
      <c r="C46" s="4" t="s">
        <v>352</v>
      </c>
      <c r="D46" s="4" t="s">
        <v>1154</v>
      </c>
      <c r="E46" s="5">
        <v>1054</v>
      </c>
      <c r="F46" s="6">
        <v>37.686824000000001</v>
      </c>
      <c r="G46" s="7">
        <v>9.6362189999999997E-3</v>
      </c>
      <c r="H46" s="39"/>
    </row>
    <row r="47" spans="1:8" ht="25.5" x14ac:dyDescent="0.2">
      <c r="A47" s="3">
        <v>41</v>
      </c>
      <c r="B47" s="4" t="s">
        <v>184</v>
      </c>
      <c r="C47" s="4" t="s">
        <v>185</v>
      </c>
      <c r="D47" s="4" t="s">
        <v>1145</v>
      </c>
      <c r="E47" s="5">
        <v>8180</v>
      </c>
      <c r="F47" s="6">
        <v>37.01041</v>
      </c>
      <c r="G47" s="7">
        <v>9.4632659999999997E-3</v>
      </c>
      <c r="H47" s="39"/>
    </row>
    <row r="48" spans="1:8" x14ac:dyDescent="0.2">
      <c r="A48" s="3">
        <v>42</v>
      </c>
      <c r="B48" s="4" t="s">
        <v>479</v>
      </c>
      <c r="C48" s="4" t="s">
        <v>480</v>
      </c>
      <c r="D48" s="4" t="s">
        <v>18</v>
      </c>
      <c r="E48" s="5">
        <v>17387</v>
      </c>
      <c r="F48" s="6">
        <v>36.712650500000002</v>
      </c>
      <c r="G48" s="7">
        <v>9.3871309999999999E-3</v>
      </c>
      <c r="H48" s="39"/>
    </row>
    <row r="49" spans="1:8" x14ac:dyDescent="0.2">
      <c r="A49" s="3">
        <v>43</v>
      </c>
      <c r="B49" s="4" t="s">
        <v>471</v>
      </c>
      <c r="C49" s="4" t="s">
        <v>472</v>
      </c>
      <c r="D49" s="4" t="s">
        <v>1140</v>
      </c>
      <c r="E49" s="5">
        <v>6024</v>
      </c>
      <c r="F49" s="6">
        <v>36.089784000000002</v>
      </c>
      <c r="G49" s="7">
        <v>9.2278689999999997E-3</v>
      </c>
      <c r="H49" s="39"/>
    </row>
    <row r="50" spans="1:8" x14ac:dyDescent="0.2">
      <c r="A50" s="3">
        <v>44</v>
      </c>
      <c r="B50" s="4" t="s">
        <v>283</v>
      </c>
      <c r="C50" s="4" t="s">
        <v>284</v>
      </c>
      <c r="D50" s="4" t="s">
        <v>29</v>
      </c>
      <c r="E50" s="5">
        <v>5737</v>
      </c>
      <c r="F50" s="6">
        <v>35.678403000000003</v>
      </c>
      <c r="G50" s="7">
        <v>9.122682E-3</v>
      </c>
      <c r="H50" s="39"/>
    </row>
    <row r="51" spans="1:8" x14ac:dyDescent="0.2">
      <c r="A51" s="3">
        <v>45</v>
      </c>
      <c r="B51" s="4" t="s">
        <v>180</v>
      </c>
      <c r="C51" s="4" t="s">
        <v>181</v>
      </c>
      <c r="D51" s="4" t="s">
        <v>1156</v>
      </c>
      <c r="E51" s="5">
        <v>11014</v>
      </c>
      <c r="F51" s="6">
        <v>35.272334999999998</v>
      </c>
      <c r="G51" s="7">
        <v>9.0188539999999998E-3</v>
      </c>
      <c r="H51" s="39"/>
    </row>
    <row r="52" spans="1:8" ht="25.5" x14ac:dyDescent="0.2">
      <c r="A52" s="3">
        <v>46</v>
      </c>
      <c r="B52" s="4" t="s">
        <v>168</v>
      </c>
      <c r="C52" s="4" t="s">
        <v>169</v>
      </c>
      <c r="D52" s="4" t="s">
        <v>1137</v>
      </c>
      <c r="E52" s="5">
        <v>14626</v>
      </c>
      <c r="F52" s="6">
        <v>35.175530000000002</v>
      </c>
      <c r="G52" s="7">
        <v>8.9941020000000003E-3</v>
      </c>
      <c r="H52" s="39"/>
    </row>
    <row r="53" spans="1:8" ht="25.5" x14ac:dyDescent="0.2">
      <c r="A53" s="3">
        <v>47</v>
      </c>
      <c r="B53" s="4" t="s">
        <v>260</v>
      </c>
      <c r="C53" s="4" t="s">
        <v>261</v>
      </c>
      <c r="D53" s="4" t="s">
        <v>1145</v>
      </c>
      <c r="E53" s="5">
        <v>8568</v>
      </c>
      <c r="F53" s="6">
        <v>34.589016000000001</v>
      </c>
      <c r="G53" s="7">
        <v>8.8441349999999995E-3</v>
      </c>
      <c r="H53" s="39"/>
    </row>
    <row r="54" spans="1:8" ht="25.5" x14ac:dyDescent="0.2">
      <c r="A54" s="3">
        <v>48</v>
      </c>
      <c r="B54" s="4" t="s">
        <v>196</v>
      </c>
      <c r="C54" s="4" t="s">
        <v>197</v>
      </c>
      <c r="D54" s="4" t="s">
        <v>1138</v>
      </c>
      <c r="E54" s="5">
        <v>2084</v>
      </c>
      <c r="F54" s="6">
        <v>32.820915999999997</v>
      </c>
      <c r="G54" s="7">
        <v>8.3920460000000002E-3</v>
      </c>
      <c r="H54" s="39"/>
    </row>
    <row r="55" spans="1:8" x14ac:dyDescent="0.2">
      <c r="A55" s="3">
        <v>49</v>
      </c>
      <c r="B55" s="4" t="s">
        <v>475</v>
      </c>
      <c r="C55" s="4" t="s">
        <v>476</v>
      </c>
      <c r="D55" s="4" t="s">
        <v>82</v>
      </c>
      <c r="E55" s="5">
        <v>3781</v>
      </c>
      <c r="F55" s="6">
        <v>32.127156999999997</v>
      </c>
      <c r="G55" s="7">
        <v>8.2146570000000002E-3</v>
      </c>
      <c r="H55" s="39"/>
    </row>
    <row r="56" spans="1:8" x14ac:dyDescent="0.2">
      <c r="A56" s="3">
        <v>50</v>
      </c>
      <c r="B56" s="4" t="s">
        <v>202</v>
      </c>
      <c r="C56" s="4" t="s">
        <v>203</v>
      </c>
      <c r="D56" s="4" t="s">
        <v>71</v>
      </c>
      <c r="E56" s="5">
        <v>14021</v>
      </c>
      <c r="F56" s="6">
        <v>31.098578</v>
      </c>
      <c r="G56" s="7">
        <v>7.9516580000000003E-3</v>
      </c>
      <c r="H56" s="39"/>
    </row>
    <row r="57" spans="1:8" x14ac:dyDescent="0.2">
      <c r="A57" s="3">
        <v>51</v>
      </c>
      <c r="B57" s="4" t="s">
        <v>32</v>
      </c>
      <c r="C57" s="4" t="s">
        <v>33</v>
      </c>
      <c r="D57" s="4" t="s">
        <v>29</v>
      </c>
      <c r="E57" s="5">
        <v>1028</v>
      </c>
      <c r="F57" s="6">
        <v>31.060506</v>
      </c>
      <c r="G57" s="7">
        <v>7.941923E-3</v>
      </c>
      <c r="H57" s="39"/>
    </row>
    <row r="58" spans="1:8" x14ac:dyDescent="0.2">
      <c r="A58" s="3">
        <v>52</v>
      </c>
      <c r="B58" s="4" t="s">
        <v>228</v>
      </c>
      <c r="C58" s="4" t="s">
        <v>229</v>
      </c>
      <c r="D58" s="4" t="s">
        <v>29</v>
      </c>
      <c r="E58" s="5">
        <v>3044</v>
      </c>
      <c r="F58" s="6">
        <v>31.047277999999999</v>
      </c>
      <c r="G58" s="7">
        <v>7.9385410000000003E-3</v>
      </c>
      <c r="H58" s="39"/>
    </row>
    <row r="59" spans="1:8" x14ac:dyDescent="0.2">
      <c r="A59" s="3">
        <v>53</v>
      </c>
      <c r="B59" s="4" t="s">
        <v>254</v>
      </c>
      <c r="C59" s="4" t="s">
        <v>255</v>
      </c>
      <c r="D59" s="4" t="s">
        <v>15</v>
      </c>
      <c r="E59" s="5">
        <v>11386</v>
      </c>
      <c r="F59" s="6">
        <v>30.668191</v>
      </c>
      <c r="G59" s="7">
        <v>7.8416110000000001E-3</v>
      </c>
      <c r="H59" s="39"/>
    </row>
    <row r="60" spans="1:8" x14ac:dyDescent="0.2">
      <c r="A60" s="3">
        <v>54</v>
      </c>
      <c r="B60" s="4" t="s">
        <v>190</v>
      </c>
      <c r="C60" s="4" t="s">
        <v>191</v>
      </c>
      <c r="D60" s="4" t="s">
        <v>1169</v>
      </c>
      <c r="E60" s="5">
        <v>34295</v>
      </c>
      <c r="F60" s="6">
        <v>30.65973</v>
      </c>
      <c r="G60" s="7">
        <v>7.8394480000000006E-3</v>
      </c>
      <c r="H60" s="39"/>
    </row>
    <row r="61" spans="1:8" ht="25.5" x14ac:dyDescent="0.2">
      <c r="A61" s="3">
        <v>55</v>
      </c>
      <c r="B61" s="4" t="s">
        <v>262</v>
      </c>
      <c r="C61" s="4" t="s">
        <v>263</v>
      </c>
      <c r="D61" s="4" t="s">
        <v>1141</v>
      </c>
      <c r="E61" s="5">
        <v>10365</v>
      </c>
      <c r="F61" s="6">
        <v>30.545655</v>
      </c>
      <c r="G61" s="7">
        <v>7.8102800000000002E-3</v>
      </c>
      <c r="H61" s="39"/>
    </row>
    <row r="62" spans="1:8" x14ac:dyDescent="0.2">
      <c r="A62" s="3">
        <v>56</v>
      </c>
      <c r="B62" s="4" t="s">
        <v>87</v>
      </c>
      <c r="C62" s="4" t="s">
        <v>88</v>
      </c>
      <c r="D62" s="4" t="s">
        <v>1157</v>
      </c>
      <c r="E62" s="5">
        <v>5816</v>
      </c>
      <c r="F62" s="6">
        <v>30.059996000000002</v>
      </c>
      <c r="G62" s="7">
        <v>7.6861000000000004E-3</v>
      </c>
      <c r="H62" s="39"/>
    </row>
    <row r="63" spans="1:8" x14ac:dyDescent="0.2">
      <c r="A63" s="3">
        <v>57</v>
      </c>
      <c r="B63" s="4" t="s">
        <v>249</v>
      </c>
      <c r="C63" s="4" t="s">
        <v>250</v>
      </c>
      <c r="D63" s="4" t="s">
        <v>60</v>
      </c>
      <c r="E63" s="5">
        <v>8109</v>
      </c>
      <c r="F63" s="6">
        <v>29.7397575</v>
      </c>
      <c r="G63" s="7">
        <v>7.6042180000000003E-3</v>
      </c>
      <c r="H63" s="39"/>
    </row>
    <row r="64" spans="1:8" ht="25.5" x14ac:dyDescent="0.2">
      <c r="A64" s="3">
        <v>58</v>
      </c>
      <c r="B64" s="4" t="s">
        <v>483</v>
      </c>
      <c r="C64" s="4" t="s">
        <v>484</v>
      </c>
      <c r="D64" s="4" t="s">
        <v>1138</v>
      </c>
      <c r="E64" s="5">
        <v>7193</v>
      </c>
      <c r="F64" s="6">
        <v>28.937439000000001</v>
      </c>
      <c r="G64" s="7">
        <v>7.3990719999999996E-3</v>
      </c>
      <c r="H64" s="39"/>
    </row>
    <row r="65" spans="1:8" ht="25.5" x14ac:dyDescent="0.2">
      <c r="A65" s="3">
        <v>59</v>
      </c>
      <c r="B65" s="4" t="s">
        <v>268</v>
      </c>
      <c r="C65" s="4" t="s">
        <v>269</v>
      </c>
      <c r="D65" s="4" t="s">
        <v>1139</v>
      </c>
      <c r="E65" s="5">
        <v>3829</v>
      </c>
      <c r="F65" s="6">
        <v>26.915955499999999</v>
      </c>
      <c r="G65" s="7">
        <v>6.8821940000000003E-3</v>
      </c>
      <c r="H65" s="39"/>
    </row>
    <row r="66" spans="1:8" x14ac:dyDescent="0.2">
      <c r="A66" s="3">
        <v>60</v>
      </c>
      <c r="B66" s="4" t="s">
        <v>477</v>
      </c>
      <c r="C66" s="4" t="s">
        <v>478</v>
      </c>
      <c r="D66" s="4" t="s">
        <v>1026</v>
      </c>
      <c r="E66" s="5">
        <v>42526</v>
      </c>
      <c r="F66" s="6">
        <v>26.897694999999999</v>
      </c>
      <c r="G66" s="7">
        <v>6.8775249999999998E-3</v>
      </c>
      <c r="H66" s="39"/>
    </row>
    <row r="67" spans="1:8" x14ac:dyDescent="0.2">
      <c r="A67" s="3">
        <v>61</v>
      </c>
      <c r="B67" s="4" t="s">
        <v>266</v>
      </c>
      <c r="C67" s="4" t="s">
        <v>267</v>
      </c>
      <c r="D67" s="4" t="s">
        <v>1155</v>
      </c>
      <c r="E67" s="5">
        <v>17729</v>
      </c>
      <c r="F67" s="6">
        <v>26.682144999999998</v>
      </c>
      <c r="G67" s="7">
        <v>6.8224109999999996E-3</v>
      </c>
      <c r="H67" s="39"/>
    </row>
    <row r="68" spans="1:8" x14ac:dyDescent="0.2">
      <c r="A68" s="3">
        <v>62</v>
      </c>
      <c r="B68" s="4" t="s">
        <v>270</v>
      </c>
      <c r="C68" s="4" t="s">
        <v>271</v>
      </c>
      <c r="D68" s="4" t="s">
        <v>1154</v>
      </c>
      <c r="E68" s="5">
        <v>4265</v>
      </c>
      <c r="F68" s="6">
        <v>25.133645000000001</v>
      </c>
      <c r="G68" s="7">
        <v>6.4264719999999999E-3</v>
      </c>
      <c r="H68" s="39"/>
    </row>
    <row r="69" spans="1:8" x14ac:dyDescent="0.2">
      <c r="A69" s="3">
        <v>63</v>
      </c>
      <c r="B69" s="4" t="s">
        <v>210</v>
      </c>
      <c r="C69" s="4" t="s">
        <v>211</v>
      </c>
      <c r="D69" s="4" t="s">
        <v>91</v>
      </c>
      <c r="E69" s="5">
        <v>2788</v>
      </c>
      <c r="F69" s="6">
        <v>21.508026000000001</v>
      </c>
      <c r="G69" s="7">
        <v>5.4994299999999996E-3</v>
      </c>
      <c r="H69" s="39"/>
    </row>
    <row r="70" spans="1:8" ht="25.5" x14ac:dyDescent="0.2">
      <c r="A70" s="3">
        <v>64</v>
      </c>
      <c r="B70" s="4" t="s">
        <v>289</v>
      </c>
      <c r="C70" s="4" t="s">
        <v>290</v>
      </c>
      <c r="D70" s="4" t="s">
        <v>1153</v>
      </c>
      <c r="E70" s="5">
        <v>3145</v>
      </c>
      <c r="F70" s="6">
        <v>20.918967500000001</v>
      </c>
      <c r="G70" s="7">
        <v>5.348813E-3</v>
      </c>
      <c r="H70" s="39"/>
    </row>
    <row r="71" spans="1:8" x14ac:dyDescent="0.2">
      <c r="A71" s="3">
        <v>65</v>
      </c>
      <c r="B71" s="4" t="s">
        <v>208</v>
      </c>
      <c r="C71" s="4" t="s">
        <v>209</v>
      </c>
      <c r="D71" s="4" t="s">
        <v>71</v>
      </c>
      <c r="E71" s="5">
        <v>3383</v>
      </c>
      <c r="F71" s="6">
        <v>20.769928499999999</v>
      </c>
      <c r="G71" s="7">
        <v>5.3107049999999998E-3</v>
      </c>
      <c r="H71" s="39"/>
    </row>
    <row r="72" spans="1:8" x14ac:dyDescent="0.2">
      <c r="A72" s="3">
        <v>66</v>
      </c>
      <c r="B72" s="4" t="s">
        <v>218</v>
      </c>
      <c r="C72" s="4" t="s">
        <v>219</v>
      </c>
      <c r="D72" s="4" t="s">
        <v>1026</v>
      </c>
      <c r="E72" s="5">
        <v>19285</v>
      </c>
      <c r="F72" s="6">
        <v>19.429637499999998</v>
      </c>
      <c r="G72" s="7">
        <v>4.9680030000000003E-3</v>
      </c>
      <c r="H72" s="39"/>
    </row>
    <row r="73" spans="1:8" x14ac:dyDescent="0.2">
      <c r="A73" s="3">
        <v>67</v>
      </c>
      <c r="B73" s="4" t="s">
        <v>200</v>
      </c>
      <c r="C73" s="4" t="s">
        <v>201</v>
      </c>
      <c r="D73" s="4" t="s">
        <v>60</v>
      </c>
      <c r="E73" s="5">
        <v>21843</v>
      </c>
      <c r="F73" s="6">
        <v>18.741294</v>
      </c>
      <c r="G73" s="7">
        <v>4.7919989999999999E-3</v>
      </c>
      <c r="H73" s="39"/>
    </row>
    <row r="74" spans="1:8" x14ac:dyDescent="0.2">
      <c r="A74" s="3">
        <v>68</v>
      </c>
      <c r="B74" s="4" t="s">
        <v>224</v>
      </c>
      <c r="C74" s="4" t="s">
        <v>225</v>
      </c>
      <c r="D74" s="4" t="s">
        <v>1154</v>
      </c>
      <c r="E74" s="5">
        <v>3391</v>
      </c>
      <c r="F74" s="6">
        <v>16.542993500000001</v>
      </c>
      <c r="G74" s="7">
        <v>4.2299110000000003E-3</v>
      </c>
      <c r="H74" s="39"/>
    </row>
    <row r="75" spans="1:8" ht="25.5" x14ac:dyDescent="0.2">
      <c r="A75" s="3">
        <v>69</v>
      </c>
      <c r="B75" s="4" t="s">
        <v>216</v>
      </c>
      <c r="C75" s="4" t="s">
        <v>217</v>
      </c>
      <c r="D75" s="4" t="s">
        <v>1138</v>
      </c>
      <c r="E75" s="5">
        <v>411</v>
      </c>
      <c r="F75" s="6">
        <v>16.449864000000002</v>
      </c>
      <c r="G75" s="7">
        <v>4.2060989999999996E-3</v>
      </c>
      <c r="H75" s="39"/>
    </row>
    <row r="76" spans="1:8" x14ac:dyDescent="0.2">
      <c r="A76" s="3">
        <v>70</v>
      </c>
      <c r="B76" s="4" t="s">
        <v>104</v>
      </c>
      <c r="C76" s="4" t="s">
        <v>105</v>
      </c>
      <c r="D76" s="4" t="s">
        <v>1157</v>
      </c>
      <c r="E76" s="5">
        <v>21125</v>
      </c>
      <c r="F76" s="6">
        <v>16.424687500000001</v>
      </c>
      <c r="G76" s="7">
        <v>4.1996610000000004E-3</v>
      </c>
      <c r="H76" s="39"/>
    </row>
    <row r="77" spans="1:8" ht="25.5" x14ac:dyDescent="0.2">
      <c r="A77" s="3">
        <v>71</v>
      </c>
      <c r="B77" s="4" t="s">
        <v>276</v>
      </c>
      <c r="C77" s="4" t="s">
        <v>277</v>
      </c>
      <c r="D77" s="4" t="s">
        <v>1138</v>
      </c>
      <c r="E77" s="5">
        <v>6683</v>
      </c>
      <c r="F77" s="6">
        <v>14.037641499999999</v>
      </c>
      <c r="G77" s="7">
        <v>3.5893129999999998E-3</v>
      </c>
      <c r="H77" s="39"/>
    </row>
    <row r="78" spans="1:8" x14ac:dyDescent="0.2">
      <c r="A78" s="3">
        <v>72</v>
      </c>
      <c r="B78" s="4" t="s">
        <v>212</v>
      </c>
      <c r="C78" s="4" t="s">
        <v>213</v>
      </c>
      <c r="D78" s="4" t="s">
        <v>308</v>
      </c>
      <c r="E78" s="5">
        <v>2029</v>
      </c>
      <c r="F78" s="6">
        <v>11.760084000000001</v>
      </c>
      <c r="G78" s="7">
        <v>3.006959E-3</v>
      </c>
      <c r="H78" s="39"/>
    </row>
    <row r="79" spans="1:8" ht="25.5" x14ac:dyDescent="0.2">
      <c r="A79" s="3">
        <v>73</v>
      </c>
      <c r="B79" s="4" t="s">
        <v>222</v>
      </c>
      <c r="C79" s="4" t="s">
        <v>223</v>
      </c>
      <c r="D79" s="4" t="s">
        <v>1153</v>
      </c>
      <c r="E79" s="5">
        <v>982</v>
      </c>
      <c r="F79" s="6">
        <v>9.0432380000000006</v>
      </c>
      <c r="G79" s="7">
        <v>2.312284E-3</v>
      </c>
      <c r="H79" s="39"/>
    </row>
    <row r="80" spans="1:8" x14ac:dyDescent="0.2">
      <c r="A80" s="3">
        <v>74</v>
      </c>
      <c r="B80" s="4" t="s">
        <v>214</v>
      </c>
      <c r="C80" s="4" t="s">
        <v>215</v>
      </c>
      <c r="D80" s="4" t="s">
        <v>18</v>
      </c>
      <c r="E80" s="5">
        <v>9883</v>
      </c>
      <c r="F80" s="6">
        <v>6.8588019999999998</v>
      </c>
      <c r="G80" s="7">
        <v>1.7537410000000001E-3</v>
      </c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9">
        <v>3753.1324245000001</v>
      </c>
      <c r="G81" s="10">
        <v>0.95964593499999995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113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114</v>
      </c>
      <c r="D86" s="1"/>
      <c r="E86" s="1"/>
      <c r="F86" s="1"/>
      <c r="G86" s="1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115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116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117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118</v>
      </c>
      <c r="D98" s="1"/>
      <c r="E98" s="1"/>
      <c r="F98" s="9">
        <v>3753.1324245000001</v>
      </c>
      <c r="G98" s="10">
        <v>0.95964593499999995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119</v>
      </c>
      <c r="D100" s="1"/>
      <c r="E100" s="1"/>
      <c r="F100" s="12"/>
      <c r="G100" s="12"/>
      <c r="H100" s="39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120</v>
      </c>
      <c r="D104" s="1"/>
      <c r="E104" s="1"/>
      <c r="F104" s="1"/>
      <c r="G104" s="1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121</v>
      </c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122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123</v>
      </c>
      <c r="D113" s="1"/>
      <c r="E113" s="1"/>
      <c r="F113" s="9">
        <v>0</v>
      </c>
      <c r="G113" s="10">
        <v>0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124</v>
      </c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125</v>
      </c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126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128</v>
      </c>
      <c r="D125" s="1"/>
      <c r="E125" s="1"/>
      <c r="F125" s="12"/>
      <c r="G125" s="12"/>
      <c r="H125" s="39"/>
    </row>
    <row r="126" spans="1:8" x14ac:dyDescent="0.2">
      <c r="A126" s="3">
        <v>1</v>
      </c>
      <c r="B126" s="4"/>
      <c r="C126" s="4" t="s">
        <v>129</v>
      </c>
      <c r="D126" s="4"/>
      <c r="E126" s="8"/>
      <c r="F126" s="6">
        <v>124.59323910000001</v>
      </c>
      <c r="G126" s="7">
        <v>3.1857494E-2</v>
      </c>
      <c r="H126" s="39">
        <v>3.6151121728634927</v>
      </c>
    </row>
    <row r="127" spans="1:8" x14ac:dyDescent="0.2">
      <c r="A127" s="3">
        <v>2</v>
      </c>
      <c r="B127" s="4"/>
      <c r="C127" s="4" t="s">
        <v>130</v>
      </c>
      <c r="D127" s="4"/>
      <c r="E127" s="8"/>
      <c r="F127" s="6">
        <v>44.053281400000003</v>
      </c>
      <c r="G127" s="7">
        <v>1.1264072E-2</v>
      </c>
      <c r="H127" s="39">
        <v>3.7142625760646584</v>
      </c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9">
        <v>168.64652050000001</v>
      </c>
      <c r="G128" s="10">
        <v>4.3121566E-2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131</v>
      </c>
      <c r="D130" s="1"/>
      <c r="E130" s="1"/>
      <c r="F130" s="9">
        <v>168.64652050000001</v>
      </c>
      <c r="G130" s="10">
        <v>4.3121566E-2</v>
      </c>
      <c r="H130" s="39"/>
    </row>
    <row r="131" spans="1:8" x14ac:dyDescent="0.2">
      <c r="A131" s="1"/>
      <c r="B131" s="1"/>
      <c r="C131" s="12"/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132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133</v>
      </c>
      <c r="D133" s="1"/>
      <c r="E133" s="1"/>
      <c r="F133" s="1"/>
      <c r="G133" s="1"/>
      <c r="H133" s="39"/>
    </row>
    <row r="134" spans="1:8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</row>
    <row r="135" spans="1:8" x14ac:dyDescent="0.2">
      <c r="A135" s="1"/>
      <c r="B135" s="1"/>
      <c r="C135" s="11"/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134</v>
      </c>
      <c r="D136" s="1"/>
      <c r="E136" s="1"/>
      <c r="F136" s="1"/>
      <c r="G136" s="1"/>
      <c r="H136" s="39"/>
    </row>
    <row r="137" spans="1:8" x14ac:dyDescent="0.2">
      <c r="A137" s="1"/>
      <c r="B137" s="1"/>
      <c r="C137" s="2" t="s">
        <v>135</v>
      </c>
      <c r="D137" s="1"/>
      <c r="E137" s="1"/>
      <c r="F137" s="1"/>
      <c r="G137" s="1"/>
      <c r="H137" s="39"/>
    </row>
    <row r="138" spans="1:8" x14ac:dyDescent="0.2">
      <c r="A138" s="1"/>
      <c r="B138" s="1"/>
      <c r="C138" s="2" t="s">
        <v>111</v>
      </c>
      <c r="D138" s="1"/>
      <c r="E138" s="1" t="s">
        <v>112</v>
      </c>
      <c r="F138" s="13">
        <v>0</v>
      </c>
      <c r="G138" s="14">
        <v>0</v>
      </c>
      <c r="H138" s="39"/>
    </row>
    <row r="139" spans="1:8" x14ac:dyDescent="0.2">
      <c r="A139" s="1"/>
      <c r="B139" s="1"/>
      <c r="C139" s="11"/>
      <c r="D139" s="1"/>
      <c r="E139" s="1"/>
      <c r="F139" s="12"/>
      <c r="G139" s="12"/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ht="25.5" x14ac:dyDescent="0.2">
      <c r="A141" s="1"/>
      <c r="B141" s="1"/>
      <c r="C141" s="2" t="s">
        <v>136</v>
      </c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4"/>
      <c r="C144" s="4"/>
      <c r="D144" s="2"/>
      <c r="E144" s="1"/>
      <c r="F144" s="4"/>
      <c r="G144" s="8"/>
      <c r="H144" s="39"/>
    </row>
    <row r="145" spans="1:8" x14ac:dyDescent="0.2">
      <c r="A145" s="8"/>
      <c r="B145" s="4"/>
      <c r="C145" s="4" t="s">
        <v>137</v>
      </c>
      <c r="D145" s="4"/>
      <c r="E145" s="8"/>
      <c r="F145" s="6">
        <v>-10.823573590000001</v>
      </c>
      <c r="G145" s="7">
        <v>-2.7675009999999999E-3</v>
      </c>
      <c r="H145" s="39"/>
    </row>
    <row r="146" spans="1:8" x14ac:dyDescent="0.2">
      <c r="A146" s="11"/>
      <c r="B146" s="11"/>
      <c r="C146" s="2" t="s">
        <v>138</v>
      </c>
      <c r="D146" s="15"/>
      <c r="E146" s="15"/>
      <c r="F146" s="9">
        <v>3910.9553714100002</v>
      </c>
      <c r="G146" s="10">
        <v>1</v>
      </c>
      <c r="H146" s="39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194" t="s">
        <v>140</v>
      </c>
      <c r="C149" s="195"/>
      <c r="D149" s="12" t="s">
        <v>112</v>
      </c>
      <c r="E149" s="21"/>
      <c r="F149" s="20"/>
      <c r="G149" s="20"/>
    </row>
    <row r="150" spans="1:8" ht="29.1" customHeight="1" x14ac:dyDescent="0.2">
      <c r="A150" s="18"/>
      <c r="B150" s="189" t="s">
        <v>141</v>
      </c>
      <c r="C150" s="190"/>
      <c r="D150" s="2" t="s">
        <v>142</v>
      </c>
      <c r="E150" s="21"/>
      <c r="F150" s="20"/>
      <c r="G150" s="20"/>
    </row>
    <row r="151" spans="1:8" ht="17.100000000000001" customHeight="1" x14ac:dyDescent="0.2">
      <c r="A151" s="18"/>
      <c r="B151" s="189" t="s">
        <v>143</v>
      </c>
      <c r="C151" s="190"/>
      <c r="D151" s="2" t="s">
        <v>142</v>
      </c>
      <c r="E151" s="21"/>
      <c r="F151" s="20"/>
      <c r="G151" s="20"/>
    </row>
    <row r="152" spans="1:8" ht="17.100000000000001" customHeight="1" x14ac:dyDescent="0.2">
      <c r="A152" s="18"/>
      <c r="B152" s="189" t="s">
        <v>144</v>
      </c>
      <c r="C152" s="190"/>
      <c r="D152" s="12" t="s">
        <v>112</v>
      </c>
      <c r="E152" s="21"/>
      <c r="F152" s="20"/>
      <c r="G152" s="20"/>
    </row>
    <row r="153" spans="1:8" ht="24" customHeight="1" x14ac:dyDescent="0.2">
      <c r="A153" s="22"/>
      <c r="B153" s="23" t="s">
        <v>112</v>
      </c>
      <c r="C153" s="23" t="s">
        <v>145</v>
      </c>
      <c r="D153" s="23" t="s">
        <v>146</v>
      </c>
      <c r="E153" s="22"/>
      <c r="F153" s="22"/>
      <c r="G153" s="22"/>
    </row>
    <row r="154" spans="1:8" ht="18" customHeight="1" x14ac:dyDescent="0.2">
      <c r="A154" s="22"/>
      <c r="B154" s="23" t="s">
        <v>147</v>
      </c>
      <c r="C154" s="23" t="s">
        <v>148</v>
      </c>
      <c r="D154" s="23" t="s">
        <v>149</v>
      </c>
      <c r="E154" s="22"/>
      <c r="F154" s="22"/>
      <c r="G154" s="22"/>
    </row>
    <row r="155" spans="1:8" ht="17.100000000000001" customHeight="1" x14ac:dyDescent="0.2">
      <c r="A155" s="22"/>
      <c r="B155" s="4" t="s">
        <v>150</v>
      </c>
      <c r="C155" s="24">
        <v>19.841200000000001</v>
      </c>
      <c r="D155" s="24">
        <v>21.432200000000002</v>
      </c>
      <c r="E155" s="22"/>
      <c r="F155" s="19"/>
      <c r="G155" s="25"/>
    </row>
    <row r="156" spans="1:8" ht="17.100000000000001" customHeight="1" x14ac:dyDescent="0.2">
      <c r="A156" s="22"/>
      <c r="B156" s="4" t="s">
        <v>1092</v>
      </c>
      <c r="C156" s="24">
        <v>18.6004</v>
      </c>
      <c r="D156" s="24">
        <v>20.091999999999999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151</v>
      </c>
      <c r="C157" s="24">
        <v>19.464600000000001</v>
      </c>
      <c r="D157" s="24">
        <v>21.015499999999999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1093</v>
      </c>
      <c r="C158" s="24">
        <v>18.229199999999999</v>
      </c>
      <c r="D158" s="24">
        <v>19.6816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189" t="s">
        <v>1094</v>
      </c>
      <c r="C160" s="190"/>
      <c r="D160" s="2" t="s">
        <v>142</v>
      </c>
      <c r="E160" s="22"/>
      <c r="F160" s="22"/>
      <c r="G160" s="22"/>
    </row>
    <row r="161" spans="1:17" ht="18" customHeight="1" x14ac:dyDescent="0.2">
      <c r="A161" s="22"/>
      <c r="B161" s="26"/>
      <c r="C161" s="26"/>
      <c r="D161" s="27"/>
      <c r="E161" s="22"/>
      <c r="F161" s="22"/>
      <c r="G161" s="22"/>
    </row>
    <row r="162" spans="1:17" s="101" customFormat="1" x14ac:dyDescent="0.2">
      <c r="B162" s="193" t="s">
        <v>1102</v>
      </c>
      <c r="C162" s="193"/>
      <c r="D162" s="193"/>
      <c r="E162" s="193"/>
      <c r="F162" s="193"/>
      <c r="I162"/>
      <c r="P162" s="41"/>
      <c r="Q162" s="41"/>
    </row>
    <row r="163" spans="1:17" ht="14.1" customHeight="1" x14ac:dyDescent="0.2">
      <c r="A163" s="22"/>
      <c r="B163" s="19"/>
      <c r="C163" s="19"/>
      <c r="D163" s="22"/>
      <c r="E163" s="22"/>
      <c r="F163" s="22"/>
      <c r="G163" s="22"/>
    </row>
    <row r="164" spans="1:17" ht="29.1" customHeight="1" x14ac:dyDescent="0.2">
      <c r="A164" s="22"/>
      <c r="B164" s="189" t="s">
        <v>152</v>
      </c>
      <c r="C164" s="190"/>
      <c r="D164" s="2" t="s">
        <v>142</v>
      </c>
      <c r="E164" s="22"/>
      <c r="F164" s="22"/>
      <c r="G164" s="22"/>
    </row>
    <row r="165" spans="1:17" ht="29.1" customHeight="1" x14ac:dyDescent="0.2">
      <c r="A165" s="22"/>
      <c r="B165" s="189" t="s">
        <v>153</v>
      </c>
      <c r="C165" s="190"/>
      <c r="D165" s="2" t="s">
        <v>142</v>
      </c>
      <c r="E165" s="22"/>
      <c r="F165" s="22"/>
      <c r="G165" s="22"/>
    </row>
    <row r="166" spans="1:17" ht="17.100000000000001" customHeight="1" x14ac:dyDescent="0.2">
      <c r="A166" s="22"/>
      <c r="B166" s="189" t="s">
        <v>154</v>
      </c>
      <c r="C166" s="190"/>
      <c r="D166" s="28">
        <v>0.33377090747176874</v>
      </c>
      <c r="E166" s="22"/>
      <c r="F166" s="19"/>
      <c r="G166" s="25"/>
    </row>
    <row r="167" spans="1:17" ht="17.100000000000001" customHeight="1" x14ac:dyDescent="0.2">
      <c r="A167" s="22"/>
      <c r="B167" s="189" t="s">
        <v>155</v>
      </c>
      <c r="C167" s="190"/>
      <c r="D167" s="2" t="s">
        <v>142</v>
      </c>
      <c r="E167" s="22"/>
      <c r="F167" s="22"/>
      <c r="G167" s="22"/>
    </row>
  </sheetData>
  <mergeCells count="14">
    <mergeCell ref="B167:C167"/>
    <mergeCell ref="B150:C150"/>
    <mergeCell ref="B151:C151"/>
    <mergeCell ref="B152:C152"/>
    <mergeCell ref="B160:C160"/>
    <mergeCell ref="B164:C164"/>
    <mergeCell ref="B165:C165"/>
    <mergeCell ref="B166:C166"/>
    <mergeCell ref="A1:H1"/>
    <mergeCell ref="A2:H2"/>
    <mergeCell ref="A3:H3"/>
    <mergeCell ref="B162:F162"/>
    <mergeCell ref="J2:N2"/>
    <mergeCell ref="B149:C14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488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</v>
      </c>
      <c r="C7" s="4" t="s">
        <v>39</v>
      </c>
      <c r="D7" s="4" t="s">
        <v>29</v>
      </c>
      <c r="E7" s="5">
        <v>37713</v>
      </c>
      <c r="F7" s="6">
        <v>497.60417849999999</v>
      </c>
      <c r="G7" s="7">
        <v>3.7356800000000003E-2</v>
      </c>
      <c r="H7" s="39"/>
    </row>
    <row r="8" spans="1:14" x14ac:dyDescent="0.2">
      <c r="A8" s="3">
        <v>2</v>
      </c>
      <c r="B8" s="4" t="s">
        <v>69</v>
      </c>
      <c r="C8" s="4" t="s">
        <v>70</v>
      </c>
      <c r="D8" s="4" t="s">
        <v>71</v>
      </c>
      <c r="E8" s="5">
        <v>69249</v>
      </c>
      <c r="F8" s="6">
        <v>405.41827050000001</v>
      </c>
      <c r="G8" s="7">
        <v>3.0436098000000002E-2</v>
      </c>
      <c r="H8" s="39"/>
    </row>
    <row r="9" spans="1:14" ht="25.5" x14ac:dyDescent="0.2">
      <c r="A9" s="3">
        <v>3</v>
      </c>
      <c r="B9" s="4" t="s">
        <v>237</v>
      </c>
      <c r="C9" s="4" t="s">
        <v>238</v>
      </c>
      <c r="D9" s="4" t="s">
        <v>1153</v>
      </c>
      <c r="E9" s="5">
        <v>9882</v>
      </c>
      <c r="F9" s="6">
        <v>403.40300400000001</v>
      </c>
      <c r="G9" s="7">
        <v>3.0284805000000001E-2</v>
      </c>
      <c r="H9" s="39"/>
    </row>
    <row r="10" spans="1:14" x14ac:dyDescent="0.2">
      <c r="A10" s="3">
        <v>4</v>
      </c>
      <c r="B10" s="4" t="s">
        <v>30</v>
      </c>
      <c r="C10" s="4" t="s">
        <v>31</v>
      </c>
      <c r="D10" s="4" t="s">
        <v>29</v>
      </c>
      <c r="E10" s="5">
        <v>21334</v>
      </c>
      <c r="F10" s="6">
        <v>384.00133299999999</v>
      </c>
      <c r="G10" s="7">
        <v>2.8828256999999999E-2</v>
      </c>
      <c r="H10" s="39"/>
    </row>
    <row r="11" spans="1:14" x14ac:dyDescent="0.2">
      <c r="A11" s="3">
        <v>5</v>
      </c>
      <c r="B11" s="4" t="s">
        <v>235</v>
      </c>
      <c r="C11" s="4" t="s">
        <v>236</v>
      </c>
      <c r="D11" s="4" t="s">
        <v>1160</v>
      </c>
      <c r="E11" s="5">
        <v>202669</v>
      </c>
      <c r="F11" s="6">
        <v>383.95642049999998</v>
      </c>
      <c r="G11" s="7">
        <v>2.8824885000000001E-2</v>
      </c>
      <c r="H11" s="39"/>
    </row>
    <row r="12" spans="1:14" x14ac:dyDescent="0.2">
      <c r="A12" s="3">
        <v>6</v>
      </c>
      <c r="B12" s="4" t="s">
        <v>461</v>
      </c>
      <c r="C12" s="4" t="s">
        <v>462</v>
      </c>
      <c r="D12" s="4" t="s">
        <v>1168</v>
      </c>
      <c r="E12" s="5">
        <v>16976</v>
      </c>
      <c r="F12" s="6">
        <v>351.02972799999998</v>
      </c>
      <c r="G12" s="7">
        <v>2.6352969E-2</v>
      </c>
      <c r="H12" s="39"/>
    </row>
    <row r="13" spans="1:14" x14ac:dyDescent="0.2">
      <c r="A13" s="3">
        <v>7</v>
      </c>
      <c r="B13" s="4" t="s">
        <v>251</v>
      </c>
      <c r="C13" s="4" t="s">
        <v>252</v>
      </c>
      <c r="D13" s="4" t="s">
        <v>253</v>
      </c>
      <c r="E13" s="5">
        <v>127326</v>
      </c>
      <c r="F13" s="6">
        <v>343.652874</v>
      </c>
      <c r="G13" s="7">
        <v>2.5799163999999999E-2</v>
      </c>
      <c r="H13" s="39"/>
    </row>
    <row r="14" spans="1:14" x14ac:dyDescent="0.2">
      <c r="A14" s="3">
        <v>8</v>
      </c>
      <c r="B14" s="4" t="s">
        <v>94</v>
      </c>
      <c r="C14" s="4" t="s">
        <v>95</v>
      </c>
      <c r="D14" s="4" t="s">
        <v>1154</v>
      </c>
      <c r="E14" s="5">
        <v>16980</v>
      </c>
      <c r="F14" s="6">
        <v>329.7516</v>
      </c>
      <c r="G14" s="7">
        <v>2.4755549000000002E-2</v>
      </c>
      <c r="H14" s="39"/>
    </row>
    <row r="15" spans="1:14" ht="15" x14ac:dyDescent="0.2">
      <c r="A15" s="3">
        <v>9</v>
      </c>
      <c r="B15" s="4" t="s">
        <v>231</v>
      </c>
      <c r="C15" s="4" t="s">
        <v>232</v>
      </c>
      <c r="D15" s="4" t="s">
        <v>29</v>
      </c>
      <c r="E15" s="5">
        <v>26141</v>
      </c>
      <c r="F15" s="6">
        <v>329.63801000000001</v>
      </c>
      <c r="G15" s="7">
        <v>2.4747022E-2</v>
      </c>
      <c r="H15" s="39"/>
      <c r="J15" s="176" t="s">
        <v>1181</v>
      </c>
    </row>
    <row r="16" spans="1:14" x14ac:dyDescent="0.2">
      <c r="A16" s="3">
        <v>10</v>
      </c>
      <c r="B16" s="4" t="s">
        <v>220</v>
      </c>
      <c r="C16" s="4" t="s">
        <v>221</v>
      </c>
      <c r="D16" s="4" t="s">
        <v>1149</v>
      </c>
      <c r="E16" s="5">
        <v>61385</v>
      </c>
      <c r="F16" s="6">
        <v>325.21773000000002</v>
      </c>
      <c r="G16" s="7">
        <v>2.4415176E-2</v>
      </c>
      <c r="H16" s="39"/>
    </row>
    <row r="17" spans="1:8" x14ac:dyDescent="0.2">
      <c r="A17" s="3">
        <v>11</v>
      </c>
      <c r="B17" s="4" t="s">
        <v>164</v>
      </c>
      <c r="C17" s="4" t="s">
        <v>165</v>
      </c>
      <c r="D17" s="4" t="s">
        <v>82</v>
      </c>
      <c r="E17" s="5">
        <v>281219</v>
      </c>
      <c r="F17" s="6">
        <v>299.49823500000002</v>
      </c>
      <c r="G17" s="7">
        <v>2.2484328000000001E-2</v>
      </c>
      <c r="H17" s="39"/>
    </row>
    <row r="18" spans="1:8" x14ac:dyDescent="0.2">
      <c r="A18" s="3">
        <v>12</v>
      </c>
      <c r="B18" s="4" t="s">
        <v>463</v>
      </c>
      <c r="C18" s="4" t="s">
        <v>464</v>
      </c>
      <c r="D18" s="4" t="s">
        <v>29</v>
      </c>
      <c r="E18" s="5">
        <v>48860</v>
      </c>
      <c r="F18" s="6">
        <v>299.48737</v>
      </c>
      <c r="G18" s="7">
        <v>2.2483513E-2</v>
      </c>
      <c r="H18" s="39"/>
    </row>
    <row r="19" spans="1:8" x14ac:dyDescent="0.2">
      <c r="A19" s="3">
        <v>13</v>
      </c>
      <c r="B19" s="4" t="s">
        <v>166</v>
      </c>
      <c r="C19" s="4" t="s">
        <v>167</v>
      </c>
      <c r="D19" s="4" t="s">
        <v>1159</v>
      </c>
      <c r="E19" s="5">
        <v>23695</v>
      </c>
      <c r="F19" s="6">
        <v>298.5688475</v>
      </c>
      <c r="G19" s="7">
        <v>2.2414555999999999E-2</v>
      </c>
      <c r="H19" s="39"/>
    </row>
    <row r="20" spans="1:8" x14ac:dyDescent="0.2">
      <c r="A20" s="3">
        <v>14</v>
      </c>
      <c r="B20" s="4" t="s">
        <v>162</v>
      </c>
      <c r="C20" s="4" t="s">
        <v>163</v>
      </c>
      <c r="D20" s="4" t="s">
        <v>1026</v>
      </c>
      <c r="E20" s="5">
        <v>19596</v>
      </c>
      <c r="F20" s="6">
        <v>290.45191199999999</v>
      </c>
      <c r="G20" s="7">
        <v>2.1805191000000002E-2</v>
      </c>
      <c r="H20" s="39"/>
    </row>
    <row r="21" spans="1:8" x14ac:dyDescent="0.2">
      <c r="A21" s="3">
        <v>15</v>
      </c>
      <c r="B21" s="4" t="s">
        <v>459</v>
      </c>
      <c r="C21" s="4" t="s">
        <v>460</v>
      </c>
      <c r="D21" s="4" t="s">
        <v>71</v>
      </c>
      <c r="E21" s="5">
        <v>90401</v>
      </c>
      <c r="F21" s="6">
        <v>290.41321249999999</v>
      </c>
      <c r="G21" s="7">
        <v>2.1802286000000001E-2</v>
      </c>
      <c r="H21" s="39"/>
    </row>
    <row r="22" spans="1:8" x14ac:dyDescent="0.2">
      <c r="A22" s="3">
        <v>16</v>
      </c>
      <c r="B22" s="4" t="s">
        <v>245</v>
      </c>
      <c r="C22" s="4" t="s">
        <v>246</v>
      </c>
      <c r="D22" s="4" t="s">
        <v>29</v>
      </c>
      <c r="E22" s="5">
        <v>30901</v>
      </c>
      <c r="F22" s="6">
        <v>261.34520750000001</v>
      </c>
      <c r="G22" s="7">
        <v>1.9620054000000001E-2</v>
      </c>
      <c r="H22" s="39"/>
    </row>
    <row r="23" spans="1:8" x14ac:dyDescent="0.2">
      <c r="A23" s="3">
        <v>17</v>
      </c>
      <c r="B23" s="4" t="s">
        <v>239</v>
      </c>
      <c r="C23" s="4" t="s">
        <v>240</v>
      </c>
      <c r="D23" s="4" t="s">
        <v>1143</v>
      </c>
      <c r="E23" s="5">
        <v>40028</v>
      </c>
      <c r="F23" s="6">
        <v>240.58829399999999</v>
      </c>
      <c r="G23" s="7">
        <v>1.8061763000000002E-2</v>
      </c>
      <c r="H23" s="39"/>
    </row>
    <row r="24" spans="1:8" x14ac:dyDescent="0.2">
      <c r="A24" s="3">
        <v>18</v>
      </c>
      <c r="B24" s="4" t="s">
        <v>243</v>
      </c>
      <c r="C24" s="4" t="s">
        <v>244</v>
      </c>
      <c r="D24" s="4" t="s">
        <v>1157</v>
      </c>
      <c r="E24" s="5">
        <v>21498</v>
      </c>
      <c r="F24" s="6">
        <v>236.467251</v>
      </c>
      <c r="G24" s="7">
        <v>1.7752383E-2</v>
      </c>
      <c r="H24" s="39"/>
    </row>
    <row r="25" spans="1:8" x14ac:dyDescent="0.2">
      <c r="A25" s="3">
        <v>19</v>
      </c>
      <c r="B25" s="4" t="s">
        <v>226</v>
      </c>
      <c r="C25" s="4" t="s">
        <v>227</v>
      </c>
      <c r="D25" s="4" t="s">
        <v>82</v>
      </c>
      <c r="E25" s="5">
        <v>30235</v>
      </c>
      <c r="F25" s="6">
        <v>232.64320749999999</v>
      </c>
      <c r="G25" s="7">
        <v>1.7465299E-2</v>
      </c>
      <c r="H25" s="39"/>
    </row>
    <row r="26" spans="1:8" x14ac:dyDescent="0.2">
      <c r="A26" s="3">
        <v>20</v>
      </c>
      <c r="B26" s="4" t="s">
        <v>170</v>
      </c>
      <c r="C26" s="4" t="s">
        <v>171</v>
      </c>
      <c r="D26" s="4" t="s">
        <v>1027</v>
      </c>
      <c r="E26" s="5">
        <v>14203</v>
      </c>
      <c r="F26" s="6">
        <v>218.2646025</v>
      </c>
      <c r="G26" s="7">
        <v>1.638585E-2</v>
      </c>
      <c r="H26" s="39"/>
    </row>
    <row r="27" spans="1:8" ht="25.5" x14ac:dyDescent="0.2">
      <c r="A27" s="3">
        <v>21</v>
      </c>
      <c r="B27" s="4" t="s">
        <v>182</v>
      </c>
      <c r="C27" s="4" t="s">
        <v>183</v>
      </c>
      <c r="D27" s="4" t="s">
        <v>1150</v>
      </c>
      <c r="E27" s="5">
        <v>112163</v>
      </c>
      <c r="F27" s="6">
        <v>212.66104799999999</v>
      </c>
      <c r="G27" s="7">
        <v>1.5965172E-2</v>
      </c>
      <c r="H27" s="39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1027</v>
      </c>
      <c r="E28" s="5">
        <v>14772</v>
      </c>
      <c r="F28" s="6">
        <v>209.09027399999999</v>
      </c>
      <c r="G28" s="7">
        <v>1.5697102000000001E-2</v>
      </c>
      <c r="H28" s="39"/>
    </row>
    <row r="29" spans="1:8" x14ac:dyDescent="0.2">
      <c r="A29" s="3">
        <v>23</v>
      </c>
      <c r="B29" s="4" t="s">
        <v>228</v>
      </c>
      <c r="C29" s="4" t="s">
        <v>229</v>
      </c>
      <c r="D29" s="4" t="s">
        <v>29</v>
      </c>
      <c r="E29" s="5">
        <v>20083</v>
      </c>
      <c r="F29" s="6">
        <v>204.8365585</v>
      </c>
      <c r="G29" s="7">
        <v>1.5377762E-2</v>
      </c>
      <c r="H29" s="39"/>
    </row>
    <row r="30" spans="1:8" x14ac:dyDescent="0.2">
      <c r="A30" s="3">
        <v>24</v>
      </c>
      <c r="B30" s="4" t="s">
        <v>174</v>
      </c>
      <c r="C30" s="4" t="s">
        <v>175</v>
      </c>
      <c r="D30" s="4" t="s">
        <v>82</v>
      </c>
      <c r="E30" s="5">
        <v>31853</v>
      </c>
      <c r="F30" s="6">
        <v>201.13576850000001</v>
      </c>
      <c r="G30" s="7">
        <v>1.5099931E-2</v>
      </c>
      <c r="H30" s="39"/>
    </row>
    <row r="31" spans="1:8" x14ac:dyDescent="0.2">
      <c r="A31" s="3">
        <v>25</v>
      </c>
      <c r="B31" s="4" t="s">
        <v>465</v>
      </c>
      <c r="C31" s="4" t="s">
        <v>466</v>
      </c>
      <c r="D31" s="4" t="s">
        <v>71</v>
      </c>
      <c r="E31" s="5">
        <v>20160</v>
      </c>
      <c r="F31" s="6">
        <v>196.45920000000001</v>
      </c>
      <c r="G31" s="7">
        <v>1.4748845E-2</v>
      </c>
      <c r="H31" s="39"/>
    </row>
    <row r="32" spans="1:8" ht="25.5" x14ac:dyDescent="0.2">
      <c r="A32" s="3">
        <v>26</v>
      </c>
      <c r="B32" s="4" t="s">
        <v>188</v>
      </c>
      <c r="C32" s="4" t="s">
        <v>189</v>
      </c>
      <c r="D32" s="4" t="s">
        <v>1158</v>
      </c>
      <c r="E32" s="5">
        <v>28411</v>
      </c>
      <c r="F32" s="6">
        <v>187.2426955</v>
      </c>
      <c r="G32" s="7">
        <v>1.4056931999999999E-2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19892</v>
      </c>
      <c r="F33" s="6">
        <v>184.54803000000001</v>
      </c>
      <c r="G33" s="7">
        <v>1.3854633999999999E-2</v>
      </c>
      <c r="H33" s="39"/>
    </row>
    <row r="34" spans="1:8" ht="25.5" x14ac:dyDescent="0.2">
      <c r="A34" s="3">
        <v>28</v>
      </c>
      <c r="B34" s="4" t="s">
        <v>489</v>
      </c>
      <c r="C34" s="4" t="s">
        <v>490</v>
      </c>
      <c r="D34" s="4" t="s">
        <v>1138</v>
      </c>
      <c r="E34" s="5">
        <v>2436</v>
      </c>
      <c r="F34" s="6">
        <v>182.68660199999999</v>
      </c>
      <c r="G34" s="7">
        <v>1.3714891E-2</v>
      </c>
      <c r="H34" s="39"/>
    </row>
    <row r="35" spans="1:8" x14ac:dyDescent="0.2">
      <c r="A35" s="3">
        <v>29</v>
      </c>
      <c r="B35" s="4" t="s">
        <v>247</v>
      </c>
      <c r="C35" s="4" t="s">
        <v>248</v>
      </c>
      <c r="D35" s="4" t="s">
        <v>1154</v>
      </c>
      <c r="E35" s="5">
        <v>11037</v>
      </c>
      <c r="F35" s="6">
        <v>179.318139</v>
      </c>
      <c r="G35" s="7">
        <v>1.3462009E-2</v>
      </c>
      <c r="H35" s="39"/>
    </row>
    <row r="36" spans="1:8" x14ac:dyDescent="0.2">
      <c r="A36" s="3">
        <v>30</v>
      </c>
      <c r="B36" s="4" t="s">
        <v>491</v>
      </c>
      <c r="C36" s="4" t="s">
        <v>492</v>
      </c>
      <c r="D36" s="4" t="s">
        <v>1144</v>
      </c>
      <c r="E36" s="5">
        <v>20000</v>
      </c>
      <c r="F36" s="6">
        <v>177.67</v>
      </c>
      <c r="G36" s="7">
        <v>1.3338278E-2</v>
      </c>
      <c r="H36" s="39"/>
    </row>
    <row r="37" spans="1:8" x14ac:dyDescent="0.2">
      <c r="A37" s="3">
        <v>31</v>
      </c>
      <c r="B37" s="4" t="s">
        <v>471</v>
      </c>
      <c r="C37" s="4" t="s">
        <v>472</v>
      </c>
      <c r="D37" s="4" t="s">
        <v>1140</v>
      </c>
      <c r="E37" s="5">
        <v>28411</v>
      </c>
      <c r="F37" s="6">
        <v>170.21030099999999</v>
      </c>
      <c r="G37" s="7">
        <v>1.2778253E-2</v>
      </c>
      <c r="H37" s="39"/>
    </row>
    <row r="38" spans="1:8" ht="25.5" x14ac:dyDescent="0.2">
      <c r="A38" s="3">
        <v>32</v>
      </c>
      <c r="B38" s="4" t="s">
        <v>176</v>
      </c>
      <c r="C38" s="4" t="s">
        <v>177</v>
      </c>
      <c r="D38" s="4" t="s">
        <v>71</v>
      </c>
      <c r="E38" s="5">
        <v>9500</v>
      </c>
      <c r="F38" s="6">
        <v>168.22125</v>
      </c>
      <c r="G38" s="7">
        <v>1.2628929000000001E-2</v>
      </c>
      <c r="H38" s="39"/>
    </row>
    <row r="39" spans="1:8" ht="25.5" x14ac:dyDescent="0.2">
      <c r="A39" s="3">
        <v>33</v>
      </c>
      <c r="B39" s="4" t="s">
        <v>198</v>
      </c>
      <c r="C39" s="4" t="s">
        <v>199</v>
      </c>
      <c r="D39" s="4" t="s">
        <v>1138</v>
      </c>
      <c r="E39" s="5">
        <v>27841</v>
      </c>
      <c r="F39" s="6">
        <v>164.28974099999999</v>
      </c>
      <c r="G39" s="7">
        <v>1.2333777000000001E-2</v>
      </c>
      <c r="H39" s="39"/>
    </row>
    <row r="40" spans="1:8" x14ac:dyDescent="0.2">
      <c r="A40" s="3">
        <v>34</v>
      </c>
      <c r="B40" s="4" t="s">
        <v>475</v>
      </c>
      <c r="C40" s="4" t="s">
        <v>476</v>
      </c>
      <c r="D40" s="4" t="s">
        <v>82</v>
      </c>
      <c r="E40" s="5">
        <v>17966</v>
      </c>
      <c r="F40" s="6">
        <v>152.65710200000001</v>
      </c>
      <c r="G40" s="7">
        <v>1.1460476000000001E-2</v>
      </c>
      <c r="H40" s="39"/>
    </row>
    <row r="41" spans="1:8" x14ac:dyDescent="0.2">
      <c r="A41" s="3">
        <v>35</v>
      </c>
      <c r="B41" s="4" t="s">
        <v>469</v>
      </c>
      <c r="C41" s="4" t="s">
        <v>470</v>
      </c>
      <c r="D41" s="4" t="s">
        <v>29</v>
      </c>
      <c r="E41" s="5">
        <v>19126</v>
      </c>
      <c r="F41" s="6">
        <v>152.577665</v>
      </c>
      <c r="G41" s="7">
        <v>1.1454513E-2</v>
      </c>
      <c r="H41" s="39"/>
    </row>
    <row r="42" spans="1:8" ht="25.5" x14ac:dyDescent="0.2">
      <c r="A42" s="3">
        <v>36</v>
      </c>
      <c r="B42" s="4" t="s">
        <v>186</v>
      </c>
      <c r="C42" s="4" t="s">
        <v>187</v>
      </c>
      <c r="D42" s="4" t="s">
        <v>1158</v>
      </c>
      <c r="E42" s="5">
        <v>29888</v>
      </c>
      <c r="F42" s="6">
        <v>144.971744</v>
      </c>
      <c r="G42" s="7">
        <v>1.0883511E-2</v>
      </c>
      <c r="H42" s="39"/>
    </row>
    <row r="43" spans="1:8" x14ac:dyDescent="0.2">
      <c r="A43" s="3">
        <v>37</v>
      </c>
      <c r="B43" s="4" t="s">
        <v>192</v>
      </c>
      <c r="C43" s="4" t="s">
        <v>193</v>
      </c>
      <c r="D43" s="4" t="s">
        <v>1026</v>
      </c>
      <c r="E43" s="5">
        <v>28472</v>
      </c>
      <c r="F43" s="6">
        <v>136.48053200000001</v>
      </c>
      <c r="G43" s="7">
        <v>1.0246046999999999E-2</v>
      </c>
      <c r="H43" s="39"/>
    </row>
    <row r="44" spans="1:8" x14ac:dyDescent="0.2">
      <c r="A44" s="3">
        <v>38</v>
      </c>
      <c r="B44" s="4" t="s">
        <v>279</v>
      </c>
      <c r="C44" s="4" t="s">
        <v>280</v>
      </c>
      <c r="D44" s="4" t="s">
        <v>82</v>
      </c>
      <c r="E44" s="5">
        <v>214883</v>
      </c>
      <c r="F44" s="6">
        <v>132.69025250000001</v>
      </c>
      <c r="G44" s="7">
        <v>9.9614990000000004E-3</v>
      </c>
      <c r="H44" s="39"/>
    </row>
    <row r="45" spans="1:8" ht="25.5" x14ac:dyDescent="0.2">
      <c r="A45" s="3">
        <v>39</v>
      </c>
      <c r="B45" s="4" t="s">
        <v>184</v>
      </c>
      <c r="C45" s="4" t="s">
        <v>185</v>
      </c>
      <c r="D45" s="4" t="s">
        <v>1145</v>
      </c>
      <c r="E45" s="5">
        <v>28703</v>
      </c>
      <c r="F45" s="6">
        <v>129.86672350000001</v>
      </c>
      <c r="G45" s="7">
        <v>9.7495269999999992E-3</v>
      </c>
      <c r="H45" s="39"/>
    </row>
    <row r="46" spans="1:8" x14ac:dyDescent="0.2">
      <c r="A46" s="3">
        <v>40</v>
      </c>
      <c r="B46" s="4" t="s">
        <v>493</v>
      </c>
      <c r="C46" s="4" t="s">
        <v>494</v>
      </c>
      <c r="D46" s="4" t="s">
        <v>71</v>
      </c>
      <c r="E46" s="5">
        <v>8109</v>
      </c>
      <c r="F46" s="6">
        <v>127.5424065</v>
      </c>
      <c r="G46" s="7">
        <v>9.5750330000000002E-3</v>
      </c>
      <c r="H46" s="39"/>
    </row>
    <row r="47" spans="1:8" x14ac:dyDescent="0.2">
      <c r="A47" s="3">
        <v>41</v>
      </c>
      <c r="B47" s="4" t="s">
        <v>473</v>
      </c>
      <c r="C47" s="4" t="s">
        <v>474</v>
      </c>
      <c r="D47" s="4" t="s">
        <v>1155</v>
      </c>
      <c r="E47" s="5">
        <v>14087</v>
      </c>
      <c r="F47" s="6">
        <v>126.966131</v>
      </c>
      <c r="G47" s="7">
        <v>9.5317700000000002E-3</v>
      </c>
      <c r="H47" s="39"/>
    </row>
    <row r="48" spans="1:8" x14ac:dyDescent="0.2">
      <c r="A48" s="3">
        <v>42</v>
      </c>
      <c r="B48" s="4" t="s">
        <v>479</v>
      </c>
      <c r="C48" s="4" t="s">
        <v>480</v>
      </c>
      <c r="D48" s="4" t="s">
        <v>18</v>
      </c>
      <c r="E48" s="5">
        <v>59366</v>
      </c>
      <c r="F48" s="6">
        <v>125.351309</v>
      </c>
      <c r="G48" s="7">
        <v>9.4105400000000002E-3</v>
      </c>
      <c r="H48" s="39"/>
    </row>
    <row r="49" spans="1:8" ht="25.5" x14ac:dyDescent="0.2">
      <c r="A49" s="3">
        <v>43</v>
      </c>
      <c r="B49" s="4" t="s">
        <v>196</v>
      </c>
      <c r="C49" s="4" t="s">
        <v>197</v>
      </c>
      <c r="D49" s="4" t="s">
        <v>1138</v>
      </c>
      <c r="E49" s="5">
        <v>7795</v>
      </c>
      <c r="F49" s="6">
        <v>122.76345499999999</v>
      </c>
      <c r="G49" s="7">
        <v>9.2162609999999999E-3</v>
      </c>
      <c r="H49" s="39"/>
    </row>
    <row r="50" spans="1:8" ht="25.5" x14ac:dyDescent="0.2">
      <c r="A50" s="3">
        <v>44</v>
      </c>
      <c r="B50" s="4" t="s">
        <v>260</v>
      </c>
      <c r="C50" s="4" t="s">
        <v>261</v>
      </c>
      <c r="D50" s="4" t="s">
        <v>1145</v>
      </c>
      <c r="E50" s="5">
        <v>30368</v>
      </c>
      <c r="F50" s="6">
        <v>122.59561600000001</v>
      </c>
      <c r="G50" s="7">
        <v>9.2036610000000001E-3</v>
      </c>
      <c r="H50" s="39"/>
    </row>
    <row r="51" spans="1:8" ht="25.5" x14ac:dyDescent="0.2">
      <c r="A51" s="3">
        <v>45</v>
      </c>
      <c r="B51" s="4" t="s">
        <v>168</v>
      </c>
      <c r="C51" s="4" t="s">
        <v>169</v>
      </c>
      <c r="D51" s="4" t="s">
        <v>1137</v>
      </c>
      <c r="E51" s="5">
        <v>50508</v>
      </c>
      <c r="F51" s="6">
        <v>121.47174</v>
      </c>
      <c r="G51" s="7">
        <v>9.1192870000000002E-3</v>
      </c>
      <c r="H51" s="39"/>
    </row>
    <row r="52" spans="1:8" x14ac:dyDescent="0.2">
      <c r="A52" s="3">
        <v>46</v>
      </c>
      <c r="B52" s="4" t="s">
        <v>32</v>
      </c>
      <c r="C52" s="4" t="s">
        <v>33</v>
      </c>
      <c r="D52" s="4" t="s">
        <v>29</v>
      </c>
      <c r="E52" s="5">
        <v>3931</v>
      </c>
      <c r="F52" s="6">
        <v>118.7731995</v>
      </c>
      <c r="G52" s="7">
        <v>8.9166990000000002E-3</v>
      </c>
      <c r="H52" s="39"/>
    </row>
    <row r="53" spans="1:8" x14ac:dyDescent="0.2">
      <c r="A53" s="3">
        <v>47</v>
      </c>
      <c r="B53" s="4" t="s">
        <v>202</v>
      </c>
      <c r="C53" s="4" t="s">
        <v>203</v>
      </c>
      <c r="D53" s="4" t="s">
        <v>71</v>
      </c>
      <c r="E53" s="5">
        <v>51244</v>
      </c>
      <c r="F53" s="6">
        <v>113.659192</v>
      </c>
      <c r="G53" s="7">
        <v>8.5327739999999999E-3</v>
      </c>
      <c r="H53" s="39"/>
    </row>
    <row r="54" spans="1:8" ht="25.5" x14ac:dyDescent="0.2">
      <c r="A54" s="3">
        <v>48</v>
      </c>
      <c r="B54" s="4" t="s">
        <v>483</v>
      </c>
      <c r="C54" s="4" t="s">
        <v>484</v>
      </c>
      <c r="D54" s="4" t="s">
        <v>1138</v>
      </c>
      <c r="E54" s="5">
        <v>27833</v>
      </c>
      <c r="F54" s="6">
        <v>111.972159</v>
      </c>
      <c r="G54" s="7">
        <v>8.4061220000000002E-3</v>
      </c>
      <c r="H54" s="39"/>
    </row>
    <row r="55" spans="1:8" x14ac:dyDescent="0.2">
      <c r="A55" s="3">
        <v>49</v>
      </c>
      <c r="B55" s="4" t="s">
        <v>495</v>
      </c>
      <c r="C55" s="4" t="s">
        <v>496</v>
      </c>
      <c r="D55" s="4" t="s">
        <v>15</v>
      </c>
      <c r="E55" s="5">
        <v>108924</v>
      </c>
      <c r="F55" s="6">
        <v>109.958778</v>
      </c>
      <c r="G55" s="7">
        <v>8.2549709999999998E-3</v>
      </c>
      <c r="H55" s="39"/>
    </row>
    <row r="56" spans="1:8" ht="25.5" x14ac:dyDescent="0.2">
      <c r="A56" s="3">
        <v>50</v>
      </c>
      <c r="B56" s="4" t="s">
        <v>262</v>
      </c>
      <c r="C56" s="4" t="s">
        <v>263</v>
      </c>
      <c r="D56" s="4" t="s">
        <v>1141</v>
      </c>
      <c r="E56" s="5">
        <v>36994</v>
      </c>
      <c r="F56" s="6">
        <v>109.02131799999999</v>
      </c>
      <c r="G56" s="7">
        <v>8.1845930000000004E-3</v>
      </c>
      <c r="H56" s="39"/>
    </row>
    <row r="57" spans="1:8" x14ac:dyDescent="0.2">
      <c r="A57" s="3">
        <v>51</v>
      </c>
      <c r="B57" s="4" t="s">
        <v>190</v>
      </c>
      <c r="C57" s="4" t="s">
        <v>191</v>
      </c>
      <c r="D57" s="4" t="s">
        <v>1169</v>
      </c>
      <c r="E57" s="5">
        <v>119858</v>
      </c>
      <c r="F57" s="6">
        <v>107.153052</v>
      </c>
      <c r="G57" s="7">
        <v>8.0443359999999992E-3</v>
      </c>
      <c r="H57" s="39"/>
    </row>
    <row r="58" spans="1:8" x14ac:dyDescent="0.2">
      <c r="A58" s="3">
        <v>52</v>
      </c>
      <c r="B58" s="4" t="s">
        <v>254</v>
      </c>
      <c r="C58" s="4" t="s">
        <v>255</v>
      </c>
      <c r="D58" s="4" t="s">
        <v>15</v>
      </c>
      <c r="E58" s="5">
        <v>38906</v>
      </c>
      <c r="F58" s="6">
        <v>104.793311</v>
      </c>
      <c r="G58" s="7">
        <v>7.8671820000000003E-3</v>
      </c>
      <c r="H58" s="39"/>
    </row>
    <row r="59" spans="1:8" ht="25.5" x14ac:dyDescent="0.2">
      <c r="A59" s="3">
        <v>53</v>
      </c>
      <c r="B59" s="4" t="s">
        <v>321</v>
      </c>
      <c r="C59" s="4" t="s">
        <v>322</v>
      </c>
      <c r="D59" s="4" t="s">
        <v>71</v>
      </c>
      <c r="E59" s="5">
        <v>26486</v>
      </c>
      <c r="F59" s="6">
        <v>99.057640000000006</v>
      </c>
      <c r="G59" s="7">
        <v>7.4365860000000002E-3</v>
      </c>
      <c r="H59" s="39"/>
    </row>
    <row r="60" spans="1:8" x14ac:dyDescent="0.2">
      <c r="A60" s="3">
        <v>54</v>
      </c>
      <c r="B60" s="4" t="s">
        <v>270</v>
      </c>
      <c r="C60" s="4" t="s">
        <v>271</v>
      </c>
      <c r="D60" s="4" t="s">
        <v>1154</v>
      </c>
      <c r="E60" s="5">
        <v>16139</v>
      </c>
      <c r="F60" s="6">
        <v>95.107127000000006</v>
      </c>
      <c r="G60" s="7">
        <v>7.1400079999999998E-3</v>
      </c>
      <c r="H60" s="39"/>
    </row>
    <row r="61" spans="1:8" ht="25.5" x14ac:dyDescent="0.2">
      <c r="A61" s="3">
        <v>55</v>
      </c>
      <c r="B61" s="4" t="s">
        <v>268</v>
      </c>
      <c r="C61" s="4" t="s">
        <v>269</v>
      </c>
      <c r="D61" s="4" t="s">
        <v>1139</v>
      </c>
      <c r="E61" s="5">
        <v>12942</v>
      </c>
      <c r="F61" s="6">
        <v>90.975789000000006</v>
      </c>
      <c r="G61" s="7">
        <v>6.8298550000000001E-3</v>
      </c>
      <c r="H61" s="39"/>
    </row>
    <row r="62" spans="1:8" ht="25.5" x14ac:dyDescent="0.2">
      <c r="A62" s="3">
        <v>56</v>
      </c>
      <c r="B62" s="4" t="s">
        <v>497</v>
      </c>
      <c r="C62" s="4" t="s">
        <v>498</v>
      </c>
      <c r="D62" s="4" t="s">
        <v>1138</v>
      </c>
      <c r="E62" s="5">
        <v>2024</v>
      </c>
      <c r="F62" s="6">
        <v>88.006556000000003</v>
      </c>
      <c r="G62" s="7">
        <v>6.6069450000000004E-3</v>
      </c>
      <c r="H62" s="39"/>
    </row>
    <row r="63" spans="1:8" x14ac:dyDescent="0.2">
      <c r="A63" s="3">
        <v>57</v>
      </c>
      <c r="B63" s="4" t="s">
        <v>266</v>
      </c>
      <c r="C63" s="4" t="s">
        <v>267</v>
      </c>
      <c r="D63" s="4" t="s">
        <v>1155</v>
      </c>
      <c r="E63" s="5">
        <v>54852</v>
      </c>
      <c r="F63" s="6">
        <v>82.552260000000004</v>
      </c>
      <c r="G63" s="7">
        <v>6.1974730000000002E-3</v>
      </c>
      <c r="H63" s="39"/>
    </row>
    <row r="64" spans="1:8" x14ac:dyDescent="0.2">
      <c r="A64" s="3">
        <v>58</v>
      </c>
      <c r="B64" s="4" t="s">
        <v>499</v>
      </c>
      <c r="C64" s="4" t="s">
        <v>500</v>
      </c>
      <c r="D64" s="4" t="s">
        <v>1151</v>
      </c>
      <c r="E64" s="5">
        <v>103230</v>
      </c>
      <c r="F64" s="6">
        <v>78.867720000000006</v>
      </c>
      <c r="G64" s="7">
        <v>5.9208619999999998E-3</v>
      </c>
      <c r="H64" s="39"/>
    </row>
    <row r="65" spans="1:8" x14ac:dyDescent="0.2">
      <c r="A65" s="3">
        <v>59</v>
      </c>
      <c r="B65" s="4" t="s">
        <v>210</v>
      </c>
      <c r="C65" s="4" t="s">
        <v>211</v>
      </c>
      <c r="D65" s="4" t="s">
        <v>91</v>
      </c>
      <c r="E65" s="5">
        <v>9697</v>
      </c>
      <c r="F65" s="6">
        <v>74.807506500000002</v>
      </c>
      <c r="G65" s="7">
        <v>5.6160480000000002E-3</v>
      </c>
      <c r="H65" s="39"/>
    </row>
    <row r="66" spans="1:8" ht="25.5" x14ac:dyDescent="0.2">
      <c r="A66" s="3">
        <v>60</v>
      </c>
      <c r="B66" s="4" t="s">
        <v>289</v>
      </c>
      <c r="C66" s="4" t="s">
        <v>290</v>
      </c>
      <c r="D66" s="4" t="s">
        <v>1153</v>
      </c>
      <c r="E66" s="5">
        <v>10835</v>
      </c>
      <c r="F66" s="6">
        <v>72.069002499999996</v>
      </c>
      <c r="G66" s="7">
        <v>5.4104599999999997E-3</v>
      </c>
      <c r="H66" s="39"/>
    </row>
    <row r="67" spans="1:8" x14ac:dyDescent="0.2">
      <c r="A67" s="3">
        <v>61</v>
      </c>
      <c r="B67" s="4" t="s">
        <v>208</v>
      </c>
      <c r="C67" s="4" t="s">
        <v>209</v>
      </c>
      <c r="D67" s="4" t="s">
        <v>71</v>
      </c>
      <c r="E67" s="5">
        <v>11620</v>
      </c>
      <c r="F67" s="6">
        <v>71.340990000000005</v>
      </c>
      <c r="G67" s="7">
        <v>5.3558049999999999E-3</v>
      </c>
      <c r="H67" s="39"/>
    </row>
    <row r="68" spans="1:8" x14ac:dyDescent="0.2">
      <c r="A68" s="3">
        <v>62</v>
      </c>
      <c r="B68" s="4" t="s">
        <v>218</v>
      </c>
      <c r="C68" s="4" t="s">
        <v>219</v>
      </c>
      <c r="D68" s="4" t="s">
        <v>1026</v>
      </c>
      <c r="E68" s="5">
        <v>65833</v>
      </c>
      <c r="F68" s="6">
        <v>66.326747499999996</v>
      </c>
      <c r="G68" s="7">
        <v>4.979369E-3</v>
      </c>
      <c r="H68" s="39"/>
    </row>
    <row r="69" spans="1:8" x14ac:dyDescent="0.2">
      <c r="A69" s="3">
        <v>63</v>
      </c>
      <c r="B69" s="4" t="s">
        <v>467</v>
      </c>
      <c r="C69" s="4" t="s">
        <v>468</v>
      </c>
      <c r="D69" s="4" t="s">
        <v>71</v>
      </c>
      <c r="E69" s="5">
        <v>6000</v>
      </c>
      <c r="F69" s="6">
        <v>63.122999999999998</v>
      </c>
      <c r="G69" s="7">
        <v>4.7388539999999998E-3</v>
      </c>
      <c r="H69" s="39"/>
    </row>
    <row r="70" spans="1:8" x14ac:dyDescent="0.2">
      <c r="A70" s="3">
        <v>64</v>
      </c>
      <c r="B70" s="4" t="s">
        <v>224</v>
      </c>
      <c r="C70" s="4" t="s">
        <v>225</v>
      </c>
      <c r="D70" s="4" t="s">
        <v>1154</v>
      </c>
      <c r="E70" s="5">
        <v>12874</v>
      </c>
      <c r="F70" s="6">
        <v>62.805809000000004</v>
      </c>
      <c r="G70" s="7">
        <v>4.7150409999999997E-3</v>
      </c>
      <c r="H70" s="39"/>
    </row>
    <row r="71" spans="1:8" ht="25.5" x14ac:dyDescent="0.2">
      <c r="A71" s="3">
        <v>65</v>
      </c>
      <c r="B71" s="4" t="s">
        <v>216</v>
      </c>
      <c r="C71" s="4" t="s">
        <v>217</v>
      </c>
      <c r="D71" s="4" t="s">
        <v>1138</v>
      </c>
      <c r="E71" s="5">
        <v>1438</v>
      </c>
      <c r="F71" s="6">
        <v>57.554512000000003</v>
      </c>
      <c r="G71" s="7">
        <v>4.3208090000000001E-3</v>
      </c>
      <c r="H71" s="39"/>
    </row>
    <row r="72" spans="1:8" x14ac:dyDescent="0.2">
      <c r="A72" s="3">
        <v>66</v>
      </c>
      <c r="B72" s="4" t="s">
        <v>104</v>
      </c>
      <c r="C72" s="4" t="s">
        <v>105</v>
      </c>
      <c r="D72" s="4" t="s">
        <v>1157</v>
      </c>
      <c r="E72" s="5">
        <v>72875</v>
      </c>
      <c r="F72" s="6">
        <v>56.660312500000003</v>
      </c>
      <c r="G72" s="7">
        <v>4.2536780000000003E-3</v>
      </c>
      <c r="H72" s="39"/>
    </row>
    <row r="73" spans="1:8" x14ac:dyDescent="0.2">
      <c r="A73" s="3">
        <v>67</v>
      </c>
      <c r="B73" s="4" t="s">
        <v>281</v>
      </c>
      <c r="C73" s="4" t="s">
        <v>282</v>
      </c>
      <c r="D73" s="4" t="s">
        <v>29</v>
      </c>
      <c r="E73" s="5">
        <v>2395</v>
      </c>
      <c r="F73" s="6">
        <v>51.279344999999999</v>
      </c>
      <c r="G73" s="7">
        <v>3.849711E-3</v>
      </c>
      <c r="H73" s="39"/>
    </row>
    <row r="74" spans="1:8" ht="25.5" x14ac:dyDescent="0.2">
      <c r="A74" s="3">
        <v>68</v>
      </c>
      <c r="B74" s="4" t="s">
        <v>276</v>
      </c>
      <c r="C74" s="4" t="s">
        <v>277</v>
      </c>
      <c r="D74" s="4" t="s">
        <v>1138</v>
      </c>
      <c r="E74" s="5">
        <v>23079</v>
      </c>
      <c r="F74" s="6">
        <v>48.477439500000003</v>
      </c>
      <c r="G74" s="7">
        <v>3.6393630000000001E-3</v>
      </c>
      <c r="H74" s="39"/>
    </row>
    <row r="75" spans="1:8" x14ac:dyDescent="0.2">
      <c r="A75" s="3">
        <v>69</v>
      </c>
      <c r="B75" s="4" t="s">
        <v>212</v>
      </c>
      <c r="C75" s="4" t="s">
        <v>213</v>
      </c>
      <c r="D75" s="4" t="s">
        <v>308</v>
      </c>
      <c r="E75" s="5">
        <v>7010</v>
      </c>
      <c r="F75" s="6">
        <v>40.629959999999997</v>
      </c>
      <c r="G75" s="7">
        <v>3.0502260000000001E-3</v>
      </c>
      <c r="H75" s="39"/>
    </row>
    <row r="76" spans="1:8" x14ac:dyDescent="0.2">
      <c r="A76" s="3">
        <v>70</v>
      </c>
      <c r="B76" s="4" t="s">
        <v>200</v>
      </c>
      <c r="C76" s="4" t="s">
        <v>201</v>
      </c>
      <c r="D76" s="4" t="s">
        <v>60</v>
      </c>
      <c r="E76" s="5">
        <v>47153</v>
      </c>
      <c r="F76" s="6">
        <v>40.457273999999998</v>
      </c>
      <c r="G76" s="7">
        <v>3.0372620000000002E-3</v>
      </c>
      <c r="H76" s="39"/>
    </row>
    <row r="77" spans="1:8" x14ac:dyDescent="0.2">
      <c r="A77" s="3">
        <v>71</v>
      </c>
      <c r="B77" s="4" t="s">
        <v>233</v>
      </c>
      <c r="C77" s="4" t="s">
        <v>234</v>
      </c>
      <c r="D77" s="4" t="s">
        <v>71</v>
      </c>
      <c r="E77" s="5">
        <v>4611</v>
      </c>
      <c r="F77" s="6">
        <v>33.028593000000001</v>
      </c>
      <c r="G77" s="7">
        <v>2.4795659999999999E-3</v>
      </c>
      <c r="H77" s="39"/>
    </row>
    <row r="78" spans="1:8" ht="25.5" x14ac:dyDescent="0.2">
      <c r="A78" s="3">
        <v>72</v>
      </c>
      <c r="B78" s="4" t="s">
        <v>159</v>
      </c>
      <c r="C78" s="4" t="s">
        <v>160</v>
      </c>
      <c r="D78" s="4" t="s">
        <v>1138</v>
      </c>
      <c r="E78" s="5">
        <v>2741</v>
      </c>
      <c r="F78" s="6">
        <v>10.3349405</v>
      </c>
      <c r="G78" s="7">
        <v>7.7587800000000003E-4</v>
      </c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9">
        <v>12514.499105499999</v>
      </c>
      <c r="G79" s="10">
        <v>0.939505064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113</v>
      </c>
      <c r="D81" s="1"/>
      <c r="E81" s="1"/>
      <c r="F81" s="1"/>
      <c r="G81" s="1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114</v>
      </c>
      <c r="D84" s="1"/>
      <c r="E84" s="1"/>
      <c r="F84" s="1"/>
      <c r="G84" s="1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115</v>
      </c>
      <c r="D87" s="1"/>
      <c r="E87" s="1"/>
      <c r="F87" s="1"/>
      <c r="G87" s="1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116</v>
      </c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117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118</v>
      </c>
      <c r="D96" s="1"/>
      <c r="E96" s="1"/>
      <c r="F96" s="9">
        <v>12514.499105499999</v>
      </c>
      <c r="G96" s="10">
        <v>0.939505064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119</v>
      </c>
      <c r="D98" s="1"/>
      <c r="E98" s="1"/>
      <c r="F98" s="12"/>
      <c r="G98" s="12"/>
      <c r="H98" s="39"/>
    </row>
    <row r="99" spans="1:8" ht="25.5" x14ac:dyDescent="0.2">
      <c r="A99" s="1"/>
      <c r="B99" s="1"/>
      <c r="C99" s="2" t="s">
        <v>10</v>
      </c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120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121</v>
      </c>
      <c r="D105" s="1"/>
      <c r="E105" s="1"/>
      <c r="F105" s="1"/>
      <c r="G105" s="1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122</v>
      </c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123</v>
      </c>
      <c r="D111" s="1"/>
      <c r="E111" s="1"/>
      <c r="F111" s="9">
        <v>0</v>
      </c>
      <c r="G111" s="10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124</v>
      </c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125</v>
      </c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126</v>
      </c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127</v>
      </c>
      <c r="D120" s="1"/>
      <c r="E120" s="1"/>
      <c r="F120" s="12"/>
      <c r="G120" s="12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128</v>
      </c>
      <c r="D123" s="1"/>
      <c r="E123" s="1"/>
      <c r="F123" s="12"/>
      <c r="G123" s="12"/>
      <c r="H123" s="39"/>
    </row>
    <row r="124" spans="1:8" x14ac:dyDescent="0.2">
      <c r="A124" s="3">
        <v>1</v>
      </c>
      <c r="B124" s="4"/>
      <c r="C124" s="4" t="s">
        <v>129</v>
      </c>
      <c r="D124" s="4"/>
      <c r="E124" s="8"/>
      <c r="F124" s="6">
        <v>615.44587479999996</v>
      </c>
      <c r="G124" s="7">
        <v>4.6203568E-2</v>
      </c>
      <c r="H124" s="39">
        <v>3.6151121728634927</v>
      </c>
    </row>
    <row r="125" spans="1:8" x14ac:dyDescent="0.2">
      <c r="A125" s="3">
        <v>2</v>
      </c>
      <c r="B125" s="4"/>
      <c r="C125" s="4" t="s">
        <v>130</v>
      </c>
      <c r="D125" s="4"/>
      <c r="E125" s="8"/>
      <c r="F125" s="6">
        <v>217.6075668</v>
      </c>
      <c r="G125" s="7">
        <v>1.6336524000000002E-2</v>
      </c>
      <c r="H125" s="39">
        <v>3.7142625760646584</v>
      </c>
    </row>
    <row r="126" spans="1:8" x14ac:dyDescent="0.2">
      <c r="A126" s="1"/>
      <c r="B126" s="1"/>
      <c r="C126" s="2" t="s">
        <v>111</v>
      </c>
      <c r="D126" s="1"/>
      <c r="E126" s="1" t="s">
        <v>112</v>
      </c>
      <c r="F126" s="9">
        <v>833.05344160000004</v>
      </c>
      <c r="G126" s="10">
        <v>6.2540092000000005E-2</v>
      </c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x14ac:dyDescent="0.2">
      <c r="A128" s="1"/>
      <c r="B128" s="1"/>
      <c r="C128" s="2" t="s">
        <v>131</v>
      </c>
      <c r="D128" s="1"/>
      <c r="E128" s="1"/>
      <c r="F128" s="9">
        <v>833.05344160000004</v>
      </c>
      <c r="G128" s="10">
        <v>6.2540092000000005E-2</v>
      </c>
      <c r="H128" s="39"/>
    </row>
    <row r="129" spans="1:8" x14ac:dyDescent="0.2">
      <c r="A129" s="1"/>
      <c r="B129" s="1"/>
      <c r="C129" s="12"/>
      <c r="D129" s="1"/>
      <c r="E129" s="1"/>
      <c r="F129" s="1"/>
      <c r="G129" s="1"/>
      <c r="H129" s="39"/>
    </row>
    <row r="130" spans="1:8" x14ac:dyDescent="0.2">
      <c r="A130" s="1"/>
      <c r="B130" s="1"/>
      <c r="C130" s="2" t="s">
        <v>132</v>
      </c>
      <c r="D130" s="1"/>
      <c r="E130" s="1"/>
      <c r="F130" s="1"/>
      <c r="G130" s="1"/>
      <c r="H130" s="39"/>
    </row>
    <row r="131" spans="1:8" x14ac:dyDescent="0.2">
      <c r="A131" s="1"/>
      <c r="B131" s="1"/>
      <c r="C131" s="2" t="s">
        <v>133</v>
      </c>
      <c r="D131" s="1"/>
      <c r="E131" s="1"/>
      <c r="F131" s="1"/>
      <c r="G131" s="1"/>
      <c r="H131" s="39"/>
    </row>
    <row r="132" spans="1:8" x14ac:dyDescent="0.2">
      <c r="A132" s="1"/>
      <c r="B132" s="1"/>
      <c r="C132" s="2" t="s">
        <v>111</v>
      </c>
      <c r="D132" s="1"/>
      <c r="E132" s="1" t="s">
        <v>112</v>
      </c>
      <c r="F132" s="13">
        <v>0</v>
      </c>
      <c r="G132" s="14">
        <v>0</v>
      </c>
      <c r="H132" s="39"/>
    </row>
    <row r="133" spans="1:8" x14ac:dyDescent="0.2">
      <c r="A133" s="1"/>
      <c r="B133" s="1"/>
      <c r="C133" s="11"/>
      <c r="D133" s="1"/>
      <c r="E133" s="1"/>
      <c r="F133" s="12"/>
      <c r="G133" s="12"/>
      <c r="H133" s="39"/>
    </row>
    <row r="134" spans="1:8" x14ac:dyDescent="0.2">
      <c r="A134" s="1"/>
      <c r="B134" s="1"/>
      <c r="C134" s="2" t="s">
        <v>134</v>
      </c>
      <c r="D134" s="1"/>
      <c r="E134" s="1"/>
      <c r="F134" s="1"/>
      <c r="G134" s="1"/>
      <c r="H134" s="39"/>
    </row>
    <row r="135" spans="1:8" x14ac:dyDescent="0.2">
      <c r="A135" s="1"/>
      <c r="B135" s="1"/>
      <c r="C135" s="2" t="s">
        <v>135</v>
      </c>
      <c r="D135" s="1"/>
      <c r="E135" s="1"/>
      <c r="F135" s="1"/>
      <c r="G135" s="1"/>
      <c r="H135" s="39"/>
    </row>
    <row r="136" spans="1:8" x14ac:dyDescent="0.2">
      <c r="A136" s="1"/>
      <c r="B136" s="1"/>
      <c r="C136" s="2" t="s">
        <v>111</v>
      </c>
      <c r="D136" s="1"/>
      <c r="E136" s="1" t="s">
        <v>112</v>
      </c>
      <c r="F136" s="13">
        <v>0</v>
      </c>
      <c r="G136" s="14">
        <v>0</v>
      </c>
      <c r="H136" s="39"/>
    </row>
    <row r="137" spans="1:8" x14ac:dyDescent="0.2">
      <c r="A137" s="1"/>
      <c r="B137" s="1"/>
      <c r="C137" s="11"/>
      <c r="D137" s="1"/>
      <c r="E137" s="1"/>
      <c r="F137" s="12"/>
      <c r="G137" s="12"/>
      <c r="H137" s="39"/>
    </row>
    <row r="138" spans="1:8" x14ac:dyDescent="0.2">
      <c r="A138" s="1"/>
      <c r="B138" s="1"/>
      <c r="C138" s="11"/>
      <c r="D138" s="1"/>
      <c r="E138" s="1"/>
      <c r="F138" s="12"/>
      <c r="G138" s="12"/>
      <c r="H138" s="39"/>
    </row>
    <row r="139" spans="1:8" ht="25.5" x14ac:dyDescent="0.2">
      <c r="A139" s="1"/>
      <c r="B139" s="1"/>
      <c r="C139" s="2" t="s">
        <v>136</v>
      </c>
      <c r="D139" s="1"/>
      <c r="E139" s="1"/>
      <c r="F139" s="12"/>
      <c r="G139" s="12"/>
      <c r="H139" s="39"/>
    </row>
    <row r="140" spans="1:8" x14ac:dyDescent="0.2">
      <c r="A140" s="1"/>
      <c r="B140" s="1"/>
      <c r="C140" s="2" t="s">
        <v>111</v>
      </c>
      <c r="D140" s="1"/>
      <c r="E140" s="1" t="s">
        <v>112</v>
      </c>
      <c r="F140" s="13">
        <v>0</v>
      </c>
      <c r="G140" s="14">
        <v>0</v>
      </c>
      <c r="H140" s="39"/>
    </row>
    <row r="141" spans="1:8" x14ac:dyDescent="0.2">
      <c r="A141" s="1"/>
      <c r="B141" s="1"/>
      <c r="C141" s="11"/>
      <c r="D141" s="1"/>
      <c r="E141" s="1"/>
      <c r="F141" s="12"/>
      <c r="G141" s="12"/>
      <c r="H141" s="39"/>
    </row>
    <row r="142" spans="1:8" x14ac:dyDescent="0.2">
      <c r="A142" s="1"/>
      <c r="B142" s="4"/>
      <c r="C142" s="4"/>
      <c r="D142" s="2"/>
      <c r="E142" s="1"/>
      <c r="F142" s="4"/>
      <c r="G142" s="8"/>
      <c r="H142" s="39"/>
    </row>
    <row r="143" spans="1:8" x14ac:dyDescent="0.2">
      <c r="A143" s="8"/>
      <c r="B143" s="4"/>
      <c r="C143" s="4" t="s">
        <v>137</v>
      </c>
      <c r="D143" s="4"/>
      <c r="E143" s="8"/>
      <c r="F143" s="6">
        <v>-27.242106710000002</v>
      </c>
      <c r="G143" s="7">
        <v>-2.0451559999999998E-3</v>
      </c>
      <c r="H143" s="39"/>
    </row>
    <row r="144" spans="1:8" x14ac:dyDescent="0.2">
      <c r="A144" s="11"/>
      <c r="B144" s="11"/>
      <c r="C144" s="2" t="s">
        <v>138</v>
      </c>
      <c r="D144" s="15"/>
      <c r="E144" s="15"/>
      <c r="F144" s="9">
        <v>13320.31044039</v>
      </c>
      <c r="G144" s="10">
        <v>1</v>
      </c>
      <c r="H144" s="39"/>
    </row>
    <row r="145" spans="1:17" ht="14.1" customHeight="1" x14ac:dyDescent="0.2">
      <c r="A145" s="16"/>
      <c r="B145" s="16"/>
      <c r="C145" s="16"/>
      <c r="D145" s="17"/>
      <c r="E145" s="17"/>
      <c r="F145" s="17"/>
      <c r="G145" s="17"/>
    </row>
    <row r="146" spans="1:17" ht="14.1" customHeight="1" x14ac:dyDescent="0.2">
      <c r="A146" s="18"/>
      <c r="B146" s="18"/>
      <c r="C146" s="18"/>
      <c r="D146" s="20"/>
      <c r="E146" s="20"/>
      <c r="F146" s="20"/>
      <c r="G146" s="20"/>
    </row>
    <row r="147" spans="1:17" ht="14.1" customHeight="1" x14ac:dyDescent="0.2">
      <c r="A147" s="18"/>
      <c r="B147" s="194" t="s">
        <v>140</v>
      </c>
      <c r="C147" s="195"/>
      <c r="D147" s="12" t="s">
        <v>112</v>
      </c>
      <c r="E147" s="21"/>
      <c r="F147" s="20"/>
      <c r="G147" s="20"/>
    </row>
    <row r="148" spans="1:17" ht="29.1" customHeight="1" x14ac:dyDescent="0.2">
      <c r="A148" s="18"/>
      <c r="B148" s="189" t="s">
        <v>141</v>
      </c>
      <c r="C148" s="190"/>
      <c r="D148" s="2" t="s">
        <v>142</v>
      </c>
      <c r="E148" s="21"/>
      <c r="F148" s="20"/>
      <c r="G148" s="20"/>
    </row>
    <row r="149" spans="1:17" ht="17.100000000000001" customHeight="1" x14ac:dyDescent="0.2">
      <c r="A149" s="18"/>
      <c r="B149" s="189" t="s">
        <v>143</v>
      </c>
      <c r="C149" s="190"/>
      <c r="D149" s="2" t="s">
        <v>142</v>
      </c>
      <c r="E149" s="21"/>
      <c r="F149" s="20"/>
      <c r="G149" s="20"/>
    </row>
    <row r="150" spans="1:17" ht="17.100000000000001" customHeight="1" x14ac:dyDescent="0.2">
      <c r="A150" s="18"/>
      <c r="B150" s="189" t="s">
        <v>144</v>
      </c>
      <c r="C150" s="190"/>
      <c r="D150" s="12" t="s">
        <v>112</v>
      </c>
      <c r="E150" s="21"/>
      <c r="F150" s="20"/>
      <c r="G150" s="20"/>
    </row>
    <row r="151" spans="1:17" ht="24" customHeight="1" x14ac:dyDescent="0.2">
      <c r="A151" s="22"/>
      <c r="B151" s="23" t="s">
        <v>112</v>
      </c>
      <c r="C151" s="23" t="s">
        <v>145</v>
      </c>
      <c r="D151" s="23" t="s">
        <v>146</v>
      </c>
      <c r="E151" s="22"/>
      <c r="F151" s="22"/>
      <c r="G151" s="22"/>
    </row>
    <row r="152" spans="1:17" ht="18" customHeight="1" x14ac:dyDescent="0.2">
      <c r="A152" s="22"/>
      <c r="B152" s="23" t="s">
        <v>147</v>
      </c>
      <c r="C152" s="23" t="s">
        <v>148</v>
      </c>
      <c r="D152" s="23" t="s">
        <v>149</v>
      </c>
      <c r="E152" s="22"/>
      <c r="F152" s="22"/>
      <c r="G152" s="22"/>
    </row>
    <row r="153" spans="1:17" ht="17.100000000000001" customHeight="1" x14ac:dyDescent="0.2">
      <c r="A153" s="22"/>
      <c r="B153" s="4" t="s">
        <v>150</v>
      </c>
      <c r="C153" s="24">
        <v>19.508500000000002</v>
      </c>
      <c r="D153" s="24">
        <v>20.986599999999999</v>
      </c>
      <c r="E153" s="22"/>
      <c r="F153" s="19"/>
      <c r="G153" s="25"/>
    </row>
    <row r="154" spans="1:17" ht="17.100000000000001" customHeight="1" x14ac:dyDescent="0.2">
      <c r="A154" s="22"/>
      <c r="B154" s="4" t="s">
        <v>1092</v>
      </c>
      <c r="C154" s="24">
        <v>18.310600000000001</v>
      </c>
      <c r="D154" s="24">
        <v>19.698</v>
      </c>
      <c r="E154" s="22"/>
      <c r="F154" s="19"/>
      <c r="G154" s="25"/>
    </row>
    <row r="155" spans="1:17" ht="17.100000000000001" customHeight="1" x14ac:dyDescent="0.2">
      <c r="A155" s="22"/>
      <c r="B155" s="4" t="s">
        <v>151</v>
      </c>
      <c r="C155" s="24">
        <v>19.1982</v>
      </c>
      <c r="D155" s="24">
        <v>20.645600000000002</v>
      </c>
      <c r="E155" s="22"/>
      <c r="F155" s="19"/>
      <c r="G155" s="25"/>
    </row>
    <row r="156" spans="1:17" ht="17.100000000000001" customHeight="1" x14ac:dyDescent="0.2">
      <c r="A156" s="22"/>
      <c r="B156" s="4" t="s">
        <v>1093</v>
      </c>
      <c r="C156" s="24">
        <v>18.004300000000001</v>
      </c>
      <c r="D156" s="24">
        <v>19.361699999999999</v>
      </c>
      <c r="E156" s="22"/>
      <c r="F156" s="19"/>
      <c r="G156" s="25"/>
      <c r="J156" s="101"/>
      <c r="K156" s="101"/>
      <c r="L156" s="101"/>
      <c r="M156" s="101"/>
      <c r="N156" s="101"/>
      <c r="O156" s="101"/>
    </row>
    <row r="157" spans="1:17" ht="14.1" customHeight="1" x14ac:dyDescent="0.2">
      <c r="A157" s="22"/>
      <c r="B157" s="22"/>
      <c r="C157" s="22"/>
      <c r="D157" s="22"/>
      <c r="E157" s="22"/>
      <c r="F157" s="22"/>
      <c r="G157" s="22"/>
    </row>
    <row r="158" spans="1:17" ht="17.100000000000001" customHeight="1" x14ac:dyDescent="0.2">
      <c r="A158" s="22"/>
      <c r="B158" s="189" t="s">
        <v>1094</v>
      </c>
      <c r="C158" s="190"/>
      <c r="D158" s="2" t="s">
        <v>142</v>
      </c>
      <c r="E158" s="22"/>
      <c r="F158" s="22"/>
      <c r="G158" s="22"/>
    </row>
    <row r="159" spans="1:17" ht="18" customHeight="1" x14ac:dyDescent="0.2">
      <c r="A159" s="22"/>
      <c r="B159" s="26"/>
      <c r="C159" s="26"/>
      <c r="D159" s="27"/>
      <c r="E159" s="22"/>
      <c r="F159" s="22"/>
      <c r="G159" s="22"/>
    </row>
    <row r="160" spans="1:17" s="101" customFormat="1" x14ac:dyDescent="0.2">
      <c r="B160" s="193" t="s">
        <v>1102</v>
      </c>
      <c r="C160" s="193"/>
      <c r="D160" s="193"/>
      <c r="E160" s="193"/>
      <c r="F160" s="193"/>
      <c r="I160"/>
      <c r="J160"/>
      <c r="K160"/>
      <c r="L160"/>
      <c r="M160"/>
      <c r="N160"/>
      <c r="O160"/>
      <c r="P160" s="41"/>
      <c r="Q160" s="41"/>
    </row>
    <row r="161" spans="1:7" ht="14.1" customHeight="1" x14ac:dyDescent="0.2">
      <c r="A161" s="22"/>
      <c r="B161" s="19"/>
      <c r="C161" s="19"/>
      <c r="D161" s="22"/>
      <c r="E161" s="22"/>
      <c r="F161" s="22"/>
      <c r="G161" s="22"/>
    </row>
    <row r="162" spans="1:7" ht="29.1" customHeight="1" x14ac:dyDescent="0.2">
      <c r="A162" s="22"/>
      <c r="B162" s="189" t="s">
        <v>152</v>
      </c>
      <c r="C162" s="190"/>
      <c r="D162" s="2" t="s">
        <v>142</v>
      </c>
      <c r="E162" s="22"/>
      <c r="F162" s="22"/>
      <c r="G162" s="22"/>
    </row>
    <row r="163" spans="1:7" ht="29.1" customHeight="1" x14ac:dyDescent="0.2">
      <c r="A163" s="22"/>
      <c r="B163" s="189" t="s">
        <v>153</v>
      </c>
      <c r="C163" s="190"/>
      <c r="D163" s="2" t="s">
        <v>142</v>
      </c>
      <c r="E163" s="22"/>
      <c r="F163" s="22"/>
      <c r="G163" s="22"/>
    </row>
    <row r="164" spans="1:7" ht="17.100000000000001" customHeight="1" x14ac:dyDescent="0.2">
      <c r="A164" s="22"/>
      <c r="B164" s="189" t="s">
        <v>154</v>
      </c>
      <c r="C164" s="190"/>
      <c r="D164" s="28">
        <v>0.46447180849593228</v>
      </c>
      <c r="E164" s="22"/>
      <c r="F164" s="19"/>
      <c r="G164" s="25"/>
    </row>
    <row r="165" spans="1:7" ht="17.100000000000001" customHeight="1" x14ac:dyDescent="0.2">
      <c r="A165" s="22"/>
      <c r="B165" s="189" t="s">
        <v>155</v>
      </c>
      <c r="C165" s="190"/>
      <c r="D165" s="2" t="s">
        <v>142</v>
      </c>
      <c r="E165" s="22"/>
      <c r="F165" s="22"/>
      <c r="G165" s="22"/>
    </row>
  </sheetData>
  <mergeCells count="14">
    <mergeCell ref="B165:C165"/>
    <mergeCell ref="B148:C148"/>
    <mergeCell ref="B149:C149"/>
    <mergeCell ref="B150:C150"/>
    <mergeCell ref="B158:C158"/>
    <mergeCell ref="B162:C162"/>
    <mergeCell ref="B163:C163"/>
    <mergeCell ref="B164:C164"/>
    <mergeCell ref="A1:H1"/>
    <mergeCell ref="A2:H2"/>
    <mergeCell ref="A3:H3"/>
    <mergeCell ref="B160:F160"/>
    <mergeCell ref="J2:N2"/>
    <mergeCell ref="B147:C14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501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</v>
      </c>
      <c r="C7" s="4" t="s">
        <v>39</v>
      </c>
      <c r="D7" s="4" t="s">
        <v>29</v>
      </c>
      <c r="E7" s="5">
        <v>10313</v>
      </c>
      <c r="F7" s="6">
        <v>136.07487850000001</v>
      </c>
      <c r="G7" s="7">
        <v>3.7186116999999998E-2</v>
      </c>
      <c r="H7" s="39"/>
    </row>
    <row r="8" spans="1:14" x14ac:dyDescent="0.2">
      <c r="A8" s="3">
        <v>2</v>
      </c>
      <c r="B8" s="4" t="s">
        <v>231</v>
      </c>
      <c r="C8" s="4" t="s">
        <v>232</v>
      </c>
      <c r="D8" s="4" t="s">
        <v>29</v>
      </c>
      <c r="E8" s="5">
        <v>10697</v>
      </c>
      <c r="F8" s="6">
        <v>134.88917000000001</v>
      </c>
      <c r="G8" s="7">
        <v>3.686209E-2</v>
      </c>
      <c r="H8" s="39"/>
    </row>
    <row r="9" spans="1:14" x14ac:dyDescent="0.2">
      <c r="A9" s="3">
        <v>3</v>
      </c>
      <c r="B9" s="4" t="s">
        <v>233</v>
      </c>
      <c r="C9" s="4" t="s">
        <v>234</v>
      </c>
      <c r="D9" s="4" t="s">
        <v>71</v>
      </c>
      <c r="E9" s="5">
        <v>17758</v>
      </c>
      <c r="F9" s="6">
        <v>127.200554</v>
      </c>
      <c r="G9" s="7">
        <v>3.4760969000000003E-2</v>
      </c>
      <c r="H9" s="39"/>
    </row>
    <row r="10" spans="1:14" x14ac:dyDescent="0.2">
      <c r="A10" s="3">
        <v>4</v>
      </c>
      <c r="B10" s="4" t="s">
        <v>235</v>
      </c>
      <c r="C10" s="4" t="s">
        <v>236</v>
      </c>
      <c r="D10" s="4" t="s">
        <v>1160</v>
      </c>
      <c r="E10" s="5">
        <v>62305</v>
      </c>
      <c r="F10" s="6">
        <v>118.0368225</v>
      </c>
      <c r="G10" s="7">
        <v>3.2256733000000003E-2</v>
      </c>
      <c r="H10" s="39"/>
    </row>
    <row r="11" spans="1:14" x14ac:dyDescent="0.2">
      <c r="A11" s="3">
        <v>5</v>
      </c>
      <c r="B11" s="4" t="s">
        <v>69</v>
      </c>
      <c r="C11" s="4" t="s">
        <v>70</v>
      </c>
      <c r="D11" s="4" t="s">
        <v>71</v>
      </c>
      <c r="E11" s="5">
        <v>19114</v>
      </c>
      <c r="F11" s="6">
        <v>111.902913</v>
      </c>
      <c r="G11" s="7">
        <v>3.0580478000000001E-2</v>
      </c>
      <c r="H11" s="39"/>
    </row>
    <row r="12" spans="1:14" x14ac:dyDescent="0.2">
      <c r="A12" s="3">
        <v>6</v>
      </c>
      <c r="B12" s="4" t="s">
        <v>245</v>
      </c>
      <c r="C12" s="4" t="s">
        <v>246</v>
      </c>
      <c r="D12" s="4" t="s">
        <v>29</v>
      </c>
      <c r="E12" s="5">
        <v>12494</v>
      </c>
      <c r="F12" s="6">
        <v>105.66800499999999</v>
      </c>
      <c r="G12" s="7">
        <v>2.8876622000000001E-2</v>
      </c>
      <c r="H12" s="39"/>
    </row>
    <row r="13" spans="1:14" ht="25.5" x14ac:dyDescent="0.2">
      <c r="A13" s="3">
        <v>7</v>
      </c>
      <c r="B13" s="4" t="s">
        <v>237</v>
      </c>
      <c r="C13" s="4" t="s">
        <v>238</v>
      </c>
      <c r="D13" s="4" t="s">
        <v>1153</v>
      </c>
      <c r="E13" s="5">
        <v>2544</v>
      </c>
      <c r="F13" s="6">
        <v>103.851168</v>
      </c>
      <c r="G13" s="7">
        <v>2.8380122000000001E-2</v>
      </c>
      <c r="H13" s="39"/>
    </row>
    <row r="14" spans="1:14" x14ac:dyDescent="0.2">
      <c r="A14" s="3">
        <v>8</v>
      </c>
      <c r="B14" s="4" t="s">
        <v>241</v>
      </c>
      <c r="C14" s="4" t="s">
        <v>242</v>
      </c>
      <c r="D14" s="4" t="s">
        <v>1143</v>
      </c>
      <c r="E14" s="5">
        <v>2123</v>
      </c>
      <c r="F14" s="6">
        <v>101.16731900000001</v>
      </c>
      <c r="G14" s="7">
        <v>2.7646687999999999E-2</v>
      </c>
      <c r="H14" s="39"/>
    </row>
    <row r="15" spans="1:14" x14ac:dyDescent="0.2">
      <c r="A15" s="3">
        <v>9</v>
      </c>
      <c r="B15" s="4" t="s">
        <v>164</v>
      </c>
      <c r="C15" s="4" t="s">
        <v>165</v>
      </c>
      <c r="D15" s="4" t="s">
        <v>82</v>
      </c>
      <c r="E15" s="5">
        <v>91263</v>
      </c>
      <c r="F15" s="6">
        <v>97.195094999999995</v>
      </c>
      <c r="G15" s="7">
        <v>2.6561171000000001E-2</v>
      </c>
      <c r="H15" s="39"/>
    </row>
    <row r="16" spans="1:14" ht="15" x14ac:dyDescent="0.2">
      <c r="A16" s="3">
        <v>10</v>
      </c>
      <c r="B16" s="4" t="s">
        <v>459</v>
      </c>
      <c r="C16" s="4" t="s">
        <v>460</v>
      </c>
      <c r="D16" s="4" t="s">
        <v>71</v>
      </c>
      <c r="E16" s="5">
        <v>30132</v>
      </c>
      <c r="F16" s="6">
        <v>96.799049999999994</v>
      </c>
      <c r="G16" s="7">
        <v>2.6452941000000001E-2</v>
      </c>
      <c r="H16" s="39"/>
      <c r="J16" s="176" t="s">
        <v>1178</v>
      </c>
    </row>
    <row r="17" spans="1:8" x14ac:dyDescent="0.2">
      <c r="A17" s="3">
        <v>11</v>
      </c>
      <c r="B17" s="4" t="s">
        <v>220</v>
      </c>
      <c r="C17" s="4" t="s">
        <v>221</v>
      </c>
      <c r="D17" s="4" t="s">
        <v>1149</v>
      </c>
      <c r="E17" s="5">
        <v>16846</v>
      </c>
      <c r="F17" s="6">
        <v>89.250107999999997</v>
      </c>
      <c r="G17" s="7">
        <v>2.438999E-2</v>
      </c>
      <c r="H17" s="39"/>
    </row>
    <row r="18" spans="1:8" x14ac:dyDescent="0.2">
      <c r="A18" s="3">
        <v>12</v>
      </c>
      <c r="B18" s="4" t="s">
        <v>283</v>
      </c>
      <c r="C18" s="4" t="s">
        <v>284</v>
      </c>
      <c r="D18" s="4" t="s">
        <v>29</v>
      </c>
      <c r="E18" s="5">
        <v>14341</v>
      </c>
      <c r="F18" s="6">
        <v>89.186678999999998</v>
      </c>
      <c r="G18" s="7">
        <v>2.4372655999999999E-2</v>
      </c>
      <c r="H18" s="39"/>
    </row>
    <row r="19" spans="1:8" x14ac:dyDescent="0.2">
      <c r="A19" s="3">
        <v>13</v>
      </c>
      <c r="B19" s="4" t="s">
        <v>239</v>
      </c>
      <c r="C19" s="4" t="s">
        <v>240</v>
      </c>
      <c r="D19" s="4" t="s">
        <v>1143</v>
      </c>
      <c r="E19" s="5">
        <v>13845</v>
      </c>
      <c r="F19" s="6">
        <v>83.215372500000001</v>
      </c>
      <c r="G19" s="7">
        <v>2.2740837E-2</v>
      </c>
      <c r="H19" s="39"/>
    </row>
    <row r="20" spans="1:8" x14ac:dyDescent="0.2">
      <c r="A20" s="3">
        <v>14</v>
      </c>
      <c r="B20" s="4" t="s">
        <v>243</v>
      </c>
      <c r="C20" s="4" t="s">
        <v>244</v>
      </c>
      <c r="D20" s="4" t="s">
        <v>1157</v>
      </c>
      <c r="E20" s="5">
        <v>6936</v>
      </c>
      <c r="F20" s="6">
        <v>76.292531999999994</v>
      </c>
      <c r="G20" s="7">
        <v>2.0848984000000001E-2</v>
      </c>
      <c r="H20" s="39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1026</v>
      </c>
      <c r="E21" s="5">
        <v>5119</v>
      </c>
      <c r="F21" s="6">
        <v>75.873818</v>
      </c>
      <c r="G21" s="7">
        <v>2.0734559E-2</v>
      </c>
      <c r="H21" s="39"/>
    </row>
    <row r="22" spans="1:8" ht="25.5" x14ac:dyDescent="0.2">
      <c r="A22" s="3">
        <v>16</v>
      </c>
      <c r="B22" s="4" t="s">
        <v>198</v>
      </c>
      <c r="C22" s="4" t="s">
        <v>199</v>
      </c>
      <c r="D22" s="4" t="s">
        <v>1138</v>
      </c>
      <c r="E22" s="5">
        <v>12470</v>
      </c>
      <c r="F22" s="6">
        <v>73.585470000000001</v>
      </c>
      <c r="G22" s="7">
        <v>2.0109207E-2</v>
      </c>
      <c r="H22" s="39"/>
    </row>
    <row r="23" spans="1:8" x14ac:dyDescent="0.2">
      <c r="A23" s="3">
        <v>17</v>
      </c>
      <c r="B23" s="4" t="s">
        <v>226</v>
      </c>
      <c r="C23" s="4" t="s">
        <v>227</v>
      </c>
      <c r="D23" s="4" t="s">
        <v>82</v>
      </c>
      <c r="E23" s="5">
        <v>9248</v>
      </c>
      <c r="F23" s="6">
        <v>71.158736000000005</v>
      </c>
      <c r="G23" s="7">
        <v>1.9446036999999999E-2</v>
      </c>
      <c r="H23" s="39"/>
    </row>
    <row r="24" spans="1:8" x14ac:dyDescent="0.2">
      <c r="A24" s="3">
        <v>18</v>
      </c>
      <c r="B24" s="4" t="s">
        <v>30</v>
      </c>
      <c r="C24" s="4" t="s">
        <v>31</v>
      </c>
      <c r="D24" s="4" t="s">
        <v>29</v>
      </c>
      <c r="E24" s="5">
        <v>3892</v>
      </c>
      <c r="F24" s="6">
        <v>70.054053999999994</v>
      </c>
      <c r="G24" s="7">
        <v>1.9144153000000001E-2</v>
      </c>
      <c r="H24" s="39"/>
    </row>
    <row r="25" spans="1:8" x14ac:dyDescent="0.2">
      <c r="A25" s="3">
        <v>19</v>
      </c>
      <c r="B25" s="4" t="s">
        <v>87</v>
      </c>
      <c r="C25" s="4" t="s">
        <v>88</v>
      </c>
      <c r="D25" s="4" t="s">
        <v>1157</v>
      </c>
      <c r="E25" s="5">
        <v>13250</v>
      </c>
      <c r="F25" s="6">
        <v>68.482624999999999</v>
      </c>
      <c r="G25" s="7">
        <v>1.8714716999999999E-2</v>
      </c>
      <c r="H25" s="39"/>
    </row>
    <row r="26" spans="1:8" x14ac:dyDescent="0.2">
      <c r="A26" s="3">
        <v>20</v>
      </c>
      <c r="B26" s="4" t="s">
        <v>174</v>
      </c>
      <c r="C26" s="4" t="s">
        <v>175</v>
      </c>
      <c r="D26" s="4" t="s">
        <v>82</v>
      </c>
      <c r="E26" s="5">
        <v>10566</v>
      </c>
      <c r="F26" s="6">
        <v>66.719007000000005</v>
      </c>
      <c r="G26" s="7">
        <v>1.8232761E-2</v>
      </c>
      <c r="H26" s="39"/>
    </row>
    <row r="27" spans="1:8" x14ac:dyDescent="0.2">
      <c r="A27" s="3">
        <v>21</v>
      </c>
      <c r="B27" s="4" t="s">
        <v>251</v>
      </c>
      <c r="C27" s="4" t="s">
        <v>252</v>
      </c>
      <c r="D27" s="4" t="s">
        <v>253</v>
      </c>
      <c r="E27" s="5">
        <v>24416</v>
      </c>
      <c r="F27" s="6">
        <v>65.898784000000006</v>
      </c>
      <c r="G27" s="7">
        <v>1.8008613E-2</v>
      </c>
      <c r="H27" s="39"/>
    </row>
    <row r="28" spans="1:8" x14ac:dyDescent="0.2">
      <c r="A28" s="3">
        <v>22</v>
      </c>
      <c r="B28" s="4" t="s">
        <v>465</v>
      </c>
      <c r="C28" s="4" t="s">
        <v>466</v>
      </c>
      <c r="D28" s="4" t="s">
        <v>71</v>
      </c>
      <c r="E28" s="5">
        <v>6741</v>
      </c>
      <c r="F28" s="6">
        <v>65.691045000000003</v>
      </c>
      <c r="G28" s="7">
        <v>1.7951842999999999E-2</v>
      </c>
      <c r="H28" s="39"/>
    </row>
    <row r="29" spans="1:8" x14ac:dyDescent="0.2">
      <c r="A29" s="3">
        <v>23</v>
      </c>
      <c r="B29" s="4" t="s">
        <v>461</v>
      </c>
      <c r="C29" s="4" t="s">
        <v>462</v>
      </c>
      <c r="D29" s="4" t="s">
        <v>1168</v>
      </c>
      <c r="E29" s="5">
        <v>2999</v>
      </c>
      <c r="F29" s="6">
        <v>62.013322000000002</v>
      </c>
      <c r="G29" s="7">
        <v>1.6946807000000001E-2</v>
      </c>
      <c r="H29" s="39"/>
    </row>
    <row r="30" spans="1:8" ht="25.5" x14ac:dyDescent="0.2">
      <c r="A30" s="3">
        <v>24</v>
      </c>
      <c r="B30" s="4" t="s">
        <v>262</v>
      </c>
      <c r="C30" s="4" t="s">
        <v>263</v>
      </c>
      <c r="D30" s="4" t="s">
        <v>1141</v>
      </c>
      <c r="E30" s="5">
        <v>20978</v>
      </c>
      <c r="F30" s="6">
        <v>61.822166000000003</v>
      </c>
      <c r="G30" s="7">
        <v>1.6894567999999999E-2</v>
      </c>
      <c r="H30" s="39"/>
    </row>
    <row r="31" spans="1:8" x14ac:dyDescent="0.2">
      <c r="A31" s="3">
        <v>25</v>
      </c>
      <c r="B31" s="4" t="s">
        <v>200</v>
      </c>
      <c r="C31" s="4" t="s">
        <v>201</v>
      </c>
      <c r="D31" s="4" t="s">
        <v>60</v>
      </c>
      <c r="E31" s="5">
        <v>70325</v>
      </c>
      <c r="F31" s="6">
        <v>60.338850000000001</v>
      </c>
      <c r="G31" s="7">
        <v>1.6489212E-2</v>
      </c>
      <c r="H31" s="39"/>
    </row>
    <row r="32" spans="1:8" x14ac:dyDescent="0.2">
      <c r="A32" s="3">
        <v>26</v>
      </c>
      <c r="B32" s="4" t="s">
        <v>194</v>
      </c>
      <c r="C32" s="4" t="s">
        <v>195</v>
      </c>
      <c r="D32" s="4" t="s">
        <v>1027</v>
      </c>
      <c r="E32" s="5">
        <v>4118</v>
      </c>
      <c r="F32" s="6">
        <v>58.288231000000003</v>
      </c>
      <c r="G32" s="7">
        <v>1.5928825000000001E-2</v>
      </c>
      <c r="H32" s="39"/>
    </row>
    <row r="33" spans="1:8" ht="25.5" x14ac:dyDescent="0.2">
      <c r="A33" s="3">
        <v>27</v>
      </c>
      <c r="B33" s="4" t="s">
        <v>42</v>
      </c>
      <c r="C33" s="4" t="s">
        <v>43</v>
      </c>
      <c r="D33" s="4" t="s">
        <v>1150</v>
      </c>
      <c r="E33" s="5">
        <v>2327</v>
      </c>
      <c r="F33" s="6">
        <v>56.576351000000003</v>
      </c>
      <c r="G33" s="7">
        <v>1.5461008E-2</v>
      </c>
      <c r="H33" s="39"/>
    </row>
    <row r="34" spans="1:8" x14ac:dyDescent="0.2">
      <c r="A34" s="3">
        <v>28</v>
      </c>
      <c r="B34" s="4" t="s">
        <v>206</v>
      </c>
      <c r="C34" s="4" t="s">
        <v>207</v>
      </c>
      <c r="D34" s="4" t="s">
        <v>1159</v>
      </c>
      <c r="E34" s="5">
        <v>6040</v>
      </c>
      <c r="F34" s="6">
        <v>56.036099999999998</v>
      </c>
      <c r="G34" s="7">
        <v>1.531337E-2</v>
      </c>
      <c r="H34" s="39"/>
    </row>
    <row r="35" spans="1:8" x14ac:dyDescent="0.2">
      <c r="A35" s="3">
        <v>29</v>
      </c>
      <c r="B35" s="4" t="s">
        <v>473</v>
      </c>
      <c r="C35" s="4" t="s">
        <v>474</v>
      </c>
      <c r="D35" s="4" t="s">
        <v>1155</v>
      </c>
      <c r="E35" s="5">
        <v>6215</v>
      </c>
      <c r="F35" s="6">
        <v>56.015794999999997</v>
      </c>
      <c r="G35" s="7">
        <v>1.5307820999999999E-2</v>
      </c>
      <c r="H35" s="39"/>
    </row>
    <row r="36" spans="1:8" x14ac:dyDescent="0.2">
      <c r="A36" s="3">
        <v>30</v>
      </c>
      <c r="B36" s="4" t="s">
        <v>170</v>
      </c>
      <c r="C36" s="4" t="s">
        <v>171</v>
      </c>
      <c r="D36" s="4" t="s">
        <v>1027</v>
      </c>
      <c r="E36" s="5">
        <v>3633</v>
      </c>
      <c r="F36" s="6">
        <v>55.830127500000003</v>
      </c>
      <c r="G36" s="7">
        <v>1.5257082E-2</v>
      </c>
      <c r="H36" s="39"/>
    </row>
    <row r="37" spans="1:8" ht="25.5" x14ac:dyDescent="0.2">
      <c r="A37" s="3">
        <v>31</v>
      </c>
      <c r="B37" s="4" t="s">
        <v>196</v>
      </c>
      <c r="C37" s="4" t="s">
        <v>197</v>
      </c>
      <c r="D37" s="4" t="s">
        <v>1138</v>
      </c>
      <c r="E37" s="5">
        <v>3496</v>
      </c>
      <c r="F37" s="6">
        <v>55.058503999999999</v>
      </c>
      <c r="G37" s="7">
        <v>1.5046215999999999E-2</v>
      </c>
      <c r="H37" s="39"/>
    </row>
    <row r="38" spans="1:8" x14ac:dyDescent="0.2">
      <c r="A38" s="3">
        <v>32</v>
      </c>
      <c r="B38" s="4" t="s">
        <v>249</v>
      </c>
      <c r="C38" s="4" t="s">
        <v>250</v>
      </c>
      <c r="D38" s="4" t="s">
        <v>60</v>
      </c>
      <c r="E38" s="5">
        <v>14751</v>
      </c>
      <c r="F38" s="6">
        <v>54.099292499999997</v>
      </c>
      <c r="G38" s="7">
        <v>1.4784085000000001E-2</v>
      </c>
      <c r="H38" s="39"/>
    </row>
    <row r="39" spans="1:8" ht="25.5" x14ac:dyDescent="0.2">
      <c r="A39" s="3">
        <v>33</v>
      </c>
      <c r="B39" s="4" t="s">
        <v>188</v>
      </c>
      <c r="C39" s="4" t="s">
        <v>189</v>
      </c>
      <c r="D39" s="4" t="s">
        <v>1158</v>
      </c>
      <c r="E39" s="5">
        <v>7830</v>
      </c>
      <c r="F39" s="6">
        <v>51.603614999999998</v>
      </c>
      <c r="G39" s="7">
        <v>1.4102073999999999E-2</v>
      </c>
      <c r="H39" s="39"/>
    </row>
    <row r="40" spans="1:8" ht="25.5" x14ac:dyDescent="0.2">
      <c r="A40" s="3">
        <v>34</v>
      </c>
      <c r="B40" s="4" t="s">
        <v>159</v>
      </c>
      <c r="C40" s="4" t="s">
        <v>160</v>
      </c>
      <c r="D40" s="4" t="s">
        <v>1138</v>
      </c>
      <c r="E40" s="5">
        <v>13550</v>
      </c>
      <c r="F40" s="6">
        <v>51.090274999999998</v>
      </c>
      <c r="G40" s="7">
        <v>1.396179E-2</v>
      </c>
      <c r="H40" s="39"/>
    </row>
    <row r="41" spans="1:8" x14ac:dyDescent="0.2">
      <c r="A41" s="3">
        <v>35</v>
      </c>
      <c r="B41" s="4" t="s">
        <v>180</v>
      </c>
      <c r="C41" s="4" t="s">
        <v>181</v>
      </c>
      <c r="D41" s="4" t="s">
        <v>1156</v>
      </c>
      <c r="E41" s="5">
        <v>14444</v>
      </c>
      <c r="F41" s="6">
        <v>46.256909999999998</v>
      </c>
      <c r="G41" s="7">
        <v>1.2640943999999999E-2</v>
      </c>
      <c r="H41" s="39"/>
    </row>
    <row r="42" spans="1:8" x14ac:dyDescent="0.2">
      <c r="A42" s="3">
        <v>36</v>
      </c>
      <c r="B42" s="4" t="s">
        <v>166</v>
      </c>
      <c r="C42" s="4" t="s">
        <v>167</v>
      </c>
      <c r="D42" s="4" t="s">
        <v>1159</v>
      </c>
      <c r="E42" s="5">
        <v>3553</v>
      </c>
      <c r="F42" s="6">
        <v>44.769576499999999</v>
      </c>
      <c r="G42" s="7">
        <v>1.2234490000000001E-2</v>
      </c>
      <c r="H42" s="39"/>
    </row>
    <row r="43" spans="1:8" x14ac:dyDescent="0.2">
      <c r="A43" s="3">
        <v>37</v>
      </c>
      <c r="B43" s="4" t="s">
        <v>190</v>
      </c>
      <c r="C43" s="4" t="s">
        <v>191</v>
      </c>
      <c r="D43" s="4" t="s">
        <v>1169</v>
      </c>
      <c r="E43" s="5">
        <v>49629</v>
      </c>
      <c r="F43" s="6">
        <v>44.368326000000003</v>
      </c>
      <c r="G43" s="7">
        <v>1.2124836999999999E-2</v>
      </c>
      <c r="H43" s="39"/>
    </row>
    <row r="44" spans="1:8" ht="25.5" x14ac:dyDescent="0.2">
      <c r="A44" s="3">
        <v>38</v>
      </c>
      <c r="B44" s="4" t="s">
        <v>168</v>
      </c>
      <c r="C44" s="4" t="s">
        <v>169</v>
      </c>
      <c r="D44" s="4" t="s">
        <v>1137</v>
      </c>
      <c r="E44" s="5">
        <v>17679</v>
      </c>
      <c r="F44" s="6">
        <v>42.517994999999999</v>
      </c>
      <c r="G44" s="7">
        <v>1.1619185000000001E-2</v>
      </c>
      <c r="H44" s="39"/>
    </row>
    <row r="45" spans="1:8" ht="25.5" x14ac:dyDescent="0.2">
      <c r="A45" s="3">
        <v>39</v>
      </c>
      <c r="B45" s="4" t="s">
        <v>184</v>
      </c>
      <c r="C45" s="4" t="s">
        <v>185</v>
      </c>
      <c r="D45" s="4" t="s">
        <v>1145</v>
      </c>
      <c r="E45" s="5">
        <v>9101</v>
      </c>
      <c r="F45" s="6">
        <v>41.177474500000002</v>
      </c>
      <c r="G45" s="7">
        <v>1.1252850999999999E-2</v>
      </c>
      <c r="H45" s="39"/>
    </row>
    <row r="46" spans="1:8" x14ac:dyDescent="0.2">
      <c r="A46" s="3">
        <v>40</v>
      </c>
      <c r="B46" s="4" t="s">
        <v>351</v>
      </c>
      <c r="C46" s="4" t="s">
        <v>352</v>
      </c>
      <c r="D46" s="4" t="s">
        <v>1154</v>
      </c>
      <c r="E46" s="5">
        <v>1151</v>
      </c>
      <c r="F46" s="6">
        <v>41.155155999999998</v>
      </c>
      <c r="G46" s="7">
        <v>1.1246752E-2</v>
      </c>
      <c r="H46" s="39"/>
    </row>
    <row r="47" spans="1:8" x14ac:dyDescent="0.2">
      <c r="A47" s="3">
        <v>41</v>
      </c>
      <c r="B47" s="4" t="s">
        <v>281</v>
      </c>
      <c r="C47" s="4" t="s">
        <v>282</v>
      </c>
      <c r="D47" s="4" t="s">
        <v>29</v>
      </c>
      <c r="E47" s="5">
        <v>1901</v>
      </c>
      <c r="F47" s="6">
        <v>40.702311000000002</v>
      </c>
      <c r="G47" s="7">
        <v>1.1122999999999999E-2</v>
      </c>
      <c r="H47" s="39"/>
    </row>
    <row r="48" spans="1:8" x14ac:dyDescent="0.2">
      <c r="A48" s="3">
        <v>42</v>
      </c>
      <c r="B48" s="4" t="s">
        <v>475</v>
      </c>
      <c r="C48" s="4" t="s">
        <v>476</v>
      </c>
      <c r="D48" s="4" t="s">
        <v>82</v>
      </c>
      <c r="E48" s="5">
        <v>4638</v>
      </c>
      <c r="F48" s="6">
        <v>39.409086000000002</v>
      </c>
      <c r="G48" s="7">
        <v>1.0769592E-2</v>
      </c>
      <c r="H48" s="39"/>
    </row>
    <row r="49" spans="1:8" x14ac:dyDescent="0.2">
      <c r="A49" s="3">
        <v>43</v>
      </c>
      <c r="B49" s="4" t="s">
        <v>192</v>
      </c>
      <c r="C49" s="4" t="s">
        <v>193</v>
      </c>
      <c r="D49" s="4" t="s">
        <v>1026</v>
      </c>
      <c r="E49" s="5">
        <v>7638</v>
      </c>
      <c r="F49" s="6">
        <v>36.612752999999998</v>
      </c>
      <c r="G49" s="7">
        <v>1.0005419E-2</v>
      </c>
      <c r="H49" s="39"/>
    </row>
    <row r="50" spans="1:8" x14ac:dyDescent="0.2">
      <c r="A50" s="3">
        <v>44</v>
      </c>
      <c r="B50" s="4" t="s">
        <v>279</v>
      </c>
      <c r="C50" s="4" t="s">
        <v>280</v>
      </c>
      <c r="D50" s="4" t="s">
        <v>82</v>
      </c>
      <c r="E50" s="5">
        <v>59081</v>
      </c>
      <c r="F50" s="6">
        <v>36.4825175</v>
      </c>
      <c r="G50" s="7">
        <v>9.969828E-3</v>
      </c>
      <c r="H50" s="39"/>
    </row>
    <row r="51" spans="1:8" x14ac:dyDescent="0.2">
      <c r="A51" s="3">
        <v>45</v>
      </c>
      <c r="B51" s="4" t="s">
        <v>471</v>
      </c>
      <c r="C51" s="4" t="s">
        <v>472</v>
      </c>
      <c r="D51" s="4" t="s">
        <v>1140</v>
      </c>
      <c r="E51" s="5">
        <v>5730</v>
      </c>
      <c r="F51" s="6">
        <v>34.328429999999997</v>
      </c>
      <c r="G51" s="7">
        <v>9.3811659999999998E-3</v>
      </c>
      <c r="H51" s="39"/>
    </row>
    <row r="52" spans="1:8" x14ac:dyDescent="0.2">
      <c r="A52" s="3">
        <v>46</v>
      </c>
      <c r="B52" s="4" t="s">
        <v>228</v>
      </c>
      <c r="C52" s="4" t="s">
        <v>229</v>
      </c>
      <c r="D52" s="4" t="s">
        <v>29</v>
      </c>
      <c r="E52" s="5">
        <v>3361</v>
      </c>
      <c r="F52" s="6">
        <v>34.280519499999997</v>
      </c>
      <c r="G52" s="7">
        <v>9.3680729999999993E-3</v>
      </c>
      <c r="H52" s="39"/>
    </row>
    <row r="53" spans="1:8" x14ac:dyDescent="0.2">
      <c r="A53" s="3">
        <v>47</v>
      </c>
      <c r="B53" s="4" t="s">
        <v>270</v>
      </c>
      <c r="C53" s="4" t="s">
        <v>271</v>
      </c>
      <c r="D53" s="4" t="s">
        <v>1154</v>
      </c>
      <c r="E53" s="5">
        <v>5643</v>
      </c>
      <c r="F53" s="6">
        <v>33.254199</v>
      </c>
      <c r="G53" s="7">
        <v>9.0876029999999997E-3</v>
      </c>
      <c r="H53" s="39"/>
    </row>
    <row r="54" spans="1:8" ht="25.5" x14ac:dyDescent="0.2">
      <c r="A54" s="3">
        <v>48</v>
      </c>
      <c r="B54" s="4" t="s">
        <v>182</v>
      </c>
      <c r="C54" s="4" t="s">
        <v>183</v>
      </c>
      <c r="D54" s="4" t="s">
        <v>1150</v>
      </c>
      <c r="E54" s="5">
        <v>17243</v>
      </c>
      <c r="F54" s="6">
        <v>32.692728000000002</v>
      </c>
      <c r="G54" s="7">
        <v>8.9341660000000003E-3</v>
      </c>
      <c r="H54" s="39"/>
    </row>
    <row r="55" spans="1:8" ht="25.5" x14ac:dyDescent="0.2">
      <c r="A55" s="3">
        <v>49</v>
      </c>
      <c r="B55" s="4" t="s">
        <v>483</v>
      </c>
      <c r="C55" s="4" t="s">
        <v>484</v>
      </c>
      <c r="D55" s="4" t="s">
        <v>1138</v>
      </c>
      <c r="E55" s="5">
        <v>7830</v>
      </c>
      <c r="F55" s="6">
        <v>31.50009</v>
      </c>
      <c r="G55" s="7">
        <v>8.608246E-3</v>
      </c>
      <c r="H55" s="39"/>
    </row>
    <row r="56" spans="1:8" x14ac:dyDescent="0.2">
      <c r="A56" s="3">
        <v>50</v>
      </c>
      <c r="B56" s="4" t="s">
        <v>469</v>
      </c>
      <c r="C56" s="4" t="s">
        <v>470</v>
      </c>
      <c r="D56" s="4" t="s">
        <v>29</v>
      </c>
      <c r="E56" s="5">
        <v>3895</v>
      </c>
      <c r="F56" s="6">
        <v>31.072362500000001</v>
      </c>
      <c r="G56" s="7">
        <v>8.4913579999999992E-3</v>
      </c>
      <c r="H56" s="39"/>
    </row>
    <row r="57" spans="1:8" x14ac:dyDescent="0.2">
      <c r="A57" s="3">
        <v>51</v>
      </c>
      <c r="B57" s="4" t="s">
        <v>210</v>
      </c>
      <c r="C57" s="4" t="s">
        <v>211</v>
      </c>
      <c r="D57" s="4" t="s">
        <v>91</v>
      </c>
      <c r="E57" s="5">
        <v>3908</v>
      </c>
      <c r="F57" s="6">
        <v>30.148266</v>
      </c>
      <c r="G57" s="7">
        <v>8.2388240000000005E-3</v>
      </c>
      <c r="H57" s="39"/>
    </row>
    <row r="58" spans="1:8" x14ac:dyDescent="0.2">
      <c r="A58" s="3">
        <v>52</v>
      </c>
      <c r="B58" s="4" t="s">
        <v>208</v>
      </c>
      <c r="C58" s="4" t="s">
        <v>209</v>
      </c>
      <c r="D58" s="4" t="s">
        <v>71</v>
      </c>
      <c r="E58" s="5">
        <v>4052</v>
      </c>
      <c r="F58" s="6">
        <v>24.877254000000001</v>
      </c>
      <c r="G58" s="7">
        <v>6.7983779999999999E-3</v>
      </c>
      <c r="H58" s="39"/>
    </row>
    <row r="59" spans="1:8" x14ac:dyDescent="0.2">
      <c r="A59" s="3">
        <v>53</v>
      </c>
      <c r="B59" s="4" t="s">
        <v>266</v>
      </c>
      <c r="C59" s="4" t="s">
        <v>267</v>
      </c>
      <c r="D59" s="4" t="s">
        <v>1155</v>
      </c>
      <c r="E59" s="5">
        <v>15875</v>
      </c>
      <c r="F59" s="6">
        <v>23.891874999999999</v>
      </c>
      <c r="G59" s="7">
        <v>6.5290970000000002E-3</v>
      </c>
      <c r="H59" s="39"/>
    </row>
    <row r="60" spans="1:8" ht="25.5" x14ac:dyDescent="0.2">
      <c r="A60" s="3">
        <v>54</v>
      </c>
      <c r="B60" s="4" t="s">
        <v>216</v>
      </c>
      <c r="C60" s="4" t="s">
        <v>217</v>
      </c>
      <c r="D60" s="4" t="s">
        <v>1138</v>
      </c>
      <c r="E60" s="5">
        <v>596</v>
      </c>
      <c r="F60" s="6">
        <v>23.854303999999999</v>
      </c>
      <c r="G60" s="7">
        <v>6.5188299999999998E-3</v>
      </c>
      <c r="H60" s="39"/>
    </row>
    <row r="61" spans="1:8" ht="25.5" x14ac:dyDescent="0.2">
      <c r="A61" s="3">
        <v>55</v>
      </c>
      <c r="B61" s="4" t="s">
        <v>222</v>
      </c>
      <c r="C61" s="4" t="s">
        <v>223</v>
      </c>
      <c r="D61" s="4" t="s">
        <v>1153</v>
      </c>
      <c r="E61" s="5">
        <v>2348</v>
      </c>
      <c r="F61" s="6">
        <v>21.622731999999999</v>
      </c>
      <c r="G61" s="7">
        <v>5.9089930000000004E-3</v>
      </c>
      <c r="H61" s="39"/>
    </row>
    <row r="62" spans="1:8" x14ac:dyDescent="0.2">
      <c r="A62" s="3">
        <v>56</v>
      </c>
      <c r="B62" s="4" t="s">
        <v>218</v>
      </c>
      <c r="C62" s="4" t="s">
        <v>219</v>
      </c>
      <c r="D62" s="4" t="s">
        <v>1026</v>
      </c>
      <c r="E62" s="5">
        <v>18314</v>
      </c>
      <c r="F62" s="6">
        <v>18.451355</v>
      </c>
      <c r="G62" s="7">
        <v>5.0423289999999999E-3</v>
      </c>
      <c r="H62" s="39"/>
    </row>
    <row r="63" spans="1:8" x14ac:dyDescent="0.2">
      <c r="A63" s="3">
        <v>57</v>
      </c>
      <c r="B63" s="4" t="s">
        <v>104</v>
      </c>
      <c r="C63" s="4" t="s">
        <v>105</v>
      </c>
      <c r="D63" s="4" t="s">
        <v>1157</v>
      </c>
      <c r="E63" s="5">
        <v>22875</v>
      </c>
      <c r="F63" s="6">
        <v>17.7853125</v>
      </c>
      <c r="G63" s="7">
        <v>4.8603149999999996E-3</v>
      </c>
      <c r="H63" s="39"/>
    </row>
    <row r="64" spans="1:8" x14ac:dyDescent="0.2">
      <c r="A64" s="3">
        <v>58</v>
      </c>
      <c r="B64" s="4" t="s">
        <v>479</v>
      </c>
      <c r="C64" s="4" t="s">
        <v>480</v>
      </c>
      <c r="D64" s="4" t="s">
        <v>18</v>
      </c>
      <c r="E64" s="5">
        <v>8216</v>
      </c>
      <c r="F64" s="6">
        <v>17.348084</v>
      </c>
      <c r="G64" s="7">
        <v>4.7408299999999997E-3</v>
      </c>
      <c r="H64" s="39"/>
    </row>
    <row r="65" spans="1:8" x14ac:dyDescent="0.2">
      <c r="A65" s="3">
        <v>59</v>
      </c>
      <c r="B65" s="4" t="s">
        <v>214</v>
      </c>
      <c r="C65" s="4" t="s">
        <v>215</v>
      </c>
      <c r="D65" s="4" t="s">
        <v>18</v>
      </c>
      <c r="E65" s="5">
        <v>18964</v>
      </c>
      <c r="F65" s="6">
        <v>13.161016</v>
      </c>
      <c r="G65" s="7">
        <v>3.5966010000000001E-3</v>
      </c>
      <c r="H65" s="39"/>
    </row>
    <row r="66" spans="1:8" x14ac:dyDescent="0.2">
      <c r="A66" s="3">
        <v>60</v>
      </c>
      <c r="B66" s="4" t="s">
        <v>212</v>
      </c>
      <c r="C66" s="4" t="s">
        <v>213</v>
      </c>
      <c r="D66" s="4" t="s">
        <v>308</v>
      </c>
      <c r="E66" s="5">
        <v>2232</v>
      </c>
      <c r="F66" s="6">
        <v>12.936672</v>
      </c>
      <c r="G66" s="7">
        <v>3.5352930000000001E-3</v>
      </c>
      <c r="H66" s="39"/>
    </row>
    <row r="67" spans="1:8" x14ac:dyDescent="0.2">
      <c r="A67" s="1"/>
      <c r="B67" s="1"/>
      <c r="C67" s="2" t="s">
        <v>111</v>
      </c>
      <c r="D67" s="1"/>
      <c r="E67" s="1" t="s">
        <v>112</v>
      </c>
      <c r="F67" s="9">
        <v>3521.6231395</v>
      </c>
      <c r="G67" s="10">
        <v>0.96237814600000005</v>
      </c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x14ac:dyDescent="0.2">
      <c r="A69" s="1"/>
      <c r="B69" s="1"/>
      <c r="C69" s="2" t="s">
        <v>113</v>
      </c>
      <c r="D69" s="1"/>
      <c r="E69" s="1"/>
      <c r="F69" s="1"/>
      <c r="G69" s="1"/>
      <c r="H69" s="39"/>
    </row>
    <row r="70" spans="1:8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39"/>
    </row>
    <row r="71" spans="1:8" x14ac:dyDescent="0.2">
      <c r="A71" s="1"/>
      <c r="B71" s="1"/>
      <c r="C71" s="11"/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114</v>
      </c>
      <c r="D72" s="1"/>
      <c r="E72" s="1"/>
      <c r="F72" s="1"/>
      <c r="G72" s="1"/>
      <c r="H72" s="39"/>
    </row>
    <row r="73" spans="1:8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115</v>
      </c>
      <c r="D75" s="1"/>
      <c r="E75" s="1"/>
      <c r="F75" s="1"/>
      <c r="G75" s="1"/>
      <c r="H75" s="39"/>
    </row>
    <row r="76" spans="1:8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116</v>
      </c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117</v>
      </c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118</v>
      </c>
      <c r="D84" s="1"/>
      <c r="E84" s="1"/>
      <c r="F84" s="9">
        <v>3521.6231395</v>
      </c>
      <c r="G84" s="10">
        <v>0.96237814600000005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119</v>
      </c>
      <c r="D86" s="1"/>
      <c r="E86" s="1"/>
      <c r="F86" s="12"/>
      <c r="G86" s="12"/>
      <c r="H86" s="39"/>
    </row>
    <row r="87" spans="1:8" ht="25.5" x14ac:dyDescent="0.2">
      <c r="A87" s="1"/>
      <c r="B87" s="1"/>
      <c r="C87" s="2" t="s">
        <v>10</v>
      </c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120</v>
      </c>
      <c r="D90" s="1"/>
      <c r="E90" s="1"/>
      <c r="F90" s="1"/>
      <c r="G90" s="1"/>
      <c r="H90" s="39"/>
    </row>
    <row r="91" spans="1:8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121</v>
      </c>
      <c r="D93" s="1"/>
      <c r="E93" s="1"/>
      <c r="F93" s="1"/>
      <c r="G93" s="1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122</v>
      </c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123</v>
      </c>
      <c r="D99" s="1"/>
      <c r="E99" s="1"/>
      <c r="F99" s="9">
        <v>0</v>
      </c>
      <c r="G99" s="10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124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125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126</v>
      </c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127</v>
      </c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128</v>
      </c>
      <c r="D111" s="1"/>
      <c r="E111" s="1"/>
      <c r="F111" s="12"/>
      <c r="G111" s="12"/>
      <c r="H111" s="39"/>
    </row>
    <row r="112" spans="1:8" x14ac:dyDescent="0.2">
      <c r="A112" s="3">
        <v>1</v>
      </c>
      <c r="B112" s="4"/>
      <c r="C112" s="4" t="s">
        <v>129</v>
      </c>
      <c r="D112" s="4"/>
      <c r="E112" s="8"/>
      <c r="F112" s="6">
        <v>112.9330586</v>
      </c>
      <c r="G112" s="7">
        <v>3.0861993000000001E-2</v>
      </c>
      <c r="H112" s="39">
        <v>3.6151121728634927</v>
      </c>
    </row>
    <row r="113" spans="1:8" x14ac:dyDescent="0.2">
      <c r="A113" s="3">
        <v>2</v>
      </c>
      <c r="B113" s="4"/>
      <c r="C113" s="4" t="s">
        <v>130</v>
      </c>
      <c r="D113" s="4"/>
      <c r="E113" s="8"/>
      <c r="F113" s="6">
        <v>39.930509499999999</v>
      </c>
      <c r="G113" s="7">
        <v>1.0912085E-2</v>
      </c>
      <c r="H113" s="39">
        <v>3.7142625760646584</v>
      </c>
    </row>
    <row r="114" spans="1:8" x14ac:dyDescent="0.2">
      <c r="A114" s="1"/>
      <c r="B114" s="1"/>
      <c r="C114" s="2" t="s">
        <v>111</v>
      </c>
      <c r="D114" s="1"/>
      <c r="E114" s="1" t="s">
        <v>112</v>
      </c>
      <c r="F114" s="9">
        <v>152.86356810000001</v>
      </c>
      <c r="G114" s="10">
        <v>4.1774077999999999E-2</v>
      </c>
      <c r="H114" s="39"/>
    </row>
    <row r="115" spans="1:8" x14ac:dyDescent="0.2">
      <c r="A115" s="1"/>
      <c r="B115" s="1"/>
      <c r="C115" s="11"/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131</v>
      </c>
      <c r="D116" s="1"/>
      <c r="E116" s="1"/>
      <c r="F116" s="9">
        <v>152.86356810000001</v>
      </c>
      <c r="G116" s="10">
        <v>4.1774077999999999E-2</v>
      </c>
      <c r="H116" s="39"/>
    </row>
    <row r="117" spans="1:8" x14ac:dyDescent="0.2">
      <c r="A117" s="1"/>
      <c r="B117" s="1"/>
      <c r="C117" s="12"/>
      <c r="D117" s="1"/>
      <c r="E117" s="1"/>
      <c r="F117" s="1"/>
      <c r="G117" s="1"/>
      <c r="H117" s="39"/>
    </row>
    <row r="118" spans="1:8" x14ac:dyDescent="0.2">
      <c r="A118" s="1"/>
      <c r="B118" s="1"/>
      <c r="C118" s="2" t="s">
        <v>132</v>
      </c>
      <c r="D118" s="1"/>
      <c r="E118" s="1"/>
      <c r="F118" s="1"/>
      <c r="G118" s="1"/>
      <c r="H118" s="39"/>
    </row>
    <row r="119" spans="1:8" x14ac:dyDescent="0.2">
      <c r="A119" s="1"/>
      <c r="B119" s="1"/>
      <c r="C119" s="2" t="s">
        <v>133</v>
      </c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134</v>
      </c>
      <c r="D122" s="1"/>
      <c r="E122" s="1"/>
      <c r="F122" s="1"/>
      <c r="G122" s="1"/>
      <c r="H122" s="39"/>
    </row>
    <row r="123" spans="1:8" x14ac:dyDescent="0.2">
      <c r="A123" s="1"/>
      <c r="B123" s="1"/>
      <c r="C123" s="2" t="s">
        <v>135</v>
      </c>
      <c r="D123" s="1"/>
      <c r="E123" s="1"/>
      <c r="F123" s="1"/>
      <c r="G123" s="1"/>
      <c r="H123" s="39"/>
    </row>
    <row r="124" spans="1:8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x14ac:dyDescent="0.2">
      <c r="A126" s="1"/>
      <c r="B126" s="1"/>
      <c r="C126" s="11"/>
      <c r="D126" s="1"/>
      <c r="E126" s="1"/>
      <c r="F126" s="12"/>
      <c r="G126" s="12"/>
      <c r="H126" s="39"/>
    </row>
    <row r="127" spans="1:8" ht="25.5" x14ac:dyDescent="0.2">
      <c r="A127" s="1"/>
      <c r="B127" s="1"/>
      <c r="C127" s="2" t="s">
        <v>136</v>
      </c>
      <c r="D127" s="1"/>
      <c r="E127" s="1"/>
      <c r="F127" s="12"/>
      <c r="G127" s="12"/>
      <c r="H127" s="39"/>
    </row>
    <row r="128" spans="1:8" x14ac:dyDescent="0.2">
      <c r="A128" s="1"/>
      <c r="B128" s="1"/>
      <c r="C128" s="2" t="s">
        <v>111</v>
      </c>
      <c r="D128" s="1"/>
      <c r="E128" s="1" t="s">
        <v>112</v>
      </c>
      <c r="F128" s="13">
        <v>0</v>
      </c>
      <c r="G128" s="14">
        <v>0</v>
      </c>
      <c r="H128" s="39"/>
    </row>
    <row r="129" spans="1:8" x14ac:dyDescent="0.2">
      <c r="A129" s="1"/>
      <c r="B129" s="1"/>
      <c r="C129" s="11"/>
      <c r="D129" s="1"/>
      <c r="E129" s="1"/>
      <c r="F129" s="12"/>
      <c r="G129" s="12"/>
      <c r="H129" s="39"/>
    </row>
    <row r="130" spans="1:8" x14ac:dyDescent="0.2">
      <c r="A130" s="1"/>
      <c r="B130" s="4"/>
      <c r="C130" s="4"/>
      <c r="D130" s="2"/>
      <c r="E130" s="1"/>
      <c r="F130" s="4"/>
      <c r="G130" s="8"/>
      <c r="H130" s="39"/>
    </row>
    <row r="131" spans="1:8" x14ac:dyDescent="0.2">
      <c r="A131" s="8"/>
      <c r="B131" s="4"/>
      <c r="C131" s="4" t="s">
        <v>137</v>
      </c>
      <c r="D131" s="4"/>
      <c r="E131" s="8"/>
      <c r="F131" s="6">
        <v>-15.194205699999999</v>
      </c>
      <c r="G131" s="7">
        <v>-4.1522249999999998E-3</v>
      </c>
      <c r="H131" s="39"/>
    </row>
    <row r="132" spans="1:8" x14ac:dyDescent="0.2">
      <c r="A132" s="11"/>
      <c r="B132" s="11"/>
      <c r="C132" s="2" t="s">
        <v>138</v>
      </c>
      <c r="D132" s="15"/>
      <c r="E132" s="15"/>
      <c r="F132" s="9">
        <v>3659.2925018999999</v>
      </c>
      <c r="G132" s="10">
        <v>0.99999999900000003</v>
      </c>
      <c r="H132" s="39"/>
    </row>
    <row r="133" spans="1:8" ht="14.1" customHeight="1" x14ac:dyDescent="0.2">
      <c r="A133" s="16"/>
      <c r="B133" s="16"/>
      <c r="C133" s="16"/>
      <c r="D133" s="17"/>
      <c r="E133" s="17"/>
      <c r="F133" s="17"/>
      <c r="G133" s="17"/>
    </row>
    <row r="134" spans="1:8" ht="14.1" customHeight="1" x14ac:dyDescent="0.2">
      <c r="A134" s="18"/>
      <c r="B134" s="18"/>
      <c r="C134" s="18"/>
      <c r="D134" s="20"/>
      <c r="E134" s="20"/>
      <c r="F134" s="20"/>
      <c r="G134" s="20"/>
    </row>
    <row r="135" spans="1:8" ht="14.1" customHeight="1" x14ac:dyDescent="0.2">
      <c r="A135" s="18"/>
      <c r="B135" s="194" t="s">
        <v>140</v>
      </c>
      <c r="C135" s="195"/>
      <c r="D135" s="12" t="s">
        <v>112</v>
      </c>
      <c r="E135" s="21"/>
      <c r="F135" s="20"/>
      <c r="G135" s="20"/>
    </row>
    <row r="136" spans="1:8" ht="29.1" customHeight="1" x14ac:dyDescent="0.2">
      <c r="A136" s="18"/>
      <c r="B136" s="189" t="s">
        <v>141</v>
      </c>
      <c r="C136" s="190"/>
      <c r="D136" s="2" t="s">
        <v>142</v>
      </c>
      <c r="E136" s="21"/>
      <c r="F136" s="20"/>
      <c r="G136" s="20"/>
    </row>
    <row r="137" spans="1:8" ht="17.100000000000001" customHeight="1" x14ac:dyDescent="0.2">
      <c r="A137" s="18"/>
      <c r="B137" s="189" t="s">
        <v>143</v>
      </c>
      <c r="C137" s="190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189" t="s">
        <v>144</v>
      </c>
      <c r="C138" s="190"/>
      <c r="D138" s="12" t="s">
        <v>112</v>
      </c>
      <c r="E138" s="21"/>
      <c r="F138" s="20"/>
      <c r="G138" s="20"/>
    </row>
    <row r="139" spans="1:8" ht="24" customHeight="1" x14ac:dyDescent="0.2">
      <c r="A139" s="22"/>
      <c r="B139" s="23" t="s">
        <v>112</v>
      </c>
      <c r="C139" s="23" t="s">
        <v>145</v>
      </c>
      <c r="D139" s="23" t="s">
        <v>146</v>
      </c>
      <c r="E139" s="22"/>
      <c r="F139" s="22"/>
      <c r="G139" s="22"/>
    </row>
    <row r="140" spans="1:8" ht="18" customHeight="1" x14ac:dyDescent="0.2">
      <c r="A140" s="22"/>
      <c r="B140" s="23" t="s">
        <v>147</v>
      </c>
      <c r="C140" s="23" t="s">
        <v>148</v>
      </c>
      <c r="D140" s="23" t="s">
        <v>149</v>
      </c>
      <c r="E140" s="22"/>
      <c r="F140" s="22"/>
      <c r="G140" s="22"/>
    </row>
    <row r="141" spans="1:8" ht="17.100000000000001" customHeight="1" x14ac:dyDescent="0.2">
      <c r="A141" s="22"/>
      <c r="B141" s="4" t="s">
        <v>150</v>
      </c>
      <c r="C141" s="24">
        <v>14.7712</v>
      </c>
      <c r="D141" s="24">
        <v>15.937900000000001</v>
      </c>
      <c r="E141" s="22"/>
      <c r="F141" s="19"/>
      <c r="G141" s="25"/>
    </row>
    <row r="142" spans="1:8" ht="17.100000000000001" customHeight="1" x14ac:dyDescent="0.2">
      <c r="A142" s="22"/>
      <c r="B142" s="4" t="s">
        <v>1092</v>
      </c>
      <c r="C142" s="24">
        <v>14.7712</v>
      </c>
      <c r="D142" s="24">
        <v>15.937900000000001</v>
      </c>
      <c r="E142" s="22"/>
      <c r="F142" s="19"/>
      <c r="G142" s="25"/>
    </row>
    <row r="143" spans="1:8" ht="17.100000000000001" customHeight="1" x14ac:dyDescent="0.2">
      <c r="A143" s="22"/>
      <c r="B143" s="4" t="s">
        <v>151</v>
      </c>
      <c r="C143" s="24">
        <v>14.409000000000001</v>
      </c>
      <c r="D143" s="24">
        <v>15.5418</v>
      </c>
      <c r="E143" s="22"/>
      <c r="F143" s="19"/>
      <c r="G143" s="25"/>
    </row>
    <row r="144" spans="1:8" ht="17.100000000000001" customHeight="1" x14ac:dyDescent="0.2">
      <c r="A144" s="22"/>
      <c r="B144" s="4" t="s">
        <v>1093</v>
      </c>
      <c r="C144" s="24">
        <v>14.4091</v>
      </c>
      <c r="D144" s="24">
        <v>15.5419</v>
      </c>
      <c r="E144" s="22"/>
      <c r="F144" s="19"/>
      <c r="G144" s="25"/>
    </row>
    <row r="145" spans="1:17" ht="14.1" customHeight="1" x14ac:dyDescent="0.2">
      <c r="A145" s="22"/>
      <c r="B145" s="22"/>
      <c r="C145" s="22"/>
      <c r="D145" s="22"/>
      <c r="E145" s="22"/>
      <c r="F145" s="22"/>
      <c r="G145" s="22"/>
    </row>
    <row r="146" spans="1:17" ht="17.100000000000001" customHeight="1" x14ac:dyDescent="0.2">
      <c r="A146" s="22"/>
      <c r="B146" s="189" t="s">
        <v>1094</v>
      </c>
      <c r="C146" s="190"/>
      <c r="D146" s="2" t="s">
        <v>142</v>
      </c>
      <c r="E146" s="22"/>
      <c r="F146" s="22"/>
      <c r="G146" s="22"/>
    </row>
    <row r="147" spans="1:17" ht="18" customHeight="1" x14ac:dyDescent="0.2">
      <c r="A147" s="22"/>
      <c r="B147" s="26"/>
      <c r="C147" s="26"/>
      <c r="D147" s="27"/>
      <c r="E147" s="22"/>
      <c r="F147" s="22"/>
      <c r="G147" s="22"/>
    </row>
    <row r="148" spans="1:17" s="101" customFormat="1" x14ac:dyDescent="0.2">
      <c r="B148" s="193" t="s">
        <v>1102</v>
      </c>
      <c r="C148" s="193"/>
      <c r="D148" s="193"/>
      <c r="E148" s="193"/>
      <c r="F148" s="193"/>
      <c r="I148"/>
      <c r="J148"/>
      <c r="K148"/>
      <c r="L148"/>
      <c r="M148"/>
      <c r="N148"/>
      <c r="O148"/>
      <c r="P148" s="41"/>
      <c r="Q148" s="41"/>
    </row>
    <row r="149" spans="1:17" ht="14.1" customHeight="1" x14ac:dyDescent="0.2">
      <c r="A149" s="22"/>
      <c r="B149" s="19"/>
      <c r="C149" s="19"/>
      <c r="D149" s="22"/>
      <c r="E149" s="22"/>
      <c r="F149" s="22"/>
      <c r="G149" s="22"/>
    </row>
    <row r="150" spans="1:17" ht="29.1" customHeight="1" x14ac:dyDescent="0.2">
      <c r="A150" s="22"/>
      <c r="B150" s="189" t="s">
        <v>152</v>
      </c>
      <c r="C150" s="190"/>
      <c r="D150" s="2" t="s">
        <v>142</v>
      </c>
      <c r="E150" s="22"/>
      <c r="F150" s="22"/>
      <c r="G150" s="22"/>
    </row>
    <row r="151" spans="1:17" ht="29.1" customHeight="1" x14ac:dyDescent="0.2">
      <c r="A151" s="22"/>
      <c r="B151" s="189" t="s">
        <v>153</v>
      </c>
      <c r="C151" s="190"/>
      <c r="D151" s="2" t="s">
        <v>142</v>
      </c>
      <c r="E151" s="22"/>
      <c r="F151" s="22"/>
      <c r="G151" s="22"/>
    </row>
    <row r="152" spans="1:17" ht="17.100000000000001" customHeight="1" x14ac:dyDescent="0.2">
      <c r="A152" s="22"/>
      <c r="B152" s="189" t="s">
        <v>154</v>
      </c>
      <c r="C152" s="190"/>
      <c r="D152" s="28">
        <v>0.20367718854641986</v>
      </c>
      <c r="E152" s="22"/>
      <c r="F152" s="19"/>
      <c r="G152" s="25"/>
    </row>
    <row r="153" spans="1:17" ht="17.100000000000001" customHeight="1" x14ac:dyDescent="0.2">
      <c r="A153" s="22"/>
      <c r="B153" s="189" t="s">
        <v>155</v>
      </c>
      <c r="C153" s="190"/>
      <c r="D153" s="2" t="s">
        <v>142</v>
      </c>
      <c r="E153" s="22"/>
      <c r="F153" s="22"/>
      <c r="G153" s="22"/>
    </row>
    <row r="155" spans="1:17" x14ac:dyDescent="0.2">
      <c r="J155" s="101"/>
      <c r="K155" s="101"/>
      <c r="L155" s="101"/>
      <c r="M155" s="101"/>
      <c r="N155" s="101"/>
      <c r="O155" s="101"/>
    </row>
  </sheetData>
  <mergeCells count="14">
    <mergeCell ref="B153:C153"/>
    <mergeCell ref="B136:C136"/>
    <mergeCell ref="B137:C137"/>
    <mergeCell ref="B138:C138"/>
    <mergeCell ref="B146:C146"/>
    <mergeCell ref="B150:C150"/>
    <mergeCell ref="B151:C151"/>
    <mergeCell ref="B152:C152"/>
    <mergeCell ref="A1:H1"/>
    <mergeCell ref="A2:H2"/>
    <mergeCell ref="A3:H3"/>
    <mergeCell ref="B148:F148"/>
    <mergeCell ref="J2:N2"/>
    <mergeCell ref="B135:C13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502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233</v>
      </c>
      <c r="C7" s="4" t="s">
        <v>234</v>
      </c>
      <c r="D7" s="4" t="s">
        <v>71</v>
      </c>
      <c r="E7" s="5">
        <v>11929</v>
      </c>
      <c r="F7" s="6">
        <v>85.447427000000005</v>
      </c>
      <c r="G7" s="7">
        <v>3.6235626999999999E-2</v>
      </c>
      <c r="H7" s="39"/>
    </row>
    <row r="8" spans="1:14" x14ac:dyDescent="0.2">
      <c r="A8" s="3">
        <v>2</v>
      </c>
      <c r="B8" s="4" t="s">
        <v>231</v>
      </c>
      <c r="C8" s="4" t="s">
        <v>232</v>
      </c>
      <c r="D8" s="4" t="s">
        <v>29</v>
      </c>
      <c r="E8" s="5">
        <v>6774</v>
      </c>
      <c r="F8" s="6">
        <v>85.420140000000004</v>
      </c>
      <c r="G8" s="7">
        <v>3.6224054999999998E-2</v>
      </c>
      <c r="H8" s="39"/>
    </row>
    <row r="9" spans="1:14" x14ac:dyDescent="0.2">
      <c r="A9" s="3">
        <v>3</v>
      </c>
      <c r="B9" s="4" t="s">
        <v>235</v>
      </c>
      <c r="C9" s="4" t="s">
        <v>236</v>
      </c>
      <c r="D9" s="4" t="s">
        <v>1160</v>
      </c>
      <c r="E9" s="5">
        <v>41594</v>
      </c>
      <c r="F9" s="6">
        <v>78.799833000000007</v>
      </c>
      <c r="G9" s="7">
        <v>3.3416585999999998E-2</v>
      </c>
      <c r="H9" s="39"/>
    </row>
    <row r="10" spans="1:14" x14ac:dyDescent="0.2">
      <c r="A10" s="3">
        <v>4</v>
      </c>
      <c r="B10" s="4" t="s">
        <v>38</v>
      </c>
      <c r="C10" s="4" t="s">
        <v>39</v>
      </c>
      <c r="D10" s="4" t="s">
        <v>29</v>
      </c>
      <c r="E10" s="5">
        <v>5966</v>
      </c>
      <c r="F10" s="6">
        <v>78.718387000000007</v>
      </c>
      <c r="G10" s="7">
        <v>3.3382047999999998E-2</v>
      </c>
      <c r="H10" s="39"/>
    </row>
    <row r="11" spans="1:14" ht="25.5" x14ac:dyDescent="0.2">
      <c r="A11" s="3">
        <v>5</v>
      </c>
      <c r="B11" s="4" t="s">
        <v>237</v>
      </c>
      <c r="C11" s="4" t="s">
        <v>238</v>
      </c>
      <c r="D11" s="4" t="s">
        <v>1153</v>
      </c>
      <c r="E11" s="5">
        <v>1808</v>
      </c>
      <c r="F11" s="6">
        <v>73.806175999999994</v>
      </c>
      <c r="G11" s="7">
        <v>3.1298930000000003E-2</v>
      </c>
      <c r="H11" s="39"/>
    </row>
    <row r="12" spans="1:14" x14ac:dyDescent="0.2">
      <c r="A12" s="3">
        <v>6</v>
      </c>
      <c r="B12" s="4" t="s">
        <v>69</v>
      </c>
      <c r="C12" s="4" t="s">
        <v>70</v>
      </c>
      <c r="D12" s="4" t="s">
        <v>71</v>
      </c>
      <c r="E12" s="5">
        <v>12315</v>
      </c>
      <c r="F12" s="6">
        <v>72.098167500000002</v>
      </c>
      <c r="G12" s="7">
        <v>3.0574615999999999E-2</v>
      </c>
      <c r="H12" s="39"/>
    </row>
    <row r="13" spans="1:14" x14ac:dyDescent="0.2">
      <c r="A13" s="3">
        <v>7</v>
      </c>
      <c r="B13" s="4" t="s">
        <v>245</v>
      </c>
      <c r="C13" s="4" t="s">
        <v>246</v>
      </c>
      <c r="D13" s="4" t="s">
        <v>29</v>
      </c>
      <c r="E13" s="5">
        <v>8079</v>
      </c>
      <c r="F13" s="6">
        <v>68.328142499999998</v>
      </c>
      <c r="G13" s="7">
        <v>2.8975864E-2</v>
      </c>
      <c r="H13" s="39"/>
    </row>
    <row r="14" spans="1:14" x14ac:dyDescent="0.2">
      <c r="A14" s="3">
        <v>8</v>
      </c>
      <c r="B14" s="4" t="s">
        <v>164</v>
      </c>
      <c r="C14" s="4" t="s">
        <v>165</v>
      </c>
      <c r="D14" s="4" t="s">
        <v>82</v>
      </c>
      <c r="E14" s="5">
        <v>59758</v>
      </c>
      <c r="F14" s="6">
        <v>63.642270000000003</v>
      </c>
      <c r="G14" s="7">
        <v>2.6988729999999999E-2</v>
      </c>
      <c r="H14" s="39"/>
    </row>
    <row r="15" spans="1:14" x14ac:dyDescent="0.2">
      <c r="A15" s="3">
        <v>9</v>
      </c>
      <c r="B15" s="4" t="s">
        <v>241</v>
      </c>
      <c r="C15" s="4" t="s">
        <v>242</v>
      </c>
      <c r="D15" s="4" t="s">
        <v>1143</v>
      </c>
      <c r="E15" s="5">
        <v>1308</v>
      </c>
      <c r="F15" s="6">
        <v>62.330123999999998</v>
      </c>
      <c r="G15" s="7">
        <v>2.6432289000000001E-2</v>
      </c>
      <c r="H15" s="39"/>
    </row>
    <row r="16" spans="1:14" ht="15" x14ac:dyDescent="0.2">
      <c r="A16" s="3">
        <v>10</v>
      </c>
      <c r="B16" s="4" t="s">
        <v>459</v>
      </c>
      <c r="C16" s="4" t="s">
        <v>460</v>
      </c>
      <c r="D16" s="4" t="s">
        <v>71</v>
      </c>
      <c r="E16" s="5">
        <v>19247</v>
      </c>
      <c r="F16" s="6">
        <v>61.830987499999999</v>
      </c>
      <c r="G16" s="7">
        <v>2.6220621E-2</v>
      </c>
      <c r="H16" s="39"/>
      <c r="J16" s="176" t="s">
        <v>1178</v>
      </c>
    </row>
    <row r="17" spans="1:8" x14ac:dyDescent="0.2">
      <c r="A17" s="3">
        <v>11</v>
      </c>
      <c r="B17" s="4" t="s">
        <v>220</v>
      </c>
      <c r="C17" s="4" t="s">
        <v>221</v>
      </c>
      <c r="D17" s="4" t="s">
        <v>1149</v>
      </c>
      <c r="E17" s="5">
        <v>10907</v>
      </c>
      <c r="F17" s="6">
        <v>57.785285999999999</v>
      </c>
      <c r="G17" s="7">
        <v>2.4504963000000001E-2</v>
      </c>
      <c r="H17" s="39"/>
    </row>
    <row r="18" spans="1:8" x14ac:dyDescent="0.2">
      <c r="A18" s="3">
        <v>12</v>
      </c>
      <c r="B18" s="4" t="s">
        <v>283</v>
      </c>
      <c r="C18" s="4" t="s">
        <v>284</v>
      </c>
      <c r="D18" s="4" t="s">
        <v>29</v>
      </c>
      <c r="E18" s="5">
        <v>8948</v>
      </c>
      <c r="F18" s="6">
        <v>55.647612000000002</v>
      </c>
      <c r="G18" s="7">
        <v>2.3598441000000001E-2</v>
      </c>
      <c r="H18" s="39"/>
    </row>
    <row r="19" spans="1:8" x14ac:dyDescent="0.2">
      <c r="A19" s="3">
        <v>13</v>
      </c>
      <c r="B19" s="4" t="s">
        <v>239</v>
      </c>
      <c r="C19" s="4" t="s">
        <v>240</v>
      </c>
      <c r="D19" s="4" t="s">
        <v>1143</v>
      </c>
      <c r="E19" s="5">
        <v>8856</v>
      </c>
      <c r="F19" s="6">
        <v>53.228988000000001</v>
      </c>
      <c r="G19" s="7">
        <v>2.2572776999999999E-2</v>
      </c>
      <c r="H19" s="39"/>
    </row>
    <row r="20" spans="1:8" x14ac:dyDescent="0.2">
      <c r="A20" s="3">
        <v>14</v>
      </c>
      <c r="B20" s="4" t="s">
        <v>162</v>
      </c>
      <c r="C20" s="4" t="s">
        <v>163</v>
      </c>
      <c r="D20" s="4" t="s">
        <v>1026</v>
      </c>
      <c r="E20" s="5">
        <v>3450</v>
      </c>
      <c r="F20" s="6">
        <v>51.135899999999999</v>
      </c>
      <c r="G20" s="7">
        <v>2.1685163E-2</v>
      </c>
      <c r="H20" s="39"/>
    </row>
    <row r="21" spans="1:8" x14ac:dyDescent="0.2">
      <c r="A21" s="3">
        <v>15</v>
      </c>
      <c r="B21" s="4" t="s">
        <v>243</v>
      </c>
      <c r="C21" s="4" t="s">
        <v>244</v>
      </c>
      <c r="D21" s="4" t="s">
        <v>1157</v>
      </c>
      <c r="E21" s="5">
        <v>4329</v>
      </c>
      <c r="F21" s="6">
        <v>47.616835500000001</v>
      </c>
      <c r="G21" s="7">
        <v>2.0192835999999999E-2</v>
      </c>
      <c r="H21" s="39"/>
    </row>
    <row r="22" spans="1:8" x14ac:dyDescent="0.2">
      <c r="A22" s="3">
        <v>16</v>
      </c>
      <c r="B22" s="4" t="s">
        <v>226</v>
      </c>
      <c r="C22" s="4" t="s">
        <v>227</v>
      </c>
      <c r="D22" s="4" t="s">
        <v>82</v>
      </c>
      <c r="E22" s="5">
        <v>5830</v>
      </c>
      <c r="F22" s="6">
        <v>44.858935000000002</v>
      </c>
      <c r="G22" s="7">
        <v>1.9023294999999999E-2</v>
      </c>
      <c r="H22" s="39"/>
    </row>
    <row r="23" spans="1:8" x14ac:dyDescent="0.2">
      <c r="A23" s="3">
        <v>17</v>
      </c>
      <c r="B23" s="4" t="s">
        <v>465</v>
      </c>
      <c r="C23" s="4" t="s">
        <v>466</v>
      </c>
      <c r="D23" s="4" t="s">
        <v>71</v>
      </c>
      <c r="E23" s="5">
        <v>4578</v>
      </c>
      <c r="F23" s="6">
        <v>44.612609999999997</v>
      </c>
      <c r="G23" s="7">
        <v>1.8918836000000001E-2</v>
      </c>
      <c r="H23" s="39"/>
    </row>
    <row r="24" spans="1:8" x14ac:dyDescent="0.2">
      <c r="A24" s="3">
        <v>18</v>
      </c>
      <c r="B24" s="4" t="s">
        <v>166</v>
      </c>
      <c r="C24" s="4" t="s">
        <v>167</v>
      </c>
      <c r="D24" s="4" t="s">
        <v>1159</v>
      </c>
      <c r="E24" s="5">
        <v>3437</v>
      </c>
      <c r="F24" s="6">
        <v>43.3079185</v>
      </c>
      <c r="G24" s="7">
        <v>1.8365557000000001E-2</v>
      </c>
      <c r="H24" s="39"/>
    </row>
    <row r="25" spans="1:8" x14ac:dyDescent="0.2">
      <c r="A25" s="3">
        <v>19</v>
      </c>
      <c r="B25" s="4" t="s">
        <v>251</v>
      </c>
      <c r="C25" s="4" t="s">
        <v>252</v>
      </c>
      <c r="D25" s="4" t="s">
        <v>253</v>
      </c>
      <c r="E25" s="5">
        <v>15930</v>
      </c>
      <c r="F25" s="6">
        <v>42.995069999999998</v>
      </c>
      <c r="G25" s="7">
        <v>1.8232887E-2</v>
      </c>
      <c r="H25" s="39"/>
    </row>
    <row r="26" spans="1:8" x14ac:dyDescent="0.2">
      <c r="A26" s="3">
        <v>20</v>
      </c>
      <c r="B26" s="4" t="s">
        <v>30</v>
      </c>
      <c r="C26" s="4" t="s">
        <v>31</v>
      </c>
      <c r="D26" s="4" t="s">
        <v>29</v>
      </c>
      <c r="E26" s="5">
        <v>2365</v>
      </c>
      <c r="F26" s="6">
        <v>42.568817500000002</v>
      </c>
      <c r="G26" s="7">
        <v>1.8052127000000001E-2</v>
      </c>
      <c r="H26" s="39"/>
    </row>
    <row r="27" spans="1:8" ht="25.5" x14ac:dyDescent="0.2">
      <c r="A27" s="3">
        <v>21</v>
      </c>
      <c r="B27" s="4" t="s">
        <v>198</v>
      </c>
      <c r="C27" s="4" t="s">
        <v>199</v>
      </c>
      <c r="D27" s="4" t="s">
        <v>1138</v>
      </c>
      <c r="E27" s="5">
        <v>7139</v>
      </c>
      <c r="F27" s="6">
        <v>42.127239000000003</v>
      </c>
      <c r="G27" s="7">
        <v>1.7864867E-2</v>
      </c>
      <c r="H27" s="39"/>
    </row>
    <row r="28" spans="1:8" x14ac:dyDescent="0.2">
      <c r="A28" s="3">
        <v>22</v>
      </c>
      <c r="B28" s="4" t="s">
        <v>87</v>
      </c>
      <c r="C28" s="4" t="s">
        <v>88</v>
      </c>
      <c r="D28" s="4" t="s">
        <v>1157</v>
      </c>
      <c r="E28" s="5">
        <v>7883</v>
      </c>
      <c r="F28" s="6">
        <v>40.743285499999999</v>
      </c>
      <c r="G28" s="7">
        <v>1.7277975000000001E-2</v>
      </c>
      <c r="H28" s="39"/>
    </row>
    <row r="29" spans="1:8" x14ac:dyDescent="0.2">
      <c r="A29" s="3">
        <v>23</v>
      </c>
      <c r="B29" s="4" t="s">
        <v>461</v>
      </c>
      <c r="C29" s="4" t="s">
        <v>462</v>
      </c>
      <c r="D29" s="4" t="s">
        <v>1168</v>
      </c>
      <c r="E29" s="5">
        <v>1942</v>
      </c>
      <c r="F29" s="6">
        <v>40.156675999999997</v>
      </c>
      <c r="G29" s="7">
        <v>1.7029211999999998E-2</v>
      </c>
      <c r="H29" s="39"/>
    </row>
    <row r="30" spans="1:8" x14ac:dyDescent="0.2">
      <c r="A30" s="3">
        <v>24</v>
      </c>
      <c r="B30" s="4" t="s">
        <v>174</v>
      </c>
      <c r="C30" s="4" t="s">
        <v>175</v>
      </c>
      <c r="D30" s="4" t="s">
        <v>82</v>
      </c>
      <c r="E30" s="5">
        <v>6030</v>
      </c>
      <c r="F30" s="6">
        <v>38.076434999999996</v>
      </c>
      <c r="G30" s="7">
        <v>1.6147044999999999E-2</v>
      </c>
      <c r="H30" s="39"/>
    </row>
    <row r="31" spans="1:8" x14ac:dyDescent="0.2">
      <c r="A31" s="3">
        <v>25</v>
      </c>
      <c r="B31" s="4" t="s">
        <v>194</v>
      </c>
      <c r="C31" s="4" t="s">
        <v>195</v>
      </c>
      <c r="D31" s="4" t="s">
        <v>1027</v>
      </c>
      <c r="E31" s="5">
        <v>2656</v>
      </c>
      <c r="F31" s="6">
        <v>37.594352000000001</v>
      </c>
      <c r="G31" s="7">
        <v>1.5942609E-2</v>
      </c>
      <c r="H31" s="39"/>
    </row>
    <row r="32" spans="1:8" ht="25.5" x14ac:dyDescent="0.2">
      <c r="A32" s="3">
        <v>26</v>
      </c>
      <c r="B32" s="4" t="s">
        <v>42</v>
      </c>
      <c r="C32" s="4" t="s">
        <v>43</v>
      </c>
      <c r="D32" s="4" t="s">
        <v>1150</v>
      </c>
      <c r="E32" s="5">
        <v>1515</v>
      </c>
      <c r="F32" s="6">
        <v>36.834195000000001</v>
      </c>
      <c r="G32" s="7">
        <v>1.562025E-2</v>
      </c>
      <c r="H32" s="39"/>
    </row>
    <row r="33" spans="1:8" x14ac:dyDescent="0.2">
      <c r="A33" s="3">
        <v>27</v>
      </c>
      <c r="B33" s="4" t="s">
        <v>170</v>
      </c>
      <c r="C33" s="4" t="s">
        <v>171</v>
      </c>
      <c r="D33" s="4" t="s">
        <v>1027</v>
      </c>
      <c r="E33" s="5">
        <v>2381</v>
      </c>
      <c r="F33" s="6">
        <v>36.590017500000002</v>
      </c>
      <c r="G33" s="7">
        <v>1.5516701000000001E-2</v>
      </c>
      <c r="H33" s="39"/>
    </row>
    <row r="34" spans="1:8" x14ac:dyDescent="0.2">
      <c r="A34" s="3">
        <v>28</v>
      </c>
      <c r="B34" s="4" t="s">
        <v>206</v>
      </c>
      <c r="C34" s="4" t="s">
        <v>207</v>
      </c>
      <c r="D34" s="4" t="s">
        <v>1159</v>
      </c>
      <c r="E34" s="5">
        <v>3807</v>
      </c>
      <c r="F34" s="6">
        <v>35.319442500000001</v>
      </c>
      <c r="G34" s="7">
        <v>1.4977890000000001E-2</v>
      </c>
      <c r="H34" s="39"/>
    </row>
    <row r="35" spans="1:8" x14ac:dyDescent="0.2">
      <c r="A35" s="3">
        <v>29</v>
      </c>
      <c r="B35" s="4" t="s">
        <v>281</v>
      </c>
      <c r="C35" s="4" t="s">
        <v>282</v>
      </c>
      <c r="D35" s="4" t="s">
        <v>29</v>
      </c>
      <c r="E35" s="5">
        <v>1619</v>
      </c>
      <c r="F35" s="6">
        <v>34.664408999999999</v>
      </c>
      <c r="G35" s="7">
        <v>1.4700110000000001E-2</v>
      </c>
      <c r="H35" s="39"/>
    </row>
    <row r="36" spans="1:8" x14ac:dyDescent="0.2">
      <c r="A36" s="3">
        <v>30</v>
      </c>
      <c r="B36" s="4" t="s">
        <v>200</v>
      </c>
      <c r="C36" s="4" t="s">
        <v>201</v>
      </c>
      <c r="D36" s="4" t="s">
        <v>60</v>
      </c>
      <c r="E36" s="5">
        <v>40346</v>
      </c>
      <c r="F36" s="6">
        <v>34.616867999999997</v>
      </c>
      <c r="G36" s="7">
        <v>1.4679948999999999E-2</v>
      </c>
      <c r="H36" s="39"/>
    </row>
    <row r="37" spans="1:8" x14ac:dyDescent="0.2">
      <c r="A37" s="3">
        <v>31</v>
      </c>
      <c r="B37" s="4" t="s">
        <v>473</v>
      </c>
      <c r="C37" s="4" t="s">
        <v>474</v>
      </c>
      <c r="D37" s="4" t="s">
        <v>1155</v>
      </c>
      <c r="E37" s="5">
        <v>3820</v>
      </c>
      <c r="F37" s="6">
        <v>34.429659999999998</v>
      </c>
      <c r="G37" s="7">
        <v>1.460056E-2</v>
      </c>
      <c r="H37" s="39"/>
    </row>
    <row r="38" spans="1:8" ht="25.5" x14ac:dyDescent="0.2">
      <c r="A38" s="3">
        <v>32</v>
      </c>
      <c r="B38" s="4" t="s">
        <v>188</v>
      </c>
      <c r="C38" s="4" t="s">
        <v>189</v>
      </c>
      <c r="D38" s="4" t="s">
        <v>1158</v>
      </c>
      <c r="E38" s="5">
        <v>5082</v>
      </c>
      <c r="F38" s="6">
        <v>33.492921000000003</v>
      </c>
      <c r="G38" s="7">
        <v>1.4203317999999999E-2</v>
      </c>
      <c r="H38" s="39"/>
    </row>
    <row r="39" spans="1:8" x14ac:dyDescent="0.2">
      <c r="A39" s="3">
        <v>33</v>
      </c>
      <c r="B39" s="4" t="s">
        <v>180</v>
      </c>
      <c r="C39" s="4" t="s">
        <v>181</v>
      </c>
      <c r="D39" s="4" t="s">
        <v>1156</v>
      </c>
      <c r="E39" s="5">
        <v>9664</v>
      </c>
      <c r="F39" s="6">
        <v>30.94896</v>
      </c>
      <c r="G39" s="7">
        <v>1.3124502E-2</v>
      </c>
      <c r="H39" s="39"/>
    </row>
    <row r="40" spans="1:8" ht="25.5" x14ac:dyDescent="0.2">
      <c r="A40" s="3">
        <v>34</v>
      </c>
      <c r="B40" s="4" t="s">
        <v>262</v>
      </c>
      <c r="C40" s="4" t="s">
        <v>263</v>
      </c>
      <c r="D40" s="4" t="s">
        <v>1141</v>
      </c>
      <c r="E40" s="5">
        <v>10050</v>
      </c>
      <c r="F40" s="6">
        <v>29.617349999999998</v>
      </c>
      <c r="G40" s="7">
        <v>1.2559806999999999E-2</v>
      </c>
      <c r="H40" s="39"/>
    </row>
    <row r="41" spans="1:8" x14ac:dyDescent="0.2">
      <c r="A41" s="3">
        <v>35</v>
      </c>
      <c r="B41" s="4" t="s">
        <v>249</v>
      </c>
      <c r="C41" s="4" t="s">
        <v>250</v>
      </c>
      <c r="D41" s="4" t="s">
        <v>60</v>
      </c>
      <c r="E41" s="5">
        <v>7838</v>
      </c>
      <c r="F41" s="6">
        <v>28.745864999999998</v>
      </c>
      <c r="G41" s="7">
        <v>1.2190238000000001E-2</v>
      </c>
      <c r="H41" s="39"/>
    </row>
    <row r="42" spans="1:8" ht="25.5" x14ac:dyDescent="0.2">
      <c r="A42" s="3">
        <v>36</v>
      </c>
      <c r="B42" s="4" t="s">
        <v>196</v>
      </c>
      <c r="C42" s="4" t="s">
        <v>197</v>
      </c>
      <c r="D42" s="4" t="s">
        <v>1138</v>
      </c>
      <c r="E42" s="5">
        <v>1815</v>
      </c>
      <c r="F42" s="6">
        <v>28.584434999999999</v>
      </c>
      <c r="G42" s="7">
        <v>1.212178E-2</v>
      </c>
      <c r="H42" s="39"/>
    </row>
    <row r="43" spans="1:8" x14ac:dyDescent="0.2">
      <c r="A43" s="3">
        <v>37</v>
      </c>
      <c r="B43" s="4" t="s">
        <v>475</v>
      </c>
      <c r="C43" s="4" t="s">
        <v>476</v>
      </c>
      <c r="D43" s="4" t="s">
        <v>82</v>
      </c>
      <c r="E43" s="5">
        <v>3328</v>
      </c>
      <c r="F43" s="6">
        <v>28.278016000000001</v>
      </c>
      <c r="G43" s="7">
        <v>1.1991837E-2</v>
      </c>
      <c r="H43" s="39"/>
    </row>
    <row r="44" spans="1:8" x14ac:dyDescent="0.2">
      <c r="A44" s="3">
        <v>38</v>
      </c>
      <c r="B44" s="4" t="s">
        <v>190</v>
      </c>
      <c r="C44" s="4" t="s">
        <v>191</v>
      </c>
      <c r="D44" s="4" t="s">
        <v>1169</v>
      </c>
      <c r="E44" s="5">
        <v>31221</v>
      </c>
      <c r="F44" s="6">
        <v>27.911574000000002</v>
      </c>
      <c r="G44" s="7">
        <v>1.183644E-2</v>
      </c>
      <c r="H44" s="39"/>
    </row>
    <row r="45" spans="1:8" ht="25.5" x14ac:dyDescent="0.2">
      <c r="A45" s="3">
        <v>39</v>
      </c>
      <c r="B45" s="4" t="s">
        <v>159</v>
      </c>
      <c r="C45" s="4" t="s">
        <v>160</v>
      </c>
      <c r="D45" s="4" t="s">
        <v>1138</v>
      </c>
      <c r="E45" s="5">
        <v>7291</v>
      </c>
      <c r="F45" s="6">
        <v>27.4907155</v>
      </c>
      <c r="G45" s="7">
        <v>1.1657967E-2</v>
      </c>
      <c r="H45" s="39"/>
    </row>
    <row r="46" spans="1:8" x14ac:dyDescent="0.2">
      <c r="A46" s="3">
        <v>40</v>
      </c>
      <c r="B46" s="4" t="s">
        <v>471</v>
      </c>
      <c r="C46" s="4" t="s">
        <v>472</v>
      </c>
      <c r="D46" s="4" t="s">
        <v>1140</v>
      </c>
      <c r="E46" s="5">
        <v>4425</v>
      </c>
      <c r="F46" s="6">
        <v>26.510175</v>
      </c>
      <c r="G46" s="7">
        <v>1.1242149999999999E-2</v>
      </c>
      <c r="H46" s="39"/>
    </row>
    <row r="47" spans="1:8" x14ac:dyDescent="0.2">
      <c r="A47" s="3">
        <v>41</v>
      </c>
      <c r="B47" s="4" t="s">
        <v>266</v>
      </c>
      <c r="C47" s="4" t="s">
        <v>267</v>
      </c>
      <c r="D47" s="4" t="s">
        <v>1155</v>
      </c>
      <c r="E47" s="5">
        <v>17427</v>
      </c>
      <c r="F47" s="6">
        <v>26.227634999999999</v>
      </c>
      <c r="G47" s="7">
        <v>1.1122333999999999E-2</v>
      </c>
      <c r="H47" s="39"/>
    </row>
    <row r="48" spans="1:8" ht="25.5" x14ac:dyDescent="0.2">
      <c r="A48" s="3">
        <v>42</v>
      </c>
      <c r="B48" s="4" t="s">
        <v>168</v>
      </c>
      <c r="C48" s="4" t="s">
        <v>169</v>
      </c>
      <c r="D48" s="4" t="s">
        <v>1137</v>
      </c>
      <c r="E48" s="5">
        <v>10454</v>
      </c>
      <c r="F48" s="6">
        <v>25.141870000000001</v>
      </c>
      <c r="G48" s="7">
        <v>1.0661894E-2</v>
      </c>
      <c r="H48" s="39"/>
    </row>
    <row r="49" spans="1:8" x14ac:dyDescent="0.2">
      <c r="A49" s="3">
        <v>43</v>
      </c>
      <c r="B49" s="4" t="s">
        <v>351</v>
      </c>
      <c r="C49" s="4" t="s">
        <v>352</v>
      </c>
      <c r="D49" s="4" t="s">
        <v>1154</v>
      </c>
      <c r="E49" s="5">
        <v>700</v>
      </c>
      <c r="F49" s="6">
        <v>25.029199999999999</v>
      </c>
      <c r="G49" s="7">
        <v>1.0614113999999999E-2</v>
      </c>
      <c r="H49" s="39"/>
    </row>
    <row r="50" spans="1:8" x14ac:dyDescent="0.2">
      <c r="A50" s="3">
        <v>44</v>
      </c>
      <c r="B50" s="4" t="s">
        <v>270</v>
      </c>
      <c r="C50" s="4" t="s">
        <v>271</v>
      </c>
      <c r="D50" s="4" t="s">
        <v>1154</v>
      </c>
      <c r="E50" s="5">
        <v>4161</v>
      </c>
      <c r="F50" s="6">
        <v>24.520772999999998</v>
      </c>
      <c r="G50" s="7">
        <v>1.0398506E-2</v>
      </c>
      <c r="H50" s="39"/>
    </row>
    <row r="51" spans="1:8" ht="25.5" x14ac:dyDescent="0.2">
      <c r="A51" s="3">
        <v>45</v>
      </c>
      <c r="B51" s="4" t="s">
        <v>184</v>
      </c>
      <c r="C51" s="4" t="s">
        <v>185</v>
      </c>
      <c r="D51" s="4" t="s">
        <v>1145</v>
      </c>
      <c r="E51" s="5">
        <v>5379</v>
      </c>
      <c r="F51" s="6">
        <v>24.3372855</v>
      </c>
      <c r="G51" s="7">
        <v>1.0320694E-2</v>
      </c>
      <c r="H51" s="39"/>
    </row>
    <row r="52" spans="1:8" x14ac:dyDescent="0.2">
      <c r="A52" s="3">
        <v>46</v>
      </c>
      <c r="B52" s="4" t="s">
        <v>279</v>
      </c>
      <c r="C52" s="4" t="s">
        <v>280</v>
      </c>
      <c r="D52" s="4" t="s">
        <v>82</v>
      </c>
      <c r="E52" s="5">
        <v>38221</v>
      </c>
      <c r="F52" s="6">
        <v>23.601467499999998</v>
      </c>
      <c r="G52" s="7">
        <v>1.0008657000000001E-2</v>
      </c>
      <c r="H52" s="39"/>
    </row>
    <row r="53" spans="1:8" x14ac:dyDescent="0.2">
      <c r="A53" s="3">
        <v>47</v>
      </c>
      <c r="B53" s="4" t="s">
        <v>192</v>
      </c>
      <c r="C53" s="4" t="s">
        <v>193</v>
      </c>
      <c r="D53" s="4" t="s">
        <v>1026</v>
      </c>
      <c r="E53" s="5">
        <v>4776</v>
      </c>
      <c r="F53" s="6">
        <v>22.893756</v>
      </c>
      <c r="G53" s="7">
        <v>9.7085379999999992E-3</v>
      </c>
      <c r="H53" s="39"/>
    </row>
    <row r="54" spans="1:8" x14ac:dyDescent="0.2">
      <c r="A54" s="3">
        <v>48</v>
      </c>
      <c r="B54" s="4" t="s">
        <v>228</v>
      </c>
      <c r="C54" s="4" t="s">
        <v>229</v>
      </c>
      <c r="D54" s="4" t="s">
        <v>29</v>
      </c>
      <c r="E54" s="5">
        <v>2237</v>
      </c>
      <c r="F54" s="6">
        <v>22.816281499999999</v>
      </c>
      <c r="G54" s="7">
        <v>9.6756829999999992E-3</v>
      </c>
      <c r="H54" s="39"/>
    </row>
    <row r="55" spans="1:8" ht="25.5" x14ac:dyDescent="0.2">
      <c r="A55" s="3">
        <v>49</v>
      </c>
      <c r="B55" s="4" t="s">
        <v>182</v>
      </c>
      <c r="C55" s="4" t="s">
        <v>183</v>
      </c>
      <c r="D55" s="4" t="s">
        <v>1150</v>
      </c>
      <c r="E55" s="5">
        <v>10628</v>
      </c>
      <c r="F55" s="6">
        <v>20.150687999999999</v>
      </c>
      <c r="G55" s="7">
        <v>8.5452870000000004E-3</v>
      </c>
      <c r="H55" s="39"/>
    </row>
    <row r="56" spans="1:8" ht="25.5" x14ac:dyDescent="0.2">
      <c r="A56" s="3">
        <v>50</v>
      </c>
      <c r="B56" s="4" t="s">
        <v>216</v>
      </c>
      <c r="C56" s="4" t="s">
        <v>217</v>
      </c>
      <c r="D56" s="4" t="s">
        <v>1138</v>
      </c>
      <c r="E56" s="5">
        <v>472</v>
      </c>
      <c r="F56" s="6">
        <v>18.891328000000001</v>
      </c>
      <c r="G56" s="7">
        <v>8.0112310000000006E-3</v>
      </c>
      <c r="H56" s="39"/>
    </row>
    <row r="57" spans="1:8" x14ac:dyDescent="0.2">
      <c r="A57" s="3">
        <v>51</v>
      </c>
      <c r="B57" s="4" t="s">
        <v>469</v>
      </c>
      <c r="C57" s="4" t="s">
        <v>470</v>
      </c>
      <c r="D57" s="4" t="s">
        <v>29</v>
      </c>
      <c r="E57" s="5">
        <v>2300</v>
      </c>
      <c r="F57" s="6">
        <v>18.34825</v>
      </c>
      <c r="G57" s="7">
        <v>7.7809289999999998E-3</v>
      </c>
      <c r="H57" s="39"/>
    </row>
    <row r="58" spans="1:8" x14ac:dyDescent="0.2">
      <c r="A58" s="3">
        <v>52</v>
      </c>
      <c r="B58" s="4" t="s">
        <v>210</v>
      </c>
      <c r="C58" s="4" t="s">
        <v>211</v>
      </c>
      <c r="D58" s="4" t="s">
        <v>91</v>
      </c>
      <c r="E58" s="5">
        <v>2336</v>
      </c>
      <c r="F58" s="6">
        <v>18.021072</v>
      </c>
      <c r="G58" s="7">
        <v>7.6421830000000003E-3</v>
      </c>
      <c r="H58" s="39"/>
    </row>
    <row r="59" spans="1:8" ht="25.5" x14ac:dyDescent="0.2">
      <c r="A59" s="3">
        <v>53</v>
      </c>
      <c r="B59" s="4" t="s">
        <v>483</v>
      </c>
      <c r="C59" s="4" t="s">
        <v>484</v>
      </c>
      <c r="D59" s="4" t="s">
        <v>1138</v>
      </c>
      <c r="E59" s="5">
        <v>4476</v>
      </c>
      <c r="F59" s="6">
        <v>18.006948000000001</v>
      </c>
      <c r="G59" s="7">
        <v>7.6361930000000003E-3</v>
      </c>
      <c r="H59" s="39"/>
    </row>
    <row r="60" spans="1:8" ht="25.5" x14ac:dyDescent="0.2">
      <c r="A60" s="3">
        <v>54</v>
      </c>
      <c r="B60" s="4" t="s">
        <v>289</v>
      </c>
      <c r="C60" s="4" t="s">
        <v>290</v>
      </c>
      <c r="D60" s="4" t="s">
        <v>1153</v>
      </c>
      <c r="E60" s="5">
        <v>2245</v>
      </c>
      <c r="F60" s="6">
        <v>14.932617499999999</v>
      </c>
      <c r="G60" s="7">
        <v>6.3324640000000003E-3</v>
      </c>
      <c r="H60" s="39"/>
    </row>
    <row r="61" spans="1:8" x14ac:dyDescent="0.2">
      <c r="A61" s="3">
        <v>55</v>
      </c>
      <c r="B61" s="4" t="s">
        <v>208</v>
      </c>
      <c r="C61" s="4" t="s">
        <v>209</v>
      </c>
      <c r="D61" s="4" t="s">
        <v>71</v>
      </c>
      <c r="E61" s="5">
        <v>2393</v>
      </c>
      <c r="F61" s="6">
        <v>14.6918235</v>
      </c>
      <c r="G61" s="7">
        <v>6.2303510000000003E-3</v>
      </c>
      <c r="H61" s="39"/>
    </row>
    <row r="62" spans="1:8" x14ac:dyDescent="0.2">
      <c r="A62" s="3">
        <v>56</v>
      </c>
      <c r="B62" s="4" t="s">
        <v>218</v>
      </c>
      <c r="C62" s="4" t="s">
        <v>219</v>
      </c>
      <c r="D62" s="4" t="s">
        <v>1026</v>
      </c>
      <c r="E62" s="5">
        <v>11831</v>
      </c>
      <c r="F62" s="6">
        <v>11.9197325</v>
      </c>
      <c r="G62" s="7">
        <v>5.0547919999999998E-3</v>
      </c>
      <c r="H62" s="39"/>
    </row>
    <row r="63" spans="1:8" x14ac:dyDescent="0.2">
      <c r="A63" s="3">
        <v>57</v>
      </c>
      <c r="B63" s="4" t="s">
        <v>479</v>
      </c>
      <c r="C63" s="4" t="s">
        <v>480</v>
      </c>
      <c r="D63" s="4" t="s">
        <v>18</v>
      </c>
      <c r="E63" s="5">
        <v>5306</v>
      </c>
      <c r="F63" s="6">
        <v>11.203619</v>
      </c>
      <c r="G63" s="7">
        <v>4.7511100000000002E-3</v>
      </c>
      <c r="H63" s="39"/>
    </row>
    <row r="64" spans="1:8" x14ac:dyDescent="0.2">
      <c r="A64" s="3">
        <v>58</v>
      </c>
      <c r="B64" s="4" t="s">
        <v>104</v>
      </c>
      <c r="C64" s="4" t="s">
        <v>105</v>
      </c>
      <c r="D64" s="4" t="s">
        <v>1157</v>
      </c>
      <c r="E64" s="5">
        <v>14375</v>
      </c>
      <c r="F64" s="6">
        <v>11.176562499999999</v>
      </c>
      <c r="G64" s="7">
        <v>4.7396369999999997E-3</v>
      </c>
      <c r="H64" s="39"/>
    </row>
    <row r="65" spans="1:8" ht="25.5" x14ac:dyDescent="0.2">
      <c r="A65" s="3">
        <v>59</v>
      </c>
      <c r="B65" s="4" t="s">
        <v>222</v>
      </c>
      <c r="C65" s="4" t="s">
        <v>223</v>
      </c>
      <c r="D65" s="4" t="s">
        <v>1153</v>
      </c>
      <c r="E65" s="5">
        <v>1125</v>
      </c>
      <c r="F65" s="6">
        <v>10.360125</v>
      </c>
      <c r="G65" s="7">
        <v>4.3934100000000004E-3</v>
      </c>
      <c r="H65" s="39"/>
    </row>
    <row r="66" spans="1:8" x14ac:dyDescent="0.2">
      <c r="A66" s="3">
        <v>60</v>
      </c>
      <c r="B66" s="4" t="s">
        <v>212</v>
      </c>
      <c r="C66" s="4" t="s">
        <v>213</v>
      </c>
      <c r="D66" s="4" t="s">
        <v>308</v>
      </c>
      <c r="E66" s="5">
        <v>1566</v>
      </c>
      <c r="F66" s="6">
        <v>9.0765360000000008</v>
      </c>
      <c r="G66" s="7">
        <v>3.8490799999999999E-3</v>
      </c>
      <c r="H66" s="39"/>
    </row>
    <row r="67" spans="1:8" x14ac:dyDescent="0.2">
      <c r="A67" s="3">
        <v>61</v>
      </c>
      <c r="B67" s="4" t="s">
        <v>214</v>
      </c>
      <c r="C67" s="4" t="s">
        <v>215</v>
      </c>
      <c r="D67" s="4" t="s">
        <v>18</v>
      </c>
      <c r="E67" s="5">
        <v>7689</v>
      </c>
      <c r="F67" s="6">
        <v>5.3361660000000004</v>
      </c>
      <c r="G67" s="7">
        <v>2.262904E-3</v>
      </c>
      <c r="H67" s="39"/>
    </row>
    <row r="68" spans="1:8" x14ac:dyDescent="0.2">
      <c r="A68" s="3">
        <v>62</v>
      </c>
      <c r="B68" s="4" t="s">
        <v>202</v>
      </c>
      <c r="C68" s="4" t="s">
        <v>203</v>
      </c>
      <c r="D68" s="4" t="s">
        <v>71</v>
      </c>
      <c r="E68" s="5">
        <v>2084</v>
      </c>
      <c r="F68" s="6">
        <v>4.622312</v>
      </c>
      <c r="G68" s="7">
        <v>1.9601800000000002E-3</v>
      </c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9">
        <v>2268.2182665</v>
      </c>
      <c r="G69" s="10">
        <v>0.96188162600000005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113</v>
      </c>
      <c r="D71" s="1"/>
      <c r="E71" s="1"/>
      <c r="F71" s="1"/>
      <c r="G71" s="1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114</v>
      </c>
      <c r="D74" s="1"/>
      <c r="E74" s="1"/>
      <c r="F74" s="1"/>
      <c r="G74" s="1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115</v>
      </c>
      <c r="D77" s="1"/>
      <c r="E77" s="1"/>
      <c r="F77" s="1"/>
      <c r="G77" s="1"/>
      <c r="H77" s="39"/>
    </row>
    <row r="78" spans="1:8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116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117</v>
      </c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118</v>
      </c>
      <c r="D86" s="1"/>
      <c r="E86" s="1"/>
      <c r="F86" s="9">
        <v>2268.2182665</v>
      </c>
      <c r="G86" s="10">
        <v>0.96188162600000005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119</v>
      </c>
      <c r="D88" s="1"/>
      <c r="E88" s="1"/>
      <c r="F88" s="12"/>
      <c r="G88" s="12"/>
      <c r="H88" s="39"/>
    </row>
    <row r="89" spans="1:8" ht="25.5" x14ac:dyDescent="0.2">
      <c r="A89" s="1"/>
      <c r="B89" s="1"/>
      <c r="C89" s="2" t="s">
        <v>10</v>
      </c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120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121</v>
      </c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122</v>
      </c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123</v>
      </c>
      <c r="D101" s="1"/>
      <c r="E101" s="1"/>
      <c r="F101" s="9">
        <v>0</v>
      </c>
      <c r="G101" s="10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124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125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126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127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128</v>
      </c>
      <c r="D113" s="1"/>
      <c r="E113" s="1"/>
      <c r="F113" s="12"/>
      <c r="G113" s="12"/>
      <c r="H113" s="39"/>
    </row>
    <row r="114" spans="1:8" x14ac:dyDescent="0.2">
      <c r="A114" s="3">
        <v>1</v>
      </c>
      <c r="B114" s="4"/>
      <c r="C114" s="4" t="s">
        <v>129</v>
      </c>
      <c r="D114" s="4"/>
      <c r="E114" s="8"/>
      <c r="F114" s="6">
        <v>71.601033299999997</v>
      </c>
      <c r="G114" s="7">
        <v>3.0363797000000001E-2</v>
      </c>
      <c r="H114" s="39">
        <v>3.6151121728634927</v>
      </c>
    </row>
    <row r="115" spans="1:8" x14ac:dyDescent="0.2">
      <c r="A115" s="3">
        <v>2</v>
      </c>
      <c r="B115" s="4"/>
      <c r="C115" s="4" t="s">
        <v>130</v>
      </c>
      <c r="D115" s="4"/>
      <c r="E115" s="8"/>
      <c r="F115" s="6">
        <v>25.316479099999999</v>
      </c>
      <c r="G115" s="7">
        <v>1.0735939999999999E-2</v>
      </c>
      <c r="H115" s="39">
        <v>3.7142625760646584</v>
      </c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9">
        <v>96.917512400000007</v>
      </c>
      <c r="G116" s="10">
        <v>4.1099736999999997E-2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131</v>
      </c>
      <c r="D118" s="1"/>
      <c r="E118" s="1"/>
      <c r="F118" s="9">
        <v>96.917512400000007</v>
      </c>
      <c r="G118" s="10">
        <v>4.1099736999999997E-2</v>
      </c>
      <c r="H118" s="39"/>
    </row>
    <row r="119" spans="1:8" x14ac:dyDescent="0.2">
      <c r="A119" s="1"/>
      <c r="B119" s="1"/>
      <c r="C119" s="12"/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132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133</v>
      </c>
      <c r="D121" s="1"/>
      <c r="E121" s="1"/>
      <c r="F121" s="1"/>
      <c r="G121" s="1"/>
      <c r="H121" s="39"/>
    </row>
    <row r="122" spans="1:8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39"/>
    </row>
    <row r="123" spans="1:8" x14ac:dyDescent="0.2">
      <c r="A123" s="1"/>
      <c r="B123" s="1"/>
      <c r="C123" s="11"/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134</v>
      </c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135</v>
      </c>
      <c r="D125" s="1"/>
      <c r="E125" s="1"/>
      <c r="F125" s="1"/>
      <c r="G125" s="1"/>
      <c r="H125" s="39"/>
    </row>
    <row r="126" spans="1:8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ht="25.5" x14ac:dyDescent="0.2">
      <c r="A129" s="1"/>
      <c r="B129" s="1"/>
      <c r="C129" s="2" t="s">
        <v>136</v>
      </c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4"/>
      <c r="C132" s="4"/>
      <c r="D132" s="2"/>
      <c r="E132" s="1"/>
      <c r="F132" s="4"/>
      <c r="G132" s="8"/>
      <c r="H132" s="39"/>
    </row>
    <row r="133" spans="1:8" x14ac:dyDescent="0.2">
      <c r="A133" s="8"/>
      <c r="B133" s="4"/>
      <c r="C133" s="4" t="s">
        <v>137</v>
      </c>
      <c r="D133" s="4"/>
      <c r="E133" s="8"/>
      <c r="F133" s="6">
        <v>-7.0303698800000003</v>
      </c>
      <c r="G133" s="7">
        <v>-2.9813639999999998E-3</v>
      </c>
      <c r="H133" s="39"/>
    </row>
    <row r="134" spans="1:8" x14ac:dyDescent="0.2">
      <c r="A134" s="11"/>
      <c r="B134" s="11"/>
      <c r="C134" s="2" t="s">
        <v>138</v>
      </c>
      <c r="D134" s="15"/>
      <c r="E134" s="15"/>
      <c r="F134" s="9">
        <v>2358.10540902</v>
      </c>
      <c r="G134" s="10">
        <v>0.99999999900000003</v>
      </c>
      <c r="H134" s="39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194" t="s">
        <v>140</v>
      </c>
      <c r="C137" s="195"/>
      <c r="D137" s="12" t="s">
        <v>112</v>
      </c>
      <c r="E137" s="21"/>
      <c r="F137" s="20"/>
      <c r="G137" s="20"/>
    </row>
    <row r="138" spans="1:8" ht="29.1" customHeight="1" x14ac:dyDescent="0.2">
      <c r="A138" s="18"/>
      <c r="B138" s="189" t="s">
        <v>141</v>
      </c>
      <c r="C138" s="190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189" t="s">
        <v>143</v>
      </c>
      <c r="C139" s="190"/>
      <c r="D139" s="2" t="s">
        <v>142</v>
      </c>
      <c r="E139" s="21"/>
      <c r="F139" s="20"/>
      <c r="G139" s="20"/>
    </row>
    <row r="140" spans="1:8" ht="17.100000000000001" customHeight="1" x14ac:dyDescent="0.2">
      <c r="A140" s="18"/>
      <c r="B140" s="189" t="s">
        <v>144</v>
      </c>
      <c r="C140" s="190"/>
      <c r="D140" s="12" t="s">
        <v>112</v>
      </c>
      <c r="E140" s="21"/>
      <c r="F140" s="20"/>
      <c r="G140" s="20"/>
    </row>
    <row r="141" spans="1:8" ht="24" customHeight="1" x14ac:dyDescent="0.2">
      <c r="A141" s="22"/>
      <c r="B141" s="23" t="s">
        <v>112</v>
      </c>
      <c r="C141" s="23" t="s">
        <v>145</v>
      </c>
      <c r="D141" s="23" t="s">
        <v>146</v>
      </c>
      <c r="E141" s="22"/>
      <c r="F141" s="22"/>
      <c r="G141" s="22"/>
    </row>
    <row r="142" spans="1:8" ht="18" customHeight="1" x14ac:dyDescent="0.2">
      <c r="A142" s="22"/>
      <c r="B142" s="23" t="s">
        <v>147</v>
      </c>
      <c r="C142" s="23" t="s">
        <v>148</v>
      </c>
      <c r="D142" s="23" t="s">
        <v>149</v>
      </c>
      <c r="E142" s="22"/>
      <c r="F142" s="22"/>
      <c r="G142" s="22"/>
    </row>
    <row r="143" spans="1:8" ht="17.100000000000001" customHeight="1" x14ac:dyDescent="0.2">
      <c r="A143" s="22"/>
      <c r="B143" s="4" t="s">
        <v>150</v>
      </c>
      <c r="C143" s="24">
        <v>16.935600000000001</v>
      </c>
      <c r="D143" s="24">
        <v>18.252099999999999</v>
      </c>
      <c r="E143" s="22"/>
      <c r="F143" s="19"/>
      <c r="G143" s="25"/>
    </row>
    <row r="144" spans="1:8" ht="17.100000000000001" customHeight="1" x14ac:dyDescent="0.2">
      <c r="A144" s="22"/>
      <c r="B144" s="4" t="s">
        <v>1092</v>
      </c>
      <c r="C144" s="24">
        <v>16.353999999999999</v>
      </c>
      <c r="D144" s="24">
        <v>17.625299999999999</v>
      </c>
      <c r="E144" s="22"/>
      <c r="F144" s="19"/>
      <c r="G144" s="25"/>
    </row>
    <row r="145" spans="1:17" ht="17.100000000000001" customHeight="1" x14ac:dyDescent="0.2">
      <c r="A145" s="22"/>
      <c r="B145" s="4" t="s">
        <v>151</v>
      </c>
      <c r="C145" s="24">
        <v>16.7288</v>
      </c>
      <c r="D145" s="24">
        <v>18.0274</v>
      </c>
      <c r="E145" s="22"/>
      <c r="F145" s="19"/>
      <c r="G145" s="25"/>
    </row>
    <row r="146" spans="1:17" ht="17.100000000000001" customHeight="1" x14ac:dyDescent="0.2">
      <c r="A146" s="22"/>
      <c r="B146" s="4" t="s">
        <v>1093</v>
      </c>
      <c r="C146" s="24">
        <v>16.148399999999999</v>
      </c>
      <c r="D146" s="24">
        <v>17.401900000000001</v>
      </c>
      <c r="E146" s="22"/>
      <c r="F146" s="19"/>
      <c r="G146" s="25"/>
    </row>
    <row r="147" spans="1:17" ht="14.1" customHeight="1" x14ac:dyDescent="0.2">
      <c r="A147" s="22"/>
      <c r="B147" s="22"/>
      <c r="C147" s="22"/>
      <c r="D147" s="22"/>
      <c r="E147" s="22"/>
      <c r="F147" s="22"/>
      <c r="G147" s="22"/>
    </row>
    <row r="148" spans="1:17" ht="17.100000000000001" customHeight="1" x14ac:dyDescent="0.2">
      <c r="A148" s="22"/>
      <c r="B148" s="189" t="s">
        <v>1094</v>
      </c>
      <c r="C148" s="190"/>
      <c r="D148" s="2" t="s">
        <v>142</v>
      </c>
      <c r="E148" s="22"/>
      <c r="F148" s="22"/>
      <c r="G148" s="22"/>
    </row>
    <row r="149" spans="1:17" ht="18" customHeight="1" x14ac:dyDescent="0.2">
      <c r="A149" s="22"/>
      <c r="B149" s="26"/>
      <c r="C149" s="26"/>
      <c r="D149" s="27"/>
      <c r="E149" s="22"/>
      <c r="F149" s="22"/>
      <c r="G149" s="22"/>
    </row>
    <row r="150" spans="1:17" s="101" customFormat="1" x14ac:dyDescent="0.2">
      <c r="B150" s="193" t="s">
        <v>1102</v>
      </c>
      <c r="C150" s="193"/>
      <c r="D150" s="193"/>
      <c r="E150" s="193"/>
      <c r="F150" s="193"/>
      <c r="I150"/>
      <c r="J150"/>
      <c r="K150"/>
      <c r="L150"/>
      <c r="M150"/>
      <c r="N150"/>
      <c r="O150"/>
      <c r="P150" s="41"/>
      <c r="Q150" s="41"/>
    </row>
    <row r="151" spans="1:17" ht="14.1" customHeight="1" x14ac:dyDescent="0.2">
      <c r="A151" s="22"/>
      <c r="B151" s="19"/>
      <c r="C151" s="19"/>
      <c r="D151" s="22"/>
      <c r="E151" s="22"/>
      <c r="F151" s="22"/>
      <c r="G151" s="22"/>
    </row>
    <row r="152" spans="1:17" ht="29.1" customHeight="1" x14ac:dyDescent="0.2">
      <c r="A152" s="22"/>
      <c r="B152" s="189" t="s">
        <v>152</v>
      </c>
      <c r="C152" s="190"/>
      <c r="D152" s="2" t="s">
        <v>142</v>
      </c>
      <c r="E152" s="22"/>
      <c r="F152" s="22"/>
      <c r="G152" s="22"/>
    </row>
    <row r="153" spans="1:17" ht="29.1" customHeight="1" x14ac:dyDescent="0.2">
      <c r="A153" s="22"/>
      <c r="B153" s="189" t="s">
        <v>153</v>
      </c>
      <c r="C153" s="190"/>
      <c r="D153" s="2" t="s">
        <v>142</v>
      </c>
      <c r="E153" s="22"/>
      <c r="F153" s="22"/>
      <c r="G153" s="22"/>
    </row>
    <row r="154" spans="1:17" ht="17.100000000000001" customHeight="1" x14ac:dyDescent="0.2">
      <c r="A154" s="22"/>
      <c r="B154" s="189" t="s">
        <v>154</v>
      </c>
      <c r="C154" s="190"/>
      <c r="D154" s="28">
        <v>0.24527515098678085</v>
      </c>
      <c r="E154" s="22"/>
      <c r="F154" s="19"/>
      <c r="G154" s="25"/>
    </row>
    <row r="155" spans="1:17" ht="17.100000000000001" customHeight="1" x14ac:dyDescent="0.2">
      <c r="A155" s="22"/>
      <c r="B155" s="189" t="s">
        <v>155</v>
      </c>
      <c r="C155" s="190"/>
      <c r="D155" s="2" t="s">
        <v>142</v>
      </c>
      <c r="E155" s="22"/>
      <c r="F155" s="22"/>
      <c r="G155" s="22"/>
      <c r="J155" s="101"/>
      <c r="K155" s="101"/>
      <c r="L155" s="101"/>
      <c r="M155" s="101"/>
      <c r="N155" s="101"/>
      <c r="O155" s="101"/>
    </row>
  </sheetData>
  <mergeCells count="14">
    <mergeCell ref="B155:C155"/>
    <mergeCell ref="B138:C138"/>
    <mergeCell ref="B139:C139"/>
    <mergeCell ref="B140:C140"/>
    <mergeCell ref="B148:C148"/>
    <mergeCell ref="B152:C152"/>
    <mergeCell ref="B153:C153"/>
    <mergeCell ref="B154:C154"/>
    <mergeCell ref="A1:H1"/>
    <mergeCell ref="A2:H2"/>
    <mergeCell ref="A3:H3"/>
    <mergeCell ref="B150:F150"/>
    <mergeCell ref="J2:N2"/>
    <mergeCell ref="B137:C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Q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503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8300</v>
      </c>
      <c r="F7" s="6">
        <v>158.26855</v>
      </c>
      <c r="G7" s="7">
        <v>9.0164667000000004E-2</v>
      </c>
      <c r="H7" s="39"/>
    </row>
    <row r="8" spans="1:14" x14ac:dyDescent="0.2">
      <c r="A8" s="3">
        <v>2</v>
      </c>
      <c r="B8" s="4" t="s">
        <v>13</v>
      </c>
      <c r="C8" s="4" t="s">
        <v>14</v>
      </c>
      <c r="D8" s="4" t="s">
        <v>15</v>
      </c>
      <c r="E8" s="5">
        <v>5610</v>
      </c>
      <c r="F8" s="6">
        <v>147.80947499999999</v>
      </c>
      <c r="G8" s="7">
        <v>8.4206192999999999E-2</v>
      </c>
      <c r="H8" s="39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19709</v>
      </c>
      <c r="F9" s="6">
        <v>143.93482700000001</v>
      </c>
      <c r="G9" s="7">
        <v>8.1998828999999995E-2</v>
      </c>
      <c r="H9" s="39"/>
    </row>
    <row r="10" spans="1:14" x14ac:dyDescent="0.2">
      <c r="A10" s="3">
        <v>4</v>
      </c>
      <c r="B10" s="4" t="s">
        <v>388</v>
      </c>
      <c r="C10" s="4" t="s">
        <v>389</v>
      </c>
      <c r="D10" s="4" t="s">
        <v>18</v>
      </c>
      <c r="E10" s="5">
        <v>7350</v>
      </c>
      <c r="F10" s="6">
        <v>108.070725</v>
      </c>
      <c r="G10" s="7">
        <v>6.1567259999999999E-2</v>
      </c>
      <c r="H10" s="39"/>
    </row>
    <row r="11" spans="1:14" ht="25.5" x14ac:dyDescent="0.2">
      <c r="A11" s="3">
        <v>5</v>
      </c>
      <c r="B11" s="4" t="s">
        <v>390</v>
      </c>
      <c r="C11" s="4" t="s">
        <v>391</v>
      </c>
      <c r="D11" s="4" t="s">
        <v>82</v>
      </c>
      <c r="E11" s="5">
        <v>3376</v>
      </c>
      <c r="F11" s="6">
        <v>80.699904000000004</v>
      </c>
      <c r="G11" s="7">
        <v>4.5974263000000001E-2</v>
      </c>
      <c r="H11" s="39"/>
    </row>
    <row r="12" spans="1:14" x14ac:dyDescent="0.2">
      <c r="A12" s="3">
        <v>6</v>
      </c>
      <c r="B12" s="4" t="s">
        <v>49</v>
      </c>
      <c r="C12" s="4" t="s">
        <v>50</v>
      </c>
      <c r="D12" s="4" t="s">
        <v>18</v>
      </c>
      <c r="E12" s="5">
        <v>16051</v>
      </c>
      <c r="F12" s="6">
        <v>79.219710500000005</v>
      </c>
      <c r="G12" s="7">
        <v>4.5131006000000001E-2</v>
      </c>
      <c r="H12" s="39"/>
    </row>
    <row r="13" spans="1:14" x14ac:dyDescent="0.2">
      <c r="A13" s="3">
        <v>7</v>
      </c>
      <c r="B13" s="4" t="s">
        <v>317</v>
      </c>
      <c r="C13" s="4" t="s">
        <v>318</v>
      </c>
      <c r="D13" s="4" t="s">
        <v>1144</v>
      </c>
      <c r="E13" s="5">
        <v>7963</v>
      </c>
      <c r="F13" s="6">
        <v>74.955719000000002</v>
      </c>
      <c r="G13" s="7">
        <v>4.2701835E-2</v>
      </c>
      <c r="H13" s="39"/>
    </row>
    <row r="14" spans="1:14" x14ac:dyDescent="0.2">
      <c r="A14" s="3">
        <v>8</v>
      </c>
      <c r="B14" s="4" t="s">
        <v>300</v>
      </c>
      <c r="C14" s="4" t="s">
        <v>301</v>
      </c>
      <c r="D14" s="4" t="s">
        <v>18</v>
      </c>
      <c r="E14" s="5">
        <v>8341</v>
      </c>
      <c r="F14" s="6">
        <v>63.4875215</v>
      </c>
      <c r="G14" s="7">
        <v>3.6168470000000001E-2</v>
      </c>
      <c r="H14" s="39"/>
    </row>
    <row r="15" spans="1:14" ht="25.5" x14ac:dyDescent="0.2">
      <c r="A15" s="3">
        <v>9</v>
      </c>
      <c r="B15" s="4" t="s">
        <v>237</v>
      </c>
      <c r="C15" s="4" t="s">
        <v>238</v>
      </c>
      <c r="D15" s="4" t="s">
        <v>1153</v>
      </c>
      <c r="E15" s="5">
        <v>1505</v>
      </c>
      <c r="F15" s="6">
        <v>61.437109999999997</v>
      </c>
      <c r="G15" s="7">
        <v>3.5000362E-2</v>
      </c>
      <c r="H15" s="39"/>
      <c r="J15" s="176" t="s">
        <v>1178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60</v>
      </c>
      <c r="E16" s="5">
        <v>3340</v>
      </c>
      <c r="F16" s="6">
        <v>59.03951</v>
      </c>
      <c r="G16" s="7">
        <v>3.3634463000000003E-2</v>
      </c>
      <c r="H16" s="39"/>
    </row>
    <row r="17" spans="1:8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6757</v>
      </c>
      <c r="F17" s="6">
        <v>51.011971500000001</v>
      </c>
      <c r="G17" s="7">
        <v>2.9061222000000001E-2</v>
      </c>
      <c r="H17" s="39"/>
    </row>
    <row r="18" spans="1:8" ht="25.5" x14ac:dyDescent="0.2">
      <c r="A18" s="3">
        <v>12</v>
      </c>
      <c r="B18" s="4" t="s">
        <v>22</v>
      </c>
      <c r="C18" s="4" t="s">
        <v>23</v>
      </c>
      <c r="D18" s="4" t="s">
        <v>1150</v>
      </c>
      <c r="E18" s="5">
        <v>746</v>
      </c>
      <c r="F18" s="6">
        <v>49.253157999999999</v>
      </c>
      <c r="G18" s="7">
        <v>2.8059236000000001E-2</v>
      </c>
      <c r="H18" s="39"/>
    </row>
    <row r="19" spans="1:8" x14ac:dyDescent="0.2">
      <c r="A19" s="3">
        <v>13</v>
      </c>
      <c r="B19" s="4" t="s">
        <v>432</v>
      </c>
      <c r="C19" s="4" t="s">
        <v>433</v>
      </c>
      <c r="D19" s="4" t="s">
        <v>1146</v>
      </c>
      <c r="E19" s="5">
        <v>9000</v>
      </c>
      <c r="F19" s="6">
        <v>39.037500000000001</v>
      </c>
      <c r="G19" s="7">
        <v>2.2239434999999998E-2</v>
      </c>
      <c r="H19" s="39"/>
    </row>
    <row r="20" spans="1:8" x14ac:dyDescent="0.2">
      <c r="A20" s="3">
        <v>14</v>
      </c>
      <c r="B20" s="4" t="s">
        <v>251</v>
      </c>
      <c r="C20" s="4" t="s">
        <v>252</v>
      </c>
      <c r="D20" s="4" t="s">
        <v>253</v>
      </c>
      <c r="E20" s="5">
        <v>13877</v>
      </c>
      <c r="F20" s="6">
        <v>37.454022999999999</v>
      </c>
      <c r="G20" s="7">
        <v>2.1337338000000001E-2</v>
      </c>
      <c r="H20" s="39"/>
    </row>
    <row r="21" spans="1:8" x14ac:dyDescent="0.2">
      <c r="A21" s="3">
        <v>15</v>
      </c>
      <c r="B21" s="4" t="s">
        <v>454</v>
      </c>
      <c r="C21" s="4" t="s">
        <v>455</v>
      </c>
      <c r="D21" s="4" t="s">
        <v>71</v>
      </c>
      <c r="E21" s="5">
        <v>1421</v>
      </c>
      <c r="F21" s="6">
        <v>36.038691499999999</v>
      </c>
      <c r="G21" s="7">
        <v>2.0531032000000001E-2</v>
      </c>
      <c r="H21" s="39"/>
    </row>
    <row r="22" spans="1:8" x14ac:dyDescent="0.2">
      <c r="A22" s="3">
        <v>16</v>
      </c>
      <c r="B22" s="4" t="s">
        <v>392</v>
      </c>
      <c r="C22" s="4" t="s">
        <v>393</v>
      </c>
      <c r="D22" s="4" t="s">
        <v>1143</v>
      </c>
      <c r="E22" s="5">
        <v>960</v>
      </c>
      <c r="F22" s="6">
        <v>35.90352</v>
      </c>
      <c r="G22" s="7">
        <v>2.0454025000000001E-2</v>
      </c>
      <c r="H22" s="39"/>
    </row>
    <row r="23" spans="1:8" x14ac:dyDescent="0.2">
      <c r="A23" s="3">
        <v>17</v>
      </c>
      <c r="B23" s="4" t="s">
        <v>394</v>
      </c>
      <c r="C23" s="4" t="s">
        <v>395</v>
      </c>
      <c r="D23" s="4" t="s">
        <v>1142</v>
      </c>
      <c r="E23" s="5">
        <v>3200</v>
      </c>
      <c r="F23" s="6">
        <v>35.886400000000002</v>
      </c>
      <c r="G23" s="7">
        <v>2.0444271999999999E-2</v>
      </c>
      <c r="H23" s="39"/>
    </row>
    <row r="24" spans="1:8" x14ac:dyDescent="0.2">
      <c r="A24" s="3">
        <v>18</v>
      </c>
      <c r="B24" s="4" t="s">
        <v>400</v>
      </c>
      <c r="C24" s="4" t="s">
        <v>401</v>
      </c>
      <c r="D24" s="4" t="s">
        <v>1143</v>
      </c>
      <c r="E24" s="5">
        <v>3000</v>
      </c>
      <c r="F24" s="6">
        <v>34.912500000000001</v>
      </c>
      <c r="G24" s="7">
        <v>1.9889447000000001E-2</v>
      </c>
      <c r="H24" s="39"/>
    </row>
    <row r="25" spans="1:8" ht="25.5" x14ac:dyDescent="0.2">
      <c r="A25" s="3">
        <v>19</v>
      </c>
      <c r="B25" s="4" t="s">
        <v>353</v>
      </c>
      <c r="C25" s="4" t="s">
        <v>354</v>
      </c>
      <c r="D25" s="4" t="s">
        <v>1152</v>
      </c>
      <c r="E25" s="5">
        <v>4000</v>
      </c>
      <c r="F25" s="6">
        <v>31.984000000000002</v>
      </c>
      <c r="G25" s="7">
        <v>1.8221098000000002E-2</v>
      </c>
      <c r="H25" s="39"/>
    </row>
    <row r="26" spans="1:8" x14ac:dyDescent="0.2">
      <c r="A26" s="3">
        <v>20</v>
      </c>
      <c r="B26" s="4" t="s">
        <v>309</v>
      </c>
      <c r="C26" s="4" t="s">
        <v>310</v>
      </c>
      <c r="D26" s="4" t="s">
        <v>91</v>
      </c>
      <c r="E26" s="5">
        <v>6000</v>
      </c>
      <c r="F26" s="6">
        <v>31.971</v>
      </c>
      <c r="G26" s="7">
        <v>1.8213692E-2</v>
      </c>
      <c r="H26" s="39"/>
    </row>
    <row r="27" spans="1:8" x14ac:dyDescent="0.2">
      <c r="A27" s="3">
        <v>21</v>
      </c>
      <c r="B27" s="4" t="s">
        <v>408</v>
      </c>
      <c r="C27" s="4" t="s">
        <v>409</v>
      </c>
      <c r="D27" s="4" t="s">
        <v>1148</v>
      </c>
      <c r="E27" s="5">
        <v>12606</v>
      </c>
      <c r="F27" s="6">
        <v>31.596938999999999</v>
      </c>
      <c r="G27" s="7">
        <v>1.8000591E-2</v>
      </c>
      <c r="H27" s="39"/>
    </row>
    <row r="28" spans="1:8" x14ac:dyDescent="0.2">
      <c r="A28" s="3">
        <v>22</v>
      </c>
      <c r="B28" s="4" t="s">
        <v>304</v>
      </c>
      <c r="C28" s="4" t="s">
        <v>305</v>
      </c>
      <c r="D28" s="4" t="s">
        <v>18</v>
      </c>
      <c r="E28" s="5">
        <v>25574</v>
      </c>
      <c r="F28" s="6">
        <v>28.540583999999999</v>
      </c>
      <c r="G28" s="7">
        <v>1.6259404000000002E-2</v>
      </c>
      <c r="H28" s="39"/>
    </row>
    <row r="29" spans="1:8" x14ac:dyDescent="0.2">
      <c r="A29" s="3">
        <v>23</v>
      </c>
      <c r="B29" s="4" t="s">
        <v>415</v>
      </c>
      <c r="C29" s="4" t="s">
        <v>416</v>
      </c>
      <c r="D29" s="4" t="s">
        <v>18</v>
      </c>
      <c r="E29" s="5">
        <v>1570</v>
      </c>
      <c r="F29" s="6">
        <v>27.535444999999999</v>
      </c>
      <c r="G29" s="7">
        <v>1.5686782E-2</v>
      </c>
      <c r="H29" s="39"/>
    </row>
    <row r="30" spans="1:8" x14ac:dyDescent="0.2">
      <c r="A30" s="3">
        <v>24</v>
      </c>
      <c r="B30" s="4" t="s">
        <v>298</v>
      </c>
      <c r="C30" s="4" t="s">
        <v>299</v>
      </c>
      <c r="D30" s="4" t="s">
        <v>18</v>
      </c>
      <c r="E30" s="5">
        <v>25000</v>
      </c>
      <c r="F30" s="6">
        <v>24.35</v>
      </c>
      <c r="G30" s="7">
        <v>1.3872053000000001E-2</v>
      </c>
      <c r="H30" s="39"/>
    </row>
    <row r="31" spans="1:8" ht="25.5" x14ac:dyDescent="0.2">
      <c r="A31" s="3">
        <v>25</v>
      </c>
      <c r="B31" s="4" t="s">
        <v>396</v>
      </c>
      <c r="C31" s="4" t="s">
        <v>397</v>
      </c>
      <c r="D31" s="4" t="s">
        <v>1138</v>
      </c>
      <c r="E31" s="5">
        <v>2650</v>
      </c>
      <c r="F31" s="6">
        <v>24.240874999999999</v>
      </c>
      <c r="G31" s="7">
        <v>1.3809884999999999E-2</v>
      </c>
      <c r="H31" s="39"/>
    </row>
    <row r="32" spans="1:8" x14ac:dyDescent="0.2">
      <c r="A32" s="3">
        <v>26</v>
      </c>
      <c r="B32" s="4" t="s">
        <v>94</v>
      </c>
      <c r="C32" s="4" t="s">
        <v>95</v>
      </c>
      <c r="D32" s="4" t="s">
        <v>1154</v>
      </c>
      <c r="E32" s="5">
        <v>1240</v>
      </c>
      <c r="F32" s="6">
        <v>24.0808</v>
      </c>
      <c r="G32" s="7">
        <v>1.3718691E-2</v>
      </c>
      <c r="H32" s="39"/>
    </row>
    <row r="33" spans="1:8" x14ac:dyDescent="0.2">
      <c r="A33" s="3">
        <v>27</v>
      </c>
      <c r="B33" s="4" t="s">
        <v>61</v>
      </c>
      <c r="C33" s="4" t="s">
        <v>62</v>
      </c>
      <c r="D33" s="4" t="s">
        <v>1140</v>
      </c>
      <c r="E33" s="5">
        <v>3551</v>
      </c>
      <c r="F33" s="6">
        <v>23.868046499999998</v>
      </c>
      <c r="G33" s="7">
        <v>1.3597486000000001E-2</v>
      </c>
      <c r="H33" s="39"/>
    </row>
    <row r="34" spans="1:8" ht="25.5" x14ac:dyDescent="0.2">
      <c r="A34" s="3">
        <v>28</v>
      </c>
      <c r="B34" s="4" t="s">
        <v>188</v>
      </c>
      <c r="C34" s="4" t="s">
        <v>189</v>
      </c>
      <c r="D34" s="4" t="s">
        <v>1158</v>
      </c>
      <c r="E34" s="5">
        <v>3500</v>
      </c>
      <c r="F34" s="6">
        <v>23.066749999999999</v>
      </c>
      <c r="G34" s="7">
        <v>1.3140993E-2</v>
      </c>
      <c r="H34" s="39"/>
    </row>
    <row r="35" spans="1:8" ht="25.5" x14ac:dyDescent="0.2">
      <c r="A35" s="3">
        <v>29</v>
      </c>
      <c r="B35" s="4" t="s">
        <v>504</v>
      </c>
      <c r="C35" s="4" t="s">
        <v>505</v>
      </c>
      <c r="D35" s="4" t="s">
        <v>1150</v>
      </c>
      <c r="E35" s="5">
        <v>1871</v>
      </c>
      <c r="F35" s="6">
        <v>22.118962</v>
      </c>
      <c r="G35" s="7">
        <v>1.2601042999999999E-2</v>
      </c>
      <c r="H35" s="39"/>
    </row>
    <row r="36" spans="1:8" x14ac:dyDescent="0.2">
      <c r="A36" s="3">
        <v>30</v>
      </c>
      <c r="B36" s="4" t="s">
        <v>315</v>
      </c>
      <c r="C36" s="4" t="s">
        <v>316</v>
      </c>
      <c r="D36" s="4" t="s">
        <v>29</v>
      </c>
      <c r="E36" s="5">
        <v>1931</v>
      </c>
      <c r="F36" s="6">
        <v>21.652303</v>
      </c>
      <c r="G36" s="7">
        <v>1.2335189999999999E-2</v>
      </c>
      <c r="H36" s="39"/>
    </row>
    <row r="37" spans="1:8" x14ac:dyDescent="0.2">
      <c r="A37" s="3">
        <v>31</v>
      </c>
      <c r="B37" s="4" t="s">
        <v>40</v>
      </c>
      <c r="C37" s="4" t="s">
        <v>41</v>
      </c>
      <c r="D37" s="4" t="s">
        <v>15</v>
      </c>
      <c r="E37" s="5">
        <v>5912</v>
      </c>
      <c r="F37" s="6">
        <v>21.244772000000001</v>
      </c>
      <c r="G37" s="7">
        <v>1.2103022E-2</v>
      </c>
      <c r="H37" s="39"/>
    </row>
    <row r="38" spans="1:8" x14ac:dyDescent="0.2">
      <c r="A38" s="3">
        <v>32</v>
      </c>
      <c r="B38" s="4" t="s">
        <v>506</v>
      </c>
      <c r="C38" s="4" t="s">
        <v>507</v>
      </c>
      <c r="D38" s="4" t="s">
        <v>308</v>
      </c>
      <c r="E38" s="5">
        <v>7000</v>
      </c>
      <c r="F38" s="6">
        <v>21.146999999999998</v>
      </c>
      <c r="G38" s="7">
        <v>1.2047321999999999E-2</v>
      </c>
      <c r="H38" s="39"/>
    </row>
    <row r="39" spans="1:8" ht="25.5" x14ac:dyDescent="0.2">
      <c r="A39" s="3">
        <v>33</v>
      </c>
      <c r="B39" s="4" t="s">
        <v>508</v>
      </c>
      <c r="C39" s="4" t="s">
        <v>509</v>
      </c>
      <c r="D39" s="4" t="s">
        <v>1138</v>
      </c>
      <c r="E39" s="5">
        <v>1814</v>
      </c>
      <c r="F39" s="6">
        <v>18.467427000000001</v>
      </c>
      <c r="G39" s="7">
        <v>1.0520785E-2</v>
      </c>
      <c r="H39" s="39"/>
    </row>
    <row r="40" spans="1:8" ht="25.5" x14ac:dyDescent="0.2">
      <c r="A40" s="3">
        <v>34</v>
      </c>
      <c r="B40" s="4" t="s">
        <v>363</v>
      </c>
      <c r="C40" s="4" t="s">
        <v>364</v>
      </c>
      <c r="D40" s="4" t="s">
        <v>1145</v>
      </c>
      <c r="E40" s="5">
        <v>2272</v>
      </c>
      <c r="F40" s="6">
        <v>17.662527999999998</v>
      </c>
      <c r="G40" s="7">
        <v>1.0062239000000001E-2</v>
      </c>
      <c r="H40" s="39"/>
    </row>
    <row r="41" spans="1:8" x14ac:dyDescent="0.2">
      <c r="A41" s="3">
        <v>35</v>
      </c>
      <c r="B41" s="4" t="s">
        <v>402</v>
      </c>
      <c r="C41" s="4" t="s">
        <v>403</v>
      </c>
      <c r="D41" s="4" t="s">
        <v>1148</v>
      </c>
      <c r="E41" s="5">
        <v>788</v>
      </c>
      <c r="F41" s="6">
        <v>16.143362</v>
      </c>
      <c r="G41" s="7">
        <v>9.1967790000000004E-3</v>
      </c>
      <c r="H41" s="39"/>
    </row>
    <row r="42" spans="1:8" x14ac:dyDescent="0.2">
      <c r="A42" s="3">
        <v>36</v>
      </c>
      <c r="B42" s="4" t="s">
        <v>398</v>
      </c>
      <c r="C42" s="4" t="s">
        <v>399</v>
      </c>
      <c r="D42" s="4" t="s">
        <v>1143</v>
      </c>
      <c r="E42" s="5">
        <v>2582</v>
      </c>
      <c r="F42" s="6">
        <v>15.282857999999999</v>
      </c>
      <c r="G42" s="7">
        <v>8.7065549999999995E-3</v>
      </c>
      <c r="H42" s="39"/>
    </row>
    <row r="43" spans="1:8" ht="25.5" x14ac:dyDescent="0.2">
      <c r="A43" s="3">
        <v>37</v>
      </c>
      <c r="B43" s="4" t="s">
        <v>335</v>
      </c>
      <c r="C43" s="4" t="s">
        <v>336</v>
      </c>
      <c r="D43" s="4" t="s">
        <v>1138</v>
      </c>
      <c r="E43" s="5">
        <v>462</v>
      </c>
      <c r="F43" s="6">
        <v>15.119643</v>
      </c>
      <c r="G43" s="7">
        <v>8.6135719999999999E-3</v>
      </c>
      <c r="H43" s="39"/>
    </row>
    <row r="44" spans="1:8" ht="25.5" x14ac:dyDescent="0.2">
      <c r="A44" s="3">
        <v>38</v>
      </c>
      <c r="B44" s="4" t="s">
        <v>417</v>
      </c>
      <c r="C44" s="37" t="s">
        <v>1013</v>
      </c>
      <c r="D44" s="37" t="s">
        <v>21</v>
      </c>
      <c r="E44" s="5">
        <v>482</v>
      </c>
      <c r="F44" s="6">
        <v>1.908479</v>
      </c>
      <c r="G44" s="7">
        <v>1.087249E-3</v>
      </c>
      <c r="H44" s="39"/>
    </row>
    <row r="45" spans="1:8" x14ac:dyDescent="0.2">
      <c r="A45" s="1"/>
      <c r="B45" s="1"/>
      <c r="C45" s="2" t="s">
        <v>111</v>
      </c>
      <c r="D45" s="1"/>
      <c r="E45" s="1" t="s">
        <v>112</v>
      </c>
      <c r="F45" s="9">
        <v>1738.4025895</v>
      </c>
      <c r="G45" s="10">
        <v>0.99035778600000035</v>
      </c>
      <c r="H45" s="39"/>
    </row>
    <row r="46" spans="1:8" x14ac:dyDescent="0.2">
      <c r="A46" s="1"/>
      <c r="B46" s="1"/>
      <c r="C46" s="11"/>
      <c r="D46" s="1"/>
      <c r="E46" s="1"/>
      <c r="F46" s="12"/>
      <c r="G46" s="12"/>
      <c r="H46" s="39"/>
    </row>
    <row r="47" spans="1:8" x14ac:dyDescent="0.2">
      <c r="A47" s="1"/>
      <c r="B47" s="1"/>
      <c r="C47" s="2" t="s">
        <v>113</v>
      </c>
      <c r="D47" s="1"/>
      <c r="E47" s="1"/>
      <c r="F47" s="1"/>
      <c r="G47" s="1"/>
      <c r="H47" s="39"/>
    </row>
    <row r="48" spans="1:8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39"/>
    </row>
    <row r="49" spans="1:8" x14ac:dyDescent="0.2">
      <c r="A49" s="1"/>
      <c r="B49" s="1"/>
      <c r="C49" s="11"/>
      <c r="D49" s="1"/>
      <c r="E49" s="1"/>
      <c r="F49" s="12"/>
      <c r="G49" s="12"/>
      <c r="H49" s="39"/>
    </row>
    <row r="50" spans="1:8" x14ac:dyDescent="0.2">
      <c r="A50" s="1"/>
      <c r="B50" s="1"/>
      <c r="C50" s="2" t="s">
        <v>114</v>
      </c>
      <c r="D50" s="1"/>
      <c r="E50" s="1"/>
      <c r="F50" s="1"/>
      <c r="G50" s="1"/>
      <c r="H50" s="39"/>
    </row>
    <row r="51" spans="1:8" x14ac:dyDescent="0.2">
      <c r="A51" s="1"/>
      <c r="B51" s="1"/>
      <c r="C51" s="2" t="s">
        <v>111</v>
      </c>
      <c r="D51" s="1"/>
      <c r="E51" s="1" t="s">
        <v>112</v>
      </c>
      <c r="F51" s="13">
        <v>0</v>
      </c>
      <c r="G51" s="14">
        <v>0</v>
      </c>
      <c r="H51" s="39"/>
    </row>
    <row r="52" spans="1:8" x14ac:dyDescent="0.2">
      <c r="A52" s="1"/>
      <c r="B52" s="1"/>
      <c r="C52" s="11"/>
      <c r="D52" s="1"/>
      <c r="E52" s="1"/>
      <c r="F52" s="12"/>
      <c r="G52" s="12"/>
      <c r="H52" s="39"/>
    </row>
    <row r="53" spans="1:8" x14ac:dyDescent="0.2">
      <c r="A53" s="1"/>
      <c r="B53" s="1"/>
      <c r="C53" s="2" t="s">
        <v>115</v>
      </c>
      <c r="D53" s="1"/>
      <c r="E53" s="1"/>
      <c r="F53" s="1"/>
      <c r="G53" s="1"/>
      <c r="H53" s="39"/>
    </row>
    <row r="54" spans="1:8" x14ac:dyDescent="0.2">
      <c r="A54" s="1"/>
      <c r="B54" s="1"/>
      <c r="C54" s="2" t="s">
        <v>111</v>
      </c>
      <c r="D54" s="1"/>
      <c r="E54" s="1" t="s">
        <v>112</v>
      </c>
      <c r="F54" s="9">
        <v>1.908479</v>
      </c>
      <c r="G54" s="10">
        <v>1.087249E-3</v>
      </c>
      <c r="H54" s="39"/>
    </row>
    <row r="55" spans="1:8" x14ac:dyDescent="0.2">
      <c r="A55" s="1"/>
      <c r="B55" s="1"/>
      <c r="C55" s="11"/>
      <c r="D55" s="1"/>
      <c r="E55" s="1"/>
      <c r="F55" s="12"/>
      <c r="G55" s="12"/>
      <c r="H55" s="39"/>
    </row>
    <row r="56" spans="1:8" x14ac:dyDescent="0.2">
      <c r="A56" s="1"/>
      <c r="B56" s="1"/>
      <c r="C56" s="2" t="s">
        <v>116</v>
      </c>
      <c r="D56" s="1"/>
      <c r="E56" s="1"/>
      <c r="F56" s="12"/>
      <c r="G56" s="12"/>
      <c r="H56" s="39"/>
    </row>
    <row r="57" spans="1:8" x14ac:dyDescent="0.2">
      <c r="A57" s="1"/>
      <c r="B57" s="1"/>
      <c r="C57" s="2" t="s">
        <v>111</v>
      </c>
      <c r="D57" s="1"/>
      <c r="E57" s="1" t="s">
        <v>112</v>
      </c>
      <c r="F57" s="13">
        <v>0</v>
      </c>
      <c r="G57" s="14">
        <v>0</v>
      </c>
      <c r="H57" s="39"/>
    </row>
    <row r="58" spans="1:8" x14ac:dyDescent="0.2">
      <c r="A58" s="1"/>
      <c r="B58" s="1"/>
      <c r="C58" s="11"/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117</v>
      </c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39"/>
    </row>
    <row r="61" spans="1:8" x14ac:dyDescent="0.2">
      <c r="A61" s="1"/>
      <c r="B61" s="1"/>
      <c r="C61" s="11"/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118</v>
      </c>
      <c r="D62" s="1"/>
      <c r="E62" s="1"/>
      <c r="F62" s="9">
        <v>1738.4025895</v>
      </c>
      <c r="G62" s="10">
        <v>0.99035778600000002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119</v>
      </c>
      <c r="D64" s="1"/>
      <c r="E64" s="1"/>
      <c r="F64" s="12"/>
      <c r="G64" s="12"/>
      <c r="H64" s="39"/>
    </row>
    <row r="65" spans="1:8" ht="25.5" x14ac:dyDescent="0.2">
      <c r="A65" s="1"/>
      <c r="B65" s="1"/>
      <c r="C65" s="2" t="s">
        <v>10</v>
      </c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39"/>
    </row>
    <row r="67" spans="1:8" x14ac:dyDescent="0.2">
      <c r="A67" s="1"/>
      <c r="B67" s="1"/>
      <c r="C67" s="11"/>
      <c r="D67" s="1"/>
      <c r="E67" s="1"/>
      <c r="F67" s="12"/>
      <c r="G67" s="12"/>
      <c r="H67" s="39"/>
    </row>
    <row r="68" spans="1:8" x14ac:dyDescent="0.2">
      <c r="A68" s="1"/>
      <c r="B68" s="1"/>
      <c r="C68" s="2" t="s">
        <v>120</v>
      </c>
      <c r="D68" s="1"/>
      <c r="E68" s="1"/>
      <c r="F68" s="1"/>
      <c r="G68" s="1"/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121</v>
      </c>
      <c r="D71" s="1"/>
      <c r="E71" s="1"/>
      <c r="F71" s="1"/>
      <c r="G71" s="1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122</v>
      </c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123</v>
      </c>
      <c r="D77" s="1"/>
      <c r="E77" s="1"/>
      <c r="F77" s="9">
        <v>0</v>
      </c>
      <c r="G77" s="10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124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125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126</v>
      </c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127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128</v>
      </c>
      <c r="D89" s="1"/>
      <c r="E89" s="1"/>
      <c r="F89" s="12"/>
      <c r="G89" s="12"/>
      <c r="H89" s="39"/>
    </row>
    <row r="90" spans="1:8" x14ac:dyDescent="0.2">
      <c r="A90" s="3">
        <v>1</v>
      </c>
      <c r="B90" s="4"/>
      <c r="C90" s="4" t="s">
        <v>129</v>
      </c>
      <c r="D90" s="4"/>
      <c r="E90" s="8"/>
      <c r="F90" s="6">
        <v>11.374793800000001</v>
      </c>
      <c r="G90" s="7">
        <v>6.4801529999999998E-3</v>
      </c>
      <c r="H90" s="39">
        <v>3.6151121728634927</v>
      </c>
    </row>
    <row r="91" spans="1:8" x14ac:dyDescent="0.2">
      <c r="A91" s="3">
        <v>2</v>
      </c>
      <c r="B91" s="4"/>
      <c r="C91" s="4" t="s">
        <v>130</v>
      </c>
      <c r="D91" s="4"/>
      <c r="E91" s="8"/>
      <c r="F91" s="6">
        <v>4.0219136000000004</v>
      </c>
      <c r="G91" s="7">
        <v>2.2912610000000002E-3</v>
      </c>
      <c r="H91" s="39">
        <v>3.7142625760646584</v>
      </c>
    </row>
    <row r="92" spans="1:8" x14ac:dyDescent="0.2">
      <c r="A92" s="1"/>
      <c r="B92" s="1"/>
      <c r="C92" s="2" t="s">
        <v>111</v>
      </c>
      <c r="D92" s="1"/>
      <c r="E92" s="1" t="s">
        <v>112</v>
      </c>
      <c r="F92" s="9">
        <v>15.3967074</v>
      </c>
      <c r="G92" s="10">
        <v>8.7714139999999999E-3</v>
      </c>
      <c r="H92" s="39"/>
    </row>
    <row r="93" spans="1:8" x14ac:dyDescent="0.2">
      <c r="A93" s="1"/>
      <c r="B93" s="1"/>
      <c r="C93" s="11"/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131</v>
      </c>
      <c r="D94" s="1"/>
      <c r="E94" s="1"/>
      <c r="F94" s="9">
        <v>15.3967074</v>
      </c>
      <c r="G94" s="10">
        <v>8.7714139999999999E-3</v>
      </c>
      <c r="H94" s="39"/>
    </row>
    <row r="95" spans="1:8" x14ac:dyDescent="0.2">
      <c r="A95" s="1"/>
      <c r="B95" s="1"/>
      <c r="C95" s="12"/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132</v>
      </c>
      <c r="D96" s="1"/>
      <c r="E96" s="1"/>
      <c r="F96" s="1"/>
      <c r="G96" s="1"/>
      <c r="H96" s="39"/>
    </row>
    <row r="97" spans="1:8" x14ac:dyDescent="0.2">
      <c r="A97" s="1"/>
      <c r="B97" s="1"/>
      <c r="C97" s="2" t="s">
        <v>133</v>
      </c>
      <c r="D97" s="1"/>
      <c r="E97" s="1"/>
      <c r="F97" s="1"/>
      <c r="G97" s="1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134</v>
      </c>
      <c r="D100" s="1"/>
      <c r="E100" s="1"/>
      <c r="F100" s="1"/>
      <c r="G100" s="1"/>
      <c r="H100" s="39"/>
    </row>
    <row r="101" spans="1:8" x14ac:dyDescent="0.2">
      <c r="A101" s="1"/>
      <c r="B101" s="1"/>
      <c r="C101" s="2" t="s">
        <v>135</v>
      </c>
      <c r="D101" s="1"/>
      <c r="E101" s="1"/>
      <c r="F101" s="1"/>
      <c r="G101" s="1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ht="25.5" x14ac:dyDescent="0.2">
      <c r="A105" s="1"/>
      <c r="B105" s="1"/>
      <c r="C105" s="2" t="s">
        <v>136</v>
      </c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4"/>
      <c r="C108" s="4"/>
      <c r="D108" s="2"/>
      <c r="E108" s="1"/>
      <c r="F108" s="4"/>
      <c r="G108" s="8"/>
      <c r="H108" s="39"/>
    </row>
    <row r="109" spans="1:8" x14ac:dyDescent="0.2">
      <c r="A109" s="8"/>
      <c r="B109" s="4"/>
      <c r="C109" s="4" t="s">
        <v>137</v>
      </c>
      <c r="D109" s="4"/>
      <c r="E109" s="8"/>
      <c r="F109" s="6">
        <v>1.5285428999999999</v>
      </c>
      <c r="G109" s="7">
        <v>8.7080199999999995E-4</v>
      </c>
      <c r="H109" s="39"/>
    </row>
    <row r="110" spans="1:8" x14ac:dyDescent="0.2">
      <c r="A110" s="11"/>
      <c r="B110" s="11"/>
      <c r="C110" s="2" t="s">
        <v>138</v>
      </c>
      <c r="D110" s="15"/>
      <c r="E110" s="15"/>
      <c r="F110" s="9">
        <v>1755.3278398</v>
      </c>
      <c r="G110" s="10">
        <v>1.0000000019999999</v>
      </c>
      <c r="H110" s="39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17" ht="14.1" customHeight="1" x14ac:dyDescent="0.2">
      <c r="A113" s="18"/>
      <c r="B113" s="194" t="s">
        <v>140</v>
      </c>
      <c r="C113" s="195"/>
      <c r="D113" s="12" t="s">
        <v>112</v>
      </c>
      <c r="E113" s="21"/>
      <c r="F113" s="20"/>
      <c r="G113" s="20"/>
    </row>
    <row r="114" spans="1:17" ht="29.1" customHeight="1" x14ac:dyDescent="0.2">
      <c r="A114" s="18"/>
      <c r="B114" s="189" t="s">
        <v>141</v>
      </c>
      <c r="C114" s="190"/>
      <c r="D114" s="2" t="s">
        <v>142</v>
      </c>
      <c r="E114" s="21"/>
      <c r="F114" s="20"/>
      <c r="G114" s="20"/>
    </row>
    <row r="115" spans="1:17" ht="17.100000000000001" customHeight="1" x14ac:dyDescent="0.2">
      <c r="A115" s="18"/>
      <c r="B115" s="189" t="s">
        <v>143</v>
      </c>
      <c r="C115" s="190"/>
      <c r="D115" s="2" t="s">
        <v>142</v>
      </c>
      <c r="E115" s="21"/>
      <c r="F115" s="20"/>
      <c r="G115" s="20"/>
    </row>
    <row r="116" spans="1:17" ht="17.100000000000001" customHeight="1" x14ac:dyDescent="0.2">
      <c r="A116" s="18"/>
      <c r="B116" s="189" t="s">
        <v>144</v>
      </c>
      <c r="C116" s="190"/>
      <c r="D116" s="12" t="s">
        <v>112</v>
      </c>
      <c r="E116" s="21"/>
      <c r="F116" s="20"/>
      <c r="G116" s="20"/>
    </row>
    <row r="117" spans="1:17" ht="24" customHeight="1" x14ac:dyDescent="0.2">
      <c r="A117" s="22"/>
      <c r="B117" s="23" t="s">
        <v>112</v>
      </c>
      <c r="C117" s="23" t="s">
        <v>145</v>
      </c>
      <c r="D117" s="23" t="s">
        <v>146</v>
      </c>
      <c r="E117" s="22"/>
      <c r="F117" s="22"/>
      <c r="G117" s="22"/>
    </row>
    <row r="118" spans="1:17" ht="18" customHeight="1" x14ac:dyDescent="0.2">
      <c r="A118" s="22"/>
      <c r="B118" s="23" t="s">
        <v>147</v>
      </c>
      <c r="C118" s="23" t="s">
        <v>148</v>
      </c>
      <c r="D118" s="23" t="s">
        <v>149</v>
      </c>
      <c r="E118" s="22"/>
      <c r="F118" s="22"/>
      <c r="G118" s="22"/>
    </row>
    <row r="119" spans="1:17" ht="17.100000000000001" customHeight="1" x14ac:dyDescent="0.2">
      <c r="A119" s="22"/>
      <c r="B119" s="4" t="s">
        <v>150</v>
      </c>
      <c r="C119" s="24">
        <v>21.0807</v>
      </c>
      <c r="D119" s="24">
        <v>22.0868</v>
      </c>
      <c r="E119" s="22"/>
      <c r="F119" s="19"/>
      <c r="G119" s="25"/>
    </row>
    <row r="120" spans="1:17" ht="17.100000000000001" customHeight="1" x14ac:dyDescent="0.2">
      <c r="A120" s="22"/>
      <c r="B120" s="4" t="s">
        <v>1092</v>
      </c>
      <c r="C120" s="24">
        <v>17.5611</v>
      </c>
      <c r="D120" s="24">
        <v>18.399100000000001</v>
      </c>
      <c r="E120" s="22"/>
      <c r="F120" s="19"/>
      <c r="G120" s="25"/>
    </row>
    <row r="121" spans="1:17" ht="17.100000000000001" customHeight="1" x14ac:dyDescent="0.2">
      <c r="A121" s="22"/>
      <c r="B121" s="4" t="s">
        <v>151</v>
      </c>
      <c r="C121" s="24">
        <v>20.589400000000001</v>
      </c>
      <c r="D121" s="24">
        <v>21.5655</v>
      </c>
      <c r="E121" s="22"/>
      <c r="F121" s="19"/>
      <c r="G121" s="25"/>
    </row>
    <row r="122" spans="1:17" ht="17.100000000000001" customHeight="1" x14ac:dyDescent="0.2">
      <c r="A122" s="22"/>
      <c r="B122" s="4" t="s">
        <v>1093</v>
      </c>
      <c r="C122" s="24">
        <v>17.093299999999999</v>
      </c>
      <c r="D122" s="24">
        <v>17.903700000000001</v>
      </c>
      <c r="E122" s="22"/>
      <c r="F122" s="19"/>
      <c r="G122" s="25"/>
    </row>
    <row r="123" spans="1:17" ht="14.1" customHeight="1" x14ac:dyDescent="0.2">
      <c r="A123" s="22"/>
      <c r="B123" s="22"/>
      <c r="C123" s="22"/>
      <c r="D123" s="22"/>
      <c r="E123" s="22"/>
      <c r="F123" s="22"/>
      <c r="G123" s="22"/>
    </row>
    <row r="124" spans="1:17" ht="17.100000000000001" customHeight="1" x14ac:dyDescent="0.2">
      <c r="A124" s="22"/>
      <c r="B124" s="189" t="s">
        <v>1094</v>
      </c>
      <c r="C124" s="190"/>
      <c r="D124" s="2" t="s">
        <v>142</v>
      </c>
      <c r="E124" s="22"/>
      <c r="F124" s="22"/>
      <c r="G124" s="22"/>
    </row>
    <row r="125" spans="1:17" ht="18" customHeight="1" x14ac:dyDescent="0.2">
      <c r="A125" s="22"/>
      <c r="B125" s="26"/>
      <c r="C125" s="26"/>
      <c r="D125" s="27"/>
      <c r="E125" s="22"/>
      <c r="F125" s="22"/>
      <c r="G125" s="22"/>
    </row>
    <row r="126" spans="1:17" s="101" customFormat="1" x14ac:dyDescent="0.2">
      <c r="B126" s="193" t="s">
        <v>1102</v>
      </c>
      <c r="C126" s="193"/>
      <c r="D126" s="193"/>
      <c r="E126" s="193"/>
      <c r="F126" s="193"/>
      <c r="I126"/>
      <c r="J126"/>
      <c r="K126"/>
      <c r="L126"/>
      <c r="M126"/>
      <c r="N126"/>
      <c r="O126"/>
      <c r="P126" s="41"/>
      <c r="Q126" s="41"/>
    </row>
    <row r="127" spans="1:17" ht="14.1" customHeight="1" x14ac:dyDescent="0.2">
      <c r="A127" s="22"/>
      <c r="B127" s="19"/>
      <c r="C127" s="19"/>
      <c r="D127" s="22"/>
      <c r="E127" s="22"/>
      <c r="F127" s="22"/>
      <c r="G127" s="22"/>
    </row>
    <row r="128" spans="1:17" ht="29.1" customHeight="1" x14ac:dyDescent="0.2">
      <c r="A128" s="22"/>
      <c r="B128" s="189" t="s">
        <v>152</v>
      </c>
      <c r="C128" s="190"/>
      <c r="D128" s="2" t="s">
        <v>142</v>
      </c>
      <c r="E128" s="22"/>
      <c r="F128" s="22"/>
      <c r="G128" s="22"/>
    </row>
    <row r="129" spans="1:15" ht="29.1" customHeight="1" x14ac:dyDescent="0.2">
      <c r="A129" s="22"/>
      <c r="B129" s="189" t="s">
        <v>153</v>
      </c>
      <c r="C129" s="190"/>
      <c r="D129" s="2" t="s">
        <v>142</v>
      </c>
      <c r="E129" s="22"/>
      <c r="F129" s="22"/>
      <c r="G129" s="22"/>
    </row>
    <row r="130" spans="1:15" ht="17.100000000000001" customHeight="1" x14ac:dyDescent="0.2">
      <c r="A130" s="22"/>
      <c r="B130" s="189" t="s">
        <v>154</v>
      </c>
      <c r="C130" s="190"/>
      <c r="D130" s="28">
        <v>0.18057308855093138</v>
      </c>
      <c r="E130" s="22"/>
      <c r="F130" s="19"/>
      <c r="G130" s="25"/>
      <c r="J130" s="101"/>
      <c r="K130" s="101"/>
      <c r="L130" s="101"/>
      <c r="M130" s="101"/>
      <c r="N130" s="101"/>
      <c r="O130" s="101"/>
    </row>
    <row r="131" spans="1:15" ht="17.100000000000001" customHeight="1" x14ac:dyDescent="0.2">
      <c r="A131" s="22"/>
      <c r="B131" s="189" t="s">
        <v>155</v>
      </c>
      <c r="C131" s="190"/>
      <c r="D131" s="2" t="s">
        <v>142</v>
      </c>
      <c r="E131" s="22"/>
      <c r="F131" s="22"/>
      <c r="G131" s="22"/>
    </row>
  </sheetData>
  <mergeCells count="14">
    <mergeCell ref="B131:C131"/>
    <mergeCell ref="B114:C114"/>
    <mergeCell ref="B115:C115"/>
    <mergeCell ref="B116:C116"/>
    <mergeCell ref="B124:C124"/>
    <mergeCell ref="B128:C128"/>
    <mergeCell ref="B129:C129"/>
    <mergeCell ref="B130:C130"/>
    <mergeCell ref="A1:H1"/>
    <mergeCell ref="A2:H2"/>
    <mergeCell ref="A3:H3"/>
    <mergeCell ref="B126:F126"/>
    <mergeCell ref="J2:N2"/>
    <mergeCell ref="B113:C11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Q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510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6220</v>
      </c>
      <c r="F7" s="6">
        <v>118.60607</v>
      </c>
      <c r="G7" s="7">
        <v>9.2308962999999994E-2</v>
      </c>
      <c r="H7" s="39"/>
    </row>
    <row r="8" spans="1:14" x14ac:dyDescent="0.2">
      <c r="A8" s="3">
        <v>2</v>
      </c>
      <c r="B8" s="4" t="s">
        <v>13</v>
      </c>
      <c r="C8" s="4" t="s">
        <v>14</v>
      </c>
      <c r="D8" s="4" t="s">
        <v>15</v>
      </c>
      <c r="E8" s="5">
        <v>4029</v>
      </c>
      <c r="F8" s="6">
        <v>106.1540775</v>
      </c>
      <c r="G8" s="7">
        <v>8.2617802000000004E-2</v>
      </c>
      <c r="H8" s="39"/>
    </row>
    <row r="9" spans="1:14" x14ac:dyDescent="0.2">
      <c r="A9" s="3">
        <v>3</v>
      </c>
      <c r="B9" s="4" t="s">
        <v>16</v>
      </c>
      <c r="C9" s="4" t="s">
        <v>17</v>
      </c>
      <c r="D9" s="4" t="s">
        <v>18</v>
      </c>
      <c r="E9" s="5">
        <v>14156</v>
      </c>
      <c r="F9" s="6">
        <v>103.38126800000001</v>
      </c>
      <c r="G9" s="7">
        <v>8.0459773999999998E-2</v>
      </c>
      <c r="H9" s="39"/>
    </row>
    <row r="10" spans="1:14" x14ac:dyDescent="0.2">
      <c r="A10" s="3">
        <v>4</v>
      </c>
      <c r="B10" s="4" t="s">
        <v>388</v>
      </c>
      <c r="C10" s="4" t="s">
        <v>389</v>
      </c>
      <c r="D10" s="4" t="s">
        <v>18</v>
      </c>
      <c r="E10" s="5">
        <v>5280</v>
      </c>
      <c r="F10" s="6">
        <v>77.634479999999996</v>
      </c>
      <c r="G10" s="7">
        <v>6.0421514000000003E-2</v>
      </c>
      <c r="H10" s="39"/>
    </row>
    <row r="11" spans="1:14" x14ac:dyDescent="0.2">
      <c r="A11" s="3">
        <v>5</v>
      </c>
      <c r="B11" s="4" t="s">
        <v>49</v>
      </c>
      <c r="C11" s="4" t="s">
        <v>50</v>
      </c>
      <c r="D11" s="4" t="s">
        <v>18</v>
      </c>
      <c r="E11" s="5">
        <v>12121</v>
      </c>
      <c r="F11" s="6">
        <v>59.823195499999997</v>
      </c>
      <c r="G11" s="7">
        <v>4.6559312999999998E-2</v>
      </c>
      <c r="H11" s="39"/>
    </row>
    <row r="12" spans="1:14" ht="25.5" x14ac:dyDescent="0.2">
      <c r="A12" s="3">
        <v>6</v>
      </c>
      <c r="B12" s="4" t="s">
        <v>390</v>
      </c>
      <c r="C12" s="4" t="s">
        <v>391</v>
      </c>
      <c r="D12" s="4" t="s">
        <v>82</v>
      </c>
      <c r="E12" s="5">
        <v>2400</v>
      </c>
      <c r="F12" s="6">
        <v>57.369599999999998</v>
      </c>
      <c r="G12" s="7">
        <v>4.4649724000000002E-2</v>
      </c>
      <c r="H12" s="39"/>
    </row>
    <row r="13" spans="1:14" x14ac:dyDescent="0.2">
      <c r="A13" s="3">
        <v>7</v>
      </c>
      <c r="B13" s="4" t="s">
        <v>317</v>
      </c>
      <c r="C13" s="4" t="s">
        <v>318</v>
      </c>
      <c r="D13" s="4" t="s">
        <v>1144</v>
      </c>
      <c r="E13" s="5">
        <v>5800</v>
      </c>
      <c r="F13" s="6">
        <v>54.595399999999998</v>
      </c>
      <c r="G13" s="7">
        <v>4.2490614000000003E-2</v>
      </c>
      <c r="H13" s="39"/>
    </row>
    <row r="14" spans="1:14" ht="25.5" x14ac:dyDescent="0.2">
      <c r="A14" s="3">
        <v>8</v>
      </c>
      <c r="B14" s="4" t="s">
        <v>237</v>
      </c>
      <c r="C14" s="4" t="s">
        <v>238</v>
      </c>
      <c r="D14" s="4" t="s">
        <v>1153</v>
      </c>
      <c r="E14" s="5">
        <v>1104</v>
      </c>
      <c r="F14" s="6">
        <v>45.067487999999997</v>
      </c>
      <c r="G14" s="7">
        <v>3.5075212000000001E-2</v>
      </c>
      <c r="H14" s="39"/>
    </row>
    <row r="15" spans="1:14" ht="15" x14ac:dyDescent="0.2">
      <c r="A15" s="3">
        <v>9</v>
      </c>
      <c r="B15" s="4" t="s">
        <v>300</v>
      </c>
      <c r="C15" s="4" t="s">
        <v>301</v>
      </c>
      <c r="D15" s="4" t="s">
        <v>18</v>
      </c>
      <c r="E15" s="5">
        <v>5742</v>
      </c>
      <c r="F15" s="6">
        <v>43.705233</v>
      </c>
      <c r="G15" s="7">
        <v>3.4014994E-2</v>
      </c>
      <c r="H15" s="39"/>
      <c r="J15" s="176" t="s">
        <v>1178</v>
      </c>
    </row>
    <row r="16" spans="1:14" x14ac:dyDescent="0.2">
      <c r="A16" s="3">
        <v>10</v>
      </c>
      <c r="B16" s="4" t="s">
        <v>11</v>
      </c>
      <c r="C16" s="4" t="s">
        <v>12</v>
      </c>
      <c r="D16" s="4" t="s">
        <v>60</v>
      </c>
      <c r="E16" s="5">
        <v>2403</v>
      </c>
      <c r="F16" s="6">
        <v>42.476629500000001</v>
      </c>
      <c r="G16" s="7">
        <v>3.3058794000000002E-2</v>
      </c>
      <c r="H16" s="39"/>
    </row>
    <row r="17" spans="1:8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4918</v>
      </c>
      <c r="F17" s="6">
        <v>37.128441000000002</v>
      </c>
      <c r="G17" s="7">
        <v>2.8896394999999998E-2</v>
      </c>
      <c r="H17" s="39"/>
    </row>
    <row r="18" spans="1:8" ht="25.5" x14ac:dyDescent="0.2">
      <c r="A18" s="3">
        <v>12</v>
      </c>
      <c r="B18" s="4" t="s">
        <v>22</v>
      </c>
      <c r="C18" s="4" t="s">
        <v>23</v>
      </c>
      <c r="D18" s="4" t="s">
        <v>1150</v>
      </c>
      <c r="E18" s="5">
        <v>539</v>
      </c>
      <c r="F18" s="6">
        <v>35.586396999999998</v>
      </c>
      <c r="G18" s="7">
        <v>2.7696249999999999E-2</v>
      </c>
      <c r="H18" s="39"/>
    </row>
    <row r="19" spans="1:8" x14ac:dyDescent="0.2">
      <c r="A19" s="3">
        <v>13</v>
      </c>
      <c r="B19" s="4" t="s">
        <v>432</v>
      </c>
      <c r="C19" s="4" t="s">
        <v>433</v>
      </c>
      <c r="D19" s="4" t="s">
        <v>1146</v>
      </c>
      <c r="E19" s="5">
        <v>8169</v>
      </c>
      <c r="F19" s="6">
        <v>35.433037499999998</v>
      </c>
      <c r="G19" s="7">
        <v>2.7576893000000002E-2</v>
      </c>
      <c r="H19" s="39"/>
    </row>
    <row r="20" spans="1:8" ht="25.5" x14ac:dyDescent="0.2">
      <c r="A20" s="3">
        <v>14</v>
      </c>
      <c r="B20" s="4" t="s">
        <v>353</v>
      </c>
      <c r="C20" s="4" t="s">
        <v>354</v>
      </c>
      <c r="D20" s="4" t="s">
        <v>1152</v>
      </c>
      <c r="E20" s="5">
        <v>3400</v>
      </c>
      <c r="F20" s="6">
        <v>27.186399999999999</v>
      </c>
      <c r="G20" s="7">
        <v>2.1158684000000001E-2</v>
      </c>
      <c r="H20" s="39"/>
    </row>
    <row r="21" spans="1:8" x14ac:dyDescent="0.2">
      <c r="A21" s="3">
        <v>15</v>
      </c>
      <c r="B21" s="4" t="s">
        <v>392</v>
      </c>
      <c r="C21" s="4" t="s">
        <v>393</v>
      </c>
      <c r="D21" s="4" t="s">
        <v>1143</v>
      </c>
      <c r="E21" s="5">
        <v>723</v>
      </c>
      <c r="F21" s="6">
        <v>27.039838499999998</v>
      </c>
      <c r="G21" s="7">
        <v>2.1044618000000001E-2</v>
      </c>
      <c r="H21" s="39"/>
    </row>
    <row r="22" spans="1:8" x14ac:dyDescent="0.2">
      <c r="A22" s="3">
        <v>16</v>
      </c>
      <c r="B22" s="4" t="s">
        <v>454</v>
      </c>
      <c r="C22" s="4" t="s">
        <v>455</v>
      </c>
      <c r="D22" s="4" t="s">
        <v>71</v>
      </c>
      <c r="E22" s="5">
        <v>1032</v>
      </c>
      <c r="F22" s="6">
        <v>26.173068000000001</v>
      </c>
      <c r="G22" s="7">
        <v>2.0370025999999999E-2</v>
      </c>
      <c r="H22" s="39"/>
    </row>
    <row r="23" spans="1:8" x14ac:dyDescent="0.2">
      <c r="A23" s="3">
        <v>17</v>
      </c>
      <c r="B23" s="4" t="s">
        <v>251</v>
      </c>
      <c r="C23" s="4" t="s">
        <v>252</v>
      </c>
      <c r="D23" s="4" t="s">
        <v>253</v>
      </c>
      <c r="E23" s="5">
        <v>9188</v>
      </c>
      <c r="F23" s="6">
        <v>24.798411999999999</v>
      </c>
      <c r="G23" s="7">
        <v>1.9300155999999999E-2</v>
      </c>
      <c r="H23" s="39"/>
    </row>
    <row r="24" spans="1:8" x14ac:dyDescent="0.2">
      <c r="A24" s="3">
        <v>18</v>
      </c>
      <c r="B24" s="4" t="s">
        <v>408</v>
      </c>
      <c r="C24" s="4" t="s">
        <v>409</v>
      </c>
      <c r="D24" s="4" t="s">
        <v>1148</v>
      </c>
      <c r="E24" s="5">
        <v>9339</v>
      </c>
      <c r="F24" s="6">
        <v>23.408203499999999</v>
      </c>
      <c r="G24" s="7">
        <v>1.8218181999999999E-2</v>
      </c>
      <c r="H24" s="39"/>
    </row>
    <row r="25" spans="1:8" x14ac:dyDescent="0.2">
      <c r="A25" s="3">
        <v>19</v>
      </c>
      <c r="B25" s="4" t="s">
        <v>400</v>
      </c>
      <c r="C25" s="4" t="s">
        <v>401</v>
      </c>
      <c r="D25" s="4" t="s">
        <v>1143</v>
      </c>
      <c r="E25" s="5">
        <v>2000</v>
      </c>
      <c r="F25" s="6">
        <v>23.274999999999999</v>
      </c>
      <c r="G25" s="7">
        <v>1.8114511999999999E-2</v>
      </c>
      <c r="H25" s="39"/>
    </row>
    <row r="26" spans="1:8" x14ac:dyDescent="0.2">
      <c r="A26" s="3">
        <v>20</v>
      </c>
      <c r="B26" s="4" t="s">
        <v>415</v>
      </c>
      <c r="C26" s="4" t="s">
        <v>416</v>
      </c>
      <c r="D26" s="4" t="s">
        <v>18</v>
      </c>
      <c r="E26" s="5">
        <v>1305</v>
      </c>
      <c r="F26" s="6">
        <v>22.887742500000002</v>
      </c>
      <c r="G26" s="7">
        <v>1.7813117E-2</v>
      </c>
      <c r="H26" s="39"/>
    </row>
    <row r="27" spans="1:8" x14ac:dyDescent="0.2">
      <c r="A27" s="3">
        <v>21</v>
      </c>
      <c r="B27" s="4" t="s">
        <v>394</v>
      </c>
      <c r="C27" s="4" t="s">
        <v>395</v>
      </c>
      <c r="D27" s="4" t="s">
        <v>1142</v>
      </c>
      <c r="E27" s="5">
        <v>2000</v>
      </c>
      <c r="F27" s="6">
        <v>22.428999999999998</v>
      </c>
      <c r="G27" s="7">
        <v>1.7456085999999999E-2</v>
      </c>
      <c r="H27" s="39"/>
    </row>
    <row r="28" spans="1:8" x14ac:dyDescent="0.2">
      <c r="A28" s="3">
        <v>22</v>
      </c>
      <c r="B28" s="4" t="s">
        <v>309</v>
      </c>
      <c r="C28" s="4" t="s">
        <v>310</v>
      </c>
      <c r="D28" s="4" t="s">
        <v>91</v>
      </c>
      <c r="E28" s="5">
        <v>4100</v>
      </c>
      <c r="F28" s="6">
        <v>21.84685</v>
      </c>
      <c r="G28" s="7">
        <v>1.7003008999999999E-2</v>
      </c>
      <c r="H28" s="39"/>
    </row>
    <row r="29" spans="1:8" x14ac:dyDescent="0.2">
      <c r="A29" s="3">
        <v>23</v>
      </c>
      <c r="B29" s="4" t="s">
        <v>298</v>
      </c>
      <c r="C29" s="4" t="s">
        <v>299</v>
      </c>
      <c r="D29" s="4" t="s">
        <v>18</v>
      </c>
      <c r="E29" s="5">
        <v>22387</v>
      </c>
      <c r="F29" s="6">
        <v>21.804938</v>
      </c>
      <c r="G29" s="7">
        <v>1.6970389999999998E-2</v>
      </c>
      <c r="H29" s="39"/>
    </row>
    <row r="30" spans="1:8" ht="25.5" x14ac:dyDescent="0.2">
      <c r="A30" s="3">
        <v>24</v>
      </c>
      <c r="B30" s="4" t="s">
        <v>188</v>
      </c>
      <c r="C30" s="4" t="s">
        <v>189</v>
      </c>
      <c r="D30" s="4" t="s">
        <v>1158</v>
      </c>
      <c r="E30" s="5">
        <v>3000</v>
      </c>
      <c r="F30" s="6">
        <v>19.7715</v>
      </c>
      <c r="G30" s="7">
        <v>1.5387801E-2</v>
      </c>
      <c r="H30" s="39"/>
    </row>
    <row r="31" spans="1:8" x14ac:dyDescent="0.2">
      <c r="A31" s="3">
        <v>25</v>
      </c>
      <c r="B31" s="4" t="s">
        <v>315</v>
      </c>
      <c r="C31" s="4" t="s">
        <v>316</v>
      </c>
      <c r="D31" s="4" t="s">
        <v>29</v>
      </c>
      <c r="E31" s="5">
        <v>1677</v>
      </c>
      <c r="F31" s="6">
        <v>18.804200999999999</v>
      </c>
      <c r="G31" s="7">
        <v>1.4634970000000001E-2</v>
      </c>
      <c r="H31" s="39"/>
    </row>
    <row r="32" spans="1:8" x14ac:dyDescent="0.2">
      <c r="A32" s="3">
        <v>26</v>
      </c>
      <c r="B32" s="4" t="s">
        <v>94</v>
      </c>
      <c r="C32" s="4" t="s">
        <v>95</v>
      </c>
      <c r="D32" s="4" t="s">
        <v>1154</v>
      </c>
      <c r="E32" s="5">
        <v>890</v>
      </c>
      <c r="F32" s="6">
        <v>17.283799999999999</v>
      </c>
      <c r="G32" s="7">
        <v>1.3451668999999999E-2</v>
      </c>
      <c r="H32" s="39"/>
    </row>
    <row r="33" spans="1:8" x14ac:dyDescent="0.2">
      <c r="A33" s="3">
        <v>27</v>
      </c>
      <c r="B33" s="4" t="s">
        <v>61</v>
      </c>
      <c r="C33" s="4" t="s">
        <v>62</v>
      </c>
      <c r="D33" s="4" t="s">
        <v>1140</v>
      </c>
      <c r="E33" s="5">
        <v>2553</v>
      </c>
      <c r="F33" s="6">
        <v>17.159989499999998</v>
      </c>
      <c r="G33" s="7">
        <v>1.335531E-2</v>
      </c>
      <c r="H33" s="39"/>
    </row>
    <row r="34" spans="1:8" ht="25.5" x14ac:dyDescent="0.2">
      <c r="A34" s="3">
        <v>28</v>
      </c>
      <c r="B34" s="4" t="s">
        <v>504</v>
      </c>
      <c r="C34" s="4" t="s">
        <v>505</v>
      </c>
      <c r="D34" s="4" t="s">
        <v>1150</v>
      </c>
      <c r="E34" s="5">
        <v>1362</v>
      </c>
      <c r="F34" s="6">
        <v>16.101564</v>
      </c>
      <c r="G34" s="7">
        <v>1.2531557E-2</v>
      </c>
      <c r="H34" s="39"/>
    </row>
    <row r="35" spans="1:8" x14ac:dyDescent="0.2">
      <c r="A35" s="3">
        <v>29</v>
      </c>
      <c r="B35" s="4" t="s">
        <v>40</v>
      </c>
      <c r="C35" s="4" t="s">
        <v>41</v>
      </c>
      <c r="D35" s="4" t="s">
        <v>15</v>
      </c>
      <c r="E35" s="5">
        <v>4293</v>
      </c>
      <c r="F35" s="6">
        <v>15.426895500000001</v>
      </c>
      <c r="G35" s="7">
        <v>1.2006474E-2</v>
      </c>
      <c r="H35" s="39"/>
    </row>
    <row r="36" spans="1:8" x14ac:dyDescent="0.2">
      <c r="A36" s="3">
        <v>30</v>
      </c>
      <c r="B36" s="4" t="s">
        <v>506</v>
      </c>
      <c r="C36" s="4" t="s">
        <v>507</v>
      </c>
      <c r="D36" s="4" t="s">
        <v>308</v>
      </c>
      <c r="E36" s="5">
        <v>5000</v>
      </c>
      <c r="F36" s="6">
        <v>15.105</v>
      </c>
      <c r="G36" s="7">
        <v>1.1755949E-2</v>
      </c>
      <c r="H36" s="39"/>
    </row>
    <row r="37" spans="1:8" x14ac:dyDescent="0.2">
      <c r="A37" s="3">
        <v>31</v>
      </c>
      <c r="B37" s="4" t="s">
        <v>304</v>
      </c>
      <c r="C37" s="4" t="s">
        <v>305</v>
      </c>
      <c r="D37" s="4" t="s">
        <v>18</v>
      </c>
      <c r="E37" s="5">
        <v>13106</v>
      </c>
      <c r="F37" s="6">
        <v>14.626296</v>
      </c>
      <c r="G37" s="7">
        <v>1.1383381999999999E-2</v>
      </c>
      <c r="H37" s="39"/>
    </row>
    <row r="38" spans="1:8" ht="25.5" x14ac:dyDescent="0.2">
      <c r="A38" s="3">
        <v>32</v>
      </c>
      <c r="B38" s="4" t="s">
        <v>508</v>
      </c>
      <c r="C38" s="4" t="s">
        <v>509</v>
      </c>
      <c r="D38" s="4" t="s">
        <v>1138</v>
      </c>
      <c r="E38" s="5">
        <v>1305</v>
      </c>
      <c r="F38" s="6">
        <v>13.2855525</v>
      </c>
      <c r="G38" s="7">
        <v>1.0339905999999999E-2</v>
      </c>
      <c r="H38" s="39"/>
    </row>
    <row r="39" spans="1:8" ht="25.5" x14ac:dyDescent="0.2">
      <c r="A39" s="3">
        <v>33</v>
      </c>
      <c r="B39" s="4" t="s">
        <v>363</v>
      </c>
      <c r="C39" s="4" t="s">
        <v>364</v>
      </c>
      <c r="D39" s="4" t="s">
        <v>1145</v>
      </c>
      <c r="E39" s="5">
        <v>1652</v>
      </c>
      <c r="F39" s="6">
        <v>12.842648000000001</v>
      </c>
      <c r="G39" s="7">
        <v>9.9952010000000004E-3</v>
      </c>
      <c r="H39" s="39"/>
    </row>
    <row r="40" spans="1:8" x14ac:dyDescent="0.2">
      <c r="A40" s="3">
        <v>34</v>
      </c>
      <c r="B40" s="4" t="s">
        <v>402</v>
      </c>
      <c r="C40" s="4" t="s">
        <v>403</v>
      </c>
      <c r="D40" s="4" t="s">
        <v>1148</v>
      </c>
      <c r="E40" s="5">
        <v>556</v>
      </c>
      <c r="F40" s="6">
        <v>11.390494</v>
      </c>
      <c r="G40" s="7">
        <v>8.8650159999999999E-3</v>
      </c>
      <c r="H40" s="39"/>
    </row>
    <row r="41" spans="1:8" x14ac:dyDescent="0.2">
      <c r="A41" s="3">
        <v>35</v>
      </c>
      <c r="B41" s="4" t="s">
        <v>398</v>
      </c>
      <c r="C41" s="4" t="s">
        <v>399</v>
      </c>
      <c r="D41" s="4" t="s">
        <v>1143</v>
      </c>
      <c r="E41" s="5">
        <v>1875</v>
      </c>
      <c r="F41" s="6">
        <v>11.098125</v>
      </c>
      <c r="G41" s="7">
        <v>8.6374699999999995E-3</v>
      </c>
      <c r="H41" s="39"/>
    </row>
    <row r="42" spans="1:8" ht="25.5" x14ac:dyDescent="0.2">
      <c r="A42" s="3">
        <v>36</v>
      </c>
      <c r="B42" s="4" t="s">
        <v>335</v>
      </c>
      <c r="C42" s="4" t="s">
        <v>336</v>
      </c>
      <c r="D42" s="4" t="s">
        <v>1138</v>
      </c>
      <c r="E42" s="5">
        <v>334</v>
      </c>
      <c r="F42" s="6">
        <v>10.930650999999999</v>
      </c>
      <c r="G42" s="7">
        <v>8.5071279999999992E-3</v>
      </c>
      <c r="H42" s="39"/>
    </row>
    <row r="43" spans="1:8" ht="25.5" x14ac:dyDescent="0.2">
      <c r="A43" s="3">
        <v>37</v>
      </c>
      <c r="B43" s="4" t="s">
        <v>417</v>
      </c>
      <c r="C43" s="37" t="s">
        <v>1013</v>
      </c>
      <c r="D43" s="37" t="s">
        <v>21</v>
      </c>
      <c r="E43" s="5">
        <v>351</v>
      </c>
      <c r="F43" s="6">
        <v>1.3897845</v>
      </c>
      <c r="G43" s="7">
        <v>1.0816440000000001E-3</v>
      </c>
      <c r="H43" s="39"/>
    </row>
    <row r="44" spans="1:8" x14ac:dyDescent="0.2">
      <c r="A44" s="1"/>
      <c r="B44" s="1"/>
      <c r="C44" s="2" t="s">
        <v>111</v>
      </c>
      <c r="D44" s="1"/>
      <c r="E44" s="1" t="s">
        <v>112</v>
      </c>
      <c r="F44" s="9">
        <v>1253.0272704999998</v>
      </c>
      <c r="G44" s="10">
        <v>0.97520849899999995</v>
      </c>
      <c r="H44" s="39"/>
    </row>
    <row r="45" spans="1:8" x14ac:dyDescent="0.2">
      <c r="A45" s="1"/>
      <c r="B45" s="1"/>
      <c r="C45" s="11"/>
      <c r="D45" s="1"/>
      <c r="E45" s="1"/>
      <c r="F45" s="12"/>
      <c r="G45" s="12"/>
      <c r="H45" s="39"/>
    </row>
    <row r="46" spans="1:8" x14ac:dyDescent="0.2">
      <c r="A46" s="1"/>
      <c r="B46" s="1"/>
      <c r="C46" s="2" t="s">
        <v>113</v>
      </c>
      <c r="D46" s="1"/>
      <c r="E46" s="1"/>
      <c r="F46" s="1"/>
      <c r="G46" s="1"/>
      <c r="H46" s="39"/>
    </row>
    <row r="47" spans="1:8" x14ac:dyDescent="0.2">
      <c r="A47" s="1"/>
      <c r="B47" s="1"/>
      <c r="C47" s="2" t="s">
        <v>111</v>
      </c>
      <c r="D47" s="1"/>
      <c r="E47" s="1" t="s">
        <v>112</v>
      </c>
      <c r="F47" s="13">
        <v>0</v>
      </c>
      <c r="G47" s="14">
        <v>0</v>
      </c>
      <c r="H47" s="39"/>
    </row>
    <row r="48" spans="1:8" x14ac:dyDescent="0.2">
      <c r="A48" s="1"/>
      <c r="B48" s="1"/>
      <c r="C48" s="11"/>
      <c r="D48" s="1"/>
      <c r="E48" s="1"/>
      <c r="F48" s="12"/>
      <c r="G48" s="12"/>
      <c r="H48" s="39"/>
    </row>
    <row r="49" spans="1:8" x14ac:dyDescent="0.2">
      <c r="A49" s="1"/>
      <c r="B49" s="1"/>
      <c r="C49" s="2" t="s">
        <v>114</v>
      </c>
      <c r="D49" s="1"/>
      <c r="E49" s="1"/>
      <c r="F49" s="1"/>
      <c r="G49" s="1"/>
      <c r="H49" s="39"/>
    </row>
    <row r="50" spans="1:8" x14ac:dyDescent="0.2">
      <c r="A50" s="1"/>
      <c r="B50" s="1"/>
      <c r="C50" s="2" t="s">
        <v>111</v>
      </c>
      <c r="D50" s="1"/>
      <c r="E50" s="1" t="s">
        <v>112</v>
      </c>
      <c r="F50" s="13">
        <v>0</v>
      </c>
      <c r="G50" s="14">
        <v>0</v>
      </c>
      <c r="H50" s="39"/>
    </row>
    <row r="51" spans="1:8" x14ac:dyDescent="0.2">
      <c r="A51" s="1"/>
      <c r="B51" s="1"/>
      <c r="C51" s="11"/>
      <c r="D51" s="1"/>
      <c r="E51" s="1"/>
      <c r="F51" s="12"/>
      <c r="G51" s="12"/>
      <c r="H51" s="39"/>
    </row>
    <row r="52" spans="1:8" x14ac:dyDescent="0.2">
      <c r="A52" s="1"/>
      <c r="B52" s="1"/>
      <c r="C52" s="2" t="s">
        <v>115</v>
      </c>
      <c r="D52" s="1"/>
      <c r="E52" s="1"/>
      <c r="F52" s="1"/>
      <c r="G52" s="1"/>
      <c r="H52" s="39"/>
    </row>
    <row r="53" spans="1:8" x14ac:dyDescent="0.2">
      <c r="A53" s="1"/>
      <c r="B53" s="1"/>
      <c r="C53" s="2" t="s">
        <v>111</v>
      </c>
      <c r="D53" s="1"/>
      <c r="E53" s="1" t="s">
        <v>112</v>
      </c>
      <c r="F53" s="9">
        <v>0</v>
      </c>
      <c r="G53" s="10">
        <v>0</v>
      </c>
      <c r="H53" s="39"/>
    </row>
    <row r="54" spans="1:8" x14ac:dyDescent="0.2">
      <c r="A54" s="1"/>
      <c r="B54" s="1"/>
      <c r="C54" s="11"/>
      <c r="D54" s="1"/>
      <c r="E54" s="1"/>
      <c r="F54" s="12"/>
      <c r="G54" s="12"/>
      <c r="H54" s="39"/>
    </row>
    <row r="55" spans="1:8" x14ac:dyDescent="0.2">
      <c r="A55" s="1"/>
      <c r="B55" s="1"/>
      <c r="C55" s="2" t="s">
        <v>116</v>
      </c>
      <c r="D55" s="1"/>
      <c r="E55" s="1"/>
      <c r="F55" s="12"/>
      <c r="G55" s="12"/>
      <c r="H55" s="39"/>
    </row>
    <row r="56" spans="1:8" x14ac:dyDescent="0.2">
      <c r="A56" s="1"/>
      <c r="B56" s="1"/>
      <c r="C56" s="2" t="s">
        <v>111</v>
      </c>
      <c r="D56" s="1"/>
      <c r="E56" s="1" t="s">
        <v>112</v>
      </c>
      <c r="F56" s="13">
        <v>0</v>
      </c>
      <c r="G56" s="14">
        <v>0</v>
      </c>
      <c r="H56" s="39"/>
    </row>
    <row r="57" spans="1:8" x14ac:dyDescent="0.2">
      <c r="A57" s="1"/>
      <c r="B57" s="1"/>
      <c r="C57" s="11"/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117</v>
      </c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111</v>
      </c>
      <c r="D59" s="1"/>
      <c r="E59" s="1" t="s">
        <v>112</v>
      </c>
      <c r="F59" s="13">
        <v>0</v>
      </c>
      <c r="G59" s="14">
        <v>0</v>
      </c>
      <c r="H59" s="39"/>
    </row>
    <row r="60" spans="1:8" x14ac:dyDescent="0.2">
      <c r="A60" s="1"/>
      <c r="B60" s="1"/>
      <c r="C60" s="11"/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118</v>
      </c>
      <c r="D61" s="1"/>
      <c r="E61" s="1"/>
      <c r="F61" s="9">
        <v>1253.0272705</v>
      </c>
      <c r="G61" s="10">
        <v>0.97520849899999995</v>
      </c>
      <c r="H61" s="39"/>
    </row>
    <row r="62" spans="1:8" x14ac:dyDescent="0.2">
      <c r="A62" s="1"/>
      <c r="B62" s="1"/>
      <c r="C62" s="11"/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119</v>
      </c>
      <c r="D63" s="1"/>
      <c r="E63" s="1"/>
      <c r="F63" s="12"/>
      <c r="G63" s="12"/>
      <c r="H63" s="39"/>
    </row>
    <row r="64" spans="1:8" ht="25.5" x14ac:dyDescent="0.2">
      <c r="A64" s="1"/>
      <c r="B64" s="1"/>
      <c r="C64" s="2" t="s">
        <v>10</v>
      </c>
      <c r="D64" s="1"/>
      <c r="E64" s="1"/>
      <c r="F64" s="12"/>
      <c r="G64" s="12"/>
      <c r="H64" s="39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39"/>
    </row>
    <row r="66" spans="1:8" x14ac:dyDescent="0.2">
      <c r="A66" s="1"/>
      <c r="B66" s="1"/>
      <c r="C66" s="11"/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120</v>
      </c>
      <c r="D67" s="1"/>
      <c r="E67" s="1"/>
      <c r="F67" s="1"/>
      <c r="G67" s="1"/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121</v>
      </c>
      <c r="D70" s="1"/>
      <c r="E70" s="1"/>
      <c r="F70" s="1"/>
      <c r="G70" s="1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122</v>
      </c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123</v>
      </c>
      <c r="D76" s="1"/>
      <c r="E76" s="1"/>
      <c r="F76" s="9">
        <v>0</v>
      </c>
      <c r="G76" s="10">
        <v>0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124</v>
      </c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125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126</v>
      </c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127</v>
      </c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128</v>
      </c>
      <c r="D88" s="1"/>
      <c r="E88" s="1"/>
      <c r="F88" s="12"/>
      <c r="G88" s="12"/>
      <c r="H88" s="39"/>
    </row>
    <row r="89" spans="1:8" x14ac:dyDescent="0.2">
      <c r="A89" s="3">
        <v>1</v>
      </c>
      <c r="B89" s="4"/>
      <c r="C89" s="4" t="s">
        <v>129</v>
      </c>
      <c r="D89" s="4"/>
      <c r="E89" s="8"/>
      <c r="F89" s="6">
        <v>22.374136</v>
      </c>
      <c r="G89" s="7">
        <v>1.7413385999999999E-2</v>
      </c>
      <c r="H89" s="39">
        <v>3.6151121728634927</v>
      </c>
    </row>
    <row r="90" spans="1:8" x14ac:dyDescent="0.2">
      <c r="A90" s="3">
        <v>2</v>
      </c>
      <c r="B90" s="4"/>
      <c r="C90" s="4" t="s">
        <v>130</v>
      </c>
      <c r="D90" s="4"/>
      <c r="E90" s="8"/>
      <c r="F90" s="6">
        <v>7.9109860999999997</v>
      </c>
      <c r="G90" s="7">
        <v>6.1569779999999996E-3</v>
      </c>
      <c r="H90" s="39">
        <v>3.7142625760646584</v>
      </c>
    </row>
    <row r="91" spans="1:8" x14ac:dyDescent="0.2">
      <c r="A91" s="1"/>
      <c r="B91" s="1"/>
      <c r="C91" s="2" t="s">
        <v>111</v>
      </c>
      <c r="D91" s="1"/>
      <c r="E91" s="1" t="s">
        <v>112</v>
      </c>
      <c r="F91" s="9">
        <v>30.285122099999999</v>
      </c>
      <c r="G91" s="10">
        <v>2.3570364E-2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131</v>
      </c>
      <c r="D93" s="1"/>
      <c r="E93" s="1"/>
      <c r="F93" s="9">
        <v>30.285122099999999</v>
      </c>
      <c r="G93" s="10">
        <v>2.3570364E-2</v>
      </c>
      <c r="H93" s="39"/>
    </row>
    <row r="94" spans="1:8" x14ac:dyDescent="0.2">
      <c r="A94" s="1"/>
      <c r="B94" s="1"/>
      <c r="C94" s="12"/>
      <c r="D94" s="1"/>
      <c r="E94" s="1"/>
      <c r="F94" s="1"/>
      <c r="G94" s="1"/>
      <c r="H94" s="39"/>
    </row>
    <row r="95" spans="1:8" x14ac:dyDescent="0.2">
      <c r="A95" s="1"/>
      <c r="B95" s="1"/>
      <c r="C95" s="2" t="s">
        <v>132</v>
      </c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133</v>
      </c>
      <c r="D96" s="1"/>
      <c r="E96" s="1"/>
      <c r="F96" s="1"/>
      <c r="G96" s="1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134</v>
      </c>
      <c r="D99" s="1"/>
      <c r="E99" s="1"/>
      <c r="F99" s="1"/>
      <c r="G99" s="1"/>
      <c r="H99" s="39"/>
    </row>
    <row r="100" spans="1:8" x14ac:dyDescent="0.2">
      <c r="A100" s="1"/>
      <c r="B100" s="1"/>
      <c r="C100" s="2" t="s">
        <v>135</v>
      </c>
      <c r="D100" s="1"/>
      <c r="E100" s="1"/>
      <c r="F100" s="1"/>
      <c r="G100" s="1"/>
      <c r="H100" s="39"/>
    </row>
    <row r="101" spans="1:8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ht="25.5" x14ac:dyDescent="0.2">
      <c r="A104" s="1"/>
      <c r="B104" s="1"/>
      <c r="C104" s="2" t="s">
        <v>136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4"/>
      <c r="C107" s="4"/>
      <c r="D107" s="2"/>
      <c r="E107" s="1"/>
      <c r="F107" s="4"/>
      <c r="G107" s="8"/>
      <c r="H107" s="39"/>
    </row>
    <row r="108" spans="1:8" x14ac:dyDescent="0.2">
      <c r="A108" s="8"/>
      <c r="B108" s="4"/>
      <c r="C108" s="4" t="s">
        <v>137</v>
      </c>
      <c r="D108" s="4"/>
      <c r="E108" s="8"/>
      <c r="F108" s="6">
        <v>1.5690128000000001</v>
      </c>
      <c r="G108" s="7">
        <v>1.221134E-3</v>
      </c>
      <c r="H108" s="39"/>
    </row>
    <row r="109" spans="1:8" x14ac:dyDescent="0.2">
      <c r="A109" s="11"/>
      <c r="B109" s="11"/>
      <c r="C109" s="2" t="s">
        <v>138</v>
      </c>
      <c r="D109" s="15"/>
      <c r="E109" s="15"/>
      <c r="F109" s="9">
        <v>1284.8814053999999</v>
      </c>
      <c r="G109" s="10">
        <v>0.99999999699999997</v>
      </c>
      <c r="H109" s="39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194" t="s">
        <v>140</v>
      </c>
      <c r="C112" s="195"/>
      <c r="D112" s="12" t="s">
        <v>112</v>
      </c>
      <c r="E112" s="21"/>
      <c r="F112" s="20"/>
      <c r="G112" s="20"/>
    </row>
    <row r="113" spans="1:17" ht="29.1" customHeight="1" x14ac:dyDescent="0.2">
      <c r="A113" s="18"/>
      <c r="B113" s="189" t="s">
        <v>141</v>
      </c>
      <c r="C113" s="190"/>
      <c r="D113" s="2" t="s">
        <v>142</v>
      </c>
      <c r="E113" s="21"/>
      <c r="F113" s="20"/>
      <c r="G113" s="20"/>
    </row>
    <row r="114" spans="1:17" ht="17.100000000000001" customHeight="1" x14ac:dyDescent="0.2">
      <c r="A114" s="18"/>
      <c r="B114" s="189" t="s">
        <v>143</v>
      </c>
      <c r="C114" s="190"/>
      <c r="D114" s="2" t="s">
        <v>142</v>
      </c>
      <c r="E114" s="21"/>
      <c r="F114" s="20"/>
      <c r="G114" s="20"/>
    </row>
    <row r="115" spans="1:17" ht="17.100000000000001" customHeight="1" x14ac:dyDescent="0.2">
      <c r="A115" s="18"/>
      <c r="B115" s="189" t="s">
        <v>144</v>
      </c>
      <c r="C115" s="190"/>
      <c r="D115" s="12" t="s">
        <v>112</v>
      </c>
      <c r="E115" s="21"/>
      <c r="F115" s="20"/>
      <c r="G115" s="20"/>
    </row>
    <row r="116" spans="1:17" ht="24" customHeight="1" x14ac:dyDescent="0.2">
      <c r="A116" s="22"/>
      <c r="B116" s="23" t="s">
        <v>112</v>
      </c>
      <c r="C116" s="23" t="s">
        <v>145</v>
      </c>
      <c r="D116" s="23" t="s">
        <v>146</v>
      </c>
      <c r="E116" s="22"/>
      <c r="F116" s="22"/>
      <c r="G116" s="22"/>
    </row>
    <row r="117" spans="1:17" ht="18" customHeight="1" x14ac:dyDescent="0.2">
      <c r="A117" s="22"/>
      <c r="B117" s="23" t="s">
        <v>147</v>
      </c>
      <c r="C117" s="23" t="s">
        <v>148</v>
      </c>
      <c r="D117" s="23" t="s">
        <v>149</v>
      </c>
      <c r="E117" s="22"/>
      <c r="F117" s="22"/>
      <c r="G117" s="22"/>
    </row>
    <row r="118" spans="1:17" ht="17.100000000000001" customHeight="1" x14ac:dyDescent="0.2">
      <c r="A118" s="22"/>
      <c r="B118" s="4" t="s">
        <v>150</v>
      </c>
      <c r="C118" s="24">
        <v>23.004200000000001</v>
      </c>
      <c r="D118" s="24">
        <v>24.056899999999999</v>
      </c>
      <c r="E118" s="22"/>
      <c r="F118" s="19"/>
      <c r="G118" s="25"/>
    </row>
    <row r="119" spans="1:17" ht="17.100000000000001" customHeight="1" x14ac:dyDescent="0.2">
      <c r="A119" s="22"/>
      <c r="B119" s="4" t="s">
        <v>1092</v>
      </c>
      <c r="C119" s="24">
        <v>18.6389</v>
      </c>
      <c r="D119" s="24">
        <v>19.491800000000001</v>
      </c>
      <c r="E119" s="22"/>
      <c r="F119" s="19"/>
      <c r="G119" s="25"/>
    </row>
    <row r="120" spans="1:17" ht="17.100000000000001" customHeight="1" x14ac:dyDescent="0.2">
      <c r="A120" s="22"/>
      <c r="B120" s="4" t="s">
        <v>151</v>
      </c>
      <c r="C120" s="24">
        <v>22.4742</v>
      </c>
      <c r="D120" s="24">
        <v>23.498899999999999</v>
      </c>
      <c r="E120" s="22"/>
      <c r="F120" s="19"/>
      <c r="G120" s="25"/>
    </row>
    <row r="121" spans="1:17" ht="17.100000000000001" customHeight="1" x14ac:dyDescent="0.2">
      <c r="A121" s="22"/>
      <c r="B121" s="4" t="s">
        <v>1093</v>
      </c>
      <c r="C121" s="24">
        <v>18.139500000000002</v>
      </c>
      <c r="D121" s="24">
        <v>18.9666</v>
      </c>
      <c r="E121" s="22"/>
      <c r="F121" s="19"/>
      <c r="G121" s="25"/>
    </row>
    <row r="122" spans="1:17" ht="14.1" customHeight="1" x14ac:dyDescent="0.2">
      <c r="A122" s="22"/>
      <c r="B122" s="22"/>
      <c r="C122" s="22"/>
      <c r="D122" s="22"/>
      <c r="E122" s="22"/>
      <c r="F122" s="22"/>
      <c r="G122" s="22"/>
    </row>
    <row r="123" spans="1:17" ht="17.100000000000001" customHeight="1" x14ac:dyDescent="0.2">
      <c r="A123" s="22"/>
      <c r="B123" s="189" t="s">
        <v>1094</v>
      </c>
      <c r="C123" s="190"/>
      <c r="D123" s="2" t="s">
        <v>142</v>
      </c>
      <c r="E123" s="22"/>
      <c r="F123" s="22"/>
      <c r="G123" s="22"/>
    </row>
    <row r="124" spans="1:17" ht="18" customHeight="1" x14ac:dyDescent="0.2">
      <c r="A124" s="22"/>
      <c r="B124" s="26"/>
      <c r="C124" s="26"/>
      <c r="D124" s="27"/>
      <c r="E124" s="22"/>
      <c r="F124" s="22"/>
      <c r="G124" s="22"/>
    </row>
    <row r="125" spans="1:17" s="101" customFormat="1" x14ac:dyDescent="0.2">
      <c r="B125" s="193" t="s">
        <v>1102</v>
      </c>
      <c r="C125" s="193"/>
      <c r="D125" s="193"/>
      <c r="E125" s="193"/>
      <c r="F125" s="193"/>
      <c r="I125"/>
      <c r="J125"/>
      <c r="K125"/>
      <c r="L125"/>
      <c r="M125"/>
      <c r="N125"/>
      <c r="O125"/>
      <c r="P125" s="41"/>
      <c r="Q125" s="41"/>
    </row>
    <row r="126" spans="1:17" ht="14.1" customHeight="1" x14ac:dyDescent="0.2">
      <c r="A126" s="22"/>
      <c r="B126" s="19"/>
      <c r="C126" s="19"/>
      <c r="D126" s="22"/>
      <c r="E126" s="22"/>
      <c r="F126" s="22"/>
      <c r="G126" s="22"/>
    </row>
    <row r="127" spans="1:17" ht="29.1" customHeight="1" x14ac:dyDescent="0.2">
      <c r="A127" s="22"/>
      <c r="B127" s="189" t="s">
        <v>152</v>
      </c>
      <c r="C127" s="190"/>
      <c r="D127" s="2" t="s">
        <v>142</v>
      </c>
      <c r="E127" s="22"/>
      <c r="F127" s="22"/>
      <c r="G127" s="22"/>
      <c r="J127" s="101"/>
      <c r="K127" s="101"/>
      <c r="L127" s="101"/>
      <c r="M127" s="101"/>
      <c r="N127" s="101"/>
      <c r="O127" s="101"/>
    </row>
    <row r="128" spans="1:17" ht="29.1" customHeight="1" x14ac:dyDescent="0.2">
      <c r="A128" s="22"/>
      <c r="B128" s="189" t="s">
        <v>153</v>
      </c>
      <c r="C128" s="190"/>
      <c r="D128" s="2" t="s">
        <v>142</v>
      </c>
      <c r="E128" s="22"/>
      <c r="F128" s="22"/>
      <c r="G128" s="22"/>
    </row>
    <row r="129" spans="1:7" ht="17.100000000000001" customHeight="1" x14ac:dyDescent="0.2">
      <c r="A129" s="22"/>
      <c r="B129" s="189" t="s">
        <v>154</v>
      </c>
      <c r="C129" s="190"/>
      <c r="D129" s="28">
        <v>0.18890675609963112</v>
      </c>
      <c r="E129" s="22"/>
      <c r="F129" s="19"/>
      <c r="G129" s="25"/>
    </row>
    <row r="130" spans="1:7" ht="17.100000000000001" customHeight="1" x14ac:dyDescent="0.2">
      <c r="A130" s="22"/>
      <c r="B130" s="189" t="s">
        <v>155</v>
      </c>
      <c r="C130" s="190"/>
      <c r="D130" s="2" t="s">
        <v>142</v>
      </c>
      <c r="E130" s="22"/>
      <c r="F130" s="22"/>
      <c r="G130" s="22"/>
    </row>
  </sheetData>
  <mergeCells count="14">
    <mergeCell ref="B130:C130"/>
    <mergeCell ref="B113:C113"/>
    <mergeCell ref="B114:C114"/>
    <mergeCell ref="B115:C115"/>
    <mergeCell ref="B123:C123"/>
    <mergeCell ref="B127:C127"/>
    <mergeCell ref="B128:C128"/>
    <mergeCell ref="B129:C129"/>
    <mergeCell ref="A1:H1"/>
    <mergeCell ref="A2:H2"/>
    <mergeCell ref="A3:H3"/>
    <mergeCell ref="B125:F125"/>
    <mergeCell ref="J2:N2"/>
    <mergeCell ref="B112:C11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233</v>
      </c>
      <c r="C7" s="4" t="s">
        <v>234</v>
      </c>
      <c r="D7" s="4" t="s">
        <v>71</v>
      </c>
      <c r="E7" s="5">
        <v>42158</v>
      </c>
      <c r="F7" s="6">
        <v>301.977754</v>
      </c>
      <c r="G7" s="7">
        <v>3.9489245999999999E-2</v>
      </c>
      <c r="H7" s="39"/>
    </row>
    <row r="8" spans="1:14" x14ac:dyDescent="0.2">
      <c r="A8" s="3">
        <v>2</v>
      </c>
      <c r="B8" s="4" t="s">
        <v>170</v>
      </c>
      <c r="C8" s="4" t="s">
        <v>171</v>
      </c>
      <c r="D8" s="4" t="s">
        <v>1027</v>
      </c>
      <c r="E8" s="5">
        <v>19498</v>
      </c>
      <c r="F8" s="6">
        <v>299.635515</v>
      </c>
      <c r="G8" s="7">
        <v>3.9182953999999999E-2</v>
      </c>
      <c r="H8" s="39"/>
    </row>
    <row r="9" spans="1:14" x14ac:dyDescent="0.2">
      <c r="A9" s="3">
        <v>3</v>
      </c>
      <c r="B9" s="4" t="s">
        <v>231</v>
      </c>
      <c r="C9" s="4" t="s">
        <v>232</v>
      </c>
      <c r="D9" s="4" t="s">
        <v>29</v>
      </c>
      <c r="E9" s="5">
        <v>21893</v>
      </c>
      <c r="F9" s="6">
        <v>276.07073000000003</v>
      </c>
      <c r="G9" s="7">
        <v>3.6101416999999997E-2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6170</v>
      </c>
      <c r="F10" s="6">
        <v>251.87173999999999</v>
      </c>
      <c r="G10" s="7">
        <v>3.2936946000000002E-2</v>
      </c>
      <c r="H10" s="39"/>
    </row>
    <row r="11" spans="1:14" x14ac:dyDescent="0.2">
      <c r="A11" s="3">
        <v>5</v>
      </c>
      <c r="B11" s="4" t="s">
        <v>69</v>
      </c>
      <c r="C11" s="4" t="s">
        <v>70</v>
      </c>
      <c r="D11" s="4" t="s">
        <v>71</v>
      </c>
      <c r="E11" s="5">
        <v>40250</v>
      </c>
      <c r="F11" s="6">
        <v>235.64362499999999</v>
      </c>
      <c r="G11" s="7">
        <v>3.0814815999999998E-2</v>
      </c>
      <c r="H11" s="39"/>
    </row>
    <row r="12" spans="1:14" x14ac:dyDescent="0.2">
      <c r="A12" s="3">
        <v>6</v>
      </c>
      <c r="B12" s="4" t="s">
        <v>235</v>
      </c>
      <c r="C12" s="4" t="s">
        <v>236</v>
      </c>
      <c r="D12" s="4" t="s">
        <v>1160</v>
      </c>
      <c r="E12" s="5">
        <v>120530</v>
      </c>
      <c r="F12" s="6">
        <v>228.34408500000001</v>
      </c>
      <c r="G12" s="7">
        <v>2.9860265E-2</v>
      </c>
      <c r="H12" s="39"/>
    </row>
    <row r="13" spans="1:14" x14ac:dyDescent="0.2">
      <c r="A13" s="3">
        <v>7</v>
      </c>
      <c r="B13" s="4" t="s">
        <v>239</v>
      </c>
      <c r="C13" s="4" t="s">
        <v>240</v>
      </c>
      <c r="D13" s="4" t="s">
        <v>1143</v>
      </c>
      <c r="E13" s="5">
        <v>37699</v>
      </c>
      <c r="F13" s="6">
        <v>226.58983950000001</v>
      </c>
      <c r="G13" s="7">
        <v>2.9630864E-2</v>
      </c>
      <c r="H13" s="39"/>
    </row>
    <row r="14" spans="1:14" x14ac:dyDescent="0.2">
      <c r="A14" s="3">
        <v>8</v>
      </c>
      <c r="B14" s="4" t="s">
        <v>245</v>
      </c>
      <c r="C14" s="4" t="s">
        <v>246</v>
      </c>
      <c r="D14" s="4" t="s">
        <v>29</v>
      </c>
      <c r="E14" s="5">
        <v>26027</v>
      </c>
      <c r="F14" s="6">
        <v>220.12335250000001</v>
      </c>
      <c r="G14" s="7">
        <v>2.8785249999999998E-2</v>
      </c>
      <c r="H14" s="39"/>
    </row>
    <row r="15" spans="1:14" ht="15" x14ac:dyDescent="0.2">
      <c r="A15" s="3">
        <v>9</v>
      </c>
      <c r="B15" s="4" t="s">
        <v>87</v>
      </c>
      <c r="C15" s="4" t="s">
        <v>88</v>
      </c>
      <c r="D15" s="4" t="s">
        <v>1157</v>
      </c>
      <c r="E15" s="5">
        <v>40332</v>
      </c>
      <c r="F15" s="6">
        <v>208.45594199999999</v>
      </c>
      <c r="G15" s="7">
        <v>2.7259518E-2</v>
      </c>
      <c r="H15" s="39"/>
      <c r="J15" s="176" t="s">
        <v>1182</v>
      </c>
    </row>
    <row r="16" spans="1:14" x14ac:dyDescent="0.2">
      <c r="A16" s="3">
        <v>10</v>
      </c>
      <c r="B16" s="4" t="s">
        <v>164</v>
      </c>
      <c r="C16" s="4" t="s">
        <v>165</v>
      </c>
      <c r="D16" s="4" t="s">
        <v>82</v>
      </c>
      <c r="E16" s="5">
        <v>192978</v>
      </c>
      <c r="F16" s="6">
        <v>205.52157</v>
      </c>
      <c r="G16" s="7">
        <v>2.6875794000000001E-2</v>
      </c>
      <c r="H16" s="39"/>
    </row>
    <row r="17" spans="1:8" x14ac:dyDescent="0.2">
      <c r="A17" s="3">
        <v>11</v>
      </c>
      <c r="B17" s="4" t="s">
        <v>251</v>
      </c>
      <c r="C17" s="4" t="s">
        <v>252</v>
      </c>
      <c r="D17" s="4" t="s">
        <v>253</v>
      </c>
      <c r="E17" s="5">
        <v>72529</v>
      </c>
      <c r="F17" s="6">
        <v>195.75577100000001</v>
      </c>
      <c r="G17" s="7">
        <v>2.5598731999999999E-2</v>
      </c>
      <c r="H17" s="39"/>
    </row>
    <row r="18" spans="1:8" x14ac:dyDescent="0.2">
      <c r="A18" s="3">
        <v>12</v>
      </c>
      <c r="B18" s="4" t="s">
        <v>220</v>
      </c>
      <c r="C18" s="4" t="s">
        <v>221</v>
      </c>
      <c r="D18" s="4" t="s">
        <v>1149</v>
      </c>
      <c r="E18" s="5">
        <v>35423</v>
      </c>
      <c r="F18" s="6">
        <v>187.671054</v>
      </c>
      <c r="G18" s="7">
        <v>2.4541503999999999E-2</v>
      </c>
      <c r="H18" s="39"/>
    </row>
    <row r="19" spans="1:8" x14ac:dyDescent="0.2">
      <c r="A19" s="3">
        <v>13</v>
      </c>
      <c r="B19" s="4" t="s">
        <v>461</v>
      </c>
      <c r="C19" s="4" t="s">
        <v>462</v>
      </c>
      <c r="D19" s="4" t="s">
        <v>1168</v>
      </c>
      <c r="E19" s="5">
        <v>9062</v>
      </c>
      <c r="F19" s="6">
        <v>187.38403600000001</v>
      </c>
      <c r="G19" s="7">
        <v>2.4503970999999999E-2</v>
      </c>
      <c r="H19" s="39"/>
    </row>
    <row r="20" spans="1:8" x14ac:dyDescent="0.2">
      <c r="A20" s="3">
        <v>14</v>
      </c>
      <c r="B20" s="4" t="s">
        <v>30</v>
      </c>
      <c r="C20" s="4" t="s">
        <v>31</v>
      </c>
      <c r="D20" s="4" t="s">
        <v>29</v>
      </c>
      <c r="E20" s="5">
        <v>10116</v>
      </c>
      <c r="F20" s="6">
        <v>182.082942</v>
      </c>
      <c r="G20" s="7">
        <v>2.3810754E-2</v>
      </c>
      <c r="H20" s="39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1026</v>
      </c>
      <c r="E21" s="5">
        <v>11420</v>
      </c>
      <c r="F21" s="6">
        <v>169.26723999999999</v>
      </c>
      <c r="G21" s="7">
        <v>2.2134860999999999E-2</v>
      </c>
      <c r="H21" s="39"/>
    </row>
    <row r="22" spans="1:8" x14ac:dyDescent="0.2">
      <c r="A22" s="3">
        <v>16</v>
      </c>
      <c r="B22" s="4" t="s">
        <v>249</v>
      </c>
      <c r="C22" s="4" t="s">
        <v>250</v>
      </c>
      <c r="D22" s="4" t="s">
        <v>60</v>
      </c>
      <c r="E22" s="5">
        <v>44883</v>
      </c>
      <c r="F22" s="6">
        <v>164.60840250000001</v>
      </c>
      <c r="G22" s="7">
        <v>2.1525631E-2</v>
      </c>
      <c r="H22" s="39"/>
    </row>
    <row r="23" spans="1:8" x14ac:dyDescent="0.2">
      <c r="A23" s="3">
        <v>17</v>
      </c>
      <c r="B23" s="4" t="s">
        <v>38</v>
      </c>
      <c r="C23" s="4" t="s">
        <v>39</v>
      </c>
      <c r="D23" s="4" t="s">
        <v>29</v>
      </c>
      <c r="E23" s="5">
        <v>12434</v>
      </c>
      <c r="F23" s="6">
        <v>164.06041300000001</v>
      </c>
      <c r="G23" s="7">
        <v>2.1453970999999999E-2</v>
      </c>
      <c r="H23" s="39"/>
    </row>
    <row r="24" spans="1:8" ht="25.5" x14ac:dyDescent="0.2">
      <c r="A24" s="3">
        <v>18</v>
      </c>
      <c r="B24" s="4" t="s">
        <v>159</v>
      </c>
      <c r="C24" s="4" t="s">
        <v>160</v>
      </c>
      <c r="D24" s="4" t="s">
        <v>1138</v>
      </c>
      <c r="E24" s="5">
        <v>42854</v>
      </c>
      <c r="F24" s="6">
        <v>161.581007</v>
      </c>
      <c r="G24" s="7">
        <v>2.1129742E-2</v>
      </c>
      <c r="H24" s="39"/>
    </row>
    <row r="25" spans="1:8" x14ac:dyDescent="0.2">
      <c r="A25" s="3">
        <v>19</v>
      </c>
      <c r="B25" s="4" t="s">
        <v>226</v>
      </c>
      <c r="C25" s="4" t="s">
        <v>227</v>
      </c>
      <c r="D25" s="4" t="s">
        <v>82</v>
      </c>
      <c r="E25" s="5">
        <v>20855</v>
      </c>
      <c r="F25" s="6">
        <v>160.46879749999999</v>
      </c>
      <c r="G25" s="7">
        <v>2.0984300000000001E-2</v>
      </c>
      <c r="H25" s="39"/>
    </row>
    <row r="26" spans="1:8" ht="25.5" x14ac:dyDescent="0.2">
      <c r="A26" s="3">
        <v>20</v>
      </c>
      <c r="B26" s="4" t="s">
        <v>42</v>
      </c>
      <c r="C26" s="4" t="s">
        <v>43</v>
      </c>
      <c r="D26" s="4" t="s">
        <v>1150</v>
      </c>
      <c r="E26" s="5">
        <v>5414</v>
      </c>
      <c r="F26" s="6">
        <v>131.630582</v>
      </c>
      <c r="G26" s="7">
        <v>1.7213163E-2</v>
      </c>
      <c r="H26" s="39"/>
    </row>
    <row r="27" spans="1:8" x14ac:dyDescent="0.2">
      <c r="A27" s="3">
        <v>21</v>
      </c>
      <c r="B27" s="4" t="s">
        <v>174</v>
      </c>
      <c r="C27" s="4" t="s">
        <v>175</v>
      </c>
      <c r="D27" s="4" t="s">
        <v>82</v>
      </c>
      <c r="E27" s="5">
        <v>19955</v>
      </c>
      <c r="F27" s="6">
        <v>126.0058475</v>
      </c>
      <c r="G27" s="7">
        <v>1.6477624E-2</v>
      </c>
      <c r="H27" s="39"/>
    </row>
    <row r="28" spans="1:8" x14ac:dyDescent="0.2">
      <c r="A28" s="3">
        <v>22</v>
      </c>
      <c r="B28" s="4" t="s">
        <v>180</v>
      </c>
      <c r="C28" s="4" t="s">
        <v>181</v>
      </c>
      <c r="D28" s="4" t="s">
        <v>1156</v>
      </c>
      <c r="E28" s="5">
        <v>38459</v>
      </c>
      <c r="F28" s="6">
        <v>123.1649475</v>
      </c>
      <c r="G28" s="7">
        <v>1.6106123E-2</v>
      </c>
      <c r="H28" s="39"/>
    </row>
    <row r="29" spans="1:8" x14ac:dyDescent="0.2">
      <c r="A29" s="3">
        <v>23</v>
      </c>
      <c r="B29" s="4" t="s">
        <v>194</v>
      </c>
      <c r="C29" s="4" t="s">
        <v>195</v>
      </c>
      <c r="D29" s="4" t="s">
        <v>1027</v>
      </c>
      <c r="E29" s="5">
        <v>8551</v>
      </c>
      <c r="F29" s="6">
        <v>121.0351295</v>
      </c>
      <c r="G29" s="7">
        <v>1.5827609999999999E-2</v>
      </c>
      <c r="H29" s="39"/>
    </row>
    <row r="30" spans="1:8" x14ac:dyDescent="0.2">
      <c r="A30" s="3">
        <v>24</v>
      </c>
      <c r="B30" s="4" t="s">
        <v>206</v>
      </c>
      <c r="C30" s="4" t="s">
        <v>207</v>
      </c>
      <c r="D30" s="4" t="s">
        <v>1159</v>
      </c>
      <c r="E30" s="5">
        <v>12295</v>
      </c>
      <c r="F30" s="6">
        <v>114.0668625</v>
      </c>
      <c r="G30" s="7">
        <v>1.4916377999999999E-2</v>
      </c>
      <c r="H30" s="39"/>
    </row>
    <row r="31" spans="1:8" x14ac:dyDescent="0.2">
      <c r="A31" s="3">
        <v>25</v>
      </c>
      <c r="B31" s="4" t="s">
        <v>266</v>
      </c>
      <c r="C31" s="4" t="s">
        <v>267</v>
      </c>
      <c r="D31" s="4" t="s">
        <v>1155</v>
      </c>
      <c r="E31" s="5">
        <v>73868</v>
      </c>
      <c r="F31" s="6">
        <v>111.17134</v>
      </c>
      <c r="G31" s="7">
        <v>1.4537734E-2</v>
      </c>
      <c r="H31" s="39"/>
    </row>
    <row r="32" spans="1:8" x14ac:dyDescent="0.2">
      <c r="A32" s="3">
        <v>26</v>
      </c>
      <c r="B32" s="4" t="s">
        <v>465</v>
      </c>
      <c r="C32" s="4" t="s">
        <v>466</v>
      </c>
      <c r="D32" s="4" t="s">
        <v>71</v>
      </c>
      <c r="E32" s="5">
        <v>11132</v>
      </c>
      <c r="F32" s="6">
        <v>108.48134</v>
      </c>
      <c r="G32" s="7">
        <v>1.4185966E-2</v>
      </c>
      <c r="H32" s="39"/>
    </row>
    <row r="33" spans="1:8" ht="25.5" x14ac:dyDescent="0.2">
      <c r="A33" s="3">
        <v>27</v>
      </c>
      <c r="B33" s="4" t="s">
        <v>188</v>
      </c>
      <c r="C33" s="4" t="s">
        <v>189</v>
      </c>
      <c r="D33" s="4" t="s">
        <v>1158</v>
      </c>
      <c r="E33" s="5">
        <v>16350</v>
      </c>
      <c r="F33" s="6">
        <v>107.75467500000001</v>
      </c>
      <c r="G33" s="7">
        <v>1.4090940999999999E-2</v>
      </c>
      <c r="H33" s="39"/>
    </row>
    <row r="34" spans="1:8" ht="25.5" x14ac:dyDescent="0.2">
      <c r="A34" s="3">
        <v>28</v>
      </c>
      <c r="B34" s="4" t="s">
        <v>182</v>
      </c>
      <c r="C34" s="4" t="s">
        <v>183</v>
      </c>
      <c r="D34" s="4" t="s">
        <v>1150</v>
      </c>
      <c r="E34" s="5">
        <v>54769</v>
      </c>
      <c r="F34" s="6">
        <v>103.84202399999999</v>
      </c>
      <c r="G34" s="7">
        <v>1.3579289E-2</v>
      </c>
      <c r="H34" s="39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1026</v>
      </c>
      <c r="E35" s="5">
        <v>65797</v>
      </c>
      <c r="F35" s="6">
        <v>100.406222</v>
      </c>
      <c r="G35" s="7">
        <v>1.3129994000000001E-2</v>
      </c>
      <c r="H35" s="39"/>
    </row>
    <row r="36" spans="1:8" x14ac:dyDescent="0.2">
      <c r="A36" s="3">
        <v>30</v>
      </c>
      <c r="B36" s="4" t="s">
        <v>76</v>
      </c>
      <c r="C36" s="4" t="s">
        <v>77</v>
      </c>
      <c r="D36" s="4" t="s">
        <v>71</v>
      </c>
      <c r="E36" s="5">
        <v>2817</v>
      </c>
      <c r="F36" s="6">
        <v>99.249952500000006</v>
      </c>
      <c r="G36" s="7">
        <v>1.297879E-2</v>
      </c>
      <c r="H36" s="39"/>
    </row>
    <row r="37" spans="1:8" ht="25.5" x14ac:dyDescent="0.2">
      <c r="A37" s="3">
        <v>31</v>
      </c>
      <c r="B37" s="4" t="s">
        <v>262</v>
      </c>
      <c r="C37" s="4" t="s">
        <v>263</v>
      </c>
      <c r="D37" s="4" t="s">
        <v>1141</v>
      </c>
      <c r="E37" s="5">
        <v>33525</v>
      </c>
      <c r="F37" s="6">
        <v>98.798175000000001</v>
      </c>
      <c r="G37" s="7">
        <v>1.2919711E-2</v>
      </c>
      <c r="H37" s="39"/>
    </row>
    <row r="38" spans="1:8" x14ac:dyDescent="0.2">
      <c r="A38" s="3">
        <v>32</v>
      </c>
      <c r="B38" s="4" t="s">
        <v>190</v>
      </c>
      <c r="C38" s="4" t="s">
        <v>191</v>
      </c>
      <c r="D38" s="4" t="s">
        <v>1169</v>
      </c>
      <c r="E38" s="5">
        <v>107569</v>
      </c>
      <c r="F38" s="6">
        <v>96.166685999999999</v>
      </c>
      <c r="G38" s="7">
        <v>1.2575595E-2</v>
      </c>
      <c r="H38" s="39"/>
    </row>
    <row r="39" spans="1:8" ht="25.5" x14ac:dyDescent="0.2">
      <c r="A39" s="3">
        <v>33</v>
      </c>
      <c r="B39" s="4" t="s">
        <v>184</v>
      </c>
      <c r="C39" s="4" t="s">
        <v>185</v>
      </c>
      <c r="D39" s="4" t="s">
        <v>1145</v>
      </c>
      <c r="E39" s="5">
        <v>21059</v>
      </c>
      <c r="F39" s="6">
        <v>95.281445500000004</v>
      </c>
      <c r="G39" s="7">
        <v>1.2459833E-2</v>
      </c>
      <c r="H39" s="39"/>
    </row>
    <row r="40" spans="1:8" ht="25.5" x14ac:dyDescent="0.2">
      <c r="A40" s="3">
        <v>34</v>
      </c>
      <c r="B40" s="4" t="s">
        <v>186</v>
      </c>
      <c r="C40" s="4" t="s">
        <v>187</v>
      </c>
      <c r="D40" s="4" t="s">
        <v>1158</v>
      </c>
      <c r="E40" s="5">
        <v>19323</v>
      </c>
      <c r="F40" s="6">
        <v>93.726211500000005</v>
      </c>
      <c r="G40" s="7">
        <v>1.2256457E-2</v>
      </c>
      <c r="H40" s="39"/>
    </row>
    <row r="41" spans="1:8" x14ac:dyDescent="0.2">
      <c r="A41" s="3">
        <v>35</v>
      </c>
      <c r="B41" s="4" t="s">
        <v>473</v>
      </c>
      <c r="C41" s="4" t="s">
        <v>474</v>
      </c>
      <c r="D41" s="4" t="s">
        <v>1155</v>
      </c>
      <c r="E41" s="5">
        <v>10328</v>
      </c>
      <c r="F41" s="6">
        <v>93.086264</v>
      </c>
      <c r="G41" s="7">
        <v>1.2172772E-2</v>
      </c>
      <c r="H41" s="39"/>
    </row>
    <row r="42" spans="1:8" x14ac:dyDescent="0.2">
      <c r="A42" s="3">
        <v>36</v>
      </c>
      <c r="B42" s="4" t="s">
        <v>200</v>
      </c>
      <c r="C42" s="4" t="s">
        <v>201</v>
      </c>
      <c r="D42" s="4" t="s">
        <v>60</v>
      </c>
      <c r="E42" s="5">
        <v>104608</v>
      </c>
      <c r="F42" s="6">
        <v>89.753664000000001</v>
      </c>
      <c r="G42" s="7">
        <v>1.1736972E-2</v>
      </c>
      <c r="H42" s="39"/>
    </row>
    <row r="43" spans="1:8" ht="25.5" x14ac:dyDescent="0.2">
      <c r="A43" s="3">
        <v>37</v>
      </c>
      <c r="B43" s="4" t="s">
        <v>176</v>
      </c>
      <c r="C43" s="4" t="s">
        <v>177</v>
      </c>
      <c r="D43" s="4" t="s">
        <v>71</v>
      </c>
      <c r="E43" s="5">
        <v>5046</v>
      </c>
      <c r="F43" s="6">
        <v>89.352045000000004</v>
      </c>
      <c r="G43" s="7">
        <v>1.1684452999999999E-2</v>
      </c>
      <c r="H43" s="39"/>
    </row>
    <row r="44" spans="1:8" x14ac:dyDescent="0.2">
      <c r="A44" s="3">
        <v>38</v>
      </c>
      <c r="B44" s="4" t="s">
        <v>270</v>
      </c>
      <c r="C44" s="4" t="s">
        <v>271</v>
      </c>
      <c r="D44" s="4" t="s">
        <v>1154</v>
      </c>
      <c r="E44" s="5">
        <v>14616</v>
      </c>
      <c r="F44" s="6">
        <v>86.132087999999996</v>
      </c>
      <c r="G44" s="7">
        <v>1.1263383E-2</v>
      </c>
      <c r="H44" s="39"/>
    </row>
    <row r="45" spans="1:8" x14ac:dyDescent="0.2">
      <c r="A45" s="3">
        <v>39</v>
      </c>
      <c r="B45" s="4" t="s">
        <v>192</v>
      </c>
      <c r="C45" s="4" t="s">
        <v>193</v>
      </c>
      <c r="D45" s="4" t="s">
        <v>1026</v>
      </c>
      <c r="E45" s="5">
        <v>17730</v>
      </c>
      <c r="F45" s="6">
        <v>84.988754999999998</v>
      </c>
      <c r="G45" s="7">
        <v>1.1113871000000001E-2</v>
      </c>
      <c r="H45" s="39"/>
    </row>
    <row r="46" spans="1:8" x14ac:dyDescent="0.2">
      <c r="A46" s="3">
        <v>40</v>
      </c>
      <c r="B46" s="4" t="s">
        <v>281</v>
      </c>
      <c r="C46" s="4" t="s">
        <v>282</v>
      </c>
      <c r="D46" s="4" t="s">
        <v>29</v>
      </c>
      <c r="E46" s="5">
        <v>3837</v>
      </c>
      <c r="F46" s="6">
        <v>82.154006999999993</v>
      </c>
      <c r="G46" s="7">
        <v>1.0743175000000001E-2</v>
      </c>
      <c r="H46" s="39"/>
    </row>
    <row r="47" spans="1:8" ht="25.5" x14ac:dyDescent="0.2">
      <c r="A47" s="3">
        <v>41</v>
      </c>
      <c r="B47" s="4" t="s">
        <v>168</v>
      </c>
      <c r="C47" s="4" t="s">
        <v>169</v>
      </c>
      <c r="D47" s="4" t="s">
        <v>1137</v>
      </c>
      <c r="E47" s="5">
        <v>33472</v>
      </c>
      <c r="F47" s="6">
        <v>80.500159999999994</v>
      </c>
      <c r="G47" s="7">
        <v>1.0526903000000001E-2</v>
      </c>
      <c r="H47" s="39"/>
    </row>
    <row r="48" spans="1:8" x14ac:dyDescent="0.2">
      <c r="A48" s="3">
        <v>42</v>
      </c>
      <c r="B48" s="4" t="s">
        <v>279</v>
      </c>
      <c r="C48" s="4" t="s">
        <v>280</v>
      </c>
      <c r="D48" s="4" t="s">
        <v>82</v>
      </c>
      <c r="E48" s="5">
        <v>124593</v>
      </c>
      <c r="F48" s="6">
        <v>76.936177499999999</v>
      </c>
      <c r="G48" s="7">
        <v>1.0060846E-2</v>
      </c>
      <c r="H48" s="39"/>
    </row>
    <row r="49" spans="1:8" ht="25.5" x14ac:dyDescent="0.2">
      <c r="A49" s="3">
        <v>43</v>
      </c>
      <c r="B49" s="4" t="s">
        <v>260</v>
      </c>
      <c r="C49" s="4" t="s">
        <v>261</v>
      </c>
      <c r="D49" s="4" t="s">
        <v>1145</v>
      </c>
      <c r="E49" s="5">
        <v>18519</v>
      </c>
      <c r="F49" s="6">
        <v>74.761202999999995</v>
      </c>
      <c r="G49" s="7">
        <v>9.7764270000000007E-3</v>
      </c>
      <c r="H49" s="39"/>
    </row>
    <row r="50" spans="1:8" ht="25.5" x14ac:dyDescent="0.2">
      <c r="A50" s="3">
        <v>44</v>
      </c>
      <c r="B50" s="4" t="s">
        <v>483</v>
      </c>
      <c r="C50" s="4" t="s">
        <v>484</v>
      </c>
      <c r="D50" s="4" t="s">
        <v>1138</v>
      </c>
      <c r="E50" s="5">
        <v>16923</v>
      </c>
      <c r="F50" s="6">
        <v>68.081228999999993</v>
      </c>
      <c r="G50" s="7">
        <v>8.9028949999999992E-3</v>
      </c>
      <c r="H50" s="39"/>
    </row>
    <row r="51" spans="1:8" x14ac:dyDescent="0.2">
      <c r="A51" s="3">
        <v>45</v>
      </c>
      <c r="B51" s="4" t="s">
        <v>228</v>
      </c>
      <c r="C51" s="4" t="s">
        <v>229</v>
      </c>
      <c r="D51" s="4" t="s">
        <v>29</v>
      </c>
      <c r="E51" s="5">
        <v>6630</v>
      </c>
      <c r="F51" s="6">
        <v>67.622685000000004</v>
      </c>
      <c r="G51" s="7">
        <v>8.8429319999999995E-3</v>
      </c>
      <c r="H51" s="39"/>
    </row>
    <row r="52" spans="1:8" x14ac:dyDescent="0.2">
      <c r="A52" s="3">
        <v>46</v>
      </c>
      <c r="B52" s="4" t="s">
        <v>172</v>
      </c>
      <c r="C52" s="4" t="s">
        <v>173</v>
      </c>
      <c r="D52" s="4" t="s">
        <v>1166</v>
      </c>
      <c r="E52" s="5">
        <v>26477</v>
      </c>
      <c r="F52" s="6">
        <v>59.560011500000002</v>
      </c>
      <c r="G52" s="7">
        <v>7.7885869999999996E-3</v>
      </c>
      <c r="H52" s="39"/>
    </row>
    <row r="53" spans="1:8" x14ac:dyDescent="0.2">
      <c r="A53" s="3">
        <v>47</v>
      </c>
      <c r="B53" s="4" t="s">
        <v>214</v>
      </c>
      <c r="C53" s="4" t="s">
        <v>215</v>
      </c>
      <c r="D53" s="4" t="s">
        <v>18</v>
      </c>
      <c r="E53" s="5">
        <v>82133</v>
      </c>
      <c r="F53" s="6">
        <v>57.000301999999998</v>
      </c>
      <c r="G53" s="7">
        <v>7.4538570000000004E-3</v>
      </c>
      <c r="H53" s="39"/>
    </row>
    <row r="54" spans="1:8" x14ac:dyDescent="0.2">
      <c r="A54" s="3">
        <v>48</v>
      </c>
      <c r="B54" s="4" t="s">
        <v>208</v>
      </c>
      <c r="C54" s="4" t="s">
        <v>209</v>
      </c>
      <c r="D54" s="4" t="s">
        <v>71</v>
      </c>
      <c r="E54" s="5">
        <v>9272</v>
      </c>
      <c r="F54" s="6">
        <v>56.925443999999999</v>
      </c>
      <c r="G54" s="7">
        <v>7.4440679999999999E-3</v>
      </c>
      <c r="H54" s="39"/>
    </row>
    <row r="55" spans="1:8" x14ac:dyDescent="0.2">
      <c r="A55" s="3">
        <v>49</v>
      </c>
      <c r="B55" s="4" t="s">
        <v>210</v>
      </c>
      <c r="C55" s="4" t="s">
        <v>211</v>
      </c>
      <c r="D55" s="4" t="s">
        <v>91</v>
      </c>
      <c r="E55" s="5">
        <v>7165</v>
      </c>
      <c r="F55" s="6">
        <v>55.274392499999998</v>
      </c>
      <c r="G55" s="7">
        <v>7.2281619999999998E-3</v>
      </c>
      <c r="H55" s="39"/>
    </row>
    <row r="56" spans="1:8" x14ac:dyDescent="0.2">
      <c r="A56" s="3">
        <v>50</v>
      </c>
      <c r="B56" s="4" t="s">
        <v>224</v>
      </c>
      <c r="C56" s="4" t="s">
        <v>225</v>
      </c>
      <c r="D56" s="4" t="s">
        <v>1154</v>
      </c>
      <c r="E56" s="5">
        <v>10808</v>
      </c>
      <c r="F56" s="6">
        <v>52.726827999999998</v>
      </c>
      <c r="G56" s="7">
        <v>6.89502E-3</v>
      </c>
      <c r="H56" s="39"/>
    </row>
    <row r="57" spans="1:8" x14ac:dyDescent="0.2">
      <c r="A57" s="3">
        <v>51</v>
      </c>
      <c r="B57" s="4" t="s">
        <v>264</v>
      </c>
      <c r="C57" s="4" t="s">
        <v>265</v>
      </c>
      <c r="D57" s="4" t="s">
        <v>91</v>
      </c>
      <c r="E57" s="5">
        <v>23492</v>
      </c>
      <c r="F57" s="6">
        <v>50.472562000000003</v>
      </c>
      <c r="G57" s="7">
        <v>6.6002329999999996E-3</v>
      </c>
      <c r="H57" s="39"/>
    </row>
    <row r="58" spans="1:8" x14ac:dyDescent="0.2">
      <c r="A58" s="3">
        <v>52</v>
      </c>
      <c r="B58" s="4" t="s">
        <v>202</v>
      </c>
      <c r="C58" s="4" t="s">
        <v>203</v>
      </c>
      <c r="D58" s="4" t="s">
        <v>71</v>
      </c>
      <c r="E58" s="5">
        <v>20113</v>
      </c>
      <c r="F58" s="6">
        <v>44.610633999999997</v>
      </c>
      <c r="G58" s="7">
        <v>5.8336760000000003E-3</v>
      </c>
      <c r="H58" s="39"/>
    </row>
    <row r="59" spans="1:8" x14ac:dyDescent="0.2">
      <c r="A59" s="3">
        <v>53</v>
      </c>
      <c r="B59" s="4" t="s">
        <v>92</v>
      </c>
      <c r="C59" s="4" t="s">
        <v>93</v>
      </c>
      <c r="D59" s="4" t="s">
        <v>60</v>
      </c>
      <c r="E59" s="5">
        <v>39491</v>
      </c>
      <c r="F59" s="6">
        <v>43.242645000000003</v>
      </c>
      <c r="G59" s="7">
        <v>5.6547860000000002E-3</v>
      </c>
      <c r="H59" s="39"/>
    </row>
    <row r="60" spans="1:8" ht="25.5" x14ac:dyDescent="0.2">
      <c r="A60" s="3">
        <v>54</v>
      </c>
      <c r="B60" s="4" t="s">
        <v>216</v>
      </c>
      <c r="C60" s="4" t="s">
        <v>217</v>
      </c>
      <c r="D60" s="4" t="s">
        <v>1138</v>
      </c>
      <c r="E60" s="5">
        <v>1052</v>
      </c>
      <c r="F60" s="6">
        <v>42.105248000000003</v>
      </c>
      <c r="G60" s="7">
        <v>5.5060500000000002E-3</v>
      </c>
      <c r="H60" s="39"/>
    </row>
    <row r="61" spans="1:8" x14ac:dyDescent="0.2">
      <c r="A61" s="3">
        <v>55</v>
      </c>
      <c r="B61" s="4" t="s">
        <v>218</v>
      </c>
      <c r="C61" s="4" t="s">
        <v>219</v>
      </c>
      <c r="D61" s="4" t="s">
        <v>1026</v>
      </c>
      <c r="E61" s="5">
        <v>38161</v>
      </c>
      <c r="F61" s="6">
        <v>38.447207499999998</v>
      </c>
      <c r="G61" s="7">
        <v>5.0276920000000003E-3</v>
      </c>
      <c r="H61" s="39"/>
    </row>
    <row r="62" spans="1:8" x14ac:dyDescent="0.2">
      <c r="A62" s="3">
        <v>56</v>
      </c>
      <c r="B62" s="4" t="s">
        <v>104</v>
      </c>
      <c r="C62" s="4" t="s">
        <v>105</v>
      </c>
      <c r="D62" s="4" t="s">
        <v>1157</v>
      </c>
      <c r="E62" s="5">
        <v>45125</v>
      </c>
      <c r="F62" s="6">
        <v>35.084687500000001</v>
      </c>
      <c r="G62" s="7">
        <v>4.5879800000000002E-3</v>
      </c>
      <c r="H62" s="39"/>
    </row>
    <row r="63" spans="1:8" x14ac:dyDescent="0.2">
      <c r="A63" s="3">
        <v>57</v>
      </c>
      <c r="B63" s="4" t="s">
        <v>272</v>
      </c>
      <c r="C63" s="4" t="s">
        <v>273</v>
      </c>
      <c r="D63" s="4" t="s">
        <v>26</v>
      </c>
      <c r="E63" s="5">
        <v>40010</v>
      </c>
      <c r="F63" s="6">
        <v>32.908225000000002</v>
      </c>
      <c r="G63" s="7">
        <v>4.3033669999999998E-3</v>
      </c>
      <c r="H63" s="39"/>
    </row>
    <row r="64" spans="1:8" ht="25.5" x14ac:dyDescent="0.2">
      <c r="A64" s="3">
        <v>58</v>
      </c>
      <c r="B64" s="4" t="s">
        <v>222</v>
      </c>
      <c r="C64" s="4" t="s">
        <v>223</v>
      </c>
      <c r="D64" s="4" t="s">
        <v>1153</v>
      </c>
      <c r="E64" s="5">
        <v>3563</v>
      </c>
      <c r="F64" s="6">
        <v>32.811667</v>
      </c>
      <c r="G64" s="7">
        <v>4.2907400000000004E-3</v>
      </c>
      <c r="H64" s="39"/>
    </row>
    <row r="65" spans="1:8" x14ac:dyDescent="0.2">
      <c r="A65" s="3">
        <v>59</v>
      </c>
      <c r="B65" s="4" t="s">
        <v>212</v>
      </c>
      <c r="C65" s="4" t="s">
        <v>213</v>
      </c>
      <c r="D65" s="4" t="s">
        <v>308</v>
      </c>
      <c r="E65" s="5">
        <v>4284</v>
      </c>
      <c r="F65" s="6">
        <v>24.830064</v>
      </c>
      <c r="G65" s="7">
        <v>3.2469959999999998E-3</v>
      </c>
      <c r="H65" s="39"/>
    </row>
    <row r="66" spans="1:8" x14ac:dyDescent="0.2">
      <c r="A66" s="3">
        <v>60</v>
      </c>
      <c r="B66" s="4" t="s">
        <v>274</v>
      </c>
      <c r="C66" s="4" t="s">
        <v>275</v>
      </c>
      <c r="D66" s="4" t="s">
        <v>60</v>
      </c>
      <c r="E66" s="5">
        <v>4676</v>
      </c>
      <c r="F66" s="6">
        <v>24.001908</v>
      </c>
      <c r="G66" s="7">
        <v>3.138699E-3</v>
      </c>
      <c r="H66" s="39"/>
    </row>
    <row r="67" spans="1:8" x14ac:dyDescent="0.2">
      <c r="A67" s="3">
        <v>61</v>
      </c>
      <c r="B67" s="4" t="s">
        <v>256</v>
      </c>
      <c r="C67" s="4" t="s">
        <v>257</v>
      </c>
      <c r="D67" s="4" t="s">
        <v>1166</v>
      </c>
      <c r="E67" s="5">
        <v>1280</v>
      </c>
      <c r="F67" s="6">
        <v>22.448</v>
      </c>
      <c r="G67" s="7">
        <v>2.9354960000000001E-3</v>
      </c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9">
        <v>7223.7133599999997</v>
      </c>
      <c r="G68" s="10">
        <v>0.94463578199999998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113</v>
      </c>
      <c r="D70" s="1"/>
      <c r="E70" s="1"/>
      <c r="F70" s="1"/>
      <c r="G70" s="1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114</v>
      </c>
      <c r="D73" s="1"/>
      <c r="E73" s="1"/>
      <c r="F73" s="1"/>
      <c r="G73" s="1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115</v>
      </c>
      <c r="D76" s="1"/>
      <c r="E76" s="1"/>
      <c r="F76" s="1"/>
      <c r="G76" s="1"/>
      <c r="H76" s="39"/>
    </row>
    <row r="77" spans="1:8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116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117</v>
      </c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118</v>
      </c>
      <c r="D85" s="1"/>
      <c r="E85" s="1"/>
      <c r="F85" s="9">
        <v>7223.7133599999997</v>
      </c>
      <c r="G85" s="10">
        <v>0.94463578199999998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119</v>
      </c>
      <c r="D87" s="1"/>
      <c r="E87" s="1"/>
      <c r="F87" s="12"/>
      <c r="G87" s="12"/>
      <c r="H87" s="39"/>
    </row>
    <row r="88" spans="1:8" ht="25.5" x14ac:dyDescent="0.2">
      <c r="A88" s="1"/>
      <c r="B88" s="1"/>
      <c r="C88" s="2" t="s">
        <v>10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120</v>
      </c>
      <c r="D91" s="1"/>
      <c r="E91" s="1"/>
      <c r="F91" s="1"/>
      <c r="G91" s="1"/>
      <c r="H91" s="39"/>
    </row>
    <row r="92" spans="1:8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39"/>
    </row>
    <row r="93" spans="1:8" x14ac:dyDescent="0.2">
      <c r="A93" s="1"/>
      <c r="B93" s="1"/>
      <c r="C93" s="11"/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121</v>
      </c>
      <c r="D94" s="1"/>
      <c r="E94" s="1"/>
      <c r="F94" s="1"/>
      <c r="G94" s="1"/>
      <c r="H94" s="39"/>
    </row>
    <row r="95" spans="1:8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122</v>
      </c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123</v>
      </c>
      <c r="D100" s="1"/>
      <c r="E100" s="1"/>
      <c r="F100" s="9">
        <v>0</v>
      </c>
      <c r="G100" s="10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124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125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126</v>
      </c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127</v>
      </c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39"/>
    </row>
    <row r="111" spans="1:8" x14ac:dyDescent="0.2">
      <c r="A111" s="1"/>
      <c r="B111" s="1"/>
      <c r="C111" s="11"/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128</v>
      </c>
      <c r="D112" s="1"/>
      <c r="E112" s="1"/>
      <c r="F112" s="12"/>
      <c r="G112" s="12"/>
      <c r="H112" s="39"/>
    </row>
    <row r="113" spans="1:8" x14ac:dyDescent="0.2">
      <c r="A113" s="3">
        <v>1</v>
      </c>
      <c r="B113" s="4"/>
      <c r="C113" s="4" t="s">
        <v>129</v>
      </c>
      <c r="D113" s="4"/>
      <c r="E113" s="8"/>
      <c r="F113" s="6">
        <v>321.08079529999998</v>
      </c>
      <c r="G113" s="7">
        <v>4.1987325999999998E-2</v>
      </c>
      <c r="H113" s="39">
        <v>3.6151121728634927</v>
      </c>
    </row>
    <row r="114" spans="1:8" x14ac:dyDescent="0.2">
      <c r="A114" s="3">
        <v>2</v>
      </c>
      <c r="B114" s="4"/>
      <c r="C114" s="4" t="s">
        <v>130</v>
      </c>
      <c r="D114" s="4"/>
      <c r="E114" s="8"/>
      <c r="F114" s="6">
        <v>113.5267568</v>
      </c>
      <c r="G114" s="7">
        <v>1.4845749E-2</v>
      </c>
      <c r="H114" s="39">
        <v>3.7142625760646584</v>
      </c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9">
        <v>434.60755210000002</v>
      </c>
      <c r="G115" s="10">
        <v>5.6833074999999997E-2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131</v>
      </c>
      <c r="D117" s="1"/>
      <c r="E117" s="1"/>
      <c r="F117" s="9">
        <v>434.60755210000002</v>
      </c>
      <c r="G117" s="10">
        <v>5.6833074999999997E-2</v>
      </c>
      <c r="H117" s="39"/>
    </row>
    <row r="118" spans="1:8" x14ac:dyDescent="0.2">
      <c r="A118" s="1"/>
      <c r="B118" s="1"/>
      <c r="C118" s="12"/>
      <c r="D118" s="1"/>
      <c r="E118" s="1"/>
      <c r="F118" s="1"/>
      <c r="G118" s="1"/>
      <c r="H118" s="39"/>
    </row>
    <row r="119" spans="1:8" x14ac:dyDescent="0.2">
      <c r="A119" s="1"/>
      <c r="B119" s="1"/>
      <c r="C119" s="2" t="s">
        <v>132</v>
      </c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133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134</v>
      </c>
      <c r="D123" s="1"/>
      <c r="E123" s="1"/>
      <c r="F123" s="1"/>
      <c r="G123" s="1"/>
      <c r="H123" s="39"/>
    </row>
    <row r="124" spans="1:8" x14ac:dyDescent="0.2">
      <c r="A124" s="1"/>
      <c r="B124" s="1"/>
      <c r="C124" s="2" t="s">
        <v>135</v>
      </c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111</v>
      </c>
      <c r="D125" s="1"/>
      <c r="E125" s="1" t="s">
        <v>112</v>
      </c>
      <c r="F125" s="13">
        <v>0</v>
      </c>
      <c r="G125" s="14">
        <v>0</v>
      </c>
      <c r="H125" s="39"/>
    </row>
    <row r="126" spans="1:8" x14ac:dyDescent="0.2">
      <c r="A126" s="1"/>
      <c r="B126" s="1"/>
      <c r="C126" s="11"/>
      <c r="D126" s="1"/>
      <c r="E126" s="1"/>
      <c r="F126" s="12"/>
      <c r="G126" s="12"/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ht="25.5" x14ac:dyDescent="0.2">
      <c r="A128" s="1"/>
      <c r="B128" s="1"/>
      <c r="C128" s="2" t="s">
        <v>136</v>
      </c>
      <c r="D128" s="1"/>
      <c r="E128" s="1"/>
      <c r="F128" s="12"/>
      <c r="G128" s="12"/>
      <c r="H128" s="39"/>
    </row>
    <row r="129" spans="1:8" x14ac:dyDescent="0.2">
      <c r="A129" s="1"/>
      <c r="B129" s="1"/>
      <c r="C129" s="2" t="s">
        <v>111</v>
      </c>
      <c r="D129" s="1"/>
      <c r="E129" s="1" t="s">
        <v>112</v>
      </c>
      <c r="F129" s="13">
        <v>0</v>
      </c>
      <c r="G129" s="14">
        <v>0</v>
      </c>
      <c r="H129" s="39"/>
    </row>
    <row r="130" spans="1:8" x14ac:dyDescent="0.2">
      <c r="A130" s="1"/>
      <c r="B130" s="1"/>
      <c r="C130" s="11"/>
      <c r="D130" s="1"/>
      <c r="E130" s="1"/>
      <c r="F130" s="12"/>
      <c r="G130" s="12"/>
      <c r="H130" s="39"/>
    </row>
    <row r="131" spans="1:8" x14ac:dyDescent="0.2">
      <c r="A131" s="1"/>
      <c r="B131" s="4"/>
      <c r="C131" s="4"/>
      <c r="D131" s="2"/>
      <c r="E131" s="1"/>
      <c r="F131" s="4"/>
      <c r="G131" s="8"/>
      <c r="H131" s="39"/>
    </row>
    <row r="132" spans="1:8" x14ac:dyDescent="0.2">
      <c r="A132" s="8"/>
      <c r="B132" s="4"/>
      <c r="C132" s="4" t="s">
        <v>137</v>
      </c>
      <c r="D132" s="4"/>
      <c r="E132" s="8"/>
      <c r="F132" s="6">
        <v>-11.23248379</v>
      </c>
      <c r="G132" s="7">
        <v>-1.468858E-3</v>
      </c>
      <c r="H132" s="39"/>
    </row>
    <row r="133" spans="1:8" x14ac:dyDescent="0.2">
      <c r="A133" s="11"/>
      <c r="B133" s="11"/>
      <c r="C133" s="2" t="s">
        <v>138</v>
      </c>
      <c r="D133" s="15"/>
      <c r="E133" s="15"/>
      <c r="F133" s="9">
        <v>7647.0884283100004</v>
      </c>
      <c r="G133" s="10">
        <v>0.99999999900000003</v>
      </c>
      <c r="H133" s="39"/>
    </row>
    <row r="134" spans="1:8" ht="14.1" customHeight="1" x14ac:dyDescent="0.2">
      <c r="A134" s="16"/>
      <c r="B134" s="16"/>
      <c r="C134" s="16"/>
      <c r="D134" s="17"/>
      <c r="E134" s="17"/>
      <c r="F134" s="17"/>
      <c r="G134" s="17"/>
    </row>
    <row r="135" spans="1:8" ht="14.1" customHeight="1" x14ac:dyDescent="0.2">
      <c r="A135" s="18"/>
      <c r="B135" s="18"/>
      <c r="C135" s="18"/>
      <c r="D135" s="20"/>
      <c r="E135" s="20"/>
      <c r="F135" s="20"/>
      <c r="G135" s="20"/>
    </row>
    <row r="136" spans="1:8" ht="14.1" customHeight="1" x14ac:dyDescent="0.2">
      <c r="A136" s="18"/>
      <c r="B136" s="194" t="s">
        <v>140</v>
      </c>
      <c r="C136" s="195"/>
      <c r="D136" s="12" t="s">
        <v>112</v>
      </c>
      <c r="E136" s="21"/>
      <c r="F136" s="20"/>
      <c r="G136" s="20"/>
    </row>
    <row r="137" spans="1:8" ht="29.1" customHeight="1" x14ac:dyDescent="0.2">
      <c r="A137" s="18"/>
      <c r="B137" s="189" t="s">
        <v>141</v>
      </c>
      <c r="C137" s="190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189" t="s">
        <v>143</v>
      </c>
      <c r="C138" s="190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189" t="s">
        <v>144</v>
      </c>
      <c r="C139" s="190"/>
      <c r="D139" s="12" t="s">
        <v>112</v>
      </c>
      <c r="E139" s="21"/>
      <c r="F139" s="20"/>
      <c r="G139" s="20"/>
    </row>
    <row r="140" spans="1:8" ht="24" customHeight="1" x14ac:dyDescent="0.2">
      <c r="A140" s="22"/>
      <c r="B140" s="23" t="s">
        <v>112</v>
      </c>
      <c r="C140" s="23" t="s">
        <v>145</v>
      </c>
      <c r="D140" s="23" t="s">
        <v>146</v>
      </c>
      <c r="E140" s="22"/>
      <c r="F140" s="22"/>
      <c r="G140" s="22"/>
    </row>
    <row r="141" spans="1:8" ht="18" customHeight="1" x14ac:dyDescent="0.2">
      <c r="A141" s="22"/>
      <c r="B141" s="23" t="s">
        <v>147</v>
      </c>
      <c r="C141" s="23" t="s">
        <v>148</v>
      </c>
      <c r="D141" s="23" t="s">
        <v>149</v>
      </c>
      <c r="E141" s="22"/>
      <c r="F141" s="22"/>
      <c r="G141" s="22"/>
    </row>
    <row r="142" spans="1:8" ht="17.100000000000001" customHeight="1" x14ac:dyDescent="0.2">
      <c r="A142" s="22"/>
      <c r="B142" s="4" t="s">
        <v>150</v>
      </c>
      <c r="C142" s="24">
        <v>17.726299999999998</v>
      </c>
      <c r="D142" s="24">
        <v>19.085999999999999</v>
      </c>
      <c r="E142" s="22"/>
      <c r="F142" s="19"/>
      <c r="G142" s="25"/>
    </row>
    <row r="143" spans="1:8" ht="17.100000000000001" customHeight="1" x14ac:dyDescent="0.2">
      <c r="A143" s="22"/>
      <c r="B143" s="4" t="s">
        <v>1092</v>
      </c>
      <c r="C143" s="24">
        <v>16.327100000000002</v>
      </c>
      <c r="D143" s="24">
        <v>17.579599999999999</v>
      </c>
      <c r="E143" s="22"/>
      <c r="F143" s="19"/>
      <c r="G143" s="25"/>
    </row>
    <row r="144" spans="1:8" ht="17.100000000000001" customHeight="1" x14ac:dyDescent="0.2">
      <c r="A144" s="22"/>
      <c r="B144" s="4" t="s">
        <v>151</v>
      </c>
      <c r="C144" s="24">
        <v>17.317</v>
      </c>
      <c r="D144" s="24">
        <v>18.642600000000002</v>
      </c>
      <c r="E144" s="22"/>
      <c r="F144" s="19"/>
      <c r="G144" s="25"/>
    </row>
    <row r="145" spans="1:17" ht="17.100000000000001" customHeight="1" x14ac:dyDescent="0.2">
      <c r="A145" s="22"/>
      <c r="B145" s="4" t="s">
        <v>1093</v>
      </c>
      <c r="C145" s="24">
        <v>15.9352</v>
      </c>
      <c r="D145" s="24">
        <v>17.155100000000001</v>
      </c>
      <c r="E145" s="22"/>
      <c r="F145" s="19"/>
      <c r="G145" s="25"/>
    </row>
    <row r="146" spans="1:17" ht="14.1" customHeight="1" x14ac:dyDescent="0.2">
      <c r="A146" s="22"/>
      <c r="B146" s="22"/>
      <c r="C146" s="22"/>
      <c r="D146" s="22"/>
      <c r="E146" s="22"/>
      <c r="F146" s="22"/>
      <c r="G146" s="22"/>
    </row>
    <row r="147" spans="1:17" ht="17.100000000000001" customHeight="1" x14ac:dyDescent="0.2">
      <c r="A147" s="22"/>
      <c r="B147" s="189" t="s">
        <v>1094</v>
      </c>
      <c r="C147" s="190"/>
      <c r="D147" s="2" t="s">
        <v>142</v>
      </c>
      <c r="E147" s="22"/>
      <c r="F147" s="22"/>
      <c r="G147" s="22"/>
    </row>
    <row r="148" spans="1:17" ht="18" customHeight="1" x14ac:dyDescent="0.2">
      <c r="A148" s="22"/>
      <c r="B148" s="26"/>
      <c r="C148" s="26"/>
      <c r="D148" s="27"/>
      <c r="E148" s="22"/>
      <c r="F148" s="22"/>
      <c r="G148" s="22"/>
    </row>
    <row r="149" spans="1:17" s="101" customFormat="1" x14ac:dyDescent="0.2">
      <c r="B149" s="193" t="s">
        <v>1102</v>
      </c>
      <c r="C149" s="193"/>
      <c r="D149" s="193"/>
      <c r="E149" s="193"/>
      <c r="F149" s="193"/>
      <c r="I149"/>
      <c r="J149"/>
      <c r="K149"/>
      <c r="L149"/>
      <c r="M149"/>
      <c r="N149"/>
      <c r="O149"/>
      <c r="P149" s="41"/>
      <c r="Q149" s="41"/>
    </row>
    <row r="150" spans="1:17" ht="14.1" customHeight="1" x14ac:dyDescent="0.2">
      <c r="A150" s="22"/>
      <c r="B150" s="19"/>
      <c r="C150" s="19"/>
      <c r="D150" s="22"/>
      <c r="E150" s="22"/>
      <c r="F150" s="22"/>
      <c r="G150" s="22"/>
    </row>
    <row r="151" spans="1:17" ht="29.1" customHeight="1" x14ac:dyDescent="0.2">
      <c r="A151" s="22"/>
      <c r="B151" s="189" t="s">
        <v>152</v>
      </c>
      <c r="C151" s="190"/>
      <c r="D151" s="2" t="s">
        <v>142</v>
      </c>
      <c r="E151" s="22"/>
      <c r="F151" s="22"/>
      <c r="G151" s="22"/>
    </row>
    <row r="152" spans="1:17" ht="29.1" customHeight="1" x14ac:dyDescent="0.2">
      <c r="A152" s="22"/>
      <c r="B152" s="189" t="s">
        <v>153</v>
      </c>
      <c r="C152" s="190"/>
      <c r="D152" s="2" t="s">
        <v>142</v>
      </c>
      <c r="E152" s="22"/>
      <c r="F152" s="22"/>
      <c r="G152" s="22"/>
    </row>
    <row r="153" spans="1:17" ht="17.100000000000001" customHeight="1" x14ac:dyDescent="0.2">
      <c r="A153" s="22"/>
      <c r="B153" s="189" t="s">
        <v>154</v>
      </c>
      <c r="C153" s="190"/>
      <c r="D153" s="28">
        <v>0.24219023408764995</v>
      </c>
      <c r="E153" s="22"/>
      <c r="F153" s="19"/>
      <c r="G153" s="25"/>
    </row>
    <row r="154" spans="1:17" ht="17.100000000000001" customHeight="1" x14ac:dyDescent="0.2">
      <c r="A154" s="22"/>
      <c r="B154" s="189" t="s">
        <v>155</v>
      </c>
      <c r="C154" s="190"/>
      <c r="D154" s="2" t="s">
        <v>142</v>
      </c>
      <c r="E154" s="22"/>
      <c r="F154" s="22"/>
      <c r="G154" s="22"/>
    </row>
    <row r="156" spans="1:17" x14ac:dyDescent="0.2">
      <c r="J156" s="101"/>
      <c r="K156" s="101"/>
      <c r="L156" s="101"/>
      <c r="M156" s="101"/>
      <c r="N156" s="101"/>
      <c r="O156" s="101"/>
    </row>
  </sheetData>
  <mergeCells count="14">
    <mergeCell ref="B154:C154"/>
    <mergeCell ref="B137:C137"/>
    <mergeCell ref="B138:C138"/>
    <mergeCell ref="B139:C139"/>
    <mergeCell ref="B147:C147"/>
    <mergeCell ref="B151:C151"/>
    <mergeCell ref="B152:C152"/>
    <mergeCell ref="B153:C153"/>
    <mergeCell ref="A1:H1"/>
    <mergeCell ref="A2:H2"/>
    <mergeCell ref="A3:H3"/>
    <mergeCell ref="B149:F149"/>
    <mergeCell ref="J2:N2"/>
    <mergeCell ref="B136:C13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512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11885</v>
      </c>
      <c r="F7" s="6">
        <v>149.86985000000001</v>
      </c>
      <c r="G7" s="7">
        <v>4.0717837E-2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20331</v>
      </c>
      <c r="F8" s="6">
        <v>145.63095300000001</v>
      </c>
      <c r="G8" s="7">
        <v>3.9566179E-2</v>
      </c>
      <c r="H8" s="39"/>
    </row>
    <row r="9" spans="1:14" x14ac:dyDescent="0.2">
      <c r="A9" s="3">
        <v>3</v>
      </c>
      <c r="B9" s="4" t="s">
        <v>170</v>
      </c>
      <c r="C9" s="4" t="s">
        <v>171</v>
      </c>
      <c r="D9" s="4" t="s">
        <v>1027</v>
      </c>
      <c r="E9" s="5">
        <v>9015</v>
      </c>
      <c r="F9" s="6">
        <v>138.53801250000001</v>
      </c>
      <c r="G9" s="7">
        <v>3.7639113000000002E-2</v>
      </c>
      <c r="H9" s="39"/>
    </row>
    <row r="10" spans="1:14" ht="25.5" x14ac:dyDescent="0.2">
      <c r="A10" s="3">
        <v>4</v>
      </c>
      <c r="B10" s="4" t="s">
        <v>237</v>
      </c>
      <c r="C10" s="4" t="s">
        <v>238</v>
      </c>
      <c r="D10" s="4" t="s">
        <v>1153</v>
      </c>
      <c r="E10" s="5">
        <v>2944</v>
      </c>
      <c r="F10" s="6">
        <v>120.179968</v>
      </c>
      <c r="G10" s="7">
        <v>3.2651452999999997E-2</v>
      </c>
      <c r="H10" s="39"/>
    </row>
    <row r="11" spans="1:14" x14ac:dyDescent="0.2">
      <c r="A11" s="3">
        <v>5</v>
      </c>
      <c r="B11" s="4" t="s">
        <v>239</v>
      </c>
      <c r="C11" s="4" t="s">
        <v>240</v>
      </c>
      <c r="D11" s="4" t="s">
        <v>1143</v>
      </c>
      <c r="E11" s="5">
        <v>19582</v>
      </c>
      <c r="F11" s="6">
        <v>117.69761099999999</v>
      </c>
      <c r="G11" s="7">
        <v>3.1977025999999999E-2</v>
      </c>
      <c r="H11" s="39"/>
    </row>
    <row r="12" spans="1:14" x14ac:dyDescent="0.2">
      <c r="A12" s="3">
        <v>6</v>
      </c>
      <c r="B12" s="4" t="s">
        <v>69</v>
      </c>
      <c r="C12" s="4" t="s">
        <v>70</v>
      </c>
      <c r="D12" s="4" t="s">
        <v>71</v>
      </c>
      <c r="E12" s="5">
        <v>19433</v>
      </c>
      <c r="F12" s="6">
        <v>113.7704985</v>
      </c>
      <c r="G12" s="7">
        <v>3.0910077000000001E-2</v>
      </c>
      <c r="H12" s="39"/>
    </row>
    <row r="13" spans="1:14" x14ac:dyDescent="0.2">
      <c r="A13" s="3">
        <v>7</v>
      </c>
      <c r="B13" s="4" t="s">
        <v>235</v>
      </c>
      <c r="C13" s="4" t="s">
        <v>236</v>
      </c>
      <c r="D13" s="4" t="s">
        <v>1160</v>
      </c>
      <c r="E13" s="5">
        <v>56608</v>
      </c>
      <c r="F13" s="6">
        <v>107.24385599999999</v>
      </c>
      <c r="G13" s="7">
        <v>2.9136867E-2</v>
      </c>
      <c r="H13" s="39"/>
    </row>
    <row r="14" spans="1:14" x14ac:dyDescent="0.2">
      <c r="A14" s="3">
        <v>8</v>
      </c>
      <c r="B14" s="4" t="s">
        <v>245</v>
      </c>
      <c r="C14" s="4" t="s">
        <v>246</v>
      </c>
      <c r="D14" s="4" t="s">
        <v>29</v>
      </c>
      <c r="E14" s="5">
        <v>11868</v>
      </c>
      <c r="F14" s="6">
        <v>100.37361</v>
      </c>
      <c r="G14" s="7">
        <v>2.7270302999999999E-2</v>
      </c>
      <c r="H14" s="39"/>
    </row>
    <row r="15" spans="1:14" ht="15" x14ac:dyDescent="0.2">
      <c r="A15" s="3">
        <v>9</v>
      </c>
      <c r="B15" s="4" t="s">
        <v>251</v>
      </c>
      <c r="C15" s="4" t="s">
        <v>252</v>
      </c>
      <c r="D15" s="4" t="s">
        <v>253</v>
      </c>
      <c r="E15" s="5">
        <v>35324</v>
      </c>
      <c r="F15" s="6">
        <v>95.339476000000005</v>
      </c>
      <c r="G15" s="7">
        <v>2.590259E-2</v>
      </c>
      <c r="H15" s="39"/>
      <c r="J15" s="176" t="s">
        <v>1182</v>
      </c>
    </row>
    <row r="16" spans="1:14" x14ac:dyDescent="0.2">
      <c r="A16" s="3">
        <v>10</v>
      </c>
      <c r="B16" s="4" t="s">
        <v>87</v>
      </c>
      <c r="C16" s="4" t="s">
        <v>88</v>
      </c>
      <c r="D16" s="4" t="s">
        <v>1157</v>
      </c>
      <c r="E16" s="5">
        <v>18429</v>
      </c>
      <c r="F16" s="6">
        <v>95.250286500000001</v>
      </c>
      <c r="G16" s="7">
        <v>2.5878358000000001E-2</v>
      </c>
      <c r="H16" s="39"/>
    </row>
    <row r="17" spans="1:8" x14ac:dyDescent="0.2">
      <c r="A17" s="3">
        <v>11</v>
      </c>
      <c r="B17" s="4" t="s">
        <v>164</v>
      </c>
      <c r="C17" s="4" t="s">
        <v>165</v>
      </c>
      <c r="D17" s="4" t="s">
        <v>82</v>
      </c>
      <c r="E17" s="5">
        <v>88789</v>
      </c>
      <c r="F17" s="6">
        <v>94.560284999999993</v>
      </c>
      <c r="G17" s="7">
        <v>2.5690892999999999E-2</v>
      </c>
      <c r="H17" s="39"/>
    </row>
    <row r="18" spans="1:8" x14ac:dyDescent="0.2">
      <c r="A18" s="3">
        <v>12</v>
      </c>
      <c r="B18" s="4" t="s">
        <v>220</v>
      </c>
      <c r="C18" s="4" t="s">
        <v>221</v>
      </c>
      <c r="D18" s="4" t="s">
        <v>1149</v>
      </c>
      <c r="E18" s="5">
        <v>17365</v>
      </c>
      <c r="F18" s="6">
        <v>91.999769999999998</v>
      </c>
      <c r="G18" s="7">
        <v>2.4995231999999999E-2</v>
      </c>
      <c r="H18" s="39"/>
    </row>
    <row r="19" spans="1:8" x14ac:dyDescent="0.2">
      <c r="A19" s="3">
        <v>13</v>
      </c>
      <c r="B19" s="4" t="s">
        <v>461</v>
      </c>
      <c r="C19" s="4" t="s">
        <v>462</v>
      </c>
      <c r="D19" s="4" t="s">
        <v>1168</v>
      </c>
      <c r="E19" s="5">
        <v>4362</v>
      </c>
      <c r="F19" s="6">
        <v>90.197435999999996</v>
      </c>
      <c r="G19" s="7">
        <v>2.4505559E-2</v>
      </c>
      <c r="H19" s="39"/>
    </row>
    <row r="20" spans="1:8" x14ac:dyDescent="0.2">
      <c r="A20" s="3">
        <v>14</v>
      </c>
      <c r="B20" s="4" t="s">
        <v>30</v>
      </c>
      <c r="C20" s="4" t="s">
        <v>31</v>
      </c>
      <c r="D20" s="4" t="s">
        <v>29</v>
      </c>
      <c r="E20" s="5">
        <v>4869</v>
      </c>
      <c r="F20" s="6">
        <v>87.639565500000003</v>
      </c>
      <c r="G20" s="7">
        <v>2.3810616999999999E-2</v>
      </c>
      <c r="H20" s="39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1026</v>
      </c>
      <c r="E21" s="5">
        <v>5601</v>
      </c>
      <c r="F21" s="6">
        <v>83.018022000000002</v>
      </c>
      <c r="G21" s="7">
        <v>2.2554998999999999E-2</v>
      </c>
      <c r="H21" s="39"/>
    </row>
    <row r="22" spans="1:8" x14ac:dyDescent="0.2">
      <c r="A22" s="3">
        <v>16</v>
      </c>
      <c r="B22" s="4" t="s">
        <v>226</v>
      </c>
      <c r="C22" s="4" t="s">
        <v>227</v>
      </c>
      <c r="D22" s="4" t="s">
        <v>82</v>
      </c>
      <c r="E22" s="5">
        <v>10174</v>
      </c>
      <c r="F22" s="6">
        <v>78.283843000000005</v>
      </c>
      <c r="G22" s="7">
        <v>2.1268779000000002E-2</v>
      </c>
      <c r="H22" s="39"/>
    </row>
    <row r="23" spans="1:8" x14ac:dyDescent="0.2">
      <c r="A23" s="3">
        <v>17</v>
      </c>
      <c r="B23" s="4" t="s">
        <v>38</v>
      </c>
      <c r="C23" s="4" t="s">
        <v>39</v>
      </c>
      <c r="D23" s="4" t="s">
        <v>29</v>
      </c>
      <c r="E23" s="5">
        <v>5766</v>
      </c>
      <c r="F23" s="6">
        <v>76.079487</v>
      </c>
      <c r="G23" s="7">
        <v>2.0669882000000001E-2</v>
      </c>
      <c r="H23" s="39"/>
    </row>
    <row r="24" spans="1:8" ht="25.5" x14ac:dyDescent="0.2">
      <c r="A24" s="3">
        <v>18</v>
      </c>
      <c r="B24" s="4" t="s">
        <v>159</v>
      </c>
      <c r="C24" s="4" t="s">
        <v>160</v>
      </c>
      <c r="D24" s="4" t="s">
        <v>1138</v>
      </c>
      <c r="E24" s="5">
        <v>20115</v>
      </c>
      <c r="F24" s="6">
        <v>75.843607500000005</v>
      </c>
      <c r="G24" s="7">
        <v>2.0605796999999999E-2</v>
      </c>
      <c r="H24" s="39"/>
    </row>
    <row r="25" spans="1:8" x14ac:dyDescent="0.2">
      <c r="A25" s="3">
        <v>19</v>
      </c>
      <c r="B25" s="4" t="s">
        <v>249</v>
      </c>
      <c r="C25" s="4" t="s">
        <v>250</v>
      </c>
      <c r="D25" s="4" t="s">
        <v>60</v>
      </c>
      <c r="E25" s="5">
        <v>17176</v>
      </c>
      <c r="F25" s="6">
        <v>62.992980000000003</v>
      </c>
      <c r="G25" s="7">
        <v>1.7114435000000001E-2</v>
      </c>
      <c r="H25" s="39"/>
    </row>
    <row r="26" spans="1:8" x14ac:dyDescent="0.2">
      <c r="A26" s="3">
        <v>20</v>
      </c>
      <c r="B26" s="4" t="s">
        <v>281</v>
      </c>
      <c r="C26" s="4" t="s">
        <v>282</v>
      </c>
      <c r="D26" s="4" t="s">
        <v>29</v>
      </c>
      <c r="E26" s="5">
        <v>2835</v>
      </c>
      <c r="F26" s="6">
        <v>60.700184999999998</v>
      </c>
      <c r="G26" s="7">
        <v>1.6491511E-2</v>
      </c>
      <c r="H26" s="39"/>
    </row>
    <row r="27" spans="1:8" ht="25.5" x14ac:dyDescent="0.2">
      <c r="A27" s="3">
        <v>21</v>
      </c>
      <c r="B27" s="4" t="s">
        <v>42</v>
      </c>
      <c r="C27" s="4" t="s">
        <v>43</v>
      </c>
      <c r="D27" s="4" t="s">
        <v>1150</v>
      </c>
      <c r="E27" s="5">
        <v>2480</v>
      </c>
      <c r="F27" s="6">
        <v>60.296239999999997</v>
      </c>
      <c r="G27" s="7">
        <v>1.6381764E-2</v>
      </c>
      <c r="H27" s="39"/>
    </row>
    <row r="28" spans="1:8" x14ac:dyDescent="0.2">
      <c r="A28" s="3">
        <v>22</v>
      </c>
      <c r="B28" s="4" t="s">
        <v>174</v>
      </c>
      <c r="C28" s="4" t="s">
        <v>175</v>
      </c>
      <c r="D28" s="4" t="s">
        <v>82</v>
      </c>
      <c r="E28" s="5">
        <v>9438</v>
      </c>
      <c r="F28" s="6">
        <v>59.596251000000002</v>
      </c>
      <c r="G28" s="7">
        <v>1.6191585000000001E-2</v>
      </c>
      <c r="H28" s="39"/>
    </row>
    <row r="29" spans="1:8" x14ac:dyDescent="0.2">
      <c r="A29" s="3">
        <v>23</v>
      </c>
      <c r="B29" s="4" t="s">
        <v>194</v>
      </c>
      <c r="C29" s="4" t="s">
        <v>195</v>
      </c>
      <c r="D29" s="4" t="s">
        <v>1027</v>
      </c>
      <c r="E29" s="5">
        <v>4114</v>
      </c>
      <c r="F29" s="6">
        <v>58.231613000000003</v>
      </c>
      <c r="G29" s="7">
        <v>1.5820829000000002E-2</v>
      </c>
      <c r="H29" s="39"/>
    </row>
    <row r="30" spans="1:8" x14ac:dyDescent="0.2">
      <c r="A30" s="3">
        <v>24</v>
      </c>
      <c r="B30" s="4" t="s">
        <v>180</v>
      </c>
      <c r="C30" s="4" t="s">
        <v>181</v>
      </c>
      <c r="D30" s="4" t="s">
        <v>1156</v>
      </c>
      <c r="E30" s="5">
        <v>17911</v>
      </c>
      <c r="F30" s="6">
        <v>57.359977499999999</v>
      </c>
      <c r="G30" s="7">
        <v>1.5584015999999999E-2</v>
      </c>
      <c r="H30" s="39"/>
    </row>
    <row r="31" spans="1:8" x14ac:dyDescent="0.2">
      <c r="A31" s="3">
        <v>25</v>
      </c>
      <c r="B31" s="4" t="s">
        <v>266</v>
      </c>
      <c r="C31" s="4" t="s">
        <v>267</v>
      </c>
      <c r="D31" s="4" t="s">
        <v>1155</v>
      </c>
      <c r="E31" s="5">
        <v>38110</v>
      </c>
      <c r="F31" s="6">
        <v>57.355550000000001</v>
      </c>
      <c r="G31" s="7">
        <v>1.5582814E-2</v>
      </c>
      <c r="H31" s="39"/>
    </row>
    <row r="32" spans="1:8" x14ac:dyDescent="0.2">
      <c r="A32" s="3">
        <v>26</v>
      </c>
      <c r="B32" s="4" t="s">
        <v>465</v>
      </c>
      <c r="C32" s="4" t="s">
        <v>466</v>
      </c>
      <c r="D32" s="4" t="s">
        <v>71</v>
      </c>
      <c r="E32" s="5">
        <v>5646</v>
      </c>
      <c r="F32" s="6">
        <v>55.020269999999996</v>
      </c>
      <c r="G32" s="7">
        <v>1.4948346E-2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5920</v>
      </c>
      <c r="F33" s="6">
        <v>54.922800000000002</v>
      </c>
      <c r="G33" s="7">
        <v>1.4921864999999999E-2</v>
      </c>
      <c r="H33" s="39"/>
    </row>
    <row r="34" spans="1:8" x14ac:dyDescent="0.2">
      <c r="A34" s="3">
        <v>28</v>
      </c>
      <c r="B34" s="4" t="s">
        <v>172</v>
      </c>
      <c r="C34" s="4" t="s">
        <v>173</v>
      </c>
      <c r="D34" s="4" t="s">
        <v>1166</v>
      </c>
      <c r="E34" s="5">
        <v>23991</v>
      </c>
      <c r="F34" s="6">
        <v>53.967754499999998</v>
      </c>
      <c r="G34" s="7">
        <v>1.4662390000000001E-2</v>
      </c>
      <c r="H34" s="39"/>
    </row>
    <row r="35" spans="1:8" ht="25.5" x14ac:dyDescent="0.2">
      <c r="A35" s="3">
        <v>29</v>
      </c>
      <c r="B35" s="4" t="s">
        <v>182</v>
      </c>
      <c r="C35" s="4" t="s">
        <v>183</v>
      </c>
      <c r="D35" s="4" t="s">
        <v>1150</v>
      </c>
      <c r="E35" s="5">
        <v>27913</v>
      </c>
      <c r="F35" s="6">
        <v>52.923048000000001</v>
      </c>
      <c r="G35" s="7">
        <v>1.4378556000000001E-2</v>
      </c>
      <c r="H35" s="39"/>
    </row>
    <row r="36" spans="1:8" ht="25.5" x14ac:dyDescent="0.2">
      <c r="A36" s="3">
        <v>30</v>
      </c>
      <c r="B36" s="4" t="s">
        <v>188</v>
      </c>
      <c r="C36" s="4" t="s">
        <v>189</v>
      </c>
      <c r="D36" s="4" t="s">
        <v>1158</v>
      </c>
      <c r="E36" s="5">
        <v>7893</v>
      </c>
      <c r="F36" s="6">
        <v>52.0188165</v>
      </c>
      <c r="G36" s="7">
        <v>1.4132887E-2</v>
      </c>
      <c r="H36" s="39"/>
    </row>
    <row r="37" spans="1:8" ht="25.5" x14ac:dyDescent="0.2">
      <c r="A37" s="3">
        <v>31</v>
      </c>
      <c r="B37" s="4" t="s">
        <v>262</v>
      </c>
      <c r="C37" s="4" t="s">
        <v>263</v>
      </c>
      <c r="D37" s="4" t="s">
        <v>1141</v>
      </c>
      <c r="E37" s="5">
        <v>16295</v>
      </c>
      <c r="F37" s="6">
        <v>48.021365000000003</v>
      </c>
      <c r="G37" s="7">
        <v>1.3046828E-2</v>
      </c>
      <c r="H37" s="39"/>
    </row>
    <row r="38" spans="1:8" x14ac:dyDescent="0.2">
      <c r="A38" s="3">
        <v>32</v>
      </c>
      <c r="B38" s="4" t="s">
        <v>76</v>
      </c>
      <c r="C38" s="4" t="s">
        <v>77</v>
      </c>
      <c r="D38" s="4" t="s">
        <v>71</v>
      </c>
      <c r="E38" s="5">
        <v>1355</v>
      </c>
      <c r="F38" s="6">
        <v>47.7400375</v>
      </c>
      <c r="G38" s="7">
        <v>1.2970394E-2</v>
      </c>
      <c r="H38" s="39"/>
    </row>
    <row r="39" spans="1:8" x14ac:dyDescent="0.2">
      <c r="A39" s="3">
        <v>33</v>
      </c>
      <c r="B39" s="4" t="s">
        <v>204</v>
      </c>
      <c r="C39" s="4" t="s">
        <v>205</v>
      </c>
      <c r="D39" s="4" t="s">
        <v>1026</v>
      </c>
      <c r="E39" s="5">
        <v>31256</v>
      </c>
      <c r="F39" s="6">
        <v>47.696655999999997</v>
      </c>
      <c r="G39" s="7">
        <v>1.2958608E-2</v>
      </c>
      <c r="H39" s="39"/>
    </row>
    <row r="40" spans="1:8" ht="25.5" x14ac:dyDescent="0.2">
      <c r="A40" s="3">
        <v>34</v>
      </c>
      <c r="B40" s="4" t="s">
        <v>184</v>
      </c>
      <c r="C40" s="4" t="s">
        <v>185</v>
      </c>
      <c r="D40" s="4" t="s">
        <v>1145</v>
      </c>
      <c r="E40" s="5">
        <v>9605</v>
      </c>
      <c r="F40" s="6">
        <v>43.457822499999999</v>
      </c>
      <c r="G40" s="7">
        <v>1.1806967999999999E-2</v>
      </c>
      <c r="H40" s="39"/>
    </row>
    <row r="41" spans="1:8" x14ac:dyDescent="0.2">
      <c r="A41" s="3">
        <v>35</v>
      </c>
      <c r="B41" s="4" t="s">
        <v>473</v>
      </c>
      <c r="C41" s="4" t="s">
        <v>474</v>
      </c>
      <c r="D41" s="4" t="s">
        <v>1155</v>
      </c>
      <c r="E41" s="5">
        <v>4775</v>
      </c>
      <c r="F41" s="6">
        <v>43.037075000000002</v>
      </c>
      <c r="G41" s="7">
        <v>1.1692655999999999E-2</v>
      </c>
      <c r="H41" s="39"/>
    </row>
    <row r="42" spans="1:8" x14ac:dyDescent="0.2">
      <c r="A42" s="3">
        <v>36</v>
      </c>
      <c r="B42" s="4" t="s">
        <v>200</v>
      </c>
      <c r="C42" s="4" t="s">
        <v>201</v>
      </c>
      <c r="D42" s="4" t="s">
        <v>60</v>
      </c>
      <c r="E42" s="5">
        <v>50158</v>
      </c>
      <c r="F42" s="6">
        <v>43.035564000000001</v>
      </c>
      <c r="G42" s="7">
        <v>1.1692245E-2</v>
      </c>
      <c r="H42" s="39"/>
    </row>
    <row r="43" spans="1:8" ht="25.5" x14ac:dyDescent="0.2">
      <c r="A43" s="3">
        <v>37</v>
      </c>
      <c r="B43" s="4" t="s">
        <v>186</v>
      </c>
      <c r="C43" s="4" t="s">
        <v>187</v>
      </c>
      <c r="D43" s="4" t="s">
        <v>1158</v>
      </c>
      <c r="E43" s="5">
        <v>8864</v>
      </c>
      <c r="F43" s="6">
        <v>42.994832000000002</v>
      </c>
      <c r="G43" s="7">
        <v>1.1681179E-2</v>
      </c>
      <c r="H43" s="39"/>
    </row>
    <row r="44" spans="1:8" x14ac:dyDescent="0.2">
      <c r="A44" s="3">
        <v>38</v>
      </c>
      <c r="B44" s="4" t="s">
        <v>192</v>
      </c>
      <c r="C44" s="4" t="s">
        <v>193</v>
      </c>
      <c r="D44" s="4" t="s">
        <v>1026</v>
      </c>
      <c r="E44" s="5">
        <v>8650</v>
      </c>
      <c r="F44" s="6">
        <v>41.463774999999998</v>
      </c>
      <c r="G44" s="7">
        <v>1.1265209E-2</v>
      </c>
      <c r="H44" s="39"/>
    </row>
    <row r="45" spans="1:8" x14ac:dyDescent="0.2">
      <c r="A45" s="3">
        <v>39</v>
      </c>
      <c r="B45" s="4" t="s">
        <v>270</v>
      </c>
      <c r="C45" s="4" t="s">
        <v>271</v>
      </c>
      <c r="D45" s="4" t="s">
        <v>1154</v>
      </c>
      <c r="E45" s="5">
        <v>6770</v>
      </c>
      <c r="F45" s="6">
        <v>39.895609999999998</v>
      </c>
      <c r="G45" s="7">
        <v>1.0839158E-2</v>
      </c>
      <c r="H45" s="39"/>
    </row>
    <row r="46" spans="1:8" x14ac:dyDescent="0.2">
      <c r="A46" s="3">
        <v>40</v>
      </c>
      <c r="B46" s="4" t="s">
        <v>190</v>
      </c>
      <c r="C46" s="4" t="s">
        <v>191</v>
      </c>
      <c r="D46" s="4" t="s">
        <v>1169</v>
      </c>
      <c r="E46" s="5">
        <v>44513</v>
      </c>
      <c r="F46" s="6">
        <v>39.794621999999997</v>
      </c>
      <c r="G46" s="7">
        <v>1.081172E-2</v>
      </c>
      <c r="H46" s="39"/>
    </row>
    <row r="47" spans="1:8" ht="25.5" x14ac:dyDescent="0.2">
      <c r="A47" s="3">
        <v>41</v>
      </c>
      <c r="B47" s="4" t="s">
        <v>168</v>
      </c>
      <c r="C47" s="4" t="s">
        <v>169</v>
      </c>
      <c r="D47" s="4" t="s">
        <v>1137</v>
      </c>
      <c r="E47" s="5">
        <v>15720</v>
      </c>
      <c r="F47" s="6">
        <v>37.806600000000003</v>
      </c>
      <c r="G47" s="7">
        <v>1.0271598999999999E-2</v>
      </c>
      <c r="H47" s="39"/>
    </row>
    <row r="48" spans="1:8" x14ac:dyDescent="0.2">
      <c r="A48" s="3">
        <v>42</v>
      </c>
      <c r="B48" s="4" t="s">
        <v>279</v>
      </c>
      <c r="C48" s="4" t="s">
        <v>280</v>
      </c>
      <c r="D48" s="4" t="s">
        <v>82</v>
      </c>
      <c r="E48" s="5">
        <v>60160</v>
      </c>
      <c r="F48" s="6">
        <v>37.148800000000001</v>
      </c>
      <c r="G48" s="7">
        <v>1.0092881999999999E-2</v>
      </c>
      <c r="H48" s="39"/>
    </row>
    <row r="49" spans="1:8" ht="25.5" x14ac:dyDescent="0.2">
      <c r="A49" s="3">
        <v>43</v>
      </c>
      <c r="B49" s="4" t="s">
        <v>176</v>
      </c>
      <c r="C49" s="4" t="s">
        <v>177</v>
      </c>
      <c r="D49" s="4" t="s">
        <v>71</v>
      </c>
      <c r="E49" s="5">
        <v>2075</v>
      </c>
      <c r="F49" s="6">
        <v>36.743062500000001</v>
      </c>
      <c r="G49" s="7">
        <v>9.9826480000000002E-3</v>
      </c>
      <c r="H49" s="39"/>
    </row>
    <row r="50" spans="1:8" x14ac:dyDescent="0.2">
      <c r="A50" s="3">
        <v>44</v>
      </c>
      <c r="B50" s="4" t="s">
        <v>208</v>
      </c>
      <c r="C50" s="4" t="s">
        <v>209</v>
      </c>
      <c r="D50" s="4" t="s">
        <v>71</v>
      </c>
      <c r="E50" s="5">
        <v>5918</v>
      </c>
      <c r="F50" s="6">
        <v>36.333561000000003</v>
      </c>
      <c r="G50" s="7">
        <v>9.8713919999999997E-3</v>
      </c>
      <c r="H50" s="39"/>
    </row>
    <row r="51" spans="1:8" ht="25.5" x14ac:dyDescent="0.2">
      <c r="A51" s="3">
        <v>45</v>
      </c>
      <c r="B51" s="4" t="s">
        <v>260</v>
      </c>
      <c r="C51" s="4" t="s">
        <v>261</v>
      </c>
      <c r="D51" s="4" t="s">
        <v>1145</v>
      </c>
      <c r="E51" s="5">
        <v>8921</v>
      </c>
      <c r="F51" s="6">
        <v>36.014077</v>
      </c>
      <c r="G51" s="7">
        <v>9.7845919999999999E-3</v>
      </c>
      <c r="H51" s="39"/>
    </row>
    <row r="52" spans="1:8" x14ac:dyDescent="0.2">
      <c r="A52" s="3">
        <v>46</v>
      </c>
      <c r="B52" s="4" t="s">
        <v>228</v>
      </c>
      <c r="C52" s="4" t="s">
        <v>229</v>
      </c>
      <c r="D52" s="4" t="s">
        <v>29</v>
      </c>
      <c r="E52" s="5">
        <v>3399</v>
      </c>
      <c r="F52" s="6">
        <v>34.668100500000001</v>
      </c>
      <c r="G52" s="7">
        <v>9.4189059999999995E-3</v>
      </c>
      <c r="H52" s="39"/>
    </row>
    <row r="53" spans="1:8" ht="25.5" x14ac:dyDescent="0.2">
      <c r="A53" s="3">
        <v>47</v>
      </c>
      <c r="B53" s="4" t="s">
        <v>483</v>
      </c>
      <c r="C53" s="4" t="s">
        <v>484</v>
      </c>
      <c r="D53" s="4" t="s">
        <v>1138</v>
      </c>
      <c r="E53" s="5">
        <v>7802</v>
      </c>
      <c r="F53" s="6">
        <v>31.387446000000001</v>
      </c>
      <c r="G53" s="7">
        <v>8.5275920000000005E-3</v>
      </c>
      <c r="H53" s="39"/>
    </row>
    <row r="54" spans="1:8" x14ac:dyDescent="0.2">
      <c r="A54" s="3">
        <v>48</v>
      </c>
      <c r="B54" s="4" t="s">
        <v>256</v>
      </c>
      <c r="C54" s="4" t="s">
        <v>257</v>
      </c>
      <c r="D54" s="4" t="s">
        <v>1166</v>
      </c>
      <c r="E54" s="5">
        <v>1773</v>
      </c>
      <c r="F54" s="6">
        <v>31.093987500000001</v>
      </c>
      <c r="G54" s="7">
        <v>8.4478629999999999E-3</v>
      </c>
      <c r="H54" s="39"/>
    </row>
    <row r="55" spans="1:8" x14ac:dyDescent="0.2">
      <c r="A55" s="3">
        <v>49</v>
      </c>
      <c r="B55" s="4" t="s">
        <v>214</v>
      </c>
      <c r="C55" s="4" t="s">
        <v>215</v>
      </c>
      <c r="D55" s="4" t="s">
        <v>18</v>
      </c>
      <c r="E55" s="5">
        <v>38757</v>
      </c>
      <c r="F55" s="6">
        <v>26.897358000000001</v>
      </c>
      <c r="G55" s="7">
        <v>7.307689E-3</v>
      </c>
      <c r="H55" s="39"/>
    </row>
    <row r="56" spans="1:8" x14ac:dyDescent="0.2">
      <c r="A56" s="3">
        <v>50</v>
      </c>
      <c r="B56" s="4" t="s">
        <v>264</v>
      </c>
      <c r="C56" s="4" t="s">
        <v>265</v>
      </c>
      <c r="D56" s="4" t="s">
        <v>91</v>
      </c>
      <c r="E56" s="5">
        <v>12025</v>
      </c>
      <c r="F56" s="6">
        <v>25.8357125</v>
      </c>
      <c r="G56" s="7">
        <v>7.0192529999999996E-3</v>
      </c>
      <c r="H56" s="39"/>
    </row>
    <row r="57" spans="1:8" x14ac:dyDescent="0.2">
      <c r="A57" s="3">
        <v>51</v>
      </c>
      <c r="B57" s="4" t="s">
        <v>210</v>
      </c>
      <c r="C57" s="4" t="s">
        <v>211</v>
      </c>
      <c r="D57" s="4" t="s">
        <v>91</v>
      </c>
      <c r="E57" s="5">
        <v>3248</v>
      </c>
      <c r="F57" s="6">
        <v>25.056695999999999</v>
      </c>
      <c r="G57" s="7">
        <v>6.8076029999999997E-3</v>
      </c>
      <c r="H57" s="39"/>
    </row>
    <row r="58" spans="1:8" x14ac:dyDescent="0.2">
      <c r="A58" s="3">
        <v>52</v>
      </c>
      <c r="B58" s="4" t="s">
        <v>224</v>
      </c>
      <c r="C58" s="4" t="s">
        <v>225</v>
      </c>
      <c r="D58" s="4" t="s">
        <v>1154</v>
      </c>
      <c r="E58" s="5">
        <v>5084</v>
      </c>
      <c r="F58" s="6">
        <v>24.802294</v>
      </c>
      <c r="G58" s="7">
        <v>6.7384849999999998E-3</v>
      </c>
      <c r="H58" s="39"/>
    </row>
    <row r="59" spans="1:8" ht="25.5" x14ac:dyDescent="0.2">
      <c r="A59" s="3">
        <v>53</v>
      </c>
      <c r="B59" s="4" t="s">
        <v>216</v>
      </c>
      <c r="C59" s="4" t="s">
        <v>217</v>
      </c>
      <c r="D59" s="4" t="s">
        <v>1138</v>
      </c>
      <c r="E59" s="5">
        <v>482</v>
      </c>
      <c r="F59" s="6">
        <v>19.291568000000002</v>
      </c>
      <c r="G59" s="7">
        <v>5.2412869999999999E-3</v>
      </c>
      <c r="H59" s="39"/>
    </row>
    <row r="60" spans="1:8" x14ac:dyDescent="0.2">
      <c r="A60" s="3">
        <v>54</v>
      </c>
      <c r="B60" s="4" t="s">
        <v>212</v>
      </c>
      <c r="C60" s="4" t="s">
        <v>213</v>
      </c>
      <c r="D60" s="4" t="s">
        <v>308</v>
      </c>
      <c r="E60" s="5">
        <v>3231</v>
      </c>
      <c r="F60" s="6">
        <v>18.726876000000001</v>
      </c>
      <c r="G60" s="7">
        <v>5.0878670000000003E-3</v>
      </c>
      <c r="H60" s="39"/>
    </row>
    <row r="61" spans="1:8" x14ac:dyDescent="0.2">
      <c r="A61" s="3">
        <v>55</v>
      </c>
      <c r="B61" s="4" t="s">
        <v>218</v>
      </c>
      <c r="C61" s="4" t="s">
        <v>219</v>
      </c>
      <c r="D61" s="4" t="s">
        <v>1026</v>
      </c>
      <c r="E61" s="5">
        <v>18377</v>
      </c>
      <c r="F61" s="6">
        <v>18.514827499999999</v>
      </c>
      <c r="G61" s="7">
        <v>5.0302560000000003E-3</v>
      </c>
      <c r="H61" s="39"/>
    </row>
    <row r="62" spans="1:8" x14ac:dyDescent="0.2">
      <c r="A62" s="3">
        <v>56</v>
      </c>
      <c r="B62" s="4" t="s">
        <v>92</v>
      </c>
      <c r="C62" s="4" t="s">
        <v>93</v>
      </c>
      <c r="D62" s="4" t="s">
        <v>60</v>
      </c>
      <c r="E62" s="5">
        <v>15969</v>
      </c>
      <c r="F62" s="6">
        <v>17.486055</v>
      </c>
      <c r="G62" s="7">
        <v>4.7507510000000001E-3</v>
      </c>
      <c r="H62" s="39"/>
    </row>
    <row r="63" spans="1:8" x14ac:dyDescent="0.2">
      <c r="A63" s="3">
        <v>57</v>
      </c>
      <c r="B63" s="4" t="s">
        <v>104</v>
      </c>
      <c r="C63" s="4" t="s">
        <v>105</v>
      </c>
      <c r="D63" s="4" t="s">
        <v>1157</v>
      </c>
      <c r="E63" s="5">
        <v>21625</v>
      </c>
      <c r="F63" s="6">
        <v>16.813437499999999</v>
      </c>
      <c r="G63" s="7">
        <v>4.5680089999999996E-3</v>
      </c>
      <c r="H63" s="39"/>
    </row>
    <row r="64" spans="1:8" ht="25.5" x14ac:dyDescent="0.2">
      <c r="A64" s="3">
        <v>58</v>
      </c>
      <c r="B64" s="4" t="s">
        <v>222</v>
      </c>
      <c r="C64" s="4" t="s">
        <v>223</v>
      </c>
      <c r="D64" s="4" t="s">
        <v>1153</v>
      </c>
      <c r="E64" s="5">
        <v>1745</v>
      </c>
      <c r="F64" s="6">
        <v>16.069704999999999</v>
      </c>
      <c r="G64" s="7">
        <v>4.3659459999999999E-3</v>
      </c>
      <c r="H64" s="39"/>
    </row>
    <row r="65" spans="1:8" x14ac:dyDescent="0.2">
      <c r="A65" s="3">
        <v>59</v>
      </c>
      <c r="B65" s="4" t="s">
        <v>274</v>
      </c>
      <c r="C65" s="4" t="s">
        <v>275</v>
      </c>
      <c r="D65" s="4" t="s">
        <v>60</v>
      </c>
      <c r="E65" s="5">
        <v>2196</v>
      </c>
      <c r="F65" s="6">
        <v>11.272068000000001</v>
      </c>
      <c r="G65" s="7">
        <v>3.0624850000000002E-3</v>
      </c>
      <c r="H65" s="39"/>
    </row>
    <row r="66" spans="1:8" x14ac:dyDescent="0.2">
      <c r="A66" s="1"/>
      <c r="B66" s="1"/>
      <c r="C66" s="2" t="s">
        <v>111</v>
      </c>
      <c r="D66" s="1"/>
      <c r="E66" s="1" t="s">
        <v>112</v>
      </c>
      <c r="F66" s="9">
        <v>3486.0012139999999</v>
      </c>
      <c r="G66" s="10">
        <v>0.94710462900000003</v>
      </c>
      <c r="H66" s="39"/>
    </row>
    <row r="67" spans="1:8" x14ac:dyDescent="0.2">
      <c r="A67" s="1"/>
      <c r="B67" s="1"/>
      <c r="C67" s="11"/>
      <c r="D67" s="1"/>
      <c r="E67" s="1"/>
      <c r="F67" s="12"/>
      <c r="G67" s="12"/>
      <c r="H67" s="39"/>
    </row>
    <row r="68" spans="1:8" x14ac:dyDescent="0.2">
      <c r="A68" s="1"/>
      <c r="B68" s="1"/>
      <c r="C68" s="2" t="s">
        <v>113</v>
      </c>
      <c r="D68" s="1"/>
      <c r="E68" s="1"/>
      <c r="F68" s="1"/>
      <c r="G68" s="1"/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114</v>
      </c>
      <c r="D71" s="1"/>
      <c r="E71" s="1"/>
      <c r="F71" s="1"/>
      <c r="G71" s="1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115</v>
      </c>
      <c r="D74" s="1"/>
      <c r="E74" s="1"/>
      <c r="F74" s="1"/>
      <c r="G74" s="1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116</v>
      </c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117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118</v>
      </c>
      <c r="D83" s="1"/>
      <c r="E83" s="1"/>
      <c r="F83" s="9">
        <v>3486.0012139999999</v>
      </c>
      <c r="G83" s="10">
        <v>0.94710462900000003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119</v>
      </c>
      <c r="D85" s="1"/>
      <c r="E85" s="1"/>
      <c r="F85" s="12"/>
      <c r="G85" s="12"/>
      <c r="H85" s="39"/>
    </row>
    <row r="86" spans="1:8" ht="25.5" x14ac:dyDescent="0.2">
      <c r="A86" s="1"/>
      <c r="B86" s="1"/>
      <c r="C86" s="2" t="s">
        <v>10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120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121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122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123</v>
      </c>
      <c r="D98" s="1"/>
      <c r="E98" s="1"/>
      <c r="F98" s="9">
        <v>0</v>
      </c>
      <c r="G98" s="10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124</v>
      </c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125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126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127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128</v>
      </c>
      <c r="D110" s="1"/>
      <c r="E110" s="1"/>
      <c r="F110" s="12"/>
      <c r="G110" s="12"/>
      <c r="H110" s="39"/>
    </row>
    <row r="111" spans="1:8" x14ac:dyDescent="0.2">
      <c r="A111" s="3">
        <v>1</v>
      </c>
      <c r="B111" s="4"/>
      <c r="C111" s="4" t="s">
        <v>129</v>
      </c>
      <c r="D111" s="4"/>
      <c r="E111" s="8"/>
      <c r="F111" s="6">
        <v>146.0333449</v>
      </c>
      <c r="G111" s="7">
        <v>3.9675505E-2</v>
      </c>
      <c r="H111" s="39">
        <v>3.6151121728634927</v>
      </c>
    </row>
    <row r="112" spans="1:8" x14ac:dyDescent="0.2">
      <c r="A112" s="3">
        <v>2</v>
      </c>
      <c r="B112" s="4"/>
      <c r="C112" s="4" t="s">
        <v>130</v>
      </c>
      <c r="D112" s="4"/>
      <c r="E112" s="8"/>
      <c r="F112" s="6">
        <v>51.634050600000002</v>
      </c>
      <c r="G112" s="7">
        <v>1.4028351E-2</v>
      </c>
      <c r="H112" s="39">
        <v>3.7142625760646584</v>
      </c>
    </row>
    <row r="113" spans="1:8" x14ac:dyDescent="0.2">
      <c r="A113" s="1"/>
      <c r="B113" s="1"/>
      <c r="C113" s="2" t="s">
        <v>111</v>
      </c>
      <c r="D113" s="1"/>
      <c r="E113" s="1" t="s">
        <v>112</v>
      </c>
      <c r="F113" s="9">
        <v>197.6673955</v>
      </c>
      <c r="G113" s="10">
        <v>5.3703856000000001E-2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131</v>
      </c>
      <c r="D115" s="1"/>
      <c r="E115" s="1"/>
      <c r="F115" s="9">
        <v>197.6673955</v>
      </c>
      <c r="G115" s="10">
        <v>5.3703856000000001E-2</v>
      </c>
      <c r="H115" s="39"/>
    </row>
    <row r="116" spans="1:8" x14ac:dyDescent="0.2">
      <c r="A116" s="1"/>
      <c r="B116" s="1"/>
      <c r="C116" s="12"/>
      <c r="D116" s="1"/>
      <c r="E116" s="1"/>
      <c r="F116" s="1"/>
      <c r="G116" s="1"/>
      <c r="H116" s="39"/>
    </row>
    <row r="117" spans="1:8" x14ac:dyDescent="0.2">
      <c r="A117" s="1"/>
      <c r="B117" s="1"/>
      <c r="C117" s="2" t="s">
        <v>132</v>
      </c>
      <c r="D117" s="1"/>
      <c r="E117" s="1"/>
      <c r="F117" s="1"/>
      <c r="G117" s="1"/>
      <c r="H117" s="39"/>
    </row>
    <row r="118" spans="1:8" x14ac:dyDescent="0.2">
      <c r="A118" s="1"/>
      <c r="B118" s="1"/>
      <c r="C118" s="2" t="s">
        <v>133</v>
      </c>
      <c r="D118" s="1"/>
      <c r="E118" s="1"/>
      <c r="F118" s="1"/>
      <c r="G118" s="1"/>
      <c r="H118" s="39"/>
    </row>
    <row r="119" spans="1:8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39"/>
    </row>
    <row r="120" spans="1:8" x14ac:dyDescent="0.2">
      <c r="A120" s="1"/>
      <c r="B120" s="1"/>
      <c r="C120" s="11"/>
      <c r="D120" s="1"/>
      <c r="E120" s="1"/>
      <c r="F120" s="12"/>
      <c r="G120" s="12"/>
      <c r="H120" s="39"/>
    </row>
    <row r="121" spans="1:8" x14ac:dyDescent="0.2">
      <c r="A121" s="1"/>
      <c r="B121" s="1"/>
      <c r="C121" s="2" t="s">
        <v>134</v>
      </c>
      <c r="D121" s="1"/>
      <c r="E121" s="1"/>
      <c r="F121" s="1"/>
      <c r="G121" s="1"/>
      <c r="H121" s="39"/>
    </row>
    <row r="122" spans="1:8" x14ac:dyDescent="0.2">
      <c r="A122" s="1"/>
      <c r="B122" s="1"/>
      <c r="C122" s="2" t="s">
        <v>135</v>
      </c>
      <c r="D122" s="1"/>
      <c r="E122" s="1"/>
      <c r="F122" s="1"/>
      <c r="G122" s="1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ht="25.5" x14ac:dyDescent="0.2">
      <c r="A126" s="1"/>
      <c r="B126" s="1"/>
      <c r="C126" s="2" t="s">
        <v>136</v>
      </c>
      <c r="D126" s="1"/>
      <c r="E126" s="1"/>
      <c r="F126" s="12"/>
      <c r="G126" s="12"/>
      <c r="H126" s="39"/>
    </row>
    <row r="127" spans="1:8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x14ac:dyDescent="0.2">
      <c r="A129" s="1"/>
      <c r="B129" s="4"/>
      <c r="C129" s="4"/>
      <c r="D129" s="2"/>
      <c r="E129" s="1"/>
      <c r="F129" s="4"/>
      <c r="G129" s="8"/>
      <c r="H129" s="39"/>
    </row>
    <row r="130" spans="1:8" x14ac:dyDescent="0.2">
      <c r="A130" s="8"/>
      <c r="B130" s="4"/>
      <c r="C130" s="4" t="s">
        <v>137</v>
      </c>
      <c r="D130" s="4"/>
      <c r="E130" s="8"/>
      <c r="F130" s="6">
        <v>-2.97578129</v>
      </c>
      <c r="G130" s="7">
        <v>-8.0848400000000005E-4</v>
      </c>
      <c r="H130" s="39"/>
    </row>
    <row r="131" spans="1:8" x14ac:dyDescent="0.2">
      <c r="A131" s="11"/>
      <c r="B131" s="11"/>
      <c r="C131" s="2" t="s">
        <v>138</v>
      </c>
      <c r="D131" s="15"/>
      <c r="E131" s="15"/>
      <c r="F131" s="9">
        <v>3680.6928282099998</v>
      </c>
      <c r="G131" s="10">
        <v>1.0000000010000001</v>
      </c>
      <c r="H131" s="39"/>
    </row>
    <row r="132" spans="1:8" ht="14.1" customHeight="1" x14ac:dyDescent="0.2">
      <c r="A132" s="16"/>
      <c r="B132" s="16"/>
      <c r="C132" s="16"/>
      <c r="D132" s="17"/>
      <c r="E132" s="17"/>
      <c r="F132" s="17"/>
      <c r="G132" s="17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194" t="s">
        <v>140</v>
      </c>
      <c r="C134" s="195"/>
      <c r="D134" s="12" t="s">
        <v>112</v>
      </c>
      <c r="E134" s="21"/>
      <c r="F134" s="20"/>
      <c r="G134" s="20"/>
    </row>
    <row r="135" spans="1:8" ht="29.1" customHeight="1" x14ac:dyDescent="0.2">
      <c r="A135" s="18"/>
      <c r="B135" s="189" t="s">
        <v>141</v>
      </c>
      <c r="C135" s="190"/>
      <c r="D135" s="2" t="s">
        <v>142</v>
      </c>
      <c r="E135" s="21"/>
      <c r="F135" s="20"/>
      <c r="G135" s="20"/>
    </row>
    <row r="136" spans="1:8" ht="17.100000000000001" customHeight="1" x14ac:dyDescent="0.2">
      <c r="A136" s="18"/>
      <c r="B136" s="189" t="s">
        <v>143</v>
      </c>
      <c r="C136" s="190"/>
      <c r="D136" s="2" t="s">
        <v>142</v>
      </c>
      <c r="E136" s="21"/>
      <c r="F136" s="20"/>
      <c r="G136" s="20"/>
    </row>
    <row r="137" spans="1:8" ht="17.100000000000001" customHeight="1" x14ac:dyDescent="0.2">
      <c r="A137" s="18"/>
      <c r="B137" s="189" t="s">
        <v>144</v>
      </c>
      <c r="C137" s="190"/>
      <c r="D137" s="12" t="s">
        <v>112</v>
      </c>
      <c r="E137" s="21"/>
      <c r="F137" s="20"/>
      <c r="G137" s="20"/>
    </row>
    <row r="138" spans="1:8" ht="24" customHeight="1" x14ac:dyDescent="0.2">
      <c r="A138" s="22"/>
      <c r="B138" s="23" t="s">
        <v>112</v>
      </c>
      <c r="C138" s="23" t="s">
        <v>145</v>
      </c>
      <c r="D138" s="23" t="s">
        <v>146</v>
      </c>
      <c r="E138" s="22"/>
      <c r="F138" s="22"/>
      <c r="G138" s="22"/>
    </row>
    <row r="139" spans="1:8" ht="18" customHeight="1" x14ac:dyDescent="0.2">
      <c r="A139" s="22"/>
      <c r="B139" s="23" t="s">
        <v>147</v>
      </c>
      <c r="C139" s="23" t="s">
        <v>148</v>
      </c>
      <c r="D139" s="23" t="s">
        <v>149</v>
      </c>
      <c r="E139" s="22"/>
      <c r="F139" s="22"/>
      <c r="G139" s="22"/>
    </row>
    <row r="140" spans="1:8" ht="17.100000000000001" customHeight="1" x14ac:dyDescent="0.2">
      <c r="A140" s="22"/>
      <c r="B140" s="4" t="s">
        <v>150</v>
      </c>
      <c r="C140" s="24">
        <v>15.222799999999999</v>
      </c>
      <c r="D140" s="24">
        <v>16.446400000000001</v>
      </c>
      <c r="E140" s="22"/>
      <c r="F140" s="19"/>
      <c r="G140" s="25"/>
    </row>
    <row r="141" spans="1:8" ht="17.100000000000001" customHeight="1" x14ac:dyDescent="0.2">
      <c r="A141" s="22"/>
      <c r="B141" s="4" t="s">
        <v>1092</v>
      </c>
      <c r="C141" s="24">
        <v>15.222799999999999</v>
      </c>
      <c r="D141" s="24">
        <v>16.446400000000001</v>
      </c>
      <c r="E141" s="22"/>
      <c r="F141" s="19"/>
      <c r="G141" s="25"/>
    </row>
    <row r="142" spans="1:8" ht="17.100000000000001" customHeight="1" x14ac:dyDescent="0.2">
      <c r="A142" s="22"/>
      <c r="B142" s="4" t="s">
        <v>151</v>
      </c>
      <c r="C142" s="24">
        <v>14.943199999999999</v>
      </c>
      <c r="D142" s="24">
        <v>16.142800000000001</v>
      </c>
      <c r="E142" s="22"/>
      <c r="F142" s="19"/>
      <c r="G142" s="25"/>
    </row>
    <row r="143" spans="1:8" ht="17.100000000000001" customHeight="1" x14ac:dyDescent="0.2">
      <c r="A143" s="22"/>
      <c r="B143" s="4" t="s">
        <v>1093</v>
      </c>
      <c r="C143" s="24">
        <v>14.943</v>
      </c>
      <c r="D143" s="24">
        <v>16.142600000000002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17" ht="17.100000000000001" customHeight="1" x14ac:dyDescent="0.2">
      <c r="A145" s="22"/>
      <c r="B145" s="189" t="s">
        <v>1094</v>
      </c>
      <c r="C145" s="190"/>
      <c r="D145" s="2" t="s">
        <v>142</v>
      </c>
      <c r="E145" s="22"/>
      <c r="F145" s="22"/>
      <c r="G145" s="22"/>
    </row>
    <row r="146" spans="1:17" ht="18" customHeight="1" x14ac:dyDescent="0.2">
      <c r="A146" s="22"/>
      <c r="B146" s="26"/>
      <c r="C146" s="26"/>
      <c r="D146" s="27"/>
      <c r="E146" s="22"/>
      <c r="F146" s="22"/>
      <c r="G146" s="22"/>
    </row>
    <row r="147" spans="1:17" s="101" customFormat="1" x14ac:dyDescent="0.2">
      <c r="B147" s="193" t="s">
        <v>1102</v>
      </c>
      <c r="C147" s="193"/>
      <c r="D147" s="193"/>
      <c r="E147" s="193"/>
      <c r="F147" s="193"/>
      <c r="I147"/>
      <c r="J147"/>
      <c r="K147"/>
      <c r="L147"/>
      <c r="M147"/>
      <c r="N147"/>
      <c r="O147"/>
      <c r="P147" s="41"/>
      <c r="Q147" s="41"/>
    </row>
    <row r="148" spans="1:17" ht="14.1" customHeight="1" x14ac:dyDescent="0.2">
      <c r="A148" s="22"/>
      <c r="B148" s="19"/>
      <c r="C148" s="19"/>
      <c r="D148" s="22"/>
      <c r="E148" s="22"/>
      <c r="F148" s="22"/>
      <c r="G148" s="22"/>
    </row>
    <row r="149" spans="1:17" ht="29.1" customHeight="1" x14ac:dyDescent="0.2">
      <c r="A149" s="22"/>
      <c r="B149" s="189" t="s">
        <v>152</v>
      </c>
      <c r="C149" s="190"/>
      <c r="D149" s="2" t="s">
        <v>142</v>
      </c>
      <c r="E149" s="22"/>
      <c r="F149" s="22"/>
      <c r="G149" s="22"/>
    </row>
    <row r="150" spans="1:17" ht="29.1" customHeight="1" x14ac:dyDescent="0.2">
      <c r="A150" s="22"/>
      <c r="B150" s="189" t="s">
        <v>153</v>
      </c>
      <c r="C150" s="190"/>
      <c r="D150" s="2" t="s">
        <v>142</v>
      </c>
      <c r="E150" s="22"/>
      <c r="F150" s="22"/>
      <c r="G150" s="22"/>
    </row>
    <row r="151" spans="1:17" ht="17.100000000000001" customHeight="1" x14ac:dyDescent="0.2">
      <c r="A151" s="22"/>
      <c r="B151" s="189" t="s">
        <v>154</v>
      </c>
      <c r="C151" s="190"/>
      <c r="D151" s="28">
        <v>0.23190539035333971</v>
      </c>
      <c r="E151" s="22"/>
      <c r="F151" s="19"/>
      <c r="G151" s="25"/>
    </row>
    <row r="152" spans="1:17" ht="17.100000000000001" customHeight="1" x14ac:dyDescent="0.2">
      <c r="A152" s="22"/>
      <c r="B152" s="189" t="s">
        <v>155</v>
      </c>
      <c r="C152" s="190"/>
      <c r="D152" s="2" t="s">
        <v>142</v>
      </c>
      <c r="E152" s="22"/>
      <c r="F152" s="22"/>
      <c r="G152" s="22"/>
    </row>
    <row r="155" spans="1:17" x14ac:dyDescent="0.2">
      <c r="J155" s="101"/>
      <c r="K155" s="101"/>
      <c r="L155" s="101"/>
      <c r="M155" s="101"/>
      <c r="N155" s="101"/>
      <c r="O155" s="101"/>
    </row>
  </sheetData>
  <mergeCells count="14">
    <mergeCell ref="B152:C152"/>
    <mergeCell ref="B135:C135"/>
    <mergeCell ref="B136:C136"/>
    <mergeCell ref="B137:C137"/>
    <mergeCell ref="B145:C145"/>
    <mergeCell ref="B149:C149"/>
    <mergeCell ref="B150:C150"/>
    <mergeCell ref="B151:C151"/>
    <mergeCell ref="A1:H1"/>
    <mergeCell ref="A2:H2"/>
    <mergeCell ref="A3:H3"/>
    <mergeCell ref="B147:F147"/>
    <mergeCell ref="J2:N2"/>
    <mergeCell ref="B134:C13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513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231</v>
      </c>
      <c r="C7" s="4" t="s">
        <v>232</v>
      </c>
      <c r="D7" s="4" t="s">
        <v>29</v>
      </c>
      <c r="E7" s="5">
        <v>11088</v>
      </c>
      <c r="F7" s="6">
        <v>139.81968000000001</v>
      </c>
      <c r="G7" s="7">
        <v>3.8159057000000003E-2</v>
      </c>
      <c r="H7" s="39"/>
    </row>
    <row r="8" spans="1:14" x14ac:dyDescent="0.2">
      <c r="A8" s="3">
        <v>2</v>
      </c>
      <c r="B8" s="4" t="s">
        <v>233</v>
      </c>
      <c r="C8" s="4" t="s">
        <v>234</v>
      </c>
      <c r="D8" s="4" t="s">
        <v>71</v>
      </c>
      <c r="E8" s="5">
        <v>18995</v>
      </c>
      <c r="F8" s="6">
        <v>136.06118499999999</v>
      </c>
      <c r="G8" s="7">
        <v>3.7133302999999999E-2</v>
      </c>
      <c r="H8" s="39"/>
    </row>
    <row r="9" spans="1:14" x14ac:dyDescent="0.2">
      <c r="A9" s="3">
        <v>3</v>
      </c>
      <c r="B9" s="4" t="s">
        <v>235</v>
      </c>
      <c r="C9" s="4" t="s">
        <v>236</v>
      </c>
      <c r="D9" s="4" t="s">
        <v>1160</v>
      </c>
      <c r="E9" s="5">
        <v>65865</v>
      </c>
      <c r="F9" s="6">
        <v>124.7812425</v>
      </c>
      <c r="G9" s="7">
        <v>3.4054823999999997E-2</v>
      </c>
      <c r="H9" s="39"/>
    </row>
    <row r="10" spans="1:14" x14ac:dyDescent="0.2">
      <c r="A10" s="3">
        <v>4</v>
      </c>
      <c r="B10" s="4" t="s">
        <v>170</v>
      </c>
      <c r="C10" s="4" t="s">
        <v>171</v>
      </c>
      <c r="D10" s="4" t="s">
        <v>1027</v>
      </c>
      <c r="E10" s="5">
        <v>8070</v>
      </c>
      <c r="F10" s="6">
        <v>124.015725</v>
      </c>
      <c r="G10" s="7">
        <v>3.3845901999999997E-2</v>
      </c>
      <c r="H10" s="39"/>
    </row>
    <row r="11" spans="1:14" ht="25.5" x14ac:dyDescent="0.2">
      <c r="A11" s="3">
        <v>5</v>
      </c>
      <c r="B11" s="4" t="s">
        <v>237</v>
      </c>
      <c r="C11" s="4" t="s">
        <v>238</v>
      </c>
      <c r="D11" s="4" t="s">
        <v>1153</v>
      </c>
      <c r="E11" s="5">
        <v>2837</v>
      </c>
      <c r="F11" s="6">
        <v>115.812014</v>
      </c>
      <c r="G11" s="7">
        <v>3.1606976000000002E-2</v>
      </c>
      <c r="H11" s="39"/>
    </row>
    <row r="12" spans="1:14" x14ac:dyDescent="0.2">
      <c r="A12" s="3">
        <v>6</v>
      </c>
      <c r="B12" s="4" t="s">
        <v>69</v>
      </c>
      <c r="C12" s="4" t="s">
        <v>70</v>
      </c>
      <c r="D12" s="4" t="s">
        <v>71</v>
      </c>
      <c r="E12" s="5">
        <v>19239</v>
      </c>
      <c r="F12" s="6">
        <v>112.6347255</v>
      </c>
      <c r="G12" s="7">
        <v>3.0739842E-2</v>
      </c>
      <c r="H12" s="39"/>
    </row>
    <row r="13" spans="1:14" x14ac:dyDescent="0.2">
      <c r="A13" s="3">
        <v>7</v>
      </c>
      <c r="B13" s="4" t="s">
        <v>245</v>
      </c>
      <c r="C13" s="4" t="s">
        <v>246</v>
      </c>
      <c r="D13" s="4" t="s">
        <v>29</v>
      </c>
      <c r="E13" s="5">
        <v>12498</v>
      </c>
      <c r="F13" s="6">
        <v>105.701835</v>
      </c>
      <c r="G13" s="7">
        <v>2.8847744000000002E-2</v>
      </c>
      <c r="H13" s="39"/>
    </row>
    <row r="14" spans="1:14" x14ac:dyDescent="0.2">
      <c r="A14" s="3">
        <v>8</v>
      </c>
      <c r="B14" s="4" t="s">
        <v>220</v>
      </c>
      <c r="C14" s="4" t="s">
        <v>221</v>
      </c>
      <c r="D14" s="4" t="s">
        <v>1149</v>
      </c>
      <c r="E14" s="5">
        <v>19524</v>
      </c>
      <c r="F14" s="6">
        <v>103.438152</v>
      </c>
      <c r="G14" s="7">
        <v>2.8229948000000001E-2</v>
      </c>
      <c r="H14" s="39"/>
    </row>
    <row r="15" spans="1:14" ht="15" x14ac:dyDescent="0.2">
      <c r="A15" s="3">
        <v>9</v>
      </c>
      <c r="B15" s="4" t="s">
        <v>164</v>
      </c>
      <c r="C15" s="4" t="s">
        <v>165</v>
      </c>
      <c r="D15" s="4" t="s">
        <v>82</v>
      </c>
      <c r="E15" s="5">
        <v>96084</v>
      </c>
      <c r="F15" s="6">
        <v>102.32946</v>
      </c>
      <c r="G15" s="7">
        <v>2.7927368000000001E-2</v>
      </c>
      <c r="H15" s="39"/>
      <c r="J15" s="176" t="s">
        <v>1182</v>
      </c>
    </row>
    <row r="16" spans="1:14" x14ac:dyDescent="0.2">
      <c r="A16" s="3">
        <v>10</v>
      </c>
      <c r="B16" s="4" t="s">
        <v>241</v>
      </c>
      <c r="C16" s="4" t="s">
        <v>242</v>
      </c>
      <c r="D16" s="4" t="s">
        <v>1143</v>
      </c>
      <c r="E16" s="5">
        <v>2026</v>
      </c>
      <c r="F16" s="6">
        <v>96.544978</v>
      </c>
      <c r="G16" s="7">
        <v>2.6348689000000002E-2</v>
      </c>
      <c r="H16" s="39"/>
    </row>
    <row r="17" spans="1:8" x14ac:dyDescent="0.2">
      <c r="A17" s="3">
        <v>11</v>
      </c>
      <c r="B17" s="4" t="s">
        <v>87</v>
      </c>
      <c r="C17" s="4" t="s">
        <v>88</v>
      </c>
      <c r="D17" s="4" t="s">
        <v>1157</v>
      </c>
      <c r="E17" s="5">
        <v>16682</v>
      </c>
      <c r="F17" s="6">
        <v>86.220917</v>
      </c>
      <c r="G17" s="7">
        <v>2.3531086E-2</v>
      </c>
      <c r="H17" s="39"/>
    </row>
    <row r="18" spans="1:8" x14ac:dyDescent="0.2">
      <c r="A18" s="3">
        <v>12</v>
      </c>
      <c r="B18" s="4" t="s">
        <v>239</v>
      </c>
      <c r="C18" s="4" t="s">
        <v>240</v>
      </c>
      <c r="D18" s="4" t="s">
        <v>1143</v>
      </c>
      <c r="E18" s="5">
        <v>14311</v>
      </c>
      <c r="F18" s="6">
        <v>86.016265500000003</v>
      </c>
      <c r="G18" s="7">
        <v>2.3475233000000002E-2</v>
      </c>
      <c r="H18" s="39"/>
    </row>
    <row r="19" spans="1:8" x14ac:dyDescent="0.2">
      <c r="A19" s="3">
        <v>13</v>
      </c>
      <c r="B19" s="4" t="s">
        <v>38</v>
      </c>
      <c r="C19" s="4" t="s">
        <v>39</v>
      </c>
      <c r="D19" s="4" t="s">
        <v>29</v>
      </c>
      <c r="E19" s="5">
        <v>6458</v>
      </c>
      <c r="F19" s="6">
        <v>85.210081000000002</v>
      </c>
      <c r="G19" s="7">
        <v>2.3255212000000001E-2</v>
      </c>
      <c r="H19" s="39"/>
    </row>
    <row r="20" spans="1:8" x14ac:dyDescent="0.2">
      <c r="A20" s="3">
        <v>14</v>
      </c>
      <c r="B20" s="4" t="s">
        <v>30</v>
      </c>
      <c r="C20" s="4" t="s">
        <v>31</v>
      </c>
      <c r="D20" s="4" t="s">
        <v>29</v>
      </c>
      <c r="E20" s="5">
        <v>4628</v>
      </c>
      <c r="F20" s="6">
        <v>83.301686000000004</v>
      </c>
      <c r="G20" s="7">
        <v>2.2734379999999998E-2</v>
      </c>
      <c r="H20" s="39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1026</v>
      </c>
      <c r="E21" s="5">
        <v>5601</v>
      </c>
      <c r="F21" s="6">
        <v>83.018022000000002</v>
      </c>
      <c r="G21" s="7">
        <v>2.2656964000000002E-2</v>
      </c>
      <c r="H21" s="39"/>
    </row>
    <row r="22" spans="1:8" x14ac:dyDescent="0.2">
      <c r="A22" s="3">
        <v>16</v>
      </c>
      <c r="B22" s="4" t="s">
        <v>251</v>
      </c>
      <c r="C22" s="4" t="s">
        <v>252</v>
      </c>
      <c r="D22" s="4" t="s">
        <v>253</v>
      </c>
      <c r="E22" s="5">
        <v>30513</v>
      </c>
      <c r="F22" s="6">
        <v>82.354586999999995</v>
      </c>
      <c r="G22" s="7">
        <v>2.2475901999999999E-2</v>
      </c>
      <c r="H22" s="39"/>
    </row>
    <row r="23" spans="1:8" x14ac:dyDescent="0.2">
      <c r="A23" s="3">
        <v>17</v>
      </c>
      <c r="B23" s="4" t="s">
        <v>461</v>
      </c>
      <c r="C23" s="4" t="s">
        <v>462</v>
      </c>
      <c r="D23" s="4" t="s">
        <v>1168</v>
      </c>
      <c r="E23" s="5">
        <v>3793</v>
      </c>
      <c r="F23" s="6">
        <v>78.431653999999995</v>
      </c>
      <c r="G23" s="7">
        <v>2.1405270000000001E-2</v>
      </c>
      <c r="H23" s="39"/>
    </row>
    <row r="24" spans="1:8" x14ac:dyDescent="0.2">
      <c r="A24" s="3">
        <v>18</v>
      </c>
      <c r="B24" s="4" t="s">
        <v>226</v>
      </c>
      <c r="C24" s="4" t="s">
        <v>227</v>
      </c>
      <c r="D24" s="4" t="s">
        <v>82</v>
      </c>
      <c r="E24" s="5">
        <v>9017</v>
      </c>
      <c r="F24" s="6">
        <v>69.381306499999994</v>
      </c>
      <c r="G24" s="7">
        <v>1.8935283000000001E-2</v>
      </c>
      <c r="H24" s="39"/>
    </row>
    <row r="25" spans="1:8" ht="25.5" x14ac:dyDescent="0.2">
      <c r="A25" s="3">
        <v>19</v>
      </c>
      <c r="B25" s="4" t="s">
        <v>198</v>
      </c>
      <c r="C25" s="4" t="s">
        <v>199</v>
      </c>
      <c r="D25" s="4" t="s">
        <v>1138</v>
      </c>
      <c r="E25" s="5">
        <v>11402</v>
      </c>
      <c r="F25" s="6">
        <v>67.283202000000003</v>
      </c>
      <c r="G25" s="7">
        <v>1.8362676000000001E-2</v>
      </c>
      <c r="H25" s="39"/>
    </row>
    <row r="26" spans="1:8" ht="25.5" x14ac:dyDescent="0.2">
      <c r="A26" s="3">
        <v>20</v>
      </c>
      <c r="B26" s="4" t="s">
        <v>159</v>
      </c>
      <c r="C26" s="4" t="s">
        <v>160</v>
      </c>
      <c r="D26" s="4" t="s">
        <v>1138</v>
      </c>
      <c r="E26" s="5">
        <v>17579</v>
      </c>
      <c r="F26" s="6">
        <v>66.281619500000005</v>
      </c>
      <c r="G26" s="7">
        <v>1.8089327999999998E-2</v>
      </c>
      <c r="H26" s="39"/>
    </row>
    <row r="27" spans="1:8" x14ac:dyDescent="0.2">
      <c r="A27" s="3">
        <v>21</v>
      </c>
      <c r="B27" s="4" t="s">
        <v>174</v>
      </c>
      <c r="C27" s="4" t="s">
        <v>175</v>
      </c>
      <c r="D27" s="4" t="s">
        <v>82</v>
      </c>
      <c r="E27" s="5">
        <v>10108</v>
      </c>
      <c r="F27" s="6">
        <v>63.826965999999999</v>
      </c>
      <c r="G27" s="7">
        <v>1.7419414000000001E-2</v>
      </c>
      <c r="H27" s="39"/>
    </row>
    <row r="28" spans="1:8" x14ac:dyDescent="0.2">
      <c r="A28" s="3">
        <v>22</v>
      </c>
      <c r="B28" s="4" t="s">
        <v>249</v>
      </c>
      <c r="C28" s="4" t="s">
        <v>250</v>
      </c>
      <c r="D28" s="4" t="s">
        <v>60</v>
      </c>
      <c r="E28" s="5">
        <v>16845</v>
      </c>
      <c r="F28" s="6">
        <v>61.779037500000001</v>
      </c>
      <c r="G28" s="7">
        <v>1.6860501E-2</v>
      </c>
      <c r="H28" s="39"/>
    </row>
    <row r="29" spans="1:8" x14ac:dyDescent="0.2">
      <c r="A29" s="3">
        <v>23</v>
      </c>
      <c r="B29" s="4" t="s">
        <v>180</v>
      </c>
      <c r="C29" s="4" t="s">
        <v>181</v>
      </c>
      <c r="D29" s="4" t="s">
        <v>1156</v>
      </c>
      <c r="E29" s="5">
        <v>18738</v>
      </c>
      <c r="F29" s="6">
        <v>60.008445000000002</v>
      </c>
      <c r="G29" s="7">
        <v>1.6377276999999999E-2</v>
      </c>
      <c r="H29" s="39"/>
    </row>
    <row r="30" spans="1:8" x14ac:dyDescent="0.2">
      <c r="A30" s="3">
        <v>24</v>
      </c>
      <c r="B30" s="4" t="s">
        <v>194</v>
      </c>
      <c r="C30" s="4" t="s">
        <v>195</v>
      </c>
      <c r="D30" s="4" t="s">
        <v>1027</v>
      </c>
      <c r="E30" s="5">
        <v>4116</v>
      </c>
      <c r="F30" s="6">
        <v>58.259922000000003</v>
      </c>
      <c r="G30" s="7">
        <v>1.5900076999999999E-2</v>
      </c>
      <c r="H30" s="39"/>
    </row>
    <row r="31" spans="1:8" ht="25.5" x14ac:dyDescent="0.2">
      <c r="A31" s="3">
        <v>25</v>
      </c>
      <c r="B31" s="4" t="s">
        <v>42</v>
      </c>
      <c r="C31" s="4" t="s">
        <v>43</v>
      </c>
      <c r="D31" s="4" t="s">
        <v>1150</v>
      </c>
      <c r="E31" s="5">
        <v>2325</v>
      </c>
      <c r="F31" s="6">
        <v>56.527724999999997</v>
      </c>
      <c r="G31" s="7">
        <v>1.5427332E-2</v>
      </c>
      <c r="H31" s="39"/>
    </row>
    <row r="32" spans="1:8" x14ac:dyDescent="0.2">
      <c r="A32" s="3">
        <v>26</v>
      </c>
      <c r="B32" s="4" t="s">
        <v>206</v>
      </c>
      <c r="C32" s="4" t="s">
        <v>207</v>
      </c>
      <c r="D32" s="4" t="s">
        <v>1159</v>
      </c>
      <c r="E32" s="5">
        <v>6046</v>
      </c>
      <c r="F32" s="6">
        <v>56.091765000000002</v>
      </c>
      <c r="G32" s="7">
        <v>1.5308352000000001E-2</v>
      </c>
      <c r="H32" s="39"/>
    </row>
    <row r="33" spans="1:8" x14ac:dyDescent="0.2">
      <c r="A33" s="3">
        <v>27</v>
      </c>
      <c r="B33" s="4" t="s">
        <v>465</v>
      </c>
      <c r="C33" s="4" t="s">
        <v>466</v>
      </c>
      <c r="D33" s="4" t="s">
        <v>71</v>
      </c>
      <c r="E33" s="5">
        <v>5377</v>
      </c>
      <c r="F33" s="6">
        <v>52.398865000000001</v>
      </c>
      <c r="G33" s="7">
        <v>1.4300500000000001E-2</v>
      </c>
      <c r="H33" s="39"/>
    </row>
    <row r="34" spans="1:8" ht="25.5" x14ac:dyDescent="0.2">
      <c r="A34" s="3">
        <v>28</v>
      </c>
      <c r="B34" s="4" t="s">
        <v>188</v>
      </c>
      <c r="C34" s="4" t="s">
        <v>189</v>
      </c>
      <c r="D34" s="4" t="s">
        <v>1158</v>
      </c>
      <c r="E34" s="5">
        <v>7853</v>
      </c>
      <c r="F34" s="6">
        <v>51.755196499999997</v>
      </c>
      <c r="G34" s="7">
        <v>1.4124832E-2</v>
      </c>
      <c r="H34" s="39"/>
    </row>
    <row r="35" spans="1:8" x14ac:dyDescent="0.2">
      <c r="A35" s="3">
        <v>29</v>
      </c>
      <c r="B35" s="4" t="s">
        <v>204</v>
      </c>
      <c r="C35" s="4" t="s">
        <v>205</v>
      </c>
      <c r="D35" s="4" t="s">
        <v>1026</v>
      </c>
      <c r="E35" s="5">
        <v>33431</v>
      </c>
      <c r="F35" s="6">
        <v>51.015706000000002</v>
      </c>
      <c r="G35" s="7">
        <v>1.3923013E-2</v>
      </c>
      <c r="H35" s="39"/>
    </row>
    <row r="36" spans="1:8" ht="25.5" x14ac:dyDescent="0.2">
      <c r="A36" s="3">
        <v>30</v>
      </c>
      <c r="B36" s="4" t="s">
        <v>262</v>
      </c>
      <c r="C36" s="4" t="s">
        <v>263</v>
      </c>
      <c r="D36" s="4" t="s">
        <v>1141</v>
      </c>
      <c r="E36" s="5">
        <v>17156</v>
      </c>
      <c r="F36" s="6">
        <v>50.558731999999999</v>
      </c>
      <c r="G36" s="7">
        <v>1.3798296999999999E-2</v>
      </c>
      <c r="H36" s="39"/>
    </row>
    <row r="37" spans="1:8" ht="25.5" x14ac:dyDescent="0.2">
      <c r="A37" s="3">
        <v>31</v>
      </c>
      <c r="B37" s="4" t="s">
        <v>186</v>
      </c>
      <c r="C37" s="4" t="s">
        <v>187</v>
      </c>
      <c r="D37" s="4" t="s">
        <v>1158</v>
      </c>
      <c r="E37" s="5">
        <v>9854</v>
      </c>
      <c r="F37" s="6">
        <v>47.796827</v>
      </c>
      <c r="G37" s="7">
        <v>1.3044528999999999E-2</v>
      </c>
      <c r="H37" s="39"/>
    </row>
    <row r="38" spans="1:8" x14ac:dyDescent="0.2">
      <c r="A38" s="3">
        <v>32</v>
      </c>
      <c r="B38" s="4" t="s">
        <v>76</v>
      </c>
      <c r="C38" s="4" t="s">
        <v>77</v>
      </c>
      <c r="D38" s="4" t="s">
        <v>71</v>
      </c>
      <c r="E38" s="5">
        <v>1353</v>
      </c>
      <c r="F38" s="6">
        <v>47.669572500000001</v>
      </c>
      <c r="G38" s="7">
        <v>1.3009799000000001E-2</v>
      </c>
      <c r="H38" s="39"/>
    </row>
    <row r="39" spans="1:8" x14ac:dyDescent="0.2">
      <c r="A39" s="3">
        <v>33</v>
      </c>
      <c r="B39" s="4" t="s">
        <v>200</v>
      </c>
      <c r="C39" s="4" t="s">
        <v>201</v>
      </c>
      <c r="D39" s="4" t="s">
        <v>60</v>
      </c>
      <c r="E39" s="5">
        <v>51989</v>
      </c>
      <c r="F39" s="6">
        <v>44.606561999999997</v>
      </c>
      <c r="G39" s="7">
        <v>1.2173854E-2</v>
      </c>
      <c r="H39" s="39"/>
    </row>
    <row r="40" spans="1:8" x14ac:dyDescent="0.2">
      <c r="A40" s="3">
        <v>34</v>
      </c>
      <c r="B40" s="4" t="s">
        <v>166</v>
      </c>
      <c r="C40" s="4" t="s">
        <v>167</v>
      </c>
      <c r="D40" s="4" t="s">
        <v>1159</v>
      </c>
      <c r="E40" s="5">
        <v>3490</v>
      </c>
      <c r="F40" s="6">
        <v>43.975745000000003</v>
      </c>
      <c r="G40" s="7">
        <v>1.2001694E-2</v>
      </c>
      <c r="H40" s="39"/>
    </row>
    <row r="41" spans="1:8" x14ac:dyDescent="0.2">
      <c r="A41" s="3">
        <v>35</v>
      </c>
      <c r="B41" s="4" t="s">
        <v>270</v>
      </c>
      <c r="C41" s="4" t="s">
        <v>271</v>
      </c>
      <c r="D41" s="4" t="s">
        <v>1154</v>
      </c>
      <c r="E41" s="5">
        <v>7135</v>
      </c>
      <c r="F41" s="6">
        <v>42.046554999999998</v>
      </c>
      <c r="G41" s="7">
        <v>1.1475186E-2</v>
      </c>
      <c r="H41" s="39"/>
    </row>
    <row r="42" spans="1:8" ht="25.5" x14ac:dyDescent="0.2">
      <c r="A42" s="3">
        <v>36</v>
      </c>
      <c r="B42" s="4" t="s">
        <v>184</v>
      </c>
      <c r="C42" s="4" t="s">
        <v>185</v>
      </c>
      <c r="D42" s="4" t="s">
        <v>1145</v>
      </c>
      <c r="E42" s="5">
        <v>9162</v>
      </c>
      <c r="F42" s="6">
        <v>41.453468999999998</v>
      </c>
      <c r="G42" s="7">
        <v>1.1313324E-2</v>
      </c>
      <c r="H42" s="39"/>
    </row>
    <row r="43" spans="1:8" x14ac:dyDescent="0.2">
      <c r="A43" s="3">
        <v>37</v>
      </c>
      <c r="B43" s="4" t="s">
        <v>473</v>
      </c>
      <c r="C43" s="4" t="s">
        <v>474</v>
      </c>
      <c r="D43" s="4" t="s">
        <v>1155</v>
      </c>
      <c r="E43" s="5">
        <v>4552</v>
      </c>
      <c r="F43" s="6">
        <v>41.027175999999997</v>
      </c>
      <c r="G43" s="7">
        <v>1.1196981E-2</v>
      </c>
      <c r="H43" s="39"/>
    </row>
    <row r="44" spans="1:8" x14ac:dyDescent="0.2">
      <c r="A44" s="3">
        <v>38</v>
      </c>
      <c r="B44" s="4" t="s">
        <v>192</v>
      </c>
      <c r="C44" s="4" t="s">
        <v>193</v>
      </c>
      <c r="D44" s="4" t="s">
        <v>1026</v>
      </c>
      <c r="E44" s="5">
        <v>8543</v>
      </c>
      <c r="F44" s="6">
        <v>40.950870500000001</v>
      </c>
      <c r="G44" s="7">
        <v>1.1176156E-2</v>
      </c>
      <c r="H44" s="39"/>
    </row>
    <row r="45" spans="1:8" ht="25.5" x14ac:dyDescent="0.2">
      <c r="A45" s="3">
        <v>39</v>
      </c>
      <c r="B45" s="4" t="s">
        <v>176</v>
      </c>
      <c r="C45" s="4" t="s">
        <v>177</v>
      </c>
      <c r="D45" s="4" t="s">
        <v>71</v>
      </c>
      <c r="E45" s="5">
        <v>2262</v>
      </c>
      <c r="F45" s="6">
        <v>40.054364999999997</v>
      </c>
      <c r="G45" s="7">
        <v>1.0931484999999999E-2</v>
      </c>
      <c r="H45" s="39"/>
    </row>
    <row r="46" spans="1:8" ht="25.5" x14ac:dyDescent="0.2">
      <c r="A46" s="3">
        <v>40</v>
      </c>
      <c r="B46" s="4" t="s">
        <v>168</v>
      </c>
      <c r="C46" s="4" t="s">
        <v>169</v>
      </c>
      <c r="D46" s="4" t="s">
        <v>1137</v>
      </c>
      <c r="E46" s="5">
        <v>16461</v>
      </c>
      <c r="F46" s="6">
        <v>39.588704999999997</v>
      </c>
      <c r="G46" s="7">
        <v>1.0804398999999999E-2</v>
      </c>
      <c r="H46" s="39"/>
    </row>
    <row r="47" spans="1:8" x14ac:dyDescent="0.2">
      <c r="A47" s="3">
        <v>41</v>
      </c>
      <c r="B47" s="4" t="s">
        <v>266</v>
      </c>
      <c r="C47" s="4" t="s">
        <v>267</v>
      </c>
      <c r="D47" s="4" t="s">
        <v>1155</v>
      </c>
      <c r="E47" s="5">
        <v>26084</v>
      </c>
      <c r="F47" s="6">
        <v>39.256419999999999</v>
      </c>
      <c r="G47" s="7">
        <v>1.0713713E-2</v>
      </c>
      <c r="H47" s="39"/>
    </row>
    <row r="48" spans="1:8" x14ac:dyDescent="0.2">
      <c r="A48" s="3">
        <v>42</v>
      </c>
      <c r="B48" s="4" t="s">
        <v>190</v>
      </c>
      <c r="C48" s="4" t="s">
        <v>191</v>
      </c>
      <c r="D48" s="4" t="s">
        <v>1169</v>
      </c>
      <c r="E48" s="5">
        <v>43509</v>
      </c>
      <c r="F48" s="6">
        <v>38.897046000000003</v>
      </c>
      <c r="G48" s="7">
        <v>1.0615634000000001E-2</v>
      </c>
      <c r="H48" s="39"/>
    </row>
    <row r="49" spans="1:8" x14ac:dyDescent="0.2">
      <c r="A49" s="3">
        <v>43</v>
      </c>
      <c r="B49" s="4" t="s">
        <v>208</v>
      </c>
      <c r="C49" s="4" t="s">
        <v>209</v>
      </c>
      <c r="D49" s="4" t="s">
        <v>71</v>
      </c>
      <c r="E49" s="5">
        <v>6322</v>
      </c>
      <c r="F49" s="6">
        <v>38.813918999999999</v>
      </c>
      <c r="G49" s="7">
        <v>1.0592948E-2</v>
      </c>
      <c r="H49" s="39"/>
    </row>
    <row r="50" spans="1:8" x14ac:dyDescent="0.2">
      <c r="A50" s="3">
        <v>44</v>
      </c>
      <c r="B50" s="4" t="s">
        <v>279</v>
      </c>
      <c r="C50" s="4" t="s">
        <v>280</v>
      </c>
      <c r="D50" s="4" t="s">
        <v>82</v>
      </c>
      <c r="E50" s="5">
        <v>59662</v>
      </c>
      <c r="F50" s="6">
        <v>36.841284999999999</v>
      </c>
      <c r="G50" s="7">
        <v>1.0054584E-2</v>
      </c>
      <c r="H50" s="39"/>
    </row>
    <row r="51" spans="1:8" ht="25.5" x14ac:dyDescent="0.2">
      <c r="A51" s="3">
        <v>45</v>
      </c>
      <c r="B51" s="4" t="s">
        <v>260</v>
      </c>
      <c r="C51" s="4" t="s">
        <v>261</v>
      </c>
      <c r="D51" s="4" t="s">
        <v>1145</v>
      </c>
      <c r="E51" s="5">
        <v>8877</v>
      </c>
      <c r="F51" s="6">
        <v>35.836449000000002</v>
      </c>
      <c r="G51" s="7">
        <v>9.7803479999999995E-3</v>
      </c>
      <c r="H51" s="39"/>
    </row>
    <row r="52" spans="1:8" x14ac:dyDescent="0.2">
      <c r="A52" s="3">
        <v>46</v>
      </c>
      <c r="B52" s="4" t="s">
        <v>228</v>
      </c>
      <c r="C52" s="4" t="s">
        <v>229</v>
      </c>
      <c r="D52" s="4" t="s">
        <v>29</v>
      </c>
      <c r="E52" s="5">
        <v>3232</v>
      </c>
      <c r="F52" s="6">
        <v>32.964784000000002</v>
      </c>
      <c r="G52" s="7">
        <v>8.9966239999999999E-3</v>
      </c>
      <c r="H52" s="39"/>
    </row>
    <row r="53" spans="1:8" ht="25.5" x14ac:dyDescent="0.2">
      <c r="A53" s="3">
        <v>47</v>
      </c>
      <c r="B53" s="4" t="s">
        <v>483</v>
      </c>
      <c r="C53" s="4" t="s">
        <v>484</v>
      </c>
      <c r="D53" s="4" t="s">
        <v>1138</v>
      </c>
      <c r="E53" s="5">
        <v>7914</v>
      </c>
      <c r="F53" s="6">
        <v>31.838021999999999</v>
      </c>
      <c r="G53" s="7">
        <v>8.6891120000000006E-3</v>
      </c>
      <c r="H53" s="39"/>
    </row>
    <row r="54" spans="1:8" ht="25.5" x14ac:dyDescent="0.2">
      <c r="A54" s="3">
        <v>48</v>
      </c>
      <c r="B54" s="4" t="s">
        <v>182</v>
      </c>
      <c r="C54" s="4" t="s">
        <v>183</v>
      </c>
      <c r="D54" s="4" t="s">
        <v>1150</v>
      </c>
      <c r="E54" s="5">
        <v>16531</v>
      </c>
      <c r="F54" s="6">
        <v>31.342776000000001</v>
      </c>
      <c r="G54" s="7">
        <v>8.5539520000000001E-3</v>
      </c>
      <c r="H54" s="39"/>
    </row>
    <row r="55" spans="1:8" ht="25.5" x14ac:dyDescent="0.2">
      <c r="A55" s="3">
        <v>49</v>
      </c>
      <c r="B55" s="4" t="s">
        <v>196</v>
      </c>
      <c r="C55" s="4" t="s">
        <v>197</v>
      </c>
      <c r="D55" s="4" t="s">
        <v>1138</v>
      </c>
      <c r="E55" s="5">
        <v>1976</v>
      </c>
      <c r="F55" s="6">
        <v>31.120024000000001</v>
      </c>
      <c r="G55" s="7">
        <v>8.4931590000000001E-3</v>
      </c>
      <c r="H55" s="39"/>
    </row>
    <row r="56" spans="1:8" x14ac:dyDescent="0.2">
      <c r="A56" s="3">
        <v>50</v>
      </c>
      <c r="B56" s="4" t="s">
        <v>214</v>
      </c>
      <c r="C56" s="4" t="s">
        <v>215</v>
      </c>
      <c r="D56" s="4" t="s">
        <v>18</v>
      </c>
      <c r="E56" s="5">
        <v>41531</v>
      </c>
      <c r="F56" s="6">
        <v>28.822514000000002</v>
      </c>
      <c r="G56" s="7">
        <v>7.8661310000000002E-3</v>
      </c>
      <c r="H56" s="39"/>
    </row>
    <row r="57" spans="1:8" x14ac:dyDescent="0.2">
      <c r="A57" s="3">
        <v>51</v>
      </c>
      <c r="B57" s="4" t="s">
        <v>210</v>
      </c>
      <c r="C57" s="4" t="s">
        <v>211</v>
      </c>
      <c r="D57" s="4" t="s">
        <v>91</v>
      </c>
      <c r="E57" s="5">
        <v>3629</v>
      </c>
      <c r="F57" s="6">
        <v>27.9959205</v>
      </c>
      <c r="G57" s="7">
        <v>7.6405400000000004E-3</v>
      </c>
      <c r="H57" s="39"/>
    </row>
    <row r="58" spans="1:8" x14ac:dyDescent="0.2">
      <c r="A58" s="3">
        <v>52</v>
      </c>
      <c r="B58" s="4" t="s">
        <v>224</v>
      </c>
      <c r="C58" s="4" t="s">
        <v>225</v>
      </c>
      <c r="D58" s="4" t="s">
        <v>1154</v>
      </c>
      <c r="E58" s="5">
        <v>5294</v>
      </c>
      <c r="F58" s="6">
        <v>25.826778999999998</v>
      </c>
      <c r="G58" s="7">
        <v>7.0485469999999996E-3</v>
      </c>
      <c r="H58" s="39"/>
    </row>
    <row r="59" spans="1:8" ht="25.5" x14ac:dyDescent="0.2">
      <c r="A59" s="3">
        <v>53</v>
      </c>
      <c r="B59" s="4" t="s">
        <v>216</v>
      </c>
      <c r="C59" s="4" t="s">
        <v>217</v>
      </c>
      <c r="D59" s="4" t="s">
        <v>1138</v>
      </c>
      <c r="E59" s="5">
        <v>536</v>
      </c>
      <c r="F59" s="6">
        <v>21.452864000000002</v>
      </c>
      <c r="G59" s="7">
        <v>5.8548339999999997E-3</v>
      </c>
      <c r="H59" s="39"/>
    </row>
    <row r="60" spans="1:8" x14ac:dyDescent="0.2">
      <c r="A60" s="3">
        <v>54</v>
      </c>
      <c r="B60" s="4" t="s">
        <v>218</v>
      </c>
      <c r="C60" s="4" t="s">
        <v>219</v>
      </c>
      <c r="D60" s="4" t="s">
        <v>1026</v>
      </c>
      <c r="E60" s="5">
        <v>18334</v>
      </c>
      <c r="F60" s="6">
        <v>18.471505000000001</v>
      </c>
      <c r="G60" s="7">
        <v>5.0411730000000004E-3</v>
      </c>
      <c r="H60" s="39"/>
    </row>
    <row r="61" spans="1:8" ht="25.5" x14ac:dyDescent="0.2">
      <c r="A61" s="3">
        <v>55</v>
      </c>
      <c r="B61" s="4" t="s">
        <v>222</v>
      </c>
      <c r="C61" s="4" t="s">
        <v>223</v>
      </c>
      <c r="D61" s="4" t="s">
        <v>1153</v>
      </c>
      <c r="E61" s="5">
        <v>1926</v>
      </c>
      <c r="F61" s="6">
        <v>17.736533999999999</v>
      </c>
      <c r="G61" s="7">
        <v>4.8405879999999998E-3</v>
      </c>
      <c r="H61" s="39"/>
    </row>
    <row r="62" spans="1:8" x14ac:dyDescent="0.2">
      <c r="A62" s="3">
        <v>56</v>
      </c>
      <c r="B62" s="4" t="s">
        <v>92</v>
      </c>
      <c r="C62" s="4" t="s">
        <v>93</v>
      </c>
      <c r="D62" s="4" t="s">
        <v>60</v>
      </c>
      <c r="E62" s="5">
        <v>15361</v>
      </c>
      <c r="F62" s="6">
        <v>16.820295000000002</v>
      </c>
      <c r="G62" s="7">
        <v>4.5905310000000001E-3</v>
      </c>
      <c r="H62" s="39"/>
    </row>
    <row r="63" spans="1:8" x14ac:dyDescent="0.2">
      <c r="A63" s="3">
        <v>57</v>
      </c>
      <c r="B63" s="4" t="s">
        <v>104</v>
      </c>
      <c r="C63" s="4" t="s">
        <v>105</v>
      </c>
      <c r="D63" s="4" t="s">
        <v>1157</v>
      </c>
      <c r="E63" s="5">
        <v>21625</v>
      </c>
      <c r="F63" s="6">
        <v>16.813437499999999</v>
      </c>
      <c r="G63" s="7">
        <v>4.5886599999999996E-3</v>
      </c>
      <c r="H63" s="39"/>
    </row>
    <row r="64" spans="1:8" x14ac:dyDescent="0.2">
      <c r="A64" s="3">
        <v>58</v>
      </c>
      <c r="B64" s="4" t="s">
        <v>202</v>
      </c>
      <c r="C64" s="4" t="s">
        <v>203</v>
      </c>
      <c r="D64" s="4" t="s">
        <v>71</v>
      </c>
      <c r="E64" s="5">
        <v>7251</v>
      </c>
      <c r="F64" s="6">
        <v>16.082718</v>
      </c>
      <c r="G64" s="7">
        <v>4.3892339999999997E-3</v>
      </c>
      <c r="H64" s="39"/>
    </row>
    <row r="65" spans="1:8" x14ac:dyDescent="0.2">
      <c r="A65" s="3">
        <v>59</v>
      </c>
      <c r="B65" s="4" t="s">
        <v>212</v>
      </c>
      <c r="C65" s="4" t="s">
        <v>213</v>
      </c>
      <c r="D65" s="4" t="s">
        <v>308</v>
      </c>
      <c r="E65" s="5">
        <v>2169</v>
      </c>
      <c r="F65" s="6">
        <v>12.571524</v>
      </c>
      <c r="G65" s="7">
        <v>3.4309729999999999E-3</v>
      </c>
      <c r="H65" s="39"/>
    </row>
    <row r="66" spans="1:8" x14ac:dyDescent="0.2">
      <c r="A66" s="3">
        <v>60</v>
      </c>
      <c r="B66" s="4" t="s">
        <v>264</v>
      </c>
      <c r="C66" s="4" t="s">
        <v>265</v>
      </c>
      <c r="D66" s="4" t="s">
        <v>91</v>
      </c>
      <c r="E66" s="5">
        <v>4206</v>
      </c>
      <c r="F66" s="6">
        <v>9.0365909999999996</v>
      </c>
      <c r="G66" s="7">
        <v>2.4662320000000001E-3</v>
      </c>
      <c r="H66" s="39"/>
    </row>
    <row r="67" spans="1:8" x14ac:dyDescent="0.2">
      <c r="A67" s="3">
        <v>61</v>
      </c>
      <c r="B67" s="4" t="s">
        <v>243</v>
      </c>
      <c r="C67" s="4" t="s">
        <v>244</v>
      </c>
      <c r="D67" s="4" t="s">
        <v>1157</v>
      </c>
      <c r="E67" s="5">
        <v>771</v>
      </c>
      <c r="F67" s="6">
        <v>8.4806144999999997</v>
      </c>
      <c r="G67" s="7">
        <v>2.314497E-3</v>
      </c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9">
        <v>3477.0525659999998</v>
      </c>
      <c r="G68" s="10">
        <v>0.94894400300000004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113</v>
      </c>
      <c r="D70" s="1"/>
      <c r="E70" s="1"/>
      <c r="F70" s="1"/>
      <c r="G70" s="1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114</v>
      </c>
      <c r="D73" s="1"/>
      <c r="E73" s="1"/>
      <c r="F73" s="1"/>
      <c r="G73" s="1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115</v>
      </c>
      <c r="D76" s="1"/>
      <c r="E76" s="1"/>
      <c r="F76" s="1"/>
      <c r="G76" s="1"/>
      <c r="H76" s="39"/>
    </row>
    <row r="77" spans="1:8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116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117</v>
      </c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118</v>
      </c>
      <c r="D85" s="1"/>
      <c r="E85" s="1"/>
      <c r="F85" s="9">
        <v>3477.0525659999998</v>
      </c>
      <c r="G85" s="10">
        <v>0.94894400300000004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119</v>
      </c>
      <c r="D87" s="1"/>
      <c r="E87" s="1"/>
      <c r="F87" s="12"/>
      <c r="G87" s="12"/>
      <c r="H87" s="39"/>
    </row>
    <row r="88" spans="1:8" ht="25.5" x14ac:dyDescent="0.2">
      <c r="A88" s="1"/>
      <c r="B88" s="1"/>
      <c r="C88" s="2" t="s">
        <v>10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120</v>
      </c>
      <c r="D91" s="1"/>
      <c r="E91" s="1"/>
      <c r="F91" s="1"/>
      <c r="G91" s="1"/>
      <c r="H91" s="39"/>
    </row>
    <row r="92" spans="1:8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39"/>
    </row>
    <row r="93" spans="1:8" x14ac:dyDescent="0.2">
      <c r="A93" s="1"/>
      <c r="B93" s="1"/>
      <c r="C93" s="11"/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121</v>
      </c>
      <c r="D94" s="1"/>
      <c r="E94" s="1"/>
      <c r="F94" s="1"/>
      <c r="G94" s="1"/>
      <c r="H94" s="39"/>
    </row>
    <row r="95" spans="1:8" x14ac:dyDescent="0.2">
      <c r="A95" s="1"/>
      <c r="B95" s="1"/>
      <c r="C95" s="2" t="s">
        <v>111</v>
      </c>
      <c r="D95" s="1"/>
      <c r="E95" s="1" t="s">
        <v>112</v>
      </c>
      <c r="F95" s="13">
        <v>0</v>
      </c>
      <c r="G95" s="14">
        <v>0</v>
      </c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122</v>
      </c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123</v>
      </c>
      <c r="D100" s="1"/>
      <c r="E100" s="1"/>
      <c r="F100" s="9">
        <v>0</v>
      </c>
      <c r="G100" s="10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124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125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13">
        <v>0</v>
      </c>
      <c r="G104" s="14">
        <v>0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126</v>
      </c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127</v>
      </c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39"/>
    </row>
    <row r="111" spans="1:8" x14ac:dyDescent="0.2">
      <c r="A111" s="1"/>
      <c r="B111" s="1"/>
      <c r="C111" s="11"/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128</v>
      </c>
      <c r="D112" s="1"/>
      <c r="E112" s="1"/>
      <c r="F112" s="12"/>
      <c r="G112" s="12"/>
      <c r="H112" s="39"/>
    </row>
    <row r="113" spans="1:8" x14ac:dyDescent="0.2">
      <c r="A113" s="3">
        <v>1</v>
      </c>
      <c r="B113" s="4"/>
      <c r="C113" s="4" t="s">
        <v>129</v>
      </c>
      <c r="D113" s="4"/>
      <c r="E113" s="8"/>
      <c r="F113" s="6">
        <v>136.53970620000001</v>
      </c>
      <c r="G113" s="7">
        <v>3.7263899000000003E-2</v>
      </c>
      <c r="H113" s="39">
        <v>3.6151121728634927</v>
      </c>
    </row>
    <row r="114" spans="1:8" x14ac:dyDescent="0.2">
      <c r="A114" s="3">
        <v>2</v>
      </c>
      <c r="B114" s="4"/>
      <c r="C114" s="4" t="s">
        <v>130</v>
      </c>
      <c r="D114" s="4"/>
      <c r="E114" s="8"/>
      <c r="F114" s="6">
        <v>48.277293499999999</v>
      </c>
      <c r="G114" s="7">
        <v>1.3175656000000001E-2</v>
      </c>
      <c r="H114" s="39">
        <v>3.7142625760646584</v>
      </c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9">
        <v>184.8169997</v>
      </c>
      <c r="G115" s="10">
        <v>5.0439554999999997E-2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131</v>
      </c>
      <c r="D117" s="1"/>
      <c r="E117" s="1"/>
      <c r="F117" s="9">
        <v>184.8169997</v>
      </c>
      <c r="G117" s="10">
        <v>5.0439554999999997E-2</v>
      </c>
      <c r="H117" s="39"/>
    </row>
    <row r="118" spans="1:8" x14ac:dyDescent="0.2">
      <c r="A118" s="1"/>
      <c r="B118" s="1"/>
      <c r="C118" s="12"/>
      <c r="D118" s="1"/>
      <c r="E118" s="1"/>
      <c r="F118" s="1"/>
      <c r="G118" s="1"/>
      <c r="H118" s="39"/>
    </row>
    <row r="119" spans="1:8" x14ac:dyDescent="0.2">
      <c r="A119" s="1"/>
      <c r="B119" s="1"/>
      <c r="C119" s="2" t="s">
        <v>132</v>
      </c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133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134</v>
      </c>
      <c r="D123" s="1"/>
      <c r="E123" s="1"/>
      <c r="F123" s="1"/>
      <c r="G123" s="1"/>
      <c r="H123" s="39"/>
    </row>
    <row r="124" spans="1:8" x14ac:dyDescent="0.2">
      <c r="A124" s="1"/>
      <c r="B124" s="1"/>
      <c r="C124" s="2" t="s">
        <v>135</v>
      </c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111</v>
      </c>
      <c r="D125" s="1"/>
      <c r="E125" s="1" t="s">
        <v>112</v>
      </c>
      <c r="F125" s="13">
        <v>0</v>
      </c>
      <c r="G125" s="14">
        <v>0</v>
      </c>
      <c r="H125" s="39"/>
    </row>
    <row r="126" spans="1:8" x14ac:dyDescent="0.2">
      <c r="A126" s="1"/>
      <c r="B126" s="1"/>
      <c r="C126" s="11"/>
      <c r="D126" s="1"/>
      <c r="E126" s="1"/>
      <c r="F126" s="12"/>
      <c r="G126" s="12"/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ht="25.5" x14ac:dyDescent="0.2">
      <c r="A128" s="1"/>
      <c r="B128" s="1"/>
      <c r="C128" s="2" t="s">
        <v>136</v>
      </c>
      <c r="D128" s="1"/>
      <c r="E128" s="1"/>
      <c r="F128" s="12"/>
      <c r="G128" s="12"/>
      <c r="H128" s="39"/>
    </row>
    <row r="129" spans="1:8" x14ac:dyDescent="0.2">
      <c r="A129" s="1"/>
      <c r="B129" s="1"/>
      <c r="C129" s="2" t="s">
        <v>111</v>
      </c>
      <c r="D129" s="1"/>
      <c r="E129" s="1" t="s">
        <v>112</v>
      </c>
      <c r="F129" s="13">
        <v>0</v>
      </c>
      <c r="G129" s="14">
        <v>0</v>
      </c>
      <c r="H129" s="39"/>
    </row>
    <row r="130" spans="1:8" x14ac:dyDescent="0.2">
      <c r="A130" s="1"/>
      <c r="B130" s="1"/>
      <c r="C130" s="11"/>
      <c r="D130" s="1"/>
      <c r="E130" s="1"/>
      <c r="F130" s="12"/>
      <c r="G130" s="12"/>
      <c r="H130" s="39"/>
    </row>
    <row r="131" spans="1:8" x14ac:dyDescent="0.2">
      <c r="A131" s="1"/>
      <c r="B131" s="4"/>
      <c r="C131" s="4"/>
      <c r="D131" s="2"/>
      <c r="E131" s="1"/>
      <c r="F131" s="4"/>
      <c r="G131" s="8"/>
      <c r="H131" s="39"/>
    </row>
    <row r="132" spans="1:8" x14ac:dyDescent="0.2">
      <c r="A132" s="8"/>
      <c r="B132" s="4"/>
      <c r="C132" s="4" t="s">
        <v>137</v>
      </c>
      <c r="D132" s="4"/>
      <c r="E132" s="8"/>
      <c r="F132" s="6">
        <v>2.2587147000000001</v>
      </c>
      <c r="G132" s="7">
        <v>6.1644E-4</v>
      </c>
      <c r="H132" s="39"/>
    </row>
    <row r="133" spans="1:8" x14ac:dyDescent="0.2">
      <c r="A133" s="11"/>
      <c r="B133" s="11"/>
      <c r="C133" s="2" t="s">
        <v>138</v>
      </c>
      <c r="D133" s="15"/>
      <c r="E133" s="15"/>
      <c r="F133" s="9">
        <v>3664.1282804000002</v>
      </c>
      <c r="G133" s="10">
        <v>0.99999999799999995</v>
      </c>
      <c r="H133" s="39"/>
    </row>
    <row r="134" spans="1:8" ht="14.1" customHeight="1" x14ac:dyDescent="0.2">
      <c r="A134" s="16"/>
      <c r="B134" s="16"/>
      <c r="C134" s="16"/>
      <c r="D134" s="17"/>
      <c r="E134" s="17"/>
      <c r="F134" s="17"/>
      <c r="G134" s="17"/>
    </row>
    <row r="135" spans="1:8" ht="14.1" customHeight="1" x14ac:dyDescent="0.2">
      <c r="A135" s="18"/>
      <c r="B135" s="18"/>
      <c r="C135" s="18"/>
      <c r="D135" s="20"/>
      <c r="E135" s="20"/>
      <c r="F135" s="20"/>
      <c r="G135" s="20"/>
    </row>
    <row r="136" spans="1:8" ht="14.1" customHeight="1" x14ac:dyDescent="0.2">
      <c r="A136" s="18"/>
      <c r="B136" s="194" t="s">
        <v>140</v>
      </c>
      <c r="C136" s="195"/>
      <c r="D136" s="12" t="s">
        <v>112</v>
      </c>
      <c r="E136" s="21"/>
      <c r="F136" s="20"/>
      <c r="G136" s="20"/>
    </row>
    <row r="137" spans="1:8" ht="29.1" customHeight="1" x14ac:dyDescent="0.2">
      <c r="A137" s="18"/>
      <c r="B137" s="189" t="s">
        <v>141</v>
      </c>
      <c r="C137" s="190"/>
      <c r="D137" s="2" t="s">
        <v>142</v>
      </c>
      <c r="E137" s="21"/>
      <c r="F137" s="20"/>
      <c r="G137" s="20"/>
    </row>
    <row r="138" spans="1:8" ht="17.100000000000001" customHeight="1" x14ac:dyDescent="0.2">
      <c r="A138" s="18"/>
      <c r="B138" s="189" t="s">
        <v>143</v>
      </c>
      <c r="C138" s="190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189" t="s">
        <v>144</v>
      </c>
      <c r="C139" s="190"/>
      <c r="D139" s="12" t="s">
        <v>112</v>
      </c>
      <c r="E139" s="21"/>
      <c r="F139" s="20"/>
      <c r="G139" s="20"/>
    </row>
    <row r="140" spans="1:8" ht="24" customHeight="1" x14ac:dyDescent="0.2">
      <c r="A140" s="22"/>
      <c r="B140" s="23" t="s">
        <v>112</v>
      </c>
      <c r="C140" s="23" t="s">
        <v>145</v>
      </c>
      <c r="D140" s="23" t="s">
        <v>146</v>
      </c>
      <c r="E140" s="22"/>
      <c r="F140" s="22"/>
      <c r="G140" s="22"/>
    </row>
    <row r="141" spans="1:8" ht="18" customHeight="1" x14ac:dyDescent="0.2">
      <c r="A141" s="22"/>
      <c r="B141" s="23" t="s">
        <v>147</v>
      </c>
      <c r="C141" s="23" t="s">
        <v>148</v>
      </c>
      <c r="D141" s="23" t="s">
        <v>149</v>
      </c>
      <c r="E141" s="22"/>
      <c r="F141" s="22"/>
      <c r="G141" s="22"/>
    </row>
    <row r="142" spans="1:8" ht="17.100000000000001" customHeight="1" x14ac:dyDescent="0.2">
      <c r="A142" s="22"/>
      <c r="B142" s="4" t="s">
        <v>150</v>
      </c>
      <c r="C142" s="24">
        <v>15.1073</v>
      </c>
      <c r="D142" s="24">
        <v>16.328499999999998</v>
      </c>
      <c r="E142" s="22"/>
      <c r="F142" s="19"/>
      <c r="G142" s="25"/>
    </row>
    <row r="143" spans="1:8" ht="17.100000000000001" customHeight="1" x14ac:dyDescent="0.2">
      <c r="A143" s="22"/>
      <c r="B143" s="4" t="s">
        <v>1092</v>
      </c>
      <c r="C143" s="24">
        <v>15.1073</v>
      </c>
      <c r="D143" s="24">
        <v>16.328499999999998</v>
      </c>
      <c r="E143" s="22"/>
      <c r="F143" s="19"/>
      <c r="G143" s="25"/>
    </row>
    <row r="144" spans="1:8" ht="17.100000000000001" customHeight="1" x14ac:dyDescent="0.2">
      <c r="A144" s="22"/>
      <c r="B144" s="4" t="s">
        <v>151</v>
      </c>
      <c r="C144" s="24">
        <v>14.801399999999999</v>
      </c>
      <c r="D144" s="24">
        <v>15.9953</v>
      </c>
      <c r="E144" s="22"/>
      <c r="F144" s="19"/>
      <c r="G144" s="25"/>
    </row>
    <row r="145" spans="1:17" ht="17.100000000000001" customHeight="1" x14ac:dyDescent="0.2">
      <c r="A145" s="22"/>
      <c r="B145" s="4" t="s">
        <v>1093</v>
      </c>
      <c r="C145" s="24">
        <v>14.801399999999999</v>
      </c>
      <c r="D145" s="24">
        <v>15.9953</v>
      </c>
      <c r="E145" s="22"/>
      <c r="F145" s="19"/>
      <c r="G145" s="25"/>
    </row>
    <row r="146" spans="1:17" ht="14.1" customHeight="1" x14ac:dyDescent="0.2">
      <c r="A146" s="22"/>
      <c r="B146" s="22"/>
      <c r="C146" s="22"/>
      <c r="D146" s="22"/>
      <c r="E146" s="22"/>
      <c r="F146" s="22"/>
      <c r="G146" s="22"/>
    </row>
    <row r="147" spans="1:17" ht="17.100000000000001" customHeight="1" x14ac:dyDescent="0.2">
      <c r="A147" s="22"/>
      <c r="B147" s="189" t="s">
        <v>1094</v>
      </c>
      <c r="C147" s="190"/>
      <c r="D147" s="2" t="s">
        <v>142</v>
      </c>
      <c r="E147" s="22"/>
      <c r="F147" s="22"/>
      <c r="G147" s="22"/>
    </row>
    <row r="148" spans="1:17" ht="18" customHeight="1" x14ac:dyDescent="0.2">
      <c r="A148" s="22"/>
      <c r="B148" s="26"/>
      <c r="C148" s="26"/>
      <c r="D148" s="27"/>
      <c r="E148" s="22"/>
      <c r="F148" s="22"/>
      <c r="G148" s="22"/>
    </row>
    <row r="149" spans="1:17" s="101" customFormat="1" x14ac:dyDescent="0.2">
      <c r="B149" s="193" t="s">
        <v>1102</v>
      </c>
      <c r="C149" s="193"/>
      <c r="D149" s="193"/>
      <c r="E149" s="193"/>
      <c r="F149" s="193"/>
      <c r="I149"/>
      <c r="J149"/>
      <c r="K149"/>
      <c r="L149"/>
      <c r="M149"/>
      <c r="N149"/>
      <c r="O149"/>
      <c r="P149" s="41"/>
      <c r="Q149" s="41"/>
    </row>
    <row r="150" spans="1:17" ht="14.1" customHeight="1" x14ac:dyDescent="0.2">
      <c r="A150" s="22"/>
      <c r="B150" s="19"/>
      <c r="C150" s="19"/>
      <c r="D150" s="22"/>
      <c r="E150" s="22"/>
      <c r="F150" s="22"/>
      <c r="G150" s="22"/>
    </row>
    <row r="151" spans="1:17" ht="29.1" customHeight="1" x14ac:dyDescent="0.2">
      <c r="A151" s="22"/>
      <c r="B151" s="189" t="s">
        <v>152</v>
      </c>
      <c r="C151" s="190"/>
      <c r="D151" s="2" t="s">
        <v>142</v>
      </c>
      <c r="E151" s="22"/>
      <c r="F151" s="22"/>
      <c r="G151" s="22"/>
    </row>
    <row r="152" spans="1:17" ht="29.1" customHeight="1" x14ac:dyDescent="0.2">
      <c r="A152" s="22"/>
      <c r="B152" s="189" t="s">
        <v>153</v>
      </c>
      <c r="C152" s="190"/>
      <c r="D152" s="2" t="s">
        <v>142</v>
      </c>
      <c r="E152" s="22"/>
      <c r="F152" s="22"/>
      <c r="G152" s="22"/>
    </row>
    <row r="153" spans="1:17" ht="17.100000000000001" customHeight="1" x14ac:dyDescent="0.2">
      <c r="A153" s="22"/>
      <c r="B153" s="189" t="s">
        <v>154</v>
      </c>
      <c r="C153" s="190"/>
      <c r="D153" s="28">
        <v>0.23905221639041543</v>
      </c>
      <c r="E153" s="22"/>
      <c r="F153" s="19"/>
      <c r="G153" s="25"/>
    </row>
    <row r="154" spans="1:17" ht="17.100000000000001" customHeight="1" x14ac:dyDescent="0.2">
      <c r="A154" s="22"/>
      <c r="B154" s="189" t="s">
        <v>155</v>
      </c>
      <c r="C154" s="190"/>
      <c r="D154" s="2" t="s">
        <v>142</v>
      </c>
      <c r="E154" s="22"/>
      <c r="F154" s="22"/>
      <c r="G154" s="22"/>
    </row>
    <row r="156" spans="1:17" x14ac:dyDescent="0.2">
      <c r="J156" s="101"/>
      <c r="K156" s="101"/>
      <c r="L156" s="101"/>
      <c r="M156" s="101"/>
      <c r="N156" s="101"/>
      <c r="O156" s="101"/>
    </row>
  </sheetData>
  <mergeCells count="14">
    <mergeCell ref="B154:C154"/>
    <mergeCell ref="B137:C137"/>
    <mergeCell ref="B138:C138"/>
    <mergeCell ref="B139:C139"/>
    <mergeCell ref="B147:C147"/>
    <mergeCell ref="B151:C151"/>
    <mergeCell ref="B152:C152"/>
    <mergeCell ref="B153:C153"/>
    <mergeCell ref="A1:H1"/>
    <mergeCell ref="A2:H2"/>
    <mergeCell ref="A3:H3"/>
    <mergeCell ref="B149:F149"/>
    <mergeCell ref="J2:N2"/>
    <mergeCell ref="B136:C13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514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233</v>
      </c>
      <c r="C7" s="4" t="s">
        <v>234</v>
      </c>
      <c r="D7" s="4" t="s">
        <v>71</v>
      </c>
      <c r="E7" s="5">
        <v>19265</v>
      </c>
      <c r="F7" s="6">
        <v>137.995195</v>
      </c>
      <c r="G7" s="7">
        <v>3.5588861999999999E-2</v>
      </c>
      <c r="H7" s="39"/>
    </row>
    <row r="8" spans="1:14" x14ac:dyDescent="0.2">
      <c r="A8" s="3">
        <v>2</v>
      </c>
      <c r="B8" s="4" t="s">
        <v>231</v>
      </c>
      <c r="C8" s="4" t="s">
        <v>232</v>
      </c>
      <c r="D8" s="4" t="s">
        <v>29</v>
      </c>
      <c r="E8" s="5">
        <v>10738</v>
      </c>
      <c r="F8" s="6">
        <v>135.40618000000001</v>
      </c>
      <c r="G8" s="7">
        <v>3.4921157000000001E-2</v>
      </c>
      <c r="H8" s="39"/>
    </row>
    <row r="9" spans="1:14" x14ac:dyDescent="0.2">
      <c r="A9" s="3">
        <v>3</v>
      </c>
      <c r="B9" s="4" t="s">
        <v>235</v>
      </c>
      <c r="C9" s="4" t="s">
        <v>236</v>
      </c>
      <c r="D9" s="4" t="s">
        <v>1160</v>
      </c>
      <c r="E9" s="5">
        <v>67686</v>
      </c>
      <c r="F9" s="6">
        <v>128.23112699999999</v>
      </c>
      <c r="G9" s="7">
        <v>3.3070716E-2</v>
      </c>
      <c r="H9" s="39"/>
    </row>
    <row r="10" spans="1:14" x14ac:dyDescent="0.2">
      <c r="A10" s="3">
        <v>4</v>
      </c>
      <c r="B10" s="4" t="s">
        <v>69</v>
      </c>
      <c r="C10" s="4" t="s">
        <v>70</v>
      </c>
      <c r="D10" s="4" t="s">
        <v>71</v>
      </c>
      <c r="E10" s="5">
        <v>20107</v>
      </c>
      <c r="F10" s="6">
        <v>117.7164315</v>
      </c>
      <c r="G10" s="7">
        <v>3.0358983999999999E-2</v>
      </c>
      <c r="H10" s="39"/>
    </row>
    <row r="11" spans="1:14" x14ac:dyDescent="0.2">
      <c r="A11" s="3">
        <v>5</v>
      </c>
      <c r="B11" s="4" t="s">
        <v>241</v>
      </c>
      <c r="C11" s="4" t="s">
        <v>242</v>
      </c>
      <c r="D11" s="4" t="s">
        <v>1143</v>
      </c>
      <c r="E11" s="5">
        <v>2353</v>
      </c>
      <c r="F11" s="6">
        <v>112.127509</v>
      </c>
      <c r="G11" s="7">
        <v>2.8917604E-2</v>
      </c>
      <c r="H11" s="39"/>
    </row>
    <row r="12" spans="1:14" x14ac:dyDescent="0.2">
      <c r="A12" s="3">
        <v>6</v>
      </c>
      <c r="B12" s="4" t="s">
        <v>245</v>
      </c>
      <c r="C12" s="4" t="s">
        <v>246</v>
      </c>
      <c r="D12" s="4" t="s">
        <v>29</v>
      </c>
      <c r="E12" s="5">
        <v>13066</v>
      </c>
      <c r="F12" s="6">
        <v>110.505695</v>
      </c>
      <c r="G12" s="7">
        <v>2.8499340000000001E-2</v>
      </c>
      <c r="H12" s="39"/>
    </row>
    <row r="13" spans="1:14" ht="25.5" x14ac:dyDescent="0.2">
      <c r="A13" s="3">
        <v>7</v>
      </c>
      <c r="B13" s="4" t="s">
        <v>237</v>
      </c>
      <c r="C13" s="4" t="s">
        <v>238</v>
      </c>
      <c r="D13" s="4" t="s">
        <v>1153</v>
      </c>
      <c r="E13" s="5">
        <v>2670</v>
      </c>
      <c r="F13" s="6">
        <v>108.99473999999999</v>
      </c>
      <c r="G13" s="7">
        <v>2.8109665999999998E-2</v>
      </c>
      <c r="H13" s="39"/>
    </row>
    <row r="14" spans="1:14" x14ac:dyDescent="0.2">
      <c r="A14" s="3">
        <v>8</v>
      </c>
      <c r="B14" s="4" t="s">
        <v>170</v>
      </c>
      <c r="C14" s="4" t="s">
        <v>171</v>
      </c>
      <c r="D14" s="4" t="s">
        <v>1027</v>
      </c>
      <c r="E14" s="5">
        <v>6933</v>
      </c>
      <c r="F14" s="6">
        <v>106.5428775</v>
      </c>
      <c r="G14" s="7">
        <v>2.7477332E-2</v>
      </c>
      <c r="H14" s="39"/>
    </row>
    <row r="15" spans="1:14" ht="15" x14ac:dyDescent="0.2">
      <c r="A15" s="3">
        <v>9</v>
      </c>
      <c r="B15" s="4" t="s">
        <v>220</v>
      </c>
      <c r="C15" s="4" t="s">
        <v>221</v>
      </c>
      <c r="D15" s="4" t="s">
        <v>1149</v>
      </c>
      <c r="E15" s="5">
        <v>19759</v>
      </c>
      <c r="F15" s="6">
        <v>104.683182</v>
      </c>
      <c r="G15" s="7">
        <v>2.6997718E-2</v>
      </c>
      <c r="H15" s="39"/>
      <c r="J15" s="176" t="s">
        <v>1182</v>
      </c>
    </row>
    <row r="16" spans="1:14" x14ac:dyDescent="0.2">
      <c r="A16" s="3">
        <v>10</v>
      </c>
      <c r="B16" s="4" t="s">
        <v>164</v>
      </c>
      <c r="C16" s="4" t="s">
        <v>165</v>
      </c>
      <c r="D16" s="4" t="s">
        <v>82</v>
      </c>
      <c r="E16" s="5">
        <v>94613</v>
      </c>
      <c r="F16" s="6">
        <v>100.762845</v>
      </c>
      <c r="G16" s="7">
        <v>2.5986665999999999E-2</v>
      </c>
      <c r="H16" s="39"/>
    </row>
    <row r="17" spans="1:8" x14ac:dyDescent="0.2">
      <c r="A17" s="3">
        <v>11</v>
      </c>
      <c r="B17" s="4" t="s">
        <v>239</v>
      </c>
      <c r="C17" s="4" t="s">
        <v>240</v>
      </c>
      <c r="D17" s="4" t="s">
        <v>1143</v>
      </c>
      <c r="E17" s="5">
        <v>14987</v>
      </c>
      <c r="F17" s="6">
        <v>90.079363499999999</v>
      </c>
      <c r="G17" s="7">
        <v>2.3231403000000001E-2</v>
      </c>
      <c r="H17" s="39"/>
    </row>
    <row r="18" spans="1:8" x14ac:dyDescent="0.2">
      <c r="A18" s="3">
        <v>12</v>
      </c>
      <c r="B18" s="4" t="s">
        <v>87</v>
      </c>
      <c r="C18" s="4" t="s">
        <v>88</v>
      </c>
      <c r="D18" s="4" t="s">
        <v>1157</v>
      </c>
      <c r="E18" s="5">
        <v>17357</v>
      </c>
      <c r="F18" s="6">
        <v>89.709654499999999</v>
      </c>
      <c r="G18" s="7">
        <v>2.3136055999999999E-2</v>
      </c>
      <c r="H18" s="39"/>
    </row>
    <row r="19" spans="1:8" x14ac:dyDescent="0.2">
      <c r="A19" s="3">
        <v>13</v>
      </c>
      <c r="B19" s="4" t="s">
        <v>38</v>
      </c>
      <c r="C19" s="4" t="s">
        <v>39</v>
      </c>
      <c r="D19" s="4" t="s">
        <v>29</v>
      </c>
      <c r="E19" s="5">
        <v>6666</v>
      </c>
      <c r="F19" s="6">
        <v>87.954537000000002</v>
      </c>
      <c r="G19" s="7">
        <v>2.2683412E-2</v>
      </c>
      <c r="H19" s="39"/>
    </row>
    <row r="20" spans="1:8" x14ac:dyDescent="0.2">
      <c r="A20" s="3">
        <v>14</v>
      </c>
      <c r="B20" s="4" t="s">
        <v>251</v>
      </c>
      <c r="C20" s="4" t="s">
        <v>252</v>
      </c>
      <c r="D20" s="4" t="s">
        <v>253</v>
      </c>
      <c r="E20" s="5">
        <v>32339</v>
      </c>
      <c r="F20" s="6">
        <v>87.282961</v>
      </c>
      <c r="G20" s="7">
        <v>2.2510213000000001E-2</v>
      </c>
      <c r="H20" s="39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1026</v>
      </c>
      <c r="E21" s="5">
        <v>5792</v>
      </c>
      <c r="F21" s="6">
        <v>85.849024</v>
      </c>
      <c r="G21" s="7">
        <v>2.2140402E-2</v>
      </c>
      <c r="H21" s="39"/>
    </row>
    <row r="22" spans="1:8" x14ac:dyDescent="0.2">
      <c r="A22" s="3">
        <v>16</v>
      </c>
      <c r="B22" s="4" t="s">
        <v>461</v>
      </c>
      <c r="C22" s="4" t="s">
        <v>462</v>
      </c>
      <c r="D22" s="4" t="s">
        <v>1168</v>
      </c>
      <c r="E22" s="5">
        <v>3981</v>
      </c>
      <c r="F22" s="6">
        <v>82.319118000000003</v>
      </c>
      <c r="G22" s="7">
        <v>2.1230042000000001E-2</v>
      </c>
      <c r="H22" s="39"/>
    </row>
    <row r="23" spans="1:8" x14ac:dyDescent="0.2">
      <c r="A23" s="3">
        <v>17</v>
      </c>
      <c r="B23" s="4" t="s">
        <v>226</v>
      </c>
      <c r="C23" s="4" t="s">
        <v>227</v>
      </c>
      <c r="D23" s="4" t="s">
        <v>82</v>
      </c>
      <c r="E23" s="5">
        <v>9477</v>
      </c>
      <c r="F23" s="6">
        <v>72.920776500000002</v>
      </c>
      <c r="G23" s="7">
        <v>1.8806216000000001E-2</v>
      </c>
      <c r="H23" s="39"/>
    </row>
    <row r="24" spans="1:8" x14ac:dyDescent="0.2">
      <c r="A24" s="3">
        <v>18</v>
      </c>
      <c r="B24" s="4" t="s">
        <v>243</v>
      </c>
      <c r="C24" s="4" t="s">
        <v>244</v>
      </c>
      <c r="D24" s="4" t="s">
        <v>1157</v>
      </c>
      <c r="E24" s="5">
        <v>6553</v>
      </c>
      <c r="F24" s="6">
        <v>72.0797235</v>
      </c>
      <c r="G24" s="7">
        <v>1.8589308999999998E-2</v>
      </c>
      <c r="H24" s="39"/>
    </row>
    <row r="25" spans="1:8" x14ac:dyDescent="0.2">
      <c r="A25" s="3">
        <v>19</v>
      </c>
      <c r="B25" s="4" t="s">
        <v>249</v>
      </c>
      <c r="C25" s="4" t="s">
        <v>250</v>
      </c>
      <c r="D25" s="4" t="s">
        <v>60</v>
      </c>
      <c r="E25" s="5">
        <v>19575</v>
      </c>
      <c r="F25" s="6">
        <v>71.791312500000004</v>
      </c>
      <c r="G25" s="7">
        <v>1.8514928E-2</v>
      </c>
      <c r="H25" s="39"/>
    </row>
    <row r="26" spans="1:8" ht="25.5" x14ac:dyDescent="0.2">
      <c r="A26" s="3">
        <v>20</v>
      </c>
      <c r="B26" s="4" t="s">
        <v>159</v>
      </c>
      <c r="C26" s="4" t="s">
        <v>160</v>
      </c>
      <c r="D26" s="4" t="s">
        <v>1138</v>
      </c>
      <c r="E26" s="5">
        <v>17769</v>
      </c>
      <c r="F26" s="6">
        <v>66.998014499999996</v>
      </c>
      <c r="G26" s="7">
        <v>1.7278740000000001E-2</v>
      </c>
      <c r="H26" s="39"/>
    </row>
    <row r="27" spans="1:8" ht="25.5" x14ac:dyDescent="0.2">
      <c r="A27" s="3">
        <v>21</v>
      </c>
      <c r="B27" s="4" t="s">
        <v>198</v>
      </c>
      <c r="C27" s="4" t="s">
        <v>199</v>
      </c>
      <c r="D27" s="4" t="s">
        <v>1138</v>
      </c>
      <c r="E27" s="5">
        <v>11300</v>
      </c>
      <c r="F27" s="6">
        <v>66.681299999999993</v>
      </c>
      <c r="G27" s="7">
        <v>1.719706E-2</v>
      </c>
      <c r="H27" s="39"/>
    </row>
    <row r="28" spans="1:8" x14ac:dyDescent="0.2">
      <c r="A28" s="3">
        <v>22</v>
      </c>
      <c r="B28" s="4" t="s">
        <v>174</v>
      </c>
      <c r="C28" s="4" t="s">
        <v>175</v>
      </c>
      <c r="D28" s="4" t="s">
        <v>82</v>
      </c>
      <c r="E28" s="5">
        <v>10036</v>
      </c>
      <c r="F28" s="6">
        <v>63.372321999999997</v>
      </c>
      <c r="G28" s="7">
        <v>1.6343677000000001E-2</v>
      </c>
      <c r="H28" s="39"/>
    </row>
    <row r="29" spans="1:8" x14ac:dyDescent="0.2">
      <c r="A29" s="3">
        <v>23</v>
      </c>
      <c r="B29" s="4" t="s">
        <v>281</v>
      </c>
      <c r="C29" s="4" t="s">
        <v>282</v>
      </c>
      <c r="D29" s="4" t="s">
        <v>29</v>
      </c>
      <c r="E29" s="5">
        <v>2911</v>
      </c>
      <c r="F29" s="6">
        <v>62.327421000000001</v>
      </c>
      <c r="G29" s="7">
        <v>1.6074196999999998E-2</v>
      </c>
      <c r="H29" s="39"/>
    </row>
    <row r="30" spans="1:8" x14ac:dyDescent="0.2">
      <c r="A30" s="3">
        <v>24</v>
      </c>
      <c r="B30" s="4" t="s">
        <v>194</v>
      </c>
      <c r="C30" s="4" t="s">
        <v>195</v>
      </c>
      <c r="D30" s="4" t="s">
        <v>1027</v>
      </c>
      <c r="E30" s="5">
        <v>4288</v>
      </c>
      <c r="F30" s="6">
        <v>60.694496000000001</v>
      </c>
      <c r="G30" s="7">
        <v>1.5653067E-2</v>
      </c>
      <c r="H30" s="39"/>
    </row>
    <row r="31" spans="1:8" x14ac:dyDescent="0.2">
      <c r="A31" s="3">
        <v>25</v>
      </c>
      <c r="B31" s="4" t="s">
        <v>180</v>
      </c>
      <c r="C31" s="4" t="s">
        <v>181</v>
      </c>
      <c r="D31" s="4" t="s">
        <v>1156</v>
      </c>
      <c r="E31" s="5">
        <v>18670</v>
      </c>
      <c r="F31" s="6">
        <v>59.790675</v>
      </c>
      <c r="G31" s="7">
        <v>1.5419972000000001E-2</v>
      </c>
      <c r="H31" s="39"/>
    </row>
    <row r="32" spans="1:8" x14ac:dyDescent="0.2">
      <c r="A32" s="3">
        <v>26</v>
      </c>
      <c r="B32" s="4" t="s">
        <v>283</v>
      </c>
      <c r="C32" s="4" t="s">
        <v>284</v>
      </c>
      <c r="D32" s="4" t="s">
        <v>29</v>
      </c>
      <c r="E32" s="5">
        <v>9335</v>
      </c>
      <c r="F32" s="6">
        <v>58.054364999999997</v>
      </c>
      <c r="G32" s="7">
        <v>1.4972179E-2</v>
      </c>
      <c r="H32" s="39"/>
    </row>
    <row r="33" spans="1:8" x14ac:dyDescent="0.2">
      <c r="A33" s="3">
        <v>27</v>
      </c>
      <c r="B33" s="4" t="s">
        <v>206</v>
      </c>
      <c r="C33" s="4" t="s">
        <v>207</v>
      </c>
      <c r="D33" s="4" t="s">
        <v>1159</v>
      </c>
      <c r="E33" s="5">
        <v>6153</v>
      </c>
      <c r="F33" s="6">
        <v>57.084457499999999</v>
      </c>
      <c r="G33" s="7">
        <v>1.4722041E-2</v>
      </c>
      <c r="H33" s="39"/>
    </row>
    <row r="34" spans="1:8" ht="25.5" x14ac:dyDescent="0.2">
      <c r="A34" s="3">
        <v>28</v>
      </c>
      <c r="B34" s="4" t="s">
        <v>42</v>
      </c>
      <c r="C34" s="4" t="s">
        <v>43</v>
      </c>
      <c r="D34" s="4" t="s">
        <v>1150</v>
      </c>
      <c r="E34" s="5">
        <v>2267</v>
      </c>
      <c r="F34" s="6">
        <v>55.117570999999998</v>
      </c>
      <c r="G34" s="7">
        <v>1.4214782E-2</v>
      </c>
      <c r="H34" s="39"/>
    </row>
    <row r="35" spans="1:8" x14ac:dyDescent="0.2">
      <c r="A35" s="3">
        <v>29</v>
      </c>
      <c r="B35" s="4" t="s">
        <v>465</v>
      </c>
      <c r="C35" s="4" t="s">
        <v>466</v>
      </c>
      <c r="D35" s="4" t="s">
        <v>71</v>
      </c>
      <c r="E35" s="5">
        <v>5611</v>
      </c>
      <c r="F35" s="6">
        <v>54.679195</v>
      </c>
      <c r="G35" s="7">
        <v>1.4101725000000001E-2</v>
      </c>
      <c r="H35" s="39"/>
    </row>
    <row r="36" spans="1:8" ht="25.5" x14ac:dyDescent="0.2">
      <c r="A36" s="3">
        <v>30</v>
      </c>
      <c r="B36" s="4" t="s">
        <v>188</v>
      </c>
      <c r="C36" s="4" t="s">
        <v>189</v>
      </c>
      <c r="D36" s="4" t="s">
        <v>1158</v>
      </c>
      <c r="E36" s="5">
        <v>8218</v>
      </c>
      <c r="F36" s="6">
        <v>54.160729000000003</v>
      </c>
      <c r="G36" s="7">
        <v>1.3968013E-2</v>
      </c>
      <c r="H36" s="39"/>
    </row>
    <row r="37" spans="1:8" ht="25.5" x14ac:dyDescent="0.2">
      <c r="A37" s="3">
        <v>31</v>
      </c>
      <c r="B37" s="4" t="s">
        <v>262</v>
      </c>
      <c r="C37" s="4" t="s">
        <v>263</v>
      </c>
      <c r="D37" s="4" t="s">
        <v>1141</v>
      </c>
      <c r="E37" s="5">
        <v>16931</v>
      </c>
      <c r="F37" s="6">
        <v>49.895657</v>
      </c>
      <c r="G37" s="7">
        <v>1.2868054E-2</v>
      </c>
      <c r="H37" s="39"/>
    </row>
    <row r="38" spans="1:8" x14ac:dyDescent="0.2">
      <c r="A38" s="3">
        <v>32</v>
      </c>
      <c r="B38" s="4" t="s">
        <v>76</v>
      </c>
      <c r="C38" s="4" t="s">
        <v>77</v>
      </c>
      <c r="D38" s="4" t="s">
        <v>71</v>
      </c>
      <c r="E38" s="5">
        <v>1416</v>
      </c>
      <c r="F38" s="6">
        <v>49.889220000000002</v>
      </c>
      <c r="G38" s="7">
        <v>1.2866394E-2</v>
      </c>
      <c r="H38" s="39"/>
    </row>
    <row r="39" spans="1:8" x14ac:dyDescent="0.2">
      <c r="A39" s="3">
        <v>33</v>
      </c>
      <c r="B39" s="4" t="s">
        <v>204</v>
      </c>
      <c r="C39" s="4" t="s">
        <v>205</v>
      </c>
      <c r="D39" s="4" t="s">
        <v>1026</v>
      </c>
      <c r="E39" s="5">
        <v>32152</v>
      </c>
      <c r="F39" s="6">
        <v>49.063952</v>
      </c>
      <c r="G39" s="7">
        <v>1.2653558000000001E-2</v>
      </c>
      <c r="H39" s="39"/>
    </row>
    <row r="40" spans="1:8" ht="25.5" x14ac:dyDescent="0.2">
      <c r="A40" s="3">
        <v>34</v>
      </c>
      <c r="B40" s="4" t="s">
        <v>186</v>
      </c>
      <c r="C40" s="4" t="s">
        <v>187</v>
      </c>
      <c r="D40" s="4" t="s">
        <v>1158</v>
      </c>
      <c r="E40" s="5">
        <v>9975</v>
      </c>
      <c r="F40" s="6">
        <v>48.383737500000002</v>
      </c>
      <c r="G40" s="7">
        <v>1.2478131E-2</v>
      </c>
      <c r="H40" s="39"/>
    </row>
    <row r="41" spans="1:8" x14ac:dyDescent="0.2">
      <c r="A41" s="3">
        <v>35</v>
      </c>
      <c r="B41" s="4" t="s">
        <v>166</v>
      </c>
      <c r="C41" s="4" t="s">
        <v>167</v>
      </c>
      <c r="D41" s="4" t="s">
        <v>1159</v>
      </c>
      <c r="E41" s="5">
        <v>3655</v>
      </c>
      <c r="F41" s="6">
        <v>46.054827500000002</v>
      </c>
      <c r="G41" s="7">
        <v>1.1877507000000001E-2</v>
      </c>
      <c r="H41" s="39"/>
    </row>
    <row r="42" spans="1:8" x14ac:dyDescent="0.2">
      <c r="A42" s="3">
        <v>36</v>
      </c>
      <c r="B42" s="4" t="s">
        <v>85</v>
      </c>
      <c r="C42" s="4" t="s">
        <v>86</v>
      </c>
      <c r="D42" s="4" t="s">
        <v>60</v>
      </c>
      <c r="E42" s="5">
        <v>2890</v>
      </c>
      <c r="F42" s="6">
        <v>44.328265000000002</v>
      </c>
      <c r="G42" s="7">
        <v>1.1432227999999999E-2</v>
      </c>
      <c r="H42" s="39"/>
    </row>
    <row r="43" spans="1:8" ht="25.5" x14ac:dyDescent="0.2">
      <c r="A43" s="3">
        <v>37</v>
      </c>
      <c r="B43" s="4" t="s">
        <v>184</v>
      </c>
      <c r="C43" s="4" t="s">
        <v>185</v>
      </c>
      <c r="D43" s="4" t="s">
        <v>1145</v>
      </c>
      <c r="E43" s="5">
        <v>9643</v>
      </c>
      <c r="F43" s="6">
        <v>43.6297535</v>
      </c>
      <c r="G43" s="7">
        <v>1.1252082E-2</v>
      </c>
      <c r="H43" s="39"/>
    </row>
    <row r="44" spans="1:8" x14ac:dyDescent="0.2">
      <c r="A44" s="3">
        <v>38</v>
      </c>
      <c r="B44" s="4" t="s">
        <v>192</v>
      </c>
      <c r="C44" s="4" t="s">
        <v>193</v>
      </c>
      <c r="D44" s="4" t="s">
        <v>1026</v>
      </c>
      <c r="E44" s="5">
        <v>8975</v>
      </c>
      <c r="F44" s="6">
        <v>43.021662499999998</v>
      </c>
      <c r="G44" s="7">
        <v>1.1095256E-2</v>
      </c>
      <c r="H44" s="39"/>
    </row>
    <row r="45" spans="1:8" x14ac:dyDescent="0.2">
      <c r="A45" s="3">
        <v>39</v>
      </c>
      <c r="B45" s="4" t="s">
        <v>266</v>
      </c>
      <c r="C45" s="4" t="s">
        <v>267</v>
      </c>
      <c r="D45" s="4" t="s">
        <v>1155</v>
      </c>
      <c r="E45" s="5">
        <v>27958</v>
      </c>
      <c r="F45" s="6">
        <v>42.076790000000003</v>
      </c>
      <c r="G45" s="7">
        <v>1.0851573999999999E-2</v>
      </c>
      <c r="H45" s="39"/>
    </row>
    <row r="46" spans="1:8" x14ac:dyDescent="0.2">
      <c r="A46" s="3">
        <v>40</v>
      </c>
      <c r="B46" s="4" t="s">
        <v>270</v>
      </c>
      <c r="C46" s="4" t="s">
        <v>271</v>
      </c>
      <c r="D46" s="4" t="s">
        <v>1154</v>
      </c>
      <c r="E46" s="5">
        <v>7112</v>
      </c>
      <c r="F46" s="6">
        <v>41.911015999999996</v>
      </c>
      <c r="G46" s="7">
        <v>1.0808821E-2</v>
      </c>
      <c r="H46" s="39"/>
    </row>
    <row r="47" spans="1:8" x14ac:dyDescent="0.2">
      <c r="A47" s="3">
        <v>41</v>
      </c>
      <c r="B47" s="4" t="s">
        <v>200</v>
      </c>
      <c r="C47" s="4" t="s">
        <v>201</v>
      </c>
      <c r="D47" s="4" t="s">
        <v>60</v>
      </c>
      <c r="E47" s="5">
        <v>48779</v>
      </c>
      <c r="F47" s="6">
        <v>41.852381999999999</v>
      </c>
      <c r="G47" s="7">
        <v>1.0793699E-2</v>
      </c>
      <c r="H47" s="39"/>
    </row>
    <row r="48" spans="1:8" ht="25.5" x14ac:dyDescent="0.2">
      <c r="A48" s="3">
        <v>42</v>
      </c>
      <c r="B48" s="4" t="s">
        <v>168</v>
      </c>
      <c r="C48" s="4" t="s">
        <v>169</v>
      </c>
      <c r="D48" s="4" t="s">
        <v>1137</v>
      </c>
      <c r="E48" s="5">
        <v>17050</v>
      </c>
      <c r="F48" s="6">
        <v>41.005249999999997</v>
      </c>
      <c r="G48" s="7">
        <v>1.0575225000000001E-2</v>
      </c>
      <c r="H48" s="39"/>
    </row>
    <row r="49" spans="1:8" ht="25.5" x14ac:dyDescent="0.2">
      <c r="A49" s="3">
        <v>43</v>
      </c>
      <c r="B49" s="4" t="s">
        <v>176</v>
      </c>
      <c r="C49" s="4" t="s">
        <v>177</v>
      </c>
      <c r="D49" s="4" t="s">
        <v>71</v>
      </c>
      <c r="E49" s="5">
        <v>2285</v>
      </c>
      <c r="F49" s="6">
        <v>40.461637500000002</v>
      </c>
      <c r="G49" s="7">
        <v>1.0435026999999999E-2</v>
      </c>
      <c r="H49" s="39"/>
    </row>
    <row r="50" spans="1:8" x14ac:dyDescent="0.2">
      <c r="A50" s="3">
        <v>44</v>
      </c>
      <c r="B50" s="4" t="s">
        <v>190</v>
      </c>
      <c r="C50" s="4" t="s">
        <v>191</v>
      </c>
      <c r="D50" s="4" t="s">
        <v>1169</v>
      </c>
      <c r="E50" s="5">
        <v>44136</v>
      </c>
      <c r="F50" s="6">
        <v>39.457583999999997</v>
      </c>
      <c r="G50" s="7">
        <v>1.0176083000000001E-2</v>
      </c>
      <c r="H50" s="39"/>
    </row>
    <row r="51" spans="1:8" x14ac:dyDescent="0.2">
      <c r="A51" s="3">
        <v>45</v>
      </c>
      <c r="B51" s="4" t="s">
        <v>208</v>
      </c>
      <c r="C51" s="4" t="s">
        <v>209</v>
      </c>
      <c r="D51" s="4" t="s">
        <v>71</v>
      </c>
      <c r="E51" s="5">
        <v>6426</v>
      </c>
      <c r="F51" s="6">
        <v>39.452427</v>
      </c>
      <c r="G51" s="7">
        <v>1.0174753E-2</v>
      </c>
      <c r="H51" s="39"/>
    </row>
    <row r="52" spans="1:8" x14ac:dyDescent="0.2">
      <c r="A52" s="3">
        <v>46</v>
      </c>
      <c r="B52" s="4" t="s">
        <v>279</v>
      </c>
      <c r="C52" s="4" t="s">
        <v>280</v>
      </c>
      <c r="D52" s="4" t="s">
        <v>82</v>
      </c>
      <c r="E52" s="5">
        <v>62770</v>
      </c>
      <c r="F52" s="6">
        <v>38.760475</v>
      </c>
      <c r="G52" s="7">
        <v>9.9962990000000002E-3</v>
      </c>
      <c r="H52" s="39"/>
    </row>
    <row r="53" spans="1:8" ht="25.5" x14ac:dyDescent="0.2">
      <c r="A53" s="3">
        <v>47</v>
      </c>
      <c r="B53" s="4" t="s">
        <v>260</v>
      </c>
      <c r="C53" s="4" t="s">
        <v>261</v>
      </c>
      <c r="D53" s="4" t="s">
        <v>1145</v>
      </c>
      <c r="E53" s="5">
        <v>9296</v>
      </c>
      <c r="F53" s="6">
        <v>37.527951999999999</v>
      </c>
      <c r="G53" s="7">
        <v>9.6784320000000007E-3</v>
      </c>
      <c r="H53" s="39"/>
    </row>
    <row r="54" spans="1:8" x14ac:dyDescent="0.2">
      <c r="A54" s="3">
        <v>48</v>
      </c>
      <c r="B54" s="4" t="s">
        <v>228</v>
      </c>
      <c r="C54" s="4" t="s">
        <v>229</v>
      </c>
      <c r="D54" s="4" t="s">
        <v>29</v>
      </c>
      <c r="E54" s="5">
        <v>3352</v>
      </c>
      <c r="F54" s="6">
        <v>34.188724000000001</v>
      </c>
      <c r="G54" s="7">
        <v>8.8172470000000003E-3</v>
      </c>
      <c r="H54" s="39"/>
    </row>
    <row r="55" spans="1:8" ht="25.5" x14ac:dyDescent="0.2">
      <c r="A55" s="3">
        <v>49</v>
      </c>
      <c r="B55" s="4" t="s">
        <v>483</v>
      </c>
      <c r="C55" s="4" t="s">
        <v>484</v>
      </c>
      <c r="D55" s="4" t="s">
        <v>1138</v>
      </c>
      <c r="E55" s="5">
        <v>8154</v>
      </c>
      <c r="F55" s="6">
        <v>32.803542</v>
      </c>
      <c r="G55" s="7">
        <v>8.4600100000000004E-3</v>
      </c>
      <c r="H55" s="39"/>
    </row>
    <row r="56" spans="1:8" ht="25.5" x14ac:dyDescent="0.2">
      <c r="A56" s="3">
        <v>50</v>
      </c>
      <c r="B56" s="4" t="s">
        <v>182</v>
      </c>
      <c r="C56" s="4" t="s">
        <v>183</v>
      </c>
      <c r="D56" s="4" t="s">
        <v>1150</v>
      </c>
      <c r="E56" s="5">
        <v>16405</v>
      </c>
      <c r="F56" s="6">
        <v>31.10388</v>
      </c>
      <c r="G56" s="7">
        <v>8.0216679999999992E-3</v>
      </c>
      <c r="H56" s="39"/>
    </row>
    <row r="57" spans="1:8" x14ac:dyDescent="0.2">
      <c r="A57" s="3">
        <v>51</v>
      </c>
      <c r="B57" s="4" t="s">
        <v>214</v>
      </c>
      <c r="C57" s="4" t="s">
        <v>215</v>
      </c>
      <c r="D57" s="4" t="s">
        <v>18</v>
      </c>
      <c r="E57" s="5">
        <v>42227</v>
      </c>
      <c r="F57" s="6">
        <v>29.305537999999999</v>
      </c>
      <c r="G57" s="7">
        <v>7.5578770000000002E-3</v>
      </c>
      <c r="H57" s="39"/>
    </row>
    <row r="58" spans="1:8" ht="25.5" x14ac:dyDescent="0.2">
      <c r="A58" s="3">
        <v>52</v>
      </c>
      <c r="B58" s="4" t="s">
        <v>196</v>
      </c>
      <c r="C58" s="4" t="s">
        <v>197</v>
      </c>
      <c r="D58" s="4" t="s">
        <v>1138</v>
      </c>
      <c r="E58" s="5">
        <v>1825</v>
      </c>
      <c r="F58" s="6">
        <v>28.741924999999998</v>
      </c>
      <c r="G58" s="7">
        <v>7.4125220000000004E-3</v>
      </c>
      <c r="H58" s="39"/>
    </row>
    <row r="59" spans="1:8" x14ac:dyDescent="0.2">
      <c r="A59" s="3">
        <v>53</v>
      </c>
      <c r="B59" s="4" t="s">
        <v>202</v>
      </c>
      <c r="C59" s="4" t="s">
        <v>203</v>
      </c>
      <c r="D59" s="4" t="s">
        <v>71</v>
      </c>
      <c r="E59" s="5">
        <v>12795</v>
      </c>
      <c r="F59" s="6">
        <v>28.37931</v>
      </c>
      <c r="G59" s="7">
        <v>7.3190039999999996E-3</v>
      </c>
      <c r="H59" s="39"/>
    </row>
    <row r="60" spans="1:8" x14ac:dyDescent="0.2">
      <c r="A60" s="3">
        <v>54</v>
      </c>
      <c r="B60" s="4" t="s">
        <v>224</v>
      </c>
      <c r="C60" s="4" t="s">
        <v>225</v>
      </c>
      <c r="D60" s="4" t="s">
        <v>1154</v>
      </c>
      <c r="E60" s="5">
        <v>5781</v>
      </c>
      <c r="F60" s="6">
        <v>28.2026085</v>
      </c>
      <c r="G60" s="7">
        <v>7.2734330000000002E-3</v>
      </c>
      <c r="H60" s="39"/>
    </row>
    <row r="61" spans="1:8" x14ac:dyDescent="0.2">
      <c r="A61" s="3">
        <v>55</v>
      </c>
      <c r="B61" s="4" t="s">
        <v>172</v>
      </c>
      <c r="C61" s="4" t="s">
        <v>173</v>
      </c>
      <c r="D61" s="4" t="s">
        <v>1166</v>
      </c>
      <c r="E61" s="5">
        <v>11833</v>
      </c>
      <c r="F61" s="6">
        <v>26.618333499999999</v>
      </c>
      <c r="G61" s="7">
        <v>6.8648490000000001E-3</v>
      </c>
      <c r="H61" s="39"/>
    </row>
    <row r="62" spans="1:8" x14ac:dyDescent="0.2">
      <c r="A62" s="3">
        <v>56</v>
      </c>
      <c r="B62" s="4" t="s">
        <v>264</v>
      </c>
      <c r="C62" s="4" t="s">
        <v>265</v>
      </c>
      <c r="D62" s="4" t="s">
        <v>91</v>
      </c>
      <c r="E62" s="5">
        <v>10387</v>
      </c>
      <c r="F62" s="6">
        <v>22.3164695</v>
      </c>
      <c r="G62" s="7">
        <v>5.7554019999999997E-3</v>
      </c>
      <c r="H62" s="39"/>
    </row>
    <row r="63" spans="1:8" ht="25.5" x14ac:dyDescent="0.2">
      <c r="A63" s="3">
        <v>57</v>
      </c>
      <c r="B63" s="4" t="s">
        <v>216</v>
      </c>
      <c r="C63" s="4" t="s">
        <v>217</v>
      </c>
      <c r="D63" s="4" t="s">
        <v>1138</v>
      </c>
      <c r="E63" s="5">
        <v>546</v>
      </c>
      <c r="F63" s="6">
        <v>21.853103999999998</v>
      </c>
      <c r="G63" s="7">
        <v>5.6359000000000001E-3</v>
      </c>
      <c r="H63" s="39"/>
    </row>
    <row r="64" spans="1:8" x14ac:dyDescent="0.2">
      <c r="A64" s="3">
        <v>58</v>
      </c>
      <c r="B64" s="4" t="s">
        <v>218</v>
      </c>
      <c r="C64" s="4" t="s">
        <v>219</v>
      </c>
      <c r="D64" s="4" t="s">
        <v>1026</v>
      </c>
      <c r="E64" s="5">
        <v>19188</v>
      </c>
      <c r="F64" s="6">
        <v>19.331910000000001</v>
      </c>
      <c r="G64" s="7">
        <v>4.9856859999999996E-3</v>
      </c>
      <c r="H64" s="39"/>
    </row>
    <row r="65" spans="1:8" x14ac:dyDescent="0.2">
      <c r="A65" s="3">
        <v>59</v>
      </c>
      <c r="B65" s="4" t="s">
        <v>104</v>
      </c>
      <c r="C65" s="4" t="s">
        <v>105</v>
      </c>
      <c r="D65" s="4" t="s">
        <v>1157</v>
      </c>
      <c r="E65" s="5">
        <v>22625</v>
      </c>
      <c r="F65" s="6">
        <v>17.590937499999999</v>
      </c>
      <c r="G65" s="7">
        <v>4.5366900000000003E-3</v>
      </c>
      <c r="H65" s="39"/>
    </row>
    <row r="66" spans="1:8" x14ac:dyDescent="0.2">
      <c r="A66" s="3">
        <v>60</v>
      </c>
      <c r="B66" s="4" t="s">
        <v>92</v>
      </c>
      <c r="C66" s="4" t="s">
        <v>93</v>
      </c>
      <c r="D66" s="4" t="s">
        <v>60</v>
      </c>
      <c r="E66" s="5">
        <v>15702</v>
      </c>
      <c r="F66" s="6">
        <v>17.19369</v>
      </c>
      <c r="G66" s="7">
        <v>4.4342399999999999E-3</v>
      </c>
      <c r="H66" s="39"/>
    </row>
    <row r="67" spans="1:8" ht="25.5" x14ac:dyDescent="0.2">
      <c r="A67" s="3">
        <v>61</v>
      </c>
      <c r="B67" s="4" t="s">
        <v>222</v>
      </c>
      <c r="C67" s="4" t="s">
        <v>223</v>
      </c>
      <c r="D67" s="4" t="s">
        <v>1153</v>
      </c>
      <c r="E67" s="5">
        <v>1792</v>
      </c>
      <c r="F67" s="6">
        <v>16.502528000000002</v>
      </c>
      <c r="G67" s="7">
        <v>4.2559900000000003E-3</v>
      </c>
      <c r="H67" s="39"/>
    </row>
    <row r="68" spans="1:8" x14ac:dyDescent="0.2">
      <c r="A68" s="3">
        <v>62</v>
      </c>
      <c r="B68" s="4" t="s">
        <v>212</v>
      </c>
      <c r="C68" s="4" t="s">
        <v>213</v>
      </c>
      <c r="D68" s="4" t="s">
        <v>308</v>
      </c>
      <c r="E68" s="5">
        <v>2142</v>
      </c>
      <c r="F68" s="6">
        <v>12.415032</v>
      </c>
      <c r="G68" s="7">
        <v>3.2018279999999999E-3</v>
      </c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9">
        <v>3665.232919</v>
      </c>
      <c r="G69" s="10">
        <v>0.94526094800000005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113</v>
      </c>
      <c r="D71" s="1"/>
      <c r="E71" s="1"/>
      <c r="F71" s="1"/>
      <c r="G71" s="1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114</v>
      </c>
      <c r="D74" s="1"/>
      <c r="E74" s="1"/>
      <c r="F74" s="1"/>
      <c r="G74" s="1"/>
      <c r="H74" s="39"/>
    </row>
    <row r="75" spans="1:8" x14ac:dyDescent="0.2">
      <c r="A75" s="1"/>
      <c r="B75" s="1"/>
      <c r="C75" s="2" t="s">
        <v>111</v>
      </c>
      <c r="D75" s="1"/>
      <c r="E75" s="1" t="s">
        <v>112</v>
      </c>
      <c r="F75" s="13">
        <v>0</v>
      </c>
      <c r="G75" s="14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115</v>
      </c>
      <c r="D77" s="1"/>
      <c r="E77" s="1"/>
      <c r="F77" s="1"/>
      <c r="G77" s="1"/>
      <c r="H77" s="39"/>
    </row>
    <row r="78" spans="1:8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116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117</v>
      </c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118</v>
      </c>
      <c r="D86" s="1"/>
      <c r="E86" s="1"/>
      <c r="F86" s="9">
        <v>3665.232919</v>
      </c>
      <c r="G86" s="10">
        <v>0.94526094800000005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119</v>
      </c>
      <c r="D88" s="1"/>
      <c r="E88" s="1"/>
      <c r="F88" s="12"/>
      <c r="G88" s="12"/>
      <c r="H88" s="39"/>
    </row>
    <row r="89" spans="1:8" ht="25.5" x14ac:dyDescent="0.2">
      <c r="A89" s="1"/>
      <c r="B89" s="1"/>
      <c r="C89" s="2" t="s">
        <v>10</v>
      </c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120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121</v>
      </c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122</v>
      </c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123</v>
      </c>
      <c r="D101" s="1"/>
      <c r="E101" s="1"/>
      <c r="F101" s="9">
        <v>0</v>
      </c>
      <c r="G101" s="10">
        <v>0</v>
      </c>
      <c r="H101" s="39"/>
    </row>
    <row r="102" spans="1:8" x14ac:dyDescent="0.2">
      <c r="A102" s="1"/>
      <c r="B102" s="1"/>
      <c r="C102" s="11"/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124</v>
      </c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125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126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127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128</v>
      </c>
      <c r="D113" s="1"/>
      <c r="E113" s="1"/>
      <c r="F113" s="12"/>
      <c r="G113" s="12"/>
      <c r="H113" s="39"/>
    </row>
    <row r="114" spans="1:8" x14ac:dyDescent="0.2">
      <c r="A114" s="3">
        <v>1</v>
      </c>
      <c r="B114" s="4"/>
      <c r="C114" s="4" t="s">
        <v>129</v>
      </c>
      <c r="D114" s="4"/>
      <c r="E114" s="8"/>
      <c r="F114" s="6">
        <v>157.7718945</v>
      </c>
      <c r="G114" s="7">
        <v>4.0689258999999998E-2</v>
      </c>
      <c r="H114" s="39">
        <v>3.6151121728634927</v>
      </c>
    </row>
    <row r="115" spans="1:8" x14ac:dyDescent="0.2">
      <c r="A115" s="3">
        <v>2</v>
      </c>
      <c r="B115" s="4"/>
      <c r="C115" s="4" t="s">
        <v>130</v>
      </c>
      <c r="D115" s="4"/>
      <c r="E115" s="8"/>
      <c r="F115" s="6">
        <v>55.784565399999998</v>
      </c>
      <c r="G115" s="7">
        <v>1.43868E-2</v>
      </c>
      <c r="H115" s="39">
        <v>3.7142625760646584</v>
      </c>
    </row>
    <row r="116" spans="1:8" x14ac:dyDescent="0.2">
      <c r="A116" s="1"/>
      <c r="B116" s="1"/>
      <c r="C116" s="2" t="s">
        <v>111</v>
      </c>
      <c r="D116" s="1"/>
      <c r="E116" s="1" t="s">
        <v>112</v>
      </c>
      <c r="F116" s="9">
        <v>213.55645989999999</v>
      </c>
      <c r="G116" s="10">
        <v>5.5076058999999997E-2</v>
      </c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131</v>
      </c>
      <c r="D118" s="1"/>
      <c r="E118" s="1"/>
      <c r="F118" s="9">
        <v>213.55645989999999</v>
      </c>
      <c r="G118" s="10">
        <v>5.5076058999999997E-2</v>
      </c>
      <c r="H118" s="39"/>
    </row>
    <row r="119" spans="1:8" x14ac:dyDescent="0.2">
      <c r="A119" s="1"/>
      <c r="B119" s="1"/>
      <c r="C119" s="12"/>
      <c r="D119" s="1"/>
      <c r="E119" s="1"/>
      <c r="F119" s="1"/>
      <c r="G119" s="1"/>
      <c r="H119" s="39"/>
    </row>
    <row r="120" spans="1:8" x14ac:dyDescent="0.2">
      <c r="A120" s="1"/>
      <c r="B120" s="1"/>
      <c r="C120" s="2" t="s">
        <v>132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133</v>
      </c>
      <c r="D121" s="1"/>
      <c r="E121" s="1"/>
      <c r="F121" s="1"/>
      <c r="G121" s="1"/>
      <c r="H121" s="39"/>
    </row>
    <row r="122" spans="1:8" x14ac:dyDescent="0.2">
      <c r="A122" s="1"/>
      <c r="B122" s="1"/>
      <c r="C122" s="2" t="s">
        <v>111</v>
      </c>
      <c r="D122" s="1"/>
      <c r="E122" s="1" t="s">
        <v>112</v>
      </c>
      <c r="F122" s="13">
        <v>0</v>
      </c>
      <c r="G122" s="14">
        <v>0</v>
      </c>
      <c r="H122" s="39"/>
    </row>
    <row r="123" spans="1:8" x14ac:dyDescent="0.2">
      <c r="A123" s="1"/>
      <c r="B123" s="1"/>
      <c r="C123" s="11"/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134</v>
      </c>
      <c r="D124" s="1"/>
      <c r="E124" s="1"/>
      <c r="F124" s="1"/>
      <c r="G124" s="1"/>
      <c r="H124" s="39"/>
    </row>
    <row r="125" spans="1:8" x14ac:dyDescent="0.2">
      <c r="A125" s="1"/>
      <c r="B125" s="1"/>
      <c r="C125" s="2" t="s">
        <v>135</v>
      </c>
      <c r="D125" s="1"/>
      <c r="E125" s="1"/>
      <c r="F125" s="1"/>
      <c r="G125" s="1"/>
      <c r="H125" s="39"/>
    </row>
    <row r="126" spans="1:8" x14ac:dyDescent="0.2">
      <c r="A126" s="1"/>
      <c r="B126" s="1"/>
      <c r="C126" s="2" t="s">
        <v>111</v>
      </c>
      <c r="D126" s="1"/>
      <c r="E126" s="1" t="s">
        <v>112</v>
      </c>
      <c r="F126" s="13">
        <v>0</v>
      </c>
      <c r="G126" s="14">
        <v>0</v>
      </c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ht="25.5" x14ac:dyDescent="0.2">
      <c r="A129" s="1"/>
      <c r="B129" s="1"/>
      <c r="C129" s="2" t="s">
        <v>136</v>
      </c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4"/>
      <c r="C132" s="4"/>
      <c r="D132" s="2"/>
      <c r="E132" s="1"/>
      <c r="F132" s="4"/>
      <c r="G132" s="8"/>
      <c r="H132" s="39"/>
    </row>
    <row r="133" spans="1:8" x14ac:dyDescent="0.2">
      <c r="A133" s="8"/>
      <c r="B133" s="4"/>
      <c r="C133" s="4" t="s">
        <v>137</v>
      </c>
      <c r="D133" s="4"/>
      <c r="E133" s="8"/>
      <c r="F133" s="6">
        <v>-1.3067445099999999</v>
      </c>
      <c r="G133" s="7">
        <v>-3.3700800000000002E-4</v>
      </c>
      <c r="H133" s="39"/>
    </row>
    <row r="134" spans="1:8" x14ac:dyDescent="0.2">
      <c r="A134" s="11"/>
      <c r="B134" s="11"/>
      <c r="C134" s="2" t="s">
        <v>138</v>
      </c>
      <c r="D134" s="15"/>
      <c r="E134" s="15"/>
      <c r="F134" s="9">
        <v>3877.4826343899999</v>
      </c>
      <c r="G134" s="10">
        <v>0.99999999900000003</v>
      </c>
      <c r="H134" s="39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194" t="s">
        <v>140</v>
      </c>
      <c r="C137" s="195"/>
      <c r="D137" s="12" t="s">
        <v>112</v>
      </c>
      <c r="E137" s="21"/>
      <c r="F137" s="20"/>
      <c r="G137" s="20"/>
    </row>
    <row r="138" spans="1:8" ht="29.1" customHeight="1" x14ac:dyDescent="0.2">
      <c r="A138" s="18"/>
      <c r="B138" s="189" t="s">
        <v>141</v>
      </c>
      <c r="C138" s="190"/>
      <c r="D138" s="2" t="s">
        <v>142</v>
      </c>
      <c r="E138" s="21"/>
      <c r="F138" s="20"/>
      <c r="G138" s="20"/>
    </row>
    <row r="139" spans="1:8" ht="17.100000000000001" customHeight="1" x14ac:dyDescent="0.2">
      <c r="A139" s="18"/>
      <c r="B139" s="189" t="s">
        <v>143</v>
      </c>
      <c r="C139" s="190"/>
      <c r="D139" s="2" t="s">
        <v>142</v>
      </c>
      <c r="E139" s="21"/>
      <c r="F139" s="20"/>
      <c r="G139" s="20"/>
    </row>
    <row r="140" spans="1:8" ht="17.100000000000001" customHeight="1" x14ac:dyDescent="0.2">
      <c r="A140" s="18"/>
      <c r="B140" s="189" t="s">
        <v>144</v>
      </c>
      <c r="C140" s="190"/>
      <c r="D140" s="12" t="s">
        <v>112</v>
      </c>
      <c r="E140" s="21"/>
      <c r="F140" s="20"/>
      <c r="G140" s="20"/>
    </row>
    <row r="141" spans="1:8" ht="24" customHeight="1" x14ac:dyDescent="0.2">
      <c r="A141" s="22"/>
      <c r="B141" s="23" t="s">
        <v>112</v>
      </c>
      <c r="C141" s="23" t="s">
        <v>145</v>
      </c>
      <c r="D141" s="23" t="s">
        <v>146</v>
      </c>
      <c r="E141" s="22"/>
      <c r="F141" s="22"/>
      <c r="G141" s="22"/>
    </row>
    <row r="142" spans="1:8" ht="18" customHeight="1" x14ac:dyDescent="0.2">
      <c r="A142" s="22"/>
      <c r="B142" s="23" t="s">
        <v>147</v>
      </c>
      <c r="C142" s="23" t="s">
        <v>148</v>
      </c>
      <c r="D142" s="23" t="s">
        <v>149</v>
      </c>
      <c r="E142" s="22"/>
      <c r="F142" s="22"/>
      <c r="G142" s="22"/>
    </row>
    <row r="143" spans="1:8" ht="17.100000000000001" customHeight="1" x14ac:dyDescent="0.2">
      <c r="A143" s="22"/>
      <c r="B143" s="4" t="s">
        <v>150</v>
      </c>
      <c r="C143" s="24">
        <v>14.4275</v>
      </c>
      <c r="D143" s="24">
        <v>15.5823</v>
      </c>
      <c r="E143" s="22"/>
      <c r="F143" s="19"/>
      <c r="G143" s="25"/>
    </row>
    <row r="144" spans="1:8" ht="17.100000000000001" customHeight="1" x14ac:dyDescent="0.2">
      <c r="A144" s="22"/>
      <c r="B144" s="4" t="s">
        <v>1092</v>
      </c>
      <c r="C144" s="24">
        <v>14.4275</v>
      </c>
      <c r="D144" s="24">
        <v>15.5823</v>
      </c>
      <c r="E144" s="22"/>
      <c r="F144" s="19"/>
      <c r="G144" s="25"/>
    </row>
    <row r="145" spans="1:17" ht="17.100000000000001" customHeight="1" x14ac:dyDescent="0.2">
      <c r="A145" s="22"/>
      <c r="B145" s="4" t="s">
        <v>151</v>
      </c>
      <c r="C145" s="24">
        <v>13.8786</v>
      </c>
      <c r="D145" s="24">
        <v>14.9871</v>
      </c>
      <c r="E145" s="22"/>
      <c r="F145" s="19"/>
      <c r="G145" s="25"/>
    </row>
    <row r="146" spans="1:17" ht="17.100000000000001" customHeight="1" x14ac:dyDescent="0.2">
      <c r="A146" s="22"/>
      <c r="B146" s="4" t="s">
        <v>1093</v>
      </c>
      <c r="C146" s="24">
        <v>13.878500000000001</v>
      </c>
      <c r="D146" s="24">
        <v>14.987</v>
      </c>
      <c r="E146" s="22"/>
      <c r="F146" s="19"/>
      <c r="G146" s="25"/>
    </row>
    <row r="147" spans="1:17" ht="14.1" customHeight="1" x14ac:dyDescent="0.2">
      <c r="A147" s="22"/>
      <c r="B147" s="22"/>
      <c r="C147" s="22"/>
      <c r="D147" s="22"/>
      <c r="E147" s="22"/>
      <c r="F147" s="22"/>
      <c r="G147" s="22"/>
    </row>
    <row r="148" spans="1:17" ht="17.100000000000001" customHeight="1" x14ac:dyDescent="0.2">
      <c r="A148" s="22"/>
      <c r="B148" s="189" t="s">
        <v>1094</v>
      </c>
      <c r="C148" s="190"/>
      <c r="D148" s="2" t="s">
        <v>142</v>
      </c>
      <c r="E148" s="22"/>
      <c r="F148" s="22"/>
      <c r="G148" s="22"/>
    </row>
    <row r="149" spans="1:17" ht="18" customHeight="1" x14ac:dyDescent="0.2">
      <c r="A149" s="22"/>
      <c r="B149" s="26"/>
      <c r="C149" s="26"/>
      <c r="D149" s="27"/>
      <c r="E149" s="22"/>
      <c r="F149" s="22"/>
      <c r="G149" s="22"/>
    </row>
    <row r="150" spans="1:17" s="101" customFormat="1" x14ac:dyDescent="0.2">
      <c r="B150" s="193" t="s">
        <v>1102</v>
      </c>
      <c r="C150" s="193"/>
      <c r="D150" s="193"/>
      <c r="E150" s="193"/>
      <c r="F150" s="193"/>
      <c r="I150"/>
      <c r="J150"/>
      <c r="K150"/>
      <c r="L150"/>
      <c r="M150"/>
      <c r="N150"/>
      <c r="O150"/>
      <c r="P150" s="41"/>
      <c r="Q150" s="41"/>
    </row>
    <row r="151" spans="1:17" ht="14.1" customHeight="1" x14ac:dyDescent="0.2">
      <c r="A151" s="22"/>
      <c r="B151" s="19"/>
      <c r="C151" s="19"/>
      <c r="D151" s="22"/>
      <c r="E151" s="22"/>
      <c r="F151" s="22"/>
      <c r="G151" s="22"/>
    </row>
    <row r="152" spans="1:17" ht="29.1" customHeight="1" x14ac:dyDescent="0.2">
      <c r="A152" s="22"/>
      <c r="B152" s="189" t="s">
        <v>152</v>
      </c>
      <c r="C152" s="190"/>
      <c r="D152" s="2" t="s">
        <v>142</v>
      </c>
      <c r="E152" s="22"/>
      <c r="F152" s="22"/>
      <c r="G152" s="22"/>
    </row>
    <row r="153" spans="1:17" ht="29.1" customHeight="1" x14ac:dyDescent="0.2">
      <c r="A153" s="22"/>
      <c r="B153" s="189" t="s">
        <v>153</v>
      </c>
      <c r="C153" s="190"/>
      <c r="D153" s="2" t="s">
        <v>142</v>
      </c>
      <c r="E153" s="22"/>
      <c r="F153" s="22"/>
      <c r="G153" s="22"/>
    </row>
    <row r="154" spans="1:17" ht="17.100000000000001" customHeight="1" x14ac:dyDescent="0.2">
      <c r="A154" s="22"/>
      <c r="B154" s="189" t="s">
        <v>154</v>
      </c>
      <c r="C154" s="190"/>
      <c r="D154" s="28">
        <v>0.24146927677010135</v>
      </c>
      <c r="E154" s="22"/>
      <c r="F154" s="19"/>
      <c r="G154" s="25"/>
    </row>
    <row r="155" spans="1:17" ht="17.100000000000001" customHeight="1" x14ac:dyDescent="0.2">
      <c r="A155" s="22"/>
      <c r="B155" s="189" t="s">
        <v>155</v>
      </c>
      <c r="C155" s="190"/>
      <c r="D155" s="2" t="s">
        <v>142</v>
      </c>
      <c r="E155" s="22"/>
      <c r="F155" s="22"/>
      <c r="G155" s="22"/>
    </row>
    <row r="158" spans="1:17" x14ac:dyDescent="0.2">
      <c r="J158" s="101"/>
      <c r="K158" s="101"/>
      <c r="L158" s="101"/>
      <c r="M158" s="101"/>
      <c r="N158" s="101"/>
      <c r="O158" s="101"/>
    </row>
  </sheetData>
  <mergeCells count="14">
    <mergeCell ref="B155:C155"/>
    <mergeCell ref="B138:C138"/>
    <mergeCell ref="B139:C139"/>
    <mergeCell ref="B140:C140"/>
    <mergeCell ref="B148:C148"/>
    <mergeCell ref="B152:C152"/>
    <mergeCell ref="B153:C153"/>
    <mergeCell ref="B154:C154"/>
    <mergeCell ref="A1:H1"/>
    <mergeCell ref="A2:H2"/>
    <mergeCell ref="A3:H3"/>
    <mergeCell ref="B150:F150"/>
    <mergeCell ref="J2:N2"/>
    <mergeCell ref="B137:C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7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515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239</v>
      </c>
      <c r="C7" s="4" t="s">
        <v>240</v>
      </c>
      <c r="D7" s="4" t="s">
        <v>1143</v>
      </c>
      <c r="E7" s="5">
        <v>1220030</v>
      </c>
      <c r="F7" s="6">
        <v>7332.990315</v>
      </c>
      <c r="G7" s="7">
        <v>3.6110061999999998E-2</v>
      </c>
      <c r="H7" s="39"/>
    </row>
    <row r="8" spans="1:14" x14ac:dyDescent="0.2">
      <c r="A8" s="3">
        <v>2</v>
      </c>
      <c r="B8" s="4" t="s">
        <v>174</v>
      </c>
      <c r="C8" s="4" t="s">
        <v>175</v>
      </c>
      <c r="D8" s="4" t="s">
        <v>82</v>
      </c>
      <c r="E8" s="5">
        <v>1046412</v>
      </c>
      <c r="F8" s="6">
        <v>6607.5685739999999</v>
      </c>
      <c r="G8" s="7">
        <v>3.2537846000000002E-2</v>
      </c>
      <c r="H8" s="39"/>
    </row>
    <row r="9" spans="1:14" x14ac:dyDescent="0.2">
      <c r="A9" s="3">
        <v>3</v>
      </c>
      <c r="B9" s="4" t="s">
        <v>206</v>
      </c>
      <c r="C9" s="4" t="s">
        <v>207</v>
      </c>
      <c r="D9" s="4" t="s">
        <v>1159</v>
      </c>
      <c r="E9" s="5">
        <v>622044</v>
      </c>
      <c r="F9" s="6">
        <v>5771.0132100000001</v>
      </c>
      <c r="G9" s="7">
        <v>2.8418372000000001E-2</v>
      </c>
      <c r="H9" s="39"/>
    </row>
    <row r="10" spans="1:14" x14ac:dyDescent="0.2">
      <c r="A10" s="3">
        <v>4</v>
      </c>
      <c r="B10" s="4" t="s">
        <v>194</v>
      </c>
      <c r="C10" s="4" t="s">
        <v>195</v>
      </c>
      <c r="D10" s="4" t="s">
        <v>1027</v>
      </c>
      <c r="E10" s="5">
        <v>382347</v>
      </c>
      <c r="F10" s="6">
        <v>5411.9306114999999</v>
      </c>
      <c r="G10" s="7">
        <v>2.6650130000000001E-2</v>
      </c>
      <c r="H10" s="39"/>
    </row>
    <row r="11" spans="1:14" x14ac:dyDescent="0.2">
      <c r="A11" s="3">
        <v>5</v>
      </c>
      <c r="B11" s="4" t="s">
        <v>38</v>
      </c>
      <c r="C11" s="4" t="s">
        <v>39</v>
      </c>
      <c r="D11" s="4" t="s">
        <v>29</v>
      </c>
      <c r="E11" s="5">
        <v>372310</v>
      </c>
      <c r="F11" s="6">
        <v>4912.4442950000002</v>
      </c>
      <c r="G11" s="7">
        <v>2.4190494999999999E-2</v>
      </c>
      <c r="H11" s="39"/>
    </row>
    <row r="12" spans="1:14" ht="25.5" x14ac:dyDescent="0.2">
      <c r="A12" s="3">
        <v>6</v>
      </c>
      <c r="B12" s="4" t="s">
        <v>237</v>
      </c>
      <c r="C12" s="4" t="s">
        <v>238</v>
      </c>
      <c r="D12" s="4" t="s">
        <v>1153</v>
      </c>
      <c r="E12" s="5">
        <v>113639</v>
      </c>
      <c r="F12" s="6">
        <v>4638.9712579999996</v>
      </c>
      <c r="G12" s="7">
        <v>2.2843823999999999E-2</v>
      </c>
      <c r="H12" s="39"/>
    </row>
    <row r="13" spans="1:14" ht="25.5" x14ac:dyDescent="0.2">
      <c r="A13" s="3">
        <v>7</v>
      </c>
      <c r="B13" s="4" t="s">
        <v>516</v>
      </c>
      <c r="C13" s="4" t="s">
        <v>517</v>
      </c>
      <c r="D13" s="4" t="s">
        <v>1153</v>
      </c>
      <c r="E13" s="5">
        <v>265529</v>
      </c>
      <c r="F13" s="6">
        <v>4631.8878759999998</v>
      </c>
      <c r="G13" s="7">
        <v>2.2808943000000002E-2</v>
      </c>
      <c r="H13" s="39"/>
    </row>
    <row r="14" spans="1:14" x14ac:dyDescent="0.2">
      <c r="A14" s="3">
        <v>8</v>
      </c>
      <c r="B14" s="4" t="s">
        <v>518</v>
      </c>
      <c r="C14" s="4" t="s">
        <v>519</v>
      </c>
      <c r="D14" s="4" t="s">
        <v>1143</v>
      </c>
      <c r="E14" s="5">
        <v>927825</v>
      </c>
      <c r="F14" s="6">
        <v>4221.1398374999999</v>
      </c>
      <c r="G14" s="7">
        <v>2.0786283999999999E-2</v>
      </c>
      <c r="H14" s="39"/>
    </row>
    <row r="15" spans="1:14" ht="15" x14ac:dyDescent="0.2">
      <c r="A15" s="3">
        <v>9</v>
      </c>
      <c r="B15" s="4" t="s">
        <v>247</v>
      </c>
      <c r="C15" s="4" t="s">
        <v>248</v>
      </c>
      <c r="D15" s="4" t="s">
        <v>1154</v>
      </c>
      <c r="E15" s="5">
        <v>258222</v>
      </c>
      <c r="F15" s="6">
        <v>4195.3328339999998</v>
      </c>
      <c r="G15" s="7">
        <v>2.0659202000000002E-2</v>
      </c>
      <c r="H15" s="39"/>
      <c r="J15" s="176" t="s">
        <v>1183</v>
      </c>
    </row>
    <row r="16" spans="1:14" ht="25.5" x14ac:dyDescent="0.2">
      <c r="A16" s="3">
        <v>10</v>
      </c>
      <c r="B16" s="4" t="s">
        <v>520</v>
      </c>
      <c r="C16" s="4" t="s">
        <v>521</v>
      </c>
      <c r="D16" s="4" t="s">
        <v>1138</v>
      </c>
      <c r="E16" s="5">
        <v>504084</v>
      </c>
      <c r="F16" s="6">
        <v>4005.4514640000002</v>
      </c>
      <c r="G16" s="7">
        <v>1.9724162999999999E-2</v>
      </c>
      <c r="H16" s="39"/>
    </row>
    <row r="17" spans="1:10" x14ac:dyDescent="0.2">
      <c r="A17" s="3">
        <v>11</v>
      </c>
      <c r="B17" s="4" t="s">
        <v>192</v>
      </c>
      <c r="C17" s="4" t="s">
        <v>193</v>
      </c>
      <c r="D17" s="4" t="s">
        <v>1026</v>
      </c>
      <c r="E17" s="5">
        <v>824354</v>
      </c>
      <c r="F17" s="6">
        <v>3951.5408990000001</v>
      </c>
      <c r="G17" s="7">
        <v>1.9458690000000001E-2</v>
      </c>
      <c r="H17" s="39"/>
    </row>
    <row r="18" spans="1:10" x14ac:dyDescent="0.2">
      <c r="A18" s="3">
        <v>12</v>
      </c>
      <c r="B18" s="4" t="s">
        <v>16</v>
      </c>
      <c r="C18" s="4" t="s">
        <v>17</v>
      </c>
      <c r="D18" s="4" t="s">
        <v>18</v>
      </c>
      <c r="E18" s="5">
        <v>534956</v>
      </c>
      <c r="F18" s="6">
        <v>3906.783668</v>
      </c>
      <c r="G18" s="7">
        <v>1.9238291000000001E-2</v>
      </c>
      <c r="H18" s="39"/>
    </row>
    <row r="19" spans="1:10" x14ac:dyDescent="0.2">
      <c r="A19" s="3">
        <v>13</v>
      </c>
      <c r="B19" s="4" t="s">
        <v>463</v>
      </c>
      <c r="C19" s="4" t="s">
        <v>464</v>
      </c>
      <c r="D19" s="4" t="s">
        <v>29</v>
      </c>
      <c r="E19" s="5">
        <v>621794</v>
      </c>
      <c r="F19" s="6">
        <v>3811.2863229999998</v>
      </c>
      <c r="G19" s="7">
        <v>1.8768030000000002E-2</v>
      </c>
      <c r="H19" s="39"/>
    </row>
    <row r="20" spans="1:10" x14ac:dyDescent="0.2">
      <c r="A20" s="3">
        <v>14</v>
      </c>
      <c r="B20" s="4" t="s">
        <v>231</v>
      </c>
      <c r="C20" s="4" t="s">
        <v>232</v>
      </c>
      <c r="D20" s="4" t="s">
        <v>29</v>
      </c>
      <c r="E20" s="5">
        <v>295191</v>
      </c>
      <c r="F20" s="6">
        <v>3722.35851</v>
      </c>
      <c r="G20" s="7">
        <v>1.8330119999999998E-2</v>
      </c>
      <c r="H20" s="39"/>
    </row>
    <row r="21" spans="1:10" x14ac:dyDescent="0.2">
      <c r="A21" s="3">
        <v>15</v>
      </c>
      <c r="B21" s="4" t="s">
        <v>522</v>
      </c>
      <c r="C21" s="4" t="s">
        <v>523</v>
      </c>
      <c r="D21" s="4" t="s">
        <v>1027</v>
      </c>
      <c r="E21" s="5">
        <v>153000</v>
      </c>
      <c r="F21" s="6">
        <v>3543.2505000000001</v>
      </c>
      <c r="G21" s="7">
        <v>1.7448134000000001E-2</v>
      </c>
      <c r="H21" s="39"/>
    </row>
    <row r="22" spans="1:10" x14ac:dyDescent="0.2">
      <c r="A22" s="3">
        <v>16</v>
      </c>
      <c r="B22" s="4" t="s">
        <v>357</v>
      </c>
      <c r="C22" s="4" t="s">
        <v>358</v>
      </c>
      <c r="D22" s="4" t="s">
        <v>71</v>
      </c>
      <c r="E22" s="5">
        <v>81993</v>
      </c>
      <c r="F22" s="6">
        <v>3532.9143840000002</v>
      </c>
      <c r="G22" s="7">
        <v>1.7397235E-2</v>
      </c>
      <c r="H22" s="39"/>
    </row>
    <row r="23" spans="1:10" x14ac:dyDescent="0.2">
      <c r="A23" s="3">
        <v>17</v>
      </c>
      <c r="B23" s="4" t="s">
        <v>69</v>
      </c>
      <c r="C23" s="4" t="s">
        <v>70</v>
      </c>
      <c r="D23" s="4" t="s">
        <v>71</v>
      </c>
      <c r="E23" s="5">
        <v>600000</v>
      </c>
      <c r="F23" s="6">
        <v>3512.7</v>
      </c>
      <c r="G23" s="7">
        <v>1.7297692999999999E-2</v>
      </c>
      <c r="H23" s="39"/>
    </row>
    <row r="24" spans="1:10" x14ac:dyDescent="0.2">
      <c r="A24" s="3">
        <v>18</v>
      </c>
      <c r="B24" s="4" t="s">
        <v>281</v>
      </c>
      <c r="C24" s="4" t="s">
        <v>282</v>
      </c>
      <c r="D24" s="4" t="s">
        <v>29</v>
      </c>
      <c r="E24" s="5">
        <v>163564</v>
      </c>
      <c r="F24" s="6">
        <v>3502.068804</v>
      </c>
      <c r="G24" s="7">
        <v>1.7245341000000001E-2</v>
      </c>
      <c r="H24" s="39"/>
    </row>
    <row r="25" spans="1:10" ht="25.5" x14ac:dyDescent="0.2">
      <c r="A25" s="3">
        <v>19</v>
      </c>
      <c r="B25" s="4" t="s">
        <v>72</v>
      </c>
      <c r="C25" s="4" t="s">
        <v>73</v>
      </c>
      <c r="D25" s="4" t="s">
        <v>1137</v>
      </c>
      <c r="E25" s="5">
        <v>179948</v>
      </c>
      <c r="F25" s="6">
        <v>3272.9841980000001</v>
      </c>
      <c r="G25" s="7">
        <v>1.6117253000000002E-2</v>
      </c>
      <c r="H25" s="39"/>
    </row>
    <row r="26" spans="1:10" x14ac:dyDescent="0.2">
      <c r="A26" s="3">
        <v>20</v>
      </c>
      <c r="B26" s="4" t="s">
        <v>524</v>
      </c>
      <c r="C26" s="4" t="s">
        <v>525</v>
      </c>
      <c r="D26" s="4" t="s">
        <v>1027</v>
      </c>
      <c r="E26" s="5">
        <v>1452540</v>
      </c>
      <c r="F26" s="6">
        <v>3263.8573799999999</v>
      </c>
      <c r="G26" s="7">
        <v>1.6072309999999999E-2</v>
      </c>
      <c r="H26" s="39"/>
    </row>
    <row r="27" spans="1:10" x14ac:dyDescent="0.2">
      <c r="A27" s="3">
        <v>21</v>
      </c>
      <c r="B27" s="4" t="s">
        <v>245</v>
      </c>
      <c r="C27" s="4" t="s">
        <v>246</v>
      </c>
      <c r="D27" s="4" t="s">
        <v>29</v>
      </c>
      <c r="E27" s="5">
        <v>382511</v>
      </c>
      <c r="F27" s="6">
        <v>3235.0867825</v>
      </c>
      <c r="G27" s="7">
        <v>1.5930633999999999E-2</v>
      </c>
      <c r="H27" s="39"/>
    </row>
    <row r="28" spans="1:10" x14ac:dyDescent="0.2">
      <c r="A28" s="3">
        <v>22</v>
      </c>
      <c r="B28" s="4" t="s">
        <v>49</v>
      </c>
      <c r="C28" s="4" t="s">
        <v>50</v>
      </c>
      <c r="D28" s="4" t="s">
        <v>18</v>
      </c>
      <c r="E28" s="5">
        <v>635918</v>
      </c>
      <c r="F28" s="6">
        <v>3138.5732889999999</v>
      </c>
      <c r="G28" s="7">
        <v>1.545537E-2</v>
      </c>
      <c r="H28" s="39"/>
    </row>
    <row r="29" spans="1:10" ht="15" x14ac:dyDescent="0.2">
      <c r="A29" s="3">
        <v>23</v>
      </c>
      <c r="B29" s="4" t="s">
        <v>87</v>
      </c>
      <c r="C29" s="4" t="s">
        <v>88</v>
      </c>
      <c r="D29" s="4" t="s">
        <v>1157</v>
      </c>
      <c r="E29" s="5">
        <v>597219</v>
      </c>
      <c r="F29" s="6">
        <v>3086.7264015000001</v>
      </c>
      <c r="G29" s="7">
        <v>1.5200058000000001E-2</v>
      </c>
      <c r="H29" s="39"/>
      <c r="J29" s="176" t="s">
        <v>1184</v>
      </c>
    </row>
    <row r="30" spans="1:10" x14ac:dyDescent="0.2">
      <c r="A30" s="3">
        <v>24</v>
      </c>
      <c r="B30" s="4" t="s">
        <v>166</v>
      </c>
      <c r="C30" s="4" t="s">
        <v>167</v>
      </c>
      <c r="D30" s="4" t="s">
        <v>1159</v>
      </c>
      <c r="E30" s="5">
        <v>243425</v>
      </c>
      <c r="F30" s="6">
        <v>3067.2767125</v>
      </c>
      <c r="G30" s="7">
        <v>1.5104282E-2</v>
      </c>
      <c r="H30" s="39"/>
    </row>
    <row r="31" spans="1:10" x14ac:dyDescent="0.2">
      <c r="A31" s="3">
        <v>25</v>
      </c>
      <c r="B31" s="4" t="s">
        <v>76</v>
      </c>
      <c r="C31" s="4" t="s">
        <v>77</v>
      </c>
      <c r="D31" s="4" t="s">
        <v>71</v>
      </c>
      <c r="E31" s="5">
        <v>84991</v>
      </c>
      <c r="F31" s="6">
        <v>2994.4454074999999</v>
      </c>
      <c r="G31" s="7">
        <v>1.4745635999999999E-2</v>
      </c>
      <c r="H31" s="39"/>
    </row>
    <row r="32" spans="1:10" x14ac:dyDescent="0.2">
      <c r="A32" s="3">
        <v>26</v>
      </c>
      <c r="B32" s="4" t="s">
        <v>469</v>
      </c>
      <c r="C32" s="4" t="s">
        <v>470</v>
      </c>
      <c r="D32" s="4" t="s">
        <v>29</v>
      </c>
      <c r="E32" s="5">
        <v>365000</v>
      </c>
      <c r="F32" s="6">
        <v>2911.7874999999999</v>
      </c>
      <c r="G32" s="7">
        <v>1.4338602000000001E-2</v>
      </c>
      <c r="H32" s="39"/>
    </row>
    <row r="33" spans="1:8" x14ac:dyDescent="0.2">
      <c r="A33" s="3">
        <v>27</v>
      </c>
      <c r="B33" s="4" t="s">
        <v>526</v>
      </c>
      <c r="C33" s="4" t="s">
        <v>527</v>
      </c>
      <c r="D33" s="4" t="s">
        <v>1143</v>
      </c>
      <c r="E33" s="5">
        <v>191188</v>
      </c>
      <c r="F33" s="6">
        <v>2888.2771160000002</v>
      </c>
      <c r="G33" s="7">
        <v>1.4222828999999999E-2</v>
      </c>
      <c r="H33" s="39"/>
    </row>
    <row r="34" spans="1:8" ht="25.5" x14ac:dyDescent="0.2">
      <c r="A34" s="3">
        <v>28</v>
      </c>
      <c r="B34" s="4" t="s">
        <v>83</v>
      </c>
      <c r="C34" s="4" t="s">
        <v>84</v>
      </c>
      <c r="D34" s="4" t="s">
        <v>1137</v>
      </c>
      <c r="E34" s="5">
        <v>2433714</v>
      </c>
      <c r="F34" s="6">
        <v>2853.529665</v>
      </c>
      <c r="G34" s="7">
        <v>1.4051721E-2</v>
      </c>
      <c r="H34" s="39"/>
    </row>
    <row r="35" spans="1:8" x14ac:dyDescent="0.2">
      <c r="A35" s="3">
        <v>29</v>
      </c>
      <c r="B35" s="4" t="s">
        <v>422</v>
      </c>
      <c r="C35" s="4" t="s">
        <v>423</v>
      </c>
      <c r="D35" s="4" t="s">
        <v>18</v>
      </c>
      <c r="E35" s="5">
        <v>1247804</v>
      </c>
      <c r="F35" s="6">
        <v>2841.8736100000001</v>
      </c>
      <c r="G35" s="7">
        <v>1.3994322999999999E-2</v>
      </c>
      <c r="H35" s="39"/>
    </row>
    <row r="36" spans="1:8" ht="25.5" x14ac:dyDescent="0.2">
      <c r="A36" s="3">
        <v>30</v>
      </c>
      <c r="B36" s="4" t="s">
        <v>504</v>
      </c>
      <c r="C36" s="4" t="s">
        <v>505</v>
      </c>
      <c r="D36" s="4" t="s">
        <v>1150</v>
      </c>
      <c r="E36" s="5">
        <v>231114</v>
      </c>
      <c r="F36" s="6">
        <v>2732.2297079999998</v>
      </c>
      <c r="G36" s="7">
        <v>1.34544E-2</v>
      </c>
      <c r="H36" s="39"/>
    </row>
    <row r="37" spans="1:8" ht="25.5" x14ac:dyDescent="0.2">
      <c r="A37" s="3">
        <v>31</v>
      </c>
      <c r="B37" s="4" t="s">
        <v>528</v>
      </c>
      <c r="C37" s="4" t="s">
        <v>529</v>
      </c>
      <c r="D37" s="4" t="s">
        <v>1145</v>
      </c>
      <c r="E37" s="5">
        <v>528000</v>
      </c>
      <c r="F37" s="6">
        <v>2584.0320000000002</v>
      </c>
      <c r="G37" s="7">
        <v>1.2724625E-2</v>
      </c>
      <c r="H37" s="39"/>
    </row>
    <row r="38" spans="1:8" ht="25.5" x14ac:dyDescent="0.2">
      <c r="A38" s="3">
        <v>32</v>
      </c>
      <c r="B38" s="4" t="s">
        <v>196</v>
      </c>
      <c r="C38" s="4" t="s">
        <v>197</v>
      </c>
      <c r="D38" s="4" t="s">
        <v>1138</v>
      </c>
      <c r="E38" s="5">
        <v>157039</v>
      </c>
      <c r="F38" s="6">
        <v>2473.2072109999999</v>
      </c>
      <c r="G38" s="7">
        <v>1.2178888000000001E-2</v>
      </c>
      <c r="H38" s="39"/>
    </row>
    <row r="39" spans="1:8" x14ac:dyDescent="0.2">
      <c r="A39" s="3">
        <v>33</v>
      </c>
      <c r="B39" s="4" t="s">
        <v>530</v>
      </c>
      <c r="C39" s="4" t="s">
        <v>531</v>
      </c>
      <c r="D39" s="4" t="s">
        <v>1027</v>
      </c>
      <c r="E39" s="5">
        <v>160942</v>
      </c>
      <c r="F39" s="6">
        <v>2382.5048969999998</v>
      </c>
      <c r="G39" s="7">
        <v>1.173224E-2</v>
      </c>
      <c r="H39" s="39"/>
    </row>
    <row r="40" spans="1:8" x14ac:dyDescent="0.2">
      <c r="A40" s="3">
        <v>34</v>
      </c>
      <c r="B40" s="4" t="s">
        <v>532</v>
      </c>
      <c r="C40" s="37" t="s">
        <v>1049</v>
      </c>
      <c r="D40" s="4" t="s">
        <v>1146</v>
      </c>
      <c r="E40" s="5">
        <v>1138715</v>
      </c>
      <c r="F40" s="6">
        <v>2351.4464750000002</v>
      </c>
      <c r="G40" s="7">
        <v>1.1579298E-2</v>
      </c>
      <c r="H40" s="39"/>
    </row>
    <row r="41" spans="1:8" x14ac:dyDescent="0.2">
      <c r="A41" s="3">
        <v>35</v>
      </c>
      <c r="B41" s="4" t="s">
        <v>533</v>
      </c>
      <c r="C41" s="4" t="s">
        <v>534</v>
      </c>
      <c r="D41" s="4" t="s">
        <v>1027</v>
      </c>
      <c r="E41" s="5">
        <v>230109</v>
      </c>
      <c r="F41" s="6">
        <v>2288.6641140000002</v>
      </c>
      <c r="G41" s="7">
        <v>1.1270137E-2</v>
      </c>
      <c r="H41" s="39"/>
    </row>
    <row r="42" spans="1:8" x14ac:dyDescent="0.2">
      <c r="A42" s="3">
        <v>36</v>
      </c>
      <c r="B42" s="4" t="s">
        <v>233</v>
      </c>
      <c r="C42" s="4" t="s">
        <v>234</v>
      </c>
      <c r="D42" s="4" t="s">
        <v>71</v>
      </c>
      <c r="E42" s="5">
        <v>312601</v>
      </c>
      <c r="F42" s="6">
        <v>2239.1609629999998</v>
      </c>
      <c r="G42" s="7">
        <v>1.1026367E-2</v>
      </c>
      <c r="H42" s="39"/>
    </row>
    <row r="43" spans="1:8" x14ac:dyDescent="0.2">
      <c r="A43" s="3">
        <v>37</v>
      </c>
      <c r="B43" s="4" t="s">
        <v>426</v>
      </c>
      <c r="C43" s="4" t="s">
        <v>427</v>
      </c>
      <c r="D43" s="4" t="s">
        <v>82</v>
      </c>
      <c r="E43" s="5">
        <v>30749</v>
      </c>
      <c r="F43" s="6">
        <v>2232.3620255000001</v>
      </c>
      <c r="G43" s="7">
        <v>1.0992887E-2</v>
      </c>
      <c r="H43" s="39"/>
    </row>
    <row r="44" spans="1:8" x14ac:dyDescent="0.2">
      <c r="A44" s="3">
        <v>38</v>
      </c>
      <c r="B44" s="4" t="s">
        <v>420</v>
      </c>
      <c r="C44" s="4" t="s">
        <v>421</v>
      </c>
      <c r="D44" s="4" t="s">
        <v>1154</v>
      </c>
      <c r="E44" s="5">
        <v>327065</v>
      </c>
      <c r="F44" s="6">
        <v>2222.2431425</v>
      </c>
      <c r="G44" s="7">
        <v>1.0943058E-2</v>
      </c>
      <c r="H44" s="39"/>
    </row>
    <row r="45" spans="1:8" x14ac:dyDescent="0.2">
      <c r="A45" s="3">
        <v>39</v>
      </c>
      <c r="B45" s="4" t="s">
        <v>459</v>
      </c>
      <c r="C45" s="4" t="s">
        <v>460</v>
      </c>
      <c r="D45" s="4" t="s">
        <v>71</v>
      </c>
      <c r="E45" s="5">
        <v>683975</v>
      </c>
      <c r="F45" s="6">
        <v>2197.2696875000001</v>
      </c>
      <c r="G45" s="7">
        <v>1.0820079999999999E-2</v>
      </c>
      <c r="H45" s="39"/>
    </row>
    <row r="46" spans="1:8" ht="25.5" x14ac:dyDescent="0.2">
      <c r="A46" s="3">
        <v>40</v>
      </c>
      <c r="B46" s="4" t="s">
        <v>258</v>
      </c>
      <c r="C46" s="4" t="s">
        <v>259</v>
      </c>
      <c r="D46" s="4" t="s">
        <v>1138</v>
      </c>
      <c r="E46" s="5">
        <v>350331</v>
      </c>
      <c r="F46" s="6">
        <v>2166.6220695000002</v>
      </c>
      <c r="G46" s="7">
        <v>1.0669161E-2</v>
      </c>
      <c r="H46" s="39"/>
    </row>
    <row r="47" spans="1:8" x14ac:dyDescent="0.2">
      <c r="A47" s="3">
        <v>41</v>
      </c>
      <c r="B47" s="4" t="s">
        <v>479</v>
      </c>
      <c r="C47" s="4" t="s">
        <v>480</v>
      </c>
      <c r="D47" s="4" t="s">
        <v>18</v>
      </c>
      <c r="E47" s="5">
        <v>1016082</v>
      </c>
      <c r="F47" s="6">
        <v>2145.4571430000001</v>
      </c>
      <c r="G47" s="7">
        <v>1.0564937999999999E-2</v>
      </c>
      <c r="H47" s="39"/>
    </row>
    <row r="48" spans="1:8" x14ac:dyDescent="0.2">
      <c r="A48" s="3">
        <v>42</v>
      </c>
      <c r="B48" s="4" t="s">
        <v>388</v>
      </c>
      <c r="C48" s="4" t="s">
        <v>389</v>
      </c>
      <c r="D48" s="4" t="s">
        <v>18</v>
      </c>
      <c r="E48" s="5">
        <v>144837</v>
      </c>
      <c r="F48" s="6">
        <v>2129.6108294999999</v>
      </c>
      <c r="G48" s="7">
        <v>1.0486906000000001E-2</v>
      </c>
      <c r="H48" s="39"/>
    </row>
    <row r="49" spans="1:8" x14ac:dyDescent="0.2">
      <c r="A49" s="3">
        <v>43</v>
      </c>
      <c r="B49" s="4" t="s">
        <v>343</v>
      </c>
      <c r="C49" s="4" t="s">
        <v>344</v>
      </c>
      <c r="D49" s="4" t="s">
        <v>1026</v>
      </c>
      <c r="E49" s="5">
        <v>80000</v>
      </c>
      <c r="F49" s="6">
        <v>2109.1999999999998</v>
      </c>
      <c r="G49" s="7">
        <v>1.0386396000000001E-2</v>
      </c>
      <c r="H49" s="39"/>
    </row>
    <row r="50" spans="1:8" x14ac:dyDescent="0.2">
      <c r="A50" s="3">
        <v>44</v>
      </c>
      <c r="B50" s="4" t="s">
        <v>241</v>
      </c>
      <c r="C50" s="4" t="s">
        <v>242</v>
      </c>
      <c r="D50" s="4" t="s">
        <v>1143</v>
      </c>
      <c r="E50" s="5">
        <v>44004</v>
      </c>
      <c r="F50" s="6">
        <v>2096.9226119999998</v>
      </c>
      <c r="G50" s="7">
        <v>1.0325938E-2</v>
      </c>
      <c r="H50" s="39"/>
    </row>
    <row r="51" spans="1:8" ht="25.5" x14ac:dyDescent="0.2">
      <c r="A51" s="3">
        <v>45</v>
      </c>
      <c r="B51" s="4" t="s">
        <v>335</v>
      </c>
      <c r="C51" s="4" t="s">
        <v>336</v>
      </c>
      <c r="D51" s="4" t="s">
        <v>1138</v>
      </c>
      <c r="E51" s="5">
        <v>61937</v>
      </c>
      <c r="F51" s="6">
        <v>2026.9812305</v>
      </c>
      <c r="G51" s="7">
        <v>9.9815240000000003E-3</v>
      </c>
      <c r="H51" s="39"/>
    </row>
    <row r="52" spans="1:8" x14ac:dyDescent="0.2">
      <c r="A52" s="3">
        <v>46</v>
      </c>
      <c r="B52" s="4" t="s">
        <v>465</v>
      </c>
      <c r="C52" s="4" t="s">
        <v>466</v>
      </c>
      <c r="D52" s="4" t="s">
        <v>71</v>
      </c>
      <c r="E52" s="5">
        <v>203161</v>
      </c>
      <c r="F52" s="6">
        <v>1979.8039450000001</v>
      </c>
      <c r="G52" s="7">
        <v>9.7492069999999993E-3</v>
      </c>
      <c r="H52" s="39"/>
    </row>
    <row r="53" spans="1:8" x14ac:dyDescent="0.2">
      <c r="A53" s="3">
        <v>47</v>
      </c>
      <c r="B53" s="4" t="s">
        <v>341</v>
      </c>
      <c r="C53" s="4" t="s">
        <v>342</v>
      </c>
      <c r="D53" s="4" t="s">
        <v>82</v>
      </c>
      <c r="E53" s="5">
        <v>312802</v>
      </c>
      <c r="F53" s="6">
        <v>1934.836771</v>
      </c>
      <c r="G53" s="7">
        <v>9.5277739999999993E-3</v>
      </c>
      <c r="H53" s="39"/>
    </row>
    <row r="54" spans="1:8" x14ac:dyDescent="0.2">
      <c r="A54" s="3">
        <v>48</v>
      </c>
      <c r="B54" s="4" t="s">
        <v>365</v>
      </c>
      <c r="C54" s="4" t="s">
        <v>366</v>
      </c>
      <c r="D54" s="4" t="s">
        <v>71</v>
      </c>
      <c r="E54" s="5">
        <v>314377</v>
      </c>
      <c r="F54" s="6">
        <v>1924.615994</v>
      </c>
      <c r="G54" s="7">
        <v>9.4774439999999998E-3</v>
      </c>
      <c r="H54" s="39"/>
    </row>
    <row r="55" spans="1:8" x14ac:dyDescent="0.2">
      <c r="A55" s="3">
        <v>49</v>
      </c>
      <c r="B55" s="4" t="s">
        <v>535</v>
      </c>
      <c r="C55" s="4" t="s">
        <v>536</v>
      </c>
      <c r="D55" s="4" t="s">
        <v>1155</v>
      </c>
      <c r="E55" s="5">
        <v>302696</v>
      </c>
      <c r="F55" s="6">
        <v>1884.4339480000001</v>
      </c>
      <c r="G55" s="7">
        <v>9.2795740000000005E-3</v>
      </c>
      <c r="H55" s="39"/>
    </row>
    <row r="56" spans="1:8" x14ac:dyDescent="0.2">
      <c r="A56" s="3">
        <v>50</v>
      </c>
      <c r="B56" s="4" t="s">
        <v>537</v>
      </c>
      <c r="C56" s="4" t="s">
        <v>538</v>
      </c>
      <c r="D56" s="4" t="s">
        <v>1156</v>
      </c>
      <c r="E56" s="5">
        <v>121785</v>
      </c>
      <c r="F56" s="6">
        <v>1828.1755275</v>
      </c>
      <c r="G56" s="7">
        <v>9.0025390000000004E-3</v>
      </c>
      <c r="H56" s="39"/>
    </row>
    <row r="57" spans="1:8" x14ac:dyDescent="0.2">
      <c r="A57" s="3">
        <v>51</v>
      </c>
      <c r="B57" s="4" t="s">
        <v>539</v>
      </c>
      <c r="C57" s="4" t="s">
        <v>540</v>
      </c>
      <c r="D57" s="4" t="s">
        <v>1154</v>
      </c>
      <c r="E57" s="5">
        <v>553006</v>
      </c>
      <c r="F57" s="6">
        <v>1812.200662</v>
      </c>
      <c r="G57" s="7">
        <v>8.9238730000000006E-3</v>
      </c>
      <c r="H57" s="39"/>
    </row>
    <row r="58" spans="1:8" ht="25.5" x14ac:dyDescent="0.2">
      <c r="A58" s="3">
        <v>52</v>
      </c>
      <c r="B58" s="4" t="s">
        <v>42</v>
      </c>
      <c r="C58" s="4" t="s">
        <v>43</v>
      </c>
      <c r="D58" s="4" t="s">
        <v>1150</v>
      </c>
      <c r="E58" s="5">
        <v>74011</v>
      </c>
      <c r="F58" s="6">
        <v>1799.429443</v>
      </c>
      <c r="G58" s="7">
        <v>8.8609840000000006E-3</v>
      </c>
      <c r="H58" s="39"/>
    </row>
    <row r="59" spans="1:8" x14ac:dyDescent="0.2">
      <c r="A59" s="3">
        <v>53</v>
      </c>
      <c r="B59" s="4" t="s">
        <v>541</v>
      </c>
      <c r="C59" s="4" t="s">
        <v>542</v>
      </c>
      <c r="D59" s="4" t="s">
        <v>1027</v>
      </c>
      <c r="E59" s="5">
        <v>42266</v>
      </c>
      <c r="F59" s="6">
        <v>1789.626972</v>
      </c>
      <c r="G59" s="7">
        <v>8.8127129999999998E-3</v>
      </c>
      <c r="H59" s="39"/>
    </row>
    <row r="60" spans="1:8" x14ac:dyDescent="0.2">
      <c r="A60" s="3">
        <v>54</v>
      </c>
      <c r="B60" s="4" t="s">
        <v>300</v>
      </c>
      <c r="C60" s="4" t="s">
        <v>301</v>
      </c>
      <c r="D60" s="4" t="s">
        <v>18</v>
      </c>
      <c r="E60" s="5">
        <v>229803</v>
      </c>
      <c r="F60" s="6">
        <v>1749.1455344999999</v>
      </c>
      <c r="G60" s="7">
        <v>8.6133689999999992E-3</v>
      </c>
      <c r="H60" s="39"/>
    </row>
    <row r="61" spans="1:8" x14ac:dyDescent="0.2">
      <c r="A61" s="3">
        <v>55</v>
      </c>
      <c r="B61" s="4" t="s">
        <v>375</v>
      </c>
      <c r="C61" s="4" t="s">
        <v>376</v>
      </c>
      <c r="D61" s="4" t="s">
        <v>71</v>
      </c>
      <c r="E61" s="5">
        <v>167736</v>
      </c>
      <c r="F61" s="6">
        <v>1709.7330480000001</v>
      </c>
      <c r="G61" s="7">
        <v>8.4192889999999999E-3</v>
      </c>
      <c r="H61" s="39"/>
    </row>
    <row r="62" spans="1:8" x14ac:dyDescent="0.2">
      <c r="A62" s="3">
        <v>56</v>
      </c>
      <c r="B62" s="4" t="s">
        <v>543</v>
      </c>
      <c r="C62" s="4" t="s">
        <v>544</v>
      </c>
      <c r="D62" s="4" t="s">
        <v>1144</v>
      </c>
      <c r="E62" s="5">
        <v>185000</v>
      </c>
      <c r="F62" s="6">
        <v>1642.7075</v>
      </c>
      <c r="G62" s="7">
        <v>8.0892329999999995E-3</v>
      </c>
      <c r="H62" s="39"/>
    </row>
    <row r="63" spans="1:8" x14ac:dyDescent="0.2">
      <c r="A63" s="3">
        <v>57</v>
      </c>
      <c r="B63" s="4" t="s">
        <v>545</v>
      </c>
      <c r="C63" s="4" t="s">
        <v>546</v>
      </c>
      <c r="D63" s="4" t="s">
        <v>1146</v>
      </c>
      <c r="E63" s="5">
        <v>158521</v>
      </c>
      <c r="F63" s="6">
        <v>1615.0119480000001</v>
      </c>
      <c r="G63" s="7">
        <v>7.9528510000000004E-3</v>
      </c>
      <c r="H63" s="39"/>
    </row>
    <row r="64" spans="1:8" ht="25.5" x14ac:dyDescent="0.2">
      <c r="A64" s="3">
        <v>58</v>
      </c>
      <c r="B64" s="4" t="s">
        <v>216</v>
      </c>
      <c r="C64" s="4" t="s">
        <v>217</v>
      </c>
      <c r="D64" s="4" t="s">
        <v>1138</v>
      </c>
      <c r="E64" s="5">
        <v>40215</v>
      </c>
      <c r="F64" s="6">
        <v>1609.5651600000001</v>
      </c>
      <c r="G64" s="7">
        <v>7.9260289999999994E-3</v>
      </c>
      <c r="H64" s="39"/>
    </row>
    <row r="65" spans="1:8" x14ac:dyDescent="0.2">
      <c r="A65" s="3">
        <v>59</v>
      </c>
      <c r="B65" s="4" t="s">
        <v>547</v>
      </c>
      <c r="C65" s="4" t="s">
        <v>548</v>
      </c>
      <c r="D65" s="4" t="s">
        <v>60</v>
      </c>
      <c r="E65" s="5">
        <v>554569</v>
      </c>
      <c r="F65" s="6">
        <v>1575.8078135000001</v>
      </c>
      <c r="G65" s="7">
        <v>7.7597969999999997E-3</v>
      </c>
      <c r="H65" s="39"/>
    </row>
    <row r="66" spans="1:8" x14ac:dyDescent="0.2">
      <c r="A66" s="3">
        <v>60</v>
      </c>
      <c r="B66" s="4" t="s">
        <v>58</v>
      </c>
      <c r="C66" s="4" t="s">
        <v>59</v>
      </c>
      <c r="D66" s="4" t="s">
        <v>60</v>
      </c>
      <c r="E66" s="5">
        <v>607033</v>
      </c>
      <c r="F66" s="6">
        <v>1573.1260195</v>
      </c>
      <c r="G66" s="7">
        <v>7.7465909999999997E-3</v>
      </c>
      <c r="H66" s="39"/>
    </row>
    <row r="67" spans="1:8" x14ac:dyDescent="0.2">
      <c r="A67" s="3">
        <v>61</v>
      </c>
      <c r="B67" s="4" t="s">
        <v>549</v>
      </c>
      <c r="C67" s="4" t="s">
        <v>550</v>
      </c>
      <c r="D67" s="4" t="s">
        <v>253</v>
      </c>
      <c r="E67" s="5">
        <v>94501</v>
      </c>
      <c r="F67" s="6">
        <v>1504.3614190000001</v>
      </c>
      <c r="G67" s="7">
        <v>7.4079719999999996E-3</v>
      </c>
      <c r="H67" s="39"/>
    </row>
    <row r="68" spans="1:8" ht="25.5" x14ac:dyDescent="0.2">
      <c r="A68" s="3">
        <v>62</v>
      </c>
      <c r="B68" s="4" t="s">
        <v>188</v>
      </c>
      <c r="C68" s="4" t="s">
        <v>189</v>
      </c>
      <c r="D68" s="4" t="s">
        <v>1158</v>
      </c>
      <c r="E68" s="5">
        <v>227636</v>
      </c>
      <c r="F68" s="6">
        <v>1500.235058</v>
      </c>
      <c r="G68" s="7">
        <v>7.3876519999999998E-3</v>
      </c>
      <c r="H68" s="39"/>
    </row>
    <row r="69" spans="1:8" ht="25.5" x14ac:dyDescent="0.2">
      <c r="A69" s="3">
        <v>63</v>
      </c>
      <c r="B69" s="4" t="s">
        <v>551</v>
      </c>
      <c r="C69" s="4" t="s">
        <v>552</v>
      </c>
      <c r="D69" s="4" t="s">
        <v>1153</v>
      </c>
      <c r="E69" s="5">
        <v>181328</v>
      </c>
      <c r="F69" s="6">
        <v>1494.9586959999999</v>
      </c>
      <c r="G69" s="7">
        <v>7.3616690000000004E-3</v>
      </c>
      <c r="H69" s="39"/>
    </row>
    <row r="70" spans="1:8" x14ac:dyDescent="0.2">
      <c r="A70" s="3">
        <v>64</v>
      </c>
      <c r="B70" s="4" t="s">
        <v>553</v>
      </c>
      <c r="C70" s="4" t="s">
        <v>554</v>
      </c>
      <c r="D70" s="4" t="s">
        <v>1143</v>
      </c>
      <c r="E70" s="5">
        <v>15000</v>
      </c>
      <c r="F70" s="6">
        <v>1326.0225</v>
      </c>
      <c r="G70" s="7">
        <v>6.5297719999999997E-3</v>
      </c>
      <c r="H70" s="39"/>
    </row>
    <row r="71" spans="1:8" x14ac:dyDescent="0.2">
      <c r="A71" s="3">
        <v>65</v>
      </c>
      <c r="B71" s="4" t="s">
        <v>430</v>
      </c>
      <c r="C71" s="4" t="s">
        <v>431</v>
      </c>
      <c r="D71" s="4" t="s">
        <v>29</v>
      </c>
      <c r="E71" s="5">
        <v>179969</v>
      </c>
      <c r="F71" s="6">
        <v>1313.8636845000001</v>
      </c>
      <c r="G71" s="7">
        <v>6.469898E-3</v>
      </c>
      <c r="H71" s="39"/>
    </row>
    <row r="72" spans="1:8" x14ac:dyDescent="0.2">
      <c r="A72" s="3">
        <v>66</v>
      </c>
      <c r="B72" s="4" t="s">
        <v>555</v>
      </c>
      <c r="C72" s="4" t="s">
        <v>556</v>
      </c>
      <c r="D72" s="4" t="s">
        <v>1160</v>
      </c>
      <c r="E72" s="5">
        <v>335495</v>
      </c>
      <c r="F72" s="6">
        <v>1271.3583025</v>
      </c>
      <c r="G72" s="7">
        <v>6.2605869999999997E-3</v>
      </c>
      <c r="H72" s="39"/>
    </row>
    <row r="73" spans="1:8" x14ac:dyDescent="0.2">
      <c r="A73" s="3">
        <v>67</v>
      </c>
      <c r="B73" s="4" t="s">
        <v>266</v>
      </c>
      <c r="C73" s="4" t="s">
        <v>267</v>
      </c>
      <c r="D73" s="4" t="s">
        <v>1155</v>
      </c>
      <c r="E73" s="5">
        <v>762760</v>
      </c>
      <c r="F73" s="6">
        <v>1147.9538</v>
      </c>
      <c r="G73" s="7">
        <v>5.6529029999999999E-3</v>
      </c>
      <c r="H73" s="39"/>
    </row>
    <row r="74" spans="1:8" ht="25.5" x14ac:dyDescent="0.2">
      <c r="A74" s="3">
        <v>68</v>
      </c>
      <c r="B74" s="4" t="s">
        <v>557</v>
      </c>
      <c r="C74" s="4" t="s">
        <v>558</v>
      </c>
      <c r="D74" s="4" t="s">
        <v>1153</v>
      </c>
      <c r="E74" s="5">
        <v>40053</v>
      </c>
      <c r="F74" s="6">
        <v>1147.2781319999999</v>
      </c>
      <c r="G74" s="7">
        <v>5.6495759999999999E-3</v>
      </c>
      <c r="H74" s="39"/>
    </row>
    <row r="75" spans="1:8" x14ac:dyDescent="0.2">
      <c r="A75" s="3">
        <v>69</v>
      </c>
      <c r="B75" s="4" t="s">
        <v>559</v>
      </c>
      <c r="C75" s="4" t="s">
        <v>560</v>
      </c>
      <c r="D75" s="4" t="s">
        <v>71</v>
      </c>
      <c r="E75" s="5">
        <v>20905</v>
      </c>
      <c r="F75" s="6">
        <v>1039.4906725000001</v>
      </c>
      <c r="G75" s="7">
        <v>5.1187949999999998E-3</v>
      </c>
      <c r="H75" s="39"/>
    </row>
    <row r="76" spans="1:8" x14ac:dyDescent="0.2">
      <c r="A76" s="3">
        <v>70</v>
      </c>
      <c r="B76" s="4" t="s">
        <v>180</v>
      </c>
      <c r="C76" s="4" t="s">
        <v>181</v>
      </c>
      <c r="D76" s="4" t="s">
        <v>1156</v>
      </c>
      <c r="E76" s="5">
        <v>318046</v>
      </c>
      <c r="F76" s="6">
        <v>1018.542315</v>
      </c>
      <c r="G76" s="7">
        <v>5.0156380000000002E-3</v>
      </c>
      <c r="H76" s="39"/>
    </row>
    <row r="77" spans="1:8" x14ac:dyDescent="0.2">
      <c r="A77" s="3">
        <v>71</v>
      </c>
      <c r="B77" s="4" t="s">
        <v>438</v>
      </c>
      <c r="C77" s="4" t="s">
        <v>439</v>
      </c>
      <c r="D77" s="4" t="s">
        <v>1140</v>
      </c>
      <c r="E77" s="5">
        <v>58528</v>
      </c>
      <c r="F77" s="6">
        <v>998.63400000000001</v>
      </c>
      <c r="G77" s="7">
        <v>4.9176030000000004E-3</v>
      </c>
      <c r="H77" s="39"/>
    </row>
    <row r="78" spans="1:8" x14ac:dyDescent="0.2">
      <c r="A78" s="3">
        <v>72</v>
      </c>
      <c r="B78" s="4" t="s">
        <v>561</v>
      </c>
      <c r="C78" s="4" t="s">
        <v>562</v>
      </c>
      <c r="D78" s="4" t="s">
        <v>71</v>
      </c>
      <c r="E78" s="5">
        <v>132900</v>
      </c>
      <c r="F78" s="6">
        <v>990.96884999999997</v>
      </c>
      <c r="G78" s="7">
        <v>4.8798569999999996E-3</v>
      </c>
      <c r="H78" s="39"/>
    </row>
    <row r="79" spans="1:8" ht="25.5" x14ac:dyDescent="0.2">
      <c r="A79" s="3">
        <v>73</v>
      </c>
      <c r="B79" s="4" t="s">
        <v>563</v>
      </c>
      <c r="C79" s="4" t="s">
        <v>564</v>
      </c>
      <c r="D79" s="4" t="s">
        <v>1153</v>
      </c>
      <c r="E79" s="5">
        <v>34845</v>
      </c>
      <c r="F79" s="6">
        <v>974.440425</v>
      </c>
      <c r="G79" s="7">
        <v>4.7984660000000004E-3</v>
      </c>
      <c r="H79" s="39"/>
    </row>
    <row r="80" spans="1:8" x14ac:dyDescent="0.2">
      <c r="A80" s="3">
        <v>74</v>
      </c>
      <c r="B80" s="4" t="s">
        <v>565</v>
      </c>
      <c r="C80" s="4" t="s">
        <v>566</v>
      </c>
      <c r="D80" s="4" t="s">
        <v>21</v>
      </c>
      <c r="E80" s="5">
        <v>56721</v>
      </c>
      <c r="F80" s="6">
        <v>874.80798300000004</v>
      </c>
      <c r="G80" s="7">
        <v>4.3078429999999996E-3</v>
      </c>
      <c r="H80" s="39"/>
    </row>
    <row r="81" spans="1:8" x14ac:dyDescent="0.2">
      <c r="A81" s="3">
        <v>75</v>
      </c>
      <c r="B81" s="4" t="s">
        <v>567</v>
      </c>
      <c r="C81" s="4" t="s">
        <v>568</v>
      </c>
      <c r="D81" s="4" t="s">
        <v>71</v>
      </c>
      <c r="E81" s="5">
        <v>74419</v>
      </c>
      <c r="F81" s="6">
        <v>615.25908249999998</v>
      </c>
      <c r="G81" s="7">
        <v>3.029739E-3</v>
      </c>
      <c r="H81" s="39"/>
    </row>
    <row r="82" spans="1:8" x14ac:dyDescent="0.2">
      <c r="A82" s="3">
        <v>76</v>
      </c>
      <c r="B82" s="4" t="s">
        <v>569</v>
      </c>
      <c r="C82" s="4" t="s">
        <v>570</v>
      </c>
      <c r="D82" s="4" t="s">
        <v>1149</v>
      </c>
      <c r="E82" s="5">
        <v>36660</v>
      </c>
      <c r="F82" s="6">
        <v>600.60077999999999</v>
      </c>
      <c r="G82" s="7">
        <v>2.9575560000000001E-3</v>
      </c>
      <c r="H82" s="39"/>
    </row>
    <row r="83" spans="1:8" x14ac:dyDescent="0.2">
      <c r="A83" s="3">
        <v>77</v>
      </c>
      <c r="B83" s="4" t="s">
        <v>571</v>
      </c>
      <c r="C83" s="4" t="s">
        <v>572</v>
      </c>
      <c r="D83" s="4" t="s">
        <v>253</v>
      </c>
      <c r="E83" s="5">
        <v>28561</v>
      </c>
      <c r="F83" s="6">
        <v>581.43055749999996</v>
      </c>
      <c r="G83" s="7">
        <v>2.8631559999999999E-3</v>
      </c>
      <c r="H83" s="39"/>
    </row>
    <row r="84" spans="1:8" x14ac:dyDescent="0.2">
      <c r="A84" s="3">
        <v>78</v>
      </c>
      <c r="B84" s="4" t="s">
        <v>573</v>
      </c>
      <c r="C84" s="4" t="s">
        <v>574</v>
      </c>
      <c r="D84" s="4" t="s">
        <v>308</v>
      </c>
      <c r="E84" s="5">
        <v>39868</v>
      </c>
      <c r="F84" s="6">
        <v>385.503626</v>
      </c>
      <c r="G84" s="7">
        <v>1.8983470000000001E-3</v>
      </c>
      <c r="H84" s="39"/>
    </row>
    <row r="85" spans="1:8" x14ac:dyDescent="0.2">
      <c r="A85" s="3">
        <v>79</v>
      </c>
      <c r="B85" s="4" t="s">
        <v>92</v>
      </c>
      <c r="C85" s="4" t="s">
        <v>93</v>
      </c>
      <c r="D85" s="4" t="s">
        <v>60</v>
      </c>
      <c r="E85" s="5">
        <v>232914</v>
      </c>
      <c r="F85" s="6">
        <v>255.04083</v>
      </c>
      <c r="G85" s="7">
        <v>1.2559050000000001E-3</v>
      </c>
      <c r="H85" s="39"/>
    </row>
    <row r="86" spans="1:8" x14ac:dyDescent="0.2">
      <c r="A86" s="3">
        <v>80</v>
      </c>
      <c r="B86" s="4" t="s">
        <v>471</v>
      </c>
      <c r="C86" s="4" t="s">
        <v>472</v>
      </c>
      <c r="D86" s="4" t="s">
        <v>1140</v>
      </c>
      <c r="E86" s="5">
        <v>18143</v>
      </c>
      <c r="F86" s="6">
        <v>108.69471299999999</v>
      </c>
      <c r="G86" s="7">
        <v>5.3524900000000001E-4</v>
      </c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9">
        <v>196721.63124549994</v>
      </c>
      <c r="G87" s="10">
        <v>0.96872216600000027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113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114</v>
      </c>
      <c r="D92" s="1"/>
      <c r="E92" s="1"/>
      <c r="F92" s="1"/>
      <c r="G92" s="1"/>
      <c r="H92" s="39"/>
    </row>
    <row r="93" spans="1:8" x14ac:dyDescent="0.2">
      <c r="A93" s="3">
        <v>1</v>
      </c>
      <c r="B93" s="4" t="s">
        <v>108</v>
      </c>
      <c r="C93" s="37" t="s">
        <v>1022</v>
      </c>
      <c r="D93" s="4" t="s">
        <v>109</v>
      </c>
      <c r="E93" s="5">
        <v>375961</v>
      </c>
      <c r="F93" s="6">
        <v>7.5190000000000003E-6</v>
      </c>
      <c r="G93" s="8" t="s">
        <v>110</v>
      </c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115</v>
      </c>
      <c r="D96" s="1"/>
      <c r="E96" s="1"/>
      <c r="F96" s="1"/>
      <c r="G96" s="1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2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118</v>
      </c>
      <c r="D105" s="1"/>
      <c r="E105" s="1"/>
      <c r="F105" s="9">
        <v>196721.631253019</v>
      </c>
      <c r="G105" s="10">
        <v>0.96872216600000005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119</v>
      </c>
      <c r="D107" s="1"/>
      <c r="E107" s="1"/>
      <c r="F107" s="12"/>
      <c r="G107" s="12"/>
      <c r="H107" s="39"/>
    </row>
    <row r="108" spans="1:8" ht="25.5" x14ac:dyDescent="0.2">
      <c r="A108" s="1"/>
      <c r="B108" s="1"/>
      <c r="C108" s="2" t="s">
        <v>10</v>
      </c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120</v>
      </c>
      <c r="D111" s="1"/>
      <c r="E111" s="1"/>
      <c r="F111" s="1"/>
      <c r="G111" s="1"/>
      <c r="H111" s="39"/>
    </row>
    <row r="112" spans="1:8" x14ac:dyDescent="0.2">
      <c r="A112" s="1"/>
      <c r="B112" s="1"/>
      <c r="C112" s="2" t="s">
        <v>111</v>
      </c>
      <c r="D112" s="1"/>
      <c r="E112" s="1" t="s">
        <v>112</v>
      </c>
      <c r="F112" s="13">
        <v>0</v>
      </c>
      <c r="G112" s="14">
        <v>0</v>
      </c>
      <c r="H112" s="39"/>
    </row>
    <row r="113" spans="1:8" x14ac:dyDescent="0.2">
      <c r="A113" s="1"/>
      <c r="B113" s="1"/>
      <c r="C113" s="11"/>
      <c r="D113" s="1"/>
      <c r="E113" s="1"/>
      <c r="F113" s="12"/>
      <c r="G113" s="12"/>
      <c r="H113" s="39"/>
    </row>
    <row r="114" spans="1:8" x14ac:dyDescent="0.2">
      <c r="A114" s="1"/>
      <c r="B114" s="1"/>
      <c r="C114" s="2" t="s">
        <v>121</v>
      </c>
      <c r="D114" s="1"/>
      <c r="E114" s="1"/>
      <c r="F114" s="1"/>
      <c r="G114" s="1"/>
      <c r="H114" s="39"/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122</v>
      </c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123</v>
      </c>
      <c r="D120" s="1"/>
      <c r="E120" s="1"/>
      <c r="F120" s="9">
        <v>0</v>
      </c>
      <c r="G120" s="10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124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125</v>
      </c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x14ac:dyDescent="0.2">
      <c r="A126" s="1"/>
      <c r="B126" s="1"/>
      <c r="C126" s="2" t="s">
        <v>126</v>
      </c>
      <c r="D126" s="1"/>
      <c r="E126" s="1"/>
      <c r="F126" s="12"/>
      <c r="G126" s="12"/>
      <c r="H126" s="39"/>
    </row>
    <row r="127" spans="1:8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8" x14ac:dyDescent="0.2">
      <c r="A129" s="1"/>
      <c r="B129" s="1"/>
      <c r="C129" s="2" t="s">
        <v>127</v>
      </c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1"/>
      <c r="C132" s="2" t="s">
        <v>128</v>
      </c>
      <c r="D132" s="1"/>
      <c r="E132" s="1"/>
      <c r="F132" s="12"/>
      <c r="G132" s="12"/>
      <c r="H132" s="39"/>
    </row>
    <row r="133" spans="1:8" x14ac:dyDescent="0.2">
      <c r="A133" s="3">
        <v>1</v>
      </c>
      <c r="B133" s="4"/>
      <c r="C133" s="4" t="s">
        <v>129</v>
      </c>
      <c r="D133" s="4"/>
      <c r="E133" s="8"/>
      <c r="F133" s="6">
        <v>4796.0180297999996</v>
      </c>
      <c r="G133" s="7">
        <v>2.3617174000000001E-2</v>
      </c>
      <c r="H133" s="39">
        <v>3.6151121728634927</v>
      </c>
    </row>
    <row r="134" spans="1:8" x14ac:dyDescent="0.2">
      <c r="A134" s="3">
        <v>2</v>
      </c>
      <c r="B134" s="4"/>
      <c r="C134" s="4" t="s">
        <v>130</v>
      </c>
      <c r="D134" s="4"/>
      <c r="E134" s="8"/>
      <c r="F134" s="6">
        <v>1695.7617261</v>
      </c>
      <c r="G134" s="7">
        <v>8.3504900000000003E-3</v>
      </c>
      <c r="H134" s="39">
        <v>3.7142625760646584</v>
      </c>
    </row>
    <row r="135" spans="1:8" x14ac:dyDescent="0.2">
      <c r="A135" s="1"/>
      <c r="B135" s="1"/>
      <c r="C135" s="2" t="s">
        <v>111</v>
      </c>
      <c r="D135" s="1"/>
      <c r="E135" s="1" t="s">
        <v>112</v>
      </c>
      <c r="F135" s="9">
        <v>6491.7797559000001</v>
      </c>
      <c r="G135" s="10">
        <v>3.1967664E-2</v>
      </c>
      <c r="H135" s="39"/>
    </row>
    <row r="136" spans="1:8" x14ac:dyDescent="0.2">
      <c r="A136" s="1"/>
      <c r="B136" s="1"/>
      <c r="C136" s="11"/>
      <c r="D136" s="1"/>
      <c r="E136" s="1"/>
      <c r="F136" s="12"/>
      <c r="G136" s="12"/>
      <c r="H136" s="39"/>
    </row>
    <row r="137" spans="1:8" x14ac:dyDescent="0.2">
      <c r="A137" s="1"/>
      <c r="B137" s="1"/>
      <c r="C137" s="2" t="s">
        <v>131</v>
      </c>
      <c r="D137" s="1"/>
      <c r="E137" s="1"/>
      <c r="F137" s="9">
        <v>6491.7797559000001</v>
      </c>
      <c r="G137" s="10">
        <v>3.1967664E-2</v>
      </c>
      <c r="H137" s="39"/>
    </row>
    <row r="138" spans="1:8" x14ac:dyDescent="0.2">
      <c r="A138" s="1"/>
      <c r="B138" s="1"/>
      <c r="C138" s="12"/>
      <c r="D138" s="1"/>
      <c r="E138" s="1"/>
      <c r="F138" s="1"/>
      <c r="G138" s="1"/>
      <c r="H138" s="39"/>
    </row>
    <row r="139" spans="1:8" x14ac:dyDescent="0.2">
      <c r="A139" s="1"/>
      <c r="B139" s="1"/>
      <c r="C139" s="2" t="s">
        <v>132</v>
      </c>
      <c r="D139" s="1"/>
      <c r="E139" s="1"/>
      <c r="F139" s="1"/>
      <c r="G139" s="1"/>
      <c r="H139" s="39"/>
    </row>
    <row r="140" spans="1:8" x14ac:dyDescent="0.2">
      <c r="A140" s="1"/>
      <c r="B140" s="1"/>
      <c r="C140" s="2" t="s">
        <v>133</v>
      </c>
      <c r="D140" s="1"/>
      <c r="E140" s="1"/>
      <c r="F140" s="1"/>
      <c r="G140" s="1"/>
      <c r="H140" s="39"/>
    </row>
    <row r="141" spans="1:8" x14ac:dyDescent="0.2">
      <c r="A141" s="1"/>
      <c r="B141" s="1"/>
      <c r="C141" s="2" t="s">
        <v>111</v>
      </c>
      <c r="D141" s="1"/>
      <c r="E141" s="1" t="s">
        <v>112</v>
      </c>
      <c r="F141" s="13">
        <v>0</v>
      </c>
      <c r="G141" s="14">
        <v>0</v>
      </c>
      <c r="H141" s="39"/>
    </row>
    <row r="142" spans="1:8" x14ac:dyDescent="0.2">
      <c r="A142" s="1"/>
      <c r="B142" s="1"/>
      <c r="C142" s="11"/>
      <c r="D142" s="1"/>
      <c r="E142" s="1"/>
      <c r="F142" s="12"/>
      <c r="G142" s="12"/>
      <c r="H142" s="39"/>
    </row>
    <row r="143" spans="1:8" x14ac:dyDescent="0.2">
      <c r="A143" s="1"/>
      <c r="B143" s="1"/>
      <c r="C143" s="2" t="s">
        <v>134</v>
      </c>
      <c r="D143" s="1"/>
      <c r="E143" s="1"/>
      <c r="F143" s="1"/>
      <c r="G143" s="1"/>
      <c r="H143" s="39"/>
    </row>
    <row r="144" spans="1:8" x14ac:dyDescent="0.2">
      <c r="A144" s="1"/>
      <c r="B144" s="1"/>
      <c r="C144" s="2" t="s">
        <v>135</v>
      </c>
      <c r="D144" s="1"/>
      <c r="E144" s="1"/>
      <c r="F144" s="1"/>
      <c r="G144" s="1"/>
      <c r="H144" s="39"/>
    </row>
    <row r="145" spans="1:15" x14ac:dyDescent="0.2">
      <c r="A145" s="1"/>
      <c r="B145" s="1"/>
      <c r="C145" s="2" t="s">
        <v>111</v>
      </c>
      <c r="D145" s="1"/>
      <c r="E145" s="1" t="s">
        <v>112</v>
      </c>
      <c r="F145" s="13">
        <v>0</v>
      </c>
      <c r="G145" s="14">
        <v>0</v>
      </c>
      <c r="H145" s="39"/>
    </row>
    <row r="146" spans="1:15" x14ac:dyDescent="0.2">
      <c r="A146" s="1"/>
      <c r="B146" s="1"/>
      <c r="C146" s="11"/>
      <c r="D146" s="1"/>
      <c r="E146" s="1"/>
      <c r="F146" s="12"/>
      <c r="G146" s="12"/>
      <c r="H146" s="39"/>
    </row>
    <row r="147" spans="1:15" x14ac:dyDescent="0.2">
      <c r="A147" s="1"/>
      <c r="B147" s="1"/>
      <c r="C147" s="11"/>
      <c r="D147" s="1"/>
      <c r="E147" s="1"/>
      <c r="F147" s="12"/>
      <c r="G147" s="12"/>
      <c r="H147" s="39"/>
    </row>
    <row r="148" spans="1:15" ht="25.5" x14ac:dyDescent="0.2">
      <c r="A148" s="1"/>
      <c r="B148" s="1"/>
      <c r="C148" s="2" t="s">
        <v>136</v>
      </c>
      <c r="D148" s="1"/>
      <c r="E148" s="1"/>
      <c r="F148" s="12"/>
      <c r="G148" s="12"/>
      <c r="H148" s="39"/>
    </row>
    <row r="149" spans="1:15" x14ac:dyDescent="0.2">
      <c r="A149" s="1"/>
      <c r="B149" s="1"/>
      <c r="C149" s="2" t="s">
        <v>111</v>
      </c>
      <c r="D149" s="1"/>
      <c r="E149" s="1" t="s">
        <v>112</v>
      </c>
      <c r="F149" s="13">
        <v>0</v>
      </c>
      <c r="G149" s="14">
        <v>0</v>
      </c>
      <c r="H149" s="39"/>
    </row>
    <row r="150" spans="1:15" x14ac:dyDescent="0.2">
      <c r="A150" s="1"/>
      <c r="B150" s="1"/>
      <c r="C150" s="11"/>
      <c r="D150" s="1"/>
      <c r="E150" s="1"/>
      <c r="F150" s="12"/>
      <c r="G150" s="12"/>
      <c r="H150" s="39"/>
    </row>
    <row r="151" spans="1:15" x14ac:dyDescent="0.2">
      <c r="A151" s="1"/>
      <c r="B151" s="4"/>
      <c r="C151" s="4"/>
      <c r="D151" s="2"/>
      <c r="E151" s="1"/>
      <c r="F151" s="4"/>
      <c r="G151" s="8"/>
      <c r="H151" s="39"/>
    </row>
    <row r="152" spans="1:15" x14ac:dyDescent="0.2">
      <c r="A152" s="8"/>
      <c r="B152" s="4"/>
      <c r="C152" s="4" t="s">
        <v>137</v>
      </c>
      <c r="D152" s="4"/>
      <c r="E152" s="8"/>
      <c r="F152" s="6">
        <v>-140.08591028000001</v>
      </c>
      <c r="G152" s="7">
        <v>-6.8982899999999998E-4</v>
      </c>
      <c r="H152" s="39"/>
    </row>
    <row r="153" spans="1:15" x14ac:dyDescent="0.2">
      <c r="A153" s="11"/>
      <c r="B153" s="11"/>
      <c r="C153" s="2" t="s">
        <v>138</v>
      </c>
      <c r="D153" s="15"/>
      <c r="E153" s="15"/>
      <c r="F153" s="9">
        <v>203073.325098639</v>
      </c>
      <c r="G153" s="10">
        <f>+G152+G137+G105</f>
        <v>1.0000000010000001</v>
      </c>
      <c r="H153" s="39"/>
    </row>
    <row r="154" spans="1:15" ht="14.1" customHeight="1" x14ac:dyDescent="0.2">
      <c r="A154" s="16"/>
      <c r="B154" s="16"/>
      <c r="C154" s="16"/>
      <c r="D154" s="17"/>
      <c r="E154" s="17"/>
      <c r="F154" s="17"/>
      <c r="G154" s="17"/>
    </row>
    <row r="155" spans="1:15" ht="17.100000000000001" customHeight="1" x14ac:dyDescent="0.2">
      <c r="A155" s="18"/>
      <c r="B155" s="197" t="s">
        <v>139</v>
      </c>
      <c r="C155" s="197"/>
      <c r="D155" s="197"/>
      <c r="E155" s="197"/>
      <c r="F155" s="197"/>
      <c r="G155" s="20"/>
    </row>
    <row r="156" spans="1:15" ht="14.1" customHeight="1" x14ac:dyDescent="0.2">
      <c r="A156" s="18"/>
      <c r="B156" s="18"/>
      <c r="C156" s="18"/>
      <c r="D156" s="20"/>
      <c r="E156" s="20"/>
      <c r="F156" s="20"/>
      <c r="G156" s="20"/>
    </row>
    <row r="157" spans="1:15" ht="14.1" customHeight="1" x14ac:dyDescent="0.2">
      <c r="A157" s="18"/>
      <c r="B157" s="194" t="s">
        <v>140</v>
      </c>
      <c r="C157" s="195"/>
      <c r="D157" s="12" t="s">
        <v>112</v>
      </c>
      <c r="E157" s="21"/>
      <c r="F157" s="20"/>
      <c r="G157" s="20"/>
      <c r="J157" s="101"/>
      <c r="K157" s="101"/>
      <c r="L157" s="101"/>
      <c r="M157" s="101"/>
      <c r="N157" s="101"/>
      <c r="O157" s="101"/>
    </row>
    <row r="158" spans="1:15" ht="29.1" customHeight="1" x14ac:dyDescent="0.2">
      <c r="A158" s="18"/>
      <c r="B158" s="189" t="s">
        <v>141</v>
      </c>
      <c r="C158" s="190"/>
      <c r="D158" s="2" t="s">
        <v>142</v>
      </c>
      <c r="E158" s="21"/>
      <c r="F158" s="20"/>
      <c r="G158" s="20"/>
    </row>
    <row r="159" spans="1:15" ht="17.100000000000001" customHeight="1" x14ac:dyDescent="0.2">
      <c r="A159" s="18"/>
      <c r="B159" s="191" t="s">
        <v>1023</v>
      </c>
      <c r="C159" s="192"/>
      <c r="D159" s="45" t="s">
        <v>1014</v>
      </c>
      <c r="E159" s="21"/>
      <c r="F159" s="20"/>
      <c r="G159" s="20"/>
    </row>
    <row r="160" spans="1:15" ht="17.100000000000001" customHeight="1" x14ac:dyDescent="0.2">
      <c r="A160" s="18"/>
      <c r="B160" s="189" t="s">
        <v>144</v>
      </c>
      <c r="C160" s="190"/>
      <c r="D160" s="12" t="s">
        <v>112</v>
      </c>
      <c r="E160" s="21"/>
      <c r="F160" s="20"/>
      <c r="G160" s="20"/>
    </row>
    <row r="161" spans="1:17" ht="24" customHeight="1" x14ac:dyDescent="0.2">
      <c r="A161" s="22"/>
      <c r="B161" s="23" t="s">
        <v>112</v>
      </c>
      <c r="C161" s="23" t="s">
        <v>145</v>
      </c>
      <c r="D161" s="23" t="s">
        <v>146</v>
      </c>
      <c r="E161" s="22"/>
      <c r="F161" s="22"/>
      <c r="G161" s="22"/>
    </row>
    <row r="162" spans="1:17" ht="18" customHeight="1" x14ac:dyDescent="0.2">
      <c r="A162" s="22"/>
      <c r="B162" s="23" t="s">
        <v>147</v>
      </c>
      <c r="C162" s="23" t="s">
        <v>148</v>
      </c>
      <c r="D162" s="23" t="s">
        <v>149</v>
      </c>
      <c r="E162" s="22"/>
      <c r="F162" s="22"/>
      <c r="G162" s="22"/>
    </row>
    <row r="163" spans="1:17" ht="17.100000000000001" customHeight="1" x14ac:dyDescent="0.2">
      <c r="A163" s="22"/>
      <c r="B163" s="4" t="s">
        <v>150</v>
      </c>
      <c r="C163" s="24">
        <v>147.32640000000001</v>
      </c>
      <c r="D163" s="24">
        <v>155.46299999999999</v>
      </c>
      <c r="E163" s="22"/>
      <c r="F163" s="19"/>
      <c r="G163" s="25"/>
    </row>
    <row r="164" spans="1:17" ht="17.100000000000001" customHeight="1" x14ac:dyDescent="0.2">
      <c r="A164" s="22"/>
      <c r="B164" s="4" t="s">
        <v>1092</v>
      </c>
      <c r="C164" s="24">
        <v>25.819600000000001</v>
      </c>
      <c r="D164" s="24">
        <v>27.245999999999999</v>
      </c>
      <c r="E164" s="22"/>
      <c r="F164" s="19"/>
      <c r="G164" s="25"/>
    </row>
    <row r="165" spans="1:17" ht="17.100000000000001" customHeight="1" x14ac:dyDescent="0.2">
      <c r="A165" s="22"/>
      <c r="B165" s="4" t="s">
        <v>151</v>
      </c>
      <c r="C165" s="24">
        <v>138.2689</v>
      </c>
      <c r="D165" s="24">
        <v>145.7535</v>
      </c>
      <c r="E165" s="22"/>
      <c r="F165" s="19"/>
      <c r="G165" s="25"/>
    </row>
    <row r="166" spans="1:17" ht="17.100000000000001" customHeight="1" x14ac:dyDescent="0.2">
      <c r="A166" s="22"/>
      <c r="B166" s="4" t="s">
        <v>1093</v>
      </c>
      <c r="C166" s="24">
        <v>23.584</v>
      </c>
      <c r="D166" s="24">
        <v>24.860700000000001</v>
      </c>
      <c r="E166" s="22"/>
      <c r="F166" s="19"/>
      <c r="G166" s="25"/>
    </row>
    <row r="167" spans="1:17" ht="14.1" customHeight="1" x14ac:dyDescent="0.2">
      <c r="A167" s="22"/>
      <c r="B167" s="22"/>
      <c r="C167" s="22"/>
      <c r="D167" s="22"/>
      <c r="E167" s="22"/>
      <c r="F167" s="22"/>
      <c r="G167" s="22"/>
    </row>
    <row r="168" spans="1:17" ht="17.100000000000001" customHeight="1" x14ac:dyDescent="0.2">
      <c r="A168" s="22"/>
      <c r="B168" s="189" t="s">
        <v>1094</v>
      </c>
      <c r="C168" s="190"/>
      <c r="D168" s="2" t="s">
        <v>142</v>
      </c>
      <c r="E168" s="22"/>
      <c r="F168" s="22"/>
      <c r="G168" s="22"/>
    </row>
    <row r="169" spans="1:17" ht="18" customHeight="1" x14ac:dyDescent="0.2">
      <c r="A169" s="22"/>
      <c r="B169" s="26"/>
      <c r="C169" s="26"/>
      <c r="D169" s="27"/>
      <c r="E169" s="22"/>
      <c r="F169" s="22"/>
      <c r="G169" s="22"/>
    </row>
    <row r="170" spans="1:17" s="101" customFormat="1" x14ac:dyDescent="0.2">
      <c r="B170" s="193" t="s">
        <v>1102</v>
      </c>
      <c r="C170" s="193"/>
      <c r="D170" s="193"/>
      <c r="E170" s="193"/>
      <c r="F170" s="193"/>
      <c r="I170"/>
      <c r="J170"/>
      <c r="K170"/>
      <c r="L170"/>
      <c r="M170"/>
      <c r="N170"/>
      <c r="O170"/>
      <c r="P170" s="41"/>
      <c r="Q170" s="41"/>
    </row>
    <row r="171" spans="1:17" ht="14.1" customHeight="1" x14ac:dyDescent="0.2">
      <c r="A171" s="22"/>
      <c r="B171" s="19"/>
      <c r="C171" s="19"/>
      <c r="D171" s="22"/>
      <c r="E171" s="22"/>
      <c r="F171" s="22"/>
      <c r="G171" s="22"/>
    </row>
    <row r="172" spans="1:17" ht="29.1" customHeight="1" x14ac:dyDescent="0.2">
      <c r="A172" s="22"/>
      <c r="B172" s="189" t="s">
        <v>152</v>
      </c>
      <c r="C172" s="190"/>
      <c r="D172" s="2" t="s">
        <v>142</v>
      </c>
      <c r="E172" s="22"/>
      <c r="F172" s="22"/>
      <c r="G172" s="22"/>
    </row>
    <row r="173" spans="1:17" ht="29.1" customHeight="1" x14ac:dyDescent="0.2">
      <c r="A173" s="22"/>
      <c r="B173" s="189" t="s">
        <v>153</v>
      </c>
      <c r="C173" s="190"/>
      <c r="D173" s="2" t="s">
        <v>142</v>
      </c>
      <c r="E173" s="22"/>
      <c r="F173" s="22"/>
      <c r="G173" s="22"/>
    </row>
    <row r="174" spans="1:17" ht="17.100000000000001" customHeight="1" x14ac:dyDescent="0.2">
      <c r="A174" s="22"/>
      <c r="B174" s="189" t="s">
        <v>154</v>
      </c>
      <c r="C174" s="190"/>
      <c r="D174" s="28">
        <v>0.5921486396609883</v>
      </c>
      <c r="E174" s="22"/>
      <c r="F174" s="19"/>
      <c r="G174" s="25"/>
    </row>
    <row r="175" spans="1:17" ht="17.100000000000001" customHeight="1" x14ac:dyDescent="0.2">
      <c r="A175" s="22"/>
      <c r="B175" s="189" t="s">
        <v>155</v>
      </c>
      <c r="C175" s="190"/>
      <c r="D175" s="2" t="s">
        <v>142</v>
      </c>
      <c r="E175" s="22"/>
      <c r="F175" s="22"/>
      <c r="G175" s="22"/>
    </row>
  </sheetData>
  <mergeCells count="15">
    <mergeCell ref="B175:C175"/>
    <mergeCell ref="B158:C158"/>
    <mergeCell ref="B159:C159"/>
    <mergeCell ref="B160:C160"/>
    <mergeCell ref="B168:C168"/>
    <mergeCell ref="B172:C172"/>
    <mergeCell ref="B173:C173"/>
    <mergeCell ref="B170:F170"/>
    <mergeCell ref="A1:H1"/>
    <mergeCell ref="A2:H2"/>
    <mergeCell ref="A3:H3"/>
    <mergeCell ref="J2:N2"/>
    <mergeCell ref="B174:C174"/>
    <mergeCell ref="B157:C157"/>
    <mergeCell ref="B155:F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Q222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8" max="8" width="11.5703125" bestFit="1" customWidth="1"/>
    <col min="9" max="9" width="10.42578125" customWidth="1"/>
    <col min="10" max="10" width="9.28515625" customWidth="1"/>
    <col min="11" max="16" width="9.140625" style="41"/>
  </cols>
  <sheetData>
    <row r="1" spans="1:16" ht="15" x14ac:dyDescent="0.2">
      <c r="A1" s="204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16" ht="15" x14ac:dyDescent="0.2">
      <c r="A2" s="204" t="s">
        <v>1103</v>
      </c>
      <c r="B2" s="205"/>
      <c r="C2" s="205"/>
      <c r="D2" s="205"/>
      <c r="E2" s="205"/>
      <c r="F2" s="205"/>
      <c r="G2" s="205"/>
      <c r="H2" s="205"/>
      <c r="I2" s="205"/>
      <c r="K2" s="188" t="s">
        <v>1172</v>
      </c>
      <c r="L2" s="188"/>
      <c r="M2" s="188"/>
      <c r="N2" s="188"/>
      <c r="O2" s="188"/>
    </row>
    <row r="3" spans="1:16" ht="15" x14ac:dyDescent="0.2">
      <c r="A3" s="204" t="s">
        <v>1053</v>
      </c>
      <c r="B3" s="204"/>
      <c r="C3" s="204"/>
      <c r="D3" s="204"/>
      <c r="E3" s="204"/>
      <c r="F3" s="204"/>
      <c r="G3" s="204"/>
      <c r="H3" s="204"/>
      <c r="I3" s="204"/>
    </row>
    <row r="4" spans="1:16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  <c r="I4" s="113" t="s">
        <v>1085</v>
      </c>
      <c r="K4" s="177"/>
      <c r="L4" s="177"/>
      <c r="M4" s="177"/>
      <c r="N4" s="177"/>
      <c r="O4" s="177"/>
      <c r="P4" s="177"/>
    </row>
    <row r="5" spans="1:16" x14ac:dyDescent="0.2">
      <c r="A5" s="1"/>
      <c r="B5" s="1"/>
      <c r="C5" s="2" t="s">
        <v>9</v>
      </c>
      <c r="D5" s="1"/>
      <c r="E5" s="1"/>
      <c r="F5" s="1"/>
      <c r="G5" s="1"/>
      <c r="H5" s="39"/>
      <c r="I5" s="39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39"/>
      <c r="I6" s="39"/>
    </row>
    <row r="7" spans="1:16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1066958</v>
      </c>
      <c r="F7" s="6">
        <v>20345.288623</v>
      </c>
      <c r="G7" s="7">
        <v>6.6813460000000005E-2</v>
      </c>
      <c r="H7" s="39"/>
      <c r="I7" s="39"/>
    </row>
    <row r="8" spans="1:16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2198762</v>
      </c>
      <c r="F8" s="6">
        <v>16057.558886000001</v>
      </c>
      <c r="G8" s="7">
        <v>5.2732653999999997E-2</v>
      </c>
      <c r="H8" s="39"/>
      <c r="I8" s="39"/>
    </row>
    <row r="9" spans="1:16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1073578</v>
      </c>
      <c r="F9" s="6">
        <v>15785.354122999999</v>
      </c>
      <c r="G9" s="7">
        <v>5.1838740000000001E-2</v>
      </c>
      <c r="H9" s="39"/>
      <c r="I9" s="39"/>
    </row>
    <row r="10" spans="1:16" ht="25.5" x14ac:dyDescent="0.2">
      <c r="A10" s="3">
        <v>4</v>
      </c>
      <c r="B10" s="4" t="s">
        <v>396</v>
      </c>
      <c r="C10" s="4" t="s">
        <v>397</v>
      </c>
      <c r="D10" s="4" t="s">
        <v>1138</v>
      </c>
      <c r="E10" s="5">
        <v>1402028</v>
      </c>
      <c r="F10" s="6">
        <v>12825.05113</v>
      </c>
      <c r="G10" s="7">
        <v>4.2117173000000001E-2</v>
      </c>
      <c r="H10" s="39"/>
      <c r="I10" s="39"/>
    </row>
    <row r="11" spans="1:16" x14ac:dyDescent="0.2">
      <c r="A11" s="3">
        <v>5</v>
      </c>
      <c r="B11" s="4" t="s">
        <v>13</v>
      </c>
      <c r="C11" s="4" t="s">
        <v>14</v>
      </c>
      <c r="D11" s="4" t="s">
        <v>15</v>
      </c>
      <c r="E11" s="5">
        <v>415820</v>
      </c>
      <c r="F11" s="6">
        <v>10955.81745</v>
      </c>
      <c r="G11" s="7">
        <v>3.5978652999999999E-2</v>
      </c>
      <c r="H11" s="39"/>
      <c r="I11" s="39"/>
    </row>
    <row r="12" spans="1:16" x14ac:dyDescent="0.2">
      <c r="A12" s="3">
        <v>6</v>
      </c>
      <c r="B12" s="4" t="s">
        <v>19</v>
      </c>
      <c r="C12" s="4" t="s">
        <v>20</v>
      </c>
      <c r="D12" s="4" t="s">
        <v>21</v>
      </c>
      <c r="E12" s="5">
        <v>1391966</v>
      </c>
      <c r="F12" s="6">
        <v>10508.647317000001</v>
      </c>
      <c r="G12" s="7">
        <v>3.4510156E-2</v>
      </c>
      <c r="H12" s="39"/>
      <c r="I12" s="39"/>
    </row>
    <row r="13" spans="1:16" ht="25.5" x14ac:dyDescent="0.2">
      <c r="A13" s="3">
        <v>7</v>
      </c>
      <c r="B13" s="4" t="s">
        <v>390</v>
      </c>
      <c r="C13" s="4" t="s">
        <v>391</v>
      </c>
      <c r="D13" s="4" t="s">
        <v>82</v>
      </c>
      <c r="E13" s="5">
        <v>385796</v>
      </c>
      <c r="F13" s="6">
        <v>9222.0675840000004</v>
      </c>
      <c r="G13" s="7">
        <v>3.0285058E-2</v>
      </c>
      <c r="H13" s="39"/>
      <c r="I13" s="39"/>
    </row>
    <row r="14" spans="1:16" ht="15" x14ac:dyDescent="0.2">
      <c r="A14" s="3">
        <v>8</v>
      </c>
      <c r="B14" s="4" t="s">
        <v>11</v>
      </c>
      <c r="C14" s="4" t="s">
        <v>12</v>
      </c>
      <c r="D14" s="4" t="s">
        <v>60</v>
      </c>
      <c r="E14" s="5">
        <v>459609</v>
      </c>
      <c r="F14" s="6">
        <v>8124.2784885000001</v>
      </c>
      <c r="G14" s="7">
        <v>2.6679944000000001E-2</v>
      </c>
      <c r="H14" s="39"/>
      <c r="I14" s="39"/>
      <c r="K14" s="176" t="s">
        <v>1185</v>
      </c>
    </row>
    <row r="15" spans="1:16" x14ac:dyDescent="0.2">
      <c r="A15" s="3">
        <v>9</v>
      </c>
      <c r="B15" s="4" t="s">
        <v>49</v>
      </c>
      <c r="C15" s="4" t="s">
        <v>50</v>
      </c>
      <c r="D15" s="4" t="s">
        <v>18</v>
      </c>
      <c r="E15" s="5">
        <v>1447996</v>
      </c>
      <c r="F15" s="6">
        <v>7146.5842579999999</v>
      </c>
      <c r="G15" s="7">
        <v>2.3469218E-2</v>
      </c>
      <c r="H15" s="39"/>
      <c r="I15" s="39"/>
    </row>
    <row r="16" spans="1:16" x14ac:dyDescent="0.2">
      <c r="A16" s="3">
        <v>10</v>
      </c>
      <c r="B16" s="4" t="s">
        <v>491</v>
      </c>
      <c r="C16" s="4" t="s">
        <v>492</v>
      </c>
      <c r="D16" s="4" t="s">
        <v>1144</v>
      </c>
      <c r="E16" s="5">
        <v>674416</v>
      </c>
      <c r="F16" s="6">
        <v>5991.1745360000004</v>
      </c>
      <c r="G16" s="7">
        <v>1.9674878999999999E-2</v>
      </c>
      <c r="H16" s="39"/>
      <c r="I16" s="39"/>
    </row>
    <row r="17" spans="1:9" x14ac:dyDescent="0.2">
      <c r="A17" s="3">
        <v>11</v>
      </c>
      <c r="B17" s="4" t="s">
        <v>300</v>
      </c>
      <c r="C17" s="4" t="s">
        <v>301</v>
      </c>
      <c r="D17" s="4" t="s">
        <v>18</v>
      </c>
      <c r="E17" s="5">
        <v>738925</v>
      </c>
      <c r="F17" s="6">
        <v>5624.3276374999996</v>
      </c>
      <c r="G17" s="7">
        <v>1.8470163000000001E-2</v>
      </c>
      <c r="H17" s="39"/>
      <c r="I17" s="39"/>
    </row>
    <row r="18" spans="1:9" ht="25.5" x14ac:dyDescent="0.2">
      <c r="A18" s="3">
        <v>12</v>
      </c>
      <c r="B18" s="4" t="s">
        <v>335</v>
      </c>
      <c r="C18" s="4" t="s">
        <v>336</v>
      </c>
      <c r="D18" s="4" t="s">
        <v>1138</v>
      </c>
      <c r="E18" s="5">
        <v>142293</v>
      </c>
      <c r="F18" s="6">
        <v>4656.7518645</v>
      </c>
      <c r="G18" s="7">
        <v>1.5292666E-2</v>
      </c>
      <c r="H18" s="39"/>
      <c r="I18" s="39"/>
    </row>
    <row r="19" spans="1:9" x14ac:dyDescent="0.2">
      <c r="A19" s="3">
        <v>13</v>
      </c>
      <c r="B19" s="4" t="s">
        <v>359</v>
      </c>
      <c r="C19" s="4" t="s">
        <v>360</v>
      </c>
      <c r="D19" s="4" t="s">
        <v>82</v>
      </c>
      <c r="E19" s="5">
        <v>26250</v>
      </c>
      <c r="F19" s="6">
        <v>4478.368125</v>
      </c>
      <c r="G19" s="7">
        <v>1.4706858E-2</v>
      </c>
      <c r="H19" s="39"/>
      <c r="I19" s="39"/>
    </row>
    <row r="20" spans="1:9" ht="25.5" x14ac:dyDescent="0.2">
      <c r="A20" s="3">
        <v>14</v>
      </c>
      <c r="B20" s="4" t="s">
        <v>508</v>
      </c>
      <c r="C20" s="4" t="s">
        <v>509</v>
      </c>
      <c r="D20" s="4" t="s">
        <v>1138</v>
      </c>
      <c r="E20" s="5">
        <v>429652</v>
      </c>
      <c r="F20" s="6">
        <v>4374.0721860000003</v>
      </c>
      <c r="G20" s="7">
        <v>1.4364352E-2</v>
      </c>
      <c r="H20" s="39"/>
      <c r="I20" s="39"/>
    </row>
    <row r="21" spans="1:9" x14ac:dyDescent="0.2">
      <c r="A21" s="3">
        <v>15</v>
      </c>
      <c r="B21" s="4" t="s">
        <v>371</v>
      </c>
      <c r="C21" s="4" t="s">
        <v>372</v>
      </c>
      <c r="D21" s="4" t="s">
        <v>29</v>
      </c>
      <c r="E21" s="5">
        <v>203487</v>
      </c>
      <c r="F21" s="6">
        <v>4116.4402664999998</v>
      </c>
      <c r="G21" s="7">
        <v>1.3518295E-2</v>
      </c>
      <c r="H21" s="39"/>
      <c r="I21" s="39"/>
    </row>
    <row r="22" spans="1:9" x14ac:dyDescent="0.2">
      <c r="A22" s="3">
        <v>16</v>
      </c>
      <c r="B22" s="4" t="s">
        <v>392</v>
      </c>
      <c r="C22" s="4" t="s">
        <v>393</v>
      </c>
      <c r="D22" s="4" t="s">
        <v>1143</v>
      </c>
      <c r="E22" s="5">
        <v>109607</v>
      </c>
      <c r="F22" s="6">
        <v>4099.2469965</v>
      </c>
      <c r="G22" s="7">
        <v>1.3461832999999999E-2</v>
      </c>
      <c r="H22" s="39"/>
      <c r="I22" s="39"/>
    </row>
    <row r="23" spans="1:9" x14ac:dyDescent="0.2">
      <c r="A23" s="3">
        <v>17</v>
      </c>
      <c r="B23" s="4" t="s">
        <v>226</v>
      </c>
      <c r="C23" s="4" t="s">
        <v>227</v>
      </c>
      <c r="D23" s="4" t="s">
        <v>82</v>
      </c>
      <c r="E23" s="5">
        <v>515226</v>
      </c>
      <c r="F23" s="6">
        <v>3964.406457</v>
      </c>
      <c r="G23" s="7">
        <v>1.3019019999999999E-2</v>
      </c>
      <c r="H23" s="39"/>
      <c r="I23" s="39"/>
    </row>
    <row r="24" spans="1:9" x14ac:dyDescent="0.2">
      <c r="A24" s="3">
        <v>18</v>
      </c>
      <c r="B24" s="4" t="s">
        <v>317</v>
      </c>
      <c r="C24" s="4" t="s">
        <v>318</v>
      </c>
      <c r="D24" s="4" t="s">
        <v>1144</v>
      </c>
      <c r="E24" s="5">
        <v>418314</v>
      </c>
      <c r="F24" s="6">
        <v>3937.5896819999998</v>
      </c>
      <c r="G24" s="7">
        <v>1.2930954E-2</v>
      </c>
      <c r="H24" s="39"/>
      <c r="I24" s="39"/>
    </row>
    <row r="25" spans="1:9" ht="25.5" x14ac:dyDescent="0.2">
      <c r="A25" s="3">
        <v>19</v>
      </c>
      <c r="B25" s="4" t="s">
        <v>363</v>
      </c>
      <c r="C25" s="4" t="s">
        <v>364</v>
      </c>
      <c r="D25" s="4" t="s">
        <v>1145</v>
      </c>
      <c r="E25" s="5">
        <v>485098</v>
      </c>
      <c r="F25" s="6">
        <v>3771.151852</v>
      </c>
      <c r="G25" s="7">
        <v>1.2384376000000001E-2</v>
      </c>
      <c r="H25" s="39"/>
      <c r="I25" s="39"/>
    </row>
    <row r="26" spans="1:9" ht="25.5" x14ac:dyDescent="0.2">
      <c r="A26" s="3">
        <v>20</v>
      </c>
      <c r="B26" s="4" t="s">
        <v>576</v>
      </c>
      <c r="C26" s="4" t="s">
        <v>577</v>
      </c>
      <c r="D26" s="4" t="s">
        <v>1147</v>
      </c>
      <c r="E26" s="5">
        <v>22304</v>
      </c>
      <c r="F26" s="6">
        <v>3215.2554239999999</v>
      </c>
      <c r="G26" s="7">
        <v>1.0558825000000001E-2</v>
      </c>
      <c r="H26" s="39"/>
      <c r="I26" s="39"/>
    </row>
    <row r="27" spans="1:9" ht="25.5" x14ac:dyDescent="0.2">
      <c r="A27" s="3">
        <v>21</v>
      </c>
      <c r="B27" s="4" t="s">
        <v>83</v>
      </c>
      <c r="C27" s="4" t="s">
        <v>84</v>
      </c>
      <c r="D27" s="4" t="s">
        <v>1137</v>
      </c>
      <c r="E27" s="5">
        <v>2496366</v>
      </c>
      <c r="F27" s="6">
        <v>2926.9891349999998</v>
      </c>
      <c r="G27" s="7">
        <v>9.6121650000000006E-3</v>
      </c>
      <c r="H27" s="39"/>
      <c r="I27" s="39"/>
    </row>
    <row r="28" spans="1:9" x14ac:dyDescent="0.2">
      <c r="A28" s="3">
        <v>22</v>
      </c>
      <c r="B28" s="4" t="s">
        <v>394</v>
      </c>
      <c r="C28" s="4" t="s">
        <v>395</v>
      </c>
      <c r="D28" s="4" t="s">
        <v>1142</v>
      </c>
      <c r="E28" s="5">
        <v>257669</v>
      </c>
      <c r="F28" s="6">
        <v>2889.6290005000001</v>
      </c>
      <c r="G28" s="7">
        <v>9.4894750000000007E-3</v>
      </c>
      <c r="H28" s="39"/>
      <c r="I28" s="39"/>
    </row>
    <row r="29" spans="1:9" x14ac:dyDescent="0.2">
      <c r="A29" s="3">
        <v>23</v>
      </c>
      <c r="B29" s="4" t="s">
        <v>440</v>
      </c>
      <c r="C29" s="4" t="s">
        <v>441</v>
      </c>
      <c r="D29" s="4" t="s">
        <v>1146</v>
      </c>
      <c r="E29" s="5">
        <v>38124</v>
      </c>
      <c r="F29" s="6">
        <v>2882.670012</v>
      </c>
      <c r="G29" s="7">
        <v>9.4666219999999992E-3</v>
      </c>
      <c r="H29" s="39"/>
      <c r="I29" s="39"/>
    </row>
    <row r="30" spans="1:9" x14ac:dyDescent="0.2">
      <c r="A30" s="3">
        <v>24</v>
      </c>
      <c r="B30" s="4" t="s">
        <v>578</v>
      </c>
      <c r="C30" s="4" t="s">
        <v>579</v>
      </c>
      <c r="D30" s="4" t="s">
        <v>18</v>
      </c>
      <c r="E30" s="5">
        <v>290005</v>
      </c>
      <c r="F30" s="6">
        <v>2712.7067699999998</v>
      </c>
      <c r="G30" s="7">
        <v>8.9084669999999998E-3</v>
      </c>
      <c r="H30" s="39"/>
      <c r="I30" s="39"/>
    </row>
    <row r="31" spans="1:9" x14ac:dyDescent="0.2">
      <c r="A31" s="3">
        <v>25</v>
      </c>
      <c r="B31" s="4" t="s">
        <v>398</v>
      </c>
      <c r="C31" s="4" t="s">
        <v>399</v>
      </c>
      <c r="D31" s="4" t="s">
        <v>1143</v>
      </c>
      <c r="E31" s="5">
        <v>455339</v>
      </c>
      <c r="F31" s="6">
        <v>2695.1515410000002</v>
      </c>
      <c r="G31" s="7">
        <v>8.8508159999999992E-3</v>
      </c>
      <c r="H31" s="39"/>
      <c r="I31" s="39"/>
    </row>
    <row r="32" spans="1:9" x14ac:dyDescent="0.2">
      <c r="A32" s="3">
        <v>26</v>
      </c>
      <c r="B32" s="4" t="s">
        <v>192</v>
      </c>
      <c r="C32" s="4" t="s">
        <v>193</v>
      </c>
      <c r="D32" s="4" t="s">
        <v>1026</v>
      </c>
      <c r="E32" s="5">
        <v>552800</v>
      </c>
      <c r="F32" s="6">
        <v>2649.8467999999998</v>
      </c>
      <c r="G32" s="7">
        <v>8.7020359999999998E-3</v>
      </c>
      <c r="H32" s="39"/>
      <c r="I32" s="39"/>
    </row>
    <row r="33" spans="1:9" x14ac:dyDescent="0.2">
      <c r="A33" s="3">
        <v>27</v>
      </c>
      <c r="B33" s="4" t="s">
        <v>302</v>
      </c>
      <c r="C33" s="4" t="s">
        <v>303</v>
      </c>
      <c r="D33" s="4" t="s">
        <v>1155</v>
      </c>
      <c r="E33" s="5">
        <v>6015</v>
      </c>
      <c r="F33" s="6">
        <v>2597.8394024999998</v>
      </c>
      <c r="G33" s="7">
        <v>8.5312449999999998E-3</v>
      </c>
      <c r="H33" s="39"/>
      <c r="I33" s="39"/>
    </row>
    <row r="34" spans="1:9" ht="25.5" x14ac:dyDescent="0.2">
      <c r="A34" s="3">
        <v>28</v>
      </c>
      <c r="B34" s="4" t="s">
        <v>321</v>
      </c>
      <c r="C34" s="4" t="s">
        <v>322</v>
      </c>
      <c r="D34" s="4" t="s">
        <v>71</v>
      </c>
      <c r="E34" s="5">
        <v>601183</v>
      </c>
      <c r="F34" s="6">
        <v>2248.4244199999998</v>
      </c>
      <c r="G34" s="7">
        <v>7.3837740000000001E-3</v>
      </c>
      <c r="H34" s="39"/>
      <c r="I34" s="39"/>
    </row>
    <row r="35" spans="1:9" x14ac:dyDescent="0.2">
      <c r="A35" s="3">
        <v>29</v>
      </c>
      <c r="B35" s="4" t="s">
        <v>580</v>
      </c>
      <c r="C35" s="4" t="s">
        <v>581</v>
      </c>
      <c r="D35" s="4" t="s">
        <v>1146</v>
      </c>
      <c r="E35" s="5">
        <v>59604</v>
      </c>
      <c r="F35" s="6">
        <v>2177.33412</v>
      </c>
      <c r="G35" s="7">
        <v>7.150315E-3</v>
      </c>
      <c r="H35" s="39"/>
      <c r="I35" s="39"/>
    </row>
    <row r="36" spans="1:9" x14ac:dyDescent="0.2">
      <c r="A36" s="3">
        <v>30</v>
      </c>
      <c r="B36" s="4" t="s">
        <v>410</v>
      </c>
      <c r="C36" s="4" t="s">
        <v>411</v>
      </c>
      <c r="D36" s="4" t="s">
        <v>412</v>
      </c>
      <c r="E36" s="5">
        <v>381012</v>
      </c>
      <c r="F36" s="6">
        <v>2169.8633399999999</v>
      </c>
      <c r="G36" s="7">
        <v>7.1257810000000003E-3</v>
      </c>
      <c r="H36" s="39"/>
      <c r="I36" s="39"/>
    </row>
    <row r="37" spans="1:9" x14ac:dyDescent="0.2">
      <c r="A37" s="3">
        <v>31</v>
      </c>
      <c r="B37" s="4" t="s">
        <v>94</v>
      </c>
      <c r="C37" s="4" t="s">
        <v>95</v>
      </c>
      <c r="D37" s="4" t="s">
        <v>1154</v>
      </c>
      <c r="E37" s="5">
        <v>107625</v>
      </c>
      <c r="F37" s="6">
        <v>2090.0774999999999</v>
      </c>
      <c r="G37" s="7">
        <v>6.8637660000000003E-3</v>
      </c>
      <c r="H37" s="39"/>
      <c r="I37" s="39"/>
    </row>
    <row r="38" spans="1:9" x14ac:dyDescent="0.2">
      <c r="A38" s="3">
        <v>32</v>
      </c>
      <c r="B38" s="4" t="s">
        <v>400</v>
      </c>
      <c r="C38" s="4" t="s">
        <v>401</v>
      </c>
      <c r="D38" s="4" t="s">
        <v>1143</v>
      </c>
      <c r="E38" s="5">
        <v>171496</v>
      </c>
      <c r="F38" s="6">
        <v>1995.7846999999999</v>
      </c>
      <c r="G38" s="7">
        <v>6.5541109999999996E-3</v>
      </c>
      <c r="H38" s="39"/>
      <c r="I38" s="39"/>
    </row>
    <row r="39" spans="1:9" x14ac:dyDescent="0.2">
      <c r="A39" s="3">
        <v>33</v>
      </c>
      <c r="B39" s="4" t="s">
        <v>100</v>
      </c>
      <c r="C39" s="4" t="s">
        <v>101</v>
      </c>
      <c r="D39" s="4" t="s">
        <v>53</v>
      </c>
      <c r="E39" s="5">
        <v>520094</v>
      </c>
      <c r="F39" s="6">
        <v>1940.730761</v>
      </c>
      <c r="G39" s="7">
        <v>6.3733150000000001E-3</v>
      </c>
      <c r="H39" s="39"/>
      <c r="I39" s="39"/>
    </row>
    <row r="40" spans="1:9" ht="25.5" x14ac:dyDescent="0.2">
      <c r="A40" s="3">
        <v>34</v>
      </c>
      <c r="B40" s="4" t="s">
        <v>80</v>
      </c>
      <c r="C40" s="4" t="s">
        <v>81</v>
      </c>
      <c r="D40" s="4" t="s">
        <v>82</v>
      </c>
      <c r="E40" s="5">
        <v>268716</v>
      </c>
      <c r="F40" s="6">
        <v>1930.5901019999999</v>
      </c>
      <c r="G40" s="7">
        <v>6.3400139999999997E-3</v>
      </c>
      <c r="H40" s="39"/>
      <c r="I40" s="39"/>
    </row>
    <row r="41" spans="1:9" x14ac:dyDescent="0.2">
      <c r="A41" s="3">
        <v>35</v>
      </c>
      <c r="B41" s="4" t="s">
        <v>479</v>
      </c>
      <c r="C41" s="4" t="s">
        <v>480</v>
      </c>
      <c r="D41" s="4" t="s">
        <v>18</v>
      </c>
      <c r="E41" s="5">
        <v>747453</v>
      </c>
      <c r="F41" s="6">
        <v>1578.2470095000001</v>
      </c>
      <c r="G41" s="7">
        <v>5.1829270000000004E-3</v>
      </c>
      <c r="H41" s="39"/>
      <c r="I41" s="39"/>
    </row>
    <row r="42" spans="1:9" x14ac:dyDescent="0.2">
      <c r="A42" s="3">
        <v>36</v>
      </c>
      <c r="B42" s="4" t="s">
        <v>428</v>
      </c>
      <c r="C42" s="4" t="s">
        <v>429</v>
      </c>
      <c r="D42" s="4" t="s">
        <v>1160</v>
      </c>
      <c r="E42" s="5">
        <v>73067</v>
      </c>
      <c r="F42" s="6">
        <v>1576.7493265000001</v>
      </c>
      <c r="G42" s="7">
        <v>5.1780089999999999E-3</v>
      </c>
      <c r="H42" s="39"/>
      <c r="I42" s="39"/>
    </row>
    <row r="43" spans="1:9" x14ac:dyDescent="0.2">
      <c r="A43" s="3">
        <v>37</v>
      </c>
      <c r="B43" s="4" t="s">
        <v>426</v>
      </c>
      <c r="C43" s="4" t="s">
        <v>427</v>
      </c>
      <c r="D43" s="4" t="s">
        <v>82</v>
      </c>
      <c r="E43" s="5">
        <v>21606</v>
      </c>
      <c r="F43" s="6">
        <v>1568.584797</v>
      </c>
      <c r="G43" s="7">
        <v>5.1511960000000002E-3</v>
      </c>
      <c r="H43" s="39"/>
      <c r="I43" s="39"/>
    </row>
    <row r="44" spans="1:9" x14ac:dyDescent="0.2">
      <c r="A44" s="3">
        <v>38</v>
      </c>
      <c r="B44" s="4" t="s">
        <v>582</v>
      </c>
      <c r="C44" s="4" t="s">
        <v>583</v>
      </c>
      <c r="D44" s="4" t="s">
        <v>1147</v>
      </c>
      <c r="E44" s="5">
        <v>206473</v>
      </c>
      <c r="F44" s="6">
        <v>1542.9727290000001</v>
      </c>
      <c r="G44" s="7">
        <v>5.0670869999999996E-3</v>
      </c>
      <c r="H44" s="39"/>
      <c r="I44" s="39"/>
    </row>
    <row r="45" spans="1:9" ht="25.5" x14ac:dyDescent="0.2">
      <c r="A45" s="3">
        <v>39</v>
      </c>
      <c r="B45" s="4" t="s">
        <v>72</v>
      </c>
      <c r="C45" s="4" t="s">
        <v>73</v>
      </c>
      <c r="D45" s="4" t="s">
        <v>1137</v>
      </c>
      <c r="E45" s="5">
        <v>80000</v>
      </c>
      <c r="F45" s="6">
        <v>1455.08</v>
      </c>
      <c r="G45" s="7">
        <v>4.7784489999999997E-3</v>
      </c>
      <c r="H45" s="39"/>
      <c r="I45" s="39"/>
    </row>
    <row r="46" spans="1:9" x14ac:dyDescent="0.2">
      <c r="A46" s="3">
        <v>40</v>
      </c>
      <c r="B46" s="4" t="s">
        <v>349</v>
      </c>
      <c r="C46" s="4" t="s">
        <v>350</v>
      </c>
      <c r="D46" s="4" t="s">
        <v>1149</v>
      </c>
      <c r="E46" s="5">
        <v>493061</v>
      </c>
      <c r="F46" s="6">
        <v>1421.7413935</v>
      </c>
      <c r="G46" s="7">
        <v>4.6689660000000001E-3</v>
      </c>
      <c r="H46" s="39"/>
      <c r="I46" s="39"/>
    </row>
    <row r="47" spans="1:9" ht="25.5" x14ac:dyDescent="0.2">
      <c r="A47" s="3">
        <v>41</v>
      </c>
      <c r="B47" s="4" t="s">
        <v>22</v>
      </c>
      <c r="C47" s="4" t="s">
        <v>23</v>
      </c>
      <c r="D47" s="4" t="s">
        <v>1150</v>
      </c>
      <c r="E47" s="5">
        <v>21379</v>
      </c>
      <c r="F47" s="6">
        <v>1411.505717</v>
      </c>
      <c r="G47" s="7">
        <v>4.6353519999999997E-3</v>
      </c>
      <c r="H47" s="39"/>
      <c r="I47" s="39"/>
    </row>
    <row r="48" spans="1:9" x14ac:dyDescent="0.2">
      <c r="A48" s="3">
        <v>42</v>
      </c>
      <c r="B48" s="4" t="s">
        <v>422</v>
      </c>
      <c r="C48" s="4" t="s">
        <v>423</v>
      </c>
      <c r="D48" s="4" t="s">
        <v>18</v>
      </c>
      <c r="E48" s="5">
        <v>530000</v>
      </c>
      <c r="F48" s="6">
        <v>1207.075</v>
      </c>
      <c r="G48" s="7">
        <v>3.9640070000000003E-3</v>
      </c>
      <c r="H48" s="39"/>
      <c r="I48" s="39"/>
    </row>
    <row r="49" spans="1:9" ht="25.5" x14ac:dyDescent="0.2">
      <c r="A49" s="3">
        <v>43</v>
      </c>
      <c r="B49" s="4" t="s">
        <v>188</v>
      </c>
      <c r="C49" s="4" t="s">
        <v>189</v>
      </c>
      <c r="D49" s="4" t="s">
        <v>1158</v>
      </c>
      <c r="E49" s="5">
        <v>171598</v>
      </c>
      <c r="F49" s="6">
        <v>1130.9166190000001</v>
      </c>
      <c r="G49" s="7">
        <v>3.7139040000000001E-3</v>
      </c>
      <c r="H49" s="39"/>
      <c r="I49" s="39"/>
    </row>
    <row r="50" spans="1:9" x14ac:dyDescent="0.2">
      <c r="A50" s="3">
        <v>44</v>
      </c>
      <c r="B50" s="4" t="s">
        <v>584</v>
      </c>
      <c r="C50" s="4" t="s">
        <v>585</v>
      </c>
      <c r="D50" s="4" t="s">
        <v>1149</v>
      </c>
      <c r="E50" s="5">
        <v>57600</v>
      </c>
      <c r="F50" s="6">
        <v>1107.2447999999999</v>
      </c>
      <c r="G50" s="7">
        <v>3.6361660000000001E-3</v>
      </c>
      <c r="H50" s="39"/>
      <c r="I50" s="39"/>
    </row>
    <row r="51" spans="1:9" x14ac:dyDescent="0.2">
      <c r="A51" s="3">
        <v>45</v>
      </c>
      <c r="B51" s="4" t="s">
        <v>296</v>
      </c>
      <c r="C51" s="4" t="s">
        <v>297</v>
      </c>
      <c r="D51" s="4" t="s">
        <v>253</v>
      </c>
      <c r="E51" s="5">
        <v>24177</v>
      </c>
      <c r="F51" s="6">
        <v>1091.857497</v>
      </c>
      <c r="G51" s="7">
        <v>3.5856350000000002E-3</v>
      </c>
      <c r="H51" s="39"/>
      <c r="I51" s="39"/>
    </row>
    <row r="52" spans="1:9" x14ac:dyDescent="0.2">
      <c r="A52" s="3">
        <v>46</v>
      </c>
      <c r="B52" s="4" t="s">
        <v>415</v>
      </c>
      <c r="C52" s="4" t="s">
        <v>416</v>
      </c>
      <c r="D52" s="4" t="s">
        <v>18</v>
      </c>
      <c r="E52" s="5">
        <v>56873</v>
      </c>
      <c r="F52" s="6">
        <v>997.46711049999999</v>
      </c>
      <c r="G52" s="7">
        <v>3.2756590000000002E-3</v>
      </c>
      <c r="H52" s="39"/>
      <c r="I52" s="39"/>
    </row>
    <row r="53" spans="1:9" ht="25.5" x14ac:dyDescent="0.2">
      <c r="A53" s="3">
        <v>47</v>
      </c>
      <c r="B53" s="4" t="s">
        <v>339</v>
      </c>
      <c r="C53" s="4" t="s">
        <v>340</v>
      </c>
      <c r="D53" s="4" t="s">
        <v>1152</v>
      </c>
      <c r="E53" s="5">
        <v>32045</v>
      </c>
      <c r="F53" s="6">
        <v>903.55684250000002</v>
      </c>
      <c r="G53" s="7">
        <v>2.9672600000000002E-3</v>
      </c>
      <c r="H53" s="39"/>
      <c r="I53" s="39"/>
    </row>
    <row r="54" spans="1:9" x14ac:dyDescent="0.2">
      <c r="A54" s="3">
        <v>48</v>
      </c>
      <c r="B54" s="4" t="s">
        <v>243</v>
      </c>
      <c r="C54" s="4" t="s">
        <v>244</v>
      </c>
      <c r="D54" s="4" t="s">
        <v>1157</v>
      </c>
      <c r="E54" s="5">
        <v>79865</v>
      </c>
      <c r="F54" s="6">
        <v>878.47506750000002</v>
      </c>
      <c r="G54" s="7">
        <v>2.884892E-3</v>
      </c>
      <c r="H54" s="39"/>
      <c r="I54" s="39"/>
    </row>
    <row r="55" spans="1:9" ht="25.5" x14ac:dyDescent="0.2">
      <c r="A55" s="3">
        <v>49</v>
      </c>
      <c r="B55" s="4" t="s">
        <v>294</v>
      </c>
      <c r="C55" s="4" t="s">
        <v>295</v>
      </c>
      <c r="D55" s="4" t="s">
        <v>1153</v>
      </c>
      <c r="E55" s="5">
        <v>31952</v>
      </c>
      <c r="F55" s="6">
        <v>856.10591199999999</v>
      </c>
      <c r="G55" s="7">
        <v>2.811432E-3</v>
      </c>
      <c r="H55" s="39"/>
      <c r="I55" s="39"/>
    </row>
    <row r="56" spans="1:9" ht="25.5" x14ac:dyDescent="0.2">
      <c r="A56" s="3">
        <v>50</v>
      </c>
      <c r="B56" s="4" t="s">
        <v>56</v>
      </c>
      <c r="C56" s="4" t="s">
        <v>57</v>
      </c>
      <c r="D56" s="4" t="s">
        <v>1151</v>
      </c>
      <c r="E56" s="5">
        <v>109708</v>
      </c>
      <c r="F56" s="6">
        <v>849.35933599999998</v>
      </c>
      <c r="G56" s="7">
        <v>2.7892770000000002E-3</v>
      </c>
      <c r="H56" s="39"/>
      <c r="I56" s="39"/>
    </row>
    <row r="57" spans="1:9" x14ac:dyDescent="0.2">
      <c r="A57" s="3">
        <v>51</v>
      </c>
      <c r="B57" s="4" t="s">
        <v>174</v>
      </c>
      <c r="C57" s="4" t="s">
        <v>175</v>
      </c>
      <c r="D57" s="4" t="s">
        <v>82</v>
      </c>
      <c r="E57" s="5">
        <v>132000</v>
      </c>
      <c r="F57" s="6">
        <v>833.51400000000001</v>
      </c>
      <c r="G57" s="7">
        <v>2.7372410000000001E-3</v>
      </c>
      <c r="H57" s="39"/>
      <c r="I57" s="39"/>
    </row>
    <row r="58" spans="1:9" x14ac:dyDescent="0.2">
      <c r="A58" s="3">
        <v>52</v>
      </c>
      <c r="B58" s="4" t="s">
        <v>367</v>
      </c>
      <c r="C58" s="4" t="s">
        <v>368</v>
      </c>
      <c r="D58" s="4" t="s">
        <v>1154</v>
      </c>
      <c r="E58" s="5">
        <v>84824</v>
      </c>
      <c r="F58" s="6">
        <v>790.81415200000004</v>
      </c>
      <c r="G58" s="7">
        <v>2.5970149999999998E-3</v>
      </c>
      <c r="H58" s="39"/>
      <c r="I58" s="39"/>
    </row>
    <row r="59" spans="1:9" ht="25.5" x14ac:dyDescent="0.2">
      <c r="A59" s="3">
        <v>53</v>
      </c>
      <c r="B59" s="4" t="s">
        <v>424</v>
      </c>
      <c r="C59" s="4" t="s">
        <v>425</v>
      </c>
      <c r="D59" s="4" t="s">
        <v>1138</v>
      </c>
      <c r="E59" s="5">
        <v>15996</v>
      </c>
      <c r="F59" s="6">
        <v>704.15191800000002</v>
      </c>
      <c r="G59" s="7">
        <v>2.312419E-3</v>
      </c>
      <c r="H59" s="39"/>
      <c r="I59" s="39"/>
    </row>
    <row r="60" spans="1:9" x14ac:dyDescent="0.2">
      <c r="A60" s="3">
        <v>54</v>
      </c>
      <c r="B60" s="4" t="s">
        <v>456</v>
      </c>
      <c r="C60" s="4" t="s">
        <v>457</v>
      </c>
      <c r="D60" s="4" t="s">
        <v>1154</v>
      </c>
      <c r="E60" s="5">
        <v>431851</v>
      </c>
      <c r="F60" s="6">
        <v>278.32796949999999</v>
      </c>
      <c r="G60" s="7">
        <v>9.1402300000000003E-4</v>
      </c>
      <c r="H60" s="39"/>
      <c r="I60" s="39"/>
    </row>
    <row r="61" spans="1:9" x14ac:dyDescent="0.2">
      <c r="A61" s="3">
        <v>55</v>
      </c>
      <c r="B61" s="4" t="s">
        <v>432</v>
      </c>
      <c r="C61" s="4" t="s">
        <v>433</v>
      </c>
      <c r="D61" s="4" t="s">
        <v>1146</v>
      </c>
      <c r="E61" s="5">
        <v>53471</v>
      </c>
      <c r="F61" s="6">
        <v>231.9304625</v>
      </c>
      <c r="G61" s="7">
        <v>7.6165399999999996E-4</v>
      </c>
      <c r="H61" s="39"/>
      <c r="I61" s="39"/>
    </row>
    <row r="62" spans="1:9" ht="25.5" x14ac:dyDescent="0.2">
      <c r="A62" s="3">
        <v>56</v>
      </c>
      <c r="B62" s="4" t="s">
        <v>417</v>
      </c>
      <c r="C62" s="37" t="s">
        <v>1013</v>
      </c>
      <c r="D62" s="37" t="s">
        <v>21</v>
      </c>
      <c r="E62" s="5">
        <v>53340</v>
      </c>
      <c r="F62" s="6">
        <v>211.19972999999999</v>
      </c>
      <c r="G62" s="7">
        <v>6.9357499999999999E-4</v>
      </c>
      <c r="H62" s="39"/>
      <c r="I62" s="39"/>
    </row>
    <row r="63" spans="1:9" x14ac:dyDescent="0.2">
      <c r="A63" s="1"/>
      <c r="B63" s="1"/>
      <c r="C63" s="2" t="s">
        <v>111</v>
      </c>
      <c r="D63" s="1"/>
      <c r="E63" s="1" t="s">
        <v>112</v>
      </c>
      <c r="F63" s="9">
        <v>215733.9478794999</v>
      </c>
      <c r="G63" s="10">
        <v>0.70846532400000017</v>
      </c>
      <c r="H63" s="39"/>
      <c r="I63" s="39"/>
    </row>
    <row r="64" spans="1:9" x14ac:dyDescent="0.2">
      <c r="A64" s="1"/>
      <c r="B64" s="1"/>
      <c r="C64" s="11"/>
      <c r="D64" s="1"/>
      <c r="E64" s="1"/>
      <c r="F64" s="12"/>
      <c r="G64" s="12"/>
      <c r="H64" s="39"/>
      <c r="I64" s="39"/>
    </row>
    <row r="65" spans="1:9" x14ac:dyDescent="0.2">
      <c r="A65" s="1"/>
      <c r="B65" s="1"/>
      <c r="C65" s="2" t="s">
        <v>113</v>
      </c>
      <c r="D65" s="1"/>
      <c r="E65" s="1"/>
      <c r="F65" s="1"/>
      <c r="G65" s="1"/>
      <c r="H65" s="39"/>
      <c r="I65" s="39"/>
    </row>
    <row r="66" spans="1:9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39"/>
      <c r="I66" s="39"/>
    </row>
    <row r="67" spans="1:9" x14ac:dyDescent="0.2">
      <c r="A67" s="1"/>
      <c r="B67" s="1"/>
      <c r="C67" s="11"/>
      <c r="D67" s="1"/>
      <c r="E67" s="1"/>
      <c r="F67" s="12"/>
      <c r="G67" s="12"/>
      <c r="H67" s="39"/>
      <c r="I67" s="39"/>
    </row>
    <row r="68" spans="1:9" x14ac:dyDescent="0.2">
      <c r="A68" s="1"/>
      <c r="B68" s="1"/>
      <c r="C68" s="2" t="s">
        <v>114</v>
      </c>
      <c r="D68" s="1"/>
      <c r="E68" s="1"/>
      <c r="F68" s="1"/>
      <c r="G68" s="1"/>
      <c r="H68" s="39"/>
      <c r="I68" s="39"/>
    </row>
    <row r="69" spans="1:9" x14ac:dyDescent="0.2">
      <c r="A69" s="3">
        <v>1</v>
      </c>
      <c r="B69" s="4" t="s">
        <v>586</v>
      </c>
      <c r="C69" s="37" t="s">
        <v>1024</v>
      </c>
      <c r="D69" s="37" t="s">
        <v>1026</v>
      </c>
      <c r="E69" s="5">
        <v>30579</v>
      </c>
      <c r="F69" s="6">
        <v>1.9142454</v>
      </c>
      <c r="G69" s="8" t="s">
        <v>110</v>
      </c>
      <c r="H69" s="39"/>
      <c r="I69" s="39"/>
    </row>
    <row r="70" spans="1:9" x14ac:dyDescent="0.2">
      <c r="A70" s="1"/>
      <c r="B70" s="1"/>
      <c r="C70" s="2" t="s">
        <v>111</v>
      </c>
      <c r="D70" s="1"/>
      <c r="E70" s="1" t="s">
        <v>112</v>
      </c>
      <c r="F70" s="13">
        <v>1.9142454</v>
      </c>
      <c r="G70" s="14">
        <v>0</v>
      </c>
      <c r="H70" s="39"/>
      <c r="I70" s="39"/>
    </row>
    <row r="71" spans="1:9" x14ac:dyDescent="0.2">
      <c r="A71" s="1"/>
      <c r="B71" s="1"/>
      <c r="C71" s="11"/>
      <c r="D71" s="1"/>
      <c r="E71" s="1"/>
      <c r="F71" s="12"/>
      <c r="G71" s="12"/>
      <c r="H71" s="39"/>
      <c r="I71" s="39"/>
    </row>
    <row r="72" spans="1:9" x14ac:dyDescent="0.2">
      <c r="A72" s="1"/>
      <c r="B72" s="1"/>
      <c r="C72" s="2" t="s">
        <v>115</v>
      </c>
      <c r="D72" s="1"/>
      <c r="E72" s="1"/>
      <c r="F72" s="1"/>
      <c r="G72" s="1"/>
      <c r="H72" s="39"/>
      <c r="I72" s="39"/>
    </row>
    <row r="73" spans="1:9" x14ac:dyDescent="0.2">
      <c r="A73" s="1"/>
      <c r="B73" s="1"/>
      <c r="C73" s="2" t="s">
        <v>111</v>
      </c>
      <c r="D73" s="1"/>
      <c r="E73" s="1" t="s">
        <v>112</v>
      </c>
      <c r="F73" s="9">
        <v>211.19972999999999</v>
      </c>
      <c r="G73" s="10">
        <v>6.9357499999999999E-4</v>
      </c>
      <c r="H73" s="39"/>
      <c r="I73" s="39"/>
    </row>
    <row r="74" spans="1:9" x14ac:dyDescent="0.2">
      <c r="A74" s="1"/>
      <c r="B74" s="1"/>
      <c r="C74" s="11"/>
      <c r="D74" s="1"/>
      <c r="E74" s="1"/>
      <c r="F74" s="12"/>
      <c r="G74" s="12"/>
      <c r="H74" s="39"/>
      <c r="I74" s="39"/>
    </row>
    <row r="75" spans="1:9" x14ac:dyDescent="0.2">
      <c r="A75" s="1"/>
      <c r="B75" s="1"/>
      <c r="C75" s="2" t="s">
        <v>116</v>
      </c>
      <c r="D75" s="1"/>
      <c r="E75" s="1"/>
      <c r="F75" s="12"/>
      <c r="G75" s="12"/>
      <c r="H75" s="39"/>
      <c r="I75" s="39"/>
    </row>
    <row r="76" spans="1:9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39"/>
      <c r="I76" s="39"/>
    </row>
    <row r="77" spans="1:9" x14ac:dyDescent="0.2">
      <c r="A77" s="1"/>
      <c r="B77" s="1"/>
      <c r="C77" s="11"/>
      <c r="D77" s="1"/>
      <c r="E77" s="1"/>
      <c r="F77" s="12"/>
      <c r="G77" s="12"/>
      <c r="H77" s="39"/>
      <c r="I77" s="39"/>
    </row>
    <row r="78" spans="1:9" x14ac:dyDescent="0.2">
      <c r="A78" s="1"/>
      <c r="B78" s="1"/>
      <c r="C78" s="2" t="s">
        <v>117</v>
      </c>
      <c r="D78" s="1"/>
      <c r="E78" s="1"/>
      <c r="F78" s="12"/>
      <c r="G78" s="12"/>
      <c r="H78" s="39"/>
      <c r="I78" s="39"/>
    </row>
    <row r="79" spans="1:9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  <c r="I79" s="39"/>
    </row>
    <row r="80" spans="1:9" x14ac:dyDescent="0.2">
      <c r="A80" s="1"/>
      <c r="B80" s="1"/>
      <c r="C80" s="11"/>
      <c r="D80" s="1"/>
      <c r="E80" s="1"/>
      <c r="F80" s="12"/>
      <c r="G80" s="12"/>
      <c r="H80" s="39"/>
      <c r="I80" s="39"/>
    </row>
    <row r="81" spans="1:9" x14ac:dyDescent="0.2">
      <c r="A81" s="1"/>
      <c r="B81" s="1"/>
      <c r="C81" s="2" t="s">
        <v>118</v>
      </c>
      <c r="D81" s="1"/>
      <c r="E81" s="1"/>
      <c r="F81" s="9">
        <v>215735.86212490001</v>
      </c>
      <c r="G81" s="10">
        <v>0.70847161000000003</v>
      </c>
      <c r="H81" s="39"/>
      <c r="I81" s="39"/>
    </row>
    <row r="82" spans="1:9" x14ac:dyDescent="0.2">
      <c r="A82" s="1"/>
      <c r="B82" s="1"/>
      <c r="C82" s="11"/>
      <c r="D82" s="1"/>
      <c r="E82" s="1"/>
      <c r="F82" s="12"/>
      <c r="G82" s="12"/>
      <c r="H82" s="39"/>
      <c r="I82" s="39"/>
    </row>
    <row r="83" spans="1:9" x14ac:dyDescent="0.2">
      <c r="A83" s="1"/>
      <c r="B83" s="1"/>
      <c r="C83" s="2" t="s">
        <v>119</v>
      </c>
      <c r="D83" s="1"/>
      <c r="E83" s="1"/>
      <c r="F83" s="12"/>
      <c r="G83" s="12"/>
      <c r="H83" s="39"/>
      <c r="I83" s="39"/>
    </row>
    <row r="84" spans="1:9" ht="25.5" x14ac:dyDescent="0.2">
      <c r="A84" s="1"/>
      <c r="B84" s="1"/>
      <c r="C84" s="2" t="s">
        <v>10</v>
      </c>
      <c r="D84" s="1"/>
      <c r="E84" s="1"/>
      <c r="F84" s="12"/>
      <c r="G84" s="12"/>
      <c r="H84" s="39"/>
      <c r="I84" s="39"/>
    </row>
    <row r="85" spans="1:9" ht="25.5" x14ac:dyDescent="0.2">
      <c r="A85" s="3">
        <v>1</v>
      </c>
      <c r="B85" s="4" t="s">
        <v>587</v>
      </c>
      <c r="C85" s="4" t="s">
        <v>588</v>
      </c>
      <c r="D85" s="4" t="s">
        <v>1050</v>
      </c>
      <c r="E85" s="5">
        <v>400</v>
      </c>
      <c r="F85" s="6">
        <v>4000.1640000000002</v>
      </c>
      <c r="G85" s="7">
        <v>1.3136447000000001E-2</v>
      </c>
      <c r="H85" s="39">
        <v>4.4494999999999996</v>
      </c>
      <c r="I85" s="39"/>
    </row>
    <row r="86" spans="1:9" ht="25.5" x14ac:dyDescent="0.2">
      <c r="A86" s="3">
        <v>2</v>
      </c>
      <c r="B86" s="4" t="s">
        <v>589</v>
      </c>
      <c r="C86" s="4" t="s">
        <v>590</v>
      </c>
      <c r="D86" s="4" t="s">
        <v>591</v>
      </c>
      <c r="E86" s="5">
        <v>250</v>
      </c>
      <c r="F86" s="6">
        <v>2543.6824999999999</v>
      </c>
      <c r="G86" s="7">
        <v>8.3533949999999996E-3</v>
      </c>
      <c r="H86" s="39">
        <v>5.09</v>
      </c>
      <c r="I86" s="39"/>
    </row>
    <row r="87" spans="1:9" ht="25.5" x14ac:dyDescent="0.2">
      <c r="A87" s="3">
        <v>3</v>
      </c>
      <c r="B87" s="4" t="s">
        <v>592</v>
      </c>
      <c r="C87" s="4" t="s">
        <v>593</v>
      </c>
      <c r="D87" s="4" t="s">
        <v>594</v>
      </c>
      <c r="E87" s="5">
        <v>250</v>
      </c>
      <c r="F87" s="6">
        <v>2527.2874999999999</v>
      </c>
      <c r="G87" s="7">
        <v>8.2995540000000007E-3</v>
      </c>
      <c r="H87" s="39">
        <v>4.4000000000000004</v>
      </c>
      <c r="I87" s="39"/>
    </row>
    <row r="88" spans="1:9" ht="38.25" x14ac:dyDescent="0.2">
      <c r="A88" s="3">
        <v>4</v>
      </c>
      <c r="B88" s="4" t="s">
        <v>595</v>
      </c>
      <c r="C88" s="4" t="s">
        <v>1086</v>
      </c>
      <c r="D88" s="4" t="s">
        <v>596</v>
      </c>
      <c r="E88" s="5">
        <v>250</v>
      </c>
      <c r="F88" s="6">
        <v>2521.4875000000002</v>
      </c>
      <c r="G88" s="7">
        <v>8.2805069999999995E-3</v>
      </c>
      <c r="H88" s="39">
        <v>8.0161999999999995</v>
      </c>
      <c r="I88" s="39">
        <v>5.2693739981999999</v>
      </c>
    </row>
    <row r="89" spans="1:9" x14ac:dyDescent="0.2">
      <c r="A89" s="3">
        <v>5</v>
      </c>
      <c r="B89" s="4" t="s">
        <v>597</v>
      </c>
      <c r="C89" s="4" t="s">
        <v>598</v>
      </c>
      <c r="D89" s="4" t="s">
        <v>591</v>
      </c>
      <c r="E89" s="5">
        <v>250</v>
      </c>
      <c r="F89" s="6">
        <v>2509.7525000000001</v>
      </c>
      <c r="G89" s="7">
        <v>8.2419699999999995E-3</v>
      </c>
      <c r="H89" s="39">
        <v>5.53</v>
      </c>
      <c r="I89" s="39"/>
    </row>
    <row r="90" spans="1:9" ht="38.25" x14ac:dyDescent="0.2">
      <c r="A90" s="3">
        <v>6</v>
      </c>
      <c r="B90" s="4" t="s">
        <v>599</v>
      </c>
      <c r="C90" s="4" t="s">
        <v>1087</v>
      </c>
      <c r="D90" s="4" t="s">
        <v>596</v>
      </c>
      <c r="E90" s="5">
        <v>230</v>
      </c>
      <c r="F90" s="6">
        <v>2309.6783999999998</v>
      </c>
      <c r="G90" s="7">
        <v>7.5849309999999996E-3</v>
      </c>
      <c r="H90" s="39">
        <v>8.7818000000000005</v>
      </c>
      <c r="I90" s="39">
        <v>4.7143209880499999</v>
      </c>
    </row>
    <row r="91" spans="1:9" ht="25.5" x14ac:dyDescent="0.2">
      <c r="A91" s="3">
        <v>7</v>
      </c>
      <c r="B91" s="4" t="s">
        <v>600</v>
      </c>
      <c r="C91" s="4" t="s">
        <v>601</v>
      </c>
      <c r="D91" s="4" t="s">
        <v>594</v>
      </c>
      <c r="E91" s="5">
        <v>200</v>
      </c>
      <c r="F91" s="6">
        <v>1984.626</v>
      </c>
      <c r="G91" s="7">
        <v>6.5174660000000004E-3</v>
      </c>
      <c r="H91" s="39">
        <v>5.5</v>
      </c>
      <c r="I91" s="39"/>
    </row>
    <row r="92" spans="1:9" ht="25.5" x14ac:dyDescent="0.2">
      <c r="A92" s="3">
        <v>8</v>
      </c>
      <c r="B92" s="4" t="s">
        <v>602</v>
      </c>
      <c r="C92" s="4" t="s">
        <v>1088</v>
      </c>
      <c r="D92" s="4" t="s">
        <v>603</v>
      </c>
      <c r="E92" s="5">
        <v>150</v>
      </c>
      <c r="F92" s="6">
        <v>1571.46</v>
      </c>
      <c r="G92" s="7">
        <v>5.1606389999999999E-3</v>
      </c>
      <c r="H92" s="39">
        <v>7.6273</v>
      </c>
      <c r="I92" s="39">
        <v>5.7797853238999997</v>
      </c>
    </row>
    <row r="93" spans="1:9" ht="25.5" x14ac:dyDescent="0.2">
      <c r="A93" s="3">
        <v>9</v>
      </c>
      <c r="B93" s="4" t="s">
        <v>604</v>
      </c>
      <c r="C93" s="4" t="s">
        <v>605</v>
      </c>
      <c r="D93" s="4" t="s">
        <v>591</v>
      </c>
      <c r="E93" s="5">
        <v>150</v>
      </c>
      <c r="F93" s="6">
        <v>1557.57</v>
      </c>
      <c r="G93" s="7">
        <v>5.1150240000000001E-3</v>
      </c>
      <c r="H93" s="39">
        <v>5.4749999999999996</v>
      </c>
      <c r="I93" s="39"/>
    </row>
    <row r="94" spans="1:9" ht="25.5" x14ac:dyDescent="0.2">
      <c r="A94" s="3">
        <v>10</v>
      </c>
      <c r="B94" s="4" t="s">
        <v>606</v>
      </c>
      <c r="C94" s="4" t="s">
        <v>607</v>
      </c>
      <c r="D94" s="4" t="s">
        <v>591</v>
      </c>
      <c r="E94" s="5">
        <v>150</v>
      </c>
      <c r="F94" s="6">
        <v>1551.5174999999999</v>
      </c>
      <c r="G94" s="7">
        <v>5.0951479999999999E-3</v>
      </c>
      <c r="H94" s="39">
        <v>5.9991000000000003</v>
      </c>
      <c r="I94" s="39"/>
    </row>
    <row r="95" spans="1:9" ht="25.5" x14ac:dyDescent="0.2">
      <c r="A95" s="3">
        <v>11</v>
      </c>
      <c r="B95" s="4" t="s">
        <v>608</v>
      </c>
      <c r="C95" s="4" t="s">
        <v>609</v>
      </c>
      <c r="D95" s="4" t="s">
        <v>591</v>
      </c>
      <c r="E95" s="5">
        <v>150</v>
      </c>
      <c r="F95" s="6">
        <v>1525.1565000000001</v>
      </c>
      <c r="G95" s="7">
        <v>5.008579E-3</v>
      </c>
      <c r="H95" s="39">
        <v>4.8</v>
      </c>
      <c r="I95" s="39"/>
    </row>
    <row r="96" spans="1:9" ht="38.25" x14ac:dyDescent="0.2">
      <c r="A96" s="3">
        <v>12</v>
      </c>
      <c r="B96" s="4" t="s">
        <v>610</v>
      </c>
      <c r="C96" s="4" t="s">
        <v>1089</v>
      </c>
      <c r="D96" s="4" t="s">
        <v>596</v>
      </c>
      <c r="E96" s="5">
        <v>150</v>
      </c>
      <c r="F96" s="6">
        <v>1515.675</v>
      </c>
      <c r="G96" s="7">
        <v>4.9774420000000003E-3</v>
      </c>
      <c r="H96" s="39">
        <v>8.484</v>
      </c>
      <c r="I96" s="39">
        <v>5.4062943508999997</v>
      </c>
    </row>
    <row r="97" spans="1:9" ht="25.5" x14ac:dyDescent="0.2">
      <c r="A97" s="3">
        <v>13</v>
      </c>
      <c r="B97" s="4" t="s">
        <v>611</v>
      </c>
      <c r="C97" s="4" t="s">
        <v>612</v>
      </c>
      <c r="D97" s="4" t="s">
        <v>591</v>
      </c>
      <c r="E97" s="5">
        <v>100</v>
      </c>
      <c r="F97" s="6">
        <v>1051.241</v>
      </c>
      <c r="G97" s="7">
        <v>3.4522509999999999E-3</v>
      </c>
      <c r="H97" s="39">
        <v>5.52</v>
      </c>
      <c r="I97" s="39"/>
    </row>
    <row r="98" spans="1:9" ht="25.5" x14ac:dyDescent="0.2">
      <c r="A98" s="3">
        <v>14</v>
      </c>
      <c r="B98" s="4" t="s">
        <v>613</v>
      </c>
      <c r="C98" s="4" t="s">
        <v>614</v>
      </c>
      <c r="D98" s="4" t="s">
        <v>591</v>
      </c>
      <c r="E98" s="5">
        <v>100</v>
      </c>
      <c r="F98" s="6">
        <v>1047.1569999999999</v>
      </c>
      <c r="G98" s="7">
        <v>3.4388399999999999E-3</v>
      </c>
      <c r="H98" s="39">
        <v>5.97</v>
      </c>
      <c r="I98" s="39"/>
    </row>
    <row r="99" spans="1:9" x14ac:dyDescent="0.2">
      <c r="A99" s="3">
        <v>15</v>
      </c>
      <c r="B99" s="4" t="s">
        <v>615</v>
      </c>
      <c r="C99" s="4" t="s">
        <v>616</v>
      </c>
      <c r="D99" s="4" t="s">
        <v>591</v>
      </c>
      <c r="E99" s="5">
        <v>100</v>
      </c>
      <c r="F99" s="6">
        <v>1042.865</v>
      </c>
      <c r="G99" s="7">
        <v>3.4247449999999999E-3</v>
      </c>
      <c r="H99" s="39">
        <v>6.4050000000000002</v>
      </c>
      <c r="I99" s="39"/>
    </row>
    <row r="100" spans="1:9" ht="25.5" x14ac:dyDescent="0.2">
      <c r="A100" s="3">
        <v>16</v>
      </c>
      <c r="B100" s="4" t="s">
        <v>617</v>
      </c>
      <c r="C100" s="4" t="s">
        <v>618</v>
      </c>
      <c r="D100" s="4" t="s">
        <v>591</v>
      </c>
      <c r="E100" s="5">
        <v>100</v>
      </c>
      <c r="F100" s="6">
        <v>1042.778</v>
      </c>
      <c r="G100" s="7">
        <v>3.4244589999999999E-3</v>
      </c>
      <c r="H100" s="39">
        <v>5.52</v>
      </c>
      <c r="I100" s="39"/>
    </row>
    <row r="101" spans="1:9" ht="25.5" x14ac:dyDescent="0.2">
      <c r="A101" s="3">
        <v>17</v>
      </c>
      <c r="B101" s="4" t="s">
        <v>619</v>
      </c>
      <c r="C101" s="4" t="s">
        <v>620</v>
      </c>
      <c r="D101" s="4" t="s">
        <v>591</v>
      </c>
      <c r="E101" s="5">
        <v>100</v>
      </c>
      <c r="F101" s="6">
        <v>1017.0359999999999</v>
      </c>
      <c r="G101" s="7">
        <v>3.3399229999999999E-3</v>
      </c>
      <c r="H101" s="39">
        <v>5.1100000000000003</v>
      </c>
      <c r="I101" s="39"/>
    </row>
    <row r="102" spans="1:9" ht="38.25" x14ac:dyDescent="0.2">
      <c r="A102" s="3">
        <v>18</v>
      </c>
      <c r="B102" s="4" t="s">
        <v>621</v>
      </c>
      <c r="C102" s="4" t="s">
        <v>1090</v>
      </c>
      <c r="D102" s="4" t="s">
        <v>596</v>
      </c>
      <c r="E102" s="5">
        <v>100</v>
      </c>
      <c r="F102" s="6">
        <v>1007.7910000000001</v>
      </c>
      <c r="G102" s="7">
        <v>3.3095619999999998E-3</v>
      </c>
      <c r="H102" s="39">
        <v>8.6249000000000002</v>
      </c>
      <c r="I102" s="39">
        <v>5.1373414555499997</v>
      </c>
    </row>
    <row r="103" spans="1:9" ht="25.5" x14ac:dyDescent="0.2">
      <c r="A103" s="3">
        <v>19</v>
      </c>
      <c r="B103" s="4" t="s">
        <v>622</v>
      </c>
      <c r="C103" s="4" t="s">
        <v>623</v>
      </c>
      <c r="D103" s="4" t="s">
        <v>594</v>
      </c>
      <c r="E103" s="5">
        <v>100</v>
      </c>
      <c r="F103" s="6">
        <v>1002.0359999999999</v>
      </c>
      <c r="G103" s="7">
        <v>3.2906630000000001E-3</v>
      </c>
      <c r="H103" s="39">
        <v>5.12</v>
      </c>
      <c r="I103" s="39"/>
    </row>
    <row r="104" spans="1:9" ht="25.5" x14ac:dyDescent="0.2">
      <c r="A104" s="3">
        <v>20</v>
      </c>
      <c r="B104" s="4" t="s">
        <v>624</v>
      </c>
      <c r="C104" s="4" t="s">
        <v>625</v>
      </c>
      <c r="D104" s="4" t="s">
        <v>591</v>
      </c>
      <c r="E104" s="5">
        <v>100</v>
      </c>
      <c r="F104" s="6">
        <v>985.02599999999995</v>
      </c>
      <c r="G104" s="7">
        <v>3.2348030000000001E-3</v>
      </c>
      <c r="H104" s="39">
        <v>5.81</v>
      </c>
      <c r="I104" s="39"/>
    </row>
    <row r="105" spans="1:9" x14ac:dyDescent="0.2">
      <c r="A105" s="3">
        <v>21</v>
      </c>
      <c r="B105" s="4" t="s">
        <v>626</v>
      </c>
      <c r="C105" s="4" t="s">
        <v>627</v>
      </c>
      <c r="D105" s="4" t="s">
        <v>591</v>
      </c>
      <c r="E105" s="5">
        <v>55</v>
      </c>
      <c r="F105" s="6">
        <v>559.79110000000003</v>
      </c>
      <c r="G105" s="7">
        <v>1.8383410000000001E-3</v>
      </c>
      <c r="H105" s="39">
        <v>4.7</v>
      </c>
      <c r="I105" s="39"/>
    </row>
    <row r="106" spans="1:9" x14ac:dyDescent="0.2">
      <c r="A106" s="3">
        <v>22</v>
      </c>
      <c r="B106" s="4" t="s">
        <v>628</v>
      </c>
      <c r="C106" s="4" t="s">
        <v>629</v>
      </c>
      <c r="D106" s="4" t="s">
        <v>1050</v>
      </c>
      <c r="E106" s="5">
        <v>50</v>
      </c>
      <c r="F106" s="6">
        <v>515.48950000000002</v>
      </c>
      <c r="G106" s="7">
        <v>1.692856E-3</v>
      </c>
      <c r="H106" s="39">
        <v>5.3849999999999998</v>
      </c>
      <c r="I106" s="39"/>
    </row>
    <row r="107" spans="1:9" ht="25.5" x14ac:dyDescent="0.2">
      <c r="A107" s="3">
        <v>23</v>
      </c>
      <c r="B107" s="4" t="s">
        <v>630</v>
      </c>
      <c r="C107" s="4" t="s">
        <v>631</v>
      </c>
      <c r="D107" s="4" t="s">
        <v>1050</v>
      </c>
      <c r="E107" s="5">
        <v>45</v>
      </c>
      <c r="F107" s="6">
        <v>456.99029999999999</v>
      </c>
      <c r="G107" s="7">
        <v>1.5007460000000001E-3</v>
      </c>
      <c r="H107" s="39">
        <v>5.1349999999999998</v>
      </c>
      <c r="I107" s="39"/>
    </row>
    <row r="108" spans="1:9" ht="25.5" x14ac:dyDescent="0.2">
      <c r="A108" s="3">
        <v>24</v>
      </c>
      <c r="B108" s="4" t="s">
        <v>643</v>
      </c>
      <c r="C108" s="4" t="s">
        <v>644</v>
      </c>
      <c r="D108" s="4" t="s">
        <v>594</v>
      </c>
      <c r="E108" s="5">
        <v>50</v>
      </c>
      <c r="F108" s="6">
        <v>499.49650000000003</v>
      </c>
      <c r="G108" s="7">
        <v>1.6403349999999999E-3</v>
      </c>
      <c r="H108" s="39">
        <v>5.5</v>
      </c>
      <c r="I108" s="39"/>
    </row>
    <row r="109" spans="1:9" ht="25.5" x14ac:dyDescent="0.2">
      <c r="A109" s="3">
        <v>25</v>
      </c>
      <c r="B109" s="4" t="s">
        <v>632</v>
      </c>
      <c r="C109" s="4" t="s">
        <v>633</v>
      </c>
      <c r="D109" s="4" t="s">
        <v>591</v>
      </c>
      <c r="E109" s="5">
        <v>40</v>
      </c>
      <c r="F109" s="6">
        <v>411.65800000000002</v>
      </c>
      <c r="G109" s="7">
        <v>1.351875E-3</v>
      </c>
      <c r="H109" s="39">
        <v>4.8049999999999997</v>
      </c>
      <c r="I109" s="39"/>
    </row>
    <row r="110" spans="1:9" ht="25.5" x14ac:dyDescent="0.2">
      <c r="A110" s="3">
        <v>26</v>
      </c>
      <c r="B110" s="4" t="s">
        <v>634</v>
      </c>
      <c r="C110" s="4" t="s">
        <v>635</v>
      </c>
      <c r="D110" s="4" t="s">
        <v>591</v>
      </c>
      <c r="E110" s="5">
        <v>20</v>
      </c>
      <c r="F110" s="6">
        <v>203.24680000000001</v>
      </c>
      <c r="G110" s="7">
        <v>6.6745800000000001E-4</v>
      </c>
      <c r="H110" s="39">
        <v>4.91</v>
      </c>
      <c r="I110" s="39"/>
    </row>
    <row r="111" spans="1:9" ht="25.5" x14ac:dyDescent="0.2">
      <c r="A111" s="3">
        <v>27</v>
      </c>
      <c r="B111" s="4" t="s">
        <v>636</v>
      </c>
      <c r="C111" s="4" t="s">
        <v>637</v>
      </c>
      <c r="D111" s="4" t="s">
        <v>594</v>
      </c>
      <c r="E111" s="5">
        <v>20</v>
      </c>
      <c r="F111" s="6">
        <v>201.71559999999999</v>
      </c>
      <c r="G111" s="7">
        <v>6.6242899999999997E-4</v>
      </c>
      <c r="H111" s="39">
        <v>4.33</v>
      </c>
      <c r="I111" s="39"/>
    </row>
    <row r="112" spans="1:9" ht="25.5" x14ac:dyDescent="0.2">
      <c r="A112" s="3">
        <v>28</v>
      </c>
      <c r="B112" s="4" t="s">
        <v>638</v>
      </c>
      <c r="C112" s="4" t="s">
        <v>639</v>
      </c>
      <c r="D112" s="4" t="s">
        <v>591</v>
      </c>
      <c r="E112" s="5">
        <v>20</v>
      </c>
      <c r="F112" s="6">
        <v>198.75559999999999</v>
      </c>
      <c r="G112" s="7">
        <v>6.5270900000000001E-4</v>
      </c>
      <c r="H112" s="39">
        <v>5.55</v>
      </c>
      <c r="I112" s="39"/>
    </row>
    <row r="113" spans="1:9" ht="25.5" x14ac:dyDescent="0.2">
      <c r="A113" s="3">
        <v>29</v>
      </c>
      <c r="B113" s="4" t="s">
        <v>640</v>
      </c>
      <c r="C113" s="37" t="s">
        <v>1091</v>
      </c>
      <c r="D113" s="4" t="s">
        <v>1051</v>
      </c>
      <c r="E113" s="5">
        <v>20</v>
      </c>
      <c r="F113" s="6">
        <v>198.4752</v>
      </c>
      <c r="G113" s="7">
        <v>6.5178800000000004E-4</v>
      </c>
      <c r="H113" s="39">
        <v>10.8422</v>
      </c>
      <c r="I113" s="39"/>
    </row>
    <row r="114" spans="1:9" x14ac:dyDescent="0.2">
      <c r="A114" s="1"/>
      <c r="B114" s="1"/>
      <c r="C114" s="2" t="s">
        <v>111</v>
      </c>
      <c r="D114" s="1"/>
      <c r="E114" s="1" t="s">
        <v>112</v>
      </c>
      <c r="F114" s="9">
        <v>37559.606000000007</v>
      </c>
      <c r="G114" s="10">
        <v>0.12334488499999999</v>
      </c>
      <c r="H114" s="39"/>
      <c r="I114" s="39"/>
    </row>
    <row r="115" spans="1:9" x14ac:dyDescent="0.2">
      <c r="A115" s="1"/>
      <c r="B115" s="1"/>
      <c r="C115" s="11"/>
      <c r="D115" s="1"/>
      <c r="E115" s="1"/>
      <c r="F115" s="12"/>
      <c r="G115" s="12"/>
      <c r="H115" s="39"/>
      <c r="I115" s="39"/>
    </row>
    <row r="116" spans="1:9" x14ac:dyDescent="0.2">
      <c r="A116" s="1"/>
      <c r="B116" s="1"/>
      <c r="C116" s="2" t="s">
        <v>120</v>
      </c>
      <c r="D116" s="1"/>
      <c r="E116" s="1"/>
      <c r="F116" s="1"/>
      <c r="G116" s="1"/>
      <c r="H116" s="39"/>
      <c r="I116" s="39"/>
    </row>
    <row r="117" spans="1:9" x14ac:dyDescent="0.2">
      <c r="A117" s="3">
        <v>1</v>
      </c>
      <c r="B117" s="4" t="s">
        <v>641</v>
      </c>
      <c r="C117" s="4" t="s">
        <v>642</v>
      </c>
      <c r="D117" s="4" t="s">
        <v>591</v>
      </c>
      <c r="E117" s="5">
        <v>50</v>
      </c>
      <c r="F117" s="6">
        <v>527.82600000000002</v>
      </c>
      <c r="G117" s="7">
        <v>1.7333680000000001E-3</v>
      </c>
      <c r="H117" s="39">
        <v>6.54</v>
      </c>
      <c r="I117" s="39"/>
    </row>
    <row r="118" spans="1:9" x14ac:dyDescent="0.2">
      <c r="A118" s="1"/>
      <c r="B118" s="1"/>
      <c r="C118" s="2" t="s">
        <v>111</v>
      </c>
      <c r="D118" s="1"/>
      <c r="E118" s="1" t="s">
        <v>112</v>
      </c>
      <c r="F118" s="9">
        <v>527.82600000000002</v>
      </c>
      <c r="G118" s="10">
        <v>1.7333680000000001E-3</v>
      </c>
      <c r="H118" s="39"/>
      <c r="I118" s="39"/>
    </row>
    <row r="119" spans="1:9" x14ac:dyDescent="0.2">
      <c r="A119" s="1"/>
      <c r="B119" s="1"/>
      <c r="C119" s="11"/>
      <c r="D119" s="1"/>
      <c r="E119" s="1"/>
      <c r="F119" s="12"/>
      <c r="G119" s="12"/>
      <c r="H119" s="39"/>
      <c r="I119" s="39"/>
    </row>
    <row r="120" spans="1:9" x14ac:dyDescent="0.2">
      <c r="A120" s="1"/>
      <c r="B120" s="1"/>
      <c r="C120" s="2" t="s">
        <v>121</v>
      </c>
      <c r="D120" s="1"/>
      <c r="E120" s="1"/>
      <c r="F120" s="1"/>
      <c r="G120" s="1"/>
      <c r="H120" s="39"/>
      <c r="I120" s="39"/>
    </row>
    <row r="121" spans="1:9" ht="25.5" x14ac:dyDescent="0.2">
      <c r="A121" s="3">
        <v>1</v>
      </c>
      <c r="B121" s="4" t="s">
        <v>645</v>
      </c>
      <c r="C121" s="4" t="s">
        <v>646</v>
      </c>
      <c r="D121" s="4" t="s">
        <v>647</v>
      </c>
      <c r="E121" s="5">
        <v>3000000</v>
      </c>
      <c r="F121" s="6">
        <v>3119.8049999999998</v>
      </c>
      <c r="G121" s="7">
        <v>1.0245367999999999E-2</v>
      </c>
      <c r="H121" s="39">
        <v>4.9973000000000001</v>
      </c>
      <c r="I121" s="39"/>
    </row>
    <row r="122" spans="1:9" ht="25.5" x14ac:dyDescent="0.2">
      <c r="A122" s="3">
        <v>2</v>
      </c>
      <c r="B122" s="4" t="s">
        <v>648</v>
      </c>
      <c r="C122" s="4" t="s">
        <v>649</v>
      </c>
      <c r="D122" s="4" t="s">
        <v>647</v>
      </c>
      <c r="E122" s="5">
        <v>1500000</v>
      </c>
      <c r="F122" s="6">
        <v>1540.7864999999999</v>
      </c>
      <c r="G122" s="7">
        <v>5.0599069999999998E-3</v>
      </c>
      <c r="H122" s="39">
        <v>4.6673</v>
      </c>
      <c r="I122" s="39"/>
    </row>
    <row r="123" spans="1:9" ht="25.5" x14ac:dyDescent="0.2">
      <c r="A123" s="3">
        <v>3</v>
      </c>
      <c r="B123" s="4" t="s">
        <v>650</v>
      </c>
      <c r="C123" s="4" t="s">
        <v>651</v>
      </c>
      <c r="D123" s="4" t="s">
        <v>647</v>
      </c>
      <c r="E123" s="5">
        <v>950000</v>
      </c>
      <c r="F123" s="6">
        <v>968.10035000000005</v>
      </c>
      <c r="G123" s="7">
        <v>3.1792190000000001E-3</v>
      </c>
      <c r="H123" s="39">
        <v>5.38</v>
      </c>
      <c r="I123" s="39"/>
    </row>
    <row r="124" spans="1:9" ht="25.5" x14ac:dyDescent="0.2">
      <c r="A124" s="3">
        <v>4</v>
      </c>
      <c r="B124" s="4" t="s">
        <v>652</v>
      </c>
      <c r="C124" s="4" t="s">
        <v>653</v>
      </c>
      <c r="D124" s="4" t="s">
        <v>647</v>
      </c>
      <c r="E124" s="5">
        <v>650000</v>
      </c>
      <c r="F124" s="6">
        <v>661.37564999999995</v>
      </c>
      <c r="G124" s="7">
        <v>2.1719420000000001E-3</v>
      </c>
      <c r="H124" s="39">
        <v>4.3209</v>
      </c>
      <c r="I124" s="39"/>
    </row>
    <row r="125" spans="1:9" ht="25.5" x14ac:dyDescent="0.2">
      <c r="A125" s="3">
        <v>5</v>
      </c>
      <c r="B125" s="4" t="s">
        <v>654</v>
      </c>
      <c r="C125" s="4" t="s">
        <v>655</v>
      </c>
      <c r="D125" s="4" t="s">
        <v>647</v>
      </c>
      <c r="E125" s="5">
        <v>500000</v>
      </c>
      <c r="F125" s="6">
        <v>500.28399999999999</v>
      </c>
      <c r="G125" s="7">
        <v>1.6429210000000001E-3</v>
      </c>
      <c r="H125" s="39">
        <v>3.3506</v>
      </c>
      <c r="I125" s="39"/>
    </row>
    <row r="126" spans="1:9" ht="25.5" x14ac:dyDescent="0.2">
      <c r="A126" s="3">
        <v>6</v>
      </c>
      <c r="B126" s="4" t="s">
        <v>656</v>
      </c>
      <c r="C126" s="4" t="s">
        <v>657</v>
      </c>
      <c r="D126" s="4" t="s">
        <v>647</v>
      </c>
      <c r="E126" s="5">
        <v>400000</v>
      </c>
      <c r="F126" s="6">
        <v>426.59519999999998</v>
      </c>
      <c r="G126" s="7">
        <v>1.400929E-3</v>
      </c>
      <c r="H126" s="39">
        <v>5.9279999999999999</v>
      </c>
      <c r="I126" s="39"/>
    </row>
    <row r="127" spans="1:9" ht="25.5" x14ac:dyDescent="0.2">
      <c r="A127" s="3">
        <v>7</v>
      </c>
      <c r="B127" s="4" t="s">
        <v>658</v>
      </c>
      <c r="C127" s="4" t="s">
        <v>659</v>
      </c>
      <c r="D127" s="4" t="s">
        <v>647</v>
      </c>
      <c r="E127" s="5">
        <v>400000</v>
      </c>
      <c r="F127" s="6">
        <v>424.25240000000002</v>
      </c>
      <c r="G127" s="7">
        <v>1.393235E-3</v>
      </c>
      <c r="H127" s="39">
        <v>5.8079999999999998</v>
      </c>
      <c r="I127" s="39"/>
    </row>
    <row r="128" spans="1:9" ht="25.5" x14ac:dyDescent="0.2">
      <c r="A128" s="3">
        <v>8</v>
      </c>
      <c r="B128" s="4" t="s">
        <v>660</v>
      </c>
      <c r="C128" s="4" t="s">
        <v>661</v>
      </c>
      <c r="D128" s="4" t="s">
        <v>647</v>
      </c>
      <c r="E128" s="5">
        <v>400000</v>
      </c>
      <c r="F128" s="6">
        <v>423.36799999999999</v>
      </c>
      <c r="G128" s="7">
        <v>1.3903310000000001E-3</v>
      </c>
      <c r="H128" s="39">
        <v>5.8098999999999998</v>
      </c>
      <c r="I128" s="39"/>
    </row>
    <row r="129" spans="1:9" ht="25.5" x14ac:dyDescent="0.2">
      <c r="A129" s="3">
        <v>9</v>
      </c>
      <c r="B129" s="4" t="s">
        <v>662</v>
      </c>
      <c r="C129" s="4" t="s">
        <v>663</v>
      </c>
      <c r="D129" s="4" t="s">
        <v>647</v>
      </c>
      <c r="E129" s="5">
        <v>400000</v>
      </c>
      <c r="F129" s="6">
        <v>407.1848</v>
      </c>
      <c r="G129" s="7">
        <v>1.337186E-3</v>
      </c>
      <c r="H129" s="39">
        <v>4.2249999999999996</v>
      </c>
      <c r="I129" s="39"/>
    </row>
    <row r="130" spans="1:9" ht="25.5" x14ac:dyDescent="0.2">
      <c r="A130" s="3">
        <v>10</v>
      </c>
      <c r="B130" s="4" t="s">
        <v>664</v>
      </c>
      <c r="C130" s="4" t="s">
        <v>665</v>
      </c>
      <c r="D130" s="4" t="s">
        <v>647</v>
      </c>
      <c r="E130" s="5">
        <v>150000</v>
      </c>
      <c r="F130" s="6">
        <v>150.83609999999999</v>
      </c>
      <c r="G130" s="7">
        <v>4.9534199999999996E-4</v>
      </c>
      <c r="H130" s="39">
        <v>3.6</v>
      </c>
      <c r="I130" s="39"/>
    </row>
    <row r="131" spans="1:9" x14ac:dyDescent="0.2">
      <c r="A131" s="1"/>
      <c r="B131" s="1"/>
      <c r="C131" s="2" t="s">
        <v>111</v>
      </c>
      <c r="D131" s="1"/>
      <c r="E131" s="1" t="s">
        <v>112</v>
      </c>
      <c r="F131" s="9">
        <v>8622.5879999999997</v>
      </c>
      <c r="G131" s="10">
        <v>2.8316379999999999E-2</v>
      </c>
      <c r="H131" s="39"/>
      <c r="I131" s="39"/>
    </row>
    <row r="132" spans="1:9" x14ac:dyDescent="0.2">
      <c r="A132" s="1"/>
      <c r="B132" s="1"/>
      <c r="C132" s="11"/>
      <c r="D132" s="1"/>
      <c r="E132" s="1"/>
      <c r="F132" s="12"/>
      <c r="G132" s="12"/>
      <c r="H132" s="39"/>
      <c r="I132" s="39"/>
    </row>
    <row r="133" spans="1:9" x14ac:dyDescent="0.2">
      <c r="A133" s="1"/>
      <c r="B133" s="1"/>
      <c r="C133" s="2" t="s">
        <v>122</v>
      </c>
      <c r="D133" s="1"/>
      <c r="E133" s="1"/>
      <c r="F133" s="12"/>
      <c r="G133" s="12"/>
      <c r="H133" s="39"/>
      <c r="I133" s="39"/>
    </row>
    <row r="134" spans="1:9" x14ac:dyDescent="0.2">
      <c r="A134" s="1"/>
      <c r="B134" s="1"/>
      <c r="C134" s="2" t="s">
        <v>111</v>
      </c>
      <c r="D134" s="1"/>
      <c r="E134" s="1" t="s">
        <v>112</v>
      </c>
      <c r="F134" s="13">
        <v>0</v>
      </c>
      <c r="G134" s="14">
        <v>0</v>
      </c>
      <c r="H134" s="39"/>
      <c r="I134" s="39"/>
    </row>
    <row r="135" spans="1:9" x14ac:dyDescent="0.2">
      <c r="A135" s="1"/>
      <c r="B135" s="1"/>
      <c r="C135" s="11"/>
      <c r="D135" s="1"/>
      <c r="E135" s="1"/>
      <c r="F135" s="12"/>
      <c r="G135" s="12"/>
      <c r="H135" s="39"/>
      <c r="I135" s="39"/>
    </row>
    <row r="136" spans="1:9" x14ac:dyDescent="0.2">
      <c r="A136" s="1"/>
      <c r="B136" s="1"/>
      <c r="C136" s="2" t="s">
        <v>123</v>
      </c>
      <c r="D136" s="1"/>
      <c r="E136" s="1"/>
      <c r="F136" s="9">
        <v>46710.02</v>
      </c>
      <c r="G136" s="10">
        <v>0.153394633</v>
      </c>
      <c r="H136" s="39"/>
      <c r="I136" s="39"/>
    </row>
    <row r="137" spans="1:9" x14ac:dyDescent="0.2">
      <c r="A137" s="1"/>
      <c r="B137" s="1"/>
      <c r="C137" s="11"/>
      <c r="D137" s="1"/>
      <c r="E137" s="1"/>
      <c r="F137" s="12"/>
      <c r="G137" s="12"/>
      <c r="H137" s="39"/>
      <c r="I137" s="39"/>
    </row>
    <row r="138" spans="1:9" x14ac:dyDescent="0.2">
      <c r="A138" s="1"/>
      <c r="B138" s="1"/>
      <c r="C138" s="2" t="s">
        <v>124</v>
      </c>
      <c r="D138" s="1"/>
      <c r="E138" s="1"/>
      <c r="F138" s="12"/>
      <c r="G138" s="12"/>
      <c r="H138" s="39"/>
      <c r="I138" s="39"/>
    </row>
    <row r="139" spans="1:9" x14ac:dyDescent="0.2">
      <c r="A139" s="1"/>
      <c r="B139" s="1"/>
      <c r="C139" s="2" t="s">
        <v>125</v>
      </c>
      <c r="D139" s="1"/>
      <c r="E139" s="1"/>
      <c r="F139" s="12"/>
      <c r="G139" s="12"/>
      <c r="H139" s="39"/>
      <c r="I139" s="39"/>
    </row>
    <row r="140" spans="1:9" x14ac:dyDescent="0.2">
      <c r="A140" s="3">
        <v>1</v>
      </c>
      <c r="B140" s="4" t="s">
        <v>666</v>
      </c>
      <c r="C140" s="4" t="s">
        <v>667</v>
      </c>
      <c r="D140" s="4" t="s">
        <v>668</v>
      </c>
      <c r="E140" s="5">
        <v>1000</v>
      </c>
      <c r="F140" s="6">
        <v>4962.2849999999999</v>
      </c>
      <c r="G140" s="7">
        <v>1.629603E-2</v>
      </c>
      <c r="H140" s="39">
        <v>3.8</v>
      </c>
      <c r="I140" s="39"/>
    </row>
    <row r="141" spans="1:9" ht="25.5" x14ac:dyDescent="0.2">
      <c r="A141" s="3">
        <v>2</v>
      </c>
      <c r="B141" s="4" t="s">
        <v>669</v>
      </c>
      <c r="C141" s="4" t="s">
        <v>670</v>
      </c>
      <c r="D141" s="4" t="s">
        <v>671</v>
      </c>
      <c r="E141" s="5">
        <v>2500</v>
      </c>
      <c r="F141" s="6">
        <v>2483.9050000000002</v>
      </c>
      <c r="G141" s="7">
        <v>8.1570870000000004E-3</v>
      </c>
      <c r="H141" s="39">
        <v>3.8149999999999999</v>
      </c>
      <c r="I141" s="39"/>
    </row>
    <row r="142" spans="1:9" x14ac:dyDescent="0.2">
      <c r="A142" s="3">
        <v>3</v>
      </c>
      <c r="B142" s="4" t="s">
        <v>672</v>
      </c>
      <c r="C142" s="4" t="s">
        <v>673</v>
      </c>
      <c r="D142" s="4" t="s">
        <v>671</v>
      </c>
      <c r="E142" s="5">
        <v>500</v>
      </c>
      <c r="F142" s="6">
        <v>2480.0774999999999</v>
      </c>
      <c r="G142" s="7">
        <v>8.1445170000000004E-3</v>
      </c>
      <c r="H142" s="39">
        <v>3.8582999999999998</v>
      </c>
      <c r="I142" s="39"/>
    </row>
    <row r="143" spans="1:9" x14ac:dyDescent="0.2">
      <c r="A143" s="3">
        <v>4</v>
      </c>
      <c r="B143" s="4" t="s">
        <v>674</v>
      </c>
      <c r="C143" s="4" t="s">
        <v>675</v>
      </c>
      <c r="D143" s="4" t="s">
        <v>668</v>
      </c>
      <c r="E143" s="5">
        <v>500</v>
      </c>
      <c r="F143" s="6">
        <v>2402.5700000000002</v>
      </c>
      <c r="G143" s="7">
        <v>7.8899850000000004E-3</v>
      </c>
      <c r="H143" s="39">
        <v>4.6399999999999997</v>
      </c>
      <c r="I143" s="39"/>
    </row>
    <row r="144" spans="1:9" x14ac:dyDescent="0.2">
      <c r="A144" s="1"/>
      <c r="B144" s="1"/>
      <c r="C144" s="2" t="s">
        <v>111</v>
      </c>
      <c r="D144" s="1"/>
      <c r="E144" s="1" t="s">
        <v>112</v>
      </c>
      <c r="F144" s="9">
        <v>12328.8375</v>
      </c>
      <c r="G144" s="10">
        <v>4.0487619000000002E-2</v>
      </c>
      <c r="H144" s="39"/>
      <c r="I144" s="39"/>
    </row>
    <row r="145" spans="1:9" x14ac:dyDescent="0.2">
      <c r="A145" s="1"/>
      <c r="B145" s="1"/>
      <c r="C145" s="11"/>
      <c r="D145" s="1"/>
      <c r="E145" s="1"/>
      <c r="F145" s="12"/>
      <c r="G145" s="12"/>
      <c r="H145" s="39"/>
      <c r="I145" s="39"/>
    </row>
    <row r="146" spans="1:9" x14ac:dyDescent="0.2">
      <c r="A146" s="1"/>
      <c r="B146" s="1"/>
      <c r="C146" s="2" t="s">
        <v>126</v>
      </c>
      <c r="D146" s="1"/>
      <c r="E146" s="1"/>
      <c r="F146" s="12"/>
      <c r="G146" s="12"/>
      <c r="H146" s="39"/>
      <c r="I146" s="39"/>
    </row>
    <row r="147" spans="1:9" x14ac:dyDescent="0.2">
      <c r="A147" s="3">
        <v>1</v>
      </c>
      <c r="B147" s="4" t="s">
        <v>676</v>
      </c>
      <c r="C147" s="4" t="s">
        <v>677</v>
      </c>
      <c r="D147" s="4" t="s">
        <v>671</v>
      </c>
      <c r="E147" s="5">
        <v>500</v>
      </c>
      <c r="F147" s="6">
        <v>2447.2849999999999</v>
      </c>
      <c r="G147" s="7">
        <v>8.0368279999999993E-3</v>
      </c>
      <c r="H147" s="39">
        <v>4.32</v>
      </c>
      <c r="I147" s="39"/>
    </row>
    <row r="148" spans="1:9" x14ac:dyDescent="0.2">
      <c r="A148" s="1"/>
      <c r="B148" s="1"/>
      <c r="C148" s="2" t="s">
        <v>111</v>
      </c>
      <c r="D148" s="1"/>
      <c r="E148" s="1" t="s">
        <v>112</v>
      </c>
      <c r="F148" s="9">
        <v>2447.2849999999999</v>
      </c>
      <c r="G148" s="10">
        <v>8.0368279999999993E-3</v>
      </c>
      <c r="H148" s="39"/>
      <c r="I148" s="39"/>
    </row>
    <row r="149" spans="1:9" x14ac:dyDescent="0.2">
      <c r="A149" s="1"/>
      <c r="B149" s="1"/>
      <c r="C149" s="11"/>
      <c r="D149" s="1"/>
      <c r="E149" s="1"/>
      <c r="F149" s="12"/>
      <c r="G149" s="12"/>
      <c r="H149" s="39"/>
      <c r="I149" s="39"/>
    </row>
    <row r="150" spans="1:9" x14ac:dyDescent="0.2">
      <c r="A150" s="1"/>
      <c r="B150" s="1"/>
      <c r="C150" s="2" t="s">
        <v>127</v>
      </c>
      <c r="D150" s="1"/>
      <c r="E150" s="1"/>
      <c r="F150" s="12"/>
      <c r="G150" s="12"/>
      <c r="H150" s="39"/>
      <c r="I150" s="39"/>
    </row>
    <row r="151" spans="1:9" x14ac:dyDescent="0.2">
      <c r="A151" s="3">
        <v>1</v>
      </c>
      <c r="B151" s="4" t="s">
        <v>678</v>
      </c>
      <c r="C151" s="4" t="s">
        <v>953</v>
      </c>
      <c r="D151" s="4" t="s">
        <v>647</v>
      </c>
      <c r="E151" s="5">
        <v>7500000</v>
      </c>
      <c r="F151" s="6">
        <v>7372.0649999999996</v>
      </c>
      <c r="G151" s="7">
        <v>2.4209692000000001E-2</v>
      </c>
      <c r="H151" s="39">
        <v>4.1399999999999997</v>
      </c>
      <c r="I151" s="39"/>
    </row>
    <row r="152" spans="1:9" x14ac:dyDescent="0.2">
      <c r="A152" s="3">
        <v>2</v>
      </c>
      <c r="B152" s="4" t="s">
        <v>679</v>
      </c>
      <c r="C152" s="4" t="s">
        <v>952</v>
      </c>
      <c r="D152" s="4" t="s">
        <v>647</v>
      </c>
      <c r="E152" s="5">
        <v>2500000</v>
      </c>
      <c r="F152" s="6">
        <v>2474.34</v>
      </c>
      <c r="G152" s="7">
        <v>8.1256760000000001E-3</v>
      </c>
      <c r="H152" s="39">
        <v>3.9024000000000001</v>
      </c>
      <c r="I152" s="39"/>
    </row>
    <row r="153" spans="1:9" x14ac:dyDescent="0.2">
      <c r="A153" s="3">
        <v>3</v>
      </c>
      <c r="B153" s="4" t="s">
        <v>680</v>
      </c>
      <c r="C153" s="4" t="s">
        <v>954</v>
      </c>
      <c r="D153" s="4" t="s">
        <v>647</v>
      </c>
      <c r="E153" s="5">
        <v>2500000</v>
      </c>
      <c r="F153" s="6">
        <v>2453.3074999999999</v>
      </c>
      <c r="G153" s="7">
        <v>8.0566049999999997E-3</v>
      </c>
      <c r="H153" s="39">
        <v>4.1597</v>
      </c>
      <c r="I153" s="39"/>
    </row>
    <row r="154" spans="1:9" x14ac:dyDescent="0.2">
      <c r="A154" s="3">
        <v>4</v>
      </c>
      <c r="B154" s="4" t="s">
        <v>681</v>
      </c>
      <c r="C154" s="4" t="s">
        <v>955</v>
      </c>
      <c r="D154" s="4" t="s">
        <v>647</v>
      </c>
      <c r="E154" s="5">
        <v>500000</v>
      </c>
      <c r="F154" s="6">
        <v>485.85550000000001</v>
      </c>
      <c r="G154" s="7">
        <v>1.5955380000000001E-3</v>
      </c>
      <c r="H154" s="39">
        <v>4.3550000000000004</v>
      </c>
      <c r="I154" s="39"/>
    </row>
    <row r="155" spans="1:9" x14ac:dyDescent="0.2">
      <c r="A155" s="1"/>
      <c r="B155" s="1"/>
      <c r="C155" s="2" t="s">
        <v>111</v>
      </c>
      <c r="D155" s="1"/>
      <c r="E155" s="1" t="s">
        <v>112</v>
      </c>
      <c r="F155" s="9">
        <v>12785.567999999999</v>
      </c>
      <c r="G155" s="10">
        <v>4.1987510999999998E-2</v>
      </c>
      <c r="H155" s="39"/>
      <c r="I155" s="39"/>
    </row>
    <row r="156" spans="1:9" x14ac:dyDescent="0.2">
      <c r="A156" s="1"/>
      <c r="B156" s="1"/>
      <c r="C156" s="11"/>
      <c r="D156" s="1"/>
      <c r="E156" s="1"/>
      <c r="F156" s="12"/>
      <c r="G156" s="12"/>
      <c r="H156" s="39"/>
      <c r="I156" s="39"/>
    </row>
    <row r="157" spans="1:9" x14ac:dyDescent="0.2">
      <c r="A157" s="1"/>
      <c r="B157" s="1"/>
      <c r="C157" s="2" t="s">
        <v>128</v>
      </c>
      <c r="D157" s="1"/>
      <c r="E157" s="1"/>
      <c r="F157" s="12"/>
      <c r="G157" s="12"/>
      <c r="H157" s="39"/>
      <c r="I157" s="39"/>
    </row>
    <row r="158" spans="1:9" x14ac:dyDescent="0.2">
      <c r="A158" s="3">
        <v>1</v>
      </c>
      <c r="B158" s="4"/>
      <c r="C158" s="4" t="s">
        <v>129</v>
      </c>
      <c r="D158" s="4"/>
      <c r="E158" s="8"/>
      <c r="F158" s="6">
        <v>3742.2197200999999</v>
      </c>
      <c r="G158" s="7">
        <v>1.2289364000000001E-2</v>
      </c>
      <c r="H158" s="39">
        <v>3.6151121728634927</v>
      </c>
      <c r="I158" s="39"/>
    </row>
    <row r="159" spans="1:9" x14ac:dyDescent="0.2">
      <c r="A159" s="3">
        <v>2</v>
      </c>
      <c r="B159" s="4"/>
      <c r="C159" s="4" t="s">
        <v>130</v>
      </c>
      <c r="D159" s="4"/>
      <c r="E159" s="8"/>
      <c r="F159" s="6">
        <v>1323.1629118000001</v>
      </c>
      <c r="G159" s="7">
        <v>4.3452370000000001E-3</v>
      </c>
      <c r="H159" s="39">
        <v>3.7142625760646584</v>
      </c>
      <c r="I159" s="39"/>
    </row>
    <row r="160" spans="1:9" x14ac:dyDescent="0.2">
      <c r="A160" s="1"/>
      <c r="B160" s="1"/>
      <c r="C160" s="2" t="s">
        <v>111</v>
      </c>
      <c r="D160" s="1"/>
      <c r="E160" s="1" t="s">
        <v>112</v>
      </c>
      <c r="F160" s="9">
        <v>5065.3826319</v>
      </c>
      <c r="G160" s="10">
        <v>1.6634600999999999E-2</v>
      </c>
      <c r="H160" s="39"/>
      <c r="I160" s="39"/>
    </row>
    <row r="161" spans="1:16" x14ac:dyDescent="0.2">
      <c r="A161" s="1"/>
      <c r="B161" s="1"/>
      <c r="C161" s="11"/>
      <c r="D161" s="1"/>
      <c r="E161" s="1"/>
      <c r="F161" s="12"/>
      <c r="G161" s="12"/>
      <c r="H161" s="39"/>
      <c r="I161" s="39"/>
    </row>
    <row r="162" spans="1:16" x14ac:dyDescent="0.2">
      <c r="A162" s="1"/>
      <c r="B162" s="1"/>
      <c r="C162" s="2" t="s">
        <v>131</v>
      </c>
      <c r="D162" s="1"/>
      <c r="E162" s="1"/>
      <c r="F162" s="9">
        <v>32627.073131900001</v>
      </c>
      <c r="G162" s="10">
        <v>0.107146559</v>
      </c>
      <c r="H162" s="39"/>
      <c r="I162" s="39"/>
    </row>
    <row r="163" spans="1:16" x14ac:dyDescent="0.2">
      <c r="A163" s="1"/>
      <c r="B163" s="1"/>
      <c r="C163" s="12"/>
      <c r="D163" s="1"/>
      <c r="E163" s="1"/>
      <c r="F163" s="1"/>
      <c r="G163" s="1"/>
      <c r="H163" s="39"/>
      <c r="I163" s="39"/>
    </row>
    <row r="164" spans="1:16" x14ac:dyDescent="0.2">
      <c r="A164" s="1"/>
      <c r="B164" s="1"/>
      <c r="C164" s="2" t="s">
        <v>132</v>
      </c>
      <c r="D164" s="1"/>
      <c r="E164" s="1"/>
      <c r="F164" s="1"/>
      <c r="G164" s="1"/>
      <c r="H164" s="39"/>
      <c r="I164" s="39"/>
    </row>
    <row r="165" spans="1:16" x14ac:dyDescent="0.2">
      <c r="A165" s="1"/>
      <c r="B165" s="1"/>
      <c r="C165" s="2" t="s">
        <v>133</v>
      </c>
      <c r="D165" s="1"/>
      <c r="E165" s="1"/>
      <c r="F165" s="1"/>
      <c r="G165" s="1"/>
      <c r="H165" s="39"/>
      <c r="I165" s="39"/>
    </row>
    <row r="166" spans="1:16" x14ac:dyDescent="0.2">
      <c r="A166" s="1"/>
      <c r="B166" s="1"/>
      <c r="C166" s="2" t="s">
        <v>111</v>
      </c>
      <c r="D166" s="1"/>
      <c r="E166" s="1" t="s">
        <v>112</v>
      </c>
      <c r="F166" s="13">
        <v>0</v>
      </c>
      <c r="G166" s="14">
        <v>0</v>
      </c>
      <c r="H166" s="39"/>
      <c r="I166" s="39"/>
      <c r="K166" s="101"/>
      <c r="L166" s="101"/>
      <c r="M166" s="101"/>
      <c r="N166" s="101"/>
      <c r="O166" s="101"/>
      <c r="P166" s="101"/>
    </row>
    <row r="167" spans="1:16" x14ac:dyDescent="0.2">
      <c r="A167" s="1"/>
      <c r="B167" s="1"/>
      <c r="C167" s="11"/>
      <c r="D167" s="1"/>
      <c r="E167" s="1"/>
      <c r="F167" s="12"/>
      <c r="G167" s="12"/>
      <c r="H167" s="39"/>
      <c r="I167" s="39"/>
    </row>
    <row r="168" spans="1:16" x14ac:dyDescent="0.2">
      <c r="A168" s="1"/>
      <c r="B168" s="1"/>
      <c r="C168" s="2" t="s">
        <v>134</v>
      </c>
      <c r="D168" s="1"/>
      <c r="E168" s="1"/>
      <c r="F168" s="1"/>
      <c r="G168" s="1"/>
      <c r="H168" s="39"/>
      <c r="I168" s="39"/>
    </row>
    <row r="169" spans="1:16" x14ac:dyDescent="0.2">
      <c r="A169" s="1"/>
      <c r="B169" s="1"/>
      <c r="C169" s="2" t="s">
        <v>135</v>
      </c>
      <c r="D169" s="1"/>
      <c r="E169" s="1"/>
      <c r="F169" s="1"/>
      <c r="G169" s="1"/>
      <c r="H169" s="39"/>
      <c r="I169" s="39"/>
    </row>
    <row r="170" spans="1:16" x14ac:dyDescent="0.2">
      <c r="A170" s="1"/>
      <c r="B170" s="1"/>
      <c r="C170" s="2" t="s">
        <v>111</v>
      </c>
      <c r="D170" s="1"/>
      <c r="E170" s="1" t="s">
        <v>112</v>
      </c>
      <c r="F170" s="13">
        <v>0</v>
      </c>
      <c r="G170" s="14">
        <v>0</v>
      </c>
      <c r="H170" s="39"/>
      <c r="I170" s="39"/>
    </row>
    <row r="171" spans="1:16" x14ac:dyDescent="0.2">
      <c r="A171" s="1"/>
      <c r="B171" s="1"/>
      <c r="C171" s="11"/>
      <c r="D171" s="1"/>
      <c r="E171" s="1"/>
      <c r="F171" s="12"/>
      <c r="G171" s="12"/>
      <c r="H171" s="39"/>
      <c r="I171" s="39"/>
    </row>
    <row r="172" spans="1:16" x14ac:dyDescent="0.2">
      <c r="A172" s="1"/>
      <c r="B172" s="1"/>
      <c r="C172" s="11"/>
      <c r="D172" s="1"/>
      <c r="E172" s="1"/>
      <c r="F172" s="12"/>
      <c r="G172" s="12"/>
      <c r="H172" s="39"/>
      <c r="I172" s="39"/>
    </row>
    <row r="173" spans="1:16" ht="25.5" x14ac:dyDescent="0.2">
      <c r="A173" s="1"/>
      <c r="B173" s="1"/>
      <c r="C173" s="2" t="s">
        <v>136</v>
      </c>
      <c r="D173" s="1"/>
      <c r="E173" s="1"/>
      <c r="F173" s="12"/>
      <c r="G173" s="12"/>
      <c r="H173" s="39"/>
      <c r="I173" s="39"/>
    </row>
    <row r="174" spans="1:16" x14ac:dyDescent="0.2">
      <c r="A174" s="1"/>
      <c r="B174" s="1"/>
      <c r="C174" s="2" t="s">
        <v>111</v>
      </c>
      <c r="D174" s="1"/>
      <c r="E174" s="1" t="s">
        <v>112</v>
      </c>
      <c r="F174" s="13">
        <v>0</v>
      </c>
      <c r="G174" s="14">
        <v>0</v>
      </c>
      <c r="H174" s="39"/>
      <c r="I174" s="39"/>
    </row>
    <row r="175" spans="1:16" x14ac:dyDescent="0.2">
      <c r="A175" s="1"/>
      <c r="B175" s="1"/>
      <c r="C175" s="11"/>
      <c r="D175" s="1"/>
      <c r="E175" s="1"/>
      <c r="F175" s="12"/>
      <c r="G175" s="12"/>
      <c r="H175" s="39"/>
      <c r="I175" s="39"/>
    </row>
    <row r="176" spans="1:16" x14ac:dyDescent="0.2">
      <c r="A176" s="1"/>
      <c r="B176" s="4"/>
      <c r="C176" s="4"/>
      <c r="D176" s="2"/>
      <c r="E176" s="1"/>
      <c r="F176" s="4"/>
      <c r="G176" s="8"/>
      <c r="H176" s="39"/>
      <c r="I176" s="39"/>
    </row>
    <row r="177" spans="1:16" x14ac:dyDescent="0.2">
      <c r="A177" s="8"/>
      <c r="B177" s="4"/>
      <c r="C177" s="37" t="s">
        <v>1011</v>
      </c>
      <c r="D177" s="4"/>
      <c r="E177" s="8"/>
      <c r="F177" s="6">
        <v>9435.8757566000004</v>
      </c>
      <c r="G177" s="7">
        <v>3.098719904180635E-2</v>
      </c>
      <c r="H177" s="39"/>
      <c r="I177" s="39"/>
    </row>
    <row r="178" spans="1:16" x14ac:dyDescent="0.2">
      <c r="A178" s="11"/>
      <c r="B178" s="11"/>
      <c r="C178" s="2" t="s">
        <v>138</v>
      </c>
      <c r="D178" s="15"/>
      <c r="E178" s="15"/>
      <c r="F178" s="9">
        <v>304508.83101339999</v>
      </c>
      <c r="G178" s="10">
        <v>1.0000000010418064</v>
      </c>
      <c r="H178" s="39"/>
      <c r="I178" s="39"/>
    </row>
    <row r="179" spans="1:16" ht="14.1" customHeight="1" x14ac:dyDescent="0.2">
      <c r="A179" s="16"/>
      <c r="B179" s="16"/>
      <c r="C179" s="16"/>
      <c r="D179" s="17"/>
      <c r="E179" s="17"/>
      <c r="F179" s="17"/>
      <c r="G179" s="17"/>
    </row>
    <row r="180" spans="1:16" ht="17.100000000000001" customHeight="1" x14ac:dyDescent="0.2">
      <c r="A180" s="18"/>
      <c r="B180" s="197" t="s">
        <v>682</v>
      </c>
      <c r="C180" s="197"/>
      <c r="D180" s="197"/>
      <c r="E180" s="197"/>
      <c r="F180" s="197"/>
      <c r="G180" s="20"/>
    </row>
    <row r="181" spans="1:16" ht="17.100000000000001" customHeight="1" x14ac:dyDescent="0.2">
      <c r="A181" s="18"/>
      <c r="B181" s="197" t="s">
        <v>139</v>
      </c>
      <c r="C181" s="197"/>
      <c r="D181" s="197"/>
      <c r="E181" s="197"/>
      <c r="F181" s="197"/>
      <c r="G181" s="20"/>
    </row>
    <row r="182" spans="1:16" s="41" customFormat="1" ht="17.100000000000001" customHeight="1" x14ac:dyDescent="0.2">
      <c r="A182" s="42"/>
      <c r="B182" s="209" t="s">
        <v>1012</v>
      </c>
      <c r="C182" s="209"/>
      <c r="D182" s="209"/>
      <c r="E182" s="209"/>
      <c r="F182" s="209"/>
      <c r="G182" s="43"/>
      <c r="H182"/>
      <c r="I182"/>
      <c r="J182" s="44"/>
      <c r="K182" s="44"/>
      <c r="L182" s="44"/>
      <c r="M182" s="44"/>
      <c r="N182" s="44"/>
      <c r="O182" s="44"/>
      <c r="P182" s="44"/>
    </row>
    <row r="183" spans="1:16" ht="14.1" customHeight="1" x14ac:dyDescent="0.2">
      <c r="A183" s="18"/>
      <c r="B183" s="18"/>
      <c r="C183" s="18"/>
      <c r="D183" s="20"/>
      <c r="E183" s="20"/>
      <c r="F183" s="20"/>
      <c r="G183" s="20"/>
    </row>
    <row r="184" spans="1:16" ht="14.1" customHeight="1" x14ac:dyDescent="0.2">
      <c r="A184" s="18"/>
      <c r="B184" s="194" t="s">
        <v>140</v>
      </c>
      <c r="C184" s="195"/>
      <c r="D184" s="12" t="s">
        <v>112</v>
      </c>
      <c r="E184" s="21"/>
      <c r="F184" s="20"/>
      <c r="G184" s="20"/>
    </row>
    <row r="185" spans="1:16" ht="29.1" customHeight="1" x14ac:dyDescent="0.2">
      <c r="A185" s="18"/>
      <c r="B185" s="189" t="s">
        <v>141</v>
      </c>
      <c r="C185" s="190"/>
      <c r="D185" s="51" t="s">
        <v>1048</v>
      </c>
      <c r="E185" s="21"/>
      <c r="F185" s="20"/>
      <c r="G185" s="20"/>
    </row>
    <row r="186" spans="1:16" ht="17.100000000000001" customHeight="1" x14ac:dyDescent="0.2">
      <c r="A186" s="18"/>
      <c r="B186" s="191" t="s">
        <v>1023</v>
      </c>
      <c r="C186" s="192"/>
      <c r="D186" s="51" t="s">
        <v>1025</v>
      </c>
      <c r="E186" s="21"/>
      <c r="F186" s="20"/>
      <c r="G186" s="20"/>
    </row>
    <row r="187" spans="1:16" ht="17.100000000000001" customHeight="1" x14ac:dyDescent="0.2">
      <c r="A187" s="18"/>
      <c r="B187" s="189" t="s">
        <v>144</v>
      </c>
      <c r="C187" s="190"/>
      <c r="D187" s="12" t="s">
        <v>112</v>
      </c>
      <c r="E187" s="21"/>
      <c r="F187" s="20"/>
      <c r="G187" s="20"/>
    </row>
    <row r="188" spans="1:16" ht="24" customHeight="1" x14ac:dyDescent="0.2">
      <c r="A188" s="22"/>
      <c r="B188" s="23" t="s">
        <v>112</v>
      </c>
      <c r="C188" s="23" t="s">
        <v>145</v>
      </c>
      <c r="D188" s="23" t="s">
        <v>146</v>
      </c>
      <c r="E188" s="22"/>
      <c r="F188" s="22"/>
      <c r="G188" s="22"/>
    </row>
    <row r="189" spans="1:16" ht="18" customHeight="1" x14ac:dyDescent="0.2">
      <c r="A189" s="22"/>
      <c r="B189" s="23" t="s">
        <v>147</v>
      </c>
      <c r="C189" s="23" t="s">
        <v>148</v>
      </c>
      <c r="D189" s="23" t="s">
        <v>149</v>
      </c>
      <c r="E189" s="22"/>
      <c r="F189" s="22"/>
      <c r="G189" s="22"/>
    </row>
    <row r="190" spans="1:16" ht="17.100000000000001" customHeight="1" x14ac:dyDescent="0.2">
      <c r="A190" s="22"/>
      <c r="B190" s="4" t="s">
        <v>150</v>
      </c>
      <c r="C190" s="24">
        <v>118.74890000000001</v>
      </c>
      <c r="D190" s="24">
        <v>122.1468</v>
      </c>
      <c r="E190" s="22"/>
      <c r="F190" s="19"/>
      <c r="G190" s="25"/>
    </row>
    <row r="191" spans="1:16" ht="29.1" customHeight="1" x14ac:dyDescent="0.2">
      <c r="A191" s="22"/>
      <c r="B191" s="4" t="s">
        <v>1097</v>
      </c>
      <c r="C191" s="24">
        <v>39.276899999999998</v>
      </c>
      <c r="D191" s="24">
        <v>40.053800000000003</v>
      </c>
      <c r="E191" s="22"/>
      <c r="F191" s="19"/>
      <c r="G191" s="25"/>
    </row>
    <row r="192" spans="1:16" ht="17.100000000000001" customHeight="1" x14ac:dyDescent="0.2">
      <c r="A192" s="22"/>
      <c r="B192" s="4" t="s">
        <v>151</v>
      </c>
      <c r="C192" s="24">
        <v>107.7897</v>
      </c>
      <c r="D192" s="24">
        <v>110.75879999999999</v>
      </c>
      <c r="E192" s="22"/>
      <c r="F192" s="19"/>
      <c r="G192" s="25"/>
    </row>
    <row r="193" spans="1:17" ht="29.1" customHeight="1" x14ac:dyDescent="0.2">
      <c r="A193" s="22"/>
      <c r="B193" s="4" t="s">
        <v>1099</v>
      </c>
      <c r="C193" s="24">
        <v>27.118200000000002</v>
      </c>
      <c r="D193" s="24">
        <v>27.625499999999999</v>
      </c>
      <c r="E193" s="22"/>
      <c r="F193" s="19"/>
      <c r="G193" s="25"/>
    </row>
    <row r="194" spans="1:17" ht="14.1" customHeight="1" x14ac:dyDescent="0.2">
      <c r="A194" s="22"/>
      <c r="B194" s="22"/>
      <c r="C194" s="22"/>
      <c r="D194" s="22"/>
      <c r="E194" s="22"/>
      <c r="F194" s="22"/>
      <c r="G194" s="22"/>
    </row>
    <row r="195" spans="1:17" ht="17.100000000000001" customHeight="1" x14ac:dyDescent="0.2">
      <c r="A195" s="22"/>
      <c r="B195" s="189" t="s">
        <v>1094</v>
      </c>
      <c r="C195" s="190"/>
      <c r="D195" s="2" t="s">
        <v>112</v>
      </c>
      <c r="E195" s="22"/>
      <c r="F195" s="22"/>
      <c r="G195" s="22"/>
    </row>
    <row r="196" spans="1:17" ht="18" customHeight="1" x14ac:dyDescent="0.2">
      <c r="A196" s="22"/>
      <c r="B196" s="55" t="s">
        <v>147</v>
      </c>
      <c r="C196" s="56" t="s">
        <v>1039</v>
      </c>
      <c r="D196" s="56" t="s">
        <v>1040</v>
      </c>
      <c r="E196" s="22"/>
      <c r="F196" s="22"/>
      <c r="G196" s="22"/>
    </row>
    <row r="197" spans="1:17" ht="29.1" customHeight="1" x14ac:dyDescent="0.2">
      <c r="A197" s="22"/>
      <c r="B197" s="4" t="s">
        <v>1097</v>
      </c>
      <c r="C197" s="57">
        <v>0.34399999999999997</v>
      </c>
      <c r="D197" s="57">
        <v>0.34399999999999997</v>
      </c>
      <c r="E197" s="22"/>
      <c r="F197" s="19"/>
      <c r="G197" s="25"/>
    </row>
    <row r="198" spans="1:17" ht="29.1" customHeight="1" x14ac:dyDescent="0.2">
      <c r="A198" s="22"/>
      <c r="B198" s="4" t="s">
        <v>1099</v>
      </c>
      <c r="C198" s="57">
        <v>0.23799999999999999</v>
      </c>
      <c r="D198" s="57">
        <v>0.23799999999999999</v>
      </c>
      <c r="E198" s="22"/>
      <c r="F198" s="19"/>
      <c r="G198" s="25"/>
    </row>
    <row r="199" spans="1:17" ht="18" customHeight="1" x14ac:dyDescent="0.2">
      <c r="A199" s="22"/>
      <c r="B199" s="26"/>
      <c r="C199" s="26"/>
      <c r="D199" s="27"/>
      <c r="E199" s="22"/>
      <c r="F199" s="22"/>
      <c r="G199" s="22"/>
    </row>
    <row r="200" spans="1:17" s="101" customFormat="1" x14ac:dyDescent="0.2">
      <c r="B200" s="193" t="s">
        <v>1102</v>
      </c>
      <c r="C200" s="193"/>
      <c r="D200" s="193"/>
      <c r="E200" s="193"/>
      <c r="F200" s="193"/>
      <c r="I200"/>
      <c r="J200"/>
      <c r="K200" s="41"/>
      <c r="L200" s="41"/>
      <c r="M200" s="41"/>
      <c r="N200" s="41"/>
      <c r="O200" s="41"/>
      <c r="P200" s="41"/>
      <c r="Q200" s="41"/>
    </row>
    <row r="201" spans="1:17" ht="14.1" customHeight="1" x14ac:dyDescent="0.2">
      <c r="A201" s="22"/>
      <c r="B201" s="19"/>
      <c r="C201" s="19"/>
      <c r="D201" s="22"/>
      <c r="E201" s="22"/>
      <c r="F201" s="22"/>
      <c r="G201" s="22"/>
    </row>
    <row r="202" spans="1:17" ht="29.1" customHeight="1" x14ac:dyDescent="0.2">
      <c r="A202" s="59"/>
      <c r="B202" s="191" t="s">
        <v>152</v>
      </c>
      <c r="C202" s="192"/>
      <c r="D202" s="51" t="s">
        <v>142</v>
      </c>
      <c r="E202" s="59"/>
      <c r="F202" s="59"/>
      <c r="G202" s="59"/>
      <c r="J202" s="41"/>
    </row>
    <row r="203" spans="1:17" ht="29.1" customHeight="1" x14ac:dyDescent="0.2">
      <c r="A203" s="59"/>
      <c r="B203" s="191" t="s">
        <v>153</v>
      </c>
      <c r="C203" s="192"/>
      <c r="D203" s="51" t="s">
        <v>142</v>
      </c>
      <c r="E203" s="59"/>
      <c r="F203" s="59"/>
      <c r="G203" s="59"/>
      <c r="J203" s="41"/>
    </row>
    <row r="204" spans="1:17" ht="17.100000000000001" customHeight="1" x14ac:dyDescent="0.2">
      <c r="A204" s="59"/>
      <c r="B204" s="207" t="s">
        <v>1044</v>
      </c>
      <c r="C204" s="208"/>
      <c r="D204" s="60">
        <v>1.8211966158589601</v>
      </c>
      <c r="E204" s="61"/>
      <c r="F204" s="59"/>
      <c r="G204" s="59"/>
      <c r="J204" s="41"/>
    </row>
    <row r="205" spans="1:17" ht="17.100000000000001" customHeight="1" x14ac:dyDescent="0.2">
      <c r="A205" s="59"/>
      <c r="B205" s="207" t="s">
        <v>1045</v>
      </c>
      <c r="C205" s="208"/>
      <c r="D205" s="60">
        <v>1.4546855624754698</v>
      </c>
      <c r="E205" s="61"/>
      <c r="F205" s="59"/>
      <c r="G205" s="59"/>
      <c r="J205" s="41"/>
    </row>
    <row r="206" spans="1:17" ht="17.100000000000001" customHeight="1" x14ac:dyDescent="0.2">
      <c r="A206" s="59"/>
      <c r="B206" s="191" t="s">
        <v>1046</v>
      </c>
      <c r="C206" s="192"/>
      <c r="D206" s="28">
        <v>0.8483566573390634</v>
      </c>
      <c r="E206" s="59"/>
      <c r="F206" s="50"/>
      <c r="G206" s="62"/>
      <c r="J206" s="41"/>
    </row>
    <row r="207" spans="1:17" ht="17.100000000000001" customHeight="1" x14ac:dyDescent="0.2">
      <c r="A207" s="59"/>
      <c r="B207" s="191" t="s">
        <v>1047</v>
      </c>
      <c r="C207" s="192"/>
      <c r="D207" s="51" t="s">
        <v>142</v>
      </c>
      <c r="E207" s="59"/>
      <c r="F207" s="59"/>
      <c r="G207" s="59"/>
      <c r="J207" s="41"/>
    </row>
    <row r="209" spans="2:10" x14ac:dyDescent="0.2">
      <c r="B209" s="67" t="s">
        <v>1074</v>
      </c>
      <c r="J209" s="41"/>
    </row>
    <row r="210" spans="2:10" x14ac:dyDescent="0.2">
      <c r="B210" s="67"/>
      <c r="J210" s="41"/>
    </row>
    <row r="211" spans="2:10" ht="25.5" x14ac:dyDescent="0.2">
      <c r="B211" s="68" t="s">
        <v>1054</v>
      </c>
      <c r="C211" s="68" t="s">
        <v>1055</v>
      </c>
      <c r="D211" s="68" t="s">
        <v>1056</v>
      </c>
      <c r="E211" s="68" t="s">
        <v>1057</v>
      </c>
      <c r="F211" s="68" t="s">
        <v>1058</v>
      </c>
      <c r="J211" s="41"/>
    </row>
    <row r="212" spans="2:10" ht="25.5" x14ac:dyDescent="0.2">
      <c r="B212" s="69" t="s">
        <v>1059</v>
      </c>
      <c r="C212" s="70" t="s">
        <v>1060</v>
      </c>
      <c r="D212" s="71">
        <v>0</v>
      </c>
      <c r="E212" s="72">
        <v>0</v>
      </c>
      <c r="F212" s="73">
        <v>1000</v>
      </c>
      <c r="J212" s="41"/>
    </row>
    <row r="213" spans="2:10" x14ac:dyDescent="0.2">
      <c r="B213" s="67"/>
      <c r="J213" s="41"/>
    </row>
    <row r="214" spans="2:10" x14ac:dyDescent="0.2">
      <c r="B214" s="74" t="s">
        <v>1061</v>
      </c>
      <c r="C214" s="74" t="s">
        <v>1062</v>
      </c>
      <c r="D214" s="206" t="s">
        <v>1063</v>
      </c>
      <c r="E214" s="206"/>
      <c r="F214" s="206"/>
      <c r="G214" s="203" t="s">
        <v>1064</v>
      </c>
      <c r="H214" s="203"/>
      <c r="I214" s="75"/>
      <c r="J214" s="41"/>
    </row>
    <row r="215" spans="2:10" ht="25.5" x14ac:dyDescent="0.2">
      <c r="B215" s="76" t="s">
        <v>1065</v>
      </c>
      <c r="C215" s="77" t="s">
        <v>1066</v>
      </c>
      <c r="D215" s="201">
        <v>0</v>
      </c>
      <c r="E215" s="201"/>
      <c r="F215" s="201"/>
      <c r="G215" s="201">
        <v>0</v>
      </c>
      <c r="H215" s="201"/>
      <c r="I215" s="78"/>
      <c r="J215" s="41"/>
    </row>
    <row r="216" spans="2:10" x14ac:dyDescent="0.2">
      <c r="B216" s="76"/>
      <c r="C216" s="76"/>
      <c r="D216" s="202"/>
      <c r="E216" s="202"/>
      <c r="F216" s="202"/>
      <c r="G216" s="202"/>
      <c r="H216" s="202"/>
      <c r="I216" s="78"/>
      <c r="J216" s="41"/>
    </row>
    <row r="217" spans="2:10" x14ac:dyDescent="0.2">
      <c r="B217" s="203" t="s">
        <v>1067</v>
      </c>
      <c r="C217" s="203"/>
      <c r="D217" s="203"/>
      <c r="E217" s="203"/>
      <c r="F217" s="203"/>
      <c r="G217" s="203"/>
      <c r="H217" s="203"/>
      <c r="I217" s="75"/>
      <c r="J217" s="41"/>
    </row>
    <row r="218" spans="2:10" x14ac:dyDescent="0.2">
      <c r="B218" s="198" t="s">
        <v>1061</v>
      </c>
      <c r="C218" s="198" t="s">
        <v>1062</v>
      </c>
      <c r="D218" s="198" t="s">
        <v>1068</v>
      </c>
      <c r="E218" s="198"/>
      <c r="F218" s="198"/>
      <c r="G218" s="198"/>
      <c r="H218" s="76"/>
      <c r="I218" s="79"/>
      <c r="J218" s="41"/>
    </row>
    <row r="219" spans="2:10" ht="51" x14ac:dyDescent="0.2">
      <c r="B219" s="198"/>
      <c r="C219" s="198"/>
      <c r="D219" s="80" t="s">
        <v>1069</v>
      </c>
      <c r="E219" s="80" t="s">
        <v>1070</v>
      </c>
      <c r="F219" s="80" t="s">
        <v>1071</v>
      </c>
      <c r="G219" s="80" t="s">
        <v>1072</v>
      </c>
      <c r="H219" s="80" t="s">
        <v>1075</v>
      </c>
      <c r="I219" s="92" t="s">
        <v>1077</v>
      </c>
      <c r="J219" s="92" t="s">
        <v>1076</v>
      </c>
    </row>
    <row r="220" spans="2:10" ht="25.5" x14ac:dyDescent="0.25">
      <c r="B220" s="81" t="s">
        <v>1065</v>
      </c>
      <c r="C220" s="82" t="s">
        <v>1066</v>
      </c>
      <c r="D220" s="83">
        <v>700</v>
      </c>
      <c r="E220" s="83">
        <v>24.098357999999998</v>
      </c>
      <c r="F220" s="84">
        <v>0</v>
      </c>
      <c r="G220" s="85">
        <v>724.09835799999996</v>
      </c>
      <c r="H220" s="86">
        <v>2.3999999999999998E-3</v>
      </c>
      <c r="I220" s="93">
        <v>30450883101.34</v>
      </c>
      <c r="J220" s="93">
        <f>G220*10^7</f>
        <v>7240983580</v>
      </c>
    </row>
    <row r="221" spans="2:10" x14ac:dyDescent="0.2">
      <c r="B221" s="76"/>
      <c r="C221" s="76"/>
      <c r="D221" s="87"/>
      <c r="E221" s="87"/>
      <c r="F221" s="88"/>
      <c r="G221" s="87"/>
      <c r="H221" s="89"/>
      <c r="I221" s="90"/>
      <c r="J221" s="41"/>
    </row>
    <row r="222" spans="2:10" ht="27.75" customHeight="1" x14ac:dyDescent="0.2">
      <c r="B222" s="199" t="s">
        <v>1073</v>
      </c>
      <c r="C222" s="200"/>
      <c r="D222" s="200"/>
      <c r="E222" s="200"/>
      <c r="F222" s="200"/>
      <c r="G222" s="200"/>
      <c r="H222" s="200"/>
      <c r="I222" s="91"/>
      <c r="J222" s="41"/>
    </row>
  </sheetData>
  <mergeCells count="30">
    <mergeCell ref="K2:O2"/>
    <mergeCell ref="B206:C206"/>
    <mergeCell ref="B207:C207"/>
    <mergeCell ref="B204:C204"/>
    <mergeCell ref="B205:C205"/>
    <mergeCell ref="B185:C185"/>
    <mergeCell ref="B186:C186"/>
    <mergeCell ref="B187:C187"/>
    <mergeCell ref="B195:C195"/>
    <mergeCell ref="B202:C202"/>
    <mergeCell ref="B203:C203"/>
    <mergeCell ref="B200:F200"/>
    <mergeCell ref="B184:C184"/>
    <mergeCell ref="B180:F180"/>
    <mergeCell ref="B181:F181"/>
    <mergeCell ref="B182:F182"/>
    <mergeCell ref="A1:I1"/>
    <mergeCell ref="A2:I2"/>
    <mergeCell ref="A3:I3"/>
    <mergeCell ref="D214:F214"/>
    <mergeCell ref="G214:H214"/>
    <mergeCell ref="B218:B219"/>
    <mergeCell ref="C218:C219"/>
    <mergeCell ref="D218:G218"/>
    <mergeCell ref="B222:H222"/>
    <mergeCell ref="D215:F215"/>
    <mergeCell ref="G215:H215"/>
    <mergeCell ref="D216:F216"/>
    <mergeCell ref="G216:H216"/>
    <mergeCell ref="B217:H21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Q13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8" max="8" width="11.5703125" bestFit="1" customWidth="1"/>
    <col min="9" max="9" width="10.285156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1104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13</v>
      </c>
      <c r="C7" s="4" t="s">
        <v>14</v>
      </c>
      <c r="D7" s="4" t="s">
        <v>15</v>
      </c>
      <c r="E7" s="5">
        <v>21250</v>
      </c>
      <c r="F7" s="6">
        <v>559.88437499999998</v>
      </c>
      <c r="G7" s="7">
        <v>9.4205424999999995E-2</v>
      </c>
      <c r="H7" s="39"/>
    </row>
    <row r="8" spans="1:14" x14ac:dyDescent="0.2">
      <c r="A8" s="3">
        <v>2</v>
      </c>
      <c r="B8" s="4" t="s">
        <v>309</v>
      </c>
      <c r="C8" s="4" t="s">
        <v>310</v>
      </c>
      <c r="D8" s="4" t="s">
        <v>91</v>
      </c>
      <c r="E8" s="5">
        <v>90000</v>
      </c>
      <c r="F8" s="6">
        <v>479.565</v>
      </c>
      <c r="G8" s="7">
        <v>8.0690990000000004E-2</v>
      </c>
      <c r="H8" s="39"/>
    </row>
    <row r="9" spans="1:14" x14ac:dyDescent="0.2">
      <c r="A9" s="3">
        <v>3</v>
      </c>
      <c r="B9" s="4" t="s">
        <v>49</v>
      </c>
      <c r="C9" s="4" t="s">
        <v>50</v>
      </c>
      <c r="D9" s="4" t="s">
        <v>18</v>
      </c>
      <c r="E9" s="5">
        <v>84000</v>
      </c>
      <c r="F9" s="6">
        <v>414.58199999999999</v>
      </c>
      <c r="G9" s="7">
        <v>6.9757033999999996E-2</v>
      </c>
      <c r="H9" s="39"/>
    </row>
    <row r="10" spans="1:14" x14ac:dyDescent="0.2">
      <c r="A10" s="3">
        <v>4</v>
      </c>
      <c r="B10" s="4" t="s">
        <v>426</v>
      </c>
      <c r="C10" s="4" t="s">
        <v>427</v>
      </c>
      <c r="D10" s="4" t="s">
        <v>82</v>
      </c>
      <c r="E10" s="5">
        <v>5000</v>
      </c>
      <c r="F10" s="6">
        <v>362.9975</v>
      </c>
      <c r="G10" s="7">
        <v>6.1077491999999997E-2</v>
      </c>
      <c r="H10" s="39"/>
    </row>
    <row r="11" spans="1:14" x14ac:dyDescent="0.2">
      <c r="A11" s="3">
        <v>5</v>
      </c>
      <c r="B11" s="4" t="s">
        <v>300</v>
      </c>
      <c r="C11" s="4" t="s">
        <v>301</v>
      </c>
      <c r="D11" s="4" t="s">
        <v>18</v>
      </c>
      <c r="E11" s="5">
        <v>46800</v>
      </c>
      <c r="F11" s="6">
        <v>356.21820000000002</v>
      </c>
      <c r="G11" s="7">
        <v>5.9936815999999997E-2</v>
      </c>
      <c r="H11" s="39"/>
    </row>
    <row r="12" spans="1:14" ht="15" x14ac:dyDescent="0.2">
      <c r="A12" s="3">
        <v>6</v>
      </c>
      <c r="B12" s="4" t="s">
        <v>402</v>
      </c>
      <c r="C12" s="4" t="s">
        <v>403</v>
      </c>
      <c r="D12" s="4" t="s">
        <v>1148</v>
      </c>
      <c r="E12" s="5">
        <v>12300</v>
      </c>
      <c r="F12" s="6">
        <v>251.98394999999999</v>
      </c>
      <c r="G12" s="7">
        <v>4.2398495000000001E-2</v>
      </c>
      <c r="H12" s="39"/>
      <c r="J12" s="176" t="s">
        <v>1186</v>
      </c>
    </row>
    <row r="13" spans="1:14" ht="25.5" x14ac:dyDescent="0.2">
      <c r="A13" s="3">
        <v>7</v>
      </c>
      <c r="B13" s="4" t="s">
        <v>56</v>
      </c>
      <c r="C13" s="4" t="s">
        <v>57</v>
      </c>
      <c r="D13" s="4" t="s">
        <v>1151</v>
      </c>
      <c r="E13" s="5">
        <v>30000</v>
      </c>
      <c r="F13" s="6">
        <v>232.26</v>
      </c>
      <c r="G13" s="7">
        <v>3.9079769E-2</v>
      </c>
      <c r="H13" s="39"/>
    </row>
    <row r="14" spans="1:14" ht="15" x14ac:dyDescent="0.2">
      <c r="A14" s="3">
        <v>8</v>
      </c>
      <c r="B14" s="4" t="s">
        <v>359</v>
      </c>
      <c r="C14" s="4" t="s">
        <v>360</v>
      </c>
      <c r="D14" s="4" t="s">
        <v>82</v>
      </c>
      <c r="E14" s="5">
        <v>1350</v>
      </c>
      <c r="F14" s="6">
        <v>230.31607500000001</v>
      </c>
      <c r="G14" s="7">
        <v>3.8752686000000001E-2</v>
      </c>
      <c r="H14" s="39"/>
      <c r="J14" s="176" t="s">
        <v>1186</v>
      </c>
    </row>
    <row r="15" spans="1:14" x14ac:dyDescent="0.2">
      <c r="A15" s="3">
        <v>9</v>
      </c>
      <c r="B15" s="4" t="s">
        <v>361</v>
      </c>
      <c r="C15" s="4" t="s">
        <v>362</v>
      </c>
      <c r="D15" s="4" t="s">
        <v>82</v>
      </c>
      <c r="E15" s="5">
        <v>52000</v>
      </c>
      <c r="F15" s="6">
        <v>186.654</v>
      </c>
      <c r="G15" s="7">
        <v>3.1406162000000001E-2</v>
      </c>
      <c r="H15" s="39"/>
    </row>
    <row r="16" spans="1:14" x14ac:dyDescent="0.2">
      <c r="A16" s="3">
        <v>10</v>
      </c>
      <c r="B16" s="4" t="s">
        <v>415</v>
      </c>
      <c r="C16" s="4" t="s">
        <v>416</v>
      </c>
      <c r="D16" s="4" t="s">
        <v>18</v>
      </c>
      <c r="E16" s="5">
        <v>10000</v>
      </c>
      <c r="F16" s="6">
        <v>175.38499999999999</v>
      </c>
      <c r="G16" s="7">
        <v>2.9510054000000001E-2</v>
      </c>
      <c r="H16" s="39"/>
    </row>
    <row r="17" spans="1:8" ht="25.5" x14ac:dyDescent="0.2">
      <c r="A17" s="3">
        <v>11</v>
      </c>
      <c r="B17" s="4" t="s">
        <v>390</v>
      </c>
      <c r="C17" s="4" t="s">
        <v>391</v>
      </c>
      <c r="D17" s="4" t="s">
        <v>82</v>
      </c>
      <c r="E17" s="5">
        <v>6300</v>
      </c>
      <c r="F17" s="6">
        <v>150.59520000000001</v>
      </c>
      <c r="G17" s="7">
        <v>2.5338955E-2</v>
      </c>
      <c r="H17" s="39"/>
    </row>
    <row r="18" spans="1:8" x14ac:dyDescent="0.2">
      <c r="A18" s="3">
        <v>12</v>
      </c>
      <c r="B18" s="4" t="s">
        <v>422</v>
      </c>
      <c r="C18" s="4" t="s">
        <v>423</v>
      </c>
      <c r="D18" s="4" t="s">
        <v>18</v>
      </c>
      <c r="E18" s="5">
        <v>64800</v>
      </c>
      <c r="F18" s="6">
        <v>147.58199999999999</v>
      </c>
      <c r="G18" s="7">
        <v>2.4831957000000002E-2</v>
      </c>
      <c r="H18" s="39"/>
    </row>
    <row r="19" spans="1:8" x14ac:dyDescent="0.2">
      <c r="A19" s="3">
        <v>13</v>
      </c>
      <c r="B19" s="4" t="s">
        <v>319</v>
      </c>
      <c r="C19" s="4" t="s">
        <v>320</v>
      </c>
      <c r="D19" s="4" t="s">
        <v>29</v>
      </c>
      <c r="E19" s="5">
        <v>20250</v>
      </c>
      <c r="F19" s="6">
        <v>141.8715</v>
      </c>
      <c r="G19" s="7">
        <v>2.3871116000000001E-2</v>
      </c>
      <c r="H19" s="39"/>
    </row>
    <row r="20" spans="1:8" x14ac:dyDescent="0.2">
      <c r="A20" s="3">
        <v>14</v>
      </c>
      <c r="B20" s="4" t="s">
        <v>683</v>
      </c>
      <c r="C20" s="4" t="s">
        <v>684</v>
      </c>
      <c r="D20" s="4" t="s">
        <v>82</v>
      </c>
      <c r="E20" s="5">
        <v>13500</v>
      </c>
      <c r="F20" s="6">
        <v>114.9795</v>
      </c>
      <c r="G20" s="7">
        <v>1.9346302999999999E-2</v>
      </c>
      <c r="H20" s="39"/>
    </row>
    <row r="21" spans="1:8" x14ac:dyDescent="0.2">
      <c r="A21" s="3">
        <v>15</v>
      </c>
      <c r="B21" s="4" t="s">
        <v>394</v>
      </c>
      <c r="C21" s="4" t="s">
        <v>395</v>
      </c>
      <c r="D21" s="4" t="s">
        <v>1142</v>
      </c>
      <c r="E21" s="5">
        <v>9000</v>
      </c>
      <c r="F21" s="6">
        <v>100.93049999999999</v>
      </c>
      <c r="G21" s="7">
        <v>1.6982436E-2</v>
      </c>
      <c r="H21" s="39"/>
    </row>
    <row r="22" spans="1:8" x14ac:dyDescent="0.2">
      <c r="A22" s="3">
        <v>16</v>
      </c>
      <c r="B22" s="4" t="s">
        <v>11</v>
      </c>
      <c r="C22" s="4" t="s">
        <v>12</v>
      </c>
      <c r="D22" s="4" t="s">
        <v>60</v>
      </c>
      <c r="E22" s="5">
        <v>5175</v>
      </c>
      <c r="F22" s="6">
        <v>91.475887499999999</v>
      </c>
      <c r="G22" s="7">
        <v>1.5391615000000001E-2</v>
      </c>
      <c r="H22" s="39"/>
    </row>
    <row r="23" spans="1:8" x14ac:dyDescent="0.2">
      <c r="A23" s="3">
        <v>17</v>
      </c>
      <c r="B23" s="4" t="s">
        <v>685</v>
      </c>
      <c r="C23" s="4" t="s">
        <v>686</v>
      </c>
      <c r="D23" s="4" t="s">
        <v>1142</v>
      </c>
      <c r="E23" s="5">
        <v>12100</v>
      </c>
      <c r="F23" s="6">
        <v>65.122200000000007</v>
      </c>
      <c r="G23" s="7">
        <v>1.0957378E-2</v>
      </c>
      <c r="H23" s="39"/>
    </row>
    <row r="24" spans="1:8" x14ac:dyDescent="0.2">
      <c r="A24" s="3">
        <v>18</v>
      </c>
      <c r="B24" s="4" t="s">
        <v>302</v>
      </c>
      <c r="C24" s="4" t="s">
        <v>303</v>
      </c>
      <c r="D24" s="4" t="s">
        <v>1155</v>
      </c>
      <c r="E24" s="5">
        <v>60</v>
      </c>
      <c r="F24" s="6">
        <v>25.913609999999998</v>
      </c>
      <c r="G24" s="7">
        <v>4.3601910000000002E-3</v>
      </c>
      <c r="H24" s="39"/>
    </row>
    <row r="25" spans="1:8" x14ac:dyDescent="0.2">
      <c r="A25" s="1"/>
      <c r="B25" s="1"/>
      <c r="C25" s="2" t="s">
        <v>111</v>
      </c>
      <c r="D25" s="1"/>
      <c r="E25" s="1" t="s">
        <v>112</v>
      </c>
      <c r="F25" s="9">
        <v>4088.3164975</v>
      </c>
      <c r="G25" s="10">
        <v>0.68789487400000005</v>
      </c>
      <c r="H25" s="39"/>
    </row>
    <row r="26" spans="1:8" x14ac:dyDescent="0.2">
      <c r="A26" s="1"/>
      <c r="B26" s="1"/>
      <c r="C26" s="11"/>
      <c r="D26" s="1"/>
      <c r="E26" s="1"/>
      <c r="F26" s="12"/>
      <c r="G26" s="12"/>
      <c r="H26" s="39"/>
    </row>
    <row r="27" spans="1:8" x14ac:dyDescent="0.2">
      <c r="A27" s="1"/>
      <c r="B27" s="1"/>
      <c r="C27" s="2" t="s">
        <v>113</v>
      </c>
      <c r="D27" s="1"/>
      <c r="E27" s="1"/>
      <c r="F27" s="1"/>
      <c r="G27" s="1"/>
      <c r="H27" s="39"/>
    </row>
    <row r="28" spans="1:8" x14ac:dyDescent="0.2">
      <c r="A28" s="1"/>
      <c r="B28" s="1"/>
      <c r="C28" s="2" t="s">
        <v>111</v>
      </c>
      <c r="D28" s="1"/>
      <c r="E28" s="1" t="s">
        <v>112</v>
      </c>
      <c r="F28" s="13">
        <v>0</v>
      </c>
      <c r="G28" s="14">
        <v>0</v>
      </c>
      <c r="H28" s="39"/>
    </row>
    <row r="29" spans="1:8" x14ac:dyDescent="0.2">
      <c r="A29" s="1"/>
      <c r="B29" s="1"/>
      <c r="C29" s="11"/>
      <c r="D29" s="1"/>
      <c r="E29" s="1"/>
      <c r="F29" s="12"/>
      <c r="G29" s="12"/>
      <c r="H29" s="39"/>
    </row>
    <row r="30" spans="1:8" x14ac:dyDescent="0.2">
      <c r="A30" s="1"/>
      <c r="B30" s="1"/>
      <c r="C30" s="2" t="s">
        <v>114</v>
      </c>
      <c r="D30" s="1"/>
      <c r="E30" s="1"/>
      <c r="F30" s="1"/>
      <c r="G30" s="1"/>
      <c r="H30" s="39"/>
    </row>
    <row r="31" spans="1:8" x14ac:dyDescent="0.2">
      <c r="A31" s="1"/>
      <c r="B31" s="1"/>
      <c r="C31" s="2" t="s">
        <v>111</v>
      </c>
      <c r="D31" s="1"/>
      <c r="E31" s="1" t="s">
        <v>112</v>
      </c>
      <c r="F31" s="13">
        <v>0</v>
      </c>
      <c r="G31" s="14">
        <v>0</v>
      </c>
      <c r="H31" s="39"/>
    </row>
    <row r="32" spans="1:8" x14ac:dyDescent="0.2">
      <c r="A32" s="1"/>
      <c r="B32" s="1"/>
      <c r="C32" s="11"/>
      <c r="D32" s="1"/>
      <c r="E32" s="1"/>
      <c r="F32" s="12"/>
      <c r="G32" s="12"/>
      <c r="H32" s="39"/>
    </row>
    <row r="33" spans="1:8" x14ac:dyDescent="0.2">
      <c r="A33" s="1"/>
      <c r="B33" s="1"/>
      <c r="C33" s="2" t="s">
        <v>115</v>
      </c>
      <c r="D33" s="1"/>
      <c r="E33" s="1"/>
      <c r="F33" s="1"/>
      <c r="G33" s="1"/>
      <c r="H33" s="39"/>
    </row>
    <row r="34" spans="1:8" x14ac:dyDescent="0.2">
      <c r="A34" s="1"/>
      <c r="B34" s="1"/>
      <c r="C34" s="2" t="s">
        <v>111</v>
      </c>
      <c r="D34" s="1"/>
      <c r="E34" s="1" t="s">
        <v>112</v>
      </c>
      <c r="F34" s="13">
        <v>0</v>
      </c>
      <c r="G34" s="14">
        <v>0</v>
      </c>
      <c r="H34" s="39"/>
    </row>
    <row r="35" spans="1:8" x14ac:dyDescent="0.2">
      <c r="A35" s="1"/>
      <c r="B35" s="1"/>
      <c r="C35" s="11"/>
      <c r="D35" s="1"/>
      <c r="E35" s="1"/>
      <c r="F35" s="12"/>
      <c r="G35" s="12"/>
      <c r="H35" s="39"/>
    </row>
    <row r="36" spans="1:8" x14ac:dyDescent="0.2">
      <c r="A36" s="1"/>
      <c r="B36" s="1"/>
      <c r="C36" s="2" t="s">
        <v>116</v>
      </c>
      <c r="D36" s="1"/>
      <c r="E36" s="1"/>
      <c r="F36" s="12"/>
      <c r="G36" s="12"/>
      <c r="H36" s="39"/>
    </row>
    <row r="37" spans="1:8" x14ac:dyDescent="0.2">
      <c r="A37" s="1"/>
      <c r="B37" s="1"/>
      <c r="C37" s="2" t="s">
        <v>111</v>
      </c>
      <c r="D37" s="1"/>
      <c r="E37" s="1" t="s">
        <v>112</v>
      </c>
      <c r="F37" s="13">
        <v>0</v>
      </c>
      <c r="G37" s="14">
        <v>0</v>
      </c>
      <c r="H37" s="39"/>
    </row>
    <row r="38" spans="1:8" x14ac:dyDescent="0.2">
      <c r="A38" s="1"/>
      <c r="B38" s="1"/>
      <c r="C38" s="11"/>
      <c r="D38" s="1"/>
      <c r="E38" s="1"/>
      <c r="F38" s="12"/>
      <c r="G38" s="12"/>
      <c r="H38" s="39"/>
    </row>
    <row r="39" spans="1:8" x14ac:dyDescent="0.2">
      <c r="A39" s="1"/>
      <c r="B39" s="1"/>
      <c r="C39" s="2" t="s">
        <v>117</v>
      </c>
      <c r="D39" s="1"/>
      <c r="E39" s="1"/>
      <c r="F39" s="12"/>
      <c r="G39" s="12"/>
      <c r="H39" s="39"/>
    </row>
    <row r="40" spans="1:8" x14ac:dyDescent="0.2">
      <c r="A40" s="3">
        <v>1</v>
      </c>
      <c r="B40" s="4"/>
      <c r="C40" s="4" t="s">
        <v>957</v>
      </c>
      <c r="D40" s="4" t="s">
        <v>687</v>
      </c>
      <c r="E40" s="5">
        <v>-60</v>
      </c>
      <c r="F40" s="6">
        <v>-26.032229999999998</v>
      </c>
      <c r="G40" s="7">
        <v>-4.3801500000000002E-3</v>
      </c>
      <c r="H40" s="39"/>
    </row>
    <row r="41" spans="1:8" ht="25.5" x14ac:dyDescent="0.2">
      <c r="A41" s="3">
        <v>2</v>
      </c>
      <c r="B41" s="4"/>
      <c r="C41" s="4" t="s">
        <v>958</v>
      </c>
      <c r="D41" s="4" t="s">
        <v>687</v>
      </c>
      <c r="E41" s="5">
        <v>-12100</v>
      </c>
      <c r="F41" s="6">
        <v>-65.352099999999993</v>
      </c>
      <c r="G41" s="7">
        <v>-1.099606E-2</v>
      </c>
      <c r="H41" s="39"/>
    </row>
    <row r="42" spans="1:8" x14ac:dyDescent="0.2">
      <c r="A42" s="3">
        <v>3</v>
      </c>
      <c r="B42" s="4"/>
      <c r="C42" s="4" t="s">
        <v>959</v>
      </c>
      <c r="D42" s="4" t="s">
        <v>687</v>
      </c>
      <c r="E42" s="5">
        <v>-5175</v>
      </c>
      <c r="F42" s="6">
        <v>-91.853662499999999</v>
      </c>
      <c r="G42" s="7">
        <v>-1.5455179999999999E-2</v>
      </c>
      <c r="H42" s="39"/>
    </row>
    <row r="43" spans="1:8" x14ac:dyDescent="0.2">
      <c r="A43" s="3">
        <v>4</v>
      </c>
      <c r="B43" s="4"/>
      <c r="C43" s="4" t="s">
        <v>960</v>
      </c>
      <c r="D43" s="4" t="s">
        <v>687</v>
      </c>
      <c r="E43" s="5">
        <v>-9000</v>
      </c>
      <c r="F43" s="6">
        <v>-101.268</v>
      </c>
      <c r="G43" s="7">
        <v>-1.7039220000000001E-2</v>
      </c>
      <c r="H43" s="39"/>
    </row>
    <row r="44" spans="1:8" ht="25.5" x14ac:dyDescent="0.2">
      <c r="A44" s="3">
        <v>5</v>
      </c>
      <c r="B44" s="4"/>
      <c r="C44" s="4" t="s">
        <v>961</v>
      </c>
      <c r="D44" s="4" t="s">
        <v>687</v>
      </c>
      <c r="E44" s="5">
        <v>-13500</v>
      </c>
      <c r="F44" s="6">
        <v>-115.43174999999999</v>
      </c>
      <c r="G44" s="7">
        <v>-1.9422399999999999E-2</v>
      </c>
      <c r="H44" s="39"/>
    </row>
    <row r="45" spans="1:8" x14ac:dyDescent="0.2">
      <c r="A45" s="3">
        <v>6</v>
      </c>
      <c r="B45" s="4"/>
      <c r="C45" s="4" t="s">
        <v>962</v>
      </c>
      <c r="D45" s="4" t="s">
        <v>687</v>
      </c>
      <c r="E45" s="5">
        <v>-20250</v>
      </c>
      <c r="F45" s="6">
        <v>-142.84350000000001</v>
      </c>
      <c r="G45" s="7">
        <v>-2.4034659999999999E-2</v>
      </c>
      <c r="H45" s="39"/>
    </row>
    <row r="46" spans="1:8" x14ac:dyDescent="0.2">
      <c r="A46" s="3">
        <v>7</v>
      </c>
      <c r="B46" s="4"/>
      <c r="C46" s="4" t="s">
        <v>963</v>
      </c>
      <c r="D46" s="4" t="s">
        <v>687</v>
      </c>
      <c r="E46" s="5">
        <v>-64800</v>
      </c>
      <c r="F46" s="6">
        <v>-148.45679999999999</v>
      </c>
      <c r="G46" s="7">
        <v>-2.4979149999999999E-2</v>
      </c>
      <c r="H46" s="39"/>
    </row>
    <row r="47" spans="1:8" ht="25.5" x14ac:dyDescent="0.2">
      <c r="A47" s="3">
        <v>8</v>
      </c>
      <c r="B47" s="4"/>
      <c r="C47" s="4" t="s">
        <v>964</v>
      </c>
      <c r="D47" s="4" t="s">
        <v>687</v>
      </c>
      <c r="E47" s="5">
        <v>-6300</v>
      </c>
      <c r="F47" s="6">
        <v>-151.3827</v>
      </c>
      <c r="G47" s="7">
        <v>-2.5471460000000001E-2</v>
      </c>
      <c r="H47" s="39"/>
    </row>
    <row r="48" spans="1:8" x14ac:dyDescent="0.2">
      <c r="A48" s="3">
        <v>9</v>
      </c>
      <c r="B48" s="4"/>
      <c r="C48" s="4" t="s">
        <v>965</v>
      </c>
      <c r="D48" s="4" t="s">
        <v>687</v>
      </c>
      <c r="E48" s="5">
        <v>-10000</v>
      </c>
      <c r="F48" s="6">
        <v>-176.215</v>
      </c>
      <c r="G48" s="7">
        <v>-2.9649709999999999E-2</v>
      </c>
      <c r="H48" s="39"/>
    </row>
    <row r="49" spans="1:8" x14ac:dyDescent="0.2">
      <c r="A49" s="3">
        <v>10</v>
      </c>
      <c r="B49" s="4"/>
      <c r="C49" s="4" t="s">
        <v>966</v>
      </c>
      <c r="D49" s="4" t="s">
        <v>687</v>
      </c>
      <c r="E49" s="5">
        <v>-52000</v>
      </c>
      <c r="F49" s="6">
        <v>-187.90199999999999</v>
      </c>
      <c r="G49" s="7">
        <v>-3.1616149999999996E-2</v>
      </c>
      <c r="H49" s="39"/>
    </row>
    <row r="50" spans="1:8" x14ac:dyDescent="0.2">
      <c r="A50" s="3">
        <v>11</v>
      </c>
      <c r="B50" s="4"/>
      <c r="C50" s="4" t="s">
        <v>967</v>
      </c>
      <c r="D50" s="4" t="s">
        <v>687</v>
      </c>
      <c r="E50" s="5">
        <v>-1350</v>
      </c>
      <c r="F50" s="6">
        <v>-231.53174999999999</v>
      </c>
      <c r="G50" s="7">
        <v>-3.8957229999999995E-2</v>
      </c>
      <c r="H50" s="39"/>
    </row>
    <row r="51" spans="1:8" x14ac:dyDescent="0.2">
      <c r="A51" s="3">
        <v>12</v>
      </c>
      <c r="B51" s="4"/>
      <c r="C51" s="4" t="s">
        <v>968</v>
      </c>
      <c r="D51" s="4" t="s">
        <v>687</v>
      </c>
      <c r="E51" s="5">
        <v>-30000</v>
      </c>
      <c r="F51" s="6">
        <v>-233.35499999999999</v>
      </c>
      <c r="G51" s="7">
        <v>-3.9264009999999995E-2</v>
      </c>
      <c r="H51" s="39"/>
    </row>
    <row r="52" spans="1:8" x14ac:dyDescent="0.2">
      <c r="A52" s="3">
        <v>13</v>
      </c>
      <c r="B52" s="4"/>
      <c r="C52" s="4" t="s">
        <v>969</v>
      </c>
      <c r="D52" s="4" t="s">
        <v>687</v>
      </c>
      <c r="E52" s="5">
        <v>-12300</v>
      </c>
      <c r="F52" s="6">
        <v>-252.77115000000001</v>
      </c>
      <c r="G52" s="7">
        <v>-4.2530949999999998E-2</v>
      </c>
      <c r="H52" s="39"/>
    </row>
    <row r="53" spans="1:8" x14ac:dyDescent="0.2">
      <c r="A53" s="3">
        <v>14</v>
      </c>
      <c r="B53" s="4"/>
      <c r="C53" s="4" t="s">
        <v>970</v>
      </c>
      <c r="D53" s="4" t="s">
        <v>687</v>
      </c>
      <c r="E53" s="5">
        <v>-46800</v>
      </c>
      <c r="F53" s="6">
        <v>-357.17759999999998</v>
      </c>
      <c r="G53" s="7">
        <v>-6.0098239999999997E-2</v>
      </c>
      <c r="H53" s="39"/>
    </row>
    <row r="54" spans="1:8" x14ac:dyDescent="0.2">
      <c r="A54" s="3">
        <v>15</v>
      </c>
      <c r="B54" s="4"/>
      <c r="C54" s="4" t="s">
        <v>971</v>
      </c>
      <c r="D54" s="4" t="s">
        <v>687</v>
      </c>
      <c r="E54" s="5">
        <v>-5000</v>
      </c>
      <c r="F54" s="6">
        <v>-365.23750000000001</v>
      </c>
      <c r="G54" s="7">
        <v>-6.1454389999999998E-2</v>
      </c>
      <c r="H54" s="39"/>
    </row>
    <row r="55" spans="1:8" x14ac:dyDescent="0.2">
      <c r="A55" s="3">
        <v>16</v>
      </c>
      <c r="B55" s="4"/>
      <c r="C55" s="4" t="s">
        <v>972</v>
      </c>
      <c r="D55" s="4" t="s">
        <v>687</v>
      </c>
      <c r="E55" s="5">
        <v>-84000</v>
      </c>
      <c r="F55" s="6">
        <v>-416.72399999999999</v>
      </c>
      <c r="G55" s="7">
        <v>-7.0117440000000003E-2</v>
      </c>
      <c r="H55" s="39"/>
    </row>
    <row r="56" spans="1:8" x14ac:dyDescent="0.2">
      <c r="A56" s="3">
        <v>17</v>
      </c>
      <c r="B56" s="4"/>
      <c r="C56" s="4" t="s">
        <v>973</v>
      </c>
      <c r="D56" s="4" t="s">
        <v>687</v>
      </c>
      <c r="E56" s="5">
        <v>-90000</v>
      </c>
      <c r="F56" s="6">
        <v>-481.14</v>
      </c>
      <c r="G56" s="7">
        <v>-8.0955999999999986E-2</v>
      </c>
      <c r="H56" s="39"/>
    </row>
    <row r="57" spans="1:8" x14ac:dyDescent="0.2">
      <c r="A57" s="3">
        <v>18</v>
      </c>
      <c r="B57" s="4"/>
      <c r="C57" s="4" t="s">
        <v>974</v>
      </c>
      <c r="D57" s="4" t="s">
        <v>687</v>
      </c>
      <c r="E57" s="5">
        <v>-21250</v>
      </c>
      <c r="F57" s="6">
        <v>-563.22062500000004</v>
      </c>
      <c r="G57" s="7">
        <v>-9.4766779999999995E-2</v>
      </c>
      <c r="H57" s="39"/>
    </row>
    <row r="58" spans="1:8" x14ac:dyDescent="0.2">
      <c r="A58" s="1"/>
      <c r="B58" s="1"/>
      <c r="C58" s="2" t="s">
        <v>111</v>
      </c>
      <c r="D58" s="1"/>
      <c r="E58" s="1" t="s">
        <v>112</v>
      </c>
      <c r="F58" s="9">
        <v>-4107.8953675000002</v>
      </c>
      <c r="G58" s="10">
        <v>-0.69118918900000004</v>
      </c>
      <c r="H58" s="39"/>
    </row>
    <row r="59" spans="1:8" x14ac:dyDescent="0.2">
      <c r="A59" s="1"/>
      <c r="B59" s="1"/>
      <c r="C59" s="11"/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118</v>
      </c>
      <c r="D60" s="1"/>
      <c r="E60" s="1"/>
      <c r="F60" s="9">
        <v>4088.3164975</v>
      </c>
      <c r="G60" s="10">
        <v>0.68789487400000005</v>
      </c>
      <c r="H60" s="39"/>
    </row>
    <row r="61" spans="1:8" x14ac:dyDescent="0.2">
      <c r="A61" s="1"/>
      <c r="B61" s="1"/>
      <c r="C61" s="11"/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119</v>
      </c>
      <c r="D62" s="1"/>
      <c r="E62" s="1"/>
      <c r="F62" s="12"/>
      <c r="G62" s="12"/>
      <c r="H62" s="39"/>
    </row>
    <row r="63" spans="1:8" ht="25.5" x14ac:dyDescent="0.2">
      <c r="A63" s="1"/>
      <c r="B63" s="1"/>
      <c r="C63" s="2" t="s">
        <v>10</v>
      </c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39"/>
    </row>
    <row r="65" spans="1:8" x14ac:dyDescent="0.2">
      <c r="A65" s="1"/>
      <c r="B65" s="1"/>
      <c r="C65" s="11"/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120</v>
      </c>
      <c r="D66" s="1"/>
      <c r="E66" s="1"/>
      <c r="F66" s="1"/>
      <c r="G66" s="1"/>
      <c r="H66" s="39"/>
    </row>
    <row r="67" spans="1:8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x14ac:dyDescent="0.2">
      <c r="A69" s="1"/>
      <c r="B69" s="1"/>
      <c r="C69" s="2" t="s">
        <v>121</v>
      </c>
      <c r="D69" s="1"/>
      <c r="E69" s="1"/>
      <c r="F69" s="1"/>
      <c r="G69" s="1"/>
      <c r="H69" s="39"/>
    </row>
    <row r="70" spans="1:8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39"/>
    </row>
    <row r="71" spans="1:8" x14ac:dyDescent="0.2">
      <c r="A71" s="1"/>
      <c r="B71" s="1"/>
      <c r="C71" s="11"/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122</v>
      </c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123</v>
      </c>
      <c r="D75" s="1"/>
      <c r="E75" s="1"/>
      <c r="F75" s="9">
        <v>0</v>
      </c>
      <c r="G75" s="10">
        <v>0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124</v>
      </c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125</v>
      </c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126</v>
      </c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127</v>
      </c>
      <c r="D84" s="1"/>
      <c r="E84" s="1"/>
      <c r="F84" s="12"/>
      <c r="G84" s="12"/>
      <c r="H84" s="39"/>
    </row>
    <row r="85" spans="1:8" x14ac:dyDescent="0.2">
      <c r="A85" s="3">
        <v>1</v>
      </c>
      <c r="B85" s="4" t="s">
        <v>688</v>
      </c>
      <c r="C85" s="4" t="s">
        <v>956</v>
      </c>
      <c r="D85" s="4" t="s">
        <v>647</v>
      </c>
      <c r="E85" s="5">
        <v>1000000</v>
      </c>
      <c r="F85" s="6">
        <v>989.01</v>
      </c>
      <c r="G85" s="7">
        <v>0.16640954999999999</v>
      </c>
      <c r="H85" s="39">
        <v>3.9</v>
      </c>
    </row>
    <row r="86" spans="1:8" x14ac:dyDescent="0.2">
      <c r="A86" s="1"/>
      <c r="B86" s="1"/>
      <c r="C86" s="2" t="s">
        <v>111</v>
      </c>
      <c r="D86" s="1"/>
      <c r="E86" s="1" t="s">
        <v>112</v>
      </c>
      <c r="F86" s="9">
        <v>989.01</v>
      </c>
      <c r="G86" s="10">
        <v>0.16640954999999999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128</v>
      </c>
      <c r="D88" s="1"/>
      <c r="E88" s="1"/>
      <c r="F88" s="12"/>
      <c r="G88" s="12"/>
      <c r="H88" s="39"/>
    </row>
    <row r="89" spans="1:8" x14ac:dyDescent="0.2">
      <c r="A89" s="3">
        <v>1</v>
      </c>
      <c r="B89" s="4"/>
      <c r="C89" s="4" t="s">
        <v>129</v>
      </c>
      <c r="D89" s="4"/>
      <c r="E89" s="8"/>
      <c r="F89" s="6">
        <v>15.402198200000001</v>
      </c>
      <c r="G89" s="7">
        <v>2.5915539999999998E-3</v>
      </c>
      <c r="H89" s="39">
        <v>3.6151121728634927</v>
      </c>
    </row>
    <row r="90" spans="1:8" x14ac:dyDescent="0.2">
      <c r="A90" s="3">
        <v>2</v>
      </c>
      <c r="B90" s="4"/>
      <c r="C90" s="4" t="s">
        <v>130</v>
      </c>
      <c r="D90" s="4"/>
      <c r="E90" s="8"/>
      <c r="F90" s="6">
        <v>5.4458763000000001</v>
      </c>
      <c r="G90" s="7">
        <v>9.1631600000000003E-4</v>
      </c>
      <c r="H90" s="39">
        <v>3.7142625760646584</v>
      </c>
    </row>
    <row r="91" spans="1:8" x14ac:dyDescent="0.2">
      <c r="A91" s="1"/>
      <c r="B91" s="1"/>
      <c r="C91" s="2" t="s">
        <v>111</v>
      </c>
      <c r="D91" s="1"/>
      <c r="E91" s="1" t="s">
        <v>112</v>
      </c>
      <c r="F91" s="9">
        <v>20.848074499999999</v>
      </c>
      <c r="G91" s="10">
        <v>3.5078700000000002E-3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131</v>
      </c>
      <c r="D93" s="1"/>
      <c r="E93" s="1"/>
      <c r="F93" s="9">
        <v>1009.8580745</v>
      </c>
      <c r="G93" s="10">
        <v>0.16991742000000001</v>
      </c>
      <c r="H93" s="39"/>
    </row>
    <row r="94" spans="1:8" x14ac:dyDescent="0.2">
      <c r="A94" s="1"/>
      <c r="B94" s="1"/>
      <c r="C94" s="12"/>
      <c r="D94" s="1"/>
      <c r="E94" s="1"/>
      <c r="F94" s="1"/>
      <c r="G94" s="1"/>
      <c r="H94" s="39"/>
    </row>
    <row r="95" spans="1:8" x14ac:dyDescent="0.2">
      <c r="A95" s="1"/>
      <c r="B95" s="1"/>
      <c r="C95" s="2" t="s">
        <v>132</v>
      </c>
      <c r="D95" s="1"/>
      <c r="E95" s="1"/>
      <c r="F95" s="1"/>
      <c r="G95" s="1"/>
      <c r="H95" s="39"/>
    </row>
    <row r="96" spans="1:8" x14ac:dyDescent="0.2">
      <c r="A96" s="1"/>
      <c r="B96" s="1"/>
      <c r="C96" s="2" t="s">
        <v>133</v>
      </c>
      <c r="D96" s="1"/>
      <c r="E96" s="1"/>
      <c r="F96" s="1"/>
      <c r="G96" s="1"/>
      <c r="H96" s="39"/>
    </row>
    <row r="97" spans="1:15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15" x14ac:dyDescent="0.2">
      <c r="A98" s="1"/>
      <c r="B98" s="1"/>
      <c r="C98" s="11"/>
      <c r="D98" s="1"/>
      <c r="E98" s="1"/>
      <c r="F98" s="12"/>
      <c r="G98" s="12"/>
      <c r="H98" s="39"/>
    </row>
    <row r="99" spans="1:15" x14ac:dyDescent="0.2">
      <c r="A99" s="1"/>
      <c r="B99" s="1"/>
      <c r="C99" s="2" t="s">
        <v>134</v>
      </c>
      <c r="D99" s="1"/>
      <c r="E99" s="1"/>
      <c r="F99" s="1"/>
      <c r="G99" s="1"/>
      <c r="H99" s="39"/>
    </row>
    <row r="100" spans="1:15" x14ac:dyDescent="0.2">
      <c r="A100" s="1"/>
      <c r="B100" s="1"/>
      <c r="C100" s="2" t="s">
        <v>135</v>
      </c>
      <c r="D100" s="1"/>
      <c r="E100" s="1"/>
      <c r="F100" s="1"/>
      <c r="G100" s="1"/>
      <c r="H100" s="39"/>
    </row>
    <row r="101" spans="1:15" x14ac:dyDescent="0.2">
      <c r="A101" s="1"/>
      <c r="B101" s="1"/>
      <c r="C101" s="2" t="s">
        <v>111</v>
      </c>
      <c r="D101" s="1"/>
      <c r="E101" s="1" t="s">
        <v>112</v>
      </c>
      <c r="F101" s="13">
        <v>0</v>
      </c>
      <c r="G101" s="14">
        <v>0</v>
      </c>
      <c r="H101" s="39"/>
    </row>
    <row r="102" spans="1:15" x14ac:dyDescent="0.2">
      <c r="A102" s="1"/>
      <c r="B102" s="1"/>
      <c r="C102" s="11"/>
      <c r="D102" s="1"/>
      <c r="E102" s="1"/>
      <c r="F102" s="12"/>
      <c r="G102" s="12"/>
      <c r="H102" s="39"/>
    </row>
    <row r="103" spans="1:15" x14ac:dyDescent="0.2">
      <c r="A103" s="1"/>
      <c r="B103" s="1"/>
      <c r="C103" s="11"/>
      <c r="D103" s="1"/>
      <c r="E103" s="1"/>
      <c r="F103" s="12"/>
      <c r="G103" s="12"/>
      <c r="H103" s="39"/>
    </row>
    <row r="104" spans="1:15" ht="25.5" x14ac:dyDescent="0.2">
      <c r="A104" s="1"/>
      <c r="B104" s="1"/>
      <c r="C104" s="2" t="s">
        <v>136</v>
      </c>
      <c r="D104" s="1"/>
      <c r="E104" s="1"/>
      <c r="F104" s="12"/>
      <c r="G104" s="12"/>
      <c r="H104" s="39"/>
    </row>
    <row r="105" spans="1:15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15" x14ac:dyDescent="0.2">
      <c r="A106" s="1"/>
      <c r="B106" s="1"/>
      <c r="C106" s="11"/>
      <c r="D106" s="1"/>
      <c r="E106" s="1"/>
      <c r="F106" s="12"/>
      <c r="G106" s="12"/>
      <c r="H106" s="39"/>
    </row>
    <row r="107" spans="1:15" x14ac:dyDescent="0.2">
      <c r="A107" s="8"/>
      <c r="B107" s="4"/>
      <c r="C107" s="4" t="s">
        <v>689</v>
      </c>
      <c r="D107" s="4"/>
      <c r="E107" s="8"/>
      <c r="F107" s="6">
        <v>591.6463675</v>
      </c>
      <c r="G107" s="7">
        <v>9.9549656682321297E-2</v>
      </c>
      <c r="H107" s="39"/>
    </row>
    <row r="108" spans="1:15" x14ac:dyDescent="0.2">
      <c r="A108" s="8"/>
      <c r="B108" s="4"/>
      <c r="C108" s="37" t="s">
        <v>1011</v>
      </c>
      <c r="D108" s="4"/>
      <c r="E108" s="8"/>
      <c r="F108" s="6">
        <v>253.40766839000116</v>
      </c>
      <c r="G108" s="7">
        <v>4.263804829139281E-2</v>
      </c>
      <c r="H108" s="39"/>
    </row>
    <row r="109" spans="1:15" x14ac:dyDescent="0.2">
      <c r="A109" s="11"/>
      <c r="B109" s="11"/>
      <c r="C109" s="2" t="s">
        <v>138</v>
      </c>
      <c r="D109" s="15"/>
      <c r="E109" s="15"/>
      <c r="F109" s="9">
        <v>5943.2286078900015</v>
      </c>
      <c r="G109" s="10">
        <v>0.99999999897371417</v>
      </c>
      <c r="H109" s="39"/>
    </row>
    <row r="110" spans="1:15" x14ac:dyDescent="0.2">
      <c r="A110" s="16"/>
      <c r="B110" s="16"/>
      <c r="C110" s="16"/>
      <c r="D110" s="17"/>
      <c r="E110" s="17"/>
      <c r="F110" s="17"/>
      <c r="G110" s="17"/>
    </row>
    <row r="111" spans="1:15" x14ac:dyDescent="0.2">
      <c r="A111" s="18"/>
      <c r="B111" s="197" t="s">
        <v>139</v>
      </c>
      <c r="C111" s="197"/>
      <c r="D111" s="197"/>
      <c r="E111" s="197"/>
      <c r="F111" s="197"/>
      <c r="G111" s="20"/>
    </row>
    <row r="112" spans="1:15" s="41" customFormat="1" x14ac:dyDescent="0.2">
      <c r="A112" s="42"/>
      <c r="B112" s="209" t="s">
        <v>1012</v>
      </c>
      <c r="C112" s="209"/>
      <c r="D112" s="209"/>
      <c r="E112" s="209"/>
      <c r="F112" s="209"/>
      <c r="G112" s="43"/>
      <c r="H112"/>
      <c r="I112" s="44"/>
      <c r="J112"/>
      <c r="K112"/>
      <c r="L112"/>
      <c r="M112"/>
      <c r="N112"/>
      <c r="O112"/>
    </row>
    <row r="113" spans="1:17" x14ac:dyDescent="0.2">
      <c r="A113" s="18"/>
      <c r="B113" s="18"/>
      <c r="C113" s="18"/>
      <c r="D113" s="20"/>
      <c r="E113" s="20"/>
      <c r="F113" s="20"/>
      <c r="G113" s="20"/>
    </row>
    <row r="114" spans="1:17" x14ac:dyDescent="0.2">
      <c r="A114" s="18"/>
      <c r="B114" s="194" t="s">
        <v>140</v>
      </c>
      <c r="C114" s="195"/>
      <c r="D114" s="12" t="s">
        <v>112</v>
      </c>
      <c r="E114" s="21"/>
      <c r="F114" s="20"/>
      <c r="G114" s="20"/>
    </row>
    <row r="115" spans="1:17" x14ac:dyDescent="0.2">
      <c r="A115" s="18"/>
      <c r="B115" s="189" t="s">
        <v>141</v>
      </c>
      <c r="C115" s="190"/>
      <c r="D115" s="51" t="s">
        <v>1048</v>
      </c>
      <c r="E115" s="21"/>
      <c r="F115" s="20"/>
      <c r="G115" s="20"/>
    </row>
    <row r="116" spans="1:17" x14ac:dyDescent="0.2">
      <c r="A116" s="18"/>
      <c r="B116" s="189" t="s">
        <v>143</v>
      </c>
      <c r="C116" s="190"/>
      <c r="D116" s="2" t="s">
        <v>142</v>
      </c>
      <c r="E116" s="21"/>
      <c r="F116" s="20"/>
      <c r="G116" s="20"/>
    </row>
    <row r="117" spans="1:17" x14ac:dyDescent="0.2">
      <c r="A117" s="18"/>
      <c r="B117" s="189" t="s">
        <v>144</v>
      </c>
      <c r="C117" s="190"/>
      <c r="D117" s="12" t="s">
        <v>112</v>
      </c>
      <c r="E117" s="21"/>
      <c r="F117" s="20"/>
      <c r="G117" s="20"/>
    </row>
    <row r="118" spans="1:17" ht="25.5" x14ac:dyDescent="0.2">
      <c r="A118" s="22"/>
      <c r="B118" s="23" t="s">
        <v>112</v>
      </c>
      <c r="C118" s="23" t="s">
        <v>145</v>
      </c>
      <c r="D118" s="23" t="s">
        <v>146</v>
      </c>
      <c r="E118" s="22"/>
      <c r="F118" s="22"/>
      <c r="G118" s="22"/>
    </row>
    <row r="119" spans="1:17" x14ac:dyDescent="0.2">
      <c r="A119" s="22"/>
      <c r="B119" s="23" t="s">
        <v>147</v>
      </c>
      <c r="C119" s="23" t="s">
        <v>148</v>
      </c>
      <c r="D119" s="23" t="s">
        <v>149</v>
      </c>
      <c r="E119" s="22"/>
      <c r="F119" s="22"/>
      <c r="G119" s="22"/>
    </row>
    <row r="120" spans="1:17" x14ac:dyDescent="0.2">
      <c r="A120" s="22"/>
      <c r="B120" s="4" t="s">
        <v>150</v>
      </c>
      <c r="C120" s="24">
        <v>12.2315</v>
      </c>
      <c r="D120" s="24">
        <v>12.231299999999999</v>
      </c>
      <c r="E120" s="22"/>
      <c r="F120" s="19"/>
      <c r="G120" s="25"/>
    </row>
    <row r="121" spans="1:17" ht="25.5" x14ac:dyDescent="0.2">
      <c r="A121" s="22"/>
      <c r="B121" s="4" t="s">
        <v>1097</v>
      </c>
      <c r="C121" s="24">
        <v>10.577299999999999</v>
      </c>
      <c r="D121" s="24">
        <v>10.5771</v>
      </c>
      <c r="E121" s="22"/>
      <c r="F121" s="19"/>
      <c r="G121" s="25"/>
    </row>
    <row r="122" spans="1:17" x14ac:dyDescent="0.2">
      <c r="A122" s="22"/>
      <c r="B122" s="4" t="s">
        <v>151</v>
      </c>
      <c r="C122" s="24">
        <v>11.8483</v>
      </c>
      <c r="D122" s="24">
        <v>11.8406</v>
      </c>
      <c r="E122" s="22"/>
      <c r="F122" s="19"/>
      <c r="G122" s="25"/>
    </row>
    <row r="123" spans="1:17" ht="25.5" x14ac:dyDescent="0.2">
      <c r="A123" s="22"/>
      <c r="B123" s="4" t="s">
        <v>1099</v>
      </c>
      <c r="C123" s="24">
        <v>10.417400000000001</v>
      </c>
      <c r="D123" s="24">
        <v>10.4107</v>
      </c>
      <c r="E123" s="22"/>
      <c r="F123" s="19"/>
      <c r="G123" s="25"/>
    </row>
    <row r="124" spans="1:17" x14ac:dyDescent="0.2">
      <c r="A124" s="22"/>
      <c r="B124" s="22"/>
      <c r="C124" s="22"/>
      <c r="D124" s="22"/>
      <c r="E124" s="22"/>
      <c r="F124" s="22"/>
      <c r="G124" s="22"/>
    </row>
    <row r="125" spans="1:17" x14ac:dyDescent="0.2">
      <c r="A125" s="22"/>
      <c r="B125" s="189" t="s">
        <v>1094</v>
      </c>
      <c r="C125" s="190"/>
      <c r="D125" s="2" t="s">
        <v>142</v>
      </c>
      <c r="E125" s="22"/>
      <c r="F125" s="22"/>
      <c r="G125" s="22"/>
    </row>
    <row r="126" spans="1:17" x14ac:dyDescent="0.2">
      <c r="A126" s="22"/>
      <c r="B126" s="26"/>
      <c r="C126" s="26"/>
      <c r="D126" s="27"/>
      <c r="E126" s="22"/>
      <c r="F126" s="22"/>
      <c r="G126" s="22"/>
    </row>
    <row r="127" spans="1:17" s="101" customFormat="1" x14ac:dyDescent="0.2">
      <c r="B127" s="193" t="s">
        <v>1102</v>
      </c>
      <c r="C127" s="193"/>
      <c r="D127" s="193"/>
      <c r="E127" s="193"/>
      <c r="F127" s="193"/>
      <c r="I127"/>
      <c r="J127"/>
      <c r="K127"/>
      <c r="L127"/>
      <c r="M127"/>
      <c r="N127"/>
      <c r="O127"/>
      <c r="P127" s="41"/>
      <c r="Q127" s="41"/>
    </row>
    <row r="128" spans="1:17" x14ac:dyDescent="0.2">
      <c r="A128" s="22"/>
      <c r="B128" s="19"/>
      <c r="C128" s="19"/>
      <c r="D128" s="22"/>
      <c r="E128" s="22"/>
      <c r="F128" s="22"/>
      <c r="G128" s="22"/>
    </row>
    <row r="129" spans="1:15" x14ac:dyDescent="0.2">
      <c r="A129" s="59"/>
      <c r="B129" s="191" t="s">
        <v>152</v>
      </c>
      <c r="C129" s="192"/>
      <c r="D129" s="51" t="s">
        <v>1042</v>
      </c>
      <c r="E129" s="59"/>
      <c r="F129" s="59"/>
      <c r="G129" s="59"/>
    </row>
    <row r="130" spans="1:15" x14ac:dyDescent="0.2">
      <c r="A130" s="59"/>
      <c r="B130" s="191" t="s">
        <v>153</v>
      </c>
      <c r="C130" s="192"/>
      <c r="D130" s="51" t="s">
        <v>142</v>
      </c>
      <c r="E130" s="59"/>
      <c r="F130" s="59"/>
      <c r="G130" s="59"/>
    </row>
    <row r="131" spans="1:15" x14ac:dyDescent="0.2">
      <c r="A131" s="59"/>
      <c r="B131" s="207" t="s">
        <v>1044</v>
      </c>
      <c r="C131" s="208"/>
      <c r="D131" s="60">
        <v>0.15462344463218292</v>
      </c>
      <c r="E131" s="61"/>
      <c r="F131" s="59"/>
      <c r="G131" s="59"/>
    </row>
    <row r="132" spans="1:15" x14ac:dyDescent="0.2">
      <c r="A132" s="59"/>
      <c r="B132" s="207" t="s">
        <v>1045</v>
      </c>
      <c r="C132" s="208"/>
      <c r="D132" s="60">
        <v>0.15462344463218292</v>
      </c>
      <c r="E132" s="61"/>
      <c r="F132" s="59"/>
      <c r="G132" s="59"/>
    </row>
    <row r="133" spans="1:15" x14ac:dyDescent="0.2">
      <c r="A133" s="59"/>
      <c r="B133" s="191" t="s">
        <v>1046</v>
      </c>
      <c r="C133" s="192"/>
      <c r="D133" s="28">
        <v>10.63727962564619</v>
      </c>
      <c r="E133" s="59"/>
      <c r="F133" s="50"/>
      <c r="G133" s="62"/>
    </row>
    <row r="134" spans="1:15" x14ac:dyDescent="0.2">
      <c r="A134" s="59"/>
      <c r="B134" s="191" t="s">
        <v>1047</v>
      </c>
      <c r="C134" s="192"/>
      <c r="D134" s="51" t="s">
        <v>142</v>
      </c>
      <c r="E134" s="59"/>
      <c r="F134" s="59"/>
      <c r="G134" s="59"/>
    </row>
    <row r="136" spans="1:15" x14ac:dyDescent="0.2">
      <c r="B136" s="94" t="s">
        <v>1074</v>
      </c>
      <c r="C136" s="94"/>
      <c r="D136" s="94"/>
      <c r="E136" s="95"/>
      <c r="F136" s="96"/>
    </row>
    <row r="137" spans="1:15" ht="25.5" x14ac:dyDescent="0.2">
      <c r="B137" s="68" t="s">
        <v>1054</v>
      </c>
      <c r="C137" s="68" t="s">
        <v>1055</v>
      </c>
      <c r="D137" s="68" t="s">
        <v>1056</v>
      </c>
      <c r="E137" s="68" t="s">
        <v>1057</v>
      </c>
      <c r="F137" s="68" t="s">
        <v>1058</v>
      </c>
      <c r="J137" s="101"/>
      <c r="K137" s="101"/>
      <c r="L137" s="101"/>
      <c r="M137" s="101"/>
      <c r="N137" s="101"/>
      <c r="O137" s="101"/>
    </row>
    <row r="138" spans="1:15" ht="25.5" x14ac:dyDescent="0.2">
      <c r="B138" s="97" t="s">
        <v>1059</v>
      </c>
      <c r="C138" s="70" t="s">
        <v>1060</v>
      </c>
      <c r="D138" s="71">
        <v>0</v>
      </c>
      <c r="E138" s="72">
        <v>0</v>
      </c>
      <c r="F138" s="73">
        <v>50</v>
      </c>
    </row>
  </sheetData>
  <mergeCells count="18">
    <mergeCell ref="B134:C134"/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  <mergeCell ref="A1:H1"/>
    <mergeCell ref="A2:H2"/>
    <mergeCell ref="A3:H3"/>
    <mergeCell ref="J2:N2"/>
    <mergeCell ref="B133:C133"/>
    <mergeCell ref="B114:C114"/>
    <mergeCell ref="B111:F111"/>
    <mergeCell ref="B112:F112"/>
  </mergeCells>
  <pageMargins left="5.000000074505806E-2" right="5.000000074505806E-2" top="0.30000001192092896" bottom="0.20000000298023224" header="0" footer="0"/>
  <pageSetup paperSize="9" orientation="landscape" r:id="rId1"/>
  <headerFooter alignWithMargins="0"/>
  <rowBreaks count="1" manualBreakCount="1">
    <brk max="65535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Q2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10" max="15" width="9.140625" style="41"/>
  </cols>
  <sheetData>
    <row r="1" spans="1:15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5" ht="15" x14ac:dyDescent="0.2">
      <c r="A2" s="185" t="s">
        <v>1105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5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5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  <c r="J4" s="177"/>
      <c r="K4" s="177"/>
      <c r="L4" s="177"/>
      <c r="M4" s="177"/>
      <c r="N4" s="177"/>
      <c r="O4" s="177"/>
    </row>
    <row r="5" spans="1:15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5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5" x14ac:dyDescent="0.2">
      <c r="A7" s="3">
        <v>1</v>
      </c>
      <c r="B7" s="4" t="s">
        <v>13</v>
      </c>
      <c r="C7" s="4" t="s">
        <v>14</v>
      </c>
      <c r="D7" s="4" t="s">
        <v>15</v>
      </c>
      <c r="E7" s="5">
        <v>389418</v>
      </c>
      <c r="F7" s="6">
        <v>10260.190755</v>
      </c>
      <c r="G7" s="7">
        <v>6.2956226000000004E-2</v>
      </c>
      <c r="H7" s="39"/>
    </row>
    <row r="8" spans="1:15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959499</v>
      </c>
      <c r="F8" s="6">
        <v>7007.2211969999998</v>
      </c>
      <c r="G8" s="7">
        <v>4.2996101000000002E-2</v>
      </c>
      <c r="H8" s="39"/>
    </row>
    <row r="9" spans="1:15" x14ac:dyDescent="0.2">
      <c r="A9" s="3">
        <v>3</v>
      </c>
      <c r="B9" s="4" t="s">
        <v>386</v>
      </c>
      <c r="C9" s="4" t="s">
        <v>387</v>
      </c>
      <c r="D9" s="4" t="s">
        <v>1143</v>
      </c>
      <c r="E9" s="5">
        <v>357663</v>
      </c>
      <c r="F9" s="6">
        <v>6820.0969155000003</v>
      </c>
      <c r="G9" s="7">
        <v>4.1847912000000001E-2</v>
      </c>
      <c r="H9" s="39"/>
    </row>
    <row r="10" spans="1:15" x14ac:dyDescent="0.2">
      <c r="A10" s="3">
        <v>4</v>
      </c>
      <c r="B10" s="4" t="s">
        <v>49</v>
      </c>
      <c r="C10" s="4" t="s">
        <v>50</v>
      </c>
      <c r="D10" s="4" t="s">
        <v>18</v>
      </c>
      <c r="E10" s="5">
        <v>1247795</v>
      </c>
      <c r="F10" s="6">
        <v>6158.4922225</v>
      </c>
      <c r="G10" s="7">
        <v>3.7788324999999998E-2</v>
      </c>
      <c r="H10" s="39"/>
    </row>
    <row r="11" spans="1:15" ht="25.5" x14ac:dyDescent="0.2">
      <c r="A11" s="3">
        <v>5</v>
      </c>
      <c r="B11" s="4" t="s">
        <v>390</v>
      </c>
      <c r="C11" s="4" t="s">
        <v>391</v>
      </c>
      <c r="D11" s="4" t="s">
        <v>82</v>
      </c>
      <c r="E11" s="5">
        <v>200800</v>
      </c>
      <c r="F11" s="6">
        <v>4799.9232000000002</v>
      </c>
      <c r="G11" s="7">
        <v>2.9452186000000002E-2</v>
      </c>
      <c r="H11" s="39"/>
      <c r="J11" s="52"/>
      <c r="K11" s="52"/>
      <c r="L11" s="52"/>
      <c r="M11" s="52"/>
      <c r="N11" s="52"/>
      <c r="O11" s="52"/>
    </row>
    <row r="12" spans="1:15" x14ac:dyDescent="0.2">
      <c r="A12" s="3">
        <v>6</v>
      </c>
      <c r="B12" s="4" t="s">
        <v>300</v>
      </c>
      <c r="C12" s="4" t="s">
        <v>301</v>
      </c>
      <c r="D12" s="4" t="s">
        <v>18</v>
      </c>
      <c r="E12" s="5">
        <v>615962</v>
      </c>
      <c r="F12" s="6">
        <v>4688.3947630000002</v>
      </c>
      <c r="G12" s="7">
        <v>2.8767851000000001E-2</v>
      </c>
      <c r="H12" s="39"/>
    </row>
    <row r="13" spans="1:15" x14ac:dyDescent="0.2">
      <c r="A13" s="3">
        <v>7</v>
      </c>
      <c r="B13" s="4" t="s">
        <v>19</v>
      </c>
      <c r="C13" s="4" t="s">
        <v>20</v>
      </c>
      <c r="D13" s="4" t="s">
        <v>21</v>
      </c>
      <c r="E13" s="5">
        <v>605805</v>
      </c>
      <c r="F13" s="6">
        <v>4573.5248474999999</v>
      </c>
      <c r="G13" s="7">
        <v>2.8063013000000001E-2</v>
      </c>
      <c r="H13" s="39"/>
    </row>
    <row r="14" spans="1:15" ht="15" x14ac:dyDescent="0.2">
      <c r="A14" s="3">
        <v>8</v>
      </c>
      <c r="B14" s="37" t="s">
        <v>1005</v>
      </c>
      <c r="C14" s="37" t="s">
        <v>1006</v>
      </c>
      <c r="D14" s="4" t="s">
        <v>1157</v>
      </c>
      <c r="E14" s="38">
        <v>1141230</v>
      </c>
      <c r="F14" s="39">
        <v>4242.5225249999994</v>
      </c>
      <c r="G14" s="40">
        <v>2.6031990000000001E-2</v>
      </c>
      <c r="H14" s="39"/>
      <c r="J14" s="176" t="s">
        <v>1187</v>
      </c>
    </row>
    <row r="15" spans="1:15" x14ac:dyDescent="0.2">
      <c r="A15" s="3">
        <v>9</v>
      </c>
      <c r="B15" s="4" t="s">
        <v>392</v>
      </c>
      <c r="C15" s="4" t="s">
        <v>393</v>
      </c>
      <c r="D15" s="4" t="s">
        <v>1143</v>
      </c>
      <c r="E15" s="5">
        <v>99260</v>
      </c>
      <c r="F15" s="6">
        <v>3712.2743700000001</v>
      </c>
      <c r="G15" s="7">
        <v>2.2778405000000002E-2</v>
      </c>
      <c r="H15" s="39"/>
    </row>
    <row r="16" spans="1:15" x14ac:dyDescent="0.2">
      <c r="A16" s="3">
        <v>10</v>
      </c>
      <c r="B16" s="4" t="s">
        <v>404</v>
      </c>
      <c r="C16" s="4" t="s">
        <v>405</v>
      </c>
      <c r="D16" s="4" t="s">
        <v>1143</v>
      </c>
      <c r="E16" s="5">
        <v>242450</v>
      </c>
      <c r="F16" s="6">
        <v>3635.4165250000001</v>
      </c>
      <c r="G16" s="7">
        <v>2.2306808000000001E-2</v>
      </c>
      <c r="H16" s="39"/>
    </row>
    <row r="17" spans="1:15" x14ac:dyDescent="0.2">
      <c r="A17" s="3">
        <v>11</v>
      </c>
      <c r="B17" s="4" t="s">
        <v>491</v>
      </c>
      <c r="C17" s="4" t="s">
        <v>492</v>
      </c>
      <c r="D17" s="4" t="s">
        <v>1144</v>
      </c>
      <c r="E17" s="5">
        <v>350000</v>
      </c>
      <c r="F17" s="6">
        <v>3109.2249999999999</v>
      </c>
      <c r="G17" s="7">
        <v>1.9078112000000001E-2</v>
      </c>
      <c r="H17" s="39"/>
    </row>
    <row r="18" spans="1:15" x14ac:dyDescent="0.2">
      <c r="A18" s="3">
        <v>12</v>
      </c>
      <c r="B18" s="4" t="s">
        <v>388</v>
      </c>
      <c r="C18" s="4" t="s">
        <v>389</v>
      </c>
      <c r="D18" s="4" t="s">
        <v>18</v>
      </c>
      <c r="E18" s="5">
        <v>203500</v>
      </c>
      <c r="F18" s="6">
        <v>2992.1622499999999</v>
      </c>
      <c r="G18" s="7">
        <v>1.8359818999999999E-2</v>
      </c>
      <c r="H18" s="39"/>
      <c r="J18" s="52"/>
      <c r="K18" s="52"/>
      <c r="L18" s="52"/>
      <c r="M18" s="52"/>
      <c r="N18" s="52"/>
      <c r="O18" s="52"/>
    </row>
    <row r="19" spans="1:15" x14ac:dyDescent="0.2">
      <c r="A19" s="3">
        <v>13</v>
      </c>
      <c r="B19" s="4" t="s">
        <v>410</v>
      </c>
      <c r="C19" s="4" t="s">
        <v>411</v>
      </c>
      <c r="D19" s="4" t="s">
        <v>412</v>
      </c>
      <c r="E19" s="5">
        <v>449362</v>
      </c>
      <c r="F19" s="6">
        <v>2559.1165900000001</v>
      </c>
      <c r="G19" s="7">
        <v>1.5702662999999999E-2</v>
      </c>
      <c r="H19" s="39"/>
    </row>
    <row r="20" spans="1:15" x14ac:dyDescent="0.2">
      <c r="A20" s="3">
        <v>14</v>
      </c>
      <c r="B20" s="4" t="s">
        <v>30</v>
      </c>
      <c r="C20" s="4" t="s">
        <v>31</v>
      </c>
      <c r="D20" s="4" t="s">
        <v>29</v>
      </c>
      <c r="E20" s="5">
        <v>140000</v>
      </c>
      <c r="F20" s="6">
        <v>2519.9299999999998</v>
      </c>
      <c r="G20" s="7">
        <v>1.5462216000000001E-2</v>
      </c>
      <c r="H20" s="39"/>
    </row>
    <row r="21" spans="1:15" x14ac:dyDescent="0.2">
      <c r="A21" s="3">
        <v>15</v>
      </c>
      <c r="B21" s="4" t="s">
        <v>11</v>
      </c>
      <c r="C21" s="4" t="s">
        <v>12</v>
      </c>
      <c r="D21" s="4" t="s">
        <v>60</v>
      </c>
      <c r="E21" s="5">
        <v>133243</v>
      </c>
      <c r="F21" s="6">
        <v>2355.2698894999999</v>
      </c>
      <c r="G21" s="7">
        <v>1.4451866000000001E-2</v>
      </c>
      <c r="H21" s="39"/>
    </row>
    <row r="22" spans="1:15" x14ac:dyDescent="0.2">
      <c r="A22" s="3">
        <v>16</v>
      </c>
      <c r="B22" s="4" t="s">
        <v>304</v>
      </c>
      <c r="C22" s="4" t="s">
        <v>305</v>
      </c>
      <c r="D22" s="4" t="s">
        <v>18</v>
      </c>
      <c r="E22" s="5">
        <v>1899728</v>
      </c>
      <c r="F22" s="6">
        <v>2120.0964479999998</v>
      </c>
      <c r="G22" s="7">
        <v>1.3008848999999999E-2</v>
      </c>
      <c r="H22" s="39"/>
    </row>
    <row r="23" spans="1:15" ht="25.5" x14ac:dyDescent="0.2">
      <c r="A23" s="3">
        <v>17</v>
      </c>
      <c r="B23" s="37" t="s">
        <v>1007</v>
      </c>
      <c r="C23" s="37" t="s">
        <v>1008</v>
      </c>
      <c r="D23" s="37" t="s">
        <v>26</v>
      </c>
      <c r="E23" s="38">
        <v>1575000</v>
      </c>
      <c r="F23" s="39">
        <v>2108.9250000000002</v>
      </c>
      <c r="G23" s="40">
        <v>1.29403E-2</v>
      </c>
      <c r="H23" s="39"/>
    </row>
    <row r="24" spans="1:15" x14ac:dyDescent="0.2">
      <c r="A24" s="3">
        <v>18</v>
      </c>
      <c r="B24" s="4" t="s">
        <v>415</v>
      </c>
      <c r="C24" s="4" t="s">
        <v>416</v>
      </c>
      <c r="D24" s="4" t="s">
        <v>18</v>
      </c>
      <c r="E24" s="5">
        <v>117121</v>
      </c>
      <c r="F24" s="6">
        <v>2054.1266584999998</v>
      </c>
      <c r="G24" s="7">
        <v>1.260406E-2</v>
      </c>
      <c r="H24" s="39"/>
    </row>
    <row r="25" spans="1:15" x14ac:dyDescent="0.2">
      <c r="A25" s="3">
        <v>19</v>
      </c>
      <c r="B25" s="4" t="s">
        <v>94</v>
      </c>
      <c r="C25" s="4" t="s">
        <v>95</v>
      </c>
      <c r="D25" s="4" t="s">
        <v>1154</v>
      </c>
      <c r="E25" s="5">
        <v>101500</v>
      </c>
      <c r="F25" s="6">
        <v>1971.13</v>
      </c>
      <c r="G25" s="7">
        <v>1.2094795E-2</v>
      </c>
      <c r="H25" s="39"/>
    </row>
    <row r="26" spans="1:15" x14ac:dyDescent="0.2">
      <c r="A26" s="3">
        <v>20</v>
      </c>
      <c r="B26" s="4" t="s">
        <v>413</v>
      </c>
      <c r="C26" s="4" t="s">
        <v>414</v>
      </c>
      <c r="D26" s="4" t="s">
        <v>91</v>
      </c>
      <c r="E26" s="5">
        <v>136425</v>
      </c>
      <c r="F26" s="6">
        <v>1783.3476000000001</v>
      </c>
      <c r="G26" s="7">
        <v>1.0942568E-2</v>
      </c>
      <c r="H26" s="39"/>
    </row>
    <row r="27" spans="1:15" ht="25.5" x14ac:dyDescent="0.2">
      <c r="A27" s="3">
        <v>21</v>
      </c>
      <c r="B27" s="4" t="s">
        <v>396</v>
      </c>
      <c r="C27" s="4" t="s">
        <v>397</v>
      </c>
      <c r="D27" s="4" t="s">
        <v>1138</v>
      </c>
      <c r="E27" s="5">
        <v>190100</v>
      </c>
      <c r="F27" s="6">
        <v>1738.93975</v>
      </c>
      <c r="G27" s="7">
        <v>1.0670083E-2</v>
      </c>
      <c r="H27" s="39"/>
    </row>
    <row r="28" spans="1:15" x14ac:dyDescent="0.2">
      <c r="A28" s="3">
        <v>22</v>
      </c>
      <c r="B28" s="4" t="s">
        <v>359</v>
      </c>
      <c r="C28" s="4" t="s">
        <v>360</v>
      </c>
      <c r="D28" s="4" t="s">
        <v>82</v>
      </c>
      <c r="E28" s="5">
        <v>10088</v>
      </c>
      <c r="F28" s="6">
        <v>1721.058196</v>
      </c>
      <c r="G28" s="7">
        <v>1.0560362E-2</v>
      </c>
      <c r="H28" s="39"/>
    </row>
    <row r="29" spans="1:15" x14ac:dyDescent="0.2">
      <c r="A29" s="3">
        <v>23</v>
      </c>
      <c r="B29" s="4" t="s">
        <v>247</v>
      </c>
      <c r="C29" s="4" t="s">
        <v>248</v>
      </c>
      <c r="D29" s="4" t="s">
        <v>1154</v>
      </c>
      <c r="E29" s="5">
        <v>105594</v>
      </c>
      <c r="F29" s="6">
        <v>1715.585718</v>
      </c>
      <c r="G29" s="7">
        <v>1.0526783E-2</v>
      </c>
      <c r="H29" s="39"/>
    </row>
    <row r="30" spans="1:15" x14ac:dyDescent="0.2">
      <c r="A30" s="3">
        <v>24</v>
      </c>
      <c r="B30" s="4" t="s">
        <v>309</v>
      </c>
      <c r="C30" s="4" t="s">
        <v>310</v>
      </c>
      <c r="D30" s="4" t="s">
        <v>91</v>
      </c>
      <c r="E30" s="5">
        <v>300000</v>
      </c>
      <c r="F30" s="6">
        <v>1598.55</v>
      </c>
      <c r="G30" s="7">
        <v>9.8086549999999995E-3</v>
      </c>
      <c r="H30" s="39"/>
    </row>
    <row r="31" spans="1:15" x14ac:dyDescent="0.2">
      <c r="A31" s="3">
        <v>25</v>
      </c>
      <c r="B31" s="4" t="s">
        <v>402</v>
      </c>
      <c r="C31" s="4" t="s">
        <v>403</v>
      </c>
      <c r="D31" s="4" t="s">
        <v>1148</v>
      </c>
      <c r="E31" s="5">
        <v>78000</v>
      </c>
      <c r="F31" s="6">
        <v>1597.9469999999999</v>
      </c>
      <c r="G31" s="7">
        <v>9.8049550000000006E-3</v>
      </c>
      <c r="H31" s="39"/>
    </row>
    <row r="32" spans="1:15" ht="25.5" x14ac:dyDescent="0.2">
      <c r="A32" s="3">
        <v>26</v>
      </c>
      <c r="B32" s="4" t="s">
        <v>237</v>
      </c>
      <c r="C32" s="4" t="s">
        <v>238</v>
      </c>
      <c r="D32" s="4" t="s">
        <v>1153</v>
      </c>
      <c r="E32" s="5">
        <v>39082</v>
      </c>
      <c r="F32" s="6">
        <v>1595.4054040000001</v>
      </c>
      <c r="G32" s="7">
        <v>9.7893600000000004E-3</v>
      </c>
      <c r="H32" s="39"/>
    </row>
    <row r="33" spans="1:8" ht="25.5" x14ac:dyDescent="0.2">
      <c r="A33" s="3">
        <v>27</v>
      </c>
      <c r="B33" s="4" t="s">
        <v>363</v>
      </c>
      <c r="C33" s="4" t="s">
        <v>364</v>
      </c>
      <c r="D33" s="4" t="s">
        <v>1145</v>
      </c>
      <c r="E33" s="5">
        <v>200000</v>
      </c>
      <c r="F33" s="6">
        <v>1554.8</v>
      </c>
      <c r="G33" s="7">
        <v>9.5402070000000002E-3</v>
      </c>
      <c r="H33" s="39"/>
    </row>
    <row r="34" spans="1:8" ht="25.5" x14ac:dyDescent="0.2">
      <c r="A34" s="3">
        <v>28</v>
      </c>
      <c r="B34" s="4" t="s">
        <v>289</v>
      </c>
      <c r="C34" s="4" t="s">
        <v>290</v>
      </c>
      <c r="D34" s="4" t="s">
        <v>1153</v>
      </c>
      <c r="E34" s="5">
        <v>230000</v>
      </c>
      <c r="F34" s="6">
        <v>1529.845</v>
      </c>
      <c r="G34" s="7">
        <v>9.3870829999999992E-3</v>
      </c>
      <c r="H34" s="39"/>
    </row>
    <row r="35" spans="1:8" x14ac:dyDescent="0.2">
      <c r="A35" s="3">
        <v>29</v>
      </c>
      <c r="B35" s="4" t="s">
        <v>302</v>
      </c>
      <c r="C35" s="4" t="s">
        <v>303</v>
      </c>
      <c r="D35" s="4" t="s">
        <v>1155</v>
      </c>
      <c r="E35" s="5">
        <v>3529</v>
      </c>
      <c r="F35" s="6">
        <v>1524.1521614999999</v>
      </c>
      <c r="G35" s="7">
        <v>9.3521520000000007E-3</v>
      </c>
      <c r="H35" s="39"/>
    </row>
    <row r="36" spans="1:8" x14ac:dyDescent="0.2">
      <c r="A36" s="3">
        <v>30</v>
      </c>
      <c r="B36" s="4" t="s">
        <v>408</v>
      </c>
      <c r="C36" s="4" t="s">
        <v>409</v>
      </c>
      <c r="D36" s="4" t="s">
        <v>1148</v>
      </c>
      <c r="E36" s="5">
        <v>556600</v>
      </c>
      <c r="F36" s="6">
        <v>1395.1179</v>
      </c>
      <c r="G36" s="7">
        <v>8.5604019999999999E-3</v>
      </c>
      <c r="H36" s="39"/>
    </row>
    <row r="37" spans="1:8" x14ac:dyDescent="0.2">
      <c r="A37" s="3">
        <v>31</v>
      </c>
      <c r="B37" s="4" t="s">
        <v>685</v>
      </c>
      <c r="C37" s="4" t="s">
        <v>686</v>
      </c>
      <c r="D37" s="4" t="s">
        <v>1142</v>
      </c>
      <c r="E37" s="5">
        <v>258500</v>
      </c>
      <c r="F37" s="6">
        <v>1391.2470000000001</v>
      </c>
      <c r="G37" s="7">
        <v>8.5366499999999998E-3</v>
      </c>
      <c r="H37" s="39"/>
    </row>
    <row r="38" spans="1:8" x14ac:dyDescent="0.2">
      <c r="A38" s="3">
        <v>32</v>
      </c>
      <c r="B38" s="4" t="s">
        <v>317</v>
      </c>
      <c r="C38" s="4" t="s">
        <v>318</v>
      </c>
      <c r="D38" s="4" t="s">
        <v>1144</v>
      </c>
      <c r="E38" s="5">
        <v>140000</v>
      </c>
      <c r="F38" s="6">
        <v>1317.82</v>
      </c>
      <c r="G38" s="7">
        <v>8.0861040000000002E-3</v>
      </c>
      <c r="H38" s="39"/>
    </row>
    <row r="39" spans="1:8" x14ac:dyDescent="0.2">
      <c r="A39" s="3">
        <v>33</v>
      </c>
      <c r="B39" s="4" t="s">
        <v>394</v>
      </c>
      <c r="C39" s="4" t="s">
        <v>395</v>
      </c>
      <c r="D39" s="4" t="s">
        <v>1142</v>
      </c>
      <c r="E39" s="5">
        <v>106750</v>
      </c>
      <c r="F39" s="6">
        <v>1197.1478750000001</v>
      </c>
      <c r="G39" s="7">
        <v>7.345664E-3</v>
      </c>
      <c r="H39" s="39"/>
    </row>
    <row r="40" spans="1:8" x14ac:dyDescent="0.2">
      <c r="A40" s="3">
        <v>34</v>
      </c>
      <c r="B40" s="4" t="s">
        <v>420</v>
      </c>
      <c r="C40" s="4" t="s">
        <v>421</v>
      </c>
      <c r="D40" s="4" t="s">
        <v>1154</v>
      </c>
      <c r="E40" s="5">
        <v>175000</v>
      </c>
      <c r="F40" s="6">
        <v>1189.0374999999999</v>
      </c>
      <c r="G40" s="7">
        <v>7.2958989999999998E-3</v>
      </c>
      <c r="H40" s="39"/>
    </row>
    <row r="41" spans="1:8" ht="25.5" x14ac:dyDescent="0.2">
      <c r="A41" s="3">
        <v>35</v>
      </c>
      <c r="B41" s="4" t="s">
        <v>22</v>
      </c>
      <c r="C41" s="4" t="s">
        <v>23</v>
      </c>
      <c r="D41" s="4" t="s">
        <v>1150</v>
      </c>
      <c r="E41" s="5">
        <v>16380</v>
      </c>
      <c r="F41" s="6">
        <v>1081.4567400000001</v>
      </c>
      <c r="G41" s="7">
        <v>6.6357860000000003E-3</v>
      </c>
      <c r="H41" s="39"/>
    </row>
    <row r="42" spans="1:8" x14ac:dyDescent="0.2">
      <c r="A42" s="3">
        <v>36</v>
      </c>
      <c r="B42" s="4" t="s">
        <v>432</v>
      </c>
      <c r="C42" s="4" t="s">
        <v>433</v>
      </c>
      <c r="D42" s="4" t="s">
        <v>1146</v>
      </c>
      <c r="E42" s="5">
        <v>247503</v>
      </c>
      <c r="F42" s="6">
        <v>1073.5442625000001</v>
      </c>
      <c r="G42" s="7">
        <v>6.5872359999999998E-3</v>
      </c>
      <c r="H42" s="39"/>
    </row>
    <row r="43" spans="1:8" ht="25.5" x14ac:dyDescent="0.2">
      <c r="A43" s="3">
        <v>37</v>
      </c>
      <c r="B43" s="4" t="s">
        <v>335</v>
      </c>
      <c r="C43" s="4" t="s">
        <v>336</v>
      </c>
      <c r="D43" s="4" t="s">
        <v>1138</v>
      </c>
      <c r="E43" s="5">
        <v>32000</v>
      </c>
      <c r="F43" s="6">
        <v>1047.248</v>
      </c>
      <c r="G43" s="7">
        <v>6.4258830000000003E-3</v>
      </c>
      <c r="H43" s="39"/>
    </row>
    <row r="44" spans="1:8" ht="25.5" x14ac:dyDescent="0.2">
      <c r="A44" s="3">
        <v>38</v>
      </c>
      <c r="B44" s="4" t="s">
        <v>691</v>
      </c>
      <c r="C44" s="4" t="s">
        <v>692</v>
      </c>
      <c r="D44" s="4" t="s">
        <v>1153</v>
      </c>
      <c r="E44" s="5">
        <v>41000</v>
      </c>
      <c r="F44" s="6">
        <v>1006.263</v>
      </c>
      <c r="G44" s="7">
        <v>6.1744E-3</v>
      </c>
      <c r="H44" s="39"/>
    </row>
    <row r="45" spans="1:8" ht="25.5" x14ac:dyDescent="0.2">
      <c r="A45" s="3">
        <v>39</v>
      </c>
      <c r="B45" s="4" t="s">
        <v>424</v>
      </c>
      <c r="C45" s="4" t="s">
        <v>425</v>
      </c>
      <c r="D45" s="4" t="s">
        <v>1138</v>
      </c>
      <c r="E45" s="5">
        <v>21000</v>
      </c>
      <c r="F45" s="6">
        <v>924.43050000000005</v>
      </c>
      <c r="G45" s="7">
        <v>5.6722780000000002E-3</v>
      </c>
      <c r="H45" s="39"/>
    </row>
    <row r="46" spans="1:8" x14ac:dyDescent="0.2">
      <c r="A46" s="3">
        <v>40</v>
      </c>
      <c r="B46" s="4" t="s">
        <v>440</v>
      </c>
      <c r="C46" s="4" t="s">
        <v>441</v>
      </c>
      <c r="D46" s="4" t="s">
        <v>1146</v>
      </c>
      <c r="E46" s="5">
        <v>11428</v>
      </c>
      <c r="F46" s="6">
        <v>864.10536400000001</v>
      </c>
      <c r="G46" s="7">
        <v>5.3021250000000004E-3</v>
      </c>
      <c r="H46" s="39"/>
    </row>
    <row r="47" spans="1:8" x14ac:dyDescent="0.2">
      <c r="A47" s="3">
        <v>41</v>
      </c>
      <c r="B47" s="4" t="s">
        <v>341</v>
      </c>
      <c r="C47" s="4" t="s">
        <v>342</v>
      </c>
      <c r="D47" s="4" t="s">
        <v>82</v>
      </c>
      <c r="E47" s="5">
        <v>137000</v>
      </c>
      <c r="F47" s="6">
        <v>847.4135</v>
      </c>
      <c r="G47" s="7">
        <v>5.1997040000000003E-3</v>
      </c>
      <c r="H47" s="39"/>
    </row>
    <row r="48" spans="1:8" x14ac:dyDescent="0.2">
      <c r="A48" s="3">
        <v>42</v>
      </c>
      <c r="B48" s="4" t="s">
        <v>313</v>
      </c>
      <c r="C48" s="4" t="s">
        <v>314</v>
      </c>
      <c r="D48" s="4" t="s">
        <v>1142</v>
      </c>
      <c r="E48" s="5">
        <v>104401</v>
      </c>
      <c r="F48" s="6">
        <v>787.07913900000005</v>
      </c>
      <c r="G48" s="7">
        <v>4.8294940000000001E-3</v>
      </c>
      <c r="H48" s="39"/>
    </row>
    <row r="49" spans="1:8" x14ac:dyDescent="0.2">
      <c r="A49" s="3">
        <v>43</v>
      </c>
      <c r="B49" s="4" t="s">
        <v>104</v>
      </c>
      <c r="C49" s="4" t="s">
        <v>105</v>
      </c>
      <c r="D49" s="4" t="s">
        <v>1157</v>
      </c>
      <c r="E49" s="5">
        <v>989100</v>
      </c>
      <c r="F49" s="6">
        <v>769.02525000000003</v>
      </c>
      <c r="G49" s="7">
        <v>4.7187160000000004E-3</v>
      </c>
      <c r="H49" s="39"/>
    </row>
    <row r="50" spans="1:8" x14ac:dyDescent="0.2">
      <c r="A50" s="3">
        <v>44</v>
      </c>
      <c r="B50" s="4" t="s">
        <v>454</v>
      </c>
      <c r="C50" s="4" t="s">
        <v>455</v>
      </c>
      <c r="D50" s="4" t="s">
        <v>71</v>
      </c>
      <c r="E50" s="5">
        <v>30000</v>
      </c>
      <c r="F50" s="6">
        <v>760.84500000000003</v>
      </c>
      <c r="G50" s="7">
        <v>4.6685219999999996E-3</v>
      </c>
      <c r="H50" s="39"/>
    </row>
    <row r="51" spans="1:8" x14ac:dyDescent="0.2">
      <c r="A51" s="3">
        <v>45</v>
      </c>
      <c r="B51" s="4" t="s">
        <v>254</v>
      </c>
      <c r="C51" s="4" t="s">
        <v>255</v>
      </c>
      <c r="D51" s="4" t="s">
        <v>15</v>
      </c>
      <c r="E51" s="5">
        <v>255000</v>
      </c>
      <c r="F51" s="6">
        <v>686.84249999999997</v>
      </c>
      <c r="G51" s="7">
        <v>4.2144449999999998E-3</v>
      </c>
      <c r="H51" s="39"/>
    </row>
    <row r="52" spans="1:8" ht="25.5" x14ac:dyDescent="0.2">
      <c r="A52" s="3">
        <v>46</v>
      </c>
      <c r="B52" s="4" t="s">
        <v>508</v>
      </c>
      <c r="C52" s="4" t="s">
        <v>509</v>
      </c>
      <c r="D52" s="4" t="s">
        <v>1138</v>
      </c>
      <c r="E52" s="5">
        <v>62500</v>
      </c>
      <c r="F52" s="6">
        <v>636.28125</v>
      </c>
      <c r="G52" s="7">
        <v>3.9042030000000002E-3</v>
      </c>
      <c r="H52" s="39"/>
    </row>
    <row r="53" spans="1:8" ht="25.5" x14ac:dyDescent="0.2">
      <c r="A53" s="3">
        <v>47</v>
      </c>
      <c r="B53" s="4" t="s">
        <v>56</v>
      </c>
      <c r="C53" s="4" t="s">
        <v>57</v>
      </c>
      <c r="D53" s="4" t="s">
        <v>1151</v>
      </c>
      <c r="E53" s="5">
        <v>81250</v>
      </c>
      <c r="F53" s="6">
        <v>629.03750000000002</v>
      </c>
      <c r="G53" s="7">
        <v>3.8597549999999999E-3</v>
      </c>
      <c r="H53" s="39"/>
    </row>
    <row r="54" spans="1:8" x14ac:dyDescent="0.2">
      <c r="A54" s="3">
        <v>48</v>
      </c>
      <c r="B54" s="4" t="s">
        <v>355</v>
      </c>
      <c r="C54" s="4" t="s">
        <v>356</v>
      </c>
      <c r="D54" s="4" t="s">
        <v>71</v>
      </c>
      <c r="E54" s="5">
        <v>1070000</v>
      </c>
      <c r="F54" s="6">
        <v>628.625</v>
      </c>
      <c r="G54" s="7">
        <v>3.8572239999999998E-3</v>
      </c>
      <c r="H54" s="39"/>
    </row>
    <row r="55" spans="1:8" x14ac:dyDescent="0.2">
      <c r="A55" s="3">
        <v>49</v>
      </c>
      <c r="B55" s="4" t="s">
        <v>235</v>
      </c>
      <c r="C55" s="4" t="s">
        <v>236</v>
      </c>
      <c r="D55" s="4" t="s">
        <v>1160</v>
      </c>
      <c r="E55" s="5">
        <v>325000</v>
      </c>
      <c r="F55" s="6">
        <v>615.71249999999998</v>
      </c>
      <c r="G55" s="7">
        <v>3.7779939999999998E-3</v>
      </c>
      <c r="H55" s="39"/>
    </row>
    <row r="56" spans="1:8" x14ac:dyDescent="0.2">
      <c r="A56" s="3">
        <v>50</v>
      </c>
      <c r="B56" s="4" t="s">
        <v>693</v>
      </c>
      <c r="C56" s="4" t="s">
        <v>694</v>
      </c>
      <c r="D56" s="4" t="s">
        <v>71</v>
      </c>
      <c r="E56" s="5">
        <v>19950</v>
      </c>
      <c r="F56" s="6">
        <v>614.45002499999998</v>
      </c>
      <c r="G56" s="7">
        <v>3.770247E-3</v>
      </c>
      <c r="H56" s="39"/>
    </row>
    <row r="57" spans="1:8" x14ac:dyDescent="0.2">
      <c r="A57" s="3">
        <v>51</v>
      </c>
      <c r="B57" s="4" t="s">
        <v>695</v>
      </c>
      <c r="C57" s="4" t="s">
        <v>696</v>
      </c>
      <c r="D57" s="4" t="s">
        <v>71</v>
      </c>
      <c r="E57" s="5">
        <v>30690</v>
      </c>
      <c r="F57" s="6">
        <v>601.95366000000001</v>
      </c>
      <c r="G57" s="7">
        <v>3.6935700000000002E-3</v>
      </c>
      <c r="H57" s="39"/>
    </row>
    <row r="58" spans="1:8" x14ac:dyDescent="0.2">
      <c r="A58" s="3">
        <v>52</v>
      </c>
      <c r="B58" s="4" t="s">
        <v>365</v>
      </c>
      <c r="C58" s="4" t="s">
        <v>366</v>
      </c>
      <c r="D58" s="4" t="s">
        <v>71</v>
      </c>
      <c r="E58" s="5">
        <v>96692</v>
      </c>
      <c r="F58" s="6">
        <v>591.94842400000005</v>
      </c>
      <c r="G58" s="7">
        <v>3.6321779999999998E-3</v>
      </c>
      <c r="H58" s="39"/>
    </row>
    <row r="59" spans="1:8" ht="25.5" x14ac:dyDescent="0.2">
      <c r="A59" s="3">
        <v>53</v>
      </c>
      <c r="B59" s="4" t="s">
        <v>188</v>
      </c>
      <c r="C59" s="4" t="s">
        <v>189</v>
      </c>
      <c r="D59" s="4" t="s">
        <v>1158</v>
      </c>
      <c r="E59" s="5">
        <v>86000</v>
      </c>
      <c r="F59" s="6">
        <v>566.78300000000002</v>
      </c>
      <c r="G59" s="7">
        <v>3.4777639999999999E-3</v>
      </c>
      <c r="H59" s="39"/>
    </row>
    <row r="60" spans="1:8" x14ac:dyDescent="0.2">
      <c r="A60" s="3">
        <v>54</v>
      </c>
      <c r="B60" s="4" t="s">
        <v>311</v>
      </c>
      <c r="C60" s="4" t="s">
        <v>312</v>
      </c>
      <c r="D60" s="4" t="s">
        <v>71</v>
      </c>
      <c r="E60" s="5">
        <v>45000</v>
      </c>
      <c r="F60" s="6">
        <v>560.42999999999995</v>
      </c>
      <c r="G60" s="7">
        <v>3.438782E-3</v>
      </c>
      <c r="H60" s="39"/>
    </row>
    <row r="61" spans="1:8" x14ac:dyDescent="0.2">
      <c r="A61" s="3">
        <v>55</v>
      </c>
      <c r="B61" s="4" t="s">
        <v>406</v>
      </c>
      <c r="C61" s="4" t="s">
        <v>407</v>
      </c>
      <c r="D61" s="4" t="s">
        <v>1146</v>
      </c>
      <c r="E61" s="5">
        <v>68000</v>
      </c>
      <c r="F61" s="6">
        <v>548.45399999999995</v>
      </c>
      <c r="G61" s="7">
        <v>3.3652970000000002E-3</v>
      </c>
      <c r="H61" s="39"/>
    </row>
    <row r="62" spans="1:8" x14ac:dyDescent="0.2">
      <c r="A62" s="3">
        <v>56</v>
      </c>
      <c r="B62" s="4" t="s">
        <v>582</v>
      </c>
      <c r="C62" s="4" t="s">
        <v>583</v>
      </c>
      <c r="D62" s="4" t="s">
        <v>1147</v>
      </c>
      <c r="E62" s="5">
        <v>70000</v>
      </c>
      <c r="F62" s="6">
        <v>523.11</v>
      </c>
      <c r="G62" s="7">
        <v>3.209787E-3</v>
      </c>
      <c r="H62" s="39"/>
    </row>
    <row r="63" spans="1:8" x14ac:dyDescent="0.2">
      <c r="A63" s="3">
        <v>57</v>
      </c>
      <c r="B63" s="4" t="s">
        <v>333</v>
      </c>
      <c r="C63" s="4" t="s">
        <v>334</v>
      </c>
      <c r="D63" s="4" t="s">
        <v>82</v>
      </c>
      <c r="E63" s="5">
        <v>45000</v>
      </c>
      <c r="F63" s="6">
        <v>510.6825</v>
      </c>
      <c r="G63" s="7">
        <v>3.133533E-3</v>
      </c>
      <c r="H63" s="39"/>
    </row>
    <row r="64" spans="1:8" x14ac:dyDescent="0.2">
      <c r="A64" s="3">
        <v>58</v>
      </c>
      <c r="B64" s="4" t="s">
        <v>325</v>
      </c>
      <c r="C64" s="4" t="s">
        <v>326</v>
      </c>
      <c r="D64" s="4" t="s">
        <v>1159</v>
      </c>
      <c r="E64" s="5">
        <v>10000</v>
      </c>
      <c r="F64" s="6">
        <v>510.53</v>
      </c>
      <c r="G64" s="7">
        <v>3.132597E-3</v>
      </c>
      <c r="H64" s="39"/>
    </row>
    <row r="65" spans="1:8" x14ac:dyDescent="0.2">
      <c r="A65" s="3">
        <v>59</v>
      </c>
      <c r="B65" s="4" t="s">
        <v>381</v>
      </c>
      <c r="C65" s="4" t="s">
        <v>382</v>
      </c>
      <c r="D65" s="4" t="s">
        <v>1146</v>
      </c>
      <c r="E65" s="5">
        <v>80000</v>
      </c>
      <c r="F65" s="6">
        <v>500.52</v>
      </c>
      <c r="G65" s="7">
        <v>3.0711760000000001E-3</v>
      </c>
      <c r="H65" s="39"/>
    </row>
    <row r="66" spans="1:8" ht="25.5" x14ac:dyDescent="0.2">
      <c r="A66" s="3">
        <v>60</v>
      </c>
      <c r="B66" s="4" t="s">
        <v>321</v>
      </c>
      <c r="C66" s="4" t="s">
        <v>322</v>
      </c>
      <c r="D66" s="4" t="s">
        <v>71</v>
      </c>
      <c r="E66" s="5">
        <v>130000</v>
      </c>
      <c r="F66" s="6">
        <v>486.2</v>
      </c>
      <c r="G66" s="7">
        <v>2.983309E-3</v>
      </c>
      <c r="H66" s="39"/>
    </row>
    <row r="67" spans="1:8" x14ac:dyDescent="0.2">
      <c r="A67" s="3">
        <v>61</v>
      </c>
      <c r="B67" s="4" t="s">
        <v>61</v>
      </c>
      <c r="C67" s="4" t="s">
        <v>62</v>
      </c>
      <c r="D67" s="4" t="s">
        <v>1140</v>
      </c>
      <c r="E67" s="5">
        <v>70000</v>
      </c>
      <c r="F67" s="6">
        <v>470.505</v>
      </c>
      <c r="G67" s="7">
        <v>2.8870050000000002E-3</v>
      </c>
      <c r="H67" s="39"/>
    </row>
    <row r="68" spans="1:8" ht="25.5" x14ac:dyDescent="0.2">
      <c r="A68" s="3">
        <v>62</v>
      </c>
      <c r="B68" s="4" t="s">
        <v>329</v>
      </c>
      <c r="C68" s="4" t="s">
        <v>330</v>
      </c>
      <c r="D68" s="4" t="s">
        <v>1138</v>
      </c>
      <c r="E68" s="5">
        <v>43650</v>
      </c>
      <c r="F68" s="6">
        <v>465.19987500000002</v>
      </c>
      <c r="G68" s="7">
        <v>2.8544529999999999E-3</v>
      </c>
      <c r="H68" s="39"/>
    </row>
    <row r="69" spans="1:8" ht="25.5" x14ac:dyDescent="0.2">
      <c r="A69" s="3">
        <v>63</v>
      </c>
      <c r="B69" s="4" t="s">
        <v>697</v>
      </c>
      <c r="C69" s="4" t="s">
        <v>698</v>
      </c>
      <c r="D69" s="4" t="s">
        <v>1138</v>
      </c>
      <c r="E69" s="5">
        <v>10500</v>
      </c>
      <c r="F69" s="6">
        <v>451.02224999999999</v>
      </c>
      <c r="G69" s="7">
        <v>2.7674589999999999E-3</v>
      </c>
      <c r="H69" s="39"/>
    </row>
    <row r="70" spans="1:8" ht="25.5" x14ac:dyDescent="0.2">
      <c r="A70" s="3">
        <v>64</v>
      </c>
      <c r="B70" s="4" t="s">
        <v>72</v>
      </c>
      <c r="C70" s="4" t="s">
        <v>73</v>
      </c>
      <c r="D70" s="4" t="s">
        <v>1137</v>
      </c>
      <c r="E70" s="5">
        <v>20670</v>
      </c>
      <c r="F70" s="6">
        <v>375.95629500000001</v>
      </c>
      <c r="G70" s="7">
        <v>2.3068569999999998E-3</v>
      </c>
      <c r="H70" s="39"/>
    </row>
    <row r="71" spans="1:8" ht="25.5" x14ac:dyDescent="0.2">
      <c r="A71" s="3">
        <v>65</v>
      </c>
      <c r="B71" s="4" t="s">
        <v>168</v>
      </c>
      <c r="C71" s="4" t="s">
        <v>169</v>
      </c>
      <c r="D71" s="4" t="s">
        <v>1137</v>
      </c>
      <c r="E71" s="5">
        <v>151829</v>
      </c>
      <c r="F71" s="6">
        <v>365.14874500000002</v>
      </c>
      <c r="G71" s="7">
        <v>2.2405419999999999E-3</v>
      </c>
      <c r="H71" s="39"/>
    </row>
    <row r="72" spans="1:8" x14ac:dyDescent="0.2">
      <c r="A72" s="3">
        <v>66</v>
      </c>
      <c r="B72" s="4" t="s">
        <v>40</v>
      </c>
      <c r="C72" s="4" t="s">
        <v>41</v>
      </c>
      <c r="D72" s="4" t="s">
        <v>15</v>
      </c>
      <c r="E72" s="5">
        <v>100000</v>
      </c>
      <c r="F72" s="6">
        <v>359.35</v>
      </c>
      <c r="G72" s="7">
        <v>2.2049610000000001E-3</v>
      </c>
      <c r="H72" s="39"/>
    </row>
    <row r="73" spans="1:8" x14ac:dyDescent="0.2">
      <c r="A73" s="3">
        <v>67</v>
      </c>
      <c r="B73" s="4" t="s">
        <v>361</v>
      </c>
      <c r="C73" s="4" t="s">
        <v>362</v>
      </c>
      <c r="D73" s="4" t="s">
        <v>82</v>
      </c>
      <c r="E73" s="5">
        <v>100000</v>
      </c>
      <c r="F73" s="6">
        <v>358.95</v>
      </c>
      <c r="G73" s="7">
        <v>2.2025069999999998E-3</v>
      </c>
      <c r="H73" s="39"/>
    </row>
    <row r="74" spans="1:8" x14ac:dyDescent="0.2">
      <c r="A74" s="3">
        <v>68</v>
      </c>
      <c r="B74" s="4" t="s">
        <v>426</v>
      </c>
      <c r="C74" s="4" t="s">
        <v>427</v>
      </c>
      <c r="D74" s="4" t="s">
        <v>82</v>
      </c>
      <c r="E74" s="5">
        <v>4864</v>
      </c>
      <c r="F74" s="6">
        <v>353.12396799999999</v>
      </c>
      <c r="G74" s="7">
        <v>2.166758E-3</v>
      </c>
      <c r="H74" s="39"/>
    </row>
    <row r="75" spans="1:8" ht="25.5" x14ac:dyDescent="0.2">
      <c r="A75" s="3">
        <v>69</v>
      </c>
      <c r="B75" s="4" t="s">
        <v>699</v>
      </c>
      <c r="C75" s="4" t="s">
        <v>700</v>
      </c>
      <c r="D75" s="4" t="s">
        <v>1150</v>
      </c>
      <c r="E75" s="5">
        <v>20900</v>
      </c>
      <c r="F75" s="6">
        <v>347.77600000000001</v>
      </c>
      <c r="G75" s="7">
        <v>2.1339430000000001E-3</v>
      </c>
      <c r="H75" s="39"/>
    </row>
    <row r="76" spans="1:8" ht="25.5" x14ac:dyDescent="0.2">
      <c r="A76" s="3">
        <v>70</v>
      </c>
      <c r="B76" s="4" t="s">
        <v>44</v>
      </c>
      <c r="C76" s="4" t="s">
        <v>45</v>
      </c>
      <c r="D76" s="4" t="s">
        <v>1150</v>
      </c>
      <c r="E76" s="5">
        <v>40000</v>
      </c>
      <c r="F76" s="6">
        <v>307.22000000000003</v>
      </c>
      <c r="G76" s="7">
        <v>1.885093E-3</v>
      </c>
      <c r="H76" s="39"/>
    </row>
    <row r="77" spans="1:8" ht="25.5" x14ac:dyDescent="0.2">
      <c r="A77" s="3">
        <v>71</v>
      </c>
      <c r="B77" s="4" t="s">
        <v>701</v>
      </c>
      <c r="C77" s="4" t="s">
        <v>702</v>
      </c>
      <c r="D77" s="4" t="s">
        <v>1138</v>
      </c>
      <c r="E77" s="5">
        <v>39950</v>
      </c>
      <c r="F77" s="6">
        <v>298.44647500000002</v>
      </c>
      <c r="G77" s="7">
        <v>1.831259E-3</v>
      </c>
      <c r="H77" s="39"/>
    </row>
    <row r="78" spans="1:8" ht="25.5" x14ac:dyDescent="0.2">
      <c r="A78" s="3">
        <v>72</v>
      </c>
      <c r="B78" s="4" t="s">
        <v>83</v>
      </c>
      <c r="C78" s="4" t="s">
        <v>84</v>
      </c>
      <c r="D78" s="4" t="s">
        <v>1137</v>
      </c>
      <c r="E78" s="5">
        <v>247500</v>
      </c>
      <c r="F78" s="6">
        <v>290.19375000000002</v>
      </c>
      <c r="G78" s="7">
        <v>1.7806199999999999E-3</v>
      </c>
      <c r="H78" s="39"/>
    </row>
    <row r="79" spans="1:8" x14ac:dyDescent="0.2">
      <c r="A79" s="3">
        <v>73</v>
      </c>
      <c r="B79" s="4" t="s">
        <v>327</v>
      </c>
      <c r="C79" s="4" t="s">
        <v>328</v>
      </c>
      <c r="D79" s="4" t="s">
        <v>18</v>
      </c>
      <c r="E79" s="5">
        <v>20000</v>
      </c>
      <c r="F79" s="6">
        <v>249.25</v>
      </c>
      <c r="G79" s="7">
        <v>1.529391E-3</v>
      </c>
      <c r="H79" s="39"/>
    </row>
    <row r="80" spans="1:8" x14ac:dyDescent="0.2">
      <c r="A80" s="3">
        <v>74</v>
      </c>
      <c r="B80" s="4" t="s">
        <v>373</v>
      </c>
      <c r="C80" s="4" t="s">
        <v>374</v>
      </c>
      <c r="D80" s="4" t="s">
        <v>253</v>
      </c>
      <c r="E80" s="5">
        <v>48014</v>
      </c>
      <c r="F80" s="6">
        <v>139.43265600000001</v>
      </c>
      <c r="G80" s="7">
        <v>8.5555500000000003E-4</v>
      </c>
      <c r="H80" s="39"/>
    </row>
    <row r="81" spans="1:8" x14ac:dyDescent="0.2">
      <c r="A81" s="3">
        <v>75</v>
      </c>
      <c r="B81" s="4" t="s">
        <v>703</v>
      </c>
      <c r="C81" s="4" t="s">
        <v>704</v>
      </c>
      <c r="D81" s="4" t="s">
        <v>1146</v>
      </c>
      <c r="E81" s="5">
        <v>5600</v>
      </c>
      <c r="F81" s="6">
        <v>137.60040000000001</v>
      </c>
      <c r="G81" s="7">
        <v>8.4431199999999995E-4</v>
      </c>
      <c r="H81" s="39"/>
    </row>
    <row r="82" spans="1:8" ht="25.5" x14ac:dyDescent="0.2">
      <c r="A82" s="3">
        <v>76</v>
      </c>
      <c r="B82" s="4" t="s">
        <v>705</v>
      </c>
      <c r="C82" s="4" t="s">
        <v>706</v>
      </c>
      <c r="D82" s="4" t="s">
        <v>1153</v>
      </c>
      <c r="E82" s="5">
        <v>13000</v>
      </c>
      <c r="F82" s="6">
        <v>126.66549999999999</v>
      </c>
      <c r="G82" s="7">
        <v>7.7721599999999995E-4</v>
      </c>
      <c r="H82" s="39"/>
    </row>
    <row r="83" spans="1:8" x14ac:dyDescent="0.2">
      <c r="A83" s="3">
        <v>77</v>
      </c>
      <c r="B83" s="4" t="s">
        <v>296</v>
      </c>
      <c r="C83" s="4" t="s">
        <v>297</v>
      </c>
      <c r="D83" s="4" t="s">
        <v>253</v>
      </c>
      <c r="E83" s="5">
        <v>2750</v>
      </c>
      <c r="F83" s="6">
        <v>124.19275</v>
      </c>
      <c r="G83" s="7">
        <v>7.6204300000000001E-4</v>
      </c>
      <c r="H83" s="39"/>
    </row>
    <row r="84" spans="1:8" ht="25.5" x14ac:dyDescent="0.2">
      <c r="A84" s="3">
        <v>78</v>
      </c>
      <c r="B84" s="4" t="s">
        <v>707</v>
      </c>
      <c r="C84" s="4" t="s">
        <v>708</v>
      </c>
      <c r="D84" s="4" t="s">
        <v>1138</v>
      </c>
      <c r="E84" s="5">
        <v>13500</v>
      </c>
      <c r="F84" s="6">
        <v>90.254249999999999</v>
      </c>
      <c r="G84" s="7">
        <v>5.5379699999999997E-4</v>
      </c>
      <c r="H84" s="39"/>
    </row>
    <row r="85" spans="1:8" x14ac:dyDescent="0.2">
      <c r="A85" s="3">
        <v>79</v>
      </c>
      <c r="B85" s="4" t="s">
        <v>102</v>
      </c>
      <c r="C85" s="4" t="s">
        <v>103</v>
      </c>
      <c r="D85" s="4" t="s">
        <v>53</v>
      </c>
      <c r="E85" s="5">
        <v>34620</v>
      </c>
      <c r="F85" s="6">
        <v>89.683109999999999</v>
      </c>
      <c r="G85" s="7">
        <v>5.5029299999999998E-4</v>
      </c>
      <c r="H85" s="39"/>
    </row>
    <row r="86" spans="1:8" x14ac:dyDescent="0.2">
      <c r="A86" s="3">
        <v>80</v>
      </c>
      <c r="B86" s="4" t="s">
        <v>709</v>
      </c>
      <c r="C86" s="4" t="s">
        <v>710</v>
      </c>
      <c r="D86" s="4" t="s">
        <v>18</v>
      </c>
      <c r="E86" s="5">
        <v>240000</v>
      </c>
      <c r="F86" s="6">
        <v>84.12</v>
      </c>
      <c r="G86" s="7">
        <v>5.1615799999999996E-4</v>
      </c>
      <c r="H86" s="39"/>
    </row>
    <row r="87" spans="1:8" x14ac:dyDescent="0.2">
      <c r="A87" s="3">
        <v>81</v>
      </c>
      <c r="B87" s="4" t="s">
        <v>711</v>
      </c>
      <c r="C87" s="4" t="s">
        <v>712</v>
      </c>
      <c r="D87" s="4" t="s">
        <v>1027</v>
      </c>
      <c r="E87" s="5">
        <v>1600</v>
      </c>
      <c r="F87" s="6">
        <v>34.336799999999997</v>
      </c>
      <c r="G87" s="7">
        <v>2.1069E-4</v>
      </c>
      <c r="H87" s="39"/>
    </row>
    <row r="88" spans="1:8" x14ac:dyDescent="0.2">
      <c r="A88" s="1"/>
      <c r="B88" s="1"/>
      <c r="C88" s="2" t="s">
        <v>111</v>
      </c>
      <c r="D88" s="4"/>
      <c r="E88" s="1" t="s">
        <v>112</v>
      </c>
      <c r="F88" s="9">
        <f>SUM(F7:F87)</f>
        <v>124429.43919950002</v>
      </c>
      <c r="G88" s="10">
        <f>SUM(G7:G87)</f>
        <v>0.76349534100000038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113</v>
      </c>
      <c r="D90" s="1"/>
      <c r="E90" s="1"/>
      <c r="F90" s="1"/>
      <c r="G90" s="1"/>
      <c r="H90" s="39"/>
    </row>
    <row r="91" spans="1:8" x14ac:dyDescent="0.2">
      <c r="A91" s="1"/>
      <c r="B91" s="1"/>
      <c r="C91" s="2" t="s">
        <v>111</v>
      </c>
      <c r="D91" s="1"/>
      <c r="E91" s="1" t="s">
        <v>112</v>
      </c>
      <c r="F91" s="13">
        <v>0</v>
      </c>
      <c r="G91" s="14">
        <v>0</v>
      </c>
      <c r="H91" s="39"/>
    </row>
    <row r="92" spans="1:8" x14ac:dyDescent="0.2">
      <c r="A92" s="1"/>
      <c r="B92" s="1"/>
      <c r="C92" s="11"/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114</v>
      </c>
      <c r="D93" s="1"/>
      <c r="E93" s="1"/>
      <c r="F93" s="1"/>
      <c r="G93" s="1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115</v>
      </c>
      <c r="D96" s="1"/>
      <c r="E96" s="1"/>
      <c r="F96" s="1"/>
      <c r="G96" s="1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2"/>
      <c r="H102" s="39"/>
    </row>
    <row r="103" spans="1:8" ht="25.5" x14ac:dyDescent="0.2">
      <c r="A103" s="3">
        <v>1</v>
      </c>
      <c r="B103" s="4"/>
      <c r="C103" s="4" t="s">
        <v>975</v>
      </c>
      <c r="D103" s="4" t="s">
        <v>687</v>
      </c>
      <c r="E103" s="5">
        <v>-1600</v>
      </c>
      <c r="F103" s="6">
        <v>-34.463200000000001</v>
      </c>
      <c r="G103" s="7">
        <v>-2.1146999999999998E-4</v>
      </c>
      <c r="H103" s="39"/>
    </row>
    <row r="104" spans="1:8" x14ac:dyDescent="0.2">
      <c r="A104" s="3">
        <v>2</v>
      </c>
      <c r="B104" s="4"/>
      <c r="C104" s="4" t="s">
        <v>976</v>
      </c>
      <c r="D104" s="4" t="s">
        <v>687</v>
      </c>
      <c r="E104" s="5">
        <v>-6300</v>
      </c>
      <c r="F104" s="6">
        <v>-51.017400000000002</v>
      </c>
      <c r="G104" s="7">
        <v>-3.1304E-4</v>
      </c>
      <c r="H104" s="39"/>
    </row>
    <row r="105" spans="1:8" x14ac:dyDescent="0.2">
      <c r="A105" s="3">
        <v>3</v>
      </c>
      <c r="B105" s="4"/>
      <c r="C105" s="4" t="s">
        <v>977</v>
      </c>
      <c r="D105" s="4" t="s">
        <v>687</v>
      </c>
      <c r="E105" s="5">
        <v>-240000</v>
      </c>
      <c r="F105" s="6">
        <v>-84.6</v>
      </c>
      <c r="G105" s="7">
        <v>-5.1909999999999999E-4</v>
      </c>
      <c r="H105" s="39"/>
    </row>
    <row r="106" spans="1:8" x14ac:dyDescent="0.2">
      <c r="A106" s="3">
        <v>4</v>
      </c>
      <c r="B106" s="4"/>
      <c r="C106" s="4" t="s">
        <v>978</v>
      </c>
      <c r="D106" s="4" t="s">
        <v>687</v>
      </c>
      <c r="E106" s="5">
        <v>-13500</v>
      </c>
      <c r="F106" s="6">
        <v>-90.801000000000002</v>
      </c>
      <c r="G106" s="7">
        <v>-5.5714999999999996E-4</v>
      </c>
      <c r="H106" s="39"/>
    </row>
    <row r="107" spans="1:8" ht="25.5" x14ac:dyDescent="0.2">
      <c r="A107" s="3">
        <v>5</v>
      </c>
      <c r="B107" s="4"/>
      <c r="C107" s="4" t="s">
        <v>979</v>
      </c>
      <c r="D107" s="4" t="s">
        <v>687</v>
      </c>
      <c r="E107" s="5">
        <v>-2750</v>
      </c>
      <c r="F107" s="6">
        <v>-124.91875</v>
      </c>
      <c r="G107" s="7">
        <v>-7.6649999999999993E-4</v>
      </c>
      <c r="H107" s="39"/>
    </row>
    <row r="108" spans="1:8" x14ac:dyDescent="0.2">
      <c r="A108" s="3">
        <v>6</v>
      </c>
      <c r="B108" s="4"/>
      <c r="C108" s="4" t="s">
        <v>980</v>
      </c>
      <c r="D108" s="4" t="s">
        <v>687</v>
      </c>
      <c r="E108" s="5">
        <v>-13000</v>
      </c>
      <c r="F108" s="6">
        <v>-127.413</v>
      </c>
      <c r="G108" s="7">
        <v>-7.8180000000000003E-4</v>
      </c>
      <c r="H108" s="39"/>
    </row>
    <row r="109" spans="1:8" x14ac:dyDescent="0.2">
      <c r="A109" s="3">
        <v>7</v>
      </c>
      <c r="B109" s="4"/>
      <c r="C109" s="4" t="s">
        <v>971</v>
      </c>
      <c r="D109" s="4" t="s">
        <v>687</v>
      </c>
      <c r="E109" s="5">
        <v>-1750</v>
      </c>
      <c r="F109" s="6">
        <v>-127.833125</v>
      </c>
      <c r="G109" s="7">
        <v>-7.8437999999999989E-4</v>
      </c>
      <c r="H109" s="39"/>
    </row>
    <row r="110" spans="1:8" x14ac:dyDescent="0.2">
      <c r="A110" s="3">
        <v>8</v>
      </c>
      <c r="B110" s="4"/>
      <c r="C110" s="4" t="s">
        <v>981</v>
      </c>
      <c r="D110" s="4" t="s">
        <v>687</v>
      </c>
      <c r="E110" s="5">
        <v>-5600</v>
      </c>
      <c r="F110" s="6">
        <v>-138.09880000000001</v>
      </c>
      <c r="G110" s="7">
        <v>-8.4737000000000007E-4</v>
      </c>
      <c r="H110" s="39"/>
    </row>
    <row r="111" spans="1:8" x14ac:dyDescent="0.2">
      <c r="A111" s="3">
        <v>9</v>
      </c>
      <c r="B111" s="4"/>
      <c r="C111" s="4" t="s">
        <v>959</v>
      </c>
      <c r="D111" s="4" t="s">
        <v>687</v>
      </c>
      <c r="E111" s="5">
        <v>-13225</v>
      </c>
      <c r="F111" s="6">
        <v>-234.73713749999999</v>
      </c>
      <c r="G111" s="7">
        <v>-1.44034E-3</v>
      </c>
      <c r="H111" s="39"/>
    </row>
    <row r="112" spans="1:8" x14ac:dyDescent="0.2">
      <c r="A112" s="3">
        <v>10</v>
      </c>
      <c r="B112" s="4"/>
      <c r="C112" s="4" t="s">
        <v>960</v>
      </c>
      <c r="D112" s="4" t="s">
        <v>687</v>
      </c>
      <c r="E112" s="5">
        <v>-21750</v>
      </c>
      <c r="F112" s="6">
        <v>-244.73099999999999</v>
      </c>
      <c r="G112" s="7">
        <v>-1.5016599999999999E-3</v>
      </c>
      <c r="H112" s="39"/>
    </row>
    <row r="113" spans="1:8" x14ac:dyDescent="0.2">
      <c r="A113" s="3">
        <v>11</v>
      </c>
      <c r="B113" s="4"/>
      <c r="C113" s="4" t="s">
        <v>982</v>
      </c>
      <c r="D113" s="4" t="s">
        <v>687</v>
      </c>
      <c r="E113" s="5">
        <v>-247500</v>
      </c>
      <c r="F113" s="6">
        <v>-291.80250000000001</v>
      </c>
      <c r="G113" s="7">
        <v>-1.7904900000000001E-3</v>
      </c>
      <c r="H113" s="39"/>
    </row>
    <row r="114" spans="1:8" x14ac:dyDescent="0.2">
      <c r="A114" s="3">
        <v>12</v>
      </c>
      <c r="B114" s="4"/>
      <c r="C114" s="4" t="s">
        <v>983</v>
      </c>
      <c r="D114" s="4" t="s">
        <v>687</v>
      </c>
      <c r="E114" s="5">
        <v>-39950</v>
      </c>
      <c r="F114" s="6">
        <v>-299.44522499999999</v>
      </c>
      <c r="G114" s="7">
        <v>-1.8373900000000002E-3</v>
      </c>
      <c r="H114" s="39"/>
    </row>
    <row r="115" spans="1:8" x14ac:dyDescent="0.2">
      <c r="A115" s="3">
        <v>13</v>
      </c>
      <c r="B115" s="4"/>
      <c r="C115" s="4" t="s">
        <v>984</v>
      </c>
      <c r="D115" s="4" t="s">
        <v>687</v>
      </c>
      <c r="E115" s="5">
        <v>-20900</v>
      </c>
      <c r="F115" s="6">
        <v>-349.62565000000001</v>
      </c>
      <c r="G115" s="7">
        <v>-2.1452899999999998E-3</v>
      </c>
      <c r="H115" s="39"/>
    </row>
    <row r="116" spans="1:8" ht="25.5" x14ac:dyDescent="0.2">
      <c r="A116" s="3">
        <v>14</v>
      </c>
      <c r="B116" s="4"/>
      <c r="C116" s="4" t="s">
        <v>985</v>
      </c>
      <c r="D116" s="4" t="s">
        <v>687</v>
      </c>
      <c r="E116" s="5">
        <v>-42000</v>
      </c>
      <c r="F116" s="6">
        <v>-384.95100000000002</v>
      </c>
      <c r="G116" s="7">
        <v>-2.3620500000000001E-3</v>
      </c>
      <c r="H116" s="39"/>
    </row>
    <row r="117" spans="1:8" x14ac:dyDescent="0.2">
      <c r="A117" s="3">
        <v>15</v>
      </c>
      <c r="B117" s="4"/>
      <c r="C117" s="4" t="s">
        <v>986</v>
      </c>
      <c r="D117" s="4" t="s">
        <v>687</v>
      </c>
      <c r="E117" s="5">
        <v>-43650</v>
      </c>
      <c r="F117" s="6">
        <v>-453.19612499999999</v>
      </c>
      <c r="G117" s="7">
        <v>-2.7807999999999999E-3</v>
      </c>
      <c r="H117" s="39"/>
    </row>
    <row r="118" spans="1:8" x14ac:dyDescent="0.2">
      <c r="A118" s="3">
        <v>16</v>
      </c>
      <c r="B118" s="4"/>
      <c r="C118" s="4" t="s">
        <v>987</v>
      </c>
      <c r="D118" s="4" t="s">
        <v>687</v>
      </c>
      <c r="E118" s="5">
        <v>-10500</v>
      </c>
      <c r="F118" s="6">
        <v>-453.25349999999997</v>
      </c>
      <c r="G118" s="7">
        <v>-2.78115E-3</v>
      </c>
      <c r="H118" s="39"/>
    </row>
    <row r="119" spans="1:8" x14ac:dyDescent="0.2">
      <c r="A119" s="3">
        <v>17</v>
      </c>
      <c r="B119" s="4"/>
      <c r="C119" s="4" t="s">
        <v>988</v>
      </c>
      <c r="D119" s="4" t="s">
        <v>687</v>
      </c>
      <c r="E119" s="5">
        <v>-82500</v>
      </c>
      <c r="F119" s="6">
        <v>-603.57000000000005</v>
      </c>
      <c r="G119" s="7">
        <v>-3.7034899999999998E-3</v>
      </c>
      <c r="H119" s="39"/>
    </row>
    <row r="120" spans="1:8" x14ac:dyDescent="0.2">
      <c r="A120" s="3">
        <v>18</v>
      </c>
      <c r="B120" s="4"/>
      <c r="C120" s="4" t="s">
        <v>989</v>
      </c>
      <c r="D120" s="4" t="s">
        <v>687</v>
      </c>
      <c r="E120" s="5">
        <v>-19950</v>
      </c>
      <c r="F120" s="6">
        <v>-617.94127500000002</v>
      </c>
      <c r="G120" s="7">
        <v>-3.7916699999999996E-3</v>
      </c>
      <c r="H120" s="39"/>
    </row>
    <row r="121" spans="1:8" x14ac:dyDescent="0.2">
      <c r="A121" s="3">
        <v>19</v>
      </c>
      <c r="B121" s="4"/>
      <c r="C121" s="4" t="s">
        <v>968</v>
      </c>
      <c r="D121" s="4" t="s">
        <v>687</v>
      </c>
      <c r="E121" s="5">
        <v>-81250</v>
      </c>
      <c r="F121" s="6">
        <v>-632.00312499999995</v>
      </c>
      <c r="G121" s="7">
        <v>-3.8779499999999998E-3</v>
      </c>
      <c r="H121" s="39"/>
    </row>
    <row r="122" spans="1:8" x14ac:dyDescent="0.2">
      <c r="A122" s="3">
        <v>20</v>
      </c>
      <c r="B122" s="4"/>
      <c r="C122" s="4" t="s">
        <v>990</v>
      </c>
      <c r="D122" s="4" t="s">
        <v>687</v>
      </c>
      <c r="E122" s="5">
        <v>-281600</v>
      </c>
      <c r="F122" s="6">
        <v>-709.91359999999997</v>
      </c>
      <c r="G122" s="7">
        <v>-4.3560100000000004E-3</v>
      </c>
      <c r="H122" s="39"/>
    </row>
    <row r="123" spans="1:8" x14ac:dyDescent="0.2">
      <c r="A123" s="3">
        <v>21</v>
      </c>
      <c r="B123" s="4"/>
      <c r="C123" s="4" t="s">
        <v>969</v>
      </c>
      <c r="D123" s="4" t="s">
        <v>687</v>
      </c>
      <c r="E123" s="5">
        <v>-42000</v>
      </c>
      <c r="F123" s="6">
        <v>-863.12099999999998</v>
      </c>
      <c r="G123" s="7">
        <v>-5.2960799999999999E-3</v>
      </c>
      <c r="H123" s="39"/>
    </row>
    <row r="124" spans="1:8" x14ac:dyDescent="0.2">
      <c r="A124" s="3">
        <v>22</v>
      </c>
      <c r="B124" s="4"/>
      <c r="C124" s="4" t="s">
        <v>991</v>
      </c>
      <c r="D124" s="4" t="s">
        <v>687</v>
      </c>
      <c r="E124" s="5">
        <v>-47700</v>
      </c>
      <c r="F124" s="6">
        <v>-912.83489999999995</v>
      </c>
      <c r="G124" s="7">
        <v>-5.6011299999999993E-3</v>
      </c>
      <c r="H124" s="39"/>
    </row>
    <row r="125" spans="1:8" x14ac:dyDescent="0.2">
      <c r="A125" s="3">
        <v>23</v>
      </c>
      <c r="B125" s="4"/>
      <c r="C125" s="4" t="s">
        <v>992</v>
      </c>
      <c r="D125" s="4" t="s">
        <v>687</v>
      </c>
      <c r="E125" s="5">
        <v>-21000</v>
      </c>
      <c r="F125" s="6">
        <v>-930.23699999999997</v>
      </c>
      <c r="G125" s="7">
        <v>-5.7079100000000001E-3</v>
      </c>
      <c r="H125" s="39"/>
    </row>
    <row r="126" spans="1:8" x14ac:dyDescent="0.2">
      <c r="A126" s="3">
        <v>24</v>
      </c>
      <c r="B126" s="4"/>
      <c r="C126" s="4" t="s">
        <v>993</v>
      </c>
      <c r="D126" s="4" t="s">
        <v>687</v>
      </c>
      <c r="E126" s="5">
        <v>-41000</v>
      </c>
      <c r="F126" s="6">
        <v>-1010.773</v>
      </c>
      <c r="G126" s="7">
        <v>-6.2020699999999996E-3</v>
      </c>
      <c r="H126" s="39"/>
    </row>
    <row r="127" spans="1:8" x14ac:dyDescent="0.2">
      <c r="A127" s="3">
        <v>25</v>
      </c>
      <c r="B127" s="4"/>
      <c r="C127" s="4" t="s">
        <v>994</v>
      </c>
      <c r="D127" s="4" t="s">
        <v>687</v>
      </c>
      <c r="E127" s="5">
        <v>-180600</v>
      </c>
      <c r="F127" s="6">
        <v>-1035.3797999999999</v>
      </c>
      <c r="G127" s="7">
        <v>-6.3530600000000007E-3</v>
      </c>
      <c r="H127" s="39"/>
    </row>
    <row r="128" spans="1:8" x14ac:dyDescent="0.2">
      <c r="A128" s="3">
        <v>26</v>
      </c>
      <c r="B128" s="4"/>
      <c r="C128" s="4" t="s">
        <v>995</v>
      </c>
      <c r="D128" s="4" t="s">
        <v>713</v>
      </c>
      <c r="E128" s="5">
        <v>-6250</v>
      </c>
      <c r="F128" s="6">
        <v>-1096.528125</v>
      </c>
      <c r="G128" s="7">
        <v>-6.7282600000000007E-3</v>
      </c>
      <c r="H128" s="39"/>
    </row>
    <row r="129" spans="1:8" x14ac:dyDescent="0.2">
      <c r="A129" s="3">
        <v>27</v>
      </c>
      <c r="B129" s="4"/>
      <c r="C129" s="4" t="s">
        <v>996</v>
      </c>
      <c r="D129" s="4" t="s">
        <v>687</v>
      </c>
      <c r="E129" s="5">
        <v>-31200</v>
      </c>
      <c r="F129" s="6">
        <v>-1171.0296000000001</v>
      </c>
      <c r="G129" s="7">
        <v>-7.1853999999999998E-3</v>
      </c>
      <c r="H129" s="39"/>
    </row>
    <row r="130" spans="1:8" x14ac:dyDescent="0.2">
      <c r="A130" s="3">
        <v>28</v>
      </c>
      <c r="B130" s="4"/>
      <c r="C130" s="4" t="s">
        <v>965</v>
      </c>
      <c r="D130" s="4" t="s">
        <v>687</v>
      </c>
      <c r="E130" s="5">
        <v>-67200</v>
      </c>
      <c r="F130" s="6">
        <v>-1184.1648</v>
      </c>
      <c r="G130" s="7">
        <v>-7.2659999999999999E-3</v>
      </c>
      <c r="H130" s="39"/>
    </row>
    <row r="131" spans="1:8" ht="25.5" x14ac:dyDescent="0.2">
      <c r="A131" s="3">
        <v>29</v>
      </c>
      <c r="B131" s="4"/>
      <c r="C131" s="4" t="s">
        <v>958</v>
      </c>
      <c r="D131" s="4" t="s">
        <v>687</v>
      </c>
      <c r="E131" s="5">
        <v>-258500</v>
      </c>
      <c r="F131" s="6">
        <v>-1396.1585</v>
      </c>
      <c r="G131" s="7">
        <v>-8.5667899999999995E-3</v>
      </c>
      <c r="H131" s="39"/>
    </row>
    <row r="132" spans="1:8" x14ac:dyDescent="0.2">
      <c r="A132" s="3">
        <v>30</v>
      </c>
      <c r="B132" s="4"/>
      <c r="C132" s="4" t="s">
        <v>997</v>
      </c>
      <c r="D132" s="4" t="s">
        <v>687</v>
      </c>
      <c r="E132" s="5">
        <v>-136425</v>
      </c>
      <c r="F132" s="6">
        <v>-1794.0569625000001</v>
      </c>
      <c r="G132" s="7">
        <v>-1.1008279999999999E-2</v>
      </c>
      <c r="H132" s="39"/>
    </row>
    <row r="133" spans="1:8" x14ac:dyDescent="0.2">
      <c r="A133" s="3">
        <v>31</v>
      </c>
      <c r="B133" s="4"/>
      <c r="C133" s="4" t="s">
        <v>970</v>
      </c>
      <c r="D133" s="4" t="s">
        <v>687</v>
      </c>
      <c r="E133" s="5">
        <v>-240000</v>
      </c>
      <c r="F133" s="6">
        <v>-1831.68</v>
      </c>
      <c r="G133" s="7">
        <v>-1.123913E-2</v>
      </c>
      <c r="H133" s="39"/>
    </row>
    <row r="134" spans="1:8" x14ac:dyDescent="0.2">
      <c r="A134" s="3">
        <v>32</v>
      </c>
      <c r="B134" s="4"/>
      <c r="C134" s="4" t="s">
        <v>974</v>
      </c>
      <c r="D134" s="4" t="s">
        <v>687</v>
      </c>
      <c r="E134" s="5">
        <v>-72500</v>
      </c>
      <c r="F134" s="6">
        <v>-1921.5762500000001</v>
      </c>
      <c r="G134" s="7">
        <v>-1.1790730000000001E-2</v>
      </c>
      <c r="H134" s="39"/>
    </row>
    <row r="135" spans="1:8" x14ac:dyDescent="0.2">
      <c r="A135" s="3">
        <v>33</v>
      </c>
      <c r="B135" s="4"/>
      <c r="C135" s="4" t="s">
        <v>998</v>
      </c>
      <c r="D135" s="4" t="s">
        <v>687</v>
      </c>
      <c r="E135" s="5">
        <v>-140400</v>
      </c>
      <c r="F135" s="6">
        <v>-2112.1776</v>
      </c>
      <c r="G135" s="7">
        <v>-1.2960259999999999E-2</v>
      </c>
      <c r="H135" s="39"/>
    </row>
    <row r="136" spans="1:8" x14ac:dyDescent="0.2">
      <c r="A136" s="3">
        <v>34</v>
      </c>
      <c r="B136" s="4"/>
      <c r="C136" s="4" t="s">
        <v>999</v>
      </c>
      <c r="D136" s="4" t="s">
        <v>687</v>
      </c>
      <c r="E136" s="5">
        <v>-268750</v>
      </c>
      <c r="F136" s="6">
        <v>-2393.3531250000001</v>
      </c>
      <c r="G136" s="7">
        <v>-1.4685539999999999E-2</v>
      </c>
      <c r="H136" s="39"/>
    </row>
    <row r="137" spans="1:8" ht="25.5" x14ac:dyDescent="0.2">
      <c r="A137" s="3">
        <v>35</v>
      </c>
      <c r="B137" s="4"/>
      <c r="C137" s="4" t="s">
        <v>964</v>
      </c>
      <c r="D137" s="4" t="s">
        <v>687</v>
      </c>
      <c r="E137" s="5">
        <v>-100800</v>
      </c>
      <c r="F137" s="6">
        <v>-2422.1232</v>
      </c>
      <c r="G137" s="7">
        <v>-1.486208E-2</v>
      </c>
      <c r="H137" s="39"/>
    </row>
    <row r="138" spans="1:8" x14ac:dyDescent="0.2">
      <c r="A138" s="3">
        <v>36</v>
      </c>
      <c r="B138" s="4"/>
      <c r="C138" s="4" t="s">
        <v>1000</v>
      </c>
      <c r="D138" s="4" t="s">
        <v>687</v>
      </c>
      <c r="E138" s="5">
        <v>-330600</v>
      </c>
      <c r="F138" s="6">
        <v>-2503.6338000000001</v>
      </c>
      <c r="G138" s="7">
        <v>-1.5362219999999999E-2</v>
      </c>
      <c r="H138" s="39"/>
    </row>
    <row r="139" spans="1:8" x14ac:dyDescent="0.2">
      <c r="A139" s="3">
        <v>37</v>
      </c>
      <c r="B139" s="4"/>
      <c r="C139" s="4" t="s">
        <v>972</v>
      </c>
      <c r="D139" s="4" t="s">
        <v>687</v>
      </c>
      <c r="E139" s="5">
        <v>-646500</v>
      </c>
      <c r="F139" s="6">
        <v>-3207.2865000000002</v>
      </c>
      <c r="G139" s="7">
        <v>-1.9679809999999999E-2</v>
      </c>
      <c r="H139" s="39"/>
    </row>
    <row r="140" spans="1:8" x14ac:dyDescent="0.2">
      <c r="A140" s="1"/>
      <c r="B140" s="1"/>
      <c r="C140" s="2" t="s">
        <v>111</v>
      </c>
      <c r="D140" s="1"/>
      <c r="E140" s="1" t="s">
        <v>112</v>
      </c>
      <c r="F140" s="9">
        <v>-33840.429575000002</v>
      </c>
      <c r="G140" s="10">
        <v>-0.20764387100000001</v>
      </c>
      <c r="H140" s="39"/>
    </row>
    <row r="141" spans="1:8" x14ac:dyDescent="0.2">
      <c r="A141" s="1"/>
      <c r="B141" s="1"/>
      <c r="C141" s="11"/>
      <c r="D141" s="1"/>
      <c r="E141" s="1"/>
      <c r="F141" s="12"/>
      <c r="G141" s="12"/>
      <c r="H141" s="39"/>
    </row>
    <row r="142" spans="1:8" x14ac:dyDescent="0.2">
      <c r="A142" s="1"/>
      <c r="B142" s="1"/>
      <c r="C142" s="2" t="s">
        <v>118</v>
      </c>
      <c r="D142" s="1"/>
      <c r="E142" s="1"/>
      <c r="F142" s="9">
        <v>124429.43919950002</v>
      </c>
      <c r="G142" s="10">
        <v>0.76349534100000038</v>
      </c>
      <c r="H142" s="39"/>
    </row>
    <row r="143" spans="1:8" x14ac:dyDescent="0.2">
      <c r="A143" s="1"/>
      <c r="B143" s="1"/>
      <c r="C143" s="11"/>
      <c r="D143" s="1"/>
      <c r="E143" s="1"/>
      <c r="F143" s="12"/>
      <c r="G143" s="12"/>
      <c r="H143" s="39"/>
    </row>
    <row r="144" spans="1:8" x14ac:dyDescent="0.2">
      <c r="A144" s="1"/>
      <c r="B144" s="1"/>
      <c r="C144" s="2" t="s">
        <v>119</v>
      </c>
      <c r="D144" s="1"/>
      <c r="E144" s="1"/>
      <c r="F144" s="12"/>
      <c r="G144" s="12"/>
      <c r="H144" s="39"/>
    </row>
    <row r="145" spans="1:8" ht="25.5" x14ac:dyDescent="0.2">
      <c r="A145" s="1"/>
      <c r="B145" s="1"/>
      <c r="C145" s="2" t="s">
        <v>10</v>
      </c>
      <c r="D145" s="1"/>
      <c r="E145" s="1"/>
      <c r="F145" s="12"/>
      <c r="G145" s="12"/>
      <c r="H145" s="39"/>
    </row>
    <row r="146" spans="1:8" ht="25.5" x14ac:dyDescent="0.2">
      <c r="A146" s="3">
        <v>1</v>
      </c>
      <c r="B146" s="4" t="s">
        <v>714</v>
      </c>
      <c r="C146" s="4" t="s">
        <v>715</v>
      </c>
      <c r="D146" s="4" t="s">
        <v>591</v>
      </c>
      <c r="E146" s="5">
        <v>250</v>
      </c>
      <c r="F146" s="6">
        <v>2520.4875000000002</v>
      </c>
      <c r="G146" s="7">
        <v>1.5465636E-2</v>
      </c>
      <c r="H146" s="39">
        <v>4.0250000000000004</v>
      </c>
    </row>
    <row r="147" spans="1:8" ht="25.5" x14ac:dyDescent="0.2">
      <c r="A147" s="3">
        <v>2</v>
      </c>
      <c r="B147" s="4" t="s">
        <v>716</v>
      </c>
      <c r="C147" s="4" t="s">
        <v>717</v>
      </c>
      <c r="D147" s="4" t="s">
        <v>591</v>
      </c>
      <c r="E147" s="5">
        <v>250</v>
      </c>
      <c r="F147" s="6">
        <v>2486.63</v>
      </c>
      <c r="G147" s="7">
        <v>1.5257888000000001E-2</v>
      </c>
      <c r="H147" s="39">
        <v>5.1349999999999998</v>
      </c>
    </row>
    <row r="148" spans="1:8" ht="25.5" x14ac:dyDescent="0.2">
      <c r="A148" s="3">
        <v>3</v>
      </c>
      <c r="B148" s="4" t="s">
        <v>630</v>
      </c>
      <c r="C148" s="4" t="s">
        <v>631</v>
      </c>
      <c r="D148" s="4" t="s">
        <v>1050</v>
      </c>
      <c r="E148" s="5">
        <v>150</v>
      </c>
      <c r="F148" s="6">
        <v>1523.3009999999999</v>
      </c>
      <c r="G148" s="7">
        <v>9.3469299999999998E-3</v>
      </c>
      <c r="H148" s="39">
        <v>5.1349999999999998</v>
      </c>
    </row>
    <row r="149" spans="1:8" x14ac:dyDescent="0.2">
      <c r="A149" s="3">
        <v>4</v>
      </c>
      <c r="B149" s="4" t="s">
        <v>718</v>
      </c>
      <c r="C149" s="4" t="s">
        <v>719</v>
      </c>
      <c r="D149" s="4" t="s">
        <v>591</v>
      </c>
      <c r="E149" s="5">
        <v>100</v>
      </c>
      <c r="F149" s="6">
        <v>1020.14</v>
      </c>
      <c r="G149" s="7">
        <v>6.2595489999999997E-3</v>
      </c>
      <c r="H149" s="39">
        <v>5.1100000000000003</v>
      </c>
    </row>
    <row r="150" spans="1:8" ht="25.5" x14ac:dyDescent="0.2">
      <c r="A150" s="3">
        <v>5</v>
      </c>
      <c r="B150" s="4" t="s">
        <v>720</v>
      </c>
      <c r="C150" s="4" t="s">
        <v>721</v>
      </c>
      <c r="D150" s="4" t="s">
        <v>1050</v>
      </c>
      <c r="E150" s="5">
        <v>100</v>
      </c>
      <c r="F150" s="6">
        <v>1016.693</v>
      </c>
      <c r="G150" s="7">
        <v>6.238398E-3</v>
      </c>
      <c r="H150" s="39">
        <v>5.0199999999999996</v>
      </c>
    </row>
    <row r="151" spans="1:8" ht="25.5" x14ac:dyDescent="0.2">
      <c r="A151" s="3">
        <v>6</v>
      </c>
      <c r="B151" s="4" t="s">
        <v>722</v>
      </c>
      <c r="C151" s="4" t="s">
        <v>723</v>
      </c>
      <c r="D151" s="4" t="s">
        <v>591</v>
      </c>
      <c r="E151" s="5">
        <v>100</v>
      </c>
      <c r="F151" s="6">
        <v>1016.676</v>
      </c>
      <c r="G151" s="7">
        <v>6.2382940000000001E-3</v>
      </c>
      <c r="H151" s="39">
        <v>4.8</v>
      </c>
    </row>
    <row r="152" spans="1:8" ht="25.5" x14ac:dyDescent="0.2">
      <c r="A152" s="3">
        <v>7</v>
      </c>
      <c r="B152" s="4" t="s">
        <v>724</v>
      </c>
      <c r="C152" s="4" t="s">
        <v>725</v>
      </c>
      <c r="D152" s="4" t="s">
        <v>591</v>
      </c>
      <c r="E152" s="5">
        <v>100</v>
      </c>
      <c r="F152" s="6">
        <v>1015.383</v>
      </c>
      <c r="G152" s="7">
        <v>6.2303599999999999E-3</v>
      </c>
      <c r="H152" s="39">
        <v>5.0999999999999996</v>
      </c>
    </row>
    <row r="153" spans="1:8" x14ac:dyDescent="0.2">
      <c r="A153" s="3">
        <v>8</v>
      </c>
      <c r="B153" s="4" t="s">
        <v>726</v>
      </c>
      <c r="C153" s="4" t="s">
        <v>727</v>
      </c>
      <c r="D153" s="4" t="s">
        <v>591</v>
      </c>
      <c r="E153" s="5">
        <v>100</v>
      </c>
      <c r="F153" s="6">
        <v>1006.462</v>
      </c>
      <c r="G153" s="7">
        <v>6.1756210000000001E-3</v>
      </c>
      <c r="H153" s="39">
        <v>5.2050000000000001</v>
      </c>
    </row>
    <row r="154" spans="1:8" ht="25.5" x14ac:dyDescent="0.2">
      <c r="A154" s="3">
        <v>9</v>
      </c>
      <c r="B154" s="4" t="s">
        <v>728</v>
      </c>
      <c r="C154" s="4" t="s">
        <v>729</v>
      </c>
      <c r="D154" s="4" t="s">
        <v>591</v>
      </c>
      <c r="E154" s="5">
        <v>100</v>
      </c>
      <c r="F154" s="6">
        <v>1001.097</v>
      </c>
      <c r="G154" s="7">
        <v>6.1427010000000004E-3</v>
      </c>
      <c r="H154" s="39">
        <v>4.57</v>
      </c>
    </row>
    <row r="155" spans="1:8" ht="25.5" x14ac:dyDescent="0.2">
      <c r="A155" s="3">
        <v>10</v>
      </c>
      <c r="B155" s="4" t="s">
        <v>643</v>
      </c>
      <c r="C155" s="4" t="s">
        <v>644</v>
      </c>
      <c r="D155" s="4" t="s">
        <v>594</v>
      </c>
      <c r="E155" s="5">
        <v>100</v>
      </c>
      <c r="F155" s="6">
        <v>998.99300000000005</v>
      </c>
      <c r="G155" s="7">
        <v>6.1297909999999999E-3</v>
      </c>
      <c r="H155" s="39">
        <v>5.5</v>
      </c>
    </row>
    <row r="156" spans="1:8" ht="25.5" x14ac:dyDescent="0.2">
      <c r="A156" s="3">
        <v>11</v>
      </c>
      <c r="B156" s="4" t="s">
        <v>730</v>
      </c>
      <c r="C156" s="4" t="s">
        <v>731</v>
      </c>
      <c r="D156" s="4" t="s">
        <v>591</v>
      </c>
      <c r="E156" s="5">
        <v>50</v>
      </c>
      <c r="F156" s="6">
        <v>509.9255</v>
      </c>
      <c r="G156" s="7">
        <v>3.1288879999999998E-3</v>
      </c>
      <c r="H156" s="39">
        <v>4.6100000000000003</v>
      </c>
    </row>
    <row r="157" spans="1:8" ht="25.5" x14ac:dyDescent="0.2">
      <c r="A157" s="3">
        <v>12</v>
      </c>
      <c r="B157" s="4" t="s">
        <v>732</v>
      </c>
      <c r="C157" s="4" t="s">
        <v>733</v>
      </c>
      <c r="D157" s="4" t="s">
        <v>591</v>
      </c>
      <c r="E157" s="5">
        <v>50</v>
      </c>
      <c r="F157" s="6">
        <v>509.60700000000003</v>
      </c>
      <c r="G157" s="7">
        <v>3.1269330000000001E-3</v>
      </c>
      <c r="H157" s="39">
        <v>5.09</v>
      </c>
    </row>
    <row r="158" spans="1:8" ht="25.5" x14ac:dyDescent="0.2">
      <c r="A158" s="3">
        <v>13</v>
      </c>
      <c r="B158" s="4" t="s">
        <v>734</v>
      </c>
      <c r="C158" s="4" t="s">
        <v>735</v>
      </c>
      <c r="D158" s="4" t="s">
        <v>591</v>
      </c>
      <c r="E158" s="5">
        <v>50</v>
      </c>
      <c r="F158" s="6">
        <v>508.02600000000001</v>
      </c>
      <c r="G158" s="7">
        <v>3.1172320000000002E-3</v>
      </c>
      <c r="H158" s="39">
        <v>4.96</v>
      </c>
    </row>
    <row r="159" spans="1:8" x14ac:dyDescent="0.2">
      <c r="A159" s="3">
        <v>14</v>
      </c>
      <c r="B159" s="4" t="s">
        <v>736</v>
      </c>
      <c r="C159" s="4" t="s">
        <v>737</v>
      </c>
      <c r="D159" s="4" t="s">
        <v>591</v>
      </c>
      <c r="E159" s="5">
        <v>50</v>
      </c>
      <c r="F159" s="6">
        <v>507.77600000000001</v>
      </c>
      <c r="G159" s="7">
        <v>3.1156980000000001E-3</v>
      </c>
      <c r="H159" s="39">
        <v>4.7</v>
      </c>
    </row>
    <row r="160" spans="1:8" ht="25.5" x14ac:dyDescent="0.2">
      <c r="A160" s="3">
        <v>15</v>
      </c>
      <c r="B160" s="4" t="s">
        <v>738</v>
      </c>
      <c r="C160" s="4" t="s">
        <v>739</v>
      </c>
      <c r="D160" s="4" t="s">
        <v>1050</v>
      </c>
      <c r="E160" s="5">
        <v>50</v>
      </c>
      <c r="F160" s="6">
        <v>506.22699999999998</v>
      </c>
      <c r="G160" s="7">
        <v>3.1061940000000001E-3</v>
      </c>
      <c r="H160" s="39">
        <v>4.4050000000000002</v>
      </c>
    </row>
    <row r="161" spans="1:8" ht="25.5" x14ac:dyDescent="0.2">
      <c r="A161" s="3">
        <v>16</v>
      </c>
      <c r="B161" s="4" t="s">
        <v>600</v>
      </c>
      <c r="C161" s="4" t="s">
        <v>601</v>
      </c>
      <c r="D161" s="4" t="s">
        <v>594</v>
      </c>
      <c r="E161" s="5">
        <v>50</v>
      </c>
      <c r="F161" s="6">
        <v>496.15649999999999</v>
      </c>
      <c r="G161" s="7">
        <v>3.0444019999999999E-3</v>
      </c>
      <c r="H161" s="39">
        <v>5.5</v>
      </c>
    </row>
    <row r="162" spans="1:8" x14ac:dyDescent="0.2">
      <c r="A162" s="3">
        <v>17</v>
      </c>
      <c r="B162" s="4" t="s">
        <v>740</v>
      </c>
      <c r="C162" s="4" t="s">
        <v>741</v>
      </c>
      <c r="D162" s="4" t="s">
        <v>591</v>
      </c>
      <c r="E162" s="5">
        <v>30</v>
      </c>
      <c r="F162" s="6">
        <v>302.24369999999999</v>
      </c>
      <c r="G162" s="7">
        <v>1.8545580000000001E-3</v>
      </c>
      <c r="H162" s="39">
        <v>3.96</v>
      </c>
    </row>
    <row r="163" spans="1:8" ht="25.5" x14ac:dyDescent="0.2">
      <c r="A163" s="3">
        <v>18</v>
      </c>
      <c r="B163" s="4" t="s">
        <v>638</v>
      </c>
      <c r="C163" s="4" t="s">
        <v>639</v>
      </c>
      <c r="D163" s="4" t="s">
        <v>591</v>
      </c>
      <c r="E163" s="5">
        <v>30</v>
      </c>
      <c r="F163" s="6">
        <v>298.13339999999999</v>
      </c>
      <c r="G163" s="7">
        <v>1.829338E-3</v>
      </c>
      <c r="H163" s="39">
        <v>5.55</v>
      </c>
    </row>
    <row r="164" spans="1:8" ht="25.5" x14ac:dyDescent="0.2">
      <c r="A164" s="3">
        <v>19</v>
      </c>
      <c r="B164" s="4" t="s">
        <v>742</v>
      </c>
      <c r="C164" s="4" t="s">
        <v>743</v>
      </c>
      <c r="D164" s="4" t="s">
        <v>591</v>
      </c>
      <c r="E164" s="5">
        <v>20</v>
      </c>
      <c r="F164" s="6">
        <v>200.2654</v>
      </c>
      <c r="G164" s="7">
        <v>1.228823E-3</v>
      </c>
      <c r="H164" s="39">
        <v>3.9</v>
      </c>
    </row>
    <row r="165" spans="1:8" ht="25.5" x14ac:dyDescent="0.2">
      <c r="A165" s="3">
        <v>20</v>
      </c>
      <c r="B165" s="4" t="s">
        <v>744</v>
      </c>
      <c r="C165" s="4" t="s">
        <v>745</v>
      </c>
      <c r="D165" s="4" t="s">
        <v>591</v>
      </c>
      <c r="E165" s="5">
        <v>10</v>
      </c>
      <c r="F165" s="6">
        <v>105.18940000000001</v>
      </c>
      <c r="G165" s="7">
        <v>6.4543900000000004E-4</v>
      </c>
      <c r="H165" s="39">
        <v>5.32</v>
      </c>
    </row>
    <row r="166" spans="1:8" x14ac:dyDescent="0.2">
      <c r="A166" s="3">
        <v>21</v>
      </c>
      <c r="B166" s="4" t="s">
        <v>746</v>
      </c>
      <c r="C166" s="4" t="s">
        <v>747</v>
      </c>
      <c r="D166" s="4" t="s">
        <v>591</v>
      </c>
      <c r="E166" s="5">
        <v>10</v>
      </c>
      <c r="F166" s="6">
        <v>103.67619999999999</v>
      </c>
      <c r="G166" s="7">
        <v>6.3615399999999999E-4</v>
      </c>
      <c r="H166" s="39">
        <v>4.97</v>
      </c>
    </row>
    <row r="167" spans="1:8" ht="25.5" x14ac:dyDescent="0.2">
      <c r="A167" s="3">
        <v>22</v>
      </c>
      <c r="B167" s="4" t="s">
        <v>636</v>
      </c>
      <c r="C167" s="4" t="s">
        <v>637</v>
      </c>
      <c r="D167" s="4" t="s">
        <v>594</v>
      </c>
      <c r="E167" s="5">
        <v>10</v>
      </c>
      <c r="F167" s="6">
        <v>100.8578</v>
      </c>
      <c r="G167" s="7">
        <v>6.1886000000000005E-4</v>
      </c>
      <c r="H167" s="39">
        <v>4.33</v>
      </c>
    </row>
    <row r="168" spans="1:8" ht="25.5" x14ac:dyDescent="0.2">
      <c r="A168" s="3">
        <v>23</v>
      </c>
      <c r="B168" s="4" t="s">
        <v>748</v>
      </c>
      <c r="C168" s="4" t="s">
        <v>749</v>
      </c>
      <c r="D168" s="4" t="s">
        <v>591</v>
      </c>
      <c r="E168" s="5">
        <v>10</v>
      </c>
      <c r="F168" s="6">
        <v>100.3394</v>
      </c>
      <c r="G168" s="7">
        <v>6.1567999999999996E-4</v>
      </c>
      <c r="H168" s="39">
        <v>4.53</v>
      </c>
    </row>
    <row r="169" spans="1:8" ht="25.5" x14ac:dyDescent="0.2">
      <c r="A169" s="3">
        <v>24</v>
      </c>
      <c r="B169" s="4" t="s">
        <v>750</v>
      </c>
      <c r="C169" s="4" t="s">
        <v>751</v>
      </c>
      <c r="D169" s="4" t="s">
        <v>591</v>
      </c>
      <c r="E169" s="5">
        <v>10</v>
      </c>
      <c r="F169" s="6">
        <v>100.16500000000001</v>
      </c>
      <c r="G169" s="7">
        <v>6.1460900000000001E-4</v>
      </c>
      <c r="H169" s="39">
        <v>4.0199999999999996</v>
      </c>
    </row>
    <row r="170" spans="1:8" x14ac:dyDescent="0.2">
      <c r="A170" s="1"/>
      <c r="B170" s="1"/>
      <c r="C170" s="2" t="s">
        <v>111</v>
      </c>
      <c r="D170" s="1"/>
      <c r="E170" s="1" t="s">
        <v>112</v>
      </c>
      <c r="F170" s="9">
        <v>17954.450800000002</v>
      </c>
      <c r="G170" s="10">
        <v>0.11016797600000001</v>
      </c>
      <c r="H170" s="39"/>
    </row>
    <row r="171" spans="1:8" x14ac:dyDescent="0.2">
      <c r="A171" s="1"/>
      <c r="B171" s="1"/>
      <c r="C171" s="11"/>
      <c r="D171" s="1"/>
      <c r="E171" s="1"/>
      <c r="F171" s="12"/>
      <c r="G171" s="12"/>
      <c r="H171" s="39"/>
    </row>
    <row r="172" spans="1:8" x14ac:dyDescent="0.2">
      <c r="A172" s="1"/>
      <c r="B172" s="1"/>
      <c r="C172" s="2" t="s">
        <v>120</v>
      </c>
      <c r="D172" s="1"/>
      <c r="E172" s="1"/>
      <c r="F172" s="1"/>
      <c r="G172" s="1"/>
      <c r="H172" s="39"/>
    </row>
    <row r="173" spans="1:8" x14ac:dyDescent="0.2">
      <c r="A173" s="1"/>
      <c r="B173" s="1"/>
      <c r="C173" s="2" t="s">
        <v>111</v>
      </c>
      <c r="D173" s="1"/>
      <c r="E173" s="1" t="s">
        <v>112</v>
      </c>
      <c r="F173" s="9">
        <v>0</v>
      </c>
      <c r="G173" s="10">
        <v>0</v>
      </c>
      <c r="H173" s="39"/>
    </row>
    <row r="174" spans="1:8" x14ac:dyDescent="0.2">
      <c r="A174" s="1"/>
      <c r="B174" s="1"/>
      <c r="C174" s="11"/>
      <c r="D174" s="1"/>
      <c r="E174" s="1"/>
      <c r="F174" s="12"/>
      <c r="G174" s="12"/>
      <c r="H174" s="39"/>
    </row>
    <row r="175" spans="1:8" x14ac:dyDescent="0.2">
      <c r="A175" s="1"/>
      <c r="B175" s="1"/>
      <c r="C175" s="2" t="s">
        <v>121</v>
      </c>
      <c r="D175" s="1"/>
      <c r="E175" s="1"/>
      <c r="F175" s="1"/>
      <c r="G175" s="1"/>
      <c r="H175" s="39"/>
    </row>
    <row r="176" spans="1:8" ht="25.5" x14ac:dyDescent="0.2">
      <c r="A176" s="3">
        <v>1</v>
      </c>
      <c r="B176" s="4" t="s">
        <v>752</v>
      </c>
      <c r="C176" s="4" t="s">
        <v>753</v>
      </c>
      <c r="D176" s="4" t="s">
        <v>647</v>
      </c>
      <c r="E176" s="5">
        <v>1500000</v>
      </c>
      <c r="F176" s="6">
        <v>1480.4849999999999</v>
      </c>
      <c r="G176" s="7">
        <v>9.0842119999999995E-3</v>
      </c>
      <c r="H176" s="39">
        <v>5.6665000000000001</v>
      </c>
    </row>
    <row r="177" spans="1:8" ht="25.5" x14ac:dyDescent="0.2">
      <c r="A177" s="3">
        <v>2</v>
      </c>
      <c r="B177" s="4" t="s">
        <v>645</v>
      </c>
      <c r="C177" s="4" t="s">
        <v>646</v>
      </c>
      <c r="D177" s="4" t="s">
        <v>647</v>
      </c>
      <c r="E177" s="5">
        <v>1000000</v>
      </c>
      <c r="F177" s="6">
        <v>1039.9349999999999</v>
      </c>
      <c r="G177" s="7">
        <v>6.3810100000000003E-3</v>
      </c>
      <c r="H177" s="39">
        <v>4.9973000000000001</v>
      </c>
    </row>
    <row r="178" spans="1:8" ht="25.5" x14ac:dyDescent="0.2">
      <c r="A178" s="3">
        <v>3</v>
      </c>
      <c r="B178" s="4" t="s">
        <v>754</v>
      </c>
      <c r="C178" s="4" t="s">
        <v>755</v>
      </c>
      <c r="D178" s="4" t="s">
        <v>647</v>
      </c>
      <c r="E178" s="5">
        <v>500000</v>
      </c>
      <c r="F178" s="6">
        <v>498.23700000000002</v>
      </c>
      <c r="G178" s="7">
        <v>3.057167E-3</v>
      </c>
      <c r="H178" s="39">
        <v>4.5801999999999996</v>
      </c>
    </row>
    <row r="179" spans="1:8" ht="25.5" x14ac:dyDescent="0.2">
      <c r="A179" s="3">
        <v>4</v>
      </c>
      <c r="B179" s="4" t="s">
        <v>662</v>
      </c>
      <c r="C179" s="4" t="s">
        <v>663</v>
      </c>
      <c r="D179" s="4" t="s">
        <v>647</v>
      </c>
      <c r="E179" s="5">
        <v>200000</v>
      </c>
      <c r="F179" s="6">
        <v>203.5924</v>
      </c>
      <c r="G179" s="7">
        <v>1.249237E-3</v>
      </c>
      <c r="H179" s="39">
        <v>4.2249999999999996</v>
      </c>
    </row>
    <row r="180" spans="1:8" ht="25.5" x14ac:dyDescent="0.2">
      <c r="A180" s="3">
        <v>5</v>
      </c>
      <c r="B180" s="4" t="s">
        <v>652</v>
      </c>
      <c r="C180" s="4" t="s">
        <v>653</v>
      </c>
      <c r="D180" s="4" t="s">
        <v>647</v>
      </c>
      <c r="E180" s="5">
        <v>200000</v>
      </c>
      <c r="F180" s="6">
        <v>203.50020000000001</v>
      </c>
      <c r="G180" s="7">
        <v>1.248671E-3</v>
      </c>
      <c r="H180" s="39">
        <v>4.3209</v>
      </c>
    </row>
    <row r="181" spans="1:8" ht="25.5" x14ac:dyDescent="0.2">
      <c r="A181" s="3">
        <v>6</v>
      </c>
      <c r="B181" s="4" t="s">
        <v>656</v>
      </c>
      <c r="C181" s="4" t="s">
        <v>657</v>
      </c>
      <c r="D181" s="4" t="s">
        <v>647</v>
      </c>
      <c r="E181" s="5">
        <v>100000</v>
      </c>
      <c r="F181" s="6">
        <v>106.64879999999999</v>
      </c>
      <c r="G181" s="7">
        <v>6.5439399999999998E-4</v>
      </c>
      <c r="H181" s="39">
        <v>5.9279999999999999</v>
      </c>
    </row>
    <row r="182" spans="1:8" ht="25.5" x14ac:dyDescent="0.2">
      <c r="A182" s="3">
        <v>7</v>
      </c>
      <c r="B182" s="4" t="s">
        <v>658</v>
      </c>
      <c r="C182" s="4" t="s">
        <v>659</v>
      </c>
      <c r="D182" s="4" t="s">
        <v>647</v>
      </c>
      <c r="E182" s="5">
        <v>100000</v>
      </c>
      <c r="F182" s="6">
        <v>106.06310000000001</v>
      </c>
      <c r="G182" s="7">
        <v>6.5079999999999999E-4</v>
      </c>
      <c r="H182" s="39">
        <v>5.8079999999999998</v>
      </c>
    </row>
    <row r="183" spans="1:8" ht="25.5" x14ac:dyDescent="0.2">
      <c r="A183" s="3">
        <v>8</v>
      </c>
      <c r="B183" s="4" t="s">
        <v>660</v>
      </c>
      <c r="C183" s="4" t="s">
        <v>661</v>
      </c>
      <c r="D183" s="4" t="s">
        <v>647</v>
      </c>
      <c r="E183" s="5">
        <v>100000</v>
      </c>
      <c r="F183" s="6">
        <v>105.842</v>
      </c>
      <c r="G183" s="7">
        <v>6.4944299999999998E-4</v>
      </c>
      <c r="H183" s="39">
        <v>5.8098999999999998</v>
      </c>
    </row>
    <row r="184" spans="1:8" ht="25.5" x14ac:dyDescent="0.2">
      <c r="A184" s="3">
        <v>9</v>
      </c>
      <c r="B184" s="4" t="s">
        <v>756</v>
      </c>
      <c r="C184" s="4" t="s">
        <v>757</v>
      </c>
      <c r="D184" s="4" t="s">
        <v>647</v>
      </c>
      <c r="E184" s="5">
        <v>100000</v>
      </c>
      <c r="F184" s="6">
        <v>101.3065</v>
      </c>
      <c r="G184" s="7">
        <v>6.2161400000000004E-4</v>
      </c>
      <c r="H184" s="39">
        <v>4.2750000000000004</v>
      </c>
    </row>
    <row r="185" spans="1:8" ht="25.5" x14ac:dyDescent="0.2">
      <c r="A185" s="3">
        <v>10</v>
      </c>
      <c r="B185" s="4" t="s">
        <v>758</v>
      </c>
      <c r="C185" s="4" t="s">
        <v>759</v>
      </c>
      <c r="D185" s="4" t="s">
        <v>647</v>
      </c>
      <c r="E185" s="5">
        <v>100000</v>
      </c>
      <c r="F185" s="6">
        <v>100.8267</v>
      </c>
      <c r="G185" s="7">
        <v>6.1866999999999998E-4</v>
      </c>
      <c r="H185" s="39">
        <v>3.7717000000000001</v>
      </c>
    </row>
    <row r="186" spans="1:8" ht="25.5" x14ac:dyDescent="0.2">
      <c r="A186" s="3">
        <v>11</v>
      </c>
      <c r="B186" s="4" t="s">
        <v>664</v>
      </c>
      <c r="C186" s="4" t="s">
        <v>665</v>
      </c>
      <c r="D186" s="4" t="s">
        <v>647</v>
      </c>
      <c r="E186" s="5">
        <v>50000</v>
      </c>
      <c r="F186" s="6">
        <v>50.278700000000001</v>
      </c>
      <c r="G186" s="7">
        <v>3.08509E-4</v>
      </c>
      <c r="H186" s="39">
        <v>3.6</v>
      </c>
    </row>
    <row r="187" spans="1:8" x14ac:dyDescent="0.2">
      <c r="A187" s="1"/>
      <c r="B187" s="1"/>
      <c r="C187" s="2" t="s">
        <v>111</v>
      </c>
      <c r="D187" s="1"/>
      <c r="E187" s="1" t="s">
        <v>112</v>
      </c>
      <c r="F187" s="9">
        <v>3996.7154</v>
      </c>
      <c r="G187" s="10">
        <v>2.4523726999999999E-2</v>
      </c>
      <c r="H187" s="39"/>
    </row>
    <row r="188" spans="1:8" x14ac:dyDescent="0.2">
      <c r="A188" s="1"/>
      <c r="B188" s="1"/>
      <c r="C188" s="11"/>
      <c r="D188" s="1"/>
      <c r="E188" s="1"/>
      <c r="F188" s="12"/>
      <c r="G188" s="12"/>
      <c r="H188" s="39"/>
    </row>
    <row r="189" spans="1:8" x14ac:dyDescent="0.2">
      <c r="A189" s="1"/>
      <c r="B189" s="1"/>
      <c r="C189" s="2" t="s">
        <v>122</v>
      </c>
      <c r="D189" s="1"/>
      <c r="E189" s="1"/>
      <c r="F189" s="12"/>
      <c r="G189" s="12"/>
      <c r="H189" s="39"/>
    </row>
    <row r="190" spans="1:8" x14ac:dyDescent="0.2">
      <c r="A190" s="1"/>
      <c r="B190" s="1"/>
      <c r="C190" s="2" t="s">
        <v>111</v>
      </c>
      <c r="D190" s="1"/>
      <c r="E190" s="1" t="s">
        <v>112</v>
      </c>
      <c r="F190" s="13">
        <v>0</v>
      </c>
      <c r="G190" s="14">
        <v>0</v>
      </c>
      <c r="H190" s="39"/>
    </row>
    <row r="191" spans="1:8" x14ac:dyDescent="0.2">
      <c r="A191" s="1"/>
      <c r="B191" s="1"/>
      <c r="C191" s="11"/>
      <c r="D191" s="1"/>
      <c r="E191" s="1"/>
      <c r="F191" s="12"/>
      <c r="G191" s="12"/>
      <c r="H191" s="39"/>
    </row>
    <row r="192" spans="1:8" x14ac:dyDescent="0.2">
      <c r="A192" s="1"/>
      <c r="B192" s="1"/>
      <c r="C192" s="2" t="s">
        <v>123</v>
      </c>
      <c r="D192" s="1"/>
      <c r="E192" s="1"/>
      <c r="F192" s="9">
        <v>21951.1662</v>
      </c>
      <c r="G192" s="10">
        <v>0.134691703</v>
      </c>
      <c r="H192" s="39"/>
    </row>
    <row r="193" spans="1:15" x14ac:dyDescent="0.2">
      <c r="A193" s="1"/>
      <c r="B193" s="1"/>
      <c r="C193" s="11"/>
      <c r="D193" s="1"/>
      <c r="E193" s="1"/>
      <c r="F193" s="12"/>
      <c r="G193" s="12"/>
      <c r="H193" s="39"/>
    </row>
    <row r="194" spans="1:15" x14ac:dyDescent="0.2">
      <c r="A194" s="1"/>
      <c r="B194" s="1"/>
      <c r="C194" s="2" t="s">
        <v>124</v>
      </c>
      <c r="D194" s="1"/>
      <c r="E194" s="1"/>
      <c r="F194" s="12"/>
      <c r="G194" s="12"/>
      <c r="H194" s="39"/>
    </row>
    <row r="195" spans="1:15" x14ac:dyDescent="0.2">
      <c r="A195" s="1"/>
      <c r="B195" s="1"/>
      <c r="C195" s="2" t="s">
        <v>125</v>
      </c>
      <c r="D195" s="1"/>
      <c r="E195" s="1"/>
      <c r="F195" s="12"/>
      <c r="G195" s="12"/>
      <c r="H195" s="39"/>
    </row>
    <row r="196" spans="1:15" x14ac:dyDescent="0.2">
      <c r="A196" s="1"/>
      <c r="B196" s="1"/>
      <c r="C196" s="2" t="s">
        <v>111</v>
      </c>
      <c r="D196" s="1"/>
      <c r="E196" s="1" t="s">
        <v>112</v>
      </c>
      <c r="F196" s="13">
        <v>0</v>
      </c>
      <c r="G196" s="14">
        <v>0</v>
      </c>
      <c r="H196" s="39"/>
    </row>
    <row r="197" spans="1:15" x14ac:dyDescent="0.2">
      <c r="A197" s="1"/>
      <c r="B197" s="1"/>
      <c r="C197" s="11"/>
      <c r="D197" s="1"/>
      <c r="E197" s="1"/>
      <c r="F197" s="12"/>
      <c r="G197" s="12"/>
      <c r="H197" s="39"/>
    </row>
    <row r="198" spans="1:15" x14ac:dyDescent="0.2">
      <c r="A198" s="1"/>
      <c r="B198" s="1"/>
      <c r="C198" s="2" t="s">
        <v>126</v>
      </c>
      <c r="D198" s="1"/>
      <c r="E198" s="1"/>
      <c r="F198" s="12"/>
      <c r="G198" s="12"/>
      <c r="H198" s="39"/>
    </row>
    <row r="199" spans="1:15" x14ac:dyDescent="0.2">
      <c r="A199" s="1"/>
      <c r="B199" s="1"/>
      <c r="C199" s="2" t="s">
        <v>111</v>
      </c>
      <c r="D199" s="1"/>
      <c r="E199" s="1" t="s">
        <v>112</v>
      </c>
      <c r="F199" s="13">
        <v>0</v>
      </c>
      <c r="G199" s="14">
        <v>0</v>
      </c>
      <c r="H199" s="39"/>
    </row>
    <row r="200" spans="1:15" x14ac:dyDescent="0.2">
      <c r="A200" s="1"/>
      <c r="B200" s="1"/>
      <c r="C200" s="11"/>
      <c r="D200" s="1"/>
      <c r="E200" s="1"/>
      <c r="F200" s="12"/>
      <c r="G200" s="12"/>
      <c r="H200" s="39"/>
    </row>
    <row r="201" spans="1:15" x14ac:dyDescent="0.2">
      <c r="A201" s="1"/>
      <c r="B201" s="1"/>
      <c r="C201" s="2" t="s">
        <v>127</v>
      </c>
      <c r="D201" s="1"/>
      <c r="E201" s="1"/>
      <c r="F201" s="12"/>
      <c r="G201" s="12"/>
      <c r="H201" s="39"/>
    </row>
    <row r="202" spans="1:15" x14ac:dyDescent="0.2">
      <c r="A202" s="3">
        <v>1</v>
      </c>
      <c r="B202" s="4" t="s">
        <v>688</v>
      </c>
      <c r="C202" s="4" t="s">
        <v>956</v>
      </c>
      <c r="D202" s="4" t="s">
        <v>647</v>
      </c>
      <c r="E202" s="5">
        <v>5000000</v>
      </c>
      <c r="F202" s="6">
        <v>4945.05</v>
      </c>
      <c r="G202" s="7">
        <v>3.034268E-2</v>
      </c>
      <c r="H202" s="39">
        <v>3.9</v>
      </c>
    </row>
    <row r="203" spans="1:15" x14ac:dyDescent="0.2">
      <c r="A203" s="1"/>
      <c r="B203" s="1"/>
      <c r="C203" s="2" t="s">
        <v>111</v>
      </c>
      <c r="D203" s="1"/>
      <c r="E203" s="1" t="s">
        <v>112</v>
      </c>
      <c r="F203" s="9">
        <v>4945.05</v>
      </c>
      <c r="G203" s="10">
        <v>3.034268E-2</v>
      </c>
      <c r="H203" s="39"/>
      <c r="J203" s="101"/>
      <c r="K203" s="101"/>
      <c r="L203" s="101"/>
      <c r="M203" s="101"/>
      <c r="N203" s="101"/>
      <c r="O203" s="101"/>
    </row>
    <row r="204" spans="1:15" x14ac:dyDescent="0.2">
      <c r="A204" s="1"/>
      <c r="B204" s="1"/>
      <c r="C204" s="11"/>
      <c r="D204" s="1"/>
      <c r="E204" s="1"/>
      <c r="F204" s="12"/>
      <c r="G204" s="12"/>
      <c r="H204" s="39"/>
    </row>
    <row r="205" spans="1:15" x14ac:dyDescent="0.2">
      <c r="A205" s="1"/>
      <c r="B205" s="1"/>
      <c r="C205" s="2" t="s">
        <v>128</v>
      </c>
      <c r="D205" s="1"/>
      <c r="E205" s="1"/>
      <c r="F205" s="12"/>
      <c r="G205" s="12"/>
      <c r="H205" s="39"/>
    </row>
    <row r="206" spans="1:15" x14ac:dyDescent="0.2">
      <c r="A206" s="3">
        <v>1</v>
      </c>
      <c r="B206" s="4"/>
      <c r="C206" s="4" t="s">
        <v>129</v>
      </c>
      <c r="D206" s="4"/>
      <c r="E206" s="8"/>
      <c r="F206" s="6">
        <v>1383.5424728999999</v>
      </c>
      <c r="G206" s="7">
        <v>8.4893750000000004E-3</v>
      </c>
      <c r="H206" s="39">
        <v>3.6151121728634927</v>
      </c>
    </row>
    <row r="207" spans="1:15" x14ac:dyDescent="0.2">
      <c r="A207" s="3">
        <v>2</v>
      </c>
      <c r="B207" s="4"/>
      <c r="C207" s="4" t="s">
        <v>130</v>
      </c>
      <c r="D207" s="4"/>
      <c r="E207" s="8"/>
      <c r="F207" s="6">
        <v>489.18876449999999</v>
      </c>
      <c r="G207" s="7">
        <v>3.001648E-3</v>
      </c>
      <c r="H207" s="39">
        <v>3.7142625760646584</v>
      </c>
    </row>
    <row r="208" spans="1:15" x14ac:dyDescent="0.2">
      <c r="A208" s="1"/>
      <c r="B208" s="1"/>
      <c r="C208" s="2" t="s">
        <v>111</v>
      </c>
      <c r="D208" s="1"/>
      <c r="E208" s="1" t="s">
        <v>112</v>
      </c>
      <c r="F208" s="9">
        <v>1872.7312374000001</v>
      </c>
      <c r="G208" s="10">
        <v>1.1491023E-2</v>
      </c>
      <c r="H208" s="39"/>
    </row>
    <row r="209" spans="1:8" x14ac:dyDescent="0.2">
      <c r="A209" s="1"/>
      <c r="B209" s="1"/>
      <c r="C209" s="11"/>
      <c r="D209" s="1"/>
      <c r="E209" s="1"/>
      <c r="F209" s="12"/>
      <c r="G209" s="12"/>
      <c r="H209" s="39"/>
    </row>
    <row r="210" spans="1:8" x14ac:dyDescent="0.2">
      <c r="A210" s="1"/>
      <c r="B210" s="1"/>
      <c r="C210" s="2" t="s">
        <v>131</v>
      </c>
      <c r="D210" s="1"/>
      <c r="E210" s="1"/>
      <c r="F210" s="9">
        <v>6817.7812373999996</v>
      </c>
      <c r="G210" s="10">
        <v>4.1833703E-2</v>
      </c>
      <c r="H210" s="39"/>
    </row>
    <row r="211" spans="1:8" x14ac:dyDescent="0.2">
      <c r="A211" s="1"/>
      <c r="B211" s="1"/>
      <c r="C211" s="12"/>
      <c r="D211" s="1"/>
      <c r="E211" s="1"/>
      <c r="F211" s="1"/>
      <c r="G211" s="1"/>
      <c r="H211" s="39"/>
    </row>
    <row r="212" spans="1:8" x14ac:dyDescent="0.2">
      <c r="A212" s="1"/>
      <c r="B212" s="1"/>
      <c r="C212" s="2" t="s">
        <v>132</v>
      </c>
      <c r="D212" s="1"/>
      <c r="E212" s="1"/>
      <c r="F212" s="1"/>
      <c r="G212" s="1"/>
      <c r="H212" s="39"/>
    </row>
    <row r="213" spans="1:8" x14ac:dyDescent="0.2">
      <c r="A213" s="1"/>
      <c r="B213" s="1"/>
      <c r="C213" s="2" t="s">
        <v>133</v>
      </c>
      <c r="D213" s="1"/>
      <c r="E213" s="1"/>
      <c r="F213" s="1"/>
      <c r="G213" s="1"/>
      <c r="H213" s="39"/>
    </row>
    <row r="214" spans="1:8" x14ac:dyDescent="0.2">
      <c r="A214" s="1"/>
      <c r="B214" s="1"/>
      <c r="C214" s="2" t="s">
        <v>111</v>
      </c>
      <c r="D214" s="1"/>
      <c r="E214" s="1" t="s">
        <v>112</v>
      </c>
      <c r="F214" s="13">
        <v>0</v>
      </c>
      <c r="G214" s="14">
        <v>0</v>
      </c>
      <c r="H214" s="39"/>
    </row>
    <row r="215" spans="1:8" x14ac:dyDescent="0.2">
      <c r="A215" s="1"/>
      <c r="B215" s="1"/>
      <c r="C215" s="11"/>
      <c r="D215" s="1"/>
      <c r="E215" s="1"/>
      <c r="F215" s="12"/>
      <c r="G215" s="12"/>
      <c r="H215" s="39"/>
    </row>
    <row r="216" spans="1:8" x14ac:dyDescent="0.2">
      <c r="A216" s="1"/>
      <c r="B216" s="1"/>
      <c r="C216" s="2" t="s">
        <v>134</v>
      </c>
      <c r="D216" s="1"/>
      <c r="E216" s="1"/>
      <c r="F216" s="1"/>
      <c r="G216" s="1"/>
      <c r="H216" s="39"/>
    </row>
    <row r="217" spans="1:8" x14ac:dyDescent="0.2">
      <c r="A217" s="1"/>
      <c r="B217" s="1"/>
      <c r="C217" s="2" t="s">
        <v>135</v>
      </c>
      <c r="D217" s="1"/>
      <c r="E217" s="1"/>
      <c r="F217" s="1"/>
      <c r="G217" s="1"/>
      <c r="H217" s="39"/>
    </row>
    <row r="218" spans="1:8" x14ac:dyDescent="0.2">
      <c r="A218" s="1"/>
      <c r="B218" s="1"/>
      <c r="C218" s="2" t="s">
        <v>111</v>
      </c>
      <c r="D218" s="1"/>
      <c r="E218" s="1" t="s">
        <v>112</v>
      </c>
      <c r="F218" s="13">
        <v>0</v>
      </c>
      <c r="G218" s="14">
        <v>0</v>
      </c>
      <c r="H218" s="39"/>
    </row>
    <row r="219" spans="1:8" x14ac:dyDescent="0.2">
      <c r="A219" s="1"/>
      <c r="B219" s="1"/>
      <c r="C219" s="11"/>
      <c r="D219" s="1"/>
      <c r="E219" s="1"/>
      <c r="F219" s="12"/>
      <c r="G219" s="12"/>
      <c r="H219" s="39"/>
    </row>
    <row r="220" spans="1:8" x14ac:dyDescent="0.2">
      <c r="A220" s="1"/>
      <c r="B220" s="1"/>
      <c r="C220" s="11"/>
      <c r="D220" s="1"/>
      <c r="E220" s="1"/>
      <c r="F220" s="12"/>
      <c r="G220" s="12"/>
      <c r="H220" s="39"/>
    </row>
    <row r="221" spans="1:8" ht="25.5" x14ac:dyDescent="0.2">
      <c r="A221" s="1"/>
      <c r="B221" s="1"/>
      <c r="C221" s="2" t="s">
        <v>136</v>
      </c>
      <c r="D221" s="1"/>
      <c r="E221" s="1"/>
      <c r="F221" s="12"/>
      <c r="G221" s="12"/>
      <c r="H221" s="39"/>
    </row>
    <row r="222" spans="1:8" x14ac:dyDescent="0.2">
      <c r="A222" s="1"/>
      <c r="B222" s="1"/>
      <c r="C222" s="2" t="s">
        <v>111</v>
      </c>
      <c r="D222" s="1"/>
      <c r="E222" s="1" t="s">
        <v>112</v>
      </c>
      <c r="F222" s="13">
        <v>0</v>
      </c>
      <c r="G222" s="14">
        <v>0</v>
      </c>
      <c r="H222" s="39"/>
    </row>
    <row r="223" spans="1:8" x14ac:dyDescent="0.2">
      <c r="A223" s="1"/>
      <c r="B223" s="1"/>
      <c r="C223" s="11"/>
      <c r="D223" s="1"/>
      <c r="E223" s="1"/>
      <c r="F223" s="12"/>
      <c r="G223" s="12"/>
      <c r="H223" s="39"/>
    </row>
    <row r="224" spans="1:8" x14ac:dyDescent="0.2">
      <c r="A224" s="8"/>
      <c r="B224" s="4"/>
      <c r="C224" s="4" t="s">
        <v>689</v>
      </c>
      <c r="D224" s="4"/>
      <c r="E224" s="8"/>
      <c r="F224" s="6">
        <v>9936.2668582000006</v>
      </c>
      <c r="G224" s="7">
        <v>6.0968637999999999E-2</v>
      </c>
      <c r="H224" s="39"/>
    </row>
    <row r="225" spans="1:16" x14ac:dyDescent="0.2">
      <c r="A225" s="8"/>
      <c r="B225" s="4"/>
      <c r="C225" s="37" t="s">
        <v>1011</v>
      </c>
      <c r="D225" s="4"/>
      <c r="E225" s="8"/>
      <c r="F225" s="6">
        <v>-161.24345489000007</v>
      </c>
      <c r="G225" s="7">
        <v>-9.8938504661721721E-4</v>
      </c>
      <c r="H225" s="39"/>
    </row>
    <row r="226" spans="1:16" x14ac:dyDescent="0.2">
      <c r="A226" s="11"/>
      <c r="B226" s="11"/>
      <c r="C226" s="2" t="s">
        <v>138</v>
      </c>
      <c r="D226" s="15"/>
      <c r="E226" s="15"/>
      <c r="F226" s="9">
        <v>162973.41004021003</v>
      </c>
      <c r="G226" s="10">
        <v>0.99999999995338318</v>
      </c>
      <c r="H226" s="39"/>
    </row>
    <row r="227" spans="1:16" ht="14.1" customHeight="1" x14ac:dyDescent="0.2">
      <c r="A227" s="16"/>
      <c r="B227" s="16"/>
      <c r="C227" s="16"/>
      <c r="D227" s="17"/>
      <c r="E227" s="17"/>
      <c r="F227" s="17"/>
      <c r="G227" s="17"/>
    </row>
    <row r="228" spans="1:16" ht="17.100000000000001" customHeight="1" x14ac:dyDescent="0.2">
      <c r="A228" s="18"/>
      <c r="B228" s="197" t="s">
        <v>682</v>
      </c>
      <c r="C228" s="197"/>
      <c r="D228" s="197"/>
      <c r="E228" s="197"/>
      <c r="F228" s="197"/>
      <c r="G228" s="20"/>
    </row>
    <row r="229" spans="1:16" ht="17.100000000000001" customHeight="1" x14ac:dyDescent="0.2">
      <c r="A229" s="18"/>
      <c r="B229" s="197" t="s">
        <v>139</v>
      </c>
      <c r="C229" s="197"/>
      <c r="D229" s="197"/>
      <c r="E229" s="197"/>
      <c r="F229" s="197"/>
      <c r="G229" s="20"/>
    </row>
    <row r="230" spans="1:16" s="41" customFormat="1" ht="17.100000000000001" customHeight="1" x14ac:dyDescent="0.2">
      <c r="A230" s="42"/>
      <c r="B230" s="209" t="s">
        <v>1012</v>
      </c>
      <c r="C230" s="209"/>
      <c r="D230" s="209"/>
      <c r="E230" s="209"/>
      <c r="F230" s="209"/>
      <c r="G230" s="43"/>
      <c r="H230"/>
      <c r="I230" s="44"/>
      <c r="P230"/>
    </row>
    <row r="231" spans="1:16" ht="14.1" customHeight="1" x14ac:dyDescent="0.2">
      <c r="A231" s="18"/>
      <c r="B231" s="18"/>
      <c r="C231" s="18"/>
      <c r="D231" s="20"/>
      <c r="E231" s="20"/>
      <c r="F231" s="20"/>
      <c r="G231" s="20"/>
    </row>
    <row r="232" spans="1:16" ht="14.1" customHeight="1" x14ac:dyDescent="0.2">
      <c r="A232" s="18"/>
      <c r="B232" s="194" t="s">
        <v>140</v>
      </c>
      <c r="C232" s="195"/>
      <c r="D232" s="12" t="s">
        <v>112</v>
      </c>
      <c r="E232" s="21"/>
      <c r="F232" s="20"/>
      <c r="G232" s="20"/>
    </row>
    <row r="233" spans="1:16" ht="29.1" customHeight="1" x14ac:dyDescent="0.2">
      <c r="A233" s="18"/>
      <c r="B233" s="189" t="s">
        <v>141</v>
      </c>
      <c r="C233" s="190"/>
      <c r="D233" s="2" t="s">
        <v>142</v>
      </c>
      <c r="E233" s="21"/>
      <c r="F233" s="20"/>
      <c r="G233" s="20"/>
    </row>
    <row r="234" spans="1:16" ht="17.100000000000001" customHeight="1" x14ac:dyDescent="0.2">
      <c r="A234" s="18"/>
      <c r="B234" s="189" t="s">
        <v>143</v>
      </c>
      <c r="C234" s="190"/>
      <c r="D234" s="2" t="s">
        <v>142</v>
      </c>
      <c r="E234" s="21"/>
      <c r="F234" s="20"/>
      <c r="G234" s="20"/>
    </row>
    <row r="235" spans="1:16" ht="17.100000000000001" customHeight="1" x14ac:dyDescent="0.2">
      <c r="A235" s="18"/>
      <c r="B235" s="189" t="s">
        <v>144</v>
      </c>
      <c r="C235" s="190"/>
      <c r="D235" s="12" t="s">
        <v>112</v>
      </c>
      <c r="E235" s="21"/>
      <c r="F235" s="20"/>
      <c r="G235" s="20"/>
    </row>
    <row r="236" spans="1:16" ht="24" customHeight="1" x14ac:dyDescent="0.2">
      <c r="A236" s="22"/>
      <c r="B236" s="23" t="s">
        <v>112</v>
      </c>
      <c r="C236" s="23" t="s">
        <v>145</v>
      </c>
      <c r="D236" s="23" t="s">
        <v>146</v>
      </c>
      <c r="E236" s="22"/>
      <c r="F236" s="22"/>
      <c r="G236" s="22"/>
    </row>
    <row r="237" spans="1:16" ht="18" customHeight="1" x14ac:dyDescent="0.2">
      <c r="A237" s="22"/>
      <c r="B237" s="23" t="s">
        <v>147</v>
      </c>
      <c r="C237" s="23" t="s">
        <v>148</v>
      </c>
      <c r="D237" s="23" t="s">
        <v>149</v>
      </c>
      <c r="E237" s="22"/>
      <c r="F237" s="22"/>
      <c r="G237" s="22"/>
    </row>
    <row r="238" spans="1:16" ht="17.100000000000001" customHeight="1" x14ac:dyDescent="0.2">
      <c r="A238" s="22"/>
      <c r="B238" s="4" t="s">
        <v>150</v>
      </c>
      <c r="C238" s="24">
        <v>27.556000000000001</v>
      </c>
      <c r="D238" s="24">
        <v>28.2455</v>
      </c>
      <c r="E238" s="22"/>
      <c r="F238" s="19"/>
      <c r="G238" s="25"/>
    </row>
    <row r="239" spans="1:16" ht="29.1" customHeight="1" x14ac:dyDescent="0.2">
      <c r="A239" s="22"/>
      <c r="B239" s="4" t="s">
        <v>1097</v>
      </c>
      <c r="C239" s="24">
        <v>16.489999999999998</v>
      </c>
      <c r="D239" s="24">
        <v>16.608799999999999</v>
      </c>
      <c r="E239" s="22"/>
      <c r="F239" s="19"/>
      <c r="G239" s="25"/>
    </row>
    <row r="240" spans="1:16" ht="17.100000000000001" customHeight="1" x14ac:dyDescent="0.2">
      <c r="A240" s="22"/>
      <c r="B240" s="4" t="s">
        <v>151</v>
      </c>
      <c r="C240" s="24">
        <v>24.7013</v>
      </c>
      <c r="D240" s="24">
        <v>25.2834</v>
      </c>
      <c r="E240" s="22"/>
      <c r="F240" s="19"/>
      <c r="G240" s="25"/>
    </row>
    <row r="241" spans="1:17" ht="29.1" customHeight="1" x14ac:dyDescent="0.2">
      <c r="A241" s="22"/>
      <c r="B241" s="4" t="s">
        <v>1099</v>
      </c>
      <c r="C241" s="24">
        <v>14.1839</v>
      </c>
      <c r="D241" s="24">
        <v>14.265000000000001</v>
      </c>
      <c r="E241" s="22"/>
      <c r="F241" s="19"/>
      <c r="G241" s="25"/>
    </row>
    <row r="242" spans="1:17" ht="14.1" customHeight="1" x14ac:dyDescent="0.2">
      <c r="A242" s="22"/>
      <c r="B242" s="22"/>
      <c r="C242" s="22"/>
      <c r="D242" s="22"/>
      <c r="E242" s="22"/>
      <c r="F242" s="22"/>
      <c r="G242" s="22"/>
    </row>
    <row r="243" spans="1:17" s="101" customFormat="1" x14ac:dyDescent="0.2">
      <c r="B243" s="193" t="s">
        <v>1102</v>
      </c>
      <c r="C243" s="193"/>
      <c r="D243" s="193"/>
      <c r="E243" s="193"/>
      <c r="F243" s="193"/>
      <c r="I243"/>
      <c r="J243" s="41"/>
      <c r="K243" s="41"/>
      <c r="L243" s="41"/>
      <c r="M243" s="41"/>
      <c r="N243" s="41"/>
      <c r="O243" s="41"/>
      <c r="P243" s="41"/>
      <c r="Q243" s="41"/>
    </row>
    <row r="244" spans="1:17" ht="14.1" customHeight="1" x14ac:dyDescent="0.2">
      <c r="A244" s="22"/>
      <c r="B244" s="22"/>
      <c r="C244" s="22"/>
      <c r="D244" s="22"/>
      <c r="E244" s="22"/>
      <c r="F244" s="22"/>
      <c r="G244" s="22"/>
    </row>
    <row r="245" spans="1:17" ht="17.100000000000001" customHeight="1" x14ac:dyDescent="0.2">
      <c r="A245" s="22"/>
      <c r="B245" s="189" t="s">
        <v>1094</v>
      </c>
      <c r="C245" s="190"/>
      <c r="D245" s="2" t="s">
        <v>112</v>
      </c>
      <c r="E245" s="22"/>
      <c r="F245" s="22"/>
      <c r="G245" s="22"/>
    </row>
    <row r="246" spans="1:17" ht="18" customHeight="1" x14ac:dyDescent="0.2">
      <c r="A246" s="22"/>
      <c r="B246" s="55" t="s">
        <v>147</v>
      </c>
      <c r="C246" s="56" t="s">
        <v>1039</v>
      </c>
      <c r="D246" s="56" t="s">
        <v>1040</v>
      </c>
      <c r="E246" s="22"/>
      <c r="F246" s="22"/>
      <c r="G246" s="22"/>
    </row>
    <row r="247" spans="1:17" ht="29.1" customHeight="1" x14ac:dyDescent="0.2">
      <c r="A247" s="22"/>
      <c r="B247" s="4" t="s">
        <v>1097</v>
      </c>
      <c r="C247" s="57">
        <v>0.28999999999999998</v>
      </c>
      <c r="D247" s="58" t="s">
        <v>1041</v>
      </c>
      <c r="E247" s="22"/>
      <c r="F247" s="19"/>
      <c r="G247" s="25"/>
    </row>
    <row r="248" spans="1:17" ht="29.1" customHeight="1" x14ac:dyDescent="0.2">
      <c r="A248" s="22"/>
      <c r="B248" s="4" t="s">
        <v>1099</v>
      </c>
      <c r="C248" s="57">
        <v>0.25</v>
      </c>
      <c r="D248" s="57">
        <v>0.25</v>
      </c>
      <c r="E248" s="22"/>
      <c r="F248" s="19"/>
      <c r="G248" s="25"/>
    </row>
    <row r="249" spans="1:17" ht="14.1" customHeight="1" x14ac:dyDescent="0.2">
      <c r="A249" s="22"/>
      <c r="B249" s="19"/>
      <c r="C249" s="19"/>
      <c r="D249" s="22"/>
      <c r="E249" s="22"/>
      <c r="F249" s="22"/>
      <c r="G249" s="22"/>
    </row>
    <row r="250" spans="1:17" ht="29.1" customHeight="1" x14ac:dyDescent="0.2">
      <c r="A250" s="59"/>
      <c r="B250" s="191" t="s">
        <v>152</v>
      </c>
      <c r="C250" s="192"/>
      <c r="D250" s="51" t="s">
        <v>1042</v>
      </c>
      <c r="E250" s="59"/>
      <c r="F250" s="59"/>
      <c r="G250" s="59"/>
      <c r="I250" s="41"/>
    </row>
    <row r="251" spans="1:17" ht="29.1" customHeight="1" x14ac:dyDescent="0.2">
      <c r="A251" s="59"/>
      <c r="B251" s="191" t="s">
        <v>153</v>
      </c>
      <c r="C251" s="192"/>
      <c r="D251" s="51" t="s">
        <v>142</v>
      </c>
      <c r="E251" s="59"/>
      <c r="F251" s="59"/>
      <c r="G251" s="59"/>
      <c r="I251" s="41"/>
    </row>
    <row r="252" spans="1:17" ht="17.100000000000001" customHeight="1" x14ac:dyDescent="0.2">
      <c r="A252" s="59"/>
      <c r="B252" s="207" t="s">
        <v>1044</v>
      </c>
      <c r="C252" s="208"/>
      <c r="D252" s="60">
        <v>0.72747982108297937</v>
      </c>
      <c r="E252" s="61"/>
      <c r="F252" s="59"/>
      <c r="G252" s="59"/>
      <c r="I252" s="41"/>
    </row>
    <row r="253" spans="1:17" ht="17.100000000000001" customHeight="1" x14ac:dyDescent="0.2">
      <c r="A253" s="59"/>
      <c r="B253" s="207" t="s">
        <v>1045</v>
      </c>
      <c r="C253" s="208"/>
      <c r="D253" s="60">
        <v>0.69715642467355066</v>
      </c>
      <c r="E253" s="61"/>
      <c r="F253" s="59"/>
      <c r="G253" s="59"/>
      <c r="I253" s="41"/>
    </row>
    <row r="254" spans="1:17" ht="17.100000000000001" customHeight="1" x14ac:dyDescent="0.2">
      <c r="A254" s="59"/>
      <c r="B254" s="191" t="s">
        <v>1046</v>
      </c>
      <c r="C254" s="192"/>
      <c r="D254" s="28">
        <v>3.9046384869055433</v>
      </c>
      <c r="E254" s="59"/>
      <c r="F254" s="50"/>
      <c r="G254" s="62"/>
      <c r="I254" s="41"/>
    </row>
    <row r="255" spans="1:17" ht="17.100000000000001" customHeight="1" x14ac:dyDescent="0.2">
      <c r="A255" s="59"/>
      <c r="B255" s="191" t="s">
        <v>1047</v>
      </c>
      <c r="C255" s="192"/>
      <c r="D255" s="51" t="s">
        <v>142</v>
      </c>
      <c r="E255" s="59"/>
      <c r="F255" s="59"/>
      <c r="G255" s="59"/>
      <c r="I255" s="41"/>
    </row>
  </sheetData>
  <mergeCells count="19">
    <mergeCell ref="B255:C255"/>
    <mergeCell ref="B252:C252"/>
    <mergeCell ref="B253:C253"/>
    <mergeCell ref="B233:C233"/>
    <mergeCell ref="B234:C234"/>
    <mergeCell ref="B235:C235"/>
    <mergeCell ref="B245:C245"/>
    <mergeCell ref="B250:C250"/>
    <mergeCell ref="B251:C251"/>
    <mergeCell ref="B243:F243"/>
    <mergeCell ref="A1:H1"/>
    <mergeCell ref="A2:H2"/>
    <mergeCell ref="A3:H3"/>
    <mergeCell ref="J2:N2"/>
    <mergeCell ref="B254:C254"/>
    <mergeCell ref="B232:C232"/>
    <mergeCell ref="B228:F228"/>
    <mergeCell ref="B229:F229"/>
    <mergeCell ref="B230:F23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Q14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1106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125901</v>
      </c>
      <c r="F7" s="6">
        <v>2400.7432184999998</v>
      </c>
      <c r="G7" s="7">
        <v>9.2904803999999994E-2</v>
      </c>
      <c r="H7" s="39"/>
    </row>
    <row r="8" spans="1:14" x14ac:dyDescent="0.2">
      <c r="A8" s="3">
        <v>2</v>
      </c>
      <c r="B8" s="4" t="s">
        <v>392</v>
      </c>
      <c r="C8" s="4" t="s">
        <v>393</v>
      </c>
      <c r="D8" s="4" t="s">
        <v>1143</v>
      </c>
      <c r="E8" s="5">
        <v>45344</v>
      </c>
      <c r="F8" s="6">
        <v>1695.842928</v>
      </c>
      <c r="G8" s="7">
        <v>6.5626324999999999E-2</v>
      </c>
      <c r="H8" s="39"/>
    </row>
    <row r="9" spans="1:14" x14ac:dyDescent="0.2">
      <c r="A9" s="3">
        <v>3</v>
      </c>
      <c r="B9" s="4" t="s">
        <v>13</v>
      </c>
      <c r="C9" s="4" t="s">
        <v>14</v>
      </c>
      <c r="D9" s="4" t="s">
        <v>15</v>
      </c>
      <c r="E9" s="5">
        <v>61536</v>
      </c>
      <c r="F9" s="6">
        <v>1621.3197600000001</v>
      </c>
      <c r="G9" s="7">
        <v>6.2742401000000003E-2</v>
      </c>
      <c r="H9" s="39"/>
    </row>
    <row r="10" spans="1:14" x14ac:dyDescent="0.2">
      <c r="A10" s="3">
        <v>4</v>
      </c>
      <c r="B10" s="4" t="s">
        <v>16</v>
      </c>
      <c r="C10" s="4" t="s">
        <v>17</v>
      </c>
      <c r="D10" s="4" t="s">
        <v>18</v>
      </c>
      <c r="E10" s="5">
        <v>179100</v>
      </c>
      <c r="F10" s="6">
        <v>1307.9673</v>
      </c>
      <c r="G10" s="7">
        <v>5.0616177999999998E-2</v>
      </c>
      <c r="H10" s="39"/>
    </row>
    <row r="11" spans="1:14" x14ac:dyDescent="0.2">
      <c r="A11" s="3">
        <v>5</v>
      </c>
      <c r="B11" s="4" t="s">
        <v>402</v>
      </c>
      <c r="C11" s="4" t="s">
        <v>403</v>
      </c>
      <c r="D11" s="4" t="s">
        <v>1148</v>
      </c>
      <c r="E11" s="5">
        <v>58279</v>
      </c>
      <c r="F11" s="6">
        <v>1193.9327335</v>
      </c>
      <c r="G11" s="7">
        <v>4.6203227999999999E-2</v>
      </c>
      <c r="H11" s="39"/>
    </row>
    <row r="12" spans="1:14" x14ac:dyDescent="0.2">
      <c r="A12" s="3">
        <v>6</v>
      </c>
      <c r="B12" s="4" t="s">
        <v>413</v>
      </c>
      <c r="C12" s="4" t="s">
        <v>414</v>
      </c>
      <c r="D12" s="4" t="s">
        <v>91</v>
      </c>
      <c r="E12" s="5">
        <v>90000</v>
      </c>
      <c r="F12" s="6">
        <v>1176.48</v>
      </c>
      <c r="G12" s="7">
        <v>4.5527836000000002E-2</v>
      </c>
      <c r="H12" s="39"/>
    </row>
    <row r="13" spans="1:14" x14ac:dyDescent="0.2">
      <c r="A13" s="3">
        <v>7</v>
      </c>
      <c r="B13" s="4" t="s">
        <v>36</v>
      </c>
      <c r="C13" s="4" t="s">
        <v>37</v>
      </c>
      <c r="D13" s="4" t="s">
        <v>26</v>
      </c>
      <c r="E13" s="5">
        <v>856692</v>
      </c>
      <c r="F13" s="6">
        <v>1156.5342000000001</v>
      </c>
      <c r="G13" s="7">
        <v>4.4755966000000001E-2</v>
      </c>
      <c r="H13" s="39"/>
    </row>
    <row r="14" spans="1:14" ht="15" x14ac:dyDescent="0.2">
      <c r="A14" s="3">
        <v>8</v>
      </c>
      <c r="B14" s="4" t="s">
        <v>388</v>
      </c>
      <c r="C14" s="4" t="s">
        <v>389</v>
      </c>
      <c r="D14" s="4" t="s">
        <v>18</v>
      </c>
      <c r="E14" s="5">
        <v>77164</v>
      </c>
      <c r="F14" s="6">
        <v>1134.580874</v>
      </c>
      <c r="G14" s="7">
        <v>4.3906409E-2</v>
      </c>
      <c r="H14" s="39"/>
      <c r="J14" s="178" t="s">
        <v>1188</v>
      </c>
    </row>
    <row r="15" spans="1:14" x14ac:dyDescent="0.2">
      <c r="A15" s="3">
        <v>9</v>
      </c>
      <c r="B15" s="4" t="s">
        <v>408</v>
      </c>
      <c r="C15" s="4" t="s">
        <v>409</v>
      </c>
      <c r="D15" s="4" t="s">
        <v>1148</v>
      </c>
      <c r="E15" s="5">
        <v>405400</v>
      </c>
      <c r="F15" s="6">
        <v>1016.1351</v>
      </c>
      <c r="G15" s="7">
        <v>3.9322753000000002E-2</v>
      </c>
      <c r="H15" s="39"/>
    </row>
    <row r="16" spans="1:14" x14ac:dyDescent="0.2">
      <c r="A16" s="3">
        <v>10</v>
      </c>
      <c r="B16" s="4" t="s">
        <v>98</v>
      </c>
      <c r="C16" s="4" t="s">
        <v>99</v>
      </c>
      <c r="D16" s="4" t="s">
        <v>53</v>
      </c>
      <c r="E16" s="5">
        <v>179928</v>
      </c>
      <c r="F16" s="6">
        <v>905.48766000000001</v>
      </c>
      <c r="G16" s="7">
        <v>3.5040878999999997E-2</v>
      </c>
      <c r="H16" s="39"/>
    </row>
    <row r="17" spans="1:10" x14ac:dyDescent="0.2">
      <c r="A17" s="3">
        <v>11</v>
      </c>
      <c r="B17" s="4" t="s">
        <v>49</v>
      </c>
      <c r="C17" s="4" t="s">
        <v>50</v>
      </c>
      <c r="D17" s="4" t="s">
        <v>18</v>
      </c>
      <c r="E17" s="5">
        <v>175968</v>
      </c>
      <c r="F17" s="6">
        <v>868.49006399999996</v>
      </c>
      <c r="G17" s="7">
        <v>3.3609132999999999E-2</v>
      </c>
      <c r="H17" s="39"/>
    </row>
    <row r="18" spans="1:10" x14ac:dyDescent="0.2">
      <c r="A18" s="3">
        <v>12</v>
      </c>
      <c r="B18" s="4" t="s">
        <v>46</v>
      </c>
      <c r="C18" s="4" t="s">
        <v>47</v>
      </c>
      <c r="D18" s="4" t="s">
        <v>48</v>
      </c>
      <c r="E18" s="5">
        <v>480000</v>
      </c>
      <c r="F18" s="6">
        <v>786.72</v>
      </c>
      <c r="G18" s="7">
        <v>3.0444767000000001E-2</v>
      </c>
      <c r="H18" s="39"/>
    </row>
    <row r="19" spans="1:10" x14ac:dyDescent="0.2">
      <c r="A19" s="3">
        <v>13</v>
      </c>
      <c r="B19" s="4" t="s">
        <v>400</v>
      </c>
      <c r="C19" s="4" t="s">
        <v>401</v>
      </c>
      <c r="D19" s="4" t="s">
        <v>1143</v>
      </c>
      <c r="E19" s="5">
        <v>66519</v>
      </c>
      <c r="F19" s="6">
        <v>774.11486249999996</v>
      </c>
      <c r="G19" s="7">
        <v>2.9956969E-2</v>
      </c>
      <c r="H19" s="39"/>
    </row>
    <row r="20" spans="1:10" ht="25.5" x14ac:dyDescent="0.2">
      <c r="A20" s="3">
        <v>14</v>
      </c>
      <c r="B20" s="4" t="s">
        <v>22</v>
      </c>
      <c r="C20" s="4" t="s">
        <v>23</v>
      </c>
      <c r="D20" s="4" t="s">
        <v>1150</v>
      </c>
      <c r="E20" s="5">
        <v>11611</v>
      </c>
      <c r="F20" s="6">
        <v>766.59305300000005</v>
      </c>
      <c r="G20" s="7">
        <v>2.9665886999999998E-2</v>
      </c>
      <c r="H20" s="39"/>
    </row>
    <row r="21" spans="1:10" ht="25.5" x14ac:dyDescent="0.2">
      <c r="A21" s="3">
        <v>15</v>
      </c>
      <c r="B21" s="4" t="s">
        <v>294</v>
      </c>
      <c r="C21" s="4" t="s">
        <v>295</v>
      </c>
      <c r="D21" s="4" t="s">
        <v>1153</v>
      </c>
      <c r="E21" s="5">
        <v>27119</v>
      </c>
      <c r="F21" s="6">
        <v>726.61292649999996</v>
      </c>
      <c r="G21" s="7">
        <v>2.8118721999999999E-2</v>
      </c>
      <c r="H21" s="39"/>
    </row>
    <row r="22" spans="1:10" ht="25.5" x14ac:dyDescent="0.2">
      <c r="A22" s="3">
        <v>16</v>
      </c>
      <c r="B22" s="4" t="s">
        <v>237</v>
      </c>
      <c r="C22" s="4" t="s">
        <v>238</v>
      </c>
      <c r="D22" s="4" t="s">
        <v>1153</v>
      </c>
      <c r="E22" s="5">
        <v>17426</v>
      </c>
      <c r="F22" s="6">
        <v>711.36417200000005</v>
      </c>
      <c r="G22" s="7">
        <v>2.752862E-2</v>
      </c>
      <c r="H22" s="39"/>
    </row>
    <row r="23" spans="1:10" x14ac:dyDescent="0.2">
      <c r="A23" s="3">
        <v>17</v>
      </c>
      <c r="B23" s="4" t="s">
        <v>19</v>
      </c>
      <c r="C23" s="4" t="s">
        <v>20</v>
      </c>
      <c r="D23" s="4" t="s">
        <v>21</v>
      </c>
      <c r="E23" s="5">
        <v>89738</v>
      </c>
      <c r="F23" s="6">
        <v>677.47703100000001</v>
      </c>
      <c r="G23" s="7">
        <v>2.6217244000000001E-2</v>
      </c>
      <c r="H23" s="39"/>
    </row>
    <row r="24" spans="1:10" x14ac:dyDescent="0.2">
      <c r="A24" s="3">
        <v>18</v>
      </c>
      <c r="B24" s="4" t="s">
        <v>422</v>
      </c>
      <c r="C24" s="4" t="s">
        <v>423</v>
      </c>
      <c r="D24" s="4" t="s">
        <v>18</v>
      </c>
      <c r="E24" s="5">
        <v>235822</v>
      </c>
      <c r="F24" s="6">
        <v>537.08460500000001</v>
      </c>
      <c r="G24" s="7">
        <v>2.0784289000000001E-2</v>
      </c>
      <c r="H24" s="39"/>
    </row>
    <row r="25" spans="1:10" ht="15" x14ac:dyDescent="0.2">
      <c r="A25" s="3">
        <v>19</v>
      </c>
      <c r="B25" s="4" t="s">
        <v>580</v>
      </c>
      <c r="C25" s="4" t="s">
        <v>581</v>
      </c>
      <c r="D25" s="4" t="s">
        <v>1146</v>
      </c>
      <c r="E25" s="5">
        <v>14104</v>
      </c>
      <c r="F25" s="6">
        <v>515.21911999999998</v>
      </c>
      <c r="G25" s="7">
        <v>1.9938129999999998E-2</v>
      </c>
      <c r="H25" s="39"/>
      <c r="J25" s="176" t="s">
        <v>1189</v>
      </c>
    </row>
    <row r="26" spans="1:10" x14ac:dyDescent="0.2">
      <c r="A26" s="3">
        <v>20</v>
      </c>
      <c r="B26" s="4" t="s">
        <v>359</v>
      </c>
      <c r="C26" s="4" t="s">
        <v>360</v>
      </c>
      <c r="D26" s="4" t="s">
        <v>82</v>
      </c>
      <c r="E26" s="5">
        <v>3000</v>
      </c>
      <c r="F26" s="6">
        <v>511.81349999999998</v>
      </c>
      <c r="G26" s="7">
        <v>1.9806338E-2</v>
      </c>
      <c r="H26" s="39"/>
    </row>
    <row r="27" spans="1:10" x14ac:dyDescent="0.2">
      <c r="A27" s="3">
        <v>21</v>
      </c>
      <c r="B27" s="4" t="s">
        <v>761</v>
      </c>
      <c r="C27" s="4" t="s">
        <v>762</v>
      </c>
      <c r="D27" s="4" t="s">
        <v>71</v>
      </c>
      <c r="E27" s="5">
        <v>13500</v>
      </c>
      <c r="F27" s="6">
        <v>469.09800000000001</v>
      </c>
      <c r="G27" s="7">
        <v>1.8153319000000001E-2</v>
      </c>
      <c r="H27" s="39"/>
    </row>
    <row r="28" spans="1:10" x14ac:dyDescent="0.2">
      <c r="A28" s="3">
        <v>22</v>
      </c>
      <c r="B28" s="4" t="s">
        <v>254</v>
      </c>
      <c r="C28" s="4" t="s">
        <v>255</v>
      </c>
      <c r="D28" s="4" t="s">
        <v>15</v>
      </c>
      <c r="E28" s="5">
        <v>164814</v>
      </c>
      <c r="F28" s="6">
        <v>443.92650900000001</v>
      </c>
      <c r="G28" s="7">
        <v>1.7179224E-2</v>
      </c>
      <c r="H28" s="39"/>
    </row>
    <row r="29" spans="1:10" ht="25.5" x14ac:dyDescent="0.2">
      <c r="A29" s="3">
        <v>23</v>
      </c>
      <c r="B29" s="4" t="s">
        <v>83</v>
      </c>
      <c r="C29" s="4" t="s">
        <v>84</v>
      </c>
      <c r="D29" s="4" t="s">
        <v>1137</v>
      </c>
      <c r="E29" s="5">
        <v>324000</v>
      </c>
      <c r="F29" s="6">
        <v>379.89</v>
      </c>
      <c r="G29" s="7">
        <v>1.4701117E-2</v>
      </c>
      <c r="H29" s="39"/>
    </row>
    <row r="30" spans="1:10" x14ac:dyDescent="0.2">
      <c r="A30" s="3">
        <v>24</v>
      </c>
      <c r="B30" s="4" t="s">
        <v>763</v>
      </c>
      <c r="C30" s="4" t="s">
        <v>764</v>
      </c>
      <c r="D30" s="4" t="s">
        <v>29</v>
      </c>
      <c r="E30" s="5">
        <v>21900</v>
      </c>
      <c r="F30" s="6">
        <v>355.37130000000002</v>
      </c>
      <c r="G30" s="7">
        <v>1.3752283000000001E-2</v>
      </c>
      <c r="H30" s="39"/>
    </row>
    <row r="31" spans="1:10" x14ac:dyDescent="0.2">
      <c r="A31" s="3">
        <v>25</v>
      </c>
      <c r="B31" s="4" t="s">
        <v>765</v>
      </c>
      <c r="C31" s="4" t="s">
        <v>766</v>
      </c>
      <c r="D31" s="4" t="s">
        <v>412</v>
      </c>
      <c r="E31" s="5">
        <v>111500</v>
      </c>
      <c r="F31" s="6">
        <v>345.81725</v>
      </c>
      <c r="G31" s="7">
        <v>1.3382557E-2</v>
      </c>
      <c r="H31" s="39"/>
    </row>
    <row r="32" spans="1:10" ht="25.5" x14ac:dyDescent="0.2">
      <c r="A32" s="3">
        <v>26</v>
      </c>
      <c r="B32" s="4" t="s">
        <v>767</v>
      </c>
      <c r="C32" s="4" t="s">
        <v>768</v>
      </c>
      <c r="D32" s="4" t="s">
        <v>1167</v>
      </c>
      <c r="E32" s="5">
        <v>10800</v>
      </c>
      <c r="F32" s="6">
        <v>331.04160000000002</v>
      </c>
      <c r="G32" s="7">
        <v>1.2810764000000001E-2</v>
      </c>
      <c r="H32" s="39"/>
    </row>
    <row r="33" spans="1:8" x14ac:dyDescent="0.2">
      <c r="A33" s="3">
        <v>27</v>
      </c>
      <c r="B33" s="4" t="s">
        <v>194</v>
      </c>
      <c r="C33" s="4" t="s">
        <v>195</v>
      </c>
      <c r="D33" s="4" t="s">
        <v>1027</v>
      </c>
      <c r="E33" s="5">
        <v>22781</v>
      </c>
      <c r="F33" s="6">
        <v>322.4536645</v>
      </c>
      <c r="G33" s="7">
        <v>1.2478425E-2</v>
      </c>
      <c r="H33" s="39"/>
    </row>
    <row r="34" spans="1:8" x14ac:dyDescent="0.2">
      <c r="A34" s="3">
        <v>28</v>
      </c>
      <c r="B34" s="4" t="s">
        <v>440</v>
      </c>
      <c r="C34" s="4" t="s">
        <v>441</v>
      </c>
      <c r="D34" s="4" t="s">
        <v>1146</v>
      </c>
      <c r="E34" s="5">
        <v>3990</v>
      </c>
      <c r="F34" s="6">
        <v>301.69587000000001</v>
      </c>
      <c r="G34" s="7">
        <v>1.1675133000000001E-2</v>
      </c>
      <c r="H34" s="39"/>
    </row>
    <row r="35" spans="1:8" x14ac:dyDescent="0.2">
      <c r="A35" s="3">
        <v>29</v>
      </c>
      <c r="B35" s="4" t="s">
        <v>11</v>
      </c>
      <c r="C35" s="4" t="s">
        <v>12</v>
      </c>
      <c r="D35" s="4" t="s">
        <v>60</v>
      </c>
      <c r="E35" s="5">
        <v>15750</v>
      </c>
      <c r="F35" s="6">
        <v>278.404875</v>
      </c>
      <c r="G35" s="7">
        <v>1.077381E-2</v>
      </c>
      <c r="H35" s="39"/>
    </row>
    <row r="36" spans="1:8" x14ac:dyDescent="0.2">
      <c r="A36" s="3">
        <v>30</v>
      </c>
      <c r="B36" s="4" t="s">
        <v>769</v>
      </c>
      <c r="C36" s="4" t="s">
        <v>770</v>
      </c>
      <c r="D36" s="4" t="s">
        <v>1156</v>
      </c>
      <c r="E36" s="5">
        <v>6278</v>
      </c>
      <c r="F36" s="6">
        <v>201.29779199999999</v>
      </c>
      <c r="G36" s="7">
        <v>7.789893E-3</v>
      </c>
      <c r="H36" s="39"/>
    </row>
    <row r="37" spans="1:8" x14ac:dyDescent="0.2">
      <c r="A37" s="3">
        <v>31</v>
      </c>
      <c r="B37" s="4" t="s">
        <v>331</v>
      </c>
      <c r="C37" s="4" t="s">
        <v>332</v>
      </c>
      <c r="D37" s="4" t="s">
        <v>1166</v>
      </c>
      <c r="E37" s="5">
        <v>92803</v>
      </c>
      <c r="F37" s="6">
        <v>195.62872400000001</v>
      </c>
      <c r="G37" s="7">
        <v>7.5705089999999996E-3</v>
      </c>
      <c r="H37" s="39"/>
    </row>
    <row r="38" spans="1:8" x14ac:dyDescent="0.2">
      <c r="A38" s="3">
        <v>32</v>
      </c>
      <c r="B38" s="4" t="s">
        <v>345</v>
      </c>
      <c r="C38" s="4" t="s">
        <v>346</v>
      </c>
      <c r="D38" s="4" t="s">
        <v>1027</v>
      </c>
      <c r="E38" s="5">
        <v>30973</v>
      </c>
      <c r="F38" s="6">
        <v>192.41976249999999</v>
      </c>
      <c r="G38" s="7">
        <v>7.4463280000000003E-3</v>
      </c>
      <c r="H38" s="39"/>
    </row>
    <row r="39" spans="1:8" x14ac:dyDescent="0.2">
      <c r="A39" s="3">
        <v>33</v>
      </c>
      <c r="B39" s="4" t="s">
        <v>206</v>
      </c>
      <c r="C39" s="4" t="s">
        <v>207</v>
      </c>
      <c r="D39" s="4" t="s">
        <v>1159</v>
      </c>
      <c r="E39" s="5">
        <v>20669</v>
      </c>
      <c r="F39" s="6">
        <v>191.75664750000001</v>
      </c>
      <c r="G39" s="7">
        <v>7.4206660000000002E-3</v>
      </c>
      <c r="H39" s="39"/>
    </row>
    <row r="40" spans="1:8" x14ac:dyDescent="0.2">
      <c r="A40" s="3">
        <v>34</v>
      </c>
      <c r="B40" s="4" t="s">
        <v>771</v>
      </c>
      <c r="C40" s="4" t="s">
        <v>772</v>
      </c>
      <c r="D40" s="4" t="s">
        <v>1154</v>
      </c>
      <c r="E40" s="5">
        <v>20207</v>
      </c>
      <c r="F40" s="6">
        <v>188.35955050000001</v>
      </c>
      <c r="G40" s="7">
        <v>7.2892039999999996E-3</v>
      </c>
      <c r="H40" s="39"/>
    </row>
    <row r="41" spans="1:8" ht="25.5" x14ac:dyDescent="0.2">
      <c r="A41" s="3">
        <v>35</v>
      </c>
      <c r="B41" s="4" t="s">
        <v>773</v>
      </c>
      <c r="C41" s="4" t="s">
        <v>774</v>
      </c>
      <c r="D41" s="4" t="s">
        <v>1145</v>
      </c>
      <c r="E41" s="5">
        <v>6378</v>
      </c>
      <c r="F41" s="6">
        <v>169.48259400000001</v>
      </c>
      <c r="G41" s="7">
        <v>6.5586969999999996E-3</v>
      </c>
      <c r="H41" s="39"/>
    </row>
    <row r="42" spans="1:8" ht="25.5" x14ac:dyDescent="0.2">
      <c r="A42" s="3">
        <v>36</v>
      </c>
      <c r="B42" s="4" t="s">
        <v>489</v>
      </c>
      <c r="C42" s="4" t="s">
        <v>490</v>
      </c>
      <c r="D42" s="4" t="s">
        <v>1138</v>
      </c>
      <c r="E42" s="5">
        <v>1693</v>
      </c>
      <c r="F42" s="6">
        <v>126.9656885</v>
      </c>
      <c r="G42" s="7">
        <v>4.9133629999999996E-3</v>
      </c>
      <c r="H42" s="39"/>
    </row>
    <row r="43" spans="1:8" x14ac:dyDescent="0.2">
      <c r="A43" s="3">
        <v>37</v>
      </c>
      <c r="B43" s="4" t="s">
        <v>775</v>
      </c>
      <c r="C43" s="4" t="s">
        <v>776</v>
      </c>
      <c r="D43" s="4" t="s">
        <v>21</v>
      </c>
      <c r="E43" s="5">
        <v>50000</v>
      </c>
      <c r="F43" s="6">
        <v>111.02500000000001</v>
      </c>
      <c r="G43" s="7">
        <v>4.2964839999999997E-3</v>
      </c>
      <c r="H43" s="39"/>
    </row>
    <row r="44" spans="1:8" ht="25.5" x14ac:dyDescent="0.2">
      <c r="A44" s="3">
        <v>38</v>
      </c>
      <c r="B44" s="4" t="s">
        <v>178</v>
      </c>
      <c r="C44" s="4" t="s">
        <v>179</v>
      </c>
      <c r="D44" s="4" t="s">
        <v>1153</v>
      </c>
      <c r="E44" s="5">
        <v>8118</v>
      </c>
      <c r="F44" s="6">
        <v>74.003687999999997</v>
      </c>
      <c r="G44" s="7">
        <v>2.8638209999999999E-3</v>
      </c>
      <c r="H44" s="39"/>
    </row>
    <row r="45" spans="1:8" x14ac:dyDescent="0.2">
      <c r="A45" s="1"/>
      <c r="B45" s="1"/>
      <c r="C45" s="2" t="s">
        <v>111</v>
      </c>
      <c r="D45" s="1"/>
      <c r="E45" s="1" t="s">
        <v>112</v>
      </c>
      <c r="F45" s="9">
        <v>25163.151623500009</v>
      </c>
      <c r="G45" s="10">
        <v>0.97377247499999997</v>
      </c>
      <c r="H45" s="39"/>
    </row>
    <row r="46" spans="1:8" x14ac:dyDescent="0.2">
      <c r="A46" s="1"/>
      <c r="B46" s="1"/>
      <c r="C46" s="11"/>
      <c r="D46" s="1"/>
      <c r="E46" s="1"/>
      <c r="F46" s="12"/>
      <c r="G46" s="12"/>
      <c r="H46" s="39"/>
    </row>
    <row r="47" spans="1:8" x14ac:dyDescent="0.2">
      <c r="A47" s="1"/>
      <c r="B47" s="1"/>
      <c r="C47" s="2" t="s">
        <v>113</v>
      </c>
      <c r="D47" s="1"/>
      <c r="E47" s="1"/>
      <c r="F47" s="1"/>
      <c r="G47" s="1"/>
      <c r="H47" s="39"/>
    </row>
    <row r="48" spans="1:8" x14ac:dyDescent="0.2">
      <c r="A48" s="1"/>
      <c r="B48" s="1"/>
      <c r="C48" s="2" t="s">
        <v>111</v>
      </c>
      <c r="D48" s="1"/>
      <c r="E48" s="1" t="s">
        <v>112</v>
      </c>
      <c r="F48" s="13">
        <v>0</v>
      </c>
      <c r="G48" s="14">
        <v>0</v>
      </c>
      <c r="H48" s="39"/>
    </row>
    <row r="49" spans="1:8" x14ac:dyDescent="0.2">
      <c r="A49" s="1"/>
      <c r="B49" s="1"/>
      <c r="C49" s="11"/>
      <c r="D49" s="1"/>
      <c r="E49" s="1"/>
      <c r="F49" s="12"/>
      <c r="G49" s="12"/>
      <c r="H49" s="39"/>
    </row>
    <row r="50" spans="1:8" x14ac:dyDescent="0.2">
      <c r="A50" s="1"/>
      <c r="B50" s="1"/>
      <c r="C50" s="2" t="s">
        <v>114</v>
      </c>
      <c r="D50" s="1"/>
      <c r="E50" s="1"/>
      <c r="F50" s="1"/>
      <c r="G50" s="1"/>
      <c r="H50" s="39"/>
    </row>
    <row r="51" spans="1:8" x14ac:dyDescent="0.2">
      <c r="A51" s="3">
        <v>1</v>
      </c>
      <c r="B51" s="37" t="s">
        <v>777</v>
      </c>
      <c r="C51" s="37" t="s">
        <v>1016</v>
      </c>
      <c r="D51" s="37"/>
      <c r="E51" s="38">
        <v>200000</v>
      </c>
      <c r="F51" s="6">
        <v>1.9999999999999999E-6</v>
      </c>
      <c r="G51" s="8" t="s">
        <v>110</v>
      </c>
      <c r="H51" s="39"/>
    </row>
    <row r="52" spans="1:8" x14ac:dyDescent="0.2">
      <c r="A52" s="3">
        <v>2</v>
      </c>
      <c r="B52" s="37" t="s">
        <v>778</v>
      </c>
      <c r="C52" s="37" t="s">
        <v>1017</v>
      </c>
      <c r="D52" s="37"/>
      <c r="E52" s="38">
        <v>50000</v>
      </c>
      <c r="F52" s="6">
        <v>4.9999999999999998E-7</v>
      </c>
      <c r="G52" s="8" t="s">
        <v>110</v>
      </c>
      <c r="H52" s="39"/>
    </row>
    <row r="53" spans="1:8" x14ac:dyDescent="0.2">
      <c r="A53" s="3">
        <v>3</v>
      </c>
      <c r="B53" s="37" t="s">
        <v>779</v>
      </c>
      <c r="C53" s="37" t="s">
        <v>1018</v>
      </c>
      <c r="D53" s="37"/>
      <c r="E53" s="38">
        <v>50000</v>
      </c>
      <c r="F53" s="6">
        <v>4.9999999999999998E-7</v>
      </c>
      <c r="G53" s="8" t="s">
        <v>110</v>
      </c>
      <c r="H53" s="39"/>
    </row>
    <row r="54" spans="1:8" x14ac:dyDescent="0.2">
      <c r="A54" s="3">
        <v>4</v>
      </c>
      <c r="B54" s="37" t="s">
        <v>780</v>
      </c>
      <c r="C54" s="37" t="s">
        <v>1019</v>
      </c>
      <c r="D54" s="37"/>
      <c r="E54" s="38">
        <v>20</v>
      </c>
      <c r="F54" s="6">
        <v>0</v>
      </c>
      <c r="G54" s="8" t="s">
        <v>110</v>
      </c>
      <c r="H54" s="39"/>
    </row>
    <row r="55" spans="1:8" x14ac:dyDescent="0.2">
      <c r="A55" s="1"/>
      <c r="B55" s="1"/>
      <c r="C55" s="2" t="s">
        <v>111</v>
      </c>
      <c r="D55" s="1"/>
      <c r="E55" s="1" t="s">
        <v>112</v>
      </c>
      <c r="F55" s="13">
        <v>0</v>
      </c>
      <c r="G55" s="14">
        <v>0</v>
      </c>
      <c r="H55" s="39"/>
    </row>
    <row r="56" spans="1:8" x14ac:dyDescent="0.2">
      <c r="A56" s="1"/>
      <c r="B56" s="1"/>
      <c r="C56" s="11"/>
      <c r="D56" s="1"/>
      <c r="E56" s="1"/>
      <c r="F56" s="12"/>
      <c r="G56" s="12"/>
      <c r="H56" s="39"/>
    </row>
    <row r="57" spans="1:8" x14ac:dyDescent="0.2">
      <c r="A57" s="1"/>
      <c r="B57" s="1"/>
      <c r="C57" s="2" t="s">
        <v>115</v>
      </c>
      <c r="D57" s="1"/>
      <c r="E57" s="1"/>
      <c r="F57" s="1"/>
      <c r="G57" s="1"/>
      <c r="H57" s="39"/>
    </row>
    <row r="58" spans="1:8" x14ac:dyDescent="0.2">
      <c r="A58" s="1"/>
      <c r="B58" s="1"/>
      <c r="C58" s="2" t="s">
        <v>111</v>
      </c>
      <c r="D58" s="1"/>
      <c r="E58" s="1" t="s">
        <v>112</v>
      </c>
      <c r="F58" s="13">
        <v>0</v>
      </c>
      <c r="G58" s="14">
        <v>0</v>
      </c>
      <c r="H58" s="39"/>
    </row>
    <row r="59" spans="1:8" x14ac:dyDescent="0.2">
      <c r="A59" s="1"/>
      <c r="B59" s="1"/>
      <c r="C59" s="11"/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116</v>
      </c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111</v>
      </c>
      <c r="D61" s="1"/>
      <c r="E61" s="1" t="s">
        <v>112</v>
      </c>
      <c r="F61" s="13">
        <v>0</v>
      </c>
      <c r="G61" s="14">
        <v>0</v>
      </c>
      <c r="H61" s="39"/>
    </row>
    <row r="62" spans="1:8" x14ac:dyDescent="0.2">
      <c r="A62" s="1"/>
      <c r="B62" s="1"/>
      <c r="C62" s="11"/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117</v>
      </c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39"/>
    </row>
    <row r="65" spans="1:15" x14ac:dyDescent="0.2">
      <c r="A65" s="1"/>
      <c r="B65" s="1"/>
      <c r="C65" s="11"/>
      <c r="D65" s="1"/>
      <c r="E65" s="1"/>
      <c r="F65" s="12"/>
      <c r="G65" s="12"/>
      <c r="H65" s="39"/>
    </row>
    <row r="66" spans="1:15" x14ac:dyDescent="0.2">
      <c r="A66" s="1"/>
      <c r="B66" s="1"/>
      <c r="C66" s="2" t="s">
        <v>118</v>
      </c>
      <c r="D66" s="1"/>
      <c r="E66" s="1"/>
      <c r="F66" s="9">
        <v>25163.151626499999</v>
      </c>
      <c r="G66" s="10">
        <v>0.97377247499999997</v>
      </c>
      <c r="H66" s="39"/>
    </row>
    <row r="67" spans="1:15" x14ac:dyDescent="0.2">
      <c r="A67" s="1"/>
      <c r="B67" s="1"/>
      <c r="C67" s="11"/>
      <c r="D67" s="1"/>
      <c r="E67" s="1"/>
      <c r="F67" s="12"/>
      <c r="G67" s="12"/>
      <c r="H67" s="39"/>
    </row>
    <row r="68" spans="1:15" x14ac:dyDescent="0.2">
      <c r="A68" s="1"/>
      <c r="B68" s="1"/>
      <c r="C68" s="2" t="s">
        <v>119</v>
      </c>
      <c r="D68" s="1"/>
      <c r="E68" s="1"/>
      <c r="F68" s="12"/>
      <c r="G68" s="12"/>
      <c r="H68" s="39"/>
    </row>
    <row r="69" spans="1:15" ht="25.5" x14ac:dyDescent="0.2">
      <c r="A69" s="1"/>
      <c r="B69" s="1"/>
      <c r="C69" s="2" t="s">
        <v>10</v>
      </c>
      <c r="D69" s="1"/>
      <c r="E69" s="1"/>
      <c r="F69" s="12"/>
      <c r="G69" s="12"/>
      <c r="H69" s="39"/>
      <c r="J69" s="41"/>
      <c r="K69" s="41"/>
      <c r="L69" s="41"/>
      <c r="M69" s="41"/>
      <c r="N69" s="41"/>
      <c r="O69" s="41"/>
    </row>
    <row r="70" spans="1:15" ht="25.5" x14ac:dyDescent="0.2">
      <c r="A70" s="3">
        <v>1</v>
      </c>
      <c r="B70" s="4" t="s">
        <v>781</v>
      </c>
      <c r="C70" s="4" t="s">
        <v>782</v>
      </c>
      <c r="D70" s="4" t="s">
        <v>591</v>
      </c>
      <c r="E70" s="5">
        <v>4200</v>
      </c>
      <c r="F70" s="6">
        <v>1.2140982</v>
      </c>
      <c r="G70" s="8" t="s">
        <v>110</v>
      </c>
      <c r="H70" s="39">
        <v>5.65</v>
      </c>
    </row>
    <row r="71" spans="1:15" x14ac:dyDescent="0.2">
      <c r="A71" s="1"/>
      <c r="B71" s="1"/>
      <c r="C71" s="2" t="s">
        <v>111</v>
      </c>
      <c r="D71" s="1"/>
      <c r="E71" s="1" t="s">
        <v>112</v>
      </c>
      <c r="F71" s="9">
        <v>1.2140982</v>
      </c>
      <c r="G71" s="10">
        <v>4.6984000000000003E-5</v>
      </c>
      <c r="H71" s="39"/>
    </row>
    <row r="72" spans="1:15" x14ac:dyDescent="0.2">
      <c r="A72" s="1"/>
      <c r="B72" s="1"/>
      <c r="C72" s="11"/>
      <c r="D72" s="1"/>
      <c r="E72" s="1"/>
      <c r="F72" s="12"/>
      <c r="G72" s="12"/>
      <c r="H72" s="39"/>
    </row>
    <row r="73" spans="1:15" x14ac:dyDescent="0.2">
      <c r="A73" s="1"/>
      <c r="B73" s="1"/>
      <c r="C73" s="2" t="s">
        <v>120</v>
      </c>
      <c r="D73" s="1"/>
      <c r="E73" s="1"/>
      <c r="F73" s="1"/>
      <c r="G73" s="1"/>
      <c r="H73" s="39"/>
    </row>
    <row r="74" spans="1:15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15" x14ac:dyDescent="0.2">
      <c r="A75" s="1"/>
      <c r="B75" s="1"/>
      <c r="C75" s="11"/>
      <c r="D75" s="1"/>
      <c r="E75" s="1"/>
      <c r="F75" s="12"/>
      <c r="G75" s="12"/>
      <c r="H75" s="39"/>
    </row>
    <row r="76" spans="1:15" x14ac:dyDescent="0.2">
      <c r="A76" s="1"/>
      <c r="B76" s="1"/>
      <c r="C76" s="2" t="s">
        <v>121</v>
      </c>
      <c r="D76" s="1"/>
      <c r="E76" s="1"/>
      <c r="F76" s="1"/>
      <c r="G76" s="1"/>
      <c r="H76" s="39"/>
    </row>
    <row r="77" spans="1:15" x14ac:dyDescent="0.2">
      <c r="A77" s="1"/>
      <c r="B77" s="1"/>
      <c r="C77" s="2" t="s">
        <v>111</v>
      </c>
      <c r="D77" s="1"/>
      <c r="E77" s="1" t="s">
        <v>112</v>
      </c>
      <c r="F77" s="13">
        <v>0</v>
      </c>
      <c r="G77" s="14">
        <v>0</v>
      </c>
      <c r="H77" s="39"/>
    </row>
    <row r="78" spans="1:15" x14ac:dyDescent="0.2">
      <c r="A78" s="1"/>
      <c r="B78" s="1"/>
      <c r="C78" s="11"/>
      <c r="D78" s="1"/>
      <c r="E78" s="1"/>
      <c r="F78" s="12"/>
      <c r="G78" s="12"/>
      <c r="H78" s="39"/>
    </row>
    <row r="79" spans="1:15" x14ac:dyDescent="0.2">
      <c r="A79" s="1"/>
      <c r="B79" s="1"/>
      <c r="C79" s="2" t="s">
        <v>122</v>
      </c>
      <c r="D79" s="1"/>
      <c r="E79" s="1"/>
      <c r="F79" s="12"/>
      <c r="G79" s="12"/>
      <c r="H79" s="39"/>
    </row>
    <row r="80" spans="1:15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123</v>
      </c>
      <c r="D82" s="1"/>
      <c r="E82" s="1"/>
      <c r="F82" s="9">
        <v>1.2140982</v>
      </c>
      <c r="G82" s="10">
        <v>4.6984000000000003E-5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124</v>
      </c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125</v>
      </c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111</v>
      </c>
      <c r="D86" s="1"/>
      <c r="E86" s="1" t="s">
        <v>112</v>
      </c>
      <c r="F86" s="13">
        <v>0</v>
      </c>
      <c r="G86" s="14">
        <v>0</v>
      </c>
      <c r="H86" s="39"/>
    </row>
    <row r="87" spans="1:8" x14ac:dyDescent="0.2">
      <c r="A87" s="1"/>
      <c r="B87" s="1"/>
      <c r="C87" s="11"/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126</v>
      </c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127</v>
      </c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111</v>
      </c>
      <c r="D92" s="1"/>
      <c r="E92" s="1" t="s">
        <v>112</v>
      </c>
      <c r="F92" s="13">
        <v>0</v>
      </c>
      <c r="G92" s="14">
        <v>0</v>
      </c>
      <c r="H92" s="39"/>
    </row>
    <row r="93" spans="1:8" x14ac:dyDescent="0.2">
      <c r="A93" s="1"/>
      <c r="B93" s="1"/>
      <c r="C93" s="11"/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128</v>
      </c>
      <c r="D94" s="1"/>
      <c r="E94" s="1"/>
      <c r="F94" s="12"/>
      <c r="G94" s="12"/>
      <c r="H94" s="39"/>
    </row>
    <row r="95" spans="1:8" x14ac:dyDescent="0.2">
      <c r="A95" s="3">
        <v>1</v>
      </c>
      <c r="B95" s="4"/>
      <c r="C95" s="4" t="s">
        <v>129</v>
      </c>
      <c r="D95" s="4"/>
      <c r="E95" s="8"/>
      <c r="F95" s="6">
        <v>557.73343920000002</v>
      </c>
      <c r="G95" s="7">
        <v>2.1583364000000001E-2</v>
      </c>
      <c r="H95" s="39">
        <v>3.6151121728634927</v>
      </c>
    </row>
    <row r="96" spans="1:8" x14ac:dyDescent="0.2">
      <c r="A96" s="3">
        <v>2</v>
      </c>
      <c r="B96" s="4"/>
      <c r="C96" s="4" t="s">
        <v>130</v>
      </c>
      <c r="D96" s="4"/>
      <c r="E96" s="8"/>
      <c r="F96" s="6">
        <v>197.20175259999999</v>
      </c>
      <c r="G96" s="7">
        <v>7.6313830000000003E-3</v>
      </c>
      <c r="H96" s="39">
        <v>3.7142625760646584</v>
      </c>
    </row>
    <row r="97" spans="1:8" x14ac:dyDescent="0.2">
      <c r="A97" s="1"/>
      <c r="B97" s="1"/>
      <c r="C97" s="2" t="s">
        <v>111</v>
      </c>
      <c r="D97" s="1"/>
      <c r="E97" s="1" t="s">
        <v>112</v>
      </c>
      <c r="F97" s="9">
        <v>754.93519179999998</v>
      </c>
      <c r="G97" s="10">
        <v>2.9214746999999999E-2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131</v>
      </c>
      <c r="D99" s="1"/>
      <c r="E99" s="1"/>
      <c r="F99" s="9">
        <v>754.93519179999998</v>
      </c>
      <c r="G99" s="10">
        <v>2.9214746999999999E-2</v>
      </c>
      <c r="H99" s="39"/>
    </row>
    <row r="100" spans="1:8" x14ac:dyDescent="0.2">
      <c r="A100" s="1"/>
      <c r="B100" s="1"/>
      <c r="C100" s="12"/>
      <c r="D100" s="1"/>
      <c r="E100" s="1"/>
      <c r="F100" s="1"/>
      <c r="G100" s="1"/>
      <c r="H100" s="39"/>
    </row>
    <row r="101" spans="1:8" x14ac:dyDescent="0.2">
      <c r="A101" s="1"/>
      <c r="B101" s="1"/>
      <c r="C101" s="2" t="s">
        <v>132</v>
      </c>
      <c r="D101" s="1"/>
      <c r="E101" s="1"/>
      <c r="F101" s="1"/>
      <c r="G101" s="1"/>
      <c r="H101" s="39"/>
    </row>
    <row r="102" spans="1:8" x14ac:dyDescent="0.2">
      <c r="A102" s="1"/>
      <c r="B102" s="1"/>
      <c r="C102" s="2" t="s">
        <v>133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134</v>
      </c>
      <c r="D105" s="1"/>
      <c r="E105" s="1"/>
      <c r="F105" s="1"/>
      <c r="G105" s="1"/>
      <c r="H105" s="39"/>
    </row>
    <row r="106" spans="1:8" x14ac:dyDescent="0.2">
      <c r="A106" s="1"/>
      <c r="B106" s="1"/>
      <c r="C106" s="2" t="s">
        <v>135</v>
      </c>
      <c r="D106" s="1"/>
      <c r="E106" s="1"/>
      <c r="F106" s="1"/>
      <c r="G106" s="1"/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ht="25.5" x14ac:dyDescent="0.2">
      <c r="A110" s="1"/>
      <c r="B110" s="1"/>
      <c r="C110" s="2" t="s">
        <v>136</v>
      </c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15" x14ac:dyDescent="0.2">
      <c r="A113" s="1"/>
      <c r="B113" s="4"/>
      <c r="C113" s="4"/>
      <c r="D113" s="2"/>
      <c r="E113" s="1"/>
      <c r="F113" s="4"/>
      <c r="G113" s="8"/>
      <c r="H113" s="39"/>
    </row>
    <row r="114" spans="1:15" x14ac:dyDescent="0.2">
      <c r="A114" s="8"/>
      <c r="B114" s="4"/>
      <c r="C114" s="37" t="s">
        <v>1011</v>
      </c>
      <c r="D114" s="4"/>
      <c r="E114" s="8"/>
      <c r="F114" s="6">
        <v>-78.406580719999994</v>
      </c>
      <c r="G114" s="7">
        <v>-3.0342049999999999E-3</v>
      </c>
      <c r="H114" s="39"/>
    </row>
    <row r="115" spans="1:15" x14ac:dyDescent="0.2">
      <c r="A115" s="11"/>
      <c r="B115" s="11"/>
      <c r="C115" s="2" t="s">
        <v>138</v>
      </c>
      <c r="D115" s="15"/>
      <c r="E115" s="15"/>
      <c r="F115" s="9">
        <v>25840.894335780002</v>
      </c>
      <c r="G115" s="10">
        <v>1.0000000010000001</v>
      </c>
      <c r="H115" s="39"/>
    </row>
    <row r="116" spans="1:15" x14ac:dyDescent="0.2">
      <c r="A116" s="16"/>
      <c r="B116" s="16"/>
      <c r="C116" s="16"/>
      <c r="D116" s="17"/>
      <c r="E116" s="17"/>
      <c r="F116" s="17"/>
      <c r="G116" s="17"/>
    </row>
    <row r="117" spans="1:15" x14ac:dyDescent="0.2">
      <c r="A117" s="18"/>
      <c r="B117" s="197" t="s">
        <v>682</v>
      </c>
      <c r="C117" s="197"/>
      <c r="D117" s="197"/>
      <c r="E117" s="197"/>
      <c r="F117" s="197"/>
      <c r="G117" s="20"/>
    </row>
    <row r="118" spans="1:15" x14ac:dyDescent="0.2">
      <c r="A118" s="18"/>
      <c r="B118" s="197" t="s">
        <v>139</v>
      </c>
      <c r="C118" s="197"/>
      <c r="D118" s="197"/>
      <c r="E118" s="197"/>
      <c r="F118" s="197"/>
      <c r="G118" s="20"/>
    </row>
    <row r="119" spans="1:15" s="41" customFormat="1" x14ac:dyDescent="0.2">
      <c r="A119" s="42"/>
      <c r="B119" s="209" t="s">
        <v>1012</v>
      </c>
      <c r="C119" s="209"/>
      <c r="D119" s="209"/>
      <c r="E119" s="209"/>
      <c r="F119" s="209"/>
      <c r="G119" s="43"/>
      <c r="H119"/>
      <c r="I119"/>
      <c r="J119"/>
      <c r="K119"/>
      <c r="L119"/>
      <c r="M119"/>
      <c r="N119"/>
      <c r="O119"/>
    </row>
    <row r="120" spans="1:15" x14ac:dyDescent="0.2">
      <c r="A120" s="18"/>
      <c r="B120" s="18"/>
      <c r="C120" s="18"/>
      <c r="D120" s="20"/>
      <c r="E120" s="20"/>
      <c r="F120" s="20"/>
      <c r="G120" s="20"/>
    </row>
    <row r="121" spans="1:15" x14ac:dyDescent="0.2">
      <c r="A121" s="18"/>
      <c r="B121" s="194" t="s">
        <v>140</v>
      </c>
      <c r="C121" s="195"/>
      <c r="D121" s="12" t="s">
        <v>112</v>
      </c>
      <c r="E121" s="21"/>
      <c r="F121" s="20"/>
      <c r="G121" s="20"/>
    </row>
    <row r="122" spans="1:15" x14ac:dyDescent="0.2">
      <c r="A122" s="18"/>
      <c r="B122" s="189" t="s">
        <v>141</v>
      </c>
      <c r="C122" s="190"/>
      <c r="D122" s="51" t="s">
        <v>1082</v>
      </c>
      <c r="E122" s="21"/>
      <c r="F122" s="20"/>
      <c r="G122" s="20"/>
    </row>
    <row r="123" spans="1:15" x14ac:dyDescent="0.2">
      <c r="A123" s="18"/>
      <c r="B123" s="191" t="s">
        <v>1015</v>
      </c>
      <c r="C123" s="192"/>
      <c r="D123" s="45" t="s">
        <v>1014</v>
      </c>
      <c r="E123" s="21"/>
      <c r="F123" s="20"/>
      <c r="G123" s="20"/>
    </row>
    <row r="124" spans="1:15" x14ac:dyDescent="0.2">
      <c r="A124" s="18"/>
      <c r="B124" s="189" t="s">
        <v>144</v>
      </c>
      <c r="C124" s="190"/>
      <c r="D124" s="12" t="s">
        <v>112</v>
      </c>
      <c r="E124" s="21"/>
      <c r="F124" s="20"/>
      <c r="G124" s="20"/>
    </row>
    <row r="125" spans="1:15" ht="25.5" x14ac:dyDescent="0.2">
      <c r="A125" s="22"/>
      <c r="B125" s="23" t="s">
        <v>112</v>
      </c>
      <c r="C125" s="23" t="s">
        <v>145</v>
      </c>
      <c r="D125" s="23" t="s">
        <v>146</v>
      </c>
      <c r="E125" s="22"/>
      <c r="F125" s="22"/>
      <c r="G125" s="22"/>
    </row>
    <row r="126" spans="1:15" x14ac:dyDescent="0.2">
      <c r="A126" s="22"/>
      <c r="B126" s="23" t="s">
        <v>147</v>
      </c>
      <c r="C126" s="23" t="s">
        <v>148</v>
      </c>
      <c r="D126" s="23" t="s">
        <v>149</v>
      </c>
      <c r="E126" s="22"/>
      <c r="F126" s="22"/>
      <c r="G126" s="22"/>
    </row>
    <row r="127" spans="1:15" x14ac:dyDescent="0.2">
      <c r="A127" s="22"/>
      <c r="B127" s="4" t="s">
        <v>150</v>
      </c>
      <c r="C127" s="24">
        <v>85.908000000000001</v>
      </c>
      <c r="D127" s="24">
        <v>88.910399999999996</v>
      </c>
      <c r="E127" s="22"/>
      <c r="F127" s="19"/>
      <c r="G127" s="25"/>
    </row>
    <row r="128" spans="1:15" ht="25.5" x14ac:dyDescent="0.2">
      <c r="A128" s="22"/>
      <c r="B128" s="4" t="s">
        <v>1095</v>
      </c>
      <c r="C128" s="24">
        <v>47.626300000000001</v>
      </c>
      <c r="D128" s="24">
        <v>49.271799999999999</v>
      </c>
      <c r="E128" s="22"/>
      <c r="F128" s="19"/>
      <c r="G128" s="25"/>
    </row>
    <row r="129" spans="1:17" x14ac:dyDescent="0.2">
      <c r="A129" s="22"/>
      <c r="B129" s="4" t="s">
        <v>151</v>
      </c>
      <c r="C129" s="24">
        <v>81.916200000000003</v>
      </c>
      <c r="D129" s="24">
        <v>84.704899999999995</v>
      </c>
      <c r="E129" s="22"/>
      <c r="F129" s="19"/>
      <c r="G129" s="25"/>
    </row>
    <row r="130" spans="1:17" ht="25.5" x14ac:dyDescent="0.2">
      <c r="A130" s="22"/>
      <c r="B130" s="4" t="s">
        <v>1096</v>
      </c>
      <c r="C130" s="24">
        <v>30.629100000000001</v>
      </c>
      <c r="D130" s="24">
        <v>30.5685</v>
      </c>
      <c r="E130" s="22"/>
      <c r="F130" s="19"/>
      <c r="G130" s="25"/>
    </row>
    <row r="131" spans="1:17" x14ac:dyDescent="0.2">
      <c r="A131" s="22"/>
      <c r="B131" s="22"/>
      <c r="C131" s="22"/>
      <c r="D131" s="22"/>
      <c r="E131" s="22"/>
      <c r="F131" s="22"/>
      <c r="G131" s="22"/>
    </row>
    <row r="132" spans="1:17" x14ac:dyDescent="0.2">
      <c r="A132" s="22"/>
      <c r="B132" s="189" t="s">
        <v>1094</v>
      </c>
      <c r="C132" s="190"/>
      <c r="D132" s="2" t="s">
        <v>112</v>
      </c>
      <c r="E132" s="22"/>
      <c r="F132" s="22"/>
      <c r="G132" s="22"/>
    </row>
    <row r="133" spans="1:17" x14ac:dyDescent="0.2">
      <c r="A133" s="22"/>
      <c r="B133" s="55" t="s">
        <v>147</v>
      </c>
      <c r="C133" s="56" t="s">
        <v>1039</v>
      </c>
      <c r="D133" s="56" t="s">
        <v>1040</v>
      </c>
      <c r="E133" s="22"/>
      <c r="F133" s="22"/>
      <c r="G133" s="22"/>
    </row>
    <row r="134" spans="1:17" ht="25.5" x14ac:dyDescent="0.2">
      <c r="A134" s="22"/>
      <c r="B134" s="37" t="s">
        <v>1096</v>
      </c>
      <c r="C134" s="57">
        <v>1.087</v>
      </c>
      <c r="D134" s="57">
        <v>1.087</v>
      </c>
      <c r="E134" s="22"/>
      <c r="F134" s="19"/>
      <c r="G134" s="25"/>
    </row>
    <row r="135" spans="1:17" x14ac:dyDescent="0.2">
      <c r="A135" s="22"/>
      <c r="B135" s="26"/>
      <c r="C135" s="26"/>
      <c r="D135" s="27"/>
      <c r="E135" s="22"/>
      <c r="F135" s="22"/>
      <c r="G135" s="22"/>
    </row>
    <row r="136" spans="1:17" s="101" customFormat="1" x14ac:dyDescent="0.2">
      <c r="B136" s="193" t="s">
        <v>1102</v>
      </c>
      <c r="C136" s="193"/>
      <c r="D136" s="193"/>
      <c r="E136" s="193"/>
      <c r="F136" s="193"/>
      <c r="I136"/>
      <c r="J136"/>
      <c r="K136"/>
      <c r="L136"/>
      <c r="M136"/>
      <c r="N136"/>
      <c r="O136"/>
      <c r="P136" s="41"/>
      <c r="Q136" s="41"/>
    </row>
    <row r="137" spans="1:17" x14ac:dyDescent="0.2">
      <c r="A137" s="22"/>
      <c r="B137" s="19"/>
      <c r="C137" s="19"/>
      <c r="D137" s="22"/>
      <c r="E137" s="22"/>
      <c r="F137" s="22"/>
      <c r="G137" s="22"/>
    </row>
    <row r="138" spans="1:17" x14ac:dyDescent="0.2">
      <c r="A138" s="22"/>
      <c r="B138" s="189" t="s">
        <v>152</v>
      </c>
      <c r="C138" s="190"/>
      <c r="D138" s="2" t="s">
        <v>142</v>
      </c>
      <c r="E138" s="22"/>
      <c r="F138" s="22"/>
      <c r="G138" s="22"/>
    </row>
    <row r="139" spans="1:17" x14ac:dyDescent="0.2">
      <c r="A139" s="22"/>
      <c r="B139" s="189" t="s">
        <v>153</v>
      </c>
      <c r="C139" s="190"/>
      <c r="D139" s="2" t="s">
        <v>142</v>
      </c>
      <c r="E139" s="22"/>
      <c r="F139" s="22"/>
      <c r="G139" s="22"/>
      <c r="J139" s="41"/>
      <c r="K139" s="41"/>
      <c r="L139" s="41"/>
      <c r="M139" s="41"/>
      <c r="N139" s="41"/>
      <c r="O139" s="41"/>
    </row>
    <row r="140" spans="1:17" ht="17.100000000000001" customHeight="1" x14ac:dyDescent="0.2">
      <c r="A140" s="22"/>
      <c r="B140" s="189" t="s">
        <v>154</v>
      </c>
      <c r="C140" s="190"/>
      <c r="D140" s="28">
        <v>0.20622520067895644</v>
      </c>
      <c r="E140" s="22"/>
      <c r="F140" s="19"/>
      <c r="G140" s="25"/>
      <c r="J140" s="41"/>
      <c r="K140" s="41"/>
      <c r="L140" s="41"/>
      <c r="M140" s="41"/>
      <c r="N140" s="41"/>
      <c r="O140" s="41"/>
    </row>
    <row r="141" spans="1:17" ht="17.100000000000001" customHeight="1" x14ac:dyDescent="0.2">
      <c r="A141" s="22"/>
      <c r="B141" s="189" t="s">
        <v>155</v>
      </c>
      <c r="C141" s="190"/>
      <c r="D141" s="2" t="s">
        <v>142</v>
      </c>
      <c r="E141" s="22"/>
      <c r="F141" s="22"/>
      <c r="G141" s="22"/>
    </row>
    <row r="142" spans="1:17" x14ac:dyDescent="0.2">
      <c r="J142" s="101"/>
      <c r="K142" s="101"/>
      <c r="L142" s="101"/>
      <c r="M142" s="101"/>
      <c r="N142" s="101"/>
      <c r="O142" s="101"/>
    </row>
    <row r="143" spans="1:17" x14ac:dyDescent="0.2">
      <c r="B143" s="67" t="s">
        <v>1081</v>
      </c>
      <c r="C143" s="67"/>
      <c r="D143" s="67"/>
      <c r="E143" s="98"/>
      <c r="F143" s="96"/>
      <c r="I143" s="41"/>
    </row>
    <row r="144" spans="1:17" ht="25.5" x14ac:dyDescent="0.2">
      <c r="B144" s="99" t="s">
        <v>1054</v>
      </c>
      <c r="C144" s="100" t="s">
        <v>1055</v>
      </c>
      <c r="D144" s="100" t="s">
        <v>1056</v>
      </c>
      <c r="E144" s="100" t="s">
        <v>1057</v>
      </c>
      <c r="F144" s="100" t="s">
        <v>1058</v>
      </c>
    </row>
    <row r="145" spans="2:9" x14ac:dyDescent="0.2">
      <c r="B145" s="102" t="s">
        <v>1078</v>
      </c>
      <c r="C145" s="103" t="s">
        <v>1079</v>
      </c>
      <c r="D145" s="104">
        <v>0</v>
      </c>
      <c r="E145" s="105">
        <v>0</v>
      </c>
      <c r="F145" s="106">
        <v>241.97234</v>
      </c>
      <c r="I145" s="101"/>
    </row>
    <row r="146" spans="2:9" x14ac:dyDescent="0.2">
      <c r="B146" s="102" t="s">
        <v>1080</v>
      </c>
      <c r="C146" s="103" t="s">
        <v>1079</v>
      </c>
      <c r="D146" s="104">
        <v>0</v>
      </c>
      <c r="E146" s="105">
        <v>0</v>
      </c>
      <c r="F146" s="106">
        <v>23.186299999999999</v>
      </c>
    </row>
  </sheetData>
  <mergeCells count="17">
    <mergeCell ref="B141:C141"/>
    <mergeCell ref="B122:C122"/>
    <mergeCell ref="B123:C123"/>
    <mergeCell ref="B124:C124"/>
    <mergeCell ref="B132:C132"/>
    <mergeCell ref="B138:C138"/>
    <mergeCell ref="B139:C139"/>
    <mergeCell ref="B136:F136"/>
    <mergeCell ref="A1:H1"/>
    <mergeCell ref="A2:H2"/>
    <mergeCell ref="A3:H3"/>
    <mergeCell ref="J2:N2"/>
    <mergeCell ref="B140:C140"/>
    <mergeCell ref="B121:C121"/>
    <mergeCell ref="B117:F117"/>
    <mergeCell ref="B118:F118"/>
    <mergeCell ref="B119:F11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Q20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8" max="8" width="11.5703125" bestFit="1" customWidth="1"/>
  </cols>
  <sheetData>
    <row r="1" spans="1:15" ht="18" customHeight="1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5" ht="17.100000000000001" customHeight="1" x14ac:dyDescent="0.2">
      <c r="A2" s="185" t="s">
        <v>1107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5" ht="21" customHeight="1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5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5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5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5" x14ac:dyDescent="0.2">
      <c r="A7" s="3">
        <v>1</v>
      </c>
      <c r="B7" s="4" t="s">
        <v>693</v>
      </c>
      <c r="C7" s="4" t="s">
        <v>694</v>
      </c>
      <c r="D7" s="4" t="s">
        <v>71</v>
      </c>
      <c r="E7" s="5">
        <v>48150</v>
      </c>
      <c r="F7" s="6">
        <v>1482.9959249999999</v>
      </c>
      <c r="G7" s="7">
        <v>4.4429099E-2</v>
      </c>
      <c r="H7" s="39"/>
    </row>
    <row r="8" spans="1:15" x14ac:dyDescent="0.2">
      <c r="A8" s="3">
        <v>2</v>
      </c>
      <c r="B8" s="4" t="s">
        <v>404</v>
      </c>
      <c r="C8" s="4" t="s">
        <v>405</v>
      </c>
      <c r="D8" s="4" t="s">
        <v>1143</v>
      </c>
      <c r="E8" s="5">
        <v>96600</v>
      </c>
      <c r="F8" s="6">
        <v>1448.4686999999999</v>
      </c>
      <c r="G8" s="7">
        <v>4.3394697000000003E-2</v>
      </c>
      <c r="H8" s="39"/>
    </row>
    <row r="9" spans="1:15" ht="25.5" x14ac:dyDescent="0.2">
      <c r="A9" s="3">
        <v>3</v>
      </c>
      <c r="B9" s="4" t="s">
        <v>83</v>
      </c>
      <c r="C9" s="4" t="s">
        <v>84</v>
      </c>
      <c r="D9" s="4" t="s">
        <v>1137</v>
      </c>
      <c r="E9" s="5">
        <v>1115089</v>
      </c>
      <c r="F9" s="6">
        <v>1307.4418525000001</v>
      </c>
      <c r="G9" s="7">
        <v>3.9169671000000003E-2</v>
      </c>
      <c r="H9" s="39"/>
    </row>
    <row r="10" spans="1:15" x14ac:dyDescent="0.2">
      <c r="A10" s="3">
        <v>4</v>
      </c>
      <c r="B10" s="4" t="s">
        <v>16</v>
      </c>
      <c r="C10" s="4" t="s">
        <v>17</v>
      </c>
      <c r="D10" s="4" t="s">
        <v>18</v>
      </c>
      <c r="E10" s="5">
        <v>175558</v>
      </c>
      <c r="F10" s="6">
        <v>1282.1000739999999</v>
      </c>
      <c r="G10" s="7">
        <v>3.8410457000000002E-2</v>
      </c>
      <c r="H10" s="39"/>
    </row>
    <row r="11" spans="1:15" x14ac:dyDescent="0.2">
      <c r="A11" s="3">
        <v>5</v>
      </c>
      <c r="B11" s="4" t="s">
        <v>402</v>
      </c>
      <c r="C11" s="4" t="s">
        <v>403</v>
      </c>
      <c r="D11" s="4" t="s">
        <v>1148</v>
      </c>
      <c r="E11" s="5">
        <v>48458</v>
      </c>
      <c r="F11" s="6">
        <v>992.73481700000002</v>
      </c>
      <c r="G11" s="7">
        <v>2.9741357999999999E-2</v>
      </c>
      <c r="H11" s="39"/>
    </row>
    <row r="12" spans="1:15" ht="25.5" x14ac:dyDescent="0.2">
      <c r="A12" s="3">
        <v>6</v>
      </c>
      <c r="B12" s="4" t="s">
        <v>390</v>
      </c>
      <c r="C12" s="4" t="s">
        <v>391</v>
      </c>
      <c r="D12" s="4" t="s">
        <v>82</v>
      </c>
      <c r="E12" s="5">
        <v>40500</v>
      </c>
      <c r="F12" s="6">
        <v>968.11199999999997</v>
      </c>
      <c r="G12" s="7">
        <v>2.9003682999999999E-2</v>
      </c>
      <c r="H12" s="39"/>
    </row>
    <row r="13" spans="1:15" x14ac:dyDescent="0.2">
      <c r="A13" s="3">
        <v>7</v>
      </c>
      <c r="B13" s="4" t="s">
        <v>300</v>
      </c>
      <c r="C13" s="4" t="s">
        <v>301</v>
      </c>
      <c r="D13" s="4" t="s">
        <v>18</v>
      </c>
      <c r="E13" s="5">
        <v>121365</v>
      </c>
      <c r="F13" s="6">
        <v>923.76969750000001</v>
      </c>
      <c r="G13" s="7">
        <v>2.7675231000000002E-2</v>
      </c>
      <c r="H13" s="39"/>
    </row>
    <row r="14" spans="1:15" ht="15" x14ac:dyDescent="0.2">
      <c r="A14" s="3">
        <v>8</v>
      </c>
      <c r="B14" s="4" t="s">
        <v>386</v>
      </c>
      <c r="C14" s="4" t="s">
        <v>387</v>
      </c>
      <c r="D14" s="4" t="s">
        <v>1143</v>
      </c>
      <c r="E14" s="5">
        <v>47310</v>
      </c>
      <c r="F14" s="6">
        <v>902.13073499999996</v>
      </c>
      <c r="G14" s="7">
        <v>2.7026949000000001E-2</v>
      </c>
      <c r="H14" s="39"/>
      <c r="J14" s="176" t="s">
        <v>1190</v>
      </c>
      <c r="K14" s="179"/>
      <c r="L14" s="179"/>
      <c r="M14" s="179"/>
      <c r="N14" s="179"/>
      <c r="O14" s="179"/>
    </row>
    <row r="15" spans="1:15" x14ac:dyDescent="0.2">
      <c r="A15" s="3">
        <v>9</v>
      </c>
      <c r="B15" s="4" t="s">
        <v>388</v>
      </c>
      <c r="C15" s="4" t="s">
        <v>389</v>
      </c>
      <c r="D15" s="4" t="s">
        <v>18</v>
      </c>
      <c r="E15" s="5">
        <v>52223</v>
      </c>
      <c r="F15" s="6">
        <v>767.86088050000001</v>
      </c>
      <c r="G15" s="7">
        <v>2.3004356E-2</v>
      </c>
      <c r="H15" s="39"/>
    </row>
    <row r="16" spans="1:15" x14ac:dyDescent="0.2">
      <c r="A16" s="3">
        <v>10</v>
      </c>
      <c r="B16" s="4" t="s">
        <v>13</v>
      </c>
      <c r="C16" s="4" t="s">
        <v>14</v>
      </c>
      <c r="D16" s="4" t="s">
        <v>15</v>
      </c>
      <c r="E16" s="5">
        <v>29000</v>
      </c>
      <c r="F16" s="6">
        <v>764.07749999999999</v>
      </c>
      <c r="G16" s="7">
        <v>2.289101E-2</v>
      </c>
      <c r="H16" s="39"/>
    </row>
    <row r="17" spans="1:15" x14ac:dyDescent="0.2">
      <c r="A17" s="3">
        <v>11</v>
      </c>
      <c r="B17" s="4" t="s">
        <v>27</v>
      </c>
      <c r="C17" s="4" t="s">
        <v>28</v>
      </c>
      <c r="D17" s="4" t="s">
        <v>29</v>
      </c>
      <c r="E17" s="5">
        <v>31514</v>
      </c>
      <c r="F17" s="6">
        <v>745.11701600000004</v>
      </c>
      <c r="G17" s="7">
        <v>2.2322972999999999E-2</v>
      </c>
      <c r="H17" s="39"/>
    </row>
    <row r="18" spans="1:15" x14ac:dyDescent="0.2">
      <c r="A18" s="3">
        <v>12</v>
      </c>
      <c r="B18" s="4" t="s">
        <v>49</v>
      </c>
      <c r="C18" s="4" t="s">
        <v>50</v>
      </c>
      <c r="D18" s="4" t="s">
        <v>18</v>
      </c>
      <c r="E18" s="5">
        <v>149312</v>
      </c>
      <c r="F18" s="6">
        <v>736.92937600000005</v>
      </c>
      <c r="G18" s="7">
        <v>2.2077678999999999E-2</v>
      </c>
      <c r="H18" s="39"/>
    </row>
    <row r="19" spans="1:15" x14ac:dyDescent="0.2">
      <c r="A19" s="3">
        <v>13</v>
      </c>
      <c r="B19" s="4" t="s">
        <v>784</v>
      </c>
      <c r="C19" s="4" t="s">
        <v>785</v>
      </c>
      <c r="D19" s="4" t="s">
        <v>1143</v>
      </c>
      <c r="E19" s="5">
        <v>9750</v>
      </c>
      <c r="F19" s="6">
        <v>600.15150000000006</v>
      </c>
      <c r="G19" s="7">
        <v>1.7979947999999999E-2</v>
      </c>
      <c r="H19" s="39"/>
    </row>
    <row r="20" spans="1:15" x14ac:dyDescent="0.2">
      <c r="A20" s="3">
        <v>14</v>
      </c>
      <c r="B20" s="4" t="s">
        <v>454</v>
      </c>
      <c r="C20" s="4" t="s">
        <v>455</v>
      </c>
      <c r="D20" s="4" t="s">
        <v>71</v>
      </c>
      <c r="E20" s="5">
        <v>18000</v>
      </c>
      <c r="F20" s="6">
        <v>456.50700000000001</v>
      </c>
      <c r="G20" s="7">
        <v>1.3676501000000001E-2</v>
      </c>
      <c r="H20" s="39"/>
    </row>
    <row r="21" spans="1:15" x14ac:dyDescent="0.2">
      <c r="A21" s="3">
        <v>15</v>
      </c>
      <c r="B21" s="4" t="s">
        <v>359</v>
      </c>
      <c r="C21" s="4" t="s">
        <v>360</v>
      </c>
      <c r="D21" s="4" t="s">
        <v>82</v>
      </c>
      <c r="E21" s="5">
        <v>2500</v>
      </c>
      <c r="F21" s="6">
        <v>426.51125000000002</v>
      </c>
      <c r="G21" s="7">
        <v>1.2777857E-2</v>
      </c>
      <c r="H21" s="39"/>
    </row>
    <row r="22" spans="1:15" x14ac:dyDescent="0.2">
      <c r="A22" s="3">
        <v>16</v>
      </c>
      <c r="B22" s="4" t="s">
        <v>491</v>
      </c>
      <c r="C22" s="4" t="s">
        <v>492</v>
      </c>
      <c r="D22" s="4" t="s">
        <v>1144</v>
      </c>
      <c r="E22" s="5">
        <v>47000</v>
      </c>
      <c r="F22" s="6">
        <v>417.52449999999999</v>
      </c>
      <c r="G22" s="7">
        <v>1.2508623E-2</v>
      </c>
      <c r="H22" s="39"/>
    </row>
    <row r="23" spans="1:15" x14ac:dyDescent="0.2">
      <c r="A23" s="3">
        <v>17</v>
      </c>
      <c r="B23" s="4" t="s">
        <v>422</v>
      </c>
      <c r="C23" s="4" t="s">
        <v>423</v>
      </c>
      <c r="D23" s="4" t="s">
        <v>18</v>
      </c>
      <c r="E23" s="5">
        <v>182215</v>
      </c>
      <c r="F23" s="6">
        <v>414.9946625</v>
      </c>
      <c r="G23" s="7">
        <v>1.2432832E-2</v>
      </c>
      <c r="H23" s="39"/>
    </row>
    <row r="24" spans="1:15" x14ac:dyDescent="0.2">
      <c r="A24" s="3">
        <v>18</v>
      </c>
      <c r="B24" s="4" t="s">
        <v>532</v>
      </c>
      <c r="C24" s="37" t="s">
        <v>1049</v>
      </c>
      <c r="D24" s="4" t="s">
        <v>1146</v>
      </c>
      <c r="E24" s="5">
        <v>197230</v>
      </c>
      <c r="F24" s="6">
        <v>407.27994999999999</v>
      </c>
      <c r="G24" s="7">
        <v>1.2201706999999999E-2</v>
      </c>
      <c r="H24" s="39"/>
    </row>
    <row r="25" spans="1:15" ht="25.5" x14ac:dyDescent="0.2">
      <c r="A25" s="3">
        <v>19</v>
      </c>
      <c r="B25" s="4" t="s">
        <v>72</v>
      </c>
      <c r="C25" s="4" t="s">
        <v>73</v>
      </c>
      <c r="D25" s="4" t="s">
        <v>1137</v>
      </c>
      <c r="E25" s="5">
        <v>22157</v>
      </c>
      <c r="F25" s="6">
        <v>403.00259449999999</v>
      </c>
      <c r="G25" s="7">
        <v>1.2073561E-2</v>
      </c>
      <c r="H25" s="39"/>
    </row>
    <row r="26" spans="1:15" x14ac:dyDescent="0.2">
      <c r="A26" s="3">
        <v>20</v>
      </c>
      <c r="B26" s="4" t="s">
        <v>11</v>
      </c>
      <c r="C26" s="4" t="s">
        <v>12</v>
      </c>
      <c r="D26" s="4" t="s">
        <v>60</v>
      </c>
      <c r="E26" s="5">
        <v>22000</v>
      </c>
      <c r="F26" s="6">
        <v>388.88299999999998</v>
      </c>
      <c r="G26" s="7">
        <v>1.1650552E-2</v>
      </c>
      <c r="H26" s="39"/>
    </row>
    <row r="27" spans="1:15" x14ac:dyDescent="0.2">
      <c r="A27" s="3">
        <v>21</v>
      </c>
      <c r="B27" s="4" t="s">
        <v>413</v>
      </c>
      <c r="C27" s="4" t="s">
        <v>414</v>
      </c>
      <c r="D27" s="4" t="s">
        <v>91</v>
      </c>
      <c r="E27" s="5">
        <v>26775</v>
      </c>
      <c r="F27" s="6">
        <v>350.00279999999998</v>
      </c>
      <c r="G27" s="7">
        <v>1.0485739000000001E-2</v>
      </c>
      <c r="H27" s="39"/>
    </row>
    <row r="28" spans="1:15" x14ac:dyDescent="0.2">
      <c r="A28" s="3">
        <v>22</v>
      </c>
      <c r="B28" s="4" t="s">
        <v>392</v>
      </c>
      <c r="C28" s="4" t="s">
        <v>393</v>
      </c>
      <c r="D28" s="4" t="s">
        <v>1143</v>
      </c>
      <c r="E28" s="5">
        <v>8729</v>
      </c>
      <c r="F28" s="6">
        <v>326.46023550000001</v>
      </c>
      <c r="G28" s="7">
        <v>9.7804269999999995E-3</v>
      </c>
      <c r="H28" s="39"/>
    </row>
    <row r="29" spans="1:15" ht="25.5" x14ac:dyDescent="0.2">
      <c r="A29" s="3">
        <v>23</v>
      </c>
      <c r="B29" s="4" t="s">
        <v>363</v>
      </c>
      <c r="C29" s="4" t="s">
        <v>364</v>
      </c>
      <c r="D29" s="4" t="s">
        <v>1145</v>
      </c>
      <c r="E29" s="5">
        <v>41725</v>
      </c>
      <c r="F29" s="6">
        <v>324.37015000000002</v>
      </c>
      <c r="G29" s="7">
        <v>9.7178109999999998E-3</v>
      </c>
      <c r="H29" s="39"/>
    </row>
    <row r="30" spans="1:15" x14ac:dyDescent="0.2">
      <c r="A30" s="3">
        <v>24</v>
      </c>
      <c r="B30" s="4" t="s">
        <v>309</v>
      </c>
      <c r="C30" s="4" t="s">
        <v>310</v>
      </c>
      <c r="D30" s="4" t="s">
        <v>91</v>
      </c>
      <c r="E30" s="5">
        <v>60000</v>
      </c>
      <c r="F30" s="6">
        <v>319.70999999999998</v>
      </c>
      <c r="G30" s="7">
        <v>9.5781970000000001E-3</v>
      </c>
      <c r="H30" s="39"/>
    </row>
    <row r="31" spans="1:15" x14ac:dyDescent="0.2">
      <c r="A31" s="3">
        <v>25</v>
      </c>
      <c r="B31" s="4" t="s">
        <v>526</v>
      </c>
      <c r="C31" s="4" t="s">
        <v>527</v>
      </c>
      <c r="D31" s="4" t="s">
        <v>1143</v>
      </c>
      <c r="E31" s="5">
        <v>20655</v>
      </c>
      <c r="F31" s="6">
        <v>312.03508499999998</v>
      </c>
      <c r="G31" s="7">
        <v>9.3482640000000002E-3</v>
      </c>
      <c r="H31" s="39"/>
      <c r="J31" s="179"/>
      <c r="K31" s="179"/>
      <c r="L31" s="179"/>
      <c r="M31" s="179"/>
      <c r="N31" s="179"/>
      <c r="O31" s="179"/>
    </row>
    <row r="32" spans="1:15" x14ac:dyDescent="0.2">
      <c r="A32" s="3">
        <v>26</v>
      </c>
      <c r="B32" s="4" t="s">
        <v>420</v>
      </c>
      <c r="C32" s="4" t="s">
        <v>421</v>
      </c>
      <c r="D32" s="4" t="s">
        <v>1154</v>
      </c>
      <c r="E32" s="5">
        <v>44905</v>
      </c>
      <c r="F32" s="6">
        <v>305.10702250000003</v>
      </c>
      <c r="G32" s="7">
        <v>9.1407060000000002E-3</v>
      </c>
      <c r="H32" s="39"/>
    </row>
    <row r="33" spans="1:8" x14ac:dyDescent="0.2">
      <c r="A33" s="3">
        <v>27</v>
      </c>
      <c r="B33" s="4" t="s">
        <v>343</v>
      </c>
      <c r="C33" s="4" t="s">
        <v>344</v>
      </c>
      <c r="D33" s="4" t="s">
        <v>1026</v>
      </c>
      <c r="E33" s="5">
        <v>11157</v>
      </c>
      <c r="F33" s="6">
        <v>294.15430500000002</v>
      </c>
      <c r="G33" s="7">
        <v>8.8125740000000001E-3</v>
      </c>
      <c r="H33" s="39"/>
    </row>
    <row r="34" spans="1:8" x14ac:dyDescent="0.2">
      <c r="A34" s="3">
        <v>28</v>
      </c>
      <c r="B34" s="4" t="s">
        <v>369</v>
      </c>
      <c r="C34" s="4" t="s">
        <v>370</v>
      </c>
      <c r="D34" s="4" t="s">
        <v>1157</v>
      </c>
      <c r="E34" s="5">
        <v>30333</v>
      </c>
      <c r="F34" s="6">
        <v>285.0847005</v>
      </c>
      <c r="G34" s="7">
        <v>8.5408570000000007E-3</v>
      </c>
      <c r="H34" s="39"/>
    </row>
    <row r="35" spans="1:8" ht="25.5" x14ac:dyDescent="0.2">
      <c r="A35" s="3">
        <v>29</v>
      </c>
      <c r="B35" s="4" t="s">
        <v>321</v>
      </c>
      <c r="C35" s="4" t="s">
        <v>322</v>
      </c>
      <c r="D35" s="4" t="s">
        <v>71</v>
      </c>
      <c r="E35" s="5">
        <v>72958</v>
      </c>
      <c r="F35" s="6">
        <v>272.86291999999997</v>
      </c>
      <c r="G35" s="7">
        <v>8.1747050000000009E-3</v>
      </c>
      <c r="H35" s="39"/>
    </row>
    <row r="36" spans="1:8" x14ac:dyDescent="0.2">
      <c r="A36" s="3">
        <v>30</v>
      </c>
      <c r="B36" s="4" t="s">
        <v>440</v>
      </c>
      <c r="C36" s="4" t="s">
        <v>441</v>
      </c>
      <c r="D36" s="4" t="s">
        <v>1146</v>
      </c>
      <c r="E36" s="5">
        <v>3524</v>
      </c>
      <c r="F36" s="6">
        <v>266.46021200000001</v>
      </c>
      <c r="G36" s="7">
        <v>7.9828859999999998E-3</v>
      </c>
      <c r="H36" s="39"/>
    </row>
    <row r="37" spans="1:8" x14ac:dyDescent="0.2">
      <c r="A37" s="3">
        <v>31</v>
      </c>
      <c r="B37" s="4" t="s">
        <v>19</v>
      </c>
      <c r="C37" s="4" t="s">
        <v>20</v>
      </c>
      <c r="D37" s="4" t="s">
        <v>21</v>
      </c>
      <c r="E37" s="5">
        <v>33250</v>
      </c>
      <c r="F37" s="6">
        <v>251.02087499999999</v>
      </c>
      <c r="G37" s="7">
        <v>7.5203379999999997E-3</v>
      </c>
      <c r="H37" s="39"/>
    </row>
    <row r="38" spans="1:8" ht="25.5" x14ac:dyDescent="0.2">
      <c r="A38" s="3">
        <v>32</v>
      </c>
      <c r="B38" s="4" t="s">
        <v>80</v>
      </c>
      <c r="C38" s="4" t="s">
        <v>81</v>
      </c>
      <c r="D38" s="4" t="s">
        <v>82</v>
      </c>
      <c r="E38" s="5">
        <v>33940</v>
      </c>
      <c r="F38" s="6">
        <v>243.84192999999999</v>
      </c>
      <c r="G38" s="7">
        <v>7.3052639999999997E-3</v>
      </c>
      <c r="H38" s="39"/>
    </row>
    <row r="39" spans="1:8" ht="25.5" x14ac:dyDescent="0.2">
      <c r="A39" s="3">
        <v>33</v>
      </c>
      <c r="B39" s="4" t="s">
        <v>417</v>
      </c>
      <c r="C39" s="4" t="s">
        <v>1013</v>
      </c>
      <c r="D39" s="4" t="s">
        <v>21</v>
      </c>
      <c r="E39" s="5">
        <v>56299</v>
      </c>
      <c r="F39" s="6">
        <v>222.91589049999999</v>
      </c>
      <c r="G39" s="7">
        <v>6.678341E-3</v>
      </c>
      <c r="H39" s="39"/>
    </row>
    <row r="40" spans="1:8" ht="25.5" x14ac:dyDescent="0.2">
      <c r="A40" s="3">
        <v>34</v>
      </c>
      <c r="B40" s="4" t="s">
        <v>396</v>
      </c>
      <c r="C40" s="4" t="s">
        <v>397</v>
      </c>
      <c r="D40" s="4" t="s">
        <v>1138</v>
      </c>
      <c r="E40" s="5">
        <v>23742</v>
      </c>
      <c r="F40" s="6">
        <v>217.179945</v>
      </c>
      <c r="G40" s="7">
        <v>6.506497E-3</v>
      </c>
      <c r="H40" s="39"/>
    </row>
    <row r="41" spans="1:8" x14ac:dyDescent="0.2">
      <c r="A41" s="3">
        <v>35</v>
      </c>
      <c r="B41" s="4" t="s">
        <v>87</v>
      </c>
      <c r="C41" s="4" t="s">
        <v>88</v>
      </c>
      <c r="D41" s="4" t="s">
        <v>1157</v>
      </c>
      <c r="E41" s="5">
        <v>40700</v>
      </c>
      <c r="F41" s="6">
        <v>210.35794999999999</v>
      </c>
      <c r="G41" s="7">
        <v>6.3021170000000003E-3</v>
      </c>
      <c r="H41" s="39"/>
    </row>
    <row r="42" spans="1:8" x14ac:dyDescent="0.2">
      <c r="A42" s="3">
        <v>36</v>
      </c>
      <c r="B42" s="4" t="s">
        <v>541</v>
      </c>
      <c r="C42" s="4" t="s">
        <v>542</v>
      </c>
      <c r="D42" s="4" t="s">
        <v>1027</v>
      </c>
      <c r="E42" s="5">
        <v>4722</v>
      </c>
      <c r="F42" s="6">
        <v>199.93892399999999</v>
      </c>
      <c r="G42" s="7">
        <v>5.989973E-3</v>
      </c>
      <c r="H42" s="39"/>
    </row>
    <row r="43" spans="1:8" x14ac:dyDescent="0.2">
      <c r="A43" s="3">
        <v>37</v>
      </c>
      <c r="B43" s="4" t="s">
        <v>415</v>
      </c>
      <c r="C43" s="4" t="s">
        <v>416</v>
      </c>
      <c r="D43" s="4" t="s">
        <v>18</v>
      </c>
      <c r="E43" s="5">
        <v>11113</v>
      </c>
      <c r="F43" s="6">
        <v>194.9053505</v>
      </c>
      <c r="G43" s="7">
        <v>5.8391729999999996E-3</v>
      </c>
      <c r="H43" s="39"/>
    </row>
    <row r="44" spans="1:8" x14ac:dyDescent="0.2">
      <c r="A44" s="3">
        <v>38</v>
      </c>
      <c r="B44" s="4" t="s">
        <v>313</v>
      </c>
      <c r="C44" s="4" t="s">
        <v>314</v>
      </c>
      <c r="D44" s="4" t="s">
        <v>1142</v>
      </c>
      <c r="E44" s="5">
        <v>25000</v>
      </c>
      <c r="F44" s="6">
        <v>188.47499999999999</v>
      </c>
      <c r="G44" s="7">
        <v>5.6465259999999998E-3</v>
      </c>
      <c r="H44" s="39"/>
    </row>
    <row r="45" spans="1:8" x14ac:dyDescent="0.2">
      <c r="A45" s="3">
        <v>39</v>
      </c>
      <c r="B45" s="4" t="s">
        <v>537</v>
      </c>
      <c r="C45" s="4" t="s">
        <v>538</v>
      </c>
      <c r="D45" s="4" t="s">
        <v>1156</v>
      </c>
      <c r="E45" s="5">
        <v>12505</v>
      </c>
      <c r="F45" s="6">
        <v>187.7188075</v>
      </c>
      <c r="G45" s="7">
        <v>5.6238709999999999E-3</v>
      </c>
      <c r="H45" s="39"/>
    </row>
    <row r="46" spans="1:8" x14ac:dyDescent="0.2">
      <c r="A46" s="3">
        <v>40</v>
      </c>
      <c r="B46" s="4" t="s">
        <v>786</v>
      </c>
      <c r="C46" s="4" t="s">
        <v>787</v>
      </c>
      <c r="D46" s="4" t="s">
        <v>18</v>
      </c>
      <c r="E46" s="5">
        <v>114046</v>
      </c>
      <c r="F46" s="6">
        <v>175.516794</v>
      </c>
      <c r="G46" s="7">
        <v>5.2583100000000004E-3</v>
      </c>
      <c r="H46" s="39"/>
    </row>
    <row r="47" spans="1:8" ht="25.5" x14ac:dyDescent="0.2">
      <c r="A47" s="3">
        <v>41</v>
      </c>
      <c r="B47" s="4" t="s">
        <v>335</v>
      </c>
      <c r="C47" s="4" t="s">
        <v>336</v>
      </c>
      <c r="D47" s="4" t="s">
        <v>1138</v>
      </c>
      <c r="E47" s="5">
        <v>5027</v>
      </c>
      <c r="F47" s="6">
        <v>164.51611550000001</v>
      </c>
      <c r="G47" s="7">
        <v>4.9287410000000004E-3</v>
      </c>
      <c r="H47" s="39"/>
    </row>
    <row r="48" spans="1:8" x14ac:dyDescent="0.2">
      <c r="A48" s="3">
        <v>42</v>
      </c>
      <c r="B48" s="4" t="s">
        <v>545</v>
      </c>
      <c r="C48" s="4" t="s">
        <v>546</v>
      </c>
      <c r="D48" s="4" t="s">
        <v>1146</v>
      </c>
      <c r="E48" s="5">
        <v>14930</v>
      </c>
      <c r="F48" s="6">
        <v>152.10684000000001</v>
      </c>
      <c r="G48" s="7">
        <v>4.5569709999999999E-3</v>
      </c>
      <c r="H48" s="39"/>
    </row>
    <row r="49" spans="1:8" x14ac:dyDescent="0.2">
      <c r="A49" s="3">
        <v>43</v>
      </c>
      <c r="B49" s="4" t="s">
        <v>298</v>
      </c>
      <c r="C49" s="4" t="s">
        <v>299</v>
      </c>
      <c r="D49" s="4" t="s">
        <v>18</v>
      </c>
      <c r="E49" s="5">
        <v>150000</v>
      </c>
      <c r="F49" s="6">
        <v>146.1</v>
      </c>
      <c r="G49" s="7">
        <v>4.3770119999999996E-3</v>
      </c>
      <c r="H49" s="39"/>
    </row>
    <row r="50" spans="1:8" x14ac:dyDescent="0.2">
      <c r="A50" s="3">
        <v>44</v>
      </c>
      <c r="B50" s="4" t="s">
        <v>361</v>
      </c>
      <c r="C50" s="4" t="s">
        <v>362</v>
      </c>
      <c r="D50" s="4" t="s">
        <v>82</v>
      </c>
      <c r="E50" s="5">
        <v>40000</v>
      </c>
      <c r="F50" s="6">
        <v>143.58000000000001</v>
      </c>
      <c r="G50" s="7">
        <v>4.301516E-3</v>
      </c>
      <c r="H50" s="39"/>
    </row>
    <row r="51" spans="1:8" x14ac:dyDescent="0.2">
      <c r="A51" s="3">
        <v>45</v>
      </c>
      <c r="B51" s="4" t="s">
        <v>685</v>
      </c>
      <c r="C51" s="4" t="s">
        <v>686</v>
      </c>
      <c r="D51" s="4" t="s">
        <v>1142</v>
      </c>
      <c r="E51" s="5">
        <v>26400</v>
      </c>
      <c r="F51" s="6">
        <v>142.0848</v>
      </c>
      <c r="G51" s="7">
        <v>4.2567209999999998E-3</v>
      </c>
      <c r="H51" s="39"/>
    </row>
    <row r="52" spans="1:8" x14ac:dyDescent="0.2">
      <c r="A52" s="3">
        <v>46</v>
      </c>
      <c r="B52" s="4" t="s">
        <v>302</v>
      </c>
      <c r="C52" s="4" t="s">
        <v>303</v>
      </c>
      <c r="D52" s="4" t="s">
        <v>1155</v>
      </c>
      <c r="E52" s="5">
        <v>325</v>
      </c>
      <c r="F52" s="6">
        <v>140.3653875</v>
      </c>
      <c r="G52" s="7">
        <v>4.2052089999999997E-3</v>
      </c>
      <c r="H52" s="39"/>
    </row>
    <row r="53" spans="1:8" x14ac:dyDescent="0.2">
      <c r="A53" s="3">
        <v>47</v>
      </c>
      <c r="B53" s="4" t="s">
        <v>365</v>
      </c>
      <c r="C53" s="4" t="s">
        <v>366</v>
      </c>
      <c r="D53" s="4" t="s">
        <v>71</v>
      </c>
      <c r="E53" s="5">
        <v>21793</v>
      </c>
      <c r="F53" s="6">
        <v>133.41674599999999</v>
      </c>
      <c r="G53" s="7">
        <v>3.997034E-3</v>
      </c>
      <c r="H53" s="39"/>
    </row>
    <row r="54" spans="1:8" ht="25.5" x14ac:dyDescent="0.2">
      <c r="A54" s="3">
        <v>48</v>
      </c>
      <c r="B54" s="4" t="s">
        <v>701</v>
      </c>
      <c r="C54" s="4" t="s">
        <v>702</v>
      </c>
      <c r="D54" s="4" t="s">
        <v>1138</v>
      </c>
      <c r="E54" s="5">
        <v>17850</v>
      </c>
      <c r="F54" s="6">
        <v>133.34842499999999</v>
      </c>
      <c r="G54" s="7">
        <v>3.9949879999999997E-3</v>
      </c>
      <c r="H54" s="39"/>
    </row>
    <row r="55" spans="1:8" x14ac:dyDescent="0.2">
      <c r="A55" s="3">
        <v>49</v>
      </c>
      <c r="B55" s="4" t="s">
        <v>428</v>
      </c>
      <c r="C55" s="4" t="s">
        <v>429</v>
      </c>
      <c r="D55" s="4" t="s">
        <v>1160</v>
      </c>
      <c r="E55" s="5">
        <v>5785</v>
      </c>
      <c r="F55" s="6">
        <v>124.8374075</v>
      </c>
      <c r="G55" s="7">
        <v>3.7400060000000001E-3</v>
      </c>
      <c r="H55" s="39"/>
    </row>
    <row r="56" spans="1:8" x14ac:dyDescent="0.2">
      <c r="A56" s="3">
        <v>50</v>
      </c>
      <c r="B56" s="4" t="s">
        <v>539</v>
      </c>
      <c r="C56" s="4" t="s">
        <v>540</v>
      </c>
      <c r="D56" s="4" t="s">
        <v>1154</v>
      </c>
      <c r="E56" s="5">
        <v>34800</v>
      </c>
      <c r="F56" s="6">
        <v>114.03959999999999</v>
      </c>
      <c r="G56" s="7">
        <v>3.4165139999999998E-3</v>
      </c>
      <c r="H56" s="39"/>
    </row>
    <row r="57" spans="1:8" ht="25.5" x14ac:dyDescent="0.2">
      <c r="A57" s="3">
        <v>51</v>
      </c>
      <c r="B57" s="4" t="s">
        <v>22</v>
      </c>
      <c r="C57" s="4" t="s">
        <v>23</v>
      </c>
      <c r="D57" s="4" t="s">
        <v>1150</v>
      </c>
      <c r="E57" s="5">
        <v>1700</v>
      </c>
      <c r="F57" s="6">
        <v>112.23909999999999</v>
      </c>
      <c r="G57" s="7">
        <v>3.3625730000000002E-3</v>
      </c>
      <c r="H57" s="39"/>
    </row>
    <row r="58" spans="1:8" x14ac:dyDescent="0.2">
      <c r="A58" s="3">
        <v>52</v>
      </c>
      <c r="B58" s="4" t="s">
        <v>367</v>
      </c>
      <c r="C58" s="4" t="s">
        <v>368</v>
      </c>
      <c r="D58" s="4" t="s">
        <v>1154</v>
      </c>
      <c r="E58" s="5">
        <v>10973</v>
      </c>
      <c r="F58" s="6">
        <v>102.30127899999999</v>
      </c>
      <c r="G58" s="7">
        <v>3.064846E-3</v>
      </c>
      <c r="H58" s="39"/>
    </row>
    <row r="59" spans="1:8" ht="25.5" x14ac:dyDescent="0.2">
      <c r="A59" s="3">
        <v>53</v>
      </c>
      <c r="B59" s="4" t="s">
        <v>159</v>
      </c>
      <c r="C59" s="4" t="s">
        <v>160</v>
      </c>
      <c r="D59" s="4" t="s">
        <v>1138</v>
      </c>
      <c r="E59" s="5">
        <v>24500</v>
      </c>
      <c r="F59" s="6">
        <v>92.377250000000004</v>
      </c>
      <c r="G59" s="7">
        <v>2.7675320000000001E-3</v>
      </c>
      <c r="H59" s="39"/>
    </row>
    <row r="60" spans="1:8" x14ac:dyDescent="0.2">
      <c r="A60" s="3">
        <v>54</v>
      </c>
      <c r="B60" s="4" t="s">
        <v>573</v>
      </c>
      <c r="C60" s="4" t="s">
        <v>574</v>
      </c>
      <c r="D60" s="4" t="s">
        <v>308</v>
      </c>
      <c r="E60" s="5">
        <v>9417</v>
      </c>
      <c r="F60" s="6">
        <v>91.057681500000001</v>
      </c>
      <c r="G60" s="7">
        <v>2.727999E-3</v>
      </c>
      <c r="H60" s="39"/>
    </row>
    <row r="61" spans="1:8" ht="25.5" x14ac:dyDescent="0.2">
      <c r="A61" s="3">
        <v>55</v>
      </c>
      <c r="B61" s="4" t="s">
        <v>329</v>
      </c>
      <c r="C61" s="4" t="s">
        <v>330</v>
      </c>
      <c r="D61" s="4" t="s">
        <v>1138</v>
      </c>
      <c r="E61" s="5">
        <v>7060</v>
      </c>
      <c r="F61" s="6">
        <v>75.241950000000003</v>
      </c>
      <c r="G61" s="7">
        <v>2.2541750000000002E-3</v>
      </c>
      <c r="H61" s="39"/>
    </row>
    <row r="62" spans="1:8" x14ac:dyDescent="0.2">
      <c r="A62" s="3">
        <v>56</v>
      </c>
      <c r="B62" s="4" t="s">
        <v>450</v>
      </c>
      <c r="C62" s="4" t="s">
        <v>451</v>
      </c>
      <c r="D62" s="4" t="s">
        <v>1154</v>
      </c>
      <c r="E62" s="5">
        <v>51230</v>
      </c>
      <c r="F62" s="6">
        <v>71.440235000000001</v>
      </c>
      <c r="G62" s="7">
        <v>2.1402790000000001E-3</v>
      </c>
      <c r="H62" s="39"/>
    </row>
    <row r="63" spans="1:8" ht="25.5" x14ac:dyDescent="0.2">
      <c r="A63" s="3">
        <v>57</v>
      </c>
      <c r="B63" s="4" t="s">
        <v>424</v>
      </c>
      <c r="C63" s="4" t="s">
        <v>425</v>
      </c>
      <c r="D63" s="4" t="s">
        <v>1138</v>
      </c>
      <c r="E63" s="5">
        <v>1600</v>
      </c>
      <c r="F63" s="6">
        <v>70.4328</v>
      </c>
      <c r="G63" s="7">
        <v>2.110097E-3</v>
      </c>
      <c r="H63" s="39"/>
    </row>
    <row r="64" spans="1:8" ht="25.5" x14ac:dyDescent="0.2">
      <c r="A64" s="3">
        <v>58</v>
      </c>
      <c r="B64" s="4" t="s">
        <v>237</v>
      </c>
      <c r="C64" s="4" t="s">
        <v>238</v>
      </c>
      <c r="D64" s="4" t="s">
        <v>1153</v>
      </c>
      <c r="E64" s="5">
        <v>1700</v>
      </c>
      <c r="F64" s="6">
        <v>69.397400000000005</v>
      </c>
      <c r="G64" s="7">
        <v>2.0790779999999998E-3</v>
      </c>
      <c r="H64" s="39"/>
    </row>
    <row r="65" spans="1:8" x14ac:dyDescent="0.2">
      <c r="A65" s="3">
        <v>59</v>
      </c>
      <c r="B65" s="4" t="s">
        <v>406</v>
      </c>
      <c r="C65" s="4" t="s">
        <v>407</v>
      </c>
      <c r="D65" s="4" t="s">
        <v>1146</v>
      </c>
      <c r="E65" s="5">
        <v>8400</v>
      </c>
      <c r="F65" s="6">
        <v>67.750200000000007</v>
      </c>
      <c r="G65" s="7">
        <v>2.0297290000000001E-3</v>
      </c>
      <c r="H65" s="39"/>
    </row>
    <row r="66" spans="1:8" x14ac:dyDescent="0.2">
      <c r="A66" s="3">
        <v>60</v>
      </c>
      <c r="B66" s="4" t="s">
        <v>788</v>
      </c>
      <c r="C66" s="4" t="s">
        <v>789</v>
      </c>
      <c r="D66" s="4" t="s">
        <v>1143</v>
      </c>
      <c r="E66" s="5">
        <v>891</v>
      </c>
      <c r="F66" s="6">
        <v>39.716324999999998</v>
      </c>
      <c r="G66" s="7">
        <v>1.1898620000000001E-3</v>
      </c>
      <c r="H66" s="39"/>
    </row>
    <row r="67" spans="1:8" x14ac:dyDescent="0.2">
      <c r="A67" s="3">
        <v>61</v>
      </c>
      <c r="B67" s="4" t="s">
        <v>456</v>
      </c>
      <c r="C67" s="4" t="s">
        <v>457</v>
      </c>
      <c r="D67" s="4" t="s">
        <v>1154</v>
      </c>
      <c r="E67" s="5">
        <v>51230</v>
      </c>
      <c r="F67" s="6">
        <v>33.017735000000002</v>
      </c>
      <c r="G67" s="7">
        <v>9.8917899999999997E-4</v>
      </c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9">
        <v>23204.079204499991</v>
      </c>
      <c r="G68" s="10">
        <v>0.69517138099999976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113</v>
      </c>
      <c r="D70" s="1"/>
      <c r="E70" s="1"/>
      <c r="F70" s="1"/>
      <c r="G70" s="1"/>
      <c r="H70" s="39"/>
    </row>
    <row r="71" spans="1:8" x14ac:dyDescent="0.2">
      <c r="A71" s="1"/>
      <c r="B71" s="1"/>
      <c r="C71" s="2" t="s">
        <v>111</v>
      </c>
      <c r="D71" s="1"/>
      <c r="E71" s="1" t="s">
        <v>112</v>
      </c>
      <c r="F71" s="13">
        <v>0</v>
      </c>
      <c r="G71" s="14">
        <v>0</v>
      </c>
      <c r="H71" s="39"/>
    </row>
    <row r="72" spans="1:8" x14ac:dyDescent="0.2">
      <c r="A72" s="1"/>
      <c r="B72" s="1"/>
      <c r="C72" s="11"/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114</v>
      </c>
      <c r="D73" s="1"/>
      <c r="E73" s="1"/>
      <c r="F73" s="1"/>
      <c r="G73" s="1"/>
      <c r="H73" s="39"/>
    </row>
    <row r="74" spans="1:8" x14ac:dyDescent="0.2">
      <c r="A74" s="1"/>
      <c r="B74" s="1"/>
      <c r="C74" s="2" t="s">
        <v>111</v>
      </c>
      <c r="D74" s="1"/>
      <c r="E74" s="1" t="s">
        <v>112</v>
      </c>
      <c r="F74" s="13">
        <v>0</v>
      </c>
      <c r="G74" s="14">
        <v>0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115</v>
      </c>
      <c r="D76" s="1"/>
      <c r="E76" s="1"/>
      <c r="F76" s="1"/>
      <c r="G76" s="1"/>
      <c r="H76" s="39"/>
    </row>
    <row r="77" spans="1:8" x14ac:dyDescent="0.2">
      <c r="A77" s="1"/>
      <c r="B77" s="1"/>
      <c r="C77" s="2" t="s">
        <v>111</v>
      </c>
      <c r="D77" s="1"/>
      <c r="E77" s="1" t="s">
        <v>112</v>
      </c>
      <c r="F77" s="9">
        <v>0</v>
      </c>
      <c r="G77" s="10">
        <v>0</v>
      </c>
      <c r="H77" s="39"/>
    </row>
    <row r="78" spans="1:8" x14ac:dyDescent="0.2">
      <c r="A78" s="1"/>
      <c r="B78" s="1"/>
      <c r="C78" s="11"/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116</v>
      </c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111</v>
      </c>
      <c r="D80" s="1"/>
      <c r="E80" s="1" t="s">
        <v>112</v>
      </c>
      <c r="F80" s="13">
        <v>0</v>
      </c>
      <c r="G80" s="14">
        <v>0</v>
      </c>
      <c r="H80" s="39"/>
    </row>
    <row r="81" spans="1:8" x14ac:dyDescent="0.2">
      <c r="A81" s="1"/>
      <c r="B81" s="1"/>
      <c r="C81" s="11"/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117</v>
      </c>
      <c r="D82" s="1"/>
      <c r="E82" s="1"/>
      <c r="F82" s="12"/>
      <c r="G82" s="12"/>
      <c r="H82" s="39"/>
    </row>
    <row r="83" spans="1:8" x14ac:dyDescent="0.2">
      <c r="A83" s="3">
        <v>1</v>
      </c>
      <c r="B83" s="4"/>
      <c r="C83" s="4" t="s">
        <v>965</v>
      </c>
      <c r="D83" s="4" t="s">
        <v>687</v>
      </c>
      <c r="E83" s="5">
        <v>-1600</v>
      </c>
      <c r="F83" s="6">
        <v>-28.194400000000002</v>
      </c>
      <c r="G83" s="7">
        <v>-8.4468E-4</v>
      </c>
      <c r="H83" s="39"/>
    </row>
    <row r="84" spans="1:8" x14ac:dyDescent="0.2">
      <c r="A84" s="3">
        <v>2</v>
      </c>
      <c r="B84" s="4"/>
      <c r="C84" s="4" t="s">
        <v>976</v>
      </c>
      <c r="D84" s="4" t="s">
        <v>687</v>
      </c>
      <c r="E84" s="5">
        <v>-8400</v>
      </c>
      <c r="F84" s="6">
        <v>-68.023200000000003</v>
      </c>
      <c r="G84" s="7">
        <v>-2.03791E-3</v>
      </c>
      <c r="H84" s="39"/>
    </row>
    <row r="85" spans="1:8" x14ac:dyDescent="0.2">
      <c r="A85" s="3">
        <v>3</v>
      </c>
      <c r="B85" s="4"/>
      <c r="C85" s="4" t="s">
        <v>992</v>
      </c>
      <c r="D85" s="4" t="s">
        <v>687</v>
      </c>
      <c r="E85" s="5">
        <v>-1600</v>
      </c>
      <c r="F85" s="6">
        <v>-70.875200000000007</v>
      </c>
      <c r="G85" s="7">
        <v>-2.12335E-3</v>
      </c>
      <c r="H85" s="39"/>
    </row>
    <row r="86" spans="1:8" x14ac:dyDescent="0.2">
      <c r="A86" s="3">
        <v>4</v>
      </c>
      <c r="B86" s="4"/>
      <c r="C86" s="4" t="s">
        <v>983</v>
      </c>
      <c r="D86" s="4" t="s">
        <v>687</v>
      </c>
      <c r="E86" s="5">
        <v>-17850</v>
      </c>
      <c r="F86" s="6">
        <v>-133.79467500000001</v>
      </c>
      <c r="G86" s="7">
        <v>-4.0083599999999999E-3</v>
      </c>
      <c r="H86" s="39"/>
    </row>
    <row r="87" spans="1:8" ht="25.5" x14ac:dyDescent="0.2">
      <c r="A87" s="3">
        <v>5</v>
      </c>
      <c r="B87" s="4"/>
      <c r="C87" s="4" t="s">
        <v>958</v>
      </c>
      <c r="D87" s="4" t="s">
        <v>687</v>
      </c>
      <c r="E87" s="5">
        <v>-26400</v>
      </c>
      <c r="F87" s="6">
        <v>-142.5864</v>
      </c>
      <c r="G87" s="7">
        <v>-4.2717500000000004E-3</v>
      </c>
      <c r="H87" s="39"/>
    </row>
    <row r="88" spans="1:8" x14ac:dyDescent="0.2">
      <c r="A88" s="3">
        <v>6</v>
      </c>
      <c r="B88" s="4"/>
      <c r="C88" s="4" t="s">
        <v>959</v>
      </c>
      <c r="D88" s="4" t="s">
        <v>687</v>
      </c>
      <c r="E88" s="5">
        <v>-8050</v>
      </c>
      <c r="F88" s="6">
        <v>-142.883475</v>
      </c>
      <c r="G88" s="7">
        <v>-4.2806499999999996E-3</v>
      </c>
      <c r="H88" s="39"/>
    </row>
    <row r="89" spans="1:8" x14ac:dyDescent="0.2">
      <c r="A89" s="3">
        <v>7</v>
      </c>
      <c r="B89" s="4"/>
      <c r="C89" s="4" t="s">
        <v>966</v>
      </c>
      <c r="D89" s="4" t="s">
        <v>687</v>
      </c>
      <c r="E89" s="5">
        <v>-40000</v>
      </c>
      <c r="F89" s="6">
        <v>-144.54</v>
      </c>
      <c r="G89" s="7">
        <v>-4.3302800000000006E-3</v>
      </c>
      <c r="H89" s="39"/>
    </row>
    <row r="90" spans="1:8" x14ac:dyDescent="0.2">
      <c r="A90" s="3">
        <v>8</v>
      </c>
      <c r="B90" s="4"/>
      <c r="C90" s="4" t="s">
        <v>1001</v>
      </c>
      <c r="D90" s="4" t="s">
        <v>687</v>
      </c>
      <c r="E90" s="5">
        <v>-150000</v>
      </c>
      <c r="F90" s="6">
        <v>-146.85</v>
      </c>
      <c r="G90" s="7">
        <v>-4.3994799999999999E-3</v>
      </c>
      <c r="H90" s="39"/>
    </row>
    <row r="91" spans="1:8" x14ac:dyDescent="0.2">
      <c r="A91" s="3">
        <v>9</v>
      </c>
      <c r="B91" s="4"/>
      <c r="C91" s="4" t="s">
        <v>967</v>
      </c>
      <c r="D91" s="4" t="s">
        <v>687</v>
      </c>
      <c r="E91" s="5">
        <v>-1200</v>
      </c>
      <c r="F91" s="6">
        <v>-205.80600000000001</v>
      </c>
      <c r="G91" s="7">
        <v>-6.1657500000000002E-3</v>
      </c>
      <c r="H91" s="39"/>
    </row>
    <row r="92" spans="1:8" x14ac:dyDescent="0.2">
      <c r="A92" s="3">
        <v>10</v>
      </c>
      <c r="B92" s="4"/>
      <c r="C92" s="4" t="s">
        <v>1002</v>
      </c>
      <c r="D92" s="4" t="s">
        <v>687</v>
      </c>
      <c r="E92" s="5">
        <v>-31725</v>
      </c>
      <c r="F92" s="6">
        <v>-248.12122500000001</v>
      </c>
      <c r="G92" s="7">
        <v>-7.4334700000000002E-3</v>
      </c>
      <c r="H92" s="39"/>
    </row>
    <row r="93" spans="1:8" x14ac:dyDescent="0.2">
      <c r="A93" s="3">
        <v>11</v>
      </c>
      <c r="B93" s="4"/>
      <c r="C93" s="4" t="s">
        <v>1000</v>
      </c>
      <c r="D93" s="4" t="s">
        <v>687</v>
      </c>
      <c r="E93" s="5">
        <v>-33250</v>
      </c>
      <c r="F93" s="6">
        <v>-251.80224999999999</v>
      </c>
      <c r="G93" s="7">
        <v>-7.5437500000000001E-3</v>
      </c>
      <c r="H93" s="39"/>
    </row>
    <row r="94" spans="1:8" x14ac:dyDescent="0.2">
      <c r="A94" s="3">
        <v>12</v>
      </c>
      <c r="B94" s="4"/>
      <c r="C94" s="4" t="s">
        <v>974</v>
      </c>
      <c r="D94" s="4" t="s">
        <v>687</v>
      </c>
      <c r="E94" s="5">
        <v>-10000</v>
      </c>
      <c r="F94" s="6">
        <v>-265.04500000000002</v>
      </c>
      <c r="G94" s="7">
        <v>-7.9404899999999997E-3</v>
      </c>
      <c r="H94" s="39"/>
    </row>
    <row r="95" spans="1:8" x14ac:dyDescent="0.2">
      <c r="A95" s="3">
        <v>13</v>
      </c>
      <c r="B95" s="4"/>
      <c r="C95" s="4" t="s">
        <v>970</v>
      </c>
      <c r="D95" s="4" t="s">
        <v>687</v>
      </c>
      <c r="E95" s="5">
        <v>-34800</v>
      </c>
      <c r="F95" s="6">
        <v>-265.59359999999998</v>
      </c>
      <c r="G95" s="7">
        <v>-7.9569199999999993E-3</v>
      </c>
      <c r="H95" s="39"/>
    </row>
    <row r="96" spans="1:8" x14ac:dyDescent="0.2">
      <c r="A96" s="3">
        <v>14</v>
      </c>
      <c r="B96" s="4"/>
      <c r="C96" s="4" t="s">
        <v>973</v>
      </c>
      <c r="D96" s="4" t="s">
        <v>687</v>
      </c>
      <c r="E96" s="5">
        <v>-60000</v>
      </c>
      <c r="F96" s="6">
        <v>-320.76</v>
      </c>
      <c r="G96" s="7">
        <v>-9.6096499999999991E-3</v>
      </c>
      <c r="H96" s="39"/>
    </row>
    <row r="97" spans="1:8" x14ac:dyDescent="0.2">
      <c r="A97" s="3">
        <v>15</v>
      </c>
      <c r="B97" s="4"/>
      <c r="C97" s="4" t="s">
        <v>988</v>
      </c>
      <c r="D97" s="4" t="s">
        <v>687</v>
      </c>
      <c r="E97" s="5">
        <v>-46750</v>
      </c>
      <c r="F97" s="6">
        <v>-342.02300000000002</v>
      </c>
      <c r="G97" s="7">
        <v>-1.0246669999999999E-2</v>
      </c>
      <c r="H97" s="39"/>
    </row>
    <row r="98" spans="1:8" x14ac:dyDescent="0.2">
      <c r="A98" s="3">
        <v>16</v>
      </c>
      <c r="B98" s="4"/>
      <c r="C98" s="4" t="s">
        <v>997</v>
      </c>
      <c r="D98" s="4" t="s">
        <v>687</v>
      </c>
      <c r="E98" s="5">
        <v>-26775</v>
      </c>
      <c r="F98" s="6">
        <v>-352.10463750000002</v>
      </c>
      <c r="G98" s="7">
        <v>-1.0548709999999999E-2</v>
      </c>
      <c r="H98" s="39"/>
    </row>
    <row r="99" spans="1:8" x14ac:dyDescent="0.2">
      <c r="A99" s="3">
        <v>17</v>
      </c>
      <c r="B99" s="4"/>
      <c r="C99" s="4" t="s">
        <v>999</v>
      </c>
      <c r="D99" s="4" t="s">
        <v>687</v>
      </c>
      <c r="E99" s="5">
        <v>-40000</v>
      </c>
      <c r="F99" s="6">
        <v>-356.22</v>
      </c>
      <c r="G99" s="7">
        <v>-1.0671999999999999E-2</v>
      </c>
      <c r="H99" s="39"/>
    </row>
    <row r="100" spans="1:8" x14ac:dyDescent="0.2">
      <c r="A100" s="3">
        <v>18</v>
      </c>
      <c r="B100" s="4"/>
      <c r="C100" s="4" t="s">
        <v>1003</v>
      </c>
      <c r="D100" s="4" t="s">
        <v>687</v>
      </c>
      <c r="E100" s="5">
        <v>-18000</v>
      </c>
      <c r="F100" s="6">
        <v>-458.928</v>
      </c>
      <c r="G100" s="7">
        <v>-1.3749030000000001E-2</v>
      </c>
      <c r="H100" s="39"/>
    </row>
    <row r="101" spans="1:8" ht="25.5" x14ac:dyDescent="0.2">
      <c r="A101" s="3">
        <v>19</v>
      </c>
      <c r="B101" s="4"/>
      <c r="C101" s="4" t="s">
        <v>1004</v>
      </c>
      <c r="D101" s="4" t="s">
        <v>687</v>
      </c>
      <c r="E101" s="5">
        <v>-9750</v>
      </c>
      <c r="F101" s="6">
        <v>-603.82725000000005</v>
      </c>
      <c r="G101" s="7">
        <v>-1.809007E-2</v>
      </c>
      <c r="H101" s="39"/>
    </row>
    <row r="102" spans="1:8" x14ac:dyDescent="0.2">
      <c r="A102" s="3">
        <v>20</v>
      </c>
      <c r="B102" s="4"/>
      <c r="C102" s="4" t="s">
        <v>982</v>
      </c>
      <c r="D102" s="4" t="s">
        <v>687</v>
      </c>
      <c r="E102" s="5">
        <v>-589500</v>
      </c>
      <c r="F102" s="6">
        <v>-695.02049999999997</v>
      </c>
      <c r="G102" s="7">
        <v>-2.0822129999999998E-2</v>
      </c>
      <c r="H102" s="39"/>
    </row>
    <row r="103" spans="1:8" x14ac:dyDescent="0.2">
      <c r="A103" s="3">
        <v>21</v>
      </c>
      <c r="B103" s="4"/>
      <c r="C103" s="4" t="s">
        <v>969</v>
      </c>
      <c r="D103" s="4" t="s">
        <v>687</v>
      </c>
      <c r="E103" s="5">
        <v>-42600</v>
      </c>
      <c r="F103" s="6">
        <v>-875.45129999999995</v>
      </c>
      <c r="G103" s="7">
        <v>-2.622766E-2</v>
      </c>
      <c r="H103" s="39"/>
    </row>
    <row r="104" spans="1:8" ht="25.5" x14ac:dyDescent="0.2">
      <c r="A104" s="3">
        <v>22</v>
      </c>
      <c r="B104" s="4"/>
      <c r="C104" s="4" t="s">
        <v>964</v>
      </c>
      <c r="D104" s="4" t="s">
        <v>687</v>
      </c>
      <c r="E104" s="5">
        <v>-40500</v>
      </c>
      <c r="F104" s="6">
        <v>-973.17449999999997</v>
      </c>
      <c r="G104" s="7">
        <v>-2.9155350000000003E-2</v>
      </c>
      <c r="H104" s="39"/>
    </row>
    <row r="105" spans="1:8" x14ac:dyDescent="0.2">
      <c r="A105" s="3">
        <v>23</v>
      </c>
      <c r="B105" s="4"/>
      <c r="C105" s="4" t="s">
        <v>998</v>
      </c>
      <c r="D105" s="4" t="s">
        <v>687</v>
      </c>
      <c r="E105" s="5">
        <v>-96600</v>
      </c>
      <c r="F105" s="6">
        <v>-1453.2503999999999</v>
      </c>
      <c r="G105" s="7">
        <v>-4.3537949999999999E-2</v>
      </c>
      <c r="H105" s="39"/>
    </row>
    <row r="106" spans="1:8" x14ac:dyDescent="0.2">
      <c r="A106" s="3">
        <v>24</v>
      </c>
      <c r="B106" s="4"/>
      <c r="C106" s="4" t="s">
        <v>989</v>
      </c>
      <c r="D106" s="4" t="s">
        <v>687</v>
      </c>
      <c r="E106" s="5">
        <v>-48150</v>
      </c>
      <c r="F106" s="6">
        <v>-1491.4221749999999</v>
      </c>
      <c r="G106" s="7">
        <v>-4.4681539999999999E-2</v>
      </c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9">
        <v>-10036.2971875</v>
      </c>
      <c r="G107" s="10">
        <v>-0.30067758500000002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118</v>
      </c>
      <c r="D109" s="1"/>
      <c r="E109" s="1"/>
      <c r="F109" s="9">
        <v>23204.079204499991</v>
      </c>
      <c r="G109" s="10">
        <v>0.69517138099999976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119</v>
      </c>
      <c r="D111" s="1"/>
      <c r="E111" s="1"/>
      <c r="F111" s="12"/>
      <c r="G111" s="12"/>
      <c r="H111" s="39"/>
    </row>
    <row r="112" spans="1:8" ht="25.5" x14ac:dyDescent="0.2">
      <c r="A112" s="1"/>
      <c r="B112" s="1"/>
      <c r="C112" s="2" t="s">
        <v>10</v>
      </c>
      <c r="D112" s="1"/>
      <c r="E112" s="1"/>
      <c r="F112" s="12"/>
      <c r="G112" s="12"/>
      <c r="H112" s="39"/>
    </row>
    <row r="113" spans="1:8" ht="25.5" x14ac:dyDescent="0.2">
      <c r="A113" s="3">
        <v>1</v>
      </c>
      <c r="B113" s="4" t="s">
        <v>643</v>
      </c>
      <c r="C113" s="4" t="s">
        <v>644</v>
      </c>
      <c r="D113" s="4" t="s">
        <v>594</v>
      </c>
      <c r="E113" s="5">
        <v>50</v>
      </c>
      <c r="F113" s="6">
        <v>499.49650000000003</v>
      </c>
      <c r="G113" s="7">
        <v>1.4964424E-2</v>
      </c>
      <c r="H113" s="39">
        <v>5.5</v>
      </c>
    </row>
    <row r="114" spans="1:8" x14ac:dyDescent="0.2">
      <c r="A114" s="3">
        <v>2</v>
      </c>
      <c r="B114" s="4" t="s">
        <v>790</v>
      </c>
      <c r="C114" s="4" t="s">
        <v>791</v>
      </c>
      <c r="D114" s="4" t="s">
        <v>591</v>
      </c>
      <c r="E114" s="5">
        <v>20</v>
      </c>
      <c r="F114" s="6">
        <v>205.3312</v>
      </c>
      <c r="G114" s="7">
        <v>6.1515210000000001E-3</v>
      </c>
      <c r="H114" s="39">
        <v>4.8550000000000004</v>
      </c>
    </row>
    <row r="115" spans="1:8" ht="25.5" x14ac:dyDescent="0.2">
      <c r="A115" s="3">
        <v>3</v>
      </c>
      <c r="B115" s="4" t="s">
        <v>744</v>
      </c>
      <c r="C115" s="4" t="s">
        <v>745</v>
      </c>
      <c r="D115" s="4" t="s">
        <v>591</v>
      </c>
      <c r="E115" s="5">
        <v>5</v>
      </c>
      <c r="F115" s="6">
        <v>52.594700000000003</v>
      </c>
      <c r="G115" s="7">
        <v>1.5756850000000001E-3</v>
      </c>
      <c r="H115" s="39">
        <v>5.32</v>
      </c>
    </row>
    <row r="116" spans="1:8" x14ac:dyDescent="0.2">
      <c r="A116" s="3">
        <v>4</v>
      </c>
      <c r="B116" s="4" t="s">
        <v>746</v>
      </c>
      <c r="C116" s="4" t="s">
        <v>747</v>
      </c>
      <c r="D116" s="4" t="s">
        <v>591</v>
      </c>
      <c r="E116" s="5">
        <v>5</v>
      </c>
      <c r="F116" s="6">
        <v>51.838099999999997</v>
      </c>
      <c r="G116" s="7">
        <v>1.553018E-3</v>
      </c>
      <c r="H116" s="39">
        <v>4.97</v>
      </c>
    </row>
    <row r="117" spans="1:8" x14ac:dyDescent="0.2">
      <c r="A117" s="3">
        <v>5</v>
      </c>
      <c r="B117" s="4" t="s">
        <v>626</v>
      </c>
      <c r="C117" s="4" t="s">
        <v>627</v>
      </c>
      <c r="D117" s="4" t="s">
        <v>591</v>
      </c>
      <c r="E117" s="5">
        <v>5</v>
      </c>
      <c r="F117" s="6">
        <v>50.890099999999997</v>
      </c>
      <c r="G117" s="7">
        <v>1.524617E-3</v>
      </c>
      <c r="H117" s="39">
        <v>4.7</v>
      </c>
    </row>
    <row r="118" spans="1:8" ht="25.5" x14ac:dyDescent="0.2">
      <c r="A118" s="3">
        <v>6</v>
      </c>
      <c r="B118" s="4" t="s">
        <v>630</v>
      </c>
      <c r="C118" s="4" t="s">
        <v>631</v>
      </c>
      <c r="D118" s="4" t="s">
        <v>1050</v>
      </c>
      <c r="E118" s="5">
        <v>5</v>
      </c>
      <c r="F118" s="6">
        <v>50.776699999999998</v>
      </c>
      <c r="G118" s="7">
        <v>1.52122E-3</v>
      </c>
      <c r="H118" s="39">
        <v>5.1349999999999998</v>
      </c>
    </row>
    <row r="119" spans="1:8" ht="25.5" x14ac:dyDescent="0.2">
      <c r="A119" s="3">
        <v>7</v>
      </c>
      <c r="B119" s="4" t="s">
        <v>781</v>
      </c>
      <c r="C119" s="4" t="s">
        <v>782</v>
      </c>
      <c r="D119" s="4" t="s">
        <v>591</v>
      </c>
      <c r="E119" s="5">
        <v>1640</v>
      </c>
      <c r="F119" s="6">
        <v>0.47407643999999999</v>
      </c>
      <c r="G119" s="8" t="s">
        <v>110</v>
      </c>
      <c r="H119" s="39">
        <v>5.65</v>
      </c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9">
        <v>911.40137644000004</v>
      </c>
      <c r="G120" s="10">
        <v>2.7290485E-2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120</v>
      </c>
      <c r="D122" s="1"/>
      <c r="E122" s="1"/>
      <c r="F122" s="1"/>
      <c r="G122" s="1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9">
        <v>0</v>
      </c>
      <c r="G123" s="10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121</v>
      </c>
      <c r="D125" s="1"/>
      <c r="E125" s="1"/>
      <c r="F125" s="1"/>
      <c r="G125" s="1"/>
      <c r="H125" s="39"/>
    </row>
    <row r="126" spans="1:8" ht="25.5" x14ac:dyDescent="0.2">
      <c r="A126" s="3">
        <v>1</v>
      </c>
      <c r="B126" s="4" t="s">
        <v>752</v>
      </c>
      <c r="C126" s="4" t="s">
        <v>753</v>
      </c>
      <c r="D126" s="4" t="s">
        <v>647</v>
      </c>
      <c r="E126" s="5">
        <v>1500000</v>
      </c>
      <c r="F126" s="6">
        <v>1480.4849999999999</v>
      </c>
      <c r="G126" s="7">
        <v>4.4353874000000001E-2</v>
      </c>
      <c r="H126" s="39">
        <v>5.6665000000000001</v>
      </c>
    </row>
    <row r="127" spans="1:8" ht="25.5" x14ac:dyDescent="0.2">
      <c r="A127" s="3">
        <v>2</v>
      </c>
      <c r="B127" s="4" t="s">
        <v>792</v>
      </c>
      <c r="C127" s="4" t="s">
        <v>793</v>
      </c>
      <c r="D127" s="4" t="s">
        <v>647</v>
      </c>
      <c r="E127" s="5">
        <v>500000</v>
      </c>
      <c r="F127" s="6">
        <v>488.87599999999998</v>
      </c>
      <c r="G127" s="7">
        <v>1.4646243999999999E-2</v>
      </c>
      <c r="H127" s="39">
        <v>5.8413000000000004</v>
      </c>
    </row>
    <row r="128" spans="1:8" ht="25.5" x14ac:dyDescent="0.2">
      <c r="A128" s="3">
        <v>3</v>
      </c>
      <c r="B128" s="4" t="s">
        <v>794</v>
      </c>
      <c r="C128" s="4" t="s">
        <v>795</v>
      </c>
      <c r="D128" s="4" t="s">
        <v>647</v>
      </c>
      <c r="E128" s="5">
        <v>100000</v>
      </c>
      <c r="F128" s="6">
        <v>106.2693</v>
      </c>
      <c r="G128" s="7">
        <v>3.1837240000000002E-3</v>
      </c>
      <c r="H128" s="39">
        <v>5.9279999999999999</v>
      </c>
    </row>
    <row r="129" spans="1:15" ht="25.5" x14ac:dyDescent="0.2">
      <c r="A129" s="3">
        <v>4</v>
      </c>
      <c r="B129" s="4" t="s">
        <v>650</v>
      </c>
      <c r="C129" s="4" t="s">
        <v>651</v>
      </c>
      <c r="D129" s="4" t="s">
        <v>647</v>
      </c>
      <c r="E129" s="5">
        <v>50000</v>
      </c>
      <c r="F129" s="6">
        <v>50.952649999999998</v>
      </c>
      <c r="G129" s="7">
        <v>1.526491E-3</v>
      </c>
      <c r="H129" s="39">
        <v>5.38</v>
      </c>
    </row>
    <row r="130" spans="1:15" x14ac:dyDescent="0.2">
      <c r="A130" s="1"/>
      <c r="B130" s="1"/>
      <c r="C130" s="2" t="s">
        <v>111</v>
      </c>
      <c r="D130" s="1"/>
      <c r="E130" s="1" t="s">
        <v>112</v>
      </c>
      <c r="F130" s="9">
        <v>2126.58295</v>
      </c>
      <c r="G130" s="10">
        <v>6.3710332999999994E-2</v>
      </c>
      <c r="H130" s="39"/>
    </row>
    <row r="131" spans="1:15" x14ac:dyDescent="0.2">
      <c r="A131" s="1"/>
      <c r="B131" s="1"/>
      <c r="C131" s="11"/>
      <c r="D131" s="1"/>
      <c r="E131" s="1"/>
      <c r="F131" s="12"/>
      <c r="G131" s="12"/>
      <c r="H131" s="39"/>
    </row>
    <row r="132" spans="1:15" x14ac:dyDescent="0.2">
      <c r="A132" s="1"/>
      <c r="B132" s="1"/>
      <c r="C132" s="2" t="s">
        <v>122</v>
      </c>
      <c r="D132" s="1"/>
      <c r="E132" s="1"/>
      <c r="F132" s="12"/>
      <c r="G132" s="12"/>
      <c r="H132" s="39"/>
    </row>
    <row r="133" spans="1:15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39"/>
    </row>
    <row r="134" spans="1:15" x14ac:dyDescent="0.2">
      <c r="A134" s="1"/>
      <c r="B134" s="1"/>
      <c r="C134" s="11"/>
      <c r="D134" s="1"/>
      <c r="E134" s="1"/>
      <c r="F134" s="12"/>
      <c r="G134" s="12"/>
      <c r="H134" s="39"/>
    </row>
    <row r="135" spans="1:15" x14ac:dyDescent="0.2">
      <c r="A135" s="1"/>
      <c r="B135" s="1"/>
      <c r="C135" s="2" t="s">
        <v>123</v>
      </c>
      <c r="D135" s="1"/>
      <c r="E135" s="1"/>
      <c r="F135" s="9">
        <v>3037.9843264400001</v>
      </c>
      <c r="G135" s="10">
        <v>9.1015021000000002E-2</v>
      </c>
      <c r="H135" s="39"/>
    </row>
    <row r="136" spans="1:15" x14ac:dyDescent="0.2">
      <c r="A136" s="1"/>
      <c r="B136" s="1"/>
      <c r="C136" s="11"/>
      <c r="D136" s="1"/>
      <c r="E136" s="1"/>
      <c r="F136" s="12"/>
      <c r="G136" s="12"/>
      <c r="H136" s="39"/>
    </row>
    <row r="137" spans="1:15" x14ac:dyDescent="0.2">
      <c r="A137" s="1"/>
      <c r="B137" s="1"/>
      <c r="C137" s="2" t="s">
        <v>124</v>
      </c>
      <c r="D137" s="1"/>
      <c r="E137" s="1"/>
      <c r="F137" s="12"/>
      <c r="G137" s="12"/>
      <c r="H137" s="39"/>
    </row>
    <row r="138" spans="1:15" x14ac:dyDescent="0.2">
      <c r="A138" s="1"/>
      <c r="B138" s="1"/>
      <c r="C138" s="2" t="s">
        <v>125</v>
      </c>
      <c r="D138" s="1"/>
      <c r="E138" s="1"/>
      <c r="F138" s="12"/>
      <c r="G138" s="12"/>
      <c r="H138" s="39"/>
    </row>
    <row r="139" spans="1:15" x14ac:dyDescent="0.2">
      <c r="A139" s="1"/>
      <c r="B139" s="1"/>
      <c r="C139" s="2" t="s">
        <v>111</v>
      </c>
      <c r="D139" s="1"/>
      <c r="E139" s="1" t="s">
        <v>112</v>
      </c>
      <c r="F139" s="13">
        <v>0</v>
      </c>
      <c r="G139" s="14">
        <v>0</v>
      </c>
      <c r="H139" s="39"/>
      <c r="J139" s="41"/>
      <c r="K139" s="41"/>
      <c r="L139" s="41"/>
      <c r="M139" s="41"/>
      <c r="N139" s="41"/>
      <c r="O139" s="41"/>
    </row>
    <row r="140" spans="1:15" x14ac:dyDescent="0.2">
      <c r="A140" s="1"/>
      <c r="B140" s="1"/>
      <c r="C140" s="11"/>
      <c r="D140" s="1"/>
      <c r="E140" s="1"/>
      <c r="F140" s="12"/>
      <c r="G140" s="12"/>
      <c r="H140" s="39"/>
    </row>
    <row r="141" spans="1:15" x14ac:dyDescent="0.2">
      <c r="A141" s="1"/>
      <c r="B141" s="1"/>
      <c r="C141" s="2" t="s">
        <v>126</v>
      </c>
      <c r="D141" s="1"/>
      <c r="E141" s="1"/>
      <c r="F141" s="12"/>
      <c r="G141" s="12"/>
      <c r="H141" s="39"/>
    </row>
    <row r="142" spans="1:15" x14ac:dyDescent="0.2">
      <c r="A142" s="1"/>
      <c r="B142" s="1"/>
      <c r="C142" s="2" t="s">
        <v>111</v>
      </c>
      <c r="D142" s="1"/>
      <c r="E142" s="1" t="s">
        <v>112</v>
      </c>
      <c r="F142" s="13">
        <v>0</v>
      </c>
      <c r="G142" s="14">
        <v>0</v>
      </c>
      <c r="H142" s="39"/>
    </row>
    <row r="143" spans="1:15" x14ac:dyDescent="0.2">
      <c r="A143" s="1"/>
      <c r="B143" s="1"/>
      <c r="C143" s="11"/>
      <c r="D143" s="1"/>
      <c r="E143" s="1"/>
      <c r="F143" s="12"/>
      <c r="G143" s="12"/>
      <c r="H143" s="39"/>
    </row>
    <row r="144" spans="1:15" x14ac:dyDescent="0.2">
      <c r="A144" s="1"/>
      <c r="B144" s="1"/>
      <c r="C144" s="2" t="s">
        <v>127</v>
      </c>
      <c r="D144" s="1"/>
      <c r="E144" s="1"/>
      <c r="F144" s="12"/>
      <c r="G144" s="12"/>
      <c r="H144" s="39"/>
    </row>
    <row r="145" spans="1:15" x14ac:dyDescent="0.2">
      <c r="A145" s="1"/>
      <c r="B145" s="1"/>
      <c r="C145" s="2" t="s">
        <v>111</v>
      </c>
      <c r="D145" s="1"/>
      <c r="E145" s="1" t="s">
        <v>112</v>
      </c>
      <c r="F145" s="13">
        <v>0</v>
      </c>
      <c r="G145" s="14">
        <v>0</v>
      </c>
      <c r="H145" s="39"/>
    </row>
    <row r="146" spans="1:15" x14ac:dyDescent="0.2">
      <c r="A146" s="1"/>
      <c r="B146" s="1"/>
      <c r="C146" s="11"/>
      <c r="D146" s="1"/>
      <c r="E146" s="1"/>
      <c r="F146" s="12"/>
      <c r="G146" s="12"/>
      <c r="H146" s="39"/>
    </row>
    <row r="147" spans="1:15" x14ac:dyDescent="0.2">
      <c r="A147" s="1"/>
      <c r="B147" s="1"/>
      <c r="C147" s="2" t="s">
        <v>128</v>
      </c>
      <c r="D147" s="1"/>
      <c r="E147" s="1"/>
      <c r="F147" s="12"/>
      <c r="G147" s="12"/>
      <c r="H147" s="39"/>
    </row>
    <row r="148" spans="1:15" x14ac:dyDescent="0.2">
      <c r="A148" s="3">
        <v>1</v>
      </c>
      <c r="B148" s="4"/>
      <c r="C148" s="4" t="s">
        <v>129</v>
      </c>
      <c r="D148" s="4"/>
      <c r="E148" s="8"/>
      <c r="F148" s="6">
        <v>2337.6205891999998</v>
      </c>
      <c r="G148" s="7">
        <v>7.0032812999999999E-2</v>
      </c>
      <c r="H148" s="39">
        <v>3.6151121728634927</v>
      </c>
    </row>
    <row r="149" spans="1:15" x14ac:dyDescent="0.2">
      <c r="A149" s="3">
        <v>2</v>
      </c>
      <c r="B149" s="4"/>
      <c r="C149" s="4" t="s">
        <v>130</v>
      </c>
      <c r="D149" s="4"/>
      <c r="E149" s="8"/>
      <c r="F149" s="6">
        <v>826.52893979999999</v>
      </c>
      <c r="G149" s="7">
        <v>2.4761993999999999E-2</v>
      </c>
      <c r="H149" s="39">
        <v>3.7142625760646584</v>
      </c>
    </row>
    <row r="150" spans="1:15" x14ac:dyDescent="0.2">
      <c r="A150" s="1"/>
      <c r="B150" s="1"/>
      <c r="C150" s="2" t="s">
        <v>111</v>
      </c>
      <c r="D150" s="1"/>
      <c r="E150" s="1" t="s">
        <v>112</v>
      </c>
      <c r="F150" s="9">
        <v>3164.1495289999998</v>
      </c>
      <c r="G150" s="10">
        <v>9.4794806999999995E-2</v>
      </c>
      <c r="H150" s="39"/>
    </row>
    <row r="151" spans="1:15" x14ac:dyDescent="0.2">
      <c r="A151" s="1"/>
      <c r="B151" s="1"/>
      <c r="C151" s="11"/>
      <c r="D151" s="1"/>
      <c r="E151" s="1"/>
      <c r="F151" s="12"/>
      <c r="G151" s="12"/>
      <c r="H151" s="39"/>
    </row>
    <row r="152" spans="1:15" x14ac:dyDescent="0.2">
      <c r="A152" s="1"/>
      <c r="B152" s="1"/>
      <c r="C152" s="2" t="s">
        <v>131</v>
      </c>
      <c r="D152" s="1"/>
      <c r="E152" s="1"/>
      <c r="F152" s="9">
        <v>3164.1495289999998</v>
      </c>
      <c r="G152" s="10">
        <v>9.4794806999999995E-2</v>
      </c>
      <c r="H152" s="39"/>
    </row>
    <row r="153" spans="1:15" x14ac:dyDescent="0.2">
      <c r="A153" s="1"/>
      <c r="B153" s="1"/>
      <c r="C153" s="12"/>
      <c r="D153" s="1"/>
      <c r="E153" s="1"/>
      <c r="F153" s="1"/>
      <c r="G153" s="1"/>
      <c r="H153" s="39"/>
    </row>
    <row r="154" spans="1:15" x14ac:dyDescent="0.2">
      <c r="A154" s="1"/>
      <c r="B154" s="1"/>
      <c r="C154" s="2" t="s">
        <v>132</v>
      </c>
      <c r="D154" s="1"/>
      <c r="E154" s="1"/>
      <c r="F154" s="1"/>
      <c r="G154" s="1"/>
      <c r="H154" s="39"/>
      <c r="J154" s="101"/>
      <c r="K154" s="101"/>
      <c r="L154" s="101"/>
      <c r="M154" s="101"/>
      <c r="N154" s="101"/>
      <c r="O154" s="101"/>
    </row>
    <row r="155" spans="1:15" x14ac:dyDescent="0.2">
      <c r="A155" s="1"/>
      <c r="B155" s="1"/>
      <c r="C155" s="2" t="s">
        <v>133</v>
      </c>
      <c r="D155" s="1"/>
      <c r="E155" s="1"/>
      <c r="F155" s="1"/>
      <c r="G155" s="1"/>
      <c r="H155" s="39"/>
    </row>
    <row r="156" spans="1:15" x14ac:dyDescent="0.2">
      <c r="A156" s="1"/>
      <c r="B156" s="1"/>
      <c r="C156" s="2" t="s">
        <v>111</v>
      </c>
      <c r="D156" s="1"/>
      <c r="E156" s="1" t="s">
        <v>112</v>
      </c>
      <c r="F156" s="13">
        <v>0</v>
      </c>
      <c r="G156" s="14">
        <v>0</v>
      </c>
      <c r="H156" s="39"/>
    </row>
    <row r="157" spans="1:15" x14ac:dyDescent="0.2">
      <c r="A157" s="1"/>
      <c r="B157" s="1"/>
      <c r="C157" s="11"/>
      <c r="D157" s="1"/>
      <c r="E157" s="1"/>
      <c r="F157" s="12"/>
      <c r="G157" s="12"/>
      <c r="H157" s="39"/>
    </row>
    <row r="158" spans="1:15" x14ac:dyDescent="0.2">
      <c r="A158" s="1"/>
      <c r="B158" s="1"/>
      <c r="C158" s="2" t="s">
        <v>134</v>
      </c>
      <c r="D158" s="1"/>
      <c r="E158" s="1"/>
      <c r="F158" s="1"/>
      <c r="G158" s="1"/>
      <c r="H158" s="39"/>
    </row>
    <row r="159" spans="1:15" x14ac:dyDescent="0.2">
      <c r="A159" s="1"/>
      <c r="B159" s="1"/>
      <c r="C159" s="2" t="s">
        <v>135</v>
      </c>
      <c r="D159" s="1"/>
      <c r="E159" s="1"/>
      <c r="F159" s="1"/>
      <c r="G159" s="1"/>
      <c r="H159" s="39"/>
    </row>
    <row r="160" spans="1:15" x14ac:dyDescent="0.2">
      <c r="A160" s="1"/>
      <c r="B160" s="1"/>
      <c r="C160" s="2" t="s">
        <v>111</v>
      </c>
      <c r="D160" s="1"/>
      <c r="E160" s="1" t="s">
        <v>112</v>
      </c>
      <c r="F160" s="13">
        <v>0</v>
      </c>
      <c r="G160" s="14">
        <v>0</v>
      </c>
      <c r="H160" s="39"/>
    </row>
    <row r="161" spans="1:15" x14ac:dyDescent="0.2">
      <c r="A161" s="1"/>
      <c r="B161" s="1"/>
      <c r="C161" s="11"/>
      <c r="D161" s="1"/>
      <c r="E161" s="1"/>
      <c r="F161" s="12"/>
      <c r="G161" s="12"/>
      <c r="H161" s="39"/>
    </row>
    <row r="162" spans="1:15" x14ac:dyDescent="0.2">
      <c r="A162" s="1"/>
      <c r="B162" s="1"/>
      <c r="C162" s="11"/>
      <c r="D162" s="1"/>
      <c r="E162" s="1"/>
      <c r="F162" s="12"/>
      <c r="G162" s="12"/>
      <c r="H162" s="39"/>
    </row>
    <row r="163" spans="1:15" ht="25.5" x14ac:dyDescent="0.2">
      <c r="A163" s="1"/>
      <c r="B163" s="1"/>
      <c r="C163" s="2" t="s">
        <v>136</v>
      </c>
      <c r="D163" s="1"/>
      <c r="E163" s="1"/>
      <c r="F163" s="12"/>
      <c r="G163" s="12"/>
      <c r="H163" s="39"/>
    </row>
    <row r="164" spans="1:15" x14ac:dyDescent="0.2">
      <c r="A164" s="1"/>
      <c r="B164" s="1"/>
      <c r="C164" s="2" t="s">
        <v>111</v>
      </c>
      <c r="D164" s="1"/>
      <c r="E164" s="1" t="s">
        <v>112</v>
      </c>
      <c r="F164" s="13">
        <v>0</v>
      </c>
      <c r="G164" s="14">
        <v>0</v>
      </c>
      <c r="H164" s="39"/>
    </row>
    <row r="165" spans="1:15" x14ac:dyDescent="0.2">
      <c r="A165" s="1"/>
      <c r="B165" s="1"/>
      <c r="C165" s="11"/>
      <c r="D165" s="1"/>
      <c r="E165" s="1"/>
      <c r="F165" s="12"/>
      <c r="G165" s="12"/>
      <c r="H165" s="39"/>
    </row>
    <row r="166" spans="1:15" x14ac:dyDescent="0.2">
      <c r="A166" s="8"/>
      <c r="B166" s="4"/>
      <c r="C166" s="4" t="s">
        <v>689</v>
      </c>
      <c r="D166" s="4"/>
      <c r="E166" s="8"/>
      <c r="F166" s="6">
        <v>3458.2473624999998</v>
      </c>
      <c r="G166" s="7">
        <v>0.10360568795320382</v>
      </c>
      <c r="H166" s="39"/>
    </row>
    <row r="167" spans="1:15" x14ac:dyDescent="0.2">
      <c r="A167" s="8"/>
      <c r="B167" s="4"/>
      <c r="C167" s="37" t="s">
        <v>1011</v>
      </c>
      <c r="D167" s="4"/>
      <c r="E167" s="8"/>
      <c r="F167" s="6">
        <v>514.47302050000053</v>
      </c>
      <c r="G167" s="7">
        <v>1.5413105436082087E-2</v>
      </c>
      <c r="H167" s="39"/>
    </row>
    <row r="168" spans="1:15" x14ac:dyDescent="0.2">
      <c r="A168" s="11"/>
      <c r="B168" s="11"/>
      <c r="C168" s="2" t="s">
        <v>138</v>
      </c>
      <c r="D168" s="15"/>
      <c r="E168" s="15"/>
      <c r="F168" s="9">
        <v>33378.93344293999</v>
      </c>
      <c r="G168" s="10">
        <v>1.0000000023892857</v>
      </c>
      <c r="H168" s="39"/>
    </row>
    <row r="169" spans="1:15" ht="14.1" customHeight="1" x14ac:dyDescent="0.2">
      <c r="A169" s="16"/>
      <c r="B169" s="16"/>
      <c r="C169" s="16"/>
      <c r="D169" s="17"/>
      <c r="E169" s="17"/>
      <c r="F169" s="17"/>
      <c r="G169" s="17"/>
    </row>
    <row r="170" spans="1:15" ht="17.100000000000001" customHeight="1" x14ac:dyDescent="0.2">
      <c r="A170" s="18"/>
      <c r="B170" s="197" t="s">
        <v>682</v>
      </c>
      <c r="C170" s="197"/>
      <c r="D170" s="197"/>
      <c r="E170" s="197"/>
      <c r="F170" s="197"/>
      <c r="G170" s="20"/>
    </row>
    <row r="171" spans="1:15" ht="17.100000000000001" customHeight="1" x14ac:dyDescent="0.2">
      <c r="A171" s="18"/>
      <c r="B171" s="197" t="s">
        <v>139</v>
      </c>
      <c r="C171" s="197"/>
      <c r="D171" s="197"/>
      <c r="E171" s="197"/>
      <c r="F171" s="197"/>
      <c r="G171" s="20"/>
    </row>
    <row r="172" spans="1:15" s="41" customFormat="1" ht="17.100000000000001" customHeight="1" x14ac:dyDescent="0.2">
      <c r="A172" s="42"/>
      <c r="B172" s="209" t="s">
        <v>1012</v>
      </c>
      <c r="C172" s="209"/>
      <c r="D172" s="209"/>
      <c r="E172" s="209"/>
      <c r="F172" s="209"/>
      <c r="G172" s="43"/>
      <c r="H172"/>
      <c r="J172"/>
      <c r="K172"/>
      <c r="L172"/>
      <c r="M172"/>
      <c r="N172"/>
      <c r="O172"/>
    </row>
    <row r="173" spans="1:15" ht="14.1" customHeight="1" x14ac:dyDescent="0.2">
      <c r="A173" s="18"/>
      <c r="B173" s="18"/>
      <c r="C173" s="18"/>
      <c r="D173" s="20"/>
      <c r="E173" s="20"/>
      <c r="F173" s="20"/>
      <c r="G173" s="20"/>
    </row>
    <row r="174" spans="1:15" ht="14.1" customHeight="1" x14ac:dyDescent="0.2">
      <c r="A174" s="18"/>
      <c r="B174" s="194" t="s">
        <v>140</v>
      </c>
      <c r="C174" s="195"/>
      <c r="D174" s="12" t="s">
        <v>112</v>
      </c>
      <c r="E174" s="21"/>
      <c r="F174" s="20"/>
      <c r="G174" s="20"/>
    </row>
    <row r="175" spans="1:15" ht="29.1" customHeight="1" x14ac:dyDescent="0.2">
      <c r="A175" s="18"/>
      <c r="B175" s="189" t="s">
        <v>141</v>
      </c>
      <c r="C175" s="190"/>
      <c r="D175" s="2" t="s">
        <v>142</v>
      </c>
      <c r="E175" s="21"/>
      <c r="F175" s="20"/>
      <c r="G175" s="20"/>
    </row>
    <row r="176" spans="1:15" ht="17.100000000000001" customHeight="1" x14ac:dyDescent="0.2">
      <c r="A176" s="18"/>
      <c r="B176" s="189" t="s">
        <v>143</v>
      </c>
      <c r="C176" s="190"/>
      <c r="D176" s="2" t="s">
        <v>142</v>
      </c>
      <c r="E176" s="21"/>
      <c r="F176" s="20"/>
      <c r="G176" s="20"/>
    </row>
    <row r="177" spans="1:7" ht="17.100000000000001" customHeight="1" x14ac:dyDescent="0.2">
      <c r="A177" s="18"/>
      <c r="B177" s="189" t="s">
        <v>144</v>
      </c>
      <c r="C177" s="190"/>
      <c r="D177" s="12" t="s">
        <v>112</v>
      </c>
      <c r="E177" s="21"/>
      <c r="F177" s="20"/>
      <c r="G177" s="20"/>
    </row>
    <row r="178" spans="1:7" ht="24" customHeight="1" x14ac:dyDescent="0.2">
      <c r="A178" s="22"/>
      <c r="B178" s="23" t="s">
        <v>112</v>
      </c>
      <c r="C178" s="23" t="s">
        <v>145</v>
      </c>
      <c r="D178" s="23" t="s">
        <v>146</v>
      </c>
      <c r="E178" s="22"/>
      <c r="F178" s="22"/>
      <c r="G178" s="22"/>
    </row>
    <row r="179" spans="1:7" ht="18" customHeight="1" x14ac:dyDescent="0.2">
      <c r="A179" s="22"/>
      <c r="B179" s="23" t="s">
        <v>147</v>
      </c>
      <c r="C179" s="23" t="s">
        <v>148</v>
      </c>
      <c r="D179" s="23" t="s">
        <v>149</v>
      </c>
      <c r="E179" s="22"/>
      <c r="F179" s="22"/>
      <c r="G179" s="22"/>
    </row>
    <row r="180" spans="1:7" ht="17.100000000000001" customHeight="1" x14ac:dyDescent="0.2">
      <c r="A180" s="22"/>
      <c r="B180" s="4" t="s">
        <v>150</v>
      </c>
      <c r="C180" s="24">
        <v>54.517499999999998</v>
      </c>
      <c r="D180" s="24">
        <v>55.244500000000002</v>
      </c>
      <c r="E180" s="22"/>
      <c r="F180" s="19"/>
      <c r="G180" s="25"/>
    </row>
    <row r="181" spans="1:7" ht="29.1" customHeight="1" x14ac:dyDescent="0.2">
      <c r="A181" s="22"/>
      <c r="B181" s="4" t="s">
        <v>1170</v>
      </c>
      <c r="C181" s="24">
        <v>14.440799999999999</v>
      </c>
      <c r="D181" s="24">
        <v>14.1212</v>
      </c>
      <c r="E181" s="22"/>
      <c r="F181" s="19"/>
      <c r="G181" s="25"/>
    </row>
    <row r="182" spans="1:7" ht="29.1" customHeight="1" x14ac:dyDescent="0.2">
      <c r="A182" s="22"/>
      <c r="B182" s="4" t="s">
        <v>1098</v>
      </c>
      <c r="C182" s="24">
        <v>20.676300000000001</v>
      </c>
      <c r="D182" s="24">
        <v>20.5852</v>
      </c>
      <c r="E182" s="22"/>
      <c r="F182" s="19"/>
      <c r="G182" s="25"/>
    </row>
    <row r="183" spans="1:7" ht="17.100000000000001" customHeight="1" x14ac:dyDescent="0.2">
      <c r="A183" s="22"/>
      <c r="B183" s="4" t="s">
        <v>151</v>
      </c>
      <c r="C183" s="24">
        <v>49.672699999999999</v>
      </c>
      <c r="D183" s="24">
        <v>50.260300000000001</v>
      </c>
      <c r="E183" s="22"/>
      <c r="F183" s="19"/>
      <c r="G183" s="25"/>
    </row>
    <row r="184" spans="1:7" ht="29.1" customHeight="1" x14ac:dyDescent="0.2">
      <c r="A184" s="22"/>
      <c r="B184" s="4" t="s">
        <v>1171</v>
      </c>
      <c r="C184" s="24">
        <v>14.2393</v>
      </c>
      <c r="D184" s="24">
        <v>13.903</v>
      </c>
      <c r="E184" s="22"/>
      <c r="F184" s="19"/>
      <c r="G184" s="25"/>
    </row>
    <row r="185" spans="1:7" ht="29.1" customHeight="1" x14ac:dyDescent="0.2">
      <c r="A185" s="22"/>
      <c r="B185" s="4" t="s">
        <v>1100</v>
      </c>
      <c r="C185" s="24">
        <v>15.059100000000001</v>
      </c>
      <c r="D185" s="24">
        <v>14.970800000000001</v>
      </c>
      <c r="E185" s="22"/>
      <c r="F185" s="19"/>
      <c r="G185" s="25"/>
    </row>
    <row r="186" spans="1:7" ht="14.1" customHeight="1" x14ac:dyDescent="0.2">
      <c r="A186" s="22"/>
      <c r="B186" s="22"/>
      <c r="C186" s="22"/>
      <c r="D186" s="22"/>
      <c r="E186" s="22"/>
      <c r="F186" s="22"/>
      <c r="G186" s="22"/>
    </row>
    <row r="187" spans="1:7" ht="17.100000000000001" customHeight="1" x14ac:dyDescent="0.2">
      <c r="A187" s="22"/>
      <c r="B187" s="189" t="s">
        <v>1094</v>
      </c>
      <c r="C187" s="190"/>
      <c r="D187" s="2" t="s">
        <v>112</v>
      </c>
      <c r="E187" s="22"/>
      <c r="F187" s="22"/>
      <c r="G187" s="22"/>
    </row>
    <row r="188" spans="1:7" ht="18" customHeight="1" x14ac:dyDescent="0.2">
      <c r="A188" s="22"/>
      <c r="B188" s="55" t="s">
        <v>147</v>
      </c>
      <c r="C188" s="56" t="s">
        <v>1039</v>
      </c>
      <c r="D188" s="56" t="s">
        <v>1040</v>
      </c>
      <c r="E188" s="22"/>
      <c r="F188" s="22"/>
      <c r="G188" s="22"/>
    </row>
    <row r="189" spans="1:7" ht="29.1" customHeight="1" x14ac:dyDescent="0.2">
      <c r="A189" s="22"/>
      <c r="B189" s="4" t="s">
        <v>1170</v>
      </c>
      <c r="C189" s="57">
        <v>0.50700000000000001</v>
      </c>
      <c r="D189" s="58" t="s">
        <v>1041</v>
      </c>
      <c r="E189" s="22"/>
      <c r="F189" s="19"/>
      <c r="G189" s="25"/>
    </row>
    <row r="190" spans="1:7" ht="29.1" customHeight="1" x14ac:dyDescent="0.2">
      <c r="A190" s="22"/>
      <c r="B190" s="37" t="s">
        <v>1098</v>
      </c>
      <c r="C190" s="57">
        <v>0.36299999999999999</v>
      </c>
      <c r="D190" s="57" t="s">
        <v>1041</v>
      </c>
      <c r="E190" s="22"/>
      <c r="F190" s="19"/>
      <c r="G190" s="25"/>
    </row>
    <row r="191" spans="1:7" ht="29.1" customHeight="1" x14ac:dyDescent="0.2">
      <c r="A191" s="22"/>
      <c r="B191" s="4" t="s">
        <v>1171</v>
      </c>
      <c r="C191" s="57">
        <v>0.5</v>
      </c>
      <c r="D191" s="57">
        <v>0.5</v>
      </c>
      <c r="E191" s="22"/>
      <c r="F191" s="35"/>
      <c r="G191" s="25"/>
    </row>
    <row r="192" spans="1:7" ht="29.1" customHeight="1" x14ac:dyDescent="0.2">
      <c r="A192" s="22"/>
      <c r="B192" s="37" t="s">
        <v>1100</v>
      </c>
      <c r="C192" s="57">
        <v>0.26400000000000001</v>
      </c>
      <c r="D192" s="57">
        <v>0.26400000000000001</v>
      </c>
      <c r="E192" s="22"/>
      <c r="F192" s="19"/>
      <c r="G192" s="25"/>
    </row>
    <row r="193" spans="1:17" ht="18" customHeight="1" x14ac:dyDescent="0.2">
      <c r="A193" s="22"/>
      <c r="B193" s="26"/>
      <c r="C193" s="26"/>
      <c r="D193" s="27"/>
      <c r="E193" s="22"/>
      <c r="F193" s="22"/>
      <c r="G193" s="22"/>
    </row>
    <row r="194" spans="1:17" s="101" customFormat="1" x14ac:dyDescent="0.2">
      <c r="B194" s="193" t="s">
        <v>1102</v>
      </c>
      <c r="C194" s="193"/>
      <c r="D194" s="193"/>
      <c r="E194" s="193"/>
      <c r="F194" s="193"/>
      <c r="I194"/>
      <c r="J194"/>
      <c r="K194"/>
      <c r="L194"/>
      <c r="M194"/>
      <c r="N194"/>
      <c r="O194"/>
      <c r="P194" s="41"/>
      <c r="Q194" s="41"/>
    </row>
    <row r="195" spans="1:17" ht="14.1" customHeight="1" x14ac:dyDescent="0.2">
      <c r="A195" s="22"/>
      <c r="B195" s="19"/>
      <c r="C195" s="19"/>
      <c r="D195" s="22"/>
      <c r="E195" s="22"/>
      <c r="F195" s="22"/>
      <c r="G195" s="22"/>
    </row>
    <row r="196" spans="1:17" ht="29.1" customHeight="1" x14ac:dyDescent="0.2">
      <c r="A196" s="59"/>
      <c r="B196" s="191" t="s">
        <v>152</v>
      </c>
      <c r="C196" s="192"/>
      <c r="D196" s="51" t="s">
        <v>1042</v>
      </c>
      <c r="E196" s="61"/>
      <c r="F196" s="59"/>
      <c r="G196" s="59"/>
    </row>
    <row r="197" spans="1:17" ht="29.1" customHeight="1" x14ac:dyDescent="0.2">
      <c r="A197" s="59"/>
      <c r="B197" s="191" t="s">
        <v>153</v>
      </c>
      <c r="C197" s="192"/>
      <c r="D197" s="51" t="s">
        <v>142</v>
      </c>
      <c r="E197" s="61"/>
      <c r="F197" s="59"/>
      <c r="G197" s="59"/>
    </row>
    <row r="198" spans="1:17" ht="17.100000000000001" customHeight="1" x14ac:dyDescent="0.2">
      <c r="A198" s="59"/>
      <c r="B198" s="207" t="s">
        <v>1044</v>
      </c>
      <c r="C198" s="208"/>
      <c r="D198" s="60">
        <v>0.81460118819838356</v>
      </c>
      <c r="E198" s="61"/>
      <c r="F198" s="59"/>
      <c r="G198" s="59"/>
    </row>
    <row r="199" spans="1:17" ht="17.100000000000001" customHeight="1" x14ac:dyDescent="0.2">
      <c r="A199" s="59"/>
      <c r="B199" s="207" t="s">
        <v>1045</v>
      </c>
      <c r="C199" s="208"/>
      <c r="D199" s="60">
        <v>0.75041710874805279</v>
      </c>
      <c r="E199" s="61"/>
      <c r="F199" s="59"/>
      <c r="G199" s="59"/>
    </row>
    <row r="200" spans="1:17" ht="17.100000000000001" customHeight="1" x14ac:dyDescent="0.2">
      <c r="A200" s="59"/>
      <c r="B200" s="210" t="s">
        <v>1046</v>
      </c>
      <c r="C200" s="211"/>
      <c r="D200" s="28">
        <v>4.4250872532464163</v>
      </c>
      <c r="E200" s="59"/>
      <c r="F200" s="50"/>
      <c r="G200" s="62"/>
    </row>
    <row r="201" spans="1:17" ht="17.100000000000001" customHeight="1" x14ac:dyDescent="0.2">
      <c r="A201" s="59"/>
      <c r="B201" s="191" t="s">
        <v>1047</v>
      </c>
      <c r="C201" s="192"/>
      <c r="D201" s="51" t="s">
        <v>142</v>
      </c>
      <c r="E201" s="61"/>
      <c r="F201" s="59"/>
      <c r="G201" s="59"/>
    </row>
  </sheetData>
  <mergeCells count="19">
    <mergeCell ref="B201:C201"/>
    <mergeCell ref="B198:C198"/>
    <mergeCell ref="B199:C199"/>
    <mergeCell ref="B175:C175"/>
    <mergeCell ref="B176:C176"/>
    <mergeCell ref="B177:C177"/>
    <mergeCell ref="B187:C187"/>
    <mergeCell ref="B196:C196"/>
    <mergeCell ref="B197:C197"/>
    <mergeCell ref="B194:F194"/>
    <mergeCell ref="A1:H1"/>
    <mergeCell ref="A2:H2"/>
    <mergeCell ref="A3:H3"/>
    <mergeCell ref="J2:N2"/>
    <mergeCell ref="B200:C200"/>
    <mergeCell ref="B174:C174"/>
    <mergeCell ref="B170:F170"/>
    <mergeCell ref="B171:F171"/>
    <mergeCell ref="B172:F17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Q126"/>
  <sheetViews>
    <sheetView showGridLines="0" topLeftCell="C1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1108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311470</v>
      </c>
      <c r="F7" s="6">
        <v>5939.2656950000001</v>
      </c>
      <c r="G7" s="7">
        <v>8.5557283999999997E-2</v>
      </c>
      <c r="H7" s="39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755230</v>
      </c>
      <c r="F8" s="6">
        <v>5515.4446900000003</v>
      </c>
      <c r="G8" s="7">
        <v>7.9451988000000001E-2</v>
      </c>
      <c r="H8" s="39"/>
    </row>
    <row r="9" spans="1:14" x14ac:dyDescent="0.2">
      <c r="A9" s="3">
        <v>3</v>
      </c>
      <c r="B9" s="4" t="s">
        <v>13</v>
      </c>
      <c r="C9" s="4" t="s">
        <v>14</v>
      </c>
      <c r="D9" s="4" t="s">
        <v>15</v>
      </c>
      <c r="E9" s="5">
        <v>169781</v>
      </c>
      <c r="F9" s="6">
        <v>4473.3048975000002</v>
      </c>
      <c r="G9" s="7">
        <v>6.4439584999999994E-2</v>
      </c>
      <c r="H9" s="39"/>
    </row>
    <row r="10" spans="1:14" x14ac:dyDescent="0.2">
      <c r="A10" s="3">
        <v>4</v>
      </c>
      <c r="B10" s="4" t="s">
        <v>388</v>
      </c>
      <c r="C10" s="4" t="s">
        <v>389</v>
      </c>
      <c r="D10" s="4" t="s">
        <v>18</v>
      </c>
      <c r="E10" s="5">
        <v>252831</v>
      </c>
      <c r="F10" s="6">
        <v>3717.5006085</v>
      </c>
      <c r="G10" s="7">
        <v>5.3551949000000001E-2</v>
      </c>
      <c r="H10" s="39"/>
    </row>
    <row r="11" spans="1:14" x14ac:dyDescent="0.2">
      <c r="A11" s="3">
        <v>5</v>
      </c>
      <c r="B11" s="4" t="s">
        <v>49</v>
      </c>
      <c r="C11" s="4" t="s">
        <v>50</v>
      </c>
      <c r="D11" s="4" t="s">
        <v>18</v>
      </c>
      <c r="E11" s="5">
        <v>595460</v>
      </c>
      <c r="F11" s="6">
        <v>2938.8928299999998</v>
      </c>
      <c r="G11" s="7">
        <v>4.2335821000000003E-2</v>
      </c>
      <c r="H11" s="39"/>
    </row>
    <row r="12" spans="1:14" x14ac:dyDescent="0.2">
      <c r="A12" s="3">
        <v>6</v>
      </c>
      <c r="B12" s="4" t="s">
        <v>359</v>
      </c>
      <c r="C12" s="4" t="s">
        <v>360</v>
      </c>
      <c r="D12" s="4" t="s">
        <v>82</v>
      </c>
      <c r="E12" s="5">
        <v>17122</v>
      </c>
      <c r="F12" s="6">
        <v>2921.0902489999999</v>
      </c>
      <c r="G12" s="7">
        <v>4.2079367999999999E-2</v>
      </c>
      <c r="H12" s="39"/>
    </row>
    <row r="13" spans="1:14" ht="25.5" x14ac:dyDescent="0.2">
      <c r="A13" s="3">
        <v>7</v>
      </c>
      <c r="B13" s="4" t="s">
        <v>390</v>
      </c>
      <c r="C13" s="4" t="s">
        <v>391</v>
      </c>
      <c r="D13" s="4" t="s">
        <v>82</v>
      </c>
      <c r="E13" s="5">
        <v>117412</v>
      </c>
      <c r="F13" s="6">
        <v>2806.6164480000002</v>
      </c>
      <c r="G13" s="7">
        <v>4.0430331999999999E-2</v>
      </c>
      <c r="H13" s="39"/>
    </row>
    <row r="14" spans="1:14" x14ac:dyDescent="0.2">
      <c r="A14" s="3">
        <v>8</v>
      </c>
      <c r="B14" s="4" t="s">
        <v>422</v>
      </c>
      <c r="C14" s="4" t="s">
        <v>423</v>
      </c>
      <c r="D14" s="4" t="s">
        <v>18</v>
      </c>
      <c r="E14" s="5">
        <v>1213820</v>
      </c>
      <c r="F14" s="6">
        <v>2764.47505</v>
      </c>
      <c r="G14" s="7">
        <v>3.9823269000000001E-2</v>
      </c>
      <c r="H14" s="39"/>
    </row>
    <row r="15" spans="1:14" ht="25.5" x14ac:dyDescent="0.2">
      <c r="A15" s="3">
        <v>9</v>
      </c>
      <c r="B15" s="4" t="s">
        <v>417</v>
      </c>
      <c r="C15" s="37" t="s">
        <v>1013</v>
      </c>
      <c r="D15" s="37" t="s">
        <v>21</v>
      </c>
      <c r="E15" s="5">
        <v>677624</v>
      </c>
      <c r="F15" s="6">
        <v>2683.052228</v>
      </c>
      <c r="G15" s="7">
        <v>3.8650344000000003E-2</v>
      </c>
      <c r="H15" s="39"/>
    </row>
    <row r="16" spans="1:14" ht="15" x14ac:dyDescent="0.2">
      <c r="A16" s="3">
        <v>10</v>
      </c>
      <c r="B16" s="4" t="s">
        <v>434</v>
      </c>
      <c r="C16" s="4" t="s">
        <v>435</v>
      </c>
      <c r="D16" s="4" t="s">
        <v>308</v>
      </c>
      <c r="E16" s="5">
        <v>64955</v>
      </c>
      <c r="F16" s="6">
        <v>2600.3759924999999</v>
      </c>
      <c r="G16" s="7">
        <v>3.7459363000000002E-2</v>
      </c>
      <c r="H16" s="39"/>
      <c r="J16" s="176" t="s">
        <v>1191</v>
      </c>
    </row>
    <row r="17" spans="1:10" x14ac:dyDescent="0.2">
      <c r="A17" s="3">
        <v>11</v>
      </c>
      <c r="B17" s="4" t="s">
        <v>11</v>
      </c>
      <c r="C17" s="4" t="s">
        <v>12</v>
      </c>
      <c r="D17" s="4" t="s">
        <v>60</v>
      </c>
      <c r="E17" s="5">
        <v>140450</v>
      </c>
      <c r="F17" s="6">
        <v>2482.6644249999999</v>
      </c>
      <c r="G17" s="7">
        <v>3.5763685000000003E-2</v>
      </c>
      <c r="H17" s="39"/>
    </row>
    <row r="18" spans="1:10" ht="25.5" x14ac:dyDescent="0.2">
      <c r="A18" s="3">
        <v>12</v>
      </c>
      <c r="B18" s="4" t="s">
        <v>72</v>
      </c>
      <c r="C18" s="4" t="s">
        <v>73</v>
      </c>
      <c r="D18" s="4" t="s">
        <v>1137</v>
      </c>
      <c r="E18" s="5">
        <v>127025</v>
      </c>
      <c r="F18" s="6">
        <v>2310.3942124999999</v>
      </c>
      <c r="G18" s="7">
        <v>3.3282069999999997E-2</v>
      </c>
      <c r="H18" s="39"/>
    </row>
    <row r="19" spans="1:10" ht="25.5" x14ac:dyDescent="0.2">
      <c r="A19" s="3">
        <v>13</v>
      </c>
      <c r="B19" s="4" t="s">
        <v>335</v>
      </c>
      <c r="C19" s="4" t="s">
        <v>336</v>
      </c>
      <c r="D19" s="4" t="s">
        <v>1138</v>
      </c>
      <c r="E19" s="5">
        <v>58155</v>
      </c>
      <c r="F19" s="6">
        <v>1903.2096074999999</v>
      </c>
      <c r="G19" s="7">
        <v>2.7416427E-2</v>
      </c>
      <c r="H19" s="39"/>
    </row>
    <row r="20" spans="1:10" ht="25.5" x14ac:dyDescent="0.2">
      <c r="A20" s="3">
        <v>14</v>
      </c>
      <c r="B20" s="4" t="s">
        <v>80</v>
      </c>
      <c r="C20" s="4" t="s">
        <v>81</v>
      </c>
      <c r="D20" s="4" t="s">
        <v>82</v>
      </c>
      <c r="E20" s="5">
        <v>247885</v>
      </c>
      <c r="F20" s="6">
        <v>1780.9297825000001</v>
      </c>
      <c r="G20" s="7">
        <v>2.5654942E-2</v>
      </c>
      <c r="H20" s="39"/>
    </row>
    <row r="21" spans="1:10" x14ac:dyDescent="0.2">
      <c r="A21" s="3">
        <v>15</v>
      </c>
      <c r="B21" s="4" t="s">
        <v>373</v>
      </c>
      <c r="C21" s="4" t="s">
        <v>374</v>
      </c>
      <c r="D21" s="4" t="s">
        <v>253</v>
      </c>
      <c r="E21" s="5">
        <v>609355</v>
      </c>
      <c r="F21" s="6">
        <v>1769.56692</v>
      </c>
      <c r="G21" s="7">
        <v>2.5491256E-2</v>
      </c>
      <c r="H21" s="39"/>
    </row>
    <row r="22" spans="1:10" ht="25.5" x14ac:dyDescent="0.2">
      <c r="A22" s="3">
        <v>16</v>
      </c>
      <c r="B22" s="4" t="s">
        <v>83</v>
      </c>
      <c r="C22" s="4" t="s">
        <v>84</v>
      </c>
      <c r="D22" s="4" t="s">
        <v>1137</v>
      </c>
      <c r="E22" s="5">
        <v>1482942</v>
      </c>
      <c r="F22" s="6">
        <v>1738.749495</v>
      </c>
      <c r="G22" s="7">
        <v>2.5047318999999998E-2</v>
      </c>
      <c r="H22" s="39"/>
    </row>
    <row r="23" spans="1:10" ht="25.5" x14ac:dyDescent="0.2">
      <c r="A23" s="3">
        <v>17</v>
      </c>
      <c r="B23" s="4" t="s">
        <v>237</v>
      </c>
      <c r="C23" s="4" t="s">
        <v>238</v>
      </c>
      <c r="D23" s="4" t="s">
        <v>1153</v>
      </c>
      <c r="E23" s="5">
        <v>40584</v>
      </c>
      <c r="F23" s="6">
        <v>1656.7200479999999</v>
      </c>
      <c r="G23" s="7">
        <v>2.3865655E-2</v>
      </c>
      <c r="H23" s="39"/>
    </row>
    <row r="24" spans="1:10" ht="25.5" x14ac:dyDescent="0.2">
      <c r="A24" s="3">
        <v>18</v>
      </c>
      <c r="B24" s="4" t="s">
        <v>444</v>
      </c>
      <c r="C24" s="4" t="s">
        <v>445</v>
      </c>
      <c r="D24" s="4" t="s">
        <v>1150</v>
      </c>
      <c r="E24" s="5">
        <v>6842</v>
      </c>
      <c r="F24" s="6">
        <v>1644.3104920000001</v>
      </c>
      <c r="G24" s="7">
        <v>2.3686891000000002E-2</v>
      </c>
      <c r="H24" s="39"/>
    </row>
    <row r="25" spans="1:10" x14ac:dyDescent="0.2">
      <c r="A25" s="3">
        <v>19</v>
      </c>
      <c r="B25" s="4" t="s">
        <v>432</v>
      </c>
      <c r="C25" s="4" t="s">
        <v>433</v>
      </c>
      <c r="D25" s="4" t="s">
        <v>1146</v>
      </c>
      <c r="E25" s="5">
        <v>362330</v>
      </c>
      <c r="F25" s="6">
        <v>1571.6063750000001</v>
      </c>
      <c r="G25" s="7">
        <v>2.2639561999999998E-2</v>
      </c>
      <c r="H25" s="39"/>
    </row>
    <row r="26" spans="1:10" x14ac:dyDescent="0.2">
      <c r="A26" s="3">
        <v>20</v>
      </c>
      <c r="B26" s="4" t="s">
        <v>331</v>
      </c>
      <c r="C26" s="4" t="s">
        <v>332</v>
      </c>
      <c r="D26" s="4" t="s">
        <v>1166</v>
      </c>
      <c r="E26" s="5">
        <v>744800</v>
      </c>
      <c r="F26" s="6">
        <v>1570.0383999999999</v>
      </c>
      <c r="G26" s="7">
        <v>2.2616975000000001E-2</v>
      </c>
      <c r="H26" s="39"/>
    </row>
    <row r="27" spans="1:10" x14ac:dyDescent="0.2">
      <c r="A27" s="3">
        <v>21</v>
      </c>
      <c r="B27" s="4" t="s">
        <v>24</v>
      </c>
      <c r="C27" s="4" t="s">
        <v>25</v>
      </c>
      <c r="D27" s="4" t="s">
        <v>26</v>
      </c>
      <c r="E27" s="5">
        <v>657694</v>
      </c>
      <c r="F27" s="6">
        <v>1569.5867310000001</v>
      </c>
      <c r="G27" s="7">
        <v>2.2610468000000002E-2</v>
      </c>
      <c r="H27" s="39"/>
    </row>
    <row r="28" spans="1:10" x14ac:dyDescent="0.2">
      <c r="A28" s="3">
        <v>22</v>
      </c>
      <c r="B28" s="4" t="s">
        <v>369</v>
      </c>
      <c r="C28" s="4" t="s">
        <v>370</v>
      </c>
      <c r="D28" s="4" t="s">
        <v>1157</v>
      </c>
      <c r="E28" s="5">
        <v>166802</v>
      </c>
      <c r="F28" s="6">
        <v>1567.6885970000001</v>
      </c>
      <c r="G28" s="7">
        <v>2.2583124999999999E-2</v>
      </c>
      <c r="H28" s="39"/>
    </row>
    <row r="29" spans="1:10" ht="15" x14ac:dyDescent="0.2">
      <c r="A29" s="3">
        <v>23</v>
      </c>
      <c r="B29" s="4" t="s">
        <v>410</v>
      </c>
      <c r="C29" s="4" t="s">
        <v>411</v>
      </c>
      <c r="D29" s="4" t="s">
        <v>412</v>
      </c>
      <c r="E29" s="5">
        <v>272500</v>
      </c>
      <c r="F29" s="6">
        <v>1551.8875</v>
      </c>
      <c r="G29" s="7">
        <v>2.2355503999999998E-2</v>
      </c>
      <c r="H29" s="39"/>
      <c r="J29" s="176" t="s">
        <v>1204</v>
      </c>
    </row>
    <row r="30" spans="1:10" x14ac:dyDescent="0.2">
      <c r="A30" s="3">
        <v>24</v>
      </c>
      <c r="B30" s="4" t="s">
        <v>398</v>
      </c>
      <c r="C30" s="4" t="s">
        <v>399</v>
      </c>
      <c r="D30" s="4" t="s">
        <v>1143</v>
      </c>
      <c r="E30" s="5">
        <v>260811</v>
      </c>
      <c r="F30" s="6">
        <v>1543.740309</v>
      </c>
      <c r="G30" s="7">
        <v>2.2238140999999999E-2</v>
      </c>
      <c r="H30" s="39"/>
    </row>
    <row r="31" spans="1:10" x14ac:dyDescent="0.2">
      <c r="A31" s="3">
        <v>25</v>
      </c>
      <c r="B31" s="4" t="s">
        <v>357</v>
      </c>
      <c r="C31" s="4" t="s">
        <v>358</v>
      </c>
      <c r="D31" s="4" t="s">
        <v>71</v>
      </c>
      <c r="E31" s="5">
        <v>32050</v>
      </c>
      <c r="F31" s="6">
        <v>1380.9703999999999</v>
      </c>
      <c r="G31" s="7">
        <v>1.9893381000000002E-2</v>
      </c>
      <c r="H31" s="39"/>
    </row>
    <row r="32" spans="1:10" x14ac:dyDescent="0.2">
      <c r="A32" s="3">
        <v>26</v>
      </c>
      <c r="B32" s="4" t="s">
        <v>420</v>
      </c>
      <c r="C32" s="4" t="s">
        <v>421</v>
      </c>
      <c r="D32" s="4" t="s">
        <v>1154</v>
      </c>
      <c r="E32" s="5">
        <v>190518</v>
      </c>
      <c r="F32" s="6">
        <v>1294.474551</v>
      </c>
      <c r="G32" s="7">
        <v>1.8647377E-2</v>
      </c>
      <c r="H32" s="39"/>
    </row>
    <row r="33" spans="1:8" x14ac:dyDescent="0.2">
      <c r="A33" s="3">
        <v>27</v>
      </c>
      <c r="B33" s="4" t="s">
        <v>526</v>
      </c>
      <c r="C33" s="4" t="s">
        <v>527</v>
      </c>
      <c r="D33" s="4" t="s">
        <v>1143</v>
      </c>
      <c r="E33" s="5">
        <v>66777</v>
      </c>
      <c r="F33" s="6">
        <v>1008.8001389999999</v>
      </c>
      <c r="G33" s="7">
        <v>1.4532132999999999E-2</v>
      </c>
      <c r="H33" s="39"/>
    </row>
    <row r="34" spans="1:8" x14ac:dyDescent="0.2">
      <c r="A34" s="3">
        <v>28</v>
      </c>
      <c r="B34" s="4" t="s">
        <v>450</v>
      </c>
      <c r="C34" s="4" t="s">
        <v>451</v>
      </c>
      <c r="D34" s="4" t="s">
        <v>1154</v>
      </c>
      <c r="E34" s="5">
        <v>695514</v>
      </c>
      <c r="F34" s="6">
        <v>969.894273</v>
      </c>
      <c r="G34" s="7">
        <v>1.397168E-2</v>
      </c>
      <c r="H34" s="39"/>
    </row>
    <row r="35" spans="1:8" x14ac:dyDescent="0.2">
      <c r="A35" s="3">
        <v>29</v>
      </c>
      <c r="B35" s="4" t="s">
        <v>442</v>
      </c>
      <c r="C35" s="4" t="s">
        <v>443</v>
      </c>
      <c r="D35" s="4" t="s">
        <v>71</v>
      </c>
      <c r="E35" s="5">
        <v>86708</v>
      </c>
      <c r="F35" s="6">
        <v>924.61075800000003</v>
      </c>
      <c r="G35" s="7">
        <v>1.3319355E-2</v>
      </c>
      <c r="H35" s="39"/>
    </row>
    <row r="36" spans="1:8" x14ac:dyDescent="0.2">
      <c r="A36" s="3">
        <v>30</v>
      </c>
      <c r="B36" s="4" t="s">
        <v>456</v>
      </c>
      <c r="C36" s="4" t="s">
        <v>457</v>
      </c>
      <c r="D36" s="4" t="s">
        <v>1154</v>
      </c>
      <c r="E36" s="5">
        <v>586520</v>
      </c>
      <c r="F36" s="6">
        <v>378.01213999999999</v>
      </c>
      <c r="G36" s="7">
        <v>5.4454020000000002E-3</v>
      </c>
      <c r="H36" s="39"/>
    </row>
    <row r="37" spans="1:8" x14ac:dyDescent="0.2">
      <c r="A37" s="1"/>
      <c r="B37" s="1"/>
      <c r="C37" s="2" t="s">
        <v>111</v>
      </c>
      <c r="D37" s="1"/>
      <c r="E37" s="1" t="s">
        <v>112</v>
      </c>
      <c r="F37" s="9">
        <v>66977.873844000002</v>
      </c>
      <c r="G37" s="10">
        <v>0.96484065100000016</v>
      </c>
      <c r="H37" s="39"/>
    </row>
    <row r="38" spans="1:8" x14ac:dyDescent="0.2">
      <c r="A38" s="1"/>
      <c r="B38" s="1"/>
      <c r="C38" s="11"/>
      <c r="D38" s="1"/>
      <c r="E38" s="1"/>
      <c r="F38" s="12"/>
      <c r="G38" s="12"/>
      <c r="H38" s="39"/>
    </row>
    <row r="39" spans="1:8" x14ac:dyDescent="0.2">
      <c r="A39" s="1"/>
      <c r="B39" s="1"/>
      <c r="C39" s="2" t="s">
        <v>113</v>
      </c>
      <c r="D39" s="1"/>
      <c r="E39" s="1"/>
      <c r="F39" s="1"/>
      <c r="G39" s="1"/>
      <c r="H39" s="39"/>
    </row>
    <row r="40" spans="1:8" x14ac:dyDescent="0.2">
      <c r="A40" s="1"/>
      <c r="B40" s="1"/>
      <c r="C40" s="2" t="s">
        <v>111</v>
      </c>
      <c r="D40" s="1"/>
      <c r="E40" s="1" t="s">
        <v>112</v>
      </c>
      <c r="F40" s="13">
        <v>0</v>
      </c>
      <c r="G40" s="14">
        <v>0</v>
      </c>
      <c r="H40" s="39"/>
    </row>
    <row r="41" spans="1:8" x14ac:dyDescent="0.2">
      <c r="A41" s="1"/>
      <c r="B41" s="1"/>
      <c r="C41" s="11"/>
      <c r="D41" s="1"/>
      <c r="E41" s="1"/>
      <c r="F41" s="12"/>
      <c r="G41" s="12"/>
      <c r="H41" s="39"/>
    </row>
    <row r="42" spans="1:8" x14ac:dyDescent="0.2">
      <c r="A42" s="1"/>
      <c r="B42" s="1"/>
      <c r="C42" s="2" t="s">
        <v>114</v>
      </c>
      <c r="D42" s="1"/>
      <c r="E42" s="1"/>
      <c r="F42" s="1"/>
      <c r="G42" s="1"/>
      <c r="H42" s="39"/>
    </row>
    <row r="43" spans="1:8" x14ac:dyDescent="0.2">
      <c r="A43" s="1"/>
      <c r="B43" s="1"/>
      <c r="C43" s="2" t="s">
        <v>111</v>
      </c>
      <c r="D43" s="1"/>
      <c r="E43" s="1" t="s">
        <v>112</v>
      </c>
      <c r="F43" s="13">
        <v>0</v>
      </c>
      <c r="G43" s="14">
        <v>0</v>
      </c>
      <c r="H43" s="39"/>
    </row>
    <row r="44" spans="1:8" x14ac:dyDescent="0.2">
      <c r="A44" s="1"/>
      <c r="B44" s="1"/>
      <c r="C44" s="11"/>
      <c r="D44" s="1"/>
      <c r="E44" s="1"/>
      <c r="F44" s="12"/>
      <c r="G44" s="12"/>
      <c r="H44" s="39"/>
    </row>
    <row r="45" spans="1:8" x14ac:dyDescent="0.2">
      <c r="A45" s="1"/>
      <c r="B45" s="1"/>
      <c r="C45" s="2" t="s">
        <v>115</v>
      </c>
      <c r="D45" s="1"/>
      <c r="E45" s="1"/>
      <c r="F45" s="1"/>
      <c r="G45" s="1"/>
      <c r="H45" s="39"/>
    </row>
    <row r="46" spans="1:8" x14ac:dyDescent="0.2">
      <c r="A46" s="1"/>
      <c r="B46" s="1"/>
      <c r="C46" s="2" t="s">
        <v>111</v>
      </c>
      <c r="D46" s="1"/>
      <c r="E46" s="1" t="s">
        <v>112</v>
      </c>
      <c r="F46" s="9">
        <v>0</v>
      </c>
      <c r="G46" s="10">
        <v>0</v>
      </c>
      <c r="H46" s="39"/>
    </row>
    <row r="47" spans="1:8" x14ac:dyDescent="0.2">
      <c r="A47" s="1"/>
      <c r="B47" s="1"/>
      <c r="C47" s="11"/>
      <c r="D47" s="1"/>
      <c r="E47" s="1"/>
      <c r="F47" s="12"/>
      <c r="G47" s="12"/>
      <c r="H47" s="39"/>
    </row>
    <row r="48" spans="1:8" x14ac:dyDescent="0.2">
      <c r="A48" s="1"/>
      <c r="B48" s="1"/>
      <c r="C48" s="2" t="s">
        <v>116</v>
      </c>
      <c r="D48" s="1"/>
      <c r="E48" s="1"/>
      <c r="F48" s="12"/>
      <c r="G48" s="12"/>
      <c r="H48" s="39"/>
    </row>
    <row r="49" spans="1:8" x14ac:dyDescent="0.2">
      <c r="A49" s="1"/>
      <c r="B49" s="1"/>
      <c r="C49" s="2" t="s">
        <v>111</v>
      </c>
      <c r="D49" s="1"/>
      <c r="E49" s="1" t="s">
        <v>112</v>
      </c>
      <c r="F49" s="13">
        <v>0</v>
      </c>
      <c r="G49" s="14">
        <v>0</v>
      </c>
      <c r="H49" s="39"/>
    </row>
    <row r="50" spans="1:8" x14ac:dyDescent="0.2">
      <c r="A50" s="1"/>
      <c r="B50" s="1"/>
      <c r="C50" s="11"/>
      <c r="D50" s="1"/>
      <c r="E50" s="1"/>
      <c r="F50" s="12"/>
      <c r="G50" s="12"/>
      <c r="H50" s="39"/>
    </row>
    <row r="51" spans="1:8" x14ac:dyDescent="0.2">
      <c r="A51" s="1"/>
      <c r="B51" s="1"/>
      <c r="C51" s="2" t="s">
        <v>117</v>
      </c>
      <c r="D51" s="1"/>
      <c r="E51" s="1"/>
      <c r="F51" s="12"/>
      <c r="G51" s="12"/>
      <c r="H51" s="39"/>
    </row>
    <row r="52" spans="1:8" x14ac:dyDescent="0.2">
      <c r="A52" s="1"/>
      <c r="B52" s="1"/>
      <c r="C52" s="2" t="s">
        <v>111</v>
      </c>
      <c r="D52" s="1"/>
      <c r="E52" s="1" t="s">
        <v>112</v>
      </c>
      <c r="F52" s="13">
        <v>0</v>
      </c>
      <c r="G52" s="14">
        <v>0</v>
      </c>
      <c r="H52" s="39"/>
    </row>
    <row r="53" spans="1:8" x14ac:dyDescent="0.2">
      <c r="A53" s="1"/>
      <c r="B53" s="1"/>
      <c r="C53" s="11"/>
      <c r="D53" s="1"/>
      <c r="E53" s="1"/>
      <c r="F53" s="12"/>
      <c r="G53" s="12"/>
      <c r="H53" s="39"/>
    </row>
    <row r="54" spans="1:8" x14ac:dyDescent="0.2">
      <c r="A54" s="1"/>
      <c r="B54" s="1"/>
      <c r="C54" s="2" t="s">
        <v>118</v>
      </c>
      <c r="D54" s="1"/>
      <c r="E54" s="1"/>
      <c r="F54" s="9">
        <v>66977.873844000002</v>
      </c>
      <c r="G54" s="10">
        <v>0.96484065100000005</v>
      </c>
      <c r="H54" s="39"/>
    </row>
    <row r="55" spans="1:8" x14ac:dyDescent="0.2">
      <c r="A55" s="1"/>
      <c r="B55" s="1"/>
      <c r="C55" s="11"/>
      <c r="D55" s="1"/>
      <c r="E55" s="1"/>
      <c r="F55" s="12"/>
      <c r="G55" s="12"/>
      <c r="H55" s="39"/>
    </row>
    <row r="56" spans="1:8" x14ac:dyDescent="0.2">
      <c r="A56" s="1"/>
      <c r="B56" s="1"/>
      <c r="C56" s="2" t="s">
        <v>119</v>
      </c>
      <c r="D56" s="1"/>
      <c r="E56" s="1"/>
      <c r="F56" s="12"/>
      <c r="G56" s="12"/>
      <c r="H56" s="39"/>
    </row>
    <row r="57" spans="1:8" ht="25.5" x14ac:dyDescent="0.2">
      <c r="A57" s="1"/>
      <c r="B57" s="1"/>
      <c r="C57" s="2" t="s">
        <v>10</v>
      </c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111</v>
      </c>
      <c r="D58" s="1"/>
      <c r="E58" s="1" t="s">
        <v>112</v>
      </c>
      <c r="F58" s="13">
        <v>0</v>
      </c>
      <c r="G58" s="14">
        <v>0</v>
      </c>
      <c r="H58" s="39"/>
    </row>
    <row r="59" spans="1:8" x14ac:dyDescent="0.2">
      <c r="A59" s="1"/>
      <c r="B59" s="1"/>
      <c r="C59" s="11"/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120</v>
      </c>
      <c r="D60" s="1"/>
      <c r="E60" s="1"/>
      <c r="F60" s="1"/>
      <c r="G60" s="1"/>
      <c r="H60" s="39"/>
    </row>
    <row r="61" spans="1:8" x14ac:dyDescent="0.2">
      <c r="A61" s="1"/>
      <c r="B61" s="1"/>
      <c r="C61" s="2" t="s">
        <v>111</v>
      </c>
      <c r="D61" s="1"/>
      <c r="E61" s="1" t="s">
        <v>112</v>
      </c>
      <c r="F61" s="13">
        <v>0</v>
      </c>
      <c r="G61" s="14">
        <v>0</v>
      </c>
      <c r="H61" s="39"/>
    </row>
    <row r="62" spans="1:8" x14ac:dyDescent="0.2">
      <c r="A62" s="1"/>
      <c r="B62" s="1"/>
      <c r="C62" s="11"/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121</v>
      </c>
      <c r="D63" s="1"/>
      <c r="E63" s="1"/>
      <c r="F63" s="1"/>
      <c r="G63" s="1"/>
      <c r="H63" s="39"/>
    </row>
    <row r="64" spans="1:8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39"/>
    </row>
    <row r="65" spans="1:8" x14ac:dyDescent="0.2">
      <c r="A65" s="1"/>
      <c r="B65" s="1"/>
      <c r="C65" s="11"/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122</v>
      </c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x14ac:dyDescent="0.2">
      <c r="A69" s="1"/>
      <c r="B69" s="1"/>
      <c r="C69" s="2" t="s">
        <v>123</v>
      </c>
      <c r="D69" s="1"/>
      <c r="E69" s="1"/>
      <c r="F69" s="9">
        <v>0</v>
      </c>
      <c r="G69" s="10">
        <v>0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124</v>
      </c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125</v>
      </c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126</v>
      </c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127</v>
      </c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128</v>
      </c>
      <c r="D81" s="1"/>
      <c r="E81" s="1"/>
      <c r="F81" s="12"/>
      <c r="G81" s="12"/>
      <c r="H81" s="39"/>
    </row>
    <row r="82" spans="1:8" x14ac:dyDescent="0.2">
      <c r="A82" s="3">
        <v>1</v>
      </c>
      <c r="B82" s="4"/>
      <c r="C82" s="4" t="s">
        <v>129</v>
      </c>
      <c r="D82" s="4"/>
      <c r="E82" s="8"/>
      <c r="F82" s="6">
        <v>1920.3313098000001</v>
      </c>
      <c r="G82" s="7">
        <v>2.7663072E-2</v>
      </c>
      <c r="H82" s="39">
        <v>3.6151121728634927</v>
      </c>
    </row>
    <row r="83" spans="1:8" x14ac:dyDescent="0.2">
      <c r="A83" s="3">
        <v>2</v>
      </c>
      <c r="B83" s="4"/>
      <c r="C83" s="4" t="s">
        <v>130</v>
      </c>
      <c r="D83" s="4"/>
      <c r="E83" s="8"/>
      <c r="F83" s="6">
        <v>678.98503070000004</v>
      </c>
      <c r="G83" s="7">
        <v>9.7810269999999994E-3</v>
      </c>
      <c r="H83" s="39">
        <v>3.7142625760646584</v>
      </c>
    </row>
    <row r="84" spans="1:8" x14ac:dyDescent="0.2">
      <c r="A84" s="1"/>
      <c r="B84" s="1"/>
      <c r="C84" s="2" t="s">
        <v>111</v>
      </c>
      <c r="D84" s="1"/>
      <c r="E84" s="1" t="s">
        <v>112</v>
      </c>
      <c r="F84" s="9">
        <v>2599.3163405</v>
      </c>
      <c r="G84" s="10">
        <v>3.7444099000000002E-2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131</v>
      </c>
      <c r="D86" s="1"/>
      <c r="E86" s="1"/>
      <c r="F86" s="9">
        <v>2599.3163405</v>
      </c>
      <c r="G86" s="10">
        <v>3.7444099000000002E-2</v>
      </c>
      <c r="H86" s="39"/>
    </row>
    <row r="87" spans="1:8" x14ac:dyDescent="0.2">
      <c r="A87" s="1"/>
      <c r="B87" s="1"/>
      <c r="C87" s="12"/>
      <c r="D87" s="1"/>
      <c r="E87" s="1"/>
      <c r="F87" s="1"/>
      <c r="G87" s="1"/>
      <c r="H87" s="39"/>
    </row>
    <row r="88" spans="1:8" x14ac:dyDescent="0.2">
      <c r="A88" s="1"/>
      <c r="B88" s="1"/>
      <c r="C88" s="2" t="s">
        <v>132</v>
      </c>
      <c r="D88" s="1"/>
      <c r="E88" s="1"/>
      <c r="F88" s="1"/>
      <c r="G88" s="1"/>
      <c r="H88" s="39"/>
    </row>
    <row r="89" spans="1:8" x14ac:dyDescent="0.2">
      <c r="A89" s="1"/>
      <c r="B89" s="1"/>
      <c r="C89" s="2" t="s">
        <v>133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134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135</v>
      </c>
      <c r="D93" s="1"/>
      <c r="E93" s="1"/>
      <c r="F93" s="1"/>
      <c r="G93" s="1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11"/>
      <c r="D96" s="1"/>
      <c r="E96" s="1"/>
      <c r="F96" s="12"/>
      <c r="G96" s="12"/>
      <c r="H96" s="39"/>
    </row>
    <row r="97" spans="1:8" ht="25.5" x14ac:dyDescent="0.2">
      <c r="A97" s="1"/>
      <c r="B97" s="1"/>
      <c r="C97" s="2" t="s">
        <v>136</v>
      </c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111</v>
      </c>
      <c r="D98" s="1"/>
      <c r="E98" s="1" t="s">
        <v>112</v>
      </c>
      <c r="F98" s="13">
        <v>0</v>
      </c>
      <c r="G98" s="14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4"/>
      <c r="C100" s="4"/>
      <c r="D100" s="2"/>
      <c r="E100" s="1"/>
      <c r="F100" s="4"/>
      <c r="G100" s="8"/>
      <c r="H100" s="39"/>
    </row>
    <row r="101" spans="1:8" x14ac:dyDescent="0.2">
      <c r="A101" s="8"/>
      <c r="B101" s="4"/>
      <c r="C101" s="4" t="s">
        <v>137</v>
      </c>
      <c r="D101" s="4"/>
      <c r="E101" s="8"/>
      <c r="F101" s="6">
        <v>-158.60414839000001</v>
      </c>
      <c r="G101" s="7">
        <v>-2.2847499999999999E-3</v>
      </c>
      <c r="H101" s="39"/>
    </row>
    <row r="102" spans="1:8" x14ac:dyDescent="0.2">
      <c r="A102" s="11"/>
      <c r="B102" s="11"/>
      <c r="C102" s="2" t="s">
        <v>138</v>
      </c>
      <c r="D102" s="15"/>
      <c r="E102" s="15"/>
      <c r="F102" s="9">
        <v>69418.586036110006</v>
      </c>
      <c r="G102" s="10">
        <v>1</v>
      </c>
      <c r="H102" s="39"/>
    </row>
    <row r="103" spans="1:8" ht="14.1" customHeight="1" x14ac:dyDescent="0.2">
      <c r="A103" s="16"/>
      <c r="B103" s="16"/>
      <c r="C103" s="16"/>
      <c r="D103" s="17"/>
      <c r="E103" s="17"/>
      <c r="F103" s="17"/>
      <c r="G103" s="17"/>
    </row>
    <row r="104" spans="1:8" ht="14.1" customHeight="1" x14ac:dyDescent="0.2">
      <c r="A104" s="18"/>
      <c r="B104" s="18"/>
      <c r="C104" s="18"/>
      <c r="D104" s="20"/>
      <c r="E104" s="20"/>
      <c r="F104" s="20"/>
      <c r="G104" s="20"/>
    </row>
    <row r="105" spans="1:8" ht="14.1" customHeight="1" x14ac:dyDescent="0.2">
      <c r="A105" s="18"/>
      <c r="B105" s="194" t="s">
        <v>140</v>
      </c>
      <c r="C105" s="195"/>
      <c r="D105" s="12" t="s">
        <v>112</v>
      </c>
      <c r="E105" s="21"/>
      <c r="F105" s="20"/>
      <c r="G105" s="20"/>
    </row>
    <row r="106" spans="1:8" ht="29.1" customHeight="1" x14ac:dyDescent="0.2">
      <c r="A106" s="18"/>
      <c r="B106" s="189" t="s">
        <v>141</v>
      </c>
      <c r="C106" s="190"/>
      <c r="D106" s="2" t="s">
        <v>142</v>
      </c>
      <c r="E106" s="21"/>
      <c r="F106" s="20"/>
      <c r="G106" s="20"/>
    </row>
    <row r="107" spans="1:8" ht="17.100000000000001" customHeight="1" x14ac:dyDescent="0.2">
      <c r="A107" s="18"/>
      <c r="B107" s="189" t="s">
        <v>143</v>
      </c>
      <c r="C107" s="190"/>
      <c r="D107" s="2" t="s">
        <v>142</v>
      </c>
      <c r="E107" s="21"/>
      <c r="F107" s="20"/>
      <c r="G107" s="20"/>
    </row>
    <row r="108" spans="1:8" ht="17.100000000000001" customHeight="1" x14ac:dyDescent="0.2">
      <c r="A108" s="18"/>
      <c r="B108" s="189" t="s">
        <v>144</v>
      </c>
      <c r="C108" s="190"/>
      <c r="D108" s="12" t="s">
        <v>112</v>
      </c>
      <c r="E108" s="21"/>
      <c r="F108" s="20"/>
      <c r="G108" s="20"/>
    </row>
    <row r="109" spans="1:8" ht="24" customHeight="1" x14ac:dyDescent="0.2">
      <c r="A109" s="22"/>
      <c r="B109" s="23" t="s">
        <v>112</v>
      </c>
      <c r="C109" s="23" t="s">
        <v>145</v>
      </c>
      <c r="D109" s="23" t="s">
        <v>146</v>
      </c>
      <c r="E109" s="22"/>
      <c r="F109" s="22"/>
      <c r="G109" s="22"/>
    </row>
    <row r="110" spans="1:8" ht="18" customHeight="1" x14ac:dyDescent="0.2">
      <c r="A110" s="22"/>
      <c r="B110" s="23" t="s">
        <v>147</v>
      </c>
      <c r="C110" s="23" t="s">
        <v>148</v>
      </c>
      <c r="D110" s="23" t="s">
        <v>149</v>
      </c>
      <c r="E110" s="22"/>
      <c r="F110" s="22"/>
      <c r="G110" s="22"/>
    </row>
    <row r="111" spans="1:8" ht="17.100000000000001" customHeight="1" x14ac:dyDescent="0.2">
      <c r="A111" s="22"/>
      <c r="B111" s="4" t="s">
        <v>150</v>
      </c>
      <c r="C111" s="24">
        <v>112.8678</v>
      </c>
      <c r="D111" s="24">
        <v>117.2132</v>
      </c>
      <c r="E111" s="22"/>
      <c r="F111" s="19"/>
      <c r="G111" s="25"/>
    </row>
    <row r="112" spans="1:8" ht="29.1" customHeight="1" x14ac:dyDescent="0.2">
      <c r="A112" s="22"/>
      <c r="B112" s="4" t="s">
        <v>1095</v>
      </c>
      <c r="C112" s="24">
        <v>37.018300000000004</v>
      </c>
      <c r="D112" s="24">
        <v>37.104199999999999</v>
      </c>
      <c r="E112" s="22"/>
      <c r="F112" s="19"/>
      <c r="G112" s="25"/>
    </row>
    <row r="113" spans="1:17" ht="17.100000000000001" customHeight="1" x14ac:dyDescent="0.2">
      <c r="A113" s="22"/>
      <c r="B113" s="4" t="s">
        <v>151</v>
      </c>
      <c r="C113" s="24">
        <v>105.5707</v>
      </c>
      <c r="D113" s="24">
        <v>109.5401</v>
      </c>
      <c r="E113" s="22"/>
      <c r="F113" s="19"/>
      <c r="G113" s="25"/>
    </row>
    <row r="114" spans="1:17" ht="29.1" customHeight="1" x14ac:dyDescent="0.2">
      <c r="A114" s="22"/>
      <c r="B114" s="4" t="s">
        <v>1096</v>
      </c>
      <c r="C114" s="24">
        <v>35.259599999999999</v>
      </c>
      <c r="D114" s="24">
        <v>35.311500000000002</v>
      </c>
      <c r="E114" s="22"/>
      <c r="F114" s="19"/>
      <c r="G114" s="25"/>
    </row>
    <row r="115" spans="1:17" ht="14.1" customHeight="1" x14ac:dyDescent="0.2">
      <c r="A115" s="22"/>
      <c r="B115" s="22"/>
      <c r="C115" s="22"/>
      <c r="D115" s="22"/>
      <c r="E115" s="22"/>
      <c r="F115" s="22"/>
      <c r="G115" s="22"/>
    </row>
    <row r="116" spans="1:17" ht="17.100000000000001" customHeight="1" x14ac:dyDescent="0.2">
      <c r="A116" s="22"/>
      <c r="B116" s="189" t="s">
        <v>1094</v>
      </c>
      <c r="C116" s="190"/>
      <c r="D116" s="2" t="s">
        <v>112</v>
      </c>
      <c r="E116" s="22"/>
      <c r="F116" s="22"/>
      <c r="G116" s="22"/>
    </row>
    <row r="117" spans="1:17" ht="18" customHeight="1" x14ac:dyDescent="0.2">
      <c r="A117" s="22"/>
      <c r="B117" s="55" t="s">
        <v>147</v>
      </c>
      <c r="C117" s="56" t="s">
        <v>1039</v>
      </c>
      <c r="D117" s="56" t="s">
        <v>1040</v>
      </c>
      <c r="E117" s="22"/>
      <c r="F117" s="22"/>
      <c r="G117" s="22"/>
    </row>
    <row r="118" spans="1:17" ht="29.1" customHeight="1" x14ac:dyDescent="0.2">
      <c r="A118" s="22"/>
      <c r="B118" s="37" t="s">
        <v>1095</v>
      </c>
      <c r="C118" s="57">
        <v>1.304</v>
      </c>
      <c r="D118" s="58" t="s">
        <v>1041</v>
      </c>
      <c r="E118" s="22"/>
      <c r="F118" s="19"/>
      <c r="G118" s="25"/>
    </row>
    <row r="119" spans="1:17" ht="29.1" customHeight="1" x14ac:dyDescent="0.2">
      <c r="A119" s="22"/>
      <c r="B119" s="37" t="s">
        <v>1096</v>
      </c>
      <c r="C119" s="57">
        <v>1.242</v>
      </c>
      <c r="D119" s="57">
        <v>1.242</v>
      </c>
      <c r="E119" s="22"/>
      <c r="F119" s="19"/>
      <c r="G119" s="25"/>
    </row>
    <row r="120" spans="1:17" ht="18" customHeight="1" x14ac:dyDescent="0.2">
      <c r="A120" s="22"/>
      <c r="B120" s="26"/>
      <c r="C120" s="26"/>
      <c r="D120" s="27"/>
      <c r="E120" s="22"/>
      <c r="F120" s="22"/>
      <c r="G120" s="22"/>
    </row>
    <row r="121" spans="1:17" s="101" customFormat="1" x14ac:dyDescent="0.2">
      <c r="B121" s="193" t="s">
        <v>1102</v>
      </c>
      <c r="C121" s="193"/>
      <c r="D121" s="193"/>
      <c r="E121" s="193"/>
      <c r="F121" s="193"/>
      <c r="I121"/>
      <c r="P121" s="41"/>
      <c r="Q121" s="41"/>
    </row>
    <row r="122" spans="1:17" ht="14.1" customHeight="1" x14ac:dyDescent="0.2">
      <c r="A122" s="22"/>
      <c r="B122" s="54"/>
      <c r="C122" s="54"/>
      <c r="D122" s="22"/>
      <c r="E122" s="22"/>
      <c r="F122" s="22"/>
      <c r="G122" s="22"/>
    </row>
    <row r="123" spans="1:17" ht="29.1" customHeight="1" x14ac:dyDescent="0.2">
      <c r="A123" s="22"/>
      <c r="B123" s="189" t="s">
        <v>152</v>
      </c>
      <c r="C123" s="190"/>
      <c r="D123" s="2" t="s">
        <v>142</v>
      </c>
      <c r="E123" s="22"/>
      <c r="F123" s="22"/>
      <c r="G123" s="22"/>
    </row>
    <row r="124" spans="1:17" ht="29.1" customHeight="1" x14ac:dyDescent="0.2">
      <c r="A124" s="22"/>
      <c r="B124" s="189" t="s">
        <v>153</v>
      </c>
      <c r="C124" s="190"/>
      <c r="D124" s="2" t="s">
        <v>142</v>
      </c>
      <c r="E124" s="22"/>
      <c r="F124" s="22"/>
      <c r="G124" s="22"/>
    </row>
    <row r="125" spans="1:17" ht="17.100000000000001" customHeight="1" x14ac:dyDescent="0.2">
      <c r="A125" s="22"/>
      <c r="B125" s="189" t="s">
        <v>154</v>
      </c>
      <c r="C125" s="190"/>
      <c r="D125" s="28">
        <v>0.52384447114504129</v>
      </c>
      <c r="E125" s="22"/>
      <c r="F125" s="19"/>
      <c r="G125" s="25"/>
    </row>
    <row r="126" spans="1:17" ht="17.100000000000001" customHeight="1" x14ac:dyDescent="0.2">
      <c r="A126" s="22"/>
      <c r="B126" s="189" t="s">
        <v>155</v>
      </c>
      <c r="C126" s="190"/>
      <c r="D126" s="2" t="s">
        <v>142</v>
      </c>
      <c r="E126" s="22"/>
      <c r="F126" s="22"/>
      <c r="G126" s="22"/>
    </row>
  </sheetData>
  <mergeCells count="14">
    <mergeCell ref="B126:C126"/>
    <mergeCell ref="B106:C106"/>
    <mergeCell ref="B107:C107"/>
    <mergeCell ref="B108:C108"/>
    <mergeCell ref="B116:C116"/>
    <mergeCell ref="B123:C123"/>
    <mergeCell ref="B124:C124"/>
    <mergeCell ref="B125:C125"/>
    <mergeCell ref="A1:H1"/>
    <mergeCell ref="A2:H2"/>
    <mergeCell ref="A3:H3"/>
    <mergeCell ref="B121:F121"/>
    <mergeCell ref="J2:N2"/>
    <mergeCell ref="B105:C10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Q18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1109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383812</v>
      </c>
      <c r="F7" s="6">
        <v>7318.7191220000004</v>
      </c>
      <c r="G7" s="7">
        <v>4.0764839999999997E-2</v>
      </c>
      <c r="H7" s="39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993969</v>
      </c>
      <c r="F8" s="6">
        <v>7258.9556069999999</v>
      </c>
      <c r="G8" s="7">
        <v>4.0431960000000003E-2</v>
      </c>
      <c r="H8" s="39"/>
    </row>
    <row r="9" spans="1:14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438083</v>
      </c>
      <c r="F9" s="6">
        <v>6441.3533905000004</v>
      </c>
      <c r="G9" s="7">
        <v>3.587796E-2</v>
      </c>
      <c r="H9" s="39"/>
    </row>
    <row r="10" spans="1:14" x14ac:dyDescent="0.2">
      <c r="A10" s="3">
        <v>4</v>
      </c>
      <c r="B10" s="4" t="s">
        <v>49</v>
      </c>
      <c r="C10" s="4" t="s">
        <v>50</v>
      </c>
      <c r="D10" s="4" t="s">
        <v>18</v>
      </c>
      <c r="E10" s="5">
        <v>1162752</v>
      </c>
      <c r="F10" s="6">
        <v>5738.7624960000003</v>
      </c>
      <c r="G10" s="7">
        <v>3.1964569999999998E-2</v>
      </c>
      <c r="H10" s="39"/>
    </row>
    <row r="11" spans="1:14" x14ac:dyDescent="0.2">
      <c r="A11" s="3">
        <v>5</v>
      </c>
      <c r="B11" s="4" t="s">
        <v>13</v>
      </c>
      <c r="C11" s="4" t="s">
        <v>14</v>
      </c>
      <c r="D11" s="4" t="s">
        <v>15</v>
      </c>
      <c r="E11" s="5">
        <v>217723</v>
      </c>
      <c r="F11" s="6">
        <v>5736.4567424999996</v>
      </c>
      <c r="G11" s="7">
        <v>3.1951729999999998E-2</v>
      </c>
      <c r="H11" s="39"/>
    </row>
    <row r="12" spans="1:14" x14ac:dyDescent="0.2">
      <c r="A12" s="3">
        <v>6</v>
      </c>
      <c r="B12" s="4" t="s">
        <v>300</v>
      </c>
      <c r="C12" s="4" t="s">
        <v>301</v>
      </c>
      <c r="D12" s="4" t="s">
        <v>18</v>
      </c>
      <c r="E12" s="5">
        <v>741897</v>
      </c>
      <c r="F12" s="6">
        <v>5646.9490155000003</v>
      </c>
      <c r="G12" s="7">
        <v>3.1453179999999997E-2</v>
      </c>
      <c r="H12" s="39"/>
    </row>
    <row r="13" spans="1:14" x14ac:dyDescent="0.2">
      <c r="A13" s="3">
        <v>7</v>
      </c>
      <c r="B13" s="4" t="s">
        <v>27</v>
      </c>
      <c r="C13" s="4" t="s">
        <v>28</v>
      </c>
      <c r="D13" s="4" t="s">
        <v>29</v>
      </c>
      <c r="E13" s="5">
        <v>185969</v>
      </c>
      <c r="F13" s="6">
        <v>4397.0510359999998</v>
      </c>
      <c r="G13" s="7">
        <v>2.449132E-2</v>
      </c>
      <c r="H13" s="39"/>
    </row>
    <row r="14" spans="1:14" x14ac:dyDescent="0.2">
      <c r="A14" s="3">
        <v>8</v>
      </c>
      <c r="B14" s="4" t="s">
        <v>231</v>
      </c>
      <c r="C14" s="4" t="s">
        <v>232</v>
      </c>
      <c r="D14" s="4" t="s">
        <v>29</v>
      </c>
      <c r="E14" s="5">
        <v>339107</v>
      </c>
      <c r="F14" s="6">
        <v>4276.1392699999997</v>
      </c>
      <c r="G14" s="7">
        <v>2.3817849999999998E-2</v>
      </c>
      <c r="H14" s="39"/>
    </row>
    <row r="15" spans="1:14" ht="25.5" x14ac:dyDescent="0.2">
      <c r="A15" s="3">
        <v>9</v>
      </c>
      <c r="B15" s="4" t="s">
        <v>83</v>
      </c>
      <c r="C15" s="4" t="s">
        <v>84</v>
      </c>
      <c r="D15" s="4" t="s">
        <v>1137</v>
      </c>
      <c r="E15" s="5">
        <v>3566636</v>
      </c>
      <c r="F15" s="6">
        <v>4181.8807100000004</v>
      </c>
      <c r="G15" s="7">
        <v>2.329283E-2</v>
      </c>
      <c r="H15" s="39"/>
      <c r="J15" s="176" t="s">
        <v>1192</v>
      </c>
    </row>
    <row r="16" spans="1:14" x14ac:dyDescent="0.2">
      <c r="A16" s="3">
        <v>10</v>
      </c>
      <c r="B16" s="4" t="s">
        <v>422</v>
      </c>
      <c r="C16" s="4" t="s">
        <v>423</v>
      </c>
      <c r="D16" s="4" t="s">
        <v>18</v>
      </c>
      <c r="E16" s="5">
        <v>1708032</v>
      </c>
      <c r="F16" s="6">
        <v>3890.04288</v>
      </c>
      <c r="G16" s="7">
        <v>2.1667309999999999E-2</v>
      </c>
      <c r="H16" s="39"/>
    </row>
    <row r="17" spans="1:10" x14ac:dyDescent="0.2">
      <c r="A17" s="3">
        <v>11</v>
      </c>
      <c r="B17" s="4" t="s">
        <v>392</v>
      </c>
      <c r="C17" s="4" t="s">
        <v>393</v>
      </c>
      <c r="D17" s="4" t="s">
        <v>1143</v>
      </c>
      <c r="E17" s="5">
        <v>102436</v>
      </c>
      <c r="F17" s="6">
        <v>3831.0551820000001</v>
      </c>
      <c r="G17" s="7">
        <v>2.1338750000000004E-2</v>
      </c>
      <c r="H17" s="39"/>
    </row>
    <row r="18" spans="1:10" x14ac:dyDescent="0.2">
      <c r="A18" s="3">
        <v>12</v>
      </c>
      <c r="B18" s="4" t="s">
        <v>302</v>
      </c>
      <c r="C18" s="4" t="s">
        <v>303</v>
      </c>
      <c r="D18" s="4" t="s">
        <v>1155</v>
      </c>
      <c r="E18" s="5">
        <v>8442</v>
      </c>
      <c r="F18" s="6">
        <v>3646.0449269999999</v>
      </c>
      <c r="G18" s="7">
        <v>2.0308259999999998E-2</v>
      </c>
      <c r="H18" s="39"/>
    </row>
    <row r="19" spans="1:10" ht="25.5" x14ac:dyDescent="0.2">
      <c r="A19" s="3">
        <v>13</v>
      </c>
      <c r="B19" s="4" t="s">
        <v>72</v>
      </c>
      <c r="C19" s="4" t="s">
        <v>73</v>
      </c>
      <c r="D19" s="4" t="s">
        <v>1137</v>
      </c>
      <c r="E19" s="5">
        <v>196629</v>
      </c>
      <c r="F19" s="6">
        <v>3576.3865664999998</v>
      </c>
      <c r="G19" s="7">
        <v>1.9920260000000002E-2</v>
      </c>
      <c r="H19" s="39"/>
    </row>
    <row r="20" spans="1:10" ht="25.5" x14ac:dyDescent="0.2">
      <c r="A20" s="3">
        <v>14</v>
      </c>
      <c r="B20" s="4" t="s">
        <v>294</v>
      </c>
      <c r="C20" s="4" t="s">
        <v>295</v>
      </c>
      <c r="D20" s="4" t="s">
        <v>1153</v>
      </c>
      <c r="E20" s="5">
        <v>127085</v>
      </c>
      <c r="F20" s="6">
        <v>3405.0519475000001</v>
      </c>
      <c r="G20" s="7">
        <v>1.8965940000000001E-2</v>
      </c>
      <c r="H20" s="39"/>
    </row>
    <row r="21" spans="1:10" x14ac:dyDescent="0.2">
      <c r="A21" s="3">
        <v>15</v>
      </c>
      <c r="B21" s="4" t="s">
        <v>239</v>
      </c>
      <c r="C21" s="4" t="s">
        <v>240</v>
      </c>
      <c r="D21" s="4" t="s">
        <v>1143</v>
      </c>
      <c r="E21" s="5">
        <v>566505</v>
      </c>
      <c r="F21" s="6">
        <v>3404.9783025000002</v>
      </c>
      <c r="G21" s="7">
        <v>1.8965529999999998E-2</v>
      </c>
      <c r="H21" s="39"/>
    </row>
    <row r="22" spans="1:10" x14ac:dyDescent="0.2">
      <c r="A22" s="3">
        <v>16</v>
      </c>
      <c r="B22" s="4" t="s">
        <v>369</v>
      </c>
      <c r="C22" s="4" t="s">
        <v>370</v>
      </c>
      <c r="D22" s="4" t="s">
        <v>1157</v>
      </c>
      <c r="E22" s="5">
        <v>355771</v>
      </c>
      <c r="F22" s="6">
        <v>3343.7137435</v>
      </c>
      <c r="G22" s="7">
        <v>1.8624289999999998E-2</v>
      </c>
      <c r="H22" s="39"/>
    </row>
    <row r="23" spans="1:10" x14ac:dyDescent="0.2">
      <c r="A23" s="3">
        <v>17</v>
      </c>
      <c r="B23" s="4" t="s">
        <v>87</v>
      </c>
      <c r="C23" s="4" t="s">
        <v>88</v>
      </c>
      <c r="D23" s="4" t="s">
        <v>1157</v>
      </c>
      <c r="E23" s="5">
        <v>604958</v>
      </c>
      <c r="F23" s="6">
        <v>3126.7254229999999</v>
      </c>
      <c r="G23" s="7">
        <v>1.7415679999999999E-2</v>
      </c>
      <c r="H23" s="39"/>
    </row>
    <row r="24" spans="1:10" x14ac:dyDescent="0.2">
      <c r="A24" s="3">
        <v>18</v>
      </c>
      <c r="B24" s="4" t="s">
        <v>359</v>
      </c>
      <c r="C24" s="4" t="s">
        <v>360</v>
      </c>
      <c r="D24" s="4" t="s">
        <v>82</v>
      </c>
      <c r="E24" s="5">
        <v>18101</v>
      </c>
      <c r="F24" s="6">
        <v>3088.1120544999999</v>
      </c>
      <c r="G24" s="7">
        <v>1.72006E-2</v>
      </c>
      <c r="H24" s="39"/>
    </row>
    <row r="25" spans="1:10" x14ac:dyDescent="0.2">
      <c r="A25" s="3">
        <v>19</v>
      </c>
      <c r="B25" s="4" t="s">
        <v>304</v>
      </c>
      <c r="C25" s="4" t="s">
        <v>305</v>
      </c>
      <c r="D25" s="4" t="s">
        <v>18</v>
      </c>
      <c r="E25" s="5">
        <v>2761290</v>
      </c>
      <c r="F25" s="6">
        <v>3081.5996399999999</v>
      </c>
      <c r="G25" s="7">
        <v>1.7164330000000002E-2</v>
      </c>
      <c r="H25" s="39"/>
    </row>
    <row r="26" spans="1:10" ht="25.5" x14ac:dyDescent="0.2">
      <c r="A26" s="3">
        <v>20</v>
      </c>
      <c r="B26" s="4" t="s">
        <v>237</v>
      </c>
      <c r="C26" s="4" t="s">
        <v>238</v>
      </c>
      <c r="D26" s="4" t="s">
        <v>1153</v>
      </c>
      <c r="E26" s="5">
        <v>72649</v>
      </c>
      <c r="F26" s="6">
        <v>2965.6774780000001</v>
      </c>
      <c r="G26" s="7">
        <v>1.6518649999999999E-2</v>
      </c>
      <c r="H26" s="39"/>
    </row>
    <row r="27" spans="1:10" x14ac:dyDescent="0.2">
      <c r="A27" s="3">
        <v>21</v>
      </c>
      <c r="B27" s="4" t="s">
        <v>11</v>
      </c>
      <c r="C27" s="4" t="s">
        <v>12</v>
      </c>
      <c r="D27" s="4" t="s">
        <v>60</v>
      </c>
      <c r="E27" s="5">
        <v>159697</v>
      </c>
      <c r="F27" s="6">
        <v>2822.8840205000001</v>
      </c>
      <c r="G27" s="7">
        <v>1.5723299999999999E-2</v>
      </c>
      <c r="H27" s="39"/>
    </row>
    <row r="28" spans="1:10" x14ac:dyDescent="0.2">
      <c r="A28" s="3">
        <v>22</v>
      </c>
      <c r="B28" s="4" t="s">
        <v>432</v>
      </c>
      <c r="C28" s="4" t="s">
        <v>433</v>
      </c>
      <c r="D28" s="4" t="s">
        <v>1146</v>
      </c>
      <c r="E28" s="5">
        <v>639435</v>
      </c>
      <c r="F28" s="6">
        <v>2773.5493124999998</v>
      </c>
      <c r="G28" s="7">
        <v>1.544851E-2</v>
      </c>
      <c r="H28" s="39"/>
    </row>
    <row r="29" spans="1:10" x14ac:dyDescent="0.2">
      <c r="A29" s="3">
        <v>23</v>
      </c>
      <c r="B29" s="4" t="s">
        <v>526</v>
      </c>
      <c r="C29" s="4" t="s">
        <v>527</v>
      </c>
      <c r="D29" s="4" t="s">
        <v>1143</v>
      </c>
      <c r="E29" s="5">
        <v>178535</v>
      </c>
      <c r="F29" s="6">
        <v>2697.1282449999999</v>
      </c>
      <c r="G29" s="7">
        <v>1.5022850000000001E-2</v>
      </c>
      <c r="H29" s="39"/>
    </row>
    <row r="30" spans="1:10" x14ac:dyDescent="0.2">
      <c r="A30" s="3">
        <v>24</v>
      </c>
      <c r="B30" s="4" t="s">
        <v>420</v>
      </c>
      <c r="C30" s="4" t="s">
        <v>421</v>
      </c>
      <c r="D30" s="4" t="s">
        <v>1154</v>
      </c>
      <c r="E30" s="5">
        <v>379063</v>
      </c>
      <c r="F30" s="6">
        <v>2575.5435535000001</v>
      </c>
      <c r="G30" s="7">
        <v>1.434563E-2</v>
      </c>
      <c r="H30" s="39"/>
    </row>
    <row r="31" spans="1:10" ht="15" x14ac:dyDescent="0.2">
      <c r="A31" s="3">
        <v>25</v>
      </c>
      <c r="B31" s="4" t="s">
        <v>426</v>
      </c>
      <c r="C31" s="4" t="s">
        <v>427</v>
      </c>
      <c r="D31" s="4" t="s">
        <v>82</v>
      </c>
      <c r="E31" s="5">
        <v>35258</v>
      </c>
      <c r="F31" s="6">
        <v>2559.7131709999999</v>
      </c>
      <c r="G31" s="7">
        <v>1.425745E-2</v>
      </c>
      <c r="H31" s="39"/>
      <c r="J31" s="176" t="s">
        <v>1193</v>
      </c>
    </row>
    <row r="32" spans="1:10" ht="25.5" x14ac:dyDescent="0.2">
      <c r="A32" s="3">
        <v>26</v>
      </c>
      <c r="B32" s="4" t="s">
        <v>390</v>
      </c>
      <c r="C32" s="4" t="s">
        <v>391</v>
      </c>
      <c r="D32" s="4" t="s">
        <v>82</v>
      </c>
      <c r="E32" s="5">
        <v>101999</v>
      </c>
      <c r="F32" s="6">
        <v>2438.184096</v>
      </c>
      <c r="G32" s="7">
        <v>1.358054E-2</v>
      </c>
      <c r="H32" s="39"/>
    </row>
    <row r="33" spans="1:8" ht="25.5" x14ac:dyDescent="0.2">
      <c r="A33" s="3">
        <v>27</v>
      </c>
      <c r="B33" s="4" t="s">
        <v>335</v>
      </c>
      <c r="C33" s="4" t="s">
        <v>336</v>
      </c>
      <c r="D33" s="4" t="s">
        <v>1138</v>
      </c>
      <c r="E33" s="5">
        <v>74265</v>
      </c>
      <c r="F33" s="6">
        <v>2430.4335225</v>
      </c>
      <c r="G33" s="7">
        <v>1.353737E-2</v>
      </c>
      <c r="H33" s="39"/>
    </row>
    <row r="34" spans="1:8" x14ac:dyDescent="0.2">
      <c r="A34" s="3">
        <v>28</v>
      </c>
      <c r="B34" s="4" t="s">
        <v>357</v>
      </c>
      <c r="C34" s="4" t="s">
        <v>358</v>
      </c>
      <c r="D34" s="4" t="s">
        <v>71</v>
      </c>
      <c r="E34" s="5">
        <v>52863</v>
      </c>
      <c r="F34" s="6">
        <v>2277.7609440000001</v>
      </c>
      <c r="G34" s="7">
        <v>1.2686999999999999E-2</v>
      </c>
      <c r="H34" s="39"/>
    </row>
    <row r="35" spans="1:8" x14ac:dyDescent="0.2">
      <c r="A35" s="3">
        <v>29</v>
      </c>
      <c r="B35" s="4" t="s">
        <v>440</v>
      </c>
      <c r="C35" s="4" t="s">
        <v>441</v>
      </c>
      <c r="D35" s="4" t="s">
        <v>1146</v>
      </c>
      <c r="E35" s="5">
        <v>29053</v>
      </c>
      <c r="F35" s="6">
        <v>2196.7844890000001</v>
      </c>
      <c r="G35" s="7">
        <v>1.2235959999999999E-2</v>
      </c>
      <c r="H35" s="39"/>
    </row>
    <row r="36" spans="1:8" x14ac:dyDescent="0.2">
      <c r="A36" s="3">
        <v>30</v>
      </c>
      <c r="B36" s="4" t="s">
        <v>292</v>
      </c>
      <c r="C36" s="4" t="s">
        <v>293</v>
      </c>
      <c r="D36" s="4" t="s">
        <v>1143</v>
      </c>
      <c r="E36" s="5">
        <v>50873</v>
      </c>
      <c r="F36" s="6">
        <v>2189.0143170000001</v>
      </c>
      <c r="G36" s="7">
        <v>1.2192680000000001E-2</v>
      </c>
      <c r="H36" s="39"/>
    </row>
    <row r="37" spans="1:8" ht="25.5" x14ac:dyDescent="0.2">
      <c r="A37" s="3">
        <v>31</v>
      </c>
      <c r="B37" s="4" t="s">
        <v>321</v>
      </c>
      <c r="C37" s="4" t="s">
        <v>322</v>
      </c>
      <c r="D37" s="4" t="s">
        <v>71</v>
      </c>
      <c r="E37" s="5">
        <v>580000</v>
      </c>
      <c r="F37" s="6">
        <v>2169.1999999999998</v>
      </c>
      <c r="G37" s="7">
        <v>1.2082320000000001E-2</v>
      </c>
      <c r="H37" s="39"/>
    </row>
    <row r="38" spans="1:8" x14ac:dyDescent="0.2">
      <c r="A38" s="3">
        <v>32</v>
      </c>
      <c r="B38" s="4" t="s">
        <v>459</v>
      </c>
      <c r="C38" s="4" t="s">
        <v>460</v>
      </c>
      <c r="D38" s="4" t="s">
        <v>71</v>
      </c>
      <c r="E38" s="5">
        <v>632189</v>
      </c>
      <c r="F38" s="6">
        <v>2030.9071624999999</v>
      </c>
      <c r="G38" s="7">
        <v>1.1312029999999999E-2</v>
      </c>
      <c r="H38" s="39"/>
    </row>
    <row r="39" spans="1:8" x14ac:dyDescent="0.2">
      <c r="A39" s="3">
        <v>33</v>
      </c>
      <c r="B39" s="4" t="s">
        <v>522</v>
      </c>
      <c r="C39" s="4" t="s">
        <v>523</v>
      </c>
      <c r="D39" s="4" t="s">
        <v>1027</v>
      </c>
      <c r="E39" s="5">
        <v>85000</v>
      </c>
      <c r="F39" s="6">
        <v>1968.4725000000001</v>
      </c>
      <c r="G39" s="7">
        <v>1.096428E-2</v>
      </c>
      <c r="H39" s="39"/>
    </row>
    <row r="40" spans="1:8" x14ac:dyDescent="0.2">
      <c r="A40" s="3">
        <v>34</v>
      </c>
      <c r="B40" s="4" t="s">
        <v>365</v>
      </c>
      <c r="C40" s="4" t="s">
        <v>366</v>
      </c>
      <c r="D40" s="4" t="s">
        <v>71</v>
      </c>
      <c r="E40" s="5">
        <v>314277</v>
      </c>
      <c r="F40" s="6">
        <v>1924.003794</v>
      </c>
      <c r="G40" s="7">
        <v>1.071659E-2</v>
      </c>
      <c r="H40" s="39"/>
    </row>
    <row r="41" spans="1:8" x14ac:dyDescent="0.2">
      <c r="A41" s="3">
        <v>35</v>
      </c>
      <c r="B41" s="4" t="s">
        <v>19</v>
      </c>
      <c r="C41" s="4" t="s">
        <v>20</v>
      </c>
      <c r="D41" s="4" t="s">
        <v>21</v>
      </c>
      <c r="E41" s="5">
        <v>249739</v>
      </c>
      <c r="F41" s="6">
        <v>1885.4045805000001</v>
      </c>
      <c r="G41" s="7">
        <v>1.050159E-2</v>
      </c>
      <c r="H41" s="39"/>
    </row>
    <row r="42" spans="1:8" x14ac:dyDescent="0.2">
      <c r="A42" s="3">
        <v>36</v>
      </c>
      <c r="B42" s="4" t="s">
        <v>343</v>
      </c>
      <c r="C42" s="4" t="s">
        <v>344</v>
      </c>
      <c r="D42" s="4" t="s">
        <v>1026</v>
      </c>
      <c r="E42" s="5">
        <v>70000</v>
      </c>
      <c r="F42" s="6">
        <v>1845.55</v>
      </c>
      <c r="G42" s="7">
        <v>1.027961E-2</v>
      </c>
      <c r="H42" s="39"/>
    </row>
    <row r="43" spans="1:8" x14ac:dyDescent="0.2">
      <c r="A43" s="3">
        <v>37</v>
      </c>
      <c r="B43" s="4" t="s">
        <v>434</v>
      </c>
      <c r="C43" s="4" t="s">
        <v>435</v>
      </c>
      <c r="D43" s="4" t="s">
        <v>308</v>
      </c>
      <c r="E43" s="5">
        <v>46000</v>
      </c>
      <c r="F43" s="6">
        <v>1841.5409999999999</v>
      </c>
      <c r="G43" s="7">
        <v>1.0257280000000001E-2</v>
      </c>
      <c r="H43" s="39"/>
    </row>
    <row r="44" spans="1:8" x14ac:dyDescent="0.2">
      <c r="A44" s="3">
        <v>38</v>
      </c>
      <c r="B44" s="4" t="s">
        <v>788</v>
      </c>
      <c r="C44" s="4" t="s">
        <v>789</v>
      </c>
      <c r="D44" s="4" t="s">
        <v>1143</v>
      </c>
      <c r="E44" s="5">
        <v>41080</v>
      </c>
      <c r="F44" s="6">
        <v>1831.1410000000001</v>
      </c>
      <c r="G44" s="7">
        <v>1.0199350000000001E-2</v>
      </c>
      <c r="H44" s="39"/>
    </row>
    <row r="45" spans="1:8" x14ac:dyDescent="0.2">
      <c r="A45" s="3">
        <v>39</v>
      </c>
      <c r="B45" s="4" t="s">
        <v>30</v>
      </c>
      <c r="C45" s="4" t="s">
        <v>31</v>
      </c>
      <c r="D45" s="4" t="s">
        <v>29</v>
      </c>
      <c r="E45" s="5">
        <v>100996</v>
      </c>
      <c r="F45" s="6">
        <v>1817.877502</v>
      </c>
      <c r="G45" s="7">
        <v>1.0125470000000001E-2</v>
      </c>
      <c r="H45" s="39"/>
    </row>
    <row r="46" spans="1:8" x14ac:dyDescent="0.2">
      <c r="A46" s="3">
        <v>40</v>
      </c>
      <c r="B46" s="4" t="s">
        <v>537</v>
      </c>
      <c r="C46" s="4" t="s">
        <v>538</v>
      </c>
      <c r="D46" s="4" t="s">
        <v>1156</v>
      </c>
      <c r="E46" s="5">
        <v>119506</v>
      </c>
      <c r="F46" s="6">
        <v>1793.9643189999999</v>
      </c>
      <c r="G46" s="7">
        <v>9.9922799999999992E-3</v>
      </c>
      <c r="H46" s="39"/>
    </row>
    <row r="47" spans="1:8" x14ac:dyDescent="0.2">
      <c r="A47" s="3">
        <v>41</v>
      </c>
      <c r="B47" s="4" t="s">
        <v>313</v>
      </c>
      <c r="C47" s="4" t="s">
        <v>314</v>
      </c>
      <c r="D47" s="4" t="s">
        <v>1142</v>
      </c>
      <c r="E47" s="5">
        <v>230000</v>
      </c>
      <c r="F47" s="6">
        <v>1733.97</v>
      </c>
      <c r="G47" s="7">
        <v>9.6581099999999993E-3</v>
      </c>
      <c r="H47" s="39"/>
    </row>
    <row r="48" spans="1:8" x14ac:dyDescent="0.2">
      <c r="A48" s="3">
        <v>42</v>
      </c>
      <c r="B48" s="4" t="s">
        <v>341</v>
      </c>
      <c r="C48" s="4" t="s">
        <v>342</v>
      </c>
      <c r="D48" s="4" t="s">
        <v>82</v>
      </c>
      <c r="E48" s="5">
        <v>265000</v>
      </c>
      <c r="F48" s="6">
        <v>1639.1575</v>
      </c>
      <c r="G48" s="7">
        <v>9.1300099999999992E-3</v>
      </c>
      <c r="H48" s="39"/>
    </row>
    <row r="49" spans="1:8" x14ac:dyDescent="0.2">
      <c r="A49" s="3">
        <v>43</v>
      </c>
      <c r="B49" s="4" t="s">
        <v>543</v>
      </c>
      <c r="C49" s="4" t="s">
        <v>544</v>
      </c>
      <c r="D49" s="4" t="s">
        <v>1144</v>
      </c>
      <c r="E49" s="5">
        <v>179061</v>
      </c>
      <c r="F49" s="6">
        <v>1589.9721494999999</v>
      </c>
      <c r="G49" s="7">
        <v>8.856049999999999E-3</v>
      </c>
      <c r="H49" s="39"/>
    </row>
    <row r="50" spans="1:8" x14ac:dyDescent="0.2">
      <c r="A50" s="3">
        <v>44</v>
      </c>
      <c r="B50" s="4" t="s">
        <v>539</v>
      </c>
      <c r="C50" s="4" t="s">
        <v>540</v>
      </c>
      <c r="D50" s="4" t="s">
        <v>1154</v>
      </c>
      <c r="E50" s="5">
        <v>483624</v>
      </c>
      <c r="F50" s="6">
        <v>1584.8358479999999</v>
      </c>
      <c r="G50" s="7">
        <v>8.8274399999999989E-3</v>
      </c>
      <c r="H50" s="39"/>
    </row>
    <row r="51" spans="1:8" ht="25.5" x14ac:dyDescent="0.2">
      <c r="A51" s="3">
        <v>45</v>
      </c>
      <c r="B51" s="4" t="s">
        <v>22</v>
      </c>
      <c r="C51" s="4" t="s">
        <v>23</v>
      </c>
      <c r="D51" s="4" t="s">
        <v>1150</v>
      </c>
      <c r="E51" s="5">
        <v>23802</v>
      </c>
      <c r="F51" s="6">
        <v>1571.4794460000001</v>
      </c>
      <c r="G51" s="7">
        <v>8.7530500000000001E-3</v>
      </c>
      <c r="H51" s="39"/>
    </row>
    <row r="52" spans="1:8" x14ac:dyDescent="0.2">
      <c r="A52" s="3">
        <v>46</v>
      </c>
      <c r="B52" s="4" t="s">
        <v>375</v>
      </c>
      <c r="C52" s="4" t="s">
        <v>376</v>
      </c>
      <c r="D52" s="4" t="s">
        <v>71</v>
      </c>
      <c r="E52" s="5">
        <v>151432</v>
      </c>
      <c r="F52" s="6">
        <v>1543.546376</v>
      </c>
      <c r="G52" s="7">
        <v>8.5974599999999995E-3</v>
      </c>
      <c r="H52" s="39"/>
    </row>
    <row r="53" spans="1:8" x14ac:dyDescent="0.2">
      <c r="A53" s="3">
        <v>47</v>
      </c>
      <c r="B53" s="4" t="s">
        <v>545</v>
      </c>
      <c r="C53" s="4" t="s">
        <v>546</v>
      </c>
      <c r="D53" s="4" t="s">
        <v>1146</v>
      </c>
      <c r="E53" s="5">
        <v>144000</v>
      </c>
      <c r="F53" s="6">
        <v>1467.0719999999999</v>
      </c>
      <c r="G53" s="7">
        <v>8.1715099999999999E-3</v>
      </c>
      <c r="H53" s="39"/>
    </row>
    <row r="54" spans="1:8" ht="25.5" x14ac:dyDescent="0.2">
      <c r="A54" s="3">
        <v>48</v>
      </c>
      <c r="B54" s="4" t="s">
        <v>42</v>
      </c>
      <c r="C54" s="4" t="s">
        <v>43</v>
      </c>
      <c r="D54" s="4" t="s">
        <v>1150</v>
      </c>
      <c r="E54" s="5">
        <v>58907</v>
      </c>
      <c r="F54" s="6">
        <v>1432.2058910000001</v>
      </c>
      <c r="G54" s="7">
        <v>7.9772999999999997E-3</v>
      </c>
      <c r="H54" s="39"/>
    </row>
    <row r="55" spans="1:8" x14ac:dyDescent="0.2">
      <c r="A55" s="3">
        <v>49</v>
      </c>
      <c r="B55" s="4" t="s">
        <v>561</v>
      </c>
      <c r="C55" s="4" t="s">
        <v>562</v>
      </c>
      <c r="D55" s="4" t="s">
        <v>71</v>
      </c>
      <c r="E55" s="5">
        <v>187368</v>
      </c>
      <c r="F55" s="6">
        <v>1397.109492</v>
      </c>
      <c r="G55" s="7">
        <v>7.7818200000000001E-3</v>
      </c>
      <c r="H55" s="39"/>
    </row>
    <row r="56" spans="1:8" x14ac:dyDescent="0.2">
      <c r="A56" s="3">
        <v>50</v>
      </c>
      <c r="B56" s="4" t="s">
        <v>438</v>
      </c>
      <c r="C56" s="4" t="s">
        <v>439</v>
      </c>
      <c r="D56" s="4" t="s">
        <v>1140</v>
      </c>
      <c r="E56" s="5">
        <v>81602</v>
      </c>
      <c r="F56" s="6">
        <v>1392.3341250000001</v>
      </c>
      <c r="G56" s="7">
        <v>7.7552200000000002E-3</v>
      </c>
      <c r="H56" s="39"/>
    </row>
    <row r="57" spans="1:8" x14ac:dyDescent="0.2">
      <c r="A57" s="3">
        <v>51</v>
      </c>
      <c r="B57" s="4" t="s">
        <v>58</v>
      </c>
      <c r="C57" s="4" t="s">
        <v>59</v>
      </c>
      <c r="D57" s="4" t="s">
        <v>60</v>
      </c>
      <c r="E57" s="5">
        <v>522185</v>
      </c>
      <c r="F57" s="6">
        <v>1353.2424275000001</v>
      </c>
      <c r="G57" s="7">
        <v>7.53748E-3</v>
      </c>
      <c r="H57" s="39"/>
    </row>
    <row r="58" spans="1:8" ht="25.5" x14ac:dyDescent="0.2">
      <c r="A58" s="3">
        <v>52</v>
      </c>
      <c r="B58" s="4" t="s">
        <v>159</v>
      </c>
      <c r="C58" s="4" t="s">
        <v>160</v>
      </c>
      <c r="D58" s="4" t="s">
        <v>1138</v>
      </c>
      <c r="E58" s="5">
        <v>355400</v>
      </c>
      <c r="F58" s="6">
        <v>1340.0356999999999</v>
      </c>
      <c r="G58" s="7">
        <v>7.4639200000000006E-3</v>
      </c>
      <c r="H58" s="39"/>
    </row>
    <row r="59" spans="1:8" x14ac:dyDescent="0.2">
      <c r="A59" s="3">
        <v>53</v>
      </c>
      <c r="B59" s="4" t="s">
        <v>100</v>
      </c>
      <c r="C59" s="4" t="s">
        <v>101</v>
      </c>
      <c r="D59" s="4" t="s">
        <v>53</v>
      </c>
      <c r="E59" s="5">
        <v>354595</v>
      </c>
      <c r="F59" s="6">
        <v>1323.1712425000001</v>
      </c>
      <c r="G59" s="7">
        <v>7.3699899999999999E-3</v>
      </c>
      <c r="H59" s="39"/>
    </row>
    <row r="60" spans="1:8" x14ac:dyDescent="0.2">
      <c r="A60" s="3">
        <v>54</v>
      </c>
      <c r="B60" s="4" t="s">
        <v>547</v>
      </c>
      <c r="C60" s="4" t="s">
        <v>548</v>
      </c>
      <c r="D60" s="4" t="s">
        <v>60</v>
      </c>
      <c r="E60" s="5">
        <v>458712</v>
      </c>
      <c r="F60" s="6">
        <v>1303.4301479999999</v>
      </c>
      <c r="G60" s="7">
        <v>7.2600299999999998E-3</v>
      </c>
      <c r="H60" s="39"/>
    </row>
    <row r="61" spans="1:8" x14ac:dyDescent="0.2">
      <c r="A61" s="3">
        <v>55</v>
      </c>
      <c r="B61" s="4" t="s">
        <v>174</v>
      </c>
      <c r="C61" s="4" t="s">
        <v>175</v>
      </c>
      <c r="D61" s="4" t="s">
        <v>82</v>
      </c>
      <c r="E61" s="5">
        <v>204020</v>
      </c>
      <c r="F61" s="6">
        <v>1288.2842900000001</v>
      </c>
      <c r="G61" s="7">
        <v>7.1756699999999994E-3</v>
      </c>
      <c r="H61" s="39"/>
    </row>
    <row r="62" spans="1:8" x14ac:dyDescent="0.2">
      <c r="A62" s="3">
        <v>56</v>
      </c>
      <c r="B62" s="4" t="s">
        <v>281</v>
      </c>
      <c r="C62" s="4" t="s">
        <v>282</v>
      </c>
      <c r="D62" s="4" t="s">
        <v>29</v>
      </c>
      <c r="E62" s="5">
        <v>59539</v>
      </c>
      <c r="F62" s="6">
        <v>1274.7895289999999</v>
      </c>
      <c r="G62" s="7">
        <v>7.1004999999999992E-3</v>
      </c>
      <c r="H62" s="39"/>
    </row>
    <row r="63" spans="1:8" x14ac:dyDescent="0.2">
      <c r="A63" s="3">
        <v>57</v>
      </c>
      <c r="B63" s="4" t="s">
        <v>194</v>
      </c>
      <c r="C63" s="4" t="s">
        <v>195</v>
      </c>
      <c r="D63" s="4" t="s">
        <v>1027</v>
      </c>
      <c r="E63" s="5">
        <v>88413</v>
      </c>
      <c r="F63" s="6">
        <v>1251.4418085</v>
      </c>
      <c r="G63" s="7">
        <v>6.9704600000000004E-3</v>
      </c>
      <c r="H63" s="39"/>
    </row>
    <row r="64" spans="1:8" x14ac:dyDescent="0.2">
      <c r="A64" s="3">
        <v>58</v>
      </c>
      <c r="B64" s="4" t="s">
        <v>206</v>
      </c>
      <c r="C64" s="4" t="s">
        <v>207</v>
      </c>
      <c r="D64" s="4" t="s">
        <v>1159</v>
      </c>
      <c r="E64" s="5">
        <v>125501</v>
      </c>
      <c r="F64" s="6">
        <v>1164.3355274999999</v>
      </c>
      <c r="G64" s="7">
        <v>6.4852799999999995E-3</v>
      </c>
      <c r="H64" s="39"/>
    </row>
    <row r="65" spans="1:8" x14ac:dyDescent="0.2">
      <c r="A65" s="3">
        <v>59</v>
      </c>
      <c r="B65" s="4" t="s">
        <v>402</v>
      </c>
      <c r="C65" s="4" t="s">
        <v>403</v>
      </c>
      <c r="D65" s="4" t="s">
        <v>1148</v>
      </c>
      <c r="E65" s="5">
        <v>55280</v>
      </c>
      <c r="F65" s="6">
        <v>1132.4937199999999</v>
      </c>
      <c r="G65" s="7">
        <v>6.3079199999999998E-3</v>
      </c>
      <c r="H65" s="39"/>
    </row>
    <row r="66" spans="1:8" x14ac:dyDescent="0.2">
      <c r="A66" s="3">
        <v>60</v>
      </c>
      <c r="B66" s="4" t="s">
        <v>76</v>
      </c>
      <c r="C66" s="4" t="s">
        <v>77</v>
      </c>
      <c r="D66" s="4" t="s">
        <v>71</v>
      </c>
      <c r="E66" s="5">
        <v>30850</v>
      </c>
      <c r="F66" s="6">
        <v>1086.9226249999999</v>
      </c>
      <c r="G66" s="7">
        <v>6.0540999999999998E-3</v>
      </c>
      <c r="H66" s="39"/>
    </row>
    <row r="67" spans="1:8" x14ac:dyDescent="0.2">
      <c r="A67" s="3">
        <v>61</v>
      </c>
      <c r="B67" s="4" t="s">
        <v>347</v>
      </c>
      <c r="C67" s="4" t="s">
        <v>348</v>
      </c>
      <c r="D67" s="4" t="s">
        <v>1147</v>
      </c>
      <c r="E67" s="5">
        <v>240639</v>
      </c>
      <c r="F67" s="6">
        <v>1076.0172884999999</v>
      </c>
      <c r="G67" s="7">
        <v>5.9933499999999997E-3</v>
      </c>
      <c r="H67" s="39"/>
    </row>
    <row r="68" spans="1:8" ht="25.5" x14ac:dyDescent="0.2">
      <c r="A68" s="3">
        <v>62</v>
      </c>
      <c r="B68" s="4" t="s">
        <v>436</v>
      </c>
      <c r="C68" s="4" t="s">
        <v>437</v>
      </c>
      <c r="D68" s="4" t="s">
        <v>1153</v>
      </c>
      <c r="E68" s="5">
        <v>10111</v>
      </c>
      <c r="F68" s="6">
        <v>1040.6797305</v>
      </c>
      <c r="G68" s="7">
        <v>5.7965299999999994E-3</v>
      </c>
      <c r="H68" s="39"/>
    </row>
    <row r="69" spans="1:8" x14ac:dyDescent="0.2">
      <c r="A69" s="3">
        <v>63</v>
      </c>
      <c r="B69" s="4" t="s">
        <v>94</v>
      </c>
      <c r="C69" s="4" t="s">
        <v>95</v>
      </c>
      <c r="D69" s="4" t="s">
        <v>1154</v>
      </c>
      <c r="E69" s="5">
        <v>52890</v>
      </c>
      <c r="F69" s="6">
        <v>1027.1238000000001</v>
      </c>
      <c r="G69" s="7">
        <v>5.7210200000000003E-3</v>
      </c>
      <c r="H69" s="39"/>
    </row>
    <row r="70" spans="1:8" x14ac:dyDescent="0.2">
      <c r="A70" s="3">
        <v>64</v>
      </c>
      <c r="B70" s="4" t="s">
        <v>571</v>
      </c>
      <c r="C70" s="4" t="s">
        <v>572</v>
      </c>
      <c r="D70" s="4" t="s">
        <v>253</v>
      </c>
      <c r="E70" s="5">
        <v>50000</v>
      </c>
      <c r="F70" s="6">
        <v>1017.875</v>
      </c>
      <c r="G70" s="7">
        <v>5.6694999999999992E-3</v>
      </c>
      <c r="H70" s="39"/>
    </row>
    <row r="71" spans="1:8" ht="25.5" x14ac:dyDescent="0.2">
      <c r="A71" s="3">
        <v>65</v>
      </c>
      <c r="B71" s="4" t="s">
        <v>797</v>
      </c>
      <c r="C71" s="4" t="s">
        <v>798</v>
      </c>
      <c r="D71" s="4" t="s">
        <v>1153</v>
      </c>
      <c r="E71" s="5">
        <v>50000</v>
      </c>
      <c r="F71" s="6">
        <v>996.2</v>
      </c>
      <c r="G71" s="7">
        <v>5.5487799999999997E-3</v>
      </c>
      <c r="H71" s="39"/>
    </row>
    <row r="72" spans="1:8" x14ac:dyDescent="0.2">
      <c r="A72" s="3">
        <v>66</v>
      </c>
      <c r="B72" s="4" t="s">
        <v>442</v>
      </c>
      <c r="C72" s="4" t="s">
        <v>443</v>
      </c>
      <c r="D72" s="4" t="s">
        <v>71</v>
      </c>
      <c r="E72" s="5">
        <v>91831</v>
      </c>
      <c r="F72" s="6">
        <v>979.23986849999994</v>
      </c>
      <c r="G72" s="7">
        <v>5.4543100000000004E-3</v>
      </c>
      <c r="H72" s="39"/>
    </row>
    <row r="73" spans="1:8" ht="25.5" x14ac:dyDescent="0.2">
      <c r="A73" s="3">
        <v>67</v>
      </c>
      <c r="B73" s="4" t="s">
        <v>396</v>
      </c>
      <c r="C73" s="4" t="s">
        <v>397</v>
      </c>
      <c r="D73" s="4" t="s">
        <v>1138</v>
      </c>
      <c r="E73" s="5">
        <v>103909</v>
      </c>
      <c r="F73" s="6">
        <v>950.50757750000002</v>
      </c>
      <c r="G73" s="7">
        <v>5.2942700000000002E-3</v>
      </c>
      <c r="H73" s="39"/>
    </row>
    <row r="74" spans="1:8" ht="25.5" x14ac:dyDescent="0.2">
      <c r="A74" s="3">
        <v>68</v>
      </c>
      <c r="B74" s="4" t="s">
        <v>80</v>
      </c>
      <c r="C74" s="4" t="s">
        <v>81</v>
      </c>
      <c r="D74" s="4" t="s">
        <v>82</v>
      </c>
      <c r="E74" s="5">
        <v>130000</v>
      </c>
      <c r="F74" s="6">
        <v>933.98500000000001</v>
      </c>
      <c r="G74" s="7">
        <v>5.2022400000000003E-3</v>
      </c>
      <c r="H74" s="39"/>
    </row>
    <row r="75" spans="1:8" x14ac:dyDescent="0.2">
      <c r="A75" s="3">
        <v>69</v>
      </c>
      <c r="B75" s="4" t="s">
        <v>367</v>
      </c>
      <c r="C75" s="4" t="s">
        <v>368</v>
      </c>
      <c r="D75" s="4" t="s">
        <v>1154</v>
      </c>
      <c r="E75" s="5">
        <v>85300</v>
      </c>
      <c r="F75" s="6">
        <v>795.25189999999998</v>
      </c>
      <c r="G75" s="7">
        <v>4.4295100000000002E-3</v>
      </c>
      <c r="H75" s="39"/>
    </row>
    <row r="76" spans="1:8" ht="25.5" x14ac:dyDescent="0.2">
      <c r="A76" s="3">
        <v>70</v>
      </c>
      <c r="B76" s="4" t="s">
        <v>258</v>
      </c>
      <c r="C76" s="4" t="s">
        <v>259</v>
      </c>
      <c r="D76" s="4" t="s">
        <v>1138</v>
      </c>
      <c r="E76" s="5">
        <v>127544</v>
      </c>
      <c r="F76" s="6">
        <v>788.79586800000004</v>
      </c>
      <c r="G76" s="7">
        <v>4.3935499999999995E-3</v>
      </c>
      <c r="H76" s="39"/>
    </row>
    <row r="77" spans="1:8" ht="25.5" x14ac:dyDescent="0.2">
      <c r="A77" s="3">
        <v>71</v>
      </c>
      <c r="B77" s="4" t="s">
        <v>520</v>
      </c>
      <c r="C77" s="4" t="s">
        <v>521</v>
      </c>
      <c r="D77" s="4" t="s">
        <v>1138</v>
      </c>
      <c r="E77" s="5">
        <v>96183</v>
      </c>
      <c r="F77" s="6">
        <v>764.27011800000002</v>
      </c>
      <c r="G77" s="7">
        <v>4.2569399999999999E-3</v>
      </c>
      <c r="H77" s="39"/>
    </row>
    <row r="78" spans="1:8" ht="25.5" x14ac:dyDescent="0.2">
      <c r="A78" s="3">
        <v>72</v>
      </c>
      <c r="B78" s="4" t="s">
        <v>424</v>
      </c>
      <c r="C78" s="4" t="s">
        <v>425</v>
      </c>
      <c r="D78" s="4" t="s">
        <v>1138</v>
      </c>
      <c r="E78" s="5">
        <v>17025</v>
      </c>
      <c r="F78" s="6">
        <v>749.44901249999998</v>
      </c>
      <c r="G78" s="7">
        <v>4.17439E-3</v>
      </c>
      <c r="H78" s="39"/>
    </row>
    <row r="79" spans="1:8" x14ac:dyDescent="0.2">
      <c r="A79" s="3">
        <v>73</v>
      </c>
      <c r="B79" s="4" t="s">
        <v>799</v>
      </c>
      <c r="C79" s="4" t="s">
        <v>800</v>
      </c>
      <c r="D79" s="4" t="s">
        <v>1165</v>
      </c>
      <c r="E79" s="5">
        <v>3189</v>
      </c>
      <c r="F79" s="6">
        <v>628.14689699999997</v>
      </c>
      <c r="G79" s="7">
        <v>3.4987400000000002E-3</v>
      </c>
      <c r="H79" s="39"/>
    </row>
    <row r="80" spans="1:8" x14ac:dyDescent="0.2">
      <c r="A80" s="3">
        <v>74</v>
      </c>
      <c r="B80" s="4" t="s">
        <v>410</v>
      </c>
      <c r="C80" s="4" t="s">
        <v>411</v>
      </c>
      <c r="D80" s="4" t="s">
        <v>412</v>
      </c>
      <c r="E80" s="5">
        <v>82383</v>
      </c>
      <c r="F80" s="6">
        <v>469.17118499999998</v>
      </c>
      <c r="G80" s="7">
        <v>2.6132600000000001E-3</v>
      </c>
      <c r="H80" s="39"/>
    </row>
    <row r="81" spans="1:15" x14ac:dyDescent="0.2">
      <c r="A81" s="3">
        <v>75</v>
      </c>
      <c r="B81" s="4" t="s">
        <v>573</v>
      </c>
      <c r="C81" s="4" t="s">
        <v>574</v>
      </c>
      <c r="D81" s="4" t="s">
        <v>308</v>
      </c>
      <c r="E81" s="5">
        <v>34308</v>
      </c>
      <c r="F81" s="6">
        <v>331.74120599999998</v>
      </c>
      <c r="G81" s="7">
        <v>1.84778E-3</v>
      </c>
      <c r="H81" s="39"/>
    </row>
    <row r="82" spans="1:15" ht="25.5" x14ac:dyDescent="0.2">
      <c r="A82" s="3">
        <v>76</v>
      </c>
      <c r="B82" s="4" t="s">
        <v>801</v>
      </c>
      <c r="C82" s="4" t="s">
        <v>802</v>
      </c>
      <c r="D82" s="4" t="s">
        <v>1158</v>
      </c>
      <c r="E82" s="5">
        <v>13316</v>
      </c>
      <c r="F82" s="6">
        <v>315.74899199999999</v>
      </c>
      <c r="G82" s="7">
        <v>1.7587E-3</v>
      </c>
      <c r="H82" s="39"/>
    </row>
    <row r="83" spans="1:15" ht="25.5" x14ac:dyDescent="0.2">
      <c r="A83" s="3">
        <v>77</v>
      </c>
      <c r="B83" s="4" t="s">
        <v>196</v>
      </c>
      <c r="C83" s="4" t="s">
        <v>197</v>
      </c>
      <c r="D83" s="4" t="s">
        <v>1138</v>
      </c>
      <c r="E83" s="5">
        <v>14458</v>
      </c>
      <c r="F83" s="6">
        <v>227.69904199999999</v>
      </c>
      <c r="G83" s="7">
        <v>1.2682699999999999E-3</v>
      </c>
      <c r="H83" s="39"/>
    </row>
    <row r="84" spans="1:15" ht="25.5" x14ac:dyDescent="0.2">
      <c r="A84" s="3">
        <v>78</v>
      </c>
      <c r="B84" s="4" t="s">
        <v>417</v>
      </c>
      <c r="C84" s="37" t="s">
        <v>1013</v>
      </c>
      <c r="D84" s="37" t="s">
        <v>21</v>
      </c>
      <c r="E84" s="5">
        <v>30823</v>
      </c>
      <c r="F84" s="6">
        <v>122.0436685</v>
      </c>
      <c r="G84" s="7">
        <v>6.7977999999999995E-4</v>
      </c>
      <c r="H84" s="39"/>
    </row>
    <row r="85" spans="1:15" s="52" customFormat="1" x14ac:dyDescent="0.2">
      <c r="A85" s="36">
        <v>80</v>
      </c>
      <c r="B85" s="37" t="s">
        <v>804</v>
      </c>
      <c r="C85" s="37" t="s">
        <v>1028</v>
      </c>
      <c r="D85" s="37" t="s">
        <v>29</v>
      </c>
      <c r="E85" s="38">
        <v>93095</v>
      </c>
      <c r="F85" s="39">
        <v>5.8649849999999999</v>
      </c>
      <c r="G85" s="40" t="s">
        <v>110</v>
      </c>
      <c r="H85" s="39"/>
      <c r="I85"/>
      <c r="J85"/>
      <c r="K85"/>
      <c r="L85"/>
      <c r="M85"/>
      <c r="N85"/>
      <c r="O85"/>
    </row>
    <row r="86" spans="1:15" x14ac:dyDescent="0.2">
      <c r="A86" s="1"/>
      <c r="B86" s="1"/>
      <c r="C86" s="2" t="s">
        <v>111</v>
      </c>
      <c r="D86" s="1"/>
      <c r="E86" s="1" t="s">
        <v>112</v>
      </c>
      <c r="F86" s="9">
        <v>173514.3540475</v>
      </c>
      <c r="G86" s="14">
        <v>0.96646483999999999</v>
      </c>
      <c r="H86" s="39"/>
    </row>
    <row r="87" spans="1:15" x14ac:dyDescent="0.2">
      <c r="A87" s="1"/>
      <c r="B87" s="1"/>
      <c r="C87" s="11"/>
      <c r="D87" s="1"/>
      <c r="E87" s="1"/>
      <c r="F87" s="12"/>
      <c r="G87" s="12"/>
      <c r="H87" s="39"/>
    </row>
    <row r="88" spans="1:15" x14ac:dyDescent="0.2">
      <c r="A88" s="1"/>
      <c r="B88" s="1"/>
      <c r="C88" s="2" t="s">
        <v>113</v>
      </c>
      <c r="D88" s="1"/>
      <c r="E88" s="1"/>
      <c r="F88" s="1"/>
      <c r="G88" s="1"/>
      <c r="H88" s="39"/>
    </row>
    <row r="89" spans="1:15" x14ac:dyDescent="0.2">
      <c r="A89" s="1"/>
      <c r="B89" s="1"/>
      <c r="C89" s="2" t="s">
        <v>111</v>
      </c>
      <c r="D89" s="1"/>
      <c r="E89" s="1" t="s">
        <v>112</v>
      </c>
      <c r="F89" s="13">
        <v>0</v>
      </c>
      <c r="G89" s="14">
        <v>0</v>
      </c>
      <c r="H89" s="39"/>
    </row>
    <row r="90" spans="1:15" x14ac:dyDescent="0.2">
      <c r="A90" s="1"/>
      <c r="B90" s="1"/>
      <c r="C90" s="11"/>
      <c r="D90" s="1"/>
      <c r="E90" s="1"/>
      <c r="F90" s="12"/>
      <c r="G90" s="12"/>
      <c r="H90" s="39"/>
    </row>
    <row r="91" spans="1:15" x14ac:dyDescent="0.2">
      <c r="A91" s="1"/>
      <c r="B91" s="1"/>
      <c r="C91" s="2" t="s">
        <v>114</v>
      </c>
      <c r="D91" s="1"/>
      <c r="E91" s="1"/>
      <c r="F91" s="1"/>
      <c r="G91" s="1"/>
      <c r="H91" s="39"/>
    </row>
    <row r="92" spans="1:15" x14ac:dyDescent="0.2">
      <c r="A92" s="3">
        <v>1</v>
      </c>
      <c r="B92" s="4" t="s">
        <v>586</v>
      </c>
      <c r="C92" s="37" t="s">
        <v>1024</v>
      </c>
      <c r="D92" s="37" t="s">
        <v>1026</v>
      </c>
      <c r="E92" s="5">
        <v>511578</v>
      </c>
      <c r="F92" s="6">
        <v>32.024782799999997</v>
      </c>
      <c r="G92" s="7">
        <v>1.7838000000000001E-4</v>
      </c>
      <c r="H92" s="39"/>
    </row>
    <row r="93" spans="1:15" x14ac:dyDescent="0.2">
      <c r="A93" s="3">
        <v>2</v>
      </c>
      <c r="B93" s="4" t="s">
        <v>803</v>
      </c>
      <c r="C93" s="37" t="s">
        <v>1029</v>
      </c>
      <c r="D93" s="37" t="s">
        <v>1027</v>
      </c>
      <c r="E93" s="5">
        <v>39500</v>
      </c>
      <c r="F93" s="6">
        <v>21.859300000000001</v>
      </c>
      <c r="G93" s="7">
        <v>1.2176E-4</v>
      </c>
      <c r="H93" s="39"/>
    </row>
    <row r="94" spans="1:15" ht="25.5" x14ac:dyDescent="0.2">
      <c r="A94" s="3">
        <v>3</v>
      </c>
      <c r="B94" s="4" t="s">
        <v>808</v>
      </c>
      <c r="C94" s="37" t="s">
        <v>1030</v>
      </c>
      <c r="D94" s="37" t="s">
        <v>1139</v>
      </c>
      <c r="E94" s="5">
        <v>200000</v>
      </c>
      <c r="F94" s="6">
        <v>1.9999999999999999E-6</v>
      </c>
      <c r="G94" s="40" t="s">
        <v>110</v>
      </c>
      <c r="H94" s="39"/>
    </row>
    <row r="95" spans="1:15" x14ac:dyDescent="0.2">
      <c r="A95" s="3">
        <v>4</v>
      </c>
      <c r="B95" s="4" t="s">
        <v>807</v>
      </c>
      <c r="C95" s="37" t="s">
        <v>1031</v>
      </c>
      <c r="D95" s="37"/>
      <c r="E95" s="5">
        <v>176305</v>
      </c>
      <c r="F95" s="6">
        <v>1.7630000000000001E-6</v>
      </c>
      <c r="G95" s="40" t="s">
        <v>110</v>
      </c>
      <c r="H95" s="39"/>
    </row>
    <row r="96" spans="1:15" x14ac:dyDescent="0.2">
      <c r="A96" s="3">
        <v>5</v>
      </c>
      <c r="B96" s="4" t="s">
        <v>809</v>
      </c>
      <c r="C96" s="37" t="s">
        <v>1032</v>
      </c>
      <c r="D96" s="37"/>
      <c r="E96" s="5">
        <v>93200</v>
      </c>
      <c r="F96" s="6">
        <v>9.3200000000000003E-7</v>
      </c>
      <c r="G96" s="40" t="s">
        <v>110</v>
      </c>
      <c r="H96" s="39"/>
    </row>
    <row r="97" spans="1:8" x14ac:dyDescent="0.2">
      <c r="A97" s="3">
        <v>6</v>
      </c>
      <c r="B97" s="4" t="s">
        <v>806</v>
      </c>
      <c r="C97" s="37" t="s">
        <v>1033</v>
      </c>
      <c r="D97" s="37" t="s">
        <v>1140</v>
      </c>
      <c r="E97" s="5">
        <v>54000</v>
      </c>
      <c r="F97" s="6">
        <v>5.4000000000000002E-7</v>
      </c>
      <c r="G97" s="40" t="s">
        <v>110</v>
      </c>
      <c r="H97" s="39"/>
    </row>
    <row r="98" spans="1:8" ht="25.5" x14ac:dyDescent="0.2">
      <c r="A98" s="3">
        <v>7</v>
      </c>
      <c r="B98" s="4" t="s">
        <v>805</v>
      </c>
      <c r="C98" s="37" t="s">
        <v>1034</v>
      </c>
      <c r="D98" s="37" t="s">
        <v>1141</v>
      </c>
      <c r="E98" s="5">
        <v>50800</v>
      </c>
      <c r="F98" s="6">
        <v>5.0800000000000005E-7</v>
      </c>
      <c r="G98" s="40" t="s">
        <v>110</v>
      </c>
      <c r="H98" s="39"/>
    </row>
    <row r="99" spans="1:8" x14ac:dyDescent="0.2">
      <c r="A99" s="3">
        <v>8</v>
      </c>
      <c r="B99" s="4" t="s">
        <v>810</v>
      </c>
      <c r="C99" s="37" t="s">
        <v>1035</v>
      </c>
      <c r="D99" s="37"/>
      <c r="E99" s="5">
        <v>200</v>
      </c>
      <c r="F99" s="6">
        <v>2.0000000000000001E-9</v>
      </c>
      <c r="G99" s="40" t="s">
        <v>110</v>
      </c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53.884088545000004</v>
      </c>
      <c r="G100" s="14">
        <v>3.0014000000000001E-4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115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9">
        <v>0</v>
      </c>
      <c r="G103" s="10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116</v>
      </c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111</v>
      </c>
      <c r="D106" s="1"/>
      <c r="E106" s="1" t="s">
        <v>112</v>
      </c>
      <c r="F106" s="13">
        <v>0</v>
      </c>
      <c r="G106" s="14">
        <v>0</v>
      </c>
      <c r="H106" s="39"/>
    </row>
    <row r="107" spans="1:8" x14ac:dyDescent="0.2">
      <c r="A107" s="1"/>
      <c r="B107" s="1"/>
      <c r="C107" s="11"/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117</v>
      </c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111</v>
      </c>
      <c r="D109" s="1"/>
      <c r="E109" s="1" t="s">
        <v>112</v>
      </c>
      <c r="F109" s="13">
        <v>0</v>
      </c>
      <c r="G109" s="14">
        <v>0</v>
      </c>
      <c r="H109" s="39"/>
    </row>
    <row r="110" spans="1:8" x14ac:dyDescent="0.2">
      <c r="A110" s="1"/>
      <c r="B110" s="1"/>
      <c r="C110" s="11"/>
      <c r="D110" s="1"/>
      <c r="E110" s="1"/>
      <c r="F110" s="12"/>
      <c r="G110" s="12"/>
      <c r="H110" s="39"/>
    </row>
    <row r="111" spans="1:8" x14ac:dyDescent="0.2">
      <c r="A111" s="1"/>
      <c r="B111" s="1"/>
      <c r="C111" s="2" t="s">
        <v>118</v>
      </c>
      <c r="D111" s="1"/>
      <c r="E111" s="1"/>
      <c r="F111" s="9">
        <v>173568.23813604499</v>
      </c>
      <c r="G111" s="10">
        <v>0.96676495200000001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119</v>
      </c>
      <c r="D113" s="1"/>
      <c r="E113" s="1"/>
      <c r="F113" s="12"/>
      <c r="G113" s="12"/>
      <c r="H113" s="39"/>
    </row>
    <row r="114" spans="1:8" ht="25.5" x14ac:dyDescent="0.2">
      <c r="A114" s="1"/>
      <c r="B114" s="1"/>
      <c r="C114" s="2" t="s">
        <v>10</v>
      </c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2" t="s">
        <v>120</v>
      </c>
      <c r="D117" s="1"/>
      <c r="E117" s="1"/>
      <c r="F117" s="1"/>
      <c r="G117" s="1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121</v>
      </c>
      <c r="D120" s="1"/>
      <c r="E120" s="1"/>
      <c r="F120" s="1"/>
      <c r="G120" s="1"/>
      <c r="H120" s="39"/>
    </row>
    <row r="121" spans="1:8" x14ac:dyDescent="0.2">
      <c r="A121" s="1"/>
      <c r="B121" s="1"/>
      <c r="C121" s="2" t="s">
        <v>111</v>
      </c>
      <c r="D121" s="1"/>
      <c r="E121" s="1" t="s">
        <v>112</v>
      </c>
      <c r="F121" s="13">
        <v>0</v>
      </c>
      <c r="G121" s="14">
        <v>0</v>
      </c>
      <c r="H121" s="39"/>
    </row>
    <row r="122" spans="1:8" x14ac:dyDescent="0.2">
      <c r="A122" s="1"/>
      <c r="B122" s="1"/>
      <c r="C122" s="11"/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2"/>
      <c r="H123" s="39"/>
    </row>
    <row r="124" spans="1:8" x14ac:dyDescent="0.2">
      <c r="A124" s="1"/>
      <c r="B124" s="1"/>
      <c r="C124" s="2" t="s">
        <v>111</v>
      </c>
      <c r="D124" s="1"/>
      <c r="E124" s="1" t="s">
        <v>112</v>
      </c>
      <c r="F124" s="13">
        <v>0</v>
      </c>
      <c r="G124" s="14">
        <v>0</v>
      </c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x14ac:dyDescent="0.2">
      <c r="A126" s="1"/>
      <c r="B126" s="1"/>
      <c r="C126" s="2" t="s">
        <v>123</v>
      </c>
      <c r="D126" s="1"/>
      <c r="E126" s="1"/>
      <c r="F126" s="9">
        <v>0</v>
      </c>
      <c r="G126" s="10">
        <v>0</v>
      </c>
      <c r="H126" s="39"/>
    </row>
    <row r="127" spans="1:8" x14ac:dyDescent="0.2">
      <c r="A127" s="1"/>
      <c r="B127" s="1"/>
      <c r="C127" s="11"/>
      <c r="D127" s="1"/>
      <c r="E127" s="1"/>
      <c r="F127" s="12"/>
      <c r="G127" s="12"/>
      <c r="H127" s="39"/>
    </row>
    <row r="128" spans="1:8" x14ac:dyDescent="0.2">
      <c r="A128" s="1"/>
      <c r="B128" s="1"/>
      <c r="C128" s="2" t="s">
        <v>124</v>
      </c>
      <c r="D128" s="1"/>
      <c r="E128" s="1"/>
      <c r="F128" s="12"/>
      <c r="G128" s="12"/>
      <c r="H128" s="39"/>
    </row>
    <row r="129" spans="1:8" x14ac:dyDescent="0.2">
      <c r="A129" s="1"/>
      <c r="B129" s="1"/>
      <c r="C129" s="2" t="s">
        <v>125</v>
      </c>
      <c r="D129" s="1"/>
      <c r="E129" s="1"/>
      <c r="F129" s="12"/>
      <c r="G129" s="12"/>
      <c r="H129" s="39"/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13">
        <v>0</v>
      </c>
      <c r="G130" s="14">
        <v>0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1"/>
      <c r="C132" s="2" t="s">
        <v>126</v>
      </c>
      <c r="D132" s="1"/>
      <c r="E132" s="1"/>
      <c r="F132" s="12"/>
      <c r="G132" s="12"/>
      <c r="H132" s="39"/>
    </row>
    <row r="133" spans="1:8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39"/>
    </row>
    <row r="134" spans="1:8" x14ac:dyDescent="0.2">
      <c r="A134" s="1"/>
      <c r="B134" s="1"/>
      <c r="C134" s="11"/>
      <c r="D134" s="1"/>
      <c r="E134" s="1"/>
      <c r="F134" s="12"/>
      <c r="G134" s="12"/>
      <c r="H134" s="39"/>
    </row>
    <row r="135" spans="1:8" x14ac:dyDescent="0.2">
      <c r="A135" s="1"/>
      <c r="B135" s="1"/>
      <c r="C135" s="2" t="s">
        <v>127</v>
      </c>
      <c r="D135" s="1"/>
      <c r="E135" s="1"/>
      <c r="F135" s="12"/>
      <c r="G135" s="12"/>
      <c r="H135" s="39"/>
    </row>
    <row r="136" spans="1:8" x14ac:dyDescent="0.2">
      <c r="A136" s="1"/>
      <c r="B136" s="1"/>
      <c r="C136" s="2" t="s">
        <v>111</v>
      </c>
      <c r="D136" s="1"/>
      <c r="E136" s="1" t="s">
        <v>112</v>
      </c>
      <c r="F136" s="13">
        <v>0</v>
      </c>
      <c r="G136" s="14">
        <v>0</v>
      </c>
      <c r="H136" s="39"/>
    </row>
    <row r="137" spans="1:8" x14ac:dyDescent="0.2">
      <c r="A137" s="1"/>
      <c r="B137" s="1"/>
      <c r="C137" s="11"/>
      <c r="D137" s="1"/>
      <c r="E137" s="1"/>
      <c r="F137" s="12"/>
      <c r="G137" s="12"/>
      <c r="H137" s="39"/>
    </row>
    <row r="138" spans="1:8" x14ac:dyDescent="0.2">
      <c r="A138" s="1"/>
      <c r="B138" s="1"/>
      <c r="C138" s="2" t="s">
        <v>128</v>
      </c>
      <c r="D138" s="1"/>
      <c r="E138" s="1"/>
      <c r="F138" s="12"/>
      <c r="G138" s="12"/>
      <c r="H138" s="39"/>
    </row>
    <row r="139" spans="1:8" x14ac:dyDescent="0.2">
      <c r="A139" s="3">
        <v>1</v>
      </c>
      <c r="B139" s="4"/>
      <c r="C139" s="4" t="s">
        <v>129</v>
      </c>
      <c r="D139" s="4"/>
      <c r="E139" s="8"/>
      <c r="F139" s="6">
        <v>4222.1473839</v>
      </c>
      <c r="G139" s="7">
        <v>2.3517113999999999E-2</v>
      </c>
      <c r="H139" s="39">
        <v>3.6151121728634927</v>
      </c>
    </row>
    <row r="140" spans="1:8" x14ac:dyDescent="0.2">
      <c r="A140" s="3">
        <v>2</v>
      </c>
      <c r="B140" s="4"/>
      <c r="C140" s="4" t="s">
        <v>130</v>
      </c>
      <c r="D140" s="4"/>
      <c r="E140" s="8"/>
      <c r="F140" s="6">
        <v>1492.8542978999999</v>
      </c>
      <c r="G140" s="7">
        <v>8.315111E-3</v>
      </c>
      <c r="H140" s="39">
        <v>3.7142625760646584</v>
      </c>
    </row>
    <row r="141" spans="1:8" x14ac:dyDescent="0.2">
      <c r="A141" s="1"/>
      <c r="B141" s="1"/>
      <c r="C141" s="2" t="s">
        <v>111</v>
      </c>
      <c r="D141" s="1"/>
      <c r="E141" s="1" t="s">
        <v>112</v>
      </c>
      <c r="F141" s="9">
        <v>5715.0016818000004</v>
      </c>
      <c r="G141" s="10">
        <v>3.1832224999999999E-2</v>
      </c>
      <c r="H141" s="39"/>
    </row>
    <row r="142" spans="1:8" x14ac:dyDescent="0.2">
      <c r="A142" s="1"/>
      <c r="B142" s="1"/>
      <c r="C142" s="11"/>
      <c r="D142" s="1"/>
      <c r="E142" s="1"/>
      <c r="F142" s="12"/>
      <c r="G142" s="12"/>
      <c r="H142" s="39"/>
    </row>
    <row r="143" spans="1:8" x14ac:dyDescent="0.2">
      <c r="A143" s="1"/>
      <c r="B143" s="1"/>
      <c r="C143" s="2" t="s">
        <v>131</v>
      </c>
      <c r="D143" s="1"/>
      <c r="E143" s="1"/>
      <c r="F143" s="9">
        <v>5715.0016818000004</v>
      </c>
      <c r="G143" s="10">
        <v>3.1832224999999999E-2</v>
      </c>
      <c r="H143" s="39"/>
    </row>
    <row r="144" spans="1:8" x14ac:dyDescent="0.2">
      <c r="A144" s="1"/>
      <c r="B144" s="1"/>
      <c r="C144" s="12"/>
      <c r="D144" s="1"/>
      <c r="E144" s="1"/>
      <c r="F144" s="1"/>
      <c r="G144" s="1"/>
      <c r="H144" s="39"/>
    </row>
    <row r="145" spans="1:15" x14ac:dyDescent="0.2">
      <c r="A145" s="1"/>
      <c r="B145" s="1"/>
      <c r="C145" s="2" t="s">
        <v>132</v>
      </c>
      <c r="D145" s="1"/>
      <c r="E145" s="1"/>
      <c r="F145" s="1"/>
      <c r="G145" s="1"/>
      <c r="H145" s="39"/>
    </row>
    <row r="146" spans="1:15" x14ac:dyDescent="0.2">
      <c r="A146" s="1"/>
      <c r="B146" s="1"/>
      <c r="C146" s="2" t="s">
        <v>133</v>
      </c>
      <c r="D146" s="1"/>
      <c r="E146" s="1"/>
      <c r="F146" s="1"/>
      <c r="G146" s="1"/>
      <c r="H146" s="39"/>
    </row>
    <row r="147" spans="1:15" x14ac:dyDescent="0.2">
      <c r="A147" s="1"/>
      <c r="B147" s="1"/>
      <c r="C147" s="2" t="s">
        <v>111</v>
      </c>
      <c r="D147" s="1"/>
      <c r="E147" s="1" t="s">
        <v>112</v>
      </c>
      <c r="F147" s="13">
        <v>0</v>
      </c>
      <c r="G147" s="14">
        <v>0</v>
      </c>
      <c r="H147" s="39"/>
    </row>
    <row r="148" spans="1:15" x14ac:dyDescent="0.2">
      <c r="A148" s="1"/>
      <c r="B148" s="1"/>
      <c r="C148" s="11"/>
      <c r="D148" s="1"/>
      <c r="E148" s="1"/>
      <c r="F148" s="12"/>
      <c r="G148" s="12"/>
      <c r="H148" s="39"/>
    </row>
    <row r="149" spans="1:15" x14ac:dyDescent="0.2">
      <c r="A149" s="1"/>
      <c r="B149" s="1"/>
      <c r="C149" s="2" t="s">
        <v>134</v>
      </c>
      <c r="D149" s="1"/>
      <c r="E149" s="1"/>
      <c r="F149" s="1"/>
      <c r="G149" s="1"/>
      <c r="H149" s="39"/>
    </row>
    <row r="150" spans="1:15" x14ac:dyDescent="0.2">
      <c r="A150" s="1"/>
      <c r="B150" s="1"/>
      <c r="C150" s="2" t="s">
        <v>135</v>
      </c>
      <c r="D150" s="1"/>
      <c r="E150" s="1"/>
      <c r="F150" s="1"/>
      <c r="G150" s="1"/>
      <c r="H150" s="39"/>
    </row>
    <row r="151" spans="1:15" x14ac:dyDescent="0.2">
      <c r="A151" s="1"/>
      <c r="B151" s="1"/>
      <c r="C151" s="2" t="s">
        <v>111</v>
      </c>
      <c r="D151" s="1"/>
      <c r="E151" s="1" t="s">
        <v>112</v>
      </c>
      <c r="F151" s="13">
        <v>0</v>
      </c>
      <c r="G151" s="14">
        <v>0</v>
      </c>
      <c r="H151" s="39"/>
    </row>
    <row r="152" spans="1:15" x14ac:dyDescent="0.2">
      <c r="A152" s="1"/>
      <c r="B152" s="1"/>
      <c r="C152" s="11"/>
      <c r="D152" s="1"/>
      <c r="E152" s="1"/>
      <c r="F152" s="12"/>
      <c r="G152" s="12"/>
      <c r="H152" s="39"/>
      <c r="J152" s="101"/>
      <c r="K152" s="101"/>
      <c r="L152" s="101"/>
      <c r="M152" s="101"/>
      <c r="N152" s="101"/>
      <c r="O152" s="101"/>
    </row>
    <row r="153" spans="1:15" x14ac:dyDescent="0.2">
      <c r="A153" s="1"/>
      <c r="B153" s="1"/>
      <c r="C153" s="11"/>
      <c r="D153" s="1"/>
      <c r="E153" s="1"/>
      <c r="F153" s="12"/>
      <c r="G153" s="12"/>
      <c r="H153" s="39"/>
    </row>
    <row r="154" spans="1:15" ht="25.5" x14ac:dyDescent="0.2">
      <c r="A154" s="1"/>
      <c r="B154" s="1"/>
      <c r="C154" s="2" t="s">
        <v>136</v>
      </c>
      <c r="D154" s="1"/>
      <c r="E154" s="1"/>
      <c r="F154" s="12"/>
      <c r="G154" s="12"/>
      <c r="H154" s="39"/>
    </row>
    <row r="155" spans="1:15" x14ac:dyDescent="0.2">
      <c r="A155" s="1"/>
      <c r="B155" s="1"/>
      <c r="C155" s="2" t="s">
        <v>111</v>
      </c>
      <c r="D155" s="1"/>
      <c r="E155" s="1" t="s">
        <v>112</v>
      </c>
      <c r="F155" s="13">
        <v>0</v>
      </c>
      <c r="G155" s="14">
        <v>0</v>
      </c>
      <c r="H155" s="39"/>
    </row>
    <row r="156" spans="1:15" x14ac:dyDescent="0.2">
      <c r="A156" s="1"/>
      <c r="B156" s="1"/>
      <c r="C156" s="11"/>
      <c r="D156" s="1"/>
      <c r="E156" s="1"/>
      <c r="F156" s="12"/>
      <c r="G156" s="12"/>
      <c r="H156" s="39"/>
    </row>
    <row r="157" spans="1:15" x14ac:dyDescent="0.2">
      <c r="A157" s="1"/>
      <c r="B157" s="4"/>
      <c r="C157" s="4"/>
      <c r="D157" s="2"/>
      <c r="E157" s="1"/>
      <c r="F157" s="4"/>
      <c r="G157" s="8"/>
      <c r="H157" s="39"/>
    </row>
    <row r="158" spans="1:15" x14ac:dyDescent="0.2">
      <c r="A158" s="8"/>
      <c r="B158" s="4"/>
      <c r="C158" s="4" t="s">
        <v>137</v>
      </c>
      <c r="D158" s="4"/>
      <c r="E158" s="8"/>
      <c r="F158" s="6">
        <v>251.85509902000001</v>
      </c>
      <c r="G158" s="7">
        <v>1.4028179999999999E-3</v>
      </c>
      <c r="H158" s="39"/>
    </row>
    <row r="159" spans="1:15" x14ac:dyDescent="0.2">
      <c r="A159" s="11"/>
      <c r="B159" s="11"/>
      <c r="C159" s="2" t="s">
        <v>138</v>
      </c>
      <c r="D159" s="15"/>
      <c r="E159" s="15"/>
      <c r="F159" s="9">
        <v>179535.094916865</v>
      </c>
      <c r="G159" s="10">
        <v>0.99999999500000003</v>
      </c>
      <c r="H159" s="39"/>
    </row>
    <row r="160" spans="1:15" ht="14.1" customHeight="1" x14ac:dyDescent="0.2">
      <c r="A160" s="16"/>
      <c r="B160" s="16"/>
      <c r="C160" s="16"/>
      <c r="D160" s="17"/>
      <c r="E160" s="17"/>
      <c r="F160" s="17"/>
      <c r="G160" s="17"/>
    </row>
    <row r="161" spans="1:7" ht="14.1" customHeight="1" x14ac:dyDescent="0.2">
      <c r="A161" s="47"/>
      <c r="B161" s="53" t="s">
        <v>1036</v>
      </c>
      <c r="C161" s="53"/>
      <c r="D161" s="53"/>
      <c r="E161" s="53"/>
      <c r="F161" s="53"/>
      <c r="G161" s="49"/>
    </row>
    <row r="162" spans="1:7" ht="17.100000000000001" customHeight="1" x14ac:dyDescent="0.2">
      <c r="A162" s="47"/>
      <c r="B162" s="196" t="s">
        <v>139</v>
      </c>
      <c r="C162" s="196"/>
      <c r="D162" s="196"/>
      <c r="E162" s="196"/>
      <c r="F162" s="196"/>
      <c r="G162" s="49"/>
    </row>
    <row r="163" spans="1:7" ht="14.1" customHeight="1" x14ac:dyDescent="0.2">
      <c r="A163" s="18"/>
      <c r="B163" s="18"/>
      <c r="C163" s="18"/>
      <c r="D163" s="20"/>
      <c r="E163" s="20"/>
      <c r="F163" s="20"/>
      <c r="G163" s="20"/>
    </row>
    <row r="164" spans="1:7" ht="14.1" customHeight="1" x14ac:dyDescent="0.2">
      <c r="A164" s="18"/>
      <c r="B164" s="194" t="s">
        <v>140</v>
      </c>
      <c r="C164" s="195"/>
      <c r="D164" s="12" t="s">
        <v>112</v>
      </c>
      <c r="E164" s="21"/>
      <c r="F164" s="20"/>
      <c r="G164" s="20"/>
    </row>
    <row r="165" spans="1:7" ht="29.1" customHeight="1" x14ac:dyDescent="0.2">
      <c r="A165" s="18"/>
      <c r="B165" s="189" t="s">
        <v>141</v>
      </c>
      <c r="C165" s="190"/>
      <c r="D165" s="51" t="s">
        <v>1082</v>
      </c>
      <c r="E165" s="21"/>
      <c r="F165" s="20"/>
      <c r="G165" s="20"/>
    </row>
    <row r="166" spans="1:7" ht="17.100000000000001" customHeight="1" x14ac:dyDescent="0.2">
      <c r="A166" s="18"/>
      <c r="B166" s="191" t="s">
        <v>1023</v>
      </c>
      <c r="C166" s="192"/>
      <c r="D166" s="45" t="s">
        <v>1037</v>
      </c>
      <c r="E166" s="21"/>
      <c r="F166" s="20"/>
      <c r="G166" s="20"/>
    </row>
    <row r="167" spans="1:7" ht="17.100000000000001" customHeight="1" x14ac:dyDescent="0.2">
      <c r="A167" s="18"/>
      <c r="B167" s="189" t="s">
        <v>144</v>
      </c>
      <c r="C167" s="190"/>
      <c r="D167" s="12" t="s">
        <v>112</v>
      </c>
      <c r="E167" s="21"/>
      <c r="F167" s="20"/>
      <c r="G167" s="20"/>
    </row>
    <row r="168" spans="1:7" ht="24" customHeight="1" x14ac:dyDescent="0.2">
      <c r="A168" s="22"/>
      <c r="B168" s="23" t="s">
        <v>112</v>
      </c>
      <c r="C168" s="23" t="s">
        <v>145</v>
      </c>
      <c r="D168" s="23" t="s">
        <v>146</v>
      </c>
      <c r="E168" s="22"/>
      <c r="F168" s="22"/>
      <c r="G168" s="22"/>
    </row>
    <row r="169" spans="1:7" ht="18" customHeight="1" x14ac:dyDescent="0.2">
      <c r="A169" s="22"/>
      <c r="B169" s="23" t="s">
        <v>147</v>
      </c>
      <c r="C169" s="23" t="s">
        <v>148</v>
      </c>
      <c r="D169" s="23" t="s">
        <v>149</v>
      </c>
      <c r="E169" s="22"/>
      <c r="F169" s="22"/>
      <c r="G169" s="22"/>
    </row>
    <row r="170" spans="1:7" ht="17.100000000000001" customHeight="1" x14ac:dyDescent="0.2">
      <c r="A170" s="22"/>
      <c r="B170" s="4" t="s">
        <v>150</v>
      </c>
      <c r="C170" s="24">
        <v>246.0386</v>
      </c>
      <c r="D170" s="24">
        <v>253.8229</v>
      </c>
      <c r="E170" s="22"/>
      <c r="F170" s="19"/>
      <c r="G170" s="25"/>
    </row>
    <row r="171" spans="1:7" ht="29.1" customHeight="1" x14ac:dyDescent="0.2">
      <c r="A171" s="22"/>
      <c r="B171" s="4" t="s">
        <v>1095</v>
      </c>
      <c r="C171" s="24">
        <v>65.429299999999998</v>
      </c>
      <c r="D171" s="24">
        <v>67.498000000000005</v>
      </c>
      <c r="E171" s="22"/>
      <c r="F171" s="19"/>
      <c r="G171" s="25"/>
    </row>
    <row r="172" spans="1:7" ht="17.100000000000001" customHeight="1" x14ac:dyDescent="0.2">
      <c r="A172" s="22"/>
      <c r="B172" s="4" t="s">
        <v>151</v>
      </c>
      <c r="C172" s="24">
        <v>229.56360000000001</v>
      </c>
      <c r="D172" s="24">
        <v>236.57230000000001</v>
      </c>
      <c r="E172" s="22"/>
      <c r="F172" s="19"/>
      <c r="G172" s="25"/>
    </row>
    <row r="173" spans="1:7" ht="29.1" customHeight="1" x14ac:dyDescent="0.2">
      <c r="A173" s="22"/>
      <c r="B173" s="4" t="s">
        <v>1096</v>
      </c>
      <c r="C173" s="24">
        <v>50.3979</v>
      </c>
      <c r="D173" s="24">
        <v>51.936599999999999</v>
      </c>
      <c r="E173" s="22"/>
      <c r="F173" s="19"/>
      <c r="G173" s="25"/>
    </row>
    <row r="174" spans="1:7" ht="14.1" customHeight="1" x14ac:dyDescent="0.2">
      <c r="A174" s="22"/>
      <c r="B174" s="22"/>
      <c r="C174" s="22"/>
      <c r="D174" s="22"/>
      <c r="E174" s="22"/>
      <c r="F174" s="22"/>
      <c r="G174" s="22"/>
    </row>
    <row r="175" spans="1:7" ht="17.100000000000001" customHeight="1" x14ac:dyDescent="0.2">
      <c r="A175" s="22"/>
      <c r="B175" s="189" t="s">
        <v>1094</v>
      </c>
      <c r="C175" s="190"/>
      <c r="D175" s="2" t="s">
        <v>142</v>
      </c>
      <c r="E175" s="22"/>
      <c r="F175" s="22"/>
      <c r="G175" s="22"/>
    </row>
    <row r="176" spans="1:7" ht="18" customHeight="1" x14ac:dyDescent="0.2">
      <c r="A176" s="22"/>
      <c r="B176" s="26"/>
      <c r="C176" s="26"/>
      <c r="D176" s="27"/>
      <c r="E176" s="22"/>
      <c r="F176" s="22"/>
      <c r="G176" s="22"/>
    </row>
    <row r="177" spans="1:17" s="101" customFormat="1" x14ac:dyDescent="0.2">
      <c r="B177" s="193" t="s">
        <v>1102</v>
      </c>
      <c r="C177" s="193"/>
      <c r="D177" s="193"/>
      <c r="E177" s="193"/>
      <c r="F177" s="193"/>
      <c r="I177"/>
      <c r="J177"/>
      <c r="K177"/>
      <c r="L177"/>
      <c r="M177"/>
      <c r="N177"/>
      <c r="O177"/>
      <c r="P177" s="41"/>
      <c r="Q177" s="41"/>
    </row>
    <row r="178" spans="1:17" ht="14.1" customHeight="1" x14ac:dyDescent="0.2">
      <c r="A178" s="22"/>
      <c r="B178" s="19"/>
      <c r="C178" s="19"/>
      <c r="D178" s="22"/>
      <c r="E178" s="22"/>
      <c r="F178" s="22"/>
      <c r="G178" s="22"/>
    </row>
    <row r="179" spans="1:17" ht="29.1" customHeight="1" x14ac:dyDescent="0.2">
      <c r="A179" s="22"/>
      <c r="B179" s="189" t="s">
        <v>152</v>
      </c>
      <c r="C179" s="190"/>
      <c r="D179" s="2" t="s">
        <v>142</v>
      </c>
      <c r="E179" s="22"/>
      <c r="F179" s="22"/>
      <c r="G179" s="22"/>
    </row>
    <row r="180" spans="1:17" ht="29.1" customHeight="1" x14ac:dyDescent="0.2">
      <c r="A180" s="22"/>
      <c r="B180" s="189" t="s">
        <v>153</v>
      </c>
      <c r="C180" s="190"/>
      <c r="D180" s="2" t="s">
        <v>142</v>
      </c>
      <c r="E180" s="22"/>
      <c r="F180" s="22"/>
      <c r="G180" s="22"/>
    </row>
    <row r="181" spans="1:17" ht="17.100000000000001" customHeight="1" x14ac:dyDescent="0.2">
      <c r="A181" s="22"/>
      <c r="B181" s="189" t="s">
        <v>154</v>
      </c>
      <c r="C181" s="190"/>
      <c r="D181" s="28">
        <v>0.60834334080318386</v>
      </c>
      <c r="E181" s="22"/>
      <c r="F181" s="19"/>
      <c r="G181" s="25"/>
    </row>
    <row r="182" spans="1:17" ht="17.100000000000001" customHeight="1" x14ac:dyDescent="0.2">
      <c r="A182" s="22"/>
      <c r="B182" s="189" t="s">
        <v>155</v>
      </c>
      <c r="C182" s="190"/>
      <c r="D182" s="2" t="s">
        <v>142</v>
      </c>
      <c r="E182" s="22"/>
      <c r="F182" s="22"/>
      <c r="G182" s="22"/>
    </row>
    <row r="184" spans="1:17" s="107" customFormat="1" x14ac:dyDescent="0.2">
      <c r="B184" s="108" t="s">
        <v>1081</v>
      </c>
      <c r="J184"/>
      <c r="K184"/>
      <c r="L184"/>
      <c r="M184"/>
      <c r="N184"/>
      <c r="O184"/>
    </row>
    <row r="185" spans="1:17" ht="25.5" x14ac:dyDescent="0.2">
      <c r="B185" s="68" t="s">
        <v>1054</v>
      </c>
      <c r="C185" s="68" t="s">
        <v>1055</v>
      </c>
      <c r="D185" s="68" t="s">
        <v>1056</v>
      </c>
      <c r="E185" s="68" t="s">
        <v>1057</v>
      </c>
      <c r="F185" s="68" t="s">
        <v>1058</v>
      </c>
    </row>
    <row r="186" spans="1:17" x14ac:dyDescent="0.2">
      <c r="B186" s="102" t="s">
        <v>1083</v>
      </c>
      <c r="C186" s="103" t="s">
        <v>1079</v>
      </c>
      <c r="D186" s="104">
        <v>0</v>
      </c>
      <c r="E186" s="105">
        <v>0</v>
      </c>
      <c r="F186" s="106">
        <v>29.407129999999999</v>
      </c>
    </row>
  </sheetData>
  <sortState xmlns:xlrd2="http://schemas.microsoft.com/office/spreadsheetml/2017/richdata2" ref="A92:G99">
    <sortCondition descending="1" ref="E92:E99"/>
  </sortState>
  <mergeCells count="15">
    <mergeCell ref="B182:C182"/>
    <mergeCell ref="B165:C165"/>
    <mergeCell ref="B166:C166"/>
    <mergeCell ref="B167:C167"/>
    <mergeCell ref="B175:C175"/>
    <mergeCell ref="B179:C179"/>
    <mergeCell ref="B180:C180"/>
    <mergeCell ref="B177:F177"/>
    <mergeCell ref="A1:H1"/>
    <mergeCell ref="A2:H2"/>
    <mergeCell ref="A3:H3"/>
    <mergeCell ref="J2:N2"/>
    <mergeCell ref="B181:C181"/>
    <mergeCell ref="B164:C164"/>
    <mergeCell ref="B162:F16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Q19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1110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309</v>
      </c>
      <c r="C7" s="4" t="s">
        <v>310</v>
      </c>
      <c r="D7" s="4" t="s">
        <v>91</v>
      </c>
      <c r="E7" s="5">
        <v>13979</v>
      </c>
      <c r="F7" s="6">
        <v>74.487101499999994</v>
      </c>
      <c r="G7" s="7">
        <v>1.3658431E-2</v>
      </c>
      <c r="H7" s="39"/>
    </row>
    <row r="8" spans="1:14" ht="25.5" x14ac:dyDescent="0.2">
      <c r="A8" s="3">
        <v>2</v>
      </c>
      <c r="B8" s="4" t="s">
        <v>80</v>
      </c>
      <c r="C8" s="4" t="s">
        <v>81</v>
      </c>
      <c r="D8" s="4" t="s">
        <v>82</v>
      </c>
      <c r="E8" s="5">
        <v>10278</v>
      </c>
      <c r="F8" s="6">
        <v>73.842291000000003</v>
      </c>
      <c r="G8" s="7">
        <v>1.3540194E-2</v>
      </c>
      <c r="H8" s="39"/>
    </row>
    <row r="9" spans="1:14" x14ac:dyDescent="0.2">
      <c r="A9" s="3">
        <v>3</v>
      </c>
      <c r="B9" s="4" t="s">
        <v>304</v>
      </c>
      <c r="C9" s="4" t="s">
        <v>305</v>
      </c>
      <c r="D9" s="4" t="s">
        <v>18</v>
      </c>
      <c r="E9" s="5">
        <v>65915</v>
      </c>
      <c r="F9" s="6">
        <v>73.561139999999995</v>
      </c>
      <c r="G9" s="7">
        <v>1.3488641000000001E-2</v>
      </c>
      <c r="H9" s="39"/>
    </row>
    <row r="10" spans="1:14" x14ac:dyDescent="0.2">
      <c r="A10" s="3">
        <v>4</v>
      </c>
      <c r="B10" s="4" t="s">
        <v>811</v>
      </c>
      <c r="C10" s="4" t="s">
        <v>812</v>
      </c>
      <c r="D10" s="4" t="s">
        <v>26</v>
      </c>
      <c r="E10" s="5">
        <v>3839</v>
      </c>
      <c r="F10" s="6">
        <v>73.505332999999993</v>
      </c>
      <c r="G10" s="7">
        <v>1.3478408000000001E-2</v>
      </c>
      <c r="H10" s="39"/>
    </row>
    <row r="11" spans="1:14" x14ac:dyDescent="0.2">
      <c r="A11" s="3">
        <v>5</v>
      </c>
      <c r="B11" s="4" t="s">
        <v>813</v>
      </c>
      <c r="C11" s="4" t="s">
        <v>814</v>
      </c>
      <c r="D11" s="4" t="s">
        <v>26</v>
      </c>
      <c r="E11" s="5">
        <v>3096</v>
      </c>
      <c r="F11" s="6">
        <v>73.317924000000005</v>
      </c>
      <c r="G11" s="7">
        <v>1.3444042999999999E-2</v>
      </c>
      <c r="H11" s="39"/>
    </row>
    <row r="12" spans="1:14" x14ac:dyDescent="0.2">
      <c r="A12" s="3">
        <v>6</v>
      </c>
      <c r="B12" s="4" t="s">
        <v>410</v>
      </c>
      <c r="C12" s="4" t="s">
        <v>411</v>
      </c>
      <c r="D12" s="4" t="s">
        <v>412</v>
      </c>
      <c r="E12" s="5">
        <v>11680</v>
      </c>
      <c r="F12" s="6">
        <v>66.517600000000002</v>
      </c>
      <c r="G12" s="7">
        <v>1.2197092E-2</v>
      </c>
      <c r="H12" s="39"/>
    </row>
    <row r="13" spans="1:14" x14ac:dyDescent="0.2">
      <c r="A13" s="3">
        <v>7</v>
      </c>
      <c r="B13" s="4" t="s">
        <v>815</v>
      </c>
      <c r="C13" s="4" t="s">
        <v>816</v>
      </c>
      <c r="D13" s="4" t="s">
        <v>1161</v>
      </c>
      <c r="E13" s="5">
        <v>36098</v>
      </c>
      <c r="F13" s="6">
        <v>66.077388999999997</v>
      </c>
      <c r="G13" s="7">
        <v>1.2116372E-2</v>
      </c>
      <c r="H13" s="39"/>
    </row>
    <row r="14" spans="1:14" x14ac:dyDescent="0.2">
      <c r="A14" s="3">
        <v>8</v>
      </c>
      <c r="B14" s="4" t="s">
        <v>817</v>
      </c>
      <c r="C14" s="4" t="s">
        <v>818</v>
      </c>
      <c r="D14" s="4" t="s">
        <v>1162</v>
      </c>
      <c r="E14" s="5">
        <v>40361</v>
      </c>
      <c r="F14" s="6">
        <v>65.606805499999993</v>
      </c>
      <c r="G14" s="7">
        <v>1.2030083E-2</v>
      </c>
      <c r="H14" s="39"/>
    </row>
    <row r="15" spans="1:14" ht="15" x14ac:dyDescent="0.2">
      <c r="A15" s="3">
        <v>9</v>
      </c>
      <c r="B15" s="4" t="s">
        <v>819</v>
      </c>
      <c r="C15" s="4" t="s">
        <v>820</v>
      </c>
      <c r="D15" s="4" t="s">
        <v>18</v>
      </c>
      <c r="E15" s="5">
        <v>21145</v>
      </c>
      <c r="F15" s="6">
        <v>64.99973</v>
      </c>
      <c r="G15" s="7">
        <v>1.1918766000000001E-2</v>
      </c>
      <c r="H15" s="39"/>
      <c r="J15" s="176" t="s">
        <v>1194</v>
      </c>
    </row>
    <row r="16" spans="1:14" x14ac:dyDescent="0.2">
      <c r="A16" s="3">
        <v>10</v>
      </c>
      <c r="B16" s="4" t="s">
        <v>46</v>
      </c>
      <c r="C16" s="4" t="s">
        <v>47</v>
      </c>
      <c r="D16" s="4" t="s">
        <v>48</v>
      </c>
      <c r="E16" s="5">
        <v>38533</v>
      </c>
      <c r="F16" s="6">
        <v>63.155586999999997</v>
      </c>
      <c r="G16" s="7">
        <v>1.1580612000000001E-2</v>
      </c>
      <c r="H16" s="39"/>
    </row>
    <row r="17" spans="1:8" x14ac:dyDescent="0.2">
      <c r="A17" s="3">
        <v>11</v>
      </c>
      <c r="B17" s="4" t="s">
        <v>51</v>
      </c>
      <c r="C17" s="4" t="s">
        <v>52</v>
      </c>
      <c r="D17" s="4" t="s">
        <v>53</v>
      </c>
      <c r="E17" s="5">
        <v>40329</v>
      </c>
      <c r="F17" s="6">
        <v>62.772088500000002</v>
      </c>
      <c r="G17" s="7">
        <v>1.1510291000000001E-2</v>
      </c>
      <c r="H17" s="39"/>
    </row>
    <row r="18" spans="1:8" x14ac:dyDescent="0.2">
      <c r="A18" s="3">
        <v>12</v>
      </c>
      <c r="B18" s="4" t="s">
        <v>821</v>
      </c>
      <c r="C18" s="4" t="s">
        <v>822</v>
      </c>
      <c r="D18" s="4" t="s">
        <v>1163</v>
      </c>
      <c r="E18" s="5">
        <v>15459</v>
      </c>
      <c r="F18" s="6">
        <v>62.353876499999998</v>
      </c>
      <c r="G18" s="7">
        <v>1.1433604999999999E-2</v>
      </c>
      <c r="H18" s="39"/>
    </row>
    <row r="19" spans="1:8" x14ac:dyDescent="0.2">
      <c r="A19" s="3">
        <v>13</v>
      </c>
      <c r="B19" s="4" t="s">
        <v>413</v>
      </c>
      <c r="C19" s="4" t="s">
        <v>414</v>
      </c>
      <c r="D19" s="4" t="s">
        <v>91</v>
      </c>
      <c r="E19" s="5">
        <v>4742</v>
      </c>
      <c r="F19" s="6">
        <v>61.987423999999997</v>
      </c>
      <c r="G19" s="7">
        <v>1.136641E-2</v>
      </c>
      <c r="H19" s="39"/>
    </row>
    <row r="20" spans="1:8" x14ac:dyDescent="0.2">
      <c r="A20" s="3">
        <v>14</v>
      </c>
      <c r="B20" s="4" t="s">
        <v>580</v>
      </c>
      <c r="C20" s="4" t="s">
        <v>581</v>
      </c>
      <c r="D20" s="4" t="s">
        <v>1146</v>
      </c>
      <c r="E20" s="5">
        <v>1694</v>
      </c>
      <c r="F20" s="6">
        <v>61.881819999999998</v>
      </c>
      <c r="G20" s="7">
        <v>1.1347046E-2</v>
      </c>
      <c r="H20" s="39"/>
    </row>
    <row r="21" spans="1:8" ht="25.5" x14ac:dyDescent="0.2">
      <c r="A21" s="3">
        <v>15</v>
      </c>
      <c r="B21" s="4" t="s">
        <v>823</v>
      </c>
      <c r="C21" s="4" t="s">
        <v>824</v>
      </c>
      <c r="D21" s="4" t="s">
        <v>1164</v>
      </c>
      <c r="E21" s="5">
        <v>3068</v>
      </c>
      <c r="F21" s="6">
        <v>61.812530000000002</v>
      </c>
      <c r="G21" s="7">
        <v>1.133434E-2</v>
      </c>
      <c r="H21" s="39"/>
    </row>
    <row r="22" spans="1:8" x14ac:dyDescent="0.2">
      <c r="A22" s="3">
        <v>16</v>
      </c>
      <c r="B22" s="4" t="s">
        <v>408</v>
      </c>
      <c r="C22" s="4" t="s">
        <v>409</v>
      </c>
      <c r="D22" s="4" t="s">
        <v>1148</v>
      </c>
      <c r="E22" s="5">
        <v>24405</v>
      </c>
      <c r="F22" s="6">
        <v>61.171132499999999</v>
      </c>
      <c r="G22" s="7">
        <v>1.1216729999999999E-2</v>
      </c>
      <c r="H22" s="39"/>
    </row>
    <row r="23" spans="1:8" x14ac:dyDescent="0.2">
      <c r="A23" s="3">
        <v>17</v>
      </c>
      <c r="B23" s="4" t="s">
        <v>300</v>
      </c>
      <c r="C23" s="4" t="s">
        <v>301</v>
      </c>
      <c r="D23" s="4" t="s">
        <v>18</v>
      </c>
      <c r="E23" s="5">
        <v>7953</v>
      </c>
      <c r="F23" s="6">
        <v>60.534259499999997</v>
      </c>
      <c r="G23" s="7">
        <v>1.1099949E-2</v>
      </c>
      <c r="H23" s="39"/>
    </row>
    <row r="24" spans="1:8" ht="25.5" x14ac:dyDescent="0.2">
      <c r="A24" s="3">
        <v>18</v>
      </c>
      <c r="B24" s="4" t="s">
        <v>396</v>
      </c>
      <c r="C24" s="4" t="s">
        <v>397</v>
      </c>
      <c r="D24" s="4" t="s">
        <v>1138</v>
      </c>
      <c r="E24" s="5">
        <v>6595</v>
      </c>
      <c r="F24" s="6">
        <v>60.327762499999999</v>
      </c>
      <c r="G24" s="7">
        <v>1.1062084E-2</v>
      </c>
      <c r="H24" s="39"/>
    </row>
    <row r="25" spans="1:8" x14ac:dyDescent="0.2">
      <c r="A25" s="3">
        <v>19</v>
      </c>
      <c r="B25" s="4" t="s">
        <v>825</v>
      </c>
      <c r="C25" s="4" t="s">
        <v>826</v>
      </c>
      <c r="D25" s="4" t="s">
        <v>91</v>
      </c>
      <c r="E25" s="5">
        <v>8152</v>
      </c>
      <c r="F25" s="6">
        <v>59.725628</v>
      </c>
      <c r="G25" s="7">
        <v>1.0951673E-2</v>
      </c>
      <c r="H25" s="39"/>
    </row>
    <row r="26" spans="1:8" x14ac:dyDescent="0.2">
      <c r="A26" s="3">
        <v>20</v>
      </c>
      <c r="B26" s="4" t="s">
        <v>19</v>
      </c>
      <c r="C26" s="4" t="s">
        <v>20</v>
      </c>
      <c r="D26" s="4" t="s">
        <v>21</v>
      </c>
      <c r="E26" s="5">
        <v>7866</v>
      </c>
      <c r="F26" s="6">
        <v>59.384366999999997</v>
      </c>
      <c r="G26" s="7">
        <v>1.0889097E-2</v>
      </c>
      <c r="H26" s="39"/>
    </row>
    <row r="27" spans="1:8" x14ac:dyDescent="0.2">
      <c r="A27" s="3">
        <v>21</v>
      </c>
      <c r="B27" s="4" t="s">
        <v>13</v>
      </c>
      <c r="C27" s="4" t="s">
        <v>14</v>
      </c>
      <c r="D27" s="4" t="s">
        <v>15</v>
      </c>
      <c r="E27" s="5">
        <v>2236</v>
      </c>
      <c r="F27" s="6">
        <v>58.91301</v>
      </c>
      <c r="G27" s="7">
        <v>1.0802666000000001E-2</v>
      </c>
      <c r="H27" s="39"/>
    </row>
    <row r="28" spans="1:8" x14ac:dyDescent="0.2">
      <c r="A28" s="3">
        <v>22</v>
      </c>
      <c r="B28" s="4" t="s">
        <v>36</v>
      </c>
      <c r="C28" s="4" t="s">
        <v>37</v>
      </c>
      <c r="D28" s="4" t="s">
        <v>26</v>
      </c>
      <c r="E28" s="5">
        <v>43237</v>
      </c>
      <c r="F28" s="6">
        <v>58.369950000000003</v>
      </c>
      <c r="G28" s="7">
        <v>1.0703087E-2</v>
      </c>
      <c r="H28" s="39"/>
    </row>
    <row r="29" spans="1:8" ht="25.5" x14ac:dyDescent="0.2">
      <c r="A29" s="3">
        <v>23</v>
      </c>
      <c r="B29" s="4" t="s">
        <v>508</v>
      </c>
      <c r="C29" s="4" t="s">
        <v>509</v>
      </c>
      <c r="D29" s="4" t="s">
        <v>1138</v>
      </c>
      <c r="E29" s="5">
        <v>5732</v>
      </c>
      <c r="F29" s="6">
        <v>58.354626000000003</v>
      </c>
      <c r="G29" s="7">
        <v>1.0700276999999999E-2</v>
      </c>
      <c r="H29" s="39"/>
    </row>
    <row r="30" spans="1:8" x14ac:dyDescent="0.2">
      <c r="A30" s="3">
        <v>24</v>
      </c>
      <c r="B30" s="4" t="s">
        <v>578</v>
      </c>
      <c r="C30" s="4" t="s">
        <v>579</v>
      </c>
      <c r="D30" s="4" t="s">
        <v>18</v>
      </c>
      <c r="E30" s="5">
        <v>6216</v>
      </c>
      <c r="F30" s="6">
        <v>58.144463999999999</v>
      </c>
      <c r="G30" s="7">
        <v>1.0661739999999999E-2</v>
      </c>
      <c r="H30" s="39"/>
    </row>
    <row r="31" spans="1:8" ht="25.5" x14ac:dyDescent="0.2">
      <c r="A31" s="3">
        <v>25</v>
      </c>
      <c r="B31" s="4" t="s">
        <v>363</v>
      </c>
      <c r="C31" s="4" t="s">
        <v>364</v>
      </c>
      <c r="D31" s="4" t="s">
        <v>1145</v>
      </c>
      <c r="E31" s="5">
        <v>7377</v>
      </c>
      <c r="F31" s="6">
        <v>57.348798000000002</v>
      </c>
      <c r="G31" s="7">
        <v>1.0515841999999999E-2</v>
      </c>
      <c r="H31" s="39"/>
    </row>
    <row r="32" spans="1:8" x14ac:dyDescent="0.2">
      <c r="A32" s="3">
        <v>26</v>
      </c>
      <c r="B32" s="4" t="s">
        <v>49</v>
      </c>
      <c r="C32" s="4" t="s">
        <v>50</v>
      </c>
      <c r="D32" s="4" t="s">
        <v>18</v>
      </c>
      <c r="E32" s="5">
        <v>11577</v>
      </c>
      <c r="F32" s="6">
        <v>57.1382835</v>
      </c>
      <c r="G32" s="7">
        <v>1.0477241E-2</v>
      </c>
      <c r="H32" s="39"/>
    </row>
    <row r="33" spans="1:8" x14ac:dyDescent="0.2">
      <c r="A33" s="3">
        <v>27</v>
      </c>
      <c r="B33" s="4" t="s">
        <v>454</v>
      </c>
      <c r="C33" s="4" t="s">
        <v>455</v>
      </c>
      <c r="D33" s="4" t="s">
        <v>71</v>
      </c>
      <c r="E33" s="5">
        <v>2242</v>
      </c>
      <c r="F33" s="6">
        <v>56.860483000000002</v>
      </c>
      <c r="G33" s="7">
        <v>1.0426302E-2</v>
      </c>
      <c r="H33" s="39"/>
    </row>
    <row r="34" spans="1:8" ht="25.5" x14ac:dyDescent="0.2">
      <c r="A34" s="3">
        <v>28</v>
      </c>
      <c r="B34" s="4" t="s">
        <v>56</v>
      </c>
      <c r="C34" s="4" t="s">
        <v>57</v>
      </c>
      <c r="D34" s="4" t="s">
        <v>1151</v>
      </c>
      <c r="E34" s="5">
        <v>7336</v>
      </c>
      <c r="F34" s="6">
        <v>56.795312000000003</v>
      </c>
      <c r="G34" s="7">
        <v>1.0414351000000001E-2</v>
      </c>
      <c r="H34" s="39"/>
    </row>
    <row r="35" spans="1:8" x14ac:dyDescent="0.2">
      <c r="A35" s="3">
        <v>29</v>
      </c>
      <c r="B35" s="4" t="s">
        <v>63</v>
      </c>
      <c r="C35" s="4" t="s">
        <v>64</v>
      </c>
      <c r="D35" s="4" t="s">
        <v>15</v>
      </c>
      <c r="E35" s="5">
        <v>47735</v>
      </c>
      <c r="F35" s="6">
        <v>56.780782500000001</v>
      </c>
      <c r="G35" s="7">
        <v>1.0411686999999999E-2</v>
      </c>
      <c r="H35" s="39"/>
    </row>
    <row r="36" spans="1:8" x14ac:dyDescent="0.2">
      <c r="A36" s="3">
        <v>30</v>
      </c>
      <c r="B36" s="4" t="s">
        <v>67</v>
      </c>
      <c r="C36" s="4" t="s">
        <v>68</v>
      </c>
      <c r="D36" s="4" t="s">
        <v>26</v>
      </c>
      <c r="E36" s="5">
        <v>26184</v>
      </c>
      <c r="F36" s="6">
        <v>56.766911999999998</v>
      </c>
      <c r="G36" s="7">
        <v>1.0409144E-2</v>
      </c>
      <c r="H36" s="39"/>
    </row>
    <row r="37" spans="1:8" x14ac:dyDescent="0.2">
      <c r="A37" s="3">
        <v>31</v>
      </c>
      <c r="B37" s="4" t="s">
        <v>827</v>
      </c>
      <c r="C37" s="4" t="s">
        <v>828</v>
      </c>
      <c r="D37" s="4" t="s">
        <v>1147</v>
      </c>
      <c r="E37" s="5">
        <v>3667</v>
      </c>
      <c r="F37" s="6">
        <v>56.5543075</v>
      </c>
      <c r="G37" s="7">
        <v>1.0370159E-2</v>
      </c>
      <c r="H37" s="39"/>
    </row>
    <row r="38" spans="1:8" x14ac:dyDescent="0.2">
      <c r="A38" s="3">
        <v>32</v>
      </c>
      <c r="B38" s="4" t="s">
        <v>359</v>
      </c>
      <c r="C38" s="4" t="s">
        <v>360</v>
      </c>
      <c r="D38" s="4" t="s">
        <v>82</v>
      </c>
      <c r="E38" s="5">
        <v>331</v>
      </c>
      <c r="F38" s="6">
        <v>56.4700895</v>
      </c>
      <c r="G38" s="7">
        <v>1.0354716E-2</v>
      </c>
      <c r="H38" s="39"/>
    </row>
    <row r="39" spans="1:8" x14ac:dyDescent="0.2">
      <c r="A39" s="3">
        <v>33</v>
      </c>
      <c r="B39" s="4" t="s">
        <v>426</v>
      </c>
      <c r="C39" s="4" t="s">
        <v>427</v>
      </c>
      <c r="D39" s="4" t="s">
        <v>82</v>
      </c>
      <c r="E39" s="5">
        <v>773</v>
      </c>
      <c r="F39" s="6">
        <v>56.1194135</v>
      </c>
      <c r="G39" s="7">
        <v>1.0290413999999999E-2</v>
      </c>
      <c r="H39" s="39"/>
    </row>
    <row r="40" spans="1:8" x14ac:dyDescent="0.2">
      <c r="A40" s="3">
        <v>34</v>
      </c>
      <c r="B40" s="4" t="s">
        <v>440</v>
      </c>
      <c r="C40" s="4" t="s">
        <v>441</v>
      </c>
      <c r="D40" s="4" t="s">
        <v>1146</v>
      </c>
      <c r="E40" s="5">
        <v>735</v>
      </c>
      <c r="F40" s="6">
        <v>55.575555000000001</v>
      </c>
      <c r="G40" s="7">
        <v>1.0190688999999999E-2</v>
      </c>
      <c r="H40" s="39"/>
    </row>
    <row r="41" spans="1:8" ht="25.5" x14ac:dyDescent="0.2">
      <c r="A41" s="3">
        <v>35</v>
      </c>
      <c r="B41" s="4" t="s">
        <v>699</v>
      </c>
      <c r="C41" s="4" t="s">
        <v>700</v>
      </c>
      <c r="D41" s="4" t="s">
        <v>1150</v>
      </c>
      <c r="E41" s="5">
        <v>3295</v>
      </c>
      <c r="F41" s="6">
        <v>54.828800000000001</v>
      </c>
      <c r="G41" s="7">
        <v>1.0053759000000001E-2</v>
      </c>
      <c r="H41" s="39"/>
    </row>
    <row r="42" spans="1:8" x14ac:dyDescent="0.2">
      <c r="A42" s="3">
        <v>36</v>
      </c>
      <c r="B42" s="4" t="s">
        <v>829</v>
      </c>
      <c r="C42" s="4" t="s">
        <v>830</v>
      </c>
      <c r="D42" s="4" t="s">
        <v>1147</v>
      </c>
      <c r="E42" s="5">
        <v>10794</v>
      </c>
      <c r="F42" s="6">
        <v>54.369377999999998</v>
      </c>
      <c r="G42" s="7">
        <v>9.9695170000000007E-3</v>
      </c>
      <c r="H42" s="39"/>
    </row>
    <row r="43" spans="1:8" ht="25.5" x14ac:dyDescent="0.2">
      <c r="A43" s="3">
        <v>37</v>
      </c>
      <c r="B43" s="4" t="s">
        <v>831</v>
      </c>
      <c r="C43" s="4" t="s">
        <v>832</v>
      </c>
      <c r="D43" s="4" t="s">
        <v>1152</v>
      </c>
      <c r="E43" s="5">
        <v>7036</v>
      </c>
      <c r="F43" s="6">
        <v>54.149056000000002</v>
      </c>
      <c r="G43" s="7">
        <v>9.9291169999999995E-3</v>
      </c>
      <c r="H43" s="39"/>
    </row>
    <row r="44" spans="1:8" x14ac:dyDescent="0.2">
      <c r="A44" s="3">
        <v>38</v>
      </c>
      <c r="B44" s="4" t="s">
        <v>386</v>
      </c>
      <c r="C44" s="4" t="s">
        <v>387</v>
      </c>
      <c r="D44" s="4" t="s">
        <v>1143</v>
      </c>
      <c r="E44" s="5">
        <v>2838</v>
      </c>
      <c r="F44" s="6">
        <v>54.116402999999998</v>
      </c>
      <c r="G44" s="7">
        <v>9.9231289999999993E-3</v>
      </c>
      <c r="H44" s="39"/>
    </row>
    <row r="45" spans="1:8" x14ac:dyDescent="0.2">
      <c r="A45" s="3">
        <v>39</v>
      </c>
      <c r="B45" s="4" t="s">
        <v>388</v>
      </c>
      <c r="C45" s="4" t="s">
        <v>389</v>
      </c>
      <c r="D45" s="4" t="s">
        <v>18</v>
      </c>
      <c r="E45" s="5">
        <v>3667</v>
      </c>
      <c r="F45" s="6">
        <v>53.917734500000002</v>
      </c>
      <c r="G45" s="7">
        <v>9.8867E-3</v>
      </c>
      <c r="H45" s="39"/>
    </row>
    <row r="46" spans="1:8" x14ac:dyDescent="0.2">
      <c r="A46" s="3">
        <v>40</v>
      </c>
      <c r="B46" s="4" t="s">
        <v>833</v>
      </c>
      <c r="C46" s="4" t="s">
        <v>834</v>
      </c>
      <c r="D46" s="4" t="s">
        <v>1140</v>
      </c>
      <c r="E46" s="5">
        <v>2676</v>
      </c>
      <c r="F46" s="6">
        <v>53.898654000000001</v>
      </c>
      <c r="G46" s="7">
        <v>9.8832020000000007E-3</v>
      </c>
      <c r="H46" s="39"/>
    </row>
    <row r="47" spans="1:8" x14ac:dyDescent="0.2">
      <c r="A47" s="3">
        <v>41</v>
      </c>
      <c r="B47" s="4" t="s">
        <v>392</v>
      </c>
      <c r="C47" s="4" t="s">
        <v>393</v>
      </c>
      <c r="D47" s="4" t="s">
        <v>1143</v>
      </c>
      <c r="E47" s="5">
        <v>1432</v>
      </c>
      <c r="F47" s="6">
        <v>53.556083999999998</v>
      </c>
      <c r="G47" s="7">
        <v>9.8203860000000004E-3</v>
      </c>
      <c r="H47" s="39"/>
    </row>
    <row r="48" spans="1:8" ht="25.5" x14ac:dyDescent="0.2">
      <c r="A48" s="3">
        <v>42</v>
      </c>
      <c r="B48" s="4" t="s">
        <v>691</v>
      </c>
      <c r="C48" s="4" t="s">
        <v>692</v>
      </c>
      <c r="D48" s="4" t="s">
        <v>1153</v>
      </c>
      <c r="E48" s="5">
        <v>2173</v>
      </c>
      <c r="F48" s="6">
        <v>53.331938999999998</v>
      </c>
      <c r="G48" s="7">
        <v>9.7792850000000004E-3</v>
      </c>
      <c r="H48" s="39"/>
    </row>
    <row r="49" spans="1:8" x14ac:dyDescent="0.2">
      <c r="A49" s="3">
        <v>43</v>
      </c>
      <c r="B49" s="4" t="s">
        <v>491</v>
      </c>
      <c r="C49" s="4" t="s">
        <v>492</v>
      </c>
      <c r="D49" s="4" t="s">
        <v>1144</v>
      </c>
      <c r="E49" s="5">
        <v>5987</v>
      </c>
      <c r="F49" s="6">
        <v>53.185514499999996</v>
      </c>
      <c r="G49" s="7">
        <v>9.7524359999999997E-3</v>
      </c>
      <c r="H49" s="39"/>
    </row>
    <row r="50" spans="1:8" x14ac:dyDescent="0.2">
      <c r="A50" s="3">
        <v>44</v>
      </c>
      <c r="B50" s="4" t="s">
        <v>703</v>
      </c>
      <c r="C50" s="4" t="s">
        <v>704</v>
      </c>
      <c r="D50" s="4" t="s">
        <v>1146</v>
      </c>
      <c r="E50" s="5">
        <v>2163</v>
      </c>
      <c r="F50" s="6">
        <v>53.148154499999997</v>
      </c>
      <c r="G50" s="7">
        <v>9.7455849999999993E-3</v>
      </c>
      <c r="H50" s="39"/>
    </row>
    <row r="51" spans="1:8" ht="25.5" x14ac:dyDescent="0.2">
      <c r="A51" s="3">
        <v>45</v>
      </c>
      <c r="B51" s="4" t="s">
        <v>835</v>
      </c>
      <c r="C51" s="4" t="s">
        <v>836</v>
      </c>
      <c r="D51" s="4" t="s">
        <v>1150</v>
      </c>
      <c r="E51" s="5">
        <v>2467</v>
      </c>
      <c r="F51" s="6">
        <v>53.073804500000001</v>
      </c>
      <c r="G51" s="7">
        <v>9.7319520000000003E-3</v>
      </c>
      <c r="H51" s="39"/>
    </row>
    <row r="52" spans="1:8" x14ac:dyDescent="0.2">
      <c r="A52" s="3">
        <v>46</v>
      </c>
      <c r="B52" s="4" t="s">
        <v>16</v>
      </c>
      <c r="C52" s="4" t="s">
        <v>17</v>
      </c>
      <c r="D52" s="4" t="s">
        <v>18</v>
      </c>
      <c r="E52" s="5">
        <v>7264</v>
      </c>
      <c r="F52" s="6">
        <v>53.048991999999998</v>
      </c>
      <c r="G52" s="7">
        <v>9.7274019999999996E-3</v>
      </c>
      <c r="H52" s="39"/>
    </row>
    <row r="53" spans="1:8" x14ac:dyDescent="0.2">
      <c r="A53" s="3">
        <v>47</v>
      </c>
      <c r="B53" s="4" t="s">
        <v>415</v>
      </c>
      <c r="C53" s="4" t="s">
        <v>416</v>
      </c>
      <c r="D53" s="4" t="s">
        <v>18</v>
      </c>
      <c r="E53" s="5">
        <v>3019</v>
      </c>
      <c r="F53" s="6">
        <v>52.948731500000001</v>
      </c>
      <c r="G53" s="7">
        <v>9.7090179999999998E-3</v>
      </c>
      <c r="H53" s="39"/>
    </row>
    <row r="54" spans="1:8" x14ac:dyDescent="0.2">
      <c r="A54" s="3">
        <v>48</v>
      </c>
      <c r="B54" s="4" t="s">
        <v>837</v>
      </c>
      <c r="C54" s="4" t="s">
        <v>838</v>
      </c>
      <c r="D54" s="4" t="s">
        <v>1157</v>
      </c>
      <c r="E54" s="5">
        <v>13912</v>
      </c>
      <c r="F54" s="6">
        <v>52.928204000000001</v>
      </c>
      <c r="G54" s="7">
        <v>9.705254E-3</v>
      </c>
      <c r="H54" s="39"/>
    </row>
    <row r="55" spans="1:8" x14ac:dyDescent="0.2">
      <c r="A55" s="3">
        <v>49</v>
      </c>
      <c r="B55" s="4" t="s">
        <v>839</v>
      </c>
      <c r="C55" s="4" t="s">
        <v>840</v>
      </c>
      <c r="D55" s="4" t="s">
        <v>82</v>
      </c>
      <c r="E55" s="5">
        <v>1055</v>
      </c>
      <c r="F55" s="6">
        <v>52.866577499999998</v>
      </c>
      <c r="G55" s="7">
        <v>9.6939529999999999E-3</v>
      </c>
      <c r="H55" s="39"/>
    </row>
    <row r="56" spans="1:8" x14ac:dyDescent="0.2">
      <c r="A56" s="3">
        <v>50</v>
      </c>
      <c r="B56" s="4" t="s">
        <v>841</v>
      </c>
      <c r="C56" s="4" t="s">
        <v>842</v>
      </c>
      <c r="D56" s="4" t="s">
        <v>1160</v>
      </c>
      <c r="E56" s="5">
        <v>2231</v>
      </c>
      <c r="F56" s="6">
        <v>52.834541999999999</v>
      </c>
      <c r="G56" s="7">
        <v>9.6880790000000005E-3</v>
      </c>
      <c r="H56" s="39"/>
    </row>
    <row r="57" spans="1:8" ht="25.5" x14ac:dyDescent="0.2">
      <c r="A57" s="3">
        <v>51</v>
      </c>
      <c r="B57" s="4" t="s">
        <v>424</v>
      </c>
      <c r="C57" s="4" t="s">
        <v>425</v>
      </c>
      <c r="D57" s="4" t="s">
        <v>1138</v>
      </c>
      <c r="E57" s="5">
        <v>1185</v>
      </c>
      <c r="F57" s="6">
        <v>52.164292500000002</v>
      </c>
      <c r="G57" s="7">
        <v>9.5651780000000006E-3</v>
      </c>
      <c r="H57" s="39"/>
    </row>
    <row r="58" spans="1:8" x14ac:dyDescent="0.2">
      <c r="A58" s="3">
        <v>52</v>
      </c>
      <c r="B58" s="4" t="s">
        <v>406</v>
      </c>
      <c r="C58" s="4" t="s">
        <v>407</v>
      </c>
      <c r="D58" s="4" t="s">
        <v>1146</v>
      </c>
      <c r="E58" s="5">
        <v>6411</v>
      </c>
      <c r="F58" s="6">
        <v>51.7079205</v>
      </c>
      <c r="G58" s="7">
        <v>9.4814949999999995E-3</v>
      </c>
      <c r="H58" s="39"/>
    </row>
    <row r="59" spans="1:8" x14ac:dyDescent="0.2">
      <c r="A59" s="3">
        <v>53</v>
      </c>
      <c r="B59" s="4" t="s">
        <v>843</v>
      </c>
      <c r="C59" s="4" t="s">
        <v>844</v>
      </c>
      <c r="D59" s="4" t="s">
        <v>1147</v>
      </c>
      <c r="E59" s="5">
        <v>9606</v>
      </c>
      <c r="F59" s="6">
        <v>51.507371999999997</v>
      </c>
      <c r="G59" s="7">
        <v>9.4447209999999997E-3</v>
      </c>
      <c r="H59" s="39"/>
    </row>
    <row r="60" spans="1:8" ht="25.5" x14ac:dyDescent="0.2">
      <c r="A60" s="3">
        <v>54</v>
      </c>
      <c r="B60" s="4" t="s">
        <v>845</v>
      </c>
      <c r="C60" s="4" t="s">
        <v>846</v>
      </c>
      <c r="D60" s="4" t="s">
        <v>1142</v>
      </c>
      <c r="E60" s="5">
        <v>3864</v>
      </c>
      <c r="F60" s="6">
        <v>51.325512000000003</v>
      </c>
      <c r="G60" s="7">
        <v>9.4113740000000001E-3</v>
      </c>
      <c r="H60" s="39"/>
    </row>
    <row r="61" spans="1:8" x14ac:dyDescent="0.2">
      <c r="A61" s="3">
        <v>55</v>
      </c>
      <c r="B61" s="4" t="s">
        <v>394</v>
      </c>
      <c r="C61" s="4" t="s">
        <v>395</v>
      </c>
      <c r="D61" s="4" t="s">
        <v>1142</v>
      </c>
      <c r="E61" s="5">
        <v>4559</v>
      </c>
      <c r="F61" s="6">
        <v>51.126905499999999</v>
      </c>
      <c r="G61" s="7">
        <v>9.3749560000000003E-3</v>
      </c>
      <c r="H61" s="39"/>
    </row>
    <row r="62" spans="1:8" x14ac:dyDescent="0.2">
      <c r="A62" s="3">
        <v>56</v>
      </c>
      <c r="B62" s="4" t="s">
        <v>847</v>
      </c>
      <c r="C62" s="4" t="s">
        <v>848</v>
      </c>
      <c r="D62" s="4" t="s">
        <v>1146</v>
      </c>
      <c r="E62" s="5">
        <v>2220</v>
      </c>
      <c r="F62" s="6">
        <v>50.930129999999998</v>
      </c>
      <c r="G62" s="7">
        <v>9.3388740000000005E-3</v>
      </c>
      <c r="H62" s="39"/>
    </row>
    <row r="63" spans="1:8" x14ac:dyDescent="0.2">
      <c r="A63" s="3">
        <v>57</v>
      </c>
      <c r="B63" s="4" t="s">
        <v>40</v>
      </c>
      <c r="C63" s="4" t="s">
        <v>41</v>
      </c>
      <c r="D63" s="4" t="s">
        <v>15</v>
      </c>
      <c r="E63" s="5">
        <v>14106</v>
      </c>
      <c r="F63" s="6">
        <v>50.689911000000002</v>
      </c>
      <c r="G63" s="7">
        <v>9.2948260000000008E-3</v>
      </c>
      <c r="H63" s="39"/>
    </row>
    <row r="64" spans="1:8" ht="25.5" x14ac:dyDescent="0.2">
      <c r="A64" s="3">
        <v>58</v>
      </c>
      <c r="B64" s="4" t="s">
        <v>849</v>
      </c>
      <c r="C64" s="4" t="s">
        <v>850</v>
      </c>
      <c r="D64" s="4" t="s">
        <v>1138</v>
      </c>
      <c r="E64" s="5">
        <v>15097</v>
      </c>
      <c r="F64" s="6">
        <v>50.665531999999999</v>
      </c>
      <c r="G64" s="7">
        <v>9.2903559999999996E-3</v>
      </c>
      <c r="H64" s="39"/>
    </row>
    <row r="65" spans="1:8" ht="25.5" x14ac:dyDescent="0.2">
      <c r="A65" s="3">
        <v>59</v>
      </c>
      <c r="B65" s="4" t="s">
        <v>576</v>
      </c>
      <c r="C65" s="4" t="s">
        <v>577</v>
      </c>
      <c r="D65" s="4" t="s">
        <v>1147</v>
      </c>
      <c r="E65" s="5">
        <v>348</v>
      </c>
      <c r="F65" s="6">
        <v>50.166288000000002</v>
      </c>
      <c r="G65" s="7">
        <v>9.1988109999999994E-3</v>
      </c>
      <c r="H65" s="39"/>
    </row>
    <row r="66" spans="1:8" ht="25.5" x14ac:dyDescent="0.2">
      <c r="A66" s="3">
        <v>60</v>
      </c>
      <c r="B66" s="4" t="s">
        <v>339</v>
      </c>
      <c r="C66" s="4" t="s">
        <v>340</v>
      </c>
      <c r="D66" s="4" t="s">
        <v>1152</v>
      </c>
      <c r="E66" s="5">
        <v>1775</v>
      </c>
      <c r="F66" s="6">
        <v>50.048787500000003</v>
      </c>
      <c r="G66" s="7">
        <v>9.1772650000000004E-3</v>
      </c>
      <c r="H66" s="39"/>
    </row>
    <row r="67" spans="1:8" x14ac:dyDescent="0.2">
      <c r="A67" s="3">
        <v>61</v>
      </c>
      <c r="B67" s="4" t="s">
        <v>709</v>
      </c>
      <c r="C67" s="4" t="s">
        <v>710</v>
      </c>
      <c r="D67" s="4" t="s">
        <v>18</v>
      </c>
      <c r="E67" s="5">
        <v>142778</v>
      </c>
      <c r="F67" s="6">
        <v>50.043689000000001</v>
      </c>
      <c r="G67" s="7">
        <v>9.1763309999999994E-3</v>
      </c>
      <c r="H67" s="39"/>
    </row>
    <row r="68" spans="1:8" x14ac:dyDescent="0.2">
      <c r="A68" s="3">
        <v>62</v>
      </c>
      <c r="B68" s="4" t="s">
        <v>683</v>
      </c>
      <c r="C68" s="4" t="s">
        <v>684</v>
      </c>
      <c r="D68" s="4" t="s">
        <v>82</v>
      </c>
      <c r="E68" s="5">
        <v>5869</v>
      </c>
      <c r="F68" s="6">
        <v>49.986272999999997</v>
      </c>
      <c r="G68" s="7">
        <v>9.1658020000000007E-3</v>
      </c>
      <c r="H68" s="39"/>
    </row>
    <row r="69" spans="1:8" x14ac:dyDescent="0.2">
      <c r="A69" s="3">
        <v>63</v>
      </c>
      <c r="B69" s="4" t="s">
        <v>296</v>
      </c>
      <c r="C69" s="4" t="s">
        <v>297</v>
      </c>
      <c r="D69" s="4" t="s">
        <v>253</v>
      </c>
      <c r="E69" s="5">
        <v>1106</v>
      </c>
      <c r="F69" s="6">
        <v>49.948065999999997</v>
      </c>
      <c r="G69" s="7">
        <v>9.1587969999999998E-3</v>
      </c>
      <c r="H69" s="39"/>
    </row>
    <row r="70" spans="1:8" x14ac:dyDescent="0.2">
      <c r="A70" s="3">
        <v>64</v>
      </c>
      <c r="B70" s="4" t="s">
        <v>851</v>
      </c>
      <c r="C70" s="4" t="s">
        <v>852</v>
      </c>
      <c r="D70" s="4" t="s">
        <v>71</v>
      </c>
      <c r="E70" s="5">
        <v>7131</v>
      </c>
      <c r="F70" s="6">
        <v>49.895606999999998</v>
      </c>
      <c r="G70" s="7">
        <v>9.1491769999999997E-3</v>
      </c>
      <c r="H70" s="39"/>
    </row>
    <row r="71" spans="1:8" ht="25.5" x14ac:dyDescent="0.2">
      <c r="A71" s="3">
        <v>65</v>
      </c>
      <c r="B71" s="4" t="s">
        <v>390</v>
      </c>
      <c r="C71" s="4" t="s">
        <v>391</v>
      </c>
      <c r="D71" s="4" t="s">
        <v>82</v>
      </c>
      <c r="E71" s="5">
        <v>2087</v>
      </c>
      <c r="F71" s="6">
        <v>49.887647999999999</v>
      </c>
      <c r="G71" s="7">
        <v>9.1477180000000009E-3</v>
      </c>
      <c r="H71" s="39"/>
    </row>
    <row r="72" spans="1:8" x14ac:dyDescent="0.2">
      <c r="A72" s="3">
        <v>66</v>
      </c>
      <c r="B72" s="4" t="s">
        <v>11</v>
      </c>
      <c r="C72" s="4" t="s">
        <v>12</v>
      </c>
      <c r="D72" s="4" t="s">
        <v>60</v>
      </c>
      <c r="E72" s="5">
        <v>2814</v>
      </c>
      <c r="F72" s="6">
        <v>49.741670999999997</v>
      </c>
      <c r="G72" s="7">
        <v>9.1209510000000004E-3</v>
      </c>
      <c r="H72" s="39"/>
    </row>
    <row r="73" spans="1:8" x14ac:dyDescent="0.2">
      <c r="A73" s="3">
        <v>67</v>
      </c>
      <c r="B73" s="4" t="s">
        <v>853</v>
      </c>
      <c r="C73" s="4" t="s">
        <v>854</v>
      </c>
      <c r="D73" s="4" t="s">
        <v>18</v>
      </c>
      <c r="E73" s="5">
        <v>403377</v>
      </c>
      <c r="F73" s="6">
        <v>49.615371000000003</v>
      </c>
      <c r="G73" s="7">
        <v>9.0977909999999992E-3</v>
      </c>
      <c r="H73" s="39"/>
    </row>
    <row r="74" spans="1:8" ht="25.5" x14ac:dyDescent="0.2">
      <c r="A74" s="3">
        <v>68</v>
      </c>
      <c r="B74" s="4" t="s">
        <v>707</v>
      </c>
      <c r="C74" s="4" t="s">
        <v>708</v>
      </c>
      <c r="D74" s="4" t="s">
        <v>1138</v>
      </c>
      <c r="E74" s="5">
        <v>7408</v>
      </c>
      <c r="F74" s="6">
        <v>49.526184000000001</v>
      </c>
      <c r="G74" s="7">
        <v>9.0814380000000007E-3</v>
      </c>
      <c r="H74" s="39"/>
    </row>
    <row r="75" spans="1:8" x14ac:dyDescent="0.2">
      <c r="A75" s="3">
        <v>69</v>
      </c>
      <c r="B75" s="4" t="s">
        <v>254</v>
      </c>
      <c r="C75" s="4" t="s">
        <v>255</v>
      </c>
      <c r="D75" s="4" t="s">
        <v>15</v>
      </c>
      <c r="E75" s="5">
        <v>18211</v>
      </c>
      <c r="F75" s="6">
        <v>49.051328499999997</v>
      </c>
      <c r="G75" s="7">
        <v>8.9943650000000007E-3</v>
      </c>
      <c r="H75" s="39"/>
    </row>
    <row r="76" spans="1:8" x14ac:dyDescent="0.2">
      <c r="A76" s="3">
        <v>70</v>
      </c>
      <c r="B76" s="4" t="s">
        <v>693</v>
      </c>
      <c r="C76" s="4" t="s">
        <v>694</v>
      </c>
      <c r="D76" s="4" t="s">
        <v>71</v>
      </c>
      <c r="E76" s="5">
        <v>1592</v>
      </c>
      <c r="F76" s="6">
        <v>49.032803999999999</v>
      </c>
      <c r="G76" s="7">
        <v>8.9909680000000002E-3</v>
      </c>
      <c r="H76" s="39"/>
    </row>
    <row r="77" spans="1:8" x14ac:dyDescent="0.2">
      <c r="A77" s="3">
        <v>71</v>
      </c>
      <c r="B77" s="4" t="s">
        <v>400</v>
      </c>
      <c r="C77" s="4" t="s">
        <v>401</v>
      </c>
      <c r="D77" s="4" t="s">
        <v>1143</v>
      </c>
      <c r="E77" s="5">
        <v>4182</v>
      </c>
      <c r="F77" s="6">
        <v>48.668025</v>
      </c>
      <c r="G77" s="7">
        <v>8.9240799999999992E-3</v>
      </c>
      <c r="H77" s="39"/>
    </row>
    <row r="78" spans="1:8" ht="25.5" x14ac:dyDescent="0.2">
      <c r="A78" s="3">
        <v>72</v>
      </c>
      <c r="B78" s="4" t="s">
        <v>697</v>
      </c>
      <c r="C78" s="4" t="s">
        <v>698</v>
      </c>
      <c r="D78" s="4" t="s">
        <v>1138</v>
      </c>
      <c r="E78" s="5">
        <v>1133</v>
      </c>
      <c r="F78" s="6">
        <v>48.667448499999999</v>
      </c>
      <c r="G78" s="7">
        <v>8.9239739999999994E-3</v>
      </c>
      <c r="H78" s="39"/>
    </row>
    <row r="79" spans="1:8" x14ac:dyDescent="0.2">
      <c r="A79" s="3">
        <v>73</v>
      </c>
      <c r="B79" s="4" t="s">
        <v>432</v>
      </c>
      <c r="C79" s="4" t="s">
        <v>433</v>
      </c>
      <c r="D79" s="4" t="s">
        <v>1146</v>
      </c>
      <c r="E79" s="5">
        <v>11156</v>
      </c>
      <c r="F79" s="6">
        <v>48.389150000000001</v>
      </c>
      <c r="G79" s="7">
        <v>8.8729440000000007E-3</v>
      </c>
      <c r="H79" s="39"/>
    </row>
    <row r="80" spans="1:8" x14ac:dyDescent="0.2">
      <c r="A80" s="3">
        <v>74</v>
      </c>
      <c r="B80" s="4" t="s">
        <v>89</v>
      </c>
      <c r="C80" s="4" t="s">
        <v>90</v>
      </c>
      <c r="D80" s="4" t="s">
        <v>91</v>
      </c>
      <c r="E80" s="5">
        <v>49088</v>
      </c>
      <c r="F80" s="6">
        <v>48.376224000000001</v>
      </c>
      <c r="G80" s="7">
        <v>8.8705740000000009E-3</v>
      </c>
      <c r="H80" s="39"/>
    </row>
    <row r="81" spans="1:8" x14ac:dyDescent="0.2">
      <c r="A81" s="3">
        <v>75</v>
      </c>
      <c r="B81" s="4" t="s">
        <v>769</v>
      </c>
      <c r="C81" s="4" t="s">
        <v>770</v>
      </c>
      <c r="D81" s="4" t="s">
        <v>1156</v>
      </c>
      <c r="E81" s="5">
        <v>1507</v>
      </c>
      <c r="F81" s="6">
        <v>48.320447999999999</v>
      </c>
      <c r="G81" s="7">
        <v>8.8603459999999998E-3</v>
      </c>
      <c r="H81" s="39"/>
    </row>
    <row r="82" spans="1:8" x14ac:dyDescent="0.2">
      <c r="A82" s="3">
        <v>76</v>
      </c>
      <c r="B82" s="4" t="s">
        <v>855</v>
      </c>
      <c r="C82" s="4" t="s">
        <v>856</v>
      </c>
      <c r="D82" s="4" t="s">
        <v>1156</v>
      </c>
      <c r="E82" s="5">
        <v>277</v>
      </c>
      <c r="F82" s="6">
        <v>48.144123499999999</v>
      </c>
      <c r="G82" s="7">
        <v>8.8280140000000003E-3</v>
      </c>
      <c r="H82" s="39"/>
    </row>
    <row r="83" spans="1:8" x14ac:dyDescent="0.2">
      <c r="A83" s="3">
        <v>77</v>
      </c>
      <c r="B83" s="4" t="s">
        <v>775</v>
      </c>
      <c r="C83" s="4" t="s">
        <v>776</v>
      </c>
      <c r="D83" s="4" t="s">
        <v>21</v>
      </c>
      <c r="E83" s="5">
        <v>21649</v>
      </c>
      <c r="F83" s="6">
        <v>48.071604499999999</v>
      </c>
      <c r="G83" s="7">
        <v>8.8147169999999997E-3</v>
      </c>
      <c r="H83" s="39"/>
    </row>
    <row r="84" spans="1:8" x14ac:dyDescent="0.2">
      <c r="A84" s="3">
        <v>78</v>
      </c>
      <c r="B84" s="4" t="s">
        <v>711</v>
      </c>
      <c r="C84" s="4" t="s">
        <v>712</v>
      </c>
      <c r="D84" s="4" t="s">
        <v>1027</v>
      </c>
      <c r="E84" s="5">
        <v>2225</v>
      </c>
      <c r="F84" s="6">
        <v>47.749612499999998</v>
      </c>
      <c r="G84" s="7">
        <v>8.7556739999999997E-3</v>
      </c>
      <c r="H84" s="39"/>
    </row>
    <row r="85" spans="1:8" x14ac:dyDescent="0.2">
      <c r="A85" s="3">
        <v>79</v>
      </c>
      <c r="B85" s="4" t="s">
        <v>857</v>
      </c>
      <c r="C85" s="4" t="s">
        <v>858</v>
      </c>
      <c r="D85" s="4" t="s">
        <v>82</v>
      </c>
      <c r="E85" s="5">
        <v>3587</v>
      </c>
      <c r="F85" s="6">
        <v>47.741176500000002</v>
      </c>
      <c r="G85" s="7">
        <v>8.7541270000000004E-3</v>
      </c>
      <c r="H85" s="39"/>
    </row>
    <row r="86" spans="1:8" x14ac:dyDescent="0.2">
      <c r="A86" s="3">
        <v>80</v>
      </c>
      <c r="B86" s="4" t="s">
        <v>402</v>
      </c>
      <c r="C86" s="4" t="s">
        <v>403</v>
      </c>
      <c r="D86" s="4" t="s">
        <v>1148</v>
      </c>
      <c r="E86" s="5">
        <v>2328</v>
      </c>
      <c r="F86" s="6">
        <v>47.692571999999998</v>
      </c>
      <c r="G86" s="7">
        <v>8.7452150000000006E-3</v>
      </c>
      <c r="H86" s="39"/>
    </row>
    <row r="87" spans="1:8" ht="25.5" x14ac:dyDescent="0.2">
      <c r="A87" s="3">
        <v>81</v>
      </c>
      <c r="B87" s="4" t="s">
        <v>859</v>
      </c>
      <c r="C87" s="4" t="s">
        <v>860</v>
      </c>
      <c r="D87" s="4" t="s">
        <v>1138</v>
      </c>
      <c r="E87" s="5">
        <v>1708</v>
      </c>
      <c r="F87" s="6">
        <v>47.686506000000001</v>
      </c>
      <c r="G87" s="7">
        <v>8.7441020000000001E-3</v>
      </c>
      <c r="H87" s="39"/>
    </row>
    <row r="88" spans="1:8" ht="25.5" x14ac:dyDescent="0.2">
      <c r="A88" s="3">
        <v>82</v>
      </c>
      <c r="B88" s="4" t="s">
        <v>444</v>
      </c>
      <c r="C88" s="4" t="s">
        <v>445</v>
      </c>
      <c r="D88" s="4" t="s">
        <v>1150</v>
      </c>
      <c r="E88" s="5">
        <v>198</v>
      </c>
      <c r="F88" s="6">
        <v>47.584547999999998</v>
      </c>
      <c r="G88" s="7">
        <v>8.7254069999999993E-3</v>
      </c>
      <c r="H88" s="39"/>
    </row>
    <row r="89" spans="1:8" ht="25.5" x14ac:dyDescent="0.2">
      <c r="A89" s="3">
        <v>83</v>
      </c>
      <c r="B89" s="4" t="s">
        <v>861</v>
      </c>
      <c r="C89" s="4" t="s">
        <v>862</v>
      </c>
      <c r="D89" s="4" t="s">
        <v>1142</v>
      </c>
      <c r="E89" s="5">
        <v>9487</v>
      </c>
      <c r="F89" s="6">
        <v>47.520383000000002</v>
      </c>
      <c r="G89" s="7">
        <v>8.7136409999999994E-3</v>
      </c>
      <c r="H89" s="39"/>
    </row>
    <row r="90" spans="1:8" ht="25.5" x14ac:dyDescent="0.2">
      <c r="A90" s="3">
        <v>84</v>
      </c>
      <c r="B90" s="4" t="s">
        <v>22</v>
      </c>
      <c r="C90" s="4" t="s">
        <v>23</v>
      </c>
      <c r="D90" s="4" t="s">
        <v>1150</v>
      </c>
      <c r="E90" s="5">
        <v>715</v>
      </c>
      <c r="F90" s="6">
        <v>47.206445000000002</v>
      </c>
      <c r="G90" s="7">
        <v>8.6560749999999992E-3</v>
      </c>
      <c r="H90" s="39"/>
    </row>
    <row r="91" spans="1:8" x14ac:dyDescent="0.2">
      <c r="A91" s="3">
        <v>85</v>
      </c>
      <c r="B91" s="4" t="s">
        <v>863</v>
      </c>
      <c r="C91" s="4" t="s">
        <v>864</v>
      </c>
      <c r="D91" s="4" t="s">
        <v>1154</v>
      </c>
      <c r="E91" s="5">
        <v>321</v>
      </c>
      <c r="F91" s="6">
        <v>46.347585000000002</v>
      </c>
      <c r="G91" s="7">
        <v>8.4985890000000008E-3</v>
      </c>
      <c r="H91" s="39"/>
    </row>
    <row r="92" spans="1:8" x14ac:dyDescent="0.2">
      <c r="A92" s="3">
        <v>86</v>
      </c>
      <c r="B92" s="4" t="s">
        <v>434</v>
      </c>
      <c r="C92" s="4" t="s">
        <v>435</v>
      </c>
      <c r="D92" s="4" t="s">
        <v>308</v>
      </c>
      <c r="E92" s="5">
        <v>1136</v>
      </c>
      <c r="F92" s="6">
        <v>45.478056000000002</v>
      </c>
      <c r="G92" s="7">
        <v>8.3391469999999999E-3</v>
      </c>
      <c r="H92" s="39"/>
    </row>
    <row r="93" spans="1:8" ht="25.5" x14ac:dyDescent="0.2">
      <c r="A93" s="3">
        <v>87</v>
      </c>
      <c r="B93" s="4" t="s">
        <v>335</v>
      </c>
      <c r="C93" s="4" t="s">
        <v>336</v>
      </c>
      <c r="D93" s="4" t="s">
        <v>1138</v>
      </c>
      <c r="E93" s="5">
        <v>1387</v>
      </c>
      <c r="F93" s="6">
        <v>45.391655499999999</v>
      </c>
      <c r="G93" s="7">
        <v>8.3233040000000001E-3</v>
      </c>
      <c r="H93" s="39"/>
    </row>
    <row r="94" spans="1:8" x14ac:dyDescent="0.2">
      <c r="A94" s="3">
        <v>88</v>
      </c>
      <c r="B94" s="4" t="s">
        <v>784</v>
      </c>
      <c r="C94" s="4" t="s">
        <v>785</v>
      </c>
      <c r="D94" s="4" t="s">
        <v>1143</v>
      </c>
      <c r="E94" s="5">
        <v>737</v>
      </c>
      <c r="F94" s="6">
        <v>45.365298000000003</v>
      </c>
      <c r="G94" s="7">
        <v>8.3184709999999992E-3</v>
      </c>
      <c r="H94" s="39"/>
    </row>
    <row r="95" spans="1:8" x14ac:dyDescent="0.2">
      <c r="A95" s="3">
        <v>89</v>
      </c>
      <c r="B95" s="4" t="s">
        <v>865</v>
      </c>
      <c r="C95" s="4" t="s">
        <v>866</v>
      </c>
      <c r="D95" s="4" t="s">
        <v>82</v>
      </c>
      <c r="E95" s="5">
        <v>2060</v>
      </c>
      <c r="F95" s="6">
        <v>45.050139999999999</v>
      </c>
      <c r="G95" s="7">
        <v>8.2606820000000001E-3</v>
      </c>
      <c r="H95" s="39"/>
    </row>
    <row r="96" spans="1:8" x14ac:dyDescent="0.2">
      <c r="A96" s="3">
        <v>90</v>
      </c>
      <c r="B96" s="4" t="s">
        <v>398</v>
      </c>
      <c r="C96" s="4" t="s">
        <v>399</v>
      </c>
      <c r="D96" s="4" t="s">
        <v>1143</v>
      </c>
      <c r="E96" s="5">
        <v>7608</v>
      </c>
      <c r="F96" s="6">
        <v>45.031751999999997</v>
      </c>
      <c r="G96" s="7">
        <v>8.2573100000000003E-3</v>
      </c>
      <c r="H96" s="39"/>
    </row>
    <row r="97" spans="1:8" x14ac:dyDescent="0.2">
      <c r="A97" s="3">
        <v>91</v>
      </c>
      <c r="B97" s="4" t="s">
        <v>685</v>
      </c>
      <c r="C97" s="4" t="s">
        <v>686</v>
      </c>
      <c r="D97" s="4" t="s">
        <v>1142</v>
      </c>
      <c r="E97" s="5">
        <v>8358</v>
      </c>
      <c r="F97" s="6">
        <v>44.982756000000002</v>
      </c>
      <c r="G97" s="7">
        <v>8.2483260000000003E-3</v>
      </c>
      <c r="H97" s="39"/>
    </row>
    <row r="98" spans="1:8" x14ac:dyDescent="0.2">
      <c r="A98" s="3">
        <v>92</v>
      </c>
      <c r="B98" s="4" t="s">
        <v>404</v>
      </c>
      <c r="C98" s="4" t="s">
        <v>405</v>
      </c>
      <c r="D98" s="4" t="s">
        <v>1143</v>
      </c>
      <c r="E98" s="5">
        <v>2971</v>
      </c>
      <c r="F98" s="6">
        <v>44.548659499999999</v>
      </c>
      <c r="G98" s="7">
        <v>8.1687270000000006E-3</v>
      </c>
      <c r="H98" s="39"/>
    </row>
    <row r="99" spans="1:8" x14ac:dyDescent="0.2">
      <c r="A99" s="3">
        <v>93</v>
      </c>
      <c r="B99" s="4" t="s">
        <v>867</v>
      </c>
      <c r="C99" s="4" t="s">
        <v>868</v>
      </c>
      <c r="D99" s="4" t="s">
        <v>308</v>
      </c>
      <c r="E99" s="5">
        <v>983</v>
      </c>
      <c r="F99" s="6">
        <v>44.327893500000002</v>
      </c>
      <c r="G99" s="7">
        <v>8.1282460000000004E-3</v>
      </c>
      <c r="H99" s="39"/>
    </row>
    <row r="100" spans="1:8" x14ac:dyDescent="0.2">
      <c r="A100" s="3">
        <v>94</v>
      </c>
      <c r="B100" s="4" t="s">
        <v>869</v>
      </c>
      <c r="C100" s="4" t="s">
        <v>870</v>
      </c>
      <c r="D100" s="4" t="s">
        <v>71</v>
      </c>
      <c r="E100" s="5">
        <v>3828</v>
      </c>
      <c r="F100" s="6">
        <v>44.119613999999999</v>
      </c>
      <c r="G100" s="7">
        <v>8.0900539999999993E-3</v>
      </c>
      <c r="H100" s="39"/>
    </row>
    <row r="101" spans="1:8" ht="25.5" x14ac:dyDescent="0.2">
      <c r="A101" s="3">
        <v>95</v>
      </c>
      <c r="B101" s="4" t="s">
        <v>701</v>
      </c>
      <c r="C101" s="4" t="s">
        <v>702</v>
      </c>
      <c r="D101" s="4" t="s">
        <v>1138</v>
      </c>
      <c r="E101" s="5">
        <v>5858</v>
      </c>
      <c r="F101" s="6">
        <v>43.762188999999999</v>
      </c>
      <c r="G101" s="7">
        <v>8.0245149999999994E-3</v>
      </c>
      <c r="H101" s="39"/>
    </row>
    <row r="102" spans="1:8" ht="25.5" x14ac:dyDescent="0.2">
      <c r="A102" s="3">
        <v>96</v>
      </c>
      <c r="B102" s="4" t="s">
        <v>871</v>
      </c>
      <c r="C102" s="4" t="s">
        <v>872</v>
      </c>
      <c r="D102" s="4" t="s">
        <v>1150</v>
      </c>
      <c r="E102" s="5">
        <v>14011</v>
      </c>
      <c r="F102" s="6">
        <v>41.9279175</v>
      </c>
      <c r="G102" s="7">
        <v>7.6881709999999997E-3</v>
      </c>
      <c r="H102" s="39"/>
    </row>
    <row r="103" spans="1:8" x14ac:dyDescent="0.2">
      <c r="A103" s="3">
        <v>97</v>
      </c>
      <c r="B103" s="4" t="s">
        <v>100</v>
      </c>
      <c r="C103" s="4" t="s">
        <v>101</v>
      </c>
      <c r="D103" s="4" t="s">
        <v>53</v>
      </c>
      <c r="E103" s="5">
        <v>11205</v>
      </c>
      <c r="F103" s="6">
        <v>41.811457500000003</v>
      </c>
      <c r="G103" s="7">
        <v>7.6668159999999999E-3</v>
      </c>
      <c r="H103" s="39"/>
    </row>
    <row r="104" spans="1:8" x14ac:dyDescent="0.2">
      <c r="A104" s="3">
        <v>98</v>
      </c>
      <c r="B104" s="4" t="s">
        <v>582</v>
      </c>
      <c r="C104" s="4" t="s">
        <v>583</v>
      </c>
      <c r="D104" s="4" t="s">
        <v>1147</v>
      </c>
      <c r="E104" s="5">
        <v>5564</v>
      </c>
      <c r="F104" s="6">
        <v>41.579771999999998</v>
      </c>
      <c r="G104" s="7">
        <v>7.6243329999999996E-3</v>
      </c>
      <c r="H104" s="39"/>
    </row>
    <row r="105" spans="1:8" ht="25.5" x14ac:dyDescent="0.2">
      <c r="A105" s="3">
        <v>99</v>
      </c>
      <c r="B105" s="4" t="s">
        <v>873</v>
      </c>
      <c r="C105" s="4" t="s">
        <v>874</v>
      </c>
      <c r="D105" s="4" t="s">
        <v>1138</v>
      </c>
      <c r="E105" s="5">
        <v>11722</v>
      </c>
      <c r="F105" s="6">
        <v>40.851170000000003</v>
      </c>
      <c r="G105" s="7">
        <v>7.4907319999999999E-3</v>
      </c>
      <c r="H105" s="39"/>
    </row>
    <row r="106" spans="1:8" x14ac:dyDescent="0.2">
      <c r="A106" s="3">
        <v>100</v>
      </c>
      <c r="B106" s="4" t="s">
        <v>343</v>
      </c>
      <c r="C106" s="4" t="s">
        <v>344</v>
      </c>
      <c r="D106" s="4" t="s">
        <v>1026</v>
      </c>
      <c r="E106" s="5">
        <v>1530</v>
      </c>
      <c r="F106" s="6">
        <v>40.338450000000002</v>
      </c>
      <c r="G106" s="7">
        <v>7.3967160000000002E-3</v>
      </c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9">
        <v>5343.2102695000003</v>
      </c>
      <c r="G107" s="10">
        <v>0.97976517900000004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1"/>
      <c r="C109" s="2" t="s">
        <v>113</v>
      </c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39"/>
    </row>
    <row r="111" spans="1:8" x14ac:dyDescent="0.2">
      <c r="A111" s="1"/>
      <c r="B111" s="1"/>
      <c r="C111" s="11"/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114</v>
      </c>
      <c r="D112" s="1"/>
      <c r="E112" s="1"/>
      <c r="F112" s="1"/>
      <c r="G112" s="1"/>
      <c r="H112" s="39"/>
    </row>
    <row r="113" spans="1:8" x14ac:dyDescent="0.2">
      <c r="A113" s="3">
        <v>1</v>
      </c>
      <c r="B113" s="4" t="s">
        <v>875</v>
      </c>
      <c r="C113" s="46" t="s">
        <v>1020</v>
      </c>
      <c r="D113" s="4"/>
      <c r="E113" s="5">
        <v>26586</v>
      </c>
      <c r="F113" s="6">
        <v>2.6600000000000003E-7</v>
      </c>
      <c r="G113" s="8" t="s">
        <v>110</v>
      </c>
      <c r="H113" s="39"/>
    </row>
    <row r="114" spans="1:8" x14ac:dyDescent="0.2">
      <c r="A114" s="1"/>
      <c r="B114" s="1"/>
      <c r="C114" s="2" t="s">
        <v>111</v>
      </c>
      <c r="D114" s="1"/>
      <c r="E114" s="1" t="s">
        <v>112</v>
      </c>
      <c r="F114" s="9">
        <v>2.6600000000000003E-7</v>
      </c>
      <c r="G114" s="10">
        <v>0</v>
      </c>
      <c r="H114" s="39"/>
    </row>
    <row r="115" spans="1:8" x14ac:dyDescent="0.2">
      <c r="A115" s="1"/>
      <c r="B115" s="1"/>
      <c r="C115" s="11"/>
      <c r="D115" s="1"/>
      <c r="E115" s="1"/>
      <c r="F115" s="12"/>
      <c r="G115" s="12"/>
      <c r="H115" s="39"/>
    </row>
    <row r="116" spans="1:8" x14ac:dyDescent="0.2">
      <c r="A116" s="1"/>
      <c r="B116" s="1"/>
      <c r="C116" s="2" t="s">
        <v>115</v>
      </c>
      <c r="D116" s="1"/>
      <c r="E116" s="1"/>
      <c r="F116" s="1"/>
      <c r="G116" s="1"/>
      <c r="H116" s="39"/>
    </row>
    <row r="117" spans="1:8" x14ac:dyDescent="0.2">
      <c r="A117" s="1"/>
      <c r="B117" s="1"/>
      <c r="C117" s="2" t="s">
        <v>111</v>
      </c>
      <c r="D117" s="1"/>
      <c r="E117" s="1" t="s">
        <v>112</v>
      </c>
      <c r="F117" s="13">
        <v>0</v>
      </c>
      <c r="G117" s="14">
        <v>0</v>
      </c>
      <c r="H117" s="39"/>
    </row>
    <row r="118" spans="1:8" x14ac:dyDescent="0.2">
      <c r="A118" s="1"/>
      <c r="B118" s="1"/>
      <c r="C118" s="11"/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116</v>
      </c>
      <c r="D119" s="1"/>
      <c r="E119" s="1"/>
      <c r="F119" s="12"/>
      <c r="G119" s="12"/>
      <c r="H119" s="39"/>
    </row>
    <row r="120" spans="1:8" x14ac:dyDescent="0.2">
      <c r="A120" s="1"/>
      <c r="B120" s="1"/>
      <c r="C120" s="2" t="s">
        <v>111</v>
      </c>
      <c r="D120" s="1"/>
      <c r="E120" s="1" t="s">
        <v>112</v>
      </c>
      <c r="F120" s="13">
        <v>0</v>
      </c>
      <c r="G120" s="14">
        <v>0</v>
      </c>
      <c r="H120" s="39"/>
    </row>
    <row r="121" spans="1:8" x14ac:dyDescent="0.2">
      <c r="A121" s="1"/>
      <c r="B121" s="1"/>
      <c r="C121" s="11"/>
      <c r="D121" s="1"/>
      <c r="E121" s="1"/>
      <c r="F121" s="12"/>
      <c r="G121" s="12"/>
      <c r="H121" s="39"/>
    </row>
    <row r="122" spans="1:8" x14ac:dyDescent="0.2">
      <c r="A122" s="1"/>
      <c r="B122" s="1"/>
      <c r="C122" s="2" t="s">
        <v>117</v>
      </c>
      <c r="D122" s="1"/>
      <c r="E122" s="1"/>
      <c r="F122" s="12"/>
      <c r="G122" s="12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2" t="s">
        <v>118</v>
      </c>
      <c r="D125" s="1"/>
      <c r="E125" s="1"/>
      <c r="F125" s="9">
        <v>5343.2102697660002</v>
      </c>
      <c r="G125" s="10">
        <v>0.97976517900000004</v>
      </c>
      <c r="H125" s="39"/>
    </row>
    <row r="126" spans="1:8" x14ac:dyDescent="0.2">
      <c r="A126" s="1"/>
      <c r="B126" s="1"/>
      <c r="C126" s="11"/>
      <c r="D126" s="1"/>
      <c r="E126" s="1"/>
      <c r="F126" s="12"/>
      <c r="G126" s="12"/>
      <c r="H126" s="39"/>
    </row>
    <row r="127" spans="1:8" x14ac:dyDescent="0.2">
      <c r="A127" s="1"/>
      <c r="B127" s="1"/>
      <c r="C127" s="2" t="s">
        <v>119</v>
      </c>
      <c r="D127" s="1"/>
      <c r="E127" s="1"/>
      <c r="F127" s="12"/>
      <c r="G127" s="12"/>
      <c r="H127" s="39"/>
    </row>
    <row r="128" spans="1:8" ht="25.5" x14ac:dyDescent="0.2">
      <c r="A128" s="1"/>
      <c r="B128" s="1"/>
      <c r="C128" s="2" t="s">
        <v>10</v>
      </c>
      <c r="D128" s="1"/>
      <c r="E128" s="1"/>
      <c r="F128" s="12"/>
      <c r="G128" s="12"/>
      <c r="H128" s="39"/>
    </row>
    <row r="129" spans="1:8" ht="25.5" x14ac:dyDescent="0.2">
      <c r="A129" s="3">
        <v>1</v>
      </c>
      <c r="B129" s="4" t="s">
        <v>781</v>
      </c>
      <c r="C129" s="4" t="s">
        <v>782</v>
      </c>
      <c r="D129" s="4" t="s">
        <v>591</v>
      </c>
      <c r="E129" s="5">
        <v>828</v>
      </c>
      <c r="F129" s="6">
        <v>0.23935078800000001</v>
      </c>
      <c r="G129" s="8" t="s">
        <v>110</v>
      </c>
      <c r="H129" s="39">
        <v>5.65</v>
      </c>
    </row>
    <row r="130" spans="1:8" x14ac:dyDescent="0.2">
      <c r="A130" s="1"/>
      <c r="B130" s="1"/>
      <c r="C130" s="2" t="s">
        <v>111</v>
      </c>
      <c r="D130" s="1"/>
      <c r="E130" s="1" t="s">
        <v>112</v>
      </c>
      <c r="F130" s="9">
        <v>0.23935078800000001</v>
      </c>
      <c r="G130" s="10">
        <v>4.3888999999999999E-5</v>
      </c>
      <c r="H130" s="39"/>
    </row>
    <row r="131" spans="1:8" x14ac:dyDescent="0.2">
      <c r="A131" s="1"/>
      <c r="B131" s="1"/>
      <c r="C131" s="11"/>
      <c r="D131" s="1"/>
      <c r="E131" s="1"/>
      <c r="F131" s="12"/>
      <c r="G131" s="12"/>
      <c r="H131" s="39"/>
    </row>
    <row r="132" spans="1:8" x14ac:dyDescent="0.2">
      <c r="A132" s="1"/>
      <c r="B132" s="1"/>
      <c r="C132" s="2" t="s">
        <v>120</v>
      </c>
      <c r="D132" s="1"/>
      <c r="E132" s="1"/>
      <c r="F132" s="1"/>
      <c r="G132" s="1"/>
      <c r="H132" s="39"/>
    </row>
    <row r="133" spans="1:8" x14ac:dyDescent="0.2">
      <c r="A133" s="1"/>
      <c r="B133" s="1"/>
      <c r="C133" s="2" t="s">
        <v>111</v>
      </c>
      <c r="D133" s="1"/>
      <c r="E133" s="1" t="s">
        <v>112</v>
      </c>
      <c r="F133" s="13">
        <v>0</v>
      </c>
      <c r="G133" s="14">
        <v>0</v>
      </c>
      <c r="H133" s="39"/>
    </row>
    <row r="134" spans="1:8" x14ac:dyDescent="0.2">
      <c r="A134" s="1"/>
      <c r="B134" s="1"/>
      <c r="C134" s="11"/>
      <c r="D134" s="1"/>
      <c r="E134" s="1"/>
      <c r="F134" s="12"/>
      <c r="G134" s="12"/>
      <c r="H134" s="39"/>
    </row>
    <row r="135" spans="1:8" x14ac:dyDescent="0.2">
      <c r="A135" s="1"/>
      <c r="B135" s="1"/>
      <c r="C135" s="2" t="s">
        <v>121</v>
      </c>
      <c r="D135" s="1"/>
      <c r="E135" s="1"/>
      <c r="F135" s="1"/>
      <c r="G135" s="1"/>
      <c r="H135" s="39"/>
    </row>
    <row r="136" spans="1:8" x14ac:dyDescent="0.2">
      <c r="A136" s="1"/>
      <c r="B136" s="1"/>
      <c r="C136" s="2" t="s">
        <v>111</v>
      </c>
      <c r="D136" s="1"/>
      <c r="E136" s="1" t="s">
        <v>112</v>
      </c>
      <c r="F136" s="13">
        <v>0</v>
      </c>
      <c r="G136" s="14">
        <v>0</v>
      </c>
      <c r="H136" s="39"/>
    </row>
    <row r="137" spans="1:8" x14ac:dyDescent="0.2">
      <c r="A137" s="1"/>
      <c r="B137" s="1"/>
      <c r="C137" s="11"/>
      <c r="D137" s="1"/>
      <c r="E137" s="1"/>
      <c r="F137" s="12"/>
      <c r="G137" s="12"/>
      <c r="H137" s="39"/>
    </row>
    <row r="138" spans="1:8" x14ac:dyDescent="0.2">
      <c r="A138" s="1"/>
      <c r="B138" s="1"/>
      <c r="C138" s="2" t="s">
        <v>122</v>
      </c>
      <c r="D138" s="1"/>
      <c r="E138" s="1"/>
      <c r="F138" s="12"/>
      <c r="G138" s="12"/>
      <c r="H138" s="39"/>
    </row>
    <row r="139" spans="1:8" x14ac:dyDescent="0.2">
      <c r="A139" s="1"/>
      <c r="B139" s="1"/>
      <c r="C139" s="2" t="s">
        <v>111</v>
      </c>
      <c r="D139" s="1"/>
      <c r="E139" s="1" t="s">
        <v>112</v>
      </c>
      <c r="F139" s="13">
        <v>0</v>
      </c>
      <c r="G139" s="14">
        <v>0</v>
      </c>
      <c r="H139" s="39"/>
    </row>
    <row r="140" spans="1:8" x14ac:dyDescent="0.2">
      <c r="A140" s="1"/>
      <c r="B140" s="1"/>
      <c r="C140" s="11"/>
      <c r="D140" s="1"/>
      <c r="E140" s="1"/>
      <c r="F140" s="12"/>
      <c r="G140" s="12"/>
      <c r="H140" s="39"/>
    </row>
    <row r="141" spans="1:8" x14ac:dyDescent="0.2">
      <c r="A141" s="1"/>
      <c r="B141" s="1"/>
      <c r="C141" s="2" t="s">
        <v>123</v>
      </c>
      <c r="D141" s="1"/>
      <c r="E141" s="1"/>
      <c r="F141" s="9">
        <v>0.23935078800000001</v>
      </c>
      <c r="G141" s="10">
        <v>4.3888999999999999E-5</v>
      </c>
      <c r="H141" s="39"/>
    </row>
    <row r="142" spans="1:8" x14ac:dyDescent="0.2">
      <c r="A142" s="1"/>
      <c r="B142" s="1"/>
      <c r="C142" s="11"/>
      <c r="D142" s="1"/>
      <c r="E142" s="1"/>
      <c r="F142" s="12"/>
      <c r="G142" s="12"/>
      <c r="H142" s="39"/>
    </row>
    <row r="143" spans="1:8" x14ac:dyDescent="0.2">
      <c r="A143" s="1"/>
      <c r="B143" s="1"/>
      <c r="C143" s="2" t="s">
        <v>124</v>
      </c>
      <c r="D143" s="1"/>
      <c r="E143" s="1"/>
      <c r="F143" s="12"/>
      <c r="G143" s="12"/>
      <c r="H143" s="39"/>
    </row>
    <row r="144" spans="1:8" x14ac:dyDescent="0.2">
      <c r="A144" s="1"/>
      <c r="B144" s="1"/>
      <c r="C144" s="2" t="s">
        <v>125</v>
      </c>
      <c r="D144" s="1"/>
      <c r="E144" s="1"/>
      <c r="F144" s="12"/>
      <c r="G144" s="12"/>
      <c r="H144" s="39"/>
    </row>
    <row r="145" spans="1:8" x14ac:dyDescent="0.2">
      <c r="A145" s="1"/>
      <c r="B145" s="1"/>
      <c r="C145" s="2" t="s">
        <v>111</v>
      </c>
      <c r="D145" s="1"/>
      <c r="E145" s="1" t="s">
        <v>112</v>
      </c>
      <c r="F145" s="13">
        <v>0</v>
      </c>
      <c r="G145" s="14">
        <v>0</v>
      </c>
      <c r="H145" s="39"/>
    </row>
    <row r="146" spans="1:8" x14ac:dyDescent="0.2">
      <c r="A146" s="1"/>
      <c r="B146" s="1"/>
      <c r="C146" s="11"/>
      <c r="D146" s="1"/>
      <c r="E146" s="1"/>
      <c r="F146" s="12"/>
      <c r="G146" s="12"/>
      <c r="H146" s="39"/>
    </row>
    <row r="147" spans="1:8" x14ac:dyDescent="0.2">
      <c r="A147" s="1"/>
      <c r="B147" s="1"/>
      <c r="C147" s="2" t="s">
        <v>126</v>
      </c>
      <c r="D147" s="1"/>
      <c r="E147" s="1"/>
      <c r="F147" s="12"/>
      <c r="G147" s="12"/>
      <c r="H147" s="39"/>
    </row>
    <row r="148" spans="1:8" x14ac:dyDescent="0.2">
      <c r="A148" s="1"/>
      <c r="B148" s="1"/>
      <c r="C148" s="2" t="s">
        <v>111</v>
      </c>
      <c r="D148" s="1"/>
      <c r="E148" s="1" t="s">
        <v>112</v>
      </c>
      <c r="F148" s="13">
        <v>0</v>
      </c>
      <c r="G148" s="14">
        <v>0</v>
      </c>
      <c r="H148" s="39"/>
    </row>
    <row r="149" spans="1:8" x14ac:dyDescent="0.2">
      <c r="A149" s="1"/>
      <c r="B149" s="1"/>
      <c r="C149" s="11"/>
      <c r="D149" s="1"/>
      <c r="E149" s="1"/>
      <c r="F149" s="12"/>
      <c r="G149" s="12"/>
      <c r="H149" s="39"/>
    </row>
    <row r="150" spans="1:8" x14ac:dyDescent="0.2">
      <c r="A150" s="1"/>
      <c r="B150" s="1"/>
      <c r="C150" s="2" t="s">
        <v>127</v>
      </c>
      <c r="D150" s="1"/>
      <c r="E150" s="1"/>
      <c r="F150" s="12"/>
      <c r="G150" s="12"/>
      <c r="H150" s="39"/>
    </row>
    <row r="151" spans="1:8" x14ac:dyDescent="0.2">
      <c r="A151" s="1"/>
      <c r="B151" s="1"/>
      <c r="C151" s="2" t="s">
        <v>111</v>
      </c>
      <c r="D151" s="1"/>
      <c r="E151" s="1" t="s">
        <v>112</v>
      </c>
      <c r="F151" s="13">
        <v>0</v>
      </c>
      <c r="G151" s="14">
        <v>0</v>
      </c>
      <c r="H151" s="39"/>
    </row>
    <row r="152" spans="1:8" x14ac:dyDescent="0.2">
      <c r="A152" s="1"/>
      <c r="B152" s="1"/>
      <c r="C152" s="11"/>
      <c r="D152" s="1"/>
      <c r="E152" s="1"/>
      <c r="F152" s="12"/>
      <c r="G152" s="12"/>
      <c r="H152" s="39"/>
    </row>
    <row r="153" spans="1:8" x14ac:dyDescent="0.2">
      <c r="A153" s="1"/>
      <c r="B153" s="1"/>
      <c r="C153" s="2" t="s">
        <v>128</v>
      </c>
      <c r="D153" s="1"/>
      <c r="E153" s="1"/>
      <c r="F153" s="12"/>
      <c r="G153" s="12"/>
      <c r="H153" s="39"/>
    </row>
    <row r="154" spans="1:8" x14ac:dyDescent="0.2">
      <c r="A154" s="3">
        <v>1</v>
      </c>
      <c r="B154" s="4"/>
      <c r="C154" s="4" t="s">
        <v>129</v>
      </c>
      <c r="D154" s="4"/>
      <c r="E154" s="8"/>
      <c r="F154" s="6">
        <v>90.570817899999994</v>
      </c>
      <c r="G154" s="7">
        <v>1.6607644000000001E-2</v>
      </c>
      <c r="H154" s="39">
        <v>3.6151121728634927</v>
      </c>
    </row>
    <row r="155" spans="1:8" x14ac:dyDescent="0.2">
      <c r="A155" s="3">
        <v>2</v>
      </c>
      <c r="B155" s="4"/>
      <c r="C155" s="4" t="s">
        <v>130</v>
      </c>
      <c r="D155" s="4"/>
      <c r="E155" s="8"/>
      <c r="F155" s="6">
        <v>32.023750200000002</v>
      </c>
      <c r="G155" s="7">
        <v>5.8720789999999997E-3</v>
      </c>
      <c r="H155" s="39">
        <v>3.7142625760646584</v>
      </c>
    </row>
    <row r="156" spans="1:8" x14ac:dyDescent="0.2">
      <c r="A156" s="1"/>
      <c r="B156" s="1"/>
      <c r="C156" s="2" t="s">
        <v>111</v>
      </c>
      <c r="D156" s="1"/>
      <c r="E156" s="1" t="s">
        <v>112</v>
      </c>
      <c r="F156" s="9">
        <v>122.5945681</v>
      </c>
      <c r="G156" s="10">
        <v>2.2479723E-2</v>
      </c>
      <c r="H156" s="39"/>
    </row>
    <row r="157" spans="1:8" x14ac:dyDescent="0.2">
      <c r="A157" s="1"/>
      <c r="B157" s="1"/>
      <c r="C157" s="11"/>
      <c r="D157" s="1"/>
      <c r="E157" s="1"/>
      <c r="F157" s="12"/>
      <c r="G157" s="12"/>
      <c r="H157" s="39"/>
    </row>
    <row r="158" spans="1:8" x14ac:dyDescent="0.2">
      <c r="A158" s="1"/>
      <c r="B158" s="1"/>
      <c r="C158" s="2" t="s">
        <v>131</v>
      </c>
      <c r="D158" s="1"/>
      <c r="E158" s="1"/>
      <c r="F158" s="9">
        <v>122.5945681</v>
      </c>
      <c r="G158" s="10">
        <v>2.2479723E-2</v>
      </c>
      <c r="H158" s="39"/>
    </row>
    <row r="159" spans="1:8" x14ac:dyDescent="0.2">
      <c r="A159" s="1"/>
      <c r="B159" s="1"/>
      <c r="C159" s="12"/>
      <c r="D159" s="1"/>
      <c r="E159" s="1"/>
      <c r="F159" s="1"/>
      <c r="G159" s="1"/>
      <c r="H159" s="39"/>
    </row>
    <row r="160" spans="1:8" x14ac:dyDescent="0.2">
      <c r="A160" s="1"/>
      <c r="B160" s="1"/>
      <c r="C160" s="2" t="s">
        <v>132</v>
      </c>
      <c r="D160" s="1"/>
      <c r="E160" s="1"/>
      <c r="F160" s="1"/>
      <c r="G160" s="1"/>
      <c r="H160" s="39"/>
    </row>
    <row r="161" spans="1:15" x14ac:dyDescent="0.2">
      <c r="A161" s="1"/>
      <c r="B161" s="1"/>
      <c r="C161" s="2" t="s">
        <v>133</v>
      </c>
      <c r="D161" s="1"/>
      <c r="E161" s="1"/>
      <c r="F161" s="1"/>
      <c r="G161" s="1"/>
      <c r="H161" s="39"/>
    </row>
    <row r="162" spans="1:15" x14ac:dyDescent="0.2">
      <c r="A162" s="1"/>
      <c r="B162" s="1"/>
      <c r="C162" s="2" t="s">
        <v>111</v>
      </c>
      <c r="D162" s="1"/>
      <c r="E162" s="1" t="s">
        <v>112</v>
      </c>
      <c r="F162" s="13">
        <v>0</v>
      </c>
      <c r="G162" s="14">
        <v>0</v>
      </c>
      <c r="H162" s="39"/>
    </row>
    <row r="163" spans="1:15" x14ac:dyDescent="0.2">
      <c r="A163" s="1"/>
      <c r="B163" s="1"/>
      <c r="C163" s="11"/>
      <c r="D163" s="1"/>
      <c r="E163" s="1"/>
      <c r="F163" s="12"/>
      <c r="G163" s="12"/>
      <c r="H163" s="39"/>
    </row>
    <row r="164" spans="1:15" x14ac:dyDescent="0.2">
      <c r="A164" s="1"/>
      <c r="B164" s="1"/>
      <c r="C164" s="2" t="s">
        <v>134</v>
      </c>
      <c r="D164" s="1"/>
      <c r="E164" s="1"/>
      <c r="F164" s="1"/>
      <c r="G164" s="1"/>
      <c r="H164" s="39"/>
    </row>
    <row r="165" spans="1:15" x14ac:dyDescent="0.2">
      <c r="A165" s="1"/>
      <c r="B165" s="1"/>
      <c r="C165" s="2" t="s">
        <v>135</v>
      </c>
      <c r="D165" s="1"/>
      <c r="E165" s="1"/>
      <c r="F165" s="1"/>
      <c r="G165" s="1"/>
      <c r="H165" s="39"/>
    </row>
    <row r="166" spans="1:15" x14ac:dyDescent="0.2">
      <c r="A166" s="1"/>
      <c r="B166" s="1"/>
      <c r="C166" s="2" t="s">
        <v>111</v>
      </c>
      <c r="D166" s="1"/>
      <c r="E166" s="1" t="s">
        <v>112</v>
      </c>
      <c r="F166" s="13">
        <v>0</v>
      </c>
      <c r="G166" s="14">
        <v>0</v>
      </c>
      <c r="H166" s="39"/>
    </row>
    <row r="167" spans="1:15" x14ac:dyDescent="0.2">
      <c r="A167" s="1"/>
      <c r="B167" s="1"/>
      <c r="C167" s="11"/>
      <c r="D167" s="1"/>
      <c r="E167" s="1"/>
      <c r="F167" s="12"/>
      <c r="G167" s="12"/>
      <c r="H167" s="39"/>
    </row>
    <row r="168" spans="1:15" x14ac:dyDescent="0.2">
      <c r="A168" s="1"/>
      <c r="B168" s="1"/>
      <c r="C168" s="11"/>
      <c r="D168" s="1"/>
      <c r="E168" s="1"/>
      <c r="F168" s="12"/>
      <c r="G168" s="12"/>
      <c r="H168" s="39"/>
    </row>
    <row r="169" spans="1:15" ht="25.5" x14ac:dyDescent="0.2">
      <c r="A169" s="1"/>
      <c r="B169" s="1"/>
      <c r="C169" s="2" t="s">
        <v>136</v>
      </c>
      <c r="D169" s="1"/>
      <c r="E169" s="1"/>
      <c r="F169" s="12"/>
      <c r="G169" s="12"/>
      <c r="H169" s="39"/>
    </row>
    <row r="170" spans="1:15" x14ac:dyDescent="0.2">
      <c r="A170" s="1"/>
      <c r="B170" s="1"/>
      <c r="C170" s="2" t="s">
        <v>111</v>
      </c>
      <c r="D170" s="1"/>
      <c r="E170" s="1" t="s">
        <v>112</v>
      </c>
      <c r="F170" s="13">
        <v>0</v>
      </c>
      <c r="G170" s="14">
        <v>0</v>
      </c>
      <c r="H170" s="39"/>
    </row>
    <row r="171" spans="1:15" x14ac:dyDescent="0.2">
      <c r="A171" s="1"/>
      <c r="B171" s="1"/>
      <c r="C171" s="11"/>
      <c r="D171" s="1"/>
      <c r="E171" s="1"/>
      <c r="F171" s="12"/>
      <c r="G171" s="12"/>
      <c r="H171" s="39"/>
    </row>
    <row r="172" spans="1:15" x14ac:dyDescent="0.2">
      <c r="A172" s="1"/>
      <c r="B172" s="4"/>
      <c r="C172" s="4"/>
      <c r="D172" s="2"/>
      <c r="E172" s="1"/>
      <c r="F172" s="4"/>
      <c r="G172" s="8"/>
      <c r="H172" s="39"/>
    </row>
    <row r="173" spans="1:15" x14ac:dyDescent="0.2">
      <c r="A173" s="8"/>
      <c r="B173" s="4"/>
      <c r="C173" s="37" t="s">
        <v>1011</v>
      </c>
      <c r="D173" s="4"/>
      <c r="E173" s="8"/>
      <c r="F173" s="6">
        <v>-12.4820654</v>
      </c>
      <c r="G173" s="7">
        <v>-2.2887910000000001E-3</v>
      </c>
      <c r="H173" s="39"/>
    </row>
    <row r="174" spans="1:15" x14ac:dyDescent="0.2">
      <c r="A174" s="11"/>
      <c r="B174" s="11"/>
      <c r="C174" s="2" t="s">
        <v>138</v>
      </c>
      <c r="D174" s="15"/>
      <c r="E174" s="15"/>
      <c r="F174" s="9">
        <v>5453.5621232539997</v>
      </c>
      <c r="G174" s="10">
        <v>1</v>
      </c>
      <c r="H174" s="39"/>
    </row>
    <row r="175" spans="1:15" ht="14.1" customHeight="1" x14ac:dyDescent="0.2">
      <c r="A175" s="16"/>
      <c r="B175" s="16"/>
      <c r="C175" s="16"/>
      <c r="D175" s="17"/>
      <c r="E175" s="17"/>
      <c r="F175" s="17"/>
      <c r="G175" s="17"/>
    </row>
    <row r="176" spans="1:15" ht="17.100000000000001" customHeight="1" x14ac:dyDescent="0.2">
      <c r="A176" s="18"/>
      <c r="B176" s="197" t="s">
        <v>682</v>
      </c>
      <c r="C176" s="197"/>
      <c r="D176" s="197"/>
      <c r="E176" s="197"/>
      <c r="F176" s="197"/>
      <c r="G176" s="20"/>
      <c r="J176" s="41"/>
      <c r="K176" s="41"/>
      <c r="L176" s="41"/>
      <c r="M176" s="41"/>
      <c r="N176" s="41"/>
      <c r="O176" s="41"/>
    </row>
    <row r="177" spans="1:15" ht="17.100000000000001" customHeight="1" x14ac:dyDescent="0.2">
      <c r="A177" s="18"/>
      <c r="B177" s="197" t="s">
        <v>139</v>
      </c>
      <c r="C177" s="197"/>
      <c r="D177" s="197"/>
      <c r="E177" s="197"/>
      <c r="F177" s="197"/>
      <c r="G177" s="20"/>
    </row>
    <row r="178" spans="1:15" ht="14.1" customHeight="1" x14ac:dyDescent="0.2">
      <c r="A178" s="47"/>
      <c r="B178" s="48" t="s">
        <v>1021</v>
      </c>
      <c r="C178" s="47"/>
      <c r="D178" s="49"/>
      <c r="E178" s="49"/>
      <c r="F178" s="49"/>
      <c r="G178" s="49"/>
    </row>
    <row r="179" spans="1:15" s="41" customFormat="1" ht="17.100000000000001" customHeight="1" x14ac:dyDescent="0.2">
      <c r="A179" s="42"/>
      <c r="B179" s="209" t="s">
        <v>1012</v>
      </c>
      <c r="C179" s="209"/>
      <c r="D179" s="209"/>
      <c r="E179" s="209"/>
      <c r="F179" s="209"/>
      <c r="G179" s="43"/>
      <c r="H179"/>
      <c r="J179"/>
      <c r="K179"/>
      <c r="L179"/>
      <c r="M179"/>
      <c r="N179"/>
      <c r="O179"/>
    </row>
    <row r="180" spans="1:15" ht="14.1" customHeight="1" x14ac:dyDescent="0.2">
      <c r="A180" s="18"/>
      <c r="B180" s="18"/>
      <c r="C180" s="18"/>
      <c r="D180" s="20"/>
      <c r="E180" s="20"/>
      <c r="F180" s="20"/>
      <c r="G180" s="20"/>
    </row>
    <row r="181" spans="1:15" ht="14.1" customHeight="1" x14ac:dyDescent="0.2">
      <c r="A181" s="18"/>
      <c r="B181" s="194" t="s">
        <v>140</v>
      </c>
      <c r="C181" s="195"/>
      <c r="D181" s="12" t="s">
        <v>112</v>
      </c>
      <c r="E181" s="21"/>
      <c r="F181" s="20"/>
      <c r="G181" s="20"/>
    </row>
    <row r="182" spans="1:15" ht="29.1" customHeight="1" x14ac:dyDescent="0.2">
      <c r="A182" s="18"/>
      <c r="B182" s="189" t="s">
        <v>141</v>
      </c>
      <c r="C182" s="190"/>
      <c r="D182" s="2" t="s">
        <v>142</v>
      </c>
      <c r="E182" s="21"/>
      <c r="F182" s="20"/>
      <c r="G182" s="20"/>
    </row>
    <row r="183" spans="1:15" ht="17.100000000000001" customHeight="1" x14ac:dyDescent="0.2">
      <c r="A183" s="18"/>
      <c r="B183" s="189" t="s">
        <v>143</v>
      </c>
      <c r="C183" s="190"/>
      <c r="D183" s="2" t="s">
        <v>142</v>
      </c>
      <c r="E183" s="21"/>
      <c r="F183" s="20"/>
      <c r="G183" s="20"/>
    </row>
    <row r="184" spans="1:15" ht="17.100000000000001" customHeight="1" x14ac:dyDescent="0.2">
      <c r="A184" s="18"/>
      <c r="B184" s="189" t="s">
        <v>144</v>
      </c>
      <c r="C184" s="190"/>
      <c r="D184" s="12" t="s">
        <v>112</v>
      </c>
      <c r="E184" s="21"/>
      <c r="F184" s="20"/>
      <c r="G184" s="20"/>
    </row>
    <row r="185" spans="1:15" ht="24" customHeight="1" x14ac:dyDescent="0.2">
      <c r="A185" s="22"/>
      <c r="B185" s="23" t="s">
        <v>112</v>
      </c>
      <c r="C185" s="23" t="s">
        <v>145</v>
      </c>
      <c r="D185" s="23" t="s">
        <v>146</v>
      </c>
      <c r="E185" s="22"/>
      <c r="F185" s="22"/>
      <c r="G185" s="22"/>
    </row>
    <row r="186" spans="1:15" ht="18" customHeight="1" x14ac:dyDescent="0.2">
      <c r="A186" s="22"/>
      <c r="B186" s="23" t="s">
        <v>147</v>
      </c>
      <c r="C186" s="23" t="s">
        <v>148</v>
      </c>
      <c r="D186" s="23" t="s">
        <v>149</v>
      </c>
      <c r="E186" s="22"/>
      <c r="F186" s="22"/>
      <c r="G186" s="22"/>
    </row>
    <row r="187" spans="1:15" ht="17.100000000000001" customHeight="1" x14ac:dyDescent="0.2">
      <c r="A187" s="22"/>
      <c r="B187" s="4" t="s">
        <v>150</v>
      </c>
      <c r="C187" s="24">
        <v>108.9267</v>
      </c>
      <c r="D187" s="24">
        <v>111.9973</v>
      </c>
      <c r="E187" s="22"/>
      <c r="F187" s="19"/>
      <c r="G187" s="25"/>
    </row>
    <row r="188" spans="1:15" ht="17.100000000000001" customHeight="1" x14ac:dyDescent="0.2">
      <c r="A188" s="22"/>
      <c r="B188" s="4" t="s">
        <v>1092</v>
      </c>
      <c r="C188" s="24">
        <v>64.014600000000002</v>
      </c>
      <c r="D188" s="24">
        <v>65.819199999999995</v>
      </c>
      <c r="E188" s="22"/>
      <c r="F188" s="19"/>
      <c r="G188" s="25"/>
    </row>
    <row r="189" spans="1:15" ht="17.100000000000001" customHeight="1" x14ac:dyDescent="0.2">
      <c r="A189" s="22"/>
      <c r="B189" s="4" t="s">
        <v>151</v>
      </c>
      <c r="C189" s="24">
        <v>105.05710000000001</v>
      </c>
      <c r="D189" s="24">
        <v>107.98009999999999</v>
      </c>
      <c r="E189" s="22"/>
      <c r="F189" s="19"/>
      <c r="G189" s="25"/>
    </row>
    <row r="190" spans="1:15" ht="17.100000000000001" customHeight="1" x14ac:dyDescent="0.2">
      <c r="A190" s="22"/>
      <c r="B190" s="4" t="s">
        <v>1093</v>
      </c>
      <c r="C190" s="24">
        <v>61.744100000000003</v>
      </c>
      <c r="D190" s="24">
        <v>63.462000000000003</v>
      </c>
      <c r="E190" s="22"/>
      <c r="F190" s="19"/>
      <c r="G190" s="25"/>
    </row>
    <row r="191" spans="1:15" ht="14.1" customHeight="1" x14ac:dyDescent="0.2">
      <c r="A191" s="22"/>
      <c r="B191" s="22"/>
      <c r="C191" s="22"/>
      <c r="D191" s="22"/>
      <c r="E191" s="22"/>
      <c r="F191" s="22"/>
      <c r="G191" s="22"/>
    </row>
    <row r="192" spans="1:15" ht="17.100000000000001" customHeight="1" x14ac:dyDescent="0.2">
      <c r="A192" s="22"/>
      <c r="B192" s="189" t="s">
        <v>1094</v>
      </c>
      <c r="C192" s="190"/>
      <c r="D192" s="2" t="s">
        <v>142</v>
      </c>
      <c r="E192" s="22"/>
      <c r="F192" s="22"/>
      <c r="G192" s="22"/>
    </row>
    <row r="193" spans="1:17" ht="18" customHeight="1" x14ac:dyDescent="0.2">
      <c r="A193" s="22"/>
      <c r="B193" s="26"/>
      <c r="C193" s="26"/>
      <c r="D193" s="27"/>
      <c r="E193" s="22"/>
      <c r="F193" s="22"/>
      <c r="G193" s="22"/>
      <c r="J193" s="101"/>
      <c r="K193" s="101"/>
      <c r="L193" s="101"/>
      <c r="M193" s="101"/>
      <c r="N193" s="101"/>
      <c r="O193" s="101"/>
    </row>
    <row r="194" spans="1:17" s="101" customFormat="1" x14ac:dyDescent="0.2">
      <c r="B194" s="193" t="s">
        <v>1102</v>
      </c>
      <c r="C194" s="193"/>
      <c r="D194" s="193"/>
      <c r="E194" s="193"/>
      <c r="F194" s="193"/>
      <c r="I194"/>
      <c r="J194"/>
      <c r="K194"/>
      <c r="L194"/>
      <c r="M194"/>
      <c r="N194"/>
      <c r="O194"/>
      <c r="P194" s="41"/>
      <c r="Q194" s="41"/>
    </row>
    <row r="195" spans="1:17" ht="14.1" customHeight="1" x14ac:dyDescent="0.2">
      <c r="A195" s="22"/>
      <c r="B195" s="19"/>
      <c r="C195" s="19"/>
      <c r="D195" s="22"/>
      <c r="E195" s="22"/>
      <c r="F195" s="22"/>
      <c r="G195" s="22"/>
    </row>
    <row r="196" spans="1:17" ht="29.1" customHeight="1" x14ac:dyDescent="0.2">
      <c r="A196" s="22"/>
      <c r="B196" s="189" t="s">
        <v>152</v>
      </c>
      <c r="C196" s="190"/>
      <c r="D196" s="2" t="s">
        <v>142</v>
      </c>
      <c r="E196" s="22"/>
      <c r="F196" s="22"/>
      <c r="G196" s="22"/>
    </row>
    <row r="197" spans="1:17" ht="29.1" customHeight="1" x14ac:dyDescent="0.2">
      <c r="A197" s="22"/>
      <c r="B197" s="189" t="s">
        <v>153</v>
      </c>
      <c r="C197" s="190"/>
      <c r="D197" s="2" t="s">
        <v>142</v>
      </c>
      <c r="E197" s="22"/>
      <c r="F197" s="22"/>
      <c r="G197" s="22"/>
      <c r="J197" s="41"/>
      <c r="K197" s="41"/>
      <c r="L197" s="41"/>
      <c r="M197" s="41"/>
      <c r="N197" s="41"/>
      <c r="O197" s="41"/>
    </row>
    <row r="198" spans="1:17" ht="17.100000000000001" customHeight="1" x14ac:dyDescent="0.2">
      <c r="A198" s="22"/>
      <c r="B198" s="189" t="s">
        <v>154</v>
      </c>
      <c r="C198" s="190"/>
      <c r="D198" s="28">
        <v>0.54197241184115952</v>
      </c>
      <c r="E198" s="22"/>
      <c r="F198" s="19"/>
      <c r="G198" s="25"/>
      <c r="J198" s="41"/>
      <c r="K198" s="41"/>
      <c r="L198" s="41"/>
      <c r="M198" s="41"/>
      <c r="N198" s="41"/>
      <c r="O198" s="41"/>
    </row>
    <row r="199" spans="1:17" ht="17.100000000000001" customHeight="1" x14ac:dyDescent="0.2">
      <c r="A199" s="22"/>
      <c r="B199" s="189" t="s">
        <v>155</v>
      </c>
      <c r="C199" s="190"/>
      <c r="D199" s="2" t="s">
        <v>142</v>
      </c>
      <c r="E199" s="22"/>
      <c r="F199" s="22"/>
      <c r="G199" s="22"/>
    </row>
  </sheetData>
  <mergeCells count="17">
    <mergeCell ref="B199:C199"/>
    <mergeCell ref="B182:C182"/>
    <mergeCell ref="B183:C183"/>
    <mergeCell ref="B184:C184"/>
    <mergeCell ref="B192:C192"/>
    <mergeCell ref="B196:C196"/>
    <mergeCell ref="B197:C197"/>
    <mergeCell ref="B194:F194"/>
    <mergeCell ref="A1:H1"/>
    <mergeCell ref="A2:H2"/>
    <mergeCell ref="A3:H3"/>
    <mergeCell ref="J2:N2"/>
    <mergeCell ref="B198:C198"/>
    <mergeCell ref="B181:C181"/>
    <mergeCell ref="B176:F176"/>
    <mergeCell ref="B177:F177"/>
    <mergeCell ref="B179:F17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Q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1111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1044215</v>
      </c>
      <c r="F7" s="6">
        <v>7625.902145</v>
      </c>
      <c r="G7" s="7">
        <v>8.1696659000000005E-2</v>
      </c>
      <c r="H7" s="39"/>
    </row>
    <row r="8" spans="1:14" x14ac:dyDescent="0.2">
      <c r="A8" s="3">
        <v>2</v>
      </c>
      <c r="B8" s="4" t="s">
        <v>386</v>
      </c>
      <c r="C8" s="4" t="s">
        <v>387</v>
      </c>
      <c r="D8" s="4" t="s">
        <v>1143</v>
      </c>
      <c r="E8" s="5">
        <v>346446</v>
      </c>
      <c r="F8" s="6">
        <v>6606.205551</v>
      </c>
      <c r="G8" s="7">
        <v>7.0772600000000005E-2</v>
      </c>
      <c r="H8" s="39"/>
    </row>
    <row r="9" spans="1:14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335117</v>
      </c>
      <c r="F9" s="6">
        <v>4927.3928095000001</v>
      </c>
      <c r="G9" s="7">
        <v>5.2787397999999999E-2</v>
      </c>
      <c r="H9" s="39"/>
    </row>
    <row r="10" spans="1:14" x14ac:dyDescent="0.2">
      <c r="A10" s="3">
        <v>4</v>
      </c>
      <c r="B10" s="4" t="s">
        <v>27</v>
      </c>
      <c r="C10" s="4" t="s">
        <v>28</v>
      </c>
      <c r="D10" s="4" t="s">
        <v>29</v>
      </c>
      <c r="E10" s="5">
        <v>172375</v>
      </c>
      <c r="F10" s="6">
        <v>4075.6345000000001</v>
      </c>
      <c r="G10" s="7">
        <v>4.3662470000000002E-2</v>
      </c>
      <c r="H10" s="39"/>
    </row>
    <row r="11" spans="1:14" x14ac:dyDescent="0.2">
      <c r="A11" s="3">
        <v>5</v>
      </c>
      <c r="B11" s="4" t="s">
        <v>49</v>
      </c>
      <c r="C11" s="4" t="s">
        <v>50</v>
      </c>
      <c r="D11" s="4" t="s">
        <v>18</v>
      </c>
      <c r="E11" s="5">
        <v>787020</v>
      </c>
      <c r="F11" s="6">
        <v>3884.3372100000001</v>
      </c>
      <c r="G11" s="7">
        <v>4.1613092999999997E-2</v>
      </c>
      <c r="H11" s="39"/>
    </row>
    <row r="12" spans="1:14" x14ac:dyDescent="0.2">
      <c r="A12" s="3">
        <v>6</v>
      </c>
      <c r="B12" s="4" t="s">
        <v>13</v>
      </c>
      <c r="C12" s="4" t="s">
        <v>14</v>
      </c>
      <c r="D12" s="4" t="s">
        <v>15</v>
      </c>
      <c r="E12" s="5">
        <v>137512</v>
      </c>
      <c r="F12" s="6">
        <v>3623.0974200000001</v>
      </c>
      <c r="G12" s="7">
        <v>3.8814418000000003E-2</v>
      </c>
      <c r="H12" s="39"/>
    </row>
    <row r="13" spans="1:14" x14ac:dyDescent="0.2">
      <c r="A13" s="3">
        <v>7</v>
      </c>
      <c r="B13" s="4" t="s">
        <v>300</v>
      </c>
      <c r="C13" s="4" t="s">
        <v>301</v>
      </c>
      <c r="D13" s="4" t="s">
        <v>18</v>
      </c>
      <c r="E13" s="5">
        <v>410005</v>
      </c>
      <c r="F13" s="6">
        <v>3120.7530575000001</v>
      </c>
      <c r="G13" s="7">
        <v>3.3432779000000003E-2</v>
      </c>
      <c r="H13" s="39"/>
    </row>
    <row r="14" spans="1:14" x14ac:dyDescent="0.2">
      <c r="A14" s="3">
        <v>8</v>
      </c>
      <c r="B14" s="4" t="s">
        <v>392</v>
      </c>
      <c r="C14" s="4" t="s">
        <v>393</v>
      </c>
      <c r="D14" s="4" t="s">
        <v>1143</v>
      </c>
      <c r="E14" s="5">
        <v>83073</v>
      </c>
      <c r="F14" s="6">
        <v>3106.8886634999999</v>
      </c>
      <c r="G14" s="7">
        <v>3.3284249000000002E-2</v>
      </c>
      <c r="H14" s="39"/>
    </row>
    <row r="15" spans="1:14" ht="25.5" x14ac:dyDescent="0.2">
      <c r="A15" s="3">
        <v>9</v>
      </c>
      <c r="B15" s="4" t="s">
        <v>83</v>
      </c>
      <c r="C15" s="4" t="s">
        <v>84</v>
      </c>
      <c r="D15" s="4" t="s">
        <v>1137</v>
      </c>
      <c r="E15" s="5">
        <v>2405310</v>
      </c>
      <c r="F15" s="6">
        <v>2820.2259749999998</v>
      </c>
      <c r="G15" s="7">
        <v>3.0213218E-2</v>
      </c>
      <c r="H15" s="39"/>
      <c r="J15" s="176" t="s">
        <v>1188</v>
      </c>
    </row>
    <row r="16" spans="1:14" x14ac:dyDescent="0.2">
      <c r="A16" s="3">
        <v>10</v>
      </c>
      <c r="B16" s="4" t="s">
        <v>440</v>
      </c>
      <c r="C16" s="4" t="s">
        <v>441</v>
      </c>
      <c r="D16" s="4" t="s">
        <v>1146</v>
      </c>
      <c r="E16" s="5">
        <v>31194</v>
      </c>
      <c r="F16" s="6">
        <v>2358.671922</v>
      </c>
      <c r="G16" s="7">
        <v>2.5268566999999999E-2</v>
      </c>
      <c r="H16" s="39"/>
    </row>
    <row r="17" spans="1:10" ht="25.5" x14ac:dyDescent="0.2">
      <c r="A17" s="3">
        <v>11</v>
      </c>
      <c r="B17" s="4" t="s">
        <v>417</v>
      </c>
      <c r="C17" s="37" t="s">
        <v>1013</v>
      </c>
      <c r="D17" s="37" t="s">
        <v>21</v>
      </c>
      <c r="E17" s="5">
        <v>493578</v>
      </c>
      <c r="F17" s="6">
        <v>1954.322091</v>
      </c>
      <c r="G17" s="7">
        <v>2.0936746999999999E-2</v>
      </c>
      <c r="H17" s="39"/>
    </row>
    <row r="18" spans="1:10" x14ac:dyDescent="0.2">
      <c r="A18" s="3">
        <v>12</v>
      </c>
      <c r="B18" s="4" t="s">
        <v>343</v>
      </c>
      <c r="C18" s="4" t="s">
        <v>344</v>
      </c>
      <c r="D18" s="4" t="s">
        <v>1026</v>
      </c>
      <c r="E18" s="5">
        <v>72385</v>
      </c>
      <c r="F18" s="6">
        <v>1908.430525</v>
      </c>
      <c r="G18" s="7">
        <v>2.0445109E-2</v>
      </c>
      <c r="H18" s="39"/>
    </row>
    <row r="19" spans="1:10" ht="25.5" x14ac:dyDescent="0.2">
      <c r="A19" s="3">
        <v>13</v>
      </c>
      <c r="B19" s="4" t="s">
        <v>72</v>
      </c>
      <c r="C19" s="4" t="s">
        <v>73</v>
      </c>
      <c r="D19" s="4" t="s">
        <v>1137</v>
      </c>
      <c r="E19" s="5">
        <v>98510</v>
      </c>
      <c r="F19" s="6">
        <v>1791.749135</v>
      </c>
      <c r="G19" s="7">
        <v>1.9195094999999999E-2</v>
      </c>
      <c r="H19" s="39"/>
    </row>
    <row r="20" spans="1:10" x14ac:dyDescent="0.2">
      <c r="A20" s="3">
        <v>14</v>
      </c>
      <c r="B20" s="4" t="s">
        <v>432</v>
      </c>
      <c r="C20" s="4" t="s">
        <v>433</v>
      </c>
      <c r="D20" s="4" t="s">
        <v>1146</v>
      </c>
      <c r="E20" s="5">
        <v>403269</v>
      </c>
      <c r="F20" s="6">
        <v>1749.1792875000001</v>
      </c>
      <c r="G20" s="7">
        <v>1.8739043E-2</v>
      </c>
      <c r="H20" s="39"/>
    </row>
    <row r="21" spans="1:10" ht="25.5" x14ac:dyDescent="0.2">
      <c r="A21" s="3">
        <v>15</v>
      </c>
      <c r="B21" s="4" t="s">
        <v>396</v>
      </c>
      <c r="C21" s="4" t="s">
        <v>397</v>
      </c>
      <c r="D21" s="4" t="s">
        <v>1138</v>
      </c>
      <c r="E21" s="5">
        <v>185514</v>
      </c>
      <c r="F21" s="6">
        <v>1696.989315</v>
      </c>
      <c r="G21" s="7">
        <v>1.8179929000000001E-2</v>
      </c>
      <c r="H21" s="39"/>
    </row>
    <row r="22" spans="1:10" ht="25.5" x14ac:dyDescent="0.2">
      <c r="A22" s="3">
        <v>16</v>
      </c>
      <c r="B22" s="4" t="s">
        <v>390</v>
      </c>
      <c r="C22" s="4" t="s">
        <v>391</v>
      </c>
      <c r="D22" s="4" t="s">
        <v>82</v>
      </c>
      <c r="E22" s="5">
        <v>66786</v>
      </c>
      <c r="F22" s="6">
        <v>1596.452544</v>
      </c>
      <c r="G22" s="7">
        <v>1.7102874000000001E-2</v>
      </c>
      <c r="H22" s="39"/>
    </row>
    <row r="23" spans="1:10" ht="25.5" x14ac:dyDescent="0.2">
      <c r="A23" s="3">
        <v>17</v>
      </c>
      <c r="B23" s="4" t="s">
        <v>321</v>
      </c>
      <c r="C23" s="4" t="s">
        <v>322</v>
      </c>
      <c r="D23" s="4" t="s">
        <v>71</v>
      </c>
      <c r="E23" s="5">
        <v>394000</v>
      </c>
      <c r="F23" s="6">
        <v>1473.56</v>
      </c>
      <c r="G23" s="7">
        <v>1.578632E-2</v>
      </c>
      <c r="H23" s="39"/>
    </row>
    <row r="24" spans="1:10" x14ac:dyDescent="0.2">
      <c r="A24" s="3">
        <v>18</v>
      </c>
      <c r="B24" s="4" t="s">
        <v>561</v>
      </c>
      <c r="C24" s="4" t="s">
        <v>562</v>
      </c>
      <c r="D24" s="4" t="s">
        <v>71</v>
      </c>
      <c r="E24" s="5">
        <v>194000</v>
      </c>
      <c r="F24" s="6">
        <v>1446.5609999999999</v>
      </c>
      <c r="G24" s="7">
        <v>1.5497077999999999E-2</v>
      </c>
      <c r="H24" s="39"/>
    </row>
    <row r="25" spans="1:10" x14ac:dyDescent="0.2">
      <c r="A25" s="3">
        <v>19</v>
      </c>
      <c r="B25" s="4" t="s">
        <v>298</v>
      </c>
      <c r="C25" s="4" t="s">
        <v>299</v>
      </c>
      <c r="D25" s="4" t="s">
        <v>18</v>
      </c>
      <c r="E25" s="5">
        <v>1460988</v>
      </c>
      <c r="F25" s="6">
        <v>1423.0023120000001</v>
      </c>
      <c r="G25" s="7">
        <v>1.5244693E-2</v>
      </c>
      <c r="H25" s="39"/>
    </row>
    <row r="26" spans="1:10" ht="25.5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197572</v>
      </c>
      <c r="F26" s="6">
        <v>1419.456034</v>
      </c>
      <c r="G26" s="7">
        <v>1.5206701E-2</v>
      </c>
      <c r="H26" s="39"/>
      <c r="J26" s="176" t="s">
        <v>1189</v>
      </c>
    </row>
    <row r="27" spans="1:10" x14ac:dyDescent="0.2">
      <c r="A27" s="3">
        <v>21</v>
      </c>
      <c r="B27" s="4" t="s">
        <v>402</v>
      </c>
      <c r="C27" s="4" t="s">
        <v>403</v>
      </c>
      <c r="D27" s="4" t="s">
        <v>1148</v>
      </c>
      <c r="E27" s="5">
        <v>68396</v>
      </c>
      <c r="F27" s="6">
        <v>1401.1946539999999</v>
      </c>
      <c r="G27" s="7">
        <v>1.5011066E-2</v>
      </c>
      <c r="H27" s="39"/>
    </row>
    <row r="28" spans="1:10" ht="25.5" x14ac:dyDescent="0.2">
      <c r="A28" s="3">
        <v>22</v>
      </c>
      <c r="B28" s="4" t="s">
        <v>335</v>
      </c>
      <c r="C28" s="4" t="s">
        <v>336</v>
      </c>
      <c r="D28" s="4" t="s">
        <v>1138</v>
      </c>
      <c r="E28" s="5">
        <v>40650</v>
      </c>
      <c r="F28" s="6">
        <v>1330.3322250000001</v>
      </c>
      <c r="G28" s="7">
        <v>1.4251913999999999E-2</v>
      </c>
      <c r="H28" s="39"/>
    </row>
    <row r="29" spans="1:10" x14ac:dyDescent="0.2">
      <c r="A29" s="3">
        <v>23</v>
      </c>
      <c r="B29" s="4" t="s">
        <v>428</v>
      </c>
      <c r="C29" s="4" t="s">
        <v>429</v>
      </c>
      <c r="D29" s="4" t="s">
        <v>1160</v>
      </c>
      <c r="E29" s="5">
        <v>60212</v>
      </c>
      <c r="F29" s="6">
        <v>1299.3448539999999</v>
      </c>
      <c r="G29" s="7">
        <v>1.3919944E-2</v>
      </c>
      <c r="H29" s="39"/>
    </row>
    <row r="30" spans="1:10" x14ac:dyDescent="0.2">
      <c r="A30" s="3">
        <v>24</v>
      </c>
      <c r="B30" s="4" t="s">
        <v>541</v>
      </c>
      <c r="C30" s="4" t="s">
        <v>542</v>
      </c>
      <c r="D30" s="4" t="s">
        <v>1027</v>
      </c>
      <c r="E30" s="5">
        <v>30201</v>
      </c>
      <c r="F30" s="6">
        <v>1278.7707419999999</v>
      </c>
      <c r="G30" s="7">
        <v>1.3699533E-2</v>
      </c>
      <c r="H30" s="39"/>
    </row>
    <row r="31" spans="1:10" x14ac:dyDescent="0.2">
      <c r="A31" s="3">
        <v>25</v>
      </c>
      <c r="B31" s="4" t="s">
        <v>11</v>
      </c>
      <c r="C31" s="4" t="s">
        <v>12</v>
      </c>
      <c r="D31" s="4" t="s">
        <v>60</v>
      </c>
      <c r="E31" s="5">
        <v>70588</v>
      </c>
      <c r="F31" s="6">
        <v>1247.7487819999999</v>
      </c>
      <c r="G31" s="7">
        <v>1.3367192999999999E-2</v>
      </c>
      <c r="H31" s="39"/>
    </row>
    <row r="32" spans="1:10" x14ac:dyDescent="0.2">
      <c r="A32" s="3">
        <v>26</v>
      </c>
      <c r="B32" s="4" t="s">
        <v>304</v>
      </c>
      <c r="C32" s="4" t="s">
        <v>305</v>
      </c>
      <c r="D32" s="4" t="s">
        <v>18</v>
      </c>
      <c r="E32" s="5">
        <v>1077030</v>
      </c>
      <c r="F32" s="6">
        <v>1201.9654800000001</v>
      </c>
      <c r="G32" s="7">
        <v>1.2876713999999999E-2</v>
      </c>
      <c r="H32" s="39"/>
    </row>
    <row r="33" spans="1:8" x14ac:dyDescent="0.2">
      <c r="A33" s="3">
        <v>27</v>
      </c>
      <c r="B33" s="4" t="s">
        <v>422</v>
      </c>
      <c r="C33" s="4" t="s">
        <v>423</v>
      </c>
      <c r="D33" s="4" t="s">
        <v>18</v>
      </c>
      <c r="E33" s="5">
        <v>522654</v>
      </c>
      <c r="F33" s="6">
        <v>1190.3444850000001</v>
      </c>
      <c r="G33" s="7">
        <v>1.2752217999999999E-2</v>
      </c>
      <c r="H33" s="39"/>
    </row>
    <row r="34" spans="1:8" x14ac:dyDescent="0.2">
      <c r="A34" s="3">
        <v>28</v>
      </c>
      <c r="B34" s="4" t="s">
        <v>94</v>
      </c>
      <c r="C34" s="4" t="s">
        <v>95</v>
      </c>
      <c r="D34" s="4" t="s">
        <v>1154</v>
      </c>
      <c r="E34" s="5">
        <v>59495</v>
      </c>
      <c r="F34" s="6">
        <v>1155.3929000000001</v>
      </c>
      <c r="G34" s="7">
        <v>1.237778E-2</v>
      </c>
      <c r="H34" s="39"/>
    </row>
    <row r="35" spans="1:8" ht="25.5" x14ac:dyDescent="0.2">
      <c r="A35" s="3">
        <v>29</v>
      </c>
      <c r="B35" s="4" t="s">
        <v>237</v>
      </c>
      <c r="C35" s="4" t="s">
        <v>238</v>
      </c>
      <c r="D35" s="4" t="s">
        <v>1153</v>
      </c>
      <c r="E35" s="5">
        <v>28290</v>
      </c>
      <c r="F35" s="6">
        <v>1154.85438</v>
      </c>
      <c r="G35" s="7">
        <v>1.2372011E-2</v>
      </c>
      <c r="H35" s="39"/>
    </row>
    <row r="36" spans="1:8" x14ac:dyDescent="0.2">
      <c r="A36" s="3">
        <v>30</v>
      </c>
      <c r="B36" s="4" t="s">
        <v>788</v>
      </c>
      <c r="C36" s="4" t="s">
        <v>789</v>
      </c>
      <c r="D36" s="4" t="s">
        <v>1143</v>
      </c>
      <c r="E36" s="5">
        <v>24755</v>
      </c>
      <c r="F36" s="6">
        <v>1103.454125</v>
      </c>
      <c r="G36" s="7">
        <v>1.1821358000000001E-2</v>
      </c>
      <c r="H36" s="39"/>
    </row>
    <row r="37" spans="1:8" x14ac:dyDescent="0.2">
      <c r="A37" s="3">
        <v>31</v>
      </c>
      <c r="B37" s="4" t="s">
        <v>420</v>
      </c>
      <c r="C37" s="4" t="s">
        <v>421</v>
      </c>
      <c r="D37" s="4" t="s">
        <v>1154</v>
      </c>
      <c r="E37" s="5">
        <v>154394</v>
      </c>
      <c r="F37" s="6">
        <v>1049.030033</v>
      </c>
      <c r="G37" s="7">
        <v>1.123831E-2</v>
      </c>
      <c r="H37" s="39"/>
    </row>
    <row r="38" spans="1:8" x14ac:dyDescent="0.2">
      <c r="A38" s="3">
        <v>32</v>
      </c>
      <c r="B38" s="4" t="s">
        <v>415</v>
      </c>
      <c r="C38" s="4" t="s">
        <v>416</v>
      </c>
      <c r="D38" s="4" t="s">
        <v>18</v>
      </c>
      <c r="E38" s="5">
        <v>59557</v>
      </c>
      <c r="F38" s="6">
        <v>1044.5404444999999</v>
      </c>
      <c r="G38" s="7">
        <v>1.1190212E-2</v>
      </c>
      <c r="H38" s="39"/>
    </row>
    <row r="39" spans="1:8" x14ac:dyDescent="0.2">
      <c r="A39" s="3">
        <v>33</v>
      </c>
      <c r="B39" s="4" t="s">
        <v>302</v>
      </c>
      <c r="C39" s="4" t="s">
        <v>303</v>
      </c>
      <c r="D39" s="4" t="s">
        <v>1155</v>
      </c>
      <c r="E39" s="5">
        <v>2238</v>
      </c>
      <c r="F39" s="6">
        <v>966.57765300000005</v>
      </c>
      <c r="G39" s="7">
        <v>1.0354993E-2</v>
      </c>
      <c r="H39" s="39"/>
    </row>
    <row r="40" spans="1:8" x14ac:dyDescent="0.2">
      <c r="A40" s="3">
        <v>34</v>
      </c>
      <c r="B40" s="4" t="s">
        <v>786</v>
      </c>
      <c r="C40" s="4" t="s">
        <v>787</v>
      </c>
      <c r="D40" s="4" t="s">
        <v>18</v>
      </c>
      <c r="E40" s="5">
        <v>624396</v>
      </c>
      <c r="F40" s="6">
        <v>960.94544399999995</v>
      </c>
      <c r="G40" s="7">
        <v>1.0294655E-2</v>
      </c>
      <c r="H40" s="39"/>
    </row>
    <row r="41" spans="1:8" x14ac:dyDescent="0.2">
      <c r="A41" s="3">
        <v>35</v>
      </c>
      <c r="B41" s="4" t="s">
        <v>313</v>
      </c>
      <c r="C41" s="4" t="s">
        <v>314</v>
      </c>
      <c r="D41" s="4" t="s">
        <v>1142</v>
      </c>
      <c r="E41" s="5">
        <v>125000</v>
      </c>
      <c r="F41" s="6">
        <v>942.375</v>
      </c>
      <c r="G41" s="7">
        <v>1.0095709E-2</v>
      </c>
      <c r="H41" s="39"/>
    </row>
    <row r="42" spans="1:8" ht="25.5" x14ac:dyDescent="0.2">
      <c r="A42" s="3">
        <v>36</v>
      </c>
      <c r="B42" s="4" t="s">
        <v>697</v>
      </c>
      <c r="C42" s="4" t="s">
        <v>698</v>
      </c>
      <c r="D42" s="4" t="s">
        <v>1138</v>
      </c>
      <c r="E42" s="5">
        <v>21635</v>
      </c>
      <c r="F42" s="6">
        <v>929.32060750000005</v>
      </c>
      <c r="G42" s="7">
        <v>9.9558570000000002E-3</v>
      </c>
      <c r="H42" s="39"/>
    </row>
    <row r="43" spans="1:8" x14ac:dyDescent="0.2">
      <c r="A43" s="3">
        <v>37</v>
      </c>
      <c r="B43" s="4" t="s">
        <v>539</v>
      </c>
      <c r="C43" s="4" t="s">
        <v>540</v>
      </c>
      <c r="D43" s="4" t="s">
        <v>1154</v>
      </c>
      <c r="E43" s="5">
        <v>278622</v>
      </c>
      <c r="F43" s="6">
        <v>913.04429400000004</v>
      </c>
      <c r="G43" s="7">
        <v>9.7814879999999996E-3</v>
      </c>
      <c r="H43" s="39"/>
    </row>
    <row r="44" spans="1:8" ht="25.5" x14ac:dyDescent="0.2">
      <c r="A44" s="3">
        <v>38</v>
      </c>
      <c r="B44" s="4" t="s">
        <v>22</v>
      </c>
      <c r="C44" s="4" t="s">
        <v>23</v>
      </c>
      <c r="D44" s="4" t="s">
        <v>1150</v>
      </c>
      <c r="E44" s="5">
        <v>13315</v>
      </c>
      <c r="F44" s="6">
        <v>879.09624499999995</v>
      </c>
      <c r="G44" s="7">
        <v>9.417801E-3</v>
      </c>
      <c r="H44" s="39"/>
    </row>
    <row r="45" spans="1:8" x14ac:dyDescent="0.2">
      <c r="A45" s="3">
        <v>39</v>
      </c>
      <c r="B45" s="4" t="s">
        <v>537</v>
      </c>
      <c r="C45" s="4" t="s">
        <v>538</v>
      </c>
      <c r="D45" s="4" t="s">
        <v>1156</v>
      </c>
      <c r="E45" s="5">
        <v>56776</v>
      </c>
      <c r="F45" s="6">
        <v>852.29292399999997</v>
      </c>
      <c r="G45" s="7">
        <v>9.1306549999999997E-3</v>
      </c>
      <c r="H45" s="39"/>
    </row>
    <row r="46" spans="1:8" ht="25.5" x14ac:dyDescent="0.2">
      <c r="A46" s="3">
        <v>40</v>
      </c>
      <c r="B46" s="4" t="s">
        <v>329</v>
      </c>
      <c r="C46" s="4" t="s">
        <v>330</v>
      </c>
      <c r="D46" s="4" t="s">
        <v>1138</v>
      </c>
      <c r="E46" s="5">
        <v>79880</v>
      </c>
      <c r="F46" s="6">
        <v>851.3211</v>
      </c>
      <c r="G46" s="7">
        <v>9.1202439999999996E-3</v>
      </c>
      <c r="H46" s="39"/>
    </row>
    <row r="47" spans="1:8" x14ac:dyDescent="0.2">
      <c r="A47" s="3">
        <v>41</v>
      </c>
      <c r="B47" s="4" t="s">
        <v>434</v>
      </c>
      <c r="C47" s="4" t="s">
        <v>435</v>
      </c>
      <c r="D47" s="4" t="s">
        <v>308</v>
      </c>
      <c r="E47" s="5">
        <v>21000</v>
      </c>
      <c r="F47" s="6">
        <v>840.70349999999996</v>
      </c>
      <c r="G47" s="7">
        <v>9.0064970000000005E-3</v>
      </c>
      <c r="H47" s="39"/>
    </row>
    <row r="48" spans="1:8" x14ac:dyDescent="0.2">
      <c r="A48" s="3">
        <v>42</v>
      </c>
      <c r="B48" s="4" t="s">
        <v>522</v>
      </c>
      <c r="C48" s="4" t="s">
        <v>523</v>
      </c>
      <c r="D48" s="4" t="s">
        <v>1027</v>
      </c>
      <c r="E48" s="5">
        <v>36000</v>
      </c>
      <c r="F48" s="6">
        <v>833.70600000000002</v>
      </c>
      <c r="G48" s="7">
        <v>8.9315330000000002E-3</v>
      </c>
      <c r="H48" s="39"/>
    </row>
    <row r="49" spans="1:8" ht="25.5" x14ac:dyDescent="0.2">
      <c r="A49" s="3">
        <v>43</v>
      </c>
      <c r="B49" s="4" t="s">
        <v>845</v>
      </c>
      <c r="C49" s="4" t="s">
        <v>846</v>
      </c>
      <c r="D49" s="4" t="s">
        <v>1142</v>
      </c>
      <c r="E49" s="5">
        <v>61375</v>
      </c>
      <c r="F49" s="6">
        <v>815.24412500000005</v>
      </c>
      <c r="G49" s="7">
        <v>8.7337500000000002E-3</v>
      </c>
      <c r="H49" s="39"/>
    </row>
    <row r="50" spans="1:8" x14ac:dyDescent="0.2">
      <c r="A50" s="3">
        <v>44</v>
      </c>
      <c r="B50" s="4" t="s">
        <v>292</v>
      </c>
      <c r="C50" s="4" t="s">
        <v>293</v>
      </c>
      <c r="D50" s="4" t="s">
        <v>1143</v>
      </c>
      <c r="E50" s="5">
        <v>18651</v>
      </c>
      <c r="F50" s="6">
        <v>802.53387899999996</v>
      </c>
      <c r="G50" s="7">
        <v>8.5975840000000001E-3</v>
      </c>
      <c r="H50" s="39"/>
    </row>
    <row r="51" spans="1:8" x14ac:dyDescent="0.2">
      <c r="A51" s="3">
        <v>45</v>
      </c>
      <c r="B51" s="4" t="s">
        <v>369</v>
      </c>
      <c r="C51" s="4" t="s">
        <v>370</v>
      </c>
      <c r="D51" s="4" t="s">
        <v>1157</v>
      </c>
      <c r="E51" s="5">
        <v>82001</v>
      </c>
      <c r="F51" s="6">
        <v>770.6863985</v>
      </c>
      <c r="G51" s="7">
        <v>8.256401E-3</v>
      </c>
      <c r="H51" s="39"/>
    </row>
    <row r="52" spans="1:8" x14ac:dyDescent="0.2">
      <c r="A52" s="3">
        <v>46</v>
      </c>
      <c r="B52" s="4" t="s">
        <v>359</v>
      </c>
      <c r="C52" s="4" t="s">
        <v>360</v>
      </c>
      <c r="D52" s="4" t="s">
        <v>82</v>
      </c>
      <c r="E52" s="5">
        <v>4515</v>
      </c>
      <c r="F52" s="6">
        <v>770.27931750000005</v>
      </c>
      <c r="G52" s="7">
        <v>8.2520400000000004E-3</v>
      </c>
      <c r="H52" s="39"/>
    </row>
    <row r="53" spans="1:8" x14ac:dyDescent="0.2">
      <c r="A53" s="3">
        <v>47</v>
      </c>
      <c r="B53" s="4" t="s">
        <v>367</v>
      </c>
      <c r="C53" s="4" t="s">
        <v>368</v>
      </c>
      <c r="D53" s="4" t="s">
        <v>1154</v>
      </c>
      <c r="E53" s="5">
        <v>80545</v>
      </c>
      <c r="F53" s="6">
        <v>750.92103499999996</v>
      </c>
      <c r="G53" s="7">
        <v>8.0446530000000006E-3</v>
      </c>
      <c r="H53" s="39"/>
    </row>
    <row r="54" spans="1:8" x14ac:dyDescent="0.2">
      <c r="A54" s="3">
        <v>48</v>
      </c>
      <c r="B54" s="4" t="s">
        <v>394</v>
      </c>
      <c r="C54" s="4" t="s">
        <v>395</v>
      </c>
      <c r="D54" s="4" t="s">
        <v>1142</v>
      </c>
      <c r="E54" s="5">
        <v>66146</v>
      </c>
      <c r="F54" s="6">
        <v>741.79431699999998</v>
      </c>
      <c r="G54" s="7">
        <v>7.9468779999999992E-3</v>
      </c>
      <c r="H54" s="39"/>
    </row>
    <row r="55" spans="1:8" x14ac:dyDescent="0.2">
      <c r="A55" s="3">
        <v>49</v>
      </c>
      <c r="B55" s="4" t="s">
        <v>398</v>
      </c>
      <c r="C55" s="4" t="s">
        <v>399</v>
      </c>
      <c r="D55" s="4" t="s">
        <v>1143</v>
      </c>
      <c r="E55" s="5">
        <v>123850</v>
      </c>
      <c r="F55" s="6">
        <v>733.06814999999995</v>
      </c>
      <c r="G55" s="7">
        <v>7.8533950000000009E-3</v>
      </c>
      <c r="H55" s="39"/>
    </row>
    <row r="56" spans="1:8" x14ac:dyDescent="0.2">
      <c r="A56" s="3">
        <v>50</v>
      </c>
      <c r="B56" s="4" t="s">
        <v>545</v>
      </c>
      <c r="C56" s="4" t="s">
        <v>546</v>
      </c>
      <c r="D56" s="4" t="s">
        <v>1146</v>
      </c>
      <c r="E56" s="5">
        <v>68000</v>
      </c>
      <c r="F56" s="6">
        <v>692.78399999999999</v>
      </c>
      <c r="G56" s="7">
        <v>7.4218289999999996E-3</v>
      </c>
      <c r="H56" s="39"/>
    </row>
    <row r="57" spans="1:8" x14ac:dyDescent="0.2">
      <c r="A57" s="3">
        <v>51</v>
      </c>
      <c r="B57" s="4" t="s">
        <v>526</v>
      </c>
      <c r="C57" s="4" t="s">
        <v>527</v>
      </c>
      <c r="D57" s="4" t="s">
        <v>1143</v>
      </c>
      <c r="E57" s="5">
        <v>45851</v>
      </c>
      <c r="F57" s="6">
        <v>692.67105700000002</v>
      </c>
      <c r="G57" s="7">
        <v>7.4206189999999998E-3</v>
      </c>
      <c r="H57" s="39"/>
    </row>
    <row r="58" spans="1:8" ht="25.5" x14ac:dyDescent="0.2">
      <c r="A58" s="3">
        <v>52</v>
      </c>
      <c r="B58" s="4" t="s">
        <v>424</v>
      </c>
      <c r="C58" s="4" t="s">
        <v>425</v>
      </c>
      <c r="D58" s="4" t="s">
        <v>1138</v>
      </c>
      <c r="E58" s="5">
        <v>14839</v>
      </c>
      <c r="F58" s="6">
        <v>653.22019950000004</v>
      </c>
      <c r="G58" s="7">
        <v>6.99798E-3</v>
      </c>
      <c r="H58" s="39"/>
    </row>
    <row r="59" spans="1:8" x14ac:dyDescent="0.2">
      <c r="A59" s="3">
        <v>53</v>
      </c>
      <c r="B59" s="4" t="s">
        <v>413</v>
      </c>
      <c r="C59" s="4" t="s">
        <v>414</v>
      </c>
      <c r="D59" s="4" t="s">
        <v>91</v>
      </c>
      <c r="E59" s="5">
        <v>42773</v>
      </c>
      <c r="F59" s="6">
        <v>559.12865599999998</v>
      </c>
      <c r="G59" s="7">
        <v>5.9899719999999997E-3</v>
      </c>
      <c r="H59" s="39"/>
    </row>
    <row r="60" spans="1:8" x14ac:dyDescent="0.2">
      <c r="A60" s="3">
        <v>54</v>
      </c>
      <c r="B60" s="4" t="s">
        <v>533</v>
      </c>
      <c r="C60" s="4" t="s">
        <v>534</v>
      </c>
      <c r="D60" s="4" t="s">
        <v>1027</v>
      </c>
      <c r="E60" s="5">
        <v>55010</v>
      </c>
      <c r="F60" s="6">
        <v>547.12945999999999</v>
      </c>
      <c r="G60" s="7">
        <v>5.8614239999999996E-3</v>
      </c>
      <c r="H60" s="39"/>
    </row>
    <row r="61" spans="1:8" ht="25.5" x14ac:dyDescent="0.2">
      <c r="A61" s="3">
        <v>55</v>
      </c>
      <c r="B61" s="4" t="s">
        <v>508</v>
      </c>
      <c r="C61" s="4" t="s">
        <v>509</v>
      </c>
      <c r="D61" s="4" t="s">
        <v>1138</v>
      </c>
      <c r="E61" s="5">
        <v>52091</v>
      </c>
      <c r="F61" s="6">
        <v>530.31242550000002</v>
      </c>
      <c r="G61" s="7">
        <v>5.6812629999999998E-3</v>
      </c>
      <c r="H61" s="39"/>
    </row>
    <row r="62" spans="1:8" x14ac:dyDescent="0.2">
      <c r="A62" s="3">
        <v>56</v>
      </c>
      <c r="B62" s="4" t="s">
        <v>876</v>
      </c>
      <c r="C62" s="4" t="s">
        <v>877</v>
      </c>
      <c r="D62" s="4" t="s">
        <v>308</v>
      </c>
      <c r="E62" s="5">
        <v>370890</v>
      </c>
      <c r="F62" s="6">
        <v>305.24247000000003</v>
      </c>
      <c r="G62" s="7">
        <v>3.2700770000000001E-3</v>
      </c>
      <c r="H62" s="39"/>
    </row>
    <row r="63" spans="1:8" x14ac:dyDescent="0.2">
      <c r="A63" s="3">
        <v>57</v>
      </c>
      <c r="B63" s="4" t="s">
        <v>573</v>
      </c>
      <c r="C63" s="4" t="s">
        <v>574</v>
      </c>
      <c r="D63" s="4" t="s">
        <v>308</v>
      </c>
      <c r="E63" s="5">
        <v>18477</v>
      </c>
      <c r="F63" s="6">
        <v>178.6633515</v>
      </c>
      <c r="G63" s="7">
        <v>1.914029E-3</v>
      </c>
      <c r="H63" s="39"/>
    </row>
    <row r="64" spans="1:8" x14ac:dyDescent="0.2">
      <c r="A64" s="1"/>
      <c r="B64" s="1"/>
      <c r="C64" s="2" t="s">
        <v>111</v>
      </c>
      <c r="D64" s="1"/>
      <c r="E64" s="1" t="s">
        <v>112</v>
      </c>
      <c r="F64" s="9">
        <v>91578.846210500036</v>
      </c>
      <c r="G64" s="10">
        <v>0.98108861900000022</v>
      </c>
      <c r="H64" s="39"/>
    </row>
    <row r="65" spans="1:15" x14ac:dyDescent="0.2">
      <c r="A65" s="1"/>
      <c r="B65" s="1"/>
      <c r="C65" s="11"/>
      <c r="D65" s="1"/>
      <c r="E65" s="1"/>
      <c r="F65" s="12"/>
      <c r="G65" s="12"/>
      <c r="H65" s="39"/>
    </row>
    <row r="66" spans="1:15" x14ac:dyDescent="0.2">
      <c r="A66" s="1"/>
      <c r="B66" s="1"/>
      <c r="C66" s="2" t="s">
        <v>113</v>
      </c>
      <c r="D66" s="1"/>
      <c r="E66" s="1"/>
      <c r="F66" s="1"/>
      <c r="G66" s="1"/>
      <c r="H66" s="39"/>
    </row>
    <row r="67" spans="1:15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39"/>
      <c r="J67" s="41"/>
      <c r="K67" s="41"/>
      <c r="L67" s="41"/>
      <c r="M67" s="41"/>
      <c r="N67" s="41"/>
      <c r="O67" s="41"/>
    </row>
    <row r="68" spans="1:15" x14ac:dyDescent="0.2">
      <c r="A68" s="1"/>
      <c r="B68" s="1"/>
      <c r="C68" s="11"/>
      <c r="D68" s="1"/>
      <c r="E68" s="1"/>
      <c r="F68" s="12"/>
      <c r="G68" s="12"/>
      <c r="H68" s="39"/>
    </row>
    <row r="69" spans="1:15" x14ac:dyDescent="0.2">
      <c r="A69" s="1"/>
      <c r="B69" s="1"/>
      <c r="C69" s="2" t="s">
        <v>114</v>
      </c>
      <c r="D69" s="1"/>
      <c r="E69" s="1"/>
      <c r="F69" s="1"/>
      <c r="G69" s="1"/>
      <c r="H69" s="39"/>
    </row>
    <row r="70" spans="1:15" x14ac:dyDescent="0.2">
      <c r="A70" s="3">
        <v>1</v>
      </c>
      <c r="B70" s="4" t="s">
        <v>586</v>
      </c>
      <c r="C70" s="37" t="s">
        <v>1024</v>
      </c>
      <c r="D70" s="37" t="s">
        <v>1026</v>
      </c>
      <c r="E70" s="5">
        <v>374002</v>
      </c>
      <c r="F70" s="6">
        <v>23.412525200000001</v>
      </c>
      <c r="G70" s="7">
        <v>2.5082000000000001E-4</v>
      </c>
      <c r="H70" s="39"/>
    </row>
    <row r="71" spans="1:15" x14ac:dyDescent="0.2">
      <c r="A71" s="3">
        <v>2</v>
      </c>
      <c r="B71" s="4" t="s">
        <v>807</v>
      </c>
      <c r="C71" s="37" t="s">
        <v>1031</v>
      </c>
      <c r="D71" s="4">
        <f>I71</f>
        <v>0</v>
      </c>
      <c r="E71" s="5">
        <v>200000</v>
      </c>
      <c r="F71" s="6">
        <v>1.9999999999999999E-6</v>
      </c>
      <c r="G71" s="8" t="s">
        <v>110</v>
      </c>
      <c r="H71" s="39"/>
    </row>
    <row r="72" spans="1:15" x14ac:dyDescent="0.2">
      <c r="A72" s="1"/>
      <c r="B72" s="1"/>
      <c r="C72" s="2" t="s">
        <v>111</v>
      </c>
      <c r="D72" s="1"/>
      <c r="E72" s="1" t="s">
        <v>112</v>
      </c>
      <c r="F72" s="13">
        <v>23.4125272</v>
      </c>
      <c r="G72" s="14">
        <v>2.5082000000000001E-4</v>
      </c>
      <c r="H72" s="39"/>
    </row>
    <row r="73" spans="1:15" x14ac:dyDescent="0.2">
      <c r="A73" s="1"/>
      <c r="B73" s="1"/>
      <c r="C73" s="11"/>
      <c r="D73" s="1"/>
      <c r="E73" s="1"/>
      <c r="F73" s="12"/>
      <c r="G73" s="12"/>
      <c r="H73" s="39"/>
    </row>
    <row r="74" spans="1:15" x14ac:dyDescent="0.2">
      <c r="A74" s="1"/>
      <c r="B74" s="1"/>
      <c r="C74" s="2" t="s">
        <v>115</v>
      </c>
      <c r="D74" s="1"/>
      <c r="E74" s="1"/>
      <c r="F74" s="1"/>
      <c r="G74" s="1"/>
      <c r="H74" s="39"/>
    </row>
    <row r="75" spans="1:15" x14ac:dyDescent="0.2">
      <c r="A75" s="1"/>
      <c r="B75" s="1"/>
      <c r="C75" s="2" t="s">
        <v>111</v>
      </c>
      <c r="D75" s="1"/>
      <c r="E75" s="1" t="s">
        <v>112</v>
      </c>
      <c r="F75" s="9">
        <v>0</v>
      </c>
      <c r="G75" s="10">
        <v>0</v>
      </c>
      <c r="H75" s="39"/>
    </row>
    <row r="76" spans="1:15" x14ac:dyDescent="0.2">
      <c r="A76" s="1"/>
      <c r="B76" s="1"/>
      <c r="C76" s="11"/>
      <c r="D76" s="1"/>
      <c r="E76" s="1"/>
      <c r="F76" s="12"/>
      <c r="G76" s="12"/>
      <c r="H76" s="39"/>
    </row>
    <row r="77" spans="1:15" x14ac:dyDescent="0.2">
      <c r="A77" s="1"/>
      <c r="B77" s="1"/>
      <c r="C77" s="2" t="s">
        <v>116</v>
      </c>
      <c r="D77" s="1"/>
      <c r="E77" s="1"/>
      <c r="F77" s="12"/>
      <c r="G77" s="12"/>
      <c r="H77" s="39"/>
    </row>
    <row r="78" spans="1:15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15" x14ac:dyDescent="0.2">
      <c r="A79" s="1"/>
      <c r="B79" s="1"/>
      <c r="C79" s="11"/>
      <c r="D79" s="1"/>
      <c r="E79" s="1"/>
      <c r="F79" s="12"/>
      <c r="G79" s="12"/>
      <c r="H79" s="39"/>
    </row>
    <row r="80" spans="1:15" x14ac:dyDescent="0.2">
      <c r="A80" s="1"/>
      <c r="B80" s="1"/>
      <c r="C80" s="2" t="s">
        <v>117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118</v>
      </c>
      <c r="D83" s="1"/>
      <c r="E83" s="1"/>
      <c r="F83" s="9">
        <v>91602.258737700002</v>
      </c>
      <c r="G83" s="10">
        <v>0.98133943899999998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119</v>
      </c>
      <c r="D85" s="1"/>
      <c r="E85" s="1"/>
      <c r="F85" s="12"/>
      <c r="G85" s="12"/>
      <c r="H85" s="39"/>
    </row>
    <row r="86" spans="1:8" ht="25.5" x14ac:dyDescent="0.2">
      <c r="A86" s="1"/>
      <c r="B86" s="1"/>
      <c r="C86" s="2" t="s">
        <v>10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120</v>
      </c>
      <c r="D89" s="1"/>
      <c r="E89" s="1"/>
      <c r="F89" s="1"/>
      <c r="G89" s="1"/>
      <c r="H89" s="39"/>
    </row>
    <row r="90" spans="1:8" x14ac:dyDescent="0.2">
      <c r="A90" s="1"/>
      <c r="B90" s="1"/>
      <c r="C90" s="2" t="s">
        <v>111</v>
      </c>
      <c r="D90" s="1"/>
      <c r="E90" s="1" t="s">
        <v>112</v>
      </c>
      <c r="F90" s="13">
        <v>0</v>
      </c>
      <c r="G90" s="14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121</v>
      </c>
      <c r="D92" s="1"/>
      <c r="E92" s="1"/>
      <c r="F92" s="1"/>
      <c r="G92" s="1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122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123</v>
      </c>
      <c r="D98" s="1"/>
      <c r="E98" s="1"/>
      <c r="F98" s="9">
        <v>0</v>
      </c>
      <c r="G98" s="10">
        <v>0</v>
      </c>
      <c r="H98" s="39"/>
    </row>
    <row r="99" spans="1:8" x14ac:dyDescent="0.2">
      <c r="A99" s="1"/>
      <c r="B99" s="1"/>
      <c r="C99" s="11"/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124</v>
      </c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125</v>
      </c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111</v>
      </c>
      <c r="D102" s="1"/>
      <c r="E102" s="1" t="s">
        <v>112</v>
      </c>
      <c r="F102" s="13">
        <v>0</v>
      </c>
      <c r="G102" s="14">
        <v>0</v>
      </c>
      <c r="H102" s="39"/>
    </row>
    <row r="103" spans="1:8" x14ac:dyDescent="0.2">
      <c r="A103" s="1"/>
      <c r="B103" s="1"/>
      <c r="C103" s="11"/>
      <c r="D103" s="1"/>
      <c r="E103" s="1"/>
      <c r="F103" s="12"/>
      <c r="G103" s="12"/>
      <c r="H103" s="39"/>
    </row>
    <row r="104" spans="1:8" x14ac:dyDescent="0.2">
      <c r="A104" s="1"/>
      <c r="B104" s="1"/>
      <c r="C104" s="2" t="s">
        <v>126</v>
      </c>
      <c r="D104" s="1"/>
      <c r="E104" s="1"/>
      <c r="F104" s="12"/>
      <c r="G104" s="12"/>
      <c r="H104" s="39"/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13">
        <v>0</v>
      </c>
      <c r="G105" s="14">
        <v>0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127</v>
      </c>
      <c r="D107" s="1"/>
      <c r="E107" s="1"/>
      <c r="F107" s="12"/>
      <c r="G107" s="12"/>
      <c r="H107" s="39"/>
    </row>
    <row r="108" spans="1:8" x14ac:dyDescent="0.2">
      <c r="A108" s="1"/>
      <c r="B108" s="1"/>
      <c r="C108" s="2" t="s">
        <v>111</v>
      </c>
      <c r="D108" s="1"/>
      <c r="E108" s="1" t="s">
        <v>112</v>
      </c>
      <c r="F108" s="13">
        <v>0</v>
      </c>
      <c r="G108" s="14">
        <v>0</v>
      </c>
      <c r="H108" s="39"/>
    </row>
    <row r="109" spans="1:8" x14ac:dyDescent="0.2">
      <c r="A109" s="1"/>
      <c r="B109" s="1"/>
      <c r="C109" s="11"/>
      <c r="D109" s="1"/>
      <c r="E109" s="1"/>
      <c r="F109" s="12"/>
      <c r="G109" s="12"/>
      <c r="H109" s="39"/>
    </row>
    <row r="110" spans="1:8" x14ac:dyDescent="0.2">
      <c r="A110" s="1"/>
      <c r="B110" s="1"/>
      <c r="C110" s="2" t="s">
        <v>128</v>
      </c>
      <c r="D110" s="1"/>
      <c r="E110" s="1"/>
      <c r="F110" s="12"/>
      <c r="G110" s="12"/>
      <c r="H110" s="39"/>
    </row>
    <row r="111" spans="1:8" x14ac:dyDescent="0.2">
      <c r="A111" s="3">
        <v>1</v>
      </c>
      <c r="B111" s="4"/>
      <c r="C111" s="4" t="s">
        <v>129</v>
      </c>
      <c r="D111" s="4"/>
      <c r="E111" s="8"/>
      <c r="F111" s="6">
        <v>1374.2981353</v>
      </c>
      <c r="G111" s="7">
        <v>1.4722923000000001E-2</v>
      </c>
      <c r="H111" s="39">
        <v>3.6151121728634927</v>
      </c>
    </row>
    <row r="112" spans="1:8" x14ac:dyDescent="0.2">
      <c r="A112" s="3">
        <v>2</v>
      </c>
      <c r="B112" s="4"/>
      <c r="C112" s="4" t="s">
        <v>130</v>
      </c>
      <c r="D112" s="4"/>
      <c r="E112" s="8"/>
      <c r="F112" s="6">
        <v>485.9202497</v>
      </c>
      <c r="G112" s="7">
        <v>5.2056869999999996E-3</v>
      </c>
      <c r="H112" s="39">
        <v>3.7142625760646584</v>
      </c>
    </row>
    <row r="113" spans="1:8" x14ac:dyDescent="0.2">
      <c r="A113" s="1"/>
      <c r="B113" s="1"/>
      <c r="C113" s="2" t="s">
        <v>111</v>
      </c>
      <c r="D113" s="1"/>
      <c r="E113" s="1" t="s">
        <v>112</v>
      </c>
      <c r="F113" s="9">
        <v>1860.2183849999999</v>
      </c>
      <c r="G113" s="10">
        <v>1.9928609999999999E-2</v>
      </c>
      <c r="H113" s="39"/>
    </row>
    <row r="114" spans="1:8" x14ac:dyDescent="0.2">
      <c r="A114" s="1"/>
      <c r="B114" s="1"/>
      <c r="C114" s="11"/>
      <c r="D114" s="1"/>
      <c r="E114" s="1"/>
      <c r="F114" s="12"/>
      <c r="G114" s="12"/>
      <c r="H114" s="39"/>
    </row>
    <row r="115" spans="1:8" x14ac:dyDescent="0.2">
      <c r="A115" s="1"/>
      <c r="B115" s="1"/>
      <c r="C115" s="2" t="s">
        <v>131</v>
      </c>
      <c r="D115" s="1"/>
      <c r="E115" s="1"/>
      <c r="F115" s="9">
        <v>1860.2183849999999</v>
      </c>
      <c r="G115" s="10">
        <v>1.9928609999999999E-2</v>
      </c>
      <c r="H115" s="39"/>
    </row>
    <row r="116" spans="1:8" x14ac:dyDescent="0.2">
      <c r="A116" s="1"/>
      <c r="B116" s="1"/>
      <c r="C116" s="12"/>
      <c r="D116" s="1"/>
      <c r="E116" s="1"/>
      <c r="F116" s="1"/>
      <c r="G116" s="1"/>
      <c r="H116" s="39"/>
    </row>
    <row r="117" spans="1:8" x14ac:dyDescent="0.2">
      <c r="A117" s="1"/>
      <c r="B117" s="1"/>
      <c r="C117" s="2" t="s">
        <v>132</v>
      </c>
      <c r="D117" s="1"/>
      <c r="E117" s="1"/>
      <c r="F117" s="1"/>
      <c r="G117" s="1"/>
      <c r="H117" s="39"/>
    </row>
    <row r="118" spans="1:8" x14ac:dyDescent="0.2">
      <c r="A118" s="1"/>
      <c r="B118" s="1"/>
      <c r="C118" s="2" t="s">
        <v>133</v>
      </c>
      <c r="D118" s="1"/>
      <c r="E118" s="1"/>
      <c r="F118" s="1"/>
      <c r="G118" s="1"/>
      <c r="H118" s="39"/>
    </row>
    <row r="119" spans="1:8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39"/>
    </row>
    <row r="120" spans="1:8" x14ac:dyDescent="0.2">
      <c r="A120" s="1"/>
      <c r="B120" s="1"/>
      <c r="C120" s="11"/>
      <c r="D120" s="1"/>
      <c r="E120" s="1"/>
      <c r="F120" s="12"/>
      <c r="G120" s="12"/>
      <c r="H120" s="39"/>
    </row>
    <row r="121" spans="1:8" x14ac:dyDescent="0.2">
      <c r="A121" s="1"/>
      <c r="B121" s="1"/>
      <c r="C121" s="2" t="s">
        <v>134</v>
      </c>
      <c r="D121" s="1"/>
      <c r="E121" s="1"/>
      <c r="F121" s="1"/>
      <c r="G121" s="1"/>
      <c r="H121" s="39"/>
    </row>
    <row r="122" spans="1:8" x14ac:dyDescent="0.2">
      <c r="A122" s="1"/>
      <c r="B122" s="1"/>
      <c r="C122" s="2" t="s">
        <v>135</v>
      </c>
      <c r="D122" s="1"/>
      <c r="E122" s="1"/>
      <c r="F122" s="1"/>
      <c r="G122" s="1"/>
      <c r="H122" s="39"/>
    </row>
    <row r="123" spans="1:8" x14ac:dyDescent="0.2">
      <c r="A123" s="1"/>
      <c r="B123" s="1"/>
      <c r="C123" s="2" t="s">
        <v>111</v>
      </c>
      <c r="D123" s="1"/>
      <c r="E123" s="1" t="s">
        <v>112</v>
      </c>
      <c r="F123" s="13">
        <v>0</v>
      </c>
      <c r="G123" s="14">
        <v>0</v>
      </c>
      <c r="H123" s="39"/>
    </row>
    <row r="124" spans="1:8" x14ac:dyDescent="0.2">
      <c r="A124" s="1"/>
      <c r="B124" s="1"/>
      <c r="C124" s="11"/>
      <c r="D124" s="1"/>
      <c r="E124" s="1"/>
      <c r="F124" s="12"/>
      <c r="G124" s="12"/>
      <c r="H124" s="39"/>
    </row>
    <row r="125" spans="1:8" x14ac:dyDescent="0.2">
      <c r="A125" s="1"/>
      <c r="B125" s="1"/>
      <c r="C125" s="11"/>
      <c r="D125" s="1"/>
      <c r="E125" s="1"/>
      <c r="F125" s="12"/>
      <c r="G125" s="12"/>
      <c r="H125" s="39"/>
    </row>
    <row r="126" spans="1:8" ht="25.5" x14ac:dyDescent="0.2">
      <c r="A126" s="1"/>
      <c r="B126" s="1"/>
      <c r="C126" s="2" t="s">
        <v>136</v>
      </c>
      <c r="D126" s="1"/>
      <c r="E126" s="1"/>
      <c r="F126" s="12"/>
      <c r="G126" s="12"/>
      <c r="H126" s="39"/>
    </row>
    <row r="127" spans="1:8" x14ac:dyDescent="0.2">
      <c r="A127" s="1"/>
      <c r="B127" s="1"/>
      <c r="C127" s="2" t="s">
        <v>111</v>
      </c>
      <c r="D127" s="1"/>
      <c r="E127" s="1" t="s">
        <v>112</v>
      </c>
      <c r="F127" s="13">
        <v>0</v>
      </c>
      <c r="G127" s="14">
        <v>0</v>
      </c>
      <c r="H127" s="39"/>
    </row>
    <row r="128" spans="1:8" x14ac:dyDescent="0.2">
      <c r="A128" s="1"/>
      <c r="B128" s="1"/>
      <c r="C128" s="11"/>
      <c r="D128" s="1"/>
      <c r="E128" s="1"/>
      <c r="F128" s="12"/>
      <c r="G128" s="12"/>
      <c r="H128" s="39"/>
    </row>
    <row r="129" spans="1:15" x14ac:dyDescent="0.2">
      <c r="A129" s="1"/>
      <c r="B129" s="4"/>
      <c r="C129" s="4"/>
      <c r="D129" s="2"/>
      <c r="E129" s="1"/>
      <c r="F129" s="4"/>
      <c r="G129" s="8"/>
      <c r="H129" s="39"/>
    </row>
    <row r="130" spans="1:15" x14ac:dyDescent="0.2">
      <c r="A130" s="8"/>
      <c r="B130" s="4"/>
      <c r="C130" s="4" t="s">
        <v>137</v>
      </c>
      <c r="D130" s="4"/>
      <c r="E130" s="8"/>
      <c r="F130" s="6">
        <v>-118.3648634</v>
      </c>
      <c r="G130" s="7">
        <v>-1.268049E-3</v>
      </c>
      <c r="H130" s="39"/>
    </row>
    <row r="131" spans="1:15" x14ac:dyDescent="0.2">
      <c r="A131" s="11"/>
      <c r="B131" s="11"/>
      <c r="C131" s="2" t="s">
        <v>138</v>
      </c>
      <c r="D131" s="15"/>
      <c r="E131" s="15"/>
      <c r="F131" s="9">
        <v>93344.112259300004</v>
      </c>
      <c r="G131" s="10">
        <v>1</v>
      </c>
      <c r="H131" s="39"/>
    </row>
    <row r="132" spans="1:15" ht="14.1" customHeight="1" x14ac:dyDescent="0.2">
      <c r="A132" s="16"/>
      <c r="B132" s="16"/>
      <c r="C132" s="16"/>
      <c r="D132" s="17"/>
      <c r="E132" s="17"/>
      <c r="F132" s="17"/>
      <c r="G132" s="17"/>
    </row>
    <row r="133" spans="1:15" ht="17.100000000000001" customHeight="1" x14ac:dyDescent="0.2">
      <c r="A133" s="18"/>
      <c r="B133" s="197" t="s">
        <v>139</v>
      </c>
      <c r="C133" s="197"/>
      <c r="D133" s="197"/>
      <c r="E133" s="197"/>
      <c r="F133" s="197"/>
      <c r="G133" s="20"/>
    </row>
    <row r="134" spans="1:15" ht="14.1" customHeight="1" x14ac:dyDescent="0.2">
      <c r="A134" s="18"/>
      <c r="B134" s="18"/>
      <c r="C134" s="18"/>
      <c r="D134" s="20"/>
      <c r="E134" s="20"/>
      <c r="F134" s="20"/>
      <c r="G134" s="20"/>
    </row>
    <row r="135" spans="1:15" ht="14.1" customHeight="1" x14ac:dyDescent="0.2">
      <c r="A135" s="18"/>
      <c r="B135" s="194" t="s">
        <v>140</v>
      </c>
      <c r="C135" s="195"/>
      <c r="D135" s="12" t="s">
        <v>112</v>
      </c>
      <c r="E135" s="21"/>
      <c r="F135" s="20"/>
      <c r="G135" s="20"/>
    </row>
    <row r="136" spans="1:15" ht="29.1" customHeight="1" x14ac:dyDescent="0.2">
      <c r="A136" s="18"/>
      <c r="B136" s="189" t="s">
        <v>141</v>
      </c>
      <c r="C136" s="190"/>
      <c r="D136" s="51" t="s">
        <v>1082</v>
      </c>
      <c r="E136" s="21"/>
      <c r="F136" s="20"/>
      <c r="G136" s="20"/>
    </row>
    <row r="137" spans="1:15" ht="17.100000000000001" customHeight="1" x14ac:dyDescent="0.2">
      <c r="A137" s="18"/>
      <c r="B137" s="191" t="s">
        <v>1023</v>
      </c>
      <c r="C137" s="192"/>
      <c r="D137" s="45" t="s">
        <v>1038</v>
      </c>
      <c r="E137" s="21"/>
      <c r="F137" s="20"/>
      <c r="G137" s="20"/>
    </row>
    <row r="138" spans="1:15" ht="17.100000000000001" customHeight="1" x14ac:dyDescent="0.2">
      <c r="A138" s="18"/>
      <c r="B138" s="189" t="s">
        <v>144</v>
      </c>
      <c r="C138" s="190"/>
      <c r="D138" s="12" t="s">
        <v>112</v>
      </c>
      <c r="E138" s="21"/>
      <c r="F138" s="20"/>
      <c r="G138" s="20"/>
    </row>
    <row r="139" spans="1:15" ht="24" customHeight="1" x14ac:dyDescent="0.2">
      <c r="A139" s="22"/>
      <c r="B139" s="23" t="s">
        <v>112</v>
      </c>
      <c r="C139" s="23" t="s">
        <v>145</v>
      </c>
      <c r="D139" s="23" t="s">
        <v>146</v>
      </c>
      <c r="E139" s="22"/>
      <c r="F139" s="22"/>
      <c r="G139" s="22"/>
    </row>
    <row r="140" spans="1:15" ht="18" customHeight="1" x14ac:dyDescent="0.2">
      <c r="A140" s="22"/>
      <c r="B140" s="23" t="s">
        <v>147</v>
      </c>
      <c r="C140" s="23" t="s">
        <v>148</v>
      </c>
      <c r="D140" s="23" t="s">
        <v>149</v>
      </c>
      <c r="E140" s="22"/>
      <c r="F140" s="22"/>
      <c r="G140" s="22"/>
      <c r="J140" s="41"/>
      <c r="K140" s="41"/>
      <c r="L140" s="41"/>
      <c r="M140" s="41"/>
      <c r="N140" s="41"/>
      <c r="O140" s="41"/>
    </row>
    <row r="141" spans="1:15" ht="17.100000000000001" customHeight="1" x14ac:dyDescent="0.2">
      <c r="A141" s="22"/>
      <c r="B141" s="4" t="s">
        <v>150</v>
      </c>
      <c r="C141" s="24">
        <v>332.81420000000003</v>
      </c>
      <c r="D141" s="24">
        <v>342.40019999999998</v>
      </c>
      <c r="E141" s="22"/>
      <c r="F141" s="19"/>
      <c r="G141" s="25"/>
    </row>
    <row r="142" spans="1:15" ht="29.1" customHeight="1" x14ac:dyDescent="0.2">
      <c r="A142" s="22"/>
      <c r="B142" s="4" t="s">
        <v>1095</v>
      </c>
      <c r="C142" s="24">
        <v>332.76830000000001</v>
      </c>
      <c r="D142" s="24">
        <v>342.32350000000002</v>
      </c>
      <c r="E142" s="22"/>
      <c r="F142" s="19"/>
      <c r="G142" s="25"/>
    </row>
    <row r="143" spans="1:15" ht="17.100000000000001" customHeight="1" x14ac:dyDescent="0.2">
      <c r="A143" s="22"/>
      <c r="B143" s="4" t="s">
        <v>151</v>
      </c>
      <c r="C143" s="24">
        <v>317.2921</v>
      </c>
      <c r="D143" s="24">
        <v>326.24250000000001</v>
      </c>
      <c r="E143" s="22"/>
      <c r="F143" s="19"/>
      <c r="G143" s="25"/>
    </row>
    <row r="144" spans="1:15" ht="29.1" customHeight="1" x14ac:dyDescent="0.2">
      <c r="A144" s="22"/>
      <c r="B144" s="4" t="s">
        <v>1096</v>
      </c>
      <c r="C144" s="24">
        <v>317.29219999999998</v>
      </c>
      <c r="D144" s="24">
        <v>326.24259999999998</v>
      </c>
      <c r="E144" s="22"/>
      <c r="F144" s="19"/>
      <c r="G144" s="25"/>
      <c r="J144" s="101"/>
      <c r="K144" s="101"/>
      <c r="L144" s="101"/>
      <c r="M144" s="101"/>
      <c r="N144" s="101"/>
      <c r="O144" s="101"/>
    </row>
    <row r="145" spans="1:17" ht="14.1" customHeight="1" x14ac:dyDescent="0.2">
      <c r="A145" s="22"/>
      <c r="B145" s="22"/>
      <c r="C145" s="22"/>
      <c r="D145" s="22"/>
      <c r="E145" s="22"/>
      <c r="F145" s="22"/>
      <c r="G145" s="22"/>
    </row>
    <row r="146" spans="1:17" ht="17.100000000000001" customHeight="1" x14ac:dyDescent="0.2">
      <c r="A146" s="22"/>
      <c r="B146" s="189" t="s">
        <v>1094</v>
      </c>
      <c r="C146" s="190"/>
      <c r="D146" s="2" t="s">
        <v>142</v>
      </c>
      <c r="E146" s="22"/>
      <c r="F146" s="22"/>
      <c r="G146" s="22"/>
    </row>
    <row r="147" spans="1:17" ht="18" customHeight="1" x14ac:dyDescent="0.2">
      <c r="A147" s="22"/>
      <c r="B147" s="26"/>
      <c r="C147" s="26"/>
      <c r="D147" s="27"/>
      <c r="E147" s="22"/>
      <c r="F147" s="22"/>
      <c r="G147" s="22"/>
    </row>
    <row r="148" spans="1:17" s="101" customFormat="1" x14ac:dyDescent="0.2">
      <c r="B148" s="193" t="s">
        <v>1102</v>
      </c>
      <c r="C148" s="193"/>
      <c r="D148" s="193"/>
      <c r="E148" s="193"/>
      <c r="F148" s="193"/>
      <c r="I148"/>
      <c r="J148"/>
      <c r="K148"/>
      <c r="L148"/>
      <c r="M148"/>
      <c r="N148"/>
      <c r="O148"/>
      <c r="P148" s="41"/>
      <c r="Q148" s="41"/>
    </row>
    <row r="149" spans="1:17" ht="14.1" customHeight="1" x14ac:dyDescent="0.2">
      <c r="A149" s="22"/>
      <c r="B149" s="19"/>
      <c r="C149" s="19"/>
      <c r="D149" s="22"/>
      <c r="E149" s="22"/>
      <c r="F149" s="22"/>
      <c r="G149" s="22"/>
    </row>
    <row r="150" spans="1:17" ht="29.1" customHeight="1" x14ac:dyDescent="0.2">
      <c r="A150" s="22"/>
      <c r="B150" s="189" t="s">
        <v>152</v>
      </c>
      <c r="C150" s="190"/>
      <c r="D150" s="2" t="s">
        <v>142</v>
      </c>
      <c r="E150" s="22"/>
      <c r="F150" s="22"/>
      <c r="G150" s="22"/>
    </row>
    <row r="151" spans="1:17" ht="29.1" customHeight="1" x14ac:dyDescent="0.2">
      <c r="A151" s="22"/>
      <c r="B151" s="189" t="s">
        <v>153</v>
      </c>
      <c r="C151" s="190"/>
      <c r="D151" s="2" t="s">
        <v>142</v>
      </c>
      <c r="E151" s="22"/>
      <c r="F151" s="22"/>
      <c r="G151" s="22"/>
    </row>
    <row r="152" spans="1:17" ht="17.100000000000001" customHeight="1" x14ac:dyDescent="0.2">
      <c r="A152" s="22"/>
      <c r="B152" s="189" t="s">
        <v>154</v>
      </c>
      <c r="C152" s="190"/>
      <c r="D152" s="28">
        <v>0.59283367975644108</v>
      </c>
      <c r="E152" s="22"/>
      <c r="F152" s="19"/>
      <c r="G152" s="25"/>
    </row>
    <row r="153" spans="1:17" ht="17.100000000000001" customHeight="1" x14ac:dyDescent="0.2">
      <c r="A153" s="22"/>
      <c r="B153" s="189" t="s">
        <v>155</v>
      </c>
      <c r="C153" s="190"/>
      <c r="D153" s="2" t="s">
        <v>142</v>
      </c>
      <c r="E153" s="22"/>
      <c r="F153" s="22"/>
      <c r="G153" s="22"/>
    </row>
    <row r="155" spans="1:17" x14ac:dyDescent="0.2">
      <c r="B155" s="112" t="s">
        <v>1081</v>
      </c>
      <c r="C155" s="112"/>
      <c r="D155" s="112"/>
      <c r="E155" s="98"/>
      <c r="F155" s="96"/>
    </row>
    <row r="156" spans="1:17" ht="25.5" x14ac:dyDescent="0.2">
      <c r="B156" s="100" t="s">
        <v>1054</v>
      </c>
      <c r="C156" s="100" t="s">
        <v>1055</v>
      </c>
      <c r="D156" s="100" t="s">
        <v>1056</v>
      </c>
      <c r="E156" s="100" t="s">
        <v>1057</v>
      </c>
      <c r="F156" s="100" t="s">
        <v>1058</v>
      </c>
      <c r="P156" s="41"/>
    </row>
    <row r="157" spans="1:17" x14ac:dyDescent="0.2">
      <c r="B157" s="102" t="s">
        <v>1084</v>
      </c>
      <c r="C157" s="103" t="s">
        <v>1079</v>
      </c>
      <c r="D157" s="109">
        <v>0</v>
      </c>
      <c r="E157" s="110">
        <v>0</v>
      </c>
      <c r="F157" s="111">
        <v>0.54925000000000002</v>
      </c>
    </row>
  </sheetData>
  <mergeCells count="15">
    <mergeCell ref="B153:C153"/>
    <mergeCell ref="B136:C136"/>
    <mergeCell ref="B137:C137"/>
    <mergeCell ref="B138:C138"/>
    <mergeCell ref="B146:C146"/>
    <mergeCell ref="B150:C150"/>
    <mergeCell ref="B151:C151"/>
    <mergeCell ref="B148:F148"/>
    <mergeCell ref="A1:H1"/>
    <mergeCell ref="A2:H2"/>
    <mergeCell ref="A3:H3"/>
    <mergeCell ref="J2:N2"/>
    <mergeCell ref="B152:C152"/>
    <mergeCell ref="B135:C135"/>
    <mergeCell ref="B133:F13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Q13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878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454</v>
      </c>
      <c r="C7" s="4" t="s">
        <v>455</v>
      </c>
      <c r="D7" s="4" t="s">
        <v>71</v>
      </c>
      <c r="E7" s="5">
        <v>306141</v>
      </c>
      <c r="F7" s="6">
        <v>7764.1949715000001</v>
      </c>
      <c r="G7" s="7">
        <v>6.7853379000000005E-2</v>
      </c>
      <c r="H7" s="39"/>
    </row>
    <row r="8" spans="1:14" x14ac:dyDescent="0.2">
      <c r="A8" s="3">
        <v>2</v>
      </c>
      <c r="B8" s="4" t="s">
        <v>402</v>
      </c>
      <c r="C8" s="4" t="s">
        <v>403</v>
      </c>
      <c r="D8" s="4" t="s">
        <v>1148</v>
      </c>
      <c r="E8" s="5">
        <v>366606</v>
      </c>
      <c r="F8" s="6">
        <v>7510.4738189999998</v>
      </c>
      <c r="G8" s="7">
        <v>6.5636042000000006E-2</v>
      </c>
      <c r="H8" s="39"/>
    </row>
    <row r="9" spans="1:14" x14ac:dyDescent="0.2">
      <c r="A9" s="3">
        <v>3</v>
      </c>
      <c r="B9" s="4" t="s">
        <v>440</v>
      </c>
      <c r="C9" s="4" t="s">
        <v>441</v>
      </c>
      <c r="D9" s="4" t="s">
        <v>1146</v>
      </c>
      <c r="E9" s="5">
        <v>93049</v>
      </c>
      <c r="F9" s="6">
        <v>7035.7140369999997</v>
      </c>
      <c r="G9" s="7">
        <v>6.1486988999999999E-2</v>
      </c>
      <c r="H9" s="39"/>
    </row>
    <row r="10" spans="1:14" x14ac:dyDescent="0.2">
      <c r="A10" s="3">
        <v>4</v>
      </c>
      <c r="B10" s="4" t="s">
        <v>16</v>
      </c>
      <c r="C10" s="4" t="s">
        <v>17</v>
      </c>
      <c r="D10" s="4" t="s">
        <v>18</v>
      </c>
      <c r="E10" s="5">
        <v>906113</v>
      </c>
      <c r="F10" s="6">
        <v>6617.3432389999998</v>
      </c>
      <c r="G10" s="7">
        <v>5.7830735000000001E-2</v>
      </c>
      <c r="H10" s="39"/>
    </row>
    <row r="11" spans="1:14" x14ac:dyDescent="0.2">
      <c r="A11" s="3">
        <v>5</v>
      </c>
      <c r="B11" s="4" t="s">
        <v>317</v>
      </c>
      <c r="C11" s="4" t="s">
        <v>318</v>
      </c>
      <c r="D11" s="4" t="s">
        <v>1144</v>
      </c>
      <c r="E11" s="5">
        <v>674918</v>
      </c>
      <c r="F11" s="6">
        <v>6353.0031339999996</v>
      </c>
      <c r="G11" s="7">
        <v>5.5520595999999998E-2</v>
      </c>
      <c r="H11" s="39"/>
    </row>
    <row r="12" spans="1:14" ht="25.5" x14ac:dyDescent="0.2">
      <c r="A12" s="3">
        <v>6</v>
      </c>
      <c r="B12" s="4" t="s">
        <v>363</v>
      </c>
      <c r="C12" s="4" t="s">
        <v>364</v>
      </c>
      <c r="D12" s="4" t="s">
        <v>1145</v>
      </c>
      <c r="E12" s="5">
        <v>799477</v>
      </c>
      <c r="F12" s="6">
        <v>6215.1341979999997</v>
      </c>
      <c r="G12" s="7">
        <v>5.4315721999999997E-2</v>
      </c>
      <c r="H12" s="39"/>
      <c r="J12" s="176"/>
    </row>
    <row r="13" spans="1:14" x14ac:dyDescent="0.2">
      <c r="A13" s="3">
        <v>7</v>
      </c>
      <c r="B13" s="4" t="s">
        <v>693</v>
      </c>
      <c r="C13" s="4" t="s">
        <v>694</v>
      </c>
      <c r="D13" s="4" t="s">
        <v>71</v>
      </c>
      <c r="E13" s="5">
        <v>186428</v>
      </c>
      <c r="F13" s="6">
        <v>5741.8891860000003</v>
      </c>
      <c r="G13" s="7">
        <v>5.0179907000000003E-2</v>
      </c>
      <c r="H13" s="39"/>
    </row>
    <row r="14" spans="1:14" x14ac:dyDescent="0.2">
      <c r="A14" s="3">
        <v>8</v>
      </c>
      <c r="B14" s="4" t="s">
        <v>388</v>
      </c>
      <c r="C14" s="4" t="s">
        <v>389</v>
      </c>
      <c r="D14" s="4" t="s">
        <v>18</v>
      </c>
      <c r="E14" s="5">
        <v>375044</v>
      </c>
      <c r="F14" s="6">
        <v>5514.4594539999998</v>
      </c>
      <c r="G14" s="7">
        <v>4.8192338000000001E-2</v>
      </c>
      <c r="H14" s="39"/>
    </row>
    <row r="15" spans="1:14" ht="15" x14ac:dyDescent="0.2">
      <c r="A15" s="3">
        <v>9</v>
      </c>
      <c r="B15" s="4" t="s">
        <v>302</v>
      </c>
      <c r="C15" s="4" t="s">
        <v>303</v>
      </c>
      <c r="D15" s="4" t="s">
        <v>1155</v>
      </c>
      <c r="E15" s="5">
        <v>12350</v>
      </c>
      <c r="F15" s="6">
        <v>5333.8847249999999</v>
      </c>
      <c r="G15" s="7">
        <v>4.6614246999999998E-2</v>
      </c>
      <c r="H15" s="39"/>
      <c r="J15" s="176" t="s">
        <v>1195</v>
      </c>
    </row>
    <row r="16" spans="1:14" ht="25.5" x14ac:dyDescent="0.2">
      <c r="A16" s="3">
        <v>10</v>
      </c>
      <c r="B16" s="4" t="s">
        <v>321</v>
      </c>
      <c r="C16" s="4" t="s">
        <v>322</v>
      </c>
      <c r="D16" s="4" t="s">
        <v>71</v>
      </c>
      <c r="E16" s="5">
        <v>1320000</v>
      </c>
      <c r="F16" s="6">
        <v>4936.8</v>
      </c>
      <c r="G16" s="7">
        <v>4.3144017E-2</v>
      </c>
      <c r="H16" s="39"/>
    </row>
    <row r="17" spans="1:8" x14ac:dyDescent="0.2">
      <c r="A17" s="3">
        <v>11</v>
      </c>
      <c r="B17" s="4" t="s">
        <v>491</v>
      </c>
      <c r="C17" s="4" t="s">
        <v>492</v>
      </c>
      <c r="D17" s="4" t="s">
        <v>1144</v>
      </c>
      <c r="E17" s="5">
        <v>496138</v>
      </c>
      <c r="F17" s="6">
        <v>4407.4419230000003</v>
      </c>
      <c r="G17" s="7">
        <v>3.8517814999999997E-2</v>
      </c>
      <c r="H17" s="39"/>
    </row>
    <row r="18" spans="1:8" x14ac:dyDescent="0.2">
      <c r="A18" s="3">
        <v>12</v>
      </c>
      <c r="B18" s="4" t="s">
        <v>408</v>
      </c>
      <c r="C18" s="4" t="s">
        <v>409</v>
      </c>
      <c r="D18" s="4" t="s">
        <v>1148</v>
      </c>
      <c r="E18" s="5">
        <v>1670266</v>
      </c>
      <c r="F18" s="6">
        <v>4186.5217290000001</v>
      </c>
      <c r="G18" s="7">
        <v>3.6587135E-2</v>
      </c>
      <c r="H18" s="39"/>
    </row>
    <row r="19" spans="1:8" x14ac:dyDescent="0.2">
      <c r="A19" s="3">
        <v>13</v>
      </c>
      <c r="B19" s="4" t="s">
        <v>311</v>
      </c>
      <c r="C19" s="4" t="s">
        <v>312</v>
      </c>
      <c r="D19" s="4" t="s">
        <v>71</v>
      </c>
      <c r="E19" s="5">
        <v>292989</v>
      </c>
      <c r="F19" s="6">
        <v>3648.885006</v>
      </c>
      <c r="G19" s="7">
        <v>3.1888582999999998E-2</v>
      </c>
      <c r="H19" s="39"/>
    </row>
    <row r="20" spans="1:8" x14ac:dyDescent="0.2">
      <c r="A20" s="3">
        <v>14</v>
      </c>
      <c r="B20" s="4" t="s">
        <v>426</v>
      </c>
      <c r="C20" s="4" t="s">
        <v>427</v>
      </c>
      <c r="D20" s="4" t="s">
        <v>82</v>
      </c>
      <c r="E20" s="5">
        <v>42500</v>
      </c>
      <c r="F20" s="6">
        <v>3085.4787500000002</v>
      </c>
      <c r="G20" s="7">
        <v>2.6964825000000001E-2</v>
      </c>
      <c r="H20" s="39"/>
    </row>
    <row r="21" spans="1:8" x14ac:dyDescent="0.2">
      <c r="A21" s="3">
        <v>15</v>
      </c>
      <c r="B21" s="4" t="s">
        <v>394</v>
      </c>
      <c r="C21" s="4" t="s">
        <v>395</v>
      </c>
      <c r="D21" s="4" t="s">
        <v>1142</v>
      </c>
      <c r="E21" s="5">
        <v>259383</v>
      </c>
      <c r="F21" s="6">
        <v>2908.8506535000001</v>
      </c>
      <c r="G21" s="7">
        <v>2.5421224999999999E-2</v>
      </c>
      <c r="H21" s="39"/>
    </row>
    <row r="22" spans="1:8" x14ac:dyDescent="0.2">
      <c r="A22" s="3">
        <v>16</v>
      </c>
      <c r="B22" s="4" t="s">
        <v>855</v>
      </c>
      <c r="C22" s="4" t="s">
        <v>856</v>
      </c>
      <c r="D22" s="4" t="s">
        <v>1156</v>
      </c>
      <c r="E22" s="5">
        <v>14412</v>
      </c>
      <c r="F22" s="6">
        <v>2504.8848659999999</v>
      </c>
      <c r="G22" s="7">
        <v>2.1890860000000002E-2</v>
      </c>
      <c r="H22" s="39"/>
    </row>
    <row r="23" spans="1:8" ht="25.5" x14ac:dyDescent="0.2">
      <c r="A23" s="3">
        <v>17</v>
      </c>
      <c r="B23" s="4" t="s">
        <v>22</v>
      </c>
      <c r="C23" s="4" t="s">
        <v>23</v>
      </c>
      <c r="D23" s="4" t="s">
        <v>1150</v>
      </c>
      <c r="E23" s="5">
        <v>36427</v>
      </c>
      <c r="F23" s="6">
        <v>2405.0198209999999</v>
      </c>
      <c r="G23" s="7">
        <v>2.1018111999999999E-2</v>
      </c>
      <c r="H23" s="39"/>
    </row>
    <row r="24" spans="1:8" x14ac:dyDescent="0.2">
      <c r="A24" s="3">
        <v>18</v>
      </c>
      <c r="B24" s="4" t="s">
        <v>192</v>
      </c>
      <c r="C24" s="4" t="s">
        <v>193</v>
      </c>
      <c r="D24" s="4" t="s">
        <v>1026</v>
      </c>
      <c r="E24" s="5">
        <v>488389</v>
      </c>
      <c r="F24" s="6">
        <v>2341.0926715000001</v>
      </c>
      <c r="G24" s="7">
        <v>2.0459436000000001E-2</v>
      </c>
      <c r="H24" s="39"/>
    </row>
    <row r="25" spans="1:8" x14ac:dyDescent="0.2">
      <c r="A25" s="3">
        <v>19</v>
      </c>
      <c r="B25" s="4" t="s">
        <v>582</v>
      </c>
      <c r="C25" s="4" t="s">
        <v>583</v>
      </c>
      <c r="D25" s="4" t="s">
        <v>1147</v>
      </c>
      <c r="E25" s="5">
        <v>310453</v>
      </c>
      <c r="F25" s="6">
        <v>2320.015269</v>
      </c>
      <c r="G25" s="7">
        <v>2.0275234999999999E-2</v>
      </c>
      <c r="H25" s="39"/>
    </row>
    <row r="26" spans="1:8" x14ac:dyDescent="0.2">
      <c r="A26" s="3">
        <v>20</v>
      </c>
      <c r="B26" s="4" t="s">
        <v>434</v>
      </c>
      <c r="C26" s="4" t="s">
        <v>435</v>
      </c>
      <c r="D26" s="4" t="s">
        <v>308</v>
      </c>
      <c r="E26" s="5">
        <v>45919</v>
      </c>
      <c r="F26" s="6">
        <v>1838.2982864999999</v>
      </c>
      <c r="G26" s="7">
        <v>1.6065381E-2</v>
      </c>
      <c r="H26" s="39"/>
    </row>
    <row r="27" spans="1:8" x14ac:dyDescent="0.2">
      <c r="A27" s="3">
        <v>21</v>
      </c>
      <c r="B27" s="4" t="s">
        <v>506</v>
      </c>
      <c r="C27" s="4" t="s">
        <v>507</v>
      </c>
      <c r="D27" s="4" t="s">
        <v>308</v>
      </c>
      <c r="E27" s="5">
        <v>572853</v>
      </c>
      <c r="F27" s="6">
        <v>1730.588913</v>
      </c>
      <c r="G27" s="7">
        <v>1.512408E-2</v>
      </c>
      <c r="H27" s="39"/>
    </row>
    <row r="28" spans="1:8" x14ac:dyDescent="0.2">
      <c r="A28" s="3">
        <v>22</v>
      </c>
      <c r="B28" s="4" t="s">
        <v>695</v>
      </c>
      <c r="C28" s="4" t="s">
        <v>696</v>
      </c>
      <c r="D28" s="4" t="s">
        <v>71</v>
      </c>
      <c r="E28" s="5">
        <v>88000</v>
      </c>
      <c r="F28" s="6">
        <v>1726.0319999999999</v>
      </c>
      <c r="G28" s="7">
        <v>1.5084256000000001E-2</v>
      </c>
      <c r="H28" s="39"/>
    </row>
    <row r="29" spans="1:8" x14ac:dyDescent="0.2">
      <c r="A29" s="3">
        <v>23</v>
      </c>
      <c r="B29" s="4" t="s">
        <v>446</v>
      </c>
      <c r="C29" s="4" t="s">
        <v>447</v>
      </c>
      <c r="D29" s="4" t="s">
        <v>308</v>
      </c>
      <c r="E29" s="5">
        <v>97102</v>
      </c>
      <c r="F29" s="6">
        <v>1640.586841</v>
      </c>
      <c r="G29" s="7">
        <v>1.4337528E-2</v>
      </c>
      <c r="H29" s="39"/>
    </row>
    <row r="30" spans="1:8" x14ac:dyDescent="0.2">
      <c r="A30" s="3">
        <v>24</v>
      </c>
      <c r="B30" s="4" t="s">
        <v>355</v>
      </c>
      <c r="C30" s="4" t="s">
        <v>356</v>
      </c>
      <c r="D30" s="4" t="s">
        <v>71</v>
      </c>
      <c r="E30" s="5">
        <v>2700040</v>
      </c>
      <c r="F30" s="6">
        <v>1586.2735</v>
      </c>
      <c r="G30" s="7">
        <v>1.3862869E-2</v>
      </c>
      <c r="H30" s="39"/>
    </row>
    <row r="31" spans="1:8" x14ac:dyDescent="0.2">
      <c r="A31" s="3">
        <v>25</v>
      </c>
      <c r="B31" s="4" t="s">
        <v>879</v>
      </c>
      <c r="C31" s="4" t="s">
        <v>880</v>
      </c>
      <c r="D31" s="4" t="s">
        <v>1026</v>
      </c>
      <c r="E31" s="5">
        <v>829940</v>
      </c>
      <c r="F31" s="6">
        <v>1454.46985</v>
      </c>
      <c r="G31" s="7">
        <v>1.2711002000000001E-2</v>
      </c>
      <c r="H31" s="39"/>
    </row>
    <row r="32" spans="1:8" ht="25.5" x14ac:dyDescent="0.2">
      <c r="A32" s="3">
        <v>26</v>
      </c>
      <c r="B32" s="4" t="s">
        <v>576</v>
      </c>
      <c r="C32" s="4" t="s">
        <v>577</v>
      </c>
      <c r="D32" s="4" t="s">
        <v>1147</v>
      </c>
      <c r="E32" s="5">
        <v>9746</v>
      </c>
      <c r="F32" s="6">
        <v>1404.9443759999999</v>
      </c>
      <c r="G32" s="7">
        <v>1.2278185E-2</v>
      </c>
      <c r="H32" s="39"/>
    </row>
    <row r="33" spans="1:8" x14ac:dyDescent="0.2">
      <c r="A33" s="3">
        <v>27</v>
      </c>
      <c r="B33" s="4" t="s">
        <v>867</v>
      </c>
      <c r="C33" s="4" t="s">
        <v>868</v>
      </c>
      <c r="D33" s="4" t="s">
        <v>308</v>
      </c>
      <c r="E33" s="5">
        <v>30432</v>
      </c>
      <c r="F33" s="6">
        <v>1372.315824</v>
      </c>
      <c r="G33" s="7">
        <v>1.1993036E-2</v>
      </c>
      <c r="H33" s="39"/>
    </row>
    <row r="34" spans="1:8" x14ac:dyDescent="0.2">
      <c r="A34" s="3">
        <v>28</v>
      </c>
      <c r="B34" s="4" t="s">
        <v>769</v>
      </c>
      <c r="C34" s="4" t="s">
        <v>770</v>
      </c>
      <c r="D34" s="4" t="s">
        <v>1156</v>
      </c>
      <c r="E34" s="5">
        <v>40685</v>
      </c>
      <c r="F34" s="6">
        <v>1304.5238400000001</v>
      </c>
      <c r="G34" s="7">
        <v>1.1400583000000001E-2</v>
      </c>
      <c r="H34" s="39"/>
    </row>
    <row r="35" spans="1:8" x14ac:dyDescent="0.2">
      <c r="A35" s="3">
        <v>29</v>
      </c>
      <c r="B35" s="4" t="s">
        <v>180</v>
      </c>
      <c r="C35" s="4" t="s">
        <v>181</v>
      </c>
      <c r="D35" s="4" t="s">
        <v>1156</v>
      </c>
      <c r="E35" s="5">
        <v>400000</v>
      </c>
      <c r="F35" s="6">
        <v>1281</v>
      </c>
      <c r="G35" s="7">
        <v>1.1195002000000001E-2</v>
      </c>
      <c r="H35" s="39"/>
    </row>
    <row r="36" spans="1:8" x14ac:dyDescent="0.2">
      <c r="A36" s="3">
        <v>30</v>
      </c>
      <c r="B36" s="4" t="s">
        <v>829</v>
      </c>
      <c r="C36" s="4" t="s">
        <v>830</v>
      </c>
      <c r="D36" s="4" t="s">
        <v>1147</v>
      </c>
      <c r="E36" s="5">
        <v>250000</v>
      </c>
      <c r="F36" s="6">
        <v>1259.25</v>
      </c>
      <c r="G36" s="7">
        <v>1.1004923E-2</v>
      </c>
      <c r="H36" s="39"/>
    </row>
    <row r="37" spans="1:8" x14ac:dyDescent="0.2">
      <c r="A37" s="3">
        <v>31</v>
      </c>
      <c r="B37" s="4" t="s">
        <v>561</v>
      </c>
      <c r="C37" s="4" t="s">
        <v>562</v>
      </c>
      <c r="D37" s="4" t="s">
        <v>71</v>
      </c>
      <c r="E37" s="5">
        <v>126504</v>
      </c>
      <c r="F37" s="6">
        <v>943.27707599999997</v>
      </c>
      <c r="G37" s="7">
        <v>8.243551E-3</v>
      </c>
      <c r="H37" s="39"/>
    </row>
    <row r="38" spans="1:8" x14ac:dyDescent="0.2">
      <c r="A38" s="3">
        <v>32</v>
      </c>
      <c r="B38" s="4" t="s">
        <v>567</v>
      </c>
      <c r="C38" s="4" t="s">
        <v>568</v>
      </c>
      <c r="D38" s="4" t="s">
        <v>71</v>
      </c>
      <c r="E38" s="5">
        <v>79875</v>
      </c>
      <c r="F38" s="6">
        <v>660.36656249999999</v>
      </c>
      <c r="G38" s="7">
        <v>5.7711200000000002E-3</v>
      </c>
      <c r="H38" s="39"/>
    </row>
    <row r="39" spans="1:8" x14ac:dyDescent="0.2">
      <c r="A39" s="3">
        <v>33</v>
      </c>
      <c r="B39" s="4" t="s">
        <v>432</v>
      </c>
      <c r="C39" s="4" t="s">
        <v>433</v>
      </c>
      <c r="D39" s="4" t="s">
        <v>1146</v>
      </c>
      <c r="E39" s="5">
        <v>82000</v>
      </c>
      <c r="F39" s="6">
        <v>355.67500000000001</v>
      </c>
      <c r="G39" s="7">
        <v>3.1083389999999999E-3</v>
      </c>
      <c r="H39" s="39"/>
    </row>
    <row r="40" spans="1:8" x14ac:dyDescent="0.2">
      <c r="A40" s="3">
        <v>34</v>
      </c>
      <c r="B40" s="4" t="s">
        <v>465</v>
      </c>
      <c r="C40" s="4" t="s">
        <v>466</v>
      </c>
      <c r="D40" s="4" t="s">
        <v>71</v>
      </c>
      <c r="E40" s="5">
        <v>35175</v>
      </c>
      <c r="F40" s="6">
        <v>342.78037499999999</v>
      </c>
      <c r="G40" s="7">
        <v>2.9956499999999999E-3</v>
      </c>
      <c r="H40" s="39"/>
    </row>
    <row r="41" spans="1:8" x14ac:dyDescent="0.2">
      <c r="A41" s="3">
        <v>35</v>
      </c>
      <c r="B41" s="4" t="s">
        <v>381</v>
      </c>
      <c r="C41" s="4" t="s">
        <v>382</v>
      </c>
      <c r="D41" s="4" t="s">
        <v>1146</v>
      </c>
      <c r="E41" s="5">
        <v>52248</v>
      </c>
      <c r="F41" s="6">
        <v>326.889612</v>
      </c>
      <c r="G41" s="7">
        <v>2.8567760000000001E-3</v>
      </c>
      <c r="H41" s="39"/>
    </row>
    <row r="42" spans="1:8" x14ac:dyDescent="0.2">
      <c r="A42" s="3">
        <v>36</v>
      </c>
      <c r="B42" s="4" t="s">
        <v>881</v>
      </c>
      <c r="C42" s="4" t="s">
        <v>882</v>
      </c>
      <c r="D42" s="4" t="s">
        <v>71</v>
      </c>
      <c r="E42" s="5">
        <v>27024</v>
      </c>
      <c r="F42" s="6">
        <v>175.19659200000001</v>
      </c>
      <c r="G42" s="7">
        <v>1.5310899999999999E-3</v>
      </c>
      <c r="H42" s="39"/>
    </row>
    <row r="43" spans="1:8" x14ac:dyDescent="0.2">
      <c r="A43" s="3">
        <v>37</v>
      </c>
      <c r="B43" s="4" t="s">
        <v>522</v>
      </c>
      <c r="C43" s="4" t="s">
        <v>523</v>
      </c>
      <c r="D43" s="4" t="s">
        <v>1027</v>
      </c>
      <c r="E43" s="5">
        <v>7500</v>
      </c>
      <c r="F43" s="6">
        <v>173.68875</v>
      </c>
      <c r="G43" s="7">
        <v>1.5179130000000001E-3</v>
      </c>
      <c r="H43" s="39"/>
    </row>
    <row r="44" spans="1:8" x14ac:dyDescent="0.2">
      <c r="A44" s="3">
        <v>38</v>
      </c>
      <c r="B44" s="4" t="s">
        <v>569</v>
      </c>
      <c r="C44" s="4" t="s">
        <v>570</v>
      </c>
      <c r="D44" s="4" t="s">
        <v>1149</v>
      </c>
      <c r="E44" s="5">
        <v>6462</v>
      </c>
      <c r="F44" s="6">
        <v>105.866946</v>
      </c>
      <c r="G44" s="7">
        <v>9.2520000000000005E-4</v>
      </c>
      <c r="H44" s="39"/>
    </row>
    <row r="45" spans="1:8" x14ac:dyDescent="0.2">
      <c r="A45" s="3">
        <v>39</v>
      </c>
      <c r="B45" s="4" t="s">
        <v>87</v>
      </c>
      <c r="C45" s="4" t="s">
        <v>88</v>
      </c>
      <c r="D45" s="4" t="s">
        <v>1157</v>
      </c>
      <c r="E45" s="5">
        <v>1181</v>
      </c>
      <c r="F45" s="6">
        <v>6.1039985000000003</v>
      </c>
      <c r="G45" s="7">
        <v>5.3344000000000003E-5</v>
      </c>
      <c r="H45" s="39"/>
    </row>
    <row r="46" spans="1:8" x14ac:dyDescent="0.2">
      <c r="A46" s="1"/>
      <c r="B46" s="1"/>
      <c r="C46" s="2" t="s">
        <v>111</v>
      </c>
      <c r="D46" s="1"/>
      <c r="E46" s="1" t="s">
        <v>112</v>
      </c>
      <c r="F46" s="9">
        <v>110519.215795</v>
      </c>
      <c r="G46" s="10">
        <v>0.96585702600000001</v>
      </c>
      <c r="H46" s="39"/>
    </row>
    <row r="47" spans="1:8" x14ac:dyDescent="0.2">
      <c r="A47" s="1"/>
      <c r="B47" s="1"/>
      <c r="C47" s="11"/>
      <c r="D47" s="1"/>
      <c r="E47" s="1"/>
      <c r="F47" s="12"/>
      <c r="G47" s="12"/>
      <c r="H47" s="39"/>
    </row>
    <row r="48" spans="1:8" x14ac:dyDescent="0.2">
      <c r="A48" s="1"/>
      <c r="B48" s="1"/>
      <c r="C48" s="2" t="s">
        <v>113</v>
      </c>
      <c r="D48" s="1"/>
      <c r="E48" s="1"/>
      <c r="F48" s="1"/>
      <c r="G48" s="1"/>
      <c r="H48" s="39"/>
    </row>
    <row r="49" spans="1:8" x14ac:dyDescent="0.2">
      <c r="A49" s="1"/>
      <c r="B49" s="1"/>
      <c r="C49" s="2" t="s">
        <v>111</v>
      </c>
      <c r="D49" s="1"/>
      <c r="E49" s="1" t="s">
        <v>112</v>
      </c>
      <c r="F49" s="13">
        <v>0</v>
      </c>
      <c r="G49" s="14">
        <v>0</v>
      </c>
      <c r="H49" s="39"/>
    </row>
    <row r="50" spans="1:8" x14ac:dyDescent="0.2">
      <c r="A50" s="1"/>
      <c r="B50" s="1"/>
      <c r="C50" s="11"/>
      <c r="D50" s="1"/>
      <c r="E50" s="1"/>
      <c r="F50" s="12"/>
      <c r="G50" s="12"/>
      <c r="H50" s="39"/>
    </row>
    <row r="51" spans="1:8" x14ac:dyDescent="0.2">
      <c r="A51" s="1"/>
      <c r="B51" s="1"/>
      <c r="C51" s="2" t="s">
        <v>114</v>
      </c>
      <c r="D51" s="1"/>
      <c r="E51" s="1"/>
      <c r="F51" s="1"/>
      <c r="G51" s="1"/>
      <c r="H51" s="39"/>
    </row>
    <row r="52" spans="1:8" x14ac:dyDescent="0.2">
      <c r="A52" s="1"/>
      <c r="B52" s="1"/>
      <c r="C52" s="2" t="s">
        <v>111</v>
      </c>
      <c r="D52" s="1"/>
      <c r="E52" s="1" t="s">
        <v>112</v>
      </c>
      <c r="F52" s="13">
        <v>0</v>
      </c>
      <c r="G52" s="14">
        <v>0</v>
      </c>
      <c r="H52" s="39"/>
    </row>
    <row r="53" spans="1:8" x14ac:dyDescent="0.2">
      <c r="A53" s="1"/>
      <c r="B53" s="1"/>
      <c r="C53" s="11"/>
      <c r="D53" s="1"/>
      <c r="E53" s="1"/>
      <c r="F53" s="12"/>
      <c r="G53" s="12"/>
      <c r="H53" s="39"/>
    </row>
    <row r="54" spans="1:8" x14ac:dyDescent="0.2">
      <c r="A54" s="1"/>
      <c r="B54" s="1"/>
      <c r="C54" s="2" t="s">
        <v>115</v>
      </c>
      <c r="D54" s="1"/>
      <c r="E54" s="1"/>
      <c r="F54" s="1"/>
      <c r="G54" s="1"/>
      <c r="H54" s="39"/>
    </row>
    <row r="55" spans="1:8" x14ac:dyDescent="0.2">
      <c r="A55" s="1"/>
      <c r="B55" s="1"/>
      <c r="C55" s="2" t="s">
        <v>111</v>
      </c>
      <c r="D55" s="1"/>
      <c r="E55" s="1" t="s">
        <v>112</v>
      </c>
      <c r="F55" s="13">
        <v>0</v>
      </c>
      <c r="G55" s="14">
        <v>0</v>
      </c>
      <c r="H55" s="39"/>
    </row>
    <row r="56" spans="1:8" x14ac:dyDescent="0.2">
      <c r="A56" s="1"/>
      <c r="B56" s="1"/>
      <c r="C56" s="11"/>
      <c r="D56" s="1"/>
      <c r="E56" s="1"/>
      <c r="F56" s="12"/>
      <c r="G56" s="12"/>
      <c r="H56" s="39"/>
    </row>
    <row r="57" spans="1:8" x14ac:dyDescent="0.2">
      <c r="A57" s="1"/>
      <c r="B57" s="1"/>
      <c r="C57" s="2" t="s">
        <v>116</v>
      </c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111</v>
      </c>
      <c r="D58" s="1"/>
      <c r="E58" s="1" t="s">
        <v>112</v>
      </c>
      <c r="F58" s="13">
        <v>0</v>
      </c>
      <c r="G58" s="14">
        <v>0</v>
      </c>
      <c r="H58" s="39"/>
    </row>
    <row r="59" spans="1:8" x14ac:dyDescent="0.2">
      <c r="A59" s="1"/>
      <c r="B59" s="1"/>
      <c r="C59" s="11"/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117</v>
      </c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111</v>
      </c>
      <c r="D61" s="1"/>
      <c r="E61" s="1" t="s">
        <v>112</v>
      </c>
      <c r="F61" s="13">
        <v>0</v>
      </c>
      <c r="G61" s="14">
        <v>0</v>
      </c>
      <c r="H61" s="39"/>
    </row>
    <row r="62" spans="1:8" x14ac:dyDescent="0.2">
      <c r="A62" s="1"/>
      <c r="B62" s="1"/>
      <c r="C62" s="11"/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118</v>
      </c>
      <c r="D63" s="1"/>
      <c r="E63" s="1"/>
      <c r="F63" s="9">
        <v>110519.215795</v>
      </c>
      <c r="G63" s="10">
        <v>0.96585702600000001</v>
      </c>
      <c r="H63" s="39"/>
    </row>
    <row r="64" spans="1:8" x14ac:dyDescent="0.2">
      <c r="A64" s="1"/>
      <c r="B64" s="1"/>
      <c r="C64" s="11"/>
      <c r="D64" s="1"/>
      <c r="E64" s="1"/>
      <c r="F64" s="12"/>
      <c r="G64" s="12"/>
      <c r="H64" s="39"/>
    </row>
    <row r="65" spans="1:8" x14ac:dyDescent="0.2">
      <c r="A65" s="1"/>
      <c r="B65" s="1"/>
      <c r="C65" s="2" t="s">
        <v>119</v>
      </c>
      <c r="D65" s="1"/>
      <c r="E65" s="1"/>
      <c r="F65" s="12"/>
      <c r="G65" s="12"/>
      <c r="H65" s="39"/>
    </row>
    <row r="66" spans="1:8" ht="25.5" x14ac:dyDescent="0.2">
      <c r="A66" s="1"/>
      <c r="B66" s="1"/>
      <c r="C66" s="2" t="s">
        <v>10</v>
      </c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111</v>
      </c>
      <c r="D67" s="1"/>
      <c r="E67" s="1" t="s">
        <v>112</v>
      </c>
      <c r="F67" s="13">
        <v>0</v>
      </c>
      <c r="G67" s="14">
        <v>0</v>
      </c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x14ac:dyDescent="0.2">
      <c r="A69" s="1"/>
      <c r="B69" s="1"/>
      <c r="C69" s="2" t="s">
        <v>120</v>
      </c>
      <c r="D69" s="1"/>
      <c r="E69" s="1"/>
      <c r="F69" s="1"/>
      <c r="G69" s="1"/>
      <c r="H69" s="39"/>
    </row>
    <row r="70" spans="1:8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39"/>
    </row>
    <row r="71" spans="1:8" x14ac:dyDescent="0.2">
      <c r="A71" s="1"/>
      <c r="B71" s="1"/>
      <c r="C71" s="11"/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121</v>
      </c>
      <c r="D72" s="1"/>
      <c r="E72" s="1"/>
      <c r="F72" s="1"/>
      <c r="G72" s="1"/>
      <c r="H72" s="39"/>
    </row>
    <row r="73" spans="1:8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122</v>
      </c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111</v>
      </c>
      <c r="D76" s="1"/>
      <c r="E76" s="1" t="s">
        <v>112</v>
      </c>
      <c r="F76" s="13">
        <v>0</v>
      </c>
      <c r="G76" s="14">
        <v>0</v>
      </c>
      <c r="H76" s="39"/>
    </row>
    <row r="77" spans="1:8" x14ac:dyDescent="0.2">
      <c r="A77" s="1"/>
      <c r="B77" s="1"/>
      <c r="C77" s="11"/>
      <c r="D77" s="1"/>
      <c r="E77" s="1"/>
      <c r="F77" s="12"/>
      <c r="G77" s="12"/>
      <c r="H77" s="39"/>
    </row>
    <row r="78" spans="1:8" x14ac:dyDescent="0.2">
      <c r="A78" s="1"/>
      <c r="B78" s="1"/>
      <c r="C78" s="2" t="s">
        <v>123</v>
      </c>
      <c r="D78" s="1"/>
      <c r="E78" s="1"/>
      <c r="F78" s="9">
        <v>0</v>
      </c>
      <c r="G78" s="10">
        <v>0</v>
      </c>
      <c r="H78" s="39"/>
    </row>
    <row r="79" spans="1:8" x14ac:dyDescent="0.2">
      <c r="A79" s="1"/>
      <c r="B79" s="1"/>
      <c r="C79" s="11"/>
      <c r="D79" s="1"/>
      <c r="E79" s="1"/>
      <c r="F79" s="12"/>
      <c r="G79" s="12"/>
      <c r="H79" s="39"/>
    </row>
    <row r="80" spans="1:8" x14ac:dyDescent="0.2">
      <c r="A80" s="1"/>
      <c r="B80" s="1"/>
      <c r="C80" s="2" t="s">
        <v>124</v>
      </c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125</v>
      </c>
      <c r="D81" s="1"/>
      <c r="E81" s="1"/>
      <c r="F81" s="12"/>
      <c r="G81" s="12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126</v>
      </c>
      <c r="D84" s="1"/>
      <c r="E84" s="1"/>
      <c r="F84" s="12"/>
      <c r="G84" s="12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127</v>
      </c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128</v>
      </c>
      <c r="D90" s="1"/>
      <c r="E90" s="1"/>
      <c r="F90" s="12"/>
      <c r="G90" s="12"/>
      <c r="H90" s="39"/>
    </row>
    <row r="91" spans="1:8" x14ac:dyDescent="0.2">
      <c r="A91" s="3">
        <v>1</v>
      </c>
      <c r="B91" s="4"/>
      <c r="C91" s="4" t="s">
        <v>129</v>
      </c>
      <c r="D91" s="4"/>
      <c r="E91" s="8"/>
      <c r="F91" s="6">
        <v>2416.1870631000002</v>
      </c>
      <c r="G91" s="7">
        <v>2.1115706000000001E-2</v>
      </c>
      <c r="H91" s="39">
        <v>3.6151121728634927</v>
      </c>
    </row>
    <row r="92" spans="1:8" x14ac:dyDescent="0.2">
      <c r="A92" s="3">
        <v>2</v>
      </c>
      <c r="B92" s="4"/>
      <c r="C92" s="4" t="s">
        <v>130</v>
      </c>
      <c r="D92" s="4"/>
      <c r="E92" s="8"/>
      <c r="F92" s="6">
        <v>854.30816730000004</v>
      </c>
      <c r="G92" s="7">
        <v>7.4660280000000004E-3</v>
      </c>
      <c r="H92" s="39">
        <v>3.7142625760646584</v>
      </c>
    </row>
    <row r="93" spans="1:8" x14ac:dyDescent="0.2">
      <c r="A93" s="1"/>
      <c r="B93" s="1"/>
      <c r="C93" s="2" t="s">
        <v>111</v>
      </c>
      <c r="D93" s="1"/>
      <c r="E93" s="1" t="s">
        <v>112</v>
      </c>
      <c r="F93" s="9">
        <v>3270.4952303999999</v>
      </c>
      <c r="G93" s="10">
        <v>2.8581734000000001E-2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131</v>
      </c>
      <c r="D95" s="1"/>
      <c r="E95" s="1"/>
      <c r="F95" s="9">
        <v>3270.4952303999999</v>
      </c>
      <c r="G95" s="10">
        <v>2.8581734000000001E-2</v>
      </c>
      <c r="H95" s="39"/>
    </row>
    <row r="96" spans="1:8" x14ac:dyDescent="0.2">
      <c r="A96" s="1"/>
      <c r="B96" s="1"/>
      <c r="C96" s="12"/>
      <c r="D96" s="1"/>
      <c r="E96" s="1"/>
      <c r="F96" s="1"/>
      <c r="G96" s="1"/>
      <c r="H96" s="39"/>
    </row>
    <row r="97" spans="1:8" x14ac:dyDescent="0.2">
      <c r="A97" s="1"/>
      <c r="B97" s="1"/>
      <c r="C97" s="2" t="s">
        <v>132</v>
      </c>
      <c r="D97" s="1"/>
      <c r="E97" s="1"/>
      <c r="F97" s="1"/>
      <c r="G97" s="1"/>
      <c r="H97" s="39"/>
    </row>
    <row r="98" spans="1:8" x14ac:dyDescent="0.2">
      <c r="A98" s="1"/>
      <c r="B98" s="1"/>
      <c r="C98" s="2" t="s">
        <v>133</v>
      </c>
      <c r="D98" s="1"/>
      <c r="E98" s="1"/>
      <c r="F98" s="1"/>
      <c r="G98" s="1"/>
      <c r="H98" s="39"/>
    </row>
    <row r="99" spans="1:8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134</v>
      </c>
      <c r="D101" s="1"/>
      <c r="E101" s="1"/>
      <c r="F101" s="1"/>
      <c r="G101" s="1"/>
      <c r="H101" s="39"/>
    </row>
    <row r="102" spans="1:8" x14ac:dyDescent="0.2">
      <c r="A102" s="1"/>
      <c r="B102" s="1"/>
      <c r="C102" s="2" t="s">
        <v>135</v>
      </c>
      <c r="D102" s="1"/>
      <c r="E102" s="1"/>
      <c r="F102" s="1"/>
      <c r="G102" s="1"/>
      <c r="H102" s="39"/>
    </row>
    <row r="103" spans="1:8" x14ac:dyDescent="0.2">
      <c r="A103" s="1"/>
      <c r="B103" s="1"/>
      <c r="C103" s="2" t="s">
        <v>111</v>
      </c>
      <c r="D103" s="1"/>
      <c r="E103" s="1" t="s">
        <v>112</v>
      </c>
      <c r="F103" s="13">
        <v>0</v>
      </c>
      <c r="G103" s="14">
        <v>0</v>
      </c>
      <c r="H103" s="39"/>
    </row>
    <row r="104" spans="1:8" x14ac:dyDescent="0.2">
      <c r="A104" s="1"/>
      <c r="B104" s="1"/>
      <c r="C104" s="11"/>
      <c r="D104" s="1"/>
      <c r="E104" s="1"/>
      <c r="F104" s="12"/>
      <c r="G104" s="12"/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ht="25.5" x14ac:dyDescent="0.2">
      <c r="A106" s="1"/>
      <c r="B106" s="1"/>
      <c r="C106" s="2" t="s">
        <v>136</v>
      </c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111</v>
      </c>
      <c r="D107" s="1"/>
      <c r="E107" s="1" t="s">
        <v>112</v>
      </c>
      <c r="F107" s="13">
        <v>0</v>
      </c>
      <c r="G107" s="14">
        <v>0</v>
      </c>
      <c r="H107" s="39"/>
    </row>
    <row r="108" spans="1:8" x14ac:dyDescent="0.2">
      <c r="A108" s="1"/>
      <c r="B108" s="1"/>
      <c r="C108" s="11"/>
      <c r="D108" s="1"/>
      <c r="E108" s="1"/>
      <c r="F108" s="12"/>
      <c r="G108" s="12"/>
      <c r="H108" s="39"/>
    </row>
    <row r="109" spans="1:8" x14ac:dyDescent="0.2">
      <c r="A109" s="1"/>
      <c r="B109" s="4"/>
      <c r="C109" s="4"/>
      <c r="D109" s="2"/>
      <c r="E109" s="1"/>
      <c r="F109" s="4"/>
      <c r="G109" s="8"/>
      <c r="H109" s="39"/>
    </row>
    <row r="110" spans="1:8" x14ac:dyDescent="0.2">
      <c r="A110" s="8"/>
      <c r="B110" s="4"/>
      <c r="C110" s="4" t="s">
        <v>137</v>
      </c>
      <c r="D110" s="4"/>
      <c r="E110" s="8"/>
      <c r="F110" s="6">
        <v>636.35080759000004</v>
      </c>
      <c r="G110" s="7">
        <v>5.5612400000000003E-3</v>
      </c>
      <c r="H110" s="39"/>
    </row>
    <row r="111" spans="1:8" x14ac:dyDescent="0.2">
      <c r="A111" s="11"/>
      <c r="B111" s="11"/>
      <c r="C111" s="2" t="s">
        <v>138</v>
      </c>
      <c r="D111" s="15"/>
      <c r="E111" s="15"/>
      <c r="F111" s="9">
        <v>114426.06183299</v>
      </c>
      <c r="G111" s="10">
        <v>1</v>
      </c>
      <c r="H111" s="39"/>
    </row>
    <row r="112" spans="1:8" ht="14.1" customHeight="1" x14ac:dyDescent="0.2">
      <c r="A112" s="16"/>
      <c r="B112" s="16"/>
      <c r="C112" s="16"/>
      <c r="D112" s="17"/>
      <c r="E112" s="17"/>
      <c r="F112" s="17"/>
      <c r="G112" s="17"/>
    </row>
    <row r="113" spans="1:17" ht="14.1" customHeight="1" x14ac:dyDescent="0.2">
      <c r="A113" s="18"/>
      <c r="B113" s="18"/>
      <c r="C113" s="18"/>
      <c r="D113" s="20"/>
      <c r="E113" s="20"/>
      <c r="F113" s="20"/>
      <c r="G113" s="20"/>
    </row>
    <row r="114" spans="1:17" ht="14.1" customHeight="1" x14ac:dyDescent="0.2">
      <c r="A114" s="18"/>
      <c r="B114" s="194" t="s">
        <v>140</v>
      </c>
      <c r="C114" s="195"/>
      <c r="D114" s="12" t="s">
        <v>112</v>
      </c>
      <c r="E114" s="21"/>
      <c r="F114" s="20"/>
      <c r="G114" s="20"/>
    </row>
    <row r="115" spans="1:17" ht="29.1" customHeight="1" x14ac:dyDescent="0.2">
      <c r="A115" s="18"/>
      <c r="B115" s="189" t="s">
        <v>141</v>
      </c>
      <c r="C115" s="190"/>
      <c r="D115" s="2" t="s">
        <v>142</v>
      </c>
      <c r="E115" s="21"/>
      <c r="F115" s="20"/>
      <c r="G115" s="20"/>
    </row>
    <row r="116" spans="1:17" ht="17.100000000000001" customHeight="1" x14ac:dyDescent="0.2">
      <c r="A116" s="18"/>
      <c r="B116" s="189" t="s">
        <v>143</v>
      </c>
      <c r="C116" s="190"/>
      <c r="D116" s="2" t="s">
        <v>142</v>
      </c>
      <c r="E116" s="21"/>
      <c r="F116" s="20"/>
      <c r="G116" s="20"/>
    </row>
    <row r="117" spans="1:17" ht="17.100000000000001" customHeight="1" x14ac:dyDescent="0.2">
      <c r="A117" s="18"/>
      <c r="B117" s="189" t="s">
        <v>144</v>
      </c>
      <c r="C117" s="190"/>
      <c r="D117" s="12" t="s">
        <v>112</v>
      </c>
      <c r="E117" s="21"/>
      <c r="F117" s="20"/>
      <c r="G117" s="20"/>
    </row>
    <row r="118" spans="1:17" ht="24" customHeight="1" x14ac:dyDescent="0.2">
      <c r="A118" s="22"/>
      <c r="B118" s="23" t="s">
        <v>112</v>
      </c>
      <c r="C118" s="23" t="s">
        <v>145</v>
      </c>
      <c r="D118" s="23" t="s">
        <v>146</v>
      </c>
      <c r="E118" s="22"/>
      <c r="F118" s="22"/>
      <c r="G118" s="22"/>
    </row>
    <row r="119" spans="1:17" ht="18" customHeight="1" x14ac:dyDescent="0.2">
      <c r="A119" s="22"/>
      <c r="B119" s="23" t="s">
        <v>147</v>
      </c>
      <c r="C119" s="23" t="s">
        <v>148</v>
      </c>
      <c r="D119" s="23" t="s">
        <v>149</v>
      </c>
      <c r="E119" s="22"/>
      <c r="F119" s="22"/>
      <c r="G119" s="22"/>
    </row>
    <row r="120" spans="1:17" ht="17.100000000000001" customHeight="1" x14ac:dyDescent="0.2">
      <c r="A120" s="22"/>
      <c r="B120" s="4" t="s">
        <v>150</v>
      </c>
      <c r="C120" s="24">
        <v>59.174399999999999</v>
      </c>
      <c r="D120" s="24">
        <v>59.4437</v>
      </c>
      <c r="E120" s="22"/>
      <c r="F120" s="19"/>
      <c r="G120" s="25"/>
    </row>
    <row r="121" spans="1:17" ht="17.100000000000001" customHeight="1" x14ac:dyDescent="0.2">
      <c r="A121" s="22"/>
      <c r="B121" s="4" t="s">
        <v>1092</v>
      </c>
      <c r="C121" s="24">
        <v>22.791799999999999</v>
      </c>
      <c r="D121" s="24">
        <v>22.895700000000001</v>
      </c>
      <c r="E121" s="22"/>
      <c r="F121" s="19"/>
      <c r="G121" s="25"/>
    </row>
    <row r="122" spans="1:17" ht="17.100000000000001" customHeight="1" x14ac:dyDescent="0.2">
      <c r="A122" s="22"/>
      <c r="B122" s="4" t="s">
        <v>151</v>
      </c>
      <c r="C122" s="24">
        <v>55.615600000000001</v>
      </c>
      <c r="D122" s="24">
        <v>55.8217</v>
      </c>
      <c r="E122" s="22"/>
      <c r="F122" s="19"/>
      <c r="G122" s="25"/>
    </row>
    <row r="123" spans="1:17" ht="17.100000000000001" customHeight="1" x14ac:dyDescent="0.2">
      <c r="A123" s="22"/>
      <c r="B123" s="4" t="s">
        <v>1093</v>
      </c>
      <c r="C123" s="24">
        <v>21.068100000000001</v>
      </c>
      <c r="D123" s="24">
        <v>21.1462</v>
      </c>
      <c r="E123" s="22"/>
      <c r="F123" s="19"/>
      <c r="G123" s="25"/>
    </row>
    <row r="124" spans="1:17" ht="14.1" customHeight="1" x14ac:dyDescent="0.2">
      <c r="A124" s="22"/>
      <c r="B124" s="22"/>
      <c r="C124" s="22"/>
      <c r="D124" s="22"/>
      <c r="E124" s="22"/>
      <c r="F124" s="22"/>
      <c r="G124" s="22"/>
    </row>
    <row r="125" spans="1:17" ht="17.100000000000001" customHeight="1" x14ac:dyDescent="0.2">
      <c r="A125" s="22"/>
      <c r="B125" s="189" t="s">
        <v>1094</v>
      </c>
      <c r="C125" s="190"/>
      <c r="D125" s="2" t="s">
        <v>142</v>
      </c>
      <c r="E125" s="22"/>
      <c r="F125" s="22"/>
      <c r="G125" s="22"/>
    </row>
    <row r="126" spans="1:17" ht="18" customHeight="1" x14ac:dyDescent="0.2">
      <c r="A126" s="22"/>
      <c r="B126" s="26"/>
      <c r="C126" s="26"/>
      <c r="D126" s="27"/>
      <c r="E126" s="22"/>
      <c r="F126" s="22"/>
      <c r="G126" s="22"/>
      <c r="J126" s="101"/>
      <c r="K126" s="101"/>
      <c r="L126" s="101"/>
      <c r="M126" s="101"/>
      <c r="N126" s="101"/>
      <c r="O126" s="101"/>
    </row>
    <row r="127" spans="1:17" s="101" customFormat="1" x14ac:dyDescent="0.2">
      <c r="B127" s="193" t="s">
        <v>1102</v>
      </c>
      <c r="C127" s="193"/>
      <c r="D127" s="193"/>
      <c r="E127" s="193"/>
      <c r="F127" s="193"/>
      <c r="I127"/>
      <c r="J127"/>
      <c r="K127"/>
      <c r="L127"/>
      <c r="M127"/>
      <c r="N127"/>
      <c r="O127"/>
      <c r="P127" s="41"/>
      <c r="Q127" s="41"/>
    </row>
    <row r="128" spans="1:17" ht="14.1" customHeight="1" x14ac:dyDescent="0.2">
      <c r="A128" s="22"/>
      <c r="B128" s="19"/>
      <c r="C128" s="19"/>
      <c r="D128" s="22"/>
      <c r="E128" s="22"/>
      <c r="F128" s="22"/>
      <c r="G128" s="22"/>
    </row>
    <row r="129" spans="1:7" ht="29.1" customHeight="1" x14ac:dyDescent="0.2">
      <c r="A129" s="22"/>
      <c r="B129" s="189" t="s">
        <v>152</v>
      </c>
      <c r="C129" s="190"/>
      <c r="D129" s="2" t="s">
        <v>142</v>
      </c>
      <c r="E129" s="22"/>
      <c r="F129" s="22"/>
      <c r="G129" s="22"/>
    </row>
    <row r="130" spans="1:7" ht="29.1" customHeight="1" x14ac:dyDescent="0.2">
      <c r="A130" s="22"/>
      <c r="B130" s="189" t="s">
        <v>153</v>
      </c>
      <c r="C130" s="190"/>
      <c r="D130" s="2" t="s">
        <v>142</v>
      </c>
      <c r="E130" s="22"/>
      <c r="F130" s="22"/>
      <c r="G130" s="22"/>
    </row>
    <row r="131" spans="1:7" ht="17.100000000000001" customHeight="1" x14ac:dyDescent="0.2">
      <c r="A131" s="22"/>
      <c r="B131" s="189" t="s">
        <v>154</v>
      </c>
      <c r="C131" s="190"/>
      <c r="D131" s="28">
        <v>0.36186066981059478</v>
      </c>
      <c r="E131" s="22"/>
      <c r="F131" s="19"/>
      <c r="G131" s="25"/>
    </row>
    <row r="132" spans="1:7" ht="17.100000000000001" customHeight="1" x14ac:dyDescent="0.2">
      <c r="A132" s="22"/>
      <c r="B132" s="189" t="s">
        <v>155</v>
      </c>
      <c r="C132" s="190"/>
      <c r="D132" s="2" t="s">
        <v>142</v>
      </c>
      <c r="E132" s="22"/>
      <c r="F132" s="22"/>
      <c r="G132" s="22"/>
    </row>
  </sheetData>
  <mergeCells count="14">
    <mergeCell ref="J2:N2"/>
    <mergeCell ref="B132:C132"/>
    <mergeCell ref="B115:C115"/>
    <mergeCell ref="B116:C116"/>
    <mergeCell ref="B117:C117"/>
    <mergeCell ref="B125:C125"/>
    <mergeCell ref="B129:C129"/>
    <mergeCell ref="B130:C130"/>
    <mergeCell ref="B127:F127"/>
    <mergeCell ref="A1:H1"/>
    <mergeCell ref="A2:H2"/>
    <mergeCell ref="A3:H3"/>
    <mergeCell ref="B114:C114"/>
    <mergeCell ref="B131:C13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Q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883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2608588</v>
      </c>
      <c r="F7" s="6">
        <v>19050.518164000001</v>
      </c>
      <c r="G7" s="7">
        <v>9.0498905000000004E-2</v>
      </c>
      <c r="H7" s="39"/>
    </row>
    <row r="8" spans="1:14" x14ac:dyDescent="0.2">
      <c r="A8" s="3">
        <v>2</v>
      </c>
      <c r="B8" s="4" t="s">
        <v>388</v>
      </c>
      <c r="C8" s="4" t="s">
        <v>389</v>
      </c>
      <c r="D8" s="4" t="s">
        <v>18</v>
      </c>
      <c r="E8" s="5">
        <v>1208510</v>
      </c>
      <c r="F8" s="6">
        <v>17769.326785000001</v>
      </c>
      <c r="G8" s="7">
        <v>8.4412644999999994E-2</v>
      </c>
      <c r="H8" s="39"/>
    </row>
    <row r="9" spans="1:14" x14ac:dyDescent="0.2">
      <c r="A9" s="3">
        <v>3</v>
      </c>
      <c r="B9" s="4" t="s">
        <v>19</v>
      </c>
      <c r="C9" s="4" t="s">
        <v>20</v>
      </c>
      <c r="D9" s="4" t="s">
        <v>21</v>
      </c>
      <c r="E9" s="5">
        <v>1849236</v>
      </c>
      <c r="F9" s="6">
        <v>13960.807182</v>
      </c>
      <c r="G9" s="7">
        <v>6.6320388999999993E-2</v>
      </c>
      <c r="H9" s="39"/>
    </row>
    <row r="10" spans="1:14" x14ac:dyDescent="0.2">
      <c r="A10" s="3">
        <v>4</v>
      </c>
      <c r="B10" s="4" t="s">
        <v>13</v>
      </c>
      <c r="C10" s="4" t="s">
        <v>14</v>
      </c>
      <c r="D10" s="4" t="s">
        <v>15</v>
      </c>
      <c r="E10" s="5">
        <v>495783</v>
      </c>
      <c r="F10" s="6">
        <v>13062.6425925</v>
      </c>
      <c r="G10" s="7">
        <v>6.2053684999999997E-2</v>
      </c>
      <c r="H10" s="39"/>
    </row>
    <row r="11" spans="1:14" ht="25.5" x14ac:dyDescent="0.2">
      <c r="A11" s="3">
        <v>5</v>
      </c>
      <c r="B11" s="4" t="s">
        <v>390</v>
      </c>
      <c r="C11" s="4" t="s">
        <v>391</v>
      </c>
      <c r="D11" s="4" t="s">
        <v>82</v>
      </c>
      <c r="E11" s="5">
        <v>446630</v>
      </c>
      <c r="F11" s="6">
        <v>10676.24352</v>
      </c>
      <c r="G11" s="7">
        <v>5.0717168999999999E-2</v>
      </c>
      <c r="H11" s="39"/>
    </row>
    <row r="12" spans="1:14" x14ac:dyDescent="0.2">
      <c r="A12" s="3">
        <v>6</v>
      </c>
      <c r="B12" s="4" t="s">
        <v>292</v>
      </c>
      <c r="C12" s="4" t="s">
        <v>293</v>
      </c>
      <c r="D12" s="4" t="s">
        <v>1143</v>
      </c>
      <c r="E12" s="5">
        <v>188884</v>
      </c>
      <c r="F12" s="6">
        <v>8127.4896360000002</v>
      </c>
      <c r="G12" s="7">
        <v>3.8609391999999999E-2</v>
      </c>
      <c r="H12" s="39"/>
    </row>
    <row r="13" spans="1:14" x14ac:dyDescent="0.2">
      <c r="A13" s="3">
        <v>7</v>
      </c>
      <c r="B13" s="4" t="s">
        <v>300</v>
      </c>
      <c r="C13" s="4" t="s">
        <v>301</v>
      </c>
      <c r="D13" s="4" t="s">
        <v>18</v>
      </c>
      <c r="E13" s="5">
        <v>785346</v>
      </c>
      <c r="F13" s="6">
        <v>5977.6610790000004</v>
      </c>
      <c r="G13" s="7">
        <v>2.8396696999999999E-2</v>
      </c>
      <c r="H13" s="39"/>
    </row>
    <row r="14" spans="1:14" x14ac:dyDescent="0.2">
      <c r="A14" s="3">
        <v>8</v>
      </c>
      <c r="B14" s="4" t="s">
        <v>349</v>
      </c>
      <c r="C14" s="4" t="s">
        <v>350</v>
      </c>
      <c r="D14" s="4" t="s">
        <v>1149</v>
      </c>
      <c r="E14" s="5">
        <v>1805732</v>
      </c>
      <c r="F14" s="6">
        <v>5206.8282220000001</v>
      </c>
      <c r="G14" s="7">
        <v>2.4734879000000001E-2</v>
      </c>
      <c r="H14" s="39"/>
    </row>
    <row r="15" spans="1:14" ht="15" x14ac:dyDescent="0.2">
      <c r="A15" s="3">
        <v>9</v>
      </c>
      <c r="B15" s="4" t="s">
        <v>61</v>
      </c>
      <c r="C15" s="4" t="s">
        <v>62</v>
      </c>
      <c r="D15" s="4" t="s">
        <v>1140</v>
      </c>
      <c r="E15" s="5">
        <v>774290</v>
      </c>
      <c r="F15" s="6">
        <v>5204.3902349999998</v>
      </c>
      <c r="G15" s="7">
        <v>2.4723297000000002E-2</v>
      </c>
      <c r="H15" s="39"/>
      <c r="J15" s="176" t="s">
        <v>1196</v>
      </c>
    </row>
    <row r="16" spans="1:14" x14ac:dyDescent="0.2">
      <c r="A16" s="3">
        <v>10</v>
      </c>
      <c r="B16" s="4" t="s">
        <v>226</v>
      </c>
      <c r="C16" s="4" t="s">
        <v>227</v>
      </c>
      <c r="D16" s="4" t="s">
        <v>82</v>
      </c>
      <c r="E16" s="5">
        <v>609563</v>
      </c>
      <c r="F16" s="6">
        <v>4690.2825034999996</v>
      </c>
      <c r="G16" s="7">
        <v>2.2281044E-2</v>
      </c>
      <c r="H16" s="39"/>
    </row>
    <row r="17" spans="1:10" x14ac:dyDescent="0.2">
      <c r="A17" s="3">
        <v>11</v>
      </c>
      <c r="B17" s="4" t="s">
        <v>415</v>
      </c>
      <c r="C17" s="4" t="s">
        <v>416</v>
      </c>
      <c r="D17" s="4" t="s">
        <v>18</v>
      </c>
      <c r="E17" s="5">
        <v>254049</v>
      </c>
      <c r="F17" s="6">
        <v>4455.6383864999998</v>
      </c>
      <c r="G17" s="7">
        <v>2.1166374000000002E-2</v>
      </c>
      <c r="H17" s="39"/>
    </row>
    <row r="18" spans="1:10" x14ac:dyDescent="0.2">
      <c r="A18" s="3">
        <v>12</v>
      </c>
      <c r="B18" s="4" t="s">
        <v>243</v>
      </c>
      <c r="C18" s="4" t="s">
        <v>244</v>
      </c>
      <c r="D18" s="4" t="s">
        <v>1157</v>
      </c>
      <c r="E18" s="5">
        <v>400823</v>
      </c>
      <c r="F18" s="6">
        <v>4408.8525884999999</v>
      </c>
      <c r="G18" s="7">
        <v>2.094412E-2</v>
      </c>
      <c r="H18" s="39"/>
    </row>
    <row r="19" spans="1:10" x14ac:dyDescent="0.2">
      <c r="A19" s="3">
        <v>13</v>
      </c>
      <c r="B19" s="4" t="s">
        <v>296</v>
      </c>
      <c r="C19" s="4" t="s">
        <v>297</v>
      </c>
      <c r="D19" s="4" t="s">
        <v>253</v>
      </c>
      <c r="E19" s="5">
        <v>95620</v>
      </c>
      <c r="F19" s="6">
        <v>4318.2948200000001</v>
      </c>
      <c r="G19" s="7">
        <v>2.0513928000000001E-2</v>
      </c>
      <c r="H19" s="39"/>
    </row>
    <row r="20" spans="1:10" x14ac:dyDescent="0.2">
      <c r="A20" s="3">
        <v>14</v>
      </c>
      <c r="B20" s="4" t="s">
        <v>100</v>
      </c>
      <c r="C20" s="4" t="s">
        <v>101</v>
      </c>
      <c r="D20" s="4" t="s">
        <v>53</v>
      </c>
      <c r="E20" s="5">
        <v>1151772</v>
      </c>
      <c r="F20" s="6">
        <v>4297.8372179999997</v>
      </c>
      <c r="G20" s="7">
        <v>2.0416745E-2</v>
      </c>
      <c r="H20" s="39"/>
    </row>
    <row r="21" spans="1:10" x14ac:dyDescent="0.2">
      <c r="A21" s="3">
        <v>15</v>
      </c>
      <c r="B21" s="4" t="s">
        <v>359</v>
      </c>
      <c r="C21" s="4" t="s">
        <v>360</v>
      </c>
      <c r="D21" s="4" t="s">
        <v>82</v>
      </c>
      <c r="E21" s="5">
        <v>25000</v>
      </c>
      <c r="F21" s="6">
        <v>4265.1125000000002</v>
      </c>
      <c r="G21" s="7">
        <v>2.0261286999999999E-2</v>
      </c>
      <c r="H21" s="39"/>
    </row>
    <row r="22" spans="1:10" x14ac:dyDescent="0.2">
      <c r="A22" s="3">
        <v>16</v>
      </c>
      <c r="B22" s="4" t="s">
        <v>394</v>
      </c>
      <c r="C22" s="4" t="s">
        <v>395</v>
      </c>
      <c r="D22" s="4" t="s">
        <v>1142</v>
      </c>
      <c r="E22" s="5">
        <v>378707</v>
      </c>
      <c r="F22" s="6">
        <v>4247.0096514999996</v>
      </c>
      <c r="G22" s="7">
        <v>2.0175289999999999E-2</v>
      </c>
      <c r="H22" s="39"/>
    </row>
    <row r="23" spans="1:10" x14ac:dyDescent="0.2">
      <c r="A23" s="3">
        <v>17</v>
      </c>
      <c r="B23" s="4" t="s">
        <v>241</v>
      </c>
      <c r="C23" s="4" t="s">
        <v>242</v>
      </c>
      <c r="D23" s="4" t="s">
        <v>1143</v>
      </c>
      <c r="E23" s="5">
        <v>88689</v>
      </c>
      <c r="F23" s="6">
        <v>4226.2969169999997</v>
      </c>
      <c r="G23" s="7">
        <v>2.0076895000000001E-2</v>
      </c>
      <c r="H23" s="39"/>
    </row>
    <row r="24" spans="1:10" x14ac:dyDescent="0.2">
      <c r="A24" s="3">
        <v>18</v>
      </c>
      <c r="B24" s="4" t="s">
        <v>302</v>
      </c>
      <c r="C24" s="4" t="s">
        <v>303</v>
      </c>
      <c r="D24" s="4" t="s">
        <v>1155</v>
      </c>
      <c r="E24" s="5">
        <v>8958</v>
      </c>
      <c r="F24" s="6">
        <v>3868.901973</v>
      </c>
      <c r="G24" s="7">
        <v>1.8379100999999998E-2</v>
      </c>
      <c r="H24" s="39"/>
    </row>
    <row r="25" spans="1:10" x14ac:dyDescent="0.2">
      <c r="A25" s="3">
        <v>19</v>
      </c>
      <c r="B25" s="4" t="s">
        <v>220</v>
      </c>
      <c r="C25" s="4" t="s">
        <v>221</v>
      </c>
      <c r="D25" s="4" t="s">
        <v>1149</v>
      </c>
      <c r="E25" s="5">
        <v>670829</v>
      </c>
      <c r="F25" s="6">
        <v>3554.0520419999998</v>
      </c>
      <c r="G25" s="7">
        <v>1.6883415999999998E-2</v>
      </c>
      <c r="H25" s="39"/>
    </row>
    <row r="26" spans="1:10" x14ac:dyDescent="0.2">
      <c r="A26" s="3">
        <v>20</v>
      </c>
      <c r="B26" s="4" t="s">
        <v>166</v>
      </c>
      <c r="C26" s="4" t="s">
        <v>167</v>
      </c>
      <c r="D26" s="4" t="s">
        <v>1159</v>
      </c>
      <c r="E26" s="5">
        <v>281609</v>
      </c>
      <c r="F26" s="6">
        <v>3548.4142044999999</v>
      </c>
      <c r="G26" s="7">
        <v>1.6856632999999999E-2</v>
      </c>
      <c r="H26" s="39"/>
    </row>
    <row r="27" spans="1:10" x14ac:dyDescent="0.2">
      <c r="A27" s="3">
        <v>21</v>
      </c>
      <c r="B27" s="4" t="s">
        <v>454</v>
      </c>
      <c r="C27" s="4" t="s">
        <v>455</v>
      </c>
      <c r="D27" s="4" t="s">
        <v>71</v>
      </c>
      <c r="E27" s="5">
        <v>130291</v>
      </c>
      <c r="F27" s="6">
        <v>3304.3751965000001</v>
      </c>
      <c r="G27" s="7">
        <v>1.5697334E-2</v>
      </c>
      <c r="H27" s="39"/>
    </row>
    <row r="28" spans="1:10" x14ac:dyDescent="0.2">
      <c r="A28" s="3">
        <v>22</v>
      </c>
      <c r="B28" s="4" t="s">
        <v>192</v>
      </c>
      <c r="C28" s="4" t="s">
        <v>193</v>
      </c>
      <c r="D28" s="4" t="s">
        <v>1026</v>
      </c>
      <c r="E28" s="5">
        <v>667345</v>
      </c>
      <c r="F28" s="6">
        <v>3198.9182575</v>
      </c>
      <c r="G28" s="7">
        <v>1.5196364E-2</v>
      </c>
      <c r="H28" s="39"/>
    </row>
    <row r="29" spans="1:10" x14ac:dyDescent="0.2">
      <c r="A29" s="3">
        <v>23</v>
      </c>
      <c r="B29" s="4" t="s">
        <v>194</v>
      </c>
      <c r="C29" s="4" t="s">
        <v>195</v>
      </c>
      <c r="D29" s="4" t="s">
        <v>1027</v>
      </c>
      <c r="E29" s="5">
        <v>224451</v>
      </c>
      <c r="F29" s="6">
        <v>3176.9916794999999</v>
      </c>
      <c r="G29" s="7">
        <v>1.5092202000000001E-2</v>
      </c>
      <c r="H29" s="39"/>
    </row>
    <row r="30" spans="1:10" ht="25.5" x14ac:dyDescent="0.2">
      <c r="A30" s="3">
        <v>24</v>
      </c>
      <c r="B30" s="4" t="s">
        <v>80</v>
      </c>
      <c r="C30" s="4" t="s">
        <v>81</v>
      </c>
      <c r="D30" s="4" t="s">
        <v>82</v>
      </c>
      <c r="E30" s="5">
        <v>438458</v>
      </c>
      <c r="F30" s="6">
        <v>3150.1015010000001</v>
      </c>
      <c r="G30" s="7">
        <v>1.4964461E-2</v>
      </c>
      <c r="H30" s="39"/>
      <c r="J30" s="176" t="s">
        <v>1197</v>
      </c>
    </row>
    <row r="31" spans="1:10" x14ac:dyDescent="0.2">
      <c r="A31" s="3">
        <v>25</v>
      </c>
      <c r="B31" s="4" t="s">
        <v>325</v>
      </c>
      <c r="C31" s="4" t="s">
        <v>326</v>
      </c>
      <c r="D31" s="4" t="s">
        <v>1159</v>
      </c>
      <c r="E31" s="5">
        <v>60068</v>
      </c>
      <c r="F31" s="6">
        <v>3066.6516040000001</v>
      </c>
      <c r="G31" s="7">
        <v>1.4568035E-2</v>
      </c>
      <c r="H31" s="39"/>
    </row>
    <row r="32" spans="1:10" x14ac:dyDescent="0.2">
      <c r="A32" s="3">
        <v>26</v>
      </c>
      <c r="B32" s="4" t="s">
        <v>426</v>
      </c>
      <c r="C32" s="4" t="s">
        <v>427</v>
      </c>
      <c r="D32" s="4" t="s">
        <v>82</v>
      </c>
      <c r="E32" s="5">
        <v>39471</v>
      </c>
      <c r="F32" s="6">
        <v>2865.5748644999999</v>
      </c>
      <c r="G32" s="7">
        <v>1.3612826E-2</v>
      </c>
      <c r="H32" s="39"/>
    </row>
    <row r="33" spans="1:8" x14ac:dyDescent="0.2">
      <c r="A33" s="3">
        <v>27</v>
      </c>
      <c r="B33" s="4" t="s">
        <v>471</v>
      </c>
      <c r="C33" s="4" t="s">
        <v>472</v>
      </c>
      <c r="D33" s="4" t="s">
        <v>1140</v>
      </c>
      <c r="E33" s="5">
        <v>448642</v>
      </c>
      <c r="F33" s="6">
        <v>2687.814222</v>
      </c>
      <c r="G33" s="7">
        <v>1.2768379E-2</v>
      </c>
      <c r="H33" s="39"/>
    </row>
    <row r="34" spans="1:8" x14ac:dyDescent="0.2">
      <c r="A34" s="3">
        <v>28</v>
      </c>
      <c r="B34" s="4" t="s">
        <v>162</v>
      </c>
      <c r="C34" s="4" t="s">
        <v>163</v>
      </c>
      <c r="D34" s="4" t="s">
        <v>1026</v>
      </c>
      <c r="E34" s="5">
        <v>181300</v>
      </c>
      <c r="F34" s="6">
        <v>2687.2285999999999</v>
      </c>
      <c r="G34" s="7">
        <v>1.2765597E-2</v>
      </c>
      <c r="H34" s="39"/>
    </row>
    <row r="35" spans="1:8" x14ac:dyDescent="0.2">
      <c r="A35" s="3">
        <v>29</v>
      </c>
      <c r="B35" s="4" t="s">
        <v>170</v>
      </c>
      <c r="C35" s="4" t="s">
        <v>171</v>
      </c>
      <c r="D35" s="4" t="s">
        <v>1027</v>
      </c>
      <c r="E35" s="5">
        <v>166336</v>
      </c>
      <c r="F35" s="6">
        <v>2556.1684799999998</v>
      </c>
      <c r="G35" s="7">
        <v>1.2142999999999999E-2</v>
      </c>
      <c r="H35" s="39"/>
    </row>
    <row r="36" spans="1:8" ht="25.5" x14ac:dyDescent="0.2">
      <c r="A36" s="3">
        <v>30</v>
      </c>
      <c r="B36" s="4" t="s">
        <v>845</v>
      </c>
      <c r="C36" s="4" t="s">
        <v>846</v>
      </c>
      <c r="D36" s="4" t="s">
        <v>1142</v>
      </c>
      <c r="E36" s="5">
        <v>191985</v>
      </c>
      <c r="F36" s="6">
        <v>2550.136755</v>
      </c>
      <c r="G36" s="7">
        <v>1.2114346999999999E-2</v>
      </c>
      <c r="H36" s="39"/>
    </row>
    <row r="37" spans="1:8" ht="25.5" x14ac:dyDescent="0.2">
      <c r="A37" s="3">
        <v>31</v>
      </c>
      <c r="B37" s="4" t="s">
        <v>188</v>
      </c>
      <c r="C37" s="4" t="s">
        <v>189</v>
      </c>
      <c r="D37" s="4" t="s">
        <v>1158</v>
      </c>
      <c r="E37" s="5">
        <v>378624</v>
      </c>
      <c r="F37" s="6">
        <v>2495.3214720000001</v>
      </c>
      <c r="G37" s="7">
        <v>1.1853949000000001E-2</v>
      </c>
      <c r="H37" s="39"/>
    </row>
    <row r="38" spans="1:8" x14ac:dyDescent="0.2">
      <c r="A38" s="3">
        <v>32</v>
      </c>
      <c r="B38" s="4" t="s">
        <v>584</v>
      </c>
      <c r="C38" s="4" t="s">
        <v>585</v>
      </c>
      <c r="D38" s="4" t="s">
        <v>1149</v>
      </c>
      <c r="E38" s="5">
        <v>114424</v>
      </c>
      <c r="F38" s="6">
        <v>2199.5725520000001</v>
      </c>
      <c r="G38" s="7">
        <v>1.0449002000000001E-2</v>
      </c>
      <c r="H38" s="39"/>
    </row>
    <row r="39" spans="1:8" x14ac:dyDescent="0.2">
      <c r="A39" s="3">
        <v>33</v>
      </c>
      <c r="B39" s="4" t="s">
        <v>867</v>
      </c>
      <c r="C39" s="4" t="s">
        <v>868</v>
      </c>
      <c r="D39" s="4" t="s">
        <v>308</v>
      </c>
      <c r="E39" s="5">
        <v>46747</v>
      </c>
      <c r="F39" s="6">
        <v>2108.0325914999999</v>
      </c>
      <c r="G39" s="7">
        <v>1.0014145E-2</v>
      </c>
      <c r="H39" s="39"/>
    </row>
    <row r="40" spans="1:8" ht="25.5" x14ac:dyDescent="0.2">
      <c r="A40" s="3">
        <v>34</v>
      </c>
      <c r="B40" s="4" t="s">
        <v>186</v>
      </c>
      <c r="C40" s="4" t="s">
        <v>187</v>
      </c>
      <c r="D40" s="4" t="s">
        <v>1158</v>
      </c>
      <c r="E40" s="5">
        <v>380798</v>
      </c>
      <c r="F40" s="6">
        <v>1847.0606990000001</v>
      </c>
      <c r="G40" s="7">
        <v>8.7744050000000007E-3</v>
      </c>
      <c r="H40" s="39"/>
    </row>
    <row r="41" spans="1:8" x14ac:dyDescent="0.2">
      <c r="A41" s="3">
        <v>35</v>
      </c>
      <c r="B41" s="4" t="s">
        <v>373</v>
      </c>
      <c r="C41" s="4" t="s">
        <v>374</v>
      </c>
      <c r="D41" s="4" t="s">
        <v>253</v>
      </c>
      <c r="E41" s="5">
        <v>620324</v>
      </c>
      <c r="F41" s="6">
        <v>1801.4208960000001</v>
      </c>
      <c r="G41" s="7">
        <v>8.5575949999999994E-3</v>
      </c>
      <c r="H41" s="39"/>
    </row>
    <row r="42" spans="1:8" x14ac:dyDescent="0.2">
      <c r="A42" s="3">
        <v>36</v>
      </c>
      <c r="B42" s="4" t="s">
        <v>533</v>
      </c>
      <c r="C42" s="4" t="s">
        <v>534</v>
      </c>
      <c r="D42" s="4" t="s">
        <v>1027</v>
      </c>
      <c r="E42" s="5">
        <v>168338</v>
      </c>
      <c r="F42" s="6">
        <v>1674.2897479999999</v>
      </c>
      <c r="G42" s="7">
        <v>7.9536620000000002E-3</v>
      </c>
      <c r="H42" s="39"/>
    </row>
    <row r="43" spans="1:8" x14ac:dyDescent="0.2">
      <c r="A43" s="3">
        <v>37</v>
      </c>
      <c r="B43" s="4" t="s">
        <v>884</v>
      </c>
      <c r="C43" s="4" t="s">
        <v>885</v>
      </c>
      <c r="D43" s="4" t="s">
        <v>1143</v>
      </c>
      <c r="E43" s="5">
        <v>139876</v>
      </c>
      <c r="F43" s="6">
        <v>1477.9997539999999</v>
      </c>
      <c r="G43" s="7">
        <v>7.0211930000000002E-3</v>
      </c>
      <c r="H43" s="39"/>
    </row>
    <row r="44" spans="1:8" x14ac:dyDescent="0.2">
      <c r="A44" s="3">
        <v>38</v>
      </c>
      <c r="B44" s="4" t="s">
        <v>218</v>
      </c>
      <c r="C44" s="4" t="s">
        <v>219</v>
      </c>
      <c r="D44" s="4" t="s">
        <v>1026</v>
      </c>
      <c r="E44" s="5">
        <v>1460793</v>
      </c>
      <c r="F44" s="6">
        <v>1471.7489475</v>
      </c>
      <c r="G44" s="7">
        <v>6.9914979999999996E-3</v>
      </c>
      <c r="H44" s="39"/>
    </row>
    <row r="45" spans="1:8" x14ac:dyDescent="0.2">
      <c r="A45" s="3">
        <v>39</v>
      </c>
      <c r="B45" s="4" t="s">
        <v>251</v>
      </c>
      <c r="C45" s="4" t="s">
        <v>252</v>
      </c>
      <c r="D45" s="4" t="s">
        <v>253</v>
      </c>
      <c r="E45" s="5">
        <v>532856</v>
      </c>
      <c r="F45" s="6">
        <v>1438.1783439999999</v>
      </c>
      <c r="G45" s="7">
        <v>6.8320220000000001E-3</v>
      </c>
      <c r="H45" s="39"/>
    </row>
    <row r="46" spans="1:8" x14ac:dyDescent="0.2">
      <c r="A46" s="3">
        <v>40</v>
      </c>
      <c r="B46" s="4" t="s">
        <v>886</v>
      </c>
      <c r="C46" s="4" t="s">
        <v>887</v>
      </c>
      <c r="D46" s="4" t="s">
        <v>1026</v>
      </c>
      <c r="E46" s="5">
        <v>2164038</v>
      </c>
      <c r="F46" s="6">
        <v>1372.000092</v>
      </c>
      <c r="G46" s="7">
        <v>6.5176449999999999E-3</v>
      </c>
      <c r="H46" s="39"/>
    </row>
    <row r="47" spans="1:8" x14ac:dyDescent="0.2">
      <c r="A47" s="3">
        <v>41</v>
      </c>
      <c r="B47" s="4" t="s">
        <v>553</v>
      </c>
      <c r="C47" s="4" t="s">
        <v>554</v>
      </c>
      <c r="D47" s="4" t="s">
        <v>1143</v>
      </c>
      <c r="E47" s="5">
        <v>13846</v>
      </c>
      <c r="F47" s="6">
        <v>1224.007169</v>
      </c>
      <c r="G47" s="7">
        <v>5.8146090000000001E-3</v>
      </c>
      <c r="H47" s="39"/>
    </row>
    <row r="48" spans="1:8" x14ac:dyDescent="0.2">
      <c r="A48" s="3">
        <v>42</v>
      </c>
      <c r="B48" s="4" t="s">
        <v>306</v>
      </c>
      <c r="C48" s="4" t="s">
        <v>307</v>
      </c>
      <c r="D48" s="4" t="s">
        <v>308</v>
      </c>
      <c r="E48" s="5">
        <v>94554</v>
      </c>
      <c r="F48" s="6">
        <v>1206.0362700000001</v>
      </c>
      <c r="G48" s="7">
        <v>5.7292389999999997E-3</v>
      </c>
      <c r="H48" s="39"/>
    </row>
    <row r="49" spans="1:8" x14ac:dyDescent="0.2">
      <c r="A49" s="3">
        <v>43</v>
      </c>
      <c r="B49" s="4" t="s">
        <v>526</v>
      </c>
      <c r="C49" s="4" t="s">
        <v>527</v>
      </c>
      <c r="D49" s="4" t="s">
        <v>1143</v>
      </c>
      <c r="E49" s="5">
        <v>77412</v>
      </c>
      <c r="F49" s="6">
        <v>1169.463084</v>
      </c>
      <c r="G49" s="7">
        <v>5.5554990000000002E-3</v>
      </c>
      <c r="H49" s="39"/>
    </row>
    <row r="50" spans="1:8" x14ac:dyDescent="0.2">
      <c r="A50" s="3">
        <v>44</v>
      </c>
      <c r="B50" s="4" t="s">
        <v>477</v>
      </c>
      <c r="C50" s="4" t="s">
        <v>478</v>
      </c>
      <c r="D50" s="4" t="s">
        <v>1026</v>
      </c>
      <c r="E50" s="5">
        <v>1648788</v>
      </c>
      <c r="F50" s="6">
        <v>1042.85841</v>
      </c>
      <c r="G50" s="7">
        <v>4.9540670000000004E-3</v>
      </c>
      <c r="H50" s="39"/>
    </row>
    <row r="51" spans="1:8" x14ac:dyDescent="0.2">
      <c r="A51" s="3">
        <v>45</v>
      </c>
      <c r="B51" s="4" t="s">
        <v>685</v>
      </c>
      <c r="C51" s="4" t="s">
        <v>686</v>
      </c>
      <c r="D51" s="4" t="s">
        <v>1142</v>
      </c>
      <c r="E51" s="5">
        <v>165838</v>
      </c>
      <c r="F51" s="6">
        <v>892.54011600000001</v>
      </c>
      <c r="G51" s="7">
        <v>4.2399849999999999E-3</v>
      </c>
      <c r="H51" s="39"/>
    </row>
    <row r="52" spans="1:8" x14ac:dyDescent="0.2">
      <c r="A52" s="3">
        <v>46</v>
      </c>
      <c r="B52" s="4" t="s">
        <v>571</v>
      </c>
      <c r="C52" s="4" t="s">
        <v>572</v>
      </c>
      <c r="D52" s="4" t="s">
        <v>253</v>
      </c>
      <c r="E52" s="5">
        <v>30137</v>
      </c>
      <c r="F52" s="6">
        <v>613.51397750000001</v>
      </c>
      <c r="G52" s="7">
        <v>2.9144790000000002E-3</v>
      </c>
      <c r="H52" s="39"/>
    </row>
    <row r="53" spans="1:8" x14ac:dyDescent="0.2">
      <c r="A53" s="3">
        <v>47</v>
      </c>
      <c r="B53" s="4" t="s">
        <v>434</v>
      </c>
      <c r="C53" s="4" t="s">
        <v>435</v>
      </c>
      <c r="D53" s="4" t="s">
        <v>308</v>
      </c>
      <c r="E53" s="5">
        <v>14214</v>
      </c>
      <c r="F53" s="6">
        <v>569.03616899999997</v>
      </c>
      <c r="G53" s="7">
        <v>2.7031889999999999E-3</v>
      </c>
      <c r="H53" s="39"/>
    </row>
    <row r="54" spans="1:8" x14ac:dyDescent="0.2">
      <c r="A54" s="3">
        <v>48</v>
      </c>
      <c r="B54" s="4" t="s">
        <v>888</v>
      </c>
      <c r="C54" s="4" t="s">
        <v>889</v>
      </c>
      <c r="D54" s="4" t="s">
        <v>1143</v>
      </c>
      <c r="E54" s="5">
        <v>117635</v>
      </c>
      <c r="F54" s="6">
        <v>393.01853499999999</v>
      </c>
      <c r="G54" s="7">
        <v>1.867023E-3</v>
      </c>
      <c r="H54" s="39"/>
    </row>
    <row r="55" spans="1:8" ht="25.5" x14ac:dyDescent="0.2">
      <c r="A55" s="3">
        <v>49</v>
      </c>
      <c r="B55" s="4" t="s">
        <v>417</v>
      </c>
      <c r="C55" s="37" t="s">
        <v>1013</v>
      </c>
      <c r="D55" s="37" t="s">
        <v>21</v>
      </c>
      <c r="E55" s="5">
        <v>92315</v>
      </c>
      <c r="F55" s="6">
        <v>365.52124250000003</v>
      </c>
      <c r="G55" s="7">
        <v>1.7363980000000001E-3</v>
      </c>
      <c r="H55" s="39"/>
    </row>
    <row r="56" spans="1:8" x14ac:dyDescent="0.2">
      <c r="A56" s="3">
        <v>50</v>
      </c>
      <c r="B56" s="4" t="s">
        <v>573</v>
      </c>
      <c r="C56" s="4" t="s">
        <v>574</v>
      </c>
      <c r="D56" s="4" t="s">
        <v>308</v>
      </c>
      <c r="E56" s="5">
        <v>14518</v>
      </c>
      <c r="F56" s="6">
        <v>140.381801</v>
      </c>
      <c r="G56" s="7">
        <v>6.66879E-4</v>
      </c>
      <c r="H56" s="39"/>
    </row>
    <row r="57" spans="1:8" x14ac:dyDescent="0.2">
      <c r="A57" s="1"/>
      <c r="B57" s="1"/>
      <c r="C57" s="2" t="s">
        <v>111</v>
      </c>
      <c r="D57" s="1"/>
      <c r="E57" s="1" t="s">
        <v>112</v>
      </c>
      <c r="F57" s="9">
        <v>199662.56324999998</v>
      </c>
      <c r="G57" s="10">
        <v>0.94849091899999993</v>
      </c>
      <c r="H57" s="39"/>
    </row>
    <row r="58" spans="1:8" x14ac:dyDescent="0.2">
      <c r="A58" s="1"/>
      <c r="B58" s="1"/>
      <c r="C58" s="11"/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113</v>
      </c>
      <c r="D59" s="1"/>
      <c r="E59" s="1"/>
      <c r="F59" s="1"/>
      <c r="G59" s="1"/>
      <c r="H59" s="39"/>
    </row>
    <row r="60" spans="1:8" x14ac:dyDescent="0.2">
      <c r="A60" s="3">
        <v>1</v>
      </c>
      <c r="B60" s="4" t="s">
        <v>890</v>
      </c>
      <c r="C60" s="4" t="s">
        <v>891</v>
      </c>
      <c r="D60" s="4"/>
      <c r="E60" s="5">
        <v>37829</v>
      </c>
      <c r="F60" s="6">
        <v>781.16332847900003</v>
      </c>
      <c r="G60" s="7">
        <v>3.7108929999999998E-3</v>
      </c>
      <c r="H60" s="39"/>
    </row>
    <row r="61" spans="1:8" x14ac:dyDescent="0.2">
      <c r="A61" s="1"/>
      <c r="B61" s="1"/>
      <c r="C61" s="2" t="s">
        <v>111</v>
      </c>
      <c r="D61" s="1"/>
      <c r="E61" s="1" t="s">
        <v>112</v>
      </c>
      <c r="F61" s="9">
        <v>781.16332847900003</v>
      </c>
      <c r="G61" s="10">
        <v>3.7108929999999998E-3</v>
      </c>
      <c r="H61" s="39"/>
    </row>
    <row r="62" spans="1:8" x14ac:dyDescent="0.2">
      <c r="A62" s="1"/>
      <c r="B62" s="1"/>
      <c r="C62" s="11"/>
      <c r="D62" s="1"/>
      <c r="E62" s="1"/>
      <c r="F62" s="12"/>
      <c r="G62" s="12"/>
      <c r="H62" s="39"/>
    </row>
    <row r="63" spans="1:8" x14ac:dyDescent="0.2">
      <c r="A63" s="1"/>
      <c r="B63" s="1"/>
      <c r="C63" s="2" t="s">
        <v>114</v>
      </c>
      <c r="D63" s="1"/>
      <c r="E63" s="1"/>
      <c r="F63" s="1"/>
      <c r="G63" s="1"/>
      <c r="H63" s="39"/>
    </row>
    <row r="64" spans="1:8" x14ac:dyDescent="0.2">
      <c r="A64" s="1"/>
      <c r="B64" s="1"/>
      <c r="C64" s="2" t="s">
        <v>111</v>
      </c>
      <c r="D64" s="1"/>
      <c r="E64" s="1" t="s">
        <v>112</v>
      </c>
      <c r="F64" s="13">
        <v>0</v>
      </c>
      <c r="G64" s="14">
        <v>0</v>
      </c>
      <c r="H64" s="39"/>
    </row>
    <row r="65" spans="1:8" x14ac:dyDescent="0.2">
      <c r="A65" s="1"/>
      <c r="B65" s="1"/>
      <c r="C65" s="11"/>
      <c r="D65" s="1"/>
      <c r="E65" s="1"/>
      <c r="F65" s="12"/>
      <c r="G65" s="12"/>
      <c r="H65" s="39"/>
    </row>
    <row r="66" spans="1:8" x14ac:dyDescent="0.2">
      <c r="A66" s="1"/>
      <c r="B66" s="1"/>
      <c r="C66" s="2" t="s">
        <v>115</v>
      </c>
      <c r="D66" s="1"/>
      <c r="E66" s="1"/>
      <c r="F66" s="1"/>
      <c r="G66" s="1"/>
      <c r="H66" s="39"/>
    </row>
    <row r="67" spans="1:8" x14ac:dyDescent="0.2">
      <c r="A67" s="1"/>
      <c r="B67" s="1"/>
      <c r="C67" s="2" t="s">
        <v>111</v>
      </c>
      <c r="D67" s="1"/>
      <c r="E67" s="1" t="s">
        <v>112</v>
      </c>
      <c r="F67" s="9">
        <v>0</v>
      </c>
      <c r="G67" s="10">
        <v>0</v>
      </c>
      <c r="H67" s="39"/>
    </row>
    <row r="68" spans="1:8" x14ac:dyDescent="0.2">
      <c r="A68" s="1"/>
      <c r="B68" s="1"/>
      <c r="C68" s="11"/>
      <c r="D68" s="1"/>
      <c r="E68" s="1"/>
      <c r="F68" s="12"/>
      <c r="G68" s="12"/>
      <c r="H68" s="39"/>
    </row>
    <row r="69" spans="1:8" x14ac:dyDescent="0.2">
      <c r="A69" s="1"/>
      <c r="B69" s="1"/>
      <c r="C69" s="2" t="s">
        <v>116</v>
      </c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111</v>
      </c>
      <c r="D70" s="1"/>
      <c r="E70" s="1" t="s">
        <v>112</v>
      </c>
      <c r="F70" s="13">
        <v>0</v>
      </c>
      <c r="G70" s="14">
        <v>0</v>
      </c>
      <c r="H70" s="39"/>
    </row>
    <row r="71" spans="1:8" x14ac:dyDescent="0.2">
      <c r="A71" s="1"/>
      <c r="B71" s="1"/>
      <c r="C71" s="11"/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117</v>
      </c>
      <c r="D72" s="1"/>
      <c r="E72" s="1"/>
      <c r="F72" s="12"/>
      <c r="G72" s="12"/>
      <c r="H72" s="39"/>
    </row>
    <row r="73" spans="1:8" x14ac:dyDescent="0.2">
      <c r="A73" s="1"/>
      <c r="B73" s="1"/>
      <c r="C73" s="2" t="s">
        <v>111</v>
      </c>
      <c r="D73" s="1"/>
      <c r="E73" s="1" t="s">
        <v>112</v>
      </c>
      <c r="F73" s="13">
        <v>0</v>
      </c>
      <c r="G73" s="14">
        <v>0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118</v>
      </c>
      <c r="D75" s="1"/>
      <c r="E75" s="1"/>
      <c r="F75" s="9">
        <v>200443.72657847899</v>
      </c>
      <c r="G75" s="10">
        <v>0.95220181199999998</v>
      </c>
      <c r="H75" s="39"/>
    </row>
    <row r="76" spans="1:8" x14ac:dyDescent="0.2">
      <c r="A76" s="1"/>
      <c r="B76" s="1"/>
      <c r="C76" s="11"/>
      <c r="D76" s="1"/>
      <c r="E76" s="1"/>
      <c r="F76" s="12"/>
      <c r="G76" s="12"/>
      <c r="H76" s="39"/>
    </row>
    <row r="77" spans="1:8" x14ac:dyDescent="0.2">
      <c r="A77" s="1"/>
      <c r="B77" s="1"/>
      <c r="C77" s="2" t="s">
        <v>119</v>
      </c>
      <c r="D77" s="1"/>
      <c r="E77" s="1"/>
      <c r="F77" s="12"/>
      <c r="G77" s="12"/>
      <c r="H77" s="39"/>
    </row>
    <row r="78" spans="1:8" ht="25.5" x14ac:dyDescent="0.2">
      <c r="A78" s="1"/>
      <c r="B78" s="1"/>
      <c r="C78" s="2" t="s">
        <v>10</v>
      </c>
      <c r="D78" s="1"/>
      <c r="E78" s="1"/>
      <c r="F78" s="12"/>
      <c r="G78" s="12"/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120</v>
      </c>
      <c r="D81" s="1"/>
      <c r="E81" s="1"/>
      <c r="F81" s="1"/>
      <c r="G81" s="1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121</v>
      </c>
      <c r="D84" s="1"/>
      <c r="E84" s="1"/>
      <c r="F84" s="1"/>
      <c r="G84" s="1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122</v>
      </c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123</v>
      </c>
      <c r="D90" s="1"/>
      <c r="E90" s="1"/>
      <c r="F90" s="9">
        <v>0</v>
      </c>
      <c r="G90" s="10">
        <v>0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124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125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126</v>
      </c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127</v>
      </c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128</v>
      </c>
      <c r="D102" s="1"/>
      <c r="E102" s="1"/>
      <c r="F102" s="12"/>
      <c r="G102" s="12"/>
      <c r="H102" s="39"/>
    </row>
    <row r="103" spans="1:8" x14ac:dyDescent="0.2">
      <c r="A103" s="3">
        <v>1</v>
      </c>
      <c r="B103" s="4"/>
      <c r="C103" s="4" t="s">
        <v>129</v>
      </c>
      <c r="D103" s="4"/>
      <c r="E103" s="8"/>
      <c r="F103" s="6">
        <v>9936.0844557</v>
      </c>
      <c r="G103" s="7">
        <v>4.7201066E-2</v>
      </c>
      <c r="H103" s="39">
        <v>3.6151121728634927</v>
      </c>
    </row>
    <row r="104" spans="1:8" x14ac:dyDescent="0.2">
      <c r="A104" s="3">
        <v>2</v>
      </c>
      <c r="B104" s="4"/>
      <c r="C104" s="4" t="s">
        <v>130</v>
      </c>
      <c r="D104" s="4"/>
      <c r="E104" s="8"/>
      <c r="F104" s="6">
        <v>3513.1710420999998</v>
      </c>
      <c r="G104" s="7">
        <v>1.6689211999999998E-2</v>
      </c>
      <c r="H104" s="39">
        <v>3.7142625760646584</v>
      </c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9">
        <v>13449.255497800001</v>
      </c>
      <c r="G105" s="10">
        <v>6.3890277999999995E-2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131</v>
      </c>
      <c r="D107" s="1"/>
      <c r="E107" s="1"/>
      <c r="F107" s="9">
        <v>13449.255497800001</v>
      </c>
      <c r="G107" s="10">
        <v>6.3890277999999995E-2</v>
      </c>
      <c r="H107" s="39"/>
    </row>
    <row r="108" spans="1:8" x14ac:dyDescent="0.2">
      <c r="A108" s="1"/>
      <c r="B108" s="1"/>
      <c r="C108" s="12"/>
      <c r="D108" s="1"/>
      <c r="E108" s="1"/>
      <c r="F108" s="1"/>
      <c r="G108" s="1"/>
      <c r="H108" s="39"/>
    </row>
    <row r="109" spans="1:8" x14ac:dyDescent="0.2">
      <c r="A109" s="1"/>
      <c r="B109" s="1"/>
      <c r="C109" s="2" t="s">
        <v>132</v>
      </c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133</v>
      </c>
      <c r="D110" s="1"/>
      <c r="E110" s="1"/>
      <c r="F110" s="1"/>
      <c r="G110" s="1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8" x14ac:dyDescent="0.2">
      <c r="A113" s="1"/>
      <c r="B113" s="1"/>
      <c r="C113" s="2" t="s">
        <v>134</v>
      </c>
      <c r="D113" s="1"/>
      <c r="E113" s="1"/>
      <c r="F113" s="1"/>
      <c r="G113" s="1"/>
      <c r="H113" s="39"/>
    </row>
    <row r="114" spans="1:8" x14ac:dyDescent="0.2">
      <c r="A114" s="1"/>
      <c r="B114" s="1"/>
      <c r="C114" s="2" t="s">
        <v>135</v>
      </c>
      <c r="D114" s="1"/>
      <c r="E114" s="1"/>
      <c r="F114" s="1"/>
      <c r="G114" s="1"/>
      <c r="H114" s="39"/>
    </row>
    <row r="115" spans="1:8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x14ac:dyDescent="0.2">
      <c r="A117" s="1"/>
      <c r="B117" s="1"/>
      <c r="C117" s="11"/>
      <c r="D117" s="1"/>
      <c r="E117" s="1"/>
      <c r="F117" s="12"/>
      <c r="G117" s="12"/>
      <c r="H117" s="39"/>
    </row>
    <row r="118" spans="1:8" ht="25.5" x14ac:dyDescent="0.2">
      <c r="A118" s="1"/>
      <c r="B118" s="1"/>
      <c r="C118" s="2" t="s">
        <v>136</v>
      </c>
      <c r="D118" s="1"/>
      <c r="E118" s="1"/>
      <c r="F118" s="12"/>
      <c r="G118" s="12"/>
      <c r="H118" s="39"/>
    </row>
    <row r="119" spans="1:8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39"/>
    </row>
    <row r="120" spans="1:8" x14ac:dyDescent="0.2">
      <c r="A120" s="1"/>
      <c r="B120" s="1"/>
      <c r="C120" s="11"/>
      <c r="D120" s="1"/>
      <c r="E120" s="1"/>
      <c r="F120" s="12"/>
      <c r="G120" s="12"/>
      <c r="H120" s="39"/>
    </row>
    <row r="121" spans="1:8" x14ac:dyDescent="0.2">
      <c r="A121" s="1"/>
      <c r="B121" s="4"/>
      <c r="C121" s="4"/>
      <c r="D121" s="2"/>
      <c r="E121" s="1"/>
      <c r="F121" s="4"/>
      <c r="G121" s="8"/>
      <c r="H121" s="39"/>
    </row>
    <row r="122" spans="1:8" x14ac:dyDescent="0.2">
      <c r="A122" s="8"/>
      <c r="B122" s="4"/>
      <c r="C122" s="4" t="s">
        <v>137</v>
      </c>
      <c r="D122" s="4"/>
      <c r="E122" s="8"/>
      <c r="F122" s="6">
        <v>-3387.4726705899998</v>
      </c>
      <c r="G122" s="7">
        <v>-1.6092085999999999E-2</v>
      </c>
      <c r="H122" s="39"/>
    </row>
    <row r="123" spans="1:8" x14ac:dyDescent="0.2">
      <c r="A123" s="11"/>
      <c r="B123" s="11"/>
      <c r="C123" s="2" t="s">
        <v>138</v>
      </c>
      <c r="D123" s="15"/>
      <c r="E123" s="15"/>
      <c r="F123" s="9">
        <v>210505.50940568899</v>
      </c>
      <c r="G123" s="10">
        <v>1.0000000039999999</v>
      </c>
      <c r="H123" s="39"/>
    </row>
    <row r="124" spans="1:8" ht="14.1" customHeight="1" x14ac:dyDescent="0.2">
      <c r="A124" s="16"/>
      <c r="B124" s="16"/>
      <c r="C124" s="16"/>
      <c r="D124" s="17"/>
      <c r="E124" s="17"/>
      <c r="F124" s="17"/>
      <c r="G124" s="17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194" t="s">
        <v>140</v>
      </c>
      <c r="C126" s="195"/>
      <c r="D126" s="12" t="s">
        <v>112</v>
      </c>
      <c r="E126" s="21"/>
      <c r="F126" s="20"/>
      <c r="G126" s="20"/>
    </row>
    <row r="127" spans="1:8" ht="29.1" customHeight="1" x14ac:dyDescent="0.2">
      <c r="A127" s="18"/>
      <c r="B127" s="189" t="s">
        <v>141</v>
      </c>
      <c r="C127" s="190"/>
      <c r="D127" s="2" t="s">
        <v>142</v>
      </c>
      <c r="E127" s="21"/>
      <c r="F127" s="20"/>
      <c r="G127" s="20"/>
    </row>
    <row r="128" spans="1:8" ht="17.100000000000001" customHeight="1" x14ac:dyDescent="0.2">
      <c r="A128" s="18"/>
      <c r="B128" s="189" t="s">
        <v>143</v>
      </c>
      <c r="C128" s="190"/>
      <c r="D128" s="2" t="s">
        <v>142</v>
      </c>
      <c r="E128" s="21"/>
      <c r="F128" s="20"/>
      <c r="G128" s="20"/>
    </row>
    <row r="129" spans="1:17" ht="17.100000000000001" customHeight="1" x14ac:dyDescent="0.2">
      <c r="A129" s="18"/>
      <c r="B129" s="189" t="s">
        <v>144</v>
      </c>
      <c r="C129" s="190"/>
      <c r="D129" s="12" t="s">
        <v>112</v>
      </c>
      <c r="E129" s="21"/>
      <c r="F129" s="20"/>
      <c r="G129" s="20"/>
    </row>
    <row r="130" spans="1:17" ht="24" customHeight="1" x14ac:dyDescent="0.2">
      <c r="A130" s="22"/>
      <c r="B130" s="23" t="s">
        <v>112</v>
      </c>
      <c r="C130" s="23" t="s">
        <v>145</v>
      </c>
      <c r="D130" s="23" t="s">
        <v>146</v>
      </c>
      <c r="E130" s="22"/>
      <c r="F130" s="22"/>
      <c r="G130" s="22"/>
    </row>
    <row r="131" spans="1:17" ht="18" customHeight="1" x14ac:dyDescent="0.2">
      <c r="A131" s="22"/>
      <c r="B131" s="23" t="s">
        <v>147</v>
      </c>
      <c r="C131" s="23" t="s">
        <v>148</v>
      </c>
      <c r="D131" s="23" t="s">
        <v>149</v>
      </c>
      <c r="E131" s="22"/>
      <c r="F131" s="22"/>
      <c r="G131" s="22"/>
    </row>
    <row r="132" spans="1:17" ht="17.100000000000001" customHeight="1" x14ac:dyDescent="0.2">
      <c r="A132" s="22"/>
      <c r="B132" s="4" t="s">
        <v>150</v>
      </c>
      <c r="C132" s="24">
        <v>20.420000000000002</v>
      </c>
      <c r="D132" s="24">
        <v>21.7468</v>
      </c>
      <c r="E132" s="22"/>
      <c r="F132" s="19"/>
      <c r="G132" s="25"/>
    </row>
    <row r="133" spans="1:17" ht="17.100000000000001" customHeight="1" x14ac:dyDescent="0.2">
      <c r="A133" s="22"/>
      <c r="B133" s="4" t="s">
        <v>1092</v>
      </c>
      <c r="C133" s="24">
        <v>17.402799999999999</v>
      </c>
      <c r="D133" s="24">
        <v>18.533799999999999</v>
      </c>
      <c r="E133" s="22"/>
      <c r="F133" s="19"/>
      <c r="G133" s="25"/>
    </row>
    <row r="134" spans="1:17" ht="17.100000000000001" customHeight="1" x14ac:dyDescent="0.2">
      <c r="A134" s="22"/>
      <c r="B134" s="4" t="s">
        <v>151</v>
      </c>
      <c r="C134" s="24">
        <v>19.664000000000001</v>
      </c>
      <c r="D134" s="24">
        <v>20.915500000000002</v>
      </c>
      <c r="E134" s="22"/>
      <c r="F134" s="19"/>
      <c r="G134" s="25"/>
    </row>
    <row r="135" spans="1:17" ht="17.100000000000001" customHeight="1" x14ac:dyDescent="0.2">
      <c r="A135" s="22"/>
      <c r="B135" s="4" t="s">
        <v>1093</v>
      </c>
      <c r="C135" s="24">
        <v>16.743200000000002</v>
      </c>
      <c r="D135" s="24">
        <v>17.808900000000001</v>
      </c>
      <c r="E135" s="22"/>
      <c r="F135" s="19"/>
      <c r="G135" s="25"/>
    </row>
    <row r="136" spans="1:17" ht="14.1" customHeight="1" x14ac:dyDescent="0.2">
      <c r="A136" s="22"/>
      <c r="B136" s="22"/>
      <c r="C136" s="22"/>
      <c r="D136" s="22"/>
      <c r="E136" s="22"/>
      <c r="F136" s="22"/>
      <c r="G136" s="22"/>
    </row>
    <row r="137" spans="1:17" ht="17.100000000000001" customHeight="1" x14ac:dyDescent="0.2">
      <c r="A137" s="22"/>
      <c r="B137" s="189" t="s">
        <v>1094</v>
      </c>
      <c r="C137" s="190"/>
      <c r="D137" s="2" t="s">
        <v>142</v>
      </c>
      <c r="E137" s="22"/>
      <c r="F137" s="22"/>
      <c r="G137" s="22"/>
    </row>
    <row r="138" spans="1:17" ht="18" customHeight="1" x14ac:dyDescent="0.2">
      <c r="A138" s="22"/>
      <c r="B138" s="26"/>
      <c r="C138" s="26"/>
      <c r="D138" s="27"/>
      <c r="E138" s="22"/>
      <c r="F138" s="22"/>
      <c r="G138" s="22"/>
      <c r="J138" s="101"/>
      <c r="K138" s="101"/>
      <c r="L138" s="101"/>
      <c r="M138" s="101"/>
      <c r="N138" s="101"/>
      <c r="O138" s="101"/>
    </row>
    <row r="139" spans="1:17" s="101" customFormat="1" x14ac:dyDescent="0.2">
      <c r="B139" s="193" t="s">
        <v>1102</v>
      </c>
      <c r="C139" s="193"/>
      <c r="D139" s="193"/>
      <c r="E139" s="193"/>
      <c r="F139" s="193"/>
      <c r="I139"/>
      <c r="J139"/>
      <c r="K139"/>
      <c r="L139"/>
      <c r="M139"/>
      <c r="N139"/>
      <c r="O139"/>
      <c r="P139" s="41"/>
      <c r="Q139" s="41"/>
    </row>
    <row r="140" spans="1:17" ht="14.1" customHeight="1" x14ac:dyDescent="0.2">
      <c r="A140" s="22"/>
      <c r="B140" s="54"/>
      <c r="C140" s="54"/>
      <c r="D140" s="22"/>
      <c r="E140" s="22"/>
      <c r="F140" s="22"/>
      <c r="G140" s="22"/>
    </row>
    <row r="141" spans="1:17" ht="29.1" customHeight="1" x14ac:dyDescent="0.2">
      <c r="A141" s="22"/>
      <c r="B141" s="189" t="s">
        <v>152</v>
      </c>
      <c r="C141" s="190"/>
      <c r="D141" s="2" t="s">
        <v>142</v>
      </c>
      <c r="E141" s="22"/>
      <c r="F141" s="22"/>
      <c r="G141" s="22"/>
    </row>
    <row r="142" spans="1:17" ht="29.1" customHeight="1" x14ac:dyDescent="0.2">
      <c r="A142" s="22"/>
      <c r="B142" s="189" t="s">
        <v>153</v>
      </c>
      <c r="C142" s="190"/>
      <c r="D142" s="51" t="s">
        <v>1043</v>
      </c>
      <c r="E142" s="22"/>
      <c r="F142" s="22"/>
      <c r="G142" s="22"/>
    </row>
    <row r="143" spans="1:17" ht="17.100000000000001" customHeight="1" x14ac:dyDescent="0.2">
      <c r="A143" s="22"/>
      <c r="B143" s="189" t="s">
        <v>154</v>
      </c>
      <c r="C143" s="190"/>
      <c r="D143" s="28">
        <v>0.51385442829745986</v>
      </c>
      <c r="E143" s="22"/>
      <c r="F143" s="19"/>
      <c r="G143" s="25"/>
    </row>
    <row r="144" spans="1:17" ht="17.100000000000001" customHeight="1" x14ac:dyDescent="0.2">
      <c r="A144" s="22"/>
      <c r="B144" s="189" t="s">
        <v>155</v>
      </c>
      <c r="C144" s="190"/>
      <c r="D144" s="2" t="s">
        <v>142</v>
      </c>
      <c r="E144" s="22"/>
      <c r="F144" s="22"/>
      <c r="G144" s="22"/>
    </row>
  </sheetData>
  <mergeCells count="14">
    <mergeCell ref="B144:C144"/>
    <mergeCell ref="B127:C127"/>
    <mergeCell ref="B128:C128"/>
    <mergeCell ref="B129:C129"/>
    <mergeCell ref="B137:C137"/>
    <mergeCell ref="B141:C141"/>
    <mergeCell ref="B142:C142"/>
    <mergeCell ref="B143:C143"/>
    <mergeCell ref="A1:H1"/>
    <mergeCell ref="A2:H2"/>
    <mergeCell ref="A3:H3"/>
    <mergeCell ref="B139:F139"/>
    <mergeCell ref="J2:N2"/>
    <mergeCell ref="B126:C12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Q14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892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2200000</v>
      </c>
      <c r="F7" s="6">
        <v>16066.6</v>
      </c>
      <c r="G7" s="7">
        <v>8.3432674999999998E-2</v>
      </c>
      <c r="H7" s="39"/>
    </row>
    <row r="8" spans="1:14" x14ac:dyDescent="0.2">
      <c r="A8" s="3">
        <v>2</v>
      </c>
      <c r="B8" s="4" t="s">
        <v>386</v>
      </c>
      <c r="C8" s="4" t="s">
        <v>387</v>
      </c>
      <c r="D8" s="4" t="s">
        <v>1143</v>
      </c>
      <c r="E8" s="5">
        <v>734571</v>
      </c>
      <c r="F8" s="6">
        <v>14007.1671135</v>
      </c>
      <c r="G8" s="7">
        <v>7.2738190999999994E-2</v>
      </c>
      <c r="H8" s="39"/>
    </row>
    <row r="9" spans="1:14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810000</v>
      </c>
      <c r="F9" s="6">
        <v>11909.834999999999</v>
      </c>
      <c r="G9" s="7">
        <v>6.1846898999999997E-2</v>
      </c>
      <c r="H9" s="39"/>
    </row>
    <row r="10" spans="1:14" x14ac:dyDescent="0.2">
      <c r="A10" s="3">
        <v>4</v>
      </c>
      <c r="B10" s="4" t="s">
        <v>13</v>
      </c>
      <c r="C10" s="4" t="s">
        <v>14</v>
      </c>
      <c r="D10" s="4" t="s">
        <v>15</v>
      </c>
      <c r="E10" s="5">
        <v>427195</v>
      </c>
      <c r="F10" s="6">
        <v>11255.5202625</v>
      </c>
      <c r="G10" s="7">
        <v>5.8449091000000002E-2</v>
      </c>
      <c r="H10" s="39"/>
    </row>
    <row r="11" spans="1:14" x14ac:dyDescent="0.2">
      <c r="A11" s="3">
        <v>5</v>
      </c>
      <c r="B11" s="4" t="s">
        <v>300</v>
      </c>
      <c r="C11" s="4" t="s">
        <v>301</v>
      </c>
      <c r="D11" s="4" t="s">
        <v>18</v>
      </c>
      <c r="E11" s="5">
        <v>1170000</v>
      </c>
      <c r="F11" s="6">
        <v>8905.4549999999999</v>
      </c>
      <c r="G11" s="7">
        <v>4.6245373999999999E-2</v>
      </c>
      <c r="H11" s="39"/>
    </row>
    <row r="12" spans="1:14" x14ac:dyDescent="0.2">
      <c r="A12" s="3">
        <v>6</v>
      </c>
      <c r="B12" s="4" t="s">
        <v>49</v>
      </c>
      <c r="C12" s="4" t="s">
        <v>50</v>
      </c>
      <c r="D12" s="4" t="s">
        <v>18</v>
      </c>
      <c r="E12" s="5">
        <v>1715000</v>
      </c>
      <c r="F12" s="6">
        <v>8464.3824999999997</v>
      </c>
      <c r="G12" s="7">
        <v>4.3954917000000003E-2</v>
      </c>
      <c r="H12" s="39"/>
    </row>
    <row r="13" spans="1:14" x14ac:dyDescent="0.2">
      <c r="A13" s="3">
        <v>7</v>
      </c>
      <c r="B13" s="4" t="s">
        <v>30</v>
      </c>
      <c r="C13" s="4" t="s">
        <v>31</v>
      </c>
      <c r="D13" s="4" t="s">
        <v>29</v>
      </c>
      <c r="E13" s="5">
        <v>390876</v>
      </c>
      <c r="F13" s="6">
        <v>7035.5725620000003</v>
      </c>
      <c r="G13" s="7">
        <v>3.6535211999999997E-2</v>
      </c>
      <c r="H13" s="39"/>
    </row>
    <row r="14" spans="1:14" x14ac:dyDescent="0.2">
      <c r="A14" s="3">
        <v>8</v>
      </c>
      <c r="B14" s="4" t="s">
        <v>392</v>
      </c>
      <c r="C14" s="4" t="s">
        <v>393</v>
      </c>
      <c r="D14" s="4" t="s">
        <v>1143</v>
      </c>
      <c r="E14" s="5">
        <v>175776</v>
      </c>
      <c r="F14" s="6">
        <v>6573.9345119999998</v>
      </c>
      <c r="G14" s="7">
        <v>3.4137959000000002E-2</v>
      </c>
      <c r="H14" s="39"/>
    </row>
    <row r="15" spans="1:14" ht="15" x14ac:dyDescent="0.2">
      <c r="A15" s="3">
        <v>9</v>
      </c>
      <c r="B15" s="4" t="s">
        <v>27</v>
      </c>
      <c r="C15" s="4" t="s">
        <v>28</v>
      </c>
      <c r="D15" s="4" t="s">
        <v>29</v>
      </c>
      <c r="E15" s="5">
        <v>229000</v>
      </c>
      <c r="F15" s="6">
        <v>5414.4759999999997</v>
      </c>
      <c r="G15" s="7">
        <v>2.8116975999999998E-2</v>
      </c>
      <c r="H15" s="39"/>
      <c r="J15" s="176" t="s">
        <v>1198</v>
      </c>
    </row>
    <row r="16" spans="1:14" ht="25.5" x14ac:dyDescent="0.2">
      <c r="A16" s="3">
        <v>10</v>
      </c>
      <c r="B16" s="4" t="s">
        <v>237</v>
      </c>
      <c r="C16" s="4" t="s">
        <v>238</v>
      </c>
      <c r="D16" s="4" t="s">
        <v>1153</v>
      </c>
      <c r="E16" s="5">
        <v>122000</v>
      </c>
      <c r="F16" s="6">
        <v>4980.2839999999997</v>
      </c>
      <c r="G16" s="7">
        <v>2.5862249E-2</v>
      </c>
      <c r="H16" s="39"/>
    </row>
    <row r="17" spans="1:10" ht="25.5" x14ac:dyDescent="0.2">
      <c r="A17" s="3">
        <v>11</v>
      </c>
      <c r="B17" s="4" t="s">
        <v>390</v>
      </c>
      <c r="C17" s="4" t="s">
        <v>391</v>
      </c>
      <c r="D17" s="4" t="s">
        <v>82</v>
      </c>
      <c r="E17" s="5">
        <v>205814</v>
      </c>
      <c r="F17" s="6">
        <v>4919.7778559999997</v>
      </c>
      <c r="G17" s="7">
        <v>2.5548044999999998E-2</v>
      </c>
      <c r="H17" s="39"/>
    </row>
    <row r="18" spans="1:10" ht="25.5" x14ac:dyDescent="0.2">
      <c r="A18" s="3">
        <v>12</v>
      </c>
      <c r="B18" s="4" t="s">
        <v>83</v>
      </c>
      <c r="C18" s="4" t="s">
        <v>84</v>
      </c>
      <c r="D18" s="4" t="s">
        <v>1137</v>
      </c>
      <c r="E18" s="5">
        <v>4089762</v>
      </c>
      <c r="F18" s="6">
        <v>4795.2459449999997</v>
      </c>
      <c r="G18" s="7">
        <v>2.4901360000000001E-2</v>
      </c>
      <c r="H18" s="39"/>
    </row>
    <row r="19" spans="1:10" x14ac:dyDescent="0.2">
      <c r="A19" s="3">
        <v>13</v>
      </c>
      <c r="B19" s="4" t="s">
        <v>11</v>
      </c>
      <c r="C19" s="4" t="s">
        <v>12</v>
      </c>
      <c r="D19" s="4" t="s">
        <v>60</v>
      </c>
      <c r="E19" s="5">
        <v>262761</v>
      </c>
      <c r="F19" s="6">
        <v>4644.6948165000003</v>
      </c>
      <c r="G19" s="7">
        <v>2.4119558999999999E-2</v>
      </c>
      <c r="H19" s="39"/>
    </row>
    <row r="20" spans="1:10" x14ac:dyDescent="0.2">
      <c r="A20" s="3">
        <v>14</v>
      </c>
      <c r="B20" s="4" t="s">
        <v>19</v>
      </c>
      <c r="C20" s="4" t="s">
        <v>20</v>
      </c>
      <c r="D20" s="4" t="s">
        <v>21</v>
      </c>
      <c r="E20" s="5">
        <v>603513</v>
      </c>
      <c r="F20" s="6">
        <v>4556.2213935</v>
      </c>
      <c r="G20" s="7">
        <v>2.3660123000000002E-2</v>
      </c>
      <c r="H20" s="39"/>
    </row>
    <row r="21" spans="1:10" x14ac:dyDescent="0.2">
      <c r="A21" s="3">
        <v>15</v>
      </c>
      <c r="B21" s="4" t="s">
        <v>343</v>
      </c>
      <c r="C21" s="4" t="s">
        <v>344</v>
      </c>
      <c r="D21" s="4" t="s">
        <v>1026</v>
      </c>
      <c r="E21" s="5">
        <v>143000</v>
      </c>
      <c r="F21" s="6">
        <v>3770.1950000000002</v>
      </c>
      <c r="G21" s="7">
        <v>1.9578346E-2</v>
      </c>
      <c r="H21" s="39"/>
    </row>
    <row r="22" spans="1:10" x14ac:dyDescent="0.2">
      <c r="A22" s="3">
        <v>16</v>
      </c>
      <c r="B22" s="4" t="s">
        <v>420</v>
      </c>
      <c r="C22" s="4" t="s">
        <v>421</v>
      </c>
      <c r="D22" s="4" t="s">
        <v>1154</v>
      </c>
      <c r="E22" s="5">
        <v>550000</v>
      </c>
      <c r="F22" s="6">
        <v>3736.9749999999999</v>
      </c>
      <c r="G22" s="7">
        <v>1.9405836999999999E-2</v>
      </c>
      <c r="H22" s="39"/>
    </row>
    <row r="23" spans="1:10" ht="25.5" x14ac:dyDescent="0.2">
      <c r="A23" s="3">
        <v>17</v>
      </c>
      <c r="B23" s="4" t="s">
        <v>396</v>
      </c>
      <c r="C23" s="4" t="s">
        <v>397</v>
      </c>
      <c r="D23" s="4" t="s">
        <v>1138</v>
      </c>
      <c r="E23" s="5">
        <v>397908</v>
      </c>
      <c r="F23" s="6">
        <v>3639.8634299999999</v>
      </c>
      <c r="G23" s="7">
        <v>1.8901543999999999E-2</v>
      </c>
      <c r="H23" s="39"/>
    </row>
    <row r="24" spans="1:10" x14ac:dyDescent="0.2">
      <c r="A24" s="3">
        <v>18</v>
      </c>
      <c r="B24" s="4" t="s">
        <v>317</v>
      </c>
      <c r="C24" s="4" t="s">
        <v>318</v>
      </c>
      <c r="D24" s="4" t="s">
        <v>1144</v>
      </c>
      <c r="E24" s="5">
        <v>386515</v>
      </c>
      <c r="F24" s="6">
        <v>3638.2656950000001</v>
      </c>
      <c r="G24" s="7">
        <v>1.8893246999999998E-2</v>
      </c>
      <c r="H24" s="39"/>
    </row>
    <row r="25" spans="1:10" x14ac:dyDescent="0.2">
      <c r="A25" s="3">
        <v>19</v>
      </c>
      <c r="B25" s="4" t="s">
        <v>359</v>
      </c>
      <c r="C25" s="4" t="s">
        <v>360</v>
      </c>
      <c r="D25" s="4" t="s">
        <v>82</v>
      </c>
      <c r="E25" s="5">
        <v>21000</v>
      </c>
      <c r="F25" s="6">
        <v>3582.6945000000001</v>
      </c>
      <c r="G25" s="7">
        <v>1.860467E-2</v>
      </c>
      <c r="H25" s="39"/>
    </row>
    <row r="26" spans="1:10" ht="25.5" x14ac:dyDescent="0.2">
      <c r="A26" s="3">
        <v>20</v>
      </c>
      <c r="B26" s="4" t="s">
        <v>80</v>
      </c>
      <c r="C26" s="4" t="s">
        <v>81</v>
      </c>
      <c r="D26" s="4" t="s">
        <v>82</v>
      </c>
      <c r="E26" s="5">
        <v>416756</v>
      </c>
      <c r="F26" s="6">
        <v>2994.1834819999999</v>
      </c>
      <c r="G26" s="7">
        <v>1.5548575E-2</v>
      </c>
      <c r="H26" s="39"/>
    </row>
    <row r="27" spans="1:10" ht="25.5" x14ac:dyDescent="0.2">
      <c r="A27" s="3">
        <v>21</v>
      </c>
      <c r="B27" s="4" t="s">
        <v>321</v>
      </c>
      <c r="C27" s="4" t="s">
        <v>322</v>
      </c>
      <c r="D27" s="4" t="s">
        <v>71</v>
      </c>
      <c r="E27" s="5">
        <v>800000</v>
      </c>
      <c r="F27" s="6">
        <v>2992</v>
      </c>
      <c r="G27" s="7">
        <v>1.5537235999999999E-2</v>
      </c>
      <c r="H27" s="39"/>
    </row>
    <row r="28" spans="1:10" ht="25.5" x14ac:dyDescent="0.2">
      <c r="A28" s="3">
        <v>22</v>
      </c>
      <c r="B28" s="4" t="s">
        <v>335</v>
      </c>
      <c r="C28" s="4" t="s">
        <v>336</v>
      </c>
      <c r="D28" s="4" t="s">
        <v>1138</v>
      </c>
      <c r="E28" s="5">
        <v>88928</v>
      </c>
      <c r="F28" s="6">
        <v>2910.3021920000001</v>
      </c>
      <c r="G28" s="7">
        <v>1.5112986E-2</v>
      </c>
      <c r="H28" s="39"/>
      <c r="J28" s="176" t="s">
        <v>1199</v>
      </c>
    </row>
    <row r="29" spans="1:10" x14ac:dyDescent="0.2">
      <c r="A29" s="3">
        <v>23</v>
      </c>
      <c r="B29" s="4" t="s">
        <v>402</v>
      </c>
      <c r="C29" s="4" t="s">
        <v>403</v>
      </c>
      <c r="D29" s="4" t="s">
        <v>1148</v>
      </c>
      <c r="E29" s="5">
        <v>140000</v>
      </c>
      <c r="F29" s="6">
        <v>2868.11</v>
      </c>
      <c r="G29" s="7">
        <v>1.4893885000000001E-2</v>
      </c>
      <c r="H29" s="39"/>
    </row>
    <row r="30" spans="1:10" x14ac:dyDescent="0.2">
      <c r="A30" s="3">
        <v>24</v>
      </c>
      <c r="B30" s="4" t="s">
        <v>440</v>
      </c>
      <c r="C30" s="4" t="s">
        <v>441</v>
      </c>
      <c r="D30" s="4" t="s">
        <v>1146</v>
      </c>
      <c r="E30" s="5">
        <v>36730</v>
      </c>
      <c r="F30" s="6">
        <v>2777.2654900000002</v>
      </c>
      <c r="G30" s="7">
        <v>1.4422136E-2</v>
      </c>
      <c r="H30" s="39"/>
    </row>
    <row r="31" spans="1:10" x14ac:dyDescent="0.2">
      <c r="A31" s="3">
        <v>25</v>
      </c>
      <c r="B31" s="4" t="s">
        <v>541</v>
      </c>
      <c r="C31" s="4" t="s">
        <v>542</v>
      </c>
      <c r="D31" s="4" t="s">
        <v>1027</v>
      </c>
      <c r="E31" s="5">
        <v>63944</v>
      </c>
      <c r="F31" s="6">
        <v>2707.5168480000002</v>
      </c>
      <c r="G31" s="7">
        <v>1.4059936E-2</v>
      </c>
      <c r="H31" s="39"/>
    </row>
    <row r="32" spans="1:10" x14ac:dyDescent="0.2">
      <c r="A32" s="3">
        <v>26</v>
      </c>
      <c r="B32" s="4" t="s">
        <v>94</v>
      </c>
      <c r="C32" s="4" t="s">
        <v>95</v>
      </c>
      <c r="D32" s="4" t="s">
        <v>1154</v>
      </c>
      <c r="E32" s="5">
        <v>131530</v>
      </c>
      <c r="F32" s="6">
        <v>2554.3126000000002</v>
      </c>
      <c r="G32" s="7">
        <v>1.3264358E-2</v>
      </c>
      <c r="H32" s="39"/>
    </row>
    <row r="33" spans="1:8" ht="25.5" x14ac:dyDescent="0.2">
      <c r="A33" s="3">
        <v>27</v>
      </c>
      <c r="B33" s="4" t="s">
        <v>22</v>
      </c>
      <c r="C33" s="4" t="s">
        <v>23</v>
      </c>
      <c r="D33" s="4" t="s">
        <v>1150</v>
      </c>
      <c r="E33" s="5">
        <v>38000</v>
      </c>
      <c r="F33" s="6">
        <v>2508.8739999999998</v>
      </c>
      <c r="G33" s="7">
        <v>1.3028399E-2</v>
      </c>
      <c r="H33" s="39"/>
    </row>
    <row r="34" spans="1:8" x14ac:dyDescent="0.2">
      <c r="A34" s="3">
        <v>28</v>
      </c>
      <c r="B34" s="4" t="s">
        <v>432</v>
      </c>
      <c r="C34" s="4" t="s">
        <v>433</v>
      </c>
      <c r="D34" s="4" t="s">
        <v>1146</v>
      </c>
      <c r="E34" s="5">
        <v>533583</v>
      </c>
      <c r="F34" s="6">
        <v>2314.4162624999999</v>
      </c>
      <c r="G34" s="7">
        <v>1.2018594E-2</v>
      </c>
      <c r="H34" s="39"/>
    </row>
    <row r="35" spans="1:8" ht="25.5" x14ac:dyDescent="0.2">
      <c r="A35" s="3">
        <v>29</v>
      </c>
      <c r="B35" s="4" t="s">
        <v>72</v>
      </c>
      <c r="C35" s="4" t="s">
        <v>73</v>
      </c>
      <c r="D35" s="4" t="s">
        <v>1137</v>
      </c>
      <c r="E35" s="5">
        <v>125775</v>
      </c>
      <c r="F35" s="6">
        <v>2287.6585875000001</v>
      </c>
      <c r="G35" s="7">
        <v>1.1879643E-2</v>
      </c>
      <c r="H35" s="39"/>
    </row>
    <row r="36" spans="1:8" x14ac:dyDescent="0.2">
      <c r="A36" s="3">
        <v>30</v>
      </c>
      <c r="B36" s="4" t="s">
        <v>394</v>
      </c>
      <c r="C36" s="4" t="s">
        <v>395</v>
      </c>
      <c r="D36" s="4" t="s">
        <v>1142</v>
      </c>
      <c r="E36" s="5">
        <v>191374</v>
      </c>
      <c r="F36" s="6">
        <v>2146.1637230000001</v>
      </c>
      <c r="G36" s="7">
        <v>1.1144871000000001E-2</v>
      </c>
      <c r="H36" s="39"/>
    </row>
    <row r="37" spans="1:8" x14ac:dyDescent="0.2">
      <c r="A37" s="3">
        <v>31</v>
      </c>
      <c r="B37" s="4" t="s">
        <v>422</v>
      </c>
      <c r="C37" s="4" t="s">
        <v>423</v>
      </c>
      <c r="D37" s="4" t="s">
        <v>18</v>
      </c>
      <c r="E37" s="5">
        <v>925292</v>
      </c>
      <c r="F37" s="6">
        <v>2107.3525300000001</v>
      </c>
      <c r="G37" s="7">
        <v>1.0943326999999999E-2</v>
      </c>
      <c r="H37" s="39"/>
    </row>
    <row r="38" spans="1:8" x14ac:dyDescent="0.2">
      <c r="A38" s="3">
        <v>32</v>
      </c>
      <c r="B38" s="4" t="s">
        <v>302</v>
      </c>
      <c r="C38" s="4" t="s">
        <v>303</v>
      </c>
      <c r="D38" s="4" t="s">
        <v>1155</v>
      </c>
      <c r="E38" s="5">
        <v>4715</v>
      </c>
      <c r="F38" s="6">
        <v>2036.3778525</v>
      </c>
      <c r="G38" s="7">
        <v>1.0574761E-2</v>
      </c>
      <c r="H38" s="39"/>
    </row>
    <row r="39" spans="1:8" x14ac:dyDescent="0.2">
      <c r="A39" s="3">
        <v>33</v>
      </c>
      <c r="B39" s="4" t="s">
        <v>788</v>
      </c>
      <c r="C39" s="4" t="s">
        <v>789</v>
      </c>
      <c r="D39" s="4" t="s">
        <v>1143</v>
      </c>
      <c r="E39" s="5">
        <v>40000</v>
      </c>
      <c r="F39" s="6">
        <v>1783</v>
      </c>
      <c r="G39" s="7">
        <v>9.2589879999999992E-3</v>
      </c>
      <c r="H39" s="39"/>
    </row>
    <row r="40" spans="1:8" x14ac:dyDescent="0.2">
      <c r="A40" s="3">
        <v>34</v>
      </c>
      <c r="B40" s="4" t="s">
        <v>298</v>
      </c>
      <c r="C40" s="4" t="s">
        <v>299</v>
      </c>
      <c r="D40" s="4" t="s">
        <v>18</v>
      </c>
      <c r="E40" s="5">
        <v>1809981</v>
      </c>
      <c r="F40" s="6">
        <v>1762.9214939999999</v>
      </c>
      <c r="G40" s="7">
        <v>9.1547220000000006E-3</v>
      </c>
      <c r="H40" s="39"/>
    </row>
    <row r="41" spans="1:8" x14ac:dyDescent="0.2">
      <c r="A41" s="3">
        <v>35</v>
      </c>
      <c r="B41" s="4" t="s">
        <v>309</v>
      </c>
      <c r="C41" s="4" t="s">
        <v>310</v>
      </c>
      <c r="D41" s="4" t="s">
        <v>91</v>
      </c>
      <c r="E41" s="5">
        <v>329620</v>
      </c>
      <c r="F41" s="6">
        <v>1756.3801699999999</v>
      </c>
      <c r="G41" s="7">
        <v>9.1207530000000005E-3</v>
      </c>
      <c r="H41" s="39"/>
    </row>
    <row r="42" spans="1:8" x14ac:dyDescent="0.2">
      <c r="A42" s="3">
        <v>36</v>
      </c>
      <c r="B42" s="4" t="s">
        <v>522</v>
      </c>
      <c r="C42" s="4" t="s">
        <v>523</v>
      </c>
      <c r="D42" s="4" t="s">
        <v>1027</v>
      </c>
      <c r="E42" s="5">
        <v>75000</v>
      </c>
      <c r="F42" s="6">
        <v>1736.8875</v>
      </c>
      <c r="G42" s="7">
        <v>9.0195290000000001E-3</v>
      </c>
      <c r="H42" s="39"/>
    </row>
    <row r="43" spans="1:8" x14ac:dyDescent="0.2">
      <c r="A43" s="3">
        <v>37</v>
      </c>
      <c r="B43" s="4" t="s">
        <v>537</v>
      </c>
      <c r="C43" s="4" t="s">
        <v>538</v>
      </c>
      <c r="D43" s="4" t="s">
        <v>1156</v>
      </c>
      <c r="E43" s="5">
        <v>115680</v>
      </c>
      <c r="F43" s="6">
        <v>1736.5303200000001</v>
      </c>
      <c r="G43" s="7">
        <v>9.0176739999999998E-3</v>
      </c>
      <c r="H43" s="39"/>
    </row>
    <row r="44" spans="1:8" x14ac:dyDescent="0.2">
      <c r="A44" s="3">
        <v>38</v>
      </c>
      <c r="B44" s="4" t="s">
        <v>434</v>
      </c>
      <c r="C44" s="4" t="s">
        <v>435</v>
      </c>
      <c r="D44" s="4" t="s">
        <v>308</v>
      </c>
      <c r="E44" s="5">
        <v>43000</v>
      </c>
      <c r="F44" s="6">
        <v>1721.4404999999999</v>
      </c>
      <c r="G44" s="7">
        <v>8.9393140000000003E-3</v>
      </c>
      <c r="H44" s="39"/>
    </row>
    <row r="45" spans="1:8" x14ac:dyDescent="0.2">
      <c r="A45" s="3">
        <v>39</v>
      </c>
      <c r="B45" s="4" t="s">
        <v>369</v>
      </c>
      <c r="C45" s="4" t="s">
        <v>370</v>
      </c>
      <c r="D45" s="4" t="s">
        <v>1157</v>
      </c>
      <c r="E45" s="5">
        <v>173919</v>
      </c>
      <c r="F45" s="6">
        <v>1634.5777215000001</v>
      </c>
      <c r="G45" s="7">
        <v>8.488242E-3</v>
      </c>
      <c r="H45" s="39"/>
    </row>
    <row r="46" spans="1:8" x14ac:dyDescent="0.2">
      <c r="A46" s="3">
        <v>40</v>
      </c>
      <c r="B46" s="4" t="s">
        <v>398</v>
      </c>
      <c r="C46" s="4" t="s">
        <v>399</v>
      </c>
      <c r="D46" s="4" t="s">
        <v>1143</v>
      </c>
      <c r="E46" s="5">
        <v>271627</v>
      </c>
      <c r="F46" s="6">
        <v>1607.760213</v>
      </c>
      <c r="G46" s="7">
        <v>8.3489810000000001E-3</v>
      </c>
      <c r="H46" s="39"/>
    </row>
    <row r="47" spans="1:8" x14ac:dyDescent="0.2">
      <c r="A47" s="3">
        <v>41</v>
      </c>
      <c r="B47" s="4" t="s">
        <v>410</v>
      </c>
      <c r="C47" s="4" t="s">
        <v>411</v>
      </c>
      <c r="D47" s="4" t="s">
        <v>412</v>
      </c>
      <c r="E47" s="5">
        <v>270000</v>
      </c>
      <c r="F47" s="6">
        <v>1537.65</v>
      </c>
      <c r="G47" s="7">
        <v>7.9849039999999993E-3</v>
      </c>
      <c r="H47" s="39"/>
    </row>
    <row r="48" spans="1:8" x14ac:dyDescent="0.2">
      <c r="A48" s="3">
        <v>42</v>
      </c>
      <c r="B48" s="4" t="s">
        <v>415</v>
      </c>
      <c r="C48" s="4" t="s">
        <v>416</v>
      </c>
      <c r="D48" s="4" t="s">
        <v>18</v>
      </c>
      <c r="E48" s="5">
        <v>86000</v>
      </c>
      <c r="F48" s="6">
        <v>1508.3109999999999</v>
      </c>
      <c r="G48" s="7">
        <v>7.8325479999999999E-3</v>
      </c>
      <c r="H48" s="39"/>
    </row>
    <row r="49" spans="1:8" x14ac:dyDescent="0.2">
      <c r="A49" s="3">
        <v>43</v>
      </c>
      <c r="B49" s="4" t="s">
        <v>526</v>
      </c>
      <c r="C49" s="4" t="s">
        <v>527</v>
      </c>
      <c r="D49" s="4" t="s">
        <v>1143</v>
      </c>
      <c r="E49" s="5">
        <v>96636</v>
      </c>
      <c r="F49" s="6">
        <v>1459.880052</v>
      </c>
      <c r="G49" s="7">
        <v>7.5810499999999998E-3</v>
      </c>
      <c r="H49" s="39"/>
    </row>
    <row r="50" spans="1:8" ht="25.5" x14ac:dyDescent="0.2">
      <c r="A50" s="3">
        <v>44</v>
      </c>
      <c r="B50" s="4" t="s">
        <v>845</v>
      </c>
      <c r="C50" s="4" t="s">
        <v>846</v>
      </c>
      <c r="D50" s="4" t="s">
        <v>1142</v>
      </c>
      <c r="E50" s="5">
        <v>100000</v>
      </c>
      <c r="F50" s="6">
        <v>1328.3</v>
      </c>
      <c r="G50" s="7">
        <v>6.8977639999999998E-3</v>
      </c>
      <c r="H50" s="39"/>
    </row>
    <row r="51" spans="1:8" ht="25.5" x14ac:dyDescent="0.2">
      <c r="A51" s="3">
        <v>45</v>
      </c>
      <c r="B51" s="4" t="s">
        <v>697</v>
      </c>
      <c r="C51" s="4" t="s">
        <v>698</v>
      </c>
      <c r="D51" s="4" t="s">
        <v>1138</v>
      </c>
      <c r="E51" s="5">
        <v>30500</v>
      </c>
      <c r="F51" s="6">
        <v>1310.1122499999999</v>
      </c>
      <c r="G51" s="7">
        <v>6.8033169999999997E-3</v>
      </c>
      <c r="H51" s="39"/>
    </row>
    <row r="52" spans="1:8" x14ac:dyDescent="0.2">
      <c r="A52" s="3">
        <v>46</v>
      </c>
      <c r="B52" s="4" t="s">
        <v>304</v>
      </c>
      <c r="C52" s="4" t="s">
        <v>305</v>
      </c>
      <c r="D52" s="4" t="s">
        <v>18</v>
      </c>
      <c r="E52" s="5">
        <v>1000000</v>
      </c>
      <c r="F52" s="6">
        <v>1116</v>
      </c>
      <c r="G52" s="7">
        <v>5.7953060000000001E-3</v>
      </c>
      <c r="H52" s="39"/>
    </row>
    <row r="53" spans="1:8" x14ac:dyDescent="0.2">
      <c r="A53" s="3">
        <v>47</v>
      </c>
      <c r="B53" s="4" t="s">
        <v>313</v>
      </c>
      <c r="C53" s="4" t="s">
        <v>314</v>
      </c>
      <c r="D53" s="4" t="s">
        <v>1142</v>
      </c>
      <c r="E53" s="5">
        <v>145000</v>
      </c>
      <c r="F53" s="6">
        <v>1093.155</v>
      </c>
      <c r="G53" s="7">
        <v>5.6766739999999996E-3</v>
      </c>
      <c r="H53" s="39"/>
    </row>
    <row r="54" spans="1:8" x14ac:dyDescent="0.2">
      <c r="A54" s="3">
        <v>48</v>
      </c>
      <c r="B54" s="4" t="s">
        <v>533</v>
      </c>
      <c r="C54" s="4" t="s">
        <v>534</v>
      </c>
      <c r="D54" s="4" t="s">
        <v>1027</v>
      </c>
      <c r="E54" s="5">
        <v>101941</v>
      </c>
      <c r="F54" s="6">
        <v>1013.905186</v>
      </c>
      <c r="G54" s="7">
        <v>5.2651349999999998E-3</v>
      </c>
      <c r="H54" s="39"/>
    </row>
    <row r="55" spans="1:8" ht="25.5" x14ac:dyDescent="0.2">
      <c r="A55" s="3">
        <v>49</v>
      </c>
      <c r="B55" s="4" t="s">
        <v>188</v>
      </c>
      <c r="C55" s="4" t="s">
        <v>189</v>
      </c>
      <c r="D55" s="4" t="s">
        <v>1158</v>
      </c>
      <c r="E55" s="5">
        <v>138941</v>
      </c>
      <c r="F55" s="6">
        <v>915.69066050000004</v>
      </c>
      <c r="G55" s="7">
        <v>4.7551140000000004E-3</v>
      </c>
      <c r="H55" s="39"/>
    </row>
    <row r="56" spans="1:8" x14ac:dyDescent="0.2">
      <c r="A56" s="3">
        <v>50</v>
      </c>
      <c r="B56" s="4" t="s">
        <v>573</v>
      </c>
      <c r="C56" s="4" t="s">
        <v>574</v>
      </c>
      <c r="D56" s="4" t="s">
        <v>308</v>
      </c>
      <c r="E56" s="5">
        <v>38998</v>
      </c>
      <c r="F56" s="6">
        <v>377.091161</v>
      </c>
      <c r="G56" s="7">
        <v>1.958207E-3</v>
      </c>
      <c r="H56" s="39"/>
    </row>
    <row r="57" spans="1:8" x14ac:dyDescent="0.2">
      <c r="A57" s="1"/>
      <c r="B57" s="1"/>
      <c r="C57" s="2" t="s">
        <v>111</v>
      </c>
      <c r="D57" s="1"/>
      <c r="E57" s="1" t="s">
        <v>112</v>
      </c>
      <c r="F57" s="9">
        <v>190501.28738150001</v>
      </c>
      <c r="G57" s="10">
        <v>0.98925920300000003</v>
      </c>
      <c r="H57" s="39"/>
    </row>
    <row r="58" spans="1:8" x14ac:dyDescent="0.2">
      <c r="A58" s="1"/>
      <c r="B58" s="1"/>
      <c r="C58" s="11"/>
      <c r="D58" s="1"/>
      <c r="E58" s="1"/>
      <c r="F58" s="12"/>
      <c r="G58" s="12"/>
      <c r="H58" s="39"/>
    </row>
    <row r="59" spans="1:8" x14ac:dyDescent="0.2">
      <c r="A59" s="1"/>
      <c r="B59" s="1"/>
      <c r="C59" s="2" t="s">
        <v>113</v>
      </c>
      <c r="D59" s="1"/>
      <c r="E59" s="1"/>
      <c r="F59" s="1"/>
      <c r="G59" s="1"/>
      <c r="H59" s="39"/>
    </row>
    <row r="60" spans="1:8" x14ac:dyDescent="0.2">
      <c r="A60" s="1"/>
      <c r="B60" s="1"/>
      <c r="C60" s="2" t="s">
        <v>111</v>
      </c>
      <c r="D60" s="1"/>
      <c r="E60" s="1" t="s">
        <v>112</v>
      </c>
      <c r="F60" s="13">
        <v>0</v>
      </c>
      <c r="G60" s="14">
        <v>0</v>
      </c>
      <c r="H60" s="39"/>
    </row>
    <row r="61" spans="1:8" x14ac:dyDescent="0.2">
      <c r="A61" s="1"/>
      <c r="B61" s="1"/>
      <c r="C61" s="11"/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114</v>
      </c>
      <c r="D62" s="1"/>
      <c r="E62" s="1"/>
      <c r="F62" s="1"/>
      <c r="G62" s="1"/>
      <c r="H62" s="39"/>
    </row>
    <row r="63" spans="1:8" x14ac:dyDescent="0.2">
      <c r="A63" s="1"/>
      <c r="B63" s="1"/>
      <c r="C63" s="2" t="s">
        <v>111</v>
      </c>
      <c r="D63" s="1"/>
      <c r="E63" s="1" t="s">
        <v>112</v>
      </c>
      <c r="F63" s="13">
        <v>0</v>
      </c>
      <c r="G63" s="14">
        <v>0</v>
      </c>
      <c r="H63" s="39"/>
    </row>
    <row r="64" spans="1:8" x14ac:dyDescent="0.2">
      <c r="A64" s="1"/>
      <c r="B64" s="1"/>
      <c r="C64" s="11"/>
      <c r="D64" s="1"/>
      <c r="E64" s="1"/>
      <c r="F64" s="12"/>
      <c r="G64" s="12"/>
      <c r="H64" s="39"/>
    </row>
    <row r="65" spans="1:15" x14ac:dyDescent="0.2">
      <c r="A65" s="1"/>
      <c r="B65" s="1"/>
      <c r="C65" s="2" t="s">
        <v>115</v>
      </c>
      <c r="D65" s="1"/>
      <c r="E65" s="1"/>
      <c r="F65" s="1"/>
      <c r="G65" s="1"/>
      <c r="H65" s="39"/>
    </row>
    <row r="66" spans="1:15" x14ac:dyDescent="0.2">
      <c r="A66" s="1"/>
      <c r="B66" s="1"/>
      <c r="C66" s="2" t="s">
        <v>111</v>
      </c>
      <c r="D66" s="1"/>
      <c r="E66" s="1" t="s">
        <v>112</v>
      </c>
      <c r="F66" s="13">
        <v>0</v>
      </c>
      <c r="G66" s="14">
        <v>0</v>
      </c>
      <c r="H66" s="39"/>
    </row>
    <row r="67" spans="1:15" x14ac:dyDescent="0.2">
      <c r="A67" s="1"/>
      <c r="B67" s="1"/>
      <c r="C67" s="11"/>
      <c r="D67" s="1"/>
      <c r="E67" s="1"/>
      <c r="F67" s="12"/>
      <c r="G67" s="12"/>
      <c r="H67" s="39"/>
    </row>
    <row r="68" spans="1:15" x14ac:dyDescent="0.2">
      <c r="A68" s="1"/>
      <c r="B68" s="1"/>
      <c r="C68" s="2" t="s">
        <v>116</v>
      </c>
      <c r="D68" s="1"/>
      <c r="E68" s="1"/>
      <c r="F68" s="12"/>
      <c r="G68" s="12"/>
      <c r="H68" s="39"/>
    </row>
    <row r="69" spans="1:15" x14ac:dyDescent="0.2">
      <c r="A69" s="1"/>
      <c r="B69" s="1"/>
      <c r="C69" s="2" t="s">
        <v>111</v>
      </c>
      <c r="D69" s="1"/>
      <c r="E69" s="1" t="s">
        <v>112</v>
      </c>
      <c r="F69" s="13">
        <v>0</v>
      </c>
      <c r="G69" s="14">
        <v>0</v>
      </c>
      <c r="H69" s="39"/>
      <c r="J69" s="41"/>
      <c r="K69" s="41"/>
      <c r="L69" s="41"/>
      <c r="M69" s="41"/>
      <c r="N69" s="41"/>
      <c r="O69" s="41"/>
    </row>
    <row r="70" spans="1:15" x14ac:dyDescent="0.2">
      <c r="A70" s="1"/>
      <c r="B70" s="1"/>
      <c r="C70" s="11"/>
      <c r="D70" s="1"/>
      <c r="E70" s="1"/>
      <c r="F70" s="12"/>
      <c r="G70" s="12"/>
      <c r="H70" s="39"/>
    </row>
    <row r="71" spans="1:15" x14ac:dyDescent="0.2">
      <c r="A71" s="1"/>
      <c r="B71" s="1"/>
      <c r="C71" s="2" t="s">
        <v>117</v>
      </c>
      <c r="D71" s="1"/>
      <c r="E71" s="1"/>
      <c r="F71" s="12"/>
      <c r="G71" s="12"/>
      <c r="H71" s="39"/>
    </row>
    <row r="72" spans="1:15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15" x14ac:dyDescent="0.2">
      <c r="A73" s="1"/>
      <c r="B73" s="1"/>
      <c r="C73" s="11"/>
      <c r="D73" s="1"/>
      <c r="E73" s="1"/>
      <c r="F73" s="12"/>
      <c r="G73" s="12"/>
      <c r="H73" s="39"/>
    </row>
    <row r="74" spans="1:15" x14ac:dyDescent="0.2">
      <c r="A74" s="1"/>
      <c r="B74" s="1"/>
      <c r="C74" s="2" t="s">
        <v>118</v>
      </c>
      <c r="D74" s="1"/>
      <c r="E74" s="1"/>
      <c r="F74" s="9">
        <v>190501.28738150001</v>
      </c>
      <c r="G74" s="10">
        <v>0.98925920300000003</v>
      </c>
      <c r="H74" s="39"/>
    </row>
    <row r="75" spans="1:15" x14ac:dyDescent="0.2">
      <c r="A75" s="1"/>
      <c r="B75" s="1"/>
      <c r="C75" s="11"/>
      <c r="D75" s="1"/>
      <c r="E75" s="1"/>
      <c r="F75" s="12"/>
      <c r="G75" s="12"/>
      <c r="H75" s="39"/>
    </row>
    <row r="76" spans="1:15" x14ac:dyDescent="0.2">
      <c r="A76" s="1"/>
      <c r="B76" s="1"/>
      <c r="C76" s="2" t="s">
        <v>119</v>
      </c>
      <c r="D76" s="1"/>
      <c r="E76" s="1"/>
      <c r="F76" s="12"/>
      <c r="G76" s="12"/>
      <c r="H76" s="39"/>
    </row>
    <row r="77" spans="1:15" ht="25.5" x14ac:dyDescent="0.2">
      <c r="A77" s="1"/>
      <c r="B77" s="1"/>
      <c r="C77" s="2" t="s">
        <v>10</v>
      </c>
      <c r="D77" s="1"/>
      <c r="E77" s="1"/>
      <c r="F77" s="12"/>
      <c r="G77" s="12"/>
      <c r="H77" s="39"/>
    </row>
    <row r="78" spans="1:15" x14ac:dyDescent="0.2">
      <c r="A78" s="1"/>
      <c r="B78" s="1"/>
      <c r="C78" s="2" t="s">
        <v>111</v>
      </c>
      <c r="D78" s="1"/>
      <c r="E78" s="1" t="s">
        <v>112</v>
      </c>
      <c r="F78" s="13">
        <v>0</v>
      </c>
      <c r="G78" s="14">
        <v>0</v>
      </c>
      <c r="H78" s="39"/>
    </row>
    <row r="79" spans="1:15" x14ac:dyDescent="0.2">
      <c r="A79" s="1"/>
      <c r="B79" s="1"/>
      <c r="C79" s="11"/>
      <c r="D79" s="1"/>
      <c r="E79" s="1"/>
      <c r="F79" s="12"/>
      <c r="G79" s="12"/>
      <c r="H79" s="39"/>
    </row>
    <row r="80" spans="1:15" x14ac:dyDescent="0.2">
      <c r="A80" s="1"/>
      <c r="B80" s="1"/>
      <c r="C80" s="2" t="s">
        <v>120</v>
      </c>
      <c r="D80" s="1"/>
      <c r="E80" s="1"/>
      <c r="F80" s="1"/>
      <c r="G80" s="1"/>
      <c r="H80" s="39"/>
    </row>
    <row r="81" spans="1:8" x14ac:dyDescent="0.2">
      <c r="A81" s="1"/>
      <c r="B81" s="1"/>
      <c r="C81" s="2" t="s">
        <v>111</v>
      </c>
      <c r="D81" s="1"/>
      <c r="E81" s="1" t="s">
        <v>112</v>
      </c>
      <c r="F81" s="13">
        <v>0</v>
      </c>
      <c r="G81" s="14">
        <v>0</v>
      </c>
      <c r="H81" s="39"/>
    </row>
    <row r="82" spans="1:8" x14ac:dyDescent="0.2">
      <c r="A82" s="1"/>
      <c r="B82" s="1"/>
      <c r="C82" s="11"/>
      <c r="D82" s="1"/>
      <c r="E82" s="1"/>
      <c r="F82" s="12"/>
      <c r="G82" s="12"/>
      <c r="H82" s="39"/>
    </row>
    <row r="83" spans="1:8" x14ac:dyDescent="0.2">
      <c r="A83" s="1"/>
      <c r="B83" s="1"/>
      <c r="C83" s="2" t="s">
        <v>121</v>
      </c>
      <c r="D83" s="1"/>
      <c r="E83" s="1"/>
      <c r="F83" s="1"/>
      <c r="G83" s="1"/>
      <c r="H83" s="39"/>
    </row>
    <row r="84" spans="1:8" x14ac:dyDescent="0.2">
      <c r="A84" s="1"/>
      <c r="B84" s="1"/>
      <c r="C84" s="2" t="s">
        <v>111</v>
      </c>
      <c r="D84" s="1"/>
      <c r="E84" s="1" t="s">
        <v>112</v>
      </c>
      <c r="F84" s="13">
        <v>0</v>
      </c>
      <c r="G84" s="14">
        <v>0</v>
      </c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x14ac:dyDescent="0.2">
      <c r="A86" s="1"/>
      <c r="B86" s="1"/>
      <c r="C86" s="2" t="s">
        <v>122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1"/>
      <c r="C89" s="2" t="s">
        <v>123</v>
      </c>
      <c r="D89" s="1"/>
      <c r="E89" s="1"/>
      <c r="F89" s="9">
        <v>0</v>
      </c>
      <c r="G89" s="10">
        <v>0</v>
      </c>
      <c r="H89" s="39"/>
    </row>
    <row r="90" spans="1:8" x14ac:dyDescent="0.2">
      <c r="A90" s="1"/>
      <c r="B90" s="1"/>
      <c r="C90" s="11"/>
      <c r="D90" s="1"/>
      <c r="E90" s="1"/>
      <c r="F90" s="12"/>
      <c r="G90" s="12"/>
      <c r="H90" s="39"/>
    </row>
    <row r="91" spans="1:8" x14ac:dyDescent="0.2">
      <c r="A91" s="1"/>
      <c r="B91" s="1"/>
      <c r="C91" s="2" t="s">
        <v>124</v>
      </c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125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111</v>
      </c>
      <c r="D93" s="1"/>
      <c r="E93" s="1" t="s">
        <v>112</v>
      </c>
      <c r="F93" s="13">
        <v>0</v>
      </c>
      <c r="G93" s="14">
        <v>0</v>
      </c>
      <c r="H93" s="39"/>
    </row>
    <row r="94" spans="1:8" x14ac:dyDescent="0.2">
      <c r="A94" s="1"/>
      <c r="B94" s="1"/>
      <c r="C94" s="11"/>
      <c r="D94" s="1"/>
      <c r="E94" s="1"/>
      <c r="F94" s="12"/>
      <c r="G94" s="12"/>
      <c r="H94" s="39"/>
    </row>
    <row r="95" spans="1:8" x14ac:dyDescent="0.2">
      <c r="A95" s="1"/>
      <c r="B95" s="1"/>
      <c r="C95" s="2" t="s">
        <v>126</v>
      </c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111</v>
      </c>
      <c r="D96" s="1"/>
      <c r="E96" s="1" t="s">
        <v>112</v>
      </c>
      <c r="F96" s="13">
        <v>0</v>
      </c>
      <c r="G96" s="14">
        <v>0</v>
      </c>
      <c r="H96" s="39"/>
    </row>
    <row r="97" spans="1:8" x14ac:dyDescent="0.2">
      <c r="A97" s="1"/>
      <c r="B97" s="1"/>
      <c r="C97" s="11"/>
      <c r="D97" s="1"/>
      <c r="E97" s="1"/>
      <c r="F97" s="12"/>
      <c r="G97" s="12"/>
      <c r="H97" s="39"/>
    </row>
    <row r="98" spans="1:8" x14ac:dyDescent="0.2">
      <c r="A98" s="1"/>
      <c r="B98" s="1"/>
      <c r="C98" s="2" t="s">
        <v>127</v>
      </c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111</v>
      </c>
      <c r="D99" s="1"/>
      <c r="E99" s="1" t="s">
        <v>112</v>
      </c>
      <c r="F99" s="13">
        <v>0</v>
      </c>
      <c r="G99" s="14">
        <v>0</v>
      </c>
      <c r="H99" s="39"/>
    </row>
    <row r="100" spans="1:8" x14ac:dyDescent="0.2">
      <c r="A100" s="1"/>
      <c r="B100" s="1"/>
      <c r="C100" s="11"/>
      <c r="D100" s="1"/>
      <c r="E100" s="1"/>
      <c r="F100" s="12"/>
      <c r="G100" s="12"/>
      <c r="H100" s="39"/>
    </row>
    <row r="101" spans="1:8" x14ac:dyDescent="0.2">
      <c r="A101" s="1"/>
      <c r="B101" s="1"/>
      <c r="C101" s="2" t="s">
        <v>128</v>
      </c>
      <c r="D101" s="1"/>
      <c r="E101" s="1"/>
      <c r="F101" s="12"/>
      <c r="G101" s="12"/>
      <c r="H101" s="39"/>
    </row>
    <row r="102" spans="1:8" x14ac:dyDescent="0.2">
      <c r="A102" s="3">
        <v>1</v>
      </c>
      <c r="B102" s="4"/>
      <c r="C102" s="4" t="s">
        <v>129</v>
      </c>
      <c r="D102" s="4"/>
      <c r="E102" s="8"/>
      <c r="F102" s="6">
        <v>321.36698189999998</v>
      </c>
      <c r="G102" s="7">
        <v>1.668835E-3</v>
      </c>
      <c r="H102" s="39">
        <v>3.6151121728634927</v>
      </c>
    </row>
    <row r="103" spans="1:8" x14ac:dyDescent="0.2">
      <c r="A103" s="3">
        <v>2</v>
      </c>
      <c r="B103" s="4"/>
      <c r="C103" s="4" t="s">
        <v>130</v>
      </c>
      <c r="D103" s="4"/>
      <c r="E103" s="8"/>
      <c r="F103" s="6">
        <v>113.62796779999999</v>
      </c>
      <c r="G103" s="7">
        <v>5.9006200000000003E-4</v>
      </c>
      <c r="H103" s="39">
        <v>3.7142625760646584</v>
      </c>
    </row>
    <row r="104" spans="1:8" x14ac:dyDescent="0.2">
      <c r="A104" s="1"/>
      <c r="B104" s="1"/>
      <c r="C104" s="2" t="s">
        <v>111</v>
      </c>
      <c r="D104" s="1"/>
      <c r="E104" s="1" t="s">
        <v>112</v>
      </c>
      <c r="F104" s="9">
        <v>434.99494970000001</v>
      </c>
      <c r="G104" s="10">
        <v>2.2588970000000002E-3</v>
      </c>
      <c r="H104" s="39"/>
    </row>
    <row r="105" spans="1:8" x14ac:dyDescent="0.2">
      <c r="A105" s="1"/>
      <c r="B105" s="1"/>
      <c r="C105" s="11"/>
      <c r="D105" s="1"/>
      <c r="E105" s="1"/>
      <c r="F105" s="12"/>
      <c r="G105" s="12"/>
      <c r="H105" s="39"/>
    </row>
    <row r="106" spans="1:8" x14ac:dyDescent="0.2">
      <c r="A106" s="1"/>
      <c r="B106" s="1"/>
      <c r="C106" s="2" t="s">
        <v>131</v>
      </c>
      <c r="D106" s="1"/>
      <c r="E106" s="1"/>
      <c r="F106" s="9">
        <v>434.99494970000001</v>
      </c>
      <c r="G106" s="10">
        <v>2.2588970000000002E-3</v>
      </c>
      <c r="H106" s="39"/>
    </row>
    <row r="107" spans="1:8" x14ac:dyDescent="0.2">
      <c r="A107" s="1"/>
      <c r="B107" s="1"/>
      <c r="C107" s="12"/>
      <c r="D107" s="1"/>
      <c r="E107" s="1"/>
      <c r="F107" s="1"/>
      <c r="G107" s="1"/>
      <c r="H107" s="39"/>
    </row>
    <row r="108" spans="1:8" x14ac:dyDescent="0.2">
      <c r="A108" s="1"/>
      <c r="B108" s="1"/>
      <c r="C108" s="2" t="s">
        <v>132</v>
      </c>
      <c r="D108" s="1"/>
      <c r="E108" s="1"/>
      <c r="F108" s="1"/>
      <c r="G108" s="1"/>
      <c r="H108" s="39"/>
    </row>
    <row r="109" spans="1:8" x14ac:dyDescent="0.2">
      <c r="A109" s="1"/>
      <c r="B109" s="1"/>
      <c r="C109" s="2" t="s">
        <v>133</v>
      </c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111</v>
      </c>
      <c r="D110" s="1"/>
      <c r="E110" s="1" t="s">
        <v>112</v>
      </c>
      <c r="F110" s="13">
        <v>0</v>
      </c>
      <c r="G110" s="14">
        <v>0</v>
      </c>
      <c r="H110" s="39"/>
    </row>
    <row r="111" spans="1:8" x14ac:dyDescent="0.2">
      <c r="A111" s="1"/>
      <c r="B111" s="1"/>
      <c r="C111" s="11"/>
      <c r="D111" s="1"/>
      <c r="E111" s="1"/>
      <c r="F111" s="12"/>
      <c r="G111" s="12"/>
      <c r="H111" s="39"/>
    </row>
    <row r="112" spans="1:8" x14ac:dyDescent="0.2">
      <c r="A112" s="1"/>
      <c r="B112" s="1"/>
      <c r="C112" s="2" t="s">
        <v>134</v>
      </c>
      <c r="D112" s="1"/>
      <c r="E112" s="1"/>
      <c r="F112" s="1"/>
      <c r="G112" s="1"/>
      <c r="H112" s="39"/>
    </row>
    <row r="113" spans="1:8" x14ac:dyDescent="0.2">
      <c r="A113" s="1"/>
      <c r="B113" s="1"/>
      <c r="C113" s="2" t="s">
        <v>135</v>
      </c>
      <c r="D113" s="1"/>
      <c r="E113" s="1"/>
      <c r="F113" s="1"/>
      <c r="G113" s="1"/>
      <c r="H113" s="39"/>
    </row>
    <row r="114" spans="1:8" x14ac:dyDescent="0.2">
      <c r="A114" s="1"/>
      <c r="B114" s="1"/>
      <c r="C114" s="2" t="s">
        <v>111</v>
      </c>
      <c r="D114" s="1"/>
      <c r="E114" s="1" t="s">
        <v>112</v>
      </c>
      <c r="F114" s="13">
        <v>0</v>
      </c>
      <c r="G114" s="14">
        <v>0</v>
      </c>
      <c r="H114" s="39"/>
    </row>
    <row r="115" spans="1:8" x14ac:dyDescent="0.2">
      <c r="A115" s="1"/>
      <c r="B115" s="1"/>
      <c r="C115" s="11"/>
      <c r="D115" s="1"/>
      <c r="E115" s="1"/>
      <c r="F115" s="12"/>
      <c r="G115" s="12"/>
      <c r="H115" s="39"/>
    </row>
    <row r="116" spans="1:8" x14ac:dyDescent="0.2">
      <c r="A116" s="1"/>
      <c r="B116" s="1"/>
      <c r="C116" s="11"/>
      <c r="D116" s="1"/>
      <c r="E116" s="1"/>
      <c r="F116" s="12"/>
      <c r="G116" s="12"/>
      <c r="H116" s="39"/>
    </row>
    <row r="117" spans="1:8" ht="25.5" x14ac:dyDescent="0.2">
      <c r="A117" s="1"/>
      <c r="B117" s="1"/>
      <c r="C117" s="2" t="s">
        <v>136</v>
      </c>
      <c r="D117" s="1"/>
      <c r="E117" s="1"/>
      <c r="F117" s="12"/>
      <c r="G117" s="12"/>
      <c r="H117" s="39"/>
    </row>
    <row r="118" spans="1:8" x14ac:dyDescent="0.2">
      <c r="A118" s="1"/>
      <c r="B118" s="1"/>
      <c r="C118" s="2" t="s">
        <v>111</v>
      </c>
      <c r="D118" s="1"/>
      <c r="E118" s="1" t="s">
        <v>112</v>
      </c>
      <c r="F118" s="13">
        <v>0</v>
      </c>
      <c r="G118" s="14">
        <v>0</v>
      </c>
      <c r="H118" s="39"/>
    </row>
    <row r="119" spans="1:8" x14ac:dyDescent="0.2">
      <c r="A119" s="1"/>
      <c r="B119" s="1"/>
      <c r="C119" s="11"/>
      <c r="D119" s="1"/>
      <c r="E119" s="1"/>
      <c r="F119" s="12"/>
      <c r="G119" s="12"/>
      <c r="H119" s="39"/>
    </row>
    <row r="120" spans="1:8" x14ac:dyDescent="0.2">
      <c r="A120" s="1"/>
      <c r="B120" s="4"/>
      <c r="C120" s="4"/>
      <c r="D120" s="2"/>
      <c r="E120" s="1"/>
      <c r="F120" s="4"/>
      <c r="G120" s="8"/>
      <c r="H120" s="39"/>
    </row>
    <row r="121" spans="1:8" x14ac:dyDescent="0.2">
      <c r="A121" s="8"/>
      <c r="B121" s="4"/>
      <c r="C121" s="4" t="s">
        <v>137</v>
      </c>
      <c r="D121" s="4"/>
      <c r="E121" s="8"/>
      <c r="F121" s="6">
        <v>1633.3565008999999</v>
      </c>
      <c r="G121" s="7">
        <v>8.4819000000000006E-3</v>
      </c>
      <c r="H121" s="39"/>
    </row>
    <row r="122" spans="1:8" x14ac:dyDescent="0.2">
      <c r="A122" s="11"/>
      <c r="B122" s="11"/>
      <c r="C122" s="2" t="s">
        <v>138</v>
      </c>
      <c r="D122" s="15"/>
      <c r="E122" s="15"/>
      <c r="F122" s="9">
        <v>192569.6388321</v>
      </c>
      <c r="G122" s="10">
        <v>1</v>
      </c>
      <c r="H122" s="39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194" t="s">
        <v>140</v>
      </c>
      <c r="C125" s="195"/>
      <c r="D125" s="12" t="s">
        <v>112</v>
      </c>
      <c r="E125" s="21"/>
      <c r="F125" s="20"/>
      <c r="G125" s="20"/>
    </row>
    <row r="126" spans="1:8" ht="29.1" customHeight="1" x14ac:dyDescent="0.2">
      <c r="A126" s="18"/>
      <c r="B126" s="189" t="s">
        <v>141</v>
      </c>
      <c r="C126" s="190"/>
      <c r="D126" s="2" t="s">
        <v>142</v>
      </c>
      <c r="E126" s="21"/>
      <c r="F126" s="20"/>
      <c r="G126" s="20"/>
    </row>
    <row r="127" spans="1:8" ht="17.100000000000001" customHeight="1" x14ac:dyDescent="0.2">
      <c r="A127" s="18"/>
      <c r="B127" s="189" t="s">
        <v>143</v>
      </c>
      <c r="C127" s="190"/>
      <c r="D127" s="2" t="s">
        <v>142</v>
      </c>
      <c r="E127" s="21"/>
      <c r="F127" s="20"/>
      <c r="G127" s="20"/>
    </row>
    <row r="128" spans="1:8" ht="17.100000000000001" customHeight="1" x14ac:dyDescent="0.2">
      <c r="A128" s="18"/>
      <c r="B128" s="189" t="s">
        <v>144</v>
      </c>
      <c r="C128" s="190"/>
      <c r="D128" s="12" t="s">
        <v>112</v>
      </c>
      <c r="E128" s="21"/>
      <c r="F128" s="20"/>
      <c r="G128" s="20"/>
    </row>
    <row r="129" spans="1:17" ht="24" customHeight="1" x14ac:dyDescent="0.2">
      <c r="A129" s="22"/>
      <c r="B129" s="23" t="s">
        <v>112</v>
      </c>
      <c r="C129" s="23" t="s">
        <v>145</v>
      </c>
      <c r="D129" s="23" t="s">
        <v>146</v>
      </c>
      <c r="E129" s="22"/>
      <c r="F129" s="22"/>
      <c r="G129" s="22"/>
    </row>
    <row r="130" spans="1:17" ht="18" customHeight="1" x14ac:dyDescent="0.2">
      <c r="A130" s="22"/>
      <c r="B130" s="23" t="s">
        <v>147</v>
      </c>
      <c r="C130" s="23" t="s">
        <v>148</v>
      </c>
      <c r="D130" s="23" t="s">
        <v>149</v>
      </c>
      <c r="E130" s="22"/>
      <c r="F130" s="22"/>
      <c r="G130" s="22"/>
    </row>
    <row r="131" spans="1:17" ht="17.100000000000001" customHeight="1" x14ac:dyDescent="0.2">
      <c r="A131" s="22"/>
      <c r="B131" s="4" t="s">
        <v>150</v>
      </c>
      <c r="C131" s="24">
        <v>147.24529999999999</v>
      </c>
      <c r="D131" s="24">
        <v>152.53059999999999</v>
      </c>
      <c r="E131" s="22"/>
      <c r="F131" s="19"/>
      <c r="G131" s="25"/>
    </row>
    <row r="132" spans="1:17" ht="17.100000000000001" customHeight="1" x14ac:dyDescent="0.2">
      <c r="A132" s="22"/>
      <c r="B132" s="4" t="s">
        <v>1092</v>
      </c>
      <c r="C132" s="24">
        <v>15.906499999999999</v>
      </c>
      <c r="D132" s="24">
        <v>16.0349</v>
      </c>
      <c r="E132" s="22"/>
      <c r="F132" s="19"/>
      <c r="G132" s="25"/>
    </row>
    <row r="133" spans="1:17" ht="17.100000000000001" customHeight="1" x14ac:dyDescent="0.2">
      <c r="A133" s="22"/>
      <c r="B133" s="4" t="s">
        <v>151</v>
      </c>
      <c r="C133" s="24">
        <v>141.72049999999999</v>
      </c>
      <c r="D133" s="24">
        <v>146.7252</v>
      </c>
      <c r="E133" s="22"/>
      <c r="F133" s="19"/>
      <c r="G133" s="25"/>
    </row>
    <row r="134" spans="1:17" ht="17.100000000000001" customHeight="1" x14ac:dyDescent="0.2">
      <c r="A134" s="22"/>
      <c r="B134" s="4" t="s">
        <v>1093</v>
      </c>
      <c r="C134" s="24">
        <v>13.348000000000001</v>
      </c>
      <c r="D134" s="24">
        <v>13.448</v>
      </c>
      <c r="E134" s="22"/>
      <c r="F134" s="19"/>
      <c r="G134" s="25"/>
    </row>
    <row r="135" spans="1:17" ht="14.1" customHeight="1" x14ac:dyDescent="0.2">
      <c r="A135" s="22"/>
      <c r="B135" s="22"/>
      <c r="C135" s="22"/>
      <c r="D135" s="22"/>
      <c r="E135" s="22"/>
      <c r="F135" s="22"/>
      <c r="G135" s="22"/>
    </row>
    <row r="136" spans="1:17" ht="17.100000000000001" customHeight="1" x14ac:dyDescent="0.2">
      <c r="A136" s="22"/>
      <c r="B136" s="189" t="s">
        <v>1094</v>
      </c>
      <c r="C136" s="190"/>
      <c r="D136" s="2" t="s">
        <v>112</v>
      </c>
      <c r="E136" s="22"/>
      <c r="F136" s="22"/>
      <c r="G136" s="22"/>
    </row>
    <row r="137" spans="1:17" ht="18" customHeight="1" x14ac:dyDescent="0.2">
      <c r="A137" s="22"/>
      <c r="B137" s="55" t="s">
        <v>147</v>
      </c>
      <c r="C137" s="56" t="s">
        <v>1039</v>
      </c>
      <c r="D137" s="56" t="s">
        <v>1040</v>
      </c>
      <c r="E137" s="22"/>
      <c r="F137" s="22"/>
      <c r="G137" s="22"/>
    </row>
    <row r="138" spans="1:17" ht="17.100000000000001" customHeight="1" x14ac:dyDescent="0.2">
      <c r="A138" s="22"/>
      <c r="B138" s="37" t="s">
        <v>1092</v>
      </c>
      <c r="C138" s="57">
        <v>0.436</v>
      </c>
      <c r="D138" s="58" t="s">
        <v>1041</v>
      </c>
      <c r="E138" s="22"/>
      <c r="F138" s="19"/>
      <c r="G138" s="25"/>
    </row>
    <row r="139" spans="1:17" ht="17.100000000000001" customHeight="1" x14ac:dyDescent="0.2">
      <c r="A139" s="22"/>
      <c r="B139" s="37" t="s">
        <v>1093</v>
      </c>
      <c r="C139" s="57">
        <v>0.36599999999999999</v>
      </c>
      <c r="D139" s="57">
        <v>0.36599999999999999</v>
      </c>
      <c r="E139" s="22"/>
      <c r="F139" s="19"/>
      <c r="G139" s="25"/>
      <c r="J139" s="41"/>
      <c r="K139" s="41"/>
      <c r="L139" s="41"/>
      <c r="M139" s="41"/>
      <c r="N139" s="41"/>
      <c r="O139" s="41"/>
    </row>
    <row r="140" spans="1:17" ht="17.100000000000001" customHeight="1" x14ac:dyDescent="0.2">
      <c r="A140" s="22"/>
      <c r="B140" s="114"/>
      <c r="C140" s="115"/>
      <c r="D140" s="115"/>
      <c r="E140" s="22"/>
      <c r="F140" s="54"/>
      <c r="G140" s="25"/>
    </row>
    <row r="141" spans="1:17" s="101" customFormat="1" x14ac:dyDescent="0.2">
      <c r="B141" s="193" t="s">
        <v>1102</v>
      </c>
      <c r="C141" s="193"/>
      <c r="D141" s="193"/>
      <c r="E141" s="193"/>
      <c r="F141" s="193"/>
      <c r="I141"/>
      <c r="J141"/>
      <c r="K141"/>
      <c r="L141"/>
      <c r="M141"/>
      <c r="N141"/>
      <c r="O141"/>
      <c r="P141" s="41"/>
      <c r="Q141" s="41"/>
    </row>
    <row r="142" spans="1:17" ht="14.1" customHeight="1" x14ac:dyDescent="0.2">
      <c r="A142" s="22"/>
      <c r="B142" s="19"/>
      <c r="C142" s="19"/>
      <c r="D142" s="22"/>
      <c r="E142" s="22"/>
      <c r="F142" s="22"/>
      <c r="G142" s="22"/>
    </row>
    <row r="143" spans="1:17" ht="29.1" customHeight="1" x14ac:dyDescent="0.2">
      <c r="A143" s="22"/>
      <c r="B143" s="189" t="s">
        <v>152</v>
      </c>
      <c r="C143" s="190"/>
      <c r="D143" s="2" t="s">
        <v>142</v>
      </c>
      <c r="E143" s="22"/>
      <c r="F143" s="22"/>
      <c r="G143" s="22"/>
      <c r="J143" s="101"/>
      <c r="K143" s="101"/>
      <c r="L143" s="101"/>
      <c r="M143" s="101"/>
      <c r="N143" s="101"/>
      <c r="O143" s="101"/>
    </row>
    <row r="144" spans="1:17" ht="29.1" customHeight="1" x14ac:dyDescent="0.2">
      <c r="A144" s="22"/>
      <c r="B144" s="189" t="s">
        <v>153</v>
      </c>
      <c r="C144" s="190"/>
      <c r="D144" s="2" t="s">
        <v>142</v>
      </c>
      <c r="E144" s="22"/>
      <c r="F144" s="22"/>
      <c r="G144" s="22"/>
    </row>
    <row r="145" spans="1:7" ht="17.100000000000001" customHeight="1" x14ac:dyDescent="0.2">
      <c r="A145" s="22"/>
      <c r="B145" s="189" t="s">
        <v>154</v>
      </c>
      <c r="C145" s="190"/>
      <c r="D145" s="28">
        <v>0.43729491223136507</v>
      </c>
      <c r="E145" s="22"/>
      <c r="F145" s="19"/>
      <c r="G145" s="25"/>
    </row>
    <row r="146" spans="1:7" ht="17.100000000000001" customHeight="1" x14ac:dyDescent="0.2">
      <c r="A146" s="22"/>
      <c r="B146" s="189" t="s">
        <v>155</v>
      </c>
      <c r="C146" s="190"/>
      <c r="D146" s="2" t="s">
        <v>142</v>
      </c>
      <c r="E146" s="22"/>
      <c r="F146" s="22"/>
      <c r="G146" s="22"/>
    </row>
  </sheetData>
  <mergeCells count="14">
    <mergeCell ref="B146:C146"/>
    <mergeCell ref="B126:C126"/>
    <mergeCell ref="B127:C127"/>
    <mergeCell ref="B128:C128"/>
    <mergeCell ref="B136:C136"/>
    <mergeCell ref="B143:C143"/>
    <mergeCell ref="B144:C144"/>
    <mergeCell ref="B145:C145"/>
    <mergeCell ref="A1:H1"/>
    <mergeCell ref="A2:H2"/>
    <mergeCell ref="A3:H3"/>
    <mergeCell ref="B141:F141"/>
    <mergeCell ref="J2:N2"/>
    <mergeCell ref="B125:C12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Q15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  <col min="8" max="8" width="11.5703125" bestFit="1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1112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386</v>
      </c>
      <c r="C7" s="4" t="s">
        <v>387</v>
      </c>
      <c r="D7" s="4" t="s">
        <v>1143</v>
      </c>
      <c r="E7" s="5">
        <v>1465546</v>
      </c>
      <c r="F7" s="6">
        <v>27945.763900999998</v>
      </c>
      <c r="G7" s="7">
        <v>8.9815300000000001E-2</v>
      </c>
      <c r="H7" s="39"/>
    </row>
    <row r="8" spans="1:14" x14ac:dyDescent="0.2">
      <c r="A8" s="3">
        <v>2</v>
      </c>
      <c r="B8" s="4" t="s">
        <v>16</v>
      </c>
      <c r="C8" s="4" t="s">
        <v>17</v>
      </c>
      <c r="D8" s="4" t="s">
        <v>18</v>
      </c>
      <c r="E8" s="5">
        <v>3722916</v>
      </c>
      <c r="F8" s="6">
        <v>27188.455548000002</v>
      </c>
      <c r="G8" s="7">
        <v>8.7381374999999997E-2</v>
      </c>
      <c r="H8" s="39"/>
    </row>
    <row r="9" spans="1:14" x14ac:dyDescent="0.2">
      <c r="A9" s="3">
        <v>3</v>
      </c>
      <c r="B9" s="4" t="s">
        <v>388</v>
      </c>
      <c r="C9" s="4" t="s">
        <v>389</v>
      </c>
      <c r="D9" s="4" t="s">
        <v>18</v>
      </c>
      <c r="E9" s="5">
        <v>1680762</v>
      </c>
      <c r="F9" s="6">
        <v>24713.084067</v>
      </c>
      <c r="G9" s="7">
        <v>7.9425741999999994E-2</v>
      </c>
      <c r="H9" s="39"/>
    </row>
    <row r="10" spans="1:14" x14ac:dyDescent="0.2">
      <c r="A10" s="3">
        <v>4</v>
      </c>
      <c r="B10" s="4" t="s">
        <v>13</v>
      </c>
      <c r="C10" s="4" t="s">
        <v>14</v>
      </c>
      <c r="D10" s="4" t="s">
        <v>15</v>
      </c>
      <c r="E10" s="5">
        <v>872776</v>
      </c>
      <c r="F10" s="6">
        <v>22995.465660000002</v>
      </c>
      <c r="G10" s="7">
        <v>7.3905464000000004E-2</v>
      </c>
      <c r="H10" s="39"/>
    </row>
    <row r="11" spans="1:14" ht="25.5" x14ac:dyDescent="0.2">
      <c r="A11" s="3">
        <v>5</v>
      </c>
      <c r="B11" s="4" t="s">
        <v>390</v>
      </c>
      <c r="C11" s="4" t="s">
        <v>391</v>
      </c>
      <c r="D11" s="4" t="s">
        <v>82</v>
      </c>
      <c r="E11" s="5">
        <v>686176</v>
      </c>
      <c r="F11" s="6">
        <v>16402.351104000001</v>
      </c>
      <c r="G11" s="7">
        <v>5.2715756000000003E-2</v>
      </c>
      <c r="H11" s="39"/>
    </row>
    <row r="12" spans="1:14" x14ac:dyDescent="0.2">
      <c r="A12" s="3">
        <v>6</v>
      </c>
      <c r="B12" s="4" t="s">
        <v>11</v>
      </c>
      <c r="C12" s="4" t="s">
        <v>12</v>
      </c>
      <c r="D12" s="4" t="s">
        <v>60</v>
      </c>
      <c r="E12" s="5">
        <v>800306</v>
      </c>
      <c r="F12" s="6">
        <v>14146.609009</v>
      </c>
      <c r="G12" s="7">
        <v>4.5465994000000003E-2</v>
      </c>
      <c r="H12" s="39"/>
    </row>
    <row r="13" spans="1:14" ht="25.5" x14ac:dyDescent="0.2">
      <c r="A13" s="3">
        <v>7</v>
      </c>
      <c r="B13" s="4" t="s">
        <v>396</v>
      </c>
      <c r="C13" s="4" t="s">
        <v>397</v>
      </c>
      <c r="D13" s="4" t="s">
        <v>1138</v>
      </c>
      <c r="E13" s="5">
        <v>1538340</v>
      </c>
      <c r="F13" s="6">
        <v>14071.96515</v>
      </c>
      <c r="G13" s="7">
        <v>4.5226095000000001E-2</v>
      </c>
      <c r="H13" s="39"/>
    </row>
    <row r="14" spans="1:14" x14ac:dyDescent="0.2">
      <c r="A14" s="3">
        <v>8</v>
      </c>
      <c r="B14" s="4" t="s">
        <v>392</v>
      </c>
      <c r="C14" s="4" t="s">
        <v>393</v>
      </c>
      <c r="D14" s="4" t="s">
        <v>1143</v>
      </c>
      <c r="E14" s="5">
        <v>325447</v>
      </c>
      <c r="F14" s="6">
        <v>12171.555076500001</v>
      </c>
      <c r="G14" s="7">
        <v>3.9118339000000002E-2</v>
      </c>
      <c r="H14" s="39"/>
    </row>
    <row r="15" spans="1:14" ht="15" x14ac:dyDescent="0.2">
      <c r="A15" s="3">
        <v>9</v>
      </c>
      <c r="B15" s="4" t="s">
        <v>49</v>
      </c>
      <c r="C15" s="4" t="s">
        <v>50</v>
      </c>
      <c r="D15" s="4" t="s">
        <v>18</v>
      </c>
      <c r="E15" s="5">
        <v>2379541</v>
      </c>
      <c r="F15" s="6">
        <v>11744.2246055</v>
      </c>
      <c r="G15" s="7">
        <v>3.7744935E-2</v>
      </c>
      <c r="H15" s="39"/>
      <c r="J15" s="176" t="s">
        <v>1200</v>
      </c>
    </row>
    <row r="16" spans="1:14" x14ac:dyDescent="0.2">
      <c r="A16" s="3">
        <v>10</v>
      </c>
      <c r="B16" s="4" t="s">
        <v>300</v>
      </c>
      <c r="C16" s="4" t="s">
        <v>301</v>
      </c>
      <c r="D16" s="4" t="s">
        <v>18</v>
      </c>
      <c r="E16" s="5">
        <v>1494828</v>
      </c>
      <c r="F16" s="6">
        <v>11377.883322</v>
      </c>
      <c r="G16" s="7">
        <v>3.6567545999999999E-2</v>
      </c>
      <c r="H16" s="39"/>
    </row>
    <row r="17" spans="1:10" x14ac:dyDescent="0.2">
      <c r="A17" s="3">
        <v>11</v>
      </c>
      <c r="B17" s="4" t="s">
        <v>19</v>
      </c>
      <c r="C17" s="4" t="s">
        <v>20</v>
      </c>
      <c r="D17" s="4" t="s">
        <v>21</v>
      </c>
      <c r="E17" s="5">
        <v>1503271</v>
      </c>
      <c r="F17" s="6">
        <v>11348.9444145</v>
      </c>
      <c r="G17" s="7">
        <v>3.6474539E-2</v>
      </c>
      <c r="H17" s="39"/>
    </row>
    <row r="18" spans="1:10" x14ac:dyDescent="0.2">
      <c r="A18" s="3">
        <v>12</v>
      </c>
      <c r="B18" s="4" t="s">
        <v>359</v>
      </c>
      <c r="C18" s="4" t="s">
        <v>360</v>
      </c>
      <c r="D18" s="4" t="s">
        <v>82</v>
      </c>
      <c r="E18" s="5">
        <v>39898</v>
      </c>
      <c r="F18" s="6">
        <v>6806.7783410000002</v>
      </c>
      <c r="G18" s="7">
        <v>2.1876405000000002E-2</v>
      </c>
      <c r="H18" s="39"/>
    </row>
    <row r="19" spans="1:10" x14ac:dyDescent="0.2">
      <c r="A19" s="3">
        <v>13</v>
      </c>
      <c r="B19" s="4" t="s">
        <v>317</v>
      </c>
      <c r="C19" s="4" t="s">
        <v>318</v>
      </c>
      <c r="D19" s="4" t="s">
        <v>1144</v>
      </c>
      <c r="E19" s="5">
        <v>646291</v>
      </c>
      <c r="F19" s="6">
        <v>6083.5371830000004</v>
      </c>
      <c r="G19" s="7">
        <v>1.9551968999999999E-2</v>
      </c>
      <c r="H19" s="39"/>
    </row>
    <row r="20" spans="1:10" ht="25.5" x14ac:dyDescent="0.2">
      <c r="A20" s="3">
        <v>14</v>
      </c>
      <c r="B20" s="4" t="s">
        <v>508</v>
      </c>
      <c r="C20" s="4" t="s">
        <v>509</v>
      </c>
      <c r="D20" s="4" t="s">
        <v>1138</v>
      </c>
      <c r="E20" s="5">
        <v>584570</v>
      </c>
      <c r="F20" s="6">
        <v>5951.2148850000003</v>
      </c>
      <c r="G20" s="7">
        <v>1.9126697000000002E-2</v>
      </c>
      <c r="H20" s="39"/>
    </row>
    <row r="21" spans="1:10" x14ac:dyDescent="0.2">
      <c r="A21" s="3">
        <v>15</v>
      </c>
      <c r="B21" s="4" t="s">
        <v>491</v>
      </c>
      <c r="C21" s="4" t="s">
        <v>492</v>
      </c>
      <c r="D21" s="4" t="s">
        <v>1144</v>
      </c>
      <c r="E21" s="5">
        <v>649734</v>
      </c>
      <c r="F21" s="6">
        <v>5771.9119890000002</v>
      </c>
      <c r="G21" s="7">
        <v>1.8550431999999999E-2</v>
      </c>
      <c r="H21" s="39"/>
    </row>
    <row r="22" spans="1:10" ht="25.5" x14ac:dyDescent="0.2">
      <c r="A22" s="3">
        <v>16</v>
      </c>
      <c r="B22" s="4" t="s">
        <v>363</v>
      </c>
      <c r="C22" s="4" t="s">
        <v>364</v>
      </c>
      <c r="D22" s="4" t="s">
        <v>1145</v>
      </c>
      <c r="E22" s="5">
        <v>634201</v>
      </c>
      <c r="F22" s="6">
        <v>4930.2785739999999</v>
      </c>
      <c r="G22" s="7">
        <v>1.5845494000000002E-2</v>
      </c>
      <c r="H22" s="39"/>
    </row>
    <row r="23" spans="1:10" x14ac:dyDescent="0.2">
      <c r="A23" s="3">
        <v>17</v>
      </c>
      <c r="B23" s="4" t="s">
        <v>580</v>
      </c>
      <c r="C23" s="4" t="s">
        <v>581</v>
      </c>
      <c r="D23" s="4" t="s">
        <v>1146</v>
      </c>
      <c r="E23" s="5">
        <v>129177</v>
      </c>
      <c r="F23" s="6">
        <v>4718.8358099999996</v>
      </c>
      <c r="G23" s="7">
        <v>1.5165935E-2</v>
      </c>
      <c r="H23" s="39"/>
    </row>
    <row r="24" spans="1:10" ht="25.5" x14ac:dyDescent="0.2">
      <c r="A24" s="3">
        <v>18</v>
      </c>
      <c r="B24" s="4" t="s">
        <v>80</v>
      </c>
      <c r="C24" s="4" t="s">
        <v>81</v>
      </c>
      <c r="D24" s="4" t="s">
        <v>82</v>
      </c>
      <c r="E24" s="5">
        <v>639055</v>
      </c>
      <c r="F24" s="6">
        <v>4591.2906475</v>
      </c>
      <c r="G24" s="7">
        <v>1.4756016E-2</v>
      </c>
      <c r="H24" s="39"/>
    </row>
    <row r="25" spans="1:10" x14ac:dyDescent="0.2">
      <c r="A25" s="3">
        <v>19</v>
      </c>
      <c r="B25" s="4" t="s">
        <v>440</v>
      </c>
      <c r="C25" s="4" t="s">
        <v>441</v>
      </c>
      <c r="D25" s="4" t="s">
        <v>1146</v>
      </c>
      <c r="E25" s="5">
        <v>60621</v>
      </c>
      <c r="F25" s="6">
        <v>4583.7356730000001</v>
      </c>
      <c r="G25" s="7">
        <v>1.4731734999999999E-2</v>
      </c>
      <c r="H25" s="39"/>
    </row>
    <row r="26" spans="1:10" ht="25.5" x14ac:dyDescent="0.2">
      <c r="A26" s="3">
        <v>20</v>
      </c>
      <c r="B26" s="4" t="s">
        <v>335</v>
      </c>
      <c r="C26" s="4" t="s">
        <v>336</v>
      </c>
      <c r="D26" s="4" t="s">
        <v>1138</v>
      </c>
      <c r="E26" s="5">
        <v>139866</v>
      </c>
      <c r="F26" s="6">
        <v>4577.3246490000001</v>
      </c>
      <c r="G26" s="7">
        <v>1.4711131000000001E-2</v>
      </c>
      <c r="H26" s="39"/>
    </row>
    <row r="27" spans="1:10" ht="25.5" x14ac:dyDescent="0.2">
      <c r="A27" s="3">
        <v>21</v>
      </c>
      <c r="B27" s="4" t="s">
        <v>83</v>
      </c>
      <c r="C27" s="4" t="s">
        <v>84</v>
      </c>
      <c r="D27" s="4" t="s">
        <v>1137</v>
      </c>
      <c r="E27" s="5">
        <v>3807694</v>
      </c>
      <c r="F27" s="6">
        <v>4464.5212149999998</v>
      </c>
      <c r="G27" s="7">
        <v>1.434859E-2</v>
      </c>
      <c r="H27" s="39"/>
    </row>
    <row r="28" spans="1:10" ht="15" x14ac:dyDescent="0.2">
      <c r="A28" s="3">
        <v>22</v>
      </c>
      <c r="B28" s="4" t="s">
        <v>400</v>
      </c>
      <c r="C28" s="4" t="s">
        <v>401</v>
      </c>
      <c r="D28" s="4" t="s">
        <v>1143</v>
      </c>
      <c r="E28" s="5">
        <v>354796</v>
      </c>
      <c r="F28" s="6">
        <v>4128.9384499999996</v>
      </c>
      <c r="G28" s="7">
        <v>1.3270056000000001E-2</v>
      </c>
      <c r="H28" s="39"/>
      <c r="J28" s="176" t="s">
        <v>1201</v>
      </c>
    </row>
    <row r="29" spans="1:10" x14ac:dyDescent="0.2">
      <c r="A29" s="3">
        <v>23</v>
      </c>
      <c r="B29" s="4" t="s">
        <v>36</v>
      </c>
      <c r="C29" s="4" t="s">
        <v>37</v>
      </c>
      <c r="D29" s="4" t="s">
        <v>26</v>
      </c>
      <c r="E29" s="5">
        <v>2904289</v>
      </c>
      <c r="F29" s="6">
        <v>3920.7901499999998</v>
      </c>
      <c r="G29" s="7">
        <v>1.2601085E-2</v>
      </c>
      <c r="H29" s="39"/>
    </row>
    <row r="30" spans="1:10" x14ac:dyDescent="0.2">
      <c r="A30" s="3">
        <v>24</v>
      </c>
      <c r="B30" s="4" t="s">
        <v>415</v>
      </c>
      <c r="C30" s="4" t="s">
        <v>416</v>
      </c>
      <c r="D30" s="4" t="s">
        <v>18</v>
      </c>
      <c r="E30" s="5">
        <v>213122</v>
      </c>
      <c r="F30" s="6">
        <v>3737.840197</v>
      </c>
      <c r="G30" s="7">
        <v>1.2013098999999999E-2</v>
      </c>
      <c r="H30" s="39"/>
    </row>
    <row r="31" spans="1:10" x14ac:dyDescent="0.2">
      <c r="A31" s="3">
        <v>25</v>
      </c>
      <c r="B31" s="4" t="s">
        <v>398</v>
      </c>
      <c r="C31" s="4" t="s">
        <v>399</v>
      </c>
      <c r="D31" s="4" t="s">
        <v>1143</v>
      </c>
      <c r="E31" s="5">
        <v>571413</v>
      </c>
      <c r="F31" s="6">
        <v>3382.1935469999999</v>
      </c>
      <c r="G31" s="7">
        <v>1.0870081E-2</v>
      </c>
      <c r="H31" s="39"/>
    </row>
    <row r="32" spans="1:10" x14ac:dyDescent="0.2">
      <c r="A32" s="3">
        <v>26</v>
      </c>
      <c r="B32" s="4" t="s">
        <v>394</v>
      </c>
      <c r="C32" s="4" t="s">
        <v>395</v>
      </c>
      <c r="D32" s="4" t="s">
        <v>1142</v>
      </c>
      <c r="E32" s="5">
        <v>291649</v>
      </c>
      <c r="F32" s="6">
        <v>3270.6977105000001</v>
      </c>
      <c r="G32" s="7">
        <v>1.0511743E-2</v>
      </c>
      <c r="H32" s="39"/>
    </row>
    <row r="33" spans="1:8" x14ac:dyDescent="0.2">
      <c r="A33" s="3">
        <v>27</v>
      </c>
      <c r="B33" s="4" t="s">
        <v>578</v>
      </c>
      <c r="C33" s="4" t="s">
        <v>579</v>
      </c>
      <c r="D33" s="4" t="s">
        <v>18</v>
      </c>
      <c r="E33" s="5">
        <v>331924</v>
      </c>
      <c r="F33" s="6">
        <v>3104.8170960000002</v>
      </c>
      <c r="G33" s="7">
        <v>9.9786170000000004E-3</v>
      </c>
      <c r="H33" s="39"/>
    </row>
    <row r="34" spans="1:8" x14ac:dyDescent="0.2">
      <c r="A34" s="3">
        <v>28</v>
      </c>
      <c r="B34" s="4" t="s">
        <v>410</v>
      </c>
      <c r="C34" s="4" t="s">
        <v>411</v>
      </c>
      <c r="D34" s="4" t="s">
        <v>412</v>
      </c>
      <c r="E34" s="5">
        <v>518576</v>
      </c>
      <c r="F34" s="6">
        <v>2953.2903200000001</v>
      </c>
      <c r="G34" s="7">
        <v>9.4916229999999994E-3</v>
      </c>
      <c r="H34" s="39"/>
    </row>
    <row r="35" spans="1:8" ht="25.5" x14ac:dyDescent="0.2">
      <c r="A35" s="3">
        <v>29</v>
      </c>
      <c r="B35" s="4" t="s">
        <v>576</v>
      </c>
      <c r="C35" s="4" t="s">
        <v>577</v>
      </c>
      <c r="D35" s="4" t="s">
        <v>1147</v>
      </c>
      <c r="E35" s="5">
        <v>16757</v>
      </c>
      <c r="F35" s="6">
        <v>2415.6220920000001</v>
      </c>
      <c r="G35" s="7">
        <v>7.763603E-3</v>
      </c>
      <c r="H35" s="39"/>
    </row>
    <row r="36" spans="1:8" x14ac:dyDescent="0.2">
      <c r="A36" s="3">
        <v>30</v>
      </c>
      <c r="B36" s="4" t="s">
        <v>582</v>
      </c>
      <c r="C36" s="4" t="s">
        <v>583</v>
      </c>
      <c r="D36" s="4" t="s">
        <v>1147</v>
      </c>
      <c r="E36" s="5">
        <v>262316</v>
      </c>
      <c r="F36" s="6">
        <v>1960.287468</v>
      </c>
      <c r="G36" s="7">
        <v>6.3001969999999996E-3</v>
      </c>
      <c r="H36" s="39"/>
    </row>
    <row r="37" spans="1:8" x14ac:dyDescent="0.2">
      <c r="A37" s="3">
        <v>31</v>
      </c>
      <c r="B37" s="4" t="s">
        <v>426</v>
      </c>
      <c r="C37" s="4" t="s">
        <v>427</v>
      </c>
      <c r="D37" s="4" t="s">
        <v>82</v>
      </c>
      <c r="E37" s="5">
        <v>23230</v>
      </c>
      <c r="F37" s="6">
        <v>1686.4863849999999</v>
      </c>
      <c r="G37" s="7">
        <v>5.4202230000000001E-3</v>
      </c>
      <c r="H37" s="39"/>
    </row>
    <row r="38" spans="1:8" x14ac:dyDescent="0.2">
      <c r="A38" s="3">
        <v>32</v>
      </c>
      <c r="B38" s="4" t="s">
        <v>296</v>
      </c>
      <c r="C38" s="4" t="s">
        <v>297</v>
      </c>
      <c r="D38" s="4" t="s">
        <v>253</v>
      </c>
      <c r="E38" s="5">
        <v>36866</v>
      </c>
      <c r="F38" s="6">
        <v>1664.905426</v>
      </c>
      <c r="G38" s="7">
        <v>5.3508640000000003E-3</v>
      </c>
      <c r="H38" s="39"/>
    </row>
    <row r="39" spans="1:8" x14ac:dyDescent="0.2">
      <c r="A39" s="3">
        <v>33</v>
      </c>
      <c r="B39" s="4" t="s">
        <v>402</v>
      </c>
      <c r="C39" s="4" t="s">
        <v>403</v>
      </c>
      <c r="D39" s="4" t="s">
        <v>1148</v>
      </c>
      <c r="E39" s="5">
        <v>81167</v>
      </c>
      <c r="F39" s="6">
        <v>1662.8277455</v>
      </c>
      <c r="G39" s="7">
        <v>5.3441859999999999E-3</v>
      </c>
      <c r="H39" s="39"/>
    </row>
    <row r="40" spans="1:8" x14ac:dyDescent="0.2">
      <c r="A40" s="3">
        <v>34</v>
      </c>
      <c r="B40" s="4" t="s">
        <v>349</v>
      </c>
      <c r="C40" s="4" t="s">
        <v>350</v>
      </c>
      <c r="D40" s="4" t="s">
        <v>1149</v>
      </c>
      <c r="E40" s="5">
        <v>574800</v>
      </c>
      <c r="F40" s="6">
        <v>1657.4358</v>
      </c>
      <c r="G40" s="7">
        <v>5.3268569999999999E-3</v>
      </c>
      <c r="H40" s="39"/>
    </row>
    <row r="41" spans="1:8" ht="25.5" x14ac:dyDescent="0.2">
      <c r="A41" s="3">
        <v>35</v>
      </c>
      <c r="B41" s="4" t="s">
        <v>22</v>
      </c>
      <c r="C41" s="4" t="s">
        <v>23</v>
      </c>
      <c r="D41" s="4" t="s">
        <v>1150</v>
      </c>
      <c r="E41" s="5">
        <v>24067</v>
      </c>
      <c r="F41" s="6">
        <v>1588.975541</v>
      </c>
      <c r="G41" s="7">
        <v>5.1068320000000004E-3</v>
      </c>
      <c r="H41" s="39"/>
    </row>
    <row r="42" spans="1:8" x14ac:dyDescent="0.2">
      <c r="A42" s="3">
        <v>36</v>
      </c>
      <c r="B42" s="4" t="s">
        <v>100</v>
      </c>
      <c r="C42" s="4" t="s">
        <v>101</v>
      </c>
      <c r="D42" s="4" t="s">
        <v>53</v>
      </c>
      <c r="E42" s="5">
        <v>413190</v>
      </c>
      <c r="F42" s="6">
        <v>1541.818485</v>
      </c>
      <c r="G42" s="7">
        <v>4.9552729999999996E-3</v>
      </c>
      <c r="H42" s="39"/>
    </row>
    <row r="43" spans="1:8" ht="25.5" x14ac:dyDescent="0.2">
      <c r="A43" s="3">
        <v>37</v>
      </c>
      <c r="B43" s="4" t="s">
        <v>871</v>
      </c>
      <c r="C43" s="4" t="s">
        <v>872</v>
      </c>
      <c r="D43" s="4" t="s">
        <v>1150</v>
      </c>
      <c r="E43" s="5">
        <v>511927</v>
      </c>
      <c r="F43" s="6">
        <v>1531.9415475000001</v>
      </c>
      <c r="G43" s="7">
        <v>4.9235290000000003E-3</v>
      </c>
      <c r="H43" s="39"/>
    </row>
    <row r="44" spans="1:8" ht="25.5" x14ac:dyDescent="0.2">
      <c r="A44" s="3">
        <v>38</v>
      </c>
      <c r="B44" s="4" t="s">
        <v>417</v>
      </c>
      <c r="C44" s="37" t="s">
        <v>1013</v>
      </c>
      <c r="D44" s="37" t="s">
        <v>21</v>
      </c>
      <c r="E44" s="5">
        <v>312079</v>
      </c>
      <c r="F44" s="6">
        <v>1235.6768004999999</v>
      </c>
      <c r="G44" s="7">
        <v>3.9713600000000002E-3</v>
      </c>
      <c r="H44" s="39"/>
    </row>
    <row r="45" spans="1:8" ht="25.5" x14ac:dyDescent="0.2">
      <c r="A45" s="3">
        <v>39</v>
      </c>
      <c r="B45" s="4" t="s">
        <v>424</v>
      </c>
      <c r="C45" s="4" t="s">
        <v>425</v>
      </c>
      <c r="D45" s="4" t="s">
        <v>1138</v>
      </c>
      <c r="E45" s="5">
        <v>27517</v>
      </c>
      <c r="F45" s="6">
        <v>1211.3120985</v>
      </c>
      <c r="G45" s="7">
        <v>3.893054E-3</v>
      </c>
      <c r="H45" s="39"/>
    </row>
    <row r="46" spans="1:8" ht="25.5" x14ac:dyDescent="0.2">
      <c r="A46" s="3">
        <v>40</v>
      </c>
      <c r="B46" s="4" t="s">
        <v>56</v>
      </c>
      <c r="C46" s="4" t="s">
        <v>57</v>
      </c>
      <c r="D46" s="4" t="s">
        <v>1151</v>
      </c>
      <c r="E46" s="5">
        <v>139388</v>
      </c>
      <c r="F46" s="6">
        <v>1079.1418960000001</v>
      </c>
      <c r="G46" s="7">
        <v>3.4682699999999999E-3</v>
      </c>
      <c r="H46" s="39"/>
    </row>
    <row r="47" spans="1:8" ht="25.5" x14ac:dyDescent="0.2">
      <c r="A47" s="3">
        <v>41</v>
      </c>
      <c r="B47" s="4" t="s">
        <v>845</v>
      </c>
      <c r="C47" s="4" t="s">
        <v>846</v>
      </c>
      <c r="D47" s="4" t="s">
        <v>1142</v>
      </c>
      <c r="E47" s="5">
        <v>79207</v>
      </c>
      <c r="F47" s="6">
        <v>1052.106581</v>
      </c>
      <c r="G47" s="7">
        <v>3.3813810000000001E-3</v>
      </c>
      <c r="H47" s="39"/>
    </row>
    <row r="48" spans="1:8" ht="25.5" x14ac:dyDescent="0.2">
      <c r="A48" s="3">
        <v>42</v>
      </c>
      <c r="B48" s="4" t="s">
        <v>339</v>
      </c>
      <c r="C48" s="4" t="s">
        <v>340</v>
      </c>
      <c r="D48" s="4" t="s">
        <v>1152</v>
      </c>
      <c r="E48" s="5">
        <v>36544</v>
      </c>
      <c r="F48" s="6">
        <v>1030.412896</v>
      </c>
      <c r="G48" s="7">
        <v>3.3116589999999998E-3</v>
      </c>
      <c r="H48" s="39"/>
    </row>
    <row r="49" spans="1:8" x14ac:dyDescent="0.2">
      <c r="A49" s="3">
        <v>43</v>
      </c>
      <c r="B49" s="4" t="s">
        <v>532</v>
      </c>
      <c r="C49" s="37" t="s">
        <v>1049</v>
      </c>
      <c r="D49" s="4" t="s">
        <v>1146</v>
      </c>
      <c r="E49" s="5">
        <v>480575</v>
      </c>
      <c r="F49" s="6">
        <v>992.38737500000002</v>
      </c>
      <c r="G49" s="7">
        <v>3.1894480000000001E-3</v>
      </c>
      <c r="H49" s="39"/>
    </row>
    <row r="50" spans="1:8" ht="25.5" x14ac:dyDescent="0.2">
      <c r="A50" s="3">
        <v>44</v>
      </c>
      <c r="B50" s="4" t="s">
        <v>294</v>
      </c>
      <c r="C50" s="4" t="s">
        <v>295</v>
      </c>
      <c r="D50" s="4" t="s">
        <v>1153</v>
      </c>
      <c r="E50" s="5">
        <v>32417</v>
      </c>
      <c r="F50" s="6">
        <v>868.56488950000005</v>
      </c>
      <c r="G50" s="7">
        <v>2.7914929999999999E-3</v>
      </c>
      <c r="H50" s="39"/>
    </row>
    <row r="51" spans="1:8" x14ac:dyDescent="0.2">
      <c r="A51" s="3">
        <v>45</v>
      </c>
      <c r="B51" s="4" t="s">
        <v>450</v>
      </c>
      <c r="C51" s="4" t="s">
        <v>451</v>
      </c>
      <c r="D51" s="4" t="s">
        <v>1154</v>
      </c>
      <c r="E51" s="5">
        <v>573020</v>
      </c>
      <c r="F51" s="6">
        <v>799.07638999999995</v>
      </c>
      <c r="G51" s="7">
        <v>2.568163E-3</v>
      </c>
      <c r="H51" s="39"/>
    </row>
    <row r="52" spans="1:8" x14ac:dyDescent="0.2">
      <c r="A52" s="3">
        <v>46</v>
      </c>
      <c r="B52" s="4" t="s">
        <v>371</v>
      </c>
      <c r="C52" s="4" t="s">
        <v>372</v>
      </c>
      <c r="D52" s="4" t="s">
        <v>29</v>
      </c>
      <c r="E52" s="5">
        <v>38585</v>
      </c>
      <c r="F52" s="6">
        <v>780.55525750000004</v>
      </c>
      <c r="G52" s="7">
        <v>2.5086380000000001E-3</v>
      </c>
      <c r="H52" s="39"/>
    </row>
    <row r="53" spans="1:8" ht="25.5" x14ac:dyDescent="0.2">
      <c r="A53" s="3">
        <v>47</v>
      </c>
      <c r="B53" s="4" t="s">
        <v>321</v>
      </c>
      <c r="C53" s="4" t="s">
        <v>322</v>
      </c>
      <c r="D53" s="4" t="s">
        <v>71</v>
      </c>
      <c r="E53" s="5">
        <v>193043</v>
      </c>
      <c r="F53" s="6">
        <v>721.98081999999999</v>
      </c>
      <c r="G53" s="7">
        <v>2.3203849999999999E-3</v>
      </c>
      <c r="H53" s="39"/>
    </row>
    <row r="54" spans="1:8" x14ac:dyDescent="0.2">
      <c r="A54" s="3">
        <v>48</v>
      </c>
      <c r="B54" s="4" t="s">
        <v>454</v>
      </c>
      <c r="C54" s="4" t="s">
        <v>455</v>
      </c>
      <c r="D54" s="4" t="s">
        <v>71</v>
      </c>
      <c r="E54" s="5">
        <v>15569</v>
      </c>
      <c r="F54" s="6">
        <v>394.85319349999997</v>
      </c>
      <c r="G54" s="7">
        <v>1.2690240000000001E-3</v>
      </c>
      <c r="H54" s="39"/>
    </row>
    <row r="55" spans="1:8" x14ac:dyDescent="0.2">
      <c r="A55" s="3">
        <v>49</v>
      </c>
      <c r="B55" s="4" t="s">
        <v>432</v>
      </c>
      <c r="C55" s="4" t="s">
        <v>433</v>
      </c>
      <c r="D55" s="4" t="s">
        <v>1146</v>
      </c>
      <c r="E55" s="5">
        <v>58791</v>
      </c>
      <c r="F55" s="6">
        <v>255.00596250000001</v>
      </c>
      <c r="G55" s="7">
        <v>8.19567E-4</v>
      </c>
      <c r="H55" s="39"/>
    </row>
    <row r="56" spans="1:8" x14ac:dyDescent="0.2">
      <c r="A56" s="1"/>
      <c r="B56" s="1"/>
      <c r="C56" s="2" t="s">
        <v>111</v>
      </c>
      <c r="D56" s="1"/>
      <c r="E56" s="1" t="s">
        <v>112</v>
      </c>
      <c r="F56" s="9">
        <v>297215.67294450005</v>
      </c>
      <c r="G56" s="10">
        <v>0.95522579899999949</v>
      </c>
      <c r="H56" s="39"/>
    </row>
    <row r="57" spans="1:8" x14ac:dyDescent="0.2">
      <c r="A57" s="1"/>
      <c r="B57" s="1"/>
      <c r="C57" s="11"/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113</v>
      </c>
      <c r="D58" s="1"/>
      <c r="E58" s="1"/>
      <c r="F58" s="1"/>
      <c r="G58" s="1"/>
      <c r="H58" s="39"/>
    </row>
    <row r="59" spans="1:8" x14ac:dyDescent="0.2">
      <c r="A59" s="1"/>
      <c r="B59" s="1"/>
      <c r="C59" s="2" t="s">
        <v>111</v>
      </c>
      <c r="D59" s="1"/>
      <c r="E59" s="1" t="s">
        <v>112</v>
      </c>
      <c r="F59" s="13">
        <v>0</v>
      </c>
      <c r="G59" s="14">
        <v>0</v>
      </c>
      <c r="H59" s="39"/>
    </row>
    <row r="60" spans="1:8" x14ac:dyDescent="0.2">
      <c r="A60" s="1"/>
      <c r="B60" s="1"/>
      <c r="C60" s="11"/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114</v>
      </c>
      <c r="D61" s="1"/>
      <c r="E61" s="1"/>
      <c r="F61" s="1"/>
      <c r="G61" s="1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115</v>
      </c>
      <c r="D64" s="1"/>
      <c r="E64" s="1"/>
      <c r="F64" s="1"/>
      <c r="G64" s="1"/>
      <c r="H64" s="39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9">
        <v>0</v>
      </c>
      <c r="G65" s="10">
        <v>0</v>
      </c>
      <c r="H65" s="39"/>
    </row>
    <row r="66" spans="1:8" x14ac:dyDescent="0.2">
      <c r="A66" s="1"/>
      <c r="B66" s="1"/>
      <c r="C66" s="11"/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116</v>
      </c>
      <c r="D67" s="1"/>
      <c r="E67" s="1"/>
      <c r="F67" s="12"/>
      <c r="G67" s="12"/>
      <c r="H67" s="39"/>
    </row>
    <row r="68" spans="1:8" ht="25.5" x14ac:dyDescent="0.2">
      <c r="A68" s="36">
        <v>1</v>
      </c>
      <c r="B68" s="37" t="s">
        <v>1009</v>
      </c>
      <c r="C68" s="37" t="s">
        <v>1010</v>
      </c>
      <c r="D68" s="37"/>
      <c r="E68" s="38">
        <v>90000</v>
      </c>
      <c r="F68" s="39">
        <v>469.755</v>
      </c>
      <c r="G68" s="40">
        <v>1.50975E-3</v>
      </c>
      <c r="H68" s="39"/>
    </row>
    <row r="69" spans="1:8" x14ac:dyDescent="0.2">
      <c r="A69" s="1"/>
      <c r="B69" s="1"/>
      <c r="C69" s="2" t="s">
        <v>111</v>
      </c>
      <c r="D69" s="1"/>
      <c r="E69" s="1" t="s">
        <v>112</v>
      </c>
      <c r="F69" s="13">
        <v>469.755</v>
      </c>
      <c r="G69" s="14">
        <v>1.50975E-3</v>
      </c>
      <c r="H69" s="39"/>
    </row>
    <row r="70" spans="1:8" x14ac:dyDescent="0.2">
      <c r="A70" s="1"/>
      <c r="B70" s="1"/>
      <c r="C70" s="11"/>
      <c r="D70" s="1"/>
      <c r="E70" s="1"/>
      <c r="F70" s="12"/>
      <c r="G70" s="12"/>
      <c r="H70" s="39"/>
    </row>
    <row r="71" spans="1:8" x14ac:dyDescent="0.2">
      <c r="A71" s="1"/>
      <c r="B71" s="1"/>
      <c r="C71" s="2" t="s">
        <v>117</v>
      </c>
      <c r="D71" s="1"/>
      <c r="E71" s="1"/>
      <c r="F71" s="12"/>
      <c r="G71" s="12"/>
      <c r="H71" s="39"/>
    </row>
    <row r="72" spans="1:8" x14ac:dyDescent="0.2">
      <c r="A72" s="1"/>
      <c r="B72" s="1"/>
      <c r="C72" s="2" t="s">
        <v>111</v>
      </c>
      <c r="D72" s="1"/>
      <c r="E72" s="1" t="s">
        <v>112</v>
      </c>
      <c r="F72" s="13">
        <v>0</v>
      </c>
      <c r="G72" s="14">
        <v>0</v>
      </c>
      <c r="H72" s="39"/>
    </row>
    <row r="73" spans="1:8" x14ac:dyDescent="0.2">
      <c r="A73" s="1"/>
      <c r="B73" s="1"/>
      <c r="C73" s="11"/>
      <c r="D73" s="1"/>
      <c r="E73" s="1"/>
      <c r="F73" s="12"/>
      <c r="G73" s="12"/>
      <c r="H73" s="39"/>
    </row>
    <row r="74" spans="1:8" x14ac:dyDescent="0.2">
      <c r="A74" s="1"/>
      <c r="B74" s="1"/>
      <c r="C74" s="2" t="s">
        <v>118</v>
      </c>
      <c r="D74" s="1"/>
      <c r="E74" s="1"/>
      <c r="F74" s="9">
        <v>297685.42794450006</v>
      </c>
      <c r="G74" s="10">
        <v>0.95673554899999946</v>
      </c>
      <c r="H74" s="39"/>
    </row>
    <row r="75" spans="1:8" x14ac:dyDescent="0.2">
      <c r="A75" s="1"/>
      <c r="B75" s="1"/>
      <c r="C75" s="11"/>
      <c r="D75" s="1"/>
      <c r="E75" s="1"/>
      <c r="F75" s="12"/>
      <c r="G75" s="12"/>
      <c r="H75" s="39"/>
    </row>
    <row r="76" spans="1:8" x14ac:dyDescent="0.2">
      <c r="A76" s="1"/>
      <c r="B76" s="1"/>
      <c r="C76" s="2" t="s">
        <v>119</v>
      </c>
      <c r="D76" s="1"/>
      <c r="E76" s="1"/>
      <c r="F76" s="12"/>
      <c r="G76" s="12"/>
      <c r="H76" s="39"/>
    </row>
    <row r="77" spans="1:8" ht="25.5" x14ac:dyDescent="0.2">
      <c r="A77" s="1"/>
      <c r="B77" s="1"/>
      <c r="C77" s="2" t="s">
        <v>10</v>
      </c>
      <c r="D77" s="1"/>
      <c r="E77" s="1"/>
      <c r="F77" s="12"/>
      <c r="G77" s="12"/>
      <c r="H77" s="39"/>
    </row>
    <row r="78" spans="1:8" ht="25.5" x14ac:dyDescent="0.2">
      <c r="A78" s="3">
        <v>1</v>
      </c>
      <c r="B78" s="4" t="s">
        <v>781</v>
      </c>
      <c r="C78" s="4" t="s">
        <v>782</v>
      </c>
      <c r="D78" s="4" t="s">
        <v>591</v>
      </c>
      <c r="E78" s="5">
        <v>28980</v>
      </c>
      <c r="F78" s="6">
        <v>8.3772775799999994</v>
      </c>
      <c r="G78" s="40">
        <f>F78/F123</f>
        <v>2.692385499054977E-5</v>
      </c>
      <c r="H78" s="39">
        <v>5.65</v>
      </c>
    </row>
    <row r="79" spans="1:8" x14ac:dyDescent="0.2">
      <c r="A79" s="1"/>
      <c r="B79" s="1"/>
      <c r="C79" s="2" t="s">
        <v>111</v>
      </c>
      <c r="D79" s="1"/>
      <c r="E79" s="1" t="s">
        <v>112</v>
      </c>
      <c r="F79" s="9">
        <v>8.3772775799999994</v>
      </c>
      <c r="G79" s="10">
        <f>SUM(G78)</f>
        <v>2.692385499054977E-5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120</v>
      </c>
      <c r="D81" s="1"/>
      <c r="E81" s="1"/>
      <c r="F81" s="1"/>
      <c r="G81" s="1"/>
      <c r="H81" s="39"/>
    </row>
    <row r="82" spans="1:8" x14ac:dyDescent="0.2">
      <c r="A82" s="1"/>
      <c r="B82" s="1"/>
      <c r="C82" s="2" t="s">
        <v>111</v>
      </c>
      <c r="D82" s="1"/>
      <c r="E82" s="1" t="s">
        <v>112</v>
      </c>
      <c r="F82" s="13">
        <v>0</v>
      </c>
      <c r="G82" s="14">
        <v>0</v>
      </c>
      <c r="H82" s="39"/>
    </row>
    <row r="83" spans="1:8" x14ac:dyDescent="0.2">
      <c r="A83" s="1"/>
      <c r="B83" s="1"/>
      <c r="C83" s="11"/>
      <c r="D83" s="1"/>
      <c r="E83" s="1"/>
      <c r="F83" s="12"/>
      <c r="G83" s="12"/>
      <c r="H83" s="39"/>
    </row>
    <row r="84" spans="1:8" x14ac:dyDescent="0.2">
      <c r="A84" s="1"/>
      <c r="B84" s="1"/>
      <c r="C84" s="2" t="s">
        <v>121</v>
      </c>
      <c r="D84" s="1"/>
      <c r="E84" s="1"/>
      <c r="F84" s="1"/>
      <c r="G84" s="1"/>
      <c r="H84" s="39"/>
    </row>
    <row r="85" spans="1:8" x14ac:dyDescent="0.2">
      <c r="A85" s="1"/>
      <c r="B85" s="1"/>
      <c r="C85" s="2" t="s">
        <v>111</v>
      </c>
      <c r="D85" s="1"/>
      <c r="E85" s="1" t="s">
        <v>112</v>
      </c>
      <c r="F85" s="13">
        <v>0</v>
      </c>
      <c r="G85" s="14">
        <v>0</v>
      </c>
      <c r="H85" s="39"/>
    </row>
    <row r="86" spans="1:8" x14ac:dyDescent="0.2">
      <c r="A86" s="1"/>
      <c r="B86" s="1"/>
      <c r="C86" s="11"/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122</v>
      </c>
      <c r="D87" s="1"/>
      <c r="E87" s="1"/>
      <c r="F87" s="12"/>
      <c r="G87" s="12"/>
      <c r="H87" s="39"/>
    </row>
    <row r="88" spans="1:8" x14ac:dyDescent="0.2">
      <c r="A88" s="1"/>
      <c r="B88" s="1"/>
      <c r="C88" s="2" t="s">
        <v>111</v>
      </c>
      <c r="D88" s="1"/>
      <c r="E88" s="1" t="s">
        <v>112</v>
      </c>
      <c r="F88" s="13">
        <v>0</v>
      </c>
      <c r="G88" s="14">
        <v>0</v>
      </c>
      <c r="H88" s="39"/>
    </row>
    <row r="89" spans="1:8" x14ac:dyDescent="0.2">
      <c r="A89" s="1"/>
      <c r="B89" s="1"/>
      <c r="C89" s="11"/>
      <c r="D89" s="1"/>
      <c r="E89" s="1"/>
      <c r="F89" s="12"/>
      <c r="G89" s="12"/>
      <c r="H89" s="39"/>
    </row>
    <row r="90" spans="1:8" x14ac:dyDescent="0.2">
      <c r="A90" s="1"/>
      <c r="B90" s="1"/>
      <c r="C90" s="2" t="s">
        <v>123</v>
      </c>
      <c r="D90" s="1"/>
      <c r="E90" s="1"/>
      <c r="F90" s="9">
        <v>8.3772775799999994</v>
      </c>
      <c r="G90" s="10">
        <v>2.6923999999999998E-5</v>
      </c>
      <c r="H90" s="39"/>
    </row>
    <row r="91" spans="1:8" x14ac:dyDescent="0.2">
      <c r="A91" s="1"/>
      <c r="B91" s="1"/>
      <c r="C91" s="11"/>
      <c r="D91" s="1"/>
      <c r="E91" s="1"/>
      <c r="F91" s="12"/>
      <c r="G91" s="12"/>
      <c r="H91" s="39"/>
    </row>
    <row r="92" spans="1:8" x14ac:dyDescent="0.2">
      <c r="A92" s="1"/>
      <c r="B92" s="1"/>
      <c r="C92" s="2" t="s">
        <v>124</v>
      </c>
      <c r="D92" s="1"/>
      <c r="E92" s="1"/>
      <c r="F92" s="12"/>
      <c r="G92" s="12"/>
      <c r="H92" s="39"/>
    </row>
    <row r="93" spans="1:8" x14ac:dyDescent="0.2">
      <c r="A93" s="1"/>
      <c r="B93" s="1"/>
      <c r="C93" s="2" t="s">
        <v>125</v>
      </c>
      <c r="D93" s="1"/>
      <c r="E93" s="1"/>
      <c r="F93" s="12"/>
      <c r="G93" s="12"/>
      <c r="H93" s="39"/>
    </row>
    <row r="94" spans="1:8" x14ac:dyDescent="0.2">
      <c r="A94" s="1"/>
      <c r="B94" s="1"/>
      <c r="C94" s="2" t="s">
        <v>111</v>
      </c>
      <c r="D94" s="1"/>
      <c r="E94" s="1" t="s">
        <v>112</v>
      </c>
      <c r="F94" s="13">
        <v>0</v>
      </c>
      <c r="G94" s="14">
        <v>0</v>
      </c>
      <c r="H94" s="39"/>
    </row>
    <row r="95" spans="1:8" x14ac:dyDescent="0.2">
      <c r="A95" s="1"/>
      <c r="B95" s="1"/>
      <c r="C95" s="11"/>
      <c r="D95" s="1"/>
      <c r="E95" s="1"/>
      <c r="F95" s="12"/>
      <c r="G95" s="12"/>
      <c r="H95" s="39"/>
    </row>
    <row r="96" spans="1:8" x14ac:dyDescent="0.2">
      <c r="A96" s="1"/>
      <c r="B96" s="1"/>
      <c r="C96" s="2" t="s">
        <v>126</v>
      </c>
      <c r="D96" s="1"/>
      <c r="E96" s="1"/>
      <c r="F96" s="12"/>
      <c r="G96" s="12"/>
      <c r="H96" s="39"/>
    </row>
    <row r="97" spans="1:8" x14ac:dyDescent="0.2">
      <c r="A97" s="1"/>
      <c r="B97" s="1"/>
      <c r="C97" s="2" t="s">
        <v>111</v>
      </c>
      <c r="D97" s="1"/>
      <c r="E97" s="1" t="s">
        <v>112</v>
      </c>
      <c r="F97" s="13">
        <v>0</v>
      </c>
      <c r="G97" s="14">
        <v>0</v>
      </c>
      <c r="H97" s="39"/>
    </row>
    <row r="98" spans="1:8" x14ac:dyDescent="0.2">
      <c r="A98" s="1"/>
      <c r="B98" s="1"/>
      <c r="C98" s="11"/>
      <c r="D98" s="1"/>
      <c r="E98" s="1"/>
      <c r="F98" s="12"/>
      <c r="G98" s="12"/>
      <c r="H98" s="39"/>
    </row>
    <row r="99" spans="1:8" x14ac:dyDescent="0.2">
      <c r="A99" s="1"/>
      <c r="B99" s="1"/>
      <c r="C99" s="2" t="s">
        <v>127</v>
      </c>
      <c r="D99" s="1"/>
      <c r="E99" s="1"/>
      <c r="F99" s="12"/>
      <c r="G99" s="12"/>
      <c r="H99" s="39"/>
    </row>
    <row r="100" spans="1:8" x14ac:dyDescent="0.2">
      <c r="A100" s="1"/>
      <c r="B100" s="1"/>
      <c r="C100" s="2" t="s">
        <v>111</v>
      </c>
      <c r="D100" s="1"/>
      <c r="E100" s="1" t="s">
        <v>112</v>
      </c>
      <c r="F100" s="13">
        <v>0</v>
      </c>
      <c r="G100" s="14">
        <v>0</v>
      </c>
      <c r="H100" s="39"/>
    </row>
    <row r="101" spans="1:8" x14ac:dyDescent="0.2">
      <c r="A101" s="1"/>
      <c r="B101" s="1"/>
      <c r="C101" s="11"/>
      <c r="D101" s="1"/>
      <c r="E101" s="1"/>
      <c r="F101" s="12"/>
      <c r="G101" s="12"/>
      <c r="H101" s="39"/>
    </row>
    <row r="102" spans="1:8" x14ac:dyDescent="0.2">
      <c r="A102" s="1"/>
      <c r="B102" s="1"/>
      <c r="C102" s="2" t="s">
        <v>128</v>
      </c>
      <c r="D102" s="1"/>
      <c r="E102" s="1"/>
      <c r="F102" s="12"/>
      <c r="G102" s="12"/>
      <c r="H102" s="39"/>
    </row>
    <row r="103" spans="1:8" x14ac:dyDescent="0.2">
      <c r="A103" s="3">
        <v>1</v>
      </c>
      <c r="B103" s="4"/>
      <c r="C103" s="4" t="s">
        <v>129</v>
      </c>
      <c r="D103" s="4"/>
      <c r="E103" s="8"/>
      <c r="F103" s="6">
        <v>3710.9827955999999</v>
      </c>
      <c r="G103" s="7">
        <v>1.1926782E-2</v>
      </c>
      <c r="H103" s="39">
        <v>3.6151121728634927</v>
      </c>
    </row>
    <row r="104" spans="1:8" x14ac:dyDescent="0.2">
      <c r="A104" s="3">
        <v>2</v>
      </c>
      <c r="B104" s="4"/>
      <c r="C104" s="4" t="s">
        <v>130</v>
      </c>
      <c r="D104" s="4"/>
      <c r="E104" s="8"/>
      <c r="F104" s="6">
        <v>1312.1182037999999</v>
      </c>
      <c r="G104" s="7">
        <v>4.2170360000000004E-3</v>
      </c>
      <c r="H104" s="39">
        <v>3.7142625760646584</v>
      </c>
    </row>
    <row r="105" spans="1:8" x14ac:dyDescent="0.2">
      <c r="A105" s="1"/>
      <c r="B105" s="1"/>
      <c r="C105" s="2" t="s">
        <v>111</v>
      </c>
      <c r="D105" s="1"/>
      <c r="E105" s="1" t="s">
        <v>112</v>
      </c>
      <c r="F105" s="9">
        <v>5023.1009993999996</v>
      </c>
      <c r="G105" s="10">
        <v>1.6143818000000001E-2</v>
      </c>
      <c r="H105" s="39"/>
    </row>
    <row r="106" spans="1:8" x14ac:dyDescent="0.2">
      <c r="A106" s="1"/>
      <c r="B106" s="1"/>
      <c r="C106" s="11"/>
      <c r="D106" s="1"/>
      <c r="E106" s="1"/>
      <c r="F106" s="12"/>
      <c r="G106" s="12"/>
      <c r="H106" s="39"/>
    </row>
    <row r="107" spans="1:8" x14ac:dyDescent="0.2">
      <c r="A107" s="1"/>
      <c r="B107" s="1"/>
      <c r="C107" s="2" t="s">
        <v>131</v>
      </c>
      <c r="D107" s="1"/>
      <c r="E107" s="1"/>
      <c r="F107" s="9">
        <v>5023.1009993999996</v>
      </c>
      <c r="G107" s="10">
        <v>1.6143818000000001E-2</v>
      </c>
      <c r="H107" s="39"/>
    </row>
    <row r="108" spans="1:8" x14ac:dyDescent="0.2">
      <c r="A108" s="1"/>
      <c r="B108" s="1"/>
      <c r="C108" s="12"/>
      <c r="D108" s="1"/>
      <c r="E108" s="1"/>
      <c r="F108" s="1"/>
      <c r="G108" s="1"/>
      <c r="H108" s="39"/>
    </row>
    <row r="109" spans="1:8" x14ac:dyDescent="0.2">
      <c r="A109" s="1"/>
      <c r="B109" s="1"/>
      <c r="C109" s="2" t="s">
        <v>132</v>
      </c>
      <c r="D109" s="1"/>
      <c r="E109" s="1"/>
      <c r="F109" s="1"/>
      <c r="G109" s="1"/>
      <c r="H109" s="39"/>
    </row>
    <row r="110" spans="1:8" x14ac:dyDescent="0.2">
      <c r="A110" s="1"/>
      <c r="B110" s="1"/>
      <c r="C110" s="2" t="s">
        <v>133</v>
      </c>
      <c r="D110" s="1"/>
      <c r="E110" s="1"/>
      <c r="F110" s="1"/>
      <c r="G110" s="1"/>
      <c r="H110" s="39"/>
    </row>
    <row r="111" spans="1:8" x14ac:dyDescent="0.2">
      <c r="A111" s="1"/>
      <c r="B111" s="1"/>
      <c r="C111" s="2" t="s">
        <v>111</v>
      </c>
      <c r="D111" s="1"/>
      <c r="E111" s="1" t="s">
        <v>112</v>
      </c>
      <c r="F111" s="13">
        <v>0</v>
      </c>
      <c r="G111" s="14">
        <v>0</v>
      </c>
      <c r="H111" s="39"/>
    </row>
    <row r="112" spans="1:8" x14ac:dyDescent="0.2">
      <c r="A112" s="1"/>
      <c r="B112" s="1"/>
      <c r="C112" s="11"/>
      <c r="D112" s="1"/>
      <c r="E112" s="1"/>
      <c r="F112" s="12"/>
      <c r="G112" s="12"/>
      <c r="H112" s="39"/>
    </row>
    <row r="113" spans="1:16" x14ac:dyDescent="0.2">
      <c r="A113" s="1"/>
      <c r="B113" s="1"/>
      <c r="C113" s="2" t="s">
        <v>134</v>
      </c>
      <c r="D113" s="1"/>
      <c r="E113" s="1"/>
      <c r="F113" s="1"/>
      <c r="G113" s="1"/>
      <c r="H113" s="39"/>
    </row>
    <row r="114" spans="1:16" x14ac:dyDescent="0.2">
      <c r="A114" s="1"/>
      <c r="B114" s="1"/>
      <c r="C114" s="2" t="s">
        <v>135</v>
      </c>
      <c r="D114" s="1"/>
      <c r="E114" s="1"/>
      <c r="F114" s="1"/>
      <c r="G114" s="1"/>
      <c r="H114" s="39"/>
    </row>
    <row r="115" spans="1:16" x14ac:dyDescent="0.2">
      <c r="A115" s="1"/>
      <c r="B115" s="1"/>
      <c r="C115" s="2" t="s">
        <v>111</v>
      </c>
      <c r="D115" s="1"/>
      <c r="E115" s="1" t="s">
        <v>112</v>
      </c>
      <c r="F115" s="13">
        <v>0</v>
      </c>
      <c r="G115" s="14">
        <v>0</v>
      </c>
      <c r="H115" s="39"/>
    </row>
    <row r="116" spans="1:16" x14ac:dyDescent="0.2">
      <c r="A116" s="1"/>
      <c r="B116" s="1"/>
      <c r="C116" s="11"/>
      <c r="D116" s="1"/>
      <c r="E116" s="1"/>
      <c r="F116" s="12"/>
      <c r="G116" s="12"/>
      <c r="H116" s="39"/>
    </row>
    <row r="117" spans="1:16" x14ac:dyDescent="0.2">
      <c r="A117" s="1"/>
      <c r="B117" s="1"/>
      <c r="C117" s="11"/>
      <c r="D117" s="1"/>
      <c r="E117" s="1"/>
      <c r="F117" s="12"/>
      <c r="G117" s="12"/>
      <c r="H117" s="39"/>
    </row>
    <row r="118" spans="1:16" ht="25.5" x14ac:dyDescent="0.2">
      <c r="A118" s="1"/>
      <c r="B118" s="1"/>
      <c r="C118" s="2" t="s">
        <v>136</v>
      </c>
      <c r="D118" s="1"/>
      <c r="E118" s="1"/>
      <c r="F118" s="12"/>
      <c r="G118" s="12"/>
      <c r="H118" s="39"/>
    </row>
    <row r="119" spans="1:16" x14ac:dyDescent="0.2">
      <c r="A119" s="1"/>
      <c r="B119" s="1"/>
      <c r="C119" s="2" t="s">
        <v>111</v>
      </c>
      <c r="D119" s="1"/>
      <c r="E119" s="1" t="s">
        <v>112</v>
      </c>
      <c r="F119" s="13">
        <v>0</v>
      </c>
      <c r="G119" s="14">
        <v>0</v>
      </c>
      <c r="H119" s="39"/>
    </row>
    <row r="120" spans="1:16" x14ac:dyDescent="0.2">
      <c r="A120" s="1"/>
      <c r="B120" s="1"/>
      <c r="C120" s="11"/>
      <c r="D120" s="1"/>
      <c r="E120" s="1"/>
      <c r="F120" s="12"/>
      <c r="G120" s="12"/>
      <c r="H120" s="39"/>
    </row>
    <row r="121" spans="1:16" x14ac:dyDescent="0.2">
      <c r="A121" s="1"/>
      <c r="B121" s="4"/>
      <c r="C121" s="4"/>
      <c r="D121" s="2"/>
      <c r="E121" s="1"/>
      <c r="F121" s="4"/>
      <c r="G121" s="8"/>
      <c r="H121" s="39"/>
    </row>
    <row r="122" spans="1:16" x14ac:dyDescent="0.2">
      <c r="A122" s="8"/>
      <c r="B122" s="4"/>
      <c r="C122" s="37" t="s">
        <v>1011</v>
      </c>
      <c r="D122" s="4"/>
      <c r="E122" s="8"/>
      <c r="F122" s="6">
        <v>8430.1261384999998</v>
      </c>
      <c r="G122" s="7">
        <v>2.709370574599216E-2</v>
      </c>
      <c r="H122" s="39"/>
    </row>
    <row r="123" spans="1:16" x14ac:dyDescent="0.2">
      <c r="A123" s="11"/>
      <c r="B123" s="11"/>
      <c r="C123" s="2" t="s">
        <v>138</v>
      </c>
      <c r="D123" s="15"/>
      <c r="E123" s="15"/>
      <c r="F123" s="9">
        <v>311147.03235998005</v>
      </c>
      <c r="G123" s="10">
        <v>0.99997307274599168</v>
      </c>
      <c r="H123" s="39"/>
    </row>
    <row r="124" spans="1:16" ht="14.1" customHeight="1" x14ac:dyDescent="0.2">
      <c r="A124" s="16"/>
      <c r="B124" s="16"/>
      <c r="C124" s="16"/>
      <c r="D124" s="17"/>
      <c r="E124" s="17"/>
      <c r="F124" s="17"/>
      <c r="G124" s="17"/>
    </row>
    <row r="125" spans="1:16" ht="17.100000000000001" customHeight="1" x14ac:dyDescent="0.2">
      <c r="A125" s="18"/>
      <c r="B125" s="197" t="s">
        <v>682</v>
      </c>
      <c r="C125" s="197"/>
      <c r="D125" s="197"/>
      <c r="E125" s="197"/>
      <c r="F125" s="197"/>
      <c r="G125" s="20"/>
    </row>
    <row r="126" spans="1:16" ht="17.100000000000001" customHeight="1" x14ac:dyDescent="0.2">
      <c r="A126" s="18"/>
      <c r="B126" s="197" t="s">
        <v>139</v>
      </c>
      <c r="C126" s="197"/>
      <c r="D126" s="197"/>
      <c r="E126" s="197"/>
      <c r="F126" s="197"/>
      <c r="G126" s="20"/>
    </row>
    <row r="127" spans="1:16" s="41" customFormat="1" ht="17.100000000000001" customHeight="1" x14ac:dyDescent="0.2">
      <c r="A127" s="42"/>
      <c r="B127" s="209" t="s">
        <v>1012</v>
      </c>
      <c r="C127" s="209"/>
      <c r="D127" s="209"/>
      <c r="E127" s="209"/>
      <c r="F127" s="209"/>
      <c r="G127" s="43"/>
      <c r="H127"/>
      <c r="J127"/>
      <c r="K127"/>
      <c r="L127"/>
      <c r="M127"/>
      <c r="N127"/>
      <c r="O127"/>
      <c r="P127"/>
    </row>
    <row r="128" spans="1:16" ht="14.1" customHeight="1" x14ac:dyDescent="0.2">
      <c r="A128" s="18"/>
      <c r="B128" s="18"/>
      <c r="C128" s="18"/>
      <c r="D128" s="20"/>
      <c r="E128" s="20"/>
      <c r="F128" s="20"/>
      <c r="G128" s="20"/>
    </row>
    <row r="129" spans="1:15" ht="14.1" customHeight="1" x14ac:dyDescent="0.2">
      <c r="A129" s="18"/>
      <c r="B129" s="194" t="s">
        <v>140</v>
      </c>
      <c r="C129" s="195"/>
      <c r="D129" s="12" t="s">
        <v>112</v>
      </c>
      <c r="E129" s="21"/>
      <c r="F129" s="20"/>
      <c r="G129" s="20"/>
    </row>
    <row r="130" spans="1:15" ht="29.1" customHeight="1" x14ac:dyDescent="0.2">
      <c r="A130" s="18"/>
      <c r="B130" s="189" t="s">
        <v>141</v>
      </c>
      <c r="C130" s="190"/>
      <c r="D130" s="2" t="s">
        <v>142</v>
      </c>
      <c r="E130" s="21"/>
      <c r="F130" s="20"/>
      <c r="G130" s="20"/>
    </row>
    <row r="131" spans="1:15" ht="17.100000000000001" customHeight="1" x14ac:dyDescent="0.2">
      <c r="A131" s="18"/>
      <c r="B131" s="189" t="s">
        <v>143</v>
      </c>
      <c r="C131" s="190"/>
      <c r="D131" s="2" t="s">
        <v>142</v>
      </c>
      <c r="E131" s="21"/>
      <c r="F131" s="20"/>
      <c r="G131" s="20"/>
    </row>
    <row r="132" spans="1:15" ht="17.100000000000001" customHeight="1" x14ac:dyDescent="0.2">
      <c r="A132" s="18"/>
      <c r="B132" s="189" t="s">
        <v>144</v>
      </c>
      <c r="C132" s="190"/>
      <c r="D132" s="12" t="s">
        <v>112</v>
      </c>
      <c r="E132" s="21"/>
      <c r="F132" s="20"/>
      <c r="G132" s="20"/>
    </row>
    <row r="133" spans="1:15" ht="24" customHeight="1" x14ac:dyDescent="0.2">
      <c r="A133" s="22"/>
      <c r="B133" s="23" t="s">
        <v>112</v>
      </c>
      <c r="C133" s="23" t="s">
        <v>145</v>
      </c>
      <c r="D133" s="23" t="s">
        <v>146</v>
      </c>
      <c r="E133" s="22"/>
      <c r="F133" s="22"/>
      <c r="G133" s="22"/>
    </row>
    <row r="134" spans="1:15" ht="18" customHeight="1" x14ac:dyDescent="0.2">
      <c r="A134" s="22"/>
      <c r="B134" s="23" t="s">
        <v>147</v>
      </c>
      <c r="C134" s="23" t="s">
        <v>148</v>
      </c>
      <c r="D134" s="23" t="s">
        <v>149</v>
      </c>
      <c r="E134" s="22"/>
      <c r="F134" s="22"/>
      <c r="G134" s="22"/>
    </row>
    <row r="135" spans="1:15" ht="17.100000000000001" customHeight="1" x14ac:dyDescent="0.2">
      <c r="A135" s="22"/>
      <c r="B135" s="4" t="s">
        <v>150</v>
      </c>
      <c r="C135" s="24">
        <v>14.587999999999999</v>
      </c>
      <c r="D135" s="24">
        <v>15.089700000000001</v>
      </c>
      <c r="E135" s="22"/>
      <c r="F135" s="19"/>
      <c r="G135" s="25"/>
    </row>
    <row r="136" spans="1:15" ht="17.100000000000001" customHeight="1" x14ac:dyDescent="0.2">
      <c r="A136" s="22"/>
      <c r="B136" s="4" t="s">
        <v>1092</v>
      </c>
      <c r="C136" s="24">
        <v>14.081899999999999</v>
      </c>
      <c r="D136" s="24">
        <v>14.058299999999999</v>
      </c>
      <c r="E136" s="22"/>
      <c r="F136" s="19"/>
      <c r="G136" s="25"/>
    </row>
    <row r="137" spans="1:15" ht="17.100000000000001" customHeight="1" x14ac:dyDescent="0.2">
      <c r="A137" s="22"/>
      <c r="B137" s="4" t="s">
        <v>151</v>
      </c>
      <c r="C137" s="24">
        <v>14.2074</v>
      </c>
      <c r="D137" s="24">
        <v>14.678699999999999</v>
      </c>
      <c r="E137" s="22"/>
      <c r="F137" s="19"/>
      <c r="G137" s="25"/>
      <c r="J137" s="101"/>
      <c r="K137" s="101"/>
      <c r="L137" s="101"/>
      <c r="M137" s="101"/>
      <c r="N137" s="101"/>
      <c r="O137" s="101"/>
    </row>
    <row r="138" spans="1:15" ht="17.100000000000001" customHeight="1" x14ac:dyDescent="0.2">
      <c r="A138" s="22"/>
      <c r="B138" s="4" t="s">
        <v>1093</v>
      </c>
      <c r="C138" s="24">
        <v>13.716200000000001</v>
      </c>
      <c r="D138" s="24">
        <v>13.676600000000001</v>
      </c>
      <c r="E138" s="22"/>
      <c r="F138" s="19"/>
      <c r="G138" s="25"/>
    </row>
    <row r="139" spans="1:15" ht="14.1" customHeight="1" x14ac:dyDescent="0.2">
      <c r="A139" s="22"/>
      <c r="B139" s="22"/>
      <c r="C139" s="22"/>
      <c r="D139" s="22"/>
      <c r="E139" s="22"/>
      <c r="F139" s="22"/>
      <c r="G139" s="22"/>
    </row>
    <row r="140" spans="1:15" ht="17.100000000000001" customHeight="1" x14ac:dyDescent="0.2">
      <c r="A140" s="22"/>
      <c r="B140" s="189" t="s">
        <v>1094</v>
      </c>
      <c r="C140" s="190"/>
      <c r="D140" s="2" t="s">
        <v>112</v>
      </c>
      <c r="E140" s="22"/>
      <c r="F140" s="22"/>
      <c r="G140" s="22"/>
    </row>
    <row r="141" spans="1:15" ht="18" customHeight="1" x14ac:dyDescent="0.2">
      <c r="A141" s="22"/>
      <c r="B141" s="55" t="s">
        <v>147</v>
      </c>
      <c r="C141" s="56" t="s">
        <v>1039</v>
      </c>
      <c r="D141" s="56" t="s">
        <v>1040</v>
      </c>
      <c r="E141" s="22"/>
      <c r="F141" s="22"/>
      <c r="G141" s="22"/>
    </row>
    <row r="142" spans="1:15" ht="17.100000000000001" customHeight="1" x14ac:dyDescent="0.2">
      <c r="A142" s="22"/>
      <c r="B142" s="37" t="s">
        <v>1092</v>
      </c>
      <c r="C142" s="57">
        <v>0.498</v>
      </c>
      <c r="D142" s="57">
        <v>0.498</v>
      </c>
      <c r="E142" s="22"/>
      <c r="F142" s="19"/>
      <c r="G142" s="25"/>
    </row>
    <row r="143" spans="1:15" ht="17.100000000000001" customHeight="1" x14ac:dyDescent="0.2">
      <c r="A143" s="22"/>
      <c r="B143" s="37" t="s">
        <v>1093</v>
      </c>
      <c r="C143" s="57">
        <v>0.48499999999999999</v>
      </c>
      <c r="D143" s="57">
        <v>0.48499999999999999</v>
      </c>
      <c r="E143" s="22"/>
      <c r="F143" s="19"/>
      <c r="G143" s="25"/>
    </row>
    <row r="144" spans="1:15" ht="17.100000000000001" customHeight="1" x14ac:dyDescent="0.2">
      <c r="A144" s="22"/>
      <c r="B144" s="114"/>
      <c r="C144" s="115"/>
      <c r="D144" s="115"/>
      <c r="E144" s="22"/>
      <c r="F144" s="54"/>
      <c r="G144" s="25"/>
    </row>
    <row r="145" spans="1:17" s="101" customFormat="1" x14ac:dyDescent="0.2">
      <c r="B145" s="193" t="s">
        <v>1102</v>
      </c>
      <c r="C145" s="193"/>
      <c r="D145" s="193"/>
      <c r="E145" s="193"/>
      <c r="F145" s="193"/>
      <c r="I145"/>
      <c r="J145"/>
      <c r="K145"/>
      <c r="L145"/>
      <c r="M145"/>
      <c r="N145"/>
      <c r="O145"/>
      <c r="P145" s="41"/>
      <c r="Q145" s="41"/>
    </row>
    <row r="146" spans="1:17" ht="14.1" customHeight="1" x14ac:dyDescent="0.2">
      <c r="A146" s="22"/>
      <c r="B146" s="19"/>
      <c r="C146" s="19"/>
      <c r="D146" s="22"/>
      <c r="E146" s="22"/>
      <c r="F146" s="22"/>
      <c r="G146" s="22"/>
    </row>
    <row r="147" spans="1:17" ht="29.1" customHeight="1" x14ac:dyDescent="0.2">
      <c r="A147" s="59"/>
      <c r="B147" s="191" t="s">
        <v>152</v>
      </c>
      <c r="C147" s="192"/>
      <c r="D147" s="51" t="s">
        <v>142</v>
      </c>
      <c r="E147" s="59"/>
      <c r="F147" s="59"/>
      <c r="G147" s="59"/>
      <c r="P147" s="41"/>
    </row>
    <row r="148" spans="1:17" ht="29.1" customHeight="1" x14ac:dyDescent="0.2">
      <c r="A148" s="59"/>
      <c r="B148" s="191" t="s">
        <v>153</v>
      </c>
      <c r="C148" s="192"/>
      <c r="D148" s="51" t="s">
        <v>142</v>
      </c>
      <c r="E148" s="59"/>
      <c r="F148" s="59"/>
      <c r="G148" s="59"/>
    </row>
    <row r="149" spans="1:17" s="41" customFormat="1" ht="17.100000000000001" customHeight="1" x14ac:dyDescent="0.2">
      <c r="A149" s="63"/>
      <c r="B149" s="212" t="s">
        <v>1044</v>
      </c>
      <c r="C149" s="213"/>
      <c r="D149" s="64">
        <v>1.4185681546259219E-3</v>
      </c>
      <c r="E149" s="65"/>
      <c r="F149" s="63"/>
      <c r="G149" s="63"/>
      <c r="J149"/>
      <c r="K149"/>
      <c r="L149"/>
      <c r="M149"/>
      <c r="N149"/>
      <c r="O149"/>
      <c r="P149"/>
    </row>
    <row r="150" spans="1:17" s="41" customFormat="1" ht="17.100000000000001" customHeight="1" x14ac:dyDescent="0.2">
      <c r="A150" s="63"/>
      <c r="B150" s="212" t="s">
        <v>1045</v>
      </c>
      <c r="C150" s="213"/>
      <c r="D150" s="64">
        <v>1.314453060708423E-3</v>
      </c>
      <c r="E150" s="65"/>
      <c r="F150" s="63"/>
      <c r="G150" s="63"/>
      <c r="J150"/>
      <c r="K150"/>
      <c r="L150"/>
      <c r="M150"/>
      <c r="N150"/>
      <c r="O150"/>
      <c r="P150"/>
    </row>
    <row r="151" spans="1:17" ht="17.100000000000001" customHeight="1" x14ac:dyDescent="0.2">
      <c r="A151" s="59"/>
      <c r="B151" s="191" t="s">
        <v>1046</v>
      </c>
      <c r="C151" s="192"/>
      <c r="D151" s="28">
        <v>0.69302903792210935</v>
      </c>
      <c r="E151" s="59"/>
      <c r="F151" s="50"/>
      <c r="G151" s="62"/>
    </row>
    <row r="152" spans="1:17" ht="17.100000000000001" customHeight="1" x14ac:dyDescent="0.2">
      <c r="A152" s="59"/>
      <c r="B152" s="191" t="s">
        <v>1047</v>
      </c>
      <c r="C152" s="192"/>
      <c r="D152" s="51" t="s">
        <v>142</v>
      </c>
      <c r="E152" s="59"/>
      <c r="F152" s="59"/>
      <c r="G152" s="59"/>
    </row>
  </sheetData>
  <mergeCells count="19">
    <mergeCell ref="B152:C152"/>
    <mergeCell ref="B149:C149"/>
    <mergeCell ref="B150:C150"/>
    <mergeCell ref="B130:C130"/>
    <mergeCell ref="B131:C131"/>
    <mergeCell ref="B132:C132"/>
    <mergeCell ref="B140:C140"/>
    <mergeCell ref="B147:C147"/>
    <mergeCell ref="B148:C148"/>
    <mergeCell ref="B145:F145"/>
    <mergeCell ref="A1:H1"/>
    <mergeCell ref="A2:H2"/>
    <mergeCell ref="A3:H3"/>
    <mergeCell ref="J2:N2"/>
    <mergeCell ref="B151:C151"/>
    <mergeCell ref="B129:C129"/>
    <mergeCell ref="B125:F125"/>
    <mergeCell ref="B126:F126"/>
    <mergeCell ref="B127:F12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Q11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21.5703125" customWidth="1"/>
    <col min="5" max="6" width="19.140625" customWidth="1"/>
    <col min="7" max="7" width="16.42578125" customWidth="1"/>
  </cols>
  <sheetData>
    <row r="1" spans="1:14" ht="15" x14ac:dyDescent="0.2">
      <c r="A1" s="184" t="s">
        <v>0</v>
      </c>
      <c r="B1" s="184"/>
      <c r="C1" s="184"/>
      <c r="D1" s="184"/>
      <c r="E1" s="184"/>
      <c r="F1" s="184"/>
      <c r="G1" s="184"/>
      <c r="H1" s="184"/>
    </row>
    <row r="2" spans="1:14" ht="15" x14ac:dyDescent="0.2">
      <c r="A2" s="185" t="s">
        <v>893</v>
      </c>
      <c r="B2" s="186"/>
      <c r="C2" s="186"/>
      <c r="D2" s="186"/>
      <c r="E2" s="186"/>
      <c r="F2" s="186"/>
      <c r="G2" s="186"/>
      <c r="H2" s="187"/>
      <c r="J2" s="188" t="s">
        <v>1172</v>
      </c>
      <c r="K2" s="188"/>
      <c r="L2" s="188"/>
      <c r="M2" s="188"/>
      <c r="N2" s="188"/>
    </row>
    <row r="3" spans="1:14" ht="15" x14ac:dyDescent="0.2">
      <c r="A3" s="184" t="s">
        <v>1053</v>
      </c>
      <c r="B3" s="184"/>
      <c r="C3" s="184"/>
      <c r="D3" s="184"/>
      <c r="E3" s="184"/>
      <c r="F3" s="184"/>
      <c r="G3" s="184"/>
      <c r="H3" s="184"/>
    </row>
    <row r="4" spans="1:14" s="174" customFormat="1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3" t="s">
        <v>6</v>
      </c>
      <c r="F4" s="173" t="s">
        <v>7</v>
      </c>
      <c r="G4" s="173" t="s">
        <v>8</v>
      </c>
      <c r="H4" s="66" t="s">
        <v>1052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39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39"/>
    </row>
    <row r="7" spans="1:14" x14ac:dyDescent="0.2">
      <c r="A7" s="3">
        <v>1</v>
      </c>
      <c r="B7" s="4" t="s">
        <v>16</v>
      </c>
      <c r="C7" s="4" t="s">
        <v>17</v>
      </c>
      <c r="D7" s="4" t="s">
        <v>18</v>
      </c>
      <c r="E7" s="5">
        <v>1180635</v>
      </c>
      <c r="F7" s="6">
        <v>8622.1774050000004</v>
      </c>
      <c r="G7" s="7">
        <v>0.174712641</v>
      </c>
      <c r="H7" s="39"/>
    </row>
    <row r="8" spans="1:14" x14ac:dyDescent="0.2">
      <c r="A8" s="3">
        <v>2</v>
      </c>
      <c r="B8" s="4" t="s">
        <v>388</v>
      </c>
      <c r="C8" s="4" t="s">
        <v>389</v>
      </c>
      <c r="D8" s="4" t="s">
        <v>18</v>
      </c>
      <c r="E8" s="5">
        <v>538662</v>
      </c>
      <c r="F8" s="6">
        <v>7920.2167170000002</v>
      </c>
      <c r="G8" s="7">
        <v>0.16048869299999999</v>
      </c>
      <c r="H8" s="39"/>
    </row>
    <row r="9" spans="1:14" ht="25.5" x14ac:dyDescent="0.2">
      <c r="A9" s="3">
        <v>3</v>
      </c>
      <c r="B9" s="4" t="s">
        <v>390</v>
      </c>
      <c r="C9" s="4" t="s">
        <v>391</v>
      </c>
      <c r="D9" s="4" t="s">
        <v>82</v>
      </c>
      <c r="E9" s="5">
        <v>278491</v>
      </c>
      <c r="F9" s="6">
        <v>6657.0488640000003</v>
      </c>
      <c r="G9" s="7">
        <v>0.13489290900000001</v>
      </c>
      <c r="H9" s="39"/>
    </row>
    <row r="10" spans="1:14" x14ac:dyDescent="0.2">
      <c r="A10" s="3">
        <v>4</v>
      </c>
      <c r="B10" s="4" t="s">
        <v>49</v>
      </c>
      <c r="C10" s="4" t="s">
        <v>50</v>
      </c>
      <c r="D10" s="4" t="s">
        <v>18</v>
      </c>
      <c r="E10" s="5">
        <v>963866</v>
      </c>
      <c r="F10" s="6">
        <v>4757.1606430000002</v>
      </c>
      <c r="G10" s="7">
        <v>9.6395151999999998E-2</v>
      </c>
      <c r="H10" s="39"/>
    </row>
    <row r="11" spans="1:14" x14ac:dyDescent="0.2">
      <c r="A11" s="3">
        <v>5</v>
      </c>
      <c r="B11" s="4" t="s">
        <v>300</v>
      </c>
      <c r="C11" s="4" t="s">
        <v>301</v>
      </c>
      <c r="D11" s="4" t="s">
        <v>18</v>
      </c>
      <c r="E11" s="5">
        <v>622013</v>
      </c>
      <c r="F11" s="6">
        <v>4734.4519495000004</v>
      </c>
      <c r="G11" s="7">
        <v>9.5935002000000005E-2</v>
      </c>
      <c r="H11" s="39"/>
    </row>
    <row r="12" spans="1:14" x14ac:dyDescent="0.2">
      <c r="A12" s="3">
        <v>6</v>
      </c>
      <c r="B12" s="4" t="s">
        <v>426</v>
      </c>
      <c r="C12" s="4" t="s">
        <v>427</v>
      </c>
      <c r="D12" s="4" t="s">
        <v>82</v>
      </c>
      <c r="E12" s="5">
        <v>27320</v>
      </c>
      <c r="F12" s="6">
        <v>1983.4183399999999</v>
      </c>
      <c r="G12" s="7">
        <v>4.0190341999999997E-2</v>
      </c>
      <c r="H12" s="39"/>
    </row>
    <row r="13" spans="1:14" x14ac:dyDescent="0.2">
      <c r="A13" s="3">
        <v>7</v>
      </c>
      <c r="B13" s="4" t="s">
        <v>359</v>
      </c>
      <c r="C13" s="4" t="s">
        <v>360</v>
      </c>
      <c r="D13" s="4" t="s">
        <v>82</v>
      </c>
      <c r="E13" s="5">
        <v>10365</v>
      </c>
      <c r="F13" s="6">
        <v>1768.3156425</v>
      </c>
      <c r="G13" s="7">
        <v>3.5831678999999998E-2</v>
      </c>
      <c r="H13" s="39"/>
    </row>
    <row r="14" spans="1:14" x14ac:dyDescent="0.2">
      <c r="A14" s="3">
        <v>8</v>
      </c>
      <c r="B14" s="4" t="s">
        <v>226</v>
      </c>
      <c r="C14" s="4" t="s">
        <v>227</v>
      </c>
      <c r="D14" s="4" t="s">
        <v>82</v>
      </c>
      <c r="E14" s="5">
        <v>198851</v>
      </c>
      <c r="F14" s="6">
        <v>1530.0590195</v>
      </c>
      <c r="G14" s="7">
        <v>3.1003844999999999E-2</v>
      </c>
      <c r="H14" s="39"/>
    </row>
    <row r="15" spans="1:14" ht="15" x14ac:dyDescent="0.2">
      <c r="A15" s="3">
        <v>9</v>
      </c>
      <c r="B15" s="4" t="s">
        <v>415</v>
      </c>
      <c r="C15" s="4" t="s">
        <v>416</v>
      </c>
      <c r="D15" s="4" t="s">
        <v>18</v>
      </c>
      <c r="E15" s="5">
        <v>70381</v>
      </c>
      <c r="F15" s="6">
        <v>1234.3771684999999</v>
      </c>
      <c r="G15" s="7">
        <v>2.5012394E-2</v>
      </c>
      <c r="H15" s="39"/>
      <c r="J15" s="176" t="s">
        <v>1202</v>
      </c>
    </row>
    <row r="16" spans="1:14" x14ac:dyDescent="0.2">
      <c r="A16" s="3">
        <v>10</v>
      </c>
      <c r="B16" s="4" t="s">
        <v>479</v>
      </c>
      <c r="C16" s="4" t="s">
        <v>480</v>
      </c>
      <c r="D16" s="4" t="s">
        <v>18</v>
      </c>
      <c r="E16" s="5">
        <v>511983</v>
      </c>
      <c r="F16" s="6">
        <v>1081.0521045</v>
      </c>
      <c r="G16" s="7">
        <v>2.1905542E-2</v>
      </c>
      <c r="H16" s="39"/>
    </row>
    <row r="17" spans="1:8" x14ac:dyDescent="0.2">
      <c r="A17" s="3">
        <v>11</v>
      </c>
      <c r="B17" s="4" t="s">
        <v>304</v>
      </c>
      <c r="C17" s="4" t="s">
        <v>305</v>
      </c>
      <c r="D17" s="4" t="s">
        <v>18</v>
      </c>
      <c r="E17" s="5">
        <v>945971</v>
      </c>
      <c r="F17" s="6">
        <v>1055.703636</v>
      </c>
      <c r="G17" s="7">
        <v>2.1391902000000001E-2</v>
      </c>
      <c r="H17" s="39"/>
    </row>
    <row r="18" spans="1:8" ht="25.5" x14ac:dyDescent="0.2">
      <c r="A18" s="3">
        <v>12</v>
      </c>
      <c r="B18" s="4" t="s">
        <v>80</v>
      </c>
      <c r="C18" s="4" t="s">
        <v>81</v>
      </c>
      <c r="D18" s="4" t="s">
        <v>82</v>
      </c>
      <c r="E18" s="5">
        <v>141241</v>
      </c>
      <c r="F18" s="6">
        <v>1014.7459645</v>
      </c>
      <c r="G18" s="7">
        <v>2.0561968999999999E-2</v>
      </c>
      <c r="H18" s="39"/>
    </row>
    <row r="19" spans="1:8" x14ac:dyDescent="0.2">
      <c r="A19" s="3">
        <v>13</v>
      </c>
      <c r="B19" s="4" t="s">
        <v>685</v>
      </c>
      <c r="C19" s="4" t="s">
        <v>686</v>
      </c>
      <c r="D19" s="4" t="s">
        <v>1142</v>
      </c>
      <c r="E19" s="5">
        <v>187384</v>
      </c>
      <c r="F19" s="6">
        <v>1008.500688</v>
      </c>
      <c r="G19" s="7">
        <v>2.0435419999999999E-2</v>
      </c>
      <c r="H19" s="39"/>
    </row>
    <row r="20" spans="1:8" x14ac:dyDescent="0.2">
      <c r="A20" s="3">
        <v>14</v>
      </c>
      <c r="B20" s="4" t="s">
        <v>194</v>
      </c>
      <c r="C20" s="4" t="s">
        <v>195</v>
      </c>
      <c r="D20" s="4" t="s">
        <v>1027</v>
      </c>
      <c r="E20" s="5">
        <v>56202</v>
      </c>
      <c r="F20" s="6">
        <v>795.51120900000001</v>
      </c>
      <c r="G20" s="7">
        <v>1.6119577999999999E-2</v>
      </c>
      <c r="H20" s="39"/>
    </row>
    <row r="21" spans="1:8" x14ac:dyDescent="0.2">
      <c r="A21" s="3">
        <v>15</v>
      </c>
      <c r="B21" s="4" t="s">
        <v>578</v>
      </c>
      <c r="C21" s="4" t="s">
        <v>579</v>
      </c>
      <c r="D21" s="4" t="s">
        <v>18</v>
      </c>
      <c r="E21" s="5">
        <v>83704</v>
      </c>
      <c r="F21" s="6">
        <v>782.96721600000001</v>
      </c>
      <c r="G21" s="7">
        <v>1.5865397E-2</v>
      </c>
      <c r="H21" s="39"/>
    </row>
    <row r="22" spans="1:8" x14ac:dyDescent="0.2">
      <c r="A22" s="3">
        <v>16</v>
      </c>
      <c r="B22" s="4" t="s">
        <v>170</v>
      </c>
      <c r="C22" s="4" t="s">
        <v>171</v>
      </c>
      <c r="D22" s="4" t="s">
        <v>1027</v>
      </c>
      <c r="E22" s="5">
        <v>46083</v>
      </c>
      <c r="F22" s="6">
        <v>708.18050249999999</v>
      </c>
      <c r="G22" s="7">
        <v>1.4349981E-2</v>
      </c>
      <c r="H22" s="39"/>
    </row>
    <row r="23" spans="1:8" x14ac:dyDescent="0.2">
      <c r="A23" s="3">
        <v>17</v>
      </c>
      <c r="B23" s="4" t="s">
        <v>394</v>
      </c>
      <c r="C23" s="4" t="s">
        <v>395</v>
      </c>
      <c r="D23" s="4" t="s">
        <v>1142</v>
      </c>
      <c r="E23" s="5">
        <v>54246</v>
      </c>
      <c r="F23" s="6">
        <v>608.341767</v>
      </c>
      <c r="G23" s="7">
        <v>1.2326932000000001E-2</v>
      </c>
      <c r="H23" s="39"/>
    </row>
    <row r="24" spans="1:8" x14ac:dyDescent="0.2">
      <c r="A24" s="3">
        <v>18</v>
      </c>
      <c r="B24" s="4" t="s">
        <v>333</v>
      </c>
      <c r="C24" s="4" t="s">
        <v>334</v>
      </c>
      <c r="D24" s="4" t="s">
        <v>82</v>
      </c>
      <c r="E24" s="5">
        <v>34276</v>
      </c>
      <c r="F24" s="6">
        <v>388.98118599999998</v>
      </c>
      <c r="G24" s="7">
        <v>7.8819920000000009E-3</v>
      </c>
      <c r="H24" s="39"/>
    </row>
    <row r="25" spans="1:8" ht="25.5" x14ac:dyDescent="0.2">
      <c r="A25" s="3">
        <v>19</v>
      </c>
      <c r="B25" s="4" t="s">
        <v>845</v>
      </c>
      <c r="C25" s="4" t="s">
        <v>846</v>
      </c>
      <c r="D25" s="4" t="s">
        <v>1142</v>
      </c>
      <c r="E25" s="5">
        <v>19277</v>
      </c>
      <c r="F25" s="6">
        <v>256.05639100000002</v>
      </c>
      <c r="G25" s="7">
        <v>5.188514E-3</v>
      </c>
      <c r="H25" s="39"/>
    </row>
    <row r="26" spans="1:8" x14ac:dyDescent="0.2">
      <c r="A26" s="1"/>
      <c r="B26" s="1"/>
      <c r="C26" s="2" t="s">
        <v>111</v>
      </c>
      <c r="D26" s="1"/>
      <c r="E26" s="1" t="s">
        <v>112</v>
      </c>
      <c r="F26" s="9">
        <v>46907.266413500001</v>
      </c>
      <c r="G26" s="10">
        <v>0.95048988400000001</v>
      </c>
      <c r="H26" s="39"/>
    </row>
    <row r="27" spans="1:8" x14ac:dyDescent="0.2">
      <c r="A27" s="1"/>
      <c r="B27" s="1"/>
      <c r="C27" s="11"/>
      <c r="D27" s="1"/>
      <c r="E27" s="1"/>
      <c r="F27" s="12"/>
      <c r="G27" s="12"/>
      <c r="H27" s="39"/>
    </row>
    <row r="28" spans="1:8" x14ac:dyDescent="0.2">
      <c r="A28" s="1"/>
      <c r="B28" s="1"/>
      <c r="C28" s="2" t="s">
        <v>113</v>
      </c>
      <c r="D28" s="1"/>
      <c r="E28" s="1"/>
      <c r="F28" s="1"/>
      <c r="G28" s="1"/>
      <c r="H28" s="39"/>
    </row>
    <row r="29" spans="1:8" x14ac:dyDescent="0.2">
      <c r="A29" s="1"/>
      <c r="B29" s="1"/>
      <c r="C29" s="2" t="s">
        <v>111</v>
      </c>
      <c r="D29" s="1"/>
      <c r="E29" s="1" t="s">
        <v>112</v>
      </c>
      <c r="F29" s="13">
        <v>0</v>
      </c>
      <c r="G29" s="14">
        <v>0</v>
      </c>
      <c r="H29" s="39"/>
    </row>
    <row r="30" spans="1:8" x14ac:dyDescent="0.2">
      <c r="A30" s="1"/>
      <c r="B30" s="1"/>
      <c r="C30" s="11"/>
      <c r="D30" s="1"/>
      <c r="E30" s="1"/>
      <c r="F30" s="12"/>
      <c r="G30" s="12"/>
      <c r="H30" s="39"/>
    </row>
    <row r="31" spans="1:8" x14ac:dyDescent="0.2">
      <c r="A31" s="1"/>
      <c r="B31" s="1"/>
      <c r="C31" s="2" t="s">
        <v>114</v>
      </c>
      <c r="D31" s="1"/>
      <c r="E31" s="1"/>
      <c r="F31" s="1"/>
      <c r="G31" s="1"/>
      <c r="H31" s="39"/>
    </row>
    <row r="32" spans="1:8" x14ac:dyDescent="0.2">
      <c r="A32" s="1"/>
      <c r="B32" s="1"/>
      <c r="C32" s="2" t="s">
        <v>111</v>
      </c>
      <c r="D32" s="1"/>
      <c r="E32" s="1" t="s">
        <v>112</v>
      </c>
      <c r="F32" s="13">
        <v>0</v>
      </c>
      <c r="G32" s="14">
        <v>0</v>
      </c>
      <c r="H32" s="39"/>
    </row>
    <row r="33" spans="1:8" x14ac:dyDescent="0.2">
      <c r="A33" s="1"/>
      <c r="B33" s="1"/>
      <c r="C33" s="11"/>
      <c r="D33" s="1"/>
      <c r="E33" s="1"/>
      <c r="F33" s="12"/>
      <c r="G33" s="12"/>
      <c r="H33" s="39"/>
    </row>
    <row r="34" spans="1:8" x14ac:dyDescent="0.2">
      <c r="A34" s="1"/>
      <c r="B34" s="1"/>
      <c r="C34" s="2" t="s">
        <v>115</v>
      </c>
      <c r="D34" s="1"/>
      <c r="E34" s="1"/>
      <c r="F34" s="1"/>
      <c r="G34" s="1"/>
      <c r="H34" s="39"/>
    </row>
    <row r="35" spans="1:8" x14ac:dyDescent="0.2">
      <c r="A35" s="1"/>
      <c r="B35" s="1"/>
      <c r="C35" s="2" t="s">
        <v>111</v>
      </c>
      <c r="D35" s="1"/>
      <c r="E35" s="1" t="s">
        <v>112</v>
      </c>
      <c r="F35" s="13">
        <v>0</v>
      </c>
      <c r="G35" s="14">
        <v>0</v>
      </c>
      <c r="H35" s="39"/>
    </row>
    <row r="36" spans="1:8" x14ac:dyDescent="0.2">
      <c r="A36" s="1"/>
      <c r="B36" s="1"/>
      <c r="C36" s="11"/>
      <c r="D36" s="1"/>
      <c r="E36" s="1"/>
      <c r="F36" s="12"/>
      <c r="G36" s="12"/>
      <c r="H36" s="39"/>
    </row>
    <row r="37" spans="1:8" x14ac:dyDescent="0.2">
      <c r="A37" s="1"/>
      <c r="B37" s="1"/>
      <c r="C37" s="2" t="s">
        <v>116</v>
      </c>
      <c r="D37" s="1"/>
      <c r="E37" s="1"/>
      <c r="F37" s="12"/>
      <c r="G37" s="12"/>
      <c r="H37" s="39"/>
    </row>
    <row r="38" spans="1:8" x14ac:dyDescent="0.2">
      <c r="A38" s="1"/>
      <c r="B38" s="1"/>
      <c r="C38" s="2" t="s">
        <v>111</v>
      </c>
      <c r="D38" s="1"/>
      <c r="E38" s="1" t="s">
        <v>112</v>
      </c>
      <c r="F38" s="13">
        <v>0</v>
      </c>
      <c r="G38" s="14">
        <v>0</v>
      </c>
      <c r="H38" s="39"/>
    </row>
    <row r="39" spans="1:8" x14ac:dyDescent="0.2">
      <c r="A39" s="1"/>
      <c r="B39" s="1"/>
      <c r="C39" s="11"/>
      <c r="D39" s="1"/>
      <c r="E39" s="1"/>
      <c r="F39" s="12"/>
      <c r="G39" s="12"/>
      <c r="H39" s="39"/>
    </row>
    <row r="40" spans="1:8" x14ac:dyDescent="0.2">
      <c r="A40" s="1"/>
      <c r="B40" s="1"/>
      <c r="C40" s="2" t="s">
        <v>117</v>
      </c>
      <c r="D40" s="1"/>
      <c r="E40" s="1"/>
      <c r="F40" s="12"/>
      <c r="G40" s="12"/>
      <c r="H40" s="39"/>
    </row>
    <row r="41" spans="1:8" x14ac:dyDescent="0.2">
      <c r="A41" s="1"/>
      <c r="B41" s="1"/>
      <c r="C41" s="2" t="s">
        <v>111</v>
      </c>
      <c r="D41" s="1"/>
      <c r="E41" s="1" t="s">
        <v>112</v>
      </c>
      <c r="F41" s="13">
        <v>0</v>
      </c>
      <c r="G41" s="14">
        <v>0</v>
      </c>
      <c r="H41" s="39"/>
    </row>
    <row r="42" spans="1:8" x14ac:dyDescent="0.2">
      <c r="A42" s="1"/>
      <c r="B42" s="1"/>
      <c r="C42" s="11"/>
      <c r="D42" s="1"/>
      <c r="E42" s="1"/>
      <c r="F42" s="12"/>
      <c r="G42" s="12"/>
      <c r="H42" s="39"/>
    </row>
    <row r="43" spans="1:8" x14ac:dyDescent="0.2">
      <c r="A43" s="1"/>
      <c r="B43" s="1"/>
      <c r="C43" s="2" t="s">
        <v>118</v>
      </c>
      <c r="D43" s="1"/>
      <c r="E43" s="1"/>
      <c r="F43" s="9">
        <v>46907.266413500001</v>
      </c>
      <c r="G43" s="10">
        <v>0.95048988400000001</v>
      </c>
      <c r="H43" s="39"/>
    </row>
    <row r="44" spans="1:8" x14ac:dyDescent="0.2">
      <c r="A44" s="1"/>
      <c r="B44" s="1"/>
      <c r="C44" s="11"/>
      <c r="D44" s="1"/>
      <c r="E44" s="1"/>
      <c r="F44" s="12"/>
      <c r="G44" s="12"/>
      <c r="H44" s="39"/>
    </row>
    <row r="45" spans="1:8" x14ac:dyDescent="0.2">
      <c r="A45" s="1"/>
      <c r="B45" s="1"/>
      <c r="C45" s="2" t="s">
        <v>119</v>
      </c>
      <c r="D45" s="1"/>
      <c r="E45" s="1"/>
      <c r="F45" s="12"/>
      <c r="G45" s="12"/>
      <c r="H45" s="39"/>
    </row>
    <row r="46" spans="1:8" ht="25.5" x14ac:dyDescent="0.2">
      <c r="A46" s="1"/>
      <c r="B46" s="1"/>
      <c r="C46" s="2" t="s">
        <v>10</v>
      </c>
      <c r="D46" s="1"/>
      <c r="E46" s="1"/>
      <c r="F46" s="12"/>
      <c r="G46" s="12"/>
      <c r="H46" s="39"/>
    </row>
    <row r="47" spans="1:8" x14ac:dyDescent="0.2">
      <c r="A47" s="1"/>
      <c r="B47" s="1"/>
      <c r="C47" s="2" t="s">
        <v>111</v>
      </c>
      <c r="D47" s="1"/>
      <c r="E47" s="1" t="s">
        <v>112</v>
      </c>
      <c r="F47" s="13">
        <v>0</v>
      </c>
      <c r="G47" s="14">
        <v>0</v>
      </c>
      <c r="H47" s="39"/>
    </row>
    <row r="48" spans="1:8" x14ac:dyDescent="0.2">
      <c r="A48" s="1"/>
      <c r="B48" s="1"/>
      <c r="C48" s="11"/>
      <c r="D48" s="1"/>
      <c r="E48" s="1"/>
      <c r="F48" s="12"/>
      <c r="G48" s="12"/>
      <c r="H48" s="39"/>
    </row>
    <row r="49" spans="1:8" x14ac:dyDescent="0.2">
      <c r="A49" s="1"/>
      <c r="B49" s="1"/>
      <c r="C49" s="2" t="s">
        <v>120</v>
      </c>
      <c r="D49" s="1"/>
      <c r="E49" s="1"/>
      <c r="F49" s="1"/>
      <c r="G49" s="1"/>
      <c r="H49" s="39"/>
    </row>
    <row r="50" spans="1:8" x14ac:dyDescent="0.2">
      <c r="A50" s="1"/>
      <c r="B50" s="1"/>
      <c r="C50" s="2" t="s">
        <v>111</v>
      </c>
      <c r="D50" s="1"/>
      <c r="E50" s="1" t="s">
        <v>112</v>
      </c>
      <c r="F50" s="13">
        <v>0</v>
      </c>
      <c r="G50" s="14">
        <v>0</v>
      </c>
      <c r="H50" s="39"/>
    </row>
    <row r="51" spans="1:8" x14ac:dyDescent="0.2">
      <c r="A51" s="1"/>
      <c r="B51" s="1"/>
      <c r="C51" s="11"/>
      <c r="D51" s="1"/>
      <c r="E51" s="1"/>
      <c r="F51" s="12"/>
      <c r="G51" s="12"/>
      <c r="H51" s="39"/>
    </row>
    <row r="52" spans="1:8" x14ac:dyDescent="0.2">
      <c r="A52" s="1"/>
      <c r="B52" s="1"/>
      <c r="C52" s="2" t="s">
        <v>121</v>
      </c>
      <c r="D52" s="1"/>
      <c r="E52" s="1"/>
      <c r="F52" s="1"/>
      <c r="G52" s="1"/>
      <c r="H52" s="39"/>
    </row>
    <row r="53" spans="1:8" x14ac:dyDescent="0.2">
      <c r="A53" s="1"/>
      <c r="B53" s="1"/>
      <c r="C53" s="2" t="s">
        <v>111</v>
      </c>
      <c r="D53" s="1"/>
      <c r="E53" s="1" t="s">
        <v>112</v>
      </c>
      <c r="F53" s="13">
        <v>0</v>
      </c>
      <c r="G53" s="14">
        <v>0</v>
      </c>
      <c r="H53" s="39"/>
    </row>
    <row r="54" spans="1:8" x14ac:dyDescent="0.2">
      <c r="A54" s="1"/>
      <c r="B54" s="1"/>
      <c r="C54" s="11"/>
      <c r="D54" s="1"/>
      <c r="E54" s="1"/>
      <c r="F54" s="12"/>
      <c r="G54" s="12"/>
      <c r="H54" s="39"/>
    </row>
    <row r="55" spans="1:8" x14ac:dyDescent="0.2">
      <c r="A55" s="1"/>
      <c r="B55" s="1"/>
      <c r="C55" s="2" t="s">
        <v>122</v>
      </c>
      <c r="D55" s="1"/>
      <c r="E55" s="1"/>
      <c r="F55" s="12"/>
      <c r="G55" s="12"/>
      <c r="H55" s="39"/>
    </row>
    <row r="56" spans="1:8" x14ac:dyDescent="0.2">
      <c r="A56" s="1"/>
      <c r="B56" s="1"/>
      <c r="C56" s="2" t="s">
        <v>111</v>
      </c>
      <c r="D56" s="1"/>
      <c r="E56" s="1" t="s">
        <v>112</v>
      </c>
      <c r="F56" s="13">
        <v>0</v>
      </c>
      <c r="G56" s="14">
        <v>0</v>
      </c>
      <c r="H56" s="39"/>
    </row>
    <row r="57" spans="1:8" x14ac:dyDescent="0.2">
      <c r="A57" s="1"/>
      <c r="B57" s="1"/>
      <c r="C57" s="11"/>
      <c r="D57" s="1"/>
      <c r="E57" s="1"/>
      <c r="F57" s="12"/>
      <c r="G57" s="12"/>
      <c r="H57" s="39"/>
    </row>
    <row r="58" spans="1:8" x14ac:dyDescent="0.2">
      <c r="A58" s="1"/>
      <c r="B58" s="1"/>
      <c r="C58" s="2" t="s">
        <v>123</v>
      </c>
      <c r="D58" s="1"/>
      <c r="E58" s="1"/>
      <c r="F58" s="9">
        <v>0</v>
      </c>
      <c r="G58" s="10">
        <v>0</v>
      </c>
      <c r="H58" s="39"/>
    </row>
    <row r="59" spans="1:8" x14ac:dyDescent="0.2">
      <c r="A59" s="1"/>
      <c r="B59" s="1"/>
      <c r="C59" s="11"/>
      <c r="D59" s="1"/>
      <c r="E59" s="1"/>
      <c r="F59" s="12"/>
      <c r="G59" s="12"/>
      <c r="H59" s="39"/>
    </row>
    <row r="60" spans="1:8" x14ac:dyDescent="0.2">
      <c r="A60" s="1"/>
      <c r="B60" s="1"/>
      <c r="C60" s="2" t="s">
        <v>124</v>
      </c>
      <c r="D60" s="1"/>
      <c r="E60" s="1"/>
      <c r="F60" s="12"/>
      <c r="G60" s="12"/>
      <c r="H60" s="39"/>
    </row>
    <row r="61" spans="1:8" x14ac:dyDescent="0.2">
      <c r="A61" s="1"/>
      <c r="B61" s="1"/>
      <c r="C61" s="2" t="s">
        <v>125</v>
      </c>
      <c r="D61" s="1"/>
      <c r="E61" s="1"/>
      <c r="F61" s="12"/>
      <c r="G61" s="12"/>
      <c r="H61" s="39"/>
    </row>
    <row r="62" spans="1:8" x14ac:dyDescent="0.2">
      <c r="A62" s="1"/>
      <c r="B62" s="1"/>
      <c r="C62" s="2" t="s">
        <v>111</v>
      </c>
      <c r="D62" s="1"/>
      <c r="E62" s="1" t="s">
        <v>112</v>
      </c>
      <c r="F62" s="13">
        <v>0</v>
      </c>
      <c r="G62" s="14">
        <v>0</v>
      </c>
      <c r="H62" s="39"/>
    </row>
    <row r="63" spans="1:8" x14ac:dyDescent="0.2">
      <c r="A63" s="1"/>
      <c r="B63" s="1"/>
      <c r="C63" s="11"/>
      <c r="D63" s="1"/>
      <c r="E63" s="1"/>
      <c r="F63" s="12"/>
      <c r="G63" s="12"/>
      <c r="H63" s="39"/>
    </row>
    <row r="64" spans="1:8" x14ac:dyDescent="0.2">
      <c r="A64" s="1"/>
      <c r="B64" s="1"/>
      <c r="C64" s="2" t="s">
        <v>126</v>
      </c>
      <c r="D64" s="1"/>
      <c r="E64" s="1"/>
      <c r="F64" s="12"/>
      <c r="G64" s="12"/>
      <c r="H64" s="39"/>
    </row>
    <row r="65" spans="1:8" x14ac:dyDescent="0.2">
      <c r="A65" s="1"/>
      <c r="B65" s="1"/>
      <c r="C65" s="2" t="s">
        <v>111</v>
      </c>
      <c r="D65" s="1"/>
      <c r="E65" s="1" t="s">
        <v>112</v>
      </c>
      <c r="F65" s="13">
        <v>0</v>
      </c>
      <c r="G65" s="14">
        <v>0</v>
      </c>
      <c r="H65" s="39"/>
    </row>
    <row r="66" spans="1:8" x14ac:dyDescent="0.2">
      <c r="A66" s="1"/>
      <c r="B66" s="1"/>
      <c r="C66" s="11"/>
      <c r="D66" s="1"/>
      <c r="E66" s="1"/>
      <c r="F66" s="12"/>
      <c r="G66" s="12"/>
      <c r="H66" s="39"/>
    </row>
    <row r="67" spans="1:8" x14ac:dyDescent="0.2">
      <c r="A67" s="1"/>
      <c r="B67" s="1"/>
      <c r="C67" s="2" t="s">
        <v>127</v>
      </c>
      <c r="D67" s="1"/>
      <c r="E67" s="1"/>
      <c r="F67" s="12"/>
      <c r="G67" s="12"/>
      <c r="H67" s="39"/>
    </row>
    <row r="68" spans="1:8" x14ac:dyDescent="0.2">
      <c r="A68" s="1"/>
      <c r="B68" s="1"/>
      <c r="C68" s="2" t="s">
        <v>111</v>
      </c>
      <c r="D68" s="1"/>
      <c r="E68" s="1" t="s">
        <v>112</v>
      </c>
      <c r="F68" s="13">
        <v>0</v>
      </c>
      <c r="G68" s="14">
        <v>0</v>
      </c>
      <c r="H68" s="39"/>
    </row>
    <row r="69" spans="1:8" x14ac:dyDescent="0.2">
      <c r="A69" s="1"/>
      <c r="B69" s="1"/>
      <c r="C69" s="11"/>
      <c r="D69" s="1"/>
      <c r="E69" s="1"/>
      <c r="F69" s="12"/>
      <c r="G69" s="12"/>
      <c r="H69" s="39"/>
    </row>
    <row r="70" spans="1:8" x14ac:dyDescent="0.2">
      <c r="A70" s="1"/>
      <c r="B70" s="1"/>
      <c r="C70" s="2" t="s">
        <v>128</v>
      </c>
      <c r="D70" s="1"/>
      <c r="E70" s="1"/>
      <c r="F70" s="12"/>
      <c r="G70" s="12"/>
      <c r="H70" s="39"/>
    </row>
    <row r="71" spans="1:8" x14ac:dyDescent="0.2">
      <c r="A71" s="3">
        <v>1</v>
      </c>
      <c r="B71" s="4"/>
      <c r="C71" s="4" t="s">
        <v>129</v>
      </c>
      <c r="D71" s="4"/>
      <c r="E71" s="8"/>
      <c r="F71" s="6">
        <v>1347.6571896</v>
      </c>
      <c r="G71" s="7">
        <v>2.7307806E-2</v>
      </c>
      <c r="H71" s="39">
        <v>3.6151121728634927</v>
      </c>
    </row>
    <row r="72" spans="1:8" x14ac:dyDescent="0.2">
      <c r="A72" s="3">
        <v>2</v>
      </c>
      <c r="B72" s="4"/>
      <c r="C72" s="4" t="s">
        <v>130</v>
      </c>
      <c r="D72" s="4"/>
      <c r="E72" s="8"/>
      <c r="F72" s="6">
        <v>476.5005415</v>
      </c>
      <c r="G72" s="7">
        <v>9.6554109999999992E-3</v>
      </c>
      <c r="H72" s="39">
        <v>3.7142625760646584</v>
      </c>
    </row>
    <row r="73" spans="1:8" x14ac:dyDescent="0.2">
      <c r="A73" s="1"/>
      <c r="B73" s="1"/>
      <c r="C73" s="2" t="s">
        <v>111</v>
      </c>
      <c r="D73" s="1"/>
      <c r="E73" s="1" t="s">
        <v>112</v>
      </c>
      <c r="F73" s="9">
        <v>1824.1577311000001</v>
      </c>
      <c r="G73" s="10">
        <v>3.6963217E-2</v>
      </c>
      <c r="H73" s="39"/>
    </row>
    <row r="74" spans="1:8" x14ac:dyDescent="0.2">
      <c r="A74" s="1"/>
      <c r="B74" s="1"/>
      <c r="C74" s="11"/>
      <c r="D74" s="1"/>
      <c r="E74" s="1"/>
      <c r="F74" s="12"/>
      <c r="G74" s="12"/>
      <c r="H74" s="39"/>
    </row>
    <row r="75" spans="1:8" x14ac:dyDescent="0.2">
      <c r="A75" s="1"/>
      <c r="B75" s="1"/>
      <c r="C75" s="2" t="s">
        <v>131</v>
      </c>
      <c r="D75" s="1"/>
      <c r="E75" s="1"/>
      <c r="F75" s="9">
        <v>1824.1577311000001</v>
      </c>
      <c r="G75" s="10">
        <v>3.6963217E-2</v>
      </c>
      <c r="H75" s="39"/>
    </row>
    <row r="76" spans="1:8" x14ac:dyDescent="0.2">
      <c r="A76" s="1"/>
      <c r="B76" s="1"/>
      <c r="C76" s="12"/>
      <c r="D76" s="1"/>
      <c r="E76" s="1"/>
      <c r="F76" s="1"/>
      <c r="G76" s="1"/>
      <c r="H76" s="39"/>
    </row>
    <row r="77" spans="1:8" x14ac:dyDescent="0.2">
      <c r="A77" s="1"/>
      <c r="B77" s="1"/>
      <c r="C77" s="2" t="s">
        <v>132</v>
      </c>
      <c r="D77" s="1"/>
      <c r="E77" s="1"/>
      <c r="F77" s="1"/>
      <c r="G77" s="1"/>
      <c r="H77" s="39"/>
    </row>
    <row r="78" spans="1:8" x14ac:dyDescent="0.2">
      <c r="A78" s="1"/>
      <c r="B78" s="1"/>
      <c r="C78" s="2" t="s">
        <v>133</v>
      </c>
      <c r="D78" s="1"/>
      <c r="E78" s="1"/>
      <c r="F78" s="1"/>
      <c r="G78" s="1"/>
      <c r="H78" s="39"/>
    </row>
    <row r="79" spans="1:8" x14ac:dyDescent="0.2">
      <c r="A79" s="1"/>
      <c r="B79" s="1"/>
      <c r="C79" s="2" t="s">
        <v>111</v>
      </c>
      <c r="D79" s="1"/>
      <c r="E79" s="1" t="s">
        <v>112</v>
      </c>
      <c r="F79" s="13">
        <v>0</v>
      </c>
      <c r="G79" s="14">
        <v>0</v>
      </c>
      <c r="H79" s="39"/>
    </row>
    <row r="80" spans="1:8" x14ac:dyDescent="0.2">
      <c r="A80" s="1"/>
      <c r="B80" s="1"/>
      <c r="C80" s="11"/>
      <c r="D80" s="1"/>
      <c r="E80" s="1"/>
      <c r="F80" s="12"/>
      <c r="G80" s="12"/>
      <c r="H80" s="39"/>
    </row>
    <row r="81" spans="1:8" x14ac:dyDescent="0.2">
      <c r="A81" s="1"/>
      <c r="B81" s="1"/>
      <c r="C81" s="2" t="s">
        <v>134</v>
      </c>
      <c r="D81" s="1"/>
      <c r="E81" s="1"/>
      <c r="F81" s="1"/>
      <c r="G81" s="1"/>
      <c r="H81" s="39"/>
    </row>
    <row r="82" spans="1:8" x14ac:dyDescent="0.2">
      <c r="A82" s="1"/>
      <c r="B82" s="1"/>
      <c r="C82" s="2" t="s">
        <v>135</v>
      </c>
      <c r="D82" s="1"/>
      <c r="E82" s="1"/>
      <c r="F82" s="1"/>
      <c r="G82" s="1"/>
      <c r="H82" s="39"/>
    </row>
    <row r="83" spans="1:8" x14ac:dyDescent="0.2">
      <c r="A83" s="1"/>
      <c r="B83" s="1"/>
      <c r="C83" s="2" t="s">
        <v>111</v>
      </c>
      <c r="D83" s="1"/>
      <c r="E83" s="1" t="s">
        <v>112</v>
      </c>
      <c r="F83" s="13">
        <v>0</v>
      </c>
      <c r="G83" s="14">
        <v>0</v>
      </c>
      <c r="H83" s="39"/>
    </row>
    <row r="84" spans="1:8" x14ac:dyDescent="0.2">
      <c r="A84" s="1"/>
      <c r="B84" s="1"/>
      <c r="C84" s="11"/>
      <c r="D84" s="1"/>
      <c r="E84" s="1"/>
      <c r="F84" s="12"/>
      <c r="G84" s="12"/>
      <c r="H84" s="39"/>
    </row>
    <row r="85" spans="1:8" x14ac:dyDescent="0.2">
      <c r="A85" s="1"/>
      <c r="B85" s="1"/>
      <c r="C85" s="11"/>
      <c r="D85" s="1"/>
      <c r="E85" s="1"/>
      <c r="F85" s="12"/>
      <c r="G85" s="12"/>
      <c r="H85" s="39"/>
    </row>
    <row r="86" spans="1:8" ht="25.5" x14ac:dyDescent="0.2">
      <c r="A86" s="1"/>
      <c r="B86" s="1"/>
      <c r="C86" s="2" t="s">
        <v>136</v>
      </c>
      <c r="D86" s="1"/>
      <c r="E86" s="1"/>
      <c r="F86" s="12"/>
      <c r="G86" s="12"/>
      <c r="H86" s="39"/>
    </row>
    <row r="87" spans="1:8" x14ac:dyDescent="0.2">
      <c r="A87" s="1"/>
      <c r="B87" s="1"/>
      <c r="C87" s="2" t="s">
        <v>111</v>
      </c>
      <c r="D87" s="1"/>
      <c r="E87" s="1" t="s">
        <v>112</v>
      </c>
      <c r="F87" s="13">
        <v>0</v>
      </c>
      <c r="G87" s="14">
        <v>0</v>
      </c>
      <c r="H87" s="39"/>
    </row>
    <row r="88" spans="1:8" x14ac:dyDescent="0.2">
      <c r="A88" s="1"/>
      <c r="B88" s="1"/>
      <c r="C88" s="11"/>
      <c r="D88" s="1"/>
      <c r="E88" s="1"/>
      <c r="F88" s="12"/>
      <c r="G88" s="12"/>
      <c r="H88" s="39"/>
    </row>
    <row r="89" spans="1:8" x14ac:dyDescent="0.2">
      <c r="A89" s="1"/>
      <c r="B89" s="4"/>
      <c r="C89" s="4"/>
      <c r="D89" s="2"/>
      <c r="E89" s="1"/>
      <c r="F89" s="4"/>
      <c r="G89" s="8"/>
      <c r="H89" s="39"/>
    </row>
    <row r="90" spans="1:8" x14ac:dyDescent="0.2">
      <c r="A90" s="8"/>
      <c r="B90" s="4"/>
      <c r="C90" s="4" t="s">
        <v>137</v>
      </c>
      <c r="D90" s="4"/>
      <c r="E90" s="8"/>
      <c r="F90" s="6">
        <v>619.19718737999995</v>
      </c>
      <c r="G90" s="7">
        <v>1.2546897E-2</v>
      </c>
      <c r="H90" s="39"/>
    </row>
    <row r="91" spans="1:8" x14ac:dyDescent="0.2">
      <c r="A91" s="11"/>
      <c r="B91" s="11"/>
      <c r="C91" s="2" t="s">
        <v>138</v>
      </c>
      <c r="D91" s="15"/>
      <c r="E91" s="15"/>
      <c r="F91" s="9">
        <v>49350.621331980001</v>
      </c>
      <c r="G91" s="10">
        <v>0.99999999800000006</v>
      </c>
      <c r="H91" s="39"/>
    </row>
    <row r="92" spans="1:8" ht="14.1" customHeight="1" x14ac:dyDescent="0.2">
      <c r="A92" s="16"/>
      <c r="B92" s="16"/>
      <c r="C92" s="16"/>
      <c r="D92" s="17"/>
      <c r="E92" s="17"/>
      <c r="F92" s="17"/>
      <c r="G92" s="17"/>
    </row>
    <row r="93" spans="1:8" ht="14.1" customHeight="1" x14ac:dyDescent="0.2">
      <c r="A93" s="18"/>
      <c r="B93" s="18"/>
      <c r="C93" s="18"/>
      <c r="D93" s="20"/>
      <c r="E93" s="20"/>
      <c r="F93" s="20"/>
      <c r="G93" s="20"/>
    </row>
    <row r="94" spans="1:8" ht="14.1" customHeight="1" x14ac:dyDescent="0.2">
      <c r="A94" s="18"/>
      <c r="B94" s="194" t="s">
        <v>140</v>
      </c>
      <c r="C94" s="195"/>
      <c r="D94" s="12" t="s">
        <v>112</v>
      </c>
      <c r="E94" s="21"/>
      <c r="F94" s="20"/>
      <c r="G94" s="20"/>
    </row>
    <row r="95" spans="1:8" ht="29.1" customHeight="1" x14ac:dyDescent="0.2">
      <c r="A95" s="18"/>
      <c r="B95" s="189" t="s">
        <v>141</v>
      </c>
      <c r="C95" s="190"/>
      <c r="D95" s="2" t="s">
        <v>142</v>
      </c>
      <c r="E95" s="21"/>
      <c r="F95" s="20"/>
      <c r="G95" s="20"/>
    </row>
    <row r="96" spans="1:8" ht="17.100000000000001" customHeight="1" x14ac:dyDescent="0.2">
      <c r="A96" s="18"/>
      <c r="B96" s="189" t="s">
        <v>143</v>
      </c>
      <c r="C96" s="190"/>
      <c r="D96" s="2" t="s">
        <v>142</v>
      </c>
      <c r="E96" s="21"/>
      <c r="F96" s="20"/>
      <c r="G96" s="20"/>
    </row>
    <row r="97" spans="1:17" ht="17.100000000000001" customHeight="1" x14ac:dyDescent="0.2">
      <c r="A97" s="18"/>
      <c r="B97" s="189" t="s">
        <v>144</v>
      </c>
      <c r="C97" s="190"/>
      <c r="D97" s="12" t="s">
        <v>112</v>
      </c>
      <c r="E97" s="21"/>
      <c r="F97" s="20"/>
      <c r="G97" s="20"/>
    </row>
    <row r="98" spans="1:17" ht="24" customHeight="1" x14ac:dyDescent="0.2">
      <c r="A98" s="22"/>
      <c r="B98" s="23" t="s">
        <v>112</v>
      </c>
      <c r="C98" s="23" t="s">
        <v>145</v>
      </c>
      <c r="D98" s="23" t="s">
        <v>146</v>
      </c>
      <c r="E98" s="22"/>
      <c r="F98" s="22"/>
      <c r="G98" s="22"/>
    </row>
    <row r="99" spans="1:17" ht="18" customHeight="1" x14ac:dyDescent="0.2">
      <c r="A99" s="22"/>
      <c r="B99" s="23" t="s">
        <v>147</v>
      </c>
      <c r="C99" s="23" t="s">
        <v>148</v>
      </c>
      <c r="D99" s="23" t="s">
        <v>149</v>
      </c>
      <c r="E99" s="22"/>
      <c r="F99" s="22"/>
      <c r="G99" s="22"/>
    </row>
    <row r="100" spans="1:17" ht="17.100000000000001" customHeight="1" x14ac:dyDescent="0.2">
      <c r="A100" s="22"/>
      <c r="B100" s="4" t="s">
        <v>150</v>
      </c>
      <c r="C100" s="24">
        <v>61.068399999999997</v>
      </c>
      <c r="D100" s="24">
        <v>62.393300000000004</v>
      </c>
      <c r="E100" s="22"/>
      <c r="F100" s="19"/>
      <c r="G100" s="25"/>
    </row>
    <row r="101" spans="1:17" ht="17.100000000000001" customHeight="1" x14ac:dyDescent="0.2">
      <c r="A101" s="22"/>
      <c r="B101" s="4" t="s">
        <v>1092</v>
      </c>
      <c r="C101" s="24">
        <v>23.983899999999998</v>
      </c>
      <c r="D101" s="24">
        <v>24.504200000000001</v>
      </c>
      <c r="E101" s="22"/>
      <c r="F101" s="19"/>
      <c r="G101" s="25"/>
    </row>
    <row r="102" spans="1:17" ht="29.1" customHeight="1" x14ac:dyDescent="0.2">
      <c r="A102" s="22"/>
      <c r="B102" s="4" t="s">
        <v>894</v>
      </c>
      <c r="C102" s="24">
        <v>62.789499999999997</v>
      </c>
      <c r="D102" s="24">
        <v>64.151600000000002</v>
      </c>
      <c r="E102" s="22"/>
      <c r="F102" s="19"/>
      <c r="G102" s="25"/>
    </row>
    <row r="103" spans="1:17" ht="29.1" customHeight="1" x14ac:dyDescent="0.2">
      <c r="A103" s="22"/>
      <c r="B103" s="4" t="s">
        <v>1101</v>
      </c>
      <c r="C103" s="24">
        <v>24.406400000000001</v>
      </c>
      <c r="D103" s="24">
        <v>24.935700000000001</v>
      </c>
      <c r="E103" s="22"/>
      <c r="F103" s="19"/>
      <c r="G103" s="25"/>
    </row>
    <row r="104" spans="1:17" ht="17.100000000000001" customHeight="1" x14ac:dyDescent="0.2">
      <c r="A104" s="22"/>
      <c r="B104" s="4" t="s">
        <v>151</v>
      </c>
      <c r="C104" s="24">
        <v>56.793399999999998</v>
      </c>
      <c r="D104" s="24">
        <v>57.951900000000002</v>
      </c>
      <c r="E104" s="22"/>
      <c r="F104" s="19"/>
      <c r="G104" s="25"/>
    </row>
    <row r="105" spans="1:17" ht="17.100000000000001" customHeight="1" x14ac:dyDescent="0.2">
      <c r="A105" s="22"/>
      <c r="B105" s="4" t="s">
        <v>1093</v>
      </c>
      <c r="C105" s="24">
        <v>21.942299999999999</v>
      </c>
      <c r="D105" s="24">
        <v>22.389900000000001</v>
      </c>
      <c r="E105" s="22"/>
      <c r="F105" s="19"/>
      <c r="G105" s="25"/>
    </row>
    <row r="106" spans="1:17" ht="14.1" customHeight="1" x14ac:dyDescent="0.2">
      <c r="A106" s="22"/>
      <c r="B106" s="22"/>
      <c r="C106" s="22"/>
      <c r="D106" s="22"/>
      <c r="E106" s="22"/>
      <c r="F106" s="22"/>
      <c r="G106" s="22"/>
    </row>
    <row r="107" spans="1:17" ht="17.100000000000001" customHeight="1" x14ac:dyDescent="0.2">
      <c r="A107" s="22"/>
      <c r="B107" s="189" t="s">
        <v>1094</v>
      </c>
      <c r="C107" s="190"/>
      <c r="D107" s="2" t="s">
        <v>142</v>
      </c>
      <c r="E107" s="22"/>
      <c r="F107" s="22"/>
      <c r="G107" s="22"/>
    </row>
    <row r="108" spans="1:17" ht="18" customHeight="1" x14ac:dyDescent="0.2">
      <c r="A108" s="22"/>
      <c r="B108" s="26"/>
      <c r="C108" s="26"/>
      <c r="D108" s="27"/>
      <c r="E108" s="22"/>
      <c r="F108" s="22"/>
      <c r="G108" s="22"/>
    </row>
    <row r="109" spans="1:17" s="101" customFormat="1" x14ac:dyDescent="0.2">
      <c r="B109" s="193" t="s">
        <v>1102</v>
      </c>
      <c r="C109" s="193"/>
      <c r="D109" s="193"/>
      <c r="E109" s="193"/>
      <c r="F109" s="193"/>
      <c r="I109"/>
      <c r="J109"/>
      <c r="K109"/>
      <c r="L109"/>
      <c r="M109"/>
      <c r="N109"/>
      <c r="O109"/>
      <c r="P109" s="41"/>
      <c r="Q109" s="41"/>
    </row>
    <row r="110" spans="1:17" ht="14.1" customHeight="1" x14ac:dyDescent="0.2">
      <c r="A110" s="22"/>
      <c r="B110" s="19"/>
      <c r="C110" s="19"/>
      <c r="D110" s="22"/>
      <c r="E110" s="22"/>
      <c r="F110" s="22"/>
      <c r="G110" s="22"/>
    </row>
    <row r="111" spans="1:17" ht="29.1" customHeight="1" x14ac:dyDescent="0.2">
      <c r="A111" s="22"/>
      <c r="B111" s="189" t="s">
        <v>152</v>
      </c>
      <c r="C111" s="190"/>
      <c r="D111" s="2" t="s">
        <v>142</v>
      </c>
      <c r="E111" s="22"/>
      <c r="F111" s="22"/>
      <c r="G111" s="22"/>
    </row>
    <row r="112" spans="1:17" ht="29.1" customHeight="1" x14ac:dyDescent="0.2">
      <c r="A112" s="22"/>
      <c r="B112" s="189" t="s">
        <v>153</v>
      </c>
      <c r="C112" s="190"/>
      <c r="D112" s="2" t="s">
        <v>142</v>
      </c>
      <c r="E112" s="22"/>
      <c r="F112" s="22"/>
      <c r="G112" s="22"/>
    </row>
    <row r="113" spans="1:15" ht="17.100000000000001" customHeight="1" x14ac:dyDescent="0.2">
      <c r="A113" s="22"/>
      <c r="B113" s="189" t="s">
        <v>154</v>
      </c>
      <c r="C113" s="190"/>
      <c r="D113" s="28">
        <v>0.30716296925223213</v>
      </c>
      <c r="E113" s="22"/>
      <c r="F113" s="19"/>
      <c r="G113" s="25"/>
    </row>
    <row r="114" spans="1:15" ht="17.100000000000001" customHeight="1" x14ac:dyDescent="0.2">
      <c r="A114" s="22"/>
      <c r="B114" s="189" t="s">
        <v>155</v>
      </c>
      <c r="C114" s="190"/>
      <c r="D114" s="2" t="s">
        <v>142</v>
      </c>
      <c r="E114" s="22"/>
      <c r="F114" s="22"/>
      <c r="G114" s="22"/>
    </row>
    <row r="117" spans="1:15" x14ac:dyDescent="0.2">
      <c r="J117" s="101"/>
      <c r="K117" s="101"/>
      <c r="L117" s="101"/>
      <c r="M117" s="101"/>
      <c r="N117" s="101"/>
      <c r="O117" s="101"/>
    </row>
  </sheetData>
  <mergeCells count="14">
    <mergeCell ref="B114:C114"/>
    <mergeCell ref="B95:C95"/>
    <mergeCell ref="B96:C96"/>
    <mergeCell ref="B97:C97"/>
    <mergeCell ref="B107:C107"/>
    <mergeCell ref="B111:C111"/>
    <mergeCell ref="B112:C112"/>
    <mergeCell ref="B113:C113"/>
    <mergeCell ref="A1:H1"/>
    <mergeCell ref="A2:H2"/>
    <mergeCell ref="A3:H3"/>
    <mergeCell ref="B109:F109"/>
    <mergeCell ref="J2:N2"/>
    <mergeCell ref="B94:C9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3EC7-7F52-4CA8-8255-BF2C5876DEDB}">
  <dimension ref="A1:O35"/>
  <sheetViews>
    <sheetView workbookViewId="0">
      <selection sqref="A1:H1"/>
    </sheetView>
  </sheetViews>
  <sheetFormatPr defaultRowHeight="15" x14ac:dyDescent="0.25"/>
  <cols>
    <col min="1" max="1" width="5.42578125" style="116" bestFit="1" customWidth="1"/>
    <col min="2" max="2" width="13.140625" style="116" bestFit="1" customWidth="1"/>
    <col min="3" max="3" width="40.28515625" style="116" bestFit="1" customWidth="1"/>
    <col min="4" max="4" width="15.28515625" style="116" bestFit="1" customWidth="1"/>
    <col min="5" max="5" width="12.42578125" style="116" bestFit="1" customWidth="1"/>
    <col min="6" max="6" width="10.140625" style="116" bestFit="1" customWidth="1"/>
    <col min="7" max="7" width="8.5703125" style="116" bestFit="1" customWidth="1"/>
    <col min="8" max="8" width="8.42578125" style="116" bestFit="1" customWidth="1"/>
    <col min="9" max="9" width="9.140625" style="116"/>
    <col min="10" max="10" width="9.140625" style="180"/>
    <col min="11" max="11" width="10.5703125" style="180" bestFit="1" customWidth="1"/>
    <col min="12" max="15" width="9.140625" style="180"/>
    <col min="16" max="250" width="9.140625" style="116"/>
    <col min="251" max="251" width="5.42578125" style="116" bestFit="1" customWidth="1"/>
    <col min="252" max="252" width="20.42578125" style="116" bestFit="1" customWidth="1"/>
    <col min="253" max="253" width="41.42578125" style="116" customWidth="1"/>
    <col min="254" max="254" width="15.28515625" style="116" bestFit="1" customWidth="1"/>
    <col min="255" max="255" width="16.7109375" style="116" bestFit="1" customWidth="1"/>
    <col min="256" max="256" width="11.28515625" style="116" bestFit="1" customWidth="1"/>
    <col min="257" max="257" width="14" style="116" bestFit="1" customWidth="1"/>
    <col min="258" max="258" width="11.85546875" style="116" bestFit="1" customWidth="1"/>
    <col min="259" max="259" width="14.85546875" style="116" bestFit="1" customWidth="1"/>
    <col min="260" max="260" width="9.7109375" style="116" customWidth="1"/>
    <col min="261" max="261" width="4.85546875" style="116" customWidth="1"/>
    <col min="262" max="506" width="9.140625" style="116"/>
    <col min="507" max="507" width="5.42578125" style="116" bestFit="1" customWidth="1"/>
    <col min="508" max="508" width="20.42578125" style="116" bestFit="1" customWidth="1"/>
    <col min="509" max="509" width="41.42578125" style="116" customWidth="1"/>
    <col min="510" max="510" width="15.28515625" style="116" bestFit="1" customWidth="1"/>
    <col min="511" max="511" width="16.7109375" style="116" bestFit="1" customWidth="1"/>
    <col min="512" max="512" width="11.28515625" style="116" bestFit="1" customWidth="1"/>
    <col min="513" max="513" width="14" style="116" bestFit="1" customWidth="1"/>
    <col min="514" max="514" width="11.85546875" style="116" bestFit="1" customWidth="1"/>
    <col min="515" max="515" width="14.85546875" style="116" bestFit="1" customWidth="1"/>
    <col min="516" max="516" width="9.7109375" style="116" customWidth="1"/>
    <col min="517" max="517" width="4.85546875" style="116" customWidth="1"/>
    <col min="518" max="762" width="9.140625" style="116"/>
    <col min="763" max="763" width="5.42578125" style="116" bestFit="1" customWidth="1"/>
    <col min="764" max="764" width="20.42578125" style="116" bestFit="1" customWidth="1"/>
    <col min="765" max="765" width="41.42578125" style="116" customWidth="1"/>
    <col min="766" max="766" width="15.28515625" style="116" bestFit="1" customWidth="1"/>
    <col min="767" max="767" width="16.7109375" style="116" bestFit="1" customWidth="1"/>
    <col min="768" max="768" width="11.28515625" style="116" bestFit="1" customWidth="1"/>
    <col min="769" max="769" width="14" style="116" bestFit="1" customWidth="1"/>
    <col min="770" max="770" width="11.85546875" style="116" bestFit="1" customWidth="1"/>
    <col min="771" max="771" width="14.85546875" style="116" bestFit="1" customWidth="1"/>
    <col min="772" max="772" width="9.7109375" style="116" customWidth="1"/>
    <col min="773" max="773" width="4.85546875" style="116" customWidth="1"/>
    <col min="774" max="1018" width="9.140625" style="116"/>
    <col min="1019" max="1019" width="5.42578125" style="116" bestFit="1" customWidth="1"/>
    <col min="1020" max="1020" width="20.42578125" style="116" bestFit="1" customWidth="1"/>
    <col min="1021" max="1021" width="41.42578125" style="116" customWidth="1"/>
    <col min="1022" max="1022" width="15.28515625" style="116" bestFit="1" customWidth="1"/>
    <col min="1023" max="1023" width="16.7109375" style="116" bestFit="1" customWidth="1"/>
    <col min="1024" max="1024" width="11.28515625" style="116" bestFit="1" customWidth="1"/>
    <col min="1025" max="1025" width="14" style="116" bestFit="1" customWidth="1"/>
    <col min="1026" max="1026" width="11.85546875" style="116" bestFit="1" customWidth="1"/>
    <col min="1027" max="1027" width="14.85546875" style="116" bestFit="1" customWidth="1"/>
    <col min="1028" max="1028" width="9.7109375" style="116" customWidth="1"/>
    <col min="1029" max="1029" width="4.85546875" style="116" customWidth="1"/>
    <col min="1030" max="1274" width="9.140625" style="116"/>
    <col min="1275" max="1275" width="5.42578125" style="116" bestFit="1" customWidth="1"/>
    <col min="1276" max="1276" width="20.42578125" style="116" bestFit="1" customWidth="1"/>
    <col min="1277" max="1277" width="41.42578125" style="116" customWidth="1"/>
    <col min="1278" max="1278" width="15.28515625" style="116" bestFit="1" customWidth="1"/>
    <col min="1279" max="1279" width="16.7109375" style="116" bestFit="1" customWidth="1"/>
    <col min="1280" max="1280" width="11.28515625" style="116" bestFit="1" customWidth="1"/>
    <col min="1281" max="1281" width="14" style="116" bestFit="1" customWidth="1"/>
    <col min="1282" max="1282" width="11.85546875" style="116" bestFit="1" customWidth="1"/>
    <col min="1283" max="1283" width="14.85546875" style="116" bestFit="1" customWidth="1"/>
    <col min="1284" max="1284" width="9.7109375" style="116" customWidth="1"/>
    <col min="1285" max="1285" width="4.85546875" style="116" customWidth="1"/>
    <col min="1286" max="1530" width="9.140625" style="116"/>
    <col min="1531" max="1531" width="5.42578125" style="116" bestFit="1" customWidth="1"/>
    <col min="1532" max="1532" width="20.42578125" style="116" bestFit="1" customWidth="1"/>
    <col min="1533" max="1533" width="41.42578125" style="116" customWidth="1"/>
    <col min="1534" max="1534" width="15.28515625" style="116" bestFit="1" customWidth="1"/>
    <col min="1535" max="1535" width="16.7109375" style="116" bestFit="1" customWidth="1"/>
    <col min="1536" max="1536" width="11.28515625" style="116" bestFit="1" customWidth="1"/>
    <col min="1537" max="1537" width="14" style="116" bestFit="1" customWidth="1"/>
    <col min="1538" max="1538" width="11.85546875" style="116" bestFit="1" customWidth="1"/>
    <col min="1539" max="1539" width="14.85546875" style="116" bestFit="1" customWidth="1"/>
    <col min="1540" max="1540" width="9.7109375" style="116" customWidth="1"/>
    <col min="1541" max="1541" width="4.85546875" style="116" customWidth="1"/>
    <col min="1542" max="1786" width="9.140625" style="116"/>
    <col min="1787" max="1787" width="5.42578125" style="116" bestFit="1" customWidth="1"/>
    <col min="1788" max="1788" width="20.42578125" style="116" bestFit="1" customWidth="1"/>
    <col min="1789" max="1789" width="41.42578125" style="116" customWidth="1"/>
    <col min="1790" max="1790" width="15.28515625" style="116" bestFit="1" customWidth="1"/>
    <col min="1791" max="1791" width="16.7109375" style="116" bestFit="1" customWidth="1"/>
    <col min="1792" max="1792" width="11.28515625" style="116" bestFit="1" customWidth="1"/>
    <col min="1793" max="1793" width="14" style="116" bestFit="1" customWidth="1"/>
    <col min="1794" max="1794" width="11.85546875" style="116" bestFit="1" customWidth="1"/>
    <col min="1795" max="1795" width="14.85546875" style="116" bestFit="1" customWidth="1"/>
    <col min="1796" max="1796" width="9.7109375" style="116" customWidth="1"/>
    <col min="1797" max="1797" width="4.85546875" style="116" customWidth="1"/>
    <col min="1798" max="2042" width="9.140625" style="116"/>
    <col min="2043" max="2043" width="5.42578125" style="116" bestFit="1" customWidth="1"/>
    <col min="2044" max="2044" width="20.42578125" style="116" bestFit="1" customWidth="1"/>
    <col min="2045" max="2045" width="41.42578125" style="116" customWidth="1"/>
    <col min="2046" max="2046" width="15.28515625" style="116" bestFit="1" customWidth="1"/>
    <col min="2047" max="2047" width="16.7109375" style="116" bestFit="1" customWidth="1"/>
    <col min="2048" max="2048" width="11.28515625" style="116" bestFit="1" customWidth="1"/>
    <col min="2049" max="2049" width="14" style="116" bestFit="1" customWidth="1"/>
    <col min="2050" max="2050" width="11.85546875" style="116" bestFit="1" customWidth="1"/>
    <col min="2051" max="2051" width="14.85546875" style="116" bestFit="1" customWidth="1"/>
    <col min="2052" max="2052" width="9.7109375" style="116" customWidth="1"/>
    <col min="2053" max="2053" width="4.85546875" style="116" customWidth="1"/>
    <col min="2054" max="2298" width="9.140625" style="116"/>
    <col min="2299" max="2299" width="5.42578125" style="116" bestFit="1" customWidth="1"/>
    <col min="2300" max="2300" width="20.42578125" style="116" bestFit="1" customWidth="1"/>
    <col min="2301" max="2301" width="41.42578125" style="116" customWidth="1"/>
    <col min="2302" max="2302" width="15.28515625" style="116" bestFit="1" customWidth="1"/>
    <col min="2303" max="2303" width="16.7109375" style="116" bestFit="1" customWidth="1"/>
    <col min="2304" max="2304" width="11.28515625" style="116" bestFit="1" customWidth="1"/>
    <col min="2305" max="2305" width="14" style="116" bestFit="1" customWidth="1"/>
    <col min="2306" max="2306" width="11.85546875" style="116" bestFit="1" customWidth="1"/>
    <col min="2307" max="2307" width="14.85546875" style="116" bestFit="1" customWidth="1"/>
    <col min="2308" max="2308" width="9.7109375" style="116" customWidth="1"/>
    <col min="2309" max="2309" width="4.85546875" style="116" customWidth="1"/>
    <col min="2310" max="2554" width="9.140625" style="116"/>
    <col min="2555" max="2555" width="5.42578125" style="116" bestFit="1" customWidth="1"/>
    <col min="2556" max="2556" width="20.42578125" style="116" bestFit="1" customWidth="1"/>
    <col min="2557" max="2557" width="41.42578125" style="116" customWidth="1"/>
    <col min="2558" max="2558" width="15.28515625" style="116" bestFit="1" customWidth="1"/>
    <col min="2559" max="2559" width="16.7109375" style="116" bestFit="1" customWidth="1"/>
    <col min="2560" max="2560" width="11.28515625" style="116" bestFit="1" customWidth="1"/>
    <col min="2561" max="2561" width="14" style="116" bestFit="1" customWidth="1"/>
    <col min="2562" max="2562" width="11.85546875" style="116" bestFit="1" customWidth="1"/>
    <col min="2563" max="2563" width="14.85546875" style="116" bestFit="1" customWidth="1"/>
    <col min="2564" max="2564" width="9.7109375" style="116" customWidth="1"/>
    <col min="2565" max="2565" width="4.85546875" style="116" customWidth="1"/>
    <col min="2566" max="2810" width="9.140625" style="116"/>
    <col min="2811" max="2811" width="5.42578125" style="116" bestFit="1" customWidth="1"/>
    <col min="2812" max="2812" width="20.42578125" style="116" bestFit="1" customWidth="1"/>
    <col min="2813" max="2813" width="41.42578125" style="116" customWidth="1"/>
    <col min="2814" max="2814" width="15.28515625" style="116" bestFit="1" customWidth="1"/>
    <col min="2815" max="2815" width="16.7109375" style="116" bestFit="1" customWidth="1"/>
    <col min="2816" max="2816" width="11.28515625" style="116" bestFit="1" customWidth="1"/>
    <col min="2817" max="2817" width="14" style="116" bestFit="1" customWidth="1"/>
    <col min="2818" max="2818" width="11.85546875" style="116" bestFit="1" customWidth="1"/>
    <col min="2819" max="2819" width="14.85546875" style="116" bestFit="1" customWidth="1"/>
    <col min="2820" max="2820" width="9.7109375" style="116" customWidth="1"/>
    <col min="2821" max="2821" width="4.85546875" style="116" customWidth="1"/>
    <col min="2822" max="3066" width="9.140625" style="116"/>
    <col min="3067" max="3067" width="5.42578125" style="116" bestFit="1" customWidth="1"/>
    <col min="3068" max="3068" width="20.42578125" style="116" bestFit="1" customWidth="1"/>
    <col min="3069" max="3069" width="41.42578125" style="116" customWidth="1"/>
    <col min="3070" max="3070" width="15.28515625" style="116" bestFit="1" customWidth="1"/>
    <col min="3071" max="3071" width="16.7109375" style="116" bestFit="1" customWidth="1"/>
    <col min="3072" max="3072" width="11.28515625" style="116" bestFit="1" customWidth="1"/>
    <col min="3073" max="3073" width="14" style="116" bestFit="1" customWidth="1"/>
    <col min="3074" max="3074" width="11.85546875" style="116" bestFit="1" customWidth="1"/>
    <col min="3075" max="3075" width="14.85546875" style="116" bestFit="1" customWidth="1"/>
    <col min="3076" max="3076" width="9.7109375" style="116" customWidth="1"/>
    <col min="3077" max="3077" width="4.85546875" style="116" customWidth="1"/>
    <col min="3078" max="3322" width="9.140625" style="116"/>
    <col min="3323" max="3323" width="5.42578125" style="116" bestFit="1" customWidth="1"/>
    <col min="3324" max="3324" width="20.42578125" style="116" bestFit="1" customWidth="1"/>
    <col min="3325" max="3325" width="41.42578125" style="116" customWidth="1"/>
    <col min="3326" max="3326" width="15.28515625" style="116" bestFit="1" customWidth="1"/>
    <col min="3327" max="3327" width="16.7109375" style="116" bestFit="1" customWidth="1"/>
    <col min="3328" max="3328" width="11.28515625" style="116" bestFit="1" customWidth="1"/>
    <col min="3329" max="3329" width="14" style="116" bestFit="1" customWidth="1"/>
    <col min="3330" max="3330" width="11.85546875" style="116" bestFit="1" customWidth="1"/>
    <col min="3331" max="3331" width="14.85546875" style="116" bestFit="1" customWidth="1"/>
    <col min="3332" max="3332" width="9.7109375" style="116" customWidth="1"/>
    <col min="3333" max="3333" width="4.85546875" style="116" customWidth="1"/>
    <col min="3334" max="3578" width="9.140625" style="116"/>
    <col min="3579" max="3579" width="5.42578125" style="116" bestFit="1" customWidth="1"/>
    <col min="3580" max="3580" width="20.42578125" style="116" bestFit="1" customWidth="1"/>
    <col min="3581" max="3581" width="41.42578125" style="116" customWidth="1"/>
    <col min="3582" max="3582" width="15.28515625" style="116" bestFit="1" customWidth="1"/>
    <col min="3583" max="3583" width="16.7109375" style="116" bestFit="1" customWidth="1"/>
    <col min="3584" max="3584" width="11.28515625" style="116" bestFit="1" customWidth="1"/>
    <col min="3585" max="3585" width="14" style="116" bestFit="1" customWidth="1"/>
    <col min="3586" max="3586" width="11.85546875" style="116" bestFit="1" customWidth="1"/>
    <col min="3587" max="3587" width="14.85546875" style="116" bestFit="1" customWidth="1"/>
    <col min="3588" max="3588" width="9.7109375" style="116" customWidth="1"/>
    <col min="3589" max="3589" width="4.85546875" style="116" customWidth="1"/>
    <col min="3590" max="3834" width="9.140625" style="116"/>
    <col min="3835" max="3835" width="5.42578125" style="116" bestFit="1" customWidth="1"/>
    <col min="3836" max="3836" width="20.42578125" style="116" bestFit="1" customWidth="1"/>
    <col min="3837" max="3837" width="41.42578125" style="116" customWidth="1"/>
    <col min="3838" max="3838" width="15.28515625" style="116" bestFit="1" customWidth="1"/>
    <col min="3839" max="3839" width="16.7109375" style="116" bestFit="1" customWidth="1"/>
    <col min="3840" max="3840" width="11.28515625" style="116" bestFit="1" customWidth="1"/>
    <col min="3841" max="3841" width="14" style="116" bestFit="1" customWidth="1"/>
    <col min="3842" max="3842" width="11.85546875" style="116" bestFit="1" customWidth="1"/>
    <col min="3843" max="3843" width="14.85546875" style="116" bestFit="1" customWidth="1"/>
    <col min="3844" max="3844" width="9.7109375" style="116" customWidth="1"/>
    <col min="3845" max="3845" width="4.85546875" style="116" customWidth="1"/>
    <col min="3846" max="4090" width="9.140625" style="116"/>
    <col min="4091" max="4091" width="5.42578125" style="116" bestFit="1" customWidth="1"/>
    <col min="4092" max="4092" width="20.42578125" style="116" bestFit="1" customWidth="1"/>
    <col min="4093" max="4093" width="41.42578125" style="116" customWidth="1"/>
    <col min="4094" max="4094" width="15.28515625" style="116" bestFit="1" customWidth="1"/>
    <col min="4095" max="4095" width="16.7109375" style="116" bestFit="1" customWidth="1"/>
    <col min="4096" max="4096" width="11.28515625" style="116" bestFit="1" customWidth="1"/>
    <col min="4097" max="4097" width="14" style="116" bestFit="1" customWidth="1"/>
    <col min="4098" max="4098" width="11.85546875" style="116" bestFit="1" customWidth="1"/>
    <col min="4099" max="4099" width="14.85546875" style="116" bestFit="1" customWidth="1"/>
    <col min="4100" max="4100" width="9.7109375" style="116" customWidth="1"/>
    <col min="4101" max="4101" width="4.85546875" style="116" customWidth="1"/>
    <col min="4102" max="4346" width="9.140625" style="116"/>
    <col min="4347" max="4347" width="5.42578125" style="116" bestFit="1" customWidth="1"/>
    <col min="4348" max="4348" width="20.42578125" style="116" bestFit="1" customWidth="1"/>
    <col min="4349" max="4349" width="41.42578125" style="116" customWidth="1"/>
    <col min="4350" max="4350" width="15.28515625" style="116" bestFit="1" customWidth="1"/>
    <col min="4351" max="4351" width="16.7109375" style="116" bestFit="1" customWidth="1"/>
    <col min="4352" max="4352" width="11.28515625" style="116" bestFit="1" customWidth="1"/>
    <col min="4353" max="4353" width="14" style="116" bestFit="1" customWidth="1"/>
    <col min="4354" max="4354" width="11.85546875" style="116" bestFit="1" customWidth="1"/>
    <col min="4355" max="4355" width="14.85546875" style="116" bestFit="1" customWidth="1"/>
    <col min="4356" max="4356" width="9.7109375" style="116" customWidth="1"/>
    <col min="4357" max="4357" width="4.85546875" style="116" customWidth="1"/>
    <col min="4358" max="4602" width="9.140625" style="116"/>
    <col min="4603" max="4603" width="5.42578125" style="116" bestFit="1" customWidth="1"/>
    <col min="4604" max="4604" width="20.42578125" style="116" bestFit="1" customWidth="1"/>
    <col min="4605" max="4605" width="41.42578125" style="116" customWidth="1"/>
    <col min="4606" max="4606" width="15.28515625" style="116" bestFit="1" customWidth="1"/>
    <col min="4607" max="4607" width="16.7109375" style="116" bestFit="1" customWidth="1"/>
    <col min="4608" max="4608" width="11.28515625" style="116" bestFit="1" customWidth="1"/>
    <col min="4609" max="4609" width="14" style="116" bestFit="1" customWidth="1"/>
    <col min="4610" max="4610" width="11.85546875" style="116" bestFit="1" customWidth="1"/>
    <col min="4611" max="4611" width="14.85546875" style="116" bestFit="1" customWidth="1"/>
    <col min="4612" max="4612" width="9.7109375" style="116" customWidth="1"/>
    <col min="4613" max="4613" width="4.85546875" style="116" customWidth="1"/>
    <col min="4614" max="4858" width="9.140625" style="116"/>
    <col min="4859" max="4859" width="5.42578125" style="116" bestFit="1" customWidth="1"/>
    <col min="4860" max="4860" width="20.42578125" style="116" bestFit="1" customWidth="1"/>
    <col min="4861" max="4861" width="41.42578125" style="116" customWidth="1"/>
    <col min="4862" max="4862" width="15.28515625" style="116" bestFit="1" customWidth="1"/>
    <col min="4863" max="4863" width="16.7109375" style="116" bestFit="1" customWidth="1"/>
    <col min="4864" max="4864" width="11.28515625" style="116" bestFit="1" customWidth="1"/>
    <col min="4865" max="4865" width="14" style="116" bestFit="1" customWidth="1"/>
    <col min="4866" max="4866" width="11.85546875" style="116" bestFit="1" customWidth="1"/>
    <col min="4867" max="4867" width="14.85546875" style="116" bestFit="1" customWidth="1"/>
    <col min="4868" max="4868" width="9.7109375" style="116" customWidth="1"/>
    <col min="4869" max="4869" width="4.85546875" style="116" customWidth="1"/>
    <col min="4870" max="5114" width="9.140625" style="116"/>
    <col min="5115" max="5115" width="5.42578125" style="116" bestFit="1" customWidth="1"/>
    <col min="5116" max="5116" width="20.42578125" style="116" bestFit="1" customWidth="1"/>
    <col min="5117" max="5117" width="41.42578125" style="116" customWidth="1"/>
    <col min="5118" max="5118" width="15.28515625" style="116" bestFit="1" customWidth="1"/>
    <col min="5119" max="5119" width="16.7109375" style="116" bestFit="1" customWidth="1"/>
    <col min="5120" max="5120" width="11.28515625" style="116" bestFit="1" customWidth="1"/>
    <col min="5121" max="5121" width="14" style="116" bestFit="1" customWidth="1"/>
    <col min="5122" max="5122" width="11.85546875" style="116" bestFit="1" customWidth="1"/>
    <col min="5123" max="5123" width="14.85546875" style="116" bestFit="1" customWidth="1"/>
    <col min="5124" max="5124" width="9.7109375" style="116" customWidth="1"/>
    <col min="5125" max="5125" width="4.85546875" style="116" customWidth="1"/>
    <col min="5126" max="5370" width="9.140625" style="116"/>
    <col min="5371" max="5371" width="5.42578125" style="116" bestFit="1" customWidth="1"/>
    <col min="5372" max="5372" width="20.42578125" style="116" bestFit="1" customWidth="1"/>
    <col min="5373" max="5373" width="41.42578125" style="116" customWidth="1"/>
    <col min="5374" max="5374" width="15.28515625" style="116" bestFit="1" customWidth="1"/>
    <col min="5375" max="5375" width="16.7109375" style="116" bestFit="1" customWidth="1"/>
    <col min="5376" max="5376" width="11.28515625" style="116" bestFit="1" customWidth="1"/>
    <col min="5377" max="5377" width="14" style="116" bestFit="1" customWidth="1"/>
    <col min="5378" max="5378" width="11.85546875" style="116" bestFit="1" customWidth="1"/>
    <col min="5379" max="5379" width="14.85546875" style="116" bestFit="1" customWidth="1"/>
    <col min="5380" max="5380" width="9.7109375" style="116" customWidth="1"/>
    <col min="5381" max="5381" width="4.85546875" style="116" customWidth="1"/>
    <col min="5382" max="5626" width="9.140625" style="116"/>
    <col min="5627" max="5627" width="5.42578125" style="116" bestFit="1" customWidth="1"/>
    <col min="5628" max="5628" width="20.42578125" style="116" bestFit="1" customWidth="1"/>
    <col min="5629" max="5629" width="41.42578125" style="116" customWidth="1"/>
    <col min="5630" max="5630" width="15.28515625" style="116" bestFit="1" customWidth="1"/>
    <col min="5631" max="5631" width="16.7109375" style="116" bestFit="1" customWidth="1"/>
    <col min="5632" max="5632" width="11.28515625" style="116" bestFit="1" customWidth="1"/>
    <col min="5633" max="5633" width="14" style="116" bestFit="1" customWidth="1"/>
    <col min="5634" max="5634" width="11.85546875" style="116" bestFit="1" customWidth="1"/>
    <col min="5635" max="5635" width="14.85546875" style="116" bestFit="1" customWidth="1"/>
    <col min="5636" max="5636" width="9.7109375" style="116" customWidth="1"/>
    <col min="5637" max="5637" width="4.85546875" style="116" customWidth="1"/>
    <col min="5638" max="5882" width="9.140625" style="116"/>
    <col min="5883" max="5883" width="5.42578125" style="116" bestFit="1" customWidth="1"/>
    <col min="5884" max="5884" width="20.42578125" style="116" bestFit="1" customWidth="1"/>
    <col min="5885" max="5885" width="41.42578125" style="116" customWidth="1"/>
    <col min="5886" max="5886" width="15.28515625" style="116" bestFit="1" customWidth="1"/>
    <col min="5887" max="5887" width="16.7109375" style="116" bestFit="1" customWidth="1"/>
    <col min="5888" max="5888" width="11.28515625" style="116" bestFit="1" customWidth="1"/>
    <col min="5889" max="5889" width="14" style="116" bestFit="1" customWidth="1"/>
    <col min="5890" max="5890" width="11.85546875" style="116" bestFit="1" customWidth="1"/>
    <col min="5891" max="5891" width="14.85546875" style="116" bestFit="1" customWidth="1"/>
    <col min="5892" max="5892" width="9.7109375" style="116" customWidth="1"/>
    <col min="5893" max="5893" width="4.85546875" style="116" customWidth="1"/>
    <col min="5894" max="6138" width="9.140625" style="116"/>
    <col min="6139" max="6139" width="5.42578125" style="116" bestFit="1" customWidth="1"/>
    <col min="6140" max="6140" width="20.42578125" style="116" bestFit="1" customWidth="1"/>
    <col min="6141" max="6141" width="41.42578125" style="116" customWidth="1"/>
    <col min="6142" max="6142" width="15.28515625" style="116" bestFit="1" customWidth="1"/>
    <col min="6143" max="6143" width="16.7109375" style="116" bestFit="1" customWidth="1"/>
    <col min="6144" max="6144" width="11.28515625" style="116" bestFit="1" customWidth="1"/>
    <col min="6145" max="6145" width="14" style="116" bestFit="1" customWidth="1"/>
    <col min="6146" max="6146" width="11.85546875" style="116" bestFit="1" customWidth="1"/>
    <col min="6147" max="6147" width="14.85546875" style="116" bestFit="1" customWidth="1"/>
    <col min="6148" max="6148" width="9.7109375" style="116" customWidth="1"/>
    <col min="6149" max="6149" width="4.85546875" style="116" customWidth="1"/>
    <col min="6150" max="6394" width="9.140625" style="116"/>
    <col min="6395" max="6395" width="5.42578125" style="116" bestFit="1" customWidth="1"/>
    <col min="6396" max="6396" width="20.42578125" style="116" bestFit="1" customWidth="1"/>
    <col min="6397" max="6397" width="41.42578125" style="116" customWidth="1"/>
    <col min="6398" max="6398" width="15.28515625" style="116" bestFit="1" customWidth="1"/>
    <col min="6399" max="6399" width="16.7109375" style="116" bestFit="1" customWidth="1"/>
    <col min="6400" max="6400" width="11.28515625" style="116" bestFit="1" customWidth="1"/>
    <col min="6401" max="6401" width="14" style="116" bestFit="1" customWidth="1"/>
    <col min="6402" max="6402" width="11.85546875" style="116" bestFit="1" customWidth="1"/>
    <col min="6403" max="6403" width="14.85546875" style="116" bestFit="1" customWidth="1"/>
    <col min="6404" max="6404" width="9.7109375" style="116" customWidth="1"/>
    <col min="6405" max="6405" width="4.85546875" style="116" customWidth="1"/>
    <col min="6406" max="6650" width="9.140625" style="116"/>
    <col min="6651" max="6651" width="5.42578125" style="116" bestFit="1" customWidth="1"/>
    <col min="6652" max="6652" width="20.42578125" style="116" bestFit="1" customWidth="1"/>
    <col min="6653" max="6653" width="41.42578125" style="116" customWidth="1"/>
    <col min="6654" max="6654" width="15.28515625" style="116" bestFit="1" customWidth="1"/>
    <col min="6655" max="6655" width="16.7109375" style="116" bestFit="1" customWidth="1"/>
    <col min="6656" max="6656" width="11.28515625" style="116" bestFit="1" customWidth="1"/>
    <col min="6657" max="6657" width="14" style="116" bestFit="1" customWidth="1"/>
    <col min="6658" max="6658" width="11.85546875" style="116" bestFit="1" customWidth="1"/>
    <col min="6659" max="6659" width="14.85546875" style="116" bestFit="1" customWidth="1"/>
    <col min="6660" max="6660" width="9.7109375" style="116" customWidth="1"/>
    <col min="6661" max="6661" width="4.85546875" style="116" customWidth="1"/>
    <col min="6662" max="6906" width="9.140625" style="116"/>
    <col min="6907" max="6907" width="5.42578125" style="116" bestFit="1" customWidth="1"/>
    <col min="6908" max="6908" width="20.42578125" style="116" bestFit="1" customWidth="1"/>
    <col min="6909" max="6909" width="41.42578125" style="116" customWidth="1"/>
    <col min="6910" max="6910" width="15.28515625" style="116" bestFit="1" customWidth="1"/>
    <col min="6911" max="6911" width="16.7109375" style="116" bestFit="1" customWidth="1"/>
    <col min="6912" max="6912" width="11.28515625" style="116" bestFit="1" customWidth="1"/>
    <col min="6913" max="6913" width="14" style="116" bestFit="1" customWidth="1"/>
    <col min="6914" max="6914" width="11.85546875" style="116" bestFit="1" customWidth="1"/>
    <col min="6915" max="6915" width="14.85546875" style="116" bestFit="1" customWidth="1"/>
    <col min="6916" max="6916" width="9.7109375" style="116" customWidth="1"/>
    <col min="6917" max="6917" width="4.85546875" style="116" customWidth="1"/>
    <col min="6918" max="7162" width="9.140625" style="116"/>
    <col min="7163" max="7163" width="5.42578125" style="116" bestFit="1" customWidth="1"/>
    <col min="7164" max="7164" width="20.42578125" style="116" bestFit="1" customWidth="1"/>
    <col min="7165" max="7165" width="41.42578125" style="116" customWidth="1"/>
    <col min="7166" max="7166" width="15.28515625" style="116" bestFit="1" customWidth="1"/>
    <col min="7167" max="7167" width="16.7109375" style="116" bestFit="1" customWidth="1"/>
    <col min="7168" max="7168" width="11.28515625" style="116" bestFit="1" customWidth="1"/>
    <col min="7169" max="7169" width="14" style="116" bestFit="1" customWidth="1"/>
    <col min="7170" max="7170" width="11.85546875" style="116" bestFit="1" customWidth="1"/>
    <col min="7171" max="7171" width="14.85546875" style="116" bestFit="1" customWidth="1"/>
    <col min="7172" max="7172" width="9.7109375" style="116" customWidth="1"/>
    <col min="7173" max="7173" width="4.85546875" style="116" customWidth="1"/>
    <col min="7174" max="7418" width="9.140625" style="116"/>
    <col min="7419" max="7419" width="5.42578125" style="116" bestFit="1" customWidth="1"/>
    <col min="7420" max="7420" width="20.42578125" style="116" bestFit="1" customWidth="1"/>
    <col min="7421" max="7421" width="41.42578125" style="116" customWidth="1"/>
    <col min="7422" max="7422" width="15.28515625" style="116" bestFit="1" customWidth="1"/>
    <col min="7423" max="7423" width="16.7109375" style="116" bestFit="1" customWidth="1"/>
    <col min="7424" max="7424" width="11.28515625" style="116" bestFit="1" customWidth="1"/>
    <col min="7425" max="7425" width="14" style="116" bestFit="1" customWidth="1"/>
    <col min="7426" max="7426" width="11.85546875" style="116" bestFit="1" customWidth="1"/>
    <col min="7427" max="7427" width="14.85546875" style="116" bestFit="1" customWidth="1"/>
    <col min="7428" max="7428" width="9.7109375" style="116" customWidth="1"/>
    <col min="7429" max="7429" width="4.85546875" style="116" customWidth="1"/>
    <col min="7430" max="7674" width="9.140625" style="116"/>
    <col min="7675" max="7675" width="5.42578125" style="116" bestFit="1" customWidth="1"/>
    <col min="7676" max="7676" width="20.42578125" style="116" bestFit="1" customWidth="1"/>
    <col min="7677" max="7677" width="41.42578125" style="116" customWidth="1"/>
    <col min="7678" max="7678" width="15.28515625" style="116" bestFit="1" customWidth="1"/>
    <col min="7679" max="7679" width="16.7109375" style="116" bestFit="1" customWidth="1"/>
    <col min="7680" max="7680" width="11.28515625" style="116" bestFit="1" customWidth="1"/>
    <col min="7681" max="7681" width="14" style="116" bestFit="1" customWidth="1"/>
    <col min="7682" max="7682" width="11.85546875" style="116" bestFit="1" customWidth="1"/>
    <col min="7683" max="7683" width="14.85546875" style="116" bestFit="1" customWidth="1"/>
    <col min="7684" max="7684" width="9.7109375" style="116" customWidth="1"/>
    <col min="7685" max="7685" width="4.85546875" style="116" customWidth="1"/>
    <col min="7686" max="7930" width="9.140625" style="116"/>
    <col min="7931" max="7931" width="5.42578125" style="116" bestFit="1" customWidth="1"/>
    <col min="7932" max="7932" width="20.42578125" style="116" bestFit="1" customWidth="1"/>
    <col min="7933" max="7933" width="41.42578125" style="116" customWidth="1"/>
    <col min="7934" max="7934" width="15.28515625" style="116" bestFit="1" customWidth="1"/>
    <col min="7935" max="7935" width="16.7109375" style="116" bestFit="1" customWidth="1"/>
    <col min="7936" max="7936" width="11.28515625" style="116" bestFit="1" customWidth="1"/>
    <col min="7937" max="7937" width="14" style="116" bestFit="1" customWidth="1"/>
    <col min="7938" max="7938" width="11.85546875" style="116" bestFit="1" customWidth="1"/>
    <col min="7939" max="7939" width="14.85546875" style="116" bestFit="1" customWidth="1"/>
    <col min="7940" max="7940" width="9.7109375" style="116" customWidth="1"/>
    <col min="7941" max="7941" width="4.85546875" style="116" customWidth="1"/>
    <col min="7942" max="8186" width="9.140625" style="116"/>
    <col min="8187" max="8187" width="5.42578125" style="116" bestFit="1" customWidth="1"/>
    <col min="8188" max="8188" width="20.42578125" style="116" bestFit="1" customWidth="1"/>
    <col min="8189" max="8189" width="41.42578125" style="116" customWidth="1"/>
    <col min="8190" max="8190" width="15.28515625" style="116" bestFit="1" customWidth="1"/>
    <col min="8191" max="8191" width="16.7109375" style="116" bestFit="1" customWidth="1"/>
    <col min="8192" max="8192" width="11.28515625" style="116" bestFit="1" customWidth="1"/>
    <col min="8193" max="8193" width="14" style="116" bestFit="1" customWidth="1"/>
    <col min="8194" max="8194" width="11.85546875" style="116" bestFit="1" customWidth="1"/>
    <col min="8195" max="8195" width="14.85546875" style="116" bestFit="1" customWidth="1"/>
    <col min="8196" max="8196" width="9.7109375" style="116" customWidth="1"/>
    <col min="8197" max="8197" width="4.85546875" style="116" customWidth="1"/>
    <col min="8198" max="8442" width="9.140625" style="116"/>
    <col min="8443" max="8443" width="5.42578125" style="116" bestFit="1" customWidth="1"/>
    <col min="8444" max="8444" width="20.42578125" style="116" bestFit="1" customWidth="1"/>
    <col min="8445" max="8445" width="41.42578125" style="116" customWidth="1"/>
    <col min="8446" max="8446" width="15.28515625" style="116" bestFit="1" customWidth="1"/>
    <col min="8447" max="8447" width="16.7109375" style="116" bestFit="1" customWidth="1"/>
    <col min="8448" max="8448" width="11.28515625" style="116" bestFit="1" customWidth="1"/>
    <col min="8449" max="8449" width="14" style="116" bestFit="1" customWidth="1"/>
    <col min="8450" max="8450" width="11.85546875" style="116" bestFit="1" customWidth="1"/>
    <col min="8451" max="8451" width="14.85546875" style="116" bestFit="1" customWidth="1"/>
    <col min="8452" max="8452" width="9.7109375" style="116" customWidth="1"/>
    <col min="8453" max="8453" width="4.85546875" style="116" customWidth="1"/>
    <col min="8454" max="8698" width="9.140625" style="116"/>
    <col min="8699" max="8699" width="5.42578125" style="116" bestFit="1" customWidth="1"/>
    <col min="8700" max="8700" width="20.42578125" style="116" bestFit="1" customWidth="1"/>
    <col min="8701" max="8701" width="41.42578125" style="116" customWidth="1"/>
    <col min="8702" max="8702" width="15.28515625" style="116" bestFit="1" customWidth="1"/>
    <col min="8703" max="8703" width="16.7109375" style="116" bestFit="1" customWidth="1"/>
    <col min="8704" max="8704" width="11.28515625" style="116" bestFit="1" customWidth="1"/>
    <col min="8705" max="8705" width="14" style="116" bestFit="1" customWidth="1"/>
    <col min="8706" max="8706" width="11.85546875" style="116" bestFit="1" customWidth="1"/>
    <col min="8707" max="8707" width="14.85546875" style="116" bestFit="1" customWidth="1"/>
    <col min="8708" max="8708" width="9.7109375" style="116" customWidth="1"/>
    <col min="8709" max="8709" width="4.85546875" style="116" customWidth="1"/>
    <col min="8710" max="8954" width="9.140625" style="116"/>
    <col min="8955" max="8955" width="5.42578125" style="116" bestFit="1" customWidth="1"/>
    <col min="8956" max="8956" width="20.42578125" style="116" bestFit="1" customWidth="1"/>
    <col min="8957" max="8957" width="41.42578125" style="116" customWidth="1"/>
    <col min="8958" max="8958" width="15.28515625" style="116" bestFit="1" customWidth="1"/>
    <col min="8959" max="8959" width="16.7109375" style="116" bestFit="1" customWidth="1"/>
    <col min="8960" max="8960" width="11.28515625" style="116" bestFit="1" customWidth="1"/>
    <col min="8961" max="8961" width="14" style="116" bestFit="1" customWidth="1"/>
    <col min="8962" max="8962" width="11.85546875" style="116" bestFit="1" customWidth="1"/>
    <col min="8963" max="8963" width="14.85546875" style="116" bestFit="1" customWidth="1"/>
    <col min="8964" max="8964" width="9.7109375" style="116" customWidth="1"/>
    <col min="8965" max="8965" width="4.85546875" style="116" customWidth="1"/>
    <col min="8966" max="9210" width="9.140625" style="116"/>
    <col min="9211" max="9211" width="5.42578125" style="116" bestFit="1" customWidth="1"/>
    <col min="9212" max="9212" width="20.42578125" style="116" bestFit="1" customWidth="1"/>
    <col min="9213" max="9213" width="41.42578125" style="116" customWidth="1"/>
    <col min="9214" max="9214" width="15.28515625" style="116" bestFit="1" customWidth="1"/>
    <col min="9215" max="9215" width="16.7109375" style="116" bestFit="1" customWidth="1"/>
    <col min="9216" max="9216" width="11.28515625" style="116" bestFit="1" customWidth="1"/>
    <col min="9217" max="9217" width="14" style="116" bestFit="1" customWidth="1"/>
    <col min="9218" max="9218" width="11.85546875" style="116" bestFit="1" customWidth="1"/>
    <col min="9219" max="9219" width="14.85546875" style="116" bestFit="1" customWidth="1"/>
    <col min="9220" max="9220" width="9.7109375" style="116" customWidth="1"/>
    <col min="9221" max="9221" width="4.85546875" style="116" customWidth="1"/>
    <col min="9222" max="9466" width="9.140625" style="116"/>
    <col min="9467" max="9467" width="5.42578125" style="116" bestFit="1" customWidth="1"/>
    <col min="9468" max="9468" width="20.42578125" style="116" bestFit="1" customWidth="1"/>
    <col min="9469" max="9469" width="41.42578125" style="116" customWidth="1"/>
    <col min="9470" max="9470" width="15.28515625" style="116" bestFit="1" customWidth="1"/>
    <col min="9471" max="9471" width="16.7109375" style="116" bestFit="1" customWidth="1"/>
    <col min="9472" max="9472" width="11.28515625" style="116" bestFit="1" customWidth="1"/>
    <col min="9473" max="9473" width="14" style="116" bestFit="1" customWidth="1"/>
    <col min="9474" max="9474" width="11.85546875" style="116" bestFit="1" customWidth="1"/>
    <col min="9475" max="9475" width="14.85546875" style="116" bestFit="1" customWidth="1"/>
    <col min="9476" max="9476" width="9.7109375" style="116" customWidth="1"/>
    <col min="9477" max="9477" width="4.85546875" style="116" customWidth="1"/>
    <col min="9478" max="9722" width="9.140625" style="116"/>
    <col min="9723" max="9723" width="5.42578125" style="116" bestFit="1" customWidth="1"/>
    <col min="9724" max="9724" width="20.42578125" style="116" bestFit="1" customWidth="1"/>
    <col min="9725" max="9725" width="41.42578125" style="116" customWidth="1"/>
    <col min="9726" max="9726" width="15.28515625" style="116" bestFit="1" customWidth="1"/>
    <col min="9727" max="9727" width="16.7109375" style="116" bestFit="1" customWidth="1"/>
    <col min="9728" max="9728" width="11.28515625" style="116" bestFit="1" customWidth="1"/>
    <col min="9729" max="9729" width="14" style="116" bestFit="1" customWidth="1"/>
    <col min="9730" max="9730" width="11.85546875" style="116" bestFit="1" customWidth="1"/>
    <col min="9731" max="9731" width="14.85546875" style="116" bestFit="1" customWidth="1"/>
    <col min="9732" max="9732" width="9.7109375" style="116" customWidth="1"/>
    <col min="9733" max="9733" width="4.85546875" style="116" customWidth="1"/>
    <col min="9734" max="9978" width="9.140625" style="116"/>
    <col min="9979" max="9979" width="5.42578125" style="116" bestFit="1" customWidth="1"/>
    <col min="9980" max="9980" width="20.42578125" style="116" bestFit="1" customWidth="1"/>
    <col min="9981" max="9981" width="41.42578125" style="116" customWidth="1"/>
    <col min="9982" max="9982" width="15.28515625" style="116" bestFit="1" customWidth="1"/>
    <col min="9983" max="9983" width="16.7109375" style="116" bestFit="1" customWidth="1"/>
    <col min="9984" max="9984" width="11.28515625" style="116" bestFit="1" customWidth="1"/>
    <col min="9985" max="9985" width="14" style="116" bestFit="1" customWidth="1"/>
    <col min="9986" max="9986" width="11.85546875" style="116" bestFit="1" customWidth="1"/>
    <col min="9987" max="9987" width="14.85546875" style="116" bestFit="1" customWidth="1"/>
    <col min="9988" max="9988" width="9.7109375" style="116" customWidth="1"/>
    <col min="9989" max="9989" width="4.85546875" style="116" customWidth="1"/>
    <col min="9990" max="10234" width="9.140625" style="116"/>
    <col min="10235" max="10235" width="5.42578125" style="116" bestFit="1" customWidth="1"/>
    <col min="10236" max="10236" width="20.42578125" style="116" bestFit="1" customWidth="1"/>
    <col min="10237" max="10237" width="41.42578125" style="116" customWidth="1"/>
    <col min="10238" max="10238" width="15.28515625" style="116" bestFit="1" customWidth="1"/>
    <col min="10239" max="10239" width="16.7109375" style="116" bestFit="1" customWidth="1"/>
    <col min="10240" max="10240" width="11.28515625" style="116" bestFit="1" customWidth="1"/>
    <col min="10241" max="10241" width="14" style="116" bestFit="1" customWidth="1"/>
    <col min="10242" max="10242" width="11.85546875" style="116" bestFit="1" customWidth="1"/>
    <col min="10243" max="10243" width="14.85546875" style="116" bestFit="1" customWidth="1"/>
    <col min="10244" max="10244" width="9.7109375" style="116" customWidth="1"/>
    <col min="10245" max="10245" width="4.85546875" style="116" customWidth="1"/>
    <col min="10246" max="10490" width="9.140625" style="116"/>
    <col min="10491" max="10491" width="5.42578125" style="116" bestFit="1" customWidth="1"/>
    <col min="10492" max="10492" width="20.42578125" style="116" bestFit="1" customWidth="1"/>
    <col min="10493" max="10493" width="41.42578125" style="116" customWidth="1"/>
    <col min="10494" max="10494" width="15.28515625" style="116" bestFit="1" customWidth="1"/>
    <col min="10495" max="10495" width="16.7109375" style="116" bestFit="1" customWidth="1"/>
    <col min="10496" max="10496" width="11.28515625" style="116" bestFit="1" customWidth="1"/>
    <col min="10497" max="10497" width="14" style="116" bestFit="1" customWidth="1"/>
    <col min="10498" max="10498" width="11.85546875" style="116" bestFit="1" customWidth="1"/>
    <col min="10499" max="10499" width="14.85546875" style="116" bestFit="1" customWidth="1"/>
    <col min="10500" max="10500" width="9.7109375" style="116" customWidth="1"/>
    <col min="10501" max="10501" width="4.85546875" style="116" customWidth="1"/>
    <col min="10502" max="10746" width="9.140625" style="116"/>
    <col min="10747" max="10747" width="5.42578125" style="116" bestFit="1" customWidth="1"/>
    <col min="10748" max="10748" width="20.42578125" style="116" bestFit="1" customWidth="1"/>
    <col min="10749" max="10749" width="41.42578125" style="116" customWidth="1"/>
    <col min="10750" max="10750" width="15.28515625" style="116" bestFit="1" customWidth="1"/>
    <col min="10751" max="10751" width="16.7109375" style="116" bestFit="1" customWidth="1"/>
    <col min="10752" max="10752" width="11.28515625" style="116" bestFit="1" customWidth="1"/>
    <col min="10753" max="10753" width="14" style="116" bestFit="1" customWidth="1"/>
    <col min="10754" max="10754" width="11.85546875" style="116" bestFit="1" customWidth="1"/>
    <col min="10755" max="10755" width="14.85546875" style="116" bestFit="1" customWidth="1"/>
    <col min="10756" max="10756" width="9.7109375" style="116" customWidth="1"/>
    <col min="10757" max="10757" width="4.85546875" style="116" customWidth="1"/>
    <col min="10758" max="11002" width="9.140625" style="116"/>
    <col min="11003" max="11003" width="5.42578125" style="116" bestFit="1" customWidth="1"/>
    <col min="11004" max="11004" width="20.42578125" style="116" bestFit="1" customWidth="1"/>
    <col min="11005" max="11005" width="41.42578125" style="116" customWidth="1"/>
    <col min="11006" max="11006" width="15.28515625" style="116" bestFit="1" customWidth="1"/>
    <col min="11007" max="11007" width="16.7109375" style="116" bestFit="1" customWidth="1"/>
    <col min="11008" max="11008" width="11.28515625" style="116" bestFit="1" customWidth="1"/>
    <col min="11009" max="11009" width="14" style="116" bestFit="1" customWidth="1"/>
    <col min="11010" max="11010" width="11.85546875" style="116" bestFit="1" customWidth="1"/>
    <col min="11011" max="11011" width="14.85546875" style="116" bestFit="1" customWidth="1"/>
    <col min="11012" max="11012" width="9.7109375" style="116" customWidth="1"/>
    <col min="11013" max="11013" width="4.85546875" style="116" customWidth="1"/>
    <col min="11014" max="11258" width="9.140625" style="116"/>
    <col min="11259" max="11259" width="5.42578125" style="116" bestFit="1" customWidth="1"/>
    <col min="11260" max="11260" width="20.42578125" style="116" bestFit="1" customWidth="1"/>
    <col min="11261" max="11261" width="41.42578125" style="116" customWidth="1"/>
    <col min="11262" max="11262" width="15.28515625" style="116" bestFit="1" customWidth="1"/>
    <col min="11263" max="11263" width="16.7109375" style="116" bestFit="1" customWidth="1"/>
    <col min="11264" max="11264" width="11.28515625" style="116" bestFit="1" customWidth="1"/>
    <col min="11265" max="11265" width="14" style="116" bestFit="1" customWidth="1"/>
    <col min="11266" max="11266" width="11.85546875" style="116" bestFit="1" customWidth="1"/>
    <col min="11267" max="11267" width="14.85546875" style="116" bestFit="1" customWidth="1"/>
    <col min="11268" max="11268" width="9.7109375" style="116" customWidth="1"/>
    <col min="11269" max="11269" width="4.85546875" style="116" customWidth="1"/>
    <col min="11270" max="11514" width="9.140625" style="116"/>
    <col min="11515" max="11515" width="5.42578125" style="116" bestFit="1" customWidth="1"/>
    <col min="11516" max="11516" width="20.42578125" style="116" bestFit="1" customWidth="1"/>
    <col min="11517" max="11517" width="41.42578125" style="116" customWidth="1"/>
    <col min="11518" max="11518" width="15.28515625" style="116" bestFit="1" customWidth="1"/>
    <col min="11519" max="11519" width="16.7109375" style="116" bestFit="1" customWidth="1"/>
    <col min="11520" max="11520" width="11.28515625" style="116" bestFit="1" customWidth="1"/>
    <col min="11521" max="11521" width="14" style="116" bestFit="1" customWidth="1"/>
    <col min="11522" max="11522" width="11.85546875" style="116" bestFit="1" customWidth="1"/>
    <col min="11523" max="11523" width="14.85546875" style="116" bestFit="1" customWidth="1"/>
    <col min="11524" max="11524" width="9.7109375" style="116" customWidth="1"/>
    <col min="11525" max="11525" width="4.85546875" style="116" customWidth="1"/>
    <col min="11526" max="11770" width="9.140625" style="116"/>
    <col min="11771" max="11771" width="5.42578125" style="116" bestFit="1" customWidth="1"/>
    <col min="11772" max="11772" width="20.42578125" style="116" bestFit="1" customWidth="1"/>
    <col min="11773" max="11773" width="41.42578125" style="116" customWidth="1"/>
    <col min="11774" max="11774" width="15.28515625" style="116" bestFit="1" customWidth="1"/>
    <col min="11775" max="11775" width="16.7109375" style="116" bestFit="1" customWidth="1"/>
    <col min="11776" max="11776" width="11.28515625" style="116" bestFit="1" customWidth="1"/>
    <col min="11777" max="11777" width="14" style="116" bestFit="1" customWidth="1"/>
    <col min="11778" max="11778" width="11.85546875" style="116" bestFit="1" customWidth="1"/>
    <col min="11779" max="11779" width="14.85546875" style="116" bestFit="1" customWidth="1"/>
    <col min="11780" max="11780" width="9.7109375" style="116" customWidth="1"/>
    <col min="11781" max="11781" width="4.85546875" style="116" customWidth="1"/>
    <col min="11782" max="12026" width="9.140625" style="116"/>
    <col min="12027" max="12027" width="5.42578125" style="116" bestFit="1" customWidth="1"/>
    <col min="12028" max="12028" width="20.42578125" style="116" bestFit="1" customWidth="1"/>
    <col min="12029" max="12029" width="41.42578125" style="116" customWidth="1"/>
    <col min="12030" max="12030" width="15.28515625" style="116" bestFit="1" customWidth="1"/>
    <col min="12031" max="12031" width="16.7109375" style="116" bestFit="1" customWidth="1"/>
    <col min="12032" max="12032" width="11.28515625" style="116" bestFit="1" customWidth="1"/>
    <col min="12033" max="12033" width="14" style="116" bestFit="1" customWidth="1"/>
    <col min="12034" max="12034" width="11.85546875" style="116" bestFit="1" customWidth="1"/>
    <col min="12035" max="12035" width="14.85546875" style="116" bestFit="1" customWidth="1"/>
    <col min="12036" max="12036" width="9.7109375" style="116" customWidth="1"/>
    <col min="12037" max="12037" width="4.85546875" style="116" customWidth="1"/>
    <col min="12038" max="12282" width="9.140625" style="116"/>
    <col min="12283" max="12283" width="5.42578125" style="116" bestFit="1" customWidth="1"/>
    <col min="12284" max="12284" width="20.42578125" style="116" bestFit="1" customWidth="1"/>
    <col min="12285" max="12285" width="41.42578125" style="116" customWidth="1"/>
    <col min="12286" max="12286" width="15.28515625" style="116" bestFit="1" customWidth="1"/>
    <col min="12287" max="12287" width="16.7109375" style="116" bestFit="1" customWidth="1"/>
    <col min="12288" max="12288" width="11.28515625" style="116" bestFit="1" customWidth="1"/>
    <col min="12289" max="12289" width="14" style="116" bestFit="1" customWidth="1"/>
    <col min="12290" max="12290" width="11.85546875" style="116" bestFit="1" customWidth="1"/>
    <col min="12291" max="12291" width="14.85546875" style="116" bestFit="1" customWidth="1"/>
    <col min="12292" max="12292" width="9.7109375" style="116" customWidth="1"/>
    <col min="12293" max="12293" width="4.85546875" style="116" customWidth="1"/>
    <col min="12294" max="12538" width="9.140625" style="116"/>
    <col min="12539" max="12539" width="5.42578125" style="116" bestFit="1" customWidth="1"/>
    <col min="12540" max="12540" width="20.42578125" style="116" bestFit="1" customWidth="1"/>
    <col min="12541" max="12541" width="41.42578125" style="116" customWidth="1"/>
    <col min="12542" max="12542" width="15.28515625" style="116" bestFit="1" customWidth="1"/>
    <col min="12543" max="12543" width="16.7109375" style="116" bestFit="1" customWidth="1"/>
    <col min="12544" max="12544" width="11.28515625" style="116" bestFit="1" customWidth="1"/>
    <col min="12545" max="12545" width="14" style="116" bestFit="1" customWidth="1"/>
    <col min="12546" max="12546" width="11.85546875" style="116" bestFit="1" customWidth="1"/>
    <col min="12547" max="12547" width="14.85546875" style="116" bestFit="1" customWidth="1"/>
    <col min="12548" max="12548" width="9.7109375" style="116" customWidth="1"/>
    <col min="12549" max="12549" width="4.85546875" style="116" customWidth="1"/>
    <col min="12550" max="12794" width="9.140625" style="116"/>
    <col min="12795" max="12795" width="5.42578125" style="116" bestFit="1" customWidth="1"/>
    <col min="12796" max="12796" width="20.42578125" style="116" bestFit="1" customWidth="1"/>
    <col min="12797" max="12797" width="41.42578125" style="116" customWidth="1"/>
    <col min="12798" max="12798" width="15.28515625" style="116" bestFit="1" customWidth="1"/>
    <col min="12799" max="12799" width="16.7109375" style="116" bestFit="1" customWidth="1"/>
    <col min="12800" max="12800" width="11.28515625" style="116" bestFit="1" customWidth="1"/>
    <col min="12801" max="12801" width="14" style="116" bestFit="1" customWidth="1"/>
    <col min="12802" max="12802" width="11.85546875" style="116" bestFit="1" customWidth="1"/>
    <col min="12803" max="12803" width="14.85546875" style="116" bestFit="1" customWidth="1"/>
    <col min="12804" max="12804" width="9.7109375" style="116" customWidth="1"/>
    <col min="12805" max="12805" width="4.85546875" style="116" customWidth="1"/>
    <col min="12806" max="13050" width="9.140625" style="116"/>
    <col min="13051" max="13051" width="5.42578125" style="116" bestFit="1" customWidth="1"/>
    <col min="13052" max="13052" width="20.42578125" style="116" bestFit="1" customWidth="1"/>
    <col min="13053" max="13053" width="41.42578125" style="116" customWidth="1"/>
    <col min="13054" max="13054" width="15.28515625" style="116" bestFit="1" customWidth="1"/>
    <col min="13055" max="13055" width="16.7109375" style="116" bestFit="1" customWidth="1"/>
    <col min="13056" max="13056" width="11.28515625" style="116" bestFit="1" customWidth="1"/>
    <col min="13057" max="13057" width="14" style="116" bestFit="1" customWidth="1"/>
    <col min="13058" max="13058" width="11.85546875" style="116" bestFit="1" customWidth="1"/>
    <col min="13059" max="13059" width="14.85546875" style="116" bestFit="1" customWidth="1"/>
    <col min="13060" max="13060" width="9.7109375" style="116" customWidth="1"/>
    <col min="13061" max="13061" width="4.85546875" style="116" customWidth="1"/>
    <col min="13062" max="13306" width="9.140625" style="116"/>
    <col min="13307" max="13307" width="5.42578125" style="116" bestFit="1" customWidth="1"/>
    <col min="13308" max="13308" width="20.42578125" style="116" bestFit="1" customWidth="1"/>
    <col min="13309" max="13309" width="41.42578125" style="116" customWidth="1"/>
    <col min="13310" max="13310" width="15.28515625" style="116" bestFit="1" customWidth="1"/>
    <col min="13311" max="13311" width="16.7109375" style="116" bestFit="1" customWidth="1"/>
    <col min="13312" max="13312" width="11.28515625" style="116" bestFit="1" customWidth="1"/>
    <col min="13313" max="13313" width="14" style="116" bestFit="1" customWidth="1"/>
    <col min="13314" max="13314" width="11.85546875" style="116" bestFit="1" customWidth="1"/>
    <col min="13315" max="13315" width="14.85546875" style="116" bestFit="1" customWidth="1"/>
    <col min="13316" max="13316" width="9.7109375" style="116" customWidth="1"/>
    <col min="13317" max="13317" width="4.85546875" style="116" customWidth="1"/>
    <col min="13318" max="13562" width="9.140625" style="116"/>
    <col min="13563" max="13563" width="5.42578125" style="116" bestFit="1" customWidth="1"/>
    <col min="13564" max="13564" width="20.42578125" style="116" bestFit="1" customWidth="1"/>
    <col min="13565" max="13565" width="41.42578125" style="116" customWidth="1"/>
    <col min="13566" max="13566" width="15.28515625" style="116" bestFit="1" customWidth="1"/>
    <col min="13567" max="13567" width="16.7109375" style="116" bestFit="1" customWidth="1"/>
    <col min="13568" max="13568" width="11.28515625" style="116" bestFit="1" customWidth="1"/>
    <col min="13569" max="13569" width="14" style="116" bestFit="1" customWidth="1"/>
    <col min="13570" max="13570" width="11.85546875" style="116" bestFit="1" customWidth="1"/>
    <col min="13571" max="13571" width="14.85546875" style="116" bestFit="1" customWidth="1"/>
    <col min="13572" max="13572" width="9.7109375" style="116" customWidth="1"/>
    <col min="13573" max="13573" width="4.85546875" style="116" customWidth="1"/>
    <col min="13574" max="13818" width="9.140625" style="116"/>
    <col min="13819" max="13819" width="5.42578125" style="116" bestFit="1" customWidth="1"/>
    <col min="13820" max="13820" width="20.42578125" style="116" bestFit="1" customWidth="1"/>
    <col min="13821" max="13821" width="41.42578125" style="116" customWidth="1"/>
    <col min="13822" max="13822" width="15.28515625" style="116" bestFit="1" customWidth="1"/>
    <col min="13823" max="13823" width="16.7109375" style="116" bestFit="1" customWidth="1"/>
    <col min="13824" max="13824" width="11.28515625" style="116" bestFit="1" customWidth="1"/>
    <col min="13825" max="13825" width="14" style="116" bestFit="1" customWidth="1"/>
    <col min="13826" max="13826" width="11.85546875" style="116" bestFit="1" customWidth="1"/>
    <col min="13827" max="13827" width="14.85546875" style="116" bestFit="1" customWidth="1"/>
    <col min="13828" max="13828" width="9.7109375" style="116" customWidth="1"/>
    <col min="13829" max="13829" width="4.85546875" style="116" customWidth="1"/>
    <col min="13830" max="14074" width="9.140625" style="116"/>
    <col min="14075" max="14075" width="5.42578125" style="116" bestFit="1" customWidth="1"/>
    <col min="14076" max="14076" width="20.42578125" style="116" bestFit="1" customWidth="1"/>
    <col min="14077" max="14077" width="41.42578125" style="116" customWidth="1"/>
    <col min="14078" max="14078" width="15.28515625" style="116" bestFit="1" customWidth="1"/>
    <col min="14079" max="14079" width="16.7109375" style="116" bestFit="1" customWidth="1"/>
    <col min="14080" max="14080" width="11.28515625" style="116" bestFit="1" customWidth="1"/>
    <col min="14081" max="14081" width="14" style="116" bestFit="1" customWidth="1"/>
    <col min="14082" max="14082" width="11.85546875" style="116" bestFit="1" customWidth="1"/>
    <col min="14083" max="14083" width="14.85546875" style="116" bestFit="1" customWidth="1"/>
    <col min="14084" max="14084" width="9.7109375" style="116" customWidth="1"/>
    <col min="14085" max="14085" width="4.85546875" style="116" customWidth="1"/>
    <col min="14086" max="14330" width="9.140625" style="116"/>
    <col min="14331" max="14331" width="5.42578125" style="116" bestFit="1" customWidth="1"/>
    <col min="14332" max="14332" width="20.42578125" style="116" bestFit="1" customWidth="1"/>
    <col min="14333" max="14333" width="41.42578125" style="116" customWidth="1"/>
    <col min="14334" max="14334" width="15.28515625" style="116" bestFit="1" customWidth="1"/>
    <col min="14335" max="14335" width="16.7109375" style="116" bestFit="1" customWidth="1"/>
    <col min="14336" max="14336" width="11.28515625" style="116" bestFit="1" customWidth="1"/>
    <col min="14337" max="14337" width="14" style="116" bestFit="1" customWidth="1"/>
    <col min="14338" max="14338" width="11.85546875" style="116" bestFit="1" customWidth="1"/>
    <col min="14339" max="14339" width="14.85546875" style="116" bestFit="1" customWidth="1"/>
    <col min="14340" max="14340" width="9.7109375" style="116" customWidth="1"/>
    <col min="14341" max="14341" width="4.85546875" style="116" customWidth="1"/>
    <col min="14342" max="14586" width="9.140625" style="116"/>
    <col min="14587" max="14587" width="5.42578125" style="116" bestFit="1" customWidth="1"/>
    <col min="14588" max="14588" width="20.42578125" style="116" bestFit="1" customWidth="1"/>
    <col min="14589" max="14589" width="41.42578125" style="116" customWidth="1"/>
    <col min="14590" max="14590" width="15.28515625" style="116" bestFit="1" customWidth="1"/>
    <col min="14591" max="14591" width="16.7109375" style="116" bestFit="1" customWidth="1"/>
    <col min="14592" max="14592" width="11.28515625" style="116" bestFit="1" customWidth="1"/>
    <col min="14593" max="14593" width="14" style="116" bestFit="1" customWidth="1"/>
    <col min="14594" max="14594" width="11.85546875" style="116" bestFit="1" customWidth="1"/>
    <col min="14595" max="14595" width="14.85546875" style="116" bestFit="1" customWidth="1"/>
    <col min="14596" max="14596" width="9.7109375" style="116" customWidth="1"/>
    <col min="14597" max="14597" width="4.85546875" style="116" customWidth="1"/>
    <col min="14598" max="14842" width="9.140625" style="116"/>
    <col min="14843" max="14843" width="5.42578125" style="116" bestFit="1" customWidth="1"/>
    <col min="14844" max="14844" width="20.42578125" style="116" bestFit="1" customWidth="1"/>
    <col min="14845" max="14845" width="41.42578125" style="116" customWidth="1"/>
    <col min="14846" max="14846" width="15.28515625" style="116" bestFit="1" customWidth="1"/>
    <col min="14847" max="14847" width="16.7109375" style="116" bestFit="1" customWidth="1"/>
    <col min="14848" max="14848" width="11.28515625" style="116" bestFit="1" customWidth="1"/>
    <col min="14849" max="14849" width="14" style="116" bestFit="1" customWidth="1"/>
    <col min="14850" max="14850" width="11.85546875" style="116" bestFit="1" customWidth="1"/>
    <col min="14851" max="14851" width="14.85546875" style="116" bestFit="1" customWidth="1"/>
    <col min="14852" max="14852" width="9.7109375" style="116" customWidth="1"/>
    <col min="14853" max="14853" width="4.85546875" style="116" customWidth="1"/>
    <col min="14854" max="15098" width="9.140625" style="116"/>
    <col min="15099" max="15099" width="5.42578125" style="116" bestFit="1" customWidth="1"/>
    <col min="15100" max="15100" width="20.42578125" style="116" bestFit="1" customWidth="1"/>
    <col min="15101" max="15101" width="41.42578125" style="116" customWidth="1"/>
    <col min="15102" max="15102" width="15.28515625" style="116" bestFit="1" customWidth="1"/>
    <col min="15103" max="15103" width="16.7109375" style="116" bestFit="1" customWidth="1"/>
    <col min="15104" max="15104" width="11.28515625" style="116" bestFit="1" customWidth="1"/>
    <col min="15105" max="15105" width="14" style="116" bestFit="1" customWidth="1"/>
    <col min="15106" max="15106" width="11.85546875" style="116" bestFit="1" customWidth="1"/>
    <col min="15107" max="15107" width="14.85546875" style="116" bestFit="1" customWidth="1"/>
    <col min="15108" max="15108" width="9.7109375" style="116" customWidth="1"/>
    <col min="15109" max="15109" width="4.85546875" style="116" customWidth="1"/>
    <col min="15110" max="15354" width="9.140625" style="116"/>
    <col min="15355" max="15355" width="5.42578125" style="116" bestFit="1" customWidth="1"/>
    <col min="15356" max="15356" width="20.42578125" style="116" bestFit="1" customWidth="1"/>
    <col min="15357" max="15357" width="41.42578125" style="116" customWidth="1"/>
    <col min="15358" max="15358" width="15.28515625" style="116" bestFit="1" customWidth="1"/>
    <col min="15359" max="15359" width="16.7109375" style="116" bestFit="1" customWidth="1"/>
    <col min="15360" max="15360" width="11.28515625" style="116" bestFit="1" customWidth="1"/>
    <col min="15361" max="15361" width="14" style="116" bestFit="1" customWidth="1"/>
    <col min="15362" max="15362" width="11.85546875" style="116" bestFit="1" customWidth="1"/>
    <col min="15363" max="15363" width="14.85546875" style="116" bestFit="1" customWidth="1"/>
    <col min="15364" max="15364" width="9.7109375" style="116" customWidth="1"/>
    <col min="15365" max="15365" width="4.85546875" style="116" customWidth="1"/>
    <col min="15366" max="15610" width="9.140625" style="116"/>
    <col min="15611" max="15611" width="5.42578125" style="116" bestFit="1" customWidth="1"/>
    <col min="15612" max="15612" width="20.42578125" style="116" bestFit="1" customWidth="1"/>
    <col min="15613" max="15613" width="41.42578125" style="116" customWidth="1"/>
    <col min="15614" max="15614" width="15.28515625" style="116" bestFit="1" customWidth="1"/>
    <col min="15615" max="15615" width="16.7109375" style="116" bestFit="1" customWidth="1"/>
    <col min="15616" max="15616" width="11.28515625" style="116" bestFit="1" customWidth="1"/>
    <col min="15617" max="15617" width="14" style="116" bestFit="1" customWidth="1"/>
    <col min="15618" max="15618" width="11.85546875" style="116" bestFit="1" customWidth="1"/>
    <col min="15619" max="15619" width="14.85546875" style="116" bestFit="1" customWidth="1"/>
    <col min="15620" max="15620" width="9.7109375" style="116" customWidth="1"/>
    <col min="15621" max="15621" width="4.85546875" style="116" customWidth="1"/>
    <col min="15622" max="15866" width="9.140625" style="116"/>
    <col min="15867" max="15867" width="5.42578125" style="116" bestFit="1" customWidth="1"/>
    <col min="15868" max="15868" width="20.42578125" style="116" bestFit="1" customWidth="1"/>
    <col min="15869" max="15869" width="41.42578125" style="116" customWidth="1"/>
    <col min="15870" max="15870" width="15.28515625" style="116" bestFit="1" customWidth="1"/>
    <col min="15871" max="15871" width="16.7109375" style="116" bestFit="1" customWidth="1"/>
    <col min="15872" max="15872" width="11.28515625" style="116" bestFit="1" customWidth="1"/>
    <col min="15873" max="15873" width="14" style="116" bestFit="1" customWidth="1"/>
    <col min="15874" max="15874" width="11.85546875" style="116" bestFit="1" customWidth="1"/>
    <col min="15875" max="15875" width="14.85546875" style="116" bestFit="1" customWidth="1"/>
    <col min="15876" max="15876" width="9.7109375" style="116" customWidth="1"/>
    <col min="15877" max="15877" width="4.85546875" style="116" customWidth="1"/>
    <col min="15878" max="16122" width="9.140625" style="116"/>
    <col min="16123" max="16123" width="5.42578125" style="116" bestFit="1" customWidth="1"/>
    <col min="16124" max="16124" width="20.42578125" style="116" bestFit="1" customWidth="1"/>
    <col min="16125" max="16125" width="41.42578125" style="116" customWidth="1"/>
    <col min="16126" max="16126" width="15.28515625" style="116" bestFit="1" customWidth="1"/>
    <col min="16127" max="16127" width="16.7109375" style="116" bestFit="1" customWidth="1"/>
    <col min="16128" max="16128" width="11.28515625" style="116" bestFit="1" customWidth="1"/>
    <col min="16129" max="16129" width="14" style="116" bestFit="1" customWidth="1"/>
    <col min="16130" max="16130" width="11.85546875" style="116" bestFit="1" customWidth="1"/>
    <col min="16131" max="16131" width="14.85546875" style="116" bestFit="1" customWidth="1"/>
    <col min="16132" max="16132" width="9.7109375" style="116" customWidth="1"/>
    <col min="16133" max="16133" width="4.85546875" style="116" customWidth="1"/>
    <col min="16134" max="16384" width="9.140625" style="116"/>
  </cols>
  <sheetData>
    <row r="1" spans="1:15" x14ac:dyDescent="0.25">
      <c r="A1" s="216" t="s">
        <v>0</v>
      </c>
      <c r="B1" s="216"/>
      <c r="C1" s="216"/>
      <c r="D1" s="216"/>
      <c r="E1" s="216"/>
      <c r="F1" s="216"/>
      <c r="G1" s="216"/>
      <c r="H1" s="216"/>
    </row>
    <row r="2" spans="1:15" x14ac:dyDescent="0.25">
      <c r="A2" s="217" t="s">
        <v>1113</v>
      </c>
      <c r="B2" s="217"/>
      <c r="C2" s="217"/>
      <c r="D2" s="217"/>
      <c r="E2" s="217"/>
      <c r="F2" s="217"/>
      <c r="G2" s="217"/>
      <c r="H2" s="217"/>
      <c r="J2" s="188" t="s">
        <v>1172</v>
      </c>
      <c r="K2" s="188"/>
      <c r="L2" s="188"/>
      <c r="M2" s="188"/>
      <c r="N2" s="188"/>
    </row>
    <row r="3" spans="1:15" ht="15" customHeight="1" x14ac:dyDescent="0.25">
      <c r="A3" s="218" t="s">
        <v>1114</v>
      </c>
      <c r="B3" s="218"/>
      <c r="C3" s="218"/>
      <c r="D3" s="218"/>
      <c r="E3" s="218"/>
      <c r="F3" s="218"/>
      <c r="G3" s="218"/>
      <c r="H3" s="218"/>
    </row>
    <row r="4" spans="1:15" s="175" customFormat="1" ht="30" x14ac:dyDescent="0.2">
      <c r="A4" s="117" t="s">
        <v>1115</v>
      </c>
      <c r="B4" s="117" t="s">
        <v>1116</v>
      </c>
      <c r="C4" s="117" t="s">
        <v>1117</v>
      </c>
      <c r="D4" s="117" t="s">
        <v>1118</v>
      </c>
      <c r="E4" s="117" t="s">
        <v>6</v>
      </c>
      <c r="F4" s="117" t="s">
        <v>7</v>
      </c>
      <c r="G4" s="117" t="s">
        <v>8</v>
      </c>
      <c r="H4" s="118" t="s">
        <v>1052</v>
      </c>
      <c r="J4" s="181"/>
      <c r="K4" s="181"/>
      <c r="L4" s="181"/>
      <c r="M4" s="181"/>
      <c r="N4" s="181"/>
      <c r="O4" s="181"/>
    </row>
    <row r="5" spans="1:15" ht="26.25" x14ac:dyDescent="0.25">
      <c r="A5" s="119"/>
      <c r="B5" s="119"/>
      <c r="C5" s="120" t="s">
        <v>1119</v>
      </c>
      <c r="D5" s="119"/>
      <c r="E5" s="119"/>
      <c r="F5" s="121"/>
      <c r="G5" s="121"/>
      <c r="H5" s="122"/>
    </row>
    <row r="6" spans="1:15" ht="26.25" x14ac:dyDescent="0.25">
      <c r="A6" s="119">
        <v>1</v>
      </c>
      <c r="B6" s="119" t="s">
        <v>1120</v>
      </c>
      <c r="C6" s="123" t="s">
        <v>1121</v>
      </c>
      <c r="D6" s="119" t="s">
        <v>1122</v>
      </c>
      <c r="E6" s="124">
        <v>13585595.022</v>
      </c>
      <c r="F6" s="125">
        <v>12966.2466133</v>
      </c>
      <c r="G6" s="126">
        <f>F6/$F$19*100</f>
        <v>97.767290000000017</v>
      </c>
      <c r="H6" s="122"/>
      <c r="I6" s="127"/>
      <c r="K6" s="182"/>
    </row>
    <row r="7" spans="1:15" x14ac:dyDescent="0.25">
      <c r="A7" s="128"/>
      <c r="B7" s="122"/>
      <c r="C7" s="122"/>
      <c r="D7" s="122"/>
      <c r="E7" s="122"/>
      <c r="F7" s="122"/>
      <c r="G7" s="122"/>
      <c r="H7" s="129"/>
    </row>
    <row r="8" spans="1:15" ht="25.5" x14ac:dyDescent="0.25">
      <c r="A8" s="130"/>
      <c r="B8" s="130"/>
      <c r="C8" s="131" t="s">
        <v>1123</v>
      </c>
      <c r="D8" s="131"/>
      <c r="E8" s="132"/>
      <c r="F8" s="133">
        <f>F6</f>
        <v>12966.2466133</v>
      </c>
      <c r="G8" s="134">
        <f>G6</f>
        <v>97.767290000000017</v>
      </c>
      <c r="H8" s="135"/>
    </row>
    <row r="9" spans="1:15" x14ac:dyDescent="0.25">
      <c r="A9" s="130"/>
      <c r="B9" s="130"/>
      <c r="C9" s="130"/>
      <c r="D9" s="130"/>
      <c r="E9" s="130"/>
      <c r="F9" s="136"/>
      <c r="G9" s="130"/>
      <c r="H9" s="122"/>
    </row>
    <row r="10" spans="1:15" x14ac:dyDescent="0.25">
      <c r="A10" s="119"/>
      <c r="B10" s="119"/>
      <c r="C10" s="137" t="s">
        <v>1124</v>
      </c>
      <c r="D10" s="137"/>
      <c r="E10" s="137"/>
      <c r="F10" s="138"/>
      <c r="G10" s="130"/>
      <c r="H10" s="122"/>
    </row>
    <row r="11" spans="1:15" x14ac:dyDescent="0.25">
      <c r="A11" s="119"/>
      <c r="B11" s="119"/>
      <c r="C11" s="139" t="s">
        <v>1125</v>
      </c>
      <c r="D11" s="137"/>
      <c r="E11" s="137"/>
      <c r="F11" s="138"/>
      <c r="G11" s="130"/>
      <c r="H11" s="122"/>
    </row>
    <row r="12" spans="1:15" x14ac:dyDescent="0.25">
      <c r="A12" s="130"/>
      <c r="B12" s="130"/>
      <c r="C12" s="140" t="s">
        <v>129</v>
      </c>
      <c r="D12" s="137"/>
      <c r="E12" s="137"/>
      <c r="F12" s="141">
        <v>303.59011208200002</v>
      </c>
      <c r="G12" s="141">
        <f>F12/$F$19*100</f>
        <v>2.2891113684825508</v>
      </c>
      <c r="H12" s="142">
        <v>3.62</v>
      </c>
    </row>
    <row r="13" spans="1:15" x14ac:dyDescent="0.25">
      <c r="A13" s="130"/>
      <c r="B13" s="130"/>
      <c r="C13" s="140" t="s">
        <v>130</v>
      </c>
      <c r="D13" s="137"/>
      <c r="E13" s="137"/>
      <c r="F13" s="141">
        <v>107.34248452</v>
      </c>
      <c r="G13" s="141">
        <f>F13/$F$19*100</f>
        <v>0.80937715642571817</v>
      </c>
      <c r="H13" s="142">
        <v>3.71</v>
      </c>
      <c r="J13" s="183" t="s">
        <v>1203</v>
      </c>
    </row>
    <row r="14" spans="1:15" x14ac:dyDescent="0.25">
      <c r="A14" s="130"/>
      <c r="B14" s="130"/>
      <c r="C14" s="140"/>
      <c r="D14" s="137"/>
      <c r="E14" s="137"/>
      <c r="F14" s="141"/>
      <c r="G14" s="126"/>
      <c r="H14" s="122"/>
    </row>
    <row r="15" spans="1:15" x14ac:dyDescent="0.25">
      <c r="A15" s="130"/>
      <c r="B15" s="130"/>
      <c r="C15" s="143" t="s">
        <v>131</v>
      </c>
      <c r="D15" s="130"/>
      <c r="E15" s="130"/>
      <c r="F15" s="144">
        <f>SUM(F12:F13)</f>
        <v>410.93259660199999</v>
      </c>
      <c r="G15" s="134">
        <f>SUM(G12:G14)</f>
        <v>3.098488524908269</v>
      </c>
      <c r="H15" s="122"/>
    </row>
    <row r="16" spans="1:15" x14ac:dyDescent="0.25">
      <c r="A16" s="130"/>
      <c r="B16" s="130"/>
      <c r="C16" s="130"/>
      <c r="D16" s="130"/>
      <c r="E16" s="130"/>
      <c r="F16" s="136"/>
      <c r="G16" s="130"/>
      <c r="H16" s="122"/>
    </row>
    <row r="17" spans="1:9" x14ac:dyDescent="0.25">
      <c r="A17" s="130"/>
      <c r="B17" s="130"/>
      <c r="C17" s="140" t="s">
        <v>1126</v>
      </c>
      <c r="D17" s="137"/>
      <c r="E17" s="137"/>
      <c r="F17" s="141">
        <f>F19-F15-F8</f>
        <v>-114.82263512121426</v>
      </c>
      <c r="G17" s="141">
        <f>F17/$F$19*100</f>
        <v>-0.86577852490828666</v>
      </c>
      <c r="H17" s="145"/>
    </row>
    <row r="18" spans="1:9" x14ac:dyDescent="0.25">
      <c r="A18" s="130"/>
      <c r="B18" s="130"/>
      <c r="C18" s="130"/>
      <c r="D18" s="130"/>
      <c r="E18" s="130"/>
      <c r="F18" s="136"/>
      <c r="G18" s="130"/>
      <c r="H18" s="122"/>
    </row>
    <row r="19" spans="1:9" x14ac:dyDescent="0.25">
      <c r="A19" s="130"/>
      <c r="B19" s="130"/>
      <c r="C19" s="143" t="s">
        <v>138</v>
      </c>
      <c r="D19" s="130"/>
      <c r="E19" s="130"/>
      <c r="F19" s="144">
        <v>13262.356574780786</v>
      </c>
      <c r="G19" s="146">
        <f>G17+G15+G8</f>
        <v>100</v>
      </c>
      <c r="H19" s="147"/>
      <c r="I19" s="127"/>
    </row>
    <row r="20" spans="1:9" x14ac:dyDescent="0.25">
      <c r="F20" s="148"/>
      <c r="H20" s="149"/>
    </row>
    <row r="21" spans="1:9" x14ac:dyDescent="0.25">
      <c r="B21" s="150" t="s">
        <v>140</v>
      </c>
      <c r="C21" s="151"/>
      <c r="D21" s="151"/>
      <c r="E21" s="151"/>
      <c r="F21" s="152"/>
      <c r="G21" s="151"/>
    </row>
    <row r="22" spans="1:9" x14ac:dyDescent="0.25">
      <c r="B22" s="151" t="s">
        <v>1127</v>
      </c>
      <c r="C22" s="151"/>
      <c r="D22" s="151"/>
      <c r="E22" s="151"/>
      <c r="F22" s="153"/>
      <c r="G22" s="153"/>
    </row>
    <row r="23" spans="1:9" x14ac:dyDescent="0.25">
      <c r="B23" s="214" t="s">
        <v>1128</v>
      </c>
      <c r="C23" s="214"/>
      <c r="D23" s="151"/>
      <c r="E23" s="151"/>
      <c r="F23" s="154"/>
      <c r="G23" s="154"/>
    </row>
    <row r="24" spans="1:9" x14ac:dyDescent="0.25">
      <c r="B24" s="219" t="s">
        <v>144</v>
      </c>
      <c r="C24" s="220"/>
      <c r="D24" s="221"/>
      <c r="E24" s="155"/>
      <c r="F24" s="151" t="s">
        <v>1129</v>
      </c>
      <c r="G24" s="151"/>
    </row>
    <row r="25" spans="1:9" x14ac:dyDescent="0.25">
      <c r="B25" s="156"/>
      <c r="C25" s="157" t="s">
        <v>145</v>
      </c>
      <c r="D25" s="157" t="s">
        <v>146</v>
      </c>
      <c r="E25" s="158"/>
      <c r="F25" s="158"/>
      <c r="G25" s="151"/>
    </row>
    <row r="26" spans="1:9" x14ac:dyDescent="0.25">
      <c r="B26" s="159" t="s">
        <v>1130</v>
      </c>
      <c r="C26" s="160">
        <v>44620</v>
      </c>
      <c r="D26" s="160">
        <v>44651</v>
      </c>
      <c r="E26" s="161"/>
      <c r="F26" s="161"/>
      <c r="G26" s="162"/>
    </row>
    <row r="27" spans="1:9" x14ac:dyDescent="0.25">
      <c r="B27" s="163" t="s">
        <v>150</v>
      </c>
      <c r="C27" s="164">
        <v>25.6631</v>
      </c>
      <c r="D27" s="164">
        <v>25.8445</v>
      </c>
      <c r="E27" s="165"/>
      <c r="F27" s="162"/>
      <c r="G27" s="162"/>
    </row>
    <row r="28" spans="1:9" ht="25.5" x14ac:dyDescent="0.25">
      <c r="B28" s="166" t="s">
        <v>1131</v>
      </c>
      <c r="C28" s="164">
        <v>22.827500000000001</v>
      </c>
      <c r="D28" s="164">
        <v>22.988700000000001</v>
      </c>
      <c r="E28" s="165"/>
      <c r="F28" s="162"/>
      <c r="G28" s="162"/>
    </row>
    <row r="29" spans="1:9" x14ac:dyDescent="0.25">
      <c r="B29" s="163" t="s">
        <v>151</v>
      </c>
      <c r="C29" s="164">
        <v>24.252300000000002</v>
      </c>
      <c r="D29" s="164">
        <v>24.3965</v>
      </c>
      <c r="E29" s="165"/>
      <c r="F29" s="162"/>
      <c r="G29" s="162"/>
    </row>
    <row r="30" spans="1:9" ht="25.5" x14ac:dyDescent="0.25">
      <c r="B30" s="167" t="s">
        <v>1132</v>
      </c>
      <c r="C30" s="164">
        <v>20.7822</v>
      </c>
      <c r="D30" s="164">
        <v>20.905799999999999</v>
      </c>
      <c r="E30" s="165"/>
      <c r="F30" s="162"/>
      <c r="G30" s="162"/>
    </row>
    <row r="31" spans="1:9" ht="15" customHeight="1" x14ac:dyDescent="0.25">
      <c r="B31" s="168"/>
      <c r="C31" s="169"/>
      <c r="D31" s="169"/>
      <c r="E31" s="169"/>
      <c r="F31" s="169"/>
      <c r="G31" s="151"/>
    </row>
    <row r="32" spans="1:9" x14ac:dyDescent="0.25">
      <c r="B32" s="222" t="s">
        <v>1133</v>
      </c>
      <c r="C32" s="222"/>
      <c r="D32" s="222"/>
      <c r="E32" s="170"/>
      <c r="F32" s="170"/>
      <c r="G32" s="162"/>
    </row>
    <row r="33" spans="2:7" x14ac:dyDescent="0.25">
      <c r="B33" s="214" t="s">
        <v>1134</v>
      </c>
      <c r="C33" s="214"/>
      <c r="D33" s="214"/>
      <c r="E33" s="151"/>
      <c r="F33" s="151"/>
      <c r="G33" s="151"/>
    </row>
    <row r="34" spans="2:7" ht="15" customHeight="1" x14ac:dyDescent="0.25">
      <c r="B34" s="171" t="s">
        <v>1135</v>
      </c>
      <c r="C34" s="171"/>
      <c r="D34" s="171"/>
      <c r="E34" s="172"/>
      <c r="F34" s="172"/>
      <c r="G34" s="151"/>
    </row>
    <row r="35" spans="2:7" x14ac:dyDescent="0.25">
      <c r="B35" s="215" t="s">
        <v>1136</v>
      </c>
      <c r="C35" s="215"/>
      <c r="D35" s="215"/>
      <c r="E35" s="162"/>
      <c r="F35" s="162"/>
      <c r="G35" s="162"/>
    </row>
  </sheetData>
  <mergeCells count="9">
    <mergeCell ref="J2:N2"/>
    <mergeCell ref="B33:D33"/>
    <mergeCell ref="B35:D35"/>
    <mergeCell ref="A1:H1"/>
    <mergeCell ref="A2:H2"/>
    <mergeCell ref="A3:H3"/>
    <mergeCell ref="B23:C23"/>
    <mergeCell ref="B24:D24"/>
    <mergeCell ref="B32:D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2022-04-01T07:32:01Z</dcterms:created>
  <dcterms:modified xsi:type="dcterms:W3CDTF">2022-04-10T02:49:06Z</dcterms:modified>
</cp:coreProperties>
</file>