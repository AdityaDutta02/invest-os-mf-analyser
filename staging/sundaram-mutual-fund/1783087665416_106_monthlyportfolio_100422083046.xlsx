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L:\SAMCWEB_V2.0\uploaddir\MonthlyPortfolio\"/>
    </mc:Choice>
  </mc:AlternateContent>
  <xr:revisionPtr revIDLastSave="0" documentId="13_ncr:1_{CE9DABD3-6841-40F1-AFA0-7ED41F5BFAF0}" xr6:coauthVersionLast="47" xr6:coauthVersionMax="47" xr10:uidLastSave="{00000000-0000-0000-0000-000000000000}"/>
  <bookViews>
    <workbookView xWindow="-120" yWindow="-120" windowWidth="29040" windowHeight="15720" tabRatio="807" xr2:uid="{00000000-000D-0000-FFFF-FFFF00000000}"/>
  </bookViews>
  <sheets>
    <sheet name="Index" sheetId="51" r:id="rId1"/>
    <sheet name="CAPEXG" sheetId="1" r:id="rId2"/>
    <sheet name="MICAP14" sheetId="2" r:id="rId3"/>
    <sheet name="MICAP15" sheetId="3" r:id="rId4"/>
    <sheet name="MICAP16" sheetId="4" r:id="rId5"/>
    <sheet name="MICAP17" sheetId="5" r:id="rId6"/>
    <sheet name="MIDCAP" sheetId="6" r:id="rId7"/>
    <sheet name="MULTI1" sheetId="7" r:id="rId8"/>
    <sheet name="MULTI2" sheetId="8" r:id="rId9"/>
    <sheet name="MULTIP" sheetId="9" r:id="rId10"/>
    <sheet name="SESCAP1" sheetId="15" r:id="rId11"/>
    <sheet name="SESCAP2" sheetId="16" r:id="rId12"/>
    <sheet name="SESCAP3" sheetId="17" r:id="rId13"/>
    <sheet name="SESCAP4" sheetId="18" r:id="rId14"/>
    <sheet name="SESCAP5" sheetId="19" r:id="rId15"/>
    <sheet name="SESCAP6" sheetId="20" r:id="rId16"/>
    <sheet name="SESCAP7" sheetId="21" r:id="rId17"/>
    <sheet name="SLTADV3" sheetId="23" r:id="rId18"/>
    <sheet name="SLTADV4" sheetId="24" r:id="rId19"/>
    <sheet name="SLTAX1" sheetId="25" r:id="rId20"/>
    <sheet name="SLTAX2" sheetId="26" r:id="rId21"/>
    <sheet name="SLTAX3" sheetId="27" r:id="rId22"/>
    <sheet name="SLTAX4" sheetId="28" r:id="rId23"/>
    <sheet name="SLTAX5" sheetId="29" r:id="rId24"/>
    <sheet name="SLTAX6" sheetId="30" r:id="rId25"/>
    <sheet name="SMILE" sheetId="31" r:id="rId26"/>
    <sheet name="SPAHF" sheetId="53" r:id="rId27"/>
    <sheet name="SPARF" sheetId="46" r:id="rId28"/>
    <sheet name="SPBAF" sheetId="54" r:id="rId29"/>
    <sheet name="SPDYF" sheetId="35" r:id="rId30"/>
    <sheet name="SPESF" sheetId="49" r:id="rId31"/>
    <sheet name="SPFOCUS" sheetId="37" r:id="rId32"/>
    <sheet name="SPMUCF" sheetId="48" r:id="rId33"/>
    <sheet name="SPSN100" sheetId="44" r:id="rId34"/>
    <sheet name="SPTAX" sheetId="41" r:id="rId35"/>
    <sheet name="SRURAL" sheetId="42" r:id="rId36"/>
    <sheet name="SSFUND" sheetId="43" r:id="rId37"/>
    <sheet name="STAX" sheetId="45" r:id="rId38"/>
    <sheet name="SUNBCF" sheetId="47" r:id="rId39"/>
    <sheet name="SUNFOP" sheetId="50" r:id="rId40"/>
    <sheet name="GLOB" sheetId="55" r:id="rId41"/>
  </sheets>
  <definedNames>
    <definedName name="_xlnm._FilterDatabase" localSheetId="1" hidden="1">CAPEXG!$A$7:$H$109</definedName>
    <definedName name="_xlnm._FilterDatabase" localSheetId="0" hidden="1">Index!$B$1:$C$41</definedName>
    <definedName name="_xlnm._FilterDatabase" localSheetId="3" hidden="1">MICAP15!#REF!</definedName>
    <definedName name="_xlnm._FilterDatabase" localSheetId="4" hidden="1">MICAP16!#REF!</definedName>
    <definedName name="_xlnm._FilterDatabase" localSheetId="5" hidden="1">MICAP17!#REF!</definedName>
    <definedName name="_xlnm._FilterDatabase" localSheetId="6" hidden="1">MIDCAP!#REF!</definedName>
    <definedName name="_xlnm._FilterDatabase" localSheetId="7" hidden="1">MULTI1!#REF!</definedName>
    <definedName name="_xlnm._FilterDatabase" localSheetId="8" hidden="1">MULTI2!#REF!</definedName>
    <definedName name="_xlnm._FilterDatabase" localSheetId="9" hidden="1">MULTIP!#REF!</definedName>
    <definedName name="_xlnm._FilterDatabase" localSheetId="10" hidden="1">SESCAP1!#REF!</definedName>
    <definedName name="_xlnm._FilterDatabase" localSheetId="11" hidden="1">SESCAP2!#REF!</definedName>
    <definedName name="_xlnm._FilterDatabase" localSheetId="12" hidden="1">SESCAP3!#REF!</definedName>
    <definedName name="_xlnm._FilterDatabase" localSheetId="13" hidden="1">SESCAP4!#REF!</definedName>
    <definedName name="_xlnm._FilterDatabase" localSheetId="14" hidden="1">SESCAP5!#REF!</definedName>
    <definedName name="_xlnm._FilterDatabase" localSheetId="15" hidden="1">SESCAP6!#REF!</definedName>
    <definedName name="_xlnm._FilterDatabase" localSheetId="16" hidden="1">SESCAP7!#REF!</definedName>
    <definedName name="_xlnm._FilterDatabase" localSheetId="17" hidden="1">SLTADV3!#REF!</definedName>
    <definedName name="_xlnm._FilterDatabase" localSheetId="18" hidden="1">SLTADV4!#REF!</definedName>
    <definedName name="_xlnm._FilterDatabase" localSheetId="19" hidden="1">SLTAX1!#REF!</definedName>
    <definedName name="_xlnm._FilterDatabase" localSheetId="20" hidden="1">SLTAX2!#REF!</definedName>
    <definedName name="_xlnm._FilterDatabase" localSheetId="21" hidden="1">SLTAX3!#REF!</definedName>
    <definedName name="_xlnm._FilterDatabase" localSheetId="22" hidden="1">SLTAX4!#REF!</definedName>
    <definedName name="_xlnm._FilterDatabase" localSheetId="23" hidden="1">SLTAX5!#REF!</definedName>
    <definedName name="_xlnm._FilterDatabase" localSheetId="24" hidden="1">SLTAX6!#REF!</definedName>
    <definedName name="_xlnm._FilterDatabase" localSheetId="25" hidden="1">SMILE!#REF!</definedName>
    <definedName name="_xlnm._FilterDatabase" localSheetId="26" hidden="1">SPAHF!$A$5:$J$204</definedName>
    <definedName name="_xlnm._FilterDatabase" localSheetId="27" hidden="1">SPARF!#REF!</definedName>
    <definedName name="_xlnm._FilterDatabase" localSheetId="28" hidden="1">SPBAF!$A$1:$H$271</definedName>
    <definedName name="_xlnm._FilterDatabase" localSheetId="29" hidden="1">SPDYF!#REF!</definedName>
    <definedName name="_xlnm._FilterDatabase" localSheetId="30" hidden="1">SPESF!#REF!</definedName>
    <definedName name="_xlnm._FilterDatabase" localSheetId="31" hidden="1">SPFOCUS!#REF!</definedName>
    <definedName name="_xlnm._FilterDatabase" localSheetId="32" hidden="1">SPMUCF!#REF!</definedName>
    <definedName name="_xlnm._FilterDatabase" localSheetId="33" hidden="1">SPSN100!#REF!</definedName>
    <definedName name="_xlnm._FilterDatabase" localSheetId="34" hidden="1">SPTAX!$A$1:$H$135</definedName>
    <definedName name="_xlnm._FilterDatabase" localSheetId="35" hidden="1">SRURAL!#REF!</definedName>
    <definedName name="_xlnm._FilterDatabase" localSheetId="36" hidden="1">SSFUND!$A$1:$H$125</definedName>
    <definedName name="_xlnm._FilterDatabase" localSheetId="37" hidden="1">STAX!#REF!</definedName>
    <definedName name="_xlnm._FilterDatabase" localSheetId="38" hidden="1">SUNBCF!#REF!</definedName>
    <definedName name="_xlnm._FilterDatabase" localSheetId="39" hidden="1">SUNFOP!$A$1:$H$98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3" i="55" l="1"/>
  <c r="F21" i="55"/>
  <c r="G21" i="55" s="1"/>
  <c r="F19" i="55"/>
  <c r="G17" i="55"/>
  <c r="G16" i="55"/>
  <c r="G19" i="55" s="1"/>
  <c r="F8" i="55"/>
  <c r="G6" i="55"/>
  <c r="G8" i="55" s="1"/>
  <c r="G23" i="55" l="1"/>
</calcChain>
</file>

<file path=xl/sharedStrings.xml><?xml version="1.0" encoding="utf-8"?>
<sst xmlns="http://schemas.openxmlformats.org/spreadsheetml/2006/main" count="12819" uniqueCount="1314">
  <si>
    <t>SUNDARAM MUTUAL FUND</t>
  </si>
  <si>
    <t>Sundaram Infrastructure Advantage Fund</t>
  </si>
  <si>
    <t>SL No</t>
  </si>
  <si>
    <t>ISIN Code</t>
  </si>
  <si>
    <t>Name of the instrument</t>
  </si>
  <si>
    <t>Rating / 
Industry</t>
  </si>
  <si>
    <t>Quantity</t>
  </si>
  <si>
    <t>Mkt Value
Rs. in Lacs</t>
  </si>
  <si>
    <t>% of Net Asset</t>
  </si>
  <si>
    <t>A) Equity &amp; Equity Related</t>
  </si>
  <si>
    <t>(a) Listed / awaiting listing on Stock Exchange</t>
  </si>
  <si>
    <t>INE018A01030</t>
  </si>
  <si>
    <t>Larsen &amp; Toubro Ltd</t>
  </si>
  <si>
    <t>Construction Project</t>
  </si>
  <si>
    <t>INE002A01018</t>
  </si>
  <si>
    <t>Reliance Industries Ltd</t>
  </si>
  <si>
    <t>Petroleum Products</t>
  </si>
  <si>
    <t>INE536A01023</t>
  </si>
  <si>
    <t>Grindwell Norton Ltd</t>
  </si>
  <si>
    <t>Industrial Products</t>
  </si>
  <si>
    <t>INE397D01024</t>
  </si>
  <si>
    <t>Bharti Airtel Ltd</t>
  </si>
  <si>
    <t>Telecom - Services</t>
  </si>
  <si>
    <t>INE090A01021</t>
  </si>
  <si>
    <t>ICICI Bank Ltd</t>
  </si>
  <si>
    <t>Banks</t>
  </si>
  <si>
    <t>INE331A01037</t>
  </si>
  <si>
    <t>The Ramco Cements Ltd</t>
  </si>
  <si>
    <t>INE481G01011</t>
  </si>
  <si>
    <t>Ultratech Cement Ltd</t>
  </si>
  <si>
    <t>INE284A01012</t>
  </si>
  <si>
    <t>ESAB India Ltd</t>
  </si>
  <si>
    <t>INE245A01021</t>
  </si>
  <si>
    <t>Tata Power Company Ltd</t>
  </si>
  <si>
    <t>Power</t>
  </si>
  <si>
    <t>INE455K01017</t>
  </si>
  <si>
    <t>Polycab India Ltd</t>
  </si>
  <si>
    <t>INE823G01014</t>
  </si>
  <si>
    <t>JK Cement Ltd</t>
  </si>
  <si>
    <t>INE029A01011</t>
  </si>
  <si>
    <t>Bharat Petroleum Corporation Ltd</t>
  </si>
  <si>
    <t>INE999A01015</t>
  </si>
  <si>
    <t>KSB Ltd</t>
  </si>
  <si>
    <t>INE671A01010</t>
  </si>
  <si>
    <t>Honeywell Automation India Ltd</t>
  </si>
  <si>
    <t>Industrial Capital Goods</t>
  </si>
  <si>
    <t>INE766P01016</t>
  </si>
  <si>
    <t>Mahindra Logistics Ltd</t>
  </si>
  <si>
    <t>Transportation</t>
  </si>
  <si>
    <t>INE242A01010</t>
  </si>
  <si>
    <t>Indian Oil Corporation Ltd</t>
  </si>
  <si>
    <t>INE264T01014</t>
  </si>
  <si>
    <t>Capacite Infraprojects Ltd</t>
  </si>
  <si>
    <t>Construction</t>
  </si>
  <si>
    <t>INE541A01023</t>
  </si>
  <si>
    <t>GMM Pfaudler Ltd</t>
  </si>
  <si>
    <t>INE868B01028</t>
  </si>
  <si>
    <t>NCC Ltd</t>
  </si>
  <si>
    <t>INE114A01011</t>
  </si>
  <si>
    <t>Steel Authority of India Ltd</t>
  </si>
  <si>
    <t>Ferrous Metals</t>
  </si>
  <si>
    <t>INE742F01042</t>
  </si>
  <si>
    <t>Adani Ports and Special Economic Zone Ltd</t>
  </si>
  <si>
    <t>INE213A01029</t>
  </si>
  <si>
    <t>Oil &amp; Natural Gas Corporation Ltd</t>
  </si>
  <si>
    <t>Oil</t>
  </si>
  <si>
    <t>INE702C01027</t>
  </si>
  <si>
    <t>APL Apollo Tubes Ltd</t>
  </si>
  <si>
    <t>INE371P01015</t>
  </si>
  <si>
    <t>Amber Enterprises India Ltd</t>
  </si>
  <si>
    <t>Consumer Durables</t>
  </si>
  <si>
    <t>INE129A01019</t>
  </si>
  <si>
    <t>GAIL (India) Ltd</t>
  </si>
  <si>
    <t>Gas</t>
  </si>
  <si>
    <t>INE08ZM01014</t>
  </si>
  <si>
    <t>Green Panel Industries Ltd</t>
  </si>
  <si>
    <t>INE208A01029</t>
  </si>
  <si>
    <t>Ashok Leyland Ltd</t>
  </si>
  <si>
    <t>Auto</t>
  </si>
  <si>
    <t>INE896L01010</t>
  </si>
  <si>
    <t>Indostar Capital Finance Ltd</t>
  </si>
  <si>
    <t>Finance</t>
  </si>
  <si>
    <t>INE203G01027</t>
  </si>
  <si>
    <t>Indraprastha Gas Ltd</t>
  </si>
  <si>
    <t>INE791I01019</t>
  </si>
  <si>
    <t>Brigade Enterprises Ltd</t>
  </si>
  <si>
    <t>INE246F01010</t>
  </si>
  <si>
    <t>Gujarat State Petronet Ltd</t>
  </si>
  <si>
    <t>INE811K01011</t>
  </si>
  <si>
    <t>Prestige Estates Projects Ltd</t>
  </si>
  <si>
    <t>INE513A01014</t>
  </si>
  <si>
    <t>Schaeffler India Ltd</t>
  </si>
  <si>
    <t>INE217L01019</t>
  </si>
  <si>
    <t>Shriram Properties Ltd</t>
  </si>
  <si>
    <t>INE551A01022</t>
  </si>
  <si>
    <t>Engineering Services</t>
  </si>
  <si>
    <t>#</t>
  </si>
  <si>
    <t>Sub Total</t>
  </si>
  <si>
    <t/>
  </si>
  <si>
    <t>(b) Overseas Security</t>
  </si>
  <si>
    <t>(c) Privately Placed / Unlisted</t>
  </si>
  <si>
    <t>(d) Preference / Right Shares</t>
  </si>
  <si>
    <t>(e) Warrants</t>
  </si>
  <si>
    <t>f) Derivative</t>
  </si>
  <si>
    <t>Total for Equity &amp; Equity Related</t>
  </si>
  <si>
    <t>B) Debt Instruments</t>
  </si>
  <si>
    <t>(b) Privately Placed / Unlisted</t>
  </si>
  <si>
    <t>(c) Govt Security</t>
  </si>
  <si>
    <t>(d) Securitized Debt Instruments</t>
  </si>
  <si>
    <t>Total for Debt Instruments</t>
  </si>
  <si>
    <t>C) Money Market Instruments</t>
  </si>
  <si>
    <t>(a) Certificate of Deposits</t>
  </si>
  <si>
    <t>(b) Commercial Papers</t>
  </si>
  <si>
    <t>(c) Treasury Bills</t>
  </si>
  <si>
    <t>(d) ReverseRepo / TREPS</t>
  </si>
  <si>
    <t>TREPS</t>
  </si>
  <si>
    <t>Reverse Repo</t>
  </si>
  <si>
    <t>Total for Money Market Instruments</t>
  </si>
  <si>
    <t>D) Mutual Fund Units</t>
  </si>
  <si>
    <t>(a) Investment in Mutual Fund Units</t>
  </si>
  <si>
    <t>E) Others</t>
  </si>
  <si>
    <t>(a) Deposits with Commercial Banks</t>
  </si>
  <si>
    <t>(b) Share Application Money pending Allotment</t>
  </si>
  <si>
    <t>Cash and Other Net Current Assets</t>
  </si>
  <si>
    <t>Grand Total</t>
  </si>
  <si>
    <t># percentage to NAV of security is less than 0.01%</t>
  </si>
  <si>
    <t>Notes</t>
  </si>
  <si>
    <t>a) Total securities classified as below investment grade or default provided for and its percentage to NAV</t>
  </si>
  <si>
    <t>Nil</t>
  </si>
  <si>
    <t>b) Total value and percentage of illiquid equity shares</t>
  </si>
  <si>
    <t>c) NAV  per  unit (Rupees per unit)</t>
  </si>
  <si>
    <t>At the 
beginning</t>
  </si>
  <si>
    <t>At the end</t>
  </si>
  <si>
    <t>Option</t>
  </si>
  <si>
    <t>30/11/2021</t>
  </si>
  <si>
    <t>31/12/2021</t>
  </si>
  <si>
    <t>Direct Plan - Growth</t>
  </si>
  <si>
    <t>Regular Plan - Growth</t>
  </si>
  <si>
    <t>e) Total outstanding exposure in derivative instruments at the end of the period</t>
  </si>
  <si>
    <t>f) Total investments in foreign securities /ADR'S/GDR'S at the end of the period</t>
  </si>
  <si>
    <t>g) Portfolio Turnover Ratio</t>
  </si>
  <si>
    <t>h) Repo in corporate debt</t>
  </si>
  <si>
    <t>Sundaram Select Micro Cap Series XIV</t>
  </si>
  <si>
    <t>INE067A01029</t>
  </si>
  <si>
    <t>CG Power and Industrial Solutions Ltd</t>
  </si>
  <si>
    <t>INE262H01013</t>
  </si>
  <si>
    <t>Persistent Systems Ltd</t>
  </si>
  <si>
    <t>Software</t>
  </si>
  <si>
    <t>INE348B01021</t>
  </si>
  <si>
    <t>Century Plyboards (India) Ltd</t>
  </si>
  <si>
    <t>INE988K01017</t>
  </si>
  <si>
    <t>Equitas Holdings Ltd</t>
  </si>
  <si>
    <t>INE732I01013</t>
  </si>
  <si>
    <t>Angel One Ltd</t>
  </si>
  <si>
    <t>INE00WC01027</t>
  </si>
  <si>
    <t>Affle (India) Ltd</t>
  </si>
  <si>
    <t>INE227C01017</t>
  </si>
  <si>
    <t>MM Forgings Ltd</t>
  </si>
  <si>
    <t>INE806T01012</t>
  </si>
  <si>
    <t>Sapphire Foods India Ltd</t>
  </si>
  <si>
    <t>INE136B01020</t>
  </si>
  <si>
    <t>Cyient Ltd</t>
  </si>
  <si>
    <t>INE386C01029</t>
  </si>
  <si>
    <t>Astra Microwave Products Ltd</t>
  </si>
  <si>
    <t>INE878B01027</t>
  </si>
  <si>
    <t>KEI Industries Ltd</t>
  </si>
  <si>
    <t>INE312H01016</t>
  </si>
  <si>
    <t>INOX Leisure Ltd</t>
  </si>
  <si>
    <t>INE043D01016</t>
  </si>
  <si>
    <t>IDFC Ltd</t>
  </si>
  <si>
    <t>INE00IN01015</t>
  </si>
  <si>
    <t>Stove Kraft Ltd</t>
  </si>
  <si>
    <t>INE075I01017</t>
  </si>
  <si>
    <t>Healthcare Global Enterprises Ltd</t>
  </si>
  <si>
    <t>Healthcare Services</t>
  </si>
  <si>
    <t>INE094A01015</t>
  </si>
  <si>
    <t>Hindustan Petroleum Corporation Ltd</t>
  </si>
  <si>
    <t>INE578A01017</t>
  </si>
  <si>
    <t>HeidelbergCement India Ltd</t>
  </si>
  <si>
    <t>INE442H01029</t>
  </si>
  <si>
    <t>Ashoka Buildcon Ltd</t>
  </si>
  <si>
    <t>INE615P01015</t>
  </si>
  <si>
    <t>Quess Corp Ltd</t>
  </si>
  <si>
    <t>INE02A801020</t>
  </si>
  <si>
    <t>Rossari Biotech Ltd</t>
  </si>
  <si>
    <t>Chemicals</t>
  </si>
  <si>
    <t>INE325A01013</t>
  </si>
  <si>
    <t>Timken India Ltd</t>
  </si>
  <si>
    <t>INE285J01028</t>
  </si>
  <si>
    <t>SIS Ltd</t>
  </si>
  <si>
    <t>Commercial Services</t>
  </si>
  <si>
    <t>INE873D01024</t>
  </si>
  <si>
    <t>Indoco Remedies Ltd</t>
  </si>
  <si>
    <t>Pharmaceuticals</t>
  </si>
  <si>
    <t>INE211B01039</t>
  </si>
  <si>
    <t>The Phoenix Mills Ltd</t>
  </si>
  <si>
    <t>INE477A01020</t>
  </si>
  <si>
    <t>Can Fin Homes Ltd</t>
  </si>
  <si>
    <t>INE429E01023</t>
  </si>
  <si>
    <t>Safari Industries (India) Ltd</t>
  </si>
  <si>
    <t>INE978A01027</t>
  </si>
  <si>
    <t>Heritage Foods Ltd</t>
  </si>
  <si>
    <t>Consumer Non Durables</t>
  </si>
  <si>
    <t>INE481N01025</t>
  </si>
  <si>
    <t>Home First Finance Company Ltd</t>
  </si>
  <si>
    <t>INE274F01020</t>
  </si>
  <si>
    <t>Westlife Development Ltd</t>
  </si>
  <si>
    <t>INE731H01025</t>
  </si>
  <si>
    <t>ACTION CONSTRUCTION EQUIPMENTS LTD</t>
  </si>
  <si>
    <t>INE947Q01028</t>
  </si>
  <si>
    <t>Laurus Labs Ltd</t>
  </si>
  <si>
    <t>INE126A01031</t>
  </si>
  <si>
    <t>EID Parry India Ltd</t>
  </si>
  <si>
    <t>Fertilisers</t>
  </si>
  <si>
    <t>INE782A01015</t>
  </si>
  <si>
    <t>Johnson Controls-Hitachi AirConditioning India Ltd</t>
  </si>
  <si>
    <t>INE745G01035</t>
  </si>
  <si>
    <t>Multi Commodity Exchange of India Ltd</t>
  </si>
  <si>
    <t>INE572A01028</t>
  </si>
  <si>
    <t>JB Chemicals &amp; Pharmaceuticals Ltd</t>
  </si>
  <si>
    <t>INE03QK01018</t>
  </si>
  <si>
    <t>Suven Pharmaceuticals Ltd</t>
  </si>
  <si>
    <t>INE834I01025</t>
  </si>
  <si>
    <t>Khadim India Ltd</t>
  </si>
  <si>
    <t>INE877F01012</t>
  </si>
  <si>
    <t>PTC India Ltd</t>
  </si>
  <si>
    <t>INE060A01024</t>
  </si>
  <si>
    <t>Navneet Education Ltd</t>
  </si>
  <si>
    <t>INE290S01011</t>
  </si>
  <si>
    <t>CarTrade Tech Ltd</t>
  </si>
  <si>
    <t>INE056C01010</t>
  </si>
  <si>
    <t>Tata Metaliks Ltd</t>
  </si>
  <si>
    <t>INE199A01012</t>
  </si>
  <si>
    <t>Procter &amp; Gamble Health Ltd</t>
  </si>
  <si>
    <t>INE586B01026</t>
  </si>
  <si>
    <t>Taj GVK Hotels &amp; Resorts Ltd</t>
  </si>
  <si>
    <t>INE092B01025</t>
  </si>
  <si>
    <t>India Nippon Electricals Ltd</t>
  </si>
  <si>
    <t>Auto Ancillaries</t>
  </si>
  <si>
    <t>INE503A01015</t>
  </si>
  <si>
    <t>DCB Bank Ltd</t>
  </si>
  <si>
    <t>INE246B01019</t>
  </si>
  <si>
    <t>Ramco Systems Ltd</t>
  </si>
  <si>
    <t>INE488A01050</t>
  </si>
  <si>
    <t>Chemplast Sanmar Ltd</t>
  </si>
  <si>
    <t>INE435A01028</t>
  </si>
  <si>
    <t>International Paper APPM Ltd</t>
  </si>
  <si>
    <t>Paper</t>
  </si>
  <si>
    <t>INE421D01022</t>
  </si>
  <si>
    <t>CCL Products (India) Ltd</t>
  </si>
  <si>
    <t>INE0H5O01029</t>
  </si>
  <si>
    <t>Windlas Biotech Ltd</t>
  </si>
  <si>
    <t>INE884B01025</t>
  </si>
  <si>
    <t>Kirloskar Ferrous Ind Ltd</t>
  </si>
  <si>
    <t>INE565V01010</t>
  </si>
  <si>
    <t>Valiant Organics Ltd</t>
  </si>
  <si>
    <t>INE384A01010</t>
  </si>
  <si>
    <t>Rane Holdings Ltd</t>
  </si>
  <si>
    <t>Sundaram Select Micro Cap Series XV</t>
  </si>
  <si>
    <t>INE220B01022</t>
  </si>
  <si>
    <t>Kalpataru Power Transmission Ltd</t>
  </si>
  <si>
    <t>INE934S01014</t>
  </si>
  <si>
    <t>GNA Axles Ltd</t>
  </si>
  <si>
    <t>INE04I401011</t>
  </si>
  <si>
    <t>KPIT Technologies Ltd</t>
  </si>
  <si>
    <t>INE0CLI01024</t>
  </si>
  <si>
    <t>Rate Gain Travel Technologies Ltd</t>
  </si>
  <si>
    <t>INE743M01012</t>
  </si>
  <si>
    <t>RHI Magnesita India Ltd</t>
  </si>
  <si>
    <t>INE022I01019</t>
  </si>
  <si>
    <t>Asian Granito India Ltd</t>
  </si>
  <si>
    <t>INE386A01015</t>
  </si>
  <si>
    <t>Vesuvius India Ltd</t>
  </si>
  <si>
    <t>Sundaram Select Micro Cap Series XVI</t>
  </si>
  <si>
    <t>INE048G01026</t>
  </si>
  <si>
    <t>Navin Fluorine International Ltd</t>
  </si>
  <si>
    <t>INE201P01022</t>
  </si>
  <si>
    <t>GR Infraprojects Ltd</t>
  </si>
  <si>
    <t>INE864I01014</t>
  </si>
  <si>
    <t>MTAR Technologies Ltd</t>
  </si>
  <si>
    <t>INE974X01010</t>
  </si>
  <si>
    <t>Tube Investments of India Ltd</t>
  </si>
  <si>
    <t>INE049A01027</t>
  </si>
  <si>
    <t>Himatsingka Seide Ltd</t>
  </si>
  <si>
    <t>Textile Products</t>
  </si>
  <si>
    <t>INE113A01013</t>
  </si>
  <si>
    <t>Gujarat Narmada Valley Fertilizers &amp; Chemicals Ltd</t>
  </si>
  <si>
    <t>INE419U01012</t>
  </si>
  <si>
    <t>Happiest Minds Technologies Limited</t>
  </si>
  <si>
    <t>INE144Z01023</t>
  </si>
  <si>
    <t>Tarsons Products Ltd</t>
  </si>
  <si>
    <t>INE0BV301023</t>
  </si>
  <si>
    <t>CE Info Systems Private Limited</t>
  </si>
  <si>
    <t>INE858B01029</t>
  </si>
  <si>
    <t>ISGEC Heavy  Engineering Ltd</t>
  </si>
  <si>
    <t>Sundaram Select Micro Cap Series XVII</t>
  </si>
  <si>
    <t>INE045A01017</t>
  </si>
  <si>
    <t>Ador Welding Ltd</t>
  </si>
  <si>
    <t>INE750A01020</t>
  </si>
  <si>
    <t>Oriental Hotels Ltd</t>
  </si>
  <si>
    <t>Sundaram Mid Cap Fund</t>
  </si>
  <si>
    <t>INE018I01017</t>
  </si>
  <si>
    <t>MindTree Ltd</t>
  </si>
  <si>
    <t>INE437A01024</t>
  </si>
  <si>
    <t>Apollo Hospitals Enterprise Ltd</t>
  </si>
  <si>
    <t>INE180A01020</t>
  </si>
  <si>
    <t>Max Financial Services Ltd</t>
  </si>
  <si>
    <t>INE647A01010</t>
  </si>
  <si>
    <t>SRF Ltd</t>
  </si>
  <si>
    <t>INE226A01021</t>
  </si>
  <si>
    <t>Voltas Ltd</t>
  </si>
  <si>
    <t>INE761H01022</t>
  </si>
  <si>
    <t>Page Industries Ltd</t>
  </si>
  <si>
    <t>INE010V01017</t>
  </si>
  <si>
    <t>L&amp;T Technology Services Ltd</t>
  </si>
  <si>
    <t>INE238A01034</t>
  </si>
  <si>
    <t>Axis Bank Ltd</t>
  </si>
  <si>
    <t>INE121A01024</t>
  </si>
  <si>
    <t>Cholamandalam Investment and Finance Company Ltd</t>
  </si>
  <si>
    <t>INE200M01013</t>
  </si>
  <si>
    <t>Varun Beverages Ltd</t>
  </si>
  <si>
    <t>INE298A01020</t>
  </si>
  <si>
    <t>Cummins India Ltd</t>
  </si>
  <si>
    <t>INE797F01012</t>
  </si>
  <si>
    <t>Jubilant Foodworks Ltd</t>
  </si>
  <si>
    <t>INE849A01020</t>
  </si>
  <si>
    <t>Trent Ltd</t>
  </si>
  <si>
    <t>Retailing</t>
  </si>
  <si>
    <t>INE171A01029</t>
  </si>
  <si>
    <t>The Federal Bank  Ltd</t>
  </si>
  <si>
    <t>INE987B01026</t>
  </si>
  <si>
    <t>Natco Pharma Ltd</t>
  </si>
  <si>
    <t>INE749A01030</t>
  </si>
  <si>
    <t>Jindal Steel &amp; Power Ltd</t>
  </si>
  <si>
    <t>INE299U01018</t>
  </si>
  <si>
    <t>Crompton Greaves Consumer Electricals Ltd</t>
  </si>
  <si>
    <t>INE068V01023</t>
  </si>
  <si>
    <t>Gland Pharma Ltd</t>
  </si>
  <si>
    <t>INE571A01020</t>
  </si>
  <si>
    <t>IPCA Laboratories Ltd</t>
  </si>
  <si>
    <t>INE263A01024</t>
  </si>
  <si>
    <t>Bharat Electronics Ltd</t>
  </si>
  <si>
    <t>INE465A01025</t>
  </si>
  <si>
    <t>Bharat Forge Ltd</t>
  </si>
  <si>
    <t>INE721A01013</t>
  </si>
  <si>
    <t>Shriram Transport Finance Company Ltd</t>
  </si>
  <si>
    <t>INE763G01038</t>
  </si>
  <si>
    <t>ICICI Securities Ltd</t>
  </si>
  <si>
    <t>INE949L01017</t>
  </si>
  <si>
    <t>AU Small Finance Bank Ltd</t>
  </si>
  <si>
    <t>INE028A01039</t>
  </si>
  <si>
    <t>Bank of Baroda</t>
  </si>
  <si>
    <t>INE883A01011</t>
  </si>
  <si>
    <t>MRF Ltd</t>
  </si>
  <si>
    <t>INE603J01030</t>
  </si>
  <si>
    <t>PI Industries Ltd</t>
  </si>
  <si>
    <t>Pesticides</t>
  </si>
  <si>
    <t>INE111A01025</t>
  </si>
  <si>
    <t>Container Corporation of India Ltd</t>
  </si>
  <si>
    <t>INE935N01020</t>
  </si>
  <si>
    <t>Dixon Technologies (India) Ltd</t>
  </si>
  <si>
    <t>INE769A01020</t>
  </si>
  <si>
    <t>Aarti Industries Ltd</t>
  </si>
  <si>
    <t>INE105A01035</t>
  </si>
  <si>
    <t>Sundaram Clayton Ltd</t>
  </si>
  <si>
    <t>INE548C01032</t>
  </si>
  <si>
    <t>Emami Ltd</t>
  </si>
  <si>
    <t>INE356A01018</t>
  </si>
  <si>
    <t>MphasiS Ltd</t>
  </si>
  <si>
    <t>INE860A01027</t>
  </si>
  <si>
    <t>HCL Technologies Ltd</t>
  </si>
  <si>
    <t>INE303R01014</t>
  </si>
  <si>
    <t>Kalyan Jewellers India Ltd</t>
  </si>
  <si>
    <t>INE169A01031</t>
  </si>
  <si>
    <t>Coromandel International Ltd</t>
  </si>
  <si>
    <t>INE405E01023</t>
  </si>
  <si>
    <t>Minda Industries Ltd</t>
  </si>
  <si>
    <t>INE115A01026</t>
  </si>
  <si>
    <t>LIC Housing Finance Ltd</t>
  </si>
  <si>
    <t>INE491A01021</t>
  </si>
  <si>
    <t>City Union Bank Ltd</t>
  </si>
  <si>
    <t>INE918I01018</t>
  </si>
  <si>
    <t>Bajaj Finserv Ltd</t>
  </si>
  <si>
    <t>INE484J01027</t>
  </si>
  <si>
    <t>Godrej Properties Ltd</t>
  </si>
  <si>
    <t>INE216P01012</t>
  </si>
  <si>
    <t>Aavas Financiers Ltd</t>
  </si>
  <si>
    <t>INE00R701025</t>
  </si>
  <si>
    <t>Dalmia Cement (Bharat) Ltd.</t>
  </si>
  <si>
    <t>INE256A01028</t>
  </si>
  <si>
    <t>Zee Entertainment Enterprises Ltd</t>
  </si>
  <si>
    <t>INE176A01028</t>
  </si>
  <si>
    <t>Bata India Ltd</t>
  </si>
  <si>
    <t>INE317I01021</t>
  </si>
  <si>
    <t>Metro Brands Ltd</t>
  </si>
  <si>
    <t>INE192A01025</t>
  </si>
  <si>
    <t>TATA Consumer Products Ltd</t>
  </si>
  <si>
    <t>INE998I01010</t>
  </si>
  <si>
    <t>Mahindra Holidays &amp; Resorts India Ltd</t>
  </si>
  <si>
    <t>INE758T01015</t>
  </si>
  <si>
    <t>Zomato Ltd</t>
  </si>
  <si>
    <t>INE006I01046</t>
  </si>
  <si>
    <t>Astral Ltd</t>
  </si>
  <si>
    <t>INE716A01013</t>
  </si>
  <si>
    <t>Whirlpool of India Ltd</t>
  </si>
  <si>
    <t>INE217B01036</t>
  </si>
  <si>
    <t>Kajaria Ceramics Ltd</t>
  </si>
  <si>
    <t>Institutional Plan - Growth</t>
  </si>
  <si>
    <t>Sundaram Multi Cap Fund Series I</t>
  </si>
  <si>
    <t>INE009A01021</t>
  </si>
  <si>
    <t>Infosys Ltd</t>
  </si>
  <si>
    <t>INE040A01034</t>
  </si>
  <si>
    <t>HDFC Bank Ltd</t>
  </si>
  <si>
    <t>INE001A01036</t>
  </si>
  <si>
    <t>Housing Development Finance Corporation Ltd</t>
  </si>
  <si>
    <t>INE062A01020</t>
  </si>
  <si>
    <t>State Bank of India</t>
  </si>
  <si>
    <t>INE467B01029</t>
  </si>
  <si>
    <t>Tata Consultancy Services Ltd</t>
  </si>
  <si>
    <t>INE123W01016</t>
  </si>
  <si>
    <t>SBI Life Insurance Company Ltd</t>
  </si>
  <si>
    <t>INE075A01022</t>
  </si>
  <si>
    <t>Wipro Ltd</t>
  </si>
  <si>
    <t>INE044A01036</t>
  </si>
  <si>
    <t>Sun Pharmaceutical Industries Ltd</t>
  </si>
  <si>
    <t>INE030A01027</t>
  </si>
  <si>
    <t>Hindustan UniLever Ltd</t>
  </si>
  <si>
    <t>INE669C01036</t>
  </si>
  <si>
    <t>Tech Mahindra Ltd</t>
  </si>
  <si>
    <t>INE038A01020</t>
  </si>
  <si>
    <t>Hindalco Industries Ltd</t>
  </si>
  <si>
    <t>Non - Ferrous Metals</t>
  </si>
  <si>
    <t>INE101A01026</t>
  </si>
  <si>
    <t>Mahindra &amp; Mahindra Ltd</t>
  </si>
  <si>
    <t>INE073K01018</t>
  </si>
  <si>
    <t>Sona BLW Precision Forgings Ltd</t>
  </si>
  <si>
    <t>INE154A01025</t>
  </si>
  <si>
    <t>ITC Ltd</t>
  </si>
  <si>
    <t>INE081A01012</t>
  </si>
  <si>
    <t>Tata Steel Ltd</t>
  </si>
  <si>
    <t>INE237A01028</t>
  </si>
  <si>
    <t>Kotak Mahindra Bank Ltd</t>
  </si>
  <si>
    <t>IN9397D01014</t>
  </si>
  <si>
    <t>Sundaram Multi Cap Fund -Series II</t>
  </si>
  <si>
    <t>INE361B01024</t>
  </si>
  <si>
    <t>Divis Laboratories Ltd</t>
  </si>
  <si>
    <t>INE149A01033</t>
  </si>
  <si>
    <t>Cholamandalam Financial Holdings Ltd</t>
  </si>
  <si>
    <t>INE280A01028</t>
  </si>
  <si>
    <t>Titan Company Ltd</t>
  </si>
  <si>
    <t>INE059A01026</t>
  </si>
  <si>
    <t>Cipla Ltd</t>
  </si>
  <si>
    <t>INE531A01024</t>
  </si>
  <si>
    <t>Kansai Nerolac Paints Ltd</t>
  </si>
  <si>
    <t>INE775A01035</t>
  </si>
  <si>
    <t>Motherson Sumi Systems Ltd</t>
  </si>
  <si>
    <t>INE112L01020</t>
  </si>
  <si>
    <t>Metropolis Healthcare Ltd</t>
  </si>
  <si>
    <t>INE388Y01029</t>
  </si>
  <si>
    <t>FSN E–Commerce Ventures Ltd(NYKAA)</t>
  </si>
  <si>
    <t>INE765G01017</t>
  </si>
  <si>
    <t>ICICI Lombard General Insurance Company Ltd</t>
  </si>
  <si>
    <t>INE296A01024</t>
  </si>
  <si>
    <t>Bajaj Finance Ltd</t>
  </si>
  <si>
    <t>INE893J01029</t>
  </si>
  <si>
    <t>Mold-Tek Packaging Ltd</t>
  </si>
  <si>
    <t>INE586V01016</t>
  </si>
  <si>
    <t>TCI Express Ltd</t>
  </si>
  <si>
    <t>INE155A01022</t>
  </si>
  <si>
    <t>Tata Motors Ltd</t>
  </si>
  <si>
    <t>INE192R01011</t>
  </si>
  <si>
    <t>Avenue Supermarts Ltd</t>
  </si>
  <si>
    <t>INE258A01016</t>
  </si>
  <si>
    <t>BEML Ltd</t>
  </si>
  <si>
    <t>INE476A01014</t>
  </si>
  <si>
    <t>Canara Bank</t>
  </si>
  <si>
    <t>INE061F01013</t>
  </si>
  <si>
    <t>Fortis Health Care Ltd</t>
  </si>
  <si>
    <t>INE100A01010</t>
  </si>
  <si>
    <t>Atul Ltd</t>
  </si>
  <si>
    <t>INE131B01039</t>
  </si>
  <si>
    <t>Relaxo Footwears Ltd</t>
  </si>
  <si>
    <t>INE640A01023</t>
  </si>
  <si>
    <t>SKF India Ltd</t>
  </si>
  <si>
    <t>INE070A01015</t>
  </si>
  <si>
    <t>Shree Cement Ltd</t>
  </si>
  <si>
    <t>INE844O01030</t>
  </si>
  <si>
    <t>Gujarat Gas Co Ltd</t>
  </si>
  <si>
    <t>INE585B01010</t>
  </si>
  <si>
    <t>Maruti Suzuki India Ltd</t>
  </si>
  <si>
    <t>INE562A01011</t>
  </si>
  <si>
    <t>Indian Bank</t>
  </si>
  <si>
    <t>INE387A01021</t>
  </si>
  <si>
    <t>Sundram Fasteners Ltd</t>
  </si>
  <si>
    <t>INE498L01015</t>
  </si>
  <si>
    <t>L&amp;T Finance Holdings Ltd</t>
  </si>
  <si>
    <t>INE787D01026</t>
  </si>
  <si>
    <t>Balkrishna Industries Ltd</t>
  </si>
  <si>
    <t>INE212H01026</t>
  </si>
  <si>
    <t>AIA Engineering Ltd</t>
  </si>
  <si>
    <t>INE117A01022</t>
  </si>
  <si>
    <t>ABB India Ltd</t>
  </si>
  <si>
    <t>INE417T01026</t>
  </si>
  <si>
    <t>PB Fintech Ltd</t>
  </si>
  <si>
    <t>IN002021X306</t>
  </si>
  <si>
    <t>91 DAY T-BILL 06-Jan-2022</t>
  </si>
  <si>
    <t>Sovereign</t>
  </si>
  <si>
    <t>IN9155A01020</t>
  </si>
  <si>
    <t>INE323A01026</t>
  </si>
  <si>
    <t>Bosch Ltd</t>
  </si>
  <si>
    <t>INE102D01028</t>
  </si>
  <si>
    <t>Godrej Consumer Products Ltd</t>
  </si>
  <si>
    <t>INE089A01023</t>
  </si>
  <si>
    <t>Dr. Reddys Laboratories Ltd</t>
  </si>
  <si>
    <t>INE628A01036</t>
  </si>
  <si>
    <t>UPL Ltd</t>
  </si>
  <si>
    <t>INE214T01019</t>
  </si>
  <si>
    <t>Larsen &amp; Toubro Infotech Ltd</t>
  </si>
  <si>
    <t>INE216A01030</t>
  </si>
  <si>
    <t>Britannia Industries Ltd</t>
  </si>
  <si>
    <t>INE406A01037</t>
  </si>
  <si>
    <t>Aurobindo Pharma Ltd</t>
  </si>
  <si>
    <t>INE733E01010</t>
  </si>
  <si>
    <t>NTPC Ltd</t>
  </si>
  <si>
    <t>INE216A08027</t>
  </si>
  <si>
    <t>Britannia Industries Ltd - 5.5% - 03/06/2024**</t>
  </si>
  <si>
    <t xml:space="preserve"> CRISIL AAA </t>
  </si>
  <si>
    <t>** Thinly traded / Non Traded Securities</t>
  </si>
  <si>
    <t>INE591G01017</t>
  </si>
  <si>
    <t>Coforge Ltd</t>
  </si>
  <si>
    <t>INE287B01021</t>
  </si>
  <si>
    <t>Subros Ltd</t>
  </si>
  <si>
    <t>INE343H01029</t>
  </si>
  <si>
    <t>Solar Industries India Ltd</t>
  </si>
  <si>
    <t>INE725G01011</t>
  </si>
  <si>
    <t>ICRA Ltd</t>
  </si>
  <si>
    <t>INE768C01010</t>
  </si>
  <si>
    <t>Zydus Wellness Ltd</t>
  </si>
  <si>
    <t>INE007A01025</t>
  </si>
  <si>
    <t>CRISIL Ltd</t>
  </si>
  <si>
    <t>INE094J01016</t>
  </si>
  <si>
    <t>UTI Asset Management Co Ltd</t>
  </si>
  <si>
    <t>INE054A01027</t>
  </si>
  <si>
    <t>VIP Industries Ltd</t>
  </si>
  <si>
    <t>INE031B01049</t>
  </si>
  <si>
    <t>Ajanta Pharmaceuticals Ltd</t>
  </si>
  <si>
    <t>INE482A01020</t>
  </si>
  <si>
    <t>Ceat Ltd</t>
  </si>
  <si>
    <t>INE398R01022</t>
  </si>
  <si>
    <t>Syngene International Ltd</t>
  </si>
  <si>
    <t>INE191H01014</t>
  </si>
  <si>
    <t>PVR Ltd</t>
  </si>
  <si>
    <t>INE451A01017</t>
  </si>
  <si>
    <t>Force Motors Ltd</t>
  </si>
  <si>
    <t>INE494B01023</t>
  </si>
  <si>
    <t>TVS Motor Company Ltd</t>
  </si>
  <si>
    <t>INE688A01022</t>
  </si>
  <si>
    <t>Transport Corporation of India Ltd</t>
  </si>
  <si>
    <t>INE022Q01020</t>
  </si>
  <si>
    <t>Indian Energy Exchange Ltd</t>
  </si>
  <si>
    <t>INE930H01031</t>
  </si>
  <si>
    <t>K.P.R. Mill Ltd</t>
  </si>
  <si>
    <t>INE836A01035</t>
  </si>
  <si>
    <t>Birlasoft Ltd</t>
  </si>
  <si>
    <t>INE136S01016</t>
  </si>
  <si>
    <t>Neogen Chemicals Ltd</t>
  </si>
  <si>
    <t>INE340A01012</t>
  </si>
  <si>
    <t>Birla Corporation Ltd</t>
  </si>
  <si>
    <t>INE670A01012</t>
  </si>
  <si>
    <t>Tata Elxsi Ltd</t>
  </si>
  <si>
    <t>INE759A01021</t>
  </si>
  <si>
    <t>Mastek Ltd</t>
  </si>
  <si>
    <t>INE00LO01017</t>
  </si>
  <si>
    <t>Craftsman Automation Ltd</t>
  </si>
  <si>
    <t>INE600K01018</t>
  </si>
  <si>
    <t>Galaxy Surfactants Ltd</t>
  </si>
  <si>
    <t>INE142Z01019</t>
  </si>
  <si>
    <t>Orient Electric Ltd</t>
  </si>
  <si>
    <t>INE472A01039</t>
  </si>
  <si>
    <t>Blue Star Ltd</t>
  </si>
  <si>
    <t>INE161A01038</t>
  </si>
  <si>
    <t>NIITLtd</t>
  </si>
  <si>
    <t>INE786A01032</t>
  </si>
  <si>
    <t>JK Lakshmi Cement Ltd</t>
  </si>
  <si>
    <t>INE825A01012</t>
  </si>
  <si>
    <t>Vardhman Textiles Ltd</t>
  </si>
  <si>
    <t>Textiles - Cotton</t>
  </si>
  <si>
    <t>INE739E01017</t>
  </si>
  <si>
    <t>Cera Sanitaryware Ltd</t>
  </si>
  <si>
    <t>INE195J01029</t>
  </si>
  <si>
    <t>PNC Infratech Ltd</t>
  </si>
  <si>
    <t>INE634I01029</t>
  </si>
  <si>
    <t>KNR Construction Ltd</t>
  </si>
  <si>
    <t>INE596I01012</t>
  </si>
  <si>
    <t>Computer Age Management Services Ltd</t>
  </si>
  <si>
    <t>INE455I01029</t>
  </si>
  <si>
    <t>Kaveri Seed Company Ltd</t>
  </si>
  <si>
    <t>INE663F01024</t>
  </si>
  <si>
    <t>Info Edge (India) Ltd</t>
  </si>
  <si>
    <t>INE757A01017</t>
  </si>
  <si>
    <t>Cosmo Films Ltd</t>
  </si>
  <si>
    <t>INE613A01020</t>
  </si>
  <si>
    <t>Rallis India Ltd</t>
  </si>
  <si>
    <t>Sundaram Emerging Small Cap Series I</t>
  </si>
  <si>
    <t>INE717A01029</t>
  </si>
  <si>
    <t>Kennametal India Ltd</t>
  </si>
  <si>
    <t>INE120A01034</t>
  </si>
  <si>
    <t>Carborundum Universal Ltd</t>
  </si>
  <si>
    <t>INE296E01026</t>
  </si>
  <si>
    <t>Rajapalayam Mills Ltd</t>
  </si>
  <si>
    <t>INE741K01010</t>
  </si>
  <si>
    <t>Creditaccess Grameen Ltd</t>
  </si>
  <si>
    <t>Sundaram Emerging Small Cap Series II</t>
  </si>
  <si>
    <t>Sundaram Emerging Small Cap Series III</t>
  </si>
  <si>
    <t>INE475B01022</t>
  </si>
  <si>
    <t>Hikal Ltd</t>
  </si>
  <si>
    <t>Sundaram Emerging Small Cap Series IV</t>
  </si>
  <si>
    <t>Sundaram Emerging Small Cap Series V</t>
  </si>
  <si>
    <t>Sundaram Emerging Small Cap Series VI</t>
  </si>
  <si>
    <t>Sundaram Emerging Small Cap Series VII</t>
  </si>
  <si>
    <t>INE058A01010</t>
  </si>
  <si>
    <t>Sanofi India Ltd</t>
  </si>
  <si>
    <t>INE854D01024</t>
  </si>
  <si>
    <t>United Spirits Ltd</t>
  </si>
  <si>
    <t>INE172A01027</t>
  </si>
  <si>
    <t>Castrol India Ltd</t>
  </si>
  <si>
    <t>INE686A01026</t>
  </si>
  <si>
    <t>ITD Cementation India Ltd</t>
  </si>
  <si>
    <t>INE517F01014</t>
  </si>
  <si>
    <t>Gujarat Pipavav Port Ltd</t>
  </si>
  <si>
    <t>INE182A01018</t>
  </si>
  <si>
    <t>Pfizer Ltd</t>
  </si>
  <si>
    <t>Sundaram Long Term Tax Advantage Fund Series III</t>
  </si>
  <si>
    <t>Sundaram Long Term Tax Advantage Fund Series IV</t>
  </si>
  <si>
    <t>Sundaram Long Term Tax Advantage Fund Series-I</t>
  </si>
  <si>
    <t>INE647O01011</t>
  </si>
  <si>
    <t>Aditya Birla Fashion and Retail Ltd</t>
  </si>
  <si>
    <t>Sundaram Long Term Tax Advantage Fund Series-II</t>
  </si>
  <si>
    <t>Sundaram Long Term Micro Cap Tax Advantage Fund Series III</t>
  </si>
  <si>
    <t>Sundaram Long Term Micro Cap Tax Advantage Fund Series IV</t>
  </si>
  <si>
    <t>Sundaram Long Term Micro Cap Tax Advantage Fund Series V</t>
  </si>
  <si>
    <t>Sundaram Long Term Micro Cap Tax Advantage Fund Series VI</t>
  </si>
  <si>
    <t>Sundaram Small Cap Fund</t>
  </si>
  <si>
    <t>INE098F01031</t>
  </si>
  <si>
    <t>Amrutanjan Health Care Ltd</t>
  </si>
  <si>
    <t>INE119A01028</t>
  </si>
  <si>
    <t>Balrampur Chini Mills Ltd</t>
  </si>
  <si>
    <t>INE679A01013</t>
  </si>
  <si>
    <t>CSB Bank Ltd</t>
  </si>
  <si>
    <t>INE085A01013</t>
  </si>
  <si>
    <t>Chambal Fertilizers &amp; Chemicals Ltd</t>
  </si>
  <si>
    <t>INE389H01022</t>
  </si>
  <si>
    <t>KEC International Ltd</t>
  </si>
  <si>
    <t>INE599M01018</t>
  </si>
  <si>
    <t>Just Dial Ltd</t>
  </si>
  <si>
    <t>INE930P01018</t>
  </si>
  <si>
    <t>Anupam Rasayan India Ltd</t>
  </si>
  <si>
    <t>INE177F01017</t>
  </si>
  <si>
    <t>Kovai Medical Center &amp; Hospital Ltd</t>
  </si>
  <si>
    <t>INE970X01018</t>
  </si>
  <si>
    <t>Lemon Tree Hotels Ltd</t>
  </si>
  <si>
    <t>INE690A01028</t>
  </si>
  <si>
    <t>TTK Prestige Ltd</t>
  </si>
  <si>
    <t>INE355A01028</t>
  </si>
  <si>
    <t>Somany Ceramics Ltd</t>
  </si>
  <si>
    <t>INE450U01017</t>
  </si>
  <si>
    <t>Route Mobile Ltd</t>
  </si>
  <si>
    <t>INE146L01010</t>
  </si>
  <si>
    <t>Kirloskar Oil Engines Ltd</t>
  </si>
  <si>
    <t>INE418L01021</t>
  </si>
  <si>
    <t>Nazara Technologies Ltd</t>
  </si>
  <si>
    <t>INE026A01025</t>
  </si>
  <si>
    <t>Gujarat State Fertilizers &amp; Chemicals Ltd</t>
  </si>
  <si>
    <t>INE736A01011</t>
  </si>
  <si>
    <t>Central Depository Services (India) Ltd</t>
  </si>
  <si>
    <t>Sundaram Aggressive Hybrid Fund</t>
  </si>
  <si>
    <t>INE093I01010</t>
  </si>
  <si>
    <t>Oberoi Realty Ltd</t>
  </si>
  <si>
    <t>INE852S01026</t>
  </si>
  <si>
    <t>Chennai Super Kings Ltd</t>
  </si>
  <si>
    <t>INE001A07SG6</t>
  </si>
  <si>
    <t>Housing Development Finance Corporation Ltd - 7.35% - 10/02/2025**</t>
  </si>
  <si>
    <t>INE053F07AA7</t>
  </si>
  <si>
    <t>Indian Railway Finance Corporation Ltd - 7.49% - 28/05/2027**</t>
  </si>
  <si>
    <t>INE018A08BA7</t>
  </si>
  <si>
    <t>Larsen &amp; Toubro Ltd - 7.7% - 28/04/2025**</t>
  </si>
  <si>
    <t>INE020B08CG6</t>
  </si>
  <si>
    <t>REC Ltd - 7.24% - 31/12/2022**</t>
  </si>
  <si>
    <t>INE090A08TU6</t>
  </si>
  <si>
    <t>ICICI Bank Ltd - 7.6% - 07/10/2023**</t>
  </si>
  <si>
    <t>INE261F08CA0</t>
  </si>
  <si>
    <t>National Bank for Agricultural &amp; Rural Development - 6.4% - 31/07/2023**</t>
  </si>
  <si>
    <t>INE261F08AT4</t>
  </si>
  <si>
    <t>National Bank for Agricultural &amp; Rural Development - 8.5% - 31/01/2023**</t>
  </si>
  <si>
    <t>INE557F08FI7</t>
  </si>
  <si>
    <t>National Housing Bank  - 6.55% - 17/04/2023**</t>
  </si>
  <si>
    <t>INE556F08JN1</t>
  </si>
  <si>
    <t>Small Industrial Development Bank of India - 6.99% - 08/08/2022**</t>
  </si>
  <si>
    <t xml:space="preserve"> CARE AAA </t>
  </si>
  <si>
    <t>INE261F08DF7</t>
  </si>
  <si>
    <t>National Bank for Agricultural &amp; Rural Development - 5.27% - 23/07/2024**</t>
  </si>
  <si>
    <t>IN0020200112</t>
  </si>
  <si>
    <t>5.22% Govt.Stock 15/06/2025</t>
  </si>
  <si>
    <t>IN0020180488</t>
  </si>
  <si>
    <t>7.32 % CGL 28/01/2024</t>
  </si>
  <si>
    <t>IN0020170174</t>
  </si>
  <si>
    <t xml:space="preserve">7.17% Central Government Securities 08/01/2028 </t>
  </si>
  <si>
    <t>IN0020210012</t>
  </si>
  <si>
    <t>5.63% Government Stock-12/04/2026</t>
  </si>
  <si>
    <t>IN0020190396</t>
  </si>
  <si>
    <t>6.18% Central Government Securities 04/11/2024</t>
  </si>
  <si>
    <t>IN0020200278</t>
  </si>
  <si>
    <t>5.15% Central Government Securities 09/11/2025</t>
  </si>
  <si>
    <t>IN0020160035</t>
  </si>
  <si>
    <t>6.97% Central Government Securities 06/09/2026</t>
  </si>
  <si>
    <t>IN0020160050</t>
  </si>
  <si>
    <t>6.84% Central Government Securities 19/12/2022</t>
  </si>
  <si>
    <t>IN0020190016</t>
  </si>
  <si>
    <t xml:space="preserve">7.27% CGL08/04/2026 </t>
  </si>
  <si>
    <t>IN0020200021</t>
  </si>
  <si>
    <t>5.09% Central Government Securities 13/04/2022</t>
  </si>
  <si>
    <t>IN2220150030</t>
  </si>
  <si>
    <t>8.25% MAHARASHTRA SDL 10/06/2025</t>
  </si>
  <si>
    <t>IN1920140119</t>
  </si>
  <si>
    <t>8.08% State Government of Karnataka 11-Mar-2025</t>
  </si>
  <si>
    <t>IN2220140205</t>
  </si>
  <si>
    <t>8.06% State Government of Maharashtra 11-Feb-2025</t>
  </si>
  <si>
    <t>IN0020170026</t>
  </si>
  <si>
    <t>6.79% Central Government Securities 15/05/2027</t>
  </si>
  <si>
    <t>IN0020070051</t>
  </si>
  <si>
    <t>8.13% CGL 21/09/2022</t>
  </si>
  <si>
    <t>IN0020210186</t>
  </si>
  <si>
    <t>5.74% Government Securites  Stock-15/11/2026</t>
  </si>
  <si>
    <t>IN0020210095</t>
  </si>
  <si>
    <t>6.10% Central Government Securities-12/07/2031</t>
  </si>
  <si>
    <t>IN0020020072</t>
  </si>
  <si>
    <t>8.35% Govt.Securities 14/5/2022</t>
  </si>
  <si>
    <t>IN002021Z368</t>
  </si>
  <si>
    <t>364 DAY TBL 01 12 2022</t>
  </si>
  <si>
    <t>IN002021X389</t>
  </si>
  <si>
    <t>91 DAY TBL 03 03 2022</t>
  </si>
  <si>
    <t>Sundaram Balanced Advantage Fund</t>
  </si>
  <si>
    <t>INE686Y01026</t>
  </si>
  <si>
    <t>Fine Organic Industries Ltd</t>
  </si>
  <si>
    <t>INE227W01023</t>
  </si>
  <si>
    <t>Clean Science &amp; Technology Ltd</t>
  </si>
  <si>
    <t>INE020B08BT1</t>
  </si>
  <si>
    <t>REC Ltd - 8.15% - 10/06/2022**</t>
  </si>
  <si>
    <t>INE047A08133</t>
  </si>
  <si>
    <t>Grasim Industries Ltd - 7.65% - 15/04/2022**</t>
  </si>
  <si>
    <t>INE053F07BB3</t>
  </si>
  <si>
    <t>Indian Railway Finance Corporation Ltd - 8.25% - 28/02/2024**</t>
  </si>
  <si>
    <t>INE733E07JD2</t>
  </si>
  <si>
    <t>NTPC Ltd - 8.8% - 04/04/2023**</t>
  </si>
  <si>
    <t>INE018A08AR3</t>
  </si>
  <si>
    <t>Larsen &amp; Toubro Ltd - 7.87% - 18/04/2022**</t>
  </si>
  <si>
    <t>INE242A08460</t>
  </si>
  <si>
    <t>Indian Oil Corporation Ltd - 5.05% - 25/11/2022</t>
  </si>
  <si>
    <t>INE296A07NQ2</t>
  </si>
  <si>
    <t>Bajaj Finance Ltd - 7.7% - 20/01/2022**</t>
  </si>
  <si>
    <t>IN0020060037</t>
  </si>
  <si>
    <t>8.20% GOI 15/02/2022</t>
  </si>
  <si>
    <t>IN0020210046</t>
  </si>
  <si>
    <t>4.26% GSEC 17 05 2023</t>
  </si>
  <si>
    <t>IN2220170111</t>
  </si>
  <si>
    <t>7.02% State Government of Maharashtra 27-Sep-2022</t>
  </si>
  <si>
    <t>IN0020120013</t>
  </si>
  <si>
    <t xml:space="preserve">8.15% CGL 11/06/2022 </t>
  </si>
  <si>
    <t>INE002A14JI5</t>
  </si>
  <si>
    <t>Reliance Industries Ltd - 11/01/2022**</t>
  </si>
  <si>
    <t xml:space="preserve"> CRISIL A1+ </t>
  </si>
  <si>
    <t>Sundaram Dividend Yield Fund</t>
  </si>
  <si>
    <t>INE916U01025</t>
  </si>
  <si>
    <t>Sheela Foam Ltd</t>
  </si>
  <si>
    <t>INE267A01025</t>
  </si>
  <si>
    <t>Hindustan Zinc Ltd</t>
  </si>
  <si>
    <t>INE917I01010</t>
  </si>
  <si>
    <t>Bajaj Auto Ltd</t>
  </si>
  <si>
    <t>INE710A01016</t>
  </si>
  <si>
    <t>VST Industries Ltd</t>
  </si>
  <si>
    <t>INE459A01010</t>
  </si>
  <si>
    <t>Bannari Amman Sugars Ltd</t>
  </si>
  <si>
    <t>INE302A01020</t>
  </si>
  <si>
    <t>Exide Industries Ltd</t>
  </si>
  <si>
    <t>INE02CF01010</t>
  </si>
  <si>
    <t>IDIA00069480</t>
  </si>
  <si>
    <t>IDIA00069477</t>
  </si>
  <si>
    <t>INE759J01022</t>
  </si>
  <si>
    <t>IDIA00069481</t>
  </si>
  <si>
    <t>IDIA00069473</t>
  </si>
  <si>
    <t>Sundaram Equity Savings Fund</t>
  </si>
  <si>
    <t>INE738I01010</t>
  </si>
  <si>
    <t>eClerx Services Ltd</t>
  </si>
  <si>
    <t>IN2220150022</t>
  </si>
  <si>
    <t>8.14 % MAHARASHTRA SDL  27/05/2025</t>
  </si>
  <si>
    <t>INE118D01016</t>
  </si>
  <si>
    <t>Nuvoco Vistas Corporation Ltd</t>
  </si>
  <si>
    <t>INE147E01013</t>
  </si>
  <si>
    <t>INE151H01018</t>
  </si>
  <si>
    <t>INE431E01011</t>
  </si>
  <si>
    <t>INE348C01011</t>
  </si>
  <si>
    <t>INE406B01019</t>
  </si>
  <si>
    <t>INE604A01011</t>
  </si>
  <si>
    <t>IDIA00069359</t>
  </si>
  <si>
    <t>IDIA00069356</t>
  </si>
  <si>
    <t>INE205A01025</t>
  </si>
  <si>
    <t>Vedanta Ltd</t>
  </si>
  <si>
    <t>INE752E01010</t>
  </si>
  <si>
    <t>Power Grid Corporation of India Ltd</t>
  </si>
  <si>
    <t>INE364U01010</t>
  </si>
  <si>
    <t>Adani Green Energy Ltd</t>
  </si>
  <si>
    <t>INE179A01014</t>
  </si>
  <si>
    <t>Procter &amp; Gamble Hygiene and Health Care Ltd</t>
  </si>
  <si>
    <t>INE003A01024</t>
  </si>
  <si>
    <t>Siemens Ltd</t>
  </si>
  <si>
    <t>INE423A01024</t>
  </si>
  <si>
    <t>Adani Enterprises</t>
  </si>
  <si>
    <t>INE931S01010</t>
  </si>
  <si>
    <t>Adani Transmission Ltd</t>
  </si>
  <si>
    <t>INE118A01012</t>
  </si>
  <si>
    <t>Bajaj Holdings &amp; Investment Ltd</t>
  </si>
  <si>
    <t>INE685A01028</t>
  </si>
  <si>
    <t>Torrent Pharmaceuticals Ltd</t>
  </si>
  <si>
    <t>INE528G01035</t>
  </si>
  <si>
    <t>Yes Bank Ltd</t>
  </si>
  <si>
    <t>INE318A01026</t>
  </si>
  <si>
    <t>Pidilite Industries Ltd</t>
  </si>
  <si>
    <t>INE376G01013</t>
  </si>
  <si>
    <t>Biocon Ltd</t>
  </si>
  <si>
    <t>INE326A01037</t>
  </si>
  <si>
    <t>Lupin Ltd</t>
  </si>
  <si>
    <t>INE019A01038</t>
  </si>
  <si>
    <t>JSW Steel Ltd</t>
  </si>
  <si>
    <t>INE239A01016</t>
  </si>
  <si>
    <t>Nestle India Ltd</t>
  </si>
  <si>
    <t>INE176B01034</t>
  </si>
  <si>
    <t>Havells India Ltd</t>
  </si>
  <si>
    <t>INE414G01012</t>
  </si>
  <si>
    <t>Muthoot Finance Ltd</t>
  </si>
  <si>
    <t>INE021A01026</t>
  </si>
  <si>
    <t>Asian Paints Ltd</t>
  </si>
  <si>
    <t>INE047A01021</t>
  </si>
  <si>
    <t>Grasim Industries Ltd</t>
  </si>
  <si>
    <t>INE160A01022</t>
  </si>
  <si>
    <t>Punjab National Bank</t>
  </si>
  <si>
    <t>INE646L01027</t>
  </si>
  <si>
    <t>Interglobe Aviation Ltd</t>
  </si>
  <si>
    <t>INE140A01024</t>
  </si>
  <si>
    <t>Piramal Enterprises Ltd</t>
  </si>
  <si>
    <t>INE584A01023</t>
  </si>
  <si>
    <t>NMDC Ltd</t>
  </si>
  <si>
    <t>Minerals/Mining</t>
  </si>
  <si>
    <t>INE012A01025</t>
  </si>
  <si>
    <t>ACC Ltd</t>
  </si>
  <si>
    <t>INE196A01026</t>
  </si>
  <si>
    <t>Marico Ltd</t>
  </si>
  <si>
    <t>INE271C01023</t>
  </si>
  <si>
    <t>DLF Ltd</t>
  </si>
  <si>
    <t>INE463A01038</t>
  </si>
  <si>
    <t>Berger Paints (I) Ltd</t>
  </si>
  <si>
    <t>INE016A01026</t>
  </si>
  <si>
    <t>Dabur India Ltd</t>
  </si>
  <si>
    <t>INE079A01024</t>
  </si>
  <si>
    <t>Ambuja Cements Ltd</t>
  </si>
  <si>
    <t>INE795G01014</t>
  </si>
  <si>
    <t>HDFC Life Insurance Company Ltd</t>
  </si>
  <si>
    <t>INE066A01021</t>
  </si>
  <si>
    <t>Eicher Motors Ltd</t>
  </si>
  <si>
    <t>INE018E01016</t>
  </si>
  <si>
    <t>SBI Cards and Payment Services Ltd</t>
  </si>
  <si>
    <t>INE545U01014</t>
  </si>
  <si>
    <t>Bandhan Bank Ltd</t>
  </si>
  <si>
    <t>INE259A01022</t>
  </si>
  <si>
    <t>Colgate Palmolive (India) Ltd</t>
  </si>
  <si>
    <t>INE522F01014</t>
  </si>
  <si>
    <t>Coal India Ltd</t>
  </si>
  <si>
    <t>INE010B01027</t>
  </si>
  <si>
    <t>Cadila Healthcare Ltd</t>
  </si>
  <si>
    <t>INE726G01019</t>
  </si>
  <si>
    <t>ICICI Prudential Life Insurance Company Ltd</t>
  </si>
  <si>
    <t>INE158A01026</t>
  </si>
  <si>
    <t>Hero MotoCorp Ltd</t>
  </si>
  <si>
    <t>INE121J01017</t>
  </si>
  <si>
    <t>Indus Towers Ltd (Prev Bharti Infratel Ltd)</t>
  </si>
  <si>
    <t>INE127D01025</t>
  </si>
  <si>
    <t>HDFC Asset Management Company Ltd</t>
  </si>
  <si>
    <t>INE095A01012</t>
  </si>
  <si>
    <t>IndusInd Bank Ltd</t>
  </si>
  <si>
    <t>INEDUMMYYESB</t>
  </si>
  <si>
    <t>INE181A01010</t>
  </si>
  <si>
    <t>Sundaram Rural and Consumption Fund</t>
  </si>
  <si>
    <t>INE951I01027</t>
  </si>
  <si>
    <t>V-Guard Industries Ltd</t>
  </si>
  <si>
    <t>INE872J01023</t>
  </si>
  <si>
    <t>Devyani international limited</t>
  </si>
  <si>
    <t>Sundaram Services Fund</t>
  </si>
  <si>
    <t>INE07T201019</t>
  </si>
  <si>
    <t>Burger King India Ltd</t>
  </si>
  <si>
    <t>INE933S01016</t>
  </si>
  <si>
    <t>Indiamart Intermesh Ltd</t>
  </si>
  <si>
    <t>INE804L01022</t>
  </si>
  <si>
    <t>Medplus Health Services Ltd</t>
  </si>
  <si>
    <t>MU0295S00016</t>
  </si>
  <si>
    <t>Make My Trip Ltd (USD)</t>
  </si>
  <si>
    <t>Sundaram Diversified Equity</t>
  </si>
  <si>
    <t>Rupees Per Unit</t>
  </si>
  <si>
    <t>Stock Future</t>
  </si>
  <si>
    <t>Margin Money For Derivatives</t>
  </si>
  <si>
    <t>INE944F01028</t>
  </si>
  <si>
    <t>Radico Khaitan Ltd</t>
  </si>
  <si>
    <t>INE342J01019</t>
  </si>
  <si>
    <t>Wabco India Ltd</t>
  </si>
  <si>
    <t>INE470A01017</t>
  </si>
  <si>
    <t>3M India Ltd</t>
  </si>
  <si>
    <t>INE269B01029</t>
  </si>
  <si>
    <t>Lakshmi Machine Works Ltd</t>
  </si>
  <si>
    <t>INE020B01018</t>
  </si>
  <si>
    <t>REC Ltd</t>
  </si>
  <si>
    <t>Index Future</t>
  </si>
  <si>
    <t>INE020B08BF0</t>
  </si>
  <si>
    <t>REC Ltd - 8.45% - 22/03/2022**</t>
  </si>
  <si>
    <t>INE001A07RS3</t>
  </si>
  <si>
    <t>Housing Development Finance Corporation Ltd - 8.58% - 18/03/2022**</t>
  </si>
  <si>
    <t>INE020B08AT3</t>
  </si>
  <si>
    <t>REC Ltd - 7.99% - 23/02/2023**</t>
  </si>
  <si>
    <t>Sundaram Financial Services Opportunities Fund</t>
  </si>
  <si>
    <t>INE674K01013</t>
  </si>
  <si>
    <t>Aditya Birla Capital Ltd</t>
  </si>
  <si>
    <t>INE780C01023</t>
  </si>
  <si>
    <t>JM Financial Ltd</t>
  </si>
  <si>
    <t>INE774D01024</t>
  </si>
  <si>
    <t>Mahindra &amp; Mahindra Financial Services Ltd</t>
  </si>
  <si>
    <t>MULTIP</t>
  </si>
  <si>
    <t>SUNBCF</t>
  </si>
  <si>
    <t>MIDCAP</t>
  </si>
  <si>
    <t>SMILE</t>
  </si>
  <si>
    <t>SPSN100</t>
  </si>
  <si>
    <t>SPARF</t>
  </si>
  <si>
    <t>SPBAF</t>
  </si>
  <si>
    <t>SPAHF</t>
  </si>
  <si>
    <t>SPMUCF</t>
  </si>
  <si>
    <t>SPESF</t>
  </si>
  <si>
    <t>CAPEXG</t>
  </si>
  <si>
    <t>MICAP14</t>
  </si>
  <si>
    <t>MICAP15</t>
  </si>
  <si>
    <t>MICAP16</t>
  </si>
  <si>
    <t>MICAP17</t>
  </si>
  <si>
    <t>MULTI1</t>
  </si>
  <si>
    <t>MULTI2</t>
  </si>
  <si>
    <t>SESCAP1</t>
  </si>
  <si>
    <t>SESCAP2</t>
  </si>
  <si>
    <t>SESCAP3</t>
  </si>
  <si>
    <t>SESCAP4</t>
  </si>
  <si>
    <t>SESCAP5</t>
  </si>
  <si>
    <t>SESCAP6</t>
  </si>
  <si>
    <t>SESCAP7</t>
  </si>
  <si>
    <t>SLTADV3</t>
  </si>
  <si>
    <t>SLTADV4</t>
  </si>
  <si>
    <t>SLTAX1</t>
  </si>
  <si>
    <t>SLTAX2</t>
  </si>
  <si>
    <t>SLTAX3</t>
  </si>
  <si>
    <t>SLTAX4</t>
  </si>
  <si>
    <t>SLTAX5</t>
  </si>
  <si>
    <t>SLTAX6</t>
  </si>
  <si>
    <t>SPDYF</t>
  </si>
  <si>
    <t>SPFOCUS</t>
  </si>
  <si>
    <t>SPTAX</t>
  </si>
  <si>
    <t>SRURAL</t>
  </si>
  <si>
    <t>SSFUND</t>
  </si>
  <si>
    <t>STAX</t>
  </si>
  <si>
    <t>SUNFOP</t>
  </si>
  <si>
    <t>INE001A13049</t>
  </si>
  <si>
    <t>Housing Development Finance Corporation Ltd.</t>
  </si>
  <si>
    <t>INE001A07SD3</t>
  </si>
  <si>
    <t>Housing Development Finance Corporation Ltd - 7.21% - 30/12/2022**</t>
  </si>
  <si>
    <t>INE134E08KO6</t>
  </si>
  <si>
    <t>Power Finance Corporation Ltd - 6.83% - 24/04/2023**</t>
  </si>
  <si>
    <t>INE062A08157</t>
  </si>
  <si>
    <t xml:space="preserve"> CRISIL AA+ </t>
  </si>
  <si>
    <t>INE861G08035</t>
  </si>
  <si>
    <t>INE020B08DR1</t>
  </si>
  <si>
    <t>REC Ltd - 5.74% - 20/06/2024**</t>
  </si>
  <si>
    <t>INE261F08CS2</t>
  </si>
  <si>
    <t>National Bank for Agricultural &amp; Rural Development - 4.6% - 29/07/2022**</t>
  </si>
  <si>
    <t>INE040A08377</t>
  </si>
  <si>
    <t>INE514E08FL5</t>
  </si>
  <si>
    <t>INE028A08158</t>
  </si>
  <si>
    <t xml:space="preserve"> IND AAA </t>
  </si>
  <si>
    <t>INE557F08FG1</t>
  </si>
  <si>
    <t>National Housing Bank  - 7.05% - 18/12/2024**</t>
  </si>
  <si>
    <t>INE028A08117</t>
  </si>
  <si>
    <t>INE115A07PE5</t>
  </si>
  <si>
    <t>LIC Housing Finance Ltd - 4.545% - 28/03/2022**</t>
  </si>
  <si>
    <t>INE134E08KD9</t>
  </si>
  <si>
    <t>Power Finance Corporation Ltd - 8.1% - 04/06/2024**</t>
  </si>
  <si>
    <t>INE261F08BK1</t>
  </si>
  <si>
    <t>National Bank for Agricultural &amp; Rural Development - 7.69% - 29/05/2024**</t>
  </si>
  <si>
    <t>INE020B08AA3</t>
  </si>
  <si>
    <t>REC Ltd - 7.52% - 07/11/2026**</t>
  </si>
  <si>
    <t>INE115A07OJ7</t>
  </si>
  <si>
    <t>LIC Housing Finance Ltd - 7.445% - 13/01/2023**</t>
  </si>
  <si>
    <t>INE238A08443</t>
  </si>
  <si>
    <t>INE090A08TW2</t>
  </si>
  <si>
    <t>INE134E08LK2</t>
  </si>
  <si>
    <t>Power Finance Corporation Ltd - 6.09% - 27/08/2026**</t>
  </si>
  <si>
    <t>INE261F08DI1</t>
  </si>
  <si>
    <t>National Bank for Agricultural &amp; Rural Development - 5.23% - 31/01/2025**</t>
  </si>
  <si>
    <t>INE528G08246</t>
  </si>
  <si>
    <t>INE895D07487</t>
  </si>
  <si>
    <t>Tata Sons Pvt Ltd - 9.3% - 19/06/2024**</t>
  </si>
  <si>
    <t>IN0020130012</t>
  </si>
  <si>
    <t xml:space="preserve">7.16% CGL 20/05/2023 </t>
  </si>
  <si>
    <t>IN002020Z428</t>
  </si>
  <si>
    <t>364Days- T Bill- 20012022</t>
  </si>
  <si>
    <t>IN002021X330</t>
  </si>
  <si>
    <t>91 Days - T Bill - 27012022</t>
  </si>
  <si>
    <t>Cash and Other Net Current Assets^</t>
  </si>
  <si>
    <t>**Non Traded Securities</t>
  </si>
  <si>
    <t>^ Net current assets includes interest accrued on fixed income securities</t>
  </si>
  <si>
    <t>Individual &amp; HUF</t>
  </si>
  <si>
    <t>Others</t>
  </si>
  <si>
    <t>h) Macaulay Duration (years)</t>
  </si>
  <si>
    <t>INE092A01019</t>
  </si>
  <si>
    <t>Tata Chemicals Ltd</t>
  </si>
  <si>
    <t>INE001A07RU9</t>
  </si>
  <si>
    <t>Housing Development Finance Corporation Ltd - 8.05% - 20/06/2022**</t>
  </si>
  <si>
    <t>INE094A08085</t>
  </si>
  <si>
    <t>Hindustan Petroleum Corporation Ltd - 4.79% - 23/10/2023**</t>
  </si>
  <si>
    <t>INE020B08CN2</t>
  </si>
  <si>
    <t>REC Ltd - 6.8% - 30/06/2023**</t>
  </si>
  <si>
    <t>INE115A07OH1</t>
  </si>
  <si>
    <t>LIC Housing Finance Ltd - 7.6% - 22/11/2022**</t>
  </si>
  <si>
    <t>INE261F08BW6</t>
  </si>
  <si>
    <t>National Bank for Agricultural &amp; Rural Development - 6.72% - 14/04/2023**</t>
  </si>
  <si>
    <t>INE001A07SH4</t>
  </si>
  <si>
    <t>Housing Development Finance Corporation Ltd - 6.99% - 13/02/2023**</t>
  </si>
  <si>
    <t>INE020B08DC3</t>
  </si>
  <si>
    <t>REC Ltd - 5.69% - 30/09/2023**</t>
  </si>
  <si>
    <t>INE001A07SQ5</t>
  </si>
  <si>
    <t>Housing Development Finance Corporation Ltd - 4.95% - 09/09/2022**</t>
  </si>
  <si>
    <t>INE115A07CY1</t>
  </si>
  <si>
    <t>LIC Housing Finance Ltd - 9.3% - 14/09/2022**</t>
  </si>
  <si>
    <t>INE134E08KJ6</t>
  </si>
  <si>
    <t>Power Finance Corporation Ltd - 7.04% - 14/04/2023**</t>
  </si>
  <si>
    <t>INE020B08CD3</t>
  </si>
  <si>
    <t>REC Ltd - 7.09% - 13/12/2022**</t>
  </si>
  <si>
    <t>INE053F07BZ2</t>
  </si>
  <si>
    <t>Indian Railway Finance Corporation Ltd - 6.59% - 14/04/2023**</t>
  </si>
  <si>
    <t>INE115A14DA5</t>
  </si>
  <si>
    <t>LIC Housing Finance Ltd - 14/02/2022**</t>
  </si>
  <si>
    <t>INE0GGX23010</t>
  </si>
  <si>
    <t>Power Grid Infrastructure Investment Trust(InvIT)</t>
  </si>
  <si>
    <t>INE041025011</t>
  </si>
  <si>
    <t>Embassy Office Parks(REIT)</t>
  </si>
  <si>
    <t>Housing Development Finance
Corporation Ltd</t>
  </si>
  <si>
    <t>c) 1. NAV per unit (Rupees per unit) - Transferee scheme</t>
  </si>
  <si>
    <t xml:space="preserve">      2. NAV per unit (Rupees per unit) - Transferror scheme</t>
  </si>
  <si>
    <t xml:space="preserve">      2. IDCW^^ declared during the period (Rupees per unit) - Transferror scheme</t>
  </si>
  <si>
    <t>d) 1. IDCW^^ declared during the period (Rupees per unit) - Transferee scheme</t>
  </si>
  <si>
    <t>NIL</t>
  </si>
  <si>
    <t>Direct Plan - Monthly IDCW^^</t>
  </si>
  <si>
    <t>Regular Plan - Monthly IDCW^^</t>
  </si>
  <si>
    <t>Direct Plan - Half Yearly IDCW^^</t>
  </si>
  <si>
    <t>Regular Plan - Half Yearly IDCW^^</t>
  </si>
  <si>
    <t>Direct Plan - Quarterly IDCW^^</t>
  </si>
  <si>
    <t>Regular Plan - Quarterly IDCW^^</t>
  </si>
  <si>
    <t xml:space="preserve">Sundaram Arbitrage Fund </t>
  </si>
  <si>
    <t>Sundaram Focused  Fund</t>
  </si>
  <si>
    <t xml:space="preserve">Sundaram Smart Nifty 100 Equal Weight Fund </t>
  </si>
  <si>
    <t>Sundaram  Large And Mid Cap Fund</t>
  </si>
  <si>
    <t>Sundaram Multi Cap Fund</t>
  </si>
  <si>
    <t>Sundaram Tax Savings Fund (Elss)</t>
  </si>
  <si>
    <t>Sundaram Bluechip Fund</t>
  </si>
  <si>
    <t>Sundaram Multi Cap Fund Series II</t>
  </si>
  <si>
    <t>Sundaram Long Term Advantage Fund Series III</t>
  </si>
  <si>
    <t>Sundaram Long Term Advantage Fund Series IV</t>
  </si>
  <si>
    <t>Sundaram Long Term Tax Advantage Fund Series I</t>
  </si>
  <si>
    <t>Sundaram Long Term Tax Advantage Fund Series II</t>
  </si>
  <si>
    <t>Sundaram Rural And Consumption Fund</t>
  </si>
  <si>
    <t>Sundaram Service Fund</t>
  </si>
  <si>
    <t>S.NO.</t>
  </si>
  <si>
    <t>ACRONYM</t>
  </si>
  <si>
    <t>SCHEME NAME</t>
  </si>
  <si>
    <t>Hindustan Dorr-Oliver Ltd @</t>
  </si>
  <si>
    <t>b) Total value and percentage of illiquid equity shares @</t>
  </si>
  <si>
    <t>0.00 / #</t>
  </si>
  <si>
    <t>Balmer Lawrie Freight Containers Ltd @</t>
  </si>
  <si>
    <t>Noble Brothers Impex Ltd @</t>
  </si>
  <si>
    <t>Tirrihannah Company Ltd @</t>
  </si>
  <si>
    <t>Western Paques (India) Ltd @</t>
  </si>
  <si>
    <t>Minerava Holdings Ltd @</t>
  </si>
  <si>
    <t>Crystal Cable Industries Ltd @</t>
  </si>
  <si>
    <t>Steel Authority of India Ltd Jan 2022</t>
  </si>
  <si>
    <t>Dabur India Limited Jan 2022</t>
  </si>
  <si>
    <t>Ashok Leyland Ltd Jan 2022</t>
  </si>
  <si>
    <t>Asian Paints Limited Jan 2022</t>
  </si>
  <si>
    <t>Larsen &amp; Toubro Ltd Jan 2022</t>
  </si>
  <si>
    <t>Infosys Limited Jan 2022</t>
  </si>
  <si>
    <t>Page Industries Ltd Jan 2022</t>
  </si>
  <si>
    <t>SBI Cards and Payment Services Ltd Jan 2022</t>
  </si>
  <si>
    <t>Canara Bank Jan 2022</t>
  </si>
  <si>
    <t>Hindalco Industries Ltd Jan 2022</t>
  </si>
  <si>
    <t>HDFC Life Insurance Company Ltd Jan 2022</t>
  </si>
  <si>
    <t>HDFC Asset Management Company Ltd Jan 2022</t>
  </si>
  <si>
    <t>Bharat Forge Ltd Jan 2022</t>
  </si>
  <si>
    <t>Tata Steel Limited Jan 2022</t>
  </si>
  <si>
    <t>ICICI Bank Ltd Jan 2022</t>
  </si>
  <si>
    <t>LIC Housing Finance Ltd Jan 2022</t>
  </si>
  <si>
    <t>HCL Technologies Limited Jan 2022</t>
  </si>
  <si>
    <t>TATA Consultancy Services Ltd Jan 2022</t>
  </si>
  <si>
    <t>Adani Ports &amp; SEZ Ltd Jan 2022</t>
  </si>
  <si>
    <t>Bajaj Finserv Limited Jan 2022</t>
  </si>
  <si>
    <t>Apollo Hospitals Enterprise Limited Jan 2022</t>
  </si>
  <si>
    <t>ITC Ltd Jan 2022</t>
  </si>
  <si>
    <t>Housing Development Fin Corp Ltd Jan 2022</t>
  </si>
  <si>
    <t>Hindustan Unilever Ltd Jan 2022</t>
  </si>
  <si>
    <t>State Bank of India Jan 2022</t>
  </si>
  <si>
    <t>Jindal Steel &amp; Power Ltd Jan 2022</t>
  </si>
  <si>
    <t>Reliance Industries Ltd Jan 2022</t>
  </si>
  <si>
    <t>Axis Bank Ltd Jan 2022</t>
  </si>
  <si>
    <t>Coal India Limited Jan 2022</t>
  </si>
  <si>
    <t>Mahindra &amp; Mahindra Ltd Jan 2022</t>
  </si>
  <si>
    <t>GAIL (India) Limited Jan 2022</t>
  </si>
  <si>
    <t>NMDC Ltd Jan 2022</t>
  </si>
  <si>
    <t>Aurobindo Pharma Limited Jan 2022</t>
  </si>
  <si>
    <t>Bajaj Finance Limited Jan 2022</t>
  </si>
  <si>
    <t>Eicher Motors Limited Jan 2022</t>
  </si>
  <si>
    <t>REC Limited Jan 2022</t>
  </si>
  <si>
    <t>TATA Consumer Products Ltd Jan 2022</t>
  </si>
  <si>
    <t>Titan Company Limited Jan 2022</t>
  </si>
  <si>
    <t>Tata Chemicals Limited Jan 2022</t>
  </si>
  <si>
    <t>SBI Life Insurance Company Ltd Jan 2022</t>
  </si>
  <si>
    <t>Sun Pharmaceutical Industries Limited Jan 2022</t>
  </si>
  <si>
    <t>Tata Power Company Limited Jan 2022</t>
  </si>
  <si>
    <t>Kotak Mahindra Bank Ltd Jan 2022</t>
  </si>
  <si>
    <t>Grasim Industries Limited Jan 2022</t>
  </si>
  <si>
    <t>Punjab National Bank Jan 2022</t>
  </si>
  <si>
    <t>Lupin Ltd Jan 2022</t>
  </si>
  <si>
    <t>Bajaj Auto Ltd Jan 2022</t>
  </si>
  <si>
    <t>Tata Motors Ltd Jan 2022</t>
  </si>
  <si>
    <t>Divis Labarotories Ltd Jan 2022</t>
  </si>
  <si>
    <t>Pidilite Industries Ltd Jan 2022</t>
  </si>
  <si>
    <t>Tech Mahindra Ltd Jan 2022</t>
  </si>
  <si>
    <t>Bharti Airtel Ltd Jan 2022</t>
  </si>
  <si>
    <t>United Spirits Ltd Jan 2022</t>
  </si>
  <si>
    <t>Nifty Jan 2022</t>
  </si>
  <si>
    <t>Hero MotoCorp Ltd Jan 2022</t>
  </si>
  <si>
    <t>Federal Bank Jan 2022</t>
  </si>
  <si>
    <t>Sandur Laminates Ltd @</t>
  </si>
  <si>
    <t>Sangam Health Care Products Ltd @</t>
  </si>
  <si>
    <t>Virtual Dynamics Software Ltd @</t>
  </si>
  <si>
    <t>Mukerian Papers Ltd @</t>
  </si>
  <si>
    <t>Precision Fasteners Ltd @</t>
  </si>
  <si>
    <t>Punjab Wireless Systems Ltd @</t>
  </si>
  <si>
    <t>As Per Annexure-A</t>
  </si>
  <si>
    <t>Rs.799.11 Lacs</t>
  </si>
  <si>
    <t>Tata Motors DVR Ltd.</t>
  </si>
  <si>
    <t>Bharti Airtel Ltd - Partly Paid Right Shares</t>
  </si>
  <si>
    <t>g) Average Maturity - only for Debt portion (years)</t>
  </si>
  <si>
    <t>h) Macaulay Duration - only for Debt portion (years)</t>
  </si>
  <si>
    <t>i) Portfolio Turnover Ratio</t>
  </si>
  <si>
    <t>j) Repo in corporate debt</t>
  </si>
  <si>
    <t xml:space="preserve"> CRISIL AAA(CE)</t>
  </si>
  <si>
    <t>Debt instruments having structured obligations or credit enhancement features have been denoted with suffix as (SO) or (CE) respectively against the ratings of the instrument.</t>
  </si>
  <si>
    <t xml:space="preserve"> ICRA AAA </t>
  </si>
  <si>
    <t xml:space="preserve"> ICRA AA+ </t>
  </si>
  <si>
    <t xml:space="preserve"> ICRA BBB </t>
  </si>
  <si>
    <t>YTM (%)</t>
  </si>
  <si>
    <t>ISIN</t>
  </si>
  <si>
    <t>NAME OF THE SECURITY</t>
  </si>
  <si>
    <t>VALUE OF THE SECURITY CONSIDERED UNDER NET RECEIVABLES</t>
  </si>
  <si>
    <t>% TO AUM</t>
  </si>
  <si>
    <t>INE528G08394</t>
  </si>
  <si>
    <t>9%-YES BANK LTD-NCD-Call opt-18/10/2022-Perpetual Bond $</t>
  </si>
  <si>
    <t>TOTAL AMOUNT INCLUDING INTEREST DUE TO THE SCHEME</t>
  </si>
  <si>
    <t>TOTAL AMOUNT DUE</t>
  </si>
  <si>
    <t>PRINCIPAL (Rs. in Lacs)</t>
  </si>
  <si>
    <t>Interest Accrued till 05 Mar 2020
(Rs. in Lacs)</t>
  </si>
  <si>
    <t>Interest not accrued upto 31/05/2021 from the default date (Rs. in Lacs)</t>
  </si>
  <si>
    <t>Total 
(Rs. in Lacs)</t>
  </si>
  <si>
    <t>$ Yes Bank Limited Reconstruction Scheme 2020” was notified in the Official Gazette on March 13, 2020. Based on that, the Basel III Additional Tier I Bonds (ISIN - INE528G08394) were written down in the scheme along with the Interest accrued.</t>
  </si>
  <si>
    <t>% to AUM as on 31.12.2021</t>
  </si>
  <si>
    <t>g) Average Maturity (years)</t>
  </si>
  <si>
    <t>Insurance</t>
  </si>
  <si>
    <t>Capital Markets</t>
  </si>
  <si>
    <t>Cement &amp; Cement Products</t>
  </si>
  <si>
    <t>Entertainment</t>
  </si>
  <si>
    <t>Leisure Services</t>
  </si>
  <si>
    <t>Financial Technology (Fintech)</t>
  </si>
  <si>
    <t>Other Services</t>
  </si>
  <si>
    <t>Aerospace &amp; Defense</t>
  </si>
  <si>
    <t>Printing &amp; Publication</t>
  </si>
  <si>
    <t>Yes Bank Ltd - 9.9% - 31/10/2022** (Tier II bond under Basel II)</t>
  </si>
  <si>
    <t>State Bank of India - 8.15% - Call Dt 02/08/2022** (Perpetual Bond under Basel III)</t>
  </si>
  <si>
    <t>HDFC Bank Ltd - 8.85% - Call Dt 12/05/2022** (Perpetual Bond under Basel III)</t>
  </si>
  <si>
    <t>Export Import Bank of India - 8.6% - Call Dt 31/03/2022** (Perpetual Bond under Basel III)</t>
  </si>
  <si>
    <t>Bank of Baroda - 8.55% - Call Dt 14-Feb-2024 (Tier II Bond under Basel III)**</t>
  </si>
  <si>
    <t>Bank of Baroda - 8.65% - Call Dt 11/08/2022**  (Perpetual Bond under Basel III)</t>
  </si>
  <si>
    <t>Axis Bank Ltd - 8.75% - Call Dt 28/06/2022** (Perpetual Bond under Basel III)</t>
  </si>
  <si>
    <t>ICICI Bank Ltd - 9.2% - Call Dt 17/03/2022** (Perpetual Bond under Basel III)</t>
  </si>
  <si>
    <t>Yield to call date %</t>
  </si>
  <si>
    <t>Direct Plan - IDCW^^</t>
  </si>
  <si>
    <t>Regular Plan - IDCW^^</t>
  </si>
  <si>
    <t>d) IDCW^^ declared during the period (Rupees per unit)</t>
  </si>
  <si>
    <t>Institutional Plan - IDCW^^</t>
  </si>
  <si>
    <t>Direct Plan - Halfyearly IDCW^^</t>
  </si>
  <si>
    <t>Regular Plan - Halfyearly IDCW^^</t>
  </si>
  <si>
    <t>^^ IDCW means Income distribution cum capital withdrawal (Payout/Reinvestment/Transfer)</t>
  </si>
  <si>
    <t>Monthly Portfolio Statement for the month ended 31 December 2021</t>
  </si>
  <si>
    <t>SUNDARAM GLOBAL BRAND FUND</t>
  </si>
  <si>
    <t>Monthly Portfolio Statement for the period ended 31 Dec 2021</t>
  </si>
  <si>
    <t>S.NO</t>
  </si>
  <si>
    <t>ISIN CODE</t>
  </si>
  <si>
    <t>Name of the Instrument</t>
  </si>
  <si>
    <t>Industry/ Rating</t>
  </si>
  <si>
    <t>A) Investments in Foreign Securities - Units of Mutual Funds</t>
  </si>
  <si>
    <t>SG9999013908</t>
  </si>
  <si>
    <t>SUNDARAM GLOBAL BRAND FUND -MASTER CLASS (Singapore)</t>
  </si>
  <si>
    <t>Mutual Funds</t>
  </si>
  <si>
    <t>Total for Investments in Foreign Securities - Units of Mutual Funds</t>
  </si>
  <si>
    <t>B) Money Market Investments</t>
  </si>
  <si>
    <t>(a) Treasury Bills</t>
  </si>
  <si>
    <t>(b) ReverseRepo / TREPS</t>
  </si>
  <si>
    <t>Cash and Other Net Curent Assets</t>
  </si>
  <si>
    <t>a) Total securities below investment grade or default  - Nil</t>
  </si>
  <si>
    <t>b) Total value and percentage of illiquid equity shares - Nil</t>
  </si>
  <si>
    <t>c) 1. NAV  per  unit (Rupees per unit) - Transferee scheme</t>
  </si>
  <si>
    <t xml:space="preserve"> </t>
  </si>
  <si>
    <t>Options</t>
  </si>
  <si>
    <t>Direct Plan - IDCW ^^</t>
  </si>
  <si>
    <t>Regular Plan - IDCW ^^</t>
  </si>
  <si>
    <t xml:space="preserve">     2. NAV  per  unit (Rupees per unit) - Transferror scheme</t>
  </si>
  <si>
    <t>d) IDCW declared during the period (Rupees per unit) - Nil</t>
  </si>
  <si>
    <t>e) Total outstanding exposure in derivative instrumentsat the end of the period - Nil</t>
  </si>
  <si>
    <t>f) Total investments in foreign securities /ADR'S/GDR'S  at the end of the period - Rs. 10,173.36 lacs</t>
  </si>
  <si>
    <t>g) Repo in Corporate Debt - Nil</t>
  </si>
  <si>
    <t>GLOB</t>
  </si>
  <si>
    <t>Sundaram Global Brand Fund</t>
  </si>
  <si>
    <t>Scheme Riskometer</t>
  </si>
  <si>
    <t>Benchmark Riskometer - NIFTY Infrastructure TRI</t>
  </si>
  <si>
    <t>Benchmark Riskometer - Nifty Small Cap 100 TRI</t>
  </si>
  <si>
    <t>Benchmark Riskometer - CRISIL Hybrid 35+65 - Aggressive Index</t>
  </si>
  <si>
    <t>Benchmark Riskometer - Nifty India Consumption TRI</t>
  </si>
  <si>
    <t>Benchmark Riskometer - S&amp;P BSE Small Cap INDEX</t>
  </si>
  <si>
    <t>Benchmark Riskometer - S&amp;P BSE 500 INDDX</t>
  </si>
  <si>
    <t>Benchmark Riskometer - S&amp;P BSE 500 INDEX</t>
  </si>
  <si>
    <t>Benchmark Riskometer - S&amp;P BSE 250 SmallCap</t>
  </si>
  <si>
    <t>Benchmark Riskometer - NIFTY 50 Arbitrage INDEX</t>
  </si>
  <si>
    <t>Benchmark Riskometer - Nifty Equity Savings INDEX</t>
  </si>
  <si>
    <t>Benchmark Riskometer - Nifty Financial Services</t>
  </si>
  <si>
    <t>Benchmark Riskometer - MSCI ACWI TRI</t>
  </si>
  <si>
    <t>TIRE I Benchmark Riskometer - Nifty Small Cap 250 TRI</t>
  </si>
  <si>
    <t>TIRE II Benchmark Riskometer - Nifty Small Cap 100 TRI</t>
  </si>
  <si>
    <t>TIRE II Benchmark Riskometer - S&amp;P BSE 200</t>
  </si>
  <si>
    <t>Sundaram Aggressive Hybrid Fund (Formerly Known As Principal Hybrid Equity Fund)</t>
  </si>
  <si>
    <t>Sundaram Arbitrage Fund (Formerly Known As Principal Arbitrage Fund)</t>
  </si>
  <si>
    <t>Sundaram Balanced Advantage Fund (Formerly Known As Principal Balanced Advantage Fund)</t>
  </si>
  <si>
    <t>Sundaram Dividend Yield Fund (Formerly Known As Principal Dividend Yield Fund)</t>
  </si>
  <si>
    <t>Sundaram Equity Savings Fund (Formerly Known As Principal Equity Savings Fund)</t>
  </si>
  <si>
    <t>Sundaram Focused Fund (Formerly Known As Principal Focused Multicap Fund)</t>
  </si>
  <si>
    <t>Sundaram Multi Cap Fund (Formerly Known As Principal Multi Cap Growth Fund)</t>
  </si>
  <si>
    <t>Sundaram Nifty 100 Equal Weight Fund (Formerly Known As Principal Nifty 100 Equal Weight Fund)</t>
  </si>
  <si>
    <t>Sundaram Large Cap Fund (Formerly Known As Sundaram Bluechip Fund)</t>
  </si>
  <si>
    <t>Tier I Benchmark Riskometer - Nifty MidCap 150 TRI</t>
  </si>
  <si>
    <t>Tier II Benchmark Riskometer - Nifty MidCap 100 TRI</t>
  </si>
  <si>
    <t>Tier I Benchmark Riskometer - Nifty Large Mid Cap 250 INDEX</t>
  </si>
  <si>
    <t>Tier II Benchmark Riskometer - Nifty Large Mid Cap 250 INDEX</t>
  </si>
  <si>
    <t>Benchmark Riskometer - NIFTY 50 Hybrid Composite Debt 50 : 50 INDEX</t>
  </si>
  <si>
    <t>Tier II Benchmark Riskometer - NIFTY 500 TRI</t>
  </si>
  <si>
    <t>Tier I Benchmark Riskometer - NIFTY 500 TRI</t>
  </si>
  <si>
    <t>Tier I Benchmark Riskometer - Nifty 500</t>
  </si>
  <si>
    <t>Tier I Benchmark Riskometer - Nifty 500 MultiCap 50:25:25</t>
  </si>
  <si>
    <t>Tier II Benchmark Riskometer - Nifty 500 MultiCap 50:25:25</t>
  </si>
  <si>
    <t>Benchmark Riskometer - Nifty 100 Equal Weight TRI</t>
  </si>
  <si>
    <t>Tier I Benchmark Riskometer - NIFTY Services Sector Index</t>
  </si>
  <si>
    <t>Tier II Benchmark Riskometer - NIFTY 500 MULTICAP 50:25:25</t>
  </si>
  <si>
    <t>Tier I Benchmark Riskometer - NIFTY 500 Index</t>
  </si>
  <si>
    <t>Tier I Benchmark Riskometer - Nifty 100 TRI INDEX</t>
  </si>
  <si>
    <t>Tier II Benchmark Riskometer - Nifty 100 TRI INDEX</t>
  </si>
  <si>
    <t>Sundaram Tax Savings Fund (ELSS) (Formerly Known As Principal Tax Savings Fund)</t>
  </si>
  <si>
    <t>Sundaram Large and Mid Cap Fund</t>
  </si>
  <si>
    <t>Rs. 60.18 lacs / 0.03%</t>
  </si>
  <si>
    <t>Milestone Global Ltd $$</t>
  </si>
  <si>
    <t>Chennai Super Kings Ltd @</t>
  </si>
  <si>
    <t>Crescent Finstock Ltd @</t>
  </si>
  <si>
    <t>Name of The security</t>
  </si>
  <si>
    <t xml:space="preserve">ISIN </t>
  </si>
  <si>
    <t>Net receivable/Market value  (Rs. Lakh)</t>
  </si>
  <si>
    <t>% to NAV</t>
  </si>
  <si>
    <t>Total Amount(Principal &amp; Interest)  (Rs. Lakh)</t>
  </si>
  <si>
    <t>15% Premier Vinyl Ltd</t>
  </si>
  <si>
    <t>Not Available</t>
  </si>
  <si>
    <t>i) Exposure to securities classified as below investment grade or default as on December 31, 2021:-</t>
  </si>
  <si>
    <t>Refer below point i)</t>
  </si>
  <si>
    <t>~ Any realization beyond the carrying value shall be distributed to the investors existed as on March 13, 2020.</t>
  </si>
  <si>
    <t>Yes Bank Ltd ~</t>
  </si>
  <si>
    <t>(c) Reconstituted Portfolio</t>
  </si>
  <si>
    <t>Apollo Tyres Ltd @@</t>
  </si>
  <si>
    <t>$$ - Thinly Traded securities;  # percentage to NAV of security is less than 0.01%</t>
  </si>
  <si>
    <t>** Thinly traded / Non Traded Securities;  # percentage to NAV of security is less than 0.01%</t>
  </si>
  <si>
    <t># percentage to NAV of security is less than 0.01%; @@ - Valued at Nil as these equity shares have been pending under objection for considerable period of time.</t>
  </si>
  <si>
    <t>21.50% Dewan Rubber Ltd</t>
  </si>
  <si>
    <t>Chemox Chemicals Industries</t>
  </si>
  <si>
    <r>
      <t xml:space="preserve">d) 1. IDCW^^ declared during the period (Rupees per unit) - Transferee scheme - </t>
    </r>
    <r>
      <rPr>
        <b/>
        <sz val="10"/>
        <color rgb="FF000000"/>
        <rFont val="Calibri"/>
        <family val="2"/>
      </rPr>
      <t>Nil</t>
    </r>
  </si>
  <si>
    <t>@@ Valued at Nil as these equity shares have been pending under objection for considerable period of time.</t>
  </si>
  <si>
    <t>Rs. 23.41 lacs / 0.03%</t>
  </si>
  <si>
    <t>18% Jord Engineering Ltd</t>
  </si>
  <si>
    <t>i) Exposure to securities classified as below investment grade or default as on December 30, 2021:-</t>
  </si>
  <si>
    <t xml:space="preserve">IL&amp;FS Financial Services Ltd. 24SEP18 CP </t>
  </si>
  <si>
    <t>INE121H14JU3</t>
  </si>
  <si>
    <t>k) Exposure to securities classified as below investment grade or default as on December 31, 2021:-</t>
  </si>
  <si>
    <t>Refer below point k)</t>
  </si>
  <si>
    <t>Tier II Benchmark Riskometer - Nifty 500</t>
  </si>
  <si>
    <t>Food Corporation of India - 9.95% - 07/03/2022 (Unconditional and irrevocable corporate guarantee by Government of India)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</si>
</sst>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43" formatCode="_(* #,##0.00_);_(* \(#,##0.00\);_(* &quot;-&quot;??_);_(@_)"/>
    <numFmt numFmtId="164" formatCode="_ * #,##0.00_ ;_ * \-#,##0.00_ ;_ * &quot;-&quot;??_ ;_ @_ "/>
    <numFmt numFmtId="165" formatCode="[$-1014009]General"/>
    <numFmt numFmtId="166" formatCode="[$-1014009]###0;\(###0\)"/>
    <numFmt numFmtId="167" formatCode="[$-1014009]###0.00;\(###0.00\)"/>
    <numFmt numFmtId="168" formatCode="[$-1014009]###0.00%;\(###0.00%\)"/>
    <numFmt numFmtId="169" formatCode="[$-1014009]#,##0.00;\-#,##0.00"/>
    <numFmt numFmtId="170" formatCode="[$-1014009]#,##0.00%"/>
    <numFmt numFmtId="171" formatCode="[$-1014009]#,##0.0000;\-#,##0.0000"/>
    <numFmt numFmtId="172" formatCode="[$-1014009]#,##0.000000;\-#,##0.000000"/>
    <numFmt numFmtId="173" formatCode="0.00000000"/>
    <numFmt numFmtId="174" formatCode="[$-1014009]#.0000"/>
    <numFmt numFmtId="175" formatCode="[$-1014009]#,##0.00;\(#,##0.00\)"/>
    <numFmt numFmtId="176" formatCode="0.000000"/>
    <numFmt numFmtId="177" formatCode="[$-1014009]#,##0.0000000;\-#,##0.0000000"/>
    <numFmt numFmtId="178" formatCode="0.0000"/>
    <numFmt numFmtId="179" formatCode="0.000"/>
    <numFmt numFmtId="180" formatCode="#,##0.000"/>
    <numFmt numFmtId="181" formatCode="0.00000"/>
    <numFmt numFmtId="182" formatCode="dd\/mm\/yyyy"/>
    <numFmt numFmtId="183" formatCode="_(* #,##0_);_(* \(#,##0\);_(* &quot;-&quot;??_);_(@_)"/>
  </numFmts>
  <fonts count="32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0"/>
      <color indexed="8"/>
      <name val="Calibri"/>
      <family val="2"/>
    </font>
    <font>
      <b/>
      <sz val="10"/>
      <color indexed="8"/>
      <name val="Calibri"/>
      <family val="2"/>
    </font>
    <font>
      <b/>
      <i/>
      <sz val="10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1"/>
      <color indexed="8"/>
      <name val="Calibri"/>
      <family val="2"/>
    </font>
    <font>
      <sz val="10"/>
      <color indexed="8"/>
      <name val="Calibri"/>
      <family val="2"/>
    </font>
    <font>
      <b/>
      <sz val="10"/>
      <color indexed="8"/>
      <name val="Calibri"/>
      <family val="2"/>
    </font>
    <font>
      <b/>
      <i/>
      <sz val="10"/>
      <color indexed="8"/>
      <name val="Calibri"/>
      <family val="2"/>
    </font>
    <font>
      <b/>
      <sz val="9"/>
      <color indexed="8"/>
      <name val="Calibri"/>
      <family val="2"/>
    </font>
    <font>
      <b/>
      <sz val="10"/>
      <name val="Arial"/>
      <family val="2"/>
    </font>
    <font>
      <b/>
      <sz val="9"/>
      <color indexed="8"/>
      <name val="Calibri"/>
      <family val="2"/>
    </font>
    <font>
      <b/>
      <sz val="11"/>
      <name val="Calibri"/>
      <family val="2"/>
    </font>
    <font>
      <sz val="10"/>
      <name val="Calibri"/>
      <family val="2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0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b/>
      <u/>
      <sz val="10"/>
      <name val="Calibri"/>
      <family val="2"/>
      <scheme val="minor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9"/>
        <bgColor indexed="64"/>
      </patternFill>
    </fill>
  </fills>
  <borders count="1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</borders>
  <cellStyleXfs count="16">
    <xf numFmtId="0" fontId="0" fillId="0" borderId="0">
      <alignment wrapText="1"/>
    </xf>
    <xf numFmtId="0" fontId="10" fillId="0" borderId="0"/>
    <xf numFmtId="0" fontId="3" fillId="0" borderId="0"/>
    <xf numFmtId="0" fontId="2" fillId="0" borderId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1" fillId="0" borderId="0"/>
    <xf numFmtId="0" fontId="10" fillId="0" borderId="0"/>
    <xf numFmtId="0" fontId="1" fillId="0" borderId="0"/>
    <xf numFmtId="164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>
      <alignment wrapText="1"/>
    </xf>
    <xf numFmtId="164" fontId="29" fillId="0" borderId="0" applyFont="0" applyFill="0" applyBorder="0" applyAlignment="0" applyProtection="0"/>
    <xf numFmtId="9" fontId="29" fillId="0" borderId="0" applyFont="0" applyFill="0" applyBorder="0" applyAlignment="0" applyProtection="0"/>
  </cellStyleXfs>
  <cellXfs count="274">
    <xf numFmtId="0" fontId="0" fillId="0" borderId="0" xfId="0">
      <alignment wrapText="1"/>
    </xf>
    <xf numFmtId="0" fontId="4" fillId="2" borderId="1" xfId="0" applyFont="1" applyFill="1" applyBorder="1" applyAlignment="1">
      <alignment horizontal="left" vertical="center" wrapText="1" readingOrder="1"/>
    </xf>
    <xf numFmtId="0" fontId="4" fillId="2" borderId="1" xfId="0" applyFont="1" applyFill="1" applyBorder="1" applyAlignment="1">
      <alignment horizontal="right" vertical="center" wrapText="1" readingOrder="1"/>
    </xf>
    <xf numFmtId="0" fontId="5" fillId="2" borderId="1" xfId="0" applyFont="1" applyFill="1" applyBorder="1" applyAlignment="1">
      <alignment horizontal="right" vertical="top" wrapText="1" readingOrder="1"/>
    </xf>
    <xf numFmtId="0" fontId="6" fillId="2" borderId="1" xfId="0" applyFont="1" applyFill="1" applyBorder="1" applyAlignment="1">
      <alignment horizontal="left" vertical="center" wrapText="1" readingOrder="1"/>
    </xf>
    <xf numFmtId="165" fontId="5" fillId="2" borderId="1" xfId="0" applyNumberFormat="1" applyFont="1" applyFill="1" applyBorder="1" applyAlignment="1">
      <alignment horizontal="right" vertical="center" wrapText="1" readingOrder="1"/>
    </xf>
    <xf numFmtId="0" fontId="5" fillId="2" borderId="1" xfId="0" applyFont="1" applyFill="1" applyBorder="1" applyAlignment="1">
      <alignment horizontal="left" vertical="center" wrapText="1" readingOrder="1"/>
    </xf>
    <xf numFmtId="166" fontId="5" fillId="2" borderId="1" xfId="0" applyNumberFormat="1" applyFont="1" applyFill="1" applyBorder="1" applyAlignment="1">
      <alignment horizontal="right" vertical="center" wrapText="1" readingOrder="1"/>
    </xf>
    <xf numFmtId="167" fontId="5" fillId="2" borderId="1" xfId="0" applyNumberFormat="1" applyFont="1" applyFill="1" applyBorder="1" applyAlignment="1">
      <alignment horizontal="right" vertical="center" wrapText="1" readingOrder="1"/>
    </xf>
    <xf numFmtId="168" fontId="5" fillId="2" borderId="1" xfId="0" applyNumberFormat="1" applyFont="1" applyFill="1" applyBorder="1" applyAlignment="1">
      <alignment horizontal="right" vertical="center" wrapText="1" readingOrder="1"/>
    </xf>
    <xf numFmtId="0" fontId="5" fillId="2" borderId="1" xfId="0" applyFont="1" applyFill="1" applyBorder="1" applyAlignment="1">
      <alignment horizontal="right" vertical="center" wrapText="1" readingOrder="1"/>
    </xf>
    <xf numFmtId="167" fontId="6" fillId="2" borderId="1" xfId="0" applyNumberFormat="1" applyFont="1" applyFill="1" applyBorder="1" applyAlignment="1">
      <alignment horizontal="right" vertical="center" wrapText="1" readingOrder="1"/>
    </xf>
    <xf numFmtId="168" fontId="6" fillId="2" borderId="1" xfId="0" applyNumberFormat="1" applyFont="1" applyFill="1" applyBorder="1" applyAlignment="1">
      <alignment horizontal="right" vertical="center" wrapText="1" readingOrder="1"/>
    </xf>
    <xf numFmtId="0" fontId="7" fillId="2" borderId="1" xfId="0" applyFont="1" applyFill="1" applyBorder="1" applyAlignment="1">
      <alignment horizontal="left" vertical="center" wrapText="1" readingOrder="1"/>
    </xf>
    <xf numFmtId="0" fontId="7" fillId="2" borderId="1" xfId="0" applyFont="1" applyFill="1" applyBorder="1" applyAlignment="1">
      <alignment horizontal="right" vertical="center" wrapText="1" readingOrder="1"/>
    </xf>
    <xf numFmtId="169" fontId="6" fillId="2" borderId="1" xfId="0" applyNumberFormat="1" applyFont="1" applyFill="1" applyBorder="1" applyAlignment="1">
      <alignment horizontal="right" vertical="center" wrapText="1" readingOrder="1"/>
    </xf>
    <xf numFmtId="170" fontId="6" fillId="2" borderId="1" xfId="0" applyNumberFormat="1" applyFont="1" applyFill="1" applyBorder="1" applyAlignment="1">
      <alignment horizontal="right" vertical="center" wrapText="1" readingOrder="1"/>
    </xf>
    <xf numFmtId="0" fontId="6" fillId="2" borderId="1" xfId="0" applyFont="1" applyFill="1" applyBorder="1" applyAlignment="1">
      <alignment horizontal="right" vertical="center" wrapText="1" readingOrder="1"/>
    </xf>
    <xf numFmtId="0" fontId="7" fillId="2" borderId="2" xfId="0" applyFont="1" applyFill="1" applyBorder="1" applyAlignment="1">
      <alignment horizontal="left" vertical="center" wrapText="1" readingOrder="1"/>
    </xf>
    <xf numFmtId="0" fontId="7" fillId="2" borderId="2" xfId="0" applyFont="1" applyFill="1" applyBorder="1" applyAlignment="1">
      <alignment horizontal="right" vertical="center" wrapText="1" readingOrder="1"/>
    </xf>
    <xf numFmtId="0" fontId="7" fillId="2" borderId="0" xfId="0" applyFont="1" applyFill="1" applyAlignment="1">
      <alignment horizontal="left" vertical="center" wrapText="1" readingOrder="1"/>
    </xf>
    <xf numFmtId="0" fontId="5" fillId="2" borderId="0" xfId="0" applyFont="1" applyFill="1" applyAlignment="1">
      <alignment horizontal="left" vertical="center" wrapText="1" readingOrder="1"/>
    </xf>
    <xf numFmtId="0" fontId="7" fillId="2" borderId="0" xfId="0" applyFont="1" applyFill="1" applyAlignment="1">
      <alignment horizontal="right" vertical="center" wrapText="1" readingOrder="1"/>
    </xf>
    <xf numFmtId="0" fontId="7" fillId="2" borderId="3" xfId="0" applyFont="1" applyFill="1" applyBorder="1" applyAlignment="1">
      <alignment horizontal="right" vertical="center" wrapText="1" readingOrder="1"/>
    </xf>
    <xf numFmtId="0" fontId="5" fillId="2" borderId="0" xfId="0" applyFont="1" applyFill="1" applyAlignment="1">
      <alignment horizontal="right" vertical="top" wrapText="1" readingOrder="1"/>
    </xf>
    <xf numFmtId="0" fontId="6" fillId="2" borderId="1" xfId="0" applyFont="1" applyFill="1" applyBorder="1" applyAlignment="1">
      <alignment horizontal="right" vertical="top" wrapText="1" readingOrder="1"/>
    </xf>
    <xf numFmtId="171" fontId="5" fillId="2" borderId="1" xfId="0" applyNumberFormat="1" applyFont="1" applyFill="1" applyBorder="1" applyAlignment="1">
      <alignment horizontal="right" vertical="center" wrapText="1" readingOrder="1"/>
    </xf>
    <xf numFmtId="0" fontId="5" fillId="2" borderId="0" xfId="0" applyFont="1" applyFill="1" applyAlignment="1">
      <alignment horizontal="right" vertical="center" wrapText="1" readingOrder="1"/>
    </xf>
    <xf numFmtId="0" fontId="0" fillId="2" borderId="0" xfId="0" applyFill="1" applyAlignment="1">
      <alignment horizontal="center" vertical="top" readingOrder="1"/>
    </xf>
    <xf numFmtId="0" fontId="5" fillId="2" borderId="2" xfId="0" applyFont="1" applyFill="1" applyBorder="1" applyAlignment="1">
      <alignment horizontal="right" vertical="top" wrapText="1" readingOrder="1"/>
    </xf>
    <xf numFmtId="170" fontId="6" fillId="2" borderId="1" xfId="0" applyNumberFormat="1" applyFont="1" applyFill="1" applyBorder="1" applyAlignment="1">
      <alignment horizontal="left" vertical="center" wrapText="1" readingOrder="1"/>
    </xf>
    <xf numFmtId="166" fontId="5" fillId="2" borderId="1" xfId="0" applyNumberFormat="1" applyFont="1" applyFill="1" applyBorder="1" applyAlignment="1">
      <alignment horizontal="right" vertical="top" wrapText="1" readingOrder="1"/>
    </xf>
    <xf numFmtId="0" fontId="10" fillId="0" borderId="0" xfId="0" applyFont="1">
      <alignment wrapText="1"/>
    </xf>
    <xf numFmtId="173" fontId="7" fillId="2" borderId="2" xfId="0" applyNumberFormat="1" applyFont="1" applyFill="1" applyBorder="1" applyAlignment="1">
      <alignment horizontal="right" vertical="center" wrapText="1" readingOrder="1"/>
    </xf>
    <xf numFmtId="0" fontId="12" fillId="2" borderId="1" xfId="0" applyFont="1" applyFill="1" applyBorder="1" applyAlignment="1">
      <alignment horizontal="right" vertical="top" wrapText="1" readingOrder="1"/>
    </xf>
    <xf numFmtId="0" fontId="13" fillId="2" borderId="1" xfId="0" applyFont="1" applyFill="1" applyBorder="1" applyAlignment="1">
      <alignment horizontal="left" vertical="center" wrapText="1" readingOrder="1"/>
    </xf>
    <xf numFmtId="165" fontId="12" fillId="2" borderId="1" xfId="0" applyNumberFormat="1" applyFont="1" applyFill="1" applyBorder="1" applyAlignment="1">
      <alignment horizontal="right" vertical="center" wrapText="1" readingOrder="1"/>
    </xf>
    <xf numFmtId="0" fontId="12" fillId="2" borderId="1" xfId="0" applyFont="1" applyFill="1" applyBorder="1" applyAlignment="1">
      <alignment horizontal="left" vertical="center" wrapText="1" readingOrder="1"/>
    </xf>
    <xf numFmtId="166" fontId="12" fillId="2" borderId="1" xfId="0" applyNumberFormat="1" applyFont="1" applyFill="1" applyBorder="1" applyAlignment="1">
      <alignment horizontal="right" vertical="center" wrapText="1" readingOrder="1"/>
    </xf>
    <xf numFmtId="167" fontId="12" fillId="2" borderId="1" xfId="0" applyNumberFormat="1" applyFont="1" applyFill="1" applyBorder="1" applyAlignment="1">
      <alignment horizontal="right" vertical="center" wrapText="1" readingOrder="1"/>
    </xf>
    <xf numFmtId="168" fontId="12" fillId="2" borderId="1" xfId="0" applyNumberFormat="1" applyFont="1" applyFill="1" applyBorder="1" applyAlignment="1">
      <alignment horizontal="right" vertical="center" wrapText="1" readingOrder="1"/>
    </xf>
    <xf numFmtId="167" fontId="13" fillId="2" borderId="1" xfId="0" applyNumberFormat="1" applyFont="1" applyFill="1" applyBorder="1" applyAlignment="1">
      <alignment horizontal="right" vertical="center" wrapText="1" readingOrder="1"/>
    </xf>
    <xf numFmtId="168" fontId="13" fillId="2" borderId="1" xfId="0" applyNumberFormat="1" applyFont="1" applyFill="1" applyBorder="1" applyAlignment="1">
      <alignment horizontal="right" vertical="center" wrapText="1" readingOrder="1"/>
    </xf>
    <xf numFmtId="0" fontId="14" fillId="2" borderId="1" xfId="0" applyFont="1" applyFill="1" applyBorder="1" applyAlignment="1">
      <alignment horizontal="left" vertical="center" wrapText="1" readingOrder="1"/>
    </xf>
    <xf numFmtId="0" fontId="14" fillId="2" borderId="1" xfId="0" applyFont="1" applyFill="1" applyBorder="1" applyAlignment="1">
      <alignment horizontal="right" vertical="center" wrapText="1" readingOrder="1"/>
    </xf>
    <xf numFmtId="169" fontId="13" fillId="2" borderId="1" xfId="0" applyNumberFormat="1" applyFont="1" applyFill="1" applyBorder="1" applyAlignment="1">
      <alignment horizontal="right" vertical="center" wrapText="1" readingOrder="1"/>
    </xf>
    <xf numFmtId="170" fontId="13" fillId="2" borderId="1" xfId="0" applyNumberFormat="1" applyFont="1" applyFill="1" applyBorder="1" applyAlignment="1">
      <alignment horizontal="right" vertical="center" wrapText="1" readingOrder="1"/>
    </xf>
    <xf numFmtId="0" fontId="12" fillId="2" borderId="1" xfId="0" applyFont="1" applyFill="1" applyBorder="1" applyAlignment="1">
      <alignment horizontal="right" vertical="center" wrapText="1" readingOrder="1"/>
    </xf>
    <xf numFmtId="0" fontId="14" fillId="2" borderId="2" xfId="0" applyFont="1" applyFill="1" applyBorder="1" applyAlignment="1">
      <alignment horizontal="left" vertical="center" wrapText="1" readingOrder="1"/>
    </xf>
    <xf numFmtId="0" fontId="14" fillId="2" borderId="2" xfId="0" applyFont="1" applyFill="1" applyBorder="1" applyAlignment="1">
      <alignment horizontal="right" vertical="center" wrapText="1" readingOrder="1"/>
    </xf>
    <xf numFmtId="0" fontId="14" fillId="2" borderId="0" xfId="0" applyFont="1" applyFill="1" applyAlignment="1">
      <alignment horizontal="left" vertical="center" wrapText="1" readingOrder="1"/>
    </xf>
    <xf numFmtId="0" fontId="14" fillId="2" borderId="0" xfId="0" applyFont="1" applyFill="1" applyAlignment="1">
      <alignment horizontal="right" vertical="center" wrapText="1" readingOrder="1"/>
    </xf>
    <xf numFmtId="0" fontId="14" fillId="2" borderId="3" xfId="0" applyFont="1" applyFill="1" applyBorder="1" applyAlignment="1">
      <alignment horizontal="right" vertical="center" wrapText="1" readingOrder="1"/>
    </xf>
    <xf numFmtId="0" fontId="12" fillId="2" borderId="0" xfId="0" applyFont="1" applyFill="1" applyAlignment="1">
      <alignment horizontal="right" vertical="top" wrapText="1" readingOrder="1"/>
    </xf>
    <xf numFmtId="0" fontId="13" fillId="2" borderId="1" xfId="0" applyFont="1" applyFill="1" applyBorder="1" applyAlignment="1">
      <alignment horizontal="right" vertical="top" wrapText="1" readingOrder="1"/>
    </xf>
    <xf numFmtId="0" fontId="13" fillId="2" borderId="1" xfId="0" applyFont="1" applyFill="1" applyBorder="1" applyAlignment="1">
      <alignment horizontal="left" vertical="top" wrapText="1" readingOrder="1"/>
    </xf>
    <xf numFmtId="174" fontId="12" fillId="2" borderId="1" xfId="0" applyNumberFormat="1" applyFont="1" applyFill="1" applyBorder="1" applyAlignment="1">
      <alignment horizontal="right" vertical="center" wrapText="1" readingOrder="1"/>
    </xf>
    <xf numFmtId="0" fontId="12" fillId="2" borderId="0" xfId="0" applyFont="1" applyFill="1" applyAlignment="1">
      <alignment horizontal="left" vertical="center" wrapText="1" readingOrder="1"/>
    </xf>
    <xf numFmtId="0" fontId="12" fillId="2" borderId="0" xfId="0" applyFont="1" applyFill="1" applyAlignment="1">
      <alignment horizontal="right" vertical="center" wrapText="1" readingOrder="1"/>
    </xf>
    <xf numFmtId="0" fontId="15" fillId="2" borderId="1" xfId="0" applyFont="1" applyFill="1" applyBorder="1" applyAlignment="1">
      <alignment horizontal="left" vertical="center" wrapText="1" readingOrder="1"/>
    </xf>
    <xf numFmtId="0" fontId="15" fillId="2" borderId="1" xfId="0" applyFont="1" applyFill="1" applyBorder="1" applyAlignment="1">
      <alignment horizontal="right" vertical="center" wrapText="1" readingOrder="1"/>
    </xf>
    <xf numFmtId="172" fontId="12" fillId="2" borderId="1" xfId="0" applyNumberFormat="1" applyFont="1" applyFill="1" applyBorder="1" applyAlignment="1">
      <alignment horizontal="right" vertical="center" wrapText="1" readingOrder="1"/>
    </xf>
    <xf numFmtId="0" fontId="12" fillId="2" borderId="3" xfId="0" applyFont="1" applyFill="1" applyBorder="1" applyAlignment="1">
      <alignment horizontal="right" vertical="top" wrapText="1" readingOrder="1"/>
    </xf>
    <xf numFmtId="175" fontId="13" fillId="2" borderId="1" xfId="0" applyNumberFormat="1" applyFont="1" applyFill="1" applyBorder="1" applyAlignment="1">
      <alignment horizontal="left" vertical="center" wrapText="1" readingOrder="1"/>
    </xf>
    <xf numFmtId="170" fontId="13" fillId="2" borderId="1" xfId="0" applyNumberFormat="1" applyFont="1" applyFill="1" applyBorder="1" applyAlignment="1">
      <alignment horizontal="left" vertical="center" wrapText="1" readingOrder="1"/>
    </xf>
    <xf numFmtId="0" fontId="5" fillId="2" borderId="4" xfId="0" applyFont="1" applyFill="1" applyBorder="1" applyAlignment="1">
      <alignment horizontal="left" vertical="center" wrapText="1" readingOrder="1"/>
    </xf>
    <xf numFmtId="0" fontId="6" fillId="2" borderId="5" xfId="0" applyFont="1" applyFill="1" applyBorder="1" applyAlignment="1">
      <alignment horizontal="left" vertical="center" wrapText="1" readingOrder="1"/>
    </xf>
    <xf numFmtId="2" fontId="0" fillId="0" borderId="0" xfId="0" applyNumberFormat="1">
      <alignment wrapText="1"/>
    </xf>
    <xf numFmtId="168" fontId="5" fillId="2" borderId="4" xfId="0" applyNumberFormat="1" applyFont="1" applyFill="1" applyBorder="1" applyAlignment="1">
      <alignment horizontal="right" vertical="center" wrapText="1" readingOrder="1"/>
    </xf>
    <xf numFmtId="0" fontId="10" fillId="0" borderId="0" xfId="1" applyAlignment="1">
      <alignment wrapText="1"/>
    </xf>
    <xf numFmtId="165" fontId="5" fillId="0" borderId="1" xfId="0" applyNumberFormat="1" applyFont="1" applyBorder="1" applyAlignment="1">
      <alignment horizontal="right" vertical="center" wrapText="1" readingOrder="1"/>
    </xf>
    <xf numFmtId="0" fontId="5" fillId="0" borderId="1" xfId="0" applyFont="1" applyBorder="1" applyAlignment="1">
      <alignment horizontal="left" vertical="center" wrapText="1" readingOrder="1"/>
    </xf>
    <xf numFmtId="166" fontId="5" fillId="0" borderId="1" xfId="0" applyNumberFormat="1" applyFont="1" applyBorder="1" applyAlignment="1">
      <alignment horizontal="right" vertical="center" wrapText="1" readingOrder="1"/>
    </xf>
    <xf numFmtId="167" fontId="5" fillId="0" borderId="1" xfId="0" applyNumberFormat="1" applyFont="1" applyBorder="1" applyAlignment="1">
      <alignment horizontal="right" vertical="center" wrapText="1" readingOrder="1"/>
    </xf>
    <xf numFmtId="168" fontId="12" fillId="2" borderId="4" xfId="0" applyNumberFormat="1" applyFont="1" applyFill="1" applyBorder="1" applyAlignment="1">
      <alignment horizontal="right" vertical="center" wrapText="1" readingOrder="1"/>
    </xf>
    <xf numFmtId="167" fontId="5" fillId="2" borderId="4" xfId="0" applyNumberFormat="1" applyFont="1" applyFill="1" applyBorder="1" applyAlignment="1">
      <alignment horizontal="right" vertical="center" wrapText="1" readingOrder="1"/>
    </xf>
    <xf numFmtId="168" fontId="5" fillId="2" borderId="7" xfId="0" applyNumberFormat="1" applyFont="1" applyFill="1" applyBorder="1" applyAlignment="1">
      <alignment horizontal="right" vertical="center" wrapText="1" readingOrder="1"/>
    </xf>
    <xf numFmtId="0" fontId="16" fillId="0" borderId="0" xfId="0" applyFont="1">
      <alignment wrapText="1"/>
    </xf>
    <xf numFmtId="4" fontId="5" fillId="2" borderId="1" xfId="0" applyNumberFormat="1" applyFont="1" applyFill="1" applyBorder="1" applyAlignment="1">
      <alignment horizontal="right" vertical="center" wrapText="1" readingOrder="1"/>
    </xf>
    <xf numFmtId="4" fontId="5" fillId="2" borderId="1" xfId="0" applyNumberFormat="1" applyFont="1" applyFill="1" applyBorder="1" applyAlignment="1">
      <alignment horizontal="right" vertical="top" wrapText="1" readingOrder="1"/>
    </xf>
    <xf numFmtId="0" fontId="5" fillId="2" borderId="6" xfId="0" applyFont="1" applyFill="1" applyBorder="1" applyAlignment="1">
      <alignment horizontal="left" vertical="center" wrapText="1" readingOrder="1"/>
    </xf>
    <xf numFmtId="0" fontId="17" fillId="2" borderId="1" xfId="0" applyFont="1" applyFill="1" applyBorder="1" applyAlignment="1">
      <alignment horizontal="left" vertical="center" wrapText="1" readingOrder="1"/>
    </xf>
    <xf numFmtId="0" fontId="17" fillId="2" borderId="1" xfId="0" applyFont="1" applyFill="1" applyBorder="1" applyAlignment="1">
      <alignment horizontal="right" vertical="center" wrapText="1" readingOrder="1"/>
    </xf>
    <xf numFmtId="172" fontId="5" fillId="2" borderId="1" xfId="0" applyNumberFormat="1" applyFont="1" applyFill="1" applyBorder="1" applyAlignment="1">
      <alignment horizontal="right" vertical="center" wrapText="1" readingOrder="1"/>
    </xf>
    <xf numFmtId="176" fontId="5" fillId="2" borderId="1" xfId="0" applyNumberFormat="1" applyFont="1" applyFill="1" applyBorder="1" applyAlignment="1">
      <alignment horizontal="right" vertical="center" wrapText="1" readingOrder="1"/>
    </xf>
    <xf numFmtId="177" fontId="5" fillId="2" borderId="1" xfId="0" applyNumberFormat="1" applyFont="1" applyFill="1" applyBorder="1" applyAlignment="1">
      <alignment horizontal="right" vertical="center" wrapText="1" readingOrder="1"/>
    </xf>
    <xf numFmtId="178" fontId="5" fillId="2" borderId="1" xfId="0" applyNumberFormat="1" applyFont="1" applyFill="1" applyBorder="1" applyAlignment="1">
      <alignment horizontal="right" vertical="center" wrapText="1" readingOrder="1"/>
    </xf>
    <xf numFmtId="0" fontId="0" fillId="0" borderId="0" xfId="0" applyAlignment="1"/>
    <xf numFmtId="0" fontId="9" fillId="0" borderId="7" xfId="0" applyFont="1" applyBorder="1">
      <alignment wrapText="1"/>
    </xf>
    <xf numFmtId="170" fontId="5" fillId="2" borderId="1" xfId="0" applyNumberFormat="1" applyFont="1" applyFill="1" applyBorder="1" applyAlignment="1">
      <alignment horizontal="right" vertical="center" wrapText="1" readingOrder="1"/>
    </xf>
    <xf numFmtId="0" fontId="6" fillId="2" borderId="1" xfId="0" applyFont="1" applyFill="1" applyBorder="1" applyAlignment="1">
      <alignment horizontal="left" vertical="top" readingOrder="1"/>
    </xf>
    <xf numFmtId="0" fontId="5" fillId="2" borderId="1" xfId="1" applyFont="1" applyFill="1" applyBorder="1" applyAlignment="1">
      <alignment horizontal="left" vertical="center" wrapText="1" readingOrder="1"/>
    </xf>
    <xf numFmtId="175" fontId="6" fillId="2" borderId="1" xfId="0" applyNumberFormat="1" applyFont="1" applyFill="1" applyBorder="1" applyAlignment="1">
      <alignment horizontal="left" vertical="center" wrapText="1" readingOrder="1"/>
    </xf>
    <xf numFmtId="168" fontId="12" fillId="0" borderId="1" xfId="0" applyNumberFormat="1" applyFont="1" applyBorder="1" applyAlignment="1">
      <alignment horizontal="right" vertical="center" wrapText="1" readingOrder="1"/>
    </xf>
    <xf numFmtId="0" fontId="7" fillId="2" borderId="0" xfId="1" applyFont="1" applyFill="1" applyAlignment="1">
      <alignment horizontal="left" vertical="center" wrapText="1" readingOrder="1"/>
    </xf>
    <xf numFmtId="0" fontId="7" fillId="2" borderId="0" xfId="1" applyFont="1" applyFill="1" applyAlignment="1">
      <alignment horizontal="right" vertical="center" wrapText="1" readingOrder="1"/>
    </xf>
    <xf numFmtId="0" fontId="18" fillId="0" borderId="7" xfId="3" applyFont="1" applyBorder="1" applyAlignment="1">
      <alignment horizontal="center" vertical="center" wrapText="1" readingOrder="1"/>
    </xf>
    <xf numFmtId="0" fontId="0" fillId="0" borderId="7" xfId="0" applyBorder="1">
      <alignment wrapText="1"/>
    </xf>
    <xf numFmtId="0" fontId="21" fillId="0" borderId="7" xfId="0" applyFont="1" applyBorder="1">
      <alignment wrapText="1"/>
    </xf>
    <xf numFmtId="2" fontId="9" fillId="0" borderId="7" xfId="0" applyNumberFormat="1" applyFont="1" applyBorder="1">
      <alignment wrapText="1"/>
    </xf>
    <xf numFmtId="0" fontId="21" fillId="0" borderId="7" xfId="0" applyFont="1" applyBorder="1" applyAlignment="1">
      <alignment vertical="center" wrapText="1"/>
    </xf>
    <xf numFmtId="2" fontId="21" fillId="0" borderId="7" xfId="0" applyNumberFormat="1" applyFont="1" applyBorder="1" applyAlignment="1">
      <alignment vertical="center" wrapText="1"/>
    </xf>
    <xf numFmtId="0" fontId="22" fillId="0" borderId="7" xfId="2" applyFont="1" applyBorder="1"/>
    <xf numFmtId="0" fontId="22" fillId="0" borderId="7" xfId="2" applyFont="1" applyBorder="1" applyAlignment="1">
      <alignment wrapText="1"/>
    </xf>
    <xf numFmtId="0" fontId="22" fillId="0" borderId="7" xfId="2" applyFont="1" applyBorder="1" applyAlignment="1">
      <alignment horizontal="left" vertical="center"/>
    </xf>
    <xf numFmtId="0" fontId="22" fillId="0" borderId="7" xfId="2" applyFont="1" applyBorder="1" applyAlignment="1">
      <alignment vertical="center" wrapText="1"/>
    </xf>
    <xf numFmtId="2" fontId="22" fillId="0" borderId="7" xfId="2" applyNumberFormat="1" applyFont="1" applyBorder="1" applyAlignment="1">
      <alignment horizontal="right" vertical="center" wrapText="1"/>
    </xf>
    <xf numFmtId="43" fontId="22" fillId="0" borderId="7" xfId="4" applyFont="1" applyBorder="1" applyAlignment="1">
      <alignment horizontal="right" vertical="center" wrapText="1"/>
    </xf>
    <xf numFmtId="4" fontId="22" fillId="0" borderId="7" xfId="2" applyNumberFormat="1" applyFont="1" applyBorder="1" applyAlignment="1">
      <alignment horizontal="right" vertical="center"/>
    </xf>
    <xf numFmtId="10" fontId="22" fillId="0" borderId="7" xfId="5" applyNumberFormat="1" applyFont="1" applyBorder="1" applyAlignment="1">
      <alignment vertical="center" wrapText="1"/>
    </xf>
    <xf numFmtId="0" fontId="18" fillId="0" borderId="11" xfId="0" applyFont="1" applyBorder="1" applyAlignment="1">
      <alignment horizontal="center" vertical="center" wrapText="1" readingOrder="1"/>
    </xf>
    <xf numFmtId="0" fontId="11" fillId="2" borderId="1" xfId="0" applyFont="1" applyFill="1" applyBorder="1" applyAlignment="1">
      <alignment horizontal="left" vertical="center" wrapText="1" readingOrder="1"/>
    </xf>
    <xf numFmtId="0" fontId="11" fillId="2" borderId="1" xfId="0" applyFont="1" applyFill="1" applyBorder="1" applyAlignment="1">
      <alignment horizontal="right" vertical="center" wrapText="1" readingOrder="1"/>
    </xf>
    <xf numFmtId="0" fontId="0" fillId="0" borderId="0" xfId="0" applyAlignment="1">
      <alignment vertical="center" wrapText="1"/>
    </xf>
    <xf numFmtId="0" fontId="12" fillId="0" borderId="1" xfId="0" applyFont="1" applyBorder="1" applyAlignment="1">
      <alignment horizontal="left" vertical="center" wrapText="1" readingOrder="1"/>
    </xf>
    <xf numFmtId="172" fontId="5" fillId="2" borderId="0" xfId="0" applyNumberFormat="1" applyFont="1" applyFill="1" applyAlignment="1">
      <alignment horizontal="right" vertical="center" wrapText="1" readingOrder="1"/>
    </xf>
    <xf numFmtId="0" fontId="8" fillId="0" borderId="7" xfId="2" applyFont="1" applyBorder="1" applyAlignment="1">
      <alignment horizontal="center" vertical="center"/>
    </xf>
    <xf numFmtId="0" fontId="20" fillId="0" borderId="7" xfId="2" applyFont="1" applyBorder="1" applyAlignment="1">
      <alignment horizontal="center" vertical="center"/>
    </xf>
    <xf numFmtId="0" fontId="9" fillId="0" borderId="0" xfId="0" applyFont="1">
      <alignment wrapText="1"/>
    </xf>
    <xf numFmtId="0" fontId="9" fillId="0" borderId="7" xfId="0" applyFont="1" applyBorder="1" applyAlignment="1"/>
    <xf numFmtId="0" fontId="1" fillId="0" borderId="0" xfId="6"/>
    <xf numFmtId="0" fontId="20" fillId="0" borderId="7" xfId="7" applyFont="1" applyBorder="1" applyAlignment="1">
      <alignment horizontal="center" vertical="center" wrapText="1"/>
    </xf>
    <xf numFmtId="0" fontId="18" fillId="0" borderId="7" xfId="6" applyFont="1" applyBorder="1" applyAlignment="1">
      <alignment horizontal="center" vertical="center" wrapText="1" readingOrder="1"/>
    </xf>
    <xf numFmtId="0" fontId="21" fillId="0" borderId="7" xfId="8" applyFont="1" applyBorder="1" applyProtection="1">
      <protection locked="0"/>
    </xf>
    <xf numFmtId="0" fontId="24" fillId="0" borderId="7" xfId="8" applyFont="1" applyBorder="1" applyAlignment="1" applyProtection="1">
      <alignment wrapText="1"/>
      <protection locked="0"/>
    </xf>
    <xf numFmtId="0" fontId="21" fillId="0" borderId="7" xfId="8" applyFont="1" applyBorder="1" applyAlignment="1">
      <alignment horizontal="right"/>
    </xf>
    <xf numFmtId="0" fontId="1" fillId="0" borderId="7" xfId="6" applyBorder="1"/>
    <xf numFmtId="0" fontId="21" fillId="0" borderId="7" xfId="8" applyFont="1" applyBorder="1" applyAlignment="1" applyProtection="1">
      <alignment wrapText="1"/>
      <protection locked="0"/>
    </xf>
    <xf numFmtId="179" fontId="21" fillId="0" borderId="7" xfId="8" applyNumberFormat="1" applyFont="1" applyBorder="1" applyProtection="1">
      <protection locked="0"/>
    </xf>
    <xf numFmtId="164" fontId="21" fillId="0" borderId="7" xfId="9" applyFont="1" applyFill="1" applyBorder="1" applyAlignment="1">
      <alignment horizontal="right"/>
    </xf>
    <xf numFmtId="2" fontId="21" fillId="0" borderId="7" xfId="8" applyNumberFormat="1" applyFont="1" applyBorder="1" applyAlignment="1">
      <alignment horizontal="right"/>
    </xf>
    <xf numFmtId="0" fontId="21" fillId="0" borderId="7" xfId="8" applyFont="1" applyBorder="1" applyAlignment="1">
      <alignment horizontal="center"/>
    </xf>
    <xf numFmtId="180" fontId="1" fillId="0" borderId="7" xfId="6" applyNumberFormat="1" applyBorder="1"/>
    <xf numFmtId="0" fontId="21" fillId="0" borderId="7" xfId="8" applyFont="1" applyBorder="1"/>
    <xf numFmtId="0" fontId="24" fillId="0" borderId="7" xfId="7" applyFont="1" applyBorder="1" applyAlignment="1">
      <alignment vertical="center" wrapText="1"/>
    </xf>
    <xf numFmtId="179" fontId="24" fillId="0" borderId="7" xfId="7" applyNumberFormat="1" applyFont="1" applyBorder="1" applyAlignment="1">
      <alignment vertical="center" wrapText="1"/>
    </xf>
    <xf numFmtId="43" fontId="24" fillId="0" borderId="7" xfId="10" applyFont="1" applyFill="1" applyBorder="1" applyAlignment="1">
      <alignment vertical="center" wrapText="1"/>
    </xf>
    <xf numFmtId="164" fontId="24" fillId="0" borderId="7" xfId="9" applyFont="1" applyBorder="1" applyAlignment="1">
      <alignment horizontal="right" vertical="center"/>
    </xf>
    <xf numFmtId="10" fontId="1" fillId="0" borderId="7" xfId="6" applyNumberFormat="1" applyBorder="1"/>
    <xf numFmtId="43" fontId="21" fillId="0" borderId="7" xfId="10" applyFont="1" applyFill="1" applyBorder="1" applyAlignment="1">
      <alignment horizontal="right"/>
    </xf>
    <xf numFmtId="0" fontId="24" fillId="0" borderId="7" xfId="8" applyFont="1" applyBorder="1" applyProtection="1">
      <protection locked="0"/>
    </xf>
    <xf numFmtId="43" fontId="21" fillId="0" borderId="7" xfId="10" applyFont="1" applyFill="1" applyBorder="1" applyAlignment="1" applyProtection="1">
      <alignment horizontal="right"/>
      <protection locked="0"/>
    </xf>
    <xf numFmtId="0" fontId="6" fillId="2" borderId="12" xfId="6" applyFont="1" applyFill="1" applyBorder="1" applyAlignment="1">
      <alignment horizontal="left" vertical="center" wrapText="1" readingOrder="1"/>
    </xf>
    <xf numFmtId="164" fontId="21" fillId="0" borderId="7" xfId="8" applyNumberFormat="1" applyFont="1" applyBorder="1"/>
    <xf numFmtId="0" fontId="6" fillId="2" borderId="7" xfId="6" applyFont="1" applyFill="1" applyBorder="1" applyAlignment="1">
      <alignment horizontal="left" vertical="center" wrapText="1" readingOrder="1"/>
    </xf>
    <xf numFmtId="43" fontId="24" fillId="0" borderId="7" xfId="10" applyFont="1" applyFill="1" applyBorder="1" applyAlignment="1" applyProtection="1">
      <alignment horizontal="right"/>
      <protection locked="0"/>
    </xf>
    <xf numFmtId="4" fontId="24" fillId="0" borderId="7" xfId="8" applyNumberFormat="1" applyFont="1" applyBorder="1"/>
    <xf numFmtId="0" fontId="6" fillId="2" borderId="0" xfId="6" applyFont="1" applyFill="1" applyAlignment="1">
      <alignment horizontal="left" vertical="center" wrapText="1" readingOrder="1"/>
    </xf>
    <xf numFmtId="0" fontId="6" fillId="2" borderId="1" xfId="6" applyFont="1" applyFill="1" applyBorder="1" applyAlignment="1">
      <alignment horizontal="left" vertical="center" wrapText="1" readingOrder="1"/>
    </xf>
    <xf numFmtId="0" fontId="21" fillId="0" borderId="7" xfId="6" applyFont="1" applyBorder="1"/>
    <xf numFmtId="43" fontId="21" fillId="0" borderId="7" xfId="10" applyFont="1" applyFill="1" applyBorder="1"/>
    <xf numFmtId="164" fontId="22" fillId="0" borderId="7" xfId="6" applyNumberFormat="1" applyFont="1" applyBorder="1"/>
    <xf numFmtId="0" fontId="24" fillId="0" borderId="7" xfId="8" applyFont="1" applyBorder="1"/>
    <xf numFmtId="43" fontId="24" fillId="0" borderId="7" xfId="10" applyFont="1" applyFill="1" applyBorder="1" applyAlignment="1">
      <alignment horizontal="right"/>
    </xf>
    <xf numFmtId="164" fontId="1" fillId="0" borderId="7" xfId="6" applyNumberFormat="1" applyBorder="1"/>
    <xf numFmtId="2" fontId="24" fillId="0" borderId="7" xfId="8" applyNumberFormat="1" applyFont="1" applyBorder="1" applyAlignment="1">
      <alignment horizontal="right"/>
    </xf>
    <xf numFmtId="4" fontId="25" fillId="0" borderId="7" xfId="6" applyNumberFormat="1" applyFont="1" applyBorder="1"/>
    <xf numFmtId="4" fontId="1" fillId="0" borderId="0" xfId="6" applyNumberFormat="1"/>
    <xf numFmtId="181" fontId="1" fillId="0" borderId="0" xfId="6" applyNumberFormat="1"/>
    <xf numFmtId="0" fontId="26" fillId="0" borderId="0" xfId="11" applyFont="1" applyAlignment="1">
      <alignment horizontal="left" vertical="center" wrapText="1"/>
    </xf>
    <xf numFmtId="0" fontId="27" fillId="0" borderId="0" xfId="11" applyFont="1" applyAlignment="1">
      <alignment vertical="center"/>
    </xf>
    <xf numFmtId="164" fontId="27" fillId="0" borderId="0" xfId="11" applyNumberFormat="1" applyFont="1" applyAlignment="1">
      <alignment vertical="center"/>
    </xf>
    <xf numFmtId="4" fontId="28" fillId="0" borderId="0" xfId="6" applyNumberFormat="1" applyFont="1"/>
    <xf numFmtId="2" fontId="27" fillId="0" borderId="0" xfId="11" applyNumberFormat="1" applyFont="1" applyAlignment="1">
      <alignment vertical="center"/>
    </xf>
    <xf numFmtId="0" fontId="21" fillId="0" borderId="0" xfId="12" applyFont="1" applyAlignment="1">
      <alignment vertical="center"/>
    </xf>
    <xf numFmtId="0" fontId="27" fillId="0" borderId="7" xfId="11" applyFont="1" applyBorder="1" applyAlignment="1">
      <alignment vertical="center"/>
    </xf>
    <xf numFmtId="0" fontId="24" fillId="0" borderId="7" xfId="12" applyFont="1" applyBorder="1" applyAlignment="1">
      <alignment horizontal="center" vertical="center"/>
    </xf>
    <xf numFmtId="0" fontId="26" fillId="0" borderId="0" xfId="11" applyFont="1" applyAlignment="1">
      <alignment vertical="center"/>
    </xf>
    <xf numFmtId="0" fontId="24" fillId="0" borderId="7" xfId="12" applyFont="1" applyBorder="1" applyAlignment="1">
      <alignment vertical="center"/>
    </xf>
    <xf numFmtId="182" fontId="26" fillId="0" borderId="7" xfId="11" applyNumberFormat="1" applyFont="1" applyBorder="1" applyAlignment="1">
      <alignment horizontal="center"/>
    </xf>
    <xf numFmtId="14" fontId="26" fillId="0" borderId="0" xfId="11" applyNumberFormat="1" applyFont="1" applyAlignment="1">
      <alignment horizontal="center"/>
    </xf>
    <xf numFmtId="0" fontId="22" fillId="0" borderId="0" xfId="6" applyFont="1"/>
    <xf numFmtId="0" fontId="27" fillId="0" borderId="7" xfId="11" applyFont="1" applyBorder="1" applyAlignment="1">
      <alignment horizontal="left" vertical="center"/>
    </xf>
    <xf numFmtId="178" fontId="22" fillId="0" borderId="7" xfId="6" applyNumberFormat="1" applyFont="1" applyBorder="1"/>
    <xf numFmtId="178" fontId="22" fillId="0" borderId="0" xfId="6" applyNumberFormat="1" applyFont="1"/>
    <xf numFmtId="0" fontId="5" fillId="0" borderId="1" xfId="6" applyFont="1" applyBorder="1" applyAlignment="1">
      <alignment horizontal="left" vertical="center" wrapText="1" readingOrder="1"/>
    </xf>
    <xf numFmtId="0" fontId="5" fillId="0" borderId="12" xfId="6" applyFont="1" applyBorder="1" applyAlignment="1">
      <alignment horizontal="left" vertical="center" wrapText="1" readingOrder="1"/>
    </xf>
    <xf numFmtId="178" fontId="22" fillId="0" borderId="13" xfId="6" applyNumberFormat="1" applyFont="1" applyBorder="1"/>
    <xf numFmtId="0" fontId="5" fillId="0" borderId="0" xfId="6" applyFont="1" applyAlignment="1">
      <alignment vertical="center" readingOrder="1"/>
    </xf>
    <xf numFmtId="0" fontId="5" fillId="0" borderId="0" xfId="6" applyFont="1" applyAlignment="1">
      <alignment vertical="center" wrapText="1" readingOrder="1"/>
    </xf>
    <xf numFmtId="0" fontId="21" fillId="0" borderId="0" xfId="11" applyFont="1" applyAlignment="1">
      <alignment horizontal="center" vertical="center"/>
    </xf>
    <xf numFmtId="0" fontId="27" fillId="0" borderId="0" xfId="11" quotePrefix="1" applyFont="1" applyAlignment="1">
      <alignment vertical="center"/>
    </xf>
    <xf numFmtId="0" fontId="21" fillId="0" borderId="0" xfId="6" applyFon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10" fillId="0" borderId="0" xfId="1" applyAlignment="1">
      <alignment horizontal="center" vertical="center" wrapText="1"/>
    </xf>
    <xf numFmtId="0" fontId="10" fillId="0" borderId="0" xfId="1" applyAlignment="1">
      <alignment vertical="center" wrapText="1"/>
    </xf>
    <xf numFmtId="0" fontId="2" fillId="0" borderId="0" xfId="3"/>
    <xf numFmtId="0" fontId="2" fillId="0" borderId="0" xfId="3" applyAlignment="1">
      <alignment horizontal="center" vertical="center"/>
    </xf>
    <xf numFmtId="164" fontId="2" fillId="0" borderId="0" xfId="3" applyNumberFormat="1"/>
    <xf numFmtId="179" fontId="2" fillId="0" borderId="0" xfId="3" applyNumberFormat="1"/>
    <xf numFmtId="0" fontId="22" fillId="0" borderId="0" xfId="0" applyFont="1" applyAlignment="1"/>
    <xf numFmtId="183" fontId="22" fillId="0" borderId="0" xfId="14" applyNumberFormat="1" applyFont="1" applyFill="1"/>
    <xf numFmtId="164" fontId="22" fillId="0" borderId="0" xfId="14" applyFont="1" applyFill="1"/>
    <xf numFmtId="0" fontId="21" fillId="0" borderId="7" xfId="0" applyFont="1" applyBorder="1" applyAlignment="1">
      <alignment horizontal="left" vertical="center"/>
    </xf>
    <xf numFmtId="0" fontId="21" fillId="0" borderId="7" xfId="0" applyFont="1" applyBorder="1" applyAlignment="1">
      <alignment horizontal="center" vertical="center"/>
    </xf>
    <xf numFmtId="4" fontId="21" fillId="0" borderId="7" xfId="9" applyNumberFormat="1" applyFont="1" applyFill="1" applyBorder="1" applyAlignment="1">
      <alignment horizontal="center" vertical="center"/>
    </xf>
    <xf numFmtId="10" fontId="21" fillId="0" borderId="7" xfId="9" applyNumberFormat="1" applyFont="1" applyFill="1" applyBorder="1" applyAlignment="1">
      <alignment horizontal="center" vertical="center"/>
    </xf>
    <xf numFmtId="4" fontId="21" fillId="0" borderId="7" xfId="0" applyNumberFormat="1" applyFont="1" applyBorder="1" applyAlignment="1">
      <alignment horizontal="center" vertical="center"/>
    </xf>
    <xf numFmtId="0" fontId="30" fillId="0" borderId="7" xfId="0" applyFont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left" vertical="center" wrapText="1" readingOrder="1"/>
    </xf>
    <xf numFmtId="0" fontId="22" fillId="0" borderId="7" xfId="0" applyFont="1" applyBorder="1" applyAlignment="1"/>
    <xf numFmtId="0" fontId="7" fillId="2" borderId="0" xfId="0" applyFont="1" applyFill="1" applyAlignment="1">
      <alignment horizontal="left" vertical="center" readingOrder="1"/>
    </xf>
    <xf numFmtId="0" fontId="5" fillId="2" borderId="0" xfId="0" applyFont="1" applyFill="1" applyAlignment="1">
      <alignment horizontal="left" vertical="center" readingOrder="1"/>
    </xf>
    <xf numFmtId="168" fontId="5" fillId="0" borderId="1" xfId="0" applyNumberFormat="1" applyFont="1" applyBorder="1" applyAlignment="1">
      <alignment horizontal="right" vertical="center" wrapText="1" readingOrder="1"/>
    </xf>
    <xf numFmtId="183" fontId="22" fillId="0" borderId="0" xfId="14" applyNumberFormat="1" applyFont="1"/>
    <xf numFmtId="164" fontId="22" fillId="0" borderId="0" xfId="14" applyFont="1"/>
    <xf numFmtId="0" fontId="30" fillId="0" borderId="7" xfId="0" applyFont="1" applyBorder="1" applyAlignment="1">
      <alignment horizontal="left" wrapText="1"/>
    </xf>
    <xf numFmtId="0" fontId="30" fillId="0" borderId="7" xfId="0" applyFont="1" applyBorder="1" applyAlignment="1">
      <alignment horizontal="center" wrapText="1"/>
    </xf>
    <xf numFmtId="0" fontId="5" fillId="2" borderId="0" xfId="0" quotePrefix="1" applyFont="1" applyFill="1" applyAlignment="1">
      <alignment horizontal="left" vertical="center" readingOrder="1"/>
    </xf>
    <xf numFmtId="164" fontId="21" fillId="0" borderId="7" xfId="9" applyFont="1" applyFill="1" applyBorder="1" applyAlignment="1">
      <alignment horizontal="right" vertical="center"/>
    </xf>
    <xf numFmtId="164" fontId="21" fillId="0" borderId="7" xfId="9" applyFont="1" applyFill="1" applyBorder="1" applyAlignment="1">
      <alignment horizontal="center" vertical="center"/>
    </xf>
    <xf numFmtId="4" fontId="21" fillId="0" borderId="7" xfId="0" applyNumberFormat="1" applyFont="1" applyBorder="1" applyAlignment="1">
      <alignment horizontal="right" vertical="center"/>
    </xf>
    <xf numFmtId="0" fontId="21" fillId="0" borderId="7" xfId="0" applyFont="1" applyBorder="1" applyAlignment="1"/>
    <xf numFmtId="2" fontId="21" fillId="0" borderId="7" xfId="0" applyNumberFormat="1" applyFont="1" applyBorder="1" applyAlignment="1"/>
    <xf numFmtId="4" fontId="21" fillId="0" borderId="7" xfId="0" applyNumberFormat="1" applyFont="1" applyBorder="1" applyAlignment="1"/>
    <xf numFmtId="10" fontId="22" fillId="0" borderId="7" xfId="15" applyNumberFormat="1" applyFont="1" applyBorder="1"/>
    <xf numFmtId="0" fontId="30" fillId="0" borderId="7" xfId="2" applyFont="1" applyBorder="1" applyAlignment="1">
      <alignment horizontal="center"/>
    </xf>
    <xf numFmtId="0" fontId="30" fillId="0" borderId="7" xfId="2" applyFont="1" applyBorder="1" applyAlignment="1">
      <alignment horizontal="center" vertical="center" wrapText="1"/>
    </xf>
    <xf numFmtId="4" fontId="22" fillId="0" borderId="7" xfId="2" applyNumberFormat="1" applyFont="1" applyBorder="1"/>
    <xf numFmtId="2" fontId="22" fillId="0" borderId="7" xfId="2" applyNumberFormat="1" applyFont="1" applyBorder="1"/>
    <xf numFmtId="10" fontId="22" fillId="0" borderId="7" xfId="5" applyNumberFormat="1" applyFont="1" applyBorder="1"/>
    <xf numFmtId="0" fontId="13" fillId="2" borderId="0" xfId="0" applyFont="1" applyFill="1" applyAlignment="1">
      <alignment horizontal="left" vertical="center" wrapText="1" readingOrder="1"/>
    </xf>
    <xf numFmtId="0" fontId="20" fillId="0" borderId="0" xfId="13" applyFont="1" applyAlignment="1">
      <alignment horizontal="center" vertical="center" wrapText="1"/>
    </xf>
    <xf numFmtId="0" fontId="6" fillId="2" borderId="4" xfId="0" applyFont="1" applyFill="1" applyBorder="1" applyAlignment="1">
      <alignment horizontal="left" vertical="center" wrapText="1" readingOrder="1"/>
    </xf>
    <xf numFmtId="0" fontId="6" fillId="2" borderId="5" xfId="0" applyFont="1" applyFill="1" applyBorder="1" applyAlignment="1">
      <alignment horizontal="left" vertical="center" wrapText="1" readingOrder="1"/>
    </xf>
    <xf numFmtId="0" fontId="5" fillId="2" borderId="0" xfId="0" applyFont="1" applyFill="1" applyAlignment="1">
      <alignment horizontal="left" vertical="center" wrapText="1" readingOrder="1"/>
    </xf>
    <xf numFmtId="0" fontId="4" fillId="2" borderId="7" xfId="0" applyFont="1" applyFill="1" applyBorder="1" applyAlignment="1">
      <alignment horizontal="center" vertical="center" wrapText="1" readingOrder="1"/>
    </xf>
    <xf numFmtId="0" fontId="4" fillId="2" borderId="9" xfId="0" applyFont="1" applyFill="1" applyBorder="1" applyAlignment="1">
      <alignment horizontal="center" vertical="center" readingOrder="1"/>
    </xf>
    <xf numFmtId="0" fontId="4" fillId="2" borderId="10" xfId="0" applyFont="1" applyFill="1" applyBorder="1" applyAlignment="1">
      <alignment horizontal="center" vertical="center" readingOrder="1"/>
    </xf>
    <xf numFmtId="0" fontId="4" fillId="2" borderId="8" xfId="0" applyFont="1" applyFill="1" applyBorder="1" applyAlignment="1">
      <alignment horizontal="center" vertical="center" readingOrder="1"/>
    </xf>
    <xf numFmtId="0" fontId="5" fillId="2" borderId="4" xfId="0" applyFont="1" applyFill="1" applyBorder="1" applyAlignment="1">
      <alignment horizontal="left" vertical="center" wrapText="1" readingOrder="1"/>
    </xf>
    <xf numFmtId="0" fontId="5" fillId="2" borderId="5" xfId="0" applyFont="1" applyFill="1" applyBorder="1" applyAlignment="1">
      <alignment horizontal="left" vertical="center" wrapText="1" readingOrder="1"/>
    </xf>
    <xf numFmtId="0" fontId="5" fillId="0" borderId="0" xfId="0" applyFont="1" applyAlignment="1">
      <alignment horizontal="left" vertical="center" wrapText="1" readingOrder="1"/>
    </xf>
    <xf numFmtId="0" fontId="5" fillId="2" borderId="0" xfId="1" applyFont="1" applyFill="1" applyAlignment="1">
      <alignment horizontal="left" vertical="center" wrapText="1" readingOrder="1"/>
    </xf>
    <xf numFmtId="0" fontId="5" fillId="2" borderId="6" xfId="0" applyFont="1" applyFill="1" applyBorder="1" applyAlignment="1">
      <alignment horizontal="left" vertical="center" wrapText="1" readingOrder="1"/>
    </xf>
    <xf numFmtId="0" fontId="30" fillId="0" borderId="7" xfId="2" applyFont="1" applyBorder="1" applyAlignment="1">
      <alignment horizontal="center" wrapText="1"/>
    </xf>
    <xf numFmtId="0" fontId="30" fillId="0" borderId="7" xfId="2" applyFont="1" applyBorder="1" applyAlignment="1">
      <alignment horizontal="center"/>
    </xf>
    <xf numFmtId="0" fontId="22" fillId="0" borderId="7" xfId="2" applyFont="1" applyBorder="1" applyAlignment="1">
      <alignment horizontal="center"/>
    </xf>
    <xf numFmtId="0" fontId="12" fillId="2" borderId="4" xfId="0" applyFont="1" applyFill="1" applyBorder="1" applyAlignment="1">
      <alignment horizontal="left" vertical="center" wrapText="1" readingOrder="1"/>
    </xf>
    <xf numFmtId="0" fontId="12" fillId="2" borderId="5" xfId="0" applyFont="1" applyFill="1" applyBorder="1" applyAlignment="1">
      <alignment horizontal="left" vertical="center" wrapText="1" readingOrder="1"/>
    </xf>
    <xf numFmtId="0" fontId="5" fillId="2" borderId="4" xfId="0" applyFont="1" applyFill="1" applyBorder="1" applyAlignment="1">
      <alignment horizontal="left" vertical="top" wrapText="1" readingOrder="1"/>
    </xf>
    <xf numFmtId="0" fontId="5" fillId="2" borderId="5" xfId="0" applyFont="1" applyFill="1" applyBorder="1" applyAlignment="1">
      <alignment horizontal="left" vertical="top" wrapText="1" readingOrder="1"/>
    </xf>
    <xf numFmtId="0" fontId="22" fillId="0" borderId="7" xfId="2" applyFont="1" applyBorder="1" applyAlignment="1">
      <alignment horizontal="left" wrapText="1"/>
    </xf>
    <xf numFmtId="0" fontId="22" fillId="0" borderId="7" xfId="2" applyFont="1" applyBorder="1" applyAlignment="1">
      <alignment horizontal="left"/>
    </xf>
    <xf numFmtId="0" fontId="30" fillId="0" borderId="7" xfId="2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 readingOrder="1"/>
    </xf>
    <xf numFmtId="0" fontId="4" fillId="0" borderId="7" xfId="0" applyFont="1" applyBorder="1" applyAlignment="1">
      <alignment horizontal="center" vertical="center" readingOrder="1"/>
    </xf>
    <xf numFmtId="0" fontId="5" fillId="2" borderId="4" xfId="0" applyFont="1" applyFill="1" applyBorder="1" applyAlignment="1">
      <alignment horizontal="left" vertical="center" readingOrder="1"/>
    </xf>
    <xf numFmtId="0" fontId="5" fillId="2" borderId="6" xfId="0" applyFont="1" applyFill="1" applyBorder="1" applyAlignment="1">
      <alignment horizontal="left" vertical="center" readingOrder="1"/>
    </xf>
    <xf numFmtId="0" fontId="5" fillId="2" borderId="5" xfId="0" applyFont="1" applyFill="1" applyBorder="1" applyAlignment="1">
      <alignment horizontal="left" vertical="center" readingOrder="1"/>
    </xf>
    <xf numFmtId="0" fontId="12" fillId="2" borderId="0" xfId="0" applyFont="1" applyFill="1" applyAlignment="1">
      <alignment horizontal="left" vertical="center" wrapText="1" readingOrder="1"/>
    </xf>
    <xf numFmtId="0" fontId="19" fillId="3" borderId="0" xfId="0" applyFont="1" applyFill="1" applyAlignment="1">
      <alignment horizontal="left" vertical="center" wrapText="1"/>
    </xf>
    <xf numFmtId="0" fontId="13" fillId="2" borderId="4" xfId="0" applyFont="1" applyFill="1" applyBorder="1" applyAlignment="1">
      <alignment horizontal="left" vertical="center" wrapText="1" readingOrder="1"/>
    </xf>
    <xf numFmtId="0" fontId="13" fillId="2" borderId="6" xfId="0" applyFont="1" applyFill="1" applyBorder="1" applyAlignment="1">
      <alignment horizontal="left" vertical="center" wrapText="1" readingOrder="1"/>
    </xf>
    <xf numFmtId="0" fontId="13" fillId="2" borderId="5" xfId="0" applyFont="1" applyFill="1" applyBorder="1" applyAlignment="1">
      <alignment horizontal="left" vertical="center" wrapText="1" readingOrder="1"/>
    </xf>
    <xf numFmtId="0" fontId="5" fillId="2" borderId="4" xfId="0" applyFont="1" applyFill="1" applyBorder="1" applyAlignment="1">
      <alignment vertical="center" wrapText="1" readingOrder="1"/>
    </xf>
    <xf numFmtId="0" fontId="5" fillId="2" borderId="6" xfId="0" applyFont="1" applyFill="1" applyBorder="1" applyAlignment="1">
      <alignment vertical="center" wrapText="1" readingOrder="1"/>
    </xf>
    <xf numFmtId="0" fontId="5" fillId="2" borderId="5" xfId="0" applyFont="1" applyFill="1" applyBorder="1" applyAlignment="1">
      <alignment vertical="center" wrapText="1" readingOrder="1"/>
    </xf>
    <xf numFmtId="0" fontId="5" fillId="2" borderId="14" xfId="0" applyFont="1" applyFill="1" applyBorder="1" applyAlignment="1">
      <alignment horizontal="left" vertical="center" wrapText="1" readingOrder="1"/>
    </xf>
    <xf numFmtId="0" fontId="5" fillId="2" borderId="15" xfId="0" applyFont="1" applyFill="1" applyBorder="1" applyAlignment="1">
      <alignment horizontal="left" vertical="center" wrapText="1" readingOrder="1"/>
    </xf>
    <xf numFmtId="0" fontId="5" fillId="2" borderId="4" xfId="0" applyFont="1" applyFill="1" applyBorder="1" applyAlignment="1">
      <alignment horizontal="center" vertical="center" wrapText="1" readingOrder="1"/>
    </xf>
    <xf numFmtId="0" fontId="5" fillId="2" borderId="6" xfId="0" applyFont="1" applyFill="1" applyBorder="1" applyAlignment="1">
      <alignment horizontal="center" vertical="center" wrapText="1" readingOrder="1"/>
    </xf>
    <xf numFmtId="0" fontId="5" fillId="2" borderId="5" xfId="0" applyFont="1" applyFill="1" applyBorder="1" applyAlignment="1">
      <alignment horizontal="center" vertical="center" wrapText="1" readingOrder="1"/>
    </xf>
    <xf numFmtId="0" fontId="27" fillId="0" borderId="0" xfId="11" applyFont="1" applyAlignment="1">
      <alignment horizontal="left"/>
    </xf>
    <xf numFmtId="0" fontId="27" fillId="0" borderId="0" xfId="11" applyFont="1" applyAlignment="1">
      <alignment horizontal="left" vertical="center"/>
    </xf>
    <xf numFmtId="0" fontId="22" fillId="0" borderId="0" xfId="6" applyFont="1" applyAlignment="1">
      <alignment horizontal="left"/>
    </xf>
    <xf numFmtId="0" fontId="8" fillId="0" borderId="7" xfId="6" applyFont="1" applyBorder="1" applyAlignment="1">
      <alignment horizontal="center"/>
    </xf>
    <xf numFmtId="0" fontId="20" fillId="0" borderId="7" xfId="7" applyFont="1" applyBorder="1" applyAlignment="1">
      <alignment horizontal="center" vertical="center"/>
    </xf>
    <xf numFmtId="0" fontId="18" fillId="3" borderId="7" xfId="7" applyFont="1" applyFill="1" applyBorder="1" applyAlignment="1">
      <alignment horizontal="center" vertical="center" wrapText="1"/>
    </xf>
    <xf numFmtId="0" fontId="27" fillId="0" borderId="9" xfId="11" applyFont="1" applyBorder="1" applyAlignment="1">
      <alignment horizontal="left" vertical="center"/>
    </xf>
    <xf numFmtId="0" fontId="27" fillId="0" borderId="10" xfId="11" applyFont="1" applyBorder="1" applyAlignment="1">
      <alignment horizontal="left" vertical="center"/>
    </xf>
    <xf numFmtId="0" fontId="27" fillId="0" borderId="8" xfId="11" applyFont="1" applyBorder="1" applyAlignment="1">
      <alignment horizontal="left" vertical="center"/>
    </xf>
    <xf numFmtId="0" fontId="5" fillId="0" borderId="7" xfId="6" applyFont="1" applyBorder="1" applyAlignment="1">
      <alignment horizontal="left" vertical="center" wrapText="1" readingOrder="1"/>
    </xf>
  </cellXfs>
  <cellStyles count="16">
    <cellStyle name="Comma" xfId="14" builtinId="3"/>
    <cellStyle name="Comma 10" xfId="10" xr:uid="{24C09952-1656-4A9F-A6BB-F8F261A7D9F6}"/>
    <cellStyle name="Comma 2" xfId="9" xr:uid="{8627E63C-D7CB-4CEF-B2FB-9B1CA869A454}"/>
    <cellStyle name="Comma 2 2" xfId="4" xr:uid="{7F0F8228-15D0-4898-9696-9C6BD8ECB891}"/>
    <cellStyle name="Normal" xfId="0" builtinId="0"/>
    <cellStyle name="Normal 2" xfId="1" xr:uid="{BC7FBA04-271D-44D3-B18E-A79F00EA90AF}"/>
    <cellStyle name="Normal 2 2" xfId="8" xr:uid="{C863FFE7-D012-4198-B915-FBE03764D72F}"/>
    <cellStyle name="Normal 2 2 3" xfId="2" xr:uid="{55D49E50-F644-432F-9211-1953FFE9F4F8}"/>
    <cellStyle name="Normal 3" xfId="13" xr:uid="{3E224AA4-DA51-4989-9CB1-6730ADFA0760}"/>
    <cellStyle name="Normal 4" xfId="3" xr:uid="{BA80063F-50B5-49A9-B68A-1659A275CBA5}"/>
    <cellStyle name="Normal 4 2" xfId="6" xr:uid="{6AD54D54-3548-4830-AC74-9B63BA4DD907}"/>
    <cellStyle name="Normal_Bonsaverportfolio 2 2" xfId="7" xr:uid="{2D6D2A72-D4D0-4895-B85A-950F6E77FEEB}"/>
    <cellStyle name="Normal_Halfyearly_Debtholdings_30092011 2" xfId="11" xr:uid="{0E0B17BC-2527-4827-85A9-852DBEC6595D}"/>
    <cellStyle name="Normal_Holdingotherschemes new" xfId="12" xr:uid="{09075C24-F224-40DB-BDF5-7233D274B48C}"/>
    <cellStyle name="Percent" xfId="15" builtinId="5"/>
    <cellStyle name="Percent 2" xfId="5" xr:uid="{3F437D89-80F8-4186-B54E-76305233561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3.pn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jpe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eg"/><Relationship Id="rId1" Type="http://schemas.openxmlformats.org/officeDocument/2006/relationships/image" Target="../media/image6.pn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8.jpeg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4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</xdr:row>
      <xdr:rowOff>19050</xdr:rowOff>
    </xdr:from>
    <xdr:to>
      <xdr:col>14</xdr:col>
      <xdr:colOff>235942</xdr:colOff>
      <xdr:row>11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162754-2423-4FD0-86D2-0A1BE8EF7C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45720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14</xdr:col>
      <xdr:colOff>225721</xdr:colOff>
      <xdr:row>24</xdr:row>
      <xdr:rowOff>104773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FE98654-41F2-40F3-B9A4-0048F00A47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552825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16</xdr:row>
      <xdr:rowOff>0</xdr:rowOff>
    </xdr:from>
    <xdr:to>
      <xdr:col>14</xdr:col>
      <xdr:colOff>225721</xdr:colOff>
      <xdr:row>26</xdr:row>
      <xdr:rowOff>104773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EB15EE1-CA62-46D4-ABB4-944186F6E3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552825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0</xdr:colOff>
      <xdr:row>3</xdr:row>
      <xdr:rowOff>0</xdr:rowOff>
    </xdr:from>
    <xdr:to>
      <xdr:col>14</xdr:col>
      <xdr:colOff>57151</xdr:colOff>
      <xdr:row>12</xdr:row>
      <xdr:rowOff>9525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5DF36D0-974C-4A43-A5DF-DBAAB663C6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172700" y="571500"/>
          <a:ext cx="3105151" cy="20002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</xdr:row>
      <xdr:rowOff>123825</xdr:rowOff>
    </xdr:from>
    <xdr:to>
      <xdr:col>14</xdr:col>
      <xdr:colOff>235942</xdr:colOff>
      <xdr:row>11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F5CC45-6AB5-4591-9D6A-86209CBAD8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561975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14</xdr:col>
      <xdr:colOff>225721</xdr:colOff>
      <xdr:row>27</xdr:row>
      <xdr:rowOff>266698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ED853E0-6448-4B61-9BBB-AE9C0F2372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552825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</xdr:row>
      <xdr:rowOff>161925</xdr:rowOff>
    </xdr:from>
    <xdr:to>
      <xdr:col>14</xdr:col>
      <xdr:colOff>235942</xdr:colOff>
      <xdr:row>11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39A2E3-4834-4C60-B46B-E1D408D7DE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600075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14</xdr:col>
      <xdr:colOff>225721</xdr:colOff>
      <xdr:row>27</xdr:row>
      <xdr:rowOff>104773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AD3634B-C9F5-45F6-B398-00B3510CEF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552825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12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BC470E-D65B-470B-9B77-46D372592F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70485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14</xdr:col>
      <xdr:colOff>225721</xdr:colOff>
      <xdr:row>27</xdr:row>
      <xdr:rowOff>104773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52B02F6-DA13-4019-92AB-CA0C0F77E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552825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13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716100-0F10-4885-8500-DDE4DFAAF0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70485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14</xdr:col>
      <xdr:colOff>225721</xdr:colOff>
      <xdr:row>23</xdr:row>
      <xdr:rowOff>266698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AA0ECBA-B2DC-4D03-95E1-5DAC62402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552825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0</xdr:colOff>
      <xdr:row>29</xdr:row>
      <xdr:rowOff>0</xdr:rowOff>
    </xdr:from>
    <xdr:to>
      <xdr:col>14</xdr:col>
      <xdr:colOff>225721</xdr:colOff>
      <xdr:row>40</xdr:row>
      <xdr:rowOff>104773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AFFDCEA-9414-4414-BF1C-7EEEC83FB0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91750" y="5857875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16016DA-DC28-48B1-AF52-F9CDC024E5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70485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14</xdr:col>
      <xdr:colOff>225721</xdr:colOff>
      <xdr:row>26</xdr:row>
      <xdr:rowOff>104773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E6B27FA-9376-4449-A11B-7A8F82775F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524250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12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9536554-EDA1-44A1-95F2-6A3031A9EB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70485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14</xdr:col>
      <xdr:colOff>225721</xdr:colOff>
      <xdr:row>26</xdr:row>
      <xdr:rowOff>104773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D538CC2-AF6A-4D8F-9FC2-DDF688452E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524250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</xdr:row>
      <xdr:rowOff>142875</xdr:rowOff>
    </xdr:from>
    <xdr:to>
      <xdr:col>14</xdr:col>
      <xdr:colOff>235942</xdr:colOff>
      <xdr:row>12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7DA6AA-2CD9-463C-8BF8-729FFCAA5F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581025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14</xdr:col>
      <xdr:colOff>225721</xdr:colOff>
      <xdr:row>26</xdr:row>
      <xdr:rowOff>104773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A4BAC49-1000-41AC-A45B-7212D9EF5B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524250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9</xdr:col>
      <xdr:colOff>0</xdr:colOff>
      <xdr:row>31</xdr:row>
      <xdr:rowOff>0</xdr:rowOff>
    </xdr:from>
    <xdr:ext cx="3273721" cy="1885948"/>
    <xdr:pic>
      <xdr:nvPicPr>
        <xdr:cNvPr id="4" name="Picture 3">
          <a:extLst>
            <a:ext uri="{FF2B5EF4-FFF2-40B4-BE49-F238E27FC236}">
              <a16:creationId xmlns:a16="http://schemas.microsoft.com/office/drawing/2014/main" id="{430668E4-BE00-4702-8795-0E91975219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400425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12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F9CFFAB-825D-4576-A284-376ABA65F9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70485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14</xdr:col>
      <xdr:colOff>225721</xdr:colOff>
      <xdr:row>26</xdr:row>
      <xdr:rowOff>104773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9FB122-3E38-4B65-BF9B-0F484073B7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552825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12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A6DEC9-C97B-4A8D-9DBE-2CE398AE4C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70485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14</xdr:col>
      <xdr:colOff>225721</xdr:colOff>
      <xdr:row>26</xdr:row>
      <xdr:rowOff>104773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EBF1CB3-0232-4E15-BEC7-7D46AFAF7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552825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12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CBDBA8-7F42-4823-AD95-CB19A4B1D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70485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14</xdr:col>
      <xdr:colOff>225721</xdr:colOff>
      <xdr:row>26</xdr:row>
      <xdr:rowOff>104773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40E65E7-AD68-479A-AF36-C2323D811B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552825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12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634B9D-0A1D-454C-A310-229F5553C8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70485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14</xdr:col>
      <xdr:colOff>225721</xdr:colOff>
      <xdr:row>26</xdr:row>
      <xdr:rowOff>104773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6F7F156-F13D-42FF-9682-51DE56D588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552825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12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4B89FF5-547C-4241-84F5-2D658DF22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70485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14</xdr:col>
      <xdr:colOff>225721</xdr:colOff>
      <xdr:row>26</xdr:row>
      <xdr:rowOff>104773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D47FC2F-4DC7-4904-9B21-8A054745D8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552825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12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B4597A-E95F-4D57-8AF3-4D2F65A6DE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70485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14</xdr:col>
      <xdr:colOff>225721</xdr:colOff>
      <xdr:row>26</xdr:row>
      <xdr:rowOff>104773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C93282F-5008-4E79-88C5-6CB6C1C066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524250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11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60DD7B-B649-4DE3-9C7B-370073CF50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70485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14</xdr:col>
      <xdr:colOff>225721</xdr:colOff>
      <xdr:row>26</xdr:row>
      <xdr:rowOff>104773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34CEEFD-CA7E-473E-986C-C0BD02FFC4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390900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12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0DD64A-41E6-4087-906D-534B3C89B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70485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14</xdr:col>
      <xdr:colOff>225721</xdr:colOff>
      <xdr:row>26</xdr:row>
      <xdr:rowOff>104773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96B68D6-6AE9-4A70-BA8E-C1E3B42934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552825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9525</xdr:rowOff>
    </xdr:from>
    <xdr:to>
      <xdr:col>14</xdr:col>
      <xdr:colOff>235942</xdr:colOff>
      <xdr:row>12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A28FF6-48E7-4ECD-A1B1-607420F030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714375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14</xdr:col>
      <xdr:colOff>225721</xdr:colOff>
      <xdr:row>26</xdr:row>
      <xdr:rowOff>104773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4E9100A-6D87-4D69-B10E-A8A7B88D6A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552825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12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1C3E48-19EC-4E38-8A96-ED1C3DB0A3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70485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14</xdr:col>
      <xdr:colOff>225721</xdr:colOff>
      <xdr:row>27</xdr:row>
      <xdr:rowOff>104773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8321628-A5AA-45FE-9631-DA7C5C14FD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714750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12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B19C0F-2C2D-4B58-868C-4F8E11724F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70485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14</xdr:col>
      <xdr:colOff>225721</xdr:colOff>
      <xdr:row>27</xdr:row>
      <xdr:rowOff>104773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410D551-FB8B-44FB-903F-7CFB348877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714750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190500</xdr:rowOff>
    </xdr:from>
    <xdr:to>
      <xdr:col>14</xdr:col>
      <xdr:colOff>235942</xdr:colOff>
      <xdr:row>10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302B78-16E5-4D62-8E9F-B142496BF1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41910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14</xdr:col>
      <xdr:colOff>225721</xdr:colOff>
      <xdr:row>24</xdr:row>
      <xdr:rowOff>57148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D945F56-3F49-4E94-8A63-534309CF27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228975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11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770E9ED-FB15-4A77-881D-FEFBA4DE11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70485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14</xdr:col>
      <xdr:colOff>225721</xdr:colOff>
      <xdr:row>23</xdr:row>
      <xdr:rowOff>266698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BDCA628-9279-4DC2-9DA8-0911CA40B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228975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12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777DE99-BA15-4466-8A8D-F91F385B05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70485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14</xdr:col>
      <xdr:colOff>225721</xdr:colOff>
      <xdr:row>24</xdr:row>
      <xdr:rowOff>104773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A994027-6B84-4C8E-83AB-57C0124C2F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390900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12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25EF4F-3540-4D8D-AC42-5DD976861A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70485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14</xdr:col>
      <xdr:colOff>225721</xdr:colOff>
      <xdr:row>24</xdr:row>
      <xdr:rowOff>104773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12DCBE2-9EBB-4008-BEFE-4BABE61AF0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390900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11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DE8BF0-8D8A-4894-9D91-68AC38BE7F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70485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14</xdr:col>
      <xdr:colOff>225721</xdr:colOff>
      <xdr:row>23</xdr:row>
      <xdr:rowOff>114298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0766BEB-69FD-4107-BAC0-B277E77D6F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228975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9</xdr:col>
      <xdr:colOff>0</xdr:colOff>
      <xdr:row>28</xdr:row>
      <xdr:rowOff>0</xdr:rowOff>
    </xdr:from>
    <xdr:ext cx="3273721" cy="1885948"/>
    <xdr:pic>
      <xdr:nvPicPr>
        <xdr:cNvPr id="4" name="Picture 3">
          <a:extLst>
            <a:ext uri="{FF2B5EF4-FFF2-40B4-BE49-F238E27FC236}">
              <a16:creationId xmlns:a16="http://schemas.microsoft.com/office/drawing/2014/main" id="{01051C1E-30B3-4A01-8DB1-5A0736923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514725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3</xdr:row>
      <xdr:rowOff>0</xdr:rowOff>
    </xdr:from>
    <xdr:to>
      <xdr:col>15</xdr:col>
      <xdr:colOff>57151</xdr:colOff>
      <xdr:row>11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DF22A3-9831-475A-8DBB-FB1674641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06150" y="704850"/>
          <a:ext cx="3105151" cy="200025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15</xdr:col>
      <xdr:colOff>225721</xdr:colOff>
      <xdr:row>25</xdr:row>
      <xdr:rowOff>104773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568EFD9-39AE-4AFE-ACFE-295163A330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106150" y="3381375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16</xdr:row>
      <xdr:rowOff>0</xdr:rowOff>
    </xdr:from>
    <xdr:to>
      <xdr:col>14</xdr:col>
      <xdr:colOff>374530</xdr:colOff>
      <xdr:row>28</xdr:row>
      <xdr:rowOff>28575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759C0F-67CA-4226-9C4F-BED3CCBD68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06075" y="3552825"/>
          <a:ext cx="3422530" cy="1971675"/>
        </a:xfrm>
        <a:prstGeom prst="rect">
          <a:avLst/>
        </a:prstGeom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0</xdr:colOff>
      <xdr:row>3</xdr:row>
      <xdr:rowOff>0</xdr:rowOff>
    </xdr:from>
    <xdr:to>
      <xdr:col>14</xdr:col>
      <xdr:colOff>112117</xdr:colOff>
      <xdr:row>11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F7482E0-0C32-4AAE-AADF-ED6E698DDB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172700" y="571500"/>
          <a:ext cx="3160117" cy="198120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276225</xdr:colOff>
      <xdr:row>12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6C1C86-2DB9-49D2-97F4-203F9BF15A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704850"/>
          <a:ext cx="3324225" cy="20478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14</xdr:col>
      <xdr:colOff>324928</xdr:colOff>
      <xdr:row>25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C2C5CC3-D872-453D-BED2-F4708FA532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72700" y="3324225"/>
          <a:ext cx="3372928" cy="194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12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9F5524-23C6-40F6-9E82-12EB5242B6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70485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14</xdr:col>
      <xdr:colOff>225721</xdr:colOff>
      <xdr:row>27</xdr:row>
      <xdr:rowOff>104773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4BA6F7-103F-4795-A7BC-7E6222B075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524250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9</xdr:col>
      <xdr:colOff>0</xdr:colOff>
      <xdr:row>31</xdr:row>
      <xdr:rowOff>0</xdr:rowOff>
    </xdr:from>
    <xdr:ext cx="3273721" cy="1885948"/>
    <xdr:pic>
      <xdr:nvPicPr>
        <xdr:cNvPr id="4" name="Picture 3">
          <a:extLst>
            <a:ext uri="{FF2B5EF4-FFF2-40B4-BE49-F238E27FC236}">
              <a16:creationId xmlns:a16="http://schemas.microsoft.com/office/drawing/2014/main" id="{15ED9D56-F1FA-410C-B732-56FFC8878A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533775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16</xdr:row>
      <xdr:rowOff>0</xdr:rowOff>
    </xdr:from>
    <xdr:to>
      <xdr:col>14</xdr:col>
      <xdr:colOff>374530</xdr:colOff>
      <xdr:row>26</xdr:row>
      <xdr:rowOff>190500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AD6F0B0-3EE0-4DC0-B742-A88CB30F33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72700" y="3876675"/>
          <a:ext cx="3422530" cy="1971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0</xdr:colOff>
      <xdr:row>3</xdr:row>
      <xdr:rowOff>0</xdr:rowOff>
    </xdr:from>
    <xdr:to>
      <xdr:col>14</xdr:col>
      <xdr:colOff>361950</xdr:colOff>
      <xdr:row>11</xdr:row>
      <xdr:rowOff>109961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16D1099-F554-4939-B30E-98AE3F42D5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82300" y="571500"/>
          <a:ext cx="3409950" cy="2100686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12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19A8A95-1AD0-443C-8B01-E7E84211DA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29850" y="70485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14</xdr:col>
      <xdr:colOff>225721</xdr:colOff>
      <xdr:row>26</xdr:row>
      <xdr:rowOff>104773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B3605FF-DCF7-45DB-A295-C9DE8BDBDE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229850" y="3552825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9</xdr:col>
      <xdr:colOff>0</xdr:colOff>
      <xdr:row>30</xdr:row>
      <xdr:rowOff>0</xdr:rowOff>
    </xdr:from>
    <xdr:ext cx="3273721" cy="1885948"/>
    <xdr:pic>
      <xdr:nvPicPr>
        <xdr:cNvPr id="4" name="Picture 3">
          <a:extLst>
            <a:ext uri="{FF2B5EF4-FFF2-40B4-BE49-F238E27FC236}">
              <a16:creationId xmlns:a16="http://schemas.microsoft.com/office/drawing/2014/main" id="{39B44EE1-45C3-4305-B946-49B65876F4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562350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12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3789F5-3A8B-45F4-B13E-9BE9225957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70485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14</xdr:col>
      <xdr:colOff>225721</xdr:colOff>
      <xdr:row>27</xdr:row>
      <xdr:rowOff>104773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FA19660-44BC-4080-938C-2AE98CD1AC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390900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9</xdr:col>
      <xdr:colOff>0</xdr:colOff>
      <xdr:row>32</xdr:row>
      <xdr:rowOff>0</xdr:rowOff>
    </xdr:from>
    <xdr:ext cx="3273721" cy="1885948"/>
    <xdr:pic>
      <xdr:nvPicPr>
        <xdr:cNvPr id="4" name="Picture 3">
          <a:extLst>
            <a:ext uri="{FF2B5EF4-FFF2-40B4-BE49-F238E27FC236}">
              <a16:creationId xmlns:a16="http://schemas.microsoft.com/office/drawing/2014/main" id="{5E62A625-0122-4106-9821-FAE3953766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248025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13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B3DDB1C-A558-4E95-A16F-BAD1D6F38B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70485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14</xdr:col>
      <xdr:colOff>225721</xdr:colOff>
      <xdr:row>26</xdr:row>
      <xdr:rowOff>104773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A649B5B-CEA2-4107-BA3D-9DF255D0FC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228975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13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983FEF-FEF4-4718-9CBF-A391187DF5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70485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14</xdr:col>
      <xdr:colOff>225721</xdr:colOff>
      <xdr:row>24</xdr:row>
      <xdr:rowOff>104773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9A0B875-9A33-4CCD-8E21-E0B1841ECC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524250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9</xdr:col>
      <xdr:colOff>0</xdr:colOff>
      <xdr:row>27</xdr:row>
      <xdr:rowOff>0</xdr:rowOff>
    </xdr:from>
    <xdr:ext cx="3273721" cy="1885948"/>
    <xdr:pic>
      <xdr:nvPicPr>
        <xdr:cNvPr id="4" name="Picture 3">
          <a:extLst>
            <a:ext uri="{FF2B5EF4-FFF2-40B4-BE49-F238E27FC236}">
              <a16:creationId xmlns:a16="http://schemas.microsoft.com/office/drawing/2014/main" id="{D183A273-8277-4389-A886-91E1978B0A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076575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</xdr:row>
      <xdr:rowOff>209550</xdr:rowOff>
    </xdr:from>
    <xdr:to>
      <xdr:col>14</xdr:col>
      <xdr:colOff>235942</xdr:colOff>
      <xdr:row>10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0AB01F8-DD94-41CB-801B-E501090443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647700"/>
          <a:ext cx="3283942" cy="2038350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476250</xdr:colOff>
      <xdr:row>13</xdr:row>
      <xdr:rowOff>190500</xdr:rowOff>
    </xdr:from>
    <xdr:to>
      <xdr:col>14</xdr:col>
      <xdr:colOff>92371</xdr:colOff>
      <xdr:row>22</xdr:row>
      <xdr:rowOff>266698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6CB1E12-FC99-40A7-848B-11F8F06AB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039350" y="3743325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12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993A36A-E1ED-442F-9187-420956A958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34625" y="70485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14</xdr:col>
      <xdr:colOff>225721</xdr:colOff>
      <xdr:row>27</xdr:row>
      <xdr:rowOff>104773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A673351-9681-46AC-8D93-20B2B9EE50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334625" y="3390900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9</xdr:col>
      <xdr:colOff>0</xdr:colOff>
      <xdr:row>31</xdr:row>
      <xdr:rowOff>0</xdr:rowOff>
    </xdr:from>
    <xdr:ext cx="3273721" cy="1885948"/>
    <xdr:pic>
      <xdr:nvPicPr>
        <xdr:cNvPr id="4" name="Picture 3">
          <a:extLst>
            <a:ext uri="{FF2B5EF4-FFF2-40B4-BE49-F238E27FC236}">
              <a16:creationId xmlns:a16="http://schemas.microsoft.com/office/drawing/2014/main" id="{6CE48EAA-9E15-4755-A7C0-8838442B76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238500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12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830810-766B-44BA-961A-97C5F37F69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70485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14</xdr:col>
      <xdr:colOff>225721</xdr:colOff>
      <xdr:row>25</xdr:row>
      <xdr:rowOff>266698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823D543-2BD0-4630-8DD1-226681281E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524250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9</xdr:col>
      <xdr:colOff>0</xdr:colOff>
      <xdr:row>29</xdr:row>
      <xdr:rowOff>0</xdr:rowOff>
    </xdr:from>
    <xdr:ext cx="3273721" cy="1885948"/>
    <xdr:pic>
      <xdr:nvPicPr>
        <xdr:cNvPr id="4" name="Picture 3">
          <a:extLst>
            <a:ext uri="{FF2B5EF4-FFF2-40B4-BE49-F238E27FC236}">
              <a16:creationId xmlns:a16="http://schemas.microsoft.com/office/drawing/2014/main" id="{38EDEC59-4207-4108-921F-1AD778185D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238500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13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0D2DA3-D0E7-411B-BF29-0756A86973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70485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14</xdr:col>
      <xdr:colOff>225721</xdr:colOff>
      <xdr:row>24</xdr:row>
      <xdr:rowOff>266698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C207C2F-3491-4959-AA24-F75A6BF4E9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390900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9</xdr:col>
      <xdr:colOff>0</xdr:colOff>
      <xdr:row>29</xdr:row>
      <xdr:rowOff>0</xdr:rowOff>
    </xdr:from>
    <xdr:ext cx="3273721" cy="1885948"/>
    <xdr:pic>
      <xdr:nvPicPr>
        <xdr:cNvPr id="4" name="Picture 3">
          <a:extLst>
            <a:ext uri="{FF2B5EF4-FFF2-40B4-BE49-F238E27FC236}">
              <a16:creationId xmlns:a16="http://schemas.microsoft.com/office/drawing/2014/main" id="{7BDD4E5A-179A-43B4-94E4-C7B7FA7AB3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725150" y="3238500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12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D3A770-D907-4DF9-92D2-8CB737B09A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70485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14</xdr:col>
      <xdr:colOff>225721</xdr:colOff>
      <xdr:row>25</xdr:row>
      <xdr:rowOff>266698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8BD80A7-5AB4-4EE9-847D-724488AE7E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390900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140692</xdr:colOff>
      <xdr:row>10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2B9705-6543-4E2B-A6D9-F19BEAF097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62975" y="57150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14</xdr:row>
      <xdr:rowOff>0</xdr:rowOff>
    </xdr:from>
    <xdr:to>
      <xdr:col>14</xdr:col>
      <xdr:colOff>130471</xdr:colOff>
      <xdr:row>23</xdr:row>
      <xdr:rowOff>171448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A66FEEE-B388-4DFB-AF81-7E1927C819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8562975" y="3467100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41"/>
  <sheetViews>
    <sheetView tabSelected="1" workbookViewId="0">
      <selection activeCell="C1" sqref="C1"/>
    </sheetView>
  </sheetViews>
  <sheetFormatPr defaultRowHeight="15" x14ac:dyDescent="0.25"/>
  <cols>
    <col min="1" max="1" width="6" style="118" bestFit="1" customWidth="1"/>
    <col min="2" max="2" width="10.42578125" style="118" bestFit="1" customWidth="1"/>
    <col min="3" max="3" width="56.42578125" style="118" bestFit="1" customWidth="1"/>
    <col min="4" max="16384" width="9.140625" style="118"/>
  </cols>
  <sheetData>
    <row r="1" spans="1:3" x14ac:dyDescent="0.25">
      <c r="A1" s="116" t="s">
        <v>1080</v>
      </c>
      <c r="B1" s="117" t="s">
        <v>1081</v>
      </c>
      <c r="C1" s="117" t="s">
        <v>1082</v>
      </c>
    </row>
    <row r="2" spans="1:3" x14ac:dyDescent="0.25">
      <c r="A2" s="88">
        <v>1</v>
      </c>
      <c r="B2" s="119" t="s">
        <v>942</v>
      </c>
      <c r="C2" s="119" t="s">
        <v>1</v>
      </c>
    </row>
    <row r="3" spans="1:3" x14ac:dyDescent="0.25">
      <c r="A3" s="88">
        <v>2</v>
      </c>
      <c r="B3" s="119" t="s">
        <v>943</v>
      </c>
      <c r="C3" s="119" t="s">
        <v>142</v>
      </c>
    </row>
    <row r="4" spans="1:3" x14ac:dyDescent="0.25">
      <c r="A4" s="88">
        <v>3</v>
      </c>
      <c r="B4" s="119" t="s">
        <v>944</v>
      </c>
      <c r="C4" s="119" t="s">
        <v>258</v>
      </c>
    </row>
    <row r="5" spans="1:3" x14ac:dyDescent="0.25">
      <c r="A5" s="88">
        <v>4</v>
      </c>
      <c r="B5" s="119" t="s">
        <v>945</v>
      </c>
      <c r="C5" s="119" t="s">
        <v>273</v>
      </c>
    </row>
    <row r="6" spans="1:3" x14ac:dyDescent="0.25">
      <c r="A6" s="88">
        <v>5</v>
      </c>
      <c r="B6" s="119" t="s">
        <v>946</v>
      </c>
      <c r="C6" s="119" t="s">
        <v>295</v>
      </c>
    </row>
    <row r="7" spans="1:3" x14ac:dyDescent="0.25">
      <c r="A7" s="88">
        <v>6</v>
      </c>
      <c r="B7" s="119" t="s">
        <v>934</v>
      </c>
      <c r="C7" s="119" t="s">
        <v>300</v>
      </c>
    </row>
    <row r="8" spans="1:3" x14ac:dyDescent="0.25">
      <c r="A8" s="88">
        <v>7</v>
      </c>
      <c r="B8" s="119" t="s">
        <v>947</v>
      </c>
      <c r="C8" s="119" t="s">
        <v>408</v>
      </c>
    </row>
    <row r="9" spans="1:3" x14ac:dyDescent="0.25">
      <c r="A9" s="88">
        <v>8</v>
      </c>
      <c r="B9" s="119" t="s">
        <v>948</v>
      </c>
      <c r="C9" s="119" t="s">
        <v>1073</v>
      </c>
    </row>
    <row r="10" spans="1:3" x14ac:dyDescent="0.25">
      <c r="A10" s="88">
        <v>9</v>
      </c>
      <c r="B10" s="119" t="s">
        <v>932</v>
      </c>
      <c r="C10" s="119" t="s">
        <v>1069</v>
      </c>
    </row>
    <row r="11" spans="1:3" x14ac:dyDescent="0.25">
      <c r="A11" s="88">
        <v>10</v>
      </c>
      <c r="B11" s="119" t="s">
        <v>949</v>
      </c>
      <c r="C11" s="119" t="s">
        <v>603</v>
      </c>
    </row>
    <row r="12" spans="1:3" x14ac:dyDescent="0.25">
      <c r="A12" s="88">
        <v>11</v>
      </c>
      <c r="B12" s="119" t="s">
        <v>950</v>
      </c>
      <c r="C12" s="119" t="s">
        <v>612</v>
      </c>
    </row>
    <row r="13" spans="1:3" x14ac:dyDescent="0.25">
      <c r="A13" s="88">
        <v>12</v>
      </c>
      <c r="B13" s="119" t="s">
        <v>951</v>
      </c>
      <c r="C13" s="119" t="s">
        <v>613</v>
      </c>
    </row>
    <row r="14" spans="1:3" x14ac:dyDescent="0.25">
      <c r="A14" s="88">
        <v>13</v>
      </c>
      <c r="B14" s="119" t="s">
        <v>952</v>
      </c>
      <c r="C14" s="119" t="s">
        <v>616</v>
      </c>
    </row>
    <row r="15" spans="1:3" x14ac:dyDescent="0.25">
      <c r="A15" s="88">
        <v>14</v>
      </c>
      <c r="B15" s="119" t="s">
        <v>953</v>
      </c>
      <c r="C15" s="119" t="s">
        <v>617</v>
      </c>
    </row>
    <row r="16" spans="1:3" x14ac:dyDescent="0.25">
      <c r="A16" s="88">
        <v>15</v>
      </c>
      <c r="B16" s="119" t="s">
        <v>954</v>
      </c>
      <c r="C16" s="119" t="s">
        <v>618</v>
      </c>
    </row>
    <row r="17" spans="1:3" x14ac:dyDescent="0.25">
      <c r="A17" s="88">
        <v>16</v>
      </c>
      <c r="B17" s="119" t="s">
        <v>955</v>
      </c>
      <c r="C17" s="119" t="s">
        <v>619</v>
      </c>
    </row>
    <row r="18" spans="1:3" x14ac:dyDescent="0.25">
      <c r="A18" s="88">
        <v>17</v>
      </c>
      <c r="B18" s="119" t="s">
        <v>956</v>
      </c>
      <c r="C18" s="119" t="s">
        <v>1074</v>
      </c>
    </row>
    <row r="19" spans="1:3" x14ac:dyDescent="0.25">
      <c r="A19" s="88">
        <v>18</v>
      </c>
      <c r="B19" s="119" t="s">
        <v>957</v>
      </c>
      <c r="C19" s="119" t="s">
        <v>1075</v>
      </c>
    </row>
    <row r="20" spans="1:3" x14ac:dyDescent="0.25">
      <c r="A20" s="88">
        <v>19</v>
      </c>
      <c r="B20" s="119" t="s">
        <v>958</v>
      </c>
      <c r="C20" s="119" t="s">
        <v>1076</v>
      </c>
    </row>
    <row r="21" spans="1:3" x14ac:dyDescent="0.25">
      <c r="A21" s="88">
        <v>20</v>
      </c>
      <c r="B21" s="119" t="s">
        <v>959</v>
      </c>
      <c r="C21" s="119" t="s">
        <v>1077</v>
      </c>
    </row>
    <row r="22" spans="1:3" x14ac:dyDescent="0.25">
      <c r="A22" s="88">
        <v>21</v>
      </c>
      <c r="B22" s="119" t="s">
        <v>960</v>
      </c>
      <c r="C22" s="119" t="s">
        <v>638</v>
      </c>
    </row>
    <row r="23" spans="1:3" x14ac:dyDescent="0.25">
      <c r="A23" s="88">
        <v>22</v>
      </c>
      <c r="B23" s="119" t="s">
        <v>961</v>
      </c>
      <c r="C23" s="119" t="s">
        <v>639</v>
      </c>
    </row>
    <row r="24" spans="1:3" x14ac:dyDescent="0.25">
      <c r="A24" s="88">
        <v>23</v>
      </c>
      <c r="B24" s="119" t="s">
        <v>962</v>
      </c>
      <c r="C24" s="119" t="s">
        <v>640</v>
      </c>
    </row>
    <row r="25" spans="1:3" x14ac:dyDescent="0.25">
      <c r="A25" s="88">
        <v>24</v>
      </c>
      <c r="B25" s="119" t="s">
        <v>963</v>
      </c>
      <c r="C25" s="119" t="s">
        <v>641</v>
      </c>
    </row>
    <row r="26" spans="1:3" x14ac:dyDescent="0.25">
      <c r="A26" s="88">
        <v>25</v>
      </c>
      <c r="B26" s="119" t="s">
        <v>935</v>
      </c>
      <c r="C26" s="119" t="s">
        <v>642</v>
      </c>
    </row>
    <row r="27" spans="1:3" x14ac:dyDescent="0.25">
      <c r="A27" s="88">
        <v>26</v>
      </c>
      <c r="B27" s="119" t="s">
        <v>939</v>
      </c>
      <c r="C27" s="119" t="s">
        <v>675</v>
      </c>
    </row>
    <row r="28" spans="1:3" x14ac:dyDescent="0.25">
      <c r="A28" s="88">
        <v>27</v>
      </c>
      <c r="B28" s="119" t="s">
        <v>937</v>
      </c>
      <c r="C28" s="119" t="s">
        <v>1066</v>
      </c>
    </row>
    <row r="29" spans="1:3" x14ac:dyDescent="0.25">
      <c r="A29" s="88">
        <v>28</v>
      </c>
      <c r="B29" s="119" t="s">
        <v>938</v>
      </c>
      <c r="C29" s="119" t="s">
        <v>741</v>
      </c>
    </row>
    <row r="30" spans="1:3" x14ac:dyDescent="0.25">
      <c r="A30" s="88">
        <v>29</v>
      </c>
      <c r="B30" s="119" t="s">
        <v>964</v>
      </c>
      <c r="C30" s="119" t="s">
        <v>771</v>
      </c>
    </row>
    <row r="31" spans="1:3" x14ac:dyDescent="0.25">
      <c r="A31" s="88">
        <v>30</v>
      </c>
      <c r="B31" s="119" t="s">
        <v>941</v>
      </c>
      <c r="C31" s="119" t="s">
        <v>790</v>
      </c>
    </row>
    <row r="32" spans="1:3" x14ac:dyDescent="0.25">
      <c r="A32" s="88">
        <v>31</v>
      </c>
      <c r="B32" s="119" t="s">
        <v>965</v>
      </c>
      <c r="C32" s="119" t="s">
        <v>1067</v>
      </c>
    </row>
    <row r="33" spans="1:3" x14ac:dyDescent="0.25">
      <c r="A33" s="88">
        <v>32</v>
      </c>
      <c r="B33" s="119" t="s">
        <v>940</v>
      </c>
      <c r="C33" s="119" t="s">
        <v>1070</v>
      </c>
    </row>
    <row r="34" spans="1:3" x14ac:dyDescent="0.25">
      <c r="A34" s="88">
        <v>33</v>
      </c>
      <c r="B34" s="119" t="s">
        <v>936</v>
      </c>
      <c r="C34" s="119" t="s">
        <v>1068</v>
      </c>
    </row>
    <row r="35" spans="1:3" x14ac:dyDescent="0.25">
      <c r="A35" s="88">
        <v>34</v>
      </c>
      <c r="B35" s="119" t="s">
        <v>966</v>
      </c>
      <c r="C35" s="119" t="s">
        <v>1071</v>
      </c>
    </row>
    <row r="36" spans="1:3" x14ac:dyDescent="0.25">
      <c r="A36" s="88">
        <v>35</v>
      </c>
      <c r="B36" s="119" t="s">
        <v>967</v>
      </c>
      <c r="C36" s="119" t="s">
        <v>1078</v>
      </c>
    </row>
    <row r="37" spans="1:3" x14ac:dyDescent="0.25">
      <c r="A37" s="88">
        <v>36</v>
      </c>
      <c r="B37" s="119" t="s">
        <v>968</v>
      </c>
      <c r="C37" s="119" t="s">
        <v>1079</v>
      </c>
    </row>
    <row r="38" spans="1:3" x14ac:dyDescent="0.25">
      <c r="A38" s="88">
        <v>37</v>
      </c>
      <c r="B38" s="119" t="s">
        <v>969</v>
      </c>
      <c r="C38" s="119" t="s">
        <v>904</v>
      </c>
    </row>
    <row r="39" spans="1:3" x14ac:dyDescent="0.25">
      <c r="A39" s="88">
        <v>38</v>
      </c>
      <c r="B39" s="119" t="s">
        <v>933</v>
      </c>
      <c r="C39" s="119" t="s">
        <v>1072</v>
      </c>
    </row>
    <row r="40" spans="1:3" x14ac:dyDescent="0.25">
      <c r="A40" s="88">
        <v>39</v>
      </c>
      <c r="B40" s="119" t="s">
        <v>970</v>
      </c>
      <c r="C40" s="119" t="s">
        <v>925</v>
      </c>
    </row>
    <row r="41" spans="1:3" x14ac:dyDescent="0.25">
      <c r="A41" s="88">
        <v>40</v>
      </c>
      <c r="B41" s="119" t="s">
        <v>1236</v>
      </c>
      <c r="C41" s="119" t="s">
        <v>1237</v>
      </c>
    </row>
  </sheetData>
  <sortState xmlns:xlrd2="http://schemas.microsoft.com/office/spreadsheetml/2017/richdata2" ref="A2:C41">
    <sortCondition ref="B2:B41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outlinePr summaryBelow="0" summaryRight="0"/>
  </sheetPr>
  <dimension ref="A1:Q129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6" ht="15" x14ac:dyDescent="0.2">
      <c r="A1" s="227" t="s">
        <v>0</v>
      </c>
      <c r="B1" s="227"/>
      <c r="C1" s="227"/>
      <c r="D1" s="227"/>
      <c r="E1" s="227"/>
      <c r="F1" s="227"/>
      <c r="G1" s="227"/>
      <c r="H1" s="227"/>
    </row>
    <row r="2" spans="1:16" s="87" customFormat="1" ht="15" x14ac:dyDescent="0.2">
      <c r="A2" s="228" t="s">
        <v>1</v>
      </c>
      <c r="B2" s="229"/>
      <c r="C2" s="229"/>
      <c r="D2" s="229"/>
      <c r="E2" s="229"/>
      <c r="F2" s="229"/>
      <c r="G2" s="229"/>
      <c r="H2" s="230"/>
      <c r="I2"/>
      <c r="J2" s="223" t="s">
        <v>1238</v>
      </c>
      <c r="K2" s="223"/>
      <c r="L2" s="223"/>
      <c r="M2" s="223"/>
      <c r="N2" s="223"/>
      <c r="O2"/>
      <c r="P2"/>
    </row>
    <row r="3" spans="1:16" ht="15" x14ac:dyDescent="0.2">
      <c r="A3" s="227" t="s">
        <v>1208</v>
      </c>
      <c r="B3" s="227"/>
      <c r="C3" s="227"/>
      <c r="D3" s="227"/>
      <c r="E3" s="227"/>
      <c r="F3" s="227"/>
      <c r="G3" s="227"/>
      <c r="H3" s="227"/>
    </row>
    <row r="4" spans="1:16" s="113" customFormat="1" ht="30" x14ac:dyDescent="0.2">
      <c r="A4" s="1" t="s">
        <v>2</v>
      </c>
      <c r="B4" s="1" t="s">
        <v>3</v>
      </c>
      <c r="C4" s="1" t="s">
        <v>4</v>
      </c>
      <c r="D4" s="1" t="s">
        <v>5</v>
      </c>
      <c r="E4" s="2" t="s">
        <v>6</v>
      </c>
      <c r="F4" s="2" t="s">
        <v>7</v>
      </c>
      <c r="G4" s="2" t="s">
        <v>8</v>
      </c>
      <c r="H4" s="96" t="s">
        <v>1167</v>
      </c>
      <c r="I4" s="183"/>
      <c r="J4" s="183"/>
      <c r="K4" s="183"/>
      <c r="L4" s="183"/>
      <c r="M4" s="183"/>
      <c r="N4" s="183"/>
      <c r="O4" s="183"/>
      <c r="P4" s="183"/>
    </row>
    <row r="5" spans="1:16" ht="14.1" customHeight="1" x14ac:dyDescent="0.2">
      <c r="A5" s="3"/>
      <c r="B5" s="3"/>
      <c r="C5" s="4" t="s">
        <v>9</v>
      </c>
      <c r="D5" s="3"/>
      <c r="E5" s="3"/>
      <c r="F5" s="3"/>
      <c r="G5" s="3"/>
      <c r="H5" s="101"/>
    </row>
    <row r="6" spans="1:16" ht="25.5" x14ac:dyDescent="0.2">
      <c r="A6" s="3"/>
      <c r="B6" s="3"/>
      <c r="C6" s="4" t="s">
        <v>10</v>
      </c>
      <c r="D6" s="3"/>
      <c r="E6" s="3"/>
      <c r="F6" s="3"/>
      <c r="G6" s="3"/>
      <c r="H6" s="101"/>
    </row>
    <row r="7" spans="1:16" x14ac:dyDescent="0.2">
      <c r="A7" s="5">
        <v>1</v>
      </c>
      <c r="B7" s="6" t="s">
        <v>11</v>
      </c>
      <c r="C7" s="6" t="s">
        <v>12</v>
      </c>
      <c r="D7" s="6" t="s">
        <v>13</v>
      </c>
      <c r="E7" s="7">
        <v>330000</v>
      </c>
      <c r="F7" s="8">
        <v>6256.47</v>
      </c>
      <c r="G7" s="9">
        <v>9.6951408000000003E-2</v>
      </c>
      <c r="H7" s="101"/>
    </row>
    <row r="8" spans="1:16" x14ac:dyDescent="0.2">
      <c r="A8" s="5">
        <v>2</v>
      </c>
      <c r="B8" s="6" t="s">
        <v>14</v>
      </c>
      <c r="C8" s="6" t="s">
        <v>15</v>
      </c>
      <c r="D8" s="6" t="s">
        <v>16</v>
      </c>
      <c r="E8" s="7">
        <v>228165</v>
      </c>
      <c r="F8" s="8">
        <v>5403.2894475000003</v>
      </c>
      <c r="G8" s="9">
        <v>8.3730365000000001E-2</v>
      </c>
      <c r="H8" s="101"/>
    </row>
    <row r="9" spans="1:16" x14ac:dyDescent="0.2">
      <c r="A9" s="5">
        <v>3</v>
      </c>
      <c r="B9" s="6" t="s">
        <v>17</v>
      </c>
      <c r="C9" s="6" t="s">
        <v>18</v>
      </c>
      <c r="D9" s="6" t="s">
        <v>19</v>
      </c>
      <c r="E9" s="7">
        <v>198613</v>
      </c>
      <c r="F9" s="8">
        <v>3807.4112100000002</v>
      </c>
      <c r="G9" s="9">
        <v>5.9000342999999997E-2</v>
      </c>
      <c r="H9" s="101"/>
    </row>
    <row r="10" spans="1:16" x14ac:dyDescent="0.2">
      <c r="A10" s="5">
        <v>4</v>
      </c>
      <c r="B10" s="6" t="s">
        <v>20</v>
      </c>
      <c r="C10" s="6" t="s">
        <v>21</v>
      </c>
      <c r="D10" s="6" t="s">
        <v>22</v>
      </c>
      <c r="E10" s="7">
        <v>551604</v>
      </c>
      <c r="F10" s="8">
        <v>3771.868152</v>
      </c>
      <c r="G10" s="9">
        <v>5.8449560999999997E-2</v>
      </c>
      <c r="H10" s="101"/>
    </row>
    <row r="11" spans="1:16" x14ac:dyDescent="0.2">
      <c r="A11" s="5">
        <v>5</v>
      </c>
      <c r="B11" s="6" t="s">
        <v>23</v>
      </c>
      <c r="C11" s="6" t="s">
        <v>24</v>
      </c>
      <c r="D11" s="6" t="s">
        <v>25</v>
      </c>
      <c r="E11" s="7">
        <v>498729</v>
      </c>
      <c r="F11" s="8">
        <v>3691.3426935000002</v>
      </c>
      <c r="G11" s="9">
        <v>5.7201724000000002E-2</v>
      </c>
      <c r="H11" s="101"/>
    </row>
    <row r="12" spans="1:16" ht="25.5" x14ac:dyDescent="0.2">
      <c r="A12" s="5">
        <v>6</v>
      </c>
      <c r="B12" s="6" t="s">
        <v>26</v>
      </c>
      <c r="C12" s="6" t="s">
        <v>27</v>
      </c>
      <c r="D12" s="6" t="s">
        <v>1185</v>
      </c>
      <c r="E12" s="7">
        <v>362486</v>
      </c>
      <c r="F12" s="8">
        <v>3639.7219260000002</v>
      </c>
      <c r="G12" s="9">
        <v>5.6401799000000002E-2</v>
      </c>
      <c r="H12" s="101"/>
    </row>
    <row r="13" spans="1:16" ht="25.5" x14ac:dyDescent="0.2">
      <c r="A13" s="5">
        <v>7</v>
      </c>
      <c r="B13" s="6" t="s">
        <v>28</v>
      </c>
      <c r="C13" s="6" t="s">
        <v>29</v>
      </c>
      <c r="D13" s="6" t="s">
        <v>1185</v>
      </c>
      <c r="E13" s="7">
        <v>47925</v>
      </c>
      <c r="F13" s="8">
        <v>3638.0107125</v>
      </c>
      <c r="G13" s="9">
        <v>5.6375281999999999E-2</v>
      </c>
      <c r="H13" s="101"/>
    </row>
    <row r="14" spans="1:16" x14ac:dyDescent="0.2">
      <c r="A14" s="5">
        <v>8</v>
      </c>
      <c r="B14" s="6" t="s">
        <v>30</v>
      </c>
      <c r="C14" s="6" t="s">
        <v>31</v>
      </c>
      <c r="D14" s="6" t="s">
        <v>19</v>
      </c>
      <c r="E14" s="7">
        <v>87472</v>
      </c>
      <c r="F14" s="8">
        <v>2933.8546160000001</v>
      </c>
      <c r="G14" s="9">
        <v>4.5463549999999998E-2</v>
      </c>
      <c r="H14" s="101"/>
    </row>
    <row r="15" spans="1:16" ht="15" x14ac:dyDescent="0.2">
      <c r="A15" s="5">
        <v>9</v>
      </c>
      <c r="B15" s="6" t="s">
        <v>32</v>
      </c>
      <c r="C15" s="6" t="s">
        <v>33</v>
      </c>
      <c r="D15" s="6" t="s">
        <v>34</v>
      </c>
      <c r="E15" s="7">
        <v>1151835</v>
      </c>
      <c r="F15" s="8">
        <v>2544.9794324999998</v>
      </c>
      <c r="G15" s="9">
        <v>3.9437469000000003E-2</v>
      </c>
      <c r="H15" s="101"/>
      <c r="J15" s="184" t="s">
        <v>1239</v>
      </c>
    </row>
    <row r="16" spans="1:16" x14ac:dyDescent="0.2">
      <c r="A16" s="5">
        <v>10</v>
      </c>
      <c r="B16" s="6" t="s">
        <v>35</v>
      </c>
      <c r="C16" s="6" t="s">
        <v>36</v>
      </c>
      <c r="D16" s="6" t="s">
        <v>19</v>
      </c>
      <c r="E16" s="7">
        <v>100858</v>
      </c>
      <c r="F16" s="8">
        <v>2487.66257</v>
      </c>
      <c r="G16" s="9">
        <v>3.8549276E-2</v>
      </c>
      <c r="H16" s="101"/>
    </row>
    <row r="17" spans="1:8" ht="25.5" x14ac:dyDescent="0.2">
      <c r="A17" s="5">
        <v>11</v>
      </c>
      <c r="B17" s="6" t="s">
        <v>37</v>
      </c>
      <c r="C17" s="6" t="s">
        <v>38</v>
      </c>
      <c r="D17" s="6" t="s">
        <v>1185</v>
      </c>
      <c r="E17" s="7">
        <v>70820</v>
      </c>
      <c r="F17" s="8">
        <v>2407.0655700000002</v>
      </c>
      <c r="G17" s="9">
        <v>3.730033E-2</v>
      </c>
      <c r="H17" s="101"/>
    </row>
    <row r="18" spans="1:8" x14ac:dyDescent="0.2">
      <c r="A18" s="5">
        <v>12</v>
      </c>
      <c r="B18" s="6" t="s">
        <v>39</v>
      </c>
      <c r="C18" s="6" t="s">
        <v>40</v>
      </c>
      <c r="D18" s="6" t="s">
        <v>16</v>
      </c>
      <c r="E18" s="7">
        <v>587681</v>
      </c>
      <c r="F18" s="8">
        <v>2265.2164145000002</v>
      </c>
      <c r="G18" s="9">
        <v>3.5102209000000002E-2</v>
      </c>
      <c r="H18" s="101"/>
    </row>
    <row r="19" spans="1:8" x14ac:dyDescent="0.2">
      <c r="A19" s="5">
        <v>13</v>
      </c>
      <c r="B19" s="6" t="s">
        <v>41</v>
      </c>
      <c r="C19" s="6" t="s">
        <v>42</v>
      </c>
      <c r="D19" s="6" t="s">
        <v>19</v>
      </c>
      <c r="E19" s="7">
        <v>152152</v>
      </c>
      <c r="F19" s="8">
        <v>1856.6347800000001</v>
      </c>
      <c r="G19" s="9">
        <v>2.8770753E-2</v>
      </c>
      <c r="H19" s="101"/>
    </row>
    <row r="20" spans="1:8" ht="25.5" x14ac:dyDescent="0.2">
      <c r="A20" s="5">
        <v>14</v>
      </c>
      <c r="B20" s="6" t="s">
        <v>43</v>
      </c>
      <c r="C20" s="6" t="s">
        <v>44</v>
      </c>
      <c r="D20" s="6" t="s">
        <v>45</v>
      </c>
      <c r="E20" s="7">
        <v>4395</v>
      </c>
      <c r="F20" s="8">
        <v>1853.4132525</v>
      </c>
      <c r="G20" s="9">
        <v>2.8720832000000002E-2</v>
      </c>
      <c r="H20" s="101"/>
    </row>
    <row r="21" spans="1:8" x14ac:dyDescent="0.2">
      <c r="A21" s="5">
        <v>15</v>
      </c>
      <c r="B21" s="6" t="s">
        <v>46</v>
      </c>
      <c r="C21" s="6" t="s">
        <v>47</v>
      </c>
      <c r="D21" s="6" t="s">
        <v>48</v>
      </c>
      <c r="E21" s="7">
        <v>208993</v>
      </c>
      <c r="F21" s="8">
        <v>1422.8243440000001</v>
      </c>
      <c r="G21" s="9">
        <v>2.2048346999999999E-2</v>
      </c>
      <c r="H21" s="101"/>
    </row>
    <row r="22" spans="1:8" x14ac:dyDescent="0.2">
      <c r="A22" s="5">
        <v>16</v>
      </c>
      <c r="B22" s="6" t="s">
        <v>49</v>
      </c>
      <c r="C22" s="6" t="s">
        <v>50</v>
      </c>
      <c r="D22" s="6" t="s">
        <v>16</v>
      </c>
      <c r="E22" s="7">
        <v>1125633</v>
      </c>
      <c r="F22" s="8">
        <v>1255.0807950000001</v>
      </c>
      <c r="G22" s="9">
        <v>1.9448962E-2</v>
      </c>
      <c r="H22" s="101"/>
    </row>
    <row r="23" spans="1:8" x14ac:dyDescent="0.2">
      <c r="A23" s="5">
        <v>17</v>
      </c>
      <c r="B23" s="6" t="s">
        <v>51</v>
      </c>
      <c r="C23" s="6" t="s">
        <v>52</v>
      </c>
      <c r="D23" s="6" t="s">
        <v>53</v>
      </c>
      <c r="E23" s="7">
        <v>694710</v>
      </c>
      <c r="F23" s="8">
        <v>1203.9324300000001</v>
      </c>
      <c r="G23" s="9">
        <v>1.8656358000000001E-2</v>
      </c>
      <c r="H23" s="101"/>
    </row>
    <row r="24" spans="1:8" ht="25.5" x14ac:dyDescent="0.2">
      <c r="A24" s="5">
        <v>18</v>
      </c>
      <c r="B24" s="6" t="s">
        <v>54</v>
      </c>
      <c r="C24" s="6" t="s">
        <v>55</v>
      </c>
      <c r="D24" s="6" t="s">
        <v>45</v>
      </c>
      <c r="E24" s="7">
        <v>23847</v>
      </c>
      <c r="F24" s="8">
        <v>1159.417293</v>
      </c>
      <c r="G24" s="9">
        <v>1.7966543000000001E-2</v>
      </c>
      <c r="H24" s="101"/>
    </row>
    <row r="25" spans="1:8" x14ac:dyDescent="0.2">
      <c r="A25" s="5">
        <v>19</v>
      </c>
      <c r="B25" s="6" t="s">
        <v>56</v>
      </c>
      <c r="C25" s="6" t="s">
        <v>57</v>
      </c>
      <c r="D25" s="6" t="s">
        <v>13</v>
      </c>
      <c r="E25" s="7">
        <v>1589604</v>
      </c>
      <c r="F25" s="8">
        <v>1118.2864139999999</v>
      </c>
      <c r="G25" s="9">
        <v>1.7329172E-2</v>
      </c>
      <c r="H25" s="101"/>
    </row>
    <row r="26" spans="1:8" x14ac:dyDescent="0.2">
      <c r="A26" s="5">
        <v>20</v>
      </c>
      <c r="B26" s="6" t="s">
        <v>58</v>
      </c>
      <c r="C26" s="6" t="s">
        <v>59</v>
      </c>
      <c r="D26" s="6" t="s">
        <v>60</v>
      </c>
      <c r="E26" s="7">
        <v>1000000</v>
      </c>
      <c r="F26" s="8">
        <v>1072</v>
      </c>
      <c r="G26" s="9">
        <v>1.6611909000000001E-2</v>
      </c>
      <c r="H26" s="101"/>
    </row>
    <row r="27" spans="1:8" ht="25.5" x14ac:dyDescent="0.2">
      <c r="A27" s="5">
        <v>21</v>
      </c>
      <c r="B27" s="6" t="s">
        <v>61</v>
      </c>
      <c r="C27" s="6" t="s">
        <v>62</v>
      </c>
      <c r="D27" s="6" t="s">
        <v>48</v>
      </c>
      <c r="E27" s="7">
        <v>140270</v>
      </c>
      <c r="F27" s="8">
        <v>1024.3918100000001</v>
      </c>
      <c r="G27" s="9">
        <v>1.5874164E-2</v>
      </c>
      <c r="H27" s="101"/>
    </row>
    <row r="28" spans="1:8" x14ac:dyDescent="0.2">
      <c r="A28" s="5">
        <v>22</v>
      </c>
      <c r="B28" s="6" t="s">
        <v>63</v>
      </c>
      <c r="C28" s="6" t="s">
        <v>64</v>
      </c>
      <c r="D28" s="6" t="s">
        <v>65</v>
      </c>
      <c r="E28" s="7">
        <v>716100</v>
      </c>
      <c r="F28" s="8">
        <v>1019.7264</v>
      </c>
      <c r="G28" s="9">
        <v>1.5801868E-2</v>
      </c>
      <c r="H28" s="101"/>
    </row>
    <row r="29" spans="1:8" x14ac:dyDescent="0.2">
      <c r="A29" s="5">
        <v>23</v>
      </c>
      <c r="B29" s="6" t="s">
        <v>66</v>
      </c>
      <c r="C29" s="6" t="s">
        <v>67</v>
      </c>
      <c r="D29" s="6" t="s">
        <v>60</v>
      </c>
      <c r="E29" s="7">
        <v>100000</v>
      </c>
      <c r="F29" s="8">
        <v>999.8</v>
      </c>
      <c r="G29" s="9">
        <v>1.5493084000000001E-2</v>
      </c>
      <c r="H29" s="101"/>
    </row>
    <row r="30" spans="1:8" x14ac:dyDescent="0.2">
      <c r="A30" s="5">
        <v>24</v>
      </c>
      <c r="B30" s="6" t="s">
        <v>68</v>
      </c>
      <c r="C30" s="6" t="s">
        <v>69</v>
      </c>
      <c r="D30" s="6" t="s">
        <v>70</v>
      </c>
      <c r="E30" s="7">
        <v>29108</v>
      </c>
      <c r="F30" s="8">
        <v>965.27949599999999</v>
      </c>
      <c r="G30" s="9">
        <v>1.4958147999999999E-2</v>
      </c>
      <c r="H30" s="101"/>
    </row>
    <row r="31" spans="1:8" x14ac:dyDescent="0.2">
      <c r="A31" s="5">
        <v>25</v>
      </c>
      <c r="B31" s="6" t="s">
        <v>71</v>
      </c>
      <c r="C31" s="6" t="s">
        <v>72</v>
      </c>
      <c r="D31" s="6" t="s">
        <v>73</v>
      </c>
      <c r="E31" s="7">
        <v>716249</v>
      </c>
      <c r="F31" s="8">
        <v>925.39370799999995</v>
      </c>
      <c r="G31" s="9">
        <v>1.4340070999999999E-2</v>
      </c>
      <c r="H31" s="101"/>
    </row>
    <row r="32" spans="1:8" x14ac:dyDescent="0.2">
      <c r="A32" s="5">
        <v>26</v>
      </c>
      <c r="B32" s="6" t="s">
        <v>74</v>
      </c>
      <c r="C32" s="6" t="s">
        <v>75</v>
      </c>
      <c r="D32" s="6" t="s">
        <v>70</v>
      </c>
      <c r="E32" s="7">
        <v>159223</v>
      </c>
      <c r="F32" s="8">
        <v>668.41815399999996</v>
      </c>
      <c r="G32" s="9">
        <v>1.035793E-2</v>
      </c>
      <c r="H32" s="101"/>
    </row>
    <row r="33" spans="1:8" x14ac:dyDescent="0.2">
      <c r="A33" s="5">
        <v>27</v>
      </c>
      <c r="B33" s="6" t="s">
        <v>76</v>
      </c>
      <c r="C33" s="6" t="s">
        <v>77</v>
      </c>
      <c r="D33" s="6" t="s">
        <v>78</v>
      </c>
      <c r="E33" s="7">
        <v>494783</v>
      </c>
      <c r="F33" s="8">
        <v>605.8617835</v>
      </c>
      <c r="G33" s="9">
        <v>9.3885449999999999E-3</v>
      </c>
      <c r="H33" s="101"/>
    </row>
    <row r="34" spans="1:8" x14ac:dyDescent="0.2">
      <c r="A34" s="5">
        <v>28</v>
      </c>
      <c r="B34" s="6" t="s">
        <v>79</v>
      </c>
      <c r="C34" s="6" t="s">
        <v>80</v>
      </c>
      <c r="D34" s="6" t="s">
        <v>81</v>
      </c>
      <c r="E34" s="7">
        <v>240000</v>
      </c>
      <c r="F34" s="8">
        <v>575.76</v>
      </c>
      <c r="G34" s="9">
        <v>8.9220830000000008E-3</v>
      </c>
      <c r="H34" s="101"/>
    </row>
    <row r="35" spans="1:8" x14ac:dyDescent="0.2">
      <c r="A35" s="5">
        <v>29</v>
      </c>
      <c r="B35" s="6" t="s">
        <v>82</v>
      </c>
      <c r="C35" s="6" t="s">
        <v>83</v>
      </c>
      <c r="D35" s="6" t="s">
        <v>73</v>
      </c>
      <c r="E35" s="7">
        <v>121081</v>
      </c>
      <c r="F35" s="8">
        <v>569.56502399999999</v>
      </c>
      <c r="G35" s="9">
        <v>8.8260839999999997E-3</v>
      </c>
      <c r="H35" s="101"/>
    </row>
    <row r="36" spans="1:8" x14ac:dyDescent="0.2">
      <c r="A36" s="5">
        <v>30</v>
      </c>
      <c r="B36" s="6" t="s">
        <v>84</v>
      </c>
      <c r="C36" s="6" t="s">
        <v>85</v>
      </c>
      <c r="D36" s="6" t="s">
        <v>53</v>
      </c>
      <c r="E36" s="7">
        <v>108023</v>
      </c>
      <c r="F36" s="8">
        <v>529.63676899999996</v>
      </c>
      <c r="G36" s="9">
        <v>8.2073489999999992E-3</v>
      </c>
      <c r="H36" s="101"/>
    </row>
    <row r="37" spans="1:8" x14ac:dyDescent="0.2">
      <c r="A37" s="5">
        <v>31</v>
      </c>
      <c r="B37" s="6" t="s">
        <v>86</v>
      </c>
      <c r="C37" s="6" t="s">
        <v>87</v>
      </c>
      <c r="D37" s="6" t="s">
        <v>73</v>
      </c>
      <c r="E37" s="7">
        <v>153124</v>
      </c>
      <c r="F37" s="8">
        <v>451.94548600000002</v>
      </c>
      <c r="G37" s="9">
        <v>7.0034299999999997E-3</v>
      </c>
      <c r="H37" s="101"/>
    </row>
    <row r="38" spans="1:8" x14ac:dyDescent="0.2">
      <c r="A38" s="5">
        <v>32</v>
      </c>
      <c r="B38" s="6" t="s">
        <v>88</v>
      </c>
      <c r="C38" s="6" t="s">
        <v>89</v>
      </c>
      <c r="D38" s="6" t="s">
        <v>53</v>
      </c>
      <c r="E38" s="7">
        <v>83965</v>
      </c>
      <c r="F38" s="8">
        <v>398.62383749999998</v>
      </c>
      <c r="G38" s="9">
        <v>6.1771480000000004E-3</v>
      </c>
      <c r="H38" s="101"/>
    </row>
    <row r="39" spans="1:8" x14ac:dyDescent="0.2">
      <c r="A39" s="5">
        <v>33</v>
      </c>
      <c r="B39" s="6" t="s">
        <v>90</v>
      </c>
      <c r="C39" s="6" t="s">
        <v>91</v>
      </c>
      <c r="D39" s="6" t="s">
        <v>19</v>
      </c>
      <c r="E39" s="7">
        <v>4449</v>
      </c>
      <c r="F39" s="8">
        <v>390.81795599999998</v>
      </c>
      <c r="G39" s="9">
        <v>6.0561870000000002E-3</v>
      </c>
      <c r="H39" s="101"/>
    </row>
    <row r="40" spans="1:8" x14ac:dyDescent="0.2">
      <c r="A40" s="5">
        <v>34</v>
      </c>
      <c r="B40" s="6" t="s">
        <v>92</v>
      </c>
      <c r="C40" s="6" t="s">
        <v>93</v>
      </c>
      <c r="D40" s="6" t="s">
        <v>53</v>
      </c>
      <c r="E40" s="7">
        <v>423750</v>
      </c>
      <c r="F40" s="8">
        <v>364.63687499999997</v>
      </c>
      <c r="G40" s="9">
        <v>5.6504800000000003E-3</v>
      </c>
      <c r="H40" s="101"/>
    </row>
    <row r="41" spans="1:8" x14ac:dyDescent="0.2">
      <c r="A41" s="3"/>
      <c r="B41" s="3"/>
      <c r="C41" s="4" t="s">
        <v>97</v>
      </c>
      <c r="D41" s="3"/>
      <c r="E41" s="3" t="s">
        <v>98</v>
      </c>
      <c r="F41" s="11">
        <v>63278.339363188999</v>
      </c>
      <c r="G41" s="12">
        <v>0.98057276299999996</v>
      </c>
      <c r="H41" s="101"/>
    </row>
    <row r="42" spans="1:8" x14ac:dyDescent="0.2">
      <c r="A42" s="3"/>
      <c r="B42" s="3"/>
      <c r="C42" s="13"/>
      <c r="D42" s="3"/>
      <c r="E42" s="3"/>
      <c r="F42" s="14"/>
      <c r="G42" s="14"/>
      <c r="H42" s="101"/>
    </row>
    <row r="43" spans="1:8" x14ac:dyDescent="0.2">
      <c r="A43" s="3"/>
      <c r="B43" s="3"/>
      <c r="C43" s="4" t="s">
        <v>99</v>
      </c>
      <c r="D43" s="3"/>
      <c r="E43" s="3"/>
      <c r="F43" s="3"/>
      <c r="G43" s="3"/>
      <c r="H43" s="101"/>
    </row>
    <row r="44" spans="1:8" x14ac:dyDescent="0.2">
      <c r="A44" s="3"/>
      <c r="B44" s="3"/>
      <c r="C44" s="4" t="s">
        <v>97</v>
      </c>
      <c r="D44" s="3"/>
      <c r="E44" s="3" t="s">
        <v>98</v>
      </c>
      <c r="F44" s="15">
        <v>0</v>
      </c>
      <c r="G44" s="16">
        <v>0</v>
      </c>
      <c r="H44" s="101"/>
    </row>
    <row r="45" spans="1:8" x14ac:dyDescent="0.2">
      <c r="A45" s="3"/>
      <c r="B45" s="3"/>
      <c r="C45" s="13"/>
      <c r="D45" s="3"/>
      <c r="E45" s="3"/>
      <c r="F45" s="14"/>
      <c r="G45" s="14"/>
      <c r="H45" s="101"/>
    </row>
    <row r="46" spans="1:8" x14ac:dyDescent="0.2">
      <c r="A46" s="3"/>
      <c r="B46" s="3"/>
      <c r="C46" s="4" t="s">
        <v>100</v>
      </c>
      <c r="D46" s="3"/>
      <c r="E46" s="3"/>
      <c r="F46" s="3"/>
      <c r="G46" s="3"/>
      <c r="H46" s="101"/>
    </row>
    <row r="47" spans="1:8" x14ac:dyDescent="0.2">
      <c r="A47" s="5">
        <v>1</v>
      </c>
      <c r="B47" s="6" t="s">
        <v>94</v>
      </c>
      <c r="C47" s="6" t="s">
        <v>1083</v>
      </c>
      <c r="D47" s="6" t="s">
        <v>95</v>
      </c>
      <c r="E47" s="7">
        <v>559425</v>
      </c>
      <c r="F47" s="8">
        <v>1.1189000000000001E-5</v>
      </c>
      <c r="G47" s="10" t="s">
        <v>96</v>
      </c>
      <c r="H47" s="101"/>
    </row>
    <row r="48" spans="1:8" x14ac:dyDescent="0.2">
      <c r="A48" s="3"/>
      <c r="B48" s="3"/>
      <c r="C48" s="4" t="s">
        <v>97</v>
      </c>
      <c r="D48" s="3"/>
      <c r="E48" s="3" t="s">
        <v>98</v>
      </c>
      <c r="F48" s="15">
        <v>0</v>
      </c>
      <c r="G48" s="16">
        <v>0</v>
      </c>
      <c r="H48" s="101"/>
    </row>
    <row r="49" spans="1:8" x14ac:dyDescent="0.2">
      <c r="A49" s="3"/>
      <c r="B49" s="3"/>
      <c r="C49" s="13"/>
      <c r="D49" s="3"/>
      <c r="E49" s="3"/>
      <c r="F49" s="14"/>
      <c r="G49" s="14"/>
      <c r="H49" s="101"/>
    </row>
    <row r="50" spans="1:8" x14ac:dyDescent="0.2">
      <c r="A50" s="3"/>
      <c r="B50" s="3"/>
      <c r="C50" s="4" t="s">
        <v>101</v>
      </c>
      <c r="D50" s="3"/>
      <c r="E50" s="3"/>
      <c r="F50" s="3"/>
      <c r="G50" s="3"/>
      <c r="H50" s="101"/>
    </row>
    <row r="51" spans="1:8" x14ac:dyDescent="0.2">
      <c r="A51" s="3"/>
      <c r="B51" s="3"/>
      <c r="C51" s="4" t="s">
        <v>97</v>
      </c>
      <c r="D51" s="3"/>
      <c r="E51" s="3" t="s">
        <v>98</v>
      </c>
      <c r="F51" s="15">
        <v>0</v>
      </c>
      <c r="G51" s="16">
        <v>0</v>
      </c>
      <c r="H51" s="101"/>
    </row>
    <row r="52" spans="1:8" x14ac:dyDescent="0.2">
      <c r="A52" s="3"/>
      <c r="B52" s="3"/>
      <c r="C52" s="13"/>
      <c r="D52" s="3"/>
      <c r="E52" s="3"/>
      <c r="F52" s="14"/>
      <c r="G52" s="14"/>
      <c r="H52" s="101"/>
    </row>
    <row r="53" spans="1:8" x14ac:dyDescent="0.2">
      <c r="A53" s="3"/>
      <c r="B53" s="3"/>
      <c r="C53" s="4" t="s">
        <v>102</v>
      </c>
      <c r="D53" s="3"/>
      <c r="E53" s="3"/>
      <c r="F53" s="14"/>
      <c r="G53" s="14"/>
      <c r="H53" s="101"/>
    </row>
    <row r="54" spans="1:8" x14ac:dyDescent="0.2">
      <c r="A54" s="3"/>
      <c r="B54" s="3"/>
      <c r="C54" s="4" t="s">
        <v>97</v>
      </c>
      <c r="D54" s="3"/>
      <c r="E54" s="3" t="s">
        <v>98</v>
      </c>
      <c r="F54" s="15">
        <v>0</v>
      </c>
      <c r="G54" s="16">
        <v>0</v>
      </c>
      <c r="H54" s="101"/>
    </row>
    <row r="55" spans="1:8" x14ac:dyDescent="0.2">
      <c r="A55" s="3"/>
      <c r="B55" s="3"/>
      <c r="C55" s="13"/>
      <c r="D55" s="3"/>
      <c r="E55" s="3"/>
      <c r="F55" s="14"/>
      <c r="G55" s="14"/>
      <c r="H55" s="101"/>
    </row>
    <row r="56" spans="1:8" x14ac:dyDescent="0.2">
      <c r="A56" s="3"/>
      <c r="B56" s="3"/>
      <c r="C56" s="4" t="s">
        <v>103</v>
      </c>
      <c r="D56" s="3"/>
      <c r="E56" s="3"/>
      <c r="F56" s="14"/>
      <c r="G56" s="14"/>
      <c r="H56" s="101"/>
    </row>
    <row r="57" spans="1:8" x14ac:dyDescent="0.2">
      <c r="A57" s="3"/>
      <c r="B57" s="3"/>
      <c r="C57" s="4" t="s">
        <v>97</v>
      </c>
      <c r="D57" s="3"/>
      <c r="E57" s="3" t="s">
        <v>98</v>
      </c>
      <c r="F57" s="15">
        <v>0</v>
      </c>
      <c r="G57" s="16">
        <v>0</v>
      </c>
      <c r="H57" s="101"/>
    </row>
    <row r="58" spans="1:8" x14ac:dyDescent="0.2">
      <c r="A58" s="3"/>
      <c r="B58" s="3"/>
      <c r="C58" s="13"/>
      <c r="D58" s="3"/>
      <c r="E58" s="3"/>
      <c r="F58" s="14"/>
      <c r="G58" s="14"/>
      <c r="H58" s="101"/>
    </row>
    <row r="59" spans="1:8" x14ac:dyDescent="0.2">
      <c r="A59" s="3"/>
      <c r="B59" s="3"/>
      <c r="C59" s="4" t="s">
        <v>104</v>
      </c>
      <c r="D59" s="3"/>
      <c r="E59" s="3"/>
      <c r="F59" s="11">
        <v>63278.339363188999</v>
      </c>
      <c r="G59" s="12">
        <v>0.98057276299999996</v>
      </c>
      <c r="H59" s="101"/>
    </row>
    <row r="60" spans="1:8" x14ac:dyDescent="0.2">
      <c r="A60" s="3"/>
      <c r="B60" s="3"/>
      <c r="C60" s="13"/>
      <c r="D60" s="3"/>
      <c r="E60" s="3"/>
      <c r="F60" s="14"/>
      <c r="G60" s="14"/>
      <c r="H60" s="101"/>
    </row>
    <row r="61" spans="1:8" x14ac:dyDescent="0.2">
      <c r="A61" s="3"/>
      <c r="B61" s="3"/>
      <c r="C61" s="4" t="s">
        <v>105</v>
      </c>
      <c r="D61" s="3"/>
      <c r="E61" s="3"/>
      <c r="F61" s="14"/>
      <c r="G61" s="14"/>
      <c r="H61" s="101"/>
    </row>
    <row r="62" spans="1:8" ht="25.5" x14ac:dyDescent="0.2">
      <c r="A62" s="3"/>
      <c r="B62" s="3"/>
      <c r="C62" s="4" t="s">
        <v>10</v>
      </c>
      <c r="D62" s="3"/>
      <c r="E62" s="3"/>
      <c r="F62" s="14"/>
      <c r="G62" s="14"/>
      <c r="H62" s="101"/>
    </row>
    <row r="63" spans="1:8" x14ac:dyDescent="0.2">
      <c r="A63" s="3"/>
      <c r="B63" s="3"/>
      <c r="C63" s="4" t="s">
        <v>97</v>
      </c>
      <c r="D63" s="3"/>
      <c r="E63" s="3" t="s">
        <v>98</v>
      </c>
      <c r="F63" s="15">
        <v>0</v>
      </c>
      <c r="G63" s="16">
        <v>0</v>
      </c>
      <c r="H63" s="101"/>
    </row>
    <row r="64" spans="1:8" x14ac:dyDescent="0.2">
      <c r="A64" s="3"/>
      <c r="B64" s="3"/>
      <c r="C64" s="13"/>
      <c r="D64" s="3"/>
      <c r="E64" s="3"/>
      <c r="F64" s="14"/>
      <c r="G64" s="14"/>
      <c r="H64" s="101"/>
    </row>
    <row r="65" spans="1:8" x14ac:dyDescent="0.2">
      <c r="A65" s="3"/>
      <c r="B65" s="3"/>
      <c r="C65" s="4" t="s">
        <v>106</v>
      </c>
      <c r="D65" s="3"/>
      <c r="E65" s="3"/>
      <c r="F65" s="3"/>
      <c r="G65" s="3"/>
      <c r="H65" s="101"/>
    </row>
    <row r="66" spans="1:8" x14ac:dyDescent="0.2">
      <c r="A66" s="3"/>
      <c r="B66" s="3"/>
      <c r="C66" s="4" t="s">
        <v>97</v>
      </c>
      <c r="D66" s="3"/>
      <c r="E66" s="3" t="s">
        <v>98</v>
      </c>
      <c r="F66" s="15">
        <v>0</v>
      </c>
      <c r="G66" s="16">
        <v>0</v>
      </c>
      <c r="H66" s="101"/>
    </row>
    <row r="67" spans="1:8" x14ac:dyDescent="0.2">
      <c r="A67" s="3"/>
      <c r="B67" s="3"/>
      <c r="C67" s="13"/>
      <c r="D67" s="3"/>
      <c r="E67" s="3"/>
      <c r="F67" s="14"/>
      <c r="G67" s="14"/>
      <c r="H67" s="101"/>
    </row>
    <row r="68" spans="1:8" x14ac:dyDescent="0.2">
      <c r="A68" s="3"/>
      <c r="B68" s="3"/>
      <c r="C68" s="4" t="s">
        <v>107</v>
      </c>
      <c r="D68" s="3"/>
      <c r="E68" s="3"/>
      <c r="F68" s="3"/>
      <c r="G68" s="3"/>
      <c r="H68" s="101"/>
    </row>
    <row r="69" spans="1:8" x14ac:dyDescent="0.2">
      <c r="A69" s="3"/>
      <c r="B69" s="3"/>
      <c r="C69" s="4" t="s">
        <v>97</v>
      </c>
      <c r="D69" s="3"/>
      <c r="E69" s="3" t="s">
        <v>98</v>
      </c>
      <c r="F69" s="15">
        <v>0</v>
      </c>
      <c r="G69" s="16">
        <v>0</v>
      </c>
      <c r="H69" s="101"/>
    </row>
    <row r="70" spans="1:8" x14ac:dyDescent="0.2">
      <c r="A70" s="3"/>
      <c r="B70" s="3"/>
      <c r="C70" s="13"/>
      <c r="D70" s="3"/>
      <c r="E70" s="3"/>
      <c r="F70" s="14"/>
      <c r="G70" s="14"/>
      <c r="H70" s="101"/>
    </row>
    <row r="71" spans="1:8" x14ac:dyDescent="0.2">
      <c r="A71" s="3"/>
      <c r="B71" s="3"/>
      <c r="C71" s="4" t="s">
        <v>108</v>
      </c>
      <c r="D71" s="3"/>
      <c r="E71" s="3"/>
      <c r="F71" s="14"/>
      <c r="G71" s="14"/>
      <c r="H71" s="101"/>
    </row>
    <row r="72" spans="1:8" x14ac:dyDescent="0.2">
      <c r="A72" s="3"/>
      <c r="B72" s="3"/>
      <c r="C72" s="4" t="s">
        <v>97</v>
      </c>
      <c r="D72" s="3"/>
      <c r="E72" s="3" t="s">
        <v>98</v>
      </c>
      <c r="F72" s="15">
        <v>0</v>
      </c>
      <c r="G72" s="16">
        <v>0</v>
      </c>
      <c r="H72" s="101"/>
    </row>
    <row r="73" spans="1:8" x14ac:dyDescent="0.2">
      <c r="A73" s="3"/>
      <c r="B73" s="3"/>
      <c r="C73" s="13"/>
      <c r="D73" s="3"/>
      <c r="E73" s="3"/>
      <c r="F73" s="14"/>
      <c r="G73" s="14"/>
      <c r="H73" s="101"/>
    </row>
    <row r="74" spans="1:8" x14ac:dyDescent="0.2">
      <c r="A74" s="3"/>
      <c r="B74" s="3"/>
      <c r="C74" s="4" t="s">
        <v>109</v>
      </c>
      <c r="D74" s="3"/>
      <c r="E74" s="3"/>
      <c r="F74" s="11">
        <v>0</v>
      </c>
      <c r="G74" s="12">
        <v>0</v>
      </c>
      <c r="H74" s="101"/>
    </row>
    <row r="75" spans="1:8" x14ac:dyDescent="0.2">
      <c r="A75" s="3"/>
      <c r="B75" s="3"/>
      <c r="C75" s="13"/>
      <c r="D75" s="3"/>
      <c r="E75" s="3"/>
      <c r="F75" s="14"/>
      <c r="G75" s="14"/>
      <c r="H75" s="101"/>
    </row>
    <row r="76" spans="1:8" x14ac:dyDescent="0.2">
      <c r="A76" s="3"/>
      <c r="B76" s="3"/>
      <c r="C76" s="4" t="s">
        <v>110</v>
      </c>
      <c r="D76" s="3"/>
      <c r="E76" s="3"/>
      <c r="F76" s="14"/>
      <c r="G76" s="14"/>
      <c r="H76" s="101"/>
    </row>
    <row r="77" spans="1:8" x14ac:dyDescent="0.2">
      <c r="A77" s="3"/>
      <c r="B77" s="3"/>
      <c r="C77" s="4" t="s">
        <v>111</v>
      </c>
      <c r="D77" s="3"/>
      <c r="E77" s="3"/>
      <c r="F77" s="14"/>
      <c r="G77" s="14"/>
      <c r="H77" s="101"/>
    </row>
    <row r="78" spans="1:8" x14ac:dyDescent="0.2">
      <c r="A78" s="3"/>
      <c r="B78" s="3"/>
      <c r="C78" s="4" t="s">
        <v>97</v>
      </c>
      <c r="D78" s="3"/>
      <c r="E78" s="3" t="s">
        <v>98</v>
      </c>
      <c r="F78" s="15">
        <v>0</v>
      </c>
      <c r="G78" s="16">
        <v>0</v>
      </c>
      <c r="H78" s="101"/>
    </row>
    <row r="79" spans="1:8" x14ac:dyDescent="0.2">
      <c r="A79" s="3"/>
      <c r="B79" s="3"/>
      <c r="C79" s="13"/>
      <c r="D79" s="3"/>
      <c r="E79" s="3"/>
      <c r="F79" s="14"/>
      <c r="G79" s="14"/>
      <c r="H79" s="101"/>
    </row>
    <row r="80" spans="1:8" x14ac:dyDescent="0.2">
      <c r="A80" s="3"/>
      <c r="B80" s="3"/>
      <c r="C80" s="4" t="s">
        <v>112</v>
      </c>
      <c r="D80" s="3"/>
      <c r="E80" s="3"/>
      <c r="F80" s="14"/>
      <c r="G80" s="14"/>
      <c r="H80" s="101"/>
    </row>
    <row r="81" spans="1:8" x14ac:dyDescent="0.2">
      <c r="A81" s="3"/>
      <c r="B81" s="3"/>
      <c r="C81" s="4" t="s">
        <v>97</v>
      </c>
      <c r="D81" s="3"/>
      <c r="E81" s="3" t="s">
        <v>98</v>
      </c>
      <c r="F81" s="15">
        <v>0</v>
      </c>
      <c r="G81" s="16">
        <v>0</v>
      </c>
      <c r="H81" s="101"/>
    </row>
    <row r="82" spans="1:8" x14ac:dyDescent="0.2">
      <c r="A82" s="3"/>
      <c r="B82" s="3"/>
      <c r="C82" s="13"/>
      <c r="D82" s="3"/>
      <c r="E82" s="3"/>
      <c r="F82" s="14"/>
      <c r="G82" s="14"/>
      <c r="H82" s="101"/>
    </row>
    <row r="83" spans="1:8" x14ac:dyDescent="0.2">
      <c r="A83" s="3"/>
      <c r="B83" s="3"/>
      <c r="C83" s="4" t="s">
        <v>113</v>
      </c>
      <c r="D83" s="3"/>
      <c r="E83" s="3"/>
      <c r="F83" s="14"/>
      <c r="G83" s="14"/>
      <c r="H83" s="101"/>
    </row>
    <row r="84" spans="1:8" x14ac:dyDescent="0.2">
      <c r="A84" s="3"/>
      <c r="B84" s="3"/>
      <c r="C84" s="4" t="s">
        <v>97</v>
      </c>
      <c r="D84" s="3"/>
      <c r="E84" s="3" t="s">
        <v>98</v>
      </c>
      <c r="F84" s="15">
        <v>0</v>
      </c>
      <c r="G84" s="16">
        <v>0</v>
      </c>
      <c r="H84" s="101"/>
    </row>
    <row r="85" spans="1:8" x14ac:dyDescent="0.2">
      <c r="A85" s="3"/>
      <c r="B85" s="3"/>
      <c r="C85" s="13"/>
      <c r="D85" s="3"/>
      <c r="E85" s="3"/>
      <c r="F85" s="14"/>
      <c r="G85" s="14"/>
      <c r="H85" s="101"/>
    </row>
    <row r="86" spans="1:8" x14ac:dyDescent="0.2">
      <c r="A86" s="3"/>
      <c r="B86" s="3"/>
      <c r="C86" s="4" t="s">
        <v>114</v>
      </c>
      <c r="D86" s="3"/>
      <c r="E86" s="3"/>
      <c r="F86" s="14"/>
      <c r="G86" s="14"/>
      <c r="H86" s="101"/>
    </row>
    <row r="87" spans="1:8" x14ac:dyDescent="0.2">
      <c r="A87" s="5">
        <v>1</v>
      </c>
      <c r="B87" s="6"/>
      <c r="C87" s="6" t="s">
        <v>115</v>
      </c>
      <c r="D87" s="6"/>
      <c r="E87" s="10"/>
      <c r="F87" s="8">
        <v>460.13300429999998</v>
      </c>
      <c r="G87" s="9">
        <v>7.1303060000000003E-3</v>
      </c>
      <c r="H87" s="8">
        <v>3.4504560529072292</v>
      </c>
    </row>
    <row r="88" spans="1:8" x14ac:dyDescent="0.2">
      <c r="A88" s="5">
        <v>2</v>
      </c>
      <c r="B88" s="6"/>
      <c r="C88" s="6" t="s">
        <v>116</v>
      </c>
      <c r="D88" s="6"/>
      <c r="E88" s="10"/>
      <c r="F88" s="8">
        <v>248.3372822</v>
      </c>
      <c r="G88" s="9">
        <v>3.8482799999999999E-3</v>
      </c>
      <c r="H88" s="8">
        <v>3.5655822479098256</v>
      </c>
    </row>
    <row r="89" spans="1:8" x14ac:dyDescent="0.2">
      <c r="A89" s="3"/>
      <c r="B89" s="3"/>
      <c r="C89" s="4" t="s">
        <v>97</v>
      </c>
      <c r="D89" s="3"/>
      <c r="E89" s="3" t="s">
        <v>98</v>
      </c>
      <c r="F89" s="11">
        <v>708.47028650000004</v>
      </c>
      <c r="G89" s="12">
        <v>1.0978586E-2</v>
      </c>
      <c r="H89" s="101"/>
    </row>
    <row r="90" spans="1:8" x14ac:dyDescent="0.2">
      <c r="A90" s="3"/>
      <c r="B90" s="3"/>
      <c r="C90" s="13"/>
      <c r="D90" s="3"/>
      <c r="E90" s="3"/>
      <c r="F90" s="14"/>
      <c r="G90" s="14"/>
      <c r="H90" s="101"/>
    </row>
    <row r="91" spans="1:8" x14ac:dyDescent="0.2">
      <c r="A91" s="3"/>
      <c r="B91" s="3"/>
      <c r="C91" s="4" t="s">
        <v>117</v>
      </c>
      <c r="D91" s="3"/>
      <c r="E91" s="3"/>
      <c r="F91" s="11">
        <v>708.47028650000004</v>
      </c>
      <c r="G91" s="12">
        <v>1.0978586E-2</v>
      </c>
      <c r="H91" s="101"/>
    </row>
    <row r="92" spans="1:8" x14ac:dyDescent="0.2">
      <c r="A92" s="3"/>
      <c r="B92" s="3"/>
      <c r="C92" s="14"/>
      <c r="D92" s="3"/>
      <c r="E92" s="3"/>
      <c r="F92" s="3"/>
      <c r="G92" s="3"/>
      <c r="H92" s="101"/>
    </row>
    <row r="93" spans="1:8" x14ac:dyDescent="0.2">
      <c r="A93" s="3"/>
      <c r="B93" s="3"/>
      <c r="C93" s="4" t="s">
        <v>118</v>
      </c>
      <c r="D93" s="3"/>
      <c r="E93" s="3"/>
      <c r="F93" s="3"/>
      <c r="G93" s="3"/>
      <c r="H93" s="101"/>
    </row>
    <row r="94" spans="1:8" x14ac:dyDescent="0.2">
      <c r="A94" s="3"/>
      <c r="B94" s="3"/>
      <c r="C94" s="4" t="s">
        <v>119</v>
      </c>
      <c r="D94" s="3"/>
      <c r="E94" s="3"/>
      <c r="F94" s="3"/>
      <c r="G94" s="3"/>
      <c r="H94" s="101"/>
    </row>
    <row r="95" spans="1:8" x14ac:dyDescent="0.2">
      <c r="A95" s="3"/>
      <c r="B95" s="3"/>
      <c r="C95" s="4" t="s">
        <v>97</v>
      </c>
      <c r="D95" s="3"/>
      <c r="E95" s="3" t="s">
        <v>98</v>
      </c>
      <c r="F95" s="15">
        <v>0</v>
      </c>
      <c r="G95" s="16">
        <v>0</v>
      </c>
      <c r="H95" s="101"/>
    </row>
    <row r="96" spans="1:8" x14ac:dyDescent="0.2">
      <c r="A96" s="3"/>
      <c r="B96" s="3"/>
      <c r="C96" s="13"/>
      <c r="D96" s="3"/>
      <c r="E96" s="3"/>
      <c r="F96" s="14"/>
      <c r="G96" s="14"/>
      <c r="H96" s="101"/>
    </row>
    <row r="97" spans="1:8" x14ac:dyDescent="0.2">
      <c r="A97" s="3"/>
      <c r="B97" s="3"/>
      <c r="C97" s="4" t="s">
        <v>120</v>
      </c>
      <c r="D97" s="3"/>
      <c r="E97" s="3"/>
      <c r="F97" s="3"/>
      <c r="G97" s="3"/>
      <c r="H97" s="101"/>
    </row>
    <row r="98" spans="1:8" x14ac:dyDescent="0.2">
      <c r="A98" s="3"/>
      <c r="B98" s="3"/>
      <c r="C98" s="4" t="s">
        <v>121</v>
      </c>
      <c r="D98" s="3"/>
      <c r="E98" s="3"/>
      <c r="F98" s="3"/>
      <c r="G98" s="3"/>
      <c r="H98" s="101"/>
    </row>
    <row r="99" spans="1:8" x14ac:dyDescent="0.2">
      <c r="A99" s="3"/>
      <c r="B99" s="3"/>
      <c r="C99" s="4" t="s">
        <v>97</v>
      </c>
      <c r="D99" s="3"/>
      <c r="E99" s="3" t="s">
        <v>98</v>
      </c>
      <c r="F99" s="15">
        <v>0</v>
      </c>
      <c r="G99" s="16">
        <v>0</v>
      </c>
      <c r="H99" s="101"/>
    </row>
    <row r="100" spans="1:8" x14ac:dyDescent="0.2">
      <c r="A100" s="3"/>
      <c r="B100" s="3"/>
      <c r="C100" s="13"/>
      <c r="D100" s="3"/>
      <c r="E100" s="3"/>
      <c r="F100" s="14"/>
      <c r="G100" s="14"/>
      <c r="H100" s="101"/>
    </row>
    <row r="101" spans="1:8" x14ac:dyDescent="0.2">
      <c r="A101" s="3"/>
      <c r="B101" s="3"/>
      <c r="C101" s="13"/>
      <c r="D101" s="3"/>
      <c r="E101" s="3"/>
      <c r="F101" s="14"/>
      <c r="G101" s="14"/>
      <c r="H101" s="101"/>
    </row>
    <row r="102" spans="1:8" ht="25.5" x14ac:dyDescent="0.2">
      <c r="A102" s="3"/>
      <c r="B102" s="3"/>
      <c r="C102" s="4" t="s">
        <v>122</v>
      </c>
      <c r="D102" s="3"/>
      <c r="E102" s="3"/>
      <c r="F102" s="14"/>
      <c r="G102" s="14"/>
      <c r="H102" s="101"/>
    </row>
    <row r="103" spans="1:8" x14ac:dyDescent="0.2">
      <c r="A103" s="3"/>
      <c r="B103" s="3"/>
      <c r="C103" s="4" t="s">
        <v>97</v>
      </c>
      <c r="D103" s="3"/>
      <c r="E103" s="3" t="s">
        <v>98</v>
      </c>
      <c r="F103" s="15">
        <v>0</v>
      </c>
      <c r="G103" s="16">
        <v>0</v>
      </c>
      <c r="H103" s="101"/>
    </row>
    <row r="104" spans="1:8" x14ac:dyDescent="0.2">
      <c r="A104" s="3"/>
      <c r="B104" s="3"/>
      <c r="C104" s="13"/>
      <c r="D104" s="3"/>
      <c r="E104" s="3"/>
      <c r="F104" s="14"/>
      <c r="G104" s="14"/>
      <c r="H104" s="101"/>
    </row>
    <row r="105" spans="1:8" x14ac:dyDescent="0.2">
      <c r="A105" s="3"/>
      <c r="B105" s="6"/>
      <c r="C105" s="6"/>
      <c r="D105" s="4"/>
      <c r="E105" s="3"/>
      <c r="F105" s="6"/>
      <c r="G105" s="10"/>
      <c r="H105" s="101"/>
    </row>
    <row r="106" spans="1:8" x14ac:dyDescent="0.2">
      <c r="A106" s="10"/>
      <c r="B106" s="6"/>
      <c r="C106" s="6" t="s">
        <v>123</v>
      </c>
      <c r="D106" s="6"/>
      <c r="E106" s="10"/>
      <c r="F106" s="8">
        <v>545.20837476999998</v>
      </c>
      <c r="G106" s="9">
        <v>8.4486490000000008E-3</v>
      </c>
      <c r="H106" s="101"/>
    </row>
    <row r="107" spans="1:8" x14ac:dyDescent="0.2">
      <c r="A107" s="13"/>
      <c r="B107" s="13"/>
      <c r="C107" s="4" t="s">
        <v>124</v>
      </c>
      <c r="D107" s="17"/>
      <c r="E107" s="17"/>
      <c r="F107" s="11">
        <v>64532.018024459001</v>
      </c>
      <c r="G107" s="12">
        <v>0.99999999799999995</v>
      </c>
      <c r="H107" s="101"/>
    </row>
    <row r="108" spans="1:8" ht="14.1" customHeight="1" x14ac:dyDescent="0.2">
      <c r="A108" s="18"/>
      <c r="B108" s="18"/>
      <c r="C108" s="18"/>
      <c r="D108" s="19"/>
      <c r="E108" s="19"/>
      <c r="F108" s="19"/>
      <c r="G108" s="19"/>
    </row>
    <row r="109" spans="1:8" ht="17.100000000000001" customHeight="1" x14ac:dyDescent="0.2">
      <c r="A109" s="20"/>
      <c r="B109" s="226" t="s">
        <v>125</v>
      </c>
      <c r="C109" s="226"/>
      <c r="D109" s="226"/>
      <c r="E109" s="226"/>
      <c r="F109" s="226"/>
      <c r="G109" s="22"/>
    </row>
    <row r="110" spans="1:8" ht="14.1" customHeight="1" x14ac:dyDescent="0.2">
      <c r="A110" s="20"/>
      <c r="B110" s="20"/>
      <c r="C110" s="20"/>
      <c r="D110" s="22"/>
      <c r="E110" s="22"/>
      <c r="F110" s="22"/>
      <c r="G110" s="22"/>
    </row>
    <row r="111" spans="1:8" ht="14.1" customHeight="1" x14ac:dyDescent="0.2">
      <c r="A111" s="20"/>
      <c r="B111" s="224" t="s">
        <v>126</v>
      </c>
      <c r="C111" s="225"/>
      <c r="D111" s="14" t="s">
        <v>98</v>
      </c>
      <c r="E111" s="23"/>
      <c r="F111" s="22"/>
      <c r="G111" s="22"/>
    </row>
    <row r="112" spans="1:8" ht="29.1" customHeight="1" x14ac:dyDescent="0.2">
      <c r="A112" s="20"/>
      <c r="B112" s="231" t="s">
        <v>127</v>
      </c>
      <c r="C112" s="232"/>
      <c r="D112" s="4" t="s">
        <v>128</v>
      </c>
      <c r="E112" s="23"/>
      <c r="F112" s="22"/>
      <c r="G112" s="22"/>
    </row>
    <row r="113" spans="1:17" ht="17.100000000000001" customHeight="1" x14ac:dyDescent="0.2">
      <c r="A113" s="20"/>
      <c r="B113" s="231" t="s">
        <v>1084</v>
      </c>
      <c r="C113" s="232"/>
      <c r="D113" s="90" t="s">
        <v>1085</v>
      </c>
      <c r="E113" s="23"/>
      <c r="F113" s="22"/>
      <c r="G113" s="22"/>
    </row>
    <row r="114" spans="1:17" ht="17.100000000000001" customHeight="1" x14ac:dyDescent="0.2">
      <c r="A114" s="20"/>
      <c r="B114" s="231" t="s">
        <v>130</v>
      </c>
      <c r="C114" s="232"/>
      <c r="D114" s="14" t="s">
        <v>98</v>
      </c>
      <c r="E114" s="23"/>
      <c r="F114" s="22"/>
      <c r="G114" s="22"/>
    </row>
    <row r="115" spans="1:17" ht="24" customHeight="1" x14ac:dyDescent="0.2">
      <c r="A115" s="24"/>
      <c r="B115" s="25" t="s">
        <v>98</v>
      </c>
      <c r="C115" s="25" t="s">
        <v>131</v>
      </c>
      <c r="D115" s="25" t="s">
        <v>132</v>
      </c>
      <c r="E115" s="24"/>
      <c r="F115" s="24"/>
      <c r="G115" s="24"/>
    </row>
    <row r="116" spans="1:17" ht="18" customHeight="1" x14ac:dyDescent="0.2">
      <c r="A116" s="24"/>
      <c r="B116" s="25" t="s">
        <v>133</v>
      </c>
      <c r="C116" s="25" t="s">
        <v>134</v>
      </c>
      <c r="D116" s="25" t="s">
        <v>135</v>
      </c>
      <c r="E116" s="24"/>
      <c r="F116" s="24"/>
      <c r="G116" s="24"/>
    </row>
    <row r="117" spans="1:17" x14ac:dyDescent="0.2">
      <c r="A117" s="24"/>
      <c r="B117" s="6" t="s">
        <v>136</v>
      </c>
      <c r="C117" s="26">
        <v>52.253599999999999</v>
      </c>
      <c r="D117" s="26">
        <v>54.364100000000001</v>
      </c>
      <c r="E117" s="24"/>
      <c r="F117" s="21"/>
      <c r="G117" s="27"/>
    </row>
    <row r="118" spans="1:17" x14ac:dyDescent="0.2">
      <c r="A118" s="24"/>
      <c r="B118" s="6" t="s">
        <v>1201</v>
      </c>
      <c r="C118" s="26">
        <v>40.315300000000001</v>
      </c>
      <c r="D118" s="26">
        <v>41.943600000000004</v>
      </c>
      <c r="E118" s="24"/>
      <c r="F118" s="21"/>
      <c r="G118" s="27"/>
    </row>
    <row r="119" spans="1:17" x14ac:dyDescent="0.2">
      <c r="A119" s="24"/>
      <c r="B119" s="6" t="s">
        <v>137</v>
      </c>
      <c r="C119" s="26">
        <v>49.896799999999999</v>
      </c>
      <c r="D119" s="26">
        <v>51.890099999999997</v>
      </c>
      <c r="E119" s="24"/>
      <c r="F119" s="21"/>
      <c r="G119" s="27"/>
    </row>
    <row r="120" spans="1:17" x14ac:dyDescent="0.2">
      <c r="A120" s="24"/>
      <c r="B120" s="6" t="s">
        <v>1202</v>
      </c>
      <c r="C120" s="26">
        <v>38.302399999999999</v>
      </c>
      <c r="D120" s="26">
        <v>39.8324</v>
      </c>
      <c r="E120" s="24"/>
      <c r="F120" s="21"/>
      <c r="G120" s="27"/>
    </row>
    <row r="121" spans="1:17" ht="14.1" customHeight="1" x14ac:dyDescent="0.2">
      <c r="A121" s="24"/>
      <c r="B121" s="24"/>
      <c r="C121" s="24"/>
      <c r="D121" s="24"/>
      <c r="E121" s="24"/>
      <c r="F121" s="24"/>
      <c r="G121" s="24"/>
    </row>
    <row r="122" spans="1:17" x14ac:dyDescent="0.2">
      <c r="A122" s="24"/>
      <c r="B122" s="231" t="s">
        <v>1203</v>
      </c>
      <c r="C122" s="232"/>
      <c r="D122" s="4" t="s">
        <v>128</v>
      </c>
      <c r="E122" s="24"/>
      <c r="F122" s="24"/>
      <c r="G122" s="24"/>
    </row>
    <row r="123" spans="1:17" ht="18" customHeight="1" x14ac:dyDescent="0.2">
      <c r="A123" s="24"/>
      <c r="B123" s="28"/>
      <c r="C123" s="28"/>
      <c r="D123" s="29"/>
      <c r="E123" s="24"/>
      <c r="F123" s="24"/>
      <c r="G123" s="24"/>
    </row>
    <row r="124" spans="1:17" s="87" customFormat="1" x14ac:dyDescent="0.2">
      <c r="B124" s="233" t="s">
        <v>1207</v>
      </c>
      <c r="C124" s="233"/>
      <c r="D124" s="233"/>
      <c r="E124" s="233"/>
      <c r="F124" s="233"/>
      <c r="I124"/>
      <c r="J124"/>
      <c r="K124"/>
      <c r="L124"/>
      <c r="M124"/>
      <c r="N124"/>
      <c r="O124"/>
      <c r="P124" s="69"/>
      <c r="Q124" s="69"/>
    </row>
    <row r="125" spans="1:17" ht="14.1" customHeight="1" x14ac:dyDescent="0.2">
      <c r="A125" s="24"/>
      <c r="B125" s="21"/>
      <c r="C125" s="21"/>
      <c r="D125" s="24"/>
      <c r="E125" s="24"/>
      <c r="F125" s="24"/>
      <c r="G125" s="24"/>
    </row>
    <row r="126" spans="1:17" ht="29.1" customHeight="1" x14ac:dyDescent="0.2">
      <c r="A126" s="24"/>
      <c r="B126" s="231" t="s">
        <v>138</v>
      </c>
      <c r="C126" s="232"/>
      <c r="D126" s="4" t="s">
        <v>128</v>
      </c>
      <c r="E126" s="24"/>
      <c r="F126" s="24"/>
      <c r="G126" s="24"/>
    </row>
    <row r="127" spans="1:17" ht="29.1" customHeight="1" x14ac:dyDescent="0.2">
      <c r="A127" s="24"/>
      <c r="B127" s="231" t="s">
        <v>139</v>
      </c>
      <c r="C127" s="232"/>
      <c r="D127" s="4" t="s">
        <v>128</v>
      </c>
      <c r="E127" s="24"/>
      <c r="F127" s="24"/>
      <c r="G127" s="24"/>
    </row>
    <row r="128" spans="1:17" x14ac:dyDescent="0.2">
      <c r="A128" s="24"/>
      <c r="B128" s="231" t="s">
        <v>140</v>
      </c>
      <c r="C128" s="232"/>
      <c r="D128" s="30">
        <v>0.38576416894968668</v>
      </c>
      <c r="E128" s="24"/>
      <c r="F128" s="21"/>
      <c r="G128" s="27"/>
      <c r="I128" s="87"/>
      <c r="J128" s="87"/>
      <c r="K128" s="87"/>
      <c r="L128" s="87"/>
      <c r="M128" s="87"/>
      <c r="N128" s="87"/>
      <c r="O128" s="87"/>
    </row>
    <row r="129" spans="1:7" x14ac:dyDescent="0.2">
      <c r="A129" s="24"/>
      <c r="B129" s="231" t="s">
        <v>141</v>
      </c>
      <c r="C129" s="232"/>
      <c r="D129" s="4" t="s">
        <v>128</v>
      </c>
      <c r="E129" s="24"/>
      <c r="F129" s="24"/>
      <c r="G129" s="24"/>
    </row>
  </sheetData>
  <mergeCells count="15">
    <mergeCell ref="B128:C128"/>
    <mergeCell ref="B129:C129"/>
    <mergeCell ref="B112:C112"/>
    <mergeCell ref="B113:C113"/>
    <mergeCell ref="B114:C114"/>
    <mergeCell ref="B122:C122"/>
    <mergeCell ref="B126:C126"/>
    <mergeCell ref="B127:C127"/>
    <mergeCell ref="B124:F124"/>
    <mergeCell ref="J2:N2"/>
    <mergeCell ref="B111:C111"/>
    <mergeCell ref="B109:F109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outlinePr summaryBelow="0" summaryRight="0"/>
  </sheetPr>
  <dimension ref="A1:Q165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6" ht="15" x14ac:dyDescent="0.2">
      <c r="A1" s="227" t="s">
        <v>0</v>
      </c>
      <c r="B1" s="227"/>
      <c r="C1" s="227"/>
      <c r="D1" s="227"/>
      <c r="E1" s="227"/>
      <c r="F1" s="227"/>
      <c r="G1" s="227"/>
      <c r="H1" s="227"/>
    </row>
    <row r="2" spans="1:16" s="87" customFormat="1" ht="15" x14ac:dyDescent="0.2">
      <c r="A2" s="228" t="s">
        <v>142</v>
      </c>
      <c r="B2" s="229"/>
      <c r="C2" s="229"/>
      <c r="D2" s="229"/>
      <c r="E2" s="229"/>
      <c r="F2" s="229"/>
      <c r="G2" s="229"/>
      <c r="H2" s="230"/>
      <c r="I2"/>
      <c r="J2" s="223" t="s">
        <v>1238</v>
      </c>
      <c r="K2" s="223"/>
      <c r="L2" s="223"/>
      <c r="M2" s="223"/>
      <c r="N2" s="223"/>
      <c r="O2"/>
      <c r="P2"/>
    </row>
    <row r="3" spans="1:16" ht="15" x14ac:dyDescent="0.2">
      <c r="A3" s="227" t="s">
        <v>1208</v>
      </c>
      <c r="B3" s="227"/>
      <c r="C3" s="227"/>
      <c r="D3" s="227"/>
      <c r="E3" s="227"/>
      <c r="F3" s="227"/>
      <c r="G3" s="227"/>
      <c r="H3" s="227"/>
    </row>
    <row r="4" spans="1:16" s="113" customFormat="1" ht="30" x14ac:dyDescent="0.2">
      <c r="A4" s="1" t="s">
        <v>2</v>
      </c>
      <c r="B4" s="1" t="s">
        <v>3</v>
      </c>
      <c r="C4" s="1" t="s">
        <v>4</v>
      </c>
      <c r="D4" s="1" t="s">
        <v>5</v>
      </c>
      <c r="E4" s="2" t="s">
        <v>6</v>
      </c>
      <c r="F4" s="2" t="s">
        <v>7</v>
      </c>
      <c r="G4" s="2" t="s">
        <v>8</v>
      </c>
      <c r="H4" s="96" t="s">
        <v>1167</v>
      </c>
      <c r="I4" s="183"/>
      <c r="J4" s="183"/>
      <c r="K4" s="183"/>
      <c r="L4" s="183"/>
      <c r="M4" s="183"/>
      <c r="N4" s="183"/>
      <c r="O4" s="183"/>
      <c r="P4" s="183"/>
    </row>
    <row r="5" spans="1:16" ht="14.1" customHeight="1" x14ac:dyDescent="0.2">
      <c r="A5" s="3"/>
      <c r="B5" s="3"/>
      <c r="C5" s="4" t="s">
        <v>9</v>
      </c>
      <c r="D5" s="3"/>
      <c r="E5" s="3"/>
      <c r="F5" s="3"/>
      <c r="G5" s="3"/>
      <c r="H5" s="97"/>
    </row>
    <row r="6" spans="1:16" ht="24" customHeight="1" x14ac:dyDescent="0.2">
      <c r="A6" s="3"/>
      <c r="B6" s="3"/>
      <c r="C6" s="4" t="s">
        <v>10</v>
      </c>
      <c r="D6" s="3"/>
      <c r="E6" s="3"/>
      <c r="F6" s="3"/>
      <c r="G6" s="3"/>
      <c r="H6" s="97"/>
    </row>
    <row r="7" spans="1:16" ht="25.5" x14ac:dyDescent="0.2">
      <c r="A7" s="5">
        <v>1</v>
      </c>
      <c r="B7" s="6" t="s">
        <v>143</v>
      </c>
      <c r="C7" s="6" t="s">
        <v>144</v>
      </c>
      <c r="D7" s="6" t="s">
        <v>45</v>
      </c>
      <c r="E7" s="7">
        <v>347324</v>
      </c>
      <c r="F7" s="8">
        <v>675.718842</v>
      </c>
      <c r="G7" s="9">
        <v>3.0838952999999999E-2</v>
      </c>
      <c r="H7" s="97"/>
    </row>
    <row r="8" spans="1:16" x14ac:dyDescent="0.2">
      <c r="A8" s="5">
        <v>2</v>
      </c>
      <c r="B8" s="6" t="s">
        <v>74</v>
      </c>
      <c r="C8" s="6" t="s">
        <v>75</v>
      </c>
      <c r="D8" s="6" t="s">
        <v>70</v>
      </c>
      <c r="E8" s="7">
        <v>141342</v>
      </c>
      <c r="F8" s="8">
        <v>593.35371599999996</v>
      </c>
      <c r="G8" s="9">
        <v>2.7079912000000001E-2</v>
      </c>
      <c r="H8" s="97"/>
    </row>
    <row r="9" spans="1:16" x14ac:dyDescent="0.2">
      <c r="A9" s="5">
        <v>3</v>
      </c>
      <c r="B9" s="6" t="s">
        <v>145</v>
      </c>
      <c r="C9" s="6" t="s">
        <v>146</v>
      </c>
      <c r="D9" s="6" t="s">
        <v>147</v>
      </c>
      <c r="E9" s="7">
        <v>10880</v>
      </c>
      <c r="F9" s="8">
        <v>533.59328000000005</v>
      </c>
      <c r="G9" s="9">
        <v>2.4352522000000001E-2</v>
      </c>
      <c r="H9" s="97"/>
    </row>
    <row r="10" spans="1:16" x14ac:dyDescent="0.2">
      <c r="A10" s="5">
        <v>4</v>
      </c>
      <c r="B10" s="6" t="s">
        <v>148</v>
      </c>
      <c r="C10" s="6" t="s">
        <v>149</v>
      </c>
      <c r="D10" s="6" t="s">
        <v>70</v>
      </c>
      <c r="E10" s="7">
        <v>86113</v>
      </c>
      <c r="F10" s="8">
        <v>514.86962700000004</v>
      </c>
      <c r="G10" s="9">
        <v>2.3497997999999999E-2</v>
      </c>
      <c r="H10" s="97"/>
    </row>
    <row r="11" spans="1:16" x14ac:dyDescent="0.2">
      <c r="A11" s="5">
        <v>5</v>
      </c>
      <c r="B11" s="6" t="s">
        <v>150</v>
      </c>
      <c r="C11" s="6" t="s">
        <v>151</v>
      </c>
      <c r="D11" s="6" t="s">
        <v>81</v>
      </c>
      <c r="E11" s="7">
        <v>429664</v>
      </c>
      <c r="F11" s="8">
        <v>476.28254399999997</v>
      </c>
      <c r="G11" s="9">
        <v>2.1736932E-2</v>
      </c>
      <c r="H11" s="97"/>
    </row>
    <row r="12" spans="1:16" x14ac:dyDescent="0.2">
      <c r="A12" s="5">
        <v>6</v>
      </c>
      <c r="B12" s="6" t="s">
        <v>152</v>
      </c>
      <c r="C12" s="6" t="s">
        <v>153</v>
      </c>
      <c r="D12" s="6" t="s">
        <v>1184</v>
      </c>
      <c r="E12" s="7">
        <v>36099</v>
      </c>
      <c r="F12" s="8">
        <v>426.70822950000002</v>
      </c>
      <c r="G12" s="9">
        <v>1.9474423000000001E-2</v>
      </c>
      <c r="H12" s="97"/>
    </row>
    <row r="13" spans="1:16" ht="25.5" x14ac:dyDescent="0.2">
      <c r="A13" s="5">
        <v>7</v>
      </c>
      <c r="B13" s="6" t="s">
        <v>37</v>
      </c>
      <c r="C13" s="6" t="s">
        <v>38</v>
      </c>
      <c r="D13" s="6" t="s">
        <v>1185</v>
      </c>
      <c r="E13" s="7">
        <v>12014</v>
      </c>
      <c r="F13" s="8">
        <v>408.33783899999997</v>
      </c>
      <c r="G13" s="9">
        <v>1.8636021999999999E-2</v>
      </c>
      <c r="H13" s="97"/>
    </row>
    <row r="14" spans="1:16" x14ac:dyDescent="0.2">
      <c r="A14" s="5">
        <v>8</v>
      </c>
      <c r="B14" s="6" t="s">
        <v>154</v>
      </c>
      <c r="C14" s="6" t="s">
        <v>155</v>
      </c>
      <c r="D14" s="6" t="s">
        <v>147</v>
      </c>
      <c r="E14" s="7">
        <v>31830</v>
      </c>
      <c r="F14" s="8">
        <v>358.86733500000003</v>
      </c>
      <c r="G14" s="9">
        <v>1.6378251E-2</v>
      </c>
      <c r="H14" s="97"/>
    </row>
    <row r="15" spans="1:16" ht="15" x14ac:dyDescent="0.2">
      <c r="A15" s="5">
        <v>9</v>
      </c>
      <c r="B15" s="6" t="s">
        <v>156</v>
      </c>
      <c r="C15" s="6" t="s">
        <v>157</v>
      </c>
      <c r="D15" s="6" t="s">
        <v>19</v>
      </c>
      <c r="E15" s="7">
        <v>48303</v>
      </c>
      <c r="F15" s="8">
        <v>350.36581050000001</v>
      </c>
      <c r="G15" s="9">
        <v>1.5990252E-2</v>
      </c>
      <c r="H15" s="97"/>
      <c r="J15" s="184" t="s">
        <v>1243</v>
      </c>
    </row>
    <row r="16" spans="1:16" x14ac:dyDescent="0.2">
      <c r="A16" s="5">
        <v>10</v>
      </c>
      <c r="B16" s="6" t="s">
        <v>158</v>
      </c>
      <c r="C16" s="6" t="s">
        <v>159</v>
      </c>
      <c r="D16" s="6" t="s">
        <v>1187</v>
      </c>
      <c r="E16" s="7">
        <v>28695</v>
      </c>
      <c r="F16" s="8">
        <v>349.83509249999997</v>
      </c>
      <c r="G16" s="9">
        <v>1.5966030999999999E-2</v>
      </c>
      <c r="H16" s="97"/>
    </row>
    <row r="17" spans="1:8" x14ac:dyDescent="0.2">
      <c r="A17" s="5">
        <v>11</v>
      </c>
      <c r="B17" s="6" t="s">
        <v>160</v>
      </c>
      <c r="C17" s="6" t="s">
        <v>161</v>
      </c>
      <c r="D17" s="6" t="s">
        <v>147</v>
      </c>
      <c r="E17" s="7">
        <v>33354</v>
      </c>
      <c r="F17" s="8">
        <v>341.21141999999998</v>
      </c>
      <c r="G17" s="9">
        <v>1.5572457E-2</v>
      </c>
      <c r="H17" s="97"/>
    </row>
    <row r="18" spans="1:8" x14ac:dyDescent="0.2">
      <c r="A18" s="5">
        <v>12</v>
      </c>
      <c r="B18" s="6" t="s">
        <v>41</v>
      </c>
      <c r="C18" s="6" t="s">
        <v>42</v>
      </c>
      <c r="D18" s="6" t="s">
        <v>19</v>
      </c>
      <c r="E18" s="7">
        <v>26435</v>
      </c>
      <c r="F18" s="8">
        <v>322.57308749999999</v>
      </c>
      <c r="G18" s="9">
        <v>1.4721827E-2</v>
      </c>
      <c r="H18" s="97"/>
    </row>
    <row r="19" spans="1:8" x14ac:dyDescent="0.2">
      <c r="A19" s="5">
        <v>13</v>
      </c>
      <c r="B19" s="6" t="s">
        <v>162</v>
      </c>
      <c r="C19" s="6" t="s">
        <v>163</v>
      </c>
      <c r="D19" s="6" t="s">
        <v>1190</v>
      </c>
      <c r="E19" s="7">
        <v>136467</v>
      </c>
      <c r="F19" s="8">
        <v>319.60571399999998</v>
      </c>
      <c r="G19" s="9">
        <v>1.4586399999999999E-2</v>
      </c>
      <c r="H19" s="97"/>
    </row>
    <row r="20" spans="1:8" x14ac:dyDescent="0.2">
      <c r="A20" s="5">
        <v>14</v>
      </c>
      <c r="B20" s="6" t="s">
        <v>164</v>
      </c>
      <c r="C20" s="6" t="s">
        <v>165</v>
      </c>
      <c r="D20" s="6" t="s">
        <v>19</v>
      </c>
      <c r="E20" s="7">
        <v>26911</v>
      </c>
      <c r="F20" s="8">
        <v>314.3339355</v>
      </c>
      <c r="G20" s="9">
        <v>1.4345803000000001E-2</v>
      </c>
      <c r="H20" s="97"/>
    </row>
    <row r="21" spans="1:8" x14ac:dyDescent="0.2">
      <c r="A21" s="5">
        <v>15</v>
      </c>
      <c r="B21" s="6" t="s">
        <v>166</v>
      </c>
      <c r="C21" s="6" t="s">
        <v>167</v>
      </c>
      <c r="D21" s="6" t="s">
        <v>1186</v>
      </c>
      <c r="E21" s="7">
        <v>87378</v>
      </c>
      <c r="F21" s="8">
        <v>308.75016299999999</v>
      </c>
      <c r="G21" s="9">
        <v>1.4090966999999999E-2</v>
      </c>
      <c r="H21" s="97"/>
    </row>
    <row r="22" spans="1:8" x14ac:dyDescent="0.2">
      <c r="A22" s="5">
        <v>16</v>
      </c>
      <c r="B22" s="6" t="s">
        <v>168</v>
      </c>
      <c r="C22" s="6" t="s">
        <v>169</v>
      </c>
      <c r="D22" s="6" t="s">
        <v>81</v>
      </c>
      <c r="E22" s="7">
        <v>488151</v>
      </c>
      <c r="F22" s="8">
        <v>307.53512999999998</v>
      </c>
      <c r="G22" s="9">
        <v>1.4035514000000001E-2</v>
      </c>
      <c r="H22" s="97"/>
    </row>
    <row r="23" spans="1:8" x14ac:dyDescent="0.2">
      <c r="A23" s="5">
        <v>17</v>
      </c>
      <c r="B23" s="6" t="s">
        <v>170</v>
      </c>
      <c r="C23" s="6" t="s">
        <v>171</v>
      </c>
      <c r="D23" s="6" t="s">
        <v>70</v>
      </c>
      <c r="E23" s="7">
        <v>30856</v>
      </c>
      <c r="F23" s="8">
        <v>300.167168</v>
      </c>
      <c r="G23" s="9">
        <v>1.369925E-2</v>
      </c>
      <c r="H23" s="97"/>
    </row>
    <row r="24" spans="1:8" x14ac:dyDescent="0.2">
      <c r="A24" s="5">
        <v>18</v>
      </c>
      <c r="B24" s="6" t="s">
        <v>172</v>
      </c>
      <c r="C24" s="6" t="s">
        <v>173</v>
      </c>
      <c r="D24" s="6" t="s">
        <v>174</v>
      </c>
      <c r="E24" s="7">
        <v>124406</v>
      </c>
      <c r="F24" s="8">
        <v>297.39254299999999</v>
      </c>
      <c r="G24" s="9">
        <v>1.3572618999999999E-2</v>
      </c>
      <c r="H24" s="97"/>
    </row>
    <row r="25" spans="1:8" x14ac:dyDescent="0.2">
      <c r="A25" s="5">
        <v>19</v>
      </c>
      <c r="B25" s="6" t="s">
        <v>175</v>
      </c>
      <c r="C25" s="6" t="s">
        <v>176</v>
      </c>
      <c r="D25" s="6" t="s">
        <v>16</v>
      </c>
      <c r="E25" s="7">
        <v>99378</v>
      </c>
      <c r="F25" s="8">
        <v>290.53158300000001</v>
      </c>
      <c r="G25" s="9">
        <v>1.3259494E-2</v>
      </c>
      <c r="H25" s="97"/>
    </row>
    <row r="26" spans="1:8" ht="25.5" x14ac:dyDescent="0.2">
      <c r="A26" s="5">
        <v>20</v>
      </c>
      <c r="B26" s="6" t="s">
        <v>177</v>
      </c>
      <c r="C26" s="6" t="s">
        <v>178</v>
      </c>
      <c r="D26" s="6" t="s">
        <v>1185</v>
      </c>
      <c r="E26" s="7">
        <v>125135</v>
      </c>
      <c r="F26" s="8">
        <v>283.24307249999998</v>
      </c>
      <c r="G26" s="9">
        <v>1.2926854999999999E-2</v>
      </c>
      <c r="H26" s="97"/>
    </row>
    <row r="27" spans="1:8" x14ac:dyDescent="0.2">
      <c r="A27" s="5">
        <v>21</v>
      </c>
      <c r="B27" s="6" t="s">
        <v>179</v>
      </c>
      <c r="C27" s="6" t="s">
        <v>180</v>
      </c>
      <c r="D27" s="6" t="s">
        <v>53</v>
      </c>
      <c r="E27" s="7">
        <v>281600</v>
      </c>
      <c r="F27" s="8">
        <v>283.14879999999999</v>
      </c>
      <c r="G27" s="9">
        <v>1.2922553E-2</v>
      </c>
      <c r="H27" s="97"/>
    </row>
    <row r="28" spans="1:8" x14ac:dyDescent="0.2">
      <c r="A28" s="5">
        <v>22</v>
      </c>
      <c r="B28" s="6" t="s">
        <v>181</v>
      </c>
      <c r="C28" s="6" t="s">
        <v>182</v>
      </c>
      <c r="D28" s="6" t="s">
        <v>1189</v>
      </c>
      <c r="E28" s="7">
        <v>31000</v>
      </c>
      <c r="F28" s="8">
        <v>265.46850000000001</v>
      </c>
      <c r="G28" s="9">
        <v>1.2115646000000001E-2</v>
      </c>
      <c r="H28" s="97"/>
    </row>
    <row r="29" spans="1:8" x14ac:dyDescent="0.2">
      <c r="A29" s="5">
        <v>23</v>
      </c>
      <c r="B29" s="6" t="s">
        <v>183</v>
      </c>
      <c r="C29" s="6" t="s">
        <v>184</v>
      </c>
      <c r="D29" s="6" t="s">
        <v>185</v>
      </c>
      <c r="E29" s="7">
        <v>20627</v>
      </c>
      <c r="F29" s="8">
        <v>264.73723150000001</v>
      </c>
      <c r="G29" s="9">
        <v>1.2082272E-2</v>
      </c>
      <c r="H29" s="97"/>
    </row>
    <row r="30" spans="1:8" x14ac:dyDescent="0.2">
      <c r="A30" s="5">
        <v>24</v>
      </c>
      <c r="B30" s="6" t="s">
        <v>186</v>
      </c>
      <c r="C30" s="6" t="s">
        <v>187</v>
      </c>
      <c r="D30" s="6" t="s">
        <v>19</v>
      </c>
      <c r="E30" s="7">
        <v>13087</v>
      </c>
      <c r="F30" s="8">
        <v>260.1891905</v>
      </c>
      <c r="G30" s="9">
        <v>1.1874704999999999E-2</v>
      </c>
      <c r="H30" s="97"/>
    </row>
    <row r="31" spans="1:8" x14ac:dyDescent="0.2">
      <c r="A31" s="5">
        <v>25</v>
      </c>
      <c r="B31" s="6" t="s">
        <v>188</v>
      </c>
      <c r="C31" s="6" t="s">
        <v>189</v>
      </c>
      <c r="D31" s="6" t="s">
        <v>190</v>
      </c>
      <c r="E31" s="7">
        <v>56206</v>
      </c>
      <c r="F31" s="8">
        <v>258.519497</v>
      </c>
      <c r="G31" s="9">
        <v>1.1798503E-2</v>
      </c>
      <c r="H31" s="97"/>
    </row>
    <row r="32" spans="1:8" x14ac:dyDescent="0.2">
      <c r="A32" s="5">
        <v>26</v>
      </c>
      <c r="B32" s="6" t="s">
        <v>191</v>
      </c>
      <c r="C32" s="6" t="s">
        <v>192</v>
      </c>
      <c r="D32" s="6" t="s">
        <v>193</v>
      </c>
      <c r="E32" s="7">
        <v>56609</v>
      </c>
      <c r="F32" s="8">
        <v>257.17468700000001</v>
      </c>
      <c r="G32" s="9">
        <v>1.1737127E-2</v>
      </c>
      <c r="H32" s="97"/>
    </row>
    <row r="33" spans="1:8" x14ac:dyDescent="0.2">
      <c r="A33" s="5">
        <v>27</v>
      </c>
      <c r="B33" s="6" t="s">
        <v>194</v>
      </c>
      <c r="C33" s="6" t="s">
        <v>195</v>
      </c>
      <c r="D33" s="6" t="s">
        <v>53</v>
      </c>
      <c r="E33" s="7">
        <v>25501</v>
      </c>
      <c r="F33" s="8">
        <v>251.2741035</v>
      </c>
      <c r="G33" s="9">
        <v>1.1467832000000001E-2</v>
      </c>
      <c r="H33" s="97"/>
    </row>
    <row r="34" spans="1:8" x14ac:dyDescent="0.2">
      <c r="A34" s="5">
        <v>28</v>
      </c>
      <c r="B34" s="6" t="s">
        <v>196</v>
      </c>
      <c r="C34" s="6" t="s">
        <v>197</v>
      </c>
      <c r="D34" s="6" t="s">
        <v>81</v>
      </c>
      <c r="E34" s="7">
        <v>44944</v>
      </c>
      <c r="F34" s="8">
        <v>248.51784799999999</v>
      </c>
      <c r="G34" s="9">
        <v>1.1342039999999999E-2</v>
      </c>
      <c r="H34" s="97"/>
    </row>
    <row r="35" spans="1:8" x14ac:dyDescent="0.2">
      <c r="A35" s="5">
        <v>29</v>
      </c>
      <c r="B35" s="6" t="s">
        <v>198</v>
      </c>
      <c r="C35" s="6" t="s">
        <v>199</v>
      </c>
      <c r="D35" s="6" t="s">
        <v>70</v>
      </c>
      <c r="E35" s="7">
        <v>27690</v>
      </c>
      <c r="F35" s="8">
        <v>246.80097000000001</v>
      </c>
      <c r="G35" s="9">
        <v>1.1263684E-2</v>
      </c>
      <c r="H35" s="97"/>
    </row>
    <row r="36" spans="1:8" ht="25.5" x14ac:dyDescent="0.2">
      <c r="A36" s="5">
        <v>30</v>
      </c>
      <c r="B36" s="6" t="s">
        <v>200</v>
      </c>
      <c r="C36" s="6" t="s">
        <v>201</v>
      </c>
      <c r="D36" s="6" t="s">
        <v>202</v>
      </c>
      <c r="E36" s="7">
        <v>59268</v>
      </c>
      <c r="F36" s="8">
        <v>241.75417200000001</v>
      </c>
      <c r="G36" s="9">
        <v>1.1033354E-2</v>
      </c>
      <c r="H36" s="97"/>
    </row>
    <row r="37" spans="1:8" x14ac:dyDescent="0.2">
      <c r="A37" s="5">
        <v>31</v>
      </c>
      <c r="B37" s="6" t="s">
        <v>203</v>
      </c>
      <c r="C37" s="6" t="s">
        <v>204</v>
      </c>
      <c r="D37" s="6" t="s">
        <v>81</v>
      </c>
      <c r="E37" s="7">
        <v>30580</v>
      </c>
      <c r="F37" s="8">
        <v>236.75036</v>
      </c>
      <c r="G37" s="9">
        <v>1.0804987E-2</v>
      </c>
      <c r="H37" s="97"/>
    </row>
    <row r="38" spans="1:8" x14ac:dyDescent="0.2">
      <c r="A38" s="5">
        <v>32</v>
      </c>
      <c r="B38" s="6" t="s">
        <v>205</v>
      </c>
      <c r="C38" s="6" t="s">
        <v>206</v>
      </c>
      <c r="D38" s="6" t="s">
        <v>1187</v>
      </c>
      <c r="E38" s="7">
        <v>42005</v>
      </c>
      <c r="F38" s="8">
        <v>236.21511749999999</v>
      </c>
      <c r="G38" s="9">
        <v>1.0780559E-2</v>
      </c>
      <c r="H38" s="97"/>
    </row>
    <row r="39" spans="1:8" ht="25.5" x14ac:dyDescent="0.2">
      <c r="A39" s="5">
        <v>33</v>
      </c>
      <c r="B39" s="6" t="s">
        <v>207</v>
      </c>
      <c r="C39" s="6" t="s">
        <v>208</v>
      </c>
      <c r="D39" s="6" t="s">
        <v>45</v>
      </c>
      <c r="E39" s="7">
        <v>106130</v>
      </c>
      <c r="F39" s="8">
        <v>235.92698999999999</v>
      </c>
      <c r="G39" s="9">
        <v>1.0767409E-2</v>
      </c>
      <c r="H39" s="97"/>
    </row>
    <row r="40" spans="1:8" x14ac:dyDescent="0.2">
      <c r="A40" s="5">
        <v>34</v>
      </c>
      <c r="B40" s="6" t="s">
        <v>209</v>
      </c>
      <c r="C40" s="6" t="s">
        <v>210</v>
      </c>
      <c r="D40" s="6" t="s">
        <v>193</v>
      </c>
      <c r="E40" s="7">
        <v>40455</v>
      </c>
      <c r="F40" s="8">
        <v>218.01199500000001</v>
      </c>
      <c r="G40" s="9">
        <v>9.9497909999999995E-3</v>
      </c>
      <c r="H40" s="97"/>
    </row>
    <row r="41" spans="1:8" x14ac:dyDescent="0.2">
      <c r="A41" s="5">
        <v>35</v>
      </c>
      <c r="B41" s="6" t="s">
        <v>17</v>
      </c>
      <c r="C41" s="6" t="s">
        <v>18</v>
      </c>
      <c r="D41" s="6" t="s">
        <v>19</v>
      </c>
      <c r="E41" s="7">
        <v>11178</v>
      </c>
      <c r="F41" s="8">
        <v>214.28226000000001</v>
      </c>
      <c r="G41" s="9">
        <v>9.7795710000000008E-3</v>
      </c>
      <c r="H41" s="97"/>
    </row>
    <row r="42" spans="1:8" ht="25.5" x14ac:dyDescent="0.2">
      <c r="A42" s="5">
        <v>36</v>
      </c>
      <c r="B42" s="6" t="s">
        <v>211</v>
      </c>
      <c r="C42" s="6" t="s">
        <v>212</v>
      </c>
      <c r="D42" s="6" t="s">
        <v>202</v>
      </c>
      <c r="E42" s="7">
        <v>46200</v>
      </c>
      <c r="F42" s="8">
        <v>208.52369999999999</v>
      </c>
      <c r="G42" s="9">
        <v>9.5167580000000002E-3</v>
      </c>
      <c r="H42" s="97"/>
    </row>
    <row r="43" spans="1:8" ht="25.5" x14ac:dyDescent="0.2">
      <c r="A43" s="5">
        <v>37</v>
      </c>
      <c r="B43" s="6" t="s">
        <v>214</v>
      </c>
      <c r="C43" s="6" t="s">
        <v>215</v>
      </c>
      <c r="D43" s="6" t="s">
        <v>70</v>
      </c>
      <c r="E43" s="7">
        <v>10523</v>
      </c>
      <c r="F43" s="8">
        <v>207.871342</v>
      </c>
      <c r="G43" s="9">
        <v>9.4869849999999999E-3</v>
      </c>
      <c r="H43" s="97"/>
    </row>
    <row r="44" spans="1:8" x14ac:dyDescent="0.2">
      <c r="A44" s="5">
        <v>38</v>
      </c>
      <c r="B44" s="6" t="s">
        <v>216</v>
      </c>
      <c r="C44" s="6" t="s">
        <v>217</v>
      </c>
      <c r="D44" s="6" t="s">
        <v>1184</v>
      </c>
      <c r="E44" s="7">
        <v>12809</v>
      </c>
      <c r="F44" s="8">
        <v>202.74085199999999</v>
      </c>
      <c r="G44" s="9">
        <v>9.2528360000000004E-3</v>
      </c>
      <c r="H44" s="97"/>
    </row>
    <row r="45" spans="1:8" x14ac:dyDescent="0.2">
      <c r="A45" s="5">
        <v>39</v>
      </c>
      <c r="B45" s="6" t="s">
        <v>218</v>
      </c>
      <c r="C45" s="6" t="s">
        <v>219</v>
      </c>
      <c r="D45" s="6" t="s">
        <v>193</v>
      </c>
      <c r="E45" s="7">
        <v>11356</v>
      </c>
      <c r="F45" s="8">
        <v>202.102732</v>
      </c>
      <c r="G45" s="9">
        <v>9.2237129999999997E-3</v>
      </c>
      <c r="H45" s="97"/>
    </row>
    <row r="46" spans="1:8" x14ac:dyDescent="0.2">
      <c r="A46" s="5">
        <v>40</v>
      </c>
      <c r="B46" s="6" t="s">
        <v>68</v>
      </c>
      <c r="C46" s="6" t="s">
        <v>69</v>
      </c>
      <c r="D46" s="6" t="s">
        <v>70</v>
      </c>
      <c r="E46" s="7">
        <v>5800</v>
      </c>
      <c r="F46" s="8">
        <v>192.33959999999999</v>
      </c>
      <c r="G46" s="9">
        <v>8.7781360000000006E-3</v>
      </c>
      <c r="H46" s="97"/>
    </row>
    <row r="47" spans="1:8" x14ac:dyDescent="0.2">
      <c r="A47" s="5">
        <v>41</v>
      </c>
      <c r="B47" s="6" t="s">
        <v>220</v>
      </c>
      <c r="C47" s="6" t="s">
        <v>221</v>
      </c>
      <c r="D47" s="6" t="s">
        <v>193</v>
      </c>
      <c r="E47" s="7">
        <v>33629</v>
      </c>
      <c r="F47" s="8">
        <v>165.87504250000001</v>
      </c>
      <c r="G47" s="9">
        <v>7.570327E-3</v>
      </c>
      <c r="H47" s="97"/>
    </row>
    <row r="48" spans="1:8" x14ac:dyDescent="0.2">
      <c r="A48" s="5">
        <v>42</v>
      </c>
      <c r="B48" s="6" t="s">
        <v>222</v>
      </c>
      <c r="C48" s="6" t="s">
        <v>223</v>
      </c>
      <c r="D48" s="6" t="s">
        <v>70</v>
      </c>
      <c r="E48" s="7">
        <v>62724</v>
      </c>
      <c r="F48" s="8">
        <v>165.21501599999999</v>
      </c>
      <c r="G48" s="9">
        <v>7.540204E-3</v>
      </c>
      <c r="H48" s="97"/>
    </row>
    <row r="49" spans="1:8" x14ac:dyDescent="0.2">
      <c r="A49" s="5">
        <v>43</v>
      </c>
      <c r="B49" s="6" t="s">
        <v>224</v>
      </c>
      <c r="C49" s="6" t="s">
        <v>225</v>
      </c>
      <c r="D49" s="6" t="s">
        <v>34</v>
      </c>
      <c r="E49" s="7">
        <v>143614</v>
      </c>
      <c r="F49" s="8">
        <v>156.61106699999999</v>
      </c>
      <c r="G49" s="9">
        <v>7.1475310000000004E-3</v>
      </c>
      <c r="H49" s="97"/>
    </row>
    <row r="50" spans="1:8" ht="25.5" x14ac:dyDescent="0.2">
      <c r="A50" s="5">
        <v>44</v>
      </c>
      <c r="B50" s="6" t="s">
        <v>226</v>
      </c>
      <c r="C50" s="6" t="s">
        <v>227</v>
      </c>
      <c r="D50" s="6" t="s">
        <v>1191</v>
      </c>
      <c r="E50" s="7">
        <v>170970</v>
      </c>
      <c r="F50" s="8">
        <v>151.73587499999999</v>
      </c>
      <c r="G50" s="9">
        <v>6.9250329999999997E-3</v>
      </c>
      <c r="H50" s="97"/>
    </row>
    <row r="51" spans="1:8" x14ac:dyDescent="0.2">
      <c r="A51" s="5">
        <v>45</v>
      </c>
      <c r="B51" s="6" t="s">
        <v>228</v>
      </c>
      <c r="C51" s="6" t="s">
        <v>229</v>
      </c>
      <c r="D51" s="6" t="s">
        <v>327</v>
      </c>
      <c r="E51" s="7">
        <v>16948</v>
      </c>
      <c r="F51" s="8">
        <v>143.76988399999999</v>
      </c>
      <c r="G51" s="9">
        <v>6.5614760000000001E-3</v>
      </c>
      <c r="H51" s="97"/>
    </row>
    <row r="52" spans="1:8" x14ac:dyDescent="0.2">
      <c r="A52" s="5">
        <v>46</v>
      </c>
      <c r="B52" s="6" t="s">
        <v>230</v>
      </c>
      <c r="C52" s="6" t="s">
        <v>231</v>
      </c>
      <c r="D52" s="6" t="s">
        <v>60</v>
      </c>
      <c r="E52" s="7">
        <v>15808</v>
      </c>
      <c r="F52" s="8">
        <v>132.59750399999999</v>
      </c>
      <c r="G52" s="9">
        <v>6.0515819999999998E-3</v>
      </c>
      <c r="H52" s="97"/>
    </row>
    <row r="53" spans="1:8" x14ac:dyDescent="0.2">
      <c r="A53" s="5">
        <v>47</v>
      </c>
      <c r="B53" s="6" t="s">
        <v>232</v>
      </c>
      <c r="C53" s="6" t="s">
        <v>233</v>
      </c>
      <c r="D53" s="6" t="s">
        <v>193</v>
      </c>
      <c r="E53" s="7">
        <v>2332</v>
      </c>
      <c r="F53" s="8">
        <v>124.491488</v>
      </c>
      <c r="G53" s="9">
        <v>5.6816339999999996E-3</v>
      </c>
      <c r="H53" s="97"/>
    </row>
    <row r="54" spans="1:8" x14ac:dyDescent="0.2">
      <c r="A54" s="5">
        <v>48</v>
      </c>
      <c r="B54" s="6" t="s">
        <v>234</v>
      </c>
      <c r="C54" s="6" t="s">
        <v>235</v>
      </c>
      <c r="D54" s="6" t="s">
        <v>1187</v>
      </c>
      <c r="E54" s="7">
        <v>96898</v>
      </c>
      <c r="F54" s="8">
        <v>123.835644</v>
      </c>
      <c r="G54" s="9">
        <v>5.6517019999999998E-3</v>
      </c>
      <c r="H54" s="97"/>
    </row>
    <row r="55" spans="1:8" x14ac:dyDescent="0.2">
      <c r="A55" s="5">
        <v>49</v>
      </c>
      <c r="B55" s="6" t="s">
        <v>84</v>
      </c>
      <c r="C55" s="6" t="s">
        <v>85</v>
      </c>
      <c r="D55" s="6" t="s">
        <v>53</v>
      </c>
      <c r="E55" s="7">
        <v>24155</v>
      </c>
      <c r="F55" s="8">
        <v>118.43196500000001</v>
      </c>
      <c r="G55" s="9">
        <v>5.4050849999999996E-3</v>
      </c>
      <c r="H55" s="97"/>
    </row>
    <row r="56" spans="1:8" x14ac:dyDescent="0.2">
      <c r="A56" s="5">
        <v>50</v>
      </c>
      <c r="B56" s="6" t="s">
        <v>236</v>
      </c>
      <c r="C56" s="6" t="s">
        <v>237</v>
      </c>
      <c r="D56" s="6" t="s">
        <v>238</v>
      </c>
      <c r="E56" s="7">
        <v>29956</v>
      </c>
      <c r="F56" s="8">
        <v>109.78874</v>
      </c>
      <c r="G56" s="9">
        <v>5.010619E-3</v>
      </c>
      <c r="H56" s="97"/>
    </row>
    <row r="57" spans="1:8" x14ac:dyDescent="0.2">
      <c r="A57" s="5">
        <v>51</v>
      </c>
      <c r="B57" s="6" t="s">
        <v>239</v>
      </c>
      <c r="C57" s="6" t="s">
        <v>240</v>
      </c>
      <c r="D57" s="6" t="s">
        <v>25</v>
      </c>
      <c r="E57" s="7">
        <v>139624</v>
      </c>
      <c r="F57" s="8">
        <v>109.74446399999999</v>
      </c>
      <c r="G57" s="9">
        <v>5.0085980000000004E-3</v>
      </c>
      <c r="H57" s="97"/>
    </row>
    <row r="58" spans="1:8" x14ac:dyDescent="0.2">
      <c r="A58" s="5">
        <v>52</v>
      </c>
      <c r="B58" s="6" t="s">
        <v>92</v>
      </c>
      <c r="C58" s="6" t="s">
        <v>93</v>
      </c>
      <c r="D58" s="6" t="s">
        <v>53</v>
      </c>
      <c r="E58" s="7">
        <v>123750</v>
      </c>
      <c r="F58" s="8">
        <v>106.486875</v>
      </c>
      <c r="G58" s="9">
        <v>4.8599259999999997E-3</v>
      </c>
      <c r="H58" s="97"/>
    </row>
    <row r="59" spans="1:8" x14ac:dyDescent="0.2">
      <c r="A59" s="5">
        <v>53</v>
      </c>
      <c r="B59" s="6" t="s">
        <v>241</v>
      </c>
      <c r="C59" s="6" t="s">
        <v>242</v>
      </c>
      <c r="D59" s="6" t="s">
        <v>147</v>
      </c>
      <c r="E59" s="7">
        <v>22041</v>
      </c>
      <c r="F59" s="8">
        <v>104.231889</v>
      </c>
      <c r="G59" s="9">
        <v>4.7570110000000002E-3</v>
      </c>
      <c r="H59" s="97"/>
    </row>
    <row r="60" spans="1:8" x14ac:dyDescent="0.2">
      <c r="A60" s="5">
        <v>54</v>
      </c>
      <c r="B60" s="6" t="s">
        <v>243</v>
      </c>
      <c r="C60" s="6" t="s">
        <v>244</v>
      </c>
      <c r="D60" s="6" t="s">
        <v>185</v>
      </c>
      <c r="E60" s="7">
        <v>18127</v>
      </c>
      <c r="F60" s="8">
        <v>100.151675</v>
      </c>
      <c r="G60" s="9">
        <v>4.5707960000000002E-3</v>
      </c>
      <c r="H60" s="97"/>
    </row>
    <row r="61" spans="1:8" x14ac:dyDescent="0.2">
      <c r="A61" s="5">
        <v>55</v>
      </c>
      <c r="B61" s="6" t="s">
        <v>245</v>
      </c>
      <c r="C61" s="6" t="s">
        <v>246</v>
      </c>
      <c r="D61" s="6" t="s">
        <v>247</v>
      </c>
      <c r="E61" s="7">
        <v>45036</v>
      </c>
      <c r="F61" s="8">
        <v>98.178479999999993</v>
      </c>
      <c r="G61" s="9">
        <v>4.4807420000000002E-3</v>
      </c>
      <c r="H61" s="97"/>
    </row>
    <row r="62" spans="1:8" ht="25.5" x14ac:dyDescent="0.2">
      <c r="A62" s="5">
        <v>56</v>
      </c>
      <c r="B62" s="6" t="s">
        <v>248</v>
      </c>
      <c r="C62" s="6" t="s">
        <v>249</v>
      </c>
      <c r="D62" s="6" t="s">
        <v>202</v>
      </c>
      <c r="E62" s="7">
        <v>22502</v>
      </c>
      <c r="F62" s="8">
        <v>96.589834999999994</v>
      </c>
      <c r="G62" s="9">
        <v>4.4082380000000001E-3</v>
      </c>
      <c r="H62" s="97"/>
    </row>
    <row r="63" spans="1:8" x14ac:dyDescent="0.2">
      <c r="A63" s="5">
        <v>57</v>
      </c>
      <c r="B63" s="6" t="s">
        <v>51</v>
      </c>
      <c r="C63" s="6" t="s">
        <v>52</v>
      </c>
      <c r="D63" s="6" t="s">
        <v>53</v>
      </c>
      <c r="E63" s="7">
        <v>45310</v>
      </c>
      <c r="F63" s="8">
        <v>78.522229999999993</v>
      </c>
      <c r="G63" s="9">
        <v>3.5836549999999998E-3</v>
      </c>
      <c r="H63" s="97"/>
    </row>
    <row r="64" spans="1:8" x14ac:dyDescent="0.2">
      <c r="A64" s="5">
        <v>58</v>
      </c>
      <c r="B64" s="6" t="s">
        <v>250</v>
      </c>
      <c r="C64" s="6" t="s">
        <v>251</v>
      </c>
      <c r="D64" s="6" t="s">
        <v>193</v>
      </c>
      <c r="E64" s="7">
        <v>27599</v>
      </c>
      <c r="F64" s="8">
        <v>76.159440500000002</v>
      </c>
      <c r="G64" s="9">
        <v>3.4758200000000001E-3</v>
      </c>
      <c r="H64" s="97"/>
    </row>
    <row r="65" spans="1:8" x14ac:dyDescent="0.2">
      <c r="A65" s="5">
        <v>59</v>
      </c>
      <c r="B65" s="6" t="s">
        <v>252</v>
      </c>
      <c r="C65" s="6" t="s">
        <v>253</v>
      </c>
      <c r="D65" s="6" t="s">
        <v>60</v>
      </c>
      <c r="E65" s="7">
        <v>35000</v>
      </c>
      <c r="F65" s="8">
        <v>74.077500000000001</v>
      </c>
      <c r="G65" s="9">
        <v>3.3808029999999999E-3</v>
      </c>
      <c r="H65" s="97"/>
    </row>
    <row r="66" spans="1:8" x14ac:dyDescent="0.2">
      <c r="A66" s="5">
        <v>60</v>
      </c>
      <c r="B66" s="6" t="s">
        <v>254</v>
      </c>
      <c r="C66" s="6" t="s">
        <v>255</v>
      </c>
      <c r="D66" s="6" t="s">
        <v>185</v>
      </c>
      <c r="E66" s="7">
        <v>6312</v>
      </c>
      <c r="F66" s="8">
        <v>65.821535999999995</v>
      </c>
      <c r="G66" s="9">
        <v>3.0040119999999999E-3</v>
      </c>
      <c r="H66" s="97"/>
    </row>
    <row r="67" spans="1:8" x14ac:dyDescent="0.2">
      <c r="A67" s="5">
        <v>61</v>
      </c>
      <c r="B67" s="6" t="s">
        <v>256</v>
      </c>
      <c r="C67" s="6" t="s">
        <v>257</v>
      </c>
      <c r="D67" s="6" t="s">
        <v>238</v>
      </c>
      <c r="E67" s="7">
        <v>6172</v>
      </c>
      <c r="F67" s="8">
        <v>38.553398000000001</v>
      </c>
      <c r="G67" s="9">
        <v>1.759528E-3</v>
      </c>
      <c r="H67" s="97"/>
    </row>
    <row r="68" spans="1:8" x14ac:dyDescent="0.2">
      <c r="A68" s="3"/>
      <c r="B68" s="3"/>
      <c r="C68" s="4" t="s">
        <v>97</v>
      </c>
      <c r="D68" s="3"/>
      <c r="E68" s="3" t="s">
        <v>98</v>
      </c>
      <c r="F68" s="11">
        <v>14846.495628000001</v>
      </c>
      <c r="G68" s="12">
        <v>0.67757526499999998</v>
      </c>
      <c r="H68" s="97"/>
    </row>
    <row r="69" spans="1:8" x14ac:dyDescent="0.2">
      <c r="A69" s="3"/>
      <c r="B69" s="3"/>
      <c r="C69" s="13"/>
      <c r="D69" s="3"/>
      <c r="E69" s="3"/>
      <c r="F69" s="14"/>
      <c r="G69" s="14"/>
      <c r="H69" s="97"/>
    </row>
    <row r="70" spans="1:8" x14ac:dyDescent="0.2">
      <c r="A70" s="3"/>
      <c r="B70" s="3"/>
      <c r="C70" s="4" t="s">
        <v>99</v>
      </c>
      <c r="D70" s="3"/>
      <c r="E70" s="3"/>
      <c r="F70" s="3"/>
      <c r="G70" s="3"/>
      <c r="H70" s="97"/>
    </row>
    <row r="71" spans="1:8" x14ac:dyDescent="0.2">
      <c r="A71" s="3"/>
      <c r="B71" s="3"/>
      <c r="C71" s="4" t="s">
        <v>97</v>
      </c>
      <c r="D71" s="3"/>
      <c r="E71" s="3" t="s">
        <v>98</v>
      </c>
      <c r="F71" s="15">
        <v>0</v>
      </c>
      <c r="G71" s="16">
        <v>0</v>
      </c>
      <c r="H71" s="97"/>
    </row>
    <row r="72" spans="1:8" x14ac:dyDescent="0.2">
      <c r="A72" s="3"/>
      <c r="B72" s="3"/>
      <c r="C72" s="13"/>
      <c r="D72" s="3"/>
      <c r="E72" s="3"/>
      <c r="F72" s="14"/>
      <c r="G72" s="14"/>
      <c r="H72" s="97"/>
    </row>
    <row r="73" spans="1:8" x14ac:dyDescent="0.2">
      <c r="A73" s="3"/>
      <c r="B73" s="3"/>
      <c r="C73" s="4" t="s">
        <v>100</v>
      </c>
      <c r="D73" s="3"/>
      <c r="E73" s="3"/>
      <c r="F73" s="3"/>
      <c r="G73" s="3"/>
      <c r="H73" s="97"/>
    </row>
    <row r="74" spans="1:8" x14ac:dyDescent="0.2">
      <c r="A74" s="3"/>
      <c r="B74" s="3"/>
      <c r="C74" s="4" t="s">
        <v>97</v>
      </c>
      <c r="D74" s="3"/>
      <c r="E74" s="3" t="s">
        <v>98</v>
      </c>
      <c r="F74" s="15">
        <v>0</v>
      </c>
      <c r="G74" s="16">
        <v>0</v>
      </c>
      <c r="H74" s="97"/>
    </row>
    <row r="75" spans="1:8" x14ac:dyDescent="0.2">
      <c r="A75" s="3"/>
      <c r="B75" s="3"/>
      <c r="C75" s="13"/>
      <c r="D75" s="3"/>
      <c r="E75" s="3"/>
      <c r="F75" s="14"/>
      <c r="G75" s="14"/>
      <c r="H75" s="97"/>
    </row>
    <row r="76" spans="1:8" x14ac:dyDescent="0.2">
      <c r="A76" s="3"/>
      <c r="B76" s="3"/>
      <c r="C76" s="4" t="s">
        <v>101</v>
      </c>
      <c r="D76" s="3"/>
      <c r="E76" s="3"/>
      <c r="F76" s="3"/>
      <c r="G76" s="3"/>
      <c r="H76" s="97"/>
    </row>
    <row r="77" spans="1:8" x14ac:dyDescent="0.2">
      <c r="A77" s="3"/>
      <c r="B77" s="3"/>
      <c r="C77" s="4" t="s">
        <v>97</v>
      </c>
      <c r="D77" s="3"/>
      <c r="E77" s="3" t="s">
        <v>98</v>
      </c>
      <c r="F77" s="15">
        <v>0</v>
      </c>
      <c r="G77" s="16">
        <v>0</v>
      </c>
      <c r="H77" s="97"/>
    </row>
    <row r="78" spans="1:8" x14ac:dyDescent="0.2">
      <c r="A78" s="3"/>
      <c r="B78" s="3"/>
      <c r="C78" s="13"/>
      <c r="D78" s="3"/>
      <c r="E78" s="3"/>
      <c r="F78" s="14"/>
      <c r="G78" s="14"/>
      <c r="H78" s="97"/>
    </row>
    <row r="79" spans="1:8" x14ac:dyDescent="0.2">
      <c r="A79" s="3"/>
      <c r="B79" s="3"/>
      <c r="C79" s="4" t="s">
        <v>102</v>
      </c>
      <c r="D79" s="3"/>
      <c r="E79" s="3"/>
      <c r="F79" s="14"/>
      <c r="G79" s="14"/>
      <c r="H79" s="97"/>
    </row>
    <row r="80" spans="1:8" x14ac:dyDescent="0.2">
      <c r="A80" s="3"/>
      <c r="B80" s="3"/>
      <c r="C80" s="4" t="s">
        <v>97</v>
      </c>
      <c r="D80" s="3"/>
      <c r="E80" s="3" t="s">
        <v>98</v>
      </c>
      <c r="F80" s="15">
        <v>0</v>
      </c>
      <c r="G80" s="16">
        <v>0</v>
      </c>
      <c r="H80" s="97"/>
    </row>
    <row r="81" spans="1:8" x14ac:dyDescent="0.2">
      <c r="A81" s="3"/>
      <c r="B81" s="3"/>
      <c r="C81" s="13"/>
      <c r="D81" s="3"/>
      <c r="E81" s="3"/>
      <c r="F81" s="14"/>
      <c r="G81" s="14"/>
      <c r="H81" s="97"/>
    </row>
    <row r="82" spans="1:8" x14ac:dyDescent="0.2">
      <c r="A82" s="3"/>
      <c r="B82" s="3"/>
      <c r="C82" s="4" t="s">
        <v>103</v>
      </c>
      <c r="D82" s="3"/>
      <c r="E82" s="3"/>
      <c r="F82" s="14"/>
      <c r="G82" s="14"/>
      <c r="H82" s="97"/>
    </row>
    <row r="83" spans="1:8" x14ac:dyDescent="0.2">
      <c r="A83" s="3"/>
      <c r="B83" s="3"/>
      <c r="C83" s="4" t="s">
        <v>97</v>
      </c>
      <c r="D83" s="3"/>
      <c r="E83" s="3" t="s">
        <v>98</v>
      </c>
      <c r="F83" s="15">
        <v>0</v>
      </c>
      <c r="G83" s="16">
        <v>0</v>
      </c>
      <c r="H83" s="97"/>
    </row>
    <row r="84" spans="1:8" x14ac:dyDescent="0.2">
      <c r="A84" s="3"/>
      <c r="B84" s="3"/>
      <c r="C84" s="13"/>
      <c r="D84" s="3"/>
      <c r="E84" s="3"/>
      <c r="F84" s="14"/>
      <c r="G84" s="14"/>
      <c r="H84" s="97"/>
    </row>
    <row r="85" spans="1:8" x14ac:dyDescent="0.2">
      <c r="A85" s="3"/>
      <c r="B85" s="3"/>
      <c r="C85" s="4" t="s">
        <v>104</v>
      </c>
      <c r="D85" s="3"/>
      <c r="E85" s="3"/>
      <c r="F85" s="11">
        <v>14846.495628000001</v>
      </c>
      <c r="G85" s="12">
        <v>0.67757526499999998</v>
      </c>
      <c r="H85" s="97"/>
    </row>
    <row r="86" spans="1:8" x14ac:dyDescent="0.2">
      <c r="A86" s="3"/>
      <c r="B86" s="3"/>
      <c r="C86" s="13"/>
      <c r="D86" s="3"/>
      <c r="E86" s="3"/>
      <c r="F86" s="14"/>
      <c r="G86" s="14"/>
      <c r="H86" s="97"/>
    </row>
    <row r="87" spans="1:8" x14ac:dyDescent="0.2">
      <c r="A87" s="3"/>
      <c r="B87" s="3"/>
      <c r="C87" s="4" t="s">
        <v>105</v>
      </c>
      <c r="D87" s="3"/>
      <c r="E87" s="3"/>
      <c r="F87" s="14"/>
      <c r="G87" s="14"/>
      <c r="H87" s="97"/>
    </row>
    <row r="88" spans="1:8" ht="25.5" x14ac:dyDescent="0.2">
      <c r="A88" s="3"/>
      <c r="B88" s="3"/>
      <c r="C88" s="4" t="s">
        <v>10</v>
      </c>
      <c r="D88" s="3"/>
      <c r="E88" s="3"/>
      <c r="F88" s="14"/>
      <c r="G88" s="14"/>
      <c r="H88" s="97"/>
    </row>
    <row r="89" spans="1:8" x14ac:dyDescent="0.2">
      <c r="A89" s="3"/>
      <c r="B89" s="3"/>
      <c r="C89" s="4" t="s">
        <v>97</v>
      </c>
      <c r="D89" s="3"/>
      <c r="E89" s="3" t="s">
        <v>98</v>
      </c>
      <c r="F89" s="15">
        <v>0</v>
      </c>
      <c r="G89" s="16">
        <v>0</v>
      </c>
      <c r="H89" s="97"/>
    </row>
    <row r="90" spans="1:8" x14ac:dyDescent="0.2">
      <c r="A90" s="3"/>
      <c r="B90" s="3"/>
      <c r="C90" s="13"/>
      <c r="D90" s="3"/>
      <c r="E90" s="3"/>
      <c r="F90" s="14"/>
      <c r="G90" s="14"/>
      <c r="H90" s="97"/>
    </row>
    <row r="91" spans="1:8" x14ac:dyDescent="0.2">
      <c r="A91" s="3"/>
      <c r="B91" s="3"/>
      <c r="C91" s="4" t="s">
        <v>106</v>
      </c>
      <c r="D91" s="3"/>
      <c r="E91" s="3"/>
      <c r="F91" s="3"/>
      <c r="G91" s="3"/>
      <c r="H91" s="97"/>
    </row>
    <row r="92" spans="1:8" x14ac:dyDescent="0.2">
      <c r="A92" s="3"/>
      <c r="B92" s="3"/>
      <c r="C92" s="4" t="s">
        <v>97</v>
      </c>
      <c r="D92" s="3"/>
      <c r="E92" s="3" t="s">
        <v>98</v>
      </c>
      <c r="F92" s="15">
        <v>0</v>
      </c>
      <c r="G92" s="16">
        <v>0</v>
      </c>
      <c r="H92" s="97"/>
    </row>
    <row r="93" spans="1:8" x14ac:dyDescent="0.2">
      <c r="A93" s="3"/>
      <c r="B93" s="3"/>
      <c r="C93" s="13"/>
      <c r="D93" s="3"/>
      <c r="E93" s="3"/>
      <c r="F93" s="14"/>
      <c r="G93" s="14"/>
      <c r="H93" s="97"/>
    </row>
    <row r="94" spans="1:8" x14ac:dyDescent="0.2">
      <c r="A94" s="3"/>
      <c r="B94" s="3"/>
      <c r="C94" s="4" t="s">
        <v>107</v>
      </c>
      <c r="D94" s="3"/>
      <c r="E94" s="3"/>
      <c r="F94" s="3"/>
      <c r="G94" s="3"/>
      <c r="H94" s="97"/>
    </row>
    <row r="95" spans="1:8" x14ac:dyDescent="0.2">
      <c r="A95" s="3"/>
      <c r="B95" s="3"/>
      <c r="C95" s="4" t="s">
        <v>97</v>
      </c>
      <c r="D95" s="3"/>
      <c r="E95" s="3" t="s">
        <v>98</v>
      </c>
      <c r="F95" s="15">
        <v>0</v>
      </c>
      <c r="G95" s="16">
        <v>0</v>
      </c>
      <c r="H95" s="97"/>
    </row>
    <row r="96" spans="1:8" x14ac:dyDescent="0.2">
      <c r="A96" s="3"/>
      <c r="B96" s="3"/>
      <c r="C96" s="13"/>
      <c r="D96" s="3"/>
      <c r="E96" s="3"/>
      <c r="F96" s="14"/>
      <c r="G96" s="14"/>
      <c r="H96" s="97"/>
    </row>
    <row r="97" spans="1:8" x14ac:dyDescent="0.2">
      <c r="A97" s="3"/>
      <c r="B97" s="3"/>
      <c r="C97" s="4" t="s">
        <v>108</v>
      </c>
      <c r="D97" s="3"/>
      <c r="E97" s="3"/>
      <c r="F97" s="14"/>
      <c r="G97" s="14"/>
      <c r="H97" s="97"/>
    </row>
    <row r="98" spans="1:8" x14ac:dyDescent="0.2">
      <c r="A98" s="3"/>
      <c r="B98" s="3"/>
      <c r="C98" s="4" t="s">
        <v>97</v>
      </c>
      <c r="D98" s="3"/>
      <c r="E98" s="3" t="s">
        <v>98</v>
      </c>
      <c r="F98" s="15">
        <v>0</v>
      </c>
      <c r="G98" s="16">
        <v>0</v>
      </c>
      <c r="H98" s="97"/>
    </row>
    <row r="99" spans="1:8" x14ac:dyDescent="0.2">
      <c r="A99" s="3"/>
      <c r="B99" s="3"/>
      <c r="C99" s="13"/>
      <c r="D99" s="3"/>
      <c r="E99" s="3"/>
      <c r="F99" s="14"/>
      <c r="G99" s="14"/>
      <c r="H99" s="97"/>
    </row>
    <row r="100" spans="1:8" x14ac:dyDescent="0.2">
      <c r="A100" s="3"/>
      <c r="B100" s="3"/>
      <c r="C100" s="4" t="s">
        <v>109</v>
      </c>
      <c r="D100" s="3"/>
      <c r="E100" s="3"/>
      <c r="F100" s="11">
        <v>0</v>
      </c>
      <c r="G100" s="12">
        <v>0</v>
      </c>
      <c r="H100" s="97"/>
    </row>
    <row r="101" spans="1:8" x14ac:dyDescent="0.2">
      <c r="A101" s="3"/>
      <c r="B101" s="3"/>
      <c r="C101" s="13"/>
      <c r="D101" s="3"/>
      <c r="E101" s="3"/>
      <c r="F101" s="14"/>
      <c r="G101" s="14"/>
      <c r="H101" s="97"/>
    </row>
    <row r="102" spans="1:8" x14ac:dyDescent="0.2">
      <c r="A102" s="3"/>
      <c r="B102" s="3"/>
      <c r="C102" s="4" t="s">
        <v>110</v>
      </c>
      <c r="D102" s="3"/>
      <c r="E102" s="3"/>
      <c r="F102" s="14"/>
      <c r="G102" s="14"/>
      <c r="H102" s="97"/>
    </row>
    <row r="103" spans="1:8" x14ac:dyDescent="0.2">
      <c r="A103" s="3"/>
      <c r="B103" s="3"/>
      <c r="C103" s="4" t="s">
        <v>111</v>
      </c>
      <c r="D103" s="3"/>
      <c r="E103" s="3"/>
      <c r="F103" s="14"/>
      <c r="G103" s="14"/>
      <c r="H103" s="97"/>
    </row>
    <row r="104" spans="1:8" x14ac:dyDescent="0.2">
      <c r="A104" s="3"/>
      <c r="B104" s="3"/>
      <c r="C104" s="4" t="s">
        <v>97</v>
      </c>
      <c r="D104" s="3"/>
      <c r="E104" s="3" t="s">
        <v>98</v>
      </c>
      <c r="F104" s="15">
        <v>0</v>
      </c>
      <c r="G104" s="16">
        <v>0</v>
      </c>
      <c r="H104" s="97"/>
    </row>
    <row r="105" spans="1:8" x14ac:dyDescent="0.2">
      <c r="A105" s="3"/>
      <c r="B105" s="3"/>
      <c r="C105" s="13"/>
      <c r="D105" s="3"/>
      <c r="E105" s="3"/>
      <c r="F105" s="14"/>
      <c r="G105" s="14"/>
      <c r="H105" s="97"/>
    </row>
    <row r="106" spans="1:8" x14ac:dyDescent="0.2">
      <c r="A106" s="3"/>
      <c r="B106" s="3"/>
      <c r="C106" s="4" t="s">
        <v>112</v>
      </c>
      <c r="D106" s="3"/>
      <c r="E106" s="3"/>
      <c r="F106" s="14"/>
      <c r="G106" s="14"/>
      <c r="H106" s="97"/>
    </row>
    <row r="107" spans="1:8" x14ac:dyDescent="0.2">
      <c r="A107" s="3"/>
      <c r="B107" s="3"/>
      <c r="C107" s="4" t="s">
        <v>97</v>
      </c>
      <c r="D107" s="3"/>
      <c r="E107" s="3" t="s">
        <v>98</v>
      </c>
      <c r="F107" s="15">
        <v>0</v>
      </c>
      <c r="G107" s="16">
        <v>0</v>
      </c>
      <c r="H107" s="97"/>
    </row>
    <row r="108" spans="1:8" x14ac:dyDescent="0.2">
      <c r="A108" s="3"/>
      <c r="B108" s="3"/>
      <c r="C108" s="13"/>
      <c r="D108" s="3"/>
      <c r="E108" s="3"/>
      <c r="F108" s="14"/>
      <c r="G108" s="14"/>
      <c r="H108" s="97"/>
    </row>
    <row r="109" spans="1:8" x14ac:dyDescent="0.2">
      <c r="A109" s="3"/>
      <c r="B109" s="3"/>
      <c r="C109" s="4" t="s">
        <v>113</v>
      </c>
      <c r="D109" s="3"/>
      <c r="E109" s="3"/>
      <c r="F109" s="14"/>
      <c r="G109" s="14"/>
      <c r="H109" s="97"/>
    </row>
    <row r="110" spans="1:8" x14ac:dyDescent="0.2">
      <c r="A110" s="3"/>
      <c r="B110" s="3"/>
      <c r="C110" s="4" t="s">
        <v>97</v>
      </c>
      <c r="D110" s="3"/>
      <c r="E110" s="3" t="s">
        <v>98</v>
      </c>
      <c r="F110" s="15">
        <v>0</v>
      </c>
      <c r="G110" s="16">
        <v>0</v>
      </c>
      <c r="H110" s="97"/>
    </row>
    <row r="111" spans="1:8" x14ac:dyDescent="0.2">
      <c r="A111" s="3"/>
      <c r="B111" s="3"/>
      <c r="C111" s="13"/>
      <c r="D111" s="3"/>
      <c r="E111" s="3"/>
      <c r="F111" s="14"/>
      <c r="G111" s="14"/>
      <c r="H111" s="97"/>
    </row>
    <row r="112" spans="1:8" x14ac:dyDescent="0.2">
      <c r="A112" s="3"/>
      <c r="B112" s="3"/>
      <c r="C112" s="4" t="s">
        <v>114</v>
      </c>
      <c r="D112" s="3"/>
      <c r="E112" s="3"/>
      <c r="F112" s="14"/>
      <c r="G112" s="14"/>
      <c r="H112" s="97"/>
    </row>
    <row r="113" spans="1:8" x14ac:dyDescent="0.2">
      <c r="A113" s="5">
        <v>1</v>
      </c>
      <c r="B113" s="6"/>
      <c r="C113" s="6" t="s">
        <v>115</v>
      </c>
      <c r="D113" s="6"/>
      <c r="E113" s="10"/>
      <c r="F113" s="8">
        <v>4287.8174552999999</v>
      </c>
      <c r="G113" s="9">
        <v>0.19569056100000001</v>
      </c>
      <c r="H113" s="8">
        <v>3.4504560529072292</v>
      </c>
    </row>
    <row r="114" spans="1:8" x14ac:dyDescent="0.2">
      <c r="A114" s="5">
        <v>2</v>
      </c>
      <c r="B114" s="6"/>
      <c r="C114" s="6" t="s">
        <v>116</v>
      </c>
      <c r="D114" s="6"/>
      <c r="E114" s="10"/>
      <c r="F114" s="8">
        <v>2314.1671673000001</v>
      </c>
      <c r="G114" s="9">
        <v>0.10561566</v>
      </c>
      <c r="H114" s="8">
        <v>3.5655822479098256</v>
      </c>
    </row>
    <row r="115" spans="1:8" x14ac:dyDescent="0.2">
      <c r="A115" s="3"/>
      <c r="B115" s="3"/>
      <c r="C115" s="4" t="s">
        <v>97</v>
      </c>
      <c r="D115" s="3"/>
      <c r="E115" s="3" t="s">
        <v>98</v>
      </c>
      <c r="F115" s="11">
        <v>6601.9846226</v>
      </c>
      <c r="G115" s="12">
        <v>0.30130622099999999</v>
      </c>
      <c r="H115" s="97"/>
    </row>
    <row r="116" spans="1:8" x14ac:dyDescent="0.2">
      <c r="A116" s="3"/>
      <c r="B116" s="3"/>
      <c r="C116" s="13"/>
      <c r="D116" s="3"/>
      <c r="E116" s="3"/>
      <c r="F116" s="14"/>
      <c r="G116" s="14"/>
      <c r="H116" s="97"/>
    </row>
    <row r="117" spans="1:8" x14ac:dyDescent="0.2">
      <c r="A117" s="3"/>
      <c r="B117" s="3"/>
      <c r="C117" s="4" t="s">
        <v>117</v>
      </c>
      <c r="D117" s="3"/>
      <c r="E117" s="3"/>
      <c r="F117" s="11">
        <v>6601.9846226</v>
      </c>
      <c r="G117" s="12">
        <v>0.30130622099999999</v>
      </c>
      <c r="H117" s="97"/>
    </row>
    <row r="118" spans="1:8" x14ac:dyDescent="0.2">
      <c r="A118" s="3"/>
      <c r="B118" s="3"/>
      <c r="C118" s="14"/>
      <c r="D118" s="3"/>
      <c r="E118" s="3"/>
      <c r="F118" s="3"/>
      <c r="G118" s="3"/>
      <c r="H118" s="97"/>
    </row>
    <row r="119" spans="1:8" x14ac:dyDescent="0.2">
      <c r="A119" s="3"/>
      <c r="B119" s="3"/>
      <c r="C119" s="4" t="s">
        <v>118</v>
      </c>
      <c r="D119" s="3"/>
      <c r="E119" s="3"/>
      <c r="F119" s="3"/>
      <c r="G119" s="3"/>
      <c r="H119" s="97"/>
    </row>
    <row r="120" spans="1:8" x14ac:dyDescent="0.2">
      <c r="A120" s="3"/>
      <c r="B120" s="3"/>
      <c r="C120" s="4" t="s">
        <v>119</v>
      </c>
      <c r="D120" s="3"/>
      <c r="E120" s="3"/>
      <c r="F120" s="3"/>
      <c r="G120" s="3"/>
      <c r="H120" s="97"/>
    </row>
    <row r="121" spans="1:8" x14ac:dyDescent="0.2">
      <c r="A121" s="3"/>
      <c r="B121" s="3"/>
      <c r="C121" s="4" t="s">
        <v>97</v>
      </c>
      <c r="D121" s="3"/>
      <c r="E121" s="3" t="s">
        <v>98</v>
      </c>
      <c r="F121" s="15">
        <v>0</v>
      </c>
      <c r="G121" s="16">
        <v>0</v>
      </c>
      <c r="H121" s="97"/>
    </row>
    <row r="122" spans="1:8" x14ac:dyDescent="0.2">
      <c r="A122" s="3"/>
      <c r="B122" s="3"/>
      <c r="C122" s="13"/>
      <c r="D122" s="3"/>
      <c r="E122" s="3"/>
      <c r="F122" s="14"/>
      <c r="G122" s="14"/>
      <c r="H122" s="97"/>
    </row>
    <row r="123" spans="1:8" x14ac:dyDescent="0.2">
      <c r="A123" s="3"/>
      <c r="B123" s="3"/>
      <c r="C123" s="4" t="s">
        <v>120</v>
      </c>
      <c r="D123" s="3"/>
      <c r="E123" s="3"/>
      <c r="F123" s="3"/>
      <c r="G123" s="3"/>
      <c r="H123" s="97"/>
    </row>
    <row r="124" spans="1:8" x14ac:dyDescent="0.2">
      <c r="A124" s="3"/>
      <c r="B124" s="3"/>
      <c r="C124" s="4" t="s">
        <v>121</v>
      </c>
      <c r="D124" s="3"/>
      <c r="E124" s="3"/>
      <c r="F124" s="3"/>
      <c r="G124" s="3"/>
      <c r="H124" s="97"/>
    </row>
    <row r="125" spans="1:8" x14ac:dyDescent="0.2">
      <c r="A125" s="3"/>
      <c r="B125" s="3"/>
      <c r="C125" s="4" t="s">
        <v>97</v>
      </c>
      <c r="D125" s="3"/>
      <c r="E125" s="3" t="s">
        <v>98</v>
      </c>
      <c r="F125" s="15">
        <v>0</v>
      </c>
      <c r="G125" s="16">
        <v>0</v>
      </c>
      <c r="H125" s="97"/>
    </row>
    <row r="126" spans="1:8" x14ac:dyDescent="0.2">
      <c r="A126" s="3"/>
      <c r="B126" s="3"/>
      <c r="C126" s="13"/>
      <c r="D126" s="3"/>
      <c r="E126" s="3"/>
      <c r="F126" s="14"/>
      <c r="G126" s="14"/>
      <c r="H126" s="97"/>
    </row>
    <row r="127" spans="1:8" x14ac:dyDescent="0.2">
      <c r="A127" s="3"/>
      <c r="B127" s="3"/>
      <c r="C127" s="13"/>
      <c r="D127" s="3"/>
      <c r="E127" s="3"/>
      <c r="F127" s="14"/>
      <c r="G127" s="14"/>
      <c r="H127" s="97"/>
    </row>
    <row r="128" spans="1:8" ht="25.5" x14ac:dyDescent="0.2">
      <c r="A128" s="3"/>
      <c r="B128" s="3"/>
      <c r="C128" s="4" t="s">
        <v>122</v>
      </c>
      <c r="D128" s="3"/>
      <c r="E128" s="3"/>
      <c r="F128" s="14"/>
      <c r="G128" s="14"/>
      <c r="H128" s="97"/>
    </row>
    <row r="129" spans="1:8" x14ac:dyDescent="0.2">
      <c r="A129" s="3"/>
      <c r="B129" s="3"/>
      <c r="C129" s="4" t="s">
        <v>97</v>
      </c>
      <c r="D129" s="3"/>
      <c r="E129" s="3" t="s">
        <v>98</v>
      </c>
      <c r="F129" s="15">
        <v>0</v>
      </c>
      <c r="G129" s="16">
        <v>0</v>
      </c>
      <c r="H129" s="97"/>
    </row>
    <row r="130" spans="1:8" x14ac:dyDescent="0.2">
      <c r="A130" s="3"/>
      <c r="B130" s="3"/>
      <c r="C130" s="13"/>
      <c r="D130" s="3"/>
      <c r="E130" s="3"/>
      <c r="F130" s="14"/>
      <c r="G130" s="14"/>
      <c r="H130" s="97"/>
    </row>
    <row r="131" spans="1:8" x14ac:dyDescent="0.2">
      <c r="A131" s="3"/>
      <c r="B131" s="6"/>
      <c r="C131" s="6"/>
      <c r="D131" s="4"/>
      <c r="E131" s="3"/>
      <c r="F131" s="6"/>
      <c r="G131" s="10"/>
      <c r="H131" s="97"/>
    </row>
    <row r="132" spans="1:8" x14ac:dyDescent="0.2">
      <c r="A132" s="10"/>
      <c r="B132" s="6"/>
      <c r="C132" s="6" t="s">
        <v>123</v>
      </c>
      <c r="D132" s="6"/>
      <c r="E132" s="10"/>
      <c r="F132" s="8">
        <v>462.73220479999998</v>
      </c>
      <c r="G132" s="9">
        <v>2.1118511999999999E-2</v>
      </c>
      <c r="H132" s="97"/>
    </row>
    <row r="133" spans="1:8" x14ac:dyDescent="0.2">
      <c r="A133" s="13"/>
      <c r="B133" s="13"/>
      <c r="C133" s="4" t="s">
        <v>124</v>
      </c>
      <c r="D133" s="17"/>
      <c r="E133" s="17"/>
      <c r="F133" s="11">
        <v>21911.2124554</v>
      </c>
      <c r="G133" s="12">
        <v>0.99999999799999995</v>
      </c>
      <c r="H133" s="97"/>
    </row>
    <row r="134" spans="1:8" ht="14.1" customHeight="1" x14ac:dyDescent="0.2">
      <c r="A134" s="20"/>
      <c r="B134" s="226" t="s">
        <v>98</v>
      </c>
      <c r="C134" s="226"/>
      <c r="D134" s="226"/>
      <c r="E134" s="226"/>
      <c r="F134" s="226"/>
      <c r="G134" s="22"/>
    </row>
    <row r="135" spans="1:8" ht="14.1" customHeight="1" x14ac:dyDescent="0.2">
      <c r="A135" s="20"/>
      <c r="B135" s="20"/>
      <c r="C135" s="20"/>
      <c r="D135" s="22"/>
      <c r="E135" s="22"/>
      <c r="F135" s="22"/>
      <c r="G135" s="22"/>
    </row>
    <row r="136" spans="1:8" ht="14.1" customHeight="1" x14ac:dyDescent="0.2">
      <c r="A136" s="20"/>
      <c r="B136" s="224" t="s">
        <v>126</v>
      </c>
      <c r="C136" s="225"/>
      <c r="D136" s="14" t="s">
        <v>98</v>
      </c>
      <c r="E136" s="23"/>
      <c r="F136" s="22"/>
      <c r="G136" s="22"/>
    </row>
    <row r="137" spans="1:8" ht="29.1" customHeight="1" x14ac:dyDescent="0.2">
      <c r="A137" s="20"/>
      <c r="B137" s="231" t="s">
        <v>127</v>
      </c>
      <c r="C137" s="232"/>
      <c r="D137" s="4" t="s">
        <v>128</v>
      </c>
      <c r="E137" s="23"/>
      <c r="F137" s="22"/>
      <c r="G137" s="22"/>
    </row>
    <row r="138" spans="1:8" ht="17.100000000000001" customHeight="1" x14ac:dyDescent="0.2">
      <c r="A138" s="20"/>
      <c r="B138" s="231" t="s">
        <v>129</v>
      </c>
      <c r="C138" s="232"/>
      <c r="D138" s="4" t="s">
        <v>128</v>
      </c>
      <c r="E138" s="23"/>
      <c r="F138" s="22"/>
      <c r="G138" s="22"/>
    </row>
    <row r="139" spans="1:8" ht="17.100000000000001" customHeight="1" x14ac:dyDescent="0.2">
      <c r="A139" s="20"/>
      <c r="B139" s="231" t="s">
        <v>130</v>
      </c>
      <c r="C139" s="232"/>
      <c r="D139" s="14" t="s">
        <v>98</v>
      </c>
      <c r="E139" s="23"/>
      <c r="F139" s="22"/>
      <c r="G139" s="22"/>
    </row>
    <row r="140" spans="1:8" ht="24" customHeight="1" x14ac:dyDescent="0.2">
      <c r="A140" s="24"/>
      <c r="B140" s="25" t="s">
        <v>98</v>
      </c>
      <c r="C140" s="25" t="s">
        <v>131</v>
      </c>
      <c r="D140" s="25" t="s">
        <v>132</v>
      </c>
      <c r="E140" s="24"/>
      <c r="F140" s="24"/>
      <c r="G140" s="24"/>
    </row>
    <row r="141" spans="1:8" ht="18" customHeight="1" x14ac:dyDescent="0.2">
      <c r="A141" s="24"/>
      <c r="B141" s="25" t="s">
        <v>133</v>
      </c>
      <c r="C141" s="25" t="s">
        <v>134</v>
      </c>
      <c r="D141" s="25" t="s">
        <v>135</v>
      </c>
      <c r="E141" s="24"/>
      <c r="F141" s="24"/>
      <c r="G141" s="24"/>
    </row>
    <row r="142" spans="1:8" x14ac:dyDescent="0.2">
      <c r="A142" s="24"/>
      <c r="B142" s="6" t="s">
        <v>136</v>
      </c>
      <c r="C142" s="26">
        <v>16.584800000000001</v>
      </c>
      <c r="D142" s="26">
        <v>16.976800000000001</v>
      </c>
      <c r="E142" s="24"/>
      <c r="F142" s="21"/>
      <c r="G142" s="27"/>
    </row>
    <row r="143" spans="1:8" x14ac:dyDescent="0.2">
      <c r="A143" s="24"/>
      <c r="B143" s="6" t="s">
        <v>1201</v>
      </c>
      <c r="C143" s="26">
        <v>16.584800000000001</v>
      </c>
      <c r="D143" s="26">
        <v>16.976800000000001</v>
      </c>
      <c r="E143" s="24"/>
      <c r="F143" s="21"/>
      <c r="G143" s="27"/>
    </row>
    <row r="144" spans="1:8" x14ac:dyDescent="0.2">
      <c r="A144" s="24"/>
      <c r="B144" s="6" t="s">
        <v>137</v>
      </c>
      <c r="C144" s="26">
        <v>16.118600000000001</v>
      </c>
      <c r="D144" s="26">
        <v>16.4909</v>
      </c>
      <c r="E144" s="24"/>
      <c r="F144" s="21"/>
      <c r="G144" s="27"/>
    </row>
    <row r="145" spans="1:17" x14ac:dyDescent="0.2">
      <c r="A145" s="24"/>
      <c r="B145" s="6" t="s">
        <v>1202</v>
      </c>
      <c r="C145" s="26">
        <v>16.118600000000001</v>
      </c>
      <c r="D145" s="26">
        <v>16.4909</v>
      </c>
      <c r="E145" s="24"/>
      <c r="F145" s="21"/>
      <c r="G145" s="27"/>
    </row>
    <row r="146" spans="1:17" ht="14.1" customHeight="1" x14ac:dyDescent="0.2">
      <c r="A146" s="24"/>
      <c r="B146" s="24"/>
      <c r="C146" s="24"/>
      <c r="D146" s="24"/>
      <c r="E146" s="24"/>
      <c r="F146" s="24"/>
      <c r="G146" s="24"/>
    </row>
    <row r="147" spans="1:17" ht="17.100000000000001" customHeight="1" x14ac:dyDescent="0.2">
      <c r="A147" s="24"/>
      <c r="B147" s="231" t="s">
        <v>1203</v>
      </c>
      <c r="C147" s="232"/>
      <c r="D147" s="4" t="s">
        <v>128</v>
      </c>
      <c r="E147" s="24"/>
      <c r="F147" s="24"/>
      <c r="G147" s="24"/>
    </row>
    <row r="148" spans="1:17" ht="18" customHeight="1" x14ac:dyDescent="0.2">
      <c r="A148" s="24"/>
      <c r="B148" s="28"/>
      <c r="C148" s="28"/>
      <c r="D148" s="29"/>
      <c r="E148" s="24"/>
      <c r="F148" s="24"/>
      <c r="G148" s="24"/>
    </row>
    <row r="149" spans="1:17" s="87" customFormat="1" x14ac:dyDescent="0.2">
      <c r="B149" s="233" t="s">
        <v>1207</v>
      </c>
      <c r="C149" s="233"/>
      <c r="D149" s="233"/>
      <c r="E149" s="233"/>
      <c r="F149" s="233"/>
      <c r="I149"/>
      <c r="J149"/>
      <c r="K149"/>
      <c r="L149"/>
      <c r="M149"/>
      <c r="N149"/>
      <c r="O149"/>
      <c r="P149"/>
      <c r="Q149" s="69"/>
    </row>
    <row r="150" spans="1:17" ht="14.1" customHeight="1" x14ac:dyDescent="0.2">
      <c r="A150" s="24"/>
      <c r="B150" s="21"/>
      <c r="C150" s="21"/>
      <c r="D150" s="24"/>
      <c r="E150" s="24"/>
      <c r="F150" s="24"/>
      <c r="G150" s="24"/>
    </row>
    <row r="151" spans="1:17" ht="29.1" customHeight="1" x14ac:dyDescent="0.2">
      <c r="A151" s="24"/>
      <c r="B151" s="231" t="s">
        <v>138</v>
      </c>
      <c r="C151" s="232"/>
      <c r="D151" s="4" t="s">
        <v>128</v>
      </c>
      <c r="E151" s="24"/>
      <c r="F151" s="24"/>
      <c r="G151" s="24"/>
    </row>
    <row r="152" spans="1:17" ht="29.1" customHeight="1" x14ac:dyDescent="0.2">
      <c r="A152" s="24"/>
      <c r="B152" s="231" t="s">
        <v>139</v>
      </c>
      <c r="C152" s="232"/>
      <c r="D152" s="4" t="s">
        <v>128</v>
      </c>
      <c r="E152" s="24"/>
      <c r="F152" s="24"/>
      <c r="G152" s="24"/>
    </row>
    <row r="153" spans="1:17" x14ac:dyDescent="0.2">
      <c r="A153" s="24"/>
      <c r="B153" s="231" t="s">
        <v>140</v>
      </c>
      <c r="C153" s="232"/>
      <c r="D153" s="30">
        <v>0.39219544635496206</v>
      </c>
      <c r="E153" s="24"/>
      <c r="F153" s="21"/>
      <c r="G153" s="27"/>
    </row>
    <row r="154" spans="1:17" x14ac:dyDescent="0.2">
      <c r="A154" s="24"/>
      <c r="B154" s="231" t="s">
        <v>141</v>
      </c>
      <c r="C154" s="232"/>
      <c r="D154" s="4" t="s">
        <v>128</v>
      </c>
      <c r="E154" s="24"/>
      <c r="F154" s="24"/>
      <c r="G154" s="24"/>
    </row>
    <row r="165" spans="9:16" x14ac:dyDescent="0.2">
      <c r="I165" s="87"/>
      <c r="J165" s="87"/>
      <c r="K165" s="87"/>
      <c r="L165" s="87"/>
      <c r="M165" s="87"/>
      <c r="N165" s="87"/>
      <c r="O165" s="87"/>
      <c r="P165" s="87"/>
    </row>
  </sheetData>
  <mergeCells count="15">
    <mergeCell ref="B153:C153"/>
    <mergeCell ref="B154:C154"/>
    <mergeCell ref="B137:C137"/>
    <mergeCell ref="B138:C138"/>
    <mergeCell ref="B139:C139"/>
    <mergeCell ref="B147:C147"/>
    <mergeCell ref="B151:C151"/>
    <mergeCell ref="B152:C152"/>
    <mergeCell ref="B149:F149"/>
    <mergeCell ref="J2:N2"/>
    <mergeCell ref="B136:C136"/>
    <mergeCell ref="B134:F134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outlinePr summaryBelow="0" summaryRight="0"/>
  </sheetPr>
  <dimension ref="A1:Q166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6" ht="15" x14ac:dyDescent="0.2">
      <c r="A1" s="227" t="s">
        <v>0</v>
      </c>
      <c r="B1" s="227"/>
      <c r="C1" s="227"/>
      <c r="D1" s="227"/>
      <c r="E1" s="227"/>
      <c r="F1" s="227"/>
      <c r="G1" s="227"/>
      <c r="H1" s="227"/>
    </row>
    <row r="2" spans="1:16" s="87" customFormat="1" ht="15" x14ac:dyDescent="0.2">
      <c r="A2" s="228" t="s">
        <v>258</v>
      </c>
      <c r="B2" s="229"/>
      <c r="C2" s="229"/>
      <c r="D2" s="229"/>
      <c r="E2" s="229"/>
      <c r="F2" s="229"/>
      <c r="G2" s="229"/>
      <c r="H2" s="230"/>
      <c r="I2"/>
      <c r="J2" s="223" t="s">
        <v>1238</v>
      </c>
      <c r="K2" s="223"/>
      <c r="L2" s="223"/>
      <c r="M2" s="223"/>
      <c r="N2" s="223"/>
      <c r="O2"/>
      <c r="P2"/>
    </row>
    <row r="3" spans="1:16" ht="15" x14ac:dyDescent="0.2">
      <c r="A3" s="227" t="s">
        <v>1208</v>
      </c>
      <c r="B3" s="227"/>
      <c r="C3" s="227"/>
      <c r="D3" s="227"/>
      <c r="E3" s="227"/>
      <c r="F3" s="227"/>
      <c r="G3" s="227"/>
      <c r="H3" s="227"/>
    </row>
    <row r="4" spans="1:16" s="113" customFormat="1" ht="30" x14ac:dyDescent="0.2">
      <c r="A4" s="1" t="s">
        <v>2</v>
      </c>
      <c r="B4" s="1" t="s">
        <v>3</v>
      </c>
      <c r="C4" s="1" t="s">
        <v>4</v>
      </c>
      <c r="D4" s="1" t="s">
        <v>5</v>
      </c>
      <c r="E4" s="2" t="s">
        <v>6</v>
      </c>
      <c r="F4" s="2" t="s">
        <v>7</v>
      </c>
      <c r="G4" s="2" t="s">
        <v>8</v>
      </c>
      <c r="H4" s="96" t="s">
        <v>1167</v>
      </c>
      <c r="I4" s="183"/>
      <c r="J4" s="183"/>
      <c r="K4" s="183"/>
      <c r="L4" s="183"/>
      <c r="M4" s="183"/>
      <c r="N4" s="183"/>
      <c r="O4" s="183"/>
      <c r="P4" s="183"/>
    </row>
    <row r="5" spans="1:16" ht="14.1" customHeight="1" x14ac:dyDescent="0.2">
      <c r="A5" s="3"/>
      <c r="B5" s="3"/>
      <c r="C5" s="4" t="s">
        <v>9</v>
      </c>
      <c r="D5" s="3"/>
      <c r="E5" s="3"/>
      <c r="F5" s="3"/>
      <c r="G5" s="3"/>
      <c r="H5" s="97"/>
    </row>
    <row r="6" spans="1:16" ht="24" customHeight="1" x14ac:dyDescent="0.2">
      <c r="A6" s="3"/>
      <c r="B6" s="3"/>
      <c r="C6" s="4" t="s">
        <v>10</v>
      </c>
      <c r="D6" s="3"/>
      <c r="E6" s="3"/>
      <c r="F6" s="3"/>
      <c r="G6" s="3"/>
      <c r="H6" s="97"/>
    </row>
    <row r="7" spans="1:16" ht="25.5" x14ac:dyDescent="0.2">
      <c r="A7" s="5">
        <v>1</v>
      </c>
      <c r="B7" s="6" t="s">
        <v>143</v>
      </c>
      <c r="C7" s="6" t="s">
        <v>144</v>
      </c>
      <c r="D7" s="6" t="s">
        <v>45</v>
      </c>
      <c r="E7" s="7">
        <v>333052</v>
      </c>
      <c r="F7" s="8">
        <v>647.95266600000002</v>
      </c>
      <c r="G7" s="9">
        <v>3.0673490000000001E-2</v>
      </c>
      <c r="H7" s="97"/>
    </row>
    <row r="8" spans="1:16" x14ac:dyDescent="0.2">
      <c r="A8" s="5">
        <v>2</v>
      </c>
      <c r="B8" s="6" t="s">
        <v>74</v>
      </c>
      <c r="C8" s="6" t="s">
        <v>75</v>
      </c>
      <c r="D8" s="6" t="s">
        <v>70</v>
      </c>
      <c r="E8" s="7">
        <v>135398</v>
      </c>
      <c r="F8" s="8">
        <v>568.40080399999999</v>
      </c>
      <c r="G8" s="9">
        <v>2.6907576999999998E-2</v>
      </c>
      <c r="H8" s="97"/>
    </row>
    <row r="9" spans="1:16" x14ac:dyDescent="0.2">
      <c r="A9" s="5">
        <v>3</v>
      </c>
      <c r="B9" s="6" t="s">
        <v>145</v>
      </c>
      <c r="C9" s="6" t="s">
        <v>146</v>
      </c>
      <c r="D9" s="6" t="s">
        <v>147</v>
      </c>
      <c r="E9" s="7">
        <v>10499</v>
      </c>
      <c r="F9" s="8">
        <v>514.90770650000002</v>
      </c>
      <c r="G9" s="9">
        <v>2.4375263000000001E-2</v>
      </c>
      <c r="H9" s="97"/>
    </row>
    <row r="10" spans="1:16" x14ac:dyDescent="0.2">
      <c r="A10" s="5">
        <v>4</v>
      </c>
      <c r="B10" s="6" t="s">
        <v>148</v>
      </c>
      <c r="C10" s="6" t="s">
        <v>149</v>
      </c>
      <c r="D10" s="6" t="s">
        <v>70</v>
      </c>
      <c r="E10" s="7">
        <v>83037</v>
      </c>
      <c r="F10" s="8">
        <v>496.47822300000001</v>
      </c>
      <c r="G10" s="9">
        <v>2.3502828E-2</v>
      </c>
      <c r="H10" s="97"/>
    </row>
    <row r="11" spans="1:16" x14ac:dyDescent="0.2">
      <c r="A11" s="5">
        <v>5</v>
      </c>
      <c r="B11" s="6" t="s">
        <v>150</v>
      </c>
      <c r="C11" s="6" t="s">
        <v>151</v>
      </c>
      <c r="D11" s="6" t="s">
        <v>81</v>
      </c>
      <c r="E11" s="7">
        <v>412563</v>
      </c>
      <c r="F11" s="8">
        <v>457.32608549999998</v>
      </c>
      <c r="G11" s="9">
        <v>2.1649400999999999E-2</v>
      </c>
      <c r="H11" s="97"/>
    </row>
    <row r="12" spans="1:16" x14ac:dyDescent="0.2">
      <c r="A12" s="5">
        <v>6</v>
      </c>
      <c r="B12" s="6" t="s">
        <v>164</v>
      </c>
      <c r="C12" s="6" t="s">
        <v>165</v>
      </c>
      <c r="D12" s="6" t="s">
        <v>19</v>
      </c>
      <c r="E12" s="7">
        <v>37877</v>
      </c>
      <c r="F12" s="8">
        <v>442.42229850000001</v>
      </c>
      <c r="G12" s="9">
        <v>2.0943869E-2</v>
      </c>
      <c r="H12" s="97"/>
    </row>
    <row r="13" spans="1:16" x14ac:dyDescent="0.2">
      <c r="A13" s="5">
        <v>7</v>
      </c>
      <c r="B13" s="6" t="s">
        <v>162</v>
      </c>
      <c r="C13" s="6" t="s">
        <v>163</v>
      </c>
      <c r="D13" s="6" t="s">
        <v>1190</v>
      </c>
      <c r="E13" s="7">
        <v>180631</v>
      </c>
      <c r="F13" s="8">
        <v>423.037802</v>
      </c>
      <c r="G13" s="9">
        <v>2.0026225000000002E-2</v>
      </c>
      <c r="H13" s="97"/>
    </row>
    <row r="14" spans="1:16" x14ac:dyDescent="0.2">
      <c r="A14" s="5">
        <v>8</v>
      </c>
      <c r="B14" s="6" t="s">
        <v>152</v>
      </c>
      <c r="C14" s="6" t="s">
        <v>153</v>
      </c>
      <c r="D14" s="6" t="s">
        <v>1184</v>
      </c>
      <c r="E14" s="7">
        <v>34884</v>
      </c>
      <c r="F14" s="8">
        <v>412.34632199999999</v>
      </c>
      <c r="G14" s="9">
        <v>1.9520099999999999E-2</v>
      </c>
      <c r="H14" s="97"/>
    </row>
    <row r="15" spans="1:16" ht="25.5" x14ac:dyDescent="0.2">
      <c r="A15" s="5">
        <v>9</v>
      </c>
      <c r="B15" s="6" t="s">
        <v>37</v>
      </c>
      <c r="C15" s="6" t="s">
        <v>38</v>
      </c>
      <c r="D15" s="6" t="s">
        <v>1185</v>
      </c>
      <c r="E15" s="7">
        <v>11486</v>
      </c>
      <c r="F15" s="8">
        <v>390.39191099999999</v>
      </c>
      <c r="G15" s="9">
        <v>1.8480798E-2</v>
      </c>
      <c r="H15" s="97"/>
    </row>
    <row r="16" spans="1:16" ht="15" x14ac:dyDescent="0.2">
      <c r="A16" s="5">
        <v>10</v>
      </c>
      <c r="B16" s="6" t="s">
        <v>156</v>
      </c>
      <c r="C16" s="6" t="s">
        <v>157</v>
      </c>
      <c r="D16" s="6" t="s">
        <v>19</v>
      </c>
      <c r="E16" s="7">
        <v>51692</v>
      </c>
      <c r="F16" s="8">
        <v>374.94792200000001</v>
      </c>
      <c r="G16" s="9">
        <v>1.7749694E-2</v>
      </c>
      <c r="H16" s="97"/>
      <c r="J16" s="184" t="s">
        <v>1243</v>
      </c>
    </row>
    <row r="17" spans="1:8" x14ac:dyDescent="0.2">
      <c r="A17" s="5">
        <v>11</v>
      </c>
      <c r="B17" s="6" t="s">
        <v>154</v>
      </c>
      <c r="C17" s="6" t="s">
        <v>155</v>
      </c>
      <c r="D17" s="6" t="s">
        <v>147</v>
      </c>
      <c r="E17" s="7">
        <v>31200</v>
      </c>
      <c r="F17" s="8">
        <v>351.76440000000002</v>
      </c>
      <c r="G17" s="9">
        <v>1.6652206999999999E-2</v>
      </c>
      <c r="H17" s="97"/>
    </row>
    <row r="18" spans="1:8" x14ac:dyDescent="0.2">
      <c r="A18" s="5">
        <v>12</v>
      </c>
      <c r="B18" s="6" t="s">
        <v>158</v>
      </c>
      <c r="C18" s="6" t="s">
        <v>159</v>
      </c>
      <c r="D18" s="6" t="s">
        <v>1187</v>
      </c>
      <c r="E18" s="7">
        <v>27555</v>
      </c>
      <c r="F18" s="8">
        <v>335.93678249999999</v>
      </c>
      <c r="G18" s="9">
        <v>1.5902942E-2</v>
      </c>
      <c r="H18" s="97"/>
    </row>
    <row r="19" spans="1:8" x14ac:dyDescent="0.2">
      <c r="A19" s="5">
        <v>13</v>
      </c>
      <c r="B19" s="6" t="s">
        <v>160</v>
      </c>
      <c r="C19" s="6" t="s">
        <v>161</v>
      </c>
      <c r="D19" s="6" t="s">
        <v>147</v>
      </c>
      <c r="E19" s="7">
        <v>32149</v>
      </c>
      <c r="F19" s="8">
        <v>328.88427000000001</v>
      </c>
      <c r="G19" s="9">
        <v>1.5569082E-2</v>
      </c>
      <c r="H19" s="97"/>
    </row>
    <row r="20" spans="1:8" x14ac:dyDescent="0.2">
      <c r="A20" s="5">
        <v>14</v>
      </c>
      <c r="B20" s="6" t="s">
        <v>203</v>
      </c>
      <c r="C20" s="6" t="s">
        <v>204</v>
      </c>
      <c r="D20" s="6" t="s">
        <v>81</v>
      </c>
      <c r="E20" s="7">
        <v>41673</v>
      </c>
      <c r="F20" s="8">
        <v>322.63236599999999</v>
      </c>
      <c r="G20" s="9">
        <v>1.5273123E-2</v>
      </c>
      <c r="H20" s="97"/>
    </row>
    <row r="21" spans="1:8" x14ac:dyDescent="0.2">
      <c r="A21" s="5">
        <v>15</v>
      </c>
      <c r="B21" s="6" t="s">
        <v>17</v>
      </c>
      <c r="C21" s="6" t="s">
        <v>18</v>
      </c>
      <c r="D21" s="6" t="s">
        <v>19</v>
      </c>
      <c r="E21" s="7">
        <v>16683</v>
      </c>
      <c r="F21" s="8">
        <v>319.81310999999999</v>
      </c>
      <c r="G21" s="9">
        <v>1.5139662E-2</v>
      </c>
      <c r="H21" s="97"/>
    </row>
    <row r="22" spans="1:8" x14ac:dyDescent="0.2">
      <c r="A22" s="5">
        <v>16</v>
      </c>
      <c r="B22" s="6" t="s">
        <v>166</v>
      </c>
      <c r="C22" s="6" t="s">
        <v>167</v>
      </c>
      <c r="D22" s="6" t="s">
        <v>1186</v>
      </c>
      <c r="E22" s="7">
        <v>88565</v>
      </c>
      <c r="F22" s="8">
        <v>312.94442750000002</v>
      </c>
      <c r="G22" s="9">
        <v>1.4814505E-2</v>
      </c>
      <c r="H22" s="97"/>
    </row>
    <row r="23" spans="1:8" x14ac:dyDescent="0.2">
      <c r="A23" s="5">
        <v>17</v>
      </c>
      <c r="B23" s="6" t="s">
        <v>41</v>
      </c>
      <c r="C23" s="6" t="s">
        <v>42</v>
      </c>
      <c r="D23" s="6" t="s">
        <v>19</v>
      </c>
      <c r="E23" s="7">
        <v>25282</v>
      </c>
      <c r="F23" s="8">
        <v>308.50360499999999</v>
      </c>
      <c r="G23" s="9">
        <v>1.4604280000000001E-2</v>
      </c>
      <c r="H23" s="97"/>
    </row>
    <row r="24" spans="1:8" x14ac:dyDescent="0.2">
      <c r="A24" s="5">
        <v>18</v>
      </c>
      <c r="B24" s="6" t="s">
        <v>172</v>
      </c>
      <c r="C24" s="6" t="s">
        <v>173</v>
      </c>
      <c r="D24" s="6" t="s">
        <v>174</v>
      </c>
      <c r="E24" s="7">
        <v>128415</v>
      </c>
      <c r="F24" s="8">
        <v>306.97605750000002</v>
      </c>
      <c r="G24" s="9">
        <v>1.4531967E-2</v>
      </c>
      <c r="H24" s="97"/>
    </row>
    <row r="25" spans="1:8" x14ac:dyDescent="0.2">
      <c r="A25" s="5">
        <v>19</v>
      </c>
      <c r="B25" s="6" t="s">
        <v>183</v>
      </c>
      <c r="C25" s="6" t="s">
        <v>184</v>
      </c>
      <c r="D25" s="6" t="s">
        <v>185</v>
      </c>
      <c r="E25" s="7">
        <v>23264</v>
      </c>
      <c r="F25" s="8">
        <v>298.58180800000002</v>
      </c>
      <c r="G25" s="9">
        <v>1.4134591E-2</v>
      </c>
      <c r="H25" s="97"/>
    </row>
    <row r="26" spans="1:8" x14ac:dyDescent="0.2">
      <c r="A26" s="5">
        <v>20</v>
      </c>
      <c r="B26" s="6" t="s">
        <v>168</v>
      </c>
      <c r="C26" s="6" t="s">
        <v>169</v>
      </c>
      <c r="D26" s="6" t="s">
        <v>81</v>
      </c>
      <c r="E26" s="7">
        <v>468917</v>
      </c>
      <c r="F26" s="8">
        <v>295.41771</v>
      </c>
      <c r="G26" s="9">
        <v>1.3984806000000001E-2</v>
      </c>
      <c r="H26" s="97"/>
    </row>
    <row r="27" spans="1:8" x14ac:dyDescent="0.2">
      <c r="A27" s="5">
        <v>21</v>
      </c>
      <c r="B27" s="6" t="s">
        <v>170</v>
      </c>
      <c r="C27" s="6" t="s">
        <v>171</v>
      </c>
      <c r="D27" s="6" t="s">
        <v>70</v>
      </c>
      <c r="E27" s="7">
        <v>29640</v>
      </c>
      <c r="F27" s="8">
        <v>288.33792</v>
      </c>
      <c r="G27" s="9">
        <v>1.3649655E-2</v>
      </c>
      <c r="H27" s="97"/>
    </row>
    <row r="28" spans="1:8" ht="25.5" x14ac:dyDescent="0.2">
      <c r="A28" s="5">
        <v>22</v>
      </c>
      <c r="B28" s="6" t="s">
        <v>207</v>
      </c>
      <c r="C28" s="6" t="s">
        <v>208</v>
      </c>
      <c r="D28" s="6" t="s">
        <v>45</v>
      </c>
      <c r="E28" s="7">
        <v>128577</v>
      </c>
      <c r="F28" s="8">
        <v>285.82667099999998</v>
      </c>
      <c r="G28" s="9">
        <v>1.3530775E-2</v>
      </c>
      <c r="H28" s="97"/>
    </row>
    <row r="29" spans="1:8" x14ac:dyDescent="0.2">
      <c r="A29" s="5">
        <v>23</v>
      </c>
      <c r="B29" s="6" t="s">
        <v>175</v>
      </c>
      <c r="C29" s="6" t="s">
        <v>176</v>
      </c>
      <c r="D29" s="6" t="s">
        <v>16</v>
      </c>
      <c r="E29" s="7">
        <v>95230</v>
      </c>
      <c r="F29" s="8">
        <v>278.40490499999999</v>
      </c>
      <c r="G29" s="9">
        <v>1.3179435E-2</v>
      </c>
      <c r="H29" s="97"/>
    </row>
    <row r="30" spans="1:8" ht="25.5" x14ac:dyDescent="0.2">
      <c r="A30" s="5">
        <v>24</v>
      </c>
      <c r="B30" s="6" t="s">
        <v>177</v>
      </c>
      <c r="C30" s="6" t="s">
        <v>178</v>
      </c>
      <c r="D30" s="6" t="s">
        <v>1185</v>
      </c>
      <c r="E30" s="7">
        <v>120862</v>
      </c>
      <c r="F30" s="8">
        <v>273.57113700000002</v>
      </c>
      <c r="G30" s="9">
        <v>1.2950609E-2</v>
      </c>
      <c r="H30" s="97"/>
    </row>
    <row r="31" spans="1:8" x14ac:dyDescent="0.2">
      <c r="A31" s="5">
        <v>25</v>
      </c>
      <c r="B31" s="6" t="s">
        <v>179</v>
      </c>
      <c r="C31" s="6" t="s">
        <v>180</v>
      </c>
      <c r="D31" s="6" t="s">
        <v>53</v>
      </c>
      <c r="E31" s="7">
        <v>270092</v>
      </c>
      <c r="F31" s="8">
        <v>271.57750600000003</v>
      </c>
      <c r="G31" s="9">
        <v>1.2856232E-2</v>
      </c>
      <c r="H31" s="97"/>
    </row>
    <row r="32" spans="1:8" x14ac:dyDescent="0.2">
      <c r="A32" s="5">
        <v>26</v>
      </c>
      <c r="B32" s="6" t="s">
        <v>259</v>
      </c>
      <c r="C32" s="6" t="s">
        <v>260</v>
      </c>
      <c r="D32" s="6" t="s">
        <v>34</v>
      </c>
      <c r="E32" s="7">
        <v>70480</v>
      </c>
      <c r="F32" s="8">
        <v>263.98284000000001</v>
      </c>
      <c r="G32" s="9">
        <v>1.2496708E-2</v>
      </c>
      <c r="H32" s="97"/>
    </row>
    <row r="33" spans="1:8" x14ac:dyDescent="0.2">
      <c r="A33" s="5">
        <v>27</v>
      </c>
      <c r="B33" s="6" t="s">
        <v>191</v>
      </c>
      <c r="C33" s="6" t="s">
        <v>192</v>
      </c>
      <c r="D33" s="6" t="s">
        <v>193</v>
      </c>
      <c r="E33" s="7">
        <v>57066</v>
      </c>
      <c r="F33" s="8">
        <v>259.25083799999999</v>
      </c>
      <c r="G33" s="9">
        <v>1.2272699E-2</v>
      </c>
      <c r="H33" s="97"/>
    </row>
    <row r="34" spans="1:8" x14ac:dyDescent="0.2">
      <c r="A34" s="5">
        <v>28</v>
      </c>
      <c r="B34" s="6" t="s">
        <v>181</v>
      </c>
      <c r="C34" s="6" t="s">
        <v>182</v>
      </c>
      <c r="D34" s="6" t="s">
        <v>1189</v>
      </c>
      <c r="E34" s="7">
        <v>30000</v>
      </c>
      <c r="F34" s="8">
        <v>256.90499999999997</v>
      </c>
      <c r="G34" s="9">
        <v>1.2161649E-2</v>
      </c>
      <c r="H34" s="97"/>
    </row>
    <row r="35" spans="1:8" x14ac:dyDescent="0.2">
      <c r="A35" s="5">
        <v>29</v>
      </c>
      <c r="B35" s="6" t="s">
        <v>194</v>
      </c>
      <c r="C35" s="6" t="s">
        <v>195</v>
      </c>
      <c r="D35" s="6" t="s">
        <v>53</v>
      </c>
      <c r="E35" s="7">
        <v>25533</v>
      </c>
      <c r="F35" s="8">
        <v>251.5894155</v>
      </c>
      <c r="G35" s="9">
        <v>1.1910014E-2</v>
      </c>
      <c r="H35" s="97"/>
    </row>
    <row r="36" spans="1:8" x14ac:dyDescent="0.2">
      <c r="A36" s="5">
        <v>30</v>
      </c>
      <c r="B36" s="6" t="s">
        <v>186</v>
      </c>
      <c r="C36" s="6" t="s">
        <v>187</v>
      </c>
      <c r="D36" s="6" t="s">
        <v>19</v>
      </c>
      <c r="E36" s="7">
        <v>12546</v>
      </c>
      <c r="F36" s="8">
        <v>249.43329900000001</v>
      </c>
      <c r="G36" s="9">
        <v>1.1807946E-2</v>
      </c>
      <c r="H36" s="97"/>
    </row>
    <row r="37" spans="1:8" x14ac:dyDescent="0.2">
      <c r="A37" s="5">
        <v>31</v>
      </c>
      <c r="B37" s="6" t="s">
        <v>188</v>
      </c>
      <c r="C37" s="6" t="s">
        <v>189</v>
      </c>
      <c r="D37" s="6" t="s">
        <v>190</v>
      </c>
      <c r="E37" s="7">
        <v>53909</v>
      </c>
      <c r="F37" s="8">
        <v>247.95444549999999</v>
      </c>
      <c r="G37" s="9">
        <v>1.1737938E-2</v>
      </c>
      <c r="H37" s="97"/>
    </row>
    <row r="38" spans="1:8" x14ac:dyDescent="0.2">
      <c r="A38" s="5">
        <v>32</v>
      </c>
      <c r="B38" s="6" t="s">
        <v>196</v>
      </c>
      <c r="C38" s="6" t="s">
        <v>197</v>
      </c>
      <c r="D38" s="6" t="s">
        <v>81</v>
      </c>
      <c r="E38" s="7">
        <v>43018</v>
      </c>
      <c r="F38" s="8">
        <v>237.868031</v>
      </c>
      <c r="G38" s="9">
        <v>1.1260456E-2</v>
      </c>
      <c r="H38" s="97"/>
    </row>
    <row r="39" spans="1:8" ht="25.5" x14ac:dyDescent="0.2">
      <c r="A39" s="5">
        <v>33</v>
      </c>
      <c r="B39" s="6" t="s">
        <v>200</v>
      </c>
      <c r="C39" s="6" t="s">
        <v>201</v>
      </c>
      <c r="D39" s="6" t="s">
        <v>202</v>
      </c>
      <c r="E39" s="7">
        <v>57162</v>
      </c>
      <c r="F39" s="8">
        <v>233.16379800000001</v>
      </c>
      <c r="G39" s="9">
        <v>1.1037762E-2</v>
      </c>
      <c r="H39" s="97"/>
    </row>
    <row r="40" spans="1:8" x14ac:dyDescent="0.2">
      <c r="A40" s="5">
        <v>34</v>
      </c>
      <c r="B40" s="6" t="s">
        <v>205</v>
      </c>
      <c r="C40" s="6" t="s">
        <v>206</v>
      </c>
      <c r="D40" s="6" t="s">
        <v>1187</v>
      </c>
      <c r="E40" s="7">
        <v>40424</v>
      </c>
      <c r="F40" s="8">
        <v>227.324364</v>
      </c>
      <c r="G40" s="9">
        <v>1.0761329E-2</v>
      </c>
      <c r="H40" s="97"/>
    </row>
    <row r="41" spans="1:8" x14ac:dyDescent="0.2">
      <c r="A41" s="5">
        <v>35</v>
      </c>
      <c r="B41" s="6" t="s">
        <v>209</v>
      </c>
      <c r="C41" s="6" t="s">
        <v>210</v>
      </c>
      <c r="D41" s="6" t="s">
        <v>193</v>
      </c>
      <c r="E41" s="7">
        <v>38836</v>
      </c>
      <c r="F41" s="8">
        <v>209.287204</v>
      </c>
      <c r="G41" s="9">
        <v>9.9074660000000002E-3</v>
      </c>
      <c r="H41" s="97"/>
    </row>
    <row r="42" spans="1:8" ht="25.5" x14ac:dyDescent="0.2">
      <c r="A42" s="5">
        <v>36</v>
      </c>
      <c r="B42" s="6" t="s">
        <v>214</v>
      </c>
      <c r="C42" s="6" t="s">
        <v>215</v>
      </c>
      <c r="D42" s="6" t="s">
        <v>70</v>
      </c>
      <c r="E42" s="7">
        <v>10136</v>
      </c>
      <c r="F42" s="8">
        <v>200.22654399999999</v>
      </c>
      <c r="G42" s="9">
        <v>9.4785430000000007E-3</v>
      </c>
      <c r="H42" s="97"/>
    </row>
    <row r="43" spans="1:8" ht="25.5" x14ac:dyDescent="0.2">
      <c r="A43" s="5">
        <v>37</v>
      </c>
      <c r="B43" s="6" t="s">
        <v>211</v>
      </c>
      <c r="C43" s="6" t="s">
        <v>212</v>
      </c>
      <c r="D43" s="6" t="s">
        <v>202</v>
      </c>
      <c r="E43" s="7">
        <v>44258</v>
      </c>
      <c r="F43" s="8">
        <v>199.75848300000001</v>
      </c>
      <c r="G43" s="9">
        <v>9.4563849999999994E-3</v>
      </c>
      <c r="H43" s="97"/>
    </row>
    <row r="44" spans="1:8" x14ac:dyDescent="0.2">
      <c r="A44" s="5">
        <v>38</v>
      </c>
      <c r="B44" s="6" t="s">
        <v>261</v>
      </c>
      <c r="C44" s="6" t="s">
        <v>262</v>
      </c>
      <c r="D44" s="6" t="s">
        <v>238</v>
      </c>
      <c r="E44" s="7">
        <v>27084</v>
      </c>
      <c r="F44" s="8">
        <v>196.80588599999999</v>
      </c>
      <c r="G44" s="9">
        <v>9.3166120000000002E-3</v>
      </c>
      <c r="H44" s="97"/>
    </row>
    <row r="45" spans="1:8" x14ac:dyDescent="0.2">
      <c r="A45" s="5">
        <v>39</v>
      </c>
      <c r="B45" s="6" t="s">
        <v>84</v>
      </c>
      <c r="C45" s="6" t="s">
        <v>85</v>
      </c>
      <c r="D45" s="6" t="s">
        <v>53</v>
      </c>
      <c r="E45" s="7">
        <v>39662</v>
      </c>
      <c r="F45" s="8">
        <v>194.46278599999999</v>
      </c>
      <c r="G45" s="9">
        <v>9.2056910000000002E-3</v>
      </c>
      <c r="H45" s="97"/>
    </row>
    <row r="46" spans="1:8" x14ac:dyDescent="0.2">
      <c r="A46" s="5">
        <v>40</v>
      </c>
      <c r="B46" s="6" t="s">
        <v>216</v>
      </c>
      <c r="C46" s="6" t="s">
        <v>217</v>
      </c>
      <c r="D46" s="6" t="s">
        <v>1184</v>
      </c>
      <c r="E46" s="7">
        <v>12282</v>
      </c>
      <c r="F46" s="8">
        <v>194.399496</v>
      </c>
      <c r="G46" s="9">
        <v>9.2026950000000003E-3</v>
      </c>
      <c r="H46" s="97"/>
    </row>
    <row r="47" spans="1:8" x14ac:dyDescent="0.2">
      <c r="A47" s="5">
        <v>41</v>
      </c>
      <c r="B47" s="6" t="s">
        <v>222</v>
      </c>
      <c r="C47" s="6" t="s">
        <v>223</v>
      </c>
      <c r="D47" s="6" t="s">
        <v>70</v>
      </c>
      <c r="E47" s="7">
        <v>73734</v>
      </c>
      <c r="F47" s="8">
        <v>194.21535600000001</v>
      </c>
      <c r="G47" s="9">
        <v>9.1939780000000002E-3</v>
      </c>
      <c r="H47" s="97"/>
    </row>
    <row r="48" spans="1:8" x14ac:dyDescent="0.2">
      <c r="A48" s="5">
        <v>42</v>
      </c>
      <c r="B48" s="6" t="s">
        <v>218</v>
      </c>
      <c r="C48" s="6" t="s">
        <v>219</v>
      </c>
      <c r="D48" s="6" t="s">
        <v>193</v>
      </c>
      <c r="E48" s="7">
        <v>10907</v>
      </c>
      <c r="F48" s="8">
        <v>194.11187899999999</v>
      </c>
      <c r="G48" s="9">
        <v>9.1890800000000005E-3</v>
      </c>
      <c r="H48" s="97"/>
    </row>
    <row r="49" spans="1:8" x14ac:dyDescent="0.2">
      <c r="A49" s="5">
        <v>43</v>
      </c>
      <c r="B49" s="6" t="s">
        <v>68</v>
      </c>
      <c r="C49" s="6" t="s">
        <v>69</v>
      </c>
      <c r="D49" s="6" t="s">
        <v>70</v>
      </c>
      <c r="E49" s="7">
        <v>5600</v>
      </c>
      <c r="F49" s="8">
        <v>185.7072</v>
      </c>
      <c r="G49" s="9">
        <v>8.7912100000000007E-3</v>
      </c>
      <c r="H49" s="97"/>
    </row>
    <row r="50" spans="1:8" ht="25.5" x14ac:dyDescent="0.2">
      <c r="A50" s="5">
        <v>44</v>
      </c>
      <c r="B50" s="6" t="s">
        <v>226</v>
      </c>
      <c r="C50" s="6" t="s">
        <v>227</v>
      </c>
      <c r="D50" s="6" t="s">
        <v>1191</v>
      </c>
      <c r="E50" s="7">
        <v>183660</v>
      </c>
      <c r="F50" s="8">
        <v>162.99825000000001</v>
      </c>
      <c r="G50" s="9">
        <v>7.716189E-3</v>
      </c>
      <c r="H50" s="97"/>
    </row>
    <row r="51" spans="1:8" x14ac:dyDescent="0.2">
      <c r="A51" s="5">
        <v>45</v>
      </c>
      <c r="B51" s="6" t="s">
        <v>220</v>
      </c>
      <c r="C51" s="6" t="s">
        <v>221</v>
      </c>
      <c r="D51" s="6" t="s">
        <v>193</v>
      </c>
      <c r="E51" s="7">
        <v>32168</v>
      </c>
      <c r="F51" s="8">
        <v>158.66865999999999</v>
      </c>
      <c r="G51" s="9">
        <v>7.5112299999999998E-3</v>
      </c>
      <c r="H51" s="97"/>
    </row>
    <row r="52" spans="1:8" x14ac:dyDescent="0.2">
      <c r="A52" s="5">
        <v>46</v>
      </c>
      <c r="B52" s="6" t="s">
        <v>236</v>
      </c>
      <c r="C52" s="6" t="s">
        <v>237</v>
      </c>
      <c r="D52" s="6" t="s">
        <v>238</v>
      </c>
      <c r="E52" s="7">
        <v>42494</v>
      </c>
      <c r="F52" s="8">
        <v>155.74051</v>
      </c>
      <c r="G52" s="9">
        <v>7.3726140000000004E-3</v>
      </c>
      <c r="H52" s="97"/>
    </row>
    <row r="53" spans="1:8" x14ac:dyDescent="0.2">
      <c r="A53" s="5">
        <v>47</v>
      </c>
      <c r="B53" s="6" t="s">
        <v>224</v>
      </c>
      <c r="C53" s="6" t="s">
        <v>225</v>
      </c>
      <c r="D53" s="6" t="s">
        <v>34</v>
      </c>
      <c r="E53" s="7">
        <v>142112</v>
      </c>
      <c r="F53" s="8">
        <v>154.97313600000001</v>
      </c>
      <c r="G53" s="9">
        <v>7.3362870000000004E-3</v>
      </c>
      <c r="H53" s="97"/>
    </row>
    <row r="54" spans="1:8" x14ac:dyDescent="0.2">
      <c r="A54" s="5">
        <v>48</v>
      </c>
      <c r="B54" s="6" t="s">
        <v>263</v>
      </c>
      <c r="C54" s="6" t="s">
        <v>264</v>
      </c>
      <c r="D54" s="6" t="s">
        <v>147</v>
      </c>
      <c r="E54" s="7">
        <v>24778</v>
      </c>
      <c r="F54" s="8">
        <v>151.87675100000001</v>
      </c>
      <c r="G54" s="9">
        <v>7.189707E-3</v>
      </c>
      <c r="H54" s="97"/>
    </row>
    <row r="55" spans="1:8" x14ac:dyDescent="0.2">
      <c r="A55" s="5">
        <v>49</v>
      </c>
      <c r="B55" s="6" t="s">
        <v>228</v>
      </c>
      <c r="C55" s="6" t="s">
        <v>229</v>
      </c>
      <c r="D55" s="6" t="s">
        <v>327</v>
      </c>
      <c r="E55" s="7">
        <v>16232</v>
      </c>
      <c r="F55" s="8">
        <v>137.696056</v>
      </c>
      <c r="G55" s="9">
        <v>6.518406E-3</v>
      </c>
      <c r="H55" s="97"/>
    </row>
    <row r="56" spans="1:8" x14ac:dyDescent="0.2">
      <c r="A56" s="5">
        <v>50</v>
      </c>
      <c r="B56" s="6" t="s">
        <v>230</v>
      </c>
      <c r="C56" s="6" t="s">
        <v>231</v>
      </c>
      <c r="D56" s="6" t="s">
        <v>60</v>
      </c>
      <c r="E56" s="7">
        <v>15128</v>
      </c>
      <c r="F56" s="8">
        <v>126.893664</v>
      </c>
      <c r="G56" s="9">
        <v>6.0070310000000003E-3</v>
      </c>
      <c r="H56" s="97"/>
    </row>
    <row r="57" spans="1:8" x14ac:dyDescent="0.2">
      <c r="A57" s="5">
        <v>51</v>
      </c>
      <c r="B57" s="6" t="s">
        <v>265</v>
      </c>
      <c r="C57" s="6" t="s">
        <v>266</v>
      </c>
      <c r="D57" s="6" t="s">
        <v>147</v>
      </c>
      <c r="E57" s="7">
        <v>32760</v>
      </c>
      <c r="F57" s="8">
        <v>121.98186</v>
      </c>
      <c r="G57" s="9">
        <v>5.7745100000000001E-3</v>
      </c>
      <c r="H57" s="97"/>
    </row>
    <row r="58" spans="1:8" x14ac:dyDescent="0.2">
      <c r="A58" s="5">
        <v>52</v>
      </c>
      <c r="B58" s="6" t="s">
        <v>232</v>
      </c>
      <c r="C58" s="6" t="s">
        <v>233</v>
      </c>
      <c r="D58" s="6" t="s">
        <v>193</v>
      </c>
      <c r="E58" s="7">
        <v>2229</v>
      </c>
      <c r="F58" s="8">
        <v>118.992936</v>
      </c>
      <c r="G58" s="9">
        <v>5.6330169999999997E-3</v>
      </c>
      <c r="H58" s="97"/>
    </row>
    <row r="59" spans="1:8" x14ac:dyDescent="0.2">
      <c r="A59" s="5">
        <v>53</v>
      </c>
      <c r="B59" s="6" t="s">
        <v>234</v>
      </c>
      <c r="C59" s="6" t="s">
        <v>235</v>
      </c>
      <c r="D59" s="6" t="s">
        <v>1187</v>
      </c>
      <c r="E59" s="7">
        <v>92831</v>
      </c>
      <c r="F59" s="8">
        <v>118.638018</v>
      </c>
      <c r="G59" s="9">
        <v>5.6162160000000003E-3</v>
      </c>
      <c r="H59" s="97"/>
    </row>
    <row r="60" spans="1:8" x14ac:dyDescent="0.2">
      <c r="A60" s="5">
        <v>54</v>
      </c>
      <c r="B60" s="6" t="s">
        <v>267</v>
      </c>
      <c r="C60" s="6" t="s">
        <v>268</v>
      </c>
      <c r="D60" s="6" t="s">
        <v>19</v>
      </c>
      <c r="E60" s="7">
        <v>30430</v>
      </c>
      <c r="F60" s="8">
        <v>111.571595</v>
      </c>
      <c r="G60" s="9">
        <v>5.2816979999999996E-3</v>
      </c>
      <c r="H60" s="97"/>
    </row>
    <row r="61" spans="1:8" x14ac:dyDescent="0.2">
      <c r="A61" s="5">
        <v>55</v>
      </c>
      <c r="B61" s="6" t="s">
        <v>269</v>
      </c>
      <c r="C61" s="6" t="s">
        <v>270</v>
      </c>
      <c r="D61" s="6" t="s">
        <v>70</v>
      </c>
      <c r="E61" s="7">
        <v>79149</v>
      </c>
      <c r="F61" s="8">
        <v>110.7690255</v>
      </c>
      <c r="G61" s="9">
        <v>5.2437050000000004E-3</v>
      </c>
      <c r="H61" s="97"/>
    </row>
    <row r="62" spans="1:8" x14ac:dyDescent="0.2">
      <c r="A62" s="5">
        <v>56</v>
      </c>
      <c r="B62" s="6" t="s">
        <v>239</v>
      </c>
      <c r="C62" s="6" t="s">
        <v>240</v>
      </c>
      <c r="D62" s="6" t="s">
        <v>25</v>
      </c>
      <c r="E62" s="7">
        <v>135178</v>
      </c>
      <c r="F62" s="8">
        <v>106.249908</v>
      </c>
      <c r="G62" s="9">
        <v>5.0297739999999999E-3</v>
      </c>
      <c r="H62" s="97"/>
    </row>
    <row r="63" spans="1:8" x14ac:dyDescent="0.2">
      <c r="A63" s="5">
        <v>57</v>
      </c>
      <c r="B63" s="6" t="s">
        <v>245</v>
      </c>
      <c r="C63" s="6" t="s">
        <v>246</v>
      </c>
      <c r="D63" s="6" t="s">
        <v>247</v>
      </c>
      <c r="E63" s="7">
        <v>48218</v>
      </c>
      <c r="F63" s="8">
        <v>105.11524</v>
      </c>
      <c r="G63" s="9">
        <v>4.97606E-3</v>
      </c>
      <c r="H63" s="97"/>
    </row>
    <row r="64" spans="1:8" x14ac:dyDescent="0.2">
      <c r="A64" s="5">
        <v>58</v>
      </c>
      <c r="B64" s="6" t="s">
        <v>92</v>
      </c>
      <c r="C64" s="6" t="s">
        <v>93</v>
      </c>
      <c r="D64" s="6" t="s">
        <v>53</v>
      </c>
      <c r="E64" s="7">
        <v>119500</v>
      </c>
      <c r="F64" s="8">
        <v>102.82975</v>
      </c>
      <c r="G64" s="9">
        <v>4.8678669999999997E-3</v>
      </c>
      <c r="H64" s="97"/>
    </row>
    <row r="65" spans="1:8" x14ac:dyDescent="0.2">
      <c r="A65" s="5">
        <v>59</v>
      </c>
      <c r="B65" s="6" t="s">
        <v>241</v>
      </c>
      <c r="C65" s="6" t="s">
        <v>242</v>
      </c>
      <c r="D65" s="6" t="s">
        <v>147</v>
      </c>
      <c r="E65" s="7">
        <v>21071</v>
      </c>
      <c r="F65" s="8">
        <v>99.644758999999993</v>
      </c>
      <c r="G65" s="9">
        <v>4.717092E-3</v>
      </c>
      <c r="H65" s="97"/>
    </row>
    <row r="66" spans="1:8" ht="25.5" x14ac:dyDescent="0.2">
      <c r="A66" s="5">
        <v>60</v>
      </c>
      <c r="B66" s="6" t="s">
        <v>248</v>
      </c>
      <c r="C66" s="6" t="s">
        <v>249</v>
      </c>
      <c r="D66" s="6" t="s">
        <v>202</v>
      </c>
      <c r="E66" s="7">
        <v>23050</v>
      </c>
      <c r="F66" s="8">
        <v>98.942125000000004</v>
      </c>
      <c r="G66" s="9">
        <v>4.6838299999999999E-3</v>
      </c>
      <c r="H66" s="97"/>
    </row>
    <row r="67" spans="1:8" x14ac:dyDescent="0.2">
      <c r="A67" s="5">
        <v>61</v>
      </c>
      <c r="B67" s="6" t="s">
        <v>243</v>
      </c>
      <c r="C67" s="6" t="s">
        <v>244</v>
      </c>
      <c r="D67" s="6" t="s">
        <v>185</v>
      </c>
      <c r="E67" s="7">
        <v>17388</v>
      </c>
      <c r="F67" s="8">
        <v>96.068700000000007</v>
      </c>
      <c r="G67" s="9">
        <v>4.5478050000000003E-3</v>
      </c>
      <c r="H67" s="97"/>
    </row>
    <row r="68" spans="1:8" x14ac:dyDescent="0.2">
      <c r="A68" s="5">
        <v>62</v>
      </c>
      <c r="B68" s="6" t="s">
        <v>51</v>
      </c>
      <c r="C68" s="6" t="s">
        <v>52</v>
      </c>
      <c r="D68" s="6" t="s">
        <v>53</v>
      </c>
      <c r="E68" s="7">
        <v>44443</v>
      </c>
      <c r="F68" s="8">
        <v>77.019718999999995</v>
      </c>
      <c r="G68" s="9">
        <v>3.6460429999999999E-3</v>
      </c>
      <c r="H68" s="97"/>
    </row>
    <row r="69" spans="1:8" x14ac:dyDescent="0.2">
      <c r="A69" s="5">
        <v>63</v>
      </c>
      <c r="B69" s="6" t="s">
        <v>250</v>
      </c>
      <c r="C69" s="6" t="s">
        <v>251</v>
      </c>
      <c r="D69" s="6" t="s">
        <v>193</v>
      </c>
      <c r="E69" s="7">
        <v>26441</v>
      </c>
      <c r="F69" s="8">
        <v>72.963939499999995</v>
      </c>
      <c r="G69" s="9">
        <v>3.454047E-3</v>
      </c>
      <c r="H69" s="97"/>
    </row>
    <row r="70" spans="1:8" x14ac:dyDescent="0.2">
      <c r="A70" s="5">
        <v>64</v>
      </c>
      <c r="B70" s="6" t="s">
        <v>254</v>
      </c>
      <c r="C70" s="6" t="s">
        <v>255</v>
      </c>
      <c r="D70" s="6" t="s">
        <v>185</v>
      </c>
      <c r="E70" s="7">
        <v>6090</v>
      </c>
      <c r="F70" s="8">
        <v>63.506520000000002</v>
      </c>
      <c r="G70" s="9">
        <v>3.006341E-3</v>
      </c>
      <c r="H70" s="97"/>
    </row>
    <row r="71" spans="1:8" x14ac:dyDescent="0.2">
      <c r="A71" s="5">
        <v>65</v>
      </c>
      <c r="B71" s="6" t="s">
        <v>256</v>
      </c>
      <c r="C71" s="6" t="s">
        <v>257</v>
      </c>
      <c r="D71" s="6" t="s">
        <v>238</v>
      </c>
      <c r="E71" s="7">
        <v>9152</v>
      </c>
      <c r="F71" s="8">
        <v>57.167968000000002</v>
      </c>
      <c r="G71" s="9">
        <v>2.7062800000000001E-3</v>
      </c>
      <c r="H71" s="97"/>
    </row>
    <row r="72" spans="1:8" x14ac:dyDescent="0.2">
      <c r="A72" s="5">
        <v>66</v>
      </c>
      <c r="B72" s="6" t="s">
        <v>271</v>
      </c>
      <c r="C72" s="6" t="s">
        <v>272</v>
      </c>
      <c r="D72" s="6" t="s">
        <v>19</v>
      </c>
      <c r="E72" s="7">
        <v>2539</v>
      </c>
      <c r="F72" s="8">
        <v>27.508795500000002</v>
      </c>
      <c r="G72" s="9">
        <v>1.302241E-3</v>
      </c>
      <c r="H72" s="97"/>
    </row>
    <row r="73" spans="1:8" x14ac:dyDescent="0.2">
      <c r="A73" s="3"/>
      <c r="B73" s="3"/>
      <c r="C73" s="4" t="s">
        <v>97</v>
      </c>
      <c r="D73" s="3"/>
      <c r="E73" s="3" t="s">
        <v>98</v>
      </c>
      <c r="F73" s="11">
        <v>15841.649166499999</v>
      </c>
      <c r="G73" s="12">
        <v>0.74992926699999995</v>
      </c>
      <c r="H73" s="97"/>
    </row>
    <row r="74" spans="1:8" x14ac:dyDescent="0.2">
      <c r="A74" s="3"/>
      <c r="B74" s="3"/>
      <c r="C74" s="13"/>
      <c r="D74" s="3"/>
      <c r="E74" s="3"/>
      <c r="F74" s="14"/>
      <c r="G74" s="14"/>
      <c r="H74" s="97"/>
    </row>
    <row r="75" spans="1:8" x14ac:dyDescent="0.2">
      <c r="A75" s="3"/>
      <c r="B75" s="3"/>
      <c r="C75" s="4" t="s">
        <v>99</v>
      </c>
      <c r="D75" s="3"/>
      <c r="E75" s="3"/>
      <c r="F75" s="3"/>
      <c r="G75" s="3"/>
      <c r="H75" s="97"/>
    </row>
    <row r="76" spans="1:8" x14ac:dyDescent="0.2">
      <c r="A76" s="3"/>
      <c r="B76" s="3"/>
      <c r="C76" s="4" t="s">
        <v>97</v>
      </c>
      <c r="D76" s="3"/>
      <c r="E76" s="3" t="s">
        <v>98</v>
      </c>
      <c r="F76" s="15">
        <v>0</v>
      </c>
      <c r="G76" s="16">
        <v>0</v>
      </c>
      <c r="H76" s="97"/>
    </row>
    <row r="77" spans="1:8" x14ac:dyDescent="0.2">
      <c r="A77" s="3"/>
      <c r="B77" s="3"/>
      <c r="C77" s="13"/>
      <c r="D77" s="3"/>
      <c r="E77" s="3"/>
      <c r="F77" s="14"/>
      <c r="G77" s="14"/>
      <c r="H77" s="97"/>
    </row>
    <row r="78" spans="1:8" x14ac:dyDescent="0.2">
      <c r="A78" s="3"/>
      <c r="B78" s="3"/>
      <c r="C78" s="4" t="s">
        <v>100</v>
      </c>
      <c r="D78" s="3"/>
      <c r="E78" s="3"/>
      <c r="F78" s="3"/>
      <c r="G78" s="3"/>
      <c r="H78" s="97"/>
    </row>
    <row r="79" spans="1:8" x14ac:dyDescent="0.2">
      <c r="A79" s="3"/>
      <c r="B79" s="3"/>
      <c r="C79" s="4" t="s">
        <v>97</v>
      </c>
      <c r="D79" s="3"/>
      <c r="E79" s="3" t="s">
        <v>98</v>
      </c>
      <c r="F79" s="15">
        <v>0</v>
      </c>
      <c r="G79" s="16">
        <v>0</v>
      </c>
      <c r="H79" s="97"/>
    </row>
    <row r="80" spans="1:8" x14ac:dyDescent="0.2">
      <c r="A80" s="3"/>
      <c r="B80" s="3"/>
      <c r="C80" s="13"/>
      <c r="D80" s="3"/>
      <c r="E80" s="3"/>
      <c r="F80" s="14"/>
      <c r="G80" s="14"/>
      <c r="H80" s="97"/>
    </row>
    <row r="81" spans="1:8" x14ac:dyDescent="0.2">
      <c r="A81" s="3"/>
      <c r="B81" s="3"/>
      <c r="C81" s="4" t="s">
        <v>101</v>
      </c>
      <c r="D81" s="3"/>
      <c r="E81" s="3"/>
      <c r="F81" s="3"/>
      <c r="G81" s="3"/>
      <c r="H81" s="97"/>
    </row>
    <row r="82" spans="1:8" x14ac:dyDescent="0.2">
      <c r="A82" s="3"/>
      <c r="B82" s="3"/>
      <c r="C82" s="4" t="s">
        <v>97</v>
      </c>
      <c r="D82" s="3"/>
      <c r="E82" s="3" t="s">
        <v>98</v>
      </c>
      <c r="F82" s="15">
        <v>0</v>
      </c>
      <c r="G82" s="16">
        <v>0</v>
      </c>
      <c r="H82" s="97"/>
    </row>
    <row r="83" spans="1:8" x14ac:dyDescent="0.2">
      <c r="A83" s="3"/>
      <c r="B83" s="3"/>
      <c r="C83" s="13"/>
      <c r="D83" s="3"/>
      <c r="E83" s="3"/>
      <c r="F83" s="14"/>
      <c r="G83" s="14"/>
      <c r="H83" s="97"/>
    </row>
    <row r="84" spans="1:8" x14ac:dyDescent="0.2">
      <c r="A84" s="3"/>
      <c r="B84" s="3"/>
      <c r="C84" s="4" t="s">
        <v>102</v>
      </c>
      <c r="D84" s="3"/>
      <c r="E84" s="3"/>
      <c r="F84" s="14"/>
      <c r="G84" s="14"/>
      <c r="H84" s="97"/>
    </row>
    <row r="85" spans="1:8" x14ac:dyDescent="0.2">
      <c r="A85" s="3"/>
      <c r="B85" s="3"/>
      <c r="C85" s="4" t="s">
        <v>97</v>
      </c>
      <c r="D85" s="3"/>
      <c r="E85" s="3" t="s">
        <v>98</v>
      </c>
      <c r="F85" s="15">
        <v>0</v>
      </c>
      <c r="G85" s="16">
        <v>0</v>
      </c>
      <c r="H85" s="97"/>
    </row>
    <row r="86" spans="1:8" x14ac:dyDescent="0.2">
      <c r="A86" s="3"/>
      <c r="B86" s="3"/>
      <c r="C86" s="13"/>
      <c r="D86" s="3"/>
      <c r="E86" s="3"/>
      <c r="F86" s="14"/>
      <c r="G86" s="14"/>
      <c r="H86" s="97"/>
    </row>
    <row r="87" spans="1:8" x14ac:dyDescent="0.2">
      <c r="A87" s="3"/>
      <c r="B87" s="3"/>
      <c r="C87" s="4" t="s">
        <v>103</v>
      </c>
      <c r="D87" s="3"/>
      <c r="E87" s="3"/>
      <c r="F87" s="14"/>
      <c r="G87" s="14"/>
      <c r="H87" s="97"/>
    </row>
    <row r="88" spans="1:8" x14ac:dyDescent="0.2">
      <c r="A88" s="3"/>
      <c r="B88" s="3"/>
      <c r="C88" s="4" t="s">
        <v>97</v>
      </c>
      <c r="D88" s="3"/>
      <c r="E88" s="3" t="s">
        <v>98</v>
      </c>
      <c r="F88" s="15">
        <v>0</v>
      </c>
      <c r="G88" s="16">
        <v>0</v>
      </c>
      <c r="H88" s="97"/>
    </row>
    <row r="89" spans="1:8" x14ac:dyDescent="0.2">
      <c r="A89" s="3"/>
      <c r="B89" s="3"/>
      <c r="C89" s="13"/>
      <c r="D89" s="3"/>
      <c r="E89" s="3"/>
      <c r="F89" s="14"/>
      <c r="G89" s="14"/>
      <c r="H89" s="97"/>
    </row>
    <row r="90" spans="1:8" x14ac:dyDescent="0.2">
      <c r="A90" s="3"/>
      <c r="B90" s="3"/>
      <c r="C90" s="4" t="s">
        <v>104</v>
      </c>
      <c r="D90" s="3"/>
      <c r="E90" s="3"/>
      <c r="F90" s="11">
        <v>15841.649166499999</v>
      </c>
      <c r="G90" s="12">
        <v>0.74992926699999995</v>
      </c>
      <c r="H90" s="97"/>
    </row>
    <row r="91" spans="1:8" x14ac:dyDescent="0.2">
      <c r="A91" s="3"/>
      <c r="B91" s="3"/>
      <c r="C91" s="13"/>
      <c r="D91" s="3"/>
      <c r="E91" s="3"/>
      <c r="F91" s="14"/>
      <c r="G91" s="14"/>
      <c r="H91" s="97"/>
    </row>
    <row r="92" spans="1:8" x14ac:dyDescent="0.2">
      <c r="A92" s="3"/>
      <c r="B92" s="3"/>
      <c r="C92" s="4" t="s">
        <v>105</v>
      </c>
      <c r="D92" s="3"/>
      <c r="E92" s="3"/>
      <c r="F92" s="14"/>
      <c r="G92" s="14"/>
      <c r="H92" s="97"/>
    </row>
    <row r="93" spans="1:8" ht="25.5" x14ac:dyDescent="0.2">
      <c r="A93" s="3"/>
      <c r="B93" s="3"/>
      <c r="C93" s="4" t="s">
        <v>10</v>
      </c>
      <c r="D93" s="3"/>
      <c r="E93" s="3"/>
      <c r="F93" s="14"/>
      <c r="G93" s="14"/>
      <c r="H93" s="97"/>
    </row>
    <row r="94" spans="1:8" x14ac:dyDescent="0.2">
      <c r="A94" s="3"/>
      <c r="B94" s="3"/>
      <c r="C94" s="4" t="s">
        <v>97</v>
      </c>
      <c r="D94" s="3"/>
      <c r="E94" s="3" t="s">
        <v>98</v>
      </c>
      <c r="F94" s="15">
        <v>0</v>
      </c>
      <c r="G94" s="16">
        <v>0</v>
      </c>
      <c r="H94" s="97"/>
    </row>
    <row r="95" spans="1:8" x14ac:dyDescent="0.2">
      <c r="A95" s="3"/>
      <c r="B95" s="3"/>
      <c r="C95" s="13"/>
      <c r="D95" s="3"/>
      <c r="E95" s="3"/>
      <c r="F95" s="14"/>
      <c r="G95" s="14"/>
      <c r="H95" s="97"/>
    </row>
    <row r="96" spans="1:8" x14ac:dyDescent="0.2">
      <c r="A96" s="3"/>
      <c r="B96" s="3"/>
      <c r="C96" s="4" t="s">
        <v>106</v>
      </c>
      <c r="D96" s="3"/>
      <c r="E96" s="3"/>
      <c r="F96" s="3"/>
      <c r="G96" s="3"/>
      <c r="H96" s="97"/>
    </row>
    <row r="97" spans="1:8" x14ac:dyDescent="0.2">
      <c r="A97" s="3"/>
      <c r="B97" s="3"/>
      <c r="C97" s="4" t="s">
        <v>97</v>
      </c>
      <c r="D97" s="3"/>
      <c r="E97" s="3" t="s">
        <v>98</v>
      </c>
      <c r="F97" s="15">
        <v>0</v>
      </c>
      <c r="G97" s="16">
        <v>0</v>
      </c>
      <c r="H97" s="97"/>
    </row>
    <row r="98" spans="1:8" x14ac:dyDescent="0.2">
      <c r="A98" s="3"/>
      <c r="B98" s="3"/>
      <c r="C98" s="13"/>
      <c r="D98" s="3"/>
      <c r="E98" s="3"/>
      <c r="F98" s="14"/>
      <c r="G98" s="14"/>
      <c r="H98" s="97"/>
    </row>
    <row r="99" spans="1:8" x14ac:dyDescent="0.2">
      <c r="A99" s="3"/>
      <c r="B99" s="3"/>
      <c r="C99" s="4" t="s">
        <v>107</v>
      </c>
      <c r="D99" s="3"/>
      <c r="E99" s="3"/>
      <c r="F99" s="3"/>
      <c r="G99" s="3"/>
      <c r="H99" s="97"/>
    </row>
    <row r="100" spans="1:8" x14ac:dyDescent="0.2">
      <c r="A100" s="3"/>
      <c r="B100" s="3"/>
      <c r="C100" s="4" t="s">
        <v>97</v>
      </c>
      <c r="D100" s="3"/>
      <c r="E100" s="3" t="s">
        <v>98</v>
      </c>
      <c r="F100" s="15">
        <v>0</v>
      </c>
      <c r="G100" s="16">
        <v>0</v>
      </c>
      <c r="H100" s="97"/>
    </row>
    <row r="101" spans="1:8" x14ac:dyDescent="0.2">
      <c r="A101" s="3"/>
      <c r="B101" s="3"/>
      <c r="C101" s="13"/>
      <c r="D101" s="3"/>
      <c r="E101" s="3"/>
      <c r="F101" s="14"/>
      <c r="G101" s="14"/>
      <c r="H101" s="97"/>
    </row>
    <row r="102" spans="1:8" x14ac:dyDescent="0.2">
      <c r="A102" s="3"/>
      <c r="B102" s="3"/>
      <c r="C102" s="4" t="s">
        <v>108</v>
      </c>
      <c r="D102" s="3"/>
      <c r="E102" s="3"/>
      <c r="F102" s="14"/>
      <c r="G102" s="14"/>
      <c r="H102" s="97"/>
    </row>
    <row r="103" spans="1:8" x14ac:dyDescent="0.2">
      <c r="A103" s="3"/>
      <c r="B103" s="3"/>
      <c r="C103" s="4" t="s">
        <v>97</v>
      </c>
      <c r="D103" s="3"/>
      <c r="E103" s="3" t="s">
        <v>98</v>
      </c>
      <c r="F103" s="15">
        <v>0</v>
      </c>
      <c r="G103" s="16">
        <v>0</v>
      </c>
      <c r="H103" s="97"/>
    </row>
    <row r="104" spans="1:8" x14ac:dyDescent="0.2">
      <c r="A104" s="3"/>
      <c r="B104" s="3"/>
      <c r="C104" s="13"/>
      <c r="D104" s="3"/>
      <c r="E104" s="3"/>
      <c r="F104" s="14"/>
      <c r="G104" s="14"/>
      <c r="H104" s="97"/>
    </row>
    <row r="105" spans="1:8" x14ac:dyDescent="0.2">
      <c r="A105" s="3"/>
      <c r="B105" s="3"/>
      <c r="C105" s="4" t="s">
        <v>109</v>
      </c>
      <c r="D105" s="3"/>
      <c r="E105" s="3"/>
      <c r="F105" s="11">
        <v>0</v>
      </c>
      <c r="G105" s="12">
        <v>0</v>
      </c>
      <c r="H105" s="97"/>
    </row>
    <row r="106" spans="1:8" x14ac:dyDescent="0.2">
      <c r="A106" s="3"/>
      <c r="B106" s="3"/>
      <c r="C106" s="13"/>
      <c r="D106" s="3"/>
      <c r="E106" s="3"/>
      <c r="F106" s="14"/>
      <c r="G106" s="14"/>
      <c r="H106" s="97"/>
    </row>
    <row r="107" spans="1:8" x14ac:dyDescent="0.2">
      <c r="A107" s="3"/>
      <c r="B107" s="3"/>
      <c r="C107" s="4" t="s">
        <v>110</v>
      </c>
      <c r="D107" s="3"/>
      <c r="E107" s="3"/>
      <c r="F107" s="14"/>
      <c r="G107" s="14"/>
      <c r="H107" s="97"/>
    </row>
    <row r="108" spans="1:8" x14ac:dyDescent="0.2">
      <c r="A108" s="3"/>
      <c r="B108" s="3"/>
      <c r="C108" s="4" t="s">
        <v>111</v>
      </c>
      <c r="D108" s="3"/>
      <c r="E108" s="3"/>
      <c r="F108" s="14"/>
      <c r="G108" s="14"/>
      <c r="H108" s="97"/>
    </row>
    <row r="109" spans="1:8" x14ac:dyDescent="0.2">
      <c r="A109" s="3"/>
      <c r="B109" s="3"/>
      <c r="C109" s="4" t="s">
        <v>97</v>
      </c>
      <c r="D109" s="3"/>
      <c r="E109" s="3" t="s">
        <v>98</v>
      </c>
      <c r="F109" s="15">
        <v>0</v>
      </c>
      <c r="G109" s="16">
        <v>0</v>
      </c>
      <c r="H109" s="97"/>
    </row>
    <row r="110" spans="1:8" x14ac:dyDescent="0.2">
      <c r="A110" s="3"/>
      <c r="B110" s="3"/>
      <c r="C110" s="13"/>
      <c r="D110" s="3"/>
      <c r="E110" s="3"/>
      <c r="F110" s="14"/>
      <c r="G110" s="14"/>
      <c r="H110" s="97"/>
    </row>
    <row r="111" spans="1:8" x14ac:dyDescent="0.2">
      <c r="A111" s="3"/>
      <c r="B111" s="3"/>
      <c r="C111" s="4" t="s">
        <v>112</v>
      </c>
      <c r="D111" s="3"/>
      <c r="E111" s="3"/>
      <c r="F111" s="14"/>
      <c r="G111" s="14"/>
      <c r="H111" s="97"/>
    </row>
    <row r="112" spans="1:8" x14ac:dyDescent="0.2">
      <c r="A112" s="3"/>
      <c r="B112" s="3"/>
      <c r="C112" s="4" t="s">
        <v>97</v>
      </c>
      <c r="D112" s="3"/>
      <c r="E112" s="3" t="s">
        <v>98</v>
      </c>
      <c r="F112" s="15">
        <v>0</v>
      </c>
      <c r="G112" s="16">
        <v>0</v>
      </c>
      <c r="H112" s="97"/>
    </row>
    <row r="113" spans="1:8" x14ac:dyDescent="0.2">
      <c r="A113" s="3"/>
      <c r="B113" s="3"/>
      <c r="C113" s="13"/>
      <c r="D113" s="3"/>
      <c r="E113" s="3"/>
      <c r="F113" s="14"/>
      <c r="G113" s="14"/>
      <c r="H113" s="97"/>
    </row>
    <row r="114" spans="1:8" x14ac:dyDescent="0.2">
      <c r="A114" s="3"/>
      <c r="B114" s="3"/>
      <c r="C114" s="4" t="s">
        <v>113</v>
      </c>
      <c r="D114" s="3"/>
      <c r="E114" s="3"/>
      <c r="F114" s="14"/>
      <c r="G114" s="14"/>
      <c r="H114" s="97"/>
    </row>
    <row r="115" spans="1:8" x14ac:dyDescent="0.2">
      <c r="A115" s="3"/>
      <c r="B115" s="3"/>
      <c r="C115" s="4" t="s">
        <v>97</v>
      </c>
      <c r="D115" s="3"/>
      <c r="E115" s="3" t="s">
        <v>98</v>
      </c>
      <c r="F115" s="15">
        <v>0</v>
      </c>
      <c r="G115" s="16">
        <v>0</v>
      </c>
      <c r="H115" s="97"/>
    </row>
    <row r="116" spans="1:8" x14ac:dyDescent="0.2">
      <c r="A116" s="3"/>
      <c r="B116" s="3"/>
      <c r="C116" s="13"/>
      <c r="D116" s="3"/>
      <c r="E116" s="3"/>
      <c r="F116" s="14"/>
      <c r="G116" s="14"/>
      <c r="H116" s="97"/>
    </row>
    <row r="117" spans="1:8" x14ac:dyDescent="0.2">
      <c r="A117" s="3"/>
      <c r="B117" s="3"/>
      <c r="C117" s="4" t="s">
        <v>114</v>
      </c>
      <c r="D117" s="3"/>
      <c r="E117" s="3"/>
      <c r="F117" s="14"/>
      <c r="G117" s="14"/>
      <c r="H117" s="97"/>
    </row>
    <row r="118" spans="1:8" x14ac:dyDescent="0.2">
      <c r="A118" s="5">
        <v>1</v>
      </c>
      <c r="B118" s="6"/>
      <c r="C118" s="6" t="s">
        <v>115</v>
      </c>
      <c r="D118" s="6"/>
      <c r="E118" s="10"/>
      <c r="F118" s="8">
        <v>3143.8636861</v>
      </c>
      <c r="G118" s="9">
        <v>0.14882764900000001</v>
      </c>
      <c r="H118" s="8">
        <v>3.4504560529072292</v>
      </c>
    </row>
    <row r="119" spans="1:8" x14ac:dyDescent="0.2">
      <c r="A119" s="5">
        <v>2</v>
      </c>
      <c r="B119" s="6"/>
      <c r="C119" s="6" t="s">
        <v>116</v>
      </c>
      <c r="D119" s="6"/>
      <c r="E119" s="10"/>
      <c r="F119" s="8">
        <v>1696.7667610999999</v>
      </c>
      <c r="G119" s="9">
        <v>8.0323396000000005E-2</v>
      </c>
      <c r="H119" s="8">
        <v>3.5655822479098256</v>
      </c>
    </row>
    <row r="120" spans="1:8" x14ac:dyDescent="0.2">
      <c r="A120" s="3"/>
      <c r="B120" s="3"/>
      <c r="C120" s="4" t="s">
        <v>97</v>
      </c>
      <c r="D120" s="3"/>
      <c r="E120" s="3" t="s">
        <v>98</v>
      </c>
      <c r="F120" s="11">
        <v>4840.6304472000002</v>
      </c>
      <c r="G120" s="12">
        <v>0.229151045</v>
      </c>
      <c r="H120" s="97"/>
    </row>
    <row r="121" spans="1:8" x14ac:dyDescent="0.2">
      <c r="A121" s="3"/>
      <c r="B121" s="3"/>
      <c r="C121" s="13"/>
      <c r="D121" s="3"/>
      <c r="E121" s="3"/>
      <c r="F121" s="14"/>
      <c r="G121" s="14"/>
      <c r="H121" s="97"/>
    </row>
    <row r="122" spans="1:8" x14ac:dyDescent="0.2">
      <c r="A122" s="3"/>
      <c r="B122" s="3"/>
      <c r="C122" s="4" t="s">
        <v>117</v>
      </c>
      <c r="D122" s="3"/>
      <c r="E122" s="3"/>
      <c r="F122" s="11">
        <v>4840.6304472000002</v>
      </c>
      <c r="G122" s="12">
        <v>0.229151045</v>
      </c>
      <c r="H122" s="97"/>
    </row>
    <row r="123" spans="1:8" x14ac:dyDescent="0.2">
      <c r="A123" s="3"/>
      <c r="B123" s="3"/>
      <c r="C123" s="14"/>
      <c r="D123" s="3"/>
      <c r="E123" s="3"/>
      <c r="F123" s="3"/>
      <c r="G123" s="3"/>
      <c r="H123" s="97"/>
    </row>
    <row r="124" spans="1:8" x14ac:dyDescent="0.2">
      <c r="A124" s="3"/>
      <c r="B124" s="3"/>
      <c r="C124" s="4" t="s">
        <v>118</v>
      </c>
      <c r="D124" s="3"/>
      <c r="E124" s="3"/>
      <c r="F124" s="3"/>
      <c r="G124" s="3"/>
      <c r="H124" s="97"/>
    </row>
    <row r="125" spans="1:8" x14ac:dyDescent="0.2">
      <c r="A125" s="3"/>
      <c r="B125" s="3"/>
      <c r="C125" s="4" t="s">
        <v>119</v>
      </c>
      <c r="D125" s="3"/>
      <c r="E125" s="3"/>
      <c r="F125" s="3"/>
      <c r="G125" s="3"/>
      <c r="H125" s="97"/>
    </row>
    <row r="126" spans="1:8" x14ac:dyDescent="0.2">
      <c r="A126" s="3"/>
      <c r="B126" s="3"/>
      <c r="C126" s="4" t="s">
        <v>97</v>
      </c>
      <c r="D126" s="3"/>
      <c r="E126" s="3" t="s">
        <v>98</v>
      </c>
      <c r="F126" s="15">
        <v>0</v>
      </c>
      <c r="G126" s="16">
        <v>0</v>
      </c>
      <c r="H126" s="97"/>
    </row>
    <row r="127" spans="1:8" x14ac:dyDescent="0.2">
      <c r="A127" s="3"/>
      <c r="B127" s="3"/>
      <c r="C127" s="13"/>
      <c r="D127" s="3"/>
      <c r="E127" s="3"/>
      <c r="F127" s="14"/>
      <c r="G127" s="14"/>
      <c r="H127" s="97"/>
    </row>
    <row r="128" spans="1:8" x14ac:dyDescent="0.2">
      <c r="A128" s="3"/>
      <c r="B128" s="3"/>
      <c r="C128" s="4" t="s">
        <v>120</v>
      </c>
      <c r="D128" s="3"/>
      <c r="E128" s="3"/>
      <c r="F128" s="3"/>
      <c r="G128" s="3"/>
      <c r="H128" s="97"/>
    </row>
    <row r="129" spans="1:8" x14ac:dyDescent="0.2">
      <c r="A129" s="3"/>
      <c r="B129" s="3"/>
      <c r="C129" s="4" t="s">
        <v>121</v>
      </c>
      <c r="D129" s="3"/>
      <c r="E129" s="3"/>
      <c r="F129" s="3"/>
      <c r="G129" s="3"/>
      <c r="H129" s="97"/>
    </row>
    <row r="130" spans="1:8" x14ac:dyDescent="0.2">
      <c r="A130" s="3"/>
      <c r="B130" s="3"/>
      <c r="C130" s="4" t="s">
        <v>97</v>
      </c>
      <c r="D130" s="3"/>
      <c r="E130" s="3" t="s">
        <v>98</v>
      </c>
      <c r="F130" s="15">
        <v>0</v>
      </c>
      <c r="G130" s="16">
        <v>0</v>
      </c>
      <c r="H130" s="97"/>
    </row>
    <row r="131" spans="1:8" x14ac:dyDescent="0.2">
      <c r="A131" s="3"/>
      <c r="B131" s="3"/>
      <c r="C131" s="13"/>
      <c r="D131" s="3"/>
      <c r="E131" s="3"/>
      <c r="F131" s="14"/>
      <c r="G131" s="14"/>
      <c r="H131" s="97"/>
    </row>
    <row r="132" spans="1:8" x14ac:dyDescent="0.2">
      <c r="A132" s="3"/>
      <c r="B132" s="3"/>
      <c r="C132" s="13"/>
      <c r="D132" s="3"/>
      <c r="E132" s="3"/>
      <c r="F132" s="14"/>
      <c r="G132" s="14"/>
      <c r="H132" s="97"/>
    </row>
    <row r="133" spans="1:8" ht="25.5" x14ac:dyDescent="0.2">
      <c r="A133" s="3"/>
      <c r="B133" s="3"/>
      <c r="C133" s="4" t="s">
        <v>122</v>
      </c>
      <c r="D133" s="3"/>
      <c r="E133" s="3"/>
      <c r="F133" s="14"/>
      <c r="G133" s="14"/>
      <c r="H133" s="97"/>
    </row>
    <row r="134" spans="1:8" x14ac:dyDescent="0.2">
      <c r="A134" s="3"/>
      <c r="B134" s="3"/>
      <c r="C134" s="4" t="s">
        <v>97</v>
      </c>
      <c r="D134" s="3"/>
      <c r="E134" s="3" t="s">
        <v>98</v>
      </c>
      <c r="F134" s="15">
        <v>0</v>
      </c>
      <c r="G134" s="16">
        <v>0</v>
      </c>
      <c r="H134" s="97"/>
    </row>
    <row r="135" spans="1:8" x14ac:dyDescent="0.2">
      <c r="A135" s="3"/>
      <c r="B135" s="3"/>
      <c r="C135" s="13"/>
      <c r="D135" s="3"/>
      <c r="E135" s="3"/>
      <c r="F135" s="14"/>
      <c r="G135" s="14"/>
      <c r="H135" s="97"/>
    </row>
    <row r="136" spans="1:8" x14ac:dyDescent="0.2">
      <c r="A136" s="3"/>
      <c r="B136" s="6"/>
      <c r="C136" s="6"/>
      <c r="D136" s="4"/>
      <c r="E136" s="3"/>
      <c r="F136" s="6"/>
      <c r="G136" s="10"/>
      <c r="H136" s="97"/>
    </row>
    <row r="137" spans="1:8" x14ac:dyDescent="0.2">
      <c r="A137" s="10"/>
      <c r="B137" s="6"/>
      <c r="C137" s="6" t="s">
        <v>123</v>
      </c>
      <c r="D137" s="6"/>
      <c r="E137" s="10"/>
      <c r="F137" s="8">
        <v>441.91146972000001</v>
      </c>
      <c r="G137" s="9">
        <v>2.0919686999999999E-2</v>
      </c>
      <c r="H137" s="97"/>
    </row>
    <row r="138" spans="1:8" x14ac:dyDescent="0.2">
      <c r="A138" s="13"/>
      <c r="B138" s="13"/>
      <c r="C138" s="4" t="s">
        <v>124</v>
      </c>
      <c r="D138" s="17"/>
      <c r="E138" s="17"/>
      <c r="F138" s="11">
        <v>21124.191083419999</v>
      </c>
      <c r="G138" s="12">
        <v>0.99999999900000003</v>
      </c>
      <c r="H138" s="97"/>
    </row>
    <row r="139" spans="1:8" ht="14.1" customHeight="1" x14ac:dyDescent="0.2">
      <c r="A139" s="20"/>
      <c r="B139" s="226" t="s">
        <v>98</v>
      </c>
      <c r="C139" s="226"/>
      <c r="D139" s="226"/>
      <c r="E139" s="226"/>
      <c r="F139" s="226"/>
      <c r="G139" s="22"/>
    </row>
    <row r="140" spans="1:8" ht="14.1" customHeight="1" x14ac:dyDescent="0.2">
      <c r="A140" s="20"/>
      <c r="B140" s="20"/>
      <c r="C140" s="20"/>
      <c r="D140" s="22"/>
      <c r="E140" s="22"/>
      <c r="F140" s="22"/>
      <c r="G140" s="22"/>
    </row>
    <row r="141" spans="1:8" ht="14.1" customHeight="1" x14ac:dyDescent="0.2">
      <c r="A141" s="20"/>
      <c r="B141" s="224" t="s">
        <v>126</v>
      </c>
      <c r="C141" s="225"/>
      <c r="D141" s="14" t="s">
        <v>98</v>
      </c>
      <c r="E141" s="23"/>
      <c r="F141" s="22"/>
      <c r="G141" s="22"/>
    </row>
    <row r="142" spans="1:8" ht="29.1" customHeight="1" x14ac:dyDescent="0.2">
      <c r="A142" s="20"/>
      <c r="B142" s="231" t="s">
        <v>127</v>
      </c>
      <c r="C142" s="232"/>
      <c r="D142" s="4" t="s">
        <v>128</v>
      </c>
      <c r="E142" s="23"/>
      <c r="F142" s="22"/>
      <c r="G142" s="22"/>
    </row>
    <row r="143" spans="1:8" ht="17.100000000000001" customHeight="1" x14ac:dyDescent="0.2">
      <c r="A143" s="20"/>
      <c r="B143" s="231" t="s">
        <v>129</v>
      </c>
      <c r="C143" s="232"/>
      <c r="D143" s="4" t="s">
        <v>128</v>
      </c>
      <c r="E143" s="23"/>
      <c r="F143" s="22"/>
      <c r="G143" s="22"/>
    </row>
    <row r="144" spans="1:8" ht="17.100000000000001" customHeight="1" x14ac:dyDescent="0.2">
      <c r="A144" s="20"/>
      <c r="B144" s="231" t="s">
        <v>130</v>
      </c>
      <c r="C144" s="232"/>
      <c r="D144" s="14" t="s">
        <v>98</v>
      </c>
      <c r="E144" s="23"/>
      <c r="F144" s="22"/>
      <c r="G144" s="22"/>
    </row>
    <row r="145" spans="1:17" ht="24" customHeight="1" x14ac:dyDescent="0.2">
      <c r="A145" s="24"/>
      <c r="B145" s="25" t="s">
        <v>98</v>
      </c>
      <c r="C145" s="25" t="s">
        <v>131</v>
      </c>
      <c r="D145" s="25" t="s">
        <v>132</v>
      </c>
      <c r="E145" s="24"/>
      <c r="F145" s="24"/>
      <c r="G145" s="24"/>
    </row>
    <row r="146" spans="1:17" ht="18" customHeight="1" x14ac:dyDescent="0.2">
      <c r="A146" s="24"/>
      <c r="B146" s="25" t="s">
        <v>133</v>
      </c>
      <c r="C146" s="25" t="s">
        <v>134</v>
      </c>
      <c r="D146" s="25" t="s">
        <v>135</v>
      </c>
      <c r="E146" s="24"/>
      <c r="F146" s="24"/>
      <c r="G146" s="24"/>
    </row>
    <row r="147" spans="1:17" ht="17.100000000000001" customHeight="1" x14ac:dyDescent="0.2">
      <c r="A147" s="24"/>
      <c r="B147" s="6" t="s">
        <v>136</v>
      </c>
      <c r="C147" s="26">
        <v>16.008199999999999</v>
      </c>
      <c r="D147" s="26">
        <v>16.425899999999999</v>
      </c>
      <c r="E147" s="24"/>
      <c r="F147" s="21"/>
      <c r="G147" s="27"/>
    </row>
    <row r="148" spans="1:17" ht="17.100000000000001" customHeight="1" x14ac:dyDescent="0.2">
      <c r="A148" s="24"/>
      <c r="B148" s="6" t="s">
        <v>1201</v>
      </c>
      <c r="C148" s="26">
        <v>16.007999999999999</v>
      </c>
      <c r="D148" s="26">
        <v>16.425799999999999</v>
      </c>
      <c r="E148" s="24"/>
      <c r="F148" s="21"/>
      <c r="G148" s="27"/>
    </row>
    <row r="149" spans="1:17" ht="17.100000000000001" customHeight="1" x14ac:dyDescent="0.2">
      <c r="A149" s="24"/>
      <c r="B149" s="6" t="s">
        <v>137</v>
      </c>
      <c r="C149" s="26">
        <v>15.4366</v>
      </c>
      <c r="D149" s="26">
        <v>15.8306</v>
      </c>
      <c r="E149" s="24"/>
      <c r="F149" s="21"/>
      <c r="G149" s="27"/>
    </row>
    <row r="150" spans="1:17" ht="17.100000000000001" customHeight="1" x14ac:dyDescent="0.2">
      <c r="A150" s="24"/>
      <c r="B150" s="6" t="s">
        <v>1202</v>
      </c>
      <c r="C150" s="26">
        <v>15.4366</v>
      </c>
      <c r="D150" s="26">
        <v>15.8306</v>
      </c>
      <c r="E150" s="24"/>
      <c r="F150" s="21"/>
      <c r="G150" s="27"/>
    </row>
    <row r="151" spans="1:17" ht="14.1" customHeight="1" x14ac:dyDescent="0.2">
      <c r="A151" s="24"/>
      <c r="B151" s="24"/>
      <c r="C151" s="24"/>
      <c r="D151" s="24"/>
      <c r="E151" s="24"/>
      <c r="F151" s="24"/>
      <c r="G151" s="24"/>
    </row>
    <row r="152" spans="1:17" ht="17.100000000000001" customHeight="1" x14ac:dyDescent="0.2">
      <c r="A152" s="24"/>
      <c r="B152" s="231" t="s">
        <v>1203</v>
      </c>
      <c r="C152" s="232"/>
      <c r="D152" s="4" t="s">
        <v>128</v>
      </c>
      <c r="E152" s="24"/>
      <c r="F152" s="24"/>
      <c r="G152" s="24"/>
    </row>
    <row r="153" spans="1:17" ht="18" customHeight="1" x14ac:dyDescent="0.2">
      <c r="A153" s="24"/>
      <c r="B153" s="28"/>
      <c r="C153" s="28"/>
      <c r="D153" s="29"/>
      <c r="E153" s="24"/>
      <c r="F153" s="24"/>
      <c r="G153" s="24"/>
    </row>
    <row r="154" spans="1:17" s="87" customFormat="1" x14ac:dyDescent="0.2">
      <c r="B154" s="233" t="s">
        <v>1207</v>
      </c>
      <c r="C154" s="233"/>
      <c r="D154" s="233"/>
      <c r="E154" s="233"/>
      <c r="F154" s="233"/>
      <c r="I154"/>
      <c r="J154"/>
      <c r="K154"/>
      <c r="L154"/>
      <c r="M154"/>
      <c r="N154"/>
      <c r="O154"/>
      <c r="P154"/>
      <c r="Q154" s="69"/>
    </row>
    <row r="155" spans="1:17" ht="14.1" customHeight="1" x14ac:dyDescent="0.2">
      <c r="A155" s="24"/>
      <c r="B155" s="21"/>
      <c r="C155" s="21"/>
      <c r="D155" s="24"/>
      <c r="E155" s="24"/>
      <c r="F155" s="24"/>
      <c r="G155" s="24"/>
    </row>
    <row r="156" spans="1:17" ht="29.1" customHeight="1" x14ac:dyDescent="0.2">
      <c r="A156" s="24"/>
      <c r="B156" s="231" t="s">
        <v>138</v>
      </c>
      <c r="C156" s="232"/>
      <c r="D156" s="4" t="s">
        <v>128</v>
      </c>
      <c r="E156" s="24"/>
      <c r="F156" s="24"/>
      <c r="G156" s="24"/>
    </row>
    <row r="157" spans="1:17" ht="29.1" customHeight="1" x14ac:dyDescent="0.2">
      <c r="A157" s="24"/>
      <c r="B157" s="231" t="s">
        <v>139</v>
      </c>
      <c r="C157" s="232"/>
      <c r="D157" s="4" t="s">
        <v>128</v>
      </c>
      <c r="E157" s="24"/>
      <c r="F157" s="24"/>
      <c r="G157" s="24"/>
    </row>
    <row r="158" spans="1:17" ht="17.100000000000001" customHeight="1" x14ac:dyDescent="0.2">
      <c r="A158" s="24"/>
      <c r="B158" s="231" t="s">
        <v>140</v>
      </c>
      <c r="C158" s="232"/>
      <c r="D158" s="30">
        <v>0.39804888126216098</v>
      </c>
      <c r="E158" s="24"/>
      <c r="F158" s="21"/>
      <c r="G158" s="27"/>
    </row>
    <row r="159" spans="1:17" ht="17.100000000000001" customHeight="1" x14ac:dyDescent="0.2">
      <c r="A159" s="24"/>
      <c r="B159" s="231" t="s">
        <v>141</v>
      </c>
      <c r="C159" s="232"/>
      <c r="D159" s="4" t="s">
        <v>128</v>
      </c>
      <c r="E159" s="24"/>
      <c r="F159" s="24"/>
      <c r="G159" s="24"/>
    </row>
    <row r="164" spans="9:16" x14ac:dyDescent="0.2">
      <c r="I164" s="87"/>
      <c r="J164" s="87"/>
      <c r="K164" s="87"/>
      <c r="L164" s="87"/>
      <c r="M164" s="87"/>
      <c r="N164" s="87"/>
      <c r="O164" s="87"/>
    </row>
    <row r="166" spans="9:16" x14ac:dyDescent="0.2">
      <c r="P166" s="87"/>
    </row>
  </sheetData>
  <mergeCells count="15">
    <mergeCell ref="B158:C158"/>
    <mergeCell ref="B159:C159"/>
    <mergeCell ref="B142:C142"/>
    <mergeCell ref="B143:C143"/>
    <mergeCell ref="B144:C144"/>
    <mergeCell ref="B152:C152"/>
    <mergeCell ref="B156:C156"/>
    <mergeCell ref="B157:C157"/>
    <mergeCell ref="B154:F154"/>
    <mergeCell ref="J2:N2"/>
    <mergeCell ref="B141:C141"/>
    <mergeCell ref="B139:F139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outlinePr summaryBelow="0" summaryRight="0"/>
  </sheetPr>
  <dimension ref="A1:Q170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6" ht="15" x14ac:dyDescent="0.2">
      <c r="A1" s="227" t="s">
        <v>0</v>
      </c>
      <c r="B1" s="227"/>
      <c r="C1" s="227"/>
      <c r="D1" s="227"/>
      <c r="E1" s="227"/>
      <c r="F1" s="227"/>
      <c r="G1" s="227"/>
      <c r="H1" s="227"/>
    </row>
    <row r="2" spans="1:16" s="87" customFormat="1" ht="15" x14ac:dyDescent="0.2">
      <c r="A2" s="228" t="s">
        <v>273</v>
      </c>
      <c r="B2" s="229"/>
      <c r="C2" s="229"/>
      <c r="D2" s="229"/>
      <c r="E2" s="229"/>
      <c r="F2" s="229"/>
      <c r="G2" s="229"/>
      <c r="H2" s="230"/>
      <c r="I2"/>
      <c r="J2" s="223" t="s">
        <v>1238</v>
      </c>
      <c r="K2" s="223"/>
      <c r="L2" s="223"/>
      <c r="M2" s="223"/>
      <c r="N2" s="223"/>
      <c r="O2"/>
      <c r="P2"/>
    </row>
    <row r="3" spans="1:16" ht="15" x14ac:dyDescent="0.2">
      <c r="A3" s="227" t="s">
        <v>1208</v>
      </c>
      <c r="B3" s="227"/>
      <c r="C3" s="227"/>
      <c r="D3" s="227"/>
      <c r="E3" s="227"/>
      <c r="F3" s="227"/>
      <c r="G3" s="227"/>
      <c r="H3" s="227"/>
    </row>
    <row r="4" spans="1:16" s="113" customFormat="1" ht="30" x14ac:dyDescent="0.2">
      <c r="A4" s="1" t="s">
        <v>2</v>
      </c>
      <c r="B4" s="1" t="s">
        <v>3</v>
      </c>
      <c r="C4" s="1" t="s">
        <v>4</v>
      </c>
      <c r="D4" s="1" t="s">
        <v>5</v>
      </c>
      <c r="E4" s="2" t="s">
        <v>6</v>
      </c>
      <c r="F4" s="2" t="s">
        <v>7</v>
      </c>
      <c r="G4" s="2" t="s">
        <v>8</v>
      </c>
      <c r="H4" s="96" t="s">
        <v>1167</v>
      </c>
      <c r="I4" s="183"/>
      <c r="J4" s="183"/>
      <c r="K4" s="183"/>
      <c r="L4" s="183"/>
      <c r="M4" s="183"/>
      <c r="N4" s="183"/>
      <c r="O4" s="183"/>
      <c r="P4" s="183"/>
    </row>
    <row r="5" spans="1:16" ht="14.1" customHeight="1" x14ac:dyDescent="0.2">
      <c r="A5" s="3"/>
      <c r="B5" s="3"/>
      <c r="C5" s="4" t="s">
        <v>9</v>
      </c>
      <c r="D5" s="3"/>
      <c r="E5" s="3"/>
      <c r="F5" s="3"/>
      <c r="G5" s="3"/>
      <c r="H5" s="97"/>
    </row>
    <row r="6" spans="1:16" ht="24" customHeight="1" x14ac:dyDescent="0.2">
      <c r="A6" s="3"/>
      <c r="B6" s="3"/>
      <c r="C6" s="4" t="s">
        <v>10</v>
      </c>
      <c r="D6" s="3"/>
      <c r="E6" s="3"/>
      <c r="F6" s="3"/>
      <c r="G6" s="3"/>
      <c r="H6" s="97"/>
    </row>
    <row r="7" spans="1:16" x14ac:dyDescent="0.2">
      <c r="A7" s="5">
        <v>1</v>
      </c>
      <c r="B7" s="6" t="s">
        <v>17</v>
      </c>
      <c r="C7" s="6" t="s">
        <v>18</v>
      </c>
      <c r="D7" s="6" t="s">
        <v>19</v>
      </c>
      <c r="E7" s="7">
        <v>24511</v>
      </c>
      <c r="F7" s="8">
        <v>469.87587000000002</v>
      </c>
      <c r="G7" s="9">
        <v>3.3101669E-2</v>
      </c>
      <c r="H7" s="97"/>
    </row>
    <row r="8" spans="1:16" x14ac:dyDescent="0.2">
      <c r="A8" s="5">
        <v>2</v>
      </c>
      <c r="B8" s="6" t="s">
        <v>164</v>
      </c>
      <c r="C8" s="6" t="s">
        <v>165</v>
      </c>
      <c r="D8" s="6" t="s">
        <v>19</v>
      </c>
      <c r="E8" s="7">
        <v>38777</v>
      </c>
      <c r="F8" s="8">
        <v>452.93474850000001</v>
      </c>
      <c r="G8" s="9">
        <v>3.1908207000000001E-2</v>
      </c>
      <c r="H8" s="97"/>
    </row>
    <row r="9" spans="1:16" ht="25.5" x14ac:dyDescent="0.2">
      <c r="A9" s="5">
        <v>3</v>
      </c>
      <c r="B9" s="6" t="s">
        <v>143</v>
      </c>
      <c r="C9" s="6" t="s">
        <v>144</v>
      </c>
      <c r="D9" s="6" t="s">
        <v>45</v>
      </c>
      <c r="E9" s="7">
        <v>223169</v>
      </c>
      <c r="F9" s="8">
        <v>434.17528950000002</v>
      </c>
      <c r="G9" s="9">
        <v>3.0586645999999999E-2</v>
      </c>
      <c r="H9" s="97"/>
    </row>
    <row r="10" spans="1:16" x14ac:dyDescent="0.2">
      <c r="A10" s="5">
        <v>4</v>
      </c>
      <c r="B10" s="6" t="s">
        <v>274</v>
      </c>
      <c r="C10" s="6" t="s">
        <v>275</v>
      </c>
      <c r="D10" s="6" t="s">
        <v>185</v>
      </c>
      <c r="E10" s="7">
        <v>10290</v>
      </c>
      <c r="F10" s="8">
        <v>430.99664999999999</v>
      </c>
      <c r="G10" s="9">
        <v>3.0362718E-2</v>
      </c>
      <c r="H10" s="97"/>
    </row>
    <row r="11" spans="1:16" x14ac:dyDescent="0.2">
      <c r="A11" s="5">
        <v>5</v>
      </c>
      <c r="B11" s="6" t="s">
        <v>74</v>
      </c>
      <c r="C11" s="6" t="s">
        <v>75</v>
      </c>
      <c r="D11" s="6" t="s">
        <v>70</v>
      </c>
      <c r="E11" s="7">
        <v>90323</v>
      </c>
      <c r="F11" s="8">
        <v>379.17595399999999</v>
      </c>
      <c r="G11" s="9">
        <v>2.6712070000000001E-2</v>
      </c>
      <c r="H11" s="97"/>
    </row>
    <row r="12" spans="1:16" x14ac:dyDescent="0.2">
      <c r="A12" s="5">
        <v>6</v>
      </c>
      <c r="B12" s="6" t="s">
        <v>263</v>
      </c>
      <c r="C12" s="6" t="s">
        <v>264</v>
      </c>
      <c r="D12" s="6" t="s">
        <v>147</v>
      </c>
      <c r="E12" s="7">
        <v>58996</v>
      </c>
      <c r="F12" s="8">
        <v>361.61598199999997</v>
      </c>
      <c r="G12" s="9">
        <v>2.5475009999999999E-2</v>
      </c>
      <c r="H12" s="97"/>
    </row>
    <row r="13" spans="1:16" x14ac:dyDescent="0.2">
      <c r="A13" s="5">
        <v>7</v>
      </c>
      <c r="B13" s="6" t="s">
        <v>145</v>
      </c>
      <c r="C13" s="6" t="s">
        <v>146</v>
      </c>
      <c r="D13" s="6" t="s">
        <v>147</v>
      </c>
      <c r="E13" s="7">
        <v>6844</v>
      </c>
      <c r="F13" s="8">
        <v>335.65371399999998</v>
      </c>
      <c r="G13" s="9">
        <v>2.3646028999999999E-2</v>
      </c>
      <c r="H13" s="97"/>
    </row>
    <row r="14" spans="1:16" x14ac:dyDescent="0.2">
      <c r="A14" s="5">
        <v>8</v>
      </c>
      <c r="B14" s="6" t="s">
        <v>148</v>
      </c>
      <c r="C14" s="6" t="s">
        <v>149</v>
      </c>
      <c r="D14" s="6" t="s">
        <v>70</v>
      </c>
      <c r="E14" s="7">
        <v>55505</v>
      </c>
      <c r="F14" s="8">
        <v>331.864395</v>
      </c>
      <c r="G14" s="9">
        <v>2.337908E-2</v>
      </c>
      <c r="H14" s="97"/>
    </row>
    <row r="15" spans="1:16" x14ac:dyDescent="0.2">
      <c r="A15" s="5">
        <v>9</v>
      </c>
      <c r="B15" s="6" t="s">
        <v>150</v>
      </c>
      <c r="C15" s="6" t="s">
        <v>151</v>
      </c>
      <c r="D15" s="6" t="s">
        <v>81</v>
      </c>
      <c r="E15" s="7">
        <v>273941</v>
      </c>
      <c r="F15" s="8">
        <v>303.66359849999998</v>
      </c>
      <c r="G15" s="9">
        <v>2.1392398999999999E-2</v>
      </c>
      <c r="H15" s="97"/>
    </row>
    <row r="16" spans="1:16" ht="15" x14ac:dyDescent="0.2">
      <c r="A16" s="5">
        <v>10</v>
      </c>
      <c r="B16" s="6" t="s">
        <v>154</v>
      </c>
      <c r="C16" s="6" t="s">
        <v>155</v>
      </c>
      <c r="D16" s="6" t="s">
        <v>147</v>
      </c>
      <c r="E16" s="7">
        <v>25532</v>
      </c>
      <c r="F16" s="8">
        <v>287.86053399999997</v>
      </c>
      <c r="G16" s="9">
        <v>2.0279109999999999E-2</v>
      </c>
      <c r="H16" s="97"/>
      <c r="J16" s="184" t="s">
        <v>1243</v>
      </c>
    </row>
    <row r="17" spans="1:8" x14ac:dyDescent="0.2">
      <c r="A17" s="5">
        <v>11</v>
      </c>
      <c r="B17" s="6" t="s">
        <v>156</v>
      </c>
      <c r="C17" s="6" t="s">
        <v>157</v>
      </c>
      <c r="D17" s="6" t="s">
        <v>19</v>
      </c>
      <c r="E17" s="7">
        <v>38591</v>
      </c>
      <c r="F17" s="8">
        <v>279.91981850000002</v>
      </c>
      <c r="G17" s="9">
        <v>1.9719704000000001E-2</v>
      </c>
      <c r="H17" s="97"/>
    </row>
    <row r="18" spans="1:8" x14ac:dyDescent="0.2">
      <c r="A18" s="5">
        <v>12</v>
      </c>
      <c r="B18" s="6" t="s">
        <v>152</v>
      </c>
      <c r="C18" s="6" t="s">
        <v>153</v>
      </c>
      <c r="D18" s="6" t="s">
        <v>1184</v>
      </c>
      <c r="E18" s="7">
        <v>22647</v>
      </c>
      <c r="F18" s="8">
        <v>267.69886350000002</v>
      </c>
      <c r="G18" s="9">
        <v>1.8858765999999999E-2</v>
      </c>
      <c r="H18" s="97"/>
    </row>
    <row r="19" spans="1:8" x14ac:dyDescent="0.2">
      <c r="A19" s="5">
        <v>13</v>
      </c>
      <c r="B19" s="6" t="s">
        <v>276</v>
      </c>
      <c r="C19" s="6" t="s">
        <v>277</v>
      </c>
      <c r="D19" s="6" t="s">
        <v>53</v>
      </c>
      <c r="E19" s="7">
        <v>15135</v>
      </c>
      <c r="F19" s="8">
        <v>263.56088999999997</v>
      </c>
      <c r="G19" s="9">
        <v>1.8567256000000001E-2</v>
      </c>
      <c r="H19" s="97"/>
    </row>
    <row r="20" spans="1:8" ht="25.5" x14ac:dyDescent="0.2">
      <c r="A20" s="5">
        <v>14</v>
      </c>
      <c r="B20" s="6" t="s">
        <v>37</v>
      </c>
      <c r="C20" s="6" t="s">
        <v>38</v>
      </c>
      <c r="D20" s="6" t="s">
        <v>1185</v>
      </c>
      <c r="E20" s="7">
        <v>7660</v>
      </c>
      <c r="F20" s="8">
        <v>260.35190999999998</v>
      </c>
      <c r="G20" s="9">
        <v>1.8341191E-2</v>
      </c>
      <c r="H20" s="97"/>
    </row>
    <row r="21" spans="1:8" x14ac:dyDescent="0.2">
      <c r="A21" s="5">
        <v>15</v>
      </c>
      <c r="B21" s="6" t="s">
        <v>203</v>
      </c>
      <c r="C21" s="6" t="s">
        <v>204</v>
      </c>
      <c r="D21" s="6" t="s">
        <v>81</v>
      </c>
      <c r="E21" s="7">
        <v>32038</v>
      </c>
      <c r="F21" s="8">
        <v>248.038196</v>
      </c>
      <c r="G21" s="9">
        <v>1.7473717999999999E-2</v>
      </c>
      <c r="H21" s="97"/>
    </row>
    <row r="22" spans="1:8" x14ac:dyDescent="0.2">
      <c r="A22" s="5">
        <v>16</v>
      </c>
      <c r="B22" s="6" t="s">
        <v>183</v>
      </c>
      <c r="C22" s="6" t="s">
        <v>184</v>
      </c>
      <c r="D22" s="6" t="s">
        <v>185</v>
      </c>
      <c r="E22" s="7">
        <v>18450</v>
      </c>
      <c r="F22" s="8">
        <v>236.796525</v>
      </c>
      <c r="G22" s="9">
        <v>1.6681768E-2</v>
      </c>
      <c r="H22" s="97"/>
    </row>
    <row r="23" spans="1:8" x14ac:dyDescent="0.2">
      <c r="A23" s="5">
        <v>17</v>
      </c>
      <c r="B23" s="6" t="s">
        <v>84</v>
      </c>
      <c r="C23" s="6" t="s">
        <v>85</v>
      </c>
      <c r="D23" s="6" t="s">
        <v>53</v>
      </c>
      <c r="E23" s="7">
        <v>46942</v>
      </c>
      <c r="F23" s="8">
        <v>230.15662599999999</v>
      </c>
      <c r="G23" s="9">
        <v>1.6214003000000001E-2</v>
      </c>
      <c r="H23" s="97"/>
    </row>
    <row r="24" spans="1:8" x14ac:dyDescent="0.2">
      <c r="A24" s="5">
        <v>18</v>
      </c>
      <c r="B24" s="6" t="s">
        <v>278</v>
      </c>
      <c r="C24" s="6" t="s">
        <v>279</v>
      </c>
      <c r="D24" s="6" t="s">
        <v>1190</v>
      </c>
      <c r="E24" s="7">
        <v>9119</v>
      </c>
      <c r="F24" s="8">
        <v>224.60552949999999</v>
      </c>
      <c r="G24" s="9">
        <v>1.5822941E-2</v>
      </c>
      <c r="H24" s="97"/>
    </row>
    <row r="25" spans="1:8" x14ac:dyDescent="0.2">
      <c r="A25" s="5">
        <v>19</v>
      </c>
      <c r="B25" s="6" t="s">
        <v>158</v>
      </c>
      <c r="C25" s="6" t="s">
        <v>159</v>
      </c>
      <c r="D25" s="6" t="s">
        <v>1187</v>
      </c>
      <c r="E25" s="7">
        <v>18345</v>
      </c>
      <c r="F25" s="8">
        <v>223.65306749999999</v>
      </c>
      <c r="G25" s="9">
        <v>1.5755841999999999E-2</v>
      </c>
      <c r="H25" s="97"/>
    </row>
    <row r="26" spans="1:8" x14ac:dyDescent="0.2">
      <c r="A26" s="5">
        <v>20</v>
      </c>
      <c r="B26" s="6" t="s">
        <v>160</v>
      </c>
      <c r="C26" s="6" t="s">
        <v>161</v>
      </c>
      <c r="D26" s="6" t="s">
        <v>147</v>
      </c>
      <c r="E26" s="7">
        <v>21404</v>
      </c>
      <c r="F26" s="8">
        <v>218.96292</v>
      </c>
      <c r="G26" s="9">
        <v>1.5425431999999999E-2</v>
      </c>
      <c r="H26" s="97"/>
    </row>
    <row r="27" spans="1:8" x14ac:dyDescent="0.2">
      <c r="A27" s="5">
        <v>21</v>
      </c>
      <c r="B27" s="6" t="s">
        <v>280</v>
      </c>
      <c r="C27" s="6" t="s">
        <v>281</v>
      </c>
      <c r="D27" s="6" t="s">
        <v>238</v>
      </c>
      <c r="E27" s="7">
        <v>11897</v>
      </c>
      <c r="F27" s="8">
        <v>208.76855599999999</v>
      </c>
      <c r="G27" s="9">
        <v>1.4707262E-2</v>
      </c>
      <c r="H27" s="97"/>
    </row>
    <row r="28" spans="1:8" x14ac:dyDescent="0.2">
      <c r="A28" s="5">
        <v>22</v>
      </c>
      <c r="B28" s="6" t="s">
        <v>172</v>
      </c>
      <c r="C28" s="6" t="s">
        <v>173</v>
      </c>
      <c r="D28" s="6" t="s">
        <v>174</v>
      </c>
      <c r="E28" s="7">
        <v>86836</v>
      </c>
      <c r="F28" s="8">
        <v>207.581458</v>
      </c>
      <c r="G28" s="9">
        <v>1.4623634E-2</v>
      </c>
      <c r="H28" s="97"/>
    </row>
    <row r="29" spans="1:8" x14ac:dyDescent="0.2">
      <c r="A29" s="5">
        <v>23</v>
      </c>
      <c r="B29" s="6" t="s">
        <v>166</v>
      </c>
      <c r="C29" s="6" t="s">
        <v>167</v>
      </c>
      <c r="D29" s="6" t="s">
        <v>1186</v>
      </c>
      <c r="E29" s="7">
        <v>58726</v>
      </c>
      <c r="F29" s="8">
        <v>207.508321</v>
      </c>
      <c r="G29" s="9">
        <v>1.4618482E-2</v>
      </c>
      <c r="H29" s="97"/>
    </row>
    <row r="30" spans="1:8" x14ac:dyDescent="0.2">
      <c r="A30" s="5">
        <v>24</v>
      </c>
      <c r="B30" s="6" t="s">
        <v>41</v>
      </c>
      <c r="C30" s="6" t="s">
        <v>42</v>
      </c>
      <c r="D30" s="6" t="s">
        <v>19</v>
      </c>
      <c r="E30" s="7">
        <v>16846</v>
      </c>
      <c r="F30" s="8">
        <v>205.56331499999999</v>
      </c>
      <c r="G30" s="9">
        <v>1.4481460999999999E-2</v>
      </c>
      <c r="H30" s="97"/>
    </row>
    <row r="31" spans="1:8" x14ac:dyDescent="0.2">
      <c r="A31" s="5">
        <v>25</v>
      </c>
      <c r="B31" s="6" t="s">
        <v>168</v>
      </c>
      <c r="C31" s="6" t="s">
        <v>169</v>
      </c>
      <c r="D31" s="6" t="s">
        <v>81</v>
      </c>
      <c r="E31" s="7">
        <v>311943</v>
      </c>
      <c r="F31" s="8">
        <v>196.52409</v>
      </c>
      <c r="G31" s="9">
        <v>1.3844667999999999E-2</v>
      </c>
      <c r="H31" s="97"/>
    </row>
    <row r="32" spans="1:8" x14ac:dyDescent="0.2">
      <c r="A32" s="5">
        <v>26</v>
      </c>
      <c r="B32" s="6" t="s">
        <v>259</v>
      </c>
      <c r="C32" s="6" t="s">
        <v>260</v>
      </c>
      <c r="D32" s="6" t="s">
        <v>34</v>
      </c>
      <c r="E32" s="7">
        <v>51485</v>
      </c>
      <c r="F32" s="8">
        <v>192.83706749999999</v>
      </c>
      <c r="G32" s="9">
        <v>1.3584926000000001E-2</v>
      </c>
      <c r="H32" s="97"/>
    </row>
    <row r="33" spans="1:8" ht="25.5" x14ac:dyDescent="0.2">
      <c r="A33" s="5">
        <v>27</v>
      </c>
      <c r="B33" s="6" t="s">
        <v>207</v>
      </c>
      <c r="C33" s="6" t="s">
        <v>208</v>
      </c>
      <c r="D33" s="6" t="s">
        <v>45</v>
      </c>
      <c r="E33" s="7">
        <v>85861</v>
      </c>
      <c r="F33" s="8">
        <v>190.86900299999999</v>
      </c>
      <c r="G33" s="9">
        <v>1.344628E-2</v>
      </c>
      <c r="H33" s="97"/>
    </row>
    <row r="34" spans="1:8" x14ac:dyDescent="0.2">
      <c r="A34" s="5">
        <v>28</v>
      </c>
      <c r="B34" s="6" t="s">
        <v>191</v>
      </c>
      <c r="C34" s="6" t="s">
        <v>192</v>
      </c>
      <c r="D34" s="6" t="s">
        <v>193</v>
      </c>
      <c r="E34" s="7">
        <v>41878</v>
      </c>
      <c r="F34" s="8">
        <v>190.25175400000001</v>
      </c>
      <c r="G34" s="9">
        <v>1.3402796E-2</v>
      </c>
      <c r="H34" s="97"/>
    </row>
    <row r="35" spans="1:8" x14ac:dyDescent="0.2">
      <c r="A35" s="5">
        <v>29</v>
      </c>
      <c r="B35" s="6" t="s">
        <v>196</v>
      </c>
      <c r="C35" s="6" t="s">
        <v>197</v>
      </c>
      <c r="D35" s="6" t="s">
        <v>81</v>
      </c>
      <c r="E35" s="7">
        <v>34323</v>
      </c>
      <c r="F35" s="8">
        <v>189.7890285</v>
      </c>
      <c r="G35" s="9">
        <v>1.3370198999999999E-2</v>
      </c>
      <c r="H35" s="97"/>
    </row>
    <row r="36" spans="1:8" x14ac:dyDescent="0.2">
      <c r="A36" s="5">
        <v>30</v>
      </c>
      <c r="B36" s="6" t="s">
        <v>170</v>
      </c>
      <c r="C36" s="6" t="s">
        <v>171</v>
      </c>
      <c r="D36" s="6" t="s">
        <v>70</v>
      </c>
      <c r="E36" s="7">
        <v>19380</v>
      </c>
      <c r="F36" s="8">
        <v>188.52864</v>
      </c>
      <c r="G36" s="9">
        <v>1.3281407E-2</v>
      </c>
      <c r="H36" s="97"/>
    </row>
    <row r="37" spans="1:8" x14ac:dyDescent="0.2">
      <c r="A37" s="5">
        <v>31</v>
      </c>
      <c r="B37" s="6" t="s">
        <v>175</v>
      </c>
      <c r="C37" s="6" t="s">
        <v>176</v>
      </c>
      <c r="D37" s="6" t="s">
        <v>16</v>
      </c>
      <c r="E37" s="7">
        <v>63875</v>
      </c>
      <c r="F37" s="8">
        <v>186.7385625</v>
      </c>
      <c r="G37" s="9">
        <v>1.31553E-2</v>
      </c>
      <c r="H37" s="97"/>
    </row>
    <row r="38" spans="1:8" x14ac:dyDescent="0.2">
      <c r="A38" s="5">
        <v>32</v>
      </c>
      <c r="B38" s="6" t="s">
        <v>179</v>
      </c>
      <c r="C38" s="6" t="s">
        <v>180</v>
      </c>
      <c r="D38" s="6" t="s">
        <v>53</v>
      </c>
      <c r="E38" s="7">
        <v>180584</v>
      </c>
      <c r="F38" s="8">
        <v>181.577212</v>
      </c>
      <c r="G38" s="9">
        <v>1.2791695E-2</v>
      </c>
      <c r="H38" s="97"/>
    </row>
    <row r="39" spans="1:8" ht="25.5" x14ac:dyDescent="0.2">
      <c r="A39" s="5">
        <v>33</v>
      </c>
      <c r="B39" s="6" t="s">
        <v>177</v>
      </c>
      <c r="C39" s="6" t="s">
        <v>178</v>
      </c>
      <c r="D39" s="6" t="s">
        <v>1185</v>
      </c>
      <c r="E39" s="7">
        <v>78693</v>
      </c>
      <c r="F39" s="8">
        <v>178.12160549999999</v>
      </c>
      <c r="G39" s="9">
        <v>1.2548256000000001E-2</v>
      </c>
      <c r="H39" s="97"/>
    </row>
    <row r="40" spans="1:8" x14ac:dyDescent="0.2">
      <c r="A40" s="5">
        <v>34</v>
      </c>
      <c r="B40" s="6" t="s">
        <v>181</v>
      </c>
      <c r="C40" s="6" t="s">
        <v>182</v>
      </c>
      <c r="D40" s="6" t="s">
        <v>1189</v>
      </c>
      <c r="E40" s="7">
        <v>20000</v>
      </c>
      <c r="F40" s="8">
        <v>171.27</v>
      </c>
      <c r="G40" s="9">
        <v>1.2065576E-2</v>
      </c>
      <c r="H40" s="97"/>
    </row>
    <row r="41" spans="1:8" x14ac:dyDescent="0.2">
      <c r="A41" s="5">
        <v>35</v>
      </c>
      <c r="B41" s="6" t="s">
        <v>282</v>
      </c>
      <c r="C41" s="6" t="s">
        <v>283</v>
      </c>
      <c r="D41" s="6" t="s">
        <v>284</v>
      </c>
      <c r="E41" s="7">
        <v>67193</v>
      </c>
      <c r="F41" s="8">
        <v>168.95679849999999</v>
      </c>
      <c r="G41" s="9">
        <v>1.1902616E-2</v>
      </c>
      <c r="H41" s="97"/>
    </row>
    <row r="42" spans="1:8" x14ac:dyDescent="0.2">
      <c r="A42" s="5">
        <v>36</v>
      </c>
      <c r="B42" s="6" t="s">
        <v>188</v>
      </c>
      <c r="C42" s="6" t="s">
        <v>189</v>
      </c>
      <c r="D42" s="6" t="s">
        <v>190</v>
      </c>
      <c r="E42" s="7">
        <v>36074</v>
      </c>
      <c r="F42" s="8">
        <v>165.92236299999999</v>
      </c>
      <c r="G42" s="9">
        <v>1.1688847E-2</v>
      </c>
      <c r="H42" s="97"/>
    </row>
    <row r="43" spans="1:8" x14ac:dyDescent="0.2">
      <c r="A43" s="5">
        <v>37</v>
      </c>
      <c r="B43" s="6" t="s">
        <v>186</v>
      </c>
      <c r="C43" s="6" t="s">
        <v>187</v>
      </c>
      <c r="D43" s="6" t="s">
        <v>19</v>
      </c>
      <c r="E43" s="7">
        <v>8337</v>
      </c>
      <c r="F43" s="8">
        <v>165.75206549999999</v>
      </c>
      <c r="G43" s="9">
        <v>1.1676850000000001E-2</v>
      </c>
      <c r="H43" s="97"/>
    </row>
    <row r="44" spans="1:8" x14ac:dyDescent="0.2">
      <c r="A44" s="5">
        <v>38</v>
      </c>
      <c r="B44" s="6" t="s">
        <v>194</v>
      </c>
      <c r="C44" s="6" t="s">
        <v>195</v>
      </c>
      <c r="D44" s="6" t="s">
        <v>53</v>
      </c>
      <c r="E44" s="7">
        <v>16637</v>
      </c>
      <c r="F44" s="8">
        <v>163.93267950000001</v>
      </c>
      <c r="G44" s="9">
        <v>1.1548678999999999E-2</v>
      </c>
      <c r="H44" s="97"/>
    </row>
    <row r="45" spans="1:8" ht="25.5" x14ac:dyDescent="0.2">
      <c r="A45" s="5">
        <v>39</v>
      </c>
      <c r="B45" s="6" t="s">
        <v>200</v>
      </c>
      <c r="C45" s="6" t="s">
        <v>201</v>
      </c>
      <c r="D45" s="6" t="s">
        <v>202</v>
      </c>
      <c r="E45" s="7">
        <v>37245</v>
      </c>
      <c r="F45" s="8">
        <v>151.92235500000001</v>
      </c>
      <c r="G45" s="9">
        <v>1.0702579E-2</v>
      </c>
      <c r="H45" s="97"/>
    </row>
    <row r="46" spans="1:8" x14ac:dyDescent="0.2">
      <c r="A46" s="5">
        <v>40</v>
      </c>
      <c r="B46" s="6" t="s">
        <v>252</v>
      </c>
      <c r="C46" s="6" t="s">
        <v>253</v>
      </c>
      <c r="D46" s="6" t="s">
        <v>60</v>
      </c>
      <c r="E46" s="7">
        <v>71613</v>
      </c>
      <c r="F46" s="8">
        <v>151.56891450000001</v>
      </c>
      <c r="G46" s="9">
        <v>1.067768E-2</v>
      </c>
      <c r="H46" s="97"/>
    </row>
    <row r="47" spans="1:8" x14ac:dyDescent="0.2">
      <c r="A47" s="5">
        <v>41</v>
      </c>
      <c r="B47" s="6" t="s">
        <v>205</v>
      </c>
      <c r="C47" s="6" t="s">
        <v>206</v>
      </c>
      <c r="D47" s="6" t="s">
        <v>1187</v>
      </c>
      <c r="E47" s="7">
        <v>26897</v>
      </c>
      <c r="F47" s="8">
        <v>151.2552795</v>
      </c>
      <c r="G47" s="9">
        <v>1.0655585E-2</v>
      </c>
      <c r="H47" s="97"/>
    </row>
    <row r="48" spans="1:8" x14ac:dyDescent="0.2">
      <c r="A48" s="5">
        <v>42</v>
      </c>
      <c r="B48" s="6" t="s">
        <v>209</v>
      </c>
      <c r="C48" s="6" t="s">
        <v>210</v>
      </c>
      <c r="D48" s="6" t="s">
        <v>193</v>
      </c>
      <c r="E48" s="7">
        <v>25404</v>
      </c>
      <c r="F48" s="8">
        <v>136.90215599999999</v>
      </c>
      <c r="G48" s="9">
        <v>9.6444410000000001E-3</v>
      </c>
      <c r="H48" s="97"/>
    </row>
    <row r="49" spans="1:8" ht="25.5" x14ac:dyDescent="0.2">
      <c r="A49" s="5">
        <v>43</v>
      </c>
      <c r="B49" s="6" t="s">
        <v>211</v>
      </c>
      <c r="C49" s="6" t="s">
        <v>212</v>
      </c>
      <c r="D49" s="6" t="s">
        <v>202</v>
      </c>
      <c r="E49" s="7">
        <v>29335</v>
      </c>
      <c r="F49" s="8">
        <v>132.40352250000001</v>
      </c>
      <c r="G49" s="9">
        <v>9.3275219999999995E-3</v>
      </c>
      <c r="H49" s="97"/>
    </row>
    <row r="50" spans="1:8" ht="25.5" x14ac:dyDescent="0.2">
      <c r="A50" s="5">
        <v>44</v>
      </c>
      <c r="B50" s="6" t="s">
        <v>248</v>
      </c>
      <c r="C50" s="6" t="s">
        <v>249</v>
      </c>
      <c r="D50" s="6" t="s">
        <v>202</v>
      </c>
      <c r="E50" s="7">
        <v>30826</v>
      </c>
      <c r="F50" s="8">
        <v>132.320605</v>
      </c>
      <c r="G50" s="9">
        <v>9.3216810000000001E-3</v>
      </c>
      <c r="H50" s="97"/>
    </row>
    <row r="51" spans="1:8" x14ac:dyDescent="0.2">
      <c r="A51" s="5">
        <v>45</v>
      </c>
      <c r="B51" s="6" t="s">
        <v>216</v>
      </c>
      <c r="C51" s="6" t="s">
        <v>217</v>
      </c>
      <c r="D51" s="6" t="s">
        <v>1184</v>
      </c>
      <c r="E51" s="7">
        <v>8249</v>
      </c>
      <c r="F51" s="8">
        <v>130.56517199999999</v>
      </c>
      <c r="G51" s="9">
        <v>9.1980150000000004E-3</v>
      </c>
      <c r="H51" s="97"/>
    </row>
    <row r="52" spans="1:8" ht="25.5" x14ac:dyDescent="0.2">
      <c r="A52" s="5">
        <v>46</v>
      </c>
      <c r="B52" s="6" t="s">
        <v>285</v>
      </c>
      <c r="C52" s="6" t="s">
        <v>286</v>
      </c>
      <c r="D52" s="6" t="s">
        <v>185</v>
      </c>
      <c r="E52" s="7">
        <v>29589</v>
      </c>
      <c r="F52" s="8">
        <v>130.3839285</v>
      </c>
      <c r="G52" s="9">
        <v>9.1852470000000006E-3</v>
      </c>
      <c r="H52" s="97"/>
    </row>
    <row r="53" spans="1:8" x14ac:dyDescent="0.2">
      <c r="A53" s="5">
        <v>47</v>
      </c>
      <c r="B53" s="6" t="s">
        <v>261</v>
      </c>
      <c r="C53" s="6" t="s">
        <v>262</v>
      </c>
      <c r="D53" s="6" t="s">
        <v>238</v>
      </c>
      <c r="E53" s="7">
        <v>17673</v>
      </c>
      <c r="F53" s="8">
        <v>128.42085449999999</v>
      </c>
      <c r="G53" s="9">
        <v>9.0469520000000005E-3</v>
      </c>
      <c r="H53" s="97"/>
    </row>
    <row r="54" spans="1:8" ht="25.5" x14ac:dyDescent="0.2">
      <c r="A54" s="5">
        <v>48</v>
      </c>
      <c r="B54" s="6" t="s">
        <v>214</v>
      </c>
      <c r="C54" s="6" t="s">
        <v>215</v>
      </c>
      <c r="D54" s="6" t="s">
        <v>70</v>
      </c>
      <c r="E54" s="7">
        <v>6492</v>
      </c>
      <c r="F54" s="8">
        <v>128.24296799999999</v>
      </c>
      <c r="G54" s="9">
        <v>9.0344210000000008E-3</v>
      </c>
      <c r="H54" s="97"/>
    </row>
    <row r="55" spans="1:8" x14ac:dyDescent="0.2">
      <c r="A55" s="5">
        <v>49</v>
      </c>
      <c r="B55" s="6" t="s">
        <v>222</v>
      </c>
      <c r="C55" s="6" t="s">
        <v>223</v>
      </c>
      <c r="D55" s="6" t="s">
        <v>70</v>
      </c>
      <c r="E55" s="7">
        <v>48497</v>
      </c>
      <c r="F55" s="8">
        <v>127.74109799999999</v>
      </c>
      <c r="G55" s="9">
        <v>8.9990650000000005E-3</v>
      </c>
      <c r="H55" s="97"/>
    </row>
    <row r="56" spans="1:8" x14ac:dyDescent="0.2">
      <c r="A56" s="5">
        <v>50</v>
      </c>
      <c r="B56" s="6" t="s">
        <v>218</v>
      </c>
      <c r="C56" s="6" t="s">
        <v>219</v>
      </c>
      <c r="D56" s="6" t="s">
        <v>193</v>
      </c>
      <c r="E56" s="7">
        <v>7157</v>
      </c>
      <c r="F56" s="8">
        <v>127.37312900000001</v>
      </c>
      <c r="G56" s="9">
        <v>8.9731429999999994E-3</v>
      </c>
      <c r="H56" s="97"/>
    </row>
    <row r="57" spans="1:8" x14ac:dyDescent="0.2">
      <c r="A57" s="5">
        <v>51</v>
      </c>
      <c r="B57" s="6" t="s">
        <v>271</v>
      </c>
      <c r="C57" s="6" t="s">
        <v>272</v>
      </c>
      <c r="D57" s="6" t="s">
        <v>19</v>
      </c>
      <c r="E57" s="7">
        <v>11492</v>
      </c>
      <c r="F57" s="8">
        <v>124.510074</v>
      </c>
      <c r="G57" s="9">
        <v>8.7714469999999999E-3</v>
      </c>
      <c r="H57" s="97"/>
    </row>
    <row r="58" spans="1:8" x14ac:dyDescent="0.2">
      <c r="A58" s="5">
        <v>52</v>
      </c>
      <c r="B58" s="6" t="s">
        <v>287</v>
      </c>
      <c r="C58" s="6" t="s">
        <v>288</v>
      </c>
      <c r="D58" s="6" t="s">
        <v>147</v>
      </c>
      <c r="E58" s="7">
        <v>9462</v>
      </c>
      <c r="F58" s="8">
        <v>122.684292</v>
      </c>
      <c r="G58" s="9">
        <v>8.6428249999999998E-3</v>
      </c>
      <c r="H58" s="97"/>
    </row>
    <row r="59" spans="1:8" x14ac:dyDescent="0.2">
      <c r="A59" s="5">
        <v>53</v>
      </c>
      <c r="B59" s="6" t="s">
        <v>162</v>
      </c>
      <c r="C59" s="6" t="s">
        <v>163</v>
      </c>
      <c r="D59" s="6" t="s">
        <v>1190</v>
      </c>
      <c r="E59" s="7">
        <v>52171</v>
      </c>
      <c r="F59" s="8">
        <v>122.184482</v>
      </c>
      <c r="G59" s="9">
        <v>8.6076139999999995E-3</v>
      </c>
      <c r="H59" s="97"/>
    </row>
    <row r="60" spans="1:8" x14ac:dyDescent="0.2">
      <c r="A60" s="5">
        <v>54</v>
      </c>
      <c r="B60" s="6" t="s">
        <v>68</v>
      </c>
      <c r="C60" s="6" t="s">
        <v>69</v>
      </c>
      <c r="D60" s="6" t="s">
        <v>70</v>
      </c>
      <c r="E60" s="7">
        <v>3600</v>
      </c>
      <c r="F60" s="8">
        <v>119.3832</v>
      </c>
      <c r="G60" s="9">
        <v>8.4102710000000004E-3</v>
      </c>
      <c r="H60" s="97"/>
    </row>
    <row r="61" spans="1:8" x14ac:dyDescent="0.2">
      <c r="A61" s="5">
        <v>55</v>
      </c>
      <c r="B61" s="6" t="s">
        <v>236</v>
      </c>
      <c r="C61" s="6" t="s">
        <v>237</v>
      </c>
      <c r="D61" s="6" t="s">
        <v>238</v>
      </c>
      <c r="E61" s="7">
        <v>32351</v>
      </c>
      <c r="F61" s="8">
        <v>118.56641500000001</v>
      </c>
      <c r="G61" s="9">
        <v>8.3527299999999992E-3</v>
      </c>
      <c r="H61" s="97"/>
    </row>
    <row r="62" spans="1:8" x14ac:dyDescent="0.2">
      <c r="A62" s="5">
        <v>56</v>
      </c>
      <c r="B62" s="6" t="s">
        <v>220</v>
      </c>
      <c r="C62" s="6" t="s">
        <v>221</v>
      </c>
      <c r="D62" s="6" t="s">
        <v>193</v>
      </c>
      <c r="E62" s="7">
        <v>21563</v>
      </c>
      <c r="F62" s="8">
        <v>106.3594975</v>
      </c>
      <c r="G62" s="9">
        <v>7.4927809999999996E-3</v>
      </c>
      <c r="H62" s="97"/>
    </row>
    <row r="63" spans="1:8" ht="25.5" x14ac:dyDescent="0.2">
      <c r="A63" s="5">
        <v>57</v>
      </c>
      <c r="B63" s="6" t="s">
        <v>226</v>
      </c>
      <c r="C63" s="6" t="s">
        <v>227</v>
      </c>
      <c r="D63" s="6" t="s">
        <v>1191</v>
      </c>
      <c r="E63" s="7">
        <v>118261</v>
      </c>
      <c r="F63" s="8">
        <v>104.9566375</v>
      </c>
      <c r="G63" s="9">
        <v>7.393953E-3</v>
      </c>
      <c r="H63" s="97"/>
    </row>
    <row r="64" spans="1:8" x14ac:dyDescent="0.2">
      <c r="A64" s="5">
        <v>58</v>
      </c>
      <c r="B64" s="6" t="s">
        <v>224</v>
      </c>
      <c r="C64" s="6" t="s">
        <v>225</v>
      </c>
      <c r="D64" s="6" t="s">
        <v>34</v>
      </c>
      <c r="E64" s="7">
        <v>90749</v>
      </c>
      <c r="F64" s="8">
        <v>98.961784499999993</v>
      </c>
      <c r="G64" s="9">
        <v>6.971629E-3</v>
      </c>
      <c r="H64" s="97"/>
    </row>
    <row r="65" spans="1:8" x14ac:dyDescent="0.2">
      <c r="A65" s="5">
        <v>59</v>
      </c>
      <c r="B65" s="6" t="s">
        <v>228</v>
      </c>
      <c r="C65" s="6" t="s">
        <v>229</v>
      </c>
      <c r="D65" s="6" t="s">
        <v>327</v>
      </c>
      <c r="E65" s="7">
        <v>10857</v>
      </c>
      <c r="F65" s="8">
        <v>92.099930999999998</v>
      </c>
      <c r="G65" s="9">
        <v>6.4882270000000001E-3</v>
      </c>
      <c r="H65" s="97"/>
    </row>
    <row r="66" spans="1:8" x14ac:dyDescent="0.2">
      <c r="A66" s="5">
        <v>60</v>
      </c>
      <c r="B66" s="6" t="s">
        <v>256</v>
      </c>
      <c r="C66" s="6" t="s">
        <v>257</v>
      </c>
      <c r="D66" s="6" t="s">
        <v>238</v>
      </c>
      <c r="E66" s="7">
        <v>14660</v>
      </c>
      <c r="F66" s="8">
        <v>91.573689999999999</v>
      </c>
      <c r="G66" s="9">
        <v>6.4511550000000001E-3</v>
      </c>
      <c r="H66" s="97"/>
    </row>
    <row r="67" spans="1:8" x14ac:dyDescent="0.2">
      <c r="A67" s="5">
        <v>61</v>
      </c>
      <c r="B67" s="6" t="s">
        <v>289</v>
      </c>
      <c r="C67" s="6" t="s">
        <v>290</v>
      </c>
      <c r="D67" s="6" t="s">
        <v>174</v>
      </c>
      <c r="E67" s="7">
        <v>13957</v>
      </c>
      <c r="F67" s="8">
        <v>90.022649999999999</v>
      </c>
      <c r="G67" s="9">
        <v>6.3418880000000004E-3</v>
      </c>
      <c r="H67" s="97"/>
    </row>
    <row r="68" spans="1:8" x14ac:dyDescent="0.2">
      <c r="A68" s="5">
        <v>62</v>
      </c>
      <c r="B68" s="6" t="s">
        <v>291</v>
      </c>
      <c r="C68" s="6" t="s">
        <v>292</v>
      </c>
      <c r="D68" s="6" t="s">
        <v>147</v>
      </c>
      <c r="E68" s="7">
        <v>5030</v>
      </c>
      <c r="F68" s="8">
        <v>84.315375000000003</v>
      </c>
      <c r="G68" s="9">
        <v>5.9398230000000003E-3</v>
      </c>
      <c r="H68" s="97"/>
    </row>
    <row r="69" spans="1:8" x14ac:dyDescent="0.2">
      <c r="A69" s="5">
        <v>63</v>
      </c>
      <c r="B69" s="6" t="s">
        <v>230</v>
      </c>
      <c r="C69" s="6" t="s">
        <v>231</v>
      </c>
      <c r="D69" s="6" t="s">
        <v>60</v>
      </c>
      <c r="E69" s="7">
        <v>9967</v>
      </c>
      <c r="F69" s="8">
        <v>83.603195999999997</v>
      </c>
      <c r="G69" s="9">
        <v>5.8896520000000004E-3</v>
      </c>
      <c r="H69" s="97"/>
    </row>
    <row r="70" spans="1:8" x14ac:dyDescent="0.2">
      <c r="A70" s="5">
        <v>64</v>
      </c>
      <c r="B70" s="6" t="s">
        <v>265</v>
      </c>
      <c r="C70" s="6" t="s">
        <v>266</v>
      </c>
      <c r="D70" s="6" t="s">
        <v>147</v>
      </c>
      <c r="E70" s="7">
        <v>21875</v>
      </c>
      <c r="F70" s="8">
        <v>81.451562499999994</v>
      </c>
      <c r="G70" s="9">
        <v>5.7380740000000001E-3</v>
      </c>
      <c r="H70" s="97"/>
    </row>
    <row r="71" spans="1:8" x14ac:dyDescent="0.2">
      <c r="A71" s="5">
        <v>65</v>
      </c>
      <c r="B71" s="6" t="s">
        <v>232</v>
      </c>
      <c r="C71" s="6" t="s">
        <v>233</v>
      </c>
      <c r="D71" s="6" t="s">
        <v>193</v>
      </c>
      <c r="E71" s="7">
        <v>1484</v>
      </c>
      <c r="F71" s="8">
        <v>79.221856000000002</v>
      </c>
      <c r="G71" s="9">
        <v>5.5809969999999999E-3</v>
      </c>
      <c r="H71" s="97"/>
    </row>
    <row r="72" spans="1:8" x14ac:dyDescent="0.2">
      <c r="A72" s="5">
        <v>66</v>
      </c>
      <c r="B72" s="6" t="s">
        <v>245</v>
      </c>
      <c r="C72" s="6" t="s">
        <v>246</v>
      </c>
      <c r="D72" s="6" t="s">
        <v>247</v>
      </c>
      <c r="E72" s="7">
        <v>35518</v>
      </c>
      <c r="F72" s="8">
        <v>77.429239999999993</v>
      </c>
      <c r="G72" s="9">
        <v>5.4547110000000001E-3</v>
      </c>
      <c r="H72" s="97"/>
    </row>
    <row r="73" spans="1:8" x14ac:dyDescent="0.2">
      <c r="A73" s="5">
        <v>67</v>
      </c>
      <c r="B73" s="6" t="s">
        <v>267</v>
      </c>
      <c r="C73" s="6" t="s">
        <v>268</v>
      </c>
      <c r="D73" s="6" t="s">
        <v>19</v>
      </c>
      <c r="E73" s="7">
        <v>20344</v>
      </c>
      <c r="F73" s="8">
        <v>74.591275999999993</v>
      </c>
      <c r="G73" s="9">
        <v>5.2547829999999998E-3</v>
      </c>
      <c r="H73" s="97"/>
    </row>
    <row r="74" spans="1:8" x14ac:dyDescent="0.2">
      <c r="A74" s="5">
        <v>68</v>
      </c>
      <c r="B74" s="6" t="s">
        <v>239</v>
      </c>
      <c r="C74" s="6" t="s">
        <v>240</v>
      </c>
      <c r="D74" s="6" t="s">
        <v>25</v>
      </c>
      <c r="E74" s="7">
        <v>86786</v>
      </c>
      <c r="F74" s="8">
        <v>68.213796000000002</v>
      </c>
      <c r="G74" s="9">
        <v>4.8055040000000004E-3</v>
      </c>
      <c r="H74" s="97"/>
    </row>
    <row r="75" spans="1:8" x14ac:dyDescent="0.2">
      <c r="A75" s="5">
        <v>69</v>
      </c>
      <c r="B75" s="6" t="s">
        <v>269</v>
      </c>
      <c r="C75" s="6" t="s">
        <v>270</v>
      </c>
      <c r="D75" s="6" t="s">
        <v>70</v>
      </c>
      <c r="E75" s="7">
        <v>48706</v>
      </c>
      <c r="F75" s="8">
        <v>68.164046999999997</v>
      </c>
      <c r="G75" s="9">
        <v>4.8019999999999998E-3</v>
      </c>
      <c r="H75" s="97"/>
    </row>
    <row r="76" spans="1:8" x14ac:dyDescent="0.2">
      <c r="A76" s="5">
        <v>70</v>
      </c>
      <c r="B76" s="6" t="s">
        <v>92</v>
      </c>
      <c r="C76" s="6" t="s">
        <v>93</v>
      </c>
      <c r="D76" s="6" t="s">
        <v>53</v>
      </c>
      <c r="E76" s="7">
        <v>78875</v>
      </c>
      <c r="F76" s="8">
        <v>67.871937500000001</v>
      </c>
      <c r="G76" s="9">
        <v>4.7814210000000001E-3</v>
      </c>
      <c r="H76" s="97"/>
    </row>
    <row r="77" spans="1:8" x14ac:dyDescent="0.2">
      <c r="A77" s="5">
        <v>71</v>
      </c>
      <c r="B77" s="6" t="s">
        <v>241</v>
      </c>
      <c r="C77" s="6" t="s">
        <v>242</v>
      </c>
      <c r="D77" s="6" t="s">
        <v>147</v>
      </c>
      <c r="E77" s="7">
        <v>14056</v>
      </c>
      <c r="F77" s="8">
        <v>66.470823999999993</v>
      </c>
      <c r="G77" s="9">
        <v>4.682716E-3</v>
      </c>
      <c r="H77" s="97"/>
    </row>
    <row r="78" spans="1:8" x14ac:dyDescent="0.2">
      <c r="A78" s="5">
        <v>72</v>
      </c>
      <c r="B78" s="6" t="s">
        <v>234</v>
      </c>
      <c r="C78" s="6" t="s">
        <v>235</v>
      </c>
      <c r="D78" s="6" t="s">
        <v>1187</v>
      </c>
      <c r="E78" s="7">
        <v>50412</v>
      </c>
      <c r="F78" s="8">
        <v>64.426535999999999</v>
      </c>
      <c r="G78" s="9">
        <v>4.538701E-3</v>
      </c>
      <c r="H78" s="97"/>
    </row>
    <row r="79" spans="1:8" x14ac:dyDescent="0.2">
      <c r="A79" s="5">
        <v>73</v>
      </c>
      <c r="B79" s="6" t="s">
        <v>243</v>
      </c>
      <c r="C79" s="6" t="s">
        <v>244</v>
      </c>
      <c r="D79" s="6" t="s">
        <v>185</v>
      </c>
      <c r="E79" s="7">
        <v>11640</v>
      </c>
      <c r="F79" s="8">
        <v>64.311000000000007</v>
      </c>
      <c r="G79" s="9">
        <v>4.5305609999999998E-3</v>
      </c>
      <c r="H79" s="97"/>
    </row>
    <row r="80" spans="1:8" x14ac:dyDescent="0.2">
      <c r="A80" s="5">
        <v>74</v>
      </c>
      <c r="B80" s="6" t="s">
        <v>250</v>
      </c>
      <c r="C80" s="6" t="s">
        <v>251</v>
      </c>
      <c r="D80" s="6" t="s">
        <v>193</v>
      </c>
      <c r="E80" s="7">
        <v>17716</v>
      </c>
      <c r="F80" s="8">
        <v>48.887301999999998</v>
      </c>
      <c r="G80" s="9">
        <v>3.4439969999999999E-3</v>
      </c>
      <c r="H80" s="97"/>
    </row>
    <row r="81" spans="1:8" x14ac:dyDescent="0.2">
      <c r="A81" s="5">
        <v>75</v>
      </c>
      <c r="B81" s="6" t="s">
        <v>51</v>
      </c>
      <c r="C81" s="6" t="s">
        <v>52</v>
      </c>
      <c r="D81" s="6" t="s">
        <v>53</v>
      </c>
      <c r="E81" s="7">
        <v>27635</v>
      </c>
      <c r="F81" s="8">
        <v>47.891455000000001</v>
      </c>
      <c r="G81" s="9">
        <v>3.3738420000000002E-3</v>
      </c>
      <c r="H81" s="97"/>
    </row>
    <row r="82" spans="1:8" ht="25.5" x14ac:dyDescent="0.2">
      <c r="A82" s="5">
        <v>76</v>
      </c>
      <c r="B82" s="6" t="s">
        <v>293</v>
      </c>
      <c r="C82" s="6" t="s">
        <v>294</v>
      </c>
      <c r="D82" s="6" t="s">
        <v>45</v>
      </c>
      <c r="E82" s="7">
        <v>7764</v>
      </c>
      <c r="F82" s="8">
        <v>47.181828000000003</v>
      </c>
      <c r="G82" s="9">
        <v>3.3238510000000001E-3</v>
      </c>
      <c r="H82" s="97"/>
    </row>
    <row r="83" spans="1:8" x14ac:dyDescent="0.2">
      <c r="A83" s="5">
        <v>77</v>
      </c>
      <c r="B83" s="6" t="s">
        <v>254</v>
      </c>
      <c r="C83" s="6" t="s">
        <v>255</v>
      </c>
      <c r="D83" s="6" t="s">
        <v>185</v>
      </c>
      <c r="E83" s="7">
        <v>3966</v>
      </c>
      <c r="F83" s="8">
        <v>41.357447999999998</v>
      </c>
      <c r="G83" s="9">
        <v>2.9135369999999999E-3</v>
      </c>
      <c r="H83" s="97"/>
    </row>
    <row r="84" spans="1:8" x14ac:dyDescent="0.2">
      <c r="A84" s="3"/>
      <c r="B84" s="3"/>
      <c r="C84" s="4" t="s">
        <v>97</v>
      </c>
      <c r="D84" s="3"/>
      <c r="E84" s="3" t="s">
        <v>98</v>
      </c>
      <c r="F84" s="11">
        <v>13487.844916</v>
      </c>
      <c r="G84" s="12">
        <v>0.95018751400000001</v>
      </c>
      <c r="H84" s="97"/>
    </row>
    <row r="85" spans="1:8" x14ac:dyDescent="0.2">
      <c r="A85" s="3"/>
      <c r="B85" s="3"/>
      <c r="C85" s="13"/>
      <c r="D85" s="3"/>
      <c r="E85" s="3"/>
      <c r="F85" s="14"/>
      <c r="G85" s="14"/>
      <c r="H85" s="97"/>
    </row>
    <row r="86" spans="1:8" x14ac:dyDescent="0.2">
      <c r="A86" s="3"/>
      <c r="B86" s="3"/>
      <c r="C86" s="4" t="s">
        <v>99</v>
      </c>
      <c r="D86" s="3"/>
      <c r="E86" s="3"/>
      <c r="F86" s="3"/>
      <c r="G86" s="3"/>
      <c r="H86" s="97"/>
    </row>
    <row r="87" spans="1:8" x14ac:dyDescent="0.2">
      <c r="A87" s="3"/>
      <c r="B87" s="3"/>
      <c r="C87" s="4" t="s">
        <v>97</v>
      </c>
      <c r="D87" s="3"/>
      <c r="E87" s="3" t="s">
        <v>98</v>
      </c>
      <c r="F87" s="15">
        <v>0</v>
      </c>
      <c r="G87" s="16">
        <v>0</v>
      </c>
      <c r="H87" s="97"/>
    </row>
    <row r="88" spans="1:8" x14ac:dyDescent="0.2">
      <c r="A88" s="3"/>
      <c r="B88" s="3"/>
      <c r="C88" s="13"/>
      <c r="D88" s="3"/>
      <c r="E88" s="3"/>
      <c r="F88" s="14"/>
      <c r="G88" s="14"/>
      <c r="H88" s="97"/>
    </row>
    <row r="89" spans="1:8" x14ac:dyDescent="0.2">
      <c r="A89" s="3"/>
      <c r="B89" s="3"/>
      <c r="C89" s="4" t="s">
        <v>100</v>
      </c>
      <c r="D89" s="3"/>
      <c r="E89" s="3"/>
      <c r="F89" s="3"/>
      <c r="G89" s="3"/>
      <c r="H89" s="97"/>
    </row>
    <row r="90" spans="1:8" x14ac:dyDescent="0.2">
      <c r="A90" s="3"/>
      <c r="B90" s="3"/>
      <c r="C90" s="4" t="s">
        <v>97</v>
      </c>
      <c r="D90" s="3"/>
      <c r="E90" s="3" t="s">
        <v>98</v>
      </c>
      <c r="F90" s="15">
        <v>0</v>
      </c>
      <c r="G90" s="16">
        <v>0</v>
      </c>
      <c r="H90" s="97"/>
    </row>
    <row r="91" spans="1:8" x14ac:dyDescent="0.2">
      <c r="A91" s="3"/>
      <c r="B91" s="3"/>
      <c r="C91" s="13"/>
      <c r="D91" s="3"/>
      <c r="E91" s="3"/>
      <c r="F91" s="14"/>
      <c r="G91" s="14"/>
      <c r="H91" s="97"/>
    </row>
    <row r="92" spans="1:8" x14ac:dyDescent="0.2">
      <c r="A92" s="3"/>
      <c r="B92" s="3"/>
      <c r="C92" s="4" t="s">
        <v>101</v>
      </c>
      <c r="D92" s="3"/>
      <c r="E92" s="3"/>
      <c r="F92" s="3"/>
      <c r="G92" s="3"/>
      <c r="H92" s="97"/>
    </row>
    <row r="93" spans="1:8" x14ac:dyDescent="0.2">
      <c r="A93" s="3"/>
      <c r="B93" s="3"/>
      <c r="C93" s="4" t="s">
        <v>97</v>
      </c>
      <c r="D93" s="3"/>
      <c r="E93" s="3" t="s">
        <v>98</v>
      </c>
      <c r="F93" s="15">
        <v>0</v>
      </c>
      <c r="G93" s="16">
        <v>0</v>
      </c>
      <c r="H93" s="97"/>
    </row>
    <row r="94" spans="1:8" x14ac:dyDescent="0.2">
      <c r="A94" s="3"/>
      <c r="B94" s="3"/>
      <c r="C94" s="13"/>
      <c r="D94" s="3"/>
      <c r="E94" s="3"/>
      <c r="F94" s="14"/>
      <c r="G94" s="14"/>
      <c r="H94" s="97"/>
    </row>
    <row r="95" spans="1:8" x14ac:dyDescent="0.2">
      <c r="A95" s="3"/>
      <c r="B95" s="3"/>
      <c r="C95" s="4" t="s">
        <v>102</v>
      </c>
      <c r="D95" s="3"/>
      <c r="E95" s="3"/>
      <c r="F95" s="14"/>
      <c r="G95" s="14"/>
      <c r="H95" s="97"/>
    </row>
    <row r="96" spans="1:8" x14ac:dyDescent="0.2">
      <c r="A96" s="3"/>
      <c r="B96" s="3"/>
      <c r="C96" s="4" t="s">
        <v>97</v>
      </c>
      <c r="D96" s="3"/>
      <c r="E96" s="3" t="s">
        <v>98</v>
      </c>
      <c r="F96" s="15">
        <v>0</v>
      </c>
      <c r="G96" s="16">
        <v>0</v>
      </c>
      <c r="H96" s="97"/>
    </row>
    <row r="97" spans="1:8" x14ac:dyDescent="0.2">
      <c r="A97" s="3"/>
      <c r="B97" s="3"/>
      <c r="C97" s="13"/>
      <c r="D97" s="3"/>
      <c r="E97" s="3"/>
      <c r="F97" s="14"/>
      <c r="G97" s="14"/>
      <c r="H97" s="97"/>
    </row>
    <row r="98" spans="1:8" x14ac:dyDescent="0.2">
      <c r="A98" s="3"/>
      <c r="B98" s="3"/>
      <c r="C98" s="4" t="s">
        <v>103</v>
      </c>
      <c r="D98" s="3"/>
      <c r="E98" s="3"/>
      <c r="F98" s="14"/>
      <c r="G98" s="14"/>
      <c r="H98" s="97"/>
    </row>
    <row r="99" spans="1:8" x14ac:dyDescent="0.2">
      <c r="A99" s="3"/>
      <c r="B99" s="3"/>
      <c r="C99" s="4" t="s">
        <v>97</v>
      </c>
      <c r="D99" s="3"/>
      <c r="E99" s="3" t="s">
        <v>98</v>
      </c>
      <c r="F99" s="15">
        <v>0</v>
      </c>
      <c r="G99" s="16">
        <v>0</v>
      </c>
      <c r="H99" s="97"/>
    </row>
    <row r="100" spans="1:8" x14ac:dyDescent="0.2">
      <c r="A100" s="3"/>
      <c r="B100" s="3"/>
      <c r="C100" s="13"/>
      <c r="D100" s="3"/>
      <c r="E100" s="3"/>
      <c r="F100" s="14"/>
      <c r="G100" s="14"/>
      <c r="H100" s="97"/>
    </row>
    <row r="101" spans="1:8" x14ac:dyDescent="0.2">
      <c r="A101" s="3"/>
      <c r="B101" s="3"/>
      <c r="C101" s="4" t="s">
        <v>104</v>
      </c>
      <c r="D101" s="3"/>
      <c r="E101" s="3"/>
      <c r="F101" s="11">
        <v>13487.844916</v>
      </c>
      <c r="G101" s="12">
        <v>0.95018751400000001</v>
      </c>
      <c r="H101" s="97"/>
    </row>
    <row r="102" spans="1:8" x14ac:dyDescent="0.2">
      <c r="A102" s="3"/>
      <c r="B102" s="3"/>
      <c r="C102" s="13"/>
      <c r="D102" s="3"/>
      <c r="E102" s="3"/>
      <c r="F102" s="14"/>
      <c r="G102" s="14"/>
      <c r="H102" s="97"/>
    </row>
    <row r="103" spans="1:8" x14ac:dyDescent="0.2">
      <c r="A103" s="3"/>
      <c r="B103" s="3"/>
      <c r="C103" s="4" t="s">
        <v>105</v>
      </c>
      <c r="D103" s="3"/>
      <c r="E103" s="3"/>
      <c r="F103" s="14"/>
      <c r="G103" s="14"/>
      <c r="H103" s="97"/>
    </row>
    <row r="104" spans="1:8" ht="25.5" x14ac:dyDescent="0.2">
      <c r="A104" s="3"/>
      <c r="B104" s="3"/>
      <c r="C104" s="4" t="s">
        <v>10</v>
      </c>
      <c r="D104" s="3"/>
      <c r="E104" s="3"/>
      <c r="F104" s="14"/>
      <c r="G104" s="14"/>
      <c r="H104" s="97"/>
    </row>
    <row r="105" spans="1:8" x14ac:dyDescent="0.2">
      <c r="A105" s="3"/>
      <c r="B105" s="3"/>
      <c r="C105" s="4" t="s">
        <v>97</v>
      </c>
      <c r="D105" s="3"/>
      <c r="E105" s="3" t="s">
        <v>98</v>
      </c>
      <c r="F105" s="15">
        <v>0</v>
      </c>
      <c r="G105" s="16">
        <v>0</v>
      </c>
      <c r="H105" s="97"/>
    </row>
    <row r="106" spans="1:8" x14ac:dyDescent="0.2">
      <c r="A106" s="3"/>
      <c r="B106" s="3"/>
      <c r="C106" s="13"/>
      <c r="D106" s="3"/>
      <c r="E106" s="3"/>
      <c r="F106" s="14"/>
      <c r="G106" s="14"/>
      <c r="H106" s="97"/>
    </row>
    <row r="107" spans="1:8" x14ac:dyDescent="0.2">
      <c r="A107" s="3"/>
      <c r="B107" s="3"/>
      <c r="C107" s="4" t="s">
        <v>106</v>
      </c>
      <c r="D107" s="3"/>
      <c r="E107" s="3"/>
      <c r="F107" s="3"/>
      <c r="G107" s="3"/>
      <c r="H107" s="97"/>
    </row>
    <row r="108" spans="1:8" x14ac:dyDescent="0.2">
      <c r="A108" s="3"/>
      <c r="B108" s="3"/>
      <c r="C108" s="4" t="s">
        <v>97</v>
      </c>
      <c r="D108" s="3"/>
      <c r="E108" s="3" t="s">
        <v>98</v>
      </c>
      <c r="F108" s="15">
        <v>0</v>
      </c>
      <c r="G108" s="16">
        <v>0</v>
      </c>
      <c r="H108" s="97"/>
    </row>
    <row r="109" spans="1:8" x14ac:dyDescent="0.2">
      <c r="A109" s="3"/>
      <c r="B109" s="3"/>
      <c r="C109" s="13"/>
      <c r="D109" s="3"/>
      <c r="E109" s="3"/>
      <c r="F109" s="14"/>
      <c r="G109" s="14"/>
      <c r="H109" s="97"/>
    </row>
    <row r="110" spans="1:8" x14ac:dyDescent="0.2">
      <c r="A110" s="3"/>
      <c r="B110" s="3"/>
      <c r="C110" s="4" t="s">
        <v>107</v>
      </c>
      <c r="D110" s="3"/>
      <c r="E110" s="3"/>
      <c r="F110" s="3"/>
      <c r="G110" s="3"/>
      <c r="H110" s="97"/>
    </row>
    <row r="111" spans="1:8" x14ac:dyDescent="0.2">
      <c r="A111" s="3"/>
      <c r="B111" s="3"/>
      <c r="C111" s="4" t="s">
        <v>97</v>
      </c>
      <c r="D111" s="3"/>
      <c r="E111" s="3" t="s">
        <v>98</v>
      </c>
      <c r="F111" s="15">
        <v>0</v>
      </c>
      <c r="G111" s="16">
        <v>0</v>
      </c>
      <c r="H111" s="97"/>
    </row>
    <row r="112" spans="1:8" x14ac:dyDescent="0.2">
      <c r="A112" s="3"/>
      <c r="B112" s="3"/>
      <c r="C112" s="13"/>
      <c r="D112" s="3"/>
      <c r="E112" s="3"/>
      <c r="F112" s="14"/>
      <c r="G112" s="14"/>
      <c r="H112" s="97"/>
    </row>
    <row r="113" spans="1:8" x14ac:dyDescent="0.2">
      <c r="A113" s="3"/>
      <c r="B113" s="3"/>
      <c r="C113" s="4" t="s">
        <v>108</v>
      </c>
      <c r="D113" s="3"/>
      <c r="E113" s="3"/>
      <c r="F113" s="14"/>
      <c r="G113" s="14"/>
      <c r="H113" s="97"/>
    </row>
    <row r="114" spans="1:8" x14ac:dyDescent="0.2">
      <c r="A114" s="3"/>
      <c r="B114" s="3"/>
      <c r="C114" s="4" t="s">
        <v>97</v>
      </c>
      <c r="D114" s="3"/>
      <c r="E114" s="3" t="s">
        <v>98</v>
      </c>
      <c r="F114" s="15">
        <v>0</v>
      </c>
      <c r="G114" s="16">
        <v>0</v>
      </c>
      <c r="H114" s="97"/>
    </row>
    <row r="115" spans="1:8" x14ac:dyDescent="0.2">
      <c r="A115" s="3"/>
      <c r="B115" s="3"/>
      <c r="C115" s="13"/>
      <c r="D115" s="3"/>
      <c r="E115" s="3"/>
      <c r="F115" s="14"/>
      <c r="G115" s="14"/>
      <c r="H115" s="97"/>
    </row>
    <row r="116" spans="1:8" x14ac:dyDescent="0.2">
      <c r="A116" s="3"/>
      <c r="B116" s="3"/>
      <c r="C116" s="4" t="s">
        <v>109</v>
      </c>
      <c r="D116" s="3"/>
      <c r="E116" s="3"/>
      <c r="F116" s="11">
        <v>0</v>
      </c>
      <c r="G116" s="12">
        <v>0</v>
      </c>
      <c r="H116" s="97"/>
    </row>
    <row r="117" spans="1:8" x14ac:dyDescent="0.2">
      <c r="A117" s="3"/>
      <c r="B117" s="3"/>
      <c r="C117" s="13"/>
      <c r="D117" s="3"/>
      <c r="E117" s="3"/>
      <c r="F117" s="14"/>
      <c r="G117" s="14"/>
      <c r="H117" s="97"/>
    </row>
    <row r="118" spans="1:8" x14ac:dyDescent="0.2">
      <c r="A118" s="3"/>
      <c r="B118" s="3"/>
      <c r="C118" s="4" t="s">
        <v>110</v>
      </c>
      <c r="D118" s="3"/>
      <c r="E118" s="3"/>
      <c r="F118" s="14"/>
      <c r="G118" s="14"/>
      <c r="H118" s="97"/>
    </row>
    <row r="119" spans="1:8" x14ac:dyDescent="0.2">
      <c r="A119" s="3"/>
      <c r="B119" s="3"/>
      <c r="C119" s="4" t="s">
        <v>111</v>
      </c>
      <c r="D119" s="3"/>
      <c r="E119" s="3"/>
      <c r="F119" s="14"/>
      <c r="G119" s="14"/>
      <c r="H119" s="97"/>
    </row>
    <row r="120" spans="1:8" x14ac:dyDescent="0.2">
      <c r="A120" s="3"/>
      <c r="B120" s="3"/>
      <c r="C120" s="4" t="s">
        <v>97</v>
      </c>
      <c r="D120" s="3"/>
      <c r="E120" s="3" t="s">
        <v>98</v>
      </c>
      <c r="F120" s="15">
        <v>0</v>
      </c>
      <c r="G120" s="16">
        <v>0</v>
      </c>
      <c r="H120" s="97"/>
    </row>
    <row r="121" spans="1:8" x14ac:dyDescent="0.2">
      <c r="A121" s="3"/>
      <c r="B121" s="3"/>
      <c r="C121" s="13"/>
      <c r="D121" s="3"/>
      <c r="E121" s="3"/>
      <c r="F121" s="14"/>
      <c r="G121" s="14"/>
      <c r="H121" s="97"/>
    </row>
    <row r="122" spans="1:8" x14ac:dyDescent="0.2">
      <c r="A122" s="3"/>
      <c r="B122" s="3"/>
      <c r="C122" s="4" t="s">
        <v>112</v>
      </c>
      <c r="D122" s="3"/>
      <c r="E122" s="3"/>
      <c r="F122" s="14"/>
      <c r="G122" s="14"/>
      <c r="H122" s="97"/>
    </row>
    <row r="123" spans="1:8" x14ac:dyDescent="0.2">
      <c r="A123" s="3"/>
      <c r="B123" s="3"/>
      <c r="C123" s="4" t="s">
        <v>97</v>
      </c>
      <c r="D123" s="3"/>
      <c r="E123" s="3" t="s">
        <v>98</v>
      </c>
      <c r="F123" s="15">
        <v>0</v>
      </c>
      <c r="G123" s="16">
        <v>0</v>
      </c>
      <c r="H123" s="97"/>
    </row>
    <row r="124" spans="1:8" x14ac:dyDescent="0.2">
      <c r="A124" s="3"/>
      <c r="B124" s="3"/>
      <c r="C124" s="13"/>
      <c r="D124" s="3"/>
      <c r="E124" s="3"/>
      <c r="F124" s="14"/>
      <c r="G124" s="14"/>
      <c r="H124" s="97"/>
    </row>
    <row r="125" spans="1:8" x14ac:dyDescent="0.2">
      <c r="A125" s="3"/>
      <c r="B125" s="3"/>
      <c r="C125" s="4" t="s">
        <v>113</v>
      </c>
      <c r="D125" s="3"/>
      <c r="E125" s="3"/>
      <c r="F125" s="14"/>
      <c r="G125" s="14"/>
      <c r="H125" s="97"/>
    </row>
    <row r="126" spans="1:8" x14ac:dyDescent="0.2">
      <c r="A126" s="3"/>
      <c r="B126" s="3"/>
      <c r="C126" s="4" t="s">
        <v>97</v>
      </c>
      <c r="D126" s="3"/>
      <c r="E126" s="3" t="s">
        <v>98</v>
      </c>
      <c r="F126" s="15">
        <v>0</v>
      </c>
      <c r="G126" s="16">
        <v>0</v>
      </c>
      <c r="H126" s="97"/>
    </row>
    <row r="127" spans="1:8" x14ac:dyDescent="0.2">
      <c r="A127" s="3"/>
      <c r="B127" s="3"/>
      <c r="C127" s="13"/>
      <c r="D127" s="3"/>
      <c r="E127" s="3"/>
      <c r="F127" s="14"/>
      <c r="G127" s="14"/>
      <c r="H127" s="97"/>
    </row>
    <row r="128" spans="1:8" x14ac:dyDescent="0.2">
      <c r="A128" s="3"/>
      <c r="B128" s="3"/>
      <c r="C128" s="4" t="s">
        <v>114</v>
      </c>
      <c r="D128" s="3"/>
      <c r="E128" s="3"/>
      <c r="F128" s="14"/>
      <c r="G128" s="14"/>
      <c r="H128" s="97"/>
    </row>
    <row r="129" spans="1:8" x14ac:dyDescent="0.2">
      <c r="A129" s="5">
        <v>1</v>
      </c>
      <c r="B129" s="6"/>
      <c r="C129" s="6" t="s">
        <v>115</v>
      </c>
      <c r="D129" s="6"/>
      <c r="E129" s="10"/>
      <c r="F129" s="8">
        <v>451.35949240000002</v>
      </c>
      <c r="G129" s="9">
        <v>3.1797233000000001E-2</v>
      </c>
      <c r="H129" s="8">
        <v>3.4504560529072292</v>
      </c>
    </row>
    <row r="130" spans="1:8" x14ac:dyDescent="0.2">
      <c r="A130" s="5">
        <v>2</v>
      </c>
      <c r="B130" s="6"/>
      <c r="C130" s="6" t="s">
        <v>116</v>
      </c>
      <c r="D130" s="6"/>
      <c r="E130" s="10"/>
      <c r="F130" s="8">
        <v>243.60206439999999</v>
      </c>
      <c r="G130" s="9">
        <v>1.7161203E-2</v>
      </c>
      <c r="H130" s="8">
        <v>3.5655822479098256</v>
      </c>
    </row>
    <row r="131" spans="1:8" x14ac:dyDescent="0.2">
      <c r="A131" s="3"/>
      <c r="B131" s="3"/>
      <c r="C131" s="4" t="s">
        <v>97</v>
      </c>
      <c r="D131" s="3"/>
      <c r="E131" s="3" t="s">
        <v>98</v>
      </c>
      <c r="F131" s="11">
        <v>694.96155680000004</v>
      </c>
      <c r="G131" s="12">
        <v>4.8958436000000001E-2</v>
      </c>
      <c r="H131" s="97"/>
    </row>
    <row r="132" spans="1:8" x14ac:dyDescent="0.2">
      <c r="A132" s="3"/>
      <c r="B132" s="3"/>
      <c r="C132" s="13"/>
      <c r="D132" s="3"/>
      <c r="E132" s="3"/>
      <c r="F132" s="14"/>
      <c r="G132" s="14"/>
      <c r="H132" s="97"/>
    </row>
    <row r="133" spans="1:8" x14ac:dyDescent="0.2">
      <c r="A133" s="3"/>
      <c r="B133" s="3"/>
      <c r="C133" s="4" t="s">
        <v>117</v>
      </c>
      <c r="D133" s="3"/>
      <c r="E133" s="3"/>
      <c r="F133" s="11">
        <v>694.96155680000004</v>
      </c>
      <c r="G133" s="12">
        <v>4.8958436000000001E-2</v>
      </c>
      <c r="H133" s="97"/>
    </row>
    <row r="134" spans="1:8" x14ac:dyDescent="0.2">
      <c r="A134" s="3"/>
      <c r="B134" s="3"/>
      <c r="C134" s="14"/>
      <c r="D134" s="3"/>
      <c r="E134" s="3"/>
      <c r="F134" s="3"/>
      <c r="G134" s="3"/>
      <c r="H134" s="97"/>
    </row>
    <row r="135" spans="1:8" x14ac:dyDescent="0.2">
      <c r="A135" s="3"/>
      <c r="B135" s="3"/>
      <c r="C135" s="4" t="s">
        <v>118</v>
      </c>
      <c r="D135" s="3"/>
      <c r="E135" s="3"/>
      <c r="F135" s="3"/>
      <c r="G135" s="3"/>
      <c r="H135" s="97"/>
    </row>
    <row r="136" spans="1:8" x14ac:dyDescent="0.2">
      <c r="A136" s="3"/>
      <c r="B136" s="3"/>
      <c r="C136" s="4" t="s">
        <v>119</v>
      </c>
      <c r="D136" s="3"/>
      <c r="E136" s="3"/>
      <c r="F136" s="3"/>
      <c r="G136" s="3"/>
      <c r="H136" s="97"/>
    </row>
    <row r="137" spans="1:8" x14ac:dyDescent="0.2">
      <c r="A137" s="3"/>
      <c r="B137" s="3"/>
      <c r="C137" s="4" t="s">
        <v>97</v>
      </c>
      <c r="D137" s="3"/>
      <c r="E137" s="3" t="s">
        <v>98</v>
      </c>
      <c r="F137" s="15">
        <v>0</v>
      </c>
      <c r="G137" s="16">
        <v>0</v>
      </c>
      <c r="H137" s="97"/>
    </row>
    <row r="138" spans="1:8" x14ac:dyDescent="0.2">
      <c r="A138" s="3"/>
      <c r="B138" s="3"/>
      <c r="C138" s="13"/>
      <c r="D138" s="3"/>
      <c r="E138" s="3"/>
      <c r="F138" s="14"/>
      <c r="G138" s="14"/>
      <c r="H138" s="97"/>
    </row>
    <row r="139" spans="1:8" x14ac:dyDescent="0.2">
      <c r="A139" s="3"/>
      <c r="B139" s="3"/>
      <c r="C139" s="4" t="s">
        <v>120</v>
      </c>
      <c r="D139" s="3"/>
      <c r="E139" s="3"/>
      <c r="F139" s="3"/>
      <c r="G139" s="3"/>
      <c r="H139" s="97"/>
    </row>
    <row r="140" spans="1:8" x14ac:dyDescent="0.2">
      <c r="A140" s="3"/>
      <c r="B140" s="3"/>
      <c r="C140" s="4" t="s">
        <v>121</v>
      </c>
      <c r="D140" s="3"/>
      <c r="E140" s="3"/>
      <c r="F140" s="3"/>
      <c r="G140" s="3"/>
      <c r="H140" s="97"/>
    </row>
    <row r="141" spans="1:8" x14ac:dyDescent="0.2">
      <c r="A141" s="3"/>
      <c r="B141" s="3"/>
      <c r="C141" s="4" t="s">
        <v>97</v>
      </c>
      <c r="D141" s="3"/>
      <c r="E141" s="3" t="s">
        <v>98</v>
      </c>
      <c r="F141" s="15">
        <v>0</v>
      </c>
      <c r="G141" s="16">
        <v>0</v>
      </c>
      <c r="H141" s="97"/>
    </row>
    <row r="142" spans="1:8" x14ac:dyDescent="0.2">
      <c r="A142" s="3"/>
      <c r="B142" s="3"/>
      <c r="C142" s="13"/>
      <c r="D142" s="3"/>
      <c r="E142" s="3"/>
      <c r="F142" s="14"/>
      <c r="G142" s="14"/>
      <c r="H142" s="97"/>
    </row>
    <row r="143" spans="1:8" x14ac:dyDescent="0.2">
      <c r="A143" s="3"/>
      <c r="B143" s="3"/>
      <c r="C143" s="13"/>
      <c r="D143" s="3"/>
      <c r="E143" s="3"/>
      <c r="F143" s="14"/>
      <c r="G143" s="14"/>
      <c r="H143" s="97"/>
    </row>
    <row r="144" spans="1:8" ht="25.5" x14ac:dyDescent="0.2">
      <c r="A144" s="3"/>
      <c r="B144" s="3"/>
      <c r="C144" s="4" t="s">
        <v>122</v>
      </c>
      <c r="D144" s="3"/>
      <c r="E144" s="3"/>
      <c r="F144" s="14"/>
      <c r="G144" s="14"/>
      <c r="H144" s="97"/>
    </row>
    <row r="145" spans="1:8" x14ac:dyDescent="0.2">
      <c r="A145" s="3"/>
      <c r="B145" s="3"/>
      <c r="C145" s="4" t="s">
        <v>97</v>
      </c>
      <c r="D145" s="3"/>
      <c r="E145" s="3" t="s">
        <v>98</v>
      </c>
      <c r="F145" s="15">
        <v>0</v>
      </c>
      <c r="G145" s="16">
        <v>0</v>
      </c>
      <c r="H145" s="97"/>
    </row>
    <row r="146" spans="1:8" x14ac:dyDescent="0.2">
      <c r="A146" s="3"/>
      <c r="B146" s="3"/>
      <c r="C146" s="13"/>
      <c r="D146" s="3"/>
      <c r="E146" s="3"/>
      <c r="F146" s="14"/>
      <c r="G146" s="14"/>
      <c r="H146" s="97"/>
    </row>
    <row r="147" spans="1:8" x14ac:dyDescent="0.2">
      <c r="A147" s="3"/>
      <c r="B147" s="6"/>
      <c r="C147" s="6"/>
      <c r="D147" s="4"/>
      <c r="E147" s="3"/>
      <c r="F147" s="6"/>
      <c r="G147" s="10"/>
      <c r="H147" s="97"/>
    </row>
    <row r="148" spans="1:8" x14ac:dyDescent="0.2">
      <c r="A148" s="10"/>
      <c r="B148" s="6"/>
      <c r="C148" s="6" t="s">
        <v>123</v>
      </c>
      <c r="D148" s="6"/>
      <c r="E148" s="10"/>
      <c r="F148" s="8">
        <v>12.123231390000001</v>
      </c>
      <c r="G148" s="9">
        <v>8.5405400000000003E-4</v>
      </c>
      <c r="H148" s="97"/>
    </row>
    <row r="149" spans="1:8" x14ac:dyDescent="0.2">
      <c r="A149" s="13"/>
      <c r="B149" s="13"/>
      <c r="C149" s="4" t="s">
        <v>124</v>
      </c>
      <c r="D149" s="17"/>
      <c r="E149" s="17"/>
      <c r="F149" s="11">
        <v>14194.929704190001</v>
      </c>
      <c r="G149" s="12">
        <v>1.0000000040000001</v>
      </c>
      <c r="H149" s="97"/>
    </row>
    <row r="150" spans="1:8" ht="14.1" customHeight="1" x14ac:dyDescent="0.2">
      <c r="A150" s="20"/>
      <c r="B150" s="226" t="s">
        <v>98</v>
      </c>
      <c r="C150" s="226"/>
      <c r="D150" s="226"/>
      <c r="E150" s="226"/>
      <c r="F150" s="226"/>
      <c r="G150" s="22"/>
    </row>
    <row r="151" spans="1:8" ht="14.1" customHeight="1" x14ac:dyDescent="0.2">
      <c r="A151" s="20"/>
      <c r="B151" s="20"/>
      <c r="C151" s="20"/>
      <c r="D151" s="22"/>
      <c r="E151" s="22"/>
      <c r="F151" s="22"/>
      <c r="G151" s="22"/>
    </row>
    <row r="152" spans="1:8" ht="14.1" customHeight="1" x14ac:dyDescent="0.2">
      <c r="A152" s="20"/>
      <c r="B152" s="224" t="s">
        <v>126</v>
      </c>
      <c r="C152" s="225"/>
      <c r="D152" s="14" t="s">
        <v>98</v>
      </c>
      <c r="E152" s="23"/>
      <c r="F152" s="22"/>
      <c r="G152" s="22"/>
    </row>
    <row r="153" spans="1:8" ht="29.1" customHeight="1" x14ac:dyDescent="0.2">
      <c r="A153" s="20"/>
      <c r="B153" s="231" t="s">
        <v>127</v>
      </c>
      <c r="C153" s="232"/>
      <c r="D153" s="4" t="s">
        <v>128</v>
      </c>
      <c r="E153" s="23"/>
      <c r="F153" s="22"/>
      <c r="G153" s="22"/>
    </row>
    <row r="154" spans="1:8" ht="17.100000000000001" customHeight="1" x14ac:dyDescent="0.2">
      <c r="A154" s="20"/>
      <c r="B154" s="231" t="s">
        <v>129</v>
      </c>
      <c r="C154" s="232"/>
      <c r="D154" s="4" t="s">
        <v>128</v>
      </c>
      <c r="E154" s="23"/>
      <c r="F154" s="22"/>
      <c r="G154" s="22"/>
    </row>
    <row r="155" spans="1:8" ht="17.100000000000001" customHeight="1" x14ac:dyDescent="0.2">
      <c r="A155" s="20"/>
      <c r="B155" s="231" t="s">
        <v>130</v>
      </c>
      <c r="C155" s="232"/>
      <c r="D155" s="14" t="s">
        <v>98</v>
      </c>
      <c r="E155" s="23"/>
      <c r="F155" s="22"/>
      <c r="G155" s="22"/>
    </row>
    <row r="156" spans="1:8" ht="24" customHeight="1" x14ac:dyDescent="0.2">
      <c r="A156" s="24"/>
      <c r="B156" s="25" t="s">
        <v>98</v>
      </c>
      <c r="C156" s="25" t="s">
        <v>131</v>
      </c>
      <c r="D156" s="25" t="s">
        <v>132</v>
      </c>
      <c r="E156" s="24"/>
      <c r="F156" s="24"/>
      <c r="G156" s="24"/>
    </row>
    <row r="157" spans="1:8" ht="18" customHeight="1" x14ac:dyDescent="0.2">
      <c r="A157" s="24"/>
      <c r="B157" s="25" t="s">
        <v>133</v>
      </c>
      <c r="C157" s="25" t="s">
        <v>134</v>
      </c>
      <c r="D157" s="25" t="s">
        <v>135</v>
      </c>
      <c r="E157" s="24"/>
      <c r="F157" s="24"/>
      <c r="G157" s="24"/>
    </row>
    <row r="158" spans="1:8" ht="17.100000000000001" customHeight="1" x14ac:dyDescent="0.2">
      <c r="A158" s="24"/>
      <c r="B158" s="6" t="s">
        <v>136</v>
      </c>
      <c r="C158" s="26">
        <v>15.4536</v>
      </c>
      <c r="D158" s="26">
        <v>16.012599999999999</v>
      </c>
      <c r="E158" s="24"/>
      <c r="F158" s="21"/>
      <c r="G158" s="27"/>
    </row>
    <row r="159" spans="1:8" ht="17.100000000000001" customHeight="1" x14ac:dyDescent="0.2">
      <c r="A159" s="24"/>
      <c r="B159" s="6" t="s">
        <v>1201</v>
      </c>
      <c r="C159" s="26">
        <v>15.4536</v>
      </c>
      <c r="D159" s="26">
        <v>16.012599999999999</v>
      </c>
      <c r="E159" s="24"/>
      <c r="F159" s="21"/>
      <c r="G159" s="27"/>
    </row>
    <row r="160" spans="1:8" ht="17.100000000000001" customHeight="1" x14ac:dyDescent="0.2">
      <c r="A160" s="24"/>
      <c r="B160" s="6" t="s">
        <v>137</v>
      </c>
      <c r="C160" s="26">
        <v>15.074</v>
      </c>
      <c r="D160" s="26">
        <v>15.6114</v>
      </c>
      <c r="E160" s="24"/>
      <c r="F160" s="21"/>
      <c r="G160" s="27"/>
    </row>
    <row r="161" spans="1:17" ht="17.100000000000001" customHeight="1" x14ac:dyDescent="0.2">
      <c r="A161" s="24"/>
      <c r="B161" s="6" t="s">
        <v>1202</v>
      </c>
      <c r="C161" s="26">
        <v>15.074</v>
      </c>
      <c r="D161" s="26">
        <v>15.6114</v>
      </c>
      <c r="E161" s="24"/>
      <c r="F161" s="21"/>
      <c r="G161" s="27"/>
    </row>
    <row r="162" spans="1:17" ht="14.1" customHeight="1" x14ac:dyDescent="0.2">
      <c r="A162" s="24"/>
      <c r="B162" s="24"/>
      <c r="C162" s="24"/>
      <c r="D162" s="24"/>
      <c r="E162" s="24"/>
      <c r="F162" s="24"/>
      <c r="G162" s="24"/>
    </row>
    <row r="163" spans="1:17" ht="17.100000000000001" customHeight="1" x14ac:dyDescent="0.2">
      <c r="A163" s="24"/>
      <c r="B163" s="231" t="s">
        <v>1203</v>
      </c>
      <c r="C163" s="232"/>
      <c r="D163" s="4" t="s">
        <v>128</v>
      </c>
      <c r="E163" s="24"/>
      <c r="F163" s="24"/>
      <c r="G163" s="24"/>
    </row>
    <row r="164" spans="1:17" ht="18" customHeight="1" x14ac:dyDescent="0.2">
      <c r="A164" s="24"/>
      <c r="B164" s="28"/>
      <c r="C164" s="28"/>
      <c r="D164" s="29"/>
      <c r="E164" s="24"/>
      <c r="F164" s="24"/>
      <c r="G164" s="24"/>
    </row>
    <row r="165" spans="1:17" s="87" customFormat="1" x14ac:dyDescent="0.2">
      <c r="B165" s="233" t="s">
        <v>1207</v>
      </c>
      <c r="C165" s="233"/>
      <c r="D165" s="233"/>
      <c r="E165" s="233"/>
      <c r="F165" s="233"/>
      <c r="P165"/>
      <c r="Q165" s="69"/>
    </row>
    <row r="166" spans="1:17" ht="14.1" customHeight="1" x14ac:dyDescent="0.2">
      <c r="A166" s="24"/>
      <c r="B166" s="21"/>
      <c r="C166" s="21"/>
      <c r="D166" s="24"/>
      <c r="E166" s="24"/>
      <c r="F166" s="24"/>
      <c r="G166" s="24"/>
    </row>
    <row r="167" spans="1:17" ht="29.1" customHeight="1" x14ac:dyDescent="0.2">
      <c r="A167" s="24"/>
      <c r="B167" s="231" t="s">
        <v>138</v>
      </c>
      <c r="C167" s="232"/>
      <c r="D167" s="4" t="s">
        <v>128</v>
      </c>
      <c r="E167" s="24"/>
      <c r="F167" s="24"/>
      <c r="G167" s="24"/>
      <c r="P167" s="69"/>
    </row>
    <row r="168" spans="1:17" ht="29.1" customHeight="1" x14ac:dyDescent="0.2">
      <c r="A168" s="24"/>
      <c r="B168" s="231" t="s">
        <v>139</v>
      </c>
      <c r="C168" s="232"/>
      <c r="D168" s="4" t="s">
        <v>128</v>
      </c>
      <c r="E168" s="24"/>
      <c r="F168" s="24"/>
      <c r="G168" s="24"/>
    </row>
    <row r="169" spans="1:17" ht="17.100000000000001" customHeight="1" x14ac:dyDescent="0.2">
      <c r="A169" s="24"/>
      <c r="B169" s="231" t="s">
        <v>140</v>
      </c>
      <c r="C169" s="232"/>
      <c r="D169" s="30">
        <v>0.42928041722800014</v>
      </c>
      <c r="E169" s="24"/>
      <c r="F169" s="21"/>
      <c r="G169" s="27"/>
    </row>
    <row r="170" spans="1:17" ht="17.100000000000001" customHeight="1" x14ac:dyDescent="0.2">
      <c r="A170" s="24"/>
      <c r="B170" s="231" t="s">
        <v>141</v>
      </c>
      <c r="C170" s="232"/>
      <c r="D170" s="4" t="s">
        <v>128</v>
      </c>
      <c r="E170" s="24"/>
      <c r="F170" s="24"/>
      <c r="G170" s="24"/>
    </row>
  </sheetData>
  <mergeCells count="15">
    <mergeCell ref="B169:C169"/>
    <mergeCell ref="B170:C170"/>
    <mergeCell ref="B153:C153"/>
    <mergeCell ref="B154:C154"/>
    <mergeCell ref="B155:C155"/>
    <mergeCell ref="B163:C163"/>
    <mergeCell ref="B167:C167"/>
    <mergeCell ref="B168:C168"/>
    <mergeCell ref="B165:F165"/>
    <mergeCell ref="J2:N2"/>
    <mergeCell ref="B152:C152"/>
    <mergeCell ref="B150:F150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outlinePr summaryBelow="0" summaryRight="0"/>
  </sheetPr>
  <dimension ref="A1:Q171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5" ht="15" x14ac:dyDescent="0.2">
      <c r="A1" s="227" t="s">
        <v>0</v>
      </c>
      <c r="B1" s="227"/>
      <c r="C1" s="227"/>
      <c r="D1" s="227"/>
      <c r="E1" s="227"/>
      <c r="F1" s="227"/>
      <c r="G1" s="227"/>
      <c r="H1" s="227"/>
    </row>
    <row r="2" spans="1:15" s="87" customFormat="1" ht="15" x14ac:dyDescent="0.2">
      <c r="A2" s="228" t="s">
        <v>295</v>
      </c>
      <c r="B2" s="229"/>
      <c r="C2" s="229"/>
      <c r="D2" s="229"/>
      <c r="E2" s="229"/>
      <c r="F2" s="229"/>
      <c r="G2" s="229"/>
      <c r="H2" s="230"/>
      <c r="I2"/>
      <c r="J2" s="223" t="s">
        <v>1238</v>
      </c>
      <c r="K2" s="223"/>
      <c r="L2" s="223"/>
      <c r="M2" s="223"/>
      <c r="N2" s="223"/>
      <c r="O2"/>
    </row>
    <row r="3" spans="1:15" ht="15" x14ac:dyDescent="0.2">
      <c r="A3" s="227" t="s">
        <v>1208</v>
      </c>
      <c r="B3" s="227"/>
      <c r="C3" s="227"/>
      <c r="D3" s="227"/>
      <c r="E3" s="227"/>
      <c r="F3" s="227"/>
      <c r="G3" s="227"/>
      <c r="H3" s="227"/>
    </row>
    <row r="4" spans="1:15" s="113" customFormat="1" ht="30" x14ac:dyDescent="0.2">
      <c r="A4" s="1" t="s">
        <v>2</v>
      </c>
      <c r="B4" s="1" t="s">
        <v>3</v>
      </c>
      <c r="C4" s="1" t="s">
        <v>4</v>
      </c>
      <c r="D4" s="1" t="s">
        <v>5</v>
      </c>
      <c r="E4" s="2" t="s">
        <v>6</v>
      </c>
      <c r="F4" s="2" t="s">
        <v>7</v>
      </c>
      <c r="G4" s="2" t="s">
        <v>8</v>
      </c>
      <c r="H4" s="96" t="s">
        <v>1167</v>
      </c>
      <c r="I4" s="183"/>
      <c r="J4" s="183"/>
      <c r="K4" s="183"/>
      <c r="L4" s="183"/>
      <c r="M4" s="183"/>
      <c r="N4" s="183"/>
      <c r="O4" s="183"/>
    </row>
    <row r="5" spans="1:15" ht="14.1" customHeight="1" x14ac:dyDescent="0.2">
      <c r="A5" s="3"/>
      <c r="B5" s="3"/>
      <c r="C5" s="4" t="s">
        <v>9</v>
      </c>
      <c r="D5" s="3"/>
      <c r="E5" s="3"/>
      <c r="F5" s="3"/>
      <c r="G5" s="3"/>
      <c r="H5" s="97"/>
    </row>
    <row r="6" spans="1:15" ht="24" customHeight="1" x14ac:dyDescent="0.2">
      <c r="A6" s="3"/>
      <c r="B6" s="3"/>
      <c r="C6" s="4" t="s">
        <v>10</v>
      </c>
      <c r="D6" s="3"/>
      <c r="E6" s="3"/>
      <c r="F6" s="3"/>
      <c r="G6" s="3"/>
      <c r="H6" s="97"/>
    </row>
    <row r="7" spans="1:15" x14ac:dyDescent="0.2">
      <c r="A7" s="5">
        <v>1</v>
      </c>
      <c r="B7" s="6" t="s">
        <v>17</v>
      </c>
      <c r="C7" s="6" t="s">
        <v>18</v>
      </c>
      <c r="D7" s="6" t="s">
        <v>19</v>
      </c>
      <c r="E7" s="7">
        <v>20686</v>
      </c>
      <c r="F7" s="8">
        <v>396.55061999999998</v>
      </c>
      <c r="G7" s="9">
        <v>3.3134042000000002E-2</v>
      </c>
      <c r="H7" s="97"/>
    </row>
    <row r="8" spans="1:15" x14ac:dyDescent="0.2">
      <c r="A8" s="5">
        <v>2</v>
      </c>
      <c r="B8" s="6" t="s">
        <v>164</v>
      </c>
      <c r="C8" s="6" t="s">
        <v>165</v>
      </c>
      <c r="D8" s="6" t="s">
        <v>19</v>
      </c>
      <c r="E8" s="7">
        <v>32056</v>
      </c>
      <c r="F8" s="8">
        <v>374.43010800000002</v>
      </c>
      <c r="G8" s="9">
        <v>3.1285748000000002E-2</v>
      </c>
      <c r="H8" s="97"/>
    </row>
    <row r="9" spans="1:15" ht="25.5" x14ac:dyDescent="0.2">
      <c r="A9" s="5">
        <v>3</v>
      </c>
      <c r="B9" s="6" t="s">
        <v>143</v>
      </c>
      <c r="C9" s="6" t="s">
        <v>144</v>
      </c>
      <c r="D9" s="6" t="s">
        <v>45</v>
      </c>
      <c r="E9" s="7">
        <v>188288</v>
      </c>
      <c r="F9" s="8">
        <v>366.31430399999999</v>
      </c>
      <c r="G9" s="9">
        <v>3.0607626999999998E-2</v>
      </c>
      <c r="H9" s="97"/>
    </row>
    <row r="10" spans="1:15" x14ac:dyDescent="0.2">
      <c r="A10" s="5">
        <v>4</v>
      </c>
      <c r="B10" s="6" t="s">
        <v>274</v>
      </c>
      <c r="C10" s="6" t="s">
        <v>275</v>
      </c>
      <c r="D10" s="6" t="s">
        <v>185</v>
      </c>
      <c r="E10" s="7">
        <v>8708</v>
      </c>
      <c r="F10" s="8">
        <v>364.73457999999999</v>
      </c>
      <c r="G10" s="9">
        <v>3.0475631999999999E-2</v>
      </c>
      <c r="H10" s="97"/>
    </row>
    <row r="11" spans="1:15" x14ac:dyDescent="0.2">
      <c r="A11" s="5">
        <v>5</v>
      </c>
      <c r="B11" s="6" t="s">
        <v>74</v>
      </c>
      <c r="C11" s="6" t="s">
        <v>75</v>
      </c>
      <c r="D11" s="6" t="s">
        <v>70</v>
      </c>
      <c r="E11" s="7">
        <v>76300</v>
      </c>
      <c r="F11" s="8">
        <v>320.30739999999997</v>
      </c>
      <c r="G11" s="9">
        <v>2.6763491E-2</v>
      </c>
      <c r="H11" s="97"/>
    </row>
    <row r="12" spans="1:15" x14ac:dyDescent="0.2">
      <c r="A12" s="5">
        <v>6</v>
      </c>
      <c r="B12" s="6" t="s">
        <v>263</v>
      </c>
      <c r="C12" s="6" t="s">
        <v>264</v>
      </c>
      <c r="D12" s="6" t="s">
        <v>147</v>
      </c>
      <c r="E12" s="7">
        <v>49716</v>
      </c>
      <c r="F12" s="8">
        <v>304.73422199999999</v>
      </c>
      <c r="G12" s="9">
        <v>2.5462263999999998E-2</v>
      </c>
      <c r="H12" s="97"/>
    </row>
    <row r="13" spans="1:15" x14ac:dyDescent="0.2">
      <c r="A13" s="5">
        <v>7</v>
      </c>
      <c r="B13" s="6" t="s">
        <v>145</v>
      </c>
      <c r="C13" s="6" t="s">
        <v>146</v>
      </c>
      <c r="D13" s="6" t="s">
        <v>147</v>
      </c>
      <c r="E13" s="7">
        <v>5738</v>
      </c>
      <c r="F13" s="8">
        <v>281.41160300000001</v>
      </c>
      <c r="G13" s="9">
        <v>2.3513526999999999E-2</v>
      </c>
      <c r="H13" s="97"/>
    </row>
    <row r="14" spans="1:15" x14ac:dyDescent="0.2">
      <c r="A14" s="5">
        <v>8</v>
      </c>
      <c r="B14" s="6" t="s">
        <v>148</v>
      </c>
      <c r="C14" s="6" t="s">
        <v>149</v>
      </c>
      <c r="D14" s="6" t="s">
        <v>70</v>
      </c>
      <c r="E14" s="7">
        <v>46569</v>
      </c>
      <c r="F14" s="8">
        <v>278.43605100000002</v>
      </c>
      <c r="G14" s="9">
        <v>2.3264903E-2</v>
      </c>
      <c r="H14" s="97"/>
    </row>
    <row r="15" spans="1:15" x14ac:dyDescent="0.2">
      <c r="A15" s="5">
        <v>9</v>
      </c>
      <c r="B15" s="6" t="s">
        <v>150</v>
      </c>
      <c r="C15" s="6" t="s">
        <v>151</v>
      </c>
      <c r="D15" s="6" t="s">
        <v>81</v>
      </c>
      <c r="E15" s="7">
        <v>230364</v>
      </c>
      <c r="F15" s="8">
        <v>255.35849400000001</v>
      </c>
      <c r="G15" s="9">
        <v>2.1336642999999999E-2</v>
      </c>
      <c r="H15" s="97"/>
    </row>
    <row r="16" spans="1:15" ht="15" x14ac:dyDescent="0.2">
      <c r="A16" s="5">
        <v>10</v>
      </c>
      <c r="B16" s="6" t="s">
        <v>154</v>
      </c>
      <c r="C16" s="6" t="s">
        <v>155</v>
      </c>
      <c r="D16" s="6" t="s">
        <v>147</v>
      </c>
      <c r="E16" s="7">
        <v>21516</v>
      </c>
      <c r="F16" s="8">
        <v>242.582142</v>
      </c>
      <c r="G16" s="9">
        <v>2.0269107000000001E-2</v>
      </c>
      <c r="H16" s="97"/>
      <c r="J16" s="184" t="s">
        <v>1243</v>
      </c>
    </row>
    <row r="17" spans="1:8" x14ac:dyDescent="0.2">
      <c r="A17" s="5">
        <v>11</v>
      </c>
      <c r="B17" s="6" t="s">
        <v>156</v>
      </c>
      <c r="C17" s="6" t="s">
        <v>157</v>
      </c>
      <c r="D17" s="6" t="s">
        <v>19</v>
      </c>
      <c r="E17" s="7">
        <v>32433</v>
      </c>
      <c r="F17" s="8">
        <v>235.25276550000001</v>
      </c>
      <c r="G17" s="9">
        <v>1.9656696000000001E-2</v>
      </c>
      <c r="H17" s="97"/>
    </row>
    <row r="18" spans="1:8" x14ac:dyDescent="0.2">
      <c r="A18" s="5">
        <v>12</v>
      </c>
      <c r="B18" s="6" t="s">
        <v>152</v>
      </c>
      <c r="C18" s="6" t="s">
        <v>153</v>
      </c>
      <c r="D18" s="6" t="s">
        <v>1184</v>
      </c>
      <c r="E18" s="7">
        <v>19044</v>
      </c>
      <c r="F18" s="8">
        <v>225.109602</v>
      </c>
      <c r="G18" s="9">
        <v>1.8809177999999999E-2</v>
      </c>
      <c r="H18" s="97"/>
    </row>
    <row r="19" spans="1:8" x14ac:dyDescent="0.2">
      <c r="A19" s="5">
        <v>13</v>
      </c>
      <c r="B19" s="6" t="s">
        <v>276</v>
      </c>
      <c r="C19" s="6" t="s">
        <v>277</v>
      </c>
      <c r="D19" s="6" t="s">
        <v>53</v>
      </c>
      <c r="E19" s="7">
        <v>12753</v>
      </c>
      <c r="F19" s="8">
        <v>222.08074199999999</v>
      </c>
      <c r="G19" s="9">
        <v>1.8556099E-2</v>
      </c>
      <c r="H19" s="97"/>
    </row>
    <row r="20" spans="1:8" ht="25.5" x14ac:dyDescent="0.2">
      <c r="A20" s="5">
        <v>14</v>
      </c>
      <c r="B20" s="6" t="s">
        <v>37</v>
      </c>
      <c r="C20" s="6" t="s">
        <v>38</v>
      </c>
      <c r="D20" s="6" t="s">
        <v>1185</v>
      </c>
      <c r="E20" s="7">
        <v>6481</v>
      </c>
      <c r="F20" s="8">
        <v>220.27946850000001</v>
      </c>
      <c r="G20" s="9">
        <v>1.8405593000000001E-2</v>
      </c>
      <c r="H20" s="97"/>
    </row>
    <row r="21" spans="1:8" x14ac:dyDescent="0.2">
      <c r="A21" s="5">
        <v>15</v>
      </c>
      <c r="B21" s="6" t="s">
        <v>203</v>
      </c>
      <c r="C21" s="6" t="s">
        <v>204</v>
      </c>
      <c r="D21" s="6" t="s">
        <v>81</v>
      </c>
      <c r="E21" s="7">
        <v>27098</v>
      </c>
      <c r="F21" s="8">
        <v>209.79271600000001</v>
      </c>
      <c r="G21" s="9">
        <v>1.7529365000000002E-2</v>
      </c>
      <c r="H21" s="97"/>
    </row>
    <row r="22" spans="1:8" x14ac:dyDescent="0.2">
      <c r="A22" s="5">
        <v>16</v>
      </c>
      <c r="B22" s="6" t="s">
        <v>84</v>
      </c>
      <c r="C22" s="6" t="s">
        <v>85</v>
      </c>
      <c r="D22" s="6" t="s">
        <v>53</v>
      </c>
      <c r="E22" s="7">
        <v>39179</v>
      </c>
      <c r="F22" s="8">
        <v>192.09463700000001</v>
      </c>
      <c r="G22" s="9">
        <v>1.6050590999999999E-2</v>
      </c>
      <c r="H22" s="97"/>
    </row>
    <row r="23" spans="1:8" x14ac:dyDescent="0.2">
      <c r="A23" s="5">
        <v>17</v>
      </c>
      <c r="B23" s="6" t="s">
        <v>158</v>
      </c>
      <c r="C23" s="6" t="s">
        <v>159</v>
      </c>
      <c r="D23" s="6" t="s">
        <v>1187</v>
      </c>
      <c r="E23" s="7">
        <v>15495</v>
      </c>
      <c r="F23" s="8">
        <v>188.90729250000001</v>
      </c>
      <c r="G23" s="9">
        <v>1.578427E-2</v>
      </c>
      <c r="H23" s="97"/>
    </row>
    <row r="24" spans="1:8" x14ac:dyDescent="0.2">
      <c r="A24" s="5">
        <v>18</v>
      </c>
      <c r="B24" s="6" t="s">
        <v>160</v>
      </c>
      <c r="C24" s="6" t="s">
        <v>161</v>
      </c>
      <c r="D24" s="6" t="s">
        <v>147</v>
      </c>
      <c r="E24" s="7">
        <v>18035</v>
      </c>
      <c r="F24" s="8">
        <v>184.49805000000001</v>
      </c>
      <c r="G24" s="9">
        <v>1.5415853E-2</v>
      </c>
      <c r="H24" s="97"/>
    </row>
    <row r="25" spans="1:8" x14ac:dyDescent="0.2">
      <c r="A25" s="5">
        <v>19</v>
      </c>
      <c r="B25" s="6" t="s">
        <v>280</v>
      </c>
      <c r="C25" s="6" t="s">
        <v>281</v>
      </c>
      <c r="D25" s="6" t="s">
        <v>238</v>
      </c>
      <c r="E25" s="7">
        <v>10027</v>
      </c>
      <c r="F25" s="8">
        <v>175.95379600000001</v>
      </c>
      <c r="G25" s="9">
        <v>1.4701933E-2</v>
      </c>
      <c r="H25" s="97"/>
    </row>
    <row r="26" spans="1:8" x14ac:dyDescent="0.2">
      <c r="A26" s="5">
        <v>20</v>
      </c>
      <c r="B26" s="6" t="s">
        <v>166</v>
      </c>
      <c r="C26" s="6" t="s">
        <v>167</v>
      </c>
      <c r="D26" s="6" t="s">
        <v>1186</v>
      </c>
      <c r="E26" s="7">
        <v>49783</v>
      </c>
      <c r="F26" s="8">
        <v>175.9082305</v>
      </c>
      <c r="G26" s="9">
        <v>1.4698124999999999E-2</v>
      </c>
      <c r="H26" s="97"/>
    </row>
    <row r="27" spans="1:8" x14ac:dyDescent="0.2">
      <c r="A27" s="5">
        <v>21</v>
      </c>
      <c r="B27" s="6" t="s">
        <v>172</v>
      </c>
      <c r="C27" s="6" t="s">
        <v>173</v>
      </c>
      <c r="D27" s="6" t="s">
        <v>174</v>
      </c>
      <c r="E27" s="7">
        <v>72801</v>
      </c>
      <c r="F27" s="8">
        <v>174.03079049999999</v>
      </c>
      <c r="G27" s="9">
        <v>1.4541254999999999E-2</v>
      </c>
      <c r="H27" s="97"/>
    </row>
    <row r="28" spans="1:8" x14ac:dyDescent="0.2">
      <c r="A28" s="5">
        <v>22</v>
      </c>
      <c r="B28" s="6" t="s">
        <v>41</v>
      </c>
      <c r="C28" s="6" t="s">
        <v>42</v>
      </c>
      <c r="D28" s="6" t="s">
        <v>19</v>
      </c>
      <c r="E28" s="7">
        <v>14186</v>
      </c>
      <c r="F28" s="8">
        <v>173.10466500000001</v>
      </c>
      <c r="G28" s="9">
        <v>1.4463871999999999E-2</v>
      </c>
      <c r="H28" s="97"/>
    </row>
    <row r="29" spans="1:8" x14ac:dyDescent="0.2">
      <c r="A29" s="5">
        <v>23</v>
      </c>
      <c r="B29" s="6" t="s">
        <v>296</v>
      </c>
      <c r="C29" s="6" t="s">
        <v>297</v>
      </c>
      <c r="D29" s="6" t="s">
        <v>19</v>
      </c>
      <c r="E29" s="7">
        <v>23981</v>
      </c>
      <c r="F29" s="8">
        <v>170.13320450000001</v>
      </c>
      <c r="G29" s="9">
        <v>1.4215589000000001E-2</v>
      </c>
      <c r="H29" s="97"/>
    </row>
    <row r="30" spans="1:8" x14ac:dyDescent="0.2">
      <c r="A30" s="5">
        <v>24</v>
      </c>
      <c r="B30" s="6" t="s">
        <v>168</v>
      </c>
      <c r="C30" s="6" t="s">
        <v>169</v>
      </c>
      <c r="D30" s="6" t="s">
        <v>81</v>
      </c>
      <c r="E30" s="7">
        <v>264030</v>
      </c>
      <c r="F30" s="8">
        <v>166.3389</v>
      </c>
      <c r="G30" s="9">
        <v>1.3898554E-2</v>
      </c>
      <c r="H30" s="97"/>
    </row>
    <row r="31" spans="1:8" x14ac:dyDescent="0.2">
      <c r="A31" s="5">
        <v>25</v>
      </c>
      <c r="B31" s="6" t="s">
        <v>278</v>
      </c>
      <c r="C31" s="6" t="s">
        <v>279</v>
      </c>
      <c r="D31" s="6" t="s">
        <v>1190</v>
      </c>
      <c r="E31" s="7">
        <v>6688</v>
      </c>
      <c r="F31" s="8">
        <v>164.72878399999999</v>
      </c>
      <c r="G31" s="9">
        <v>1.3764019000000001E-2</v>
      </c>
      <c r="H31" s="97"/>
    </row>
    <row r="32" spans="1:8" ht="25.5" x14ac:dyDescent="0.2">
      <c r="A32" s="5">
        <v>26</v>
      </c>
      <c r="B32" s="6" t="s">
        <v>207</v>
      </c>
      <c r="C32" s="6" t="s">
        <v>208</v>
      </c>
      <c r="D32" s="6" t="s">
        <v>45</v>
      </c>
      <c r="E32" s="7">
        <v>72461</v>
      </c>
      <c r="F32" s="8">
        <v>161.080803</v>
      </c>
      <c r="G32" s="9">
        <v>1.3459209999999999E-2</v>
      </c>
      <c r="H32" s="97"/>
    </row>
    <row r="33" spans="1:8" x14ac:dyDescent="0.2">
      <c r="A33" s="5">
        <v>27</v>
      </c>
      <c r="B33" s="6" t="s">
        <v>196</v>
      </c>
      <c r="C33" s="6" t="s">
        <v>197</v>
      </c>
      <c r="D33" s="6" t="s">
        <v>81</v>
      </c>
      <c r="E33" s="7">
        <v>28924</v>
      </c>
      <c r="F33" s="8">
        <v>159.935258</v>
      </c>
      <c r="G33" s="9">
        <v>1.3363493000000001E-2</v>
      </c>
      <c r="H33" s="97"/>
    </row>
    <row r="34" spans="1:8" x14ac:dyDescent="0.2">
      <c r="A34" s="5">
        <v>28</v>
      </c>
      <c r="B34" s="6" t="s">
        <v>191</v>
      </c>
      <c r="C34" s="6" t="s">
        <v>192</v>
      </c>
      <c r="D34" s="6" t="s">
        <v>193</v>
      </c>
      <c r="E34" s="7">
        <v>35139</v>
      </c>
      <c r="F34" s="8">
        <v>159.63647700000001</v>
      </c>
      <c r="G34" s="9">
        <v>1.3338528000000001E-2</v>
      </c>
      <c r="H34" s="97"/>
    </row>
    <row r="35" spans="1:8" x14ac:dyDescent="0.2">
      <c r="A35" s="5">
        <v>29</v>
      </c>
      <c r="B35" s="6" t="s">
        <v>170</v>
      </c>
      <c r="C35" s="6" t="s">
        <v>171</v>
      </c>
      <c r="D35" s="6" t="s">
        <v>70</v>
      </c>
      <c r="E35" s="7">
        <v>16226</v>
      </c>
      <c r="F35" s="8">
        <v>157.84652800000001</v>
      </c>
      <c r="G35" s="9">
        <v>1.3188968000000001E-2</v>
      </c>
      <c r="H35" s="97"/>
    </row>
    <row r="36" spans="1:8" x14ac:dyDescent="0.2">
      <c r="A36" s="5">
        <v>30</v>
      </c>
      <c r="B36" s="6" t="s">
        <v>175</v>
      </c>
      <c r="C36" s="6" t="s">
        <v>176</v>
      </c>
      <c r="D36" s="6" t="s">
        <v>16</v>
      </c>
      <c r="E36" s="7">
        <v>53872</v>
      </c>
      <c r="F36" s="8">
        <v>157.49479199999999</v>
      </c>
      <c r="G36" s="9">
        <v>1.3159578999999999E-2</v>
      </c>
      <c r="H36" s="97"/>
    </row>
    <row r="37" spans="1:8" x14ac:dyDescent="0.2">
      <c r="A37" s="5">
        <v>31</v>
      </c>
      <c r="B37" s="6" t="s">
        <v>183</v>
      </c>
      <c r="C37" s="6" t="s">
        <v>184</v>
      </c>
      <c r="D37" s="6" t="s">
        <v>185</v>
      </c>
      <c r="E37" s="7">
        <v>12112</v>
      </c>
      <c r="F37" s="8">
        <v>155.45146399999999</v>
      </c>
      <c r="G37" s="9">
        <v>1.2988847E-2</v>
      </c>
      <c r="H37" s="97"/>
    </row>
    <row r="38" spans="1:8" x14ac:dyDescent="0.2">
      <c r="A38" s="5">
        <v>32</v>
      </c>
      <c r="B38" s="6" t="s">
        <v>282</v>
      </c>
      <c r="C38" s="6" t="s">
        <v>283</v>
      </c>
      <c r="D38" s="6" t="s">
        <v>284</v>
      </c>
      <c r="E38" s="7">
        <v>61316</v>
      </c>
      <c r="F38" s="8">
        <v>154.17908199999999</v>
      </c>
      <c r="G38" s="9">
        <v>1.2882532E-2</v>
      </c>
      <c r="H38" s="97"/>
    </row>
    <row r="39" spans="1:8" x14ac:dyDescent="0.2">
      <c r="A39" s="5">
        <v>33</v>
      </c>
      <c r="B39" s="6" t="s">
        <v>179</v>
      </c>
      <c r="C39" s="6" t="s">
        <v>180</v>
      </c>
      <c r="D39" s="6" t="s">
        <v>53</v>
      </c>
      <c r="E39" s="7">
        <v>152329</v>
      </c>
      <c r="F39" s="8">
        <v>153.1668095</v>
      </c>
      <c r="G39" s="9">
        <v>1.2797951E-2</v>
      </c>
      <c r="H39" s="97"/>
    </row>
    <row r="40" spans="1:8" x14ac:dyDescent="0.2">
      <c r="A40" s="5">
        <v>34</v>
      </c>
      <c r="B40" s="6" t="s">
        <v>259</v>
      </c>
      <c r="C40" s="6" t="s">
        <v>260</v>
      </c>
      <c r="D40" s="6" t="s">
        <v>34</v>
      </c>
      <c r="E40" s="7">
        <v>40089</v>
      </c>
      <c r="F40" s="8">
        <v>150.15334949999999</v>
      </c>
      <c r="G40" s="9">
        <v>1.2546160000000001E-2</v>
      </c>
      <c r="H40" s="97"/>
    </row>
    <row r="41" spans="1:8" ht="25.5" x14ac:dyDescent="0.2">
      <c r="A41" s="5">
        <v>35</v>
      </c>
      <c r="B41" s="6" t="s">
        <v>177</v>
      </c>
      <c r="C41" s="6" t="s">
        <v>178</v>
      </c>
      <c r="D41" s="6" t="s">
        <v>1185</v>
      </c>
      <c r="E41" s="7">
        <v>66035</v>
      </c>
      <c r="F41" s="8">
        <v>149.47022250000001</v>
      </c>
      <c r="G41" s="9">
        <v>1.2489081000000001E-2</v>
      </c>
      <c r="H41" s="97"/>
    </row>
    <row r="42" spans="1:8" x14ac:dyDescent="0.2">
      <c r="A42" s="5">
        <v>36</v>
      </c>
      <c r="B42" s="6" t="s">
        <v>188</v>
      </c>
      <c r="C42" s="6" t="s">
        <v>189</v>
      </c>
      <c r="D42" s="6" t="s">
        <v>190</v>
      </c>
      <c r="E42" s="7">
        <v>30419</v>
      </c>
      <c r="F42" s="8">
        <v>139.91219050000001</v>
      </c>
      <c r="G42" s="9">
        <v>1.1690453E-2</v>
      </c>
      <c r="H42" s="97"/>
    </row>
    <row r="43" spans="1:8" x14ac:dyDescent="0.2">
      <c r="A43" s="5">
        <v>37</v>
      </c>
      <c r="B43" s="6" t="s">
        <v>186</v>
      </c>
      <c r="C43" s="6" t="s">
        <v>187</v>
      </c>
      <c r="D43" s="6" t="s">
        <v>19</v>
      </c>
      <c r="E43" s="7">
        <v>7016</v>
      </c>
      <c r="F43" s="8">
        <v>139.48860400000001</v>
      </c>
      <c r="G43" s="9">
        <v>1.165506E-2</v>
      </c>
      <c r="H43" s="97"/>
    </row>
    <row r="44" spans="1:8" x14ac:dyDescent="0.2">
      <c r="A44" s="5">
        <v>38</v>
      </c>
      <c r="B44" s="6" t="s">
        <v>194</v>
      </c>
      <c r="C44" s="6" t="s">
        <v>195</v>
      </c>
      <c r="D44" s="6" t="s">
        <v>53</v>
      </c>
      <c r="E44" s="7">
        <v>13938</v>
      </c>
      <c r="F44" s="8">
        <v>137.33808300000001</v>
      </c>
      <c r="G44" s="9">
        <v>1.1475371999999999E-2</v>
      </c>
      <c r="H44" s="97"/>
    </row>
    <row r="45" spans="1:8" x14ac:dyDescent="0.2">
      <c r="A45" s="5">
        <v>39</v>
      </c>
      <c r="B45" s="6" t="s">
        <v>181</v>
      </c>
      <c r="C45" s="6" t="s">
        <v>182</v>
      </c>
      <c r="D45" s="6" t="s">
        <v>1189</v>
      </c>
      <c r="E45" s="7">
        <v>16000</v>
      </c>
      <c r="F45" s="8">
        <v>137.01599999999999</v>
      </c>
      <c r="G45" s="9">
        <v>1.1448460000000001E-2</v>
      </c>
      <c r="H45" s="97"/>
    </row>
    <row r="46" spans="1:8" ht="25.5" x14ac:dyDescent="0.2">
      <c r="A46" s="5">
        <v>40</v>
      </c>
      <c r="B46" s="6" t="s">
        <v>200</v>
      </c>
      <c r="C46" s="6" t="s">
        <v>201</v>
      </c>
      <c r="D46" s="6" t="s">
        <v>202</v>
      </c>
      <c r="E46" s="7">
        <v>31242</v>
      </c>
      <c r="F46" s="8">
        <v>127.43611799999999</v>
      </c>
      <c r="G46" s="9">
        <v>1.0648006999999999E-2</v>
      </c>
      <c r="H46" s="97"/>
    </row>
    <row r="47" spans="1:8" x14ac:dyDescent="0.2">
      <c r="A47" s="5">
        <v>41</v>
      </c>
      <c r="B47" s="6" t="s">
        <v>205</v>
      </c>
      <c r="C47" s="6" t="s">
        <v>206</v>
      </c>
      <c r="D47" s="6" t="s">
        <v>1187</v>
      </c>
      <c r="E47" s="7">
        <v>22655</v>
      </c>
      <c r="F47" s="8">
        <v>127.4003925</v>
      </c>
      <c r="G47" s="9">
        <v>1.0645022000000001E-2</v>
      </c>
      <c r="H47" s="97"/>
    </row>
    <row r="48" spans="1:8" x14ac:dyDescent="0.2">
      <c r="A48" s="5">
        <v>42</v>
      </c>
      <c r="B48" s="6" t="s">
        <v>209</v>
      </c>
      <c r="C48" s="6" t="s">
        <v>210</v>
      </c>
      <c r="D48" s="6" t="s">
        <v>193</v>
      </c>
      <c r="E48" s="7">
        <v>21308</v>
      </c>
      <c r="F48" s="8">
        <v>114.828812</v>
      </c>
      <c r="G48" s="9">
        <v>9.5945949999999992E-3</v>
      </c>
      <c r="H48" s="97"/>
    </row>
    <row r="49" spans="1:8" ht="25.5" x14ac:dyDescent="0.2">
      <c r="A49" s="5">
        <v>43</v>
      </c>
      <c r="B49" s="6" t="s">
        <v>211</v>
      </c>
      <c r="C49" s="6" t="s">
        <v>212</v>
      </c>
      <c r="D49" s="6" t="s">
        <v>202</v>
      </c>
      <c r="E49" s="7">
        <v>24808</v>
      </c>
      <c r="F49" s="8">
        <v>111.97090799999999</v>
      </c>
      <c r="G49" s="9">
        <v>9.3558010000000004E-3</v>
      </c>
      <c r="H49" s="97"/>
    </row>
    <row r="50" spans="1:8" ht="25.5" x14ac:dyDescent="0.2">
      <c r="A50" s="5">
        <v>44</v>
      </c>
      <c r="B50" s="6" t="s">
        <v>248</v>
      </c>
      <c r="C50" s="6" t="s">
        <v>249</v>
      </c>
      <c r="D50" s="6" t="s">
        <v>202</v>
      </c>
      <c r="E50" s="7">
        <v>25988</v>
      </c>
      <c r="F50" s="8">
        <v>111.55349</v>
      </c>
      <c r="G50" s="9">
        <v>9.3209239999999995E-3</v>
      </c>
      <c r="H50" s="97"/>
    </row>
    <row r="51" spans="1:8" x14ac:dyDescent="0.2">
      <c r="A51" s="5">
        <v>45</v>
      </c>
      <c r="B51" s="6" t="s">
        <v>216</v>
      </c>
      <c r="C51" s="6" t="s">
        <v>217</v>
      </c>
      <c r="D51" s="6" t="s">
        <v>1184</v>
      </c>
      <c r="E51" s="7">
        <v>6955</v>
      </c>
      <c r="F51" s="8">
        <v>110.08374000000001</v>
      </c>
      <c r="G51" s="9">
        <v>9.1981179999999999E-3</v>
      </c>
      <c r="H51" s="97"/>
    </row>
    <row r="52" spans="1:8" ht="25.5" x14ac:dyDescent="0.2">
      <c r="A52" s="5">
        <v>46</v>
      </c>
      <c r="B52" s="6" t="s">
        <v>285</v>
      </c>
      <c r="C52" s="6" t="s">
        <v>286</v>
      </c>
      <c r="D52" s="6" t="s">
        <v>185</v>
      </c>
      <c r="E52" s="7">
        <v>24937</v>
      </c>
      <c r="F52" s="8">
        <v>109.8848905</v>
      </c>
      <c r="G52" s="9">
        <v>9.1815030000000006E-3</v>
      </c>
      <c r="H52" s="97"/>
    </row>
    <row r="53" spans="1:8" x14ac:dyDescent="0.2">
      <c r="A53" s="5">
        <v>47</v>
      </c>
      <c r="B53" s="6" t="s">
        <v>222</v>
      </c>
      <c r="C53" s="6" t="s">
        <v>223</v>
      </c>
      <c r="D53" s="6" t="s">
        <v>70</v>
      </c>
      <c r="E53" s="7">
        <v>40563</v>
      </c>
      <c r="F53" s="8">
        <v>106.84294199999999</v>
      </c>
      <c r="G53" s="9">
        <v>8.9273310000000002E-3</v>
      </c>
      <c r="H53" s="97"/>
    </row>
    <row r="54" spans="1:8" x14ac:dyDescent="0.2">
      <c r="A54" s="5">
        <v>48</v>
      </c>
      <c r="B54" s="6" t="s">
        <v>218</v>
      </c>
      <c r="C54" s="6" t="s">
        <v>219</v>
      </c>
      <c r="D54" s="6" t="s">
        <v>193</v>
      </c>
      <c r="E54" s="7">
        <v>5980</v>
      </c>
      <c r="F54" s="8">
        <v>106.42606000000001</v>
      </c>
      <c r="G54" s="9">
        <v>8.8924980000000004E-3</v>
      </c>
      <c r="H54" s="97"/>
    </row>
    <row r="55" spans="1:8" x14ac:dyDescent="0.2">
      <c r="A55" s="5">
        <v>49</v>
      </c>
      <c r="B55" s="6" t="s">
        <v>162</v>
      </c>
      <c r="C55" s="6" t="s">
        <v>163</v>
      </c>
      <c r="D55" s="6" t="s">
        <v>1190</v>
      </c>
      <c r="E55" s="7">
        <v>45236</v>
      </c>
      <c r="F55" s="8">
        <v>105.942712</v>
      </c>
      <c r="G55" s="9">
        <v>8.8521109999999993E-3</v>
      </c>
      <c r="H55" s="97"/>
    </row>
    <row r="56" spans="1:8" x14ac:dyDescent="0.2">
      <c r="A56" s="5">
        <v>50</v>
      </c>
      <c r="B56" s="6" t="s">
        <v>298</v>
      </c>
      <c r="C56" s="6" t="s">
        <v>299</v>
      </c>
      <c r="D56" s="6" t="s">
        <v>1187</v>
      </c>
      <c r="E56" s="7">
        <v>270455</v>
      </c>
      <c r="F56" s="8">
        <v>105.47745</v>
      </c>
      <c r="G56" s="9">
        <v>8.8132360000000003E-3</v>
      </c>
      <c r="H56" s="97"/>
    </row>
    <row r="57" spans="1:8" x14ac:dyDescent="0.2">
      <c r="A57" s="5">
        <v>51</v>
      </c>
      <c r="B57" s="6" t="s">
        <v>271</v>
      </c>
      <c r="C57" s="6" t="s">
        <v>272</v>
      </c>
      <c r="D57" s="6" t="s">
        <v>19</v>
      </c>
      <c r="E57" s="7">
        <v>9688</v>
      </c>
      <c r="F57" s="8">
        <v>104.964636</v>
      </c>
      <c r="G57" s="9">
        <v>8.7703880000000005E-3</v>
      </c>
      <c r="H57" s="97"/>
    </row>
    <row r="58" spans="1:8" x14ac:dyDescent="0.2">
      <c r="A58" s="5">
        <v>52</v>
      </c>
      <c r="B58" s="6" t="s">
        <v>68</v>
      </c>
      <c r="C58" s="6" t="s">
        <v>69</v>
      </c>
      <c r="D58" s="6" t="s">
        <v>70</v>
      </c>
      <c r="E58" s="7">
        <v>3000</v>
      </c>
      <c r="F58" s="8">
        <v>99.486000000000004</v>
      </c>
      <c r="G58" s="9">
        <v>8.3126169999999996E-3</v>
      </c>
      <c r="H58" s="97"/>
    </row>
    <row r="59" spans="1:8" x14ac:dyDescent="0.2">
      <c r="A59" s="5">
        <v>53</v>
      </c>
      <c r="B59" s="6" t="s">
        <v>236</v>
      </c>
      <c r="C59" s="6" t="s">
        <v>237</v>
      </c>
      <c r="D59" s="6" t="s">
        <v>238</v>
      </c>
      <c r="E59" s="7">
        <v>27074</v>
      </c>
      <c r="F59" s="8">
        <v>99.226209999999995</v>
      </c>
      <c r="G59" s="9">
        <v>8.2909100000000003E-3</v>
      </c>
      <c r="H59" s="97"/>
    </row>
    <row r="60" spans="1:8" x14ac:dyDescent="0.2">
      <c r="A60" s="5">
        <v>54</v>
      </c>
      <c r="B60" s="6" t="s">
        <v>287</v>
      </c>
      <c r="C60" s="6" t="s">
        <v>288</v>
      </c>
      <c r="D60" s="6" t="s">
        <v>147</v>
      </c>
      <c r="E60" s="7">
        <v>7480</v>
      </c>
      <c r="F60" s="8">
        <v>96.985680000000002</v>
      </c>
      <c r="G60" s="9">
        <v>8.1037009999999996E-3</v>
      </c>
      <c r="H60" s="97"/>
    </row>
    <row r="61" spans="1:8" x14ac:dyDescent="0.2">
      <c r="A61" s="5">
        <v>55</v>
      </c>
      <c r="B61" s="6" t="s">
        <v>261</v>
      </c>
      <c r="C61" s="6" t="s">
        <v>262</v>
      </c>
      <c r="D61" s="6" t="s">
        <v>238</v>
      </c>
      <c r="E61" s="7">
        <v>13025</v>
      </c>
      <c r="F61" s="8">
        <v>94.646162500000003</v>
      </c>
      <c r="G61" s="9">
        <v>7.908221E-3</v>
      </c>
      <c r="H61" s="97"/>
    </row>
    <row r="62" spans="1:8" ht="25.5" x14ac:dyDescent="0.2">
      <c r="A62" s="5">
        <v>56</v>
      </c>
      <c r="B62" s="6" t="s">
        <v>214</v>
      </c>
      <c r="C62" s="6" t="s">
        <v>215</v>
      </c>
      <c r="D62" s="6" t="s">
        <v>70</v>
      </c>
      <c r="E62" s="7">
        <v>4600</v>
      </c>
      <c r="F62" s="8">
        <v>90.868399999999994</v>
      </c>
      <c r="G62" s="9">
        <v>7.5925680000000001E-3</v>
      </c>
      <c r="H62" s="97"/>
    </row>
    <row r="63" spans="1:8" x14ac:dyDescent="0.2">
      <c r="A63" s="5">
        <v>57</v>
      </c>
      <c r="B63" s="6" t="s">
        <v>252</v>
      </c>
      <c r="C63" s="6" t="s">
        <v>253</v>
      </c>
      <c r="D63" s="6" t="s">
        <v>60</v>
      </c>
      <c r="E63" s="7">
        <v>42614</v>
      </c>
      <c r="F63" s="8">
        <v>90.192531000000002</v>
      </c>
      <c r="G63" s="9">
        <v>7.5360949999999996E-3</v>
      </c>
      <c r="H63" s="97"/>
    </row>
    <row r="64" spans="1:8" x14ac:dyDescent="0.2">
      <c r="A64" s="5">
        <v>58</v>
      </c>
      <c r="B64" s="6" t="s">
        <v>220</v>
      </c>
      <c r="C64" s="6" t="s">
        <v>221</v>
      </c>
      <c r="D64" s="6" t="s">
        <v>193</v>
      </c>
      <c r="E64" s="7">
        <v>18233</v>
      </c>
      <c r="F64" s="8">
        <v>89.934272500000006</v>
      </c>
      <c r="G64" s="9">
        <v>7.5145159999999997E-3</v>
      </c>
      <c r="H64" s="97"/>
    </row>
    <row r="65" spans="1:8" ht="25.5" x14ac:dyDescent="0.2">
      <c r="A65" s="5">
        <v>59</v>
      </c>
      <c r="B65" s="6" t="s">
        <v>226</v>
      </c>
      <c r="C65" s="6" t="s">
        <v>227</v>
      </c>
      <c r="D65" s="6" t="s">
        <v>1191</v>
      </c>
      <c r="E65" s="7">
        <v>100256</v>
      </c>
      <c r="F65" s="8">
        <v>88.977199999999996</v>
      </c>
      <c r="G65" s="9">
        <v>7.4345469999999997E-3</v>
      </c>
      <c r="H65" s="97"/>
    </row>
    <row r="66" spans="1:8" x14ac:dyDescent="0.2">
      <c r="A66" s="5">
        <v>60</v>
      </c>
      <c r="B66" s="6" t="s">
        <v>224</v>
      </c>
      <c r="C66" s="6" t="s">
        <v>225</v>
      </c>
      <c r="D66" s="6" t="s">
        <v>34</v>
      </c>
      <c r="E66" s="7">
        <v>76703</v>
      </c>
      <c r="F66" s="8">
        <v>83.6446215</v>
      </c>
      <c r="G66" s="9">
        <v>6.9889799999999997E-3</v>
      </c>
      <c r="H66" s="97"/>
    </row>
    <row r="67" spans="1:8" x14ac:dyDescent="0.2">
      <c r="A67" s="5">
        <v>61</v>
      </c>
      <c r="B67" s="6" t="s">
        <v>228</v>
      </c>
      <c r="C67" s="6" t="s">
        <v>229</v>
      </c>
      <c r="D67" s="6" t="s">
        <v>327</v>
      </c>
      <c r="E67" s="7">
        <v>9171</v>
      </c>
      <c r="F67" s="8">
        <v>77.797593000000006</v>
      </c>
      <c r="G67" s="9">
        <v>6.5004279999999999E-3</v>
      </c>
      <c r="H67" s="97"/>
    </row>
    <row r="68" spans="1:8" x14ac:dyDescent="0.2">
      <c r="A68" s="5">
        <v>62</v>
      </c>
      <c r="B68" s="6" t="s">
        <v>256</v>
      </c>
      <c r="C68" s="6" t="s">
        <v>257</v>
      </c>
      <c r="D68" s="6" t="s">
        <v>238</v>
      </c>
      <c r="E68" s="7">
        <v>12261</v>
      </c>
      <c r="F68" s="8">
        <v>76.588336499999997</v>
      </c>
      <c r="G68" s="9">
        <v>6.3993879999999998E-3</v>
      </c>
      <c r="H68" s="97"/>
    </row>
    <row r="69" spans="1:8" x14ac:dyDescent="0.2">
      <c r="A69" s="5">
        <v>63</v>
      </c>
      <c r="B69" s="6" t="s">
        <v>289</v>
      </c>
      <c r="C69" s="6" t="s">
        <v>290</v>
      </c>
      <c r="D69" s="6" t="s">
        <v>174</v>
      </c>
      <c r="E69" s="7">
        <v>11772</v>
      </c>
      <c r="F69" s="8">
        <v>75.929400000000001</v>
      </c>
      <c r="G69" s="9">
        <v>6.3443299999999996E-3</v>
      </c>
      <c r="H69" s="97"/>
    </row>
    <row r="70" spans="1:8" x14ac:dyDescent="0.2">
      <c r="A70" s="5">
        <v>64</v>
      </c>
      <c r="B70" s="6" t="s">
        <v>291</v>
      </c>
      <c r="C70" s="6" t="s">
        <v>292</v>
      </c>
      <c r="D70" s="6" t="s">
        <v>147</v>
      </c>
      <c r="E70" s="7">
        <v>4430</v>
      </c>
      <c r="F70" s="8">
        <v>74.257874999999999</v>
      </c>
      <c r="G70" s="9">
        <v>6.2046640000000004E-3</v>
      </c>
      <c r="H70" s="97"/>
    </row>
    <row r="71" spans="1:8" x14ac:dyDescent="0.2">
      <c r="A71" s="5">
        <v>65</v>
      </c>
      <c r="B71" s="6" t="s">
        <v>230</v>
      </c>
      <c r="C71" s="6" t="s">
        <v>231</v>
      </c>
      <c r="D71" s="6" t="s">
        <v>60</v>
      </c>
      <c r="E71" s="7">
        <v>8427</v>
      </c>
      <c r="F71" s="8">
        <v>70.685676000000001</v>
      </c>
      <c r="G71" s="9">
        <v>5.9061870000000002E-3</v>
      </c>
      <c r="H71" s="97"/>
    </row>
    <row r="72" spans="1:8" x14ac:dyDescent="0.2">
      <c r="A72" s="5">
        <v>66</v>
      </c>
      <c r="B72" s="6" t="s">
        <v>265</v>
      </c>
      <c r="C72" s="6" t="s">
        <v>266</v>
      </c>
      <c r="D72" s="6" t="s">
        <v>147</v>
      </c>
      <c r="E72" s="7">
        <v>18410</v>
      </c>
      <c r="F72" s="8">
        <v>68.549634999999995</v>
      </c>
      <c r="G72" s="9">
        <v>5.7277090000000001E-3</v>
      </c>
      <c r="H72" s="97"/>
    </row>
    <row r="73" spans="1:8" x14ac:dyDescent="0.2">
      <c r="A73" s="5">
        <v>67</v>
      </c>
      <c r="B73" s="6" t="s">
        <v>232</v>
      </c>
      <c r="C73" s="6" t="s">
        <v>233</v>
      </c>
      <c r="D73" s="6" t="s">
        <v>193</v>
      </c>
      <c r="E73" s="7">
        <v>1256</v>
      </c>
      <c r="F73" s="8">
        <v>67.050303999999997</v>
      </c>
      <c r="G73" s="9">
        <v>5.6024309999999997E-3</v>
      </c>
      <c r="H73" s="97"/>
    </row>
    <row r="74" spans="1:8" x14ac:dyDescent="0.2">
      <c r="A74" s="5">
        <v>68</v>
      </c>
      <c r="B74" s="6" t="s">
        <v>245</v>
      </c>
      <c r="C74" s="6" t="s">
        <v>246</v>
      </c>
      <c r="D74" s="6" t="s">
        <v>247</v>
      </c>
      <c r="E74" s="7">
        <v>29657</v>
      </c>
      <c r="F74" s="8">
        <v>64.652259999999998</v>
      </c>
      <c r="G74" s="9">
        <v>5.4020609999999997E-3</v>
      </c>
      <c r="H74" s="97"/>
    </row>
    <row r="75" spans="1:8" x14ac:dyDescent="0.2">
      <c r="A75" s="5">
        <v>69</v>
      </c>
      <c r="B75" s="6" t="s">
        <v>269</v>
      </c>
      <c r="C75" s="6" t="s">
        <v>270</v>
      </c>
      <c r="D75" s="6" t="s">
        <v>70</v>
      </c>
      <c r="E75" s="7">
        <v>41400</v>
      </c>
      <c r="F75" s="8">
        <v>57.939300000000003</v>
      </c>
      <c r="G75" s="9">
        <v>4.8411549999999998E-3</v>
      </c>
      <c r="H75" s="97"/>
    </row>
    <row r="76" spans="1:8" x14ac:dyDescent="0.2">
      <c r="A76" s="5">
        <v>70</v>
      </c>
      <c r="B76" s="6" t="s">
        <v>92</v>
      </c>
      <c r="C76" s="6" t="s">
        <v>93</v>
      </c>
      <c r="D76" s="6" t="s">
        <v>53</v>
      </c>
      <c r="E76" s="7">
        <v>67000</v>
      </c>
      <c r="F76" s="8">
        <v>57.653500000000001</v>
      </c>
      <c r="G76" s="9">
        <v>4.8172750000000002E-3</v>
      </c>
      <c r="H76" s="97"/>
    </row>
    <row r="77" spans="1:8" x14ac:dyDescent="0.2">
      <c r="A77" s="5">
        <v>71</v>
      </c>
      <c r="B77" s="6" t="s">
        <v>239</v>
      </c>
      <c r="C77" s="6" t="s">
        <v>240</v>
      </c>
      <c r="D77" s="6" t="s">
        <v>25</v>
      </c>
      <c r="E77" s="7">
        <v>71994</v>
      </c>
      <c r="F77" s="8">
        <v>56.587283999999997</v>
      </c>
      <c r="G77" s="9">
        <v>4.728187E-3</v>
      </c>
      <c r="H77" s="97"/>
    </row>
    <row r="78" spans="1:8" x14ac:dyDescent="0.2">
      <c r="A78" s="5">
        <v>72</v>
      </c>
      <c r="B78" s="6" t="s">
        <v>241</v>
      </c>
      <c r="C78" s="6" t="s">
        <v>242</v>
      </c>
      <c r="D78" s="6" t="s">
        <v>147</v>
      </c>
      <c r="E78" s="7">
        <v>11841</v>
      </c>
      <c r="F78" s="8">
        <v>55.996088999999998</v>
      </c>
      <c r="G78" s="9">
        <v>4.678789E-3</v>
      </c>
      <c r="H78" s="97"/>
    </row>
    <row r="79" spans="1:8" x14ac:dyDescent="0.2">
      <c r="A79" s="5">
        <v>73</v>
      </c>
      <c r="B79" s="6" t="s">
        <v>243</v>
      </c>
      <c r="C79" s="6" t="s">
        <v>244</v>
      </c>
      <c r="D79" s="6" t="s">
        <v>185</v>
      </c>
      <c r="E79" s="7">
        <v>9829</v>
      </c>
      <c r="F79" s="8">
        <v>54.305225</v>
      </c>
      <c r="G79" s="9">
        <v>4.537508E-3</v>
      </c>
      <c r="H79" s="97"/>
    </row>
    <row r="80" spans="1:8" x14ac:dyDescent="0.2">
      <c r="A80" s="5">
        <v>74</v>
      </c>
      <c r="B80" s="6" t="s">
        <v>234</v>
      </c>
      <c r="C80" s="6" t="s">
        <v>235</v>
      </c>
      <c r="D80" s="6" t="s">
        <v>1187</v>
      </c>
      <c r="E80" s="7">
        <v>42305</v>
      </c>
      <c r="F80" s="8">
        <v>54.06579</v>
      </c>
      <c r="G80" s="9">
        <v>4.5175019999999996E-3</v>
      </c>
      <c r="H80" s="97"/>
    </row>
    <row r="81" spans="1:8" x14ac:dyDescent="0.2">
      <c r="A81" s="5">
        <v>75</v>
      </c>
      <c r="B81" s="6" t="s">
        <v>51</v>
      </c>
      <c r="C81" s="6" t="s">
        <v>52</v>
      </c>
      <c r="D81" s="6" t="s">
        <v>53</v>
      </c>
      <c r="E81" s="7">
        <v>24117</v>
      </c>
      <c r="F81" s="8">
        <v>41.794761000000001</v>
      </c>
      <c r="G81" s="9">
        <v>3.4921879999999998E-3</v>
      </c>
      <c r="H81" s="97"/>
    </row>
    <row r="82" spans="1:8" x14ac:dyDescent="0.2">
      <c r="A82" s="5">
        <v>76</v>
      </c>
      <c r="B82" s="6" t="s">
        <v>250</v>
      </c>
      <c r="C82" s="6" t="s">
        <v>251</v>
      </c>
      <c r="D82" s="6" t="s">
        <v>193</v>
      </c>
      <c r="E82" s="7">
        <v>14986</v>
      </c>
      <c r="F82" s="8">
        <v>41.353867000000001</v>
      </c>
      <c r="G82" s="9">
        <v>3.4553489999999999E-3</v>
      </c>
      <c r="H82" s="97"/>
    </row>
    <row r="83" spans="1:8" ht="25.5" x14ac:dyDescent="0.2">
      <c r="A83" s="5">
        <v>77</v>
      </c>
      <c r="B83" s="6" t="s">
        <v>293</v>
      </c>
      <c r="C83" s="6" t="s">
        <v>294</v>
      </c>
      <c r="D83" s="6" t="s">
        <v>45</v>
      </c>
      <c r="E83" s="7">
        <v>6556</v>
      </c>
      <c r="F83" s="8">
        <v>39.840812</v>
      </c>
      <c r="G83" s="9">
        <v>3.3289249999999999E-3</v>
      </c>
      <c r="H83" s="97"/>
    </row>
    <row r="84" spans="1:8" x14ac:dyDescent="0.2">
      <c r="A84" s="5">
        <v>78</v>
      </c>
      <c r="B84" s="6" t="s">
        <v>254</v>
      </c>
      <c r="C84" s="6" t="s">
        <v>255</v>
      </c>
      <c r="D84" s="6" t="s">
        <v>185</v>
      </c>
      <c r="E84" s="7">
        <v>3329</v>
      </c>
      <c r="F84" s="8">
        <v>34.714812000000002</v>
      </c>
      <c r="G84" s="9">
        <v>2.9006180000000002E-3</v>
      </c>
      <c r="H84" s="97"/>
    </row>
    <row r="85" spans="1:8" x14ac:dyDescent="0.2">
      <c r="A85" s="3"/>
      <c r="B85" s="3"/>
      <c r="C85" s="4" t="s">
        <v>97</v>
      </c>
      <c r="D85" s="3"/>
      <c r="E85" s="3" t="s">
        <v>98</v>
      </c>
      <c r="F85" s="11">
        <v>11421.778579</v>
      </c>
      <c r="G85" s="12">
        <v>0.95435405299999998</v>
      </c>
      <c r="H85" s="97"/>
    </row>
    <row r="86" spans="1:8" x14ac:dyDescent="0.2">
      <c r="A86" s="3"/>
      <c r="B86" s="3"/>
      <c r="C86" s="13"/>
      <c r="D86" s="3"/>
      <c r="E86" s="3"/>
      <c r="F86" s="14"/>
      <c r="G86" s="14"/>
      <c r="H86" s="97"/>
    </row>
    <row r="87" spans="1:8" x14ac:dyDescent="0.2">
      <c r="A87" s="3"/>
      <c r="B87" s="3"/>
      <c r="C87" s="4" t="s">
        <v>99</v>
      </c>
      <c r="D87" s="3"/>
      <c r="E87" s="3"/>
      <c r="F87" s="3"/>
      <c r="G87" s="3"/>
      <c r="H87" s="97"/>
    </row>
    <row r="88" spans="1:8" x14ac:dyDescent="0.2">
      <c r="A88" s="3"/>
      <c r="B88" s="3"/>
      <c r="C88" s="4" t="s">
        <v>97</v>
      </c>
      <c r="D88" s="3"/>
      <c r="E88" s="3" t="s">
        <v>98</v>
      </c>
      <c r="F88" s="15">
        <v>0</v>
      </c>
      <c r="G88" s="16">
        <v>0</v>
      </c>
      <c r="H88" s="97"/>
    </row>
    <row r="89" spans="1:8" x14ac:dyDescent="0.2">
      <c r="A89" s="3"/>
      <c r="B89" s="3"/>
      <c r="C89" s="13"/>
      <c r="D89" s="3"/>
      <c r="E89" s="3"/>
      <c r="F89" s="14"/>
      <c r="G89" s="14"/>
      <c r="H89" s="97"/>
    </row>
    <row r="90" spans="1:8" x14ac:dyDescent="0.2">
      <c r="A90" s="3"/>
      <c r="B90" s="3"/>
      <c r="C90" s="4" t="s">
        <v>100</v>
      </c>
      <c r="D90" s="3"/>
      <c r="E90" s="3"/>
      <c r="F90" s="3"/>
      <c r="G90" s="3"/>
      <c r="H90" s="97"/>
    </row>
    <row r="91" spans="1:8" x14ac:dyDescent="0.2">
      <c r="A91" s="3"/>
      <c r="B91" s="3"/>
      <c r="C91" s="4" t="s">
        <v>97</v>
      </c>
      <c r="D91" s="3"/>
      <c r="E91" s="3" t="s">
        <v>98</v>
      </c>
      <c r="F91" s="15">
        <v>0</v>
      </c>
      <c r="G91" s="16">
        <v>0</v>
      </c>
      <c r="H91" s="97"/>
    </row>
    <row r="92" spans="1:8" x14ac:dyDescent="0.2">
      <c r="A92" s="3"/>
      <c r="B92" s="3"/>
      <c r="C92" s="13"/>
      <c r="D92" s="3"/>
      <c r="E92" s="3"/>
      <c r="F92" s="14"/>
      <c r="G92" s="14"/>
      <c r="H92" s="97"/>
    </row>
    <row r="93" spans="1:8" x14ac:dyDescent="0.2">
      <c r="A93" s="3"/>
      <c r="B93" s="3"/>
      <c r="C93" s="4" t="s">
        <v>101</v>
      </c>
      <c r="D93" s="3"/>
      <c r="E93" s="3"/>
      <c r="F93" s="3"/>
      <c r="G93" s="3"/>
      <c r="H93" s="97"/>
    </row>
    <row r="94" spans="1:8" x14ac:dyDescent="0.2">
      <c r="A94" s="3"/>
      <c r="B94" s="3"/>
      <c r="C94" s="4" t="s">
        <v>97</v>
      </c>
      <c r="D94" s="3"/>
      <c r="E94" s="3" t="s">
        <v>98</v>
      </c>
      <c r="F94" s="15">
        <v>0</v>
      </c>
      <c r="G94" s="16">
        <v>0</v>
      </c>
      <c r="H94" s="97"/>
    </row>
    <row r="95" spans="1:8" x14ac:dyDescent="0.2">
      <c r="A95" s="3"/>
      <c r="B95" s="3"/>
      <c r="C95" s="13"/>
      <c r="D95" s="3"/>
      <c r="E95" s="3"/>
      <c r="F95" s="14"/>
      <c r="G95" s="14"/>
      <c r="H95" s="97"/>
    </row>
    <row r="96" spans="1:8" x14ac:dyDescent="0.2">
      <c r="A96" s="3"/>
      <c r="B96" s="3"/>
      <c r="C96" s="4" t="s">
        <v>102</v>
      </c>
      <c r="D96" s="3"/>
      <c r="E96" s="3"/>
      <c r="F96" s="14"/>
      <c r="G96" s="14"/>
      <c r="H96" s="97"/>
    </row>
    <row r="97" spans="1:8" x14ac:dyDescent="0.2">
      <c r="A97" s="3"/>
      <c r="B97" s="3"/>
      <c r="C97" s="4" t="s">
        <v>97</v>
      </c>
      <c r="D97" s="3"/>
      <c r="E97" s="3" t="s">
        <v>98</v>
      </c>
      <c r="F97" s="15">
        <v>0</v>
      </c>
      <c r="G97" s="16">
        <v>0</v>
      </c>
      <c r="H97" s="97"/>
    </row>
    <row r="98" spans="1:8" x14ac:dyDescent="0.2">
      <c r="A98" s="3"/>
      <c r="B98" s="3"/>
      <c r="C98" s="13"/>
      <c r="D98" s="3"/>
      <c r="E98" s="3"/>
      <c r="F98" s="14"/>
      <c r="G98" s="14"/>
      <c r="H98" s="97"/>
    </row>
    <row r="99" spans="1:8" x14ac:dyDescent="0.2">
      <c r="A99" s="3"/>
      <c r="B99" s="3"/>
      <c r="C99" s="4" t="s">
        <v>103</v>
      </c>
      <c r="D99" s="3"/>
      <c r="E99" s="3"/>
      <c r="F99" s="14"/>
      <c r="G99" s="14"/>
      <c r="H99" s="97"/>
    </row>
    <row r="100" spans="1:8" x14ac:dyDescent="0.2">
      <c r="A100" s="3"/>
      <c r="B100" s="3"/>
      <c r="C100" s="4" t="s">
        <v>97</v>
      </c>
      <c r="D100" s="3"/>
      <c r="E100" s="3" t="s">
        <v>98</v>
      </c>
      <c r="F100" s="15">
        <v>0</v>
      </c>
      <c r="G100" s="16">
        <v>0</v>
      </c>
      <c r="H100" s="97"/>
    </row>
    <row r="101" spans="1:8" x14ac:dyDescent="0.2">
      <c r="A101" s="3"/>
      <c r="B101" s="3"/>
      <c r="C101" s="13"/>
      <c r="D101" s="3"/>
      <c r="E101" s="3"/>
      <c r="F101" s="14"/>
      <c r="G101" s="14"/>
      <c r="H101" s="97"/>
    </row>
    <row r="102" spans="1:8" x14ac:dyDescent="0.2">
      <c r="A102" s="3"/>
      <c r="B102" s="3"/>
      <c r="C102" s="4" t="s">
        <v>104</v>
      </c>
      <c r="D102" s="3"/>
      <c r="E102" s="3"/>
      <c r="F102" s="11">
        <v>11421.778579</v>
      </c>
      <c r="G102" s="12">
        <v>0.95435405299999998</v>
      </c>
      <c r="H102" s="97"/>
    </row>
    <row r="103" spans="1:8" x14ac:dyDescent="0.2">
      <c r="A103" s="3"/>
      <c r="B103" s="3"/>
      <c r="C103" s="13"/>
      <c r="D103" s="3"/>
      <c r="E103" s="3"/>
      <c r="F103" s="14"/>
      <c r="G103" s="14"/>
      <c r="H103" s="97"/>
    </row>
    <row r="104" spans="1:8" x14ac:dyDescent="0.2">
      <c r="A104" s="3"/>
      <c r="B104" s="3"/>
      <c r="C104" s="4" t="s">
        <v>105</v>
      </c>
      <c r="D104" s="3"/>
      <c r="E104" s="3"/>
      <c r="F104" s="14"/>
      <c r="G104" s="14"/>
      <c r="H104" s="97"/>
    </row>
    <row r="105" spans="1:8" ht="25.5" x14ac:dyDescent="0.2">
      <c r="A105" s="3"/>
      <c r="B105" s="3"/>
      <c r="C105" s="4" t="s">
        <v>10</v>
      </c>
      <c r="D105" s="3"/>
      <c r="E105" s="3"/>
      <c r="F105" s="14"/>
      <c r="G105" s="14"/>
      <c r="H105" s="97"/>
    </row>
    <row r="106" spans="1:8" x14ac:dyDescent="0.2">
      <c r="A106" s="3"/>
      <c r="B106" s="3"/>
      <c r="C106" s="4" t="s">
        <v>97</v>
      </c>
      <c r="D106" s="3"/>
      <c r="E106" s="3" t="s">
        <v>98</v>
      </c>
      <c r="F106" s="15">
        <v>0</v>
      </c>
      <c r="G106" s="16">
        <v>0</v>
      </c>
      <c r="H106" s="97"/>
    </row>
    <row r="107" spans="1:8" x14ac:dyDescent="0.2">
      <c r="A107" s="3"/>
      <c r="B107" s="3"/>
      <c r="C107" s="13"/>
      <c r="D107" s="3"/>
      <c r="E107" s="3"/>
      <c r="F107" s="14"/>
      <c r="G107" s="14"/>
      <c r="H107" s="97"/>
    </row>
    <row r="108" spans="1:8" x14ac:dyDescent="0.2">
      <c r="A108" s="3"/>
      <c r="B108" s="3"/>
      <c r="C108" s="4" t="s">
        <v>106</v>
      </c>
      <c r="D108" s="3"/>
      <c r="E108" s="3"/>
      <c r="F108" s="3"/>
      <c r="G108" s="3"/>
      <c r="H108" s="97"/>
    </row>
    <row r="109" spans="1:8" x14ac:dyDescent="0.2">
      <c r="A109" s="3"/>
      <c r="B109" s="3"/>
      <c r="C109" s="4" t="s">
        <v>97</v>
      </c>
      <c r="D109" s="3"/>
      <c r="E109" s="3" t="s">
        <v>98</v>
      </c>
      <c r="F109" s="15">
        <v>0</v>
      </c>
      <c r="G109" s="16">
        <v>0</v>
      </c>
      <c r="H109" s="97"/>
    </row>
    <row r="110" spans="1:8" x14ac:dyDescent="0.2">
      <c r="A110" s="3"/>
      <c r="B110" s="3"/>
      <c r="C110" s="13"/>
      <c r="D110" s="3"/>
      <c r="E110" s="3"/>
      <c r="F110" s="14"/>
      <c r="G110" s="14"/>
      <c r="H110" s="97"/>
    </row>
    <row r="111" spans="1:8" x14ac:dyDescent="0.2">
      <c r="A111" s="3"/>
      <c r="B111" s="3"/>
      <c r="C111" s="4" t="s">
        <v>107</v>
      </c>
      <c r="D111" s="3"/>
      <c r="E111" s="3"/>
      <c r="F111" s="3"/>
      <c r="G111" s="3"/>
      <c r="H111" s="97"/>
    </row>
    <row r="112" spans="1:8" x14ac:dyDescent="0.2">
      <c r="A112" s="3"/>
      <c r="B112" s="3"/>
      <c r="C112" s="4" t="s">
        <v>97</v>
      </c>
      <c r="D112" s="3"/>
      <c r="E112" s="3" t="s">
        <v>98</v>
      </c>
      <c r="F112" s="15">
        <v>0</v>
      </c>
      <c r="G112" s="16">
        <v>0</v>
      </c>
      <c r="H112" s="97"/>
    </row>
    <row r="113" spans="1:8" x14ac:dyDescent="0.2">
      <c r="A113" s="3"/>
      <c r="B113" s="3"/>
      <c r="C113" s="13"/>
      <c r="D113" s="3"/>
      <c r="E113" s="3"/>
      <c r="F113" s="14"/>
      <c r="G113" s="14"/>
      <c r="H113" s="97"/>
    </row>
    <row r="114" spans="1:8" x14ac:dyDescent="0.2">
      <c r="A114" s="3"/>
      <c r="B114" s="3"/>
      <c r="C114" s="4" t="s">
        <v>108</v>
      </c>
      <c r="D114" s="3"/>
      <c r="E114" s="3"/>
      <c r="F114" s="14"/>
      <c r="G114" s="14"/>
      <c r="H114" s="97"/>
    </row>
    <row r="115" spans="1:8" x14ac:dyDescent="0.2">
      <c r="A115" s="3"/>
      <c r="B115" s="3"/>
      <c r="C115" s="4" t="s">
        <v>97</v>
      </c>
      <c r="D115" s="3"/>
      <c r="E115" s="3" t="s">
        <v>98</v>
      </c>
      <c r="F115" s="15">
        <v>0</v>
      </c>
      <c r="G115" s="16">
        <v>0</v>
      </c>
      <c r="H115" s="97"/>
    </row>
    <row r="116" spans="1:8" x14ac:dyDescent="0.2">
      <c r="A116" s="3"/>
      <c r="B116" s="3"/>
      <c r="C116" s="13"/>
      <c r="D116" s="3"/>
      <c r="E116" s="3"/>
      <c r="F116" s="14"/>
      <c r="G116" s="14"/>
      <c r="H116" s="97"/>
    </row>
    <row r="117" spans="1:8" x14ac:dyDescent="0.2">
      <c r="A117" s="3"/>
      <c r="B117" s="3"/>
      <c r="C117" s="4" t="s">
        <v>109</v>
      </c>
      <c r="D117" s="3"/>
      <c r="E117" s="3"/>
      <c r="F117" s="11">
        <v>0</v>
      </c>
      <c r="G117" s="12">
        <v>0</v>
      </c>
      <c r="H117" s="97"/>
    </row>
    <row r="118" spans="1:8" x14ac:dyDescent="0.2">
      <c r="A118" s="3"/>
      <c r="B118" s="3"/>
      <c r="C118" s="13"/>
      <c r="D118" s="3"/>
      <c r="E118" s="3"/>
      <c r="F118" s="14"/>
      <c r="G118" s="14"/>
      <c r="H118" s="97"/>
    </row>
    <row r="119" spans="1:8" x14ac:dyDescent="0.2">
      <c r="A119" s="3"/>
      <c r="B119" s="3"/>
      <c r="C119" s="4" t="s">
        <v>110</v>
      </c>
      <c r="D119" s="3"/>
      <c r="E119" s="3"/>
      <c r="F119" s="14"/>
      <c r="G119" s="14"/>
      <c r="H119" s="97"/>
    </row>
    <row r="120" spans="1:8" x14ac:dyDescent="0.2">
      <c r="A120" s="3"/>
      <c r="B120" s="3"/>
      <c r="C120" s="4" t="s">
        <v>111</v>
      </c>
      <c r="D120" s="3"/>
      <c r="E120" s="3"/>
      <c r="F120" s="14"/>
      <c r="G120" s="14"/>
      <c r="H120" s="97"/>
    </row>
    <row r="121" spans="1:8" x14ac:dyDescent="0.2">
      <c r="A121" s="3"/>
      <c r="B121" s="3"/>
      <c r="C121" s="4" t="s">
        <v>97</v>
      </c>
      <c r="D121" s="3"/>
      <c r="E121" s="3" t="s">
        <v>98</v>
      </c>
      <c r="F121" s="15">
        <v>0</v>
      </c>
      <c r="G121" s="16">
        <v>0</v>
      </c>
      <c r="H121" s="97"/>
    </row>
    <row r="122" spans="1:8" x14ac:dyDescent="0.2">
      <c r="A122" s="3"/>
      <c r="B122" s="3"/>
      <c r="C122" s="13"/>
      <c r="D122" s="3"/>
      <c r="E122" s="3"/>
      <c r="F122" s="14"/>
      <c r="G122" s="14"/>
      <c r="H122" s="97"/>
    </row>
    <row r="123" spans="1:8" x14ac:dyDescent="0.2">
      <c r="A123" s="3"/>
      <c r="B123" s="3"/>
      <c r="C123" s="4" t="s">
        <v>112</v>
      </c>
      <c r="D123" s="3"/>
      <c r="E123" s="3"/>
      <c r="F123" s="14"/>
      <c r="G123" s="14"/>
      <c r="H123" s="97"/>
    </row>
    <row r="124" spans="1:8" x14ac:dyDescent="0.2">
      <c r="A124" s="3"/>
      <c r="B124" s="3"/>
      <c r="C124" s="4" t="s">
        <v>97</v>
      </c>
      <c r="D124" s="3"/>
      <c r="E124" s="3" t="s">
        <v>98</v>
      </c>
      <c r="F124" s="15">
        <v>0</v>
      </c>
      <c r="G124" s="16">
        <v>0</v>
      </c>
      <c r="H124" s="97"/>
    </row>
    <row r="125" spans="1:8" x14ac:dyDescent="0.2">
      <c r="A125" s="3"/>
      <c r="B125" s="3"/>
      <c r="C125" s="13"/>
      <c r="D125" s="3"/>
      <c r="E125" s="3"/>
      <c r="F125" s="14"/>
      <c r="G125" s="14"/>
      <c r="H125" s="97"/>
    </row>
    <row r="126" spans="1:8" x14ac:dyDescent="0.2">
      <c r="A126" s="3"/>
      <c r="B126" s="3"/>
      <c r="C126" s="4" t="s">
        <v>113</v>
      </c>
      <c r="D126" s="3"/>
      <c r="E126" s="3"/>
      <c r="F126" s="14"/>
      <c r="G126" s="14"/>
      <c r="H126" s="97"/>
    </row>
    <row r="127" spans="1:8" x14ac:dyDescent="0.2">
      <c r="A127" s="3"/>
      <c r="B127" s="3"/>
      <c r="C127" s="4" t="s">
        <v>97</v>
      </c>
      <c r="D127" s="3"/>
      <c r="E127" s="3" t="s">
        <v>98</v>
      </c>
      <c r="F127" s="15">
        <v>0</v>
      </c>
      <c r="G127" s="16">
        <v>0</v>
      </c>
      <c r="H127" s="97"/>
    </row>
    <row r="128" spans="1:8" x14ac:dyDescent="0.2">
      <c r="A128" s="3"/>
      <c r="B128" s="3"/>
      <c r="C128" s="13"/>
      <c r="D128" s="3"/>
      <c r="E128" s="3"/>
      <c r="F128" s="14"/>
      <c r="G128" s="14"/>
      <c r="H128" s="97"/>
    </row>
    <row r="129" spans="1:8" x14ac:dyDescent="0.2">
      <c r="A129" s="3"/>
      <c r="B129" s="3"/>
      <c r="C129" s="4" t="s">
        <v>114</v>
      </c>
      <c r="D129" s="3"/>
      <c r="E129" s="3"/>
      <c r="F129" s="14"/>
      <c r="G129" s="14"/>
      <c r="H129" s="97"/>
    </row>
    <row r="130" spans="1:8" x14ac:dyDescent="0.2">
      <c r="A130" s="5">
        <v>1</v>
      </c>
      <c r="B130" s="6"/>
      <c r="C130" s="6" t="s">
        <v>115</v>
      </c>
      <c r="D130" s="6"/>
      <c r="E130" s="10"/>
      <c r="F130" s="8">
        <v>348.9188451</v>
      </c>
      <c r="G130" s="9">
        <v>2.9154138E-2</v>
      </c>
      <c r="H130" s="8">
        <v>3.4504560529072292</v>
      </c>
    </row>
    <row r="131" spans="1:8" x14ac:dyDescent="0.2">
      <c r="A131" s="5">
        <v>2</v>
      </c>
      <c r="B131" s="6"/>
      <c r="C131" s="6" t="s">
        <v>116</v>
      </c>
      <c r="D131" s="6"/>
      <c r="E131" s="10"/>
      <c r="F131" s="8">
        <v>188.3140588</v>
      </c>
      <c r="G131" s="9">
        <v>1.5734702E-2</v>
      </c>
      <c r="H131" s="8">
        <v>3.5655822479098256</v>
      </c>
    </row>
    <row r="132" spans="1:8" x14ac:dyDescent="0.2">
      <c r="A132" s="3"/>
      <c r="B132" s="3"/>
      <c r="C132" s="4" t="s">
        <v>97</v>
      </c>
      <c r="D132" s="3"/>
      <c r="E132" s="3" t="s">
        <v>98</v>
      </c>
      <c r="F132" s="11">
        <v>537.2329039</v>
      </c>
      <c r="G132" s="12">
        <v>4.4888839999999999E-2</v>
      </c>
      <c r="H132" s="97"/>
    </row>
    <row r="133" spans="1:8" x14ac:dyDescent="0.2">
      <c r="A133" s="3"/>
      <c r="B133" s="3"/>
      <c r="C133" s="13"/>
      <c r="D133" s="3"/>
      <c r="E133" s="3"/>
      <c r="F133" s="14"/>
      <c r="G133" s="14"/>
      <c r="H133" s="97"/>
    </row>
    <row r="134" spans="1:8" x14ac:dyDescent="0.2">
      <c r="A134" s="3"/>
      <c r="B134" s="3"/>
      <c r="C134" s="4" t="s">
        <v>117</v>
      </c>
      <c r="D134" s="3"/>
      <c r="E134" s="3"/>
      <c r="F134" s="11">
        <v>537.2329039</v>
      </c>
      <c r="G134" s="12">
        <v>4.4888839999999999E-2</v>
      </c>
      <c r="H134" s="97"/>
    </row>
    <row r="135" spans="1:8" x14ac:dyDescent="0.2">
      <c r="A135" s="3"/>
      <c r="B135" s="3"/>
      <c r="C135" s="14"/>
      <c r="D135" s="3"/>
      <c r="E135" s="3"/>
      <c r="F135" s="3"/>
      <c r="G135" s="3"/>
      <c r="H135" s="97"/>
    </row>
    <row r="136" spans="1:8" x14ac:dyDescent="0.2">
      <c r="A136" s="3"/>
      <c r="B136" s="3"/>
      <c r="C136" s="4" t="s">
        <v>118</v>
      </c>
      <c r="D136" s="3"/>
      <c r="E136" s="3"/>
      <c r="F136" s="3"/>
      <c r="G136" s="3"/>
      <c r="H136" s="97"/>
    </row>
    <row r="137" spans="1:8" x14ac:dyDescent="0.2">
      <c r="A137" s="3"/>
      <c r="B137" s="3"/>
      <c r="C137" s="4" t="s">
        <v>119</v>
      </c>
      <c r="D137" s="3"/>
      <c r="E137" s="3"/>
      <c r="F137" s="3"/>
      <c r="G137" s="3"/>
      <c r="H137" s="97"/>
    </row>
    <row r="138" spans="1:8" x14ac:dyDescent="0.2">
      <c r="A138" s="3"/>
      <c r="B138" s="3"/>
      <c r="C138" s="4" t="s">
        <v>97</v>
      </c>
      <c r="D138" s="3"/>
      <c r="E138" s="3" t="s">
        <v>98</v>
      </c>
      <c r="F138" s="15">
        <v>0</v>
      </c>
      <c r="G138" s="16">
        <v>0</v>
      </c>
      <c r="H138" s="97"/>
    </row>
    <row r="139" spans="1:8" x14ac:dyDescent="0.2">
      <c r="A139" s="3"/>
      <c r="B139" s="3"/>
      <c r="C139" s="13"/>
      <c r="D139" s="3"/>
      <c r="E139" s="3"/>
      <c r="F139" s="14"/>
      <c r="G139" s="14"/>
      <c r="H139" s="97"/>
    </row>
    <row r="140" spans="1:8" x14ac:dyDescent="0.2">
      <c r="A140" s="3"/>
      <c r="B140" s="3"/>
      <c r="C140" s="4" t="s">
        <v>120</v>
      </c>
      <c r="D140" s="3"/>
      <c r="E140" s="3"/>
      <c r="F140" s="3"/>
      <c r="G140" s="3"/>
      <c r="H140" s="97"/>
    </row>
    <row r="141" spans="1:8" x14ac:dyDescent="0.2">
      <c r="A141" s="3"/>
      <c r="B141" s="3"/>
      <c r="C141" s="4" t="s">
        <v>121</v>
      </c>
      <c r="D141" s="3"/>
      <c r="E141" s="3"/>
      <c r="F141" s="3"/>
      <c r="G141" s="3"/>
      <c r="H141" s="97"/>
    </row>
    <row r="142" spans="1:8" x14ac:dyDescent="0.2">
      <c r="A142" s="3"/>
      <c r="B142" s="3"/>
      <c r="C142" s="4" t="s">
        <v>97</v>
      </c>
      <c r="D142" s="3"/>
      <c r="E142" s="3" t="s">
        <v>98</v>
      </c>
      <c r="F142" s="15">
        <v>0</v>
      </c>
      <c r="G142" s="16">
        <v>0</v>
      </c>
      <c r="H142" s="97"/>
    </row>
    <row r="143" spans="1:8" x14ac:dyDescent="0.2">
      <c r="A143" s="3"/>
      <c r="B143" s="3"/>
      <c r="C143" s="13"/>
      <c r="D143" s="3"/>
      <c r="E143" s="3"/>
      <c r="F143" s="14"/>
      <c r="G143" s="14"/>
      <c r="H143" s="97"/>
    </row>
    <row r="144" spans="1:8" x14ac:dyDescent="0.2">
      <c r="A144" s="3"/>
      <c r="B144" s="3"/>
      <c r="C144" s="13"/>
      <c r="D144" s="3"/>
      <c r="E144" s="3"/>
      <c r="F144" s="14"/>
      <c r="G144" s="14"/>
      <c r="H144" s="97"/>
    </row>
    <row r="145" spans="1:8" ht="25.5" x14ac:dyDescent="0.2">
      <c r="A145" s="3"/>
      <c r="B145" s="3"/>
      <c r="C145" s="4" t="s">
        <v>122</v>
      </c>
      <c r="D145" s="3"/>
      <c r="E145" s="3"/>
      <c r="F145" s="14"/>
      <c r="G145" s="14"/>
      <c r="H145" s="97"/>
    </row>
    <row r="146" spans="1:8" x14ac:dyDescent="0.2">
      <c r="A146" s="3"/>
      <c r="B146" s="3"/>
      <c r="C146" s="4" t="s">
        <v>97</v>
      </c>
      <c r="D146" s="3"/>
      <c r="E146" s="3" t="s">
        <v>98</v>
      </c>
      <c r="F146" s="15">
        <v>0</v>
      </c>
      <c r="G146" s="16">
        <v>0</v>
      </c>
      <c r="H146" s="97"/>
    </row>
    <row r="147" spans="1:8" x14ac:dyDescent="0.2">
      <c r="A147" s="3"/>
      <c r="B147" s="3"/>
      <c r="C147" s="13"/>
      <c r="D147" s="3"/>
      <c r="E147" s="3"/>
      <c r="F147" s="14"/>
      <c r="G147" s="14"/>
      <c r="H147" s="97"/>
    </row>
    <row r="148" spans="1:8" x14ac:dyDescent="0.2">
      <c r="A148" s="3"/>
      <c r="B148" s="6"/>
      <c r="C148" s="6"/>
      <c r="D148" s="4"/>
      <c r="E148" s="3"/>
      <c r="F148" s="6"/>
      <c r="G148" s="10"/>
      <c r="H148" s="97"/>
    </row>
    <row r="149" spans="1:8" x14ac:dyDescent="0.2">
      <c r="A149" s="10"/>
      <c r="B149" s="6"/>
      <c r="C149" s="6" t="s">
        <v>123</v>
      </c>
      <c r="D149" s="6"/>
      <c r="E149" s="10"/>
      <c r="F149" s="8">
        <v>9.0610929999999996</v>
      </c>
      <c r="G149" s="9">
        <v>7.57105E-4</v>
      </c>
      <c r="H149" s="97"/>
    </row>
    <row r="150" spans="1:8" x14ac:dyDescent="0.2">
      <c r="A150" s="13"/>
      <c r="B150" s="13"/>
      <c r="C150" s="4" t="s">
        <v>124</v>
      </c>
      <c r="D150" s="17"/>
      <c r="E150" s="17"/>
      <c r="F150" s="11">
        <v>11968.0725759</v>
      </c>
      <c r="G150" s="12">
        <v>0.99999999799999995</v>
      </c>
      <c r="H150" s="97"/>
    </row>
    <row r="151" spans="1:8" ht="14.1" customHeight="1" x14ac:dyDescent="0.2">
      <c r="A151" s="18"/>
      <c r="B151" s="18"/>
      <c r="C151" s="18"/>
      <c r="D151" s="19"/>
      <c r="E151" s="19"/>
      <c r="F151" s="19"/>
      <c r="G151" s="19"/>
    </row>
    <row r="152" spans="1:8" ht="14.1" customHeight="1" x14ac:dyDescent="0.2">
      <c r="A152" s="20"/>
      <c r="B152" s="20"/>
      <c r="C152" s="20"/>
      <c r="D152" s="22"/>
      <c r="E152" s="22"/>
      <c r="F152" s="22"/>
      <c r="G152" s="22"/>
    </row>
    <row r="153" spans="1:8" ht="14.1" customHeight="1" x14ac:dyDescent="0.2">
      <c r="A153" s="20"/>
      <c r="B153" s="224" t="s">
        <v>126</v>
      </c>
      <c r="C153" s="225"/>
      <c r="D153" s="14" t="s">
        <v>98</v>
      </c>
      <c r="E153" s="23"/>
      <c r="F153" s="22"/>
      <c r="G153" s="22"/>
    </row>
    <row r="154" spans="1:8" ht="29.1" customHeight="1" x14ac:dyDescent="0.2">
      <c r="A154" s="20"/>
      <c r="B154" s="231" t="s">
        <v>127</v>
      </c>
      <c r="C154" s="232"/>
      <c r="D154" s="4" t="s">
        <v>128</v>
      </c>
      <c r="E154" s="23"/>
      <c r="F154" s="22"/>
      <c r="G154" s="22"/>
    </row>
    <row r="155" spans="1:8" ht="17.100000000000001" customHeight="1" x14ac:dyDescent="0.2">
      <c r="A155" s="20"/>
      <c r="B155" s="231" t="s">
        <v>129</v>
      </c>
      <c r="C155" s="232"/>
      <c r="D155" s="4" t="s">
        <v>128</v>
      </c>
      <c r="E155" s="23"/>
      <c r="F155" s="22"/>
      <c r="G155" s="22"/>
    </row>
    <row r="156" spans="1:8" ht="17.100000000000001" customHeight="1" x14ac:dyDescent="0.2">
      <c r="A156" s="20"/>
      <c r="B156" s="231" t="s">
        <v>130</v>
      </c>
      <c r="C156" s="232"/>
      <c r="D156" s="14" t="s">
        <v>98</v>
      </c>
      <c r="E156" s="23"/>
      <c r="F156" s="22"/>
      <c r="G156" s="22"/>
    </row>
    <row r="157" spans="1:8" ht="24" customHeight="1" x14ac:dyDescent="0.2">
      <c r="A157" s="24"/>
      <c r="B157" s="25" t="s">
        <v>98</v>
      </c>
      <c r="C157" s="25" t="s">
        <v>131</v>
      </c>
      <c r="D157" s="25" t="s">
        <v>132</v>
      </c>
      <c r="E157" s="24"/>
      <c r="F157" s="24"/>
      <c r="G157" s="24"/>
    </row>
    <row r="158" spans="1:8" ht="18" customHeight="1" x14ac:dyDescent="0.2">
      <c r="A158" s="24"/>
      <c r="B158" s="25" t="s">
        <v>133</v>
      </c>
      <c r="C158" s="25" t="s">
        <v>134</v>
      </c>
      <c r="D158" s="25" t="s">
        <v>135</v>
      </c>
      <c r="E158" s="24"/>
      <c r="F158" s="24"/>
      <c r="G158" s="24"/>
    </row>
    <row r="159" spans="1:8" ht="17.100000000000001" customHeight="1" x14ac:dyDescent="0.2">
      <c r="A159" s="24"/>
      <c r="B159" s="6" t="s">
        <v>136</v>
      </c>
      <c r="C159" s="26">
        <v>14.814299999999999</v>
      </c>
      <c r="D159" s="26">
        <v>15.371499999999999</v>
      </c>
      <c r="E159" s="24"/>
      <c r="F159" s="21"/>
      <c r="G159" s="27"/>
    </row>
    <row r="160" spans="1:8" ht="17.100000000000001" customHeight="1" x14ac:dyDescent="0.2">
      <c r="A160" s="24"/>
      <c r="B160" s="6" t="s">
        <v>1201</v>
      </c>
      <c r="C160" s="26">
        <v>14.814299999999999</v>
      </c>
      <c r="D160" s="26">
        <v>15.371499999999999</v>
      </c>
      <c r="E160" s="24"/>
      <c r="F160" s="21"/>
      <c r="G160" s="27"/>
    </row>
    <row r="161" spans="1:17" ht="17.100000000000001" customHeight="1" x14ac:dyDescent="0.2">
      <c r="A161" s="24"/>
      <c r="B161" s="6" t="s">
        <v>137</v>
      </c>
      <c r="C161" s="26">
        <v>14.260999999999999</v>
      </c>
      <c r="D161" s="26">
        <v>14.7906</v>
      </c>
      <c r="E161" s="24"/>
      <c r="F161" s="21"/>
      <c r="G161" s="27"/>
    </row>
    <row r="162" spans="1:17" ht="17.100000000000001" customHeight="1" x14ac:dyDescent="0.2">
      <c r="A162" s="24"/>
      <c r="B162" s="6" t="s">
        <v>1202</v>
      </c>
      <c r="C162" s="26">
        <v>14.260999999999999</v>
      </c>
      <c r="D162" s="26">
        <v>14.7905</v>
      </c>
      <c r="E162" s="24"/>
      <c r="F162" s="21"/>
      <c r="G162" s="27"/>
    </row>
    <row r="163" spans="1:17" ht="14.1" customHeight="1" x14ac:dyDescent="0.2">
      <c r="A163" s="24"/>
      <c r="B163" s="24"/>
      <c r="C163" s="24"/>
      <c r="D163" s="24"/>
      <c r="E163" s="24"/>
      <c r="F163" s="24"/>
      <c r="G163" s="24"/>
    </row>
    <row r="164" spans="1:17" ht="17.100000000000001" customHeight="1" x14ac:dyDescent="0.2">
      <c r="A164" s="24"/>
      <c r="B164" s="231" t="s">
        <v>1203</v>
      </c>
      <c r="C164" s="232"/>
      <c r="D164" s="4" t="s">
        <v>128</v>
      </c>
      <c r="E164" s="24"/>
      <c r="F164" s="24"/>
      <c r="G164" s="24"/>
    </row>
    <row r="165" spans="1:17" ht="18" customHeight="1" x14ac:dyDescent="0.2">
      <c r="A165" s="24"/>
      <c r="B165" s="28"/>
      <c r="C165" s="28"/>
      <c r="D165" s="29"/>
      <c r="E165" s="24"/>
      <c r="F165" s="24"/>
      <c r="G165" s="24"/>
    </row>
    <row r="166" spans="1:17" s="87" customFormat="1" x14ac:dyDescent="0.2">
      <c r="B166" s="233" t="s">
        <v>1207</v>
      </c>
      <c r="C166" s="233"/>
      <c r="D166" s="233"/>
      <c r="E166" s="233"/>
      <c r="F166" s="233"/>
      <c r="P166" s="69"/>
      <c r="Q166" s="69"/>
    </row>
    <row r="167" spans="1:17" ht="14.1" customHeight="1" x14ac:dyDescent="0.2">
      <c r="A167" s="24"/>
      <c r="B167" s="21"/>
      <c r="C167" s="21"/>
      <c r="D167" s="24"/>
      <c r="E167" s="24"/>
      <c r="F167" s="24"/>
      <c r="G167" s="24"/>
    </row>
    <row r="168" spans="1:17" ht="29.1" customHeight="1" x14ac:dyDescent="0.2">
      <c r="A168" s="24"/>
      <c r="B168" s="231" t="s">
        <v>138</v>
      </c>
      <c r="C168" s="232"/>
      <c r="D168" s="4" t="s">
        <v>128</v>
      </c>
      <c r="E168" s="24"/>
      <c r="F168" s="24"/>
      <c r="G168" s="24"/>
    </row>
    <row r="169" spans="1:17" ht="29.1" customHeight="1" x14ac:dyDescent="0.2">
      <c r="A169" s="24"/>
      <c r="B169" s="231" t="s">
        <v>139</v>
      </c>
      <c r="C169" s="232"/>
      <c r="D169" s="4" t="s">
        <v>128</v>
      </c>
      <c r="E169" s="24"/>
      <c r="F169" s="24"/>
      <c r="G169" s="24"/>
    </row>
    <row r="170" spans="1:17" ht="17.100000000000001" customHeight="1" x14ac:dyDescent="0.2">
      <c r="A170" s="24"/>
      <c r="B170" s="231" t="s">
        <v>140</v>
      </c>
      <c r="C170" s="232"/>
      <c r="D170" s="30">
        <v>0.4328604766811327</v>
      </c>
      <c r="E170" s="24"/>
      <c r="F170" s="21"/>
      <c r="G170" s="27"/>
    </row>
    <row r="171" spans="1:17" ht="17.100000000000001" customHeight="1" x14ac:dyDescent="0.2">
      <c r="A171" s="24"/>
      <c r="B171" s="231" t="s">
        <v>141</v>
      </c>
      <c r="C171" s="232"/>
      <c r="D171" s="4" t="s">
        <v>128</v>
      </c>
      <c r="E171" s="24"/>
      <c r="F171" s="24"/>
      <c r="G171" s="24"/>
    </row>
  </sheetData>
  <mergeCells count="14">
    <mergeCell ref="B170:C170"/>
    <mergeCell ref="B171:C171"/>
    <mergeCell ref="B154:C154"/>
    <mergeCell ref="B155:C155"/>
    <mergeCell ref="B156:C156"/>
    <mergeCell ref="B164:C164"/>
    <mergeCell ref="B168:C168"/>
    <mergeCell ref="B169:C169"/>
    <mergeCell ref="B166:F166"/>
    <mergeCell ref="J2:N2"/>
    <mergeCell ref="B153:C153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outlinePr summaryBelow="0" summaryRight="0"/>
  </sheetPr>
  <dimension ref="A1:Q210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8.140625" customWidth="1"/>
    <col min="5" max="6" width="19.140625" customWidth="1"/>
    <col min="7" max="7" width="16.42578125" customWidth="1"/>
  </cols>
  <sheetData>
    <row r="1" spans="1:15" ht="15" x14ac:dyDescent="0.2">
      <c r="A1" s="227" t="s">
        <v>0</v>
      </c>
      <c r="B1" s="227"/>
      <c r="C1" s="227"/>
      <c r="D1" s="227"/>
      <c r="E1" s="227"/>
      <c r="F1" s="227"/>
      <c r="G1" s="227"/>
      <c r="H1" s="227"/>
    </row>
    <row r="2" spans="1:15" s="87" customFormat="1" ht="15" x14ac:dyDescent="0.2">
      <c r="A2" s="228" t="s">
        <v>300</v>
      </c>
      <c r="B2" s="229"/>
      <c r="C2" s="229"/>
      <c r="D2" s="229"/>
      <c r="E2" s="229"/>
      <c r="F2" s="229"/>
      <c r="G2" s="229"/>
      <c r="H2" s="230"/>
      <c r="I2"/>
      <c r="J2" s="223" t="s">
        <v>1238</v>
      </c>
      <c r="K2" s="223"/>
      <c r="L2" s="223"/>
      <c r="M2" s="223"/>
      <c r="N2" s="223"/>
      <c r="O2"/>
    </row>
    <row r="3" spans="1:15" ht="15" x14ac:dyDescent="0.2">
      <c r="A3" s="227" t="s">
        <v>1208</v>
      </c>
      <c r="B3" s="227"/>
      <c r="C3" s="227"/>
      <c r="D3" s="227"/>
      <c r="E3" s="227"/>
      <c r="F3" s="227"/>
      <c r="G3" s="227"/>
      <c r="H3" s="227"/>
    </row>
    <row r="4" spans="1:15" s="113" customFormat="1" ht="30" x14ac:dyDescent="0.2">
      <c r="A4" s="1" t="s">
        <v>2</v>
      </c>
      <c r="B4" s="1" t="s">
        <v>3</v>
      </c>
      <c r="C4" s="1" t="s">
        <v>4</v>
      </c>
      <c r="D4" s="1" t="s">
        <v>5</v>
      </c>
      <c r="E4" s="2" t="s">
        <v>6</v>
      </c>
      <c r="F4" s="2" t="s">
        <v>7</v>
      </c>
      <c r="G4" s="2" t="s">
        <v>8</v>
      </c>
      <c r="H4" s="96" t="s">
        <v>1167</v>
      </c>
      <c r="I4" s="183"/>
      <c r="J4" s="183"/>
      <c r="K4" s="183"/>
      <c r="L4" s="183"/>
      <c r="M4" s="183"/>
      <c r="N4" s="183"/>
      <c r="O4" s="183"/>
    </row>
    <row r="5" spans="1:15" ht="14.1" customHeight="1" x14ac:dyDescent="0.2">
      <c r="A5" s="3"/>
      <c r="B5" s="3"/>
      <c r="C5" s="4" t="s">
        <v>9</v>
      </c>
      <c r="D5" s="3"/>
      <c r="E5" s="3"/>
      <c r="F5" s="3"/>
      <c r="G5" s="3"/>
      <c r="H5" s="97"/>
    </row>
    <row r="6" spans="1:15" ht="24" customHeight="1" x14ac:dyDescent="0.2">
      <c r="A6" s="3"/>
      <c r="B6" s="3"/>
      <c r="C6" s="4" t="s">
        <v>10</v>
      </c>
      <c r="D6" s="3"/>
      <c r="E6" s="3"/>
      <c r="F6" s="3"/>
      <c r="G6" s="3"/>
      <c r="H6" s="97"/>
    </row>
    <row r="7" spans="1:15" x14ac:dyDescent="0.2">
      <c r="A7" s="5">
        <v>1</v>
      </c>
      <c r="B7" s="6" t="s">
        <v>301</v>
      </c>
      <c r="C7" s="6" t="s">
        <v>302</v>
      </c>
      <c r="D7" s="6" t="s">
        <v>147</v>
      </c>
      <c r="E7" s="7">
        <v>599318</v>
      </c>
      <c r="F7" s="8">
        <v>28647.400399999999</v>
      </c>
      <c r="G7" s="9">
        <v>3.8964052124933195E-2</v>
      </c>
      <c r="H7" s="97"/>
    </row>
    <row r="8" spans="1:15" x14ac:dyDescent="0.2">
      <c r="A8" s="5">
        <v>2</v>
      </c>
      <c r="B8" s="6" t="s">
        <v>17</v>
      </c>
      <c r="C8" s="6" t="s">
        <v>18</v>
      </c>
      <c r="D8" s="6" t="s">
        <v>19</v>
      </c>
      <c r="E8" s="7">
        <v>1161748</v>
      </c>
      <c r="F8" s="8">
        <v>22270.709159999999</v>
      </c>
      <c r="G8" s="9">
        <v>3.0290953470579734E-2</v>
      </c>
      <c r="H8" s="97"/>
    </row>
    <row r="9" spans="1:15" x14ac:dyDescent="0.2">
      <c r="A9" s="5">
        <v>3</v>
      </c>
      <c r="B9" s="6" t="s">
        <v>90</v>
      </c>
      <c r="C9" s="6" t="s">
        <v>91</v>
      </c>
      <c r="D9" s="6" t="s">
        <v>19</v>
      </c>
      <c r="E9" s="7">
        <v>245107</v>
      </c>
      <c r="F9" s="8">
        <v>21531.179307999999</v>
      </c>
      <c r="G9" s="9">
        <v>2.9285100258807255E-2</v>
      </c>
      <c r="H9" s="97"/>
    </row>
    <row r="10" spans="1:15" x14ac:dyDescent="0.2">
      <c r="A10" s="5">
        <v>4</v>
      </c>
      <c r="B10" s="6" t="s">
        <v>303</v>
      </c>
      <c r="C10" s="6" t="s">
        <v>304</v>
      </c>
      <c r="D10" s="6" t="s">
        <v>174</v>
      </c>
      <c r="E10" s="7">
        <v>420000</v>
      </c>
      <c r="F10" s="8">
        <v>21056.28</v>
      </c>
      <c r="G10" s="9">
        <v>2.8639177727176543E-2</v>
      </c>
      <c r="H10" s="97"/>
    </row>
    <row r="11" spans="1:15" x14ac:dyDescent="0.2">
      <c r="A11" s="5">
        <v>5</v>
      </c>
      <c r="B11" s="6" t="s">
        <v>305</v>
      </c>
      <c r="C11" s="6" t="s">
        <v>306</v>
      </c>
      <c r="D11" s="6" t="s">
        <v>1183</v>
      </c>
      <c r="E11" s="7">
        <v>2058761</v>
      </c>
      <c r="F11" s="8">
        <v>20183.063463500002</v>
      </c>
      <c r="G11" s="9">
        <v>2.7451493882587996E-2</v>
      </c>
      <c r="H11" s="97"/>
    </row>
    <row r="12" spans="1:15" s="32" customFormat="1" x14ac:dyDescent="0.2">
      <c r="A12" s="5">
        <v>6</v>
      </c>
      <c r="B12" s="6" t="s">
        <v>307</v>
      </c>
      <c r="C12" s="6" t="s">
        <v>308</v>
      </c>
      <c r="D12" s="6" t="s">
        <v>185</v>
      </c>
      <c r="E12" s="7">
        <v>761339</v>
      </c>
      <c r="F12" s="8">
        <v>18425.165138999997</v>
      </c>
      <c r="G12" s="9">
        <v>2.506053201555063E-2</v>
      </c>
      <c r="H12" s="97"/>
      <c r="I12"/>
      <c r="J12"/>
      <c r="K12"/>
      <c r="L12"/>
      <c r="M12"/>
      <c r="N12"/>
      <c r="O12"/>
    </row>
    <row r="13" spans="1:15" x14ac:dyDescent="0.2">
      <c r="A13" s="5">
        <v>7</v>
      </c>
      <c r="B13" s="6" t="s">
        <v>274</v>
      </c>
      <c r="C13" s="6" t="s">
        <v>275</v>
      </c>
      <c r="D13" s="6" t="s">
        <v>185</v>
      </c>
      <c r="E13" s="7">
        <v>435083</v>
      </c>
      <c r="F13" s="8">
        <v>18223.451454999999</v>
      </c>
      <c r="G13" s="9">
        <v>2.4786176144234354E-2</v>
      </c>
      <c r="H13" s="97"/>
    </row>
    <row r="14" spans="1:15" x14ac:dyDescent="0.2">
      <c r="A14" s="5">
        <v>8</v>
      </c>
      <c r="B14" s="6" t="s">
        <v>309</v>
      </c>
      <c r="C14" s="6" t="s">
        <v>310</v>
      </c>
      <c r="D14" s="6" t="s">
        <v>70</v>
      </c>
      <c r="E14" s="7">
        <v>1441506</v>
      </c>
      <c r="F14" s="8">
        <v>17574.120398999999</v>
      </c>
      <c r="G14" s="9">
        <v>2.3903004590827996E-2</v>
      </c>
      <c r="H14" s="97"/>
    </row>
    <row r="15" spans="1:15" ht="15" x14ac:dyDescent="0.2">
      <c r="A15" s="5">
        <v>9</v>
      </c>
      <c r="B15" s="6" t="s">
        <v>311</v>
      </c>
      <c r="C15" s="6" t="s">
        <v>312</v>
      </c>
      <c r="D15" s="6" t="s">
        <v>284</v>
      </c>
      <c r="E15" s="7">
        <v>41292</v>
      </c>
      <c r="F15" s="8">
        <v>16690.866426000001</v>
      </c>
      <c r="G15" s="9">
        <v>2.2701668575587804E-2</v>
      </c>
      <c r="H15" s="97"/>
      <c r="J15" s="184" t="s">
        <v>1263</v>
      </c>
    </row>
    <row r="16" spans="1:15" x14ac:dyDescent="0.2">
      <c r="A16" s="5">
        <v>10</v>
      </c>
      <c r="B16" s="6" t="s">
        <v>313</v>
      </c>
      <c r="C16" s="6" t="s">
        <v>314</v>
      </c>
      <c r="D16" s="6" t="s">
        <v>147</v>
      </c>
      <c r="E16" s="7">
        <v>285419</v>
      </c>
      <c r="F16" s="8">
        <v>15980.4671005</v>
      </c>
      <c r="G16" s="9">
        <v>2.1735436527939272E-2</v>
      </c>
      <c r="H16" s="97"/>
    </row>
    <row r="17" spans="1:10" ht="25.5" x14ac:dyDescent="0.2">
      <c r="A17" s="5">
        <v>11</v>
      </c>
      <c r="B17" s="6" t="s">
        <v>317</v>
      </c>
      <c r="C17" s="6" t="s">
        <v>318</v>
      </c>
      <c r="D17" s="6" t="s">
        <v>81</v>
      </c>
      <c r="E17" s="7">
        <v>3004370</v>
      </c>
      <c r="F17" s="8">
        <v>15634.741480000001</v>
      </c>
      <c r="G17" s="9">
        <v>2.126520638803147E-2</v>
      </c>
      <c r="H17" s="97"/>
    </row>
    <row r="18" spans="1:10" x14ac:dyDescent="0.2">
      <c r="A18" s="5">
        <v>12</v>
      </c>
      <c r="B18" s="6" t="s">
        <v>315</v>
      </c>
      <c r="C18" s="6" t="s">
        <v>316</v>
      </c>
      <c r="D18" s="6" t="s">
        <v>25</v>
      </c>
      <c r="E18" s="7">
        <v>2256332</v>
      </c>
      <c r="F18" s="8">
        <v>15310.340786000001</v>
      </c>
      <c r="G18" s="9">
        <v>2.0823980818734072E-2</v>
      </c>
      <c r="H18" s="97"/>
    </row>
    <row r="19" spans="1:10" ht="25.5" x14ac:dyDescent="0.2">
      <c r="A19" s="5">
        <v>13</v>
      </c>
      <c r="B19" s="6" t="s">
        <v>26</v>
      </c>
      <c r="C19" s="6" t="s">
        <v>27</v>
      </c>
      <c r="D19" s="6" t="s">
        <v>1185</v>
      </c>
      <c r="E19" s="7">
        <v>1520356</v>
      </c>
      <c r="F19" s="8">
        <v>15265.894596</v>
      </c>
      <c r="G19" s="9">
        <v>2.0763528434233777E-2</v>
      </c>
      <c r="H19" s="97"/>
    </row>
    <row r="20" spans="1:10" x14ac:dyDescent="0.2">
      <c r="A20" s="5">
        <v>14</v>
      </c>
      <c r="B20" s="6" t="s">
        <v>328</v>
      </c>
      <c r="C20" s="6" t="s">
        <v>329</v>
      </c>
      <c r="D20" s="6" t="s">
        <v>25</v>
      </c>
      <c r="E20" s="7">
        <v>17755078</v>
      </c>
      <c r="F20" s="8">
        <v>14736.714740000001</v>
      </c>
      <c r="G20" s="9">
        <v>2.0043777559643122E-2</v>
      </c>
      <c r="H20" s="97"/>
    </row>
    <row r="21" spans="1:10" x14ac:dyDescent="0.2">
      <c r="A21" s="5">
        <v>15</v>
      </c>
      <c r="B21" s="6" t="s">
        <v>325</v>
      </c>
      <c r="C21" s="6" t="s">
        <v>326</v>
      </c>
      <c r="D21" s="6" t="s">
        <v>327</v>
      </c>
      <c r="E21" s="7">
        <v>1353998</v>
      </c>
      <c r="F21" s="8">
        <v>14420.0787</v>
      </c>
      <c r="G21" s="9">
        <v>1.9613112892171498E-2</v>
      </c>
      <c r="H21" s="97"/>
    </row>
    <row r="22" spans="1:10" ht="25.5" x14ac:dyDescent="0.2">
      <c r="A22" s="5">
        <v>16</v>
      </c>
      <c r="B22" s="6" t="s">
        <v>319</v>
      </c>
      <c r="C22" s="6" t="s">
        <v>320</v>
      </c>
      <c r="D22" s="6" t="s">
        <v>202</v>
      </c>
      <c r="E22" s="7">
        <v>1593553</v>
      </c>
      <c r="F22" s="8">
        <v>14155.531299</v>
      </c>
      <c r="G22" s="9">
        <v>1.9253295296921928E-2</v>
      </c>
      <c r="H22" s="97"/>
    </row>
    <row r="23" spans="1:10" x14ac:dyDescent="0.2">
      <c r="A23" s="5">
        <v>17</v>
      </c>
      <c r="B23" s="6" t="s">
        <v>321</v>
      </c>
      <c r="C23" s="6" t="s">
        <v>322</v>
      </c>
      <c r="D23" s="6" t="s">
        <v>19</v>
      </c>
      <c r="E23" s="7">
        <v>1475354</v>
      </c>
      <c r="F23" s="8">
        <v>13894.883972</v>
      </c>
      <c r="G23" s="9">
        <v>1.8898782290727743E-2</v>
      </c>
      <c r="H23" s="97"/>
    </row>
    <row r="24" spans="1:10" ht="25.5" x14ac:dyDescent="0.2">
      <c r="A24" s="5">
        <v>18</v>
      </c>
      <c r="B24" s="6" t="s">
        <v>334</v>
      </c>
      <c r="C24" s="6" t="s">
        <v>335</v>
      </c>
      <c r="D24" s="6" t="s">
        <v>70</v>
      </c>
      <c r="E24" s="7">
        <v>3153466</v>
      </c>
      <c r="F24" s="8">
        <v>13794.837017</v>
      </c>
      <c r="G24" s="9">
        <v>1.8762705902813644E-2</v>
      </c>
      <c r="H24" s="97"/>
    </row>
    <row r="25" spans="1:10" x14ac:dyDescent="0.2">
      <c r="A25" s="5">
        <v>19</v>
      </c>
      <c r="B25" s="6" t="s">
        <v>323</v>
      </c>
      <c r="C25" s="6" t="s">
        <v>324</v>
      </c>
      <c r="D25" s="6" t="s">
        <v>1187</v>
      </c>
      <c r="E25" s="7">
        <v>383062</v>
      </c>
      <c r="F25" s="8">
        <v>13756.139482</v>
      </c>
      <c r="G25" s="9">
        <v>1.8710072409030859E-2</v>
      </c>
      <c r="H25" s="97"/>
    </row>
    <row r="26" spans="1:10" x14ac:dyDescent="0.2">
      <c r="A26" s="5">
        <v>20</v>
      </c>
      <c r="B26" s="6" t="s">
        <v>338</v>
      </c>
      <c r="C26" s="6" t="s">
        <v>339</v>
      </c>
      <c r="D26" s="6" t="s">
        <v>193</v>
      </c>
      <c r="E26" s="7">
        <v>625657</v>
      </c>
      <c r="F26" s="8">
        <v>13556.735875999999</v>
      </c>
      <c r="G26" s="9">
        <v>1.8438858533091049E-2</v>
      </c>
      <c r="H26" s="97"/>
    </row>
    <row r="27" spans="1:10" ht="15" x14ac:dyDescent="0.2">
      <c r="A27" s="5">
        <v>21</v>
      </c>
      <c r="B27" s="6" t="s">
        <v>330</v>
      </c>
      <c r="C27" s="6" t="s">
        <v>331</v>
      </c>
      <c r="D27" s="6" t="s">
        <v>193</v>
      </c>
      <c r="E27" s="7">
        <v>1454822</v>
      </c>
      <c r="F27" s="8">
        <v>13161.047223</v>
      </c>
      <c r="G27" s="9">
        <v>1.7900672411995864E-2</v>
      </c>
      <c r="H27" s="97"/>
      <c r="J27" s="184" t="s">
        <v>1264</v>
      </c>
    </row>
    <row r="28" spans="1:10" x14ac:dyDescent="0.2">
      <c r="A28" s="5">
        <v>22</v>
      </c>
      <c r="B28" s="6" t="s">
        <v>332</v>
      </c>
      <c r="C28" s="6" t="s">
        <v>333</v>
      </c>
      <c r="D28" s="6" t="s">
        <v>60</v>
      </c>
      <c r="E28" s="7">
        <v>3415738</v>
      </c>
      <c r="F28" s="8">
        <v>12885.871605</v>
      </c>
      <c r="G28" s="9">
        <v>1.752639911062983E-2</v>
      </c>
      <c r="H28" s="97"/>
    </row>
    <row r="29" spans="1:10" x14ac:dyDescent="0.2">
      <c r="A29" s="5">
        <v>23</v>
      </c>
      <c r="B29" s="6" t="s">
        <v>336</v>
      </c>
      <c r="C29" s="6" t="s">
        <v>337</v>
      </c>
      <c r="D29" s="6" t="s">
        <v>193</v>
      </c>
      <c r="E29" s="7">
        <v>329843</v>
      </c>
      <c r="F29" s="8">
        <v>12746.9476565</v>
      </c>
      <c r="G29" s="9">
        <v>1.7337445142898939E-2</v>
      </c>
      <c r="H29" s="97"/>
    </row>
    <row r="30" spans="1:10" x14ac:dyDescent="0.2">
      <c r="A30" s="5">
        <v>24</v>
      </c>
      <c r="B30" s="6" t="s">
        <v>340</v>
      </c>
      <c r="C30" s="6" t="s">
        <v>341</v>
      </c>
      <c r="D30" s="6" t="s">
        <v>1190</v>
      </c>
      <c r="E30" s="7">
        <v>6010281</v>
      </c>
      <c r="F30" s="8">
        <v>12618.5849595</v>
      </c>
      <c r="G30" s="9">
        <v>1.7162855799818265E-2</v>
      </c>
      <c r="H30" s="97"/>
    </row>
    <row r="31" spans="1:10" x14ac:dyDescent="0.2">
      <c r="A31" s="5">
        <v>25</v>
      </c>
      <c r="B31" s="6" t="s">
        <v>342</v>
      </c>
      <c r="C31" s="6" t="s">
        <v>343</v>
      </c>
      <c r="D31" s="6" t="s">
        <v>19</v>
      </c>
      <c r="E31" s="7">
        <v>1748760</v>
      </c>
      <c r="F31" s="8">
        <v>12203.721659999999</v>
      </c>
      <c r="G31" s="9">
        <v>1.6598589758197266E-2</v>
      </c>
      <c r="H31" s="97"/>
    </row>
    <row r="32" spans="1:10" x14ac:dyDescent="0.2">
      <c r="A32" s="5">
        <v>26</v>
      </c>
      <c r="B32" s="6" t="s">
        <v>344</v>
      </c>
      <c r="C32" s="6" t="s">
        <v>345</v>
      </c>
      <c r="D32" s="6" t="s">
        <v>81</v>
      </c>
      <c r="E32" s="7">
        <v>1002561</v>
      </c>
      <c r="F32" s="8">
        <v>12201.167370000001</v>
      </c>
      <c r="G32" s="9">
        <v>1.6595115603917559E-2</v>
      </c>
      <c r="H32" s="97"/>
    </row>
    <row r="33" spans="1:8" x14ac:dyDescent="0.2">
      <c r="A33" s="5">
        <v>27</v>
      </c>
      <c r="B33" s="6" t="s">
        <v>181</v>
      </c>
      <c r="C33" s="6" t="s">
        <v>182</v>
      </c>
      <c r="D33" s="6" t="s">
        <v>1189</v>
      </c>
      <c r="E33" s="7">
        <v>1410000</v>
      </c>
      <c r="F33" s="8">
        <v>12074.535</v>
      </c>
      <c r="G33" s="9">
        <v>1.6422879722249782E-2</v>
      </c>
      <c r="H33" s="97"/>
    </row>
    <row r="34" spans="1:8" x14ac:dyDescent="0.2">
      <c r="A34" s="5">
        <v>28</v>
      </c>
      <c r="B34" s="6" t="s">
        <v>350</v>
      </c>
      <c r="C34" s="6" t="s">
        <v>351</v>
      </c>
      <c r="D34" s="6" t="s">
        <v>25</v>
      </c>
      <c r="E34" s="7">
        <v>14230525</v>
      </c>
      <c r="F34" s="8">
        <v>11661.915237499999</v>
      </c>
      <c r="G34" s="9">
        <v>1.5861665171912169E-2</v>
      </c>
      <c r="H34" s="97"/>
    </row>
    <row r="35" spans="1:8" x14ac:dyDescent="0.2">
      <c r="A35" s="5">
        <v>29</v>
      </c>
      <c r="B35" s="6" t="s">
        <v>346</v>
      </c>
      <c r="C35" s="6" t="s">
        <v>347</v>
      </c>
      <c r="D35" s="6" t="s">
        <v>1184</v>
      </c>
      <c r="E35" s="7">
        <v>1444067</v>
      </c>
      <c r="F35" s="8">
        <v>11433.4004725</v>
      </c>
      <c r="G35" s="9">
        <v>1.5550856474073851E-2</v>
      </c>
      <c r="H35" s="97"/>
    </row>
    <row r="36" spans="1:8" x14ac:dyDescent="0.2">
      <c r="A36" s="5">
        <v>30</v>
      </c>
      <c r="B36" s="6" t="s">
        <v>348</v>
      </c>
      <c r="C36" s="6" t="s">
        <v>349</v>
      </c>
      <c r="D36" s="6" t="s">
        <v>25</v>
      </c>
      <c r="E36" s="7">
        <v>1084567</v>
      </c>
      <c r="F36" s="8">
        <v>11241.536955</v>
      </c>
      <c r="G36" s="9">
        <v>1.5289898062756956E-2</v>
      </c>
      <c r="H36" s="97"/>
    </row>
    <row r="37" spans="1:8" x14ac:dyDescent="0.2">
      <c r="A37" s="5">
        <v>31</v>
      </c>
      <c r="B37" s="6" t="s">
        <v>76</v>
      </c>
      <c r="C37" s="6" t="s">
        <v>77</v>
      </c>
      <c r="D37" s="6" t="s">
        <v>78</v>
      </c>
      <c r="E37" s="7">
        <v>8814608</v>
      </c>
      <c r="F37" s="8">
        <v>10793.487496</v>
      </c>
      <c r="G37" s="9">
        <v>1.4680494688235611E-2</v>
      </c>
      <c r="H37" s="97"/>
    </row>
    <row r="38" spans="1:8" x14ac:dyDescent="0.2">
      <c r="A38" s="5">
        <v>32</v>
      </c>
      <c r="B38" s="6" t="s">
        <v>354</v>
      </c>
      <c r="C38" s="6" t="s">
        <v>355</v>
      </c>
      <c r="D38" s="6" t="s">
        <v>356</v>
      </c>
      <c r="E38" s="7">
        <v>351395</v>
      </c>
      <c r="F38" s="8">
        <v>10662.02709</v>
      </c>
      <c r="G38" s="9">
        <v>1.4501692072981597E-2</v>
      </c>
      <c r="H38" s="97"/>
    </row>
    <row r="39" spans="1:8" x14ac:dyDescent="0.2">
      <c r="A39" s="5">
        <v>33</v>
      </c>
      <c r="B39" s="6" t="s">
        <v>361</v>
      </c>
      <c r="C39" s="6" t="s">
        <v>362</v>
      </c>
      <c r="D39" s="6" t="s">
        <v>185</v>
      </c>
      <c r="E39" s="7">
        <v>1034900</v>
      </c>
      <c r="F39" s="8">
        <v>10396.6054</v>
      </c>
      <c r="G39" s="9">
        <v>1.414068533520277E-2</v>
      </c>
      <c r="H39" s="97"/>
    </row>
    <row r="40" spans="1:8" x14ac:dyDescent="0.2">
      <c r="A40" s="5">
        <v>34</v>
      </c>
      <c r="B40" s="6" t="s">
        <v>352</v>
      </c>
      <c r="C40" s="6" t="s">
        <v>353</v>
      </c>
      <c r="D40" s="6" t="s">
        <v>238</v>
      </c>
      <c r="E40" s="7">
        <v>14171</v>
      </c>
      <c r="F40" s="8">
        <v>10392.72798</v>
      </c>
      <c r="G40" s="9">
        <v>1.4135411558424398E-2</v>
      </c>
      <c r="H40" s="97"/>
    </row>
    <row r="41" spans="1:8" x14ac:dyDescent="0.2">
      <c r="A41" s="5">
        <v>35</v>
      </c>
      <c r="B41" s="6" t="s">
        <v>357</v>
      </c>
      <c r="C41" s="6" t="s">
        <v>358</v>
      </c>
      <c r="D41" s="6" t="s">
        <v>48</v>
      </c>
      <c r="E41" s="7">
        <v>1629770</v>
      </c>
      <c r="F41" s="8">
        <v>10015.751534999999</v>
      </c>
      <c r="G41" s="9">
        <v>1.3622676383582773E-2</v>
      </c>
      <c r="H41" s="97"/>
    </row>
    <row r="42" spans="1:8" x14ac:dyDescent="0.2">
      <c r="A42" s="5">
        <v>36</v>
      </c>
      <c r="B42" s="6" t="s">
        <v>359</v>
      </c>
      <c r="C42" s="6" t="s">
        <v>360</v>
      </c>
      <c r="D42" s="6" t="s">
        <v>70</v>
      </c>
      <c r="E42" s="7">
        <v>179314</v>
      </c>
      <c r="F42" s="8">
        <v>9879.3944869999996</v>
      </c>
      <c r="G42" s="9">
        <v>1.3437213721990833E-2</v>
      </c>
      <c r="H42" s="97"/>
    </row>
    <row r="43" spans="1:8" ht="25.5" x14ac:dyDescent="0.2">
      <c r="A43" s="5">
        <v>37</v>
      </c>
      <c r="B43" s="6" t="s">
        <v>365</v>
      </c>
      <c r="C43" s="6" t="s">
        <v>366</v>
      </c>
      <c r="D43" s="6" t="s">
        <v>202</v>
      </c>
      <c r="E43" s="7">
        <v>1880202</v>
      </c>
      <c r="F43" s="8">
        <v>9758.2483799999991</v>
      </c>
      <c r="G43" s="9">
        <v>1.3272439845060598E-2</v>
      </c>
      <c r="H43" s="97"/>
    </row>
    <row r="44" spans="1:8" x14ac:dyDescent="0.2">
      <c r="A44" s="5">
        <v>38</v>
      </c>
      <c r="B44" s="6" t="s">
        <v>82</v>
      </c>
      <c r="C44" s="6" t="s">
        <v>83</v>
      </c>
      <c r="D44" s="6" t="s">
        <v>73</v>
      </c>
      <c r="E44" s="7">
        <v>2071698</v>
      </c>
      <c r="F44" s="8">
        <v>9745.2673919999997</v>
      </c>
      <c r="G44" s="9">
        <v>1.325478407574112E-2</v>
      </c>
      <c r="H44" s="97"/>
    </row>
    <row r="45" spans="1:8" x14ac:dyDescent="0.2">
      <c r="A45" s="5">
        <v>39</v>
      </c>
      <c r="B45" s="6" t="s">
        <v>363</v>
      </c>
      <c r="C45" s="6" t="s">
        <v>364</v>
      </c>
      <c r="D45" s="6" t="s">
        <v>238</v>
      </c>
      <c r="E45" s="7">
        <v>255256</v>
      </c>
      <c r="F45" s="8">
        <v>9669.3525360000003</v>
      </c>
      <c r="G45" s="9">
        <v>1.3151530364586207E-2</v>
      </c>
      <c r="H45" s="97"/>
    </row>
    <row r="46" spans="1:8" x14ac:dyDescent="0.2">
      <c r="A46" s="5">
        <v>40</v>
      </c>
      <c r="B46" s="6" t="s">
        <v>367</v>
      </c>
      <c r="C46" s="6" t="s">
        <v>368</v>
      </c>
      <c r="D46" s="6" t="s">
        <v>147</v>
      </c>
      <c r="E46" s="7">
        <v>272253</v>
      </c>
      <c r="F46" s="8">
        <v>9247.6176510000005</v>
      </c>
      <c r="G46" s="9">
        <v>1.2577918106140491E-2</v>
      </c>
      <c r="H46" s="97"/>
    </row>
    <row r="47" spans="1:8" ht="25.5" x14ac:dyDescent="0.2">
      <c r="A47" s="5">
        <v>41</v>
      </c>
      <c r="B47" s="6" t="s">
        <v>43</v>
      </c>
      <c r="C47" s="6" t="s">
        <v>44</v>
      </c>
      <c r="D47" s="6" t="s">
        <v>45</v>
      </c>
      <c r="E47" s="7">
        <v>20575</v>
      </c>
      <c r="F47" s="8">
        <v>8676.6729625000007</v>
      </c>
      <c r="G47" s="9">
        <v>1.1801361829042211E-2</v>
      </c>
      <c r="H47" s="97"/>
    </row>
    <row r="48" spans="1:8" x14ac:dyDescent="0.2">
      <c r="A48" s="5">
        <v>42</v>
      </c>
      <c r="B48" s="6" t="s">
        <v>280</v>
      </c>
      <c r="C48" s="6" t="s">
        <v>281</v>
      </c>
      <c r="D48" s="6" t="s">
        <v>238</v>
      </c>
      <c r="E48" s="7">
        <v>474999</v>
      </c>
      <c r="F48" s="8">
        <v>8335.2824519999995</v>
      </c>
      <c r="G48" s="9">
        <v>1.1337027981630369E-2</v>
      </c>
      <c r="H48" s="97"/>
    </row>
    <row r="49" spans="1:8" x14ac:dyDescent="0.2">
      <c r="A49" s="5">
        <v>43</v>
      </c>
      <c r="B49" s="6" t="s">
        <v>86</v>
      </c>
      <c r="C49" s="6" t="s">
        <v>87</v>
      </c>
      <c r="D49" s="6" t="s">
        <v>73</v>
      </c>
      <c r="E49" s="7">
        <v>2775363</v>
      </c>
      <c r="F49" s="8">
        <v>8191.4838945000001</v>
      </c>
      <c r="G49" s="9">
        <v>1.1141443935200794E-2</v>
      </c>
      <c r="H49" s="97"/>
    </row>
    <row r="50" spans="1:8" x14ac:dyDescent="0.2">
      <c r="A50" s="5">
        <v>44</v>
      </c>
      <c r="B50" s="6" t="s">
        <v>369</v>
      </c>
      <c r="C50" s="6" t="s">
        <v>370</v>
      </c>
      <c r="D50" s="6" t="s">
        <v>147</v>
      </c>
      <c r="E50" s="7">
        <v>615029</v>
      </c>
      <c r="F50" s="8">
        <v>8112.8475390000003</v>
      </c>
      <c r="G50" s="9">
        <v>1.1034488643906134E-2</v>
      </c>
      <c r="H50" s="97"/>
    </row>
    <row r="51" spans="1:8" x14ac:dyDescent="0.2">
      <c r="A51" s="5">
        <v>45</v>
      </c>
      <c r="B51" s="6" t="s">
        <v>371</v>
      </c>
      <c r="C51" s="6" t="s">
        <v>372</v>
      </c>
      <c r="D51" s="6" t="s">
        <v>70</v>
      </c>
      <c r="E51" s="7">
        <v>11643670</v>
      </c>
      <c r="F51" s="8">
        <v>7970.0921150000004</v>
      </c>
      <c r="G51" s="9">
        <v>1.0840323389670607E-2</v>
      </c>
      <c r="H51" s="97"/>
    </row>
    <row r="52" spans="1:8" x14ac:dyDescent="0.2">
      <c r="A52" s="5">
        <v>46</v>
      </c>
      <c r="B52" s="6" t="s">
        <v>373</v>
      </c>
      <c r="C52" s="6" t="s">
        <v>374</v>
      </c>
      <c r="D52" s="6" t="s">
        <v>213</v>
      </c>
      <c r="E52" s="7">
        <v>1000000</v>
      </c>
      <c r="F52" s="8">
        <v>7560.5</v>
      </c>
      <c r="G52" s="9">
        <v>1.0283226819092368E-2</v>
      </c>
      <c r="H52" s="97"/>
    </row>
    <row r="53" spans="1:8" x14ac:dyDescent="0.2">
      <c r="A53" s="5">
        <v>47</v>
      </c>
      <c r="B53" s="6" t="s">
        <v>375</v>
      </c>
      <c r="C53" s="6" t="s">
        <v>376</v>
      </c>
      <c r="D53" s="6" t="s">
        <v>238</v>
      </c>
      <c r="E53" s="7">
        <v>575236</v>
      </c>
      <c r="F53" s="8">
        <v>7045.7781459999997</v>
      </c>
      <c r="G53" s="9">
        <v>9.5831406378311095E-3</v>
      </c>
      <c r="H53" s="97"/>
    </row>
    <row r="54" spans="1:8" x14ac:dyDescent="0.2">
      <c r="A54" s="5">
        <v>48</v>
      </c>
      <c r="B54" s="6" t="s">
        <v>209</v>
      </c>
      <c r="C54" s="6" t="s">
        <v>210</v>
      </c>
      <c r="D54" s="6" t="s">
        <v>193</v>
      </c>
      <c r="E54" s="7">
        <v>1121708</v>
      </c>
      <c r="F54" s="8">
        <v>6044.8844120000003</v>
      </c>
      <c r="G54" s="9">
        <v>8.2217998153285912E-3</v>
      </c>
      <c r="H54" s="97"/>
    </row>
    <row r="55" spans="1:8" x14ac:dyDescent="0.2">
      <c r="A55" s="5">
        <v>49</v>
      </c>
      <c r="B55" s="6" t="s">
        <v>389</v>
      </c>
      <c r="C55" s="6" t="s">
        <v>390</v>
      </c>
      <c r="D55" s="6" t="s">
        <v>1186</v>
      </c>
      <c r="E55" s="7">
        <v>1826672</v>
      </c>
      <c r="F55" s="8">
        <v>5859.9637759999996</v>
      </c>
      <c r="G55" s="9">
        <v>7.9702845923249766E-3</v>
      </c>
      <c r="H55" s="97"/>
    </row>
    <row r="56" spans="1:8" x14ac:dyDescent="0.2">
      <c r="A56" s="5">
        <v>50</v>
      </c>
      <c r="B56" s="6" t="s">
        <v>377</v>
      </c>
      <c r="C56" s="6" t="s">
        <v>378</v>
      </c>
      <c r="D56" s="6" t="s">
        <v>81</v>
      </c>
      <c r="E56" s="7">
        <v>1534714</v>
      </c>
      <c r="F56" s="8">
        <v>5673.0703009999997</v>
      </c>
      <c r="G56" s="9">
        <v>7.7160860612181222E-3</v>
      </c>
      <c r="H56" s="97"/>
    </row>
    <row r="57" spans="1:8" x14ac:dyDescent="0.2">
      <c r="A57" s="5">
        <v>51</v>
      </c>
      <c r="B57" s="6" t="s">
        <v>379</v>
      </c>
      <c r="C57" s="6" t="s">
        <v>380</v>
      </c>
      <c r="D57" s="6" t="s">
        <v>25</v>
      </c>
      <c r="E57" s="7">
        <v>4098074</v>
      </c>
      <c r="F57" s="8">
        <v>5518.0566410000001</v>
      </c>
      <c r="G57" s="9">
        <v>7.5052480708950407E-3</v>
      </c>
      <c r="H57" s="97"/>
    </row>
    <row r="58" spans="1:8" x14ac:dyDescent="0.2">
      <c r="A58" s="5">
        <v>52</v>
      </c>
      <c r="B58" s="6" t="s">
        <v>381</v>
      </c>
      <c r="C58" s="6" t="s">
        <v>382</v>
      </c>
      <c r="D58" s="6" t="s">
        <v>1183</v>
      </c>
      <c r="E58" s="7">
        <v>33061</v>
      </c>
      <c r="F58" s="8">
        <v>5424.053782</v>
      </c>
      <c r="G58" s="9">
        <v>7.3773924104572177E-3</v>
      </c>
      <c r="H58" s="97"/>
    </row>
    <row r="59" spans="1:8" x14ac:dyDescent="0.2">
      <c r="A59" s="5">
        <v>53</v>
      </c>
      <c r="B59" s="6" t="s">
        <v>175</v>
      </c>
      <c r="C59" s="6" t="s">
        <v>176</v>
      </c>
      <c r="D59" s="6" t="s">
        <v>16</v>
      </c>
      <c r="E59" s="7">
        <v>1780000</v>
      </c>
      <c r="F59" s="8">
        <v>5203.83</v>
      </c>
      <c r="G59" s="9">
        <v>7.0778604877980876E-3</v>
      </c>
      <c r="H59" s="97"/>
    </row>
    <row r="60" spans="1:8" x14ac:dyDescent="0.2">
      <c r="A60" s="5">
        <v>54</v>
      </c>
      <c r="B60" s="6" t="s">
        <v>383</v>
      </c>
      <c r="C60" s="6" t="s">
        <v>384</v>
      </c>
      <c r="D60" s="6" t="s">
        <v>53</v>
      </c>
      <c r="E60" s="7">
        <v>268507</v>
      </c>
      <c r="F60" s="8">
        <v>5025.9140260000004</v>
      </c>
      <c r="G60" s="9">
        <v>6.8358724823246748E-3</v>
      </c>
      <c r="H60" s="97"/>
    </row>
    <row r="61" spans="1:8" x14ac:dyDescent="0.2">
      <c r="A61" s="5">
        <v>55</v>
      </c>
      <c r="B61" s="6" t="s">
        <v>385</v>
      </c>
      <c r="C61" s="6" t="s">
        <v>386</v>
      </c>
      <c r="D61" s="6" t="s">
        <v>81</v>
      </c>
      <c r="E61" s="7">
        <v>191427</v>
      </c>
      <c r="F61" s="8">
        <v>5007.8260335000004</v>
      </c>
      <c r="G61" s="9">
        <v>6.8112705473230822E-3</v>
      </c>
      <c r="H61" s="97"/>
    </row>
    <row r="62" spans="1:8" ht="25.5" x14ac:dyDescent="0.2">
      <c r="A62" s="5">
        <v>56</v>
      </c>
      <c r="B62" s="6" t="s">
        <v>387</v>
      </c>
      <c r="C62" s="6" t="s">
        <v>388</v>
      </c>
      <c r="D62" s="6" t="s">
        <v>1185</v>
      </c>
      <c r="E62" s="7">
        <v>262758</v>
      </c>
      <c r="F62" s="8">
        <v>4855.5050819999997</v>
      </c>
      <c r="G62" s="9">
        <v>6.6040949777741798E-3</v>
      </c>
      <c r="H62" s="97"/>
    </row>
    <row r="63" spans="1:8" x14ac:dyDescent="0.2">
      <c r="A63" s="5">
        <v>57</v>
      </c>
      <c r="B63" s="6" t="s">
        <v>391</v>
      </c>
      <c r="C63" s="6" t="s">
        <v>392</v>
      </c>
      <c r="D63" s="6" t="s">
        <v>70</v>
      </c>
      <c r="E63" s="7">
        <v>249907</v>
      </c>
      <c r="F63" s="8">
        <v>4677.3843655000001</v>
      </c>
      <c r="G63" s="9">
        <v>6.3618284968603852E-3</v>
      </c>
      <c r="H63" s="97"/>
    </row>
    <row r="64" spans="1:8" x14ac:dyDescent="0.2">
      <c r="A64" s="5">
        <v>58</v>
      </c>
      <c r="B64" s="6" t="s">
        <v>32</v>
      </c>
      <c r="C64" s="6" t="s">
        <v>33</v>
      </c>
      <c r="D64" s="6" t="s">
        <v>34</v>
      </c>
      <c r="E64" s="7">
        <v>1617175</v>
      </c>
      <c r="F64" s="8">
        <v>3573.1481624999997</v>
      </c>
      <c r="G64" s="9">
        <v>4.8599289746988445E-3</v>
      </c>
      <c r="H64" s="97"/>
    </row>
    <row r="65" spans="1:8" x14ac:dyDescent="0.2">
      <c r="A65" s="5">
        <v>59</v>
      </c>
      <c r="B65" s="6" t="s">
        <v>393</v>
      </c>
      <c r="C65" s="6" t="s">
        <v>394</v>
      </c>
      <c r="D65" s="6" t="s">
        <v>70</v>
      </c>
      <c r="E65" s="7">
        <v>611004</v>
      </c>
      <c r="F65" s="8">
        <v>2799.620328</v>
      </c>
      <c r="G65" s="9">
        <v>3.8078342490795282E-3</v>
      </c>
      <c r="H65" s="97"/>
    </row>
    <row r="66" spans="1:8" x14ac:dyDescent="0.2">
      <c r="A66" s="5">
        <v>60</v>
      </c>
      <c r="B66" s="6" t="s">
        <v>35</v>
      </c>
      <c r="C66" s="6" t="s">
        <v>36</v>
      </c>
      <c r="D66" s="6" t="s">
        <v>19</v>
      </c>
      <c r="E66" s="7">
        <v>105294</v>
      </c>
      <c r="F66" s="8">
        <v>2597.0765100000003</v>
      </c>
      <c r="G66" s="9">
        <v>3.5323492915636284E-3</v>
      </c>
      <c r="H66" s="97"/>
    </row>
    <row r="67" spans="1:8" ht="25.5" x14ac:dyDescent="0.2">
      <c r="A67" s="5">
        <v>61</v>
      </c>
      <c r="B67" s="6" t="s">
        <v>395</v>
      </c>
      <c r="C67" s="6" t="s">
        <v>396</v>
      </c>
      <c r="D67" s="6" t="s">
        <v>202</v>
      </c>
      <c r="E67" s="7">
        <v>340866</v>
      </c>
      <c r="F67" s="8">
        <v>2534.1682770000002</v>
      </c>
      <c r="G67" s="9">
        <v>3.4467862165385226E-3</v>
      </c>
      <c r="H67" s="97"/>
    </row>
    <row r="68" spans="1:8" x14ac:dyDescent="0.2">
      <c r="A68" s="5">
        <v>62</v>
      </c>
      <c r="B68" s="6" t="s">
        <v>401</v>
      </c>
      <c r="C68" s="6" t="s">
        <v>402</v>
      </c>
      <c r="D68" s="6" t="s">
        <v>19</v>
      </c>
      <c r="E68" s="7">
        <v>100482</v>
      </c>
      <c r="F68" s="8">
        <v>2292.798276</v>
      </c>
      <c r="G68" s="9">
        <v>3.118492787848945E-3</v>
      </c>
      <c r="H68" s="97"/>
    </row>
    <row r="69" spans="1:8" x14ac:dyDescent="0.2">
      <c r="A69" s="5">
        <v>63</v>
      </c>
      <c r="B69" s="6" t="s">
        <v>397</v>
      </c>
      <c r="C69" s="6" t="s">
        <v>398</v>
      </c>
      <c r="D69" s="6" t="s">
        <v>1187</v>
      </c>
      <c r="E69" s="7">
        <v>1168655</v>
      </c>
      <c r="F69" s="8">
        <v>2195.9027449999999</v>
      </c>
      <c r="G69" s="9">
        <v>2.9867027312350438E-3</v>
      </c>
      <c r="H69" s="97"/>
    </row>
    <row r="70" spans="1:8" x14ac:dyDescent="0.2">
      <c r="A70" s="5">
        <v>64</v>
      </c>
      <c r="B70" s="6" t="s">
        <v>399</v>
      </c>
      <c r="C70" s="6" t="s">
        <v>400</v>
      </c>
      <c r="D70" s="6" t="s">
        <v>327</v>
      </c>
      <c r="E70" s="7">
        <v>1236074</v>
      </c>
      <c r="F70" s="8">
        <v>1698.3656759999999</v>
      </c>
      <c r="G70" s="9">
        <v>2.3099900096645908E-3</v>
      </c>
      <c r="H70" s="97"/>
    </row>
    <row r="71" spans="1:8" x14ac:dyDescent="0.2">
      <c r="A71" s="5">
        <v>65</v>
      </c>
      <c r="B71" s="6" t="s">
        <v>403</v>
      </c>
      <c r="C71" s="6" t="s">
        <v>404</v>
      </c>
      <c r="D71" s="6" t="s">
        <v>70</v>
      </c>
      <c r="E71" s="7">
        <v>83373</v>
      </c>
      <c r="F71" s="8">
        <v>1468.8238275000001</v>
      </c>
      <c r="G71" s="9">
        <v>1.997784349642207E-3</v>
      </c>
      <c r="H71" s="97"/>
    </row>
    <row r="72" spans="1:8" x14ac:dyDescent="0.2">
      <c r="A72" s="5">
        <v>66</v>
      </c>
      <c r="B72" s="6" t="s">
        <v>405</v>
      </c>
      <c r="C72" s="6" t="s">
        <v>406</v>
      </c>
      <c r="D72" s="6" t="s">
        <v>70</v>
      </c>
      <c r="E72" s="7">
        <v>102527</v>
      </c>
      <c r="F72" s="8">
        <v>1322.5470365000001</v>
      </c>
      <c r="G72" s="9">
        <v>1.7988295952976569E-3</v>
      </c>
      <c r="H72" s="97"/>
    </row>
    <row r="73" spans="1:8" x14ac:dyDescent="0.2">
      <c r="A73" s="5">
        <v>67</v>
      </c>
      <c r="B73" s="6" t="s">
        <v>145</v>
      </c>
      <c r="C73" s="6" t="s">
        <v>146</v>
      </c>
      <c r="D73" s="6" t="s">
        <v>147</v>
      </c>
      <c r="E73" s="7">
        <v>20700</v>
      </c>
      <c r="F73" s="8">
        <v>1015.20045</v>
      </c>
      <c r="G73" s="9">
        <v>1.3807997479260157E-3</v>
      </c>
      <c r="H73" s="97"/>
    </row>
    <row r="74" spans="1:8" x14ac:dyDescent="0.2">
      <c r="A74" s="5">
        <v>68</v>
      </c>
      <c r="B74" s="6" t="s">
        <v>23</v>
      </c>
      <c r="C74" s="6" t="s">
        <v>24</v>
      </c>
      <c r="D74" s="6" t="s">
        <v>25</v>
      </c>
      <c r="E74" s="7">
        <v>133397</v>
      </c>
      <c r="F74" s="8">
        <v>987.33789549999995</v>
      </c>
      <c r="G74" s="9">
        <v>1.3429031845131696E-3</v>
      </c>
      <c r="H74" s="97"/>
    </row>
    <row r="75" spans="1:8" x14ac:dyDescent="0.2">
      <c r="A75" s="5">
        <v>69</v>
      </c>
      <c r="B75" s="6" t="s">
        <v>528</v>
      </c>
      <c r="C75" s="6" t="s">
        <v>529</v>
      </c>
      <c r="D75" s="6" t="s">
        <v>147</v>
      </c>
      <c r="E75" s="7">
        <v>15605</v>
      </c>
      <c r="F75" s="8">
        <v>919.18911749999995</v>
      </c>
      <c r="G75" s="9">
        <v>1.2502123120023605E-3</v>
      </c>
      <c r="H75" s="97"/>
    </row>
    <row r="76" spans="1:8" x14ac:dyDescent="0.2">
      <c r="A76" s="5">
        <v>70</v>
      </c>
      <c r="B76" s="6" t="s">
        <v>415</v>
      </c>
      <c r="C76" s="6" t="s">
        <v>416</v>
      </c>
      <c r="D76" s="6" t="s">
        <v>25</v>
      </c>
      <c r="E76" s="7">
        <v>197193</v>
      </c>
      <c r="F76" s="8">
        <v>907.9751685</v>
      </c>
      <c r="G76" s="9">
        <v>1.2349599370133078E-3</v>
      </c>
      <c r="H76" s="97"/>
    </row>
    <row r="77" spans="1:8" x14ac:dyDescent="0.2">
      <c r="A77" s="5">
        <v>71</v>
      </c>
      <c r="B77" s="6" t="s">
        <v>530</v>
      </c>
      <c r="C77" s="6" t="s">
        <v>531</v>
      </c>
      <c r="D77" s="6" t="s">
        <v>238</v>
      </c>
      <c r="E77" s="7">
        <v>229864</v>
      </c>
      <c r="F77" s="8">
        <v>863.82891199999995</v>
      </c>
      <c r="G77" s="9">
        <v>1.1749154996343867E-3</v>
      </c>
      <c r="H77" s="97"/>
    </row>
    <row r="78" spans="1:8" ht="25.5" x14ac:dyDescent="0.2">
      <c r="A78" s="5">
        <v>72</v>
      </c>
      <c r="B78" s="6" t="s">
        <v>472</v>
      </c>
      <c r="C78" s="6" t="s">
        <v>473</v>
      </c>
      <c r="D78" s="6" t="s">
        <v>45</v>
      </c>
      <c r="E78" s="7">
        <v>52265</v>
      </c>
      <c r="F78" s="8">
        <v>858.76621499999999</v>
      </c>
      <c r="G78" s="9">
        <v>1.1680295977010043E-3</v>
      </c>
      <c r="H78" s="97"/>
    </row>
    <row r="79" spans="1:8" x14ac:dyDescent="0.2">
      <c r="A79" s="5">
        <v>73</v>
      </c>
      <c r="B79" s="6" t="s">
        <v>532</v>
      </c>
      <c r="C79" s="6" t="s">
        <v>533</v>
      </c>
      <c r="D79" s="6" t="s">
        <v>185</v>
      </c>
      <c r="E79" s="7">
        <v>35067</v>
      </c>
      <c r="F79" s="8">
        <v>849.16493849999995</v>
      </c>
      <c r="G79" s="9">
        <v>1.1549706592706992E-3</v>
      </c>
      <c r="H79" s="97"/>
    </row>
    <row r="80" spans="1:8" x14ac:dyDescent="0.2">
      <c r="A80" s="5">
        <v>74</v>
      </c>
      <c r="B80" s="6" t="s">
        <v>474</v>
      </c>
      <c r="C80" s="6" t="s">
        <v>475</v>
      </c>
      <c r="D80" s="6" t="s">
        <v>25</v>
      </c>
      <c r="E80" s="7">
        <v>399476</v>
      </c>
      <c r="F80" s="8">
        <v>798.75226199999997</v>
      </c>
      <c r="G80" s="9">
        <v>1.0864031059333501E-3</v>
      </c>
      <c r="H80" s="97"/>
    </row>
    <row r="81" spans="1:8" x14ac:dyDescent="0.2">
      <c r="A81" s="5">
        <v>75</v>
      </c>
      <c r="B81" s="6" t="s">
        <v>438</v>
      </c>
      <c r="C81" s="6" t="s">
        <v>439</v>
      </c>
      <c r="D81" s="6" t="s">
        <v>60</v>
      </c>
      <c r="E81" s="7">
        <v>69779</v>
      </c>
      <c r="F81" s="8">
        <v>775.5586955</v>
      </c>
      <c r="G81" s="9">
        <v>1.054856950908788E-3</v>
      </c>
      <c r="H81" s="97"/>
    </row>
    <row r="82" spans="1:8" x14ac:dyDescent="0.2">
      <c r="A82" s="5">
        <v>76</v>
      </c>
      <c r="B82" s="6" t="s">
        <v>476</v>
      </c>
      <c r="C82" s="6" t="s">
        <v>477</v>
      </c>
      <c r="D82" s="6" t="s">
        <v>174</v>
      </c>
      <c r="E82" s="7">
        <v>250275</v>
      </c>
      <c r="F82" s="8">
        <v>744.06757500000003</v>
      </c>
      <c r="G82" s="9">
        <v>1.0120250833221378E-3</v>
      </c>
      <c r="H82" s="97"/>
    </row>
    <row r="83" spans="1:8" x14ac:dyDescent="0.2">
      <c r="A83" s="5">
        <v>77</v>
      </c>
      <c r="B83" s="6" t="s">
        <v>194</v>
      </c>
      <c r="C83" s="6" t="s">
        <v>195</v>
      </c>
      <c r="D83" s="6" t="s">
        <v>53</v>
      </c>
      <c r="E83" s="7">
        <v>74040</v>
      </c>
      <c r="F83" s="8">
        <v>729.55313999999998</v>
      </c>
      <c r="G83" s="9">
        <v>9.9228363404550626E-4</v>
      </c>
      <c r="H83" s="97"/>
    </row>
    <row r="84" spans="1:8" x14ac:dyDescent="0.2">
      <c r="A84" s="5">
        <v>78</v>
      </c>
      <c r="B84" s="6" t="s">
        <v>191</v>
      </c>
      <c r="C84" s="6" t="s">
        <v>192</v>
      </c>
      <c r="D84" s="6" t="s">
        <v>193</v>
      </c>
      <c r="E84" s="7">
        <v>154600</v>
      </c>
      <c r="F84" s="8">
        <v>702.34780000000001</v>
      </c>
      <c r="G84" s="9">
        <v>9.5528096465716857E-4</v>
      </c>
      <c r="H84" s="97"/>
    </row>
    <row r="85" spans="1:8" x14ac:dyDescent="0.2">
      <c r="A85" s="5">
        <v>79</v>
      </c>
      <c r="B85" s="6" t="s">
        <v>490</v>
      </c>
      <c r="C85" s="6" t="s">
        <v>491</v>
      </c>
      <c r="D85" s="6" t="s">
        <v>25</v>
      </c>
      <c r="E85" s="7">
        <v>490763</v>
      </c>
      <c r="F85" s="8">
        <v>685.10514799999999</v>
      </c>
      <c r="G85" s="9">
        <v>9.3182879859954326E-4</v>
      </c>
      <c r="H85" s="97"/>
    </row>
    <row r="86" spans="1:8" x14ac:dyDescent="0.2">
      <c r="A86" s="5">
        <v>80</v>
      </c>
      <c r="B86" s="6" t="s">
        <v>164</v>
      </c>
      <c r="C86" s="6" t="s">
        <v>165</v>
      </c>
      <c r="D86" s="6" t="s">
        <v>19</v>
      </c>
      <c r="E86" s="7">
        <v>55630</v>
      </c>
      <c r="F86" s="8">
        <v>649.78621499999997</v>
      </c>
      <c r="G86" s="9">
        <v>8.8379062664698362E-4</v>
      </c>
      <c r="H86" s="97"/>
    </row>
    <row r="87" spans="1:8" x14ac:dyDescent="0.2">
      <c r="A87" s="5">
        <v>81</v>
      </c>
      <c r="B87" s="6" t="s">
        <v>534</v>
      </c>
      <c r="C87" s="6" t="s">
        <v>535</v>
      </c>
      <c r="D87" s="6" t="s">
        <v>1184</v>
      </c>
      <c r="E87" s="7">
        <v>18123</v>
      </c>
      <c r="F87" s="8">
        <v>614.97682050000003</v>
      </c>
      <c r="G87" s="9">
        <v>8.3644549086512188E-4</v>
      </c>
      <c r="H87" s="97"/>
    </row>
    <row r="88" spans="1:8" x14ac:dyDescent="0.2">
      <c r="A88" s="5">
        <v>82</v>
      </c>
      <c r="B88" s="6" t="s">
        <v>196</v>
      </c>
      <c r="C88" s="6" t="s">
        <v>197</v>
      </c>
      <c r="D88" s="6" t="s">
        <v>81</v>
      </c>
      <c r="E88" s="7">
        <v>107575</v>
      </c>
      <c r="F88" s="8">
        <v>594.83596250000005</v>
      </c>
      <c r="G88" s="9">
        <v>8.0905140169838276E-4</v>
      </c>
      <c r="H88" s="97"/>
    </row>
    <row r="89" spans="1:8" ht="25.5" x14ac:dyDescent="0.2">
      <c r="A89" s="5">
        <v>83</v>
      </c>
      <c r="B89" s="6" t="s">
        <v>536</v>
      </c>
      <c r="C89" s="6" t="s">
        <v>537</v>
      </c>
      <c r="D89" s="6" t="s">
        <v>202</v>
      </c>
      <c r="E89" s="7">
        <v>31335</v>
      </c>
      <c r="F89" s="8">
        <v>590.50807499999996</v>
      </c>
      <c r="G89" s="9">
        <v>8.031649327069119E-4</v>
      </c>
      <c r="H89" s="97"/>
    </row>
    <row r="90" spans="1:8" x14ac:dyDescent="0.2">
      <c r="A90" s="5">
        <v>84</v>
      </c>
      <c r="B90" s="6" t="s">
        <v>434</v>
      </c>
      <c r="C90" s="6" t="s">
        <v>435</v>
      </c>
      <c r="D90" s="6" t="s">
        <v>238</v>
      </c>
      <c r="E90" s="7">
        <v>77445</v>
      </c>
      <c r="F90" s="8">
        <v>575.84229749999997</v>
      </c>
      <c r="G90" s="9">
        <v>7.8321763867730528E-4</v>
      </c>
      <c r="H90" s="97"/>
    </row>
    <row r="91" spans="1:8" x14ac:dyDescent="0.2">
      <c r="A91" s="5">
        <v>85</v>
      </c>
      <c r="B91" s="6" t="s">
        <v>84</v>
      </c>
      <c r="C91" s="6" t="s">
        <v>85</v>
      </c>
      <c r="D91" s="6" t="s">
        <v>53</v>
      </c>
      <c r="E91" s="7">
        <v>115410</v>
      </c>
      <c r="F91" s="8">
        <v>565.85523000000001</v>
      </c>
      <c r="G91" s="9">
        <v>7.6963397617349125E-4</v>
      </c>
      <c r="H91" s="97"/>
    </row>
    <row r="92" spans="1:8" x14ac:dyDescent="0.2">
      <c r="A92" s="5">
        <v>86</v>
      </c>
      <c r="B92" s="6" t="s">
        <v>68</v>
      </c>
      <c r="C92" s="6" t="s">
        <v>69</v>
      </c>
      <c r="D92" s="6" t="s">
        <v>70</v>
      </c>
      <c r="E92" s="7">
        <v>16601</v>
      </c>
      <c r="F92" s="8">
        <v>550.52236200000004</v>
      </c>
      <c r="G92" s="9">
        <v>7.4877935552258162E-4</v>
      </c>
      <c r="H92" s="97"/>
    </row>
    <row r="93" spans="1:8" x14ac:dyDescent="0.2">
      <c r="A93" s="5">
        <v>87</v>
      </c>
      <c r="B93" s="6" t="s">
        <v>205</v>
      </c>
      <c r="C93" s="6" t="s">
        <v>206</v>
      </c>
      <c r="D93" s="6" t="s">
        <v>1187</v>
      </c>
      <c r="E93" s="7">
        <v>97450</v>
      </c>
      <c r="F93" s="8">
        <v>548.01007500000003</v>
      </c>
      <c r="G93" s="9">
        <v>7.4536233058300656E-4</v>
      </c>
      <c r="H93" s="97"/>
    </row>
    <row r="94" spans="1:8" ht="25.5" x14ac:dyDescent="0.2">
      <c r="A94" s="5">
        <v>88</v>
      </c>
      <c r="B94" s="6" t="s">
        <v>500</v>
      </c>
      <c r="C94" s="6" t="s">
        <v>501</v>
      </c>
      <c r="D94" s="6" t="s">
        <v>45</v>
      </c>
      <c r="E94" s="7">
        <v>24440</v>
      </c>
      <c r="F94" s="8">
        <v>545.89184</v>
      </c>
      <c r="G94" s="9">
        <v>7.4248126571148474E-4</v>
      </c>
      <c r="H94" s="97"/>
    </row>
    <row r="95" spans="1:8" x14ac:dyDescent="0.2">
      <c r="A95" s="5">
        <v>89</v>
      </c>
      <c r="B95" s="6" t="s">
        <v>538</v>
      </c>
      <c r="C95" s="6" t="s">
        <v>539</v>
      </c>
      <c r="D95" s="6" t="s">
        <v>81</v>
      </c>
      <c r="E95" s="7">
        <v>17755</v>
      </c>
      <c r="F95" s="8">
        <v>512.13409750000005</v>
      </c>
      <c r="G95" s="9">
        <v>6.9656650835046179E-4</v>
      </c>
      <c r="H95" s="97"/>
    </row>
    <row r="96" spans="1:8" x14ac:dyDescent="0.2">
      <c r="A96" s="5">
        <v>90</v>
      </c>
      <c r="B96" s="6" t="s">
        <v>456</v>
      </c>
      <c r="C96" s="6" t="s">
        <v>457</v>
      </c>
      <c r="D96" s="6" t="s">
        <v>174</v>
      </c>
      <c r="E96" s="7">
        <v>14245</v>
      </c>
      <c r="F96" s="8">
        <v>490.156205</v>
      </c>
      <c r="G96" s="9">
        <v>6.6667382220759704E-4</v>
      </c>
      <c r="H96" s="97"/>
    </row>
    <row r="97" spans="1:8" x14ac:dyDescent="0.2">
      <c r="A97" s="5">
        <v>91</v>
      </c>
      <c r="B97" s="6" t="s">
        <v>478</v>
      </c>
      <c r="C97" s="6" t="s">
        <v>479</v>
      </c>
      <c r="D97" s="6" t="s">
        <v>185</v>
      </c>
      <c r="E97" s="7">
        <v>5066</v>
      </c>
      <c r="F97" s="8">
        <v>457.92080600000003</v>
      </c>
      <c r="G97" s="9">
        <v>6.2282964265320993E-4</v>
      </c>
      <c r="H97" s="97"/>
    </row>
    <row r="98" spans="1:8" x14ac:dyDescent="0.2">
      <c r="A98" s="5">
        <v>92</v>
      </c>
      <c r="B98" s="6" t="s">
        <v>540</v>
      </c>
      <c r="C98" s="6" t="s">
        <v>541</v>
      </c>
      <c r="D98" s="6" t="s">
        <v>1184</v>
      </c>
      <c r="E98" s="7">
        <v>42890</v>
      </c>
      <c r="F98" s="8">
        <v>451.69603499999999</v>
      </c>
      <c r="G98" s="9">
        <v>6.1436317455058334E-4</v>
      </c>
      <c r="H98" s="97"/>
    </row>
    <row r="99" spans="1:8" x14ac:dyDescent="0.2">
      <c r="A99" s="5">
        <v>93</v>
      </c>
      <c r="B99" s="6" t="s">
        <v>468</v>
      </c>
      <c r="C99" s="6" t="s">
        <v>469</v>
      </c>
      <c r="D99" s="6" t="s">
        <v>78</v>
      </c>
      <c r="E99" s="7">
        <v>93496</v>
      </c>
      <c r="F99" s="8">
        <v>451.02470399999999</v>
      </c>
      <c r="G99" s="9">
        <v>6.1345008031823251E-4</v>
      </c>
      <c r="H99" s="97"/>
    </row>
    <row r="100" spans="1:8" x14ac:dyDescent="0.2">
      <c r="A100" s="5">
        <v>94</v>
      </c>
      <c r="B100" s="6" t="s">
        <v>542</v>
      </c>
      <c r="C100" s="6" t="s">
        <v>543</v>
      </c>
      <c r="D100" s="6" t="s">
        <v>70</v>
      </c>
      <c r="E100" s="7">
        <v>79958</v>
      </c>
      <c r="F100" s="8">
        <v>430.733746</v>
      </c>
      <c r="G100" s="9">
        <v>5.858518363541195E-4</v>
      </c>
      <c r="H100" s="97"/>
    </row>
    <row r="101" spans="1:8" ht="25.5" x14ac:dyDescent="0.2">
      <c r="A101" s="5">
        <v>95</v>
      </c>
      <c r="B101" s="6" t="s">
        <v>452</v>
      </c>
      <c r="C101" s="6" t="s">
        <v>453</v>
      </c>
      <c r="D101" s="6" t="s">
        <v>202</v>
      </c>
      <c r="E101" s="7">
        <v>69614</v>
      </c>
      <c r="F101" s="8">
        <v>411.55796800000002</v>
      </c>
      <c r="G101" s="9">
        <v>5.5977037684660526E-4</v>
      </c>
      <c r="H101" s="97"/>
    </row>
    <row r="102" spans="1:8" ht="25.5" x14ac:dyDescent="0.2">
      <c r="A102" s="5">
        <v>96</v>
      </c>
      <c r="B102" s="6" t="s">
        <v>442</v>
      </c>
      <c r="C102" s="6" t="s">
        <v>1157</v>
      </c>
      <c r="D102" s="91" t="s">
        <v>22</v>
      </c>
      <c r="E102" s="7">
        <v>116386</v>
      </c>
      <c r="F102" s="8">
        <v>410.43522899999999</v>
      </c>
      <c r="G102" s="9">
        <v>5.5824331120337518E-4</v>
      </c>
      <c r="H102" s="97"/>
    </row>
    <row r="103" spans="1:8" x14ac:dyDescent="0.2">
      <c r="A103" s="5">
        <v>97</v>
      </c>
      <c r="B103" s="6" t="s">
        <v>544</v>
      </c>
      <c r="C103" s="6" t="s">
        <v>545</v>
      </c>
      <c r="D103" s="6" t="s">
        <v>193</v>
      </c>
      <c r="E103" s="7">
        <v>18290</v>
      </c>
      <c r="F103" s="8">
        <v>408.88209499999999</v>
      </c>
      <c r="G103" s="9">
        <v>5.5613085446077292E-4</v>
      </c>
      <c r="H103" s="97"/>
    </row>
    <row r="104" spans="1:8" x14ac:dyDescent="0.2">
      <c r="A104" s="5">
        <v>98</v>
      </c>
      <c r="B104" s="6" t="s">
        <v>546</v>
      </c>
      <c r="C104" s="6" t="s">
        <v>547</v>
      </c>
      <c r="D104" s="6" t="s">
        <v>238</v>
      </c>
      <c r="E104" s="7">
        <v>32587</v>
      </c>
      <c r="F104" s="8">
        <v>396.01351749999998</v>
      </c>
      <c r="G104" s="9">
        <v>5.3862797749872429E-4</v>
      </c>
      <c r="H104" s="97"/>
    </row>
    <row r="105" spans="1:8" x14ac:dyDescent="0.2">
      <c r="A105" s="5">
        <v>99</v>
      </c>
      <c r="B105" s="6" t="s">
        <v>548</v>
      </c>
      <c r="C105" s="6" t="s">
        <v>549</v>
      </c>
      <c r="D105" s="6" t="s">
        <v>174</v>
      </c>
      <c r="E105" s="7">
        <v>60645</v>
      </c>
      <c r="F105" s="8">
        <v>375.938355</v>
      </c>
      <c r="G105" s="9">
        <v>5.1132324243918629E-4</v>
      </c>
      <c r="H105" s="97"/>
    </row>
    <row r="106" spans="1:8" x14ac:dyDescent="0.2">
      <c r="A106" s="5">
        <v>100</v>
      </c>
      <c r="B106" s="6" t="s">
        <v>550</v>
      </c>
      <c r="C106" s="6" t="s">
        <v>551</v>
      </c>
      <c r="D106" s="6" t="s">
        <v>1186</v>
      </c>
      <c r="E106" s="7">
        <v>27125</v>
      </c>
      <c r="F106" s="8">
        <v>352.16387500000002</v>
      </c>
      <c r="G106" s="9">
        <v>4.7898697230546827E-4</v>
      </c>
      <c r="H106" s="97"/>
    </row>
    <row r="107" spans="1:8" x14ac:dyDescent="0.2">
      <c r="A107" s="5">
        <v>101</v>
      </c>
      <c r="B107" s="6" t="s">
        <v>498</v>
      </c>
      <c r="C107" s="6" t="s">
        <v>499</v>
      </c>
      <c r="D107" s="6" t="s">
        <v>19</v>
      </c>
      <c r="E107" s="7">
        <v>18644</v>
      </c>
      <c r="F107" s="8">
        <v>349.09957800000001</v>
      </c>
      <c r="G107" s="9">
        <v>4.7481914463639024E-4</v>
      </c>
      <c r="H107" s="97"/>
    </row>
    <row r="108" spans="1:8" x14ac:dyDescent="0.2">
      <c r="A108" s="5">
        <v>102</v>
      </c>
      <c r="B108" s="6" t="s">
        <v>552</v>
      </c>
      <c r="C108" s="6" t="s">
        <v>553</v>
      </c>
      <c r="D108" s="6" t="s">
        <v>78</v>
      </c>
      <c r="E108" s="7">
        <v>27000</v>
      </c>
      <c r="F108" s="8">
        <v>337.75650000000002</v>
      </c>
      <c r="G108" s="9">
        <v>4.5939113803621079E-4</v>
      </c>
      <c r="H108" s="97"/>
    </row>
    <row r="109" spans="1:8" x14ac:dyDescent="0.2">
      <c r="A109" s="5">
        <v>103</v>
      </c>
      <c r="B109" s="6" t="s">
        <v>480</v>
      </c>
      <c r="C109" s="6" t="s">
        <v>481</v>
      </c>
      <c r="D109" s="6" t="s">
        <v>70</v>
      </c>
      <c r="E109" s="7">
        <v>24688</v>
      </c>
      <c r="F109" s="8">
        <v>324.25219199999998</v>
      </c>
      <c r="G109" s="9">
        <v>4.4102358798014523E-4</v>
      </c>
      <c r="H109" s="97"/>
    </row>
    <row r="110" spans="1:8" x14ac:dyDescent="0.2">
      <c r="A110" s="5">
        <v>104</v>
      </c>
      <c r="B110" s="6" t="s">
        <v>554</v>
      </c>
      <c r="C110" s="6" t="s">
        <v>555</v>
      </c>
      <c r="D110" s="6" t="s">
        <v>78</v>
      </c>
      <c r="E110" s="7">
        <v>30585</v>
      </c>
      <c r="F110" s="8">
        <v>191.76795000000001</v>
      </c>
      <c r="G110" s="9">
        <v>2.608284275487553E-4</v>
      </c>
      <c r="H110" s="97"/>
    </row>
    <row r="111" spans="1:8" x14ac:dyDescent="0.2">
      <c r="A111" s="5">
        <v>105</v>
      </c>
      <c r="B111" s="6" t="s">
        <v>216</v>
      </c>
      <c r="C111" s="6" t="s">
        <v>217</v>
      </c>
      <c r="D111" s="6" t="s">
        <v>1184</v>
      </c>
      <c r="E111" s="7">
        <v>9200</v>
      </c>
      <c r="F111" s="8">
        <v>145.61760000000001</v>
      </c>
      <c r="G111" s="9">
        <v>1.9805817203251969E-4</v>
      </c>
      <c r="H111" s="97"/>
    </row>
    <row r="112" spans="1:8" x14ac:dyDescent="0.2">
      <c r="A112" s="5">
        <v>106</v>
      </c>
      <c r="B112" s="6" t="s">
        <v>458</v>
      </c>
      <c r="C112" s="6" t="s">
        <v>459</v>
      </c>
      <c r="D112" s="6" t="s">
        <v>327</v>
      </c>
      <c r="E112" s="7">
        <v>5916</v>
      </c>
      <c r="F112" s="8">
        <v>124.327698</v>
      </c>
      <c r="G112" s="9">
        <v>1.6910123912831381E-4</v>
      </c>
      <c r="H112" s="97"/>
    </row>
    <row r="113" spans="1:8" x14ac:dyDescent="0.2">
      <c r="A113" s="3"/>
      <c r="B113" s="3"/>
      <c r="C113" s="4" t="s">
        <v>97</v>
      </c>
      <c r="D113" s="3"/>
      <c r="E113" s="31"/>
      <c r="F113" s="11">
        <v>720257.95959749958</v>
      </c>
      <c r="G113" s="12">
        <v>0.9796410246409305</v>
      </c>
      <c r="H113" s="97"/>
    </row>
    <row r="114" spans="1:8" x14ac:dyDescent="0.2">
      <c r="A114" s="3"/>
      <c r="B114" s="3"/>
      <c r="C114" s="13"/>
      <c r="D114" s="3"/>
      <c r="E114" s="3"/>
      <c r="F114" s="14"/>
      <c r="G114" s="14"/>
      <c r="H114" s="97"/>
    </row>
    <row r="115" spans="1:8" x14ac:dyDescent="0.2">
      <c r="A115" s="3"/>
      <c r="B115" s="3"/>
      <c r="C115" s="4" t="s">
        <v>99</v>
      </c>
      <c r="D115" s="3"/>
      <c r="E115" s="3"/>
      <c r="F115" s="3"/>
      <c r="G115" s="3"/>
      <c r="H115" s="97"/>
    </row>
    <row r="116" spans="1:8" x14ac:dyDescent="0.2">
      <c r="A116" s="3"/>
      <c r="B116" s="3"/>
      <c r="C116" s="4" t="s">
        <v>97</v>
      </c>
      <c r="D116" s="3"/>
      <c r="E116" s="3" t="s">
        <v>98</v>
      </c>
      <c r="F116" s="15">
        <v>0</v>
      </c>
      <c r="G116" s="16">
        <v>0</v>
      </c>
      <c r="H116" s="97"/>
    </row>
    <row r="117" spans="1:8" x14ac:dyDescent="0.2">
      <c r="A117" s="3"/>
      <c r="B117" s="3"/>
      <c r="C117" s="13"/>
      <c r="D117" s="3"/>
      <c r="E117" s="3"/>
      <c r="F117" s="14"/>
      <c r="G117" s="14"/>
      <c r="H117" s="97"/>
    </row>
    <row r="118" spans="1:8" x14ac:dyDescent="0.2">
      <c r="A118" s="3"/>
      <c r="B118" s="3"/>
      <c r="C118" s="4" t="s">
        <v>100</v>
      </c>
      <c r="D118" s="3"/>
      <c r="E118" s="3"/>
      <c r="F118" s="3"/>
      <c r="G118" s="3"/>
      <c r="H118" s="97"/>
    </row>
    <row r="119" spans="1:8" x14ac:dyDescent="0.2">
      <c r="A119" s="3"/>
      <c r="B119" s="3"/>
      <c r="C119" s="4" t="s">
        <v>97</v>
      </c>
      <c r="D119" s="3"/>
      <c r="E119" s="3" t="s">
        <v>98</v>
      </c>
      <c r="F119" s="15">
        <v>0</v>
      </c>
      <c r="G119" s="16">
        <v>0</v>
      </c>
      <c r="H119" s="97"/>
    </row>
    <row r="120" spans="1:8" x14ac:dyDescent="0.2">
      <c r="A120" s="3"/>
      <c r="B120" s="3"/>
      <c r="C120" s="13"/>
      <c r="D120" s="3"/>
      <c r="E120" s="3"/>
      <c r="F120" s="14"/>
      <c r="G120" s="14"/>
      <c r="H120" s="97"/>
    </row>
    <row r="121" spans="1:8" x14ac:dyDescent="0.2">
      <c r="A121" s="3"/>
      <c r="B121" s="3"/>
      <c r="C121" s="4" t="s">
        <v>101</v>
      </c>
      <c r="D121" s="3"/>
      <c r="E121" s="3"/>
      <c r="F121" s="3"/>
      <c r="G121" s="3"/>
      <c r="H121" s="97"/>
    </row>
    <row r="122" spans="1:8" x14ac:dyDescent="0.2">
      <c r="A122" s="3"/>
      <c r="B122" s="3"/>
      <c r="C122" s="4" t="s">
        <v>97</v>
      </c>
      <c r="D122" s="3"/>
      <c r="E122" s="3" t="s">
        <v>98</v>
      </c>
      <c r="F122" s="15">
        <v>0</v>
      </c>
      <c r="G122" s="16">
        <v>0</v>
      </c>
      <c r="H122" s="97"/>
    </row>
    <row r="123" spans="1:8" x14ac:dyDescent="0.2">
      <c r="A123" s="3"/>
      <c r="B123" s="3"/>
      <c r="C123" s="13"/>
      <c r="D123" s="3"/>
      <c r="E123" s="3"/>
      <c r="F123" s="14"/>
      <c r="G123" s="14"/>
      <c r="H123" s="97"/>
    </row>
    <row r="124" spans="1:8" x14ac:dyDescent="0.2">
      <c r="A124" s="3"/>
      <c r="B124" s="3"/>
      <c r="C124" s="4" t="s">
        <v>102</v>
      </c>
      <c r="D124" s="3"/>
      <c r="E124" s="3"/>
      <c r="F124" s="14"/>
      <c r="G124" s="14"/>
      <c r="H124" s="97"/>
    </row>
    <row r="125" spans="1:8" x14ac:dyDescent="0.2">
      <c r="A125" s="3"/>
      <c r="B125" s="3"/>
      <c r="C125" s="4" t="s">
        <v>97</v>
      </c>
      <c r="D125" s="3"/>
      <c r="E125" s="3" t="s">
        <v>98</v>
      </c>
      <c r="F125" s="15">
        <v>0</v>
      </c>
      <c r="G125" s="16">
        <v>0</v>
      </c>
      <c r="H125" s="97"/>
    </row>
    <row r="126" spans="1:8" x14ac:dyDescent="0.2">
      <c r="A126" s="3"/>
      <c r="B126" s="3"/>
      <c r="C126" s="13"/>
      <c r="D126" s="3"/>
      <c r="E126" s="3"/>
      <c r="F126" s="14"/>
      <c r="G126" s="14"/>
      <c r="H126" s="97"/>
    </row>
    <row r="127" spans="1:8" x14ac:dyDescent="0.2">
      <c r="A127" s="3"/>
      <c r="B127" s="3"/>
      <c r="C127" s="4" t="s">
        <v>103</v>
      </c>
      <c r="D127" s="3"/>
      <c r="E127" s="3"/>
      <c r="F127" s="14"/>
      <c r="G127" s="14"/>
      <c r="H127" s="97"/>
    </row>
    <row r="128" spans="1:8" x14ac:dyDescent="0.2">
      <c r="A128" s="3"/>
      <c r="B128" s="3"/>
      <c r="C128" s="4" t="s">
        <v>97</v>
      </c>
      <c r="D128" s="3"/>
      <c r="E128" s="3" t="s">
        <v>98</v>
      </c>
      <c r="F128" s="15">
        <v>0</v>
      </c>
      <c r="G128" s="16">
        <v>0</v>
      </c>
      <c r="H128" s="97"/>
    </row>
    <row r="129" spans="1:8" x14ac:dyDescent="0.2">
      <c r="A129" s="3"/>
      <c r="B129" s="3"/>
      <c r="C129" s="13"/>
      <c r="D129" s="3"/>
      <c r="E129" s="3"/>
      <c r="F129" s="14"/>
      <c r="G129" s="14"/>
      <c r="H129" s="97"/>
    </row>
    <row r="130" spans="1:8" x14ac:dyDescent="0.2">
      <c r="A130" s="3"/>
      <c r="B130" s="3"/>
      <c r="C130" s="4" t="s">
        <v>104</v>
      </c>
      <c r="D130" s="3"/>
      <c r="E130" s="3"/>
      <c r="F130" s="11">
        <v>720257.95959749992</v>
      </c>
      <c r="G130" s="12">
        <v>0.97964102464093106</v>
      </c>
      <c r="H130" s="97"/>
    </row>
    <row r="131" spans="1:8" x14ac:dyDescent="0.2">
      <c r="A131" s="3"/>
      <c r="B131" s="3"/>
      <c r="C131" s="13"/>
      <c r="D131" s="3"/>
      <c r="E131" s="3"/>
      <c r="F131" s="14"/>
      <c r="G131" s="14"/>
      <c r="H131" s="97"/>
    </row>
    <row r="132" spans="1:8" x14ac:dyDescent="0.2">
      <c r="A132" s="3"/>
      <c r="B132" s="3"/>
      <c r="C132" s="4" t="s">
        <v>105</v>
      </c>
      <c r="D132" s="3"/>
      <c r="E132" s="3"/>
      <c r="F132" s="14"/>
      <c r="G132" s="14"/>
      <c r="H132" s="97"/>
    </row>
    <row r="133" spans="1:8" ht="25.5" x14ac:dyDescent="0.2">
      <c r="A133" s="3"/>
      <c r="B133" s="3"/>
      <c r="C133" s="4" t="s">
        <v>10</v>
      </c>
      <c r="D133" s="3"/>
      <c r="E133" s="3"/>
      <c r="F133" s="14"/>
      <c r="G133" s="14"/>
      <c r="H133" s="97"/>
    </row>
    <row r="134" spans="1:8" x14ac:dyDescent="0.2">
      <c r="A134" s="3"/>
      <c r="B134" s="3"/>
      <c r="C134" s="4" t="s">
        <v>97</v>
      </c>
      <c r="D134" s="3"/>
      <c r="E134" s="3" t="s">
        <v>98</v>
      </c>
      <c r="F134" s="15">
        <v>0</v>
      </c>
      <c r="G134" s="16">
        <v>0</v>
      </c>
      <c r="H134" s="97"/>
    </row>
    <row r="135" spans="1:8" x14ac:dyDescent="0.2">
      <c r="A135" s="3"/>
      <c r="B135" s="3"/>
      <c r="C135" s="13"/>
      <c r="D135" s="3"/>
      <c r="E135" s="3"/>
      <c r="F135" s="14"/>
      <c r="G135" s="14"/>
      <c r="H135" s="97"/>
    </row>
    <row r="136" spans="1:8" x14ac:dyDescent="0.2">
      <c r="A136" s="3"/>
      <c r="B136" s="3"/>
      <c r="C136" s="4" t="s">
        <v>106</v>
      </c>
      <c r="D136" s="3"/>
      <c r="E136" s="3"/>
      <c r="F136" s="3"/>
      <c r="G136" s="3"/>
      <c r="H136" s="97"/>
    </row>
    <row r="137" spans="1:8" x14ac:dyDescent="0.2">
      <c r="A137" s="3"/>
      <c r="B137" s="3"/>
      <c r="C137" s="4" t="s">
        <v>97</v>
      </c>
      <c r="D137" s="3"/>
      <c r="E137" s="3" t="s">
        <v>98</v>
      </c>
      <c r="F137" s="15">
        <v>0</v>
      </c>
      <c r="G137" s="16">
        <v>0</v>
      </c>
      <c r="H137" s="97"/>
    </row>
    <row r="138" spans="1:8" x14ac:dyDescent="0.2">
      <c r="A138" s="3"/>
      <c r="B138" s="3"/>
      <c r="C138" s="13"/>
      <c r="D138" s="3"/>
      <c r="E138" s="3"/>
      <c r="F138" s="14"/>
      <c r="G138" s="14"/>
      <c r="H138" s="97"/>
    </row>
    <row r="139" spans="1:8" x14ac:dyDescent="0.2">
      <c r="A139" s="3"/>
      <c r="B139" s="3"/>
      <c r="C139" s="4" t="s">
        <v>107</v>
      </c>
      <c r="D139" s="3"/>
      <c r="E139" s="3"/>
      <c r="F139" s="3"/>
      <c r="G139" s="3"/>
      <c r="H139" s="97"/>
    </row>
    <row r="140" spans="1:8" x14ac:dyDescent="0.2">
      <c r="A140" s="3"/>
      <c r="B140" s="3"/>
      <c r="C140" s="4" t="s">
        <v>97</v>
      </c>
      <c r="D140" s="3"/>
      <c r="E140" s="3" t="s">
        <v>98</v>
      </c>
      <c r="F140" s="15">
        <v>0</v>
      </c>
      <c r="G140" s="16">
        <v>0</v>
      </c>
      <c r="H140" s="97"/>
    </row>
    <row r="141" spans="1:8" x14ac:dyDescent="0.2">
      <c r="A141" s="3"/>
      <c r="B141" s="3"/>
      <c r="C141" s="13"/>
      <c r="D141" s="3"/>
      <c r="E141" s="3"/>
      <c r="F141" s="14"/>
      <c r="G141" s="14"/>
      <c r="H141" s="97"/>
    </row>
    <row r="142" spans="1:8" x14ac:dyDescent="0.2">
      <c r="A142" s="3"/>
      <c r="B142" s="3"/>
      <c r="C142" s="4" t="s">
        <v>108</v>
      </c>
      <c r="D142" s="3"/>
      <c r="E142" s="3"/>
      <c r="F142" s="14"/>
      <c r="G142" s="14"/>
      <c r="H142" s="97"/>
    </row>
    <row r="143" spans="1:8" x14ac:dyDescent="0.2">
      <c r="A143" s="3"/>
      <c r="B143" s="3"/>
      <c r="C143" s="4" t="s">
        <v>97</v>
      </c>
      <c r="D143" s="3"/>
      <c r="E143" s="3" t="s">
        <v>98</v>
      </c>
      <c r="F143" s="15">
        <v>0</v>
      </c>
      <c r="G143" s="16">
        <v>0</v>
      </c>
      <c r="H143" s="97"/>
    </row>
    <row r="144" spans="1:8" x14ac:dyDescent="0.2">
      <c r="A144" s="3"/>
      <c r="B144" s="3"/>
      <c r="C144" s="13"/>
      <c r="D144" s="3"/>
      <c r="E144" s="3"/>
      <c r="F144" s="14"/>
      <c r="G144" s="14"/>
      <c r="H144" s="97"/>
    </row>
    <row r="145" spans="1:15" x14ac:dyDescent="0.2">
      <c r="A145" s="3"/>
      <c r="B145" s="3"/>
      <c r="C145" s="4" t="s">
        <v>109</v>
      </c>
      <c r="D145" s="3"/>
      <c r="E145" s="3"/>
      <c r="F145" s="11">
        <v>0</v>
      </c>
      <c r="G145" s="12">
        <v>0</v>
      </c>
      <c r="H145" s="97"/>
    </row>
    <row r="146" spans="1:15" x14ac:dyDescent="0.2">
      <c r="A146" s="3"/>
      <c r="B146" s="3"/>
      <c r="C146" s="13"/>
      <c r="D146" s="3"/>
      <c r="E146" s="3"/>
      <c r="F146" s="14"/>
      <c r="G146" s="14"/>
      <c r="H146" s="97"/>
    </row>
    <row r="147" spans="1:15" x14ac:dyDescent="0.2">
      <c r="A147" s="3"/>
      <c r="B147" s="3"/>
      <c r="C147" s="4" t="s">
        <v>110</v>
      </c>
      <c r="D147" s="3"/>
      <c r="E147" s="3"/>
      <c r="F147" s="14"/>
      <c r="G147" s="14"/>
      <c r="H147" s="97"/>
    </row>
    <row r="148" spans="1:15" x14ac:dyDescent="0.2">
      <c r="A148" s="3"/>
      <c r="B148" s="3"/>
      <c r="C148" s="4" t="s">
        <v>111</v>
      </c>
      <c r="D148" s="3"/>
      <c r="E148" s="3"/>
      <c r="F148" s="14"/>
      <c r="G148" s="14"/>
      <c r="H148" s="97"/>
    </row>
    <row r="149" spans="1:15" x14ac:dyDescent="0.2">
      <c r="A149" s="3"/>
      <c r="B149" s="3"/>
      <c r="C149" s="4" t="s">
        <v>97</v>
      </c>
      <c r="D149" s="3"/>
      <c r="E149" s="3" t="s">
        <v>98</v>
      </c>
      <c r="F149" s="15">
        <v>0</v>
      </c>
      <c r="G149" s="16">
        <v>0</v>
      </c>
      <c r="H149" s="97"/>
    </row>
    <row r="150" spans="1:15" x14ac:dyDescent="0.2">
      <c r="A150" s="3"/>
      <c r="B150" s="3"/>
      <c r="C150" s="13"/>
      <c r="D150" s="3"/>
      <c r="E150" s="3"/>
      <c r="F150" s="14"/>
      <c r="G150" s="14"/>
      <c r="H150" s="97"/>
    </row>
    <row r="151" spans="1:15" x14ac:dyDescent="0.2">
      <c r="A151" s="3"/>
      <c r="B151" s="3"/>
      <c r="C151" s="4" t="s">
        <v>112</v>
      </c>
      <c r="D151" s="3"/>
      <c r="E151" s="3"/>
      <c r="F151" s="14"/>
      <c r="G151" s="14"/>
      <c r="H151" s="97"/>
    </row>
    <row r="152" spans="1:15" x14ac:dyDescent="0.2">
      <c r="A152" s="3"/>
      <c r="B152" s="3"/>
      <c r="C152" s="4" t="s">
        <v>97</v>
      </c>
      <c r="D152" s="3"/>
      <c r="E152" s="3" t="s">
        <v>98</v>
      </c>
      <c r="F152" s="15">
        <v>0</v>
      </c>
      <c r="G152" s="16">
        <v>0</v>
      </c>
      <c r="H152" s="97"/>
    </row>
    <row r="153" spans="1:15" x14ac:dyDescent="0.2">
      <c r="A153" s="3"/>
      <c r="B153" s="3"/>
      <c r="C153" s="13"/>
      <c r="D153" s="3"/>
      <c r="E153" s="3"/>
      <c r="F153" s="14"/>
      <c r="G153" s="14"/>
      <c r="H153" s="97"/>
    </row>
    <row r="154" spans="1:15" x14ac:dyDescent="0.2">
      <c r="A154" s="3"/>
      <c r="B154" s="3"/>
      <c r="C154" s="4" t="s">
        <v>113</v>
      </c>
      <c r="D154" s="3"/>
      <c r="E154" s="3"/>
      <c r="F154" s="14"/>
      <c r="G154" s="14"/>
      <c r="H154" s="97"/>
      <c r="I154" s="87"/>
      <c r="J154" s="87"/>
      <c r="K154" s="87"/>
      <c r="L154" s="87"/>
      <c r="M154" s="87"/>
      <c r="N154" s="87"/>
      <c r="O154" s="87"/>
    </row>
    <row r="155" spans="1:15" ht="15" x14ac:dyDescent="0.25">
      <c r="A155" s="5">
        <v>1</v>
      </c>
      <c r="B155" s="6" t="s">
        <v>504</v>
      </c>
      <c r="C155" s="6" t="s">
        <v>505</v>
      </c>
      <c r="D155" s="6" t="s">
        <v>506</v>
      </c>
      <c r="E155" s="7">
        <v>9000</v>
      </c>
      <c r="F155" s="8">
        <v>8.9959950000000006</v>
      </c>
      <c r="G155" s="9">
        <v>1.2235679789487582E-5</v>
      </c>
      <c r="H155" s="88">
        <v>3.25</v>
      </c>
    </row>
    <row r="156" spans="1:15" x14ac:dyDescent="0.2">
      <c r="A156" s="3"/>
      <c r="B156" s="3"/>
      <c r="C156" s="4" t="s">
        <v>97</v>
      </c>
      <c r="D156" s="3"/>
      <c r="E156" s="3" t="s">
        <v>98</v>
      </c>
      <c r="F156" s="15">
        <v>8.9959950000000006</v>
      </c>
      <c r="G156" s="16">
        <v>1.2235679789487582E-5</v>
      </c>
      <c r="H156" s="97"/>
    </row>
    <row r="157" spans="1:15" x14ac:dyDescent="0.2">
      <c r="A157" s="3"/>
      <c r="B157" s="3"/>
      <c r="C157" s="13"/>
      <c r="D157" s="3"/>
      <c r="E157" s="3"/>
      <c r="F157" s="14"/>
      <c r="G157" s="14"/>
      <c r="H157" s="97"/>
    </row>
    <row r="158" spans="1:15" x14ac:dyDescent="0.2">
      <c r="A158" s="3"/>
      <c r="B158" s="3"/>
      <c r="C158" s="4" t="s">
        <v>114</v>
      </c>
      <c r="D158" s="3"/>
      <c r="E158" s="3"/>
      <c r="F158" s="14"/>
      <c r="G158" s="14"/>
      <c r="H158" s="97"/>
    </row>
    <row r="159" spans="1:15" x14ac:dyDescent="0.2">
      <c r="A159" s="5">
        <v>1</v>
      </c>
      <c r="B159" s="6"/>
      <c r="C159" s="6" t="s">
        <v>115</v>
      </c>
      <c r="D159" s="6"/>
      <c r="E159" s="10"/>
      <c r="F159" s="8">
        <v>6802.4369980000001</v>
      </c>
      <c r="G159" s="9">
        <v>9.2521662023701857E-3</v>
      </c>
      <c r="H159" s="8">
        <v>3.4504560529072292</v>
      </c>
    </row>
    <row r="160" spans="1:15" x14ac:dyDescent="0.2">
      <c r="A160" s="5">
        <v>2</v>
      </c>
      <c r="B160" s="6"/>
      <c r="C160" s="6" t="s">
        <v>116</v>
      </c>
      <c r="D160" s="6"/>
      <c r="E160" s="10"/>
      <c r="F160" s="8">
        <v>3671.3260746000001</v>
      </c>
      <c r="G160" s="9">
        <v>4.9934632302043296E-3</v>
      </c>
      <c r="H160" s="8">
        <v>3.5655822479098256</v>
      </c>
    </row>
    <row r="161" spans="1:8" x14ac:dyDescent="0.2">
      <c r="A161" s="3"/>
      <c r="B161" s="3"/>
      <c r="C161" s="4" t="s">
        <v>97</v>
      </c>
      <c r="D161" s="3"/>
      <c r="E161" s="3" t="s">
        <v>98</v>
      </c>
      <c r="F161" s="11">
        <v>10473.763072600001</v>
      </c>
      <c r="G161" s="12">
        <v>1.4245629432574515E-2</v>
      </c>
      <c r="H161" s="97"/>
    </row>
    <row r="162" spans="1:8" x14ac:dyDescent="0.2">
      <c r="A162" s="3"/>
      <c r="B162" s="3"/>
      <c r="C162" s="13"/>
      <c r="D162" s="3"/>
      <c r="E162" s="3"/>
      <c r="F162" s="14"/>
      <c r="G162" s="14"/>
      <c r="H162" s="97"/>
    </row>
    <row r="163" spans="1:8" x14ac:dyDescent="0.2">
      <c r="A163" s="3"/>
      <c r="B163" s="3"/>
      <c r="C163" s="4" t="s">
        <v>117</v>
      </c>
      <c r="D163" s="3"/>
      <c r="E163" s="3"/>
      <c r="F163" s="11">
        <v>10482.7590676</v>
      </c>
      <c r="G163" s="12">
        <v>1.4257865112364003E-2</v>
      </c>
      <c r="H163" s="97"/>
    </row>
    <row r="164" spans="1:8" x14ac:dyDescent="0.2">
      <c r="A164" s="3"/>
      <c r="B164" s="3"/>
      <c r="C164" s="14"/>
      <c r="D164" s="3"/>
      <c r="E164" s="3"/>
      <c r="F164" s="3"/>
      <c r="G164" s="3"/>
      <c r="H164" s="97"/>
    </row>
    <row r="165" spans="1:8" x14ac:dyDescent="0.2">
      <c r="A165" s="3"/>
      <c r="B165" s="3"/>
      <c r="C165" s="4" t="s">
        <v>118</v>
      </c>
      <c r="D165" s="3"/>
      <c r="E165" s="3"/>
      <c r="F165" s="3"/>
      <c r="G165" s="3"/>
      <c r="H165" s="97"/>
    </row>
    <row r="166" spans="1:8" x14ac:dyDescent="0.2">
      <c r="A166" s="3"/>
      <c r="B166" s="3"/>
      <c r="C166" s="4" t="s">
        <v>119</v>
      </c>
      <c r="D166" s="3"/>
      <c r="E166" s="3"/>
      <c r="F166" s="3"/>
      <c r="G166" s="3"/>
      <c r="H166" s="97"/>
    </row>
    <row r="167" spans="1:8" x14ac:dyDescent="0.2">
      <c r="A167" s="3"/>
      <c r="B167" s="3"/>
      <c r="C167" s="4" t="s">
        <v>97</v>
      </c>
      <c r="D167" s="3"/>
      <c r="E167" s="3" t="s">
        <v>98</v>
      </c>
      <c r="F167" s="15">
        <v>0</v>
      </c>
      <c r="G167" s="16">
        <v>0</v>
      </c>
      <c r="H167" s="97"/>
    </row>
    <row r="168" spans="1:8" x14ac:dyDescent="0.2">
      <c r="A168" s="3"/>
      <c r="B168" s="3"/>
      <c r="C168" s="13"/>
      <c r="D168" s="3"/>
      <c r="E168" s="3"/>
      <c r="F168" s="14"/>
      <c r="G168" s="14"/>
      <c r="H168" s="97"/>
    </row>
    <row r="169" spans="1:8" x14ac:dyDescent="0.2">
      <c r="A169" s="3"/>
      <c r="B169" s="3"/>
      <c r="C169" s="4" t="s">
        <v>120</v>
      </c>
      <c r="D169" s="3"/>
      <c r="E169" s="3"/>
      <c r="F169" s="3"/>
      <c r="G169" s="3"/>
      <c r="H169" s="97"/>
    </row>
    <row r="170" spans="1:8" x14ac:dyDescent="0.2">
      <c r="A170" s="3"/>
      <c r="B170" s="3"/>
      <c r="C170" s="4" t="s">
        <v>121</v>
      </c>
      <c r="D170" s="3"/>
      <c r="E170" s="3"/>
      <c r="F170" s="3"/>
      <c r="G170" s="3"/>
      <c r="H170" s="97"/>
    </row>
    <row r="171" spans="1:8" x14ac:dyDescent="0.2">
      <c r="A171" s="3"/>
      <c r="B171" s="3"/>
      <c r="C171" s="4" t="s">
        <v>97</v>
      </c>
      <c r="D171" s="3"/>
      <c r="E171" s="3" t="s">
        <v>98</v>
      </c>
      <c r="F171" s="15">
        <v>0</v>
      </c>
      <c r="G171" s="16">
        <v>0</v>
      </c>
      <c r="H171" s="97"/>
    </row>
    <row r="172" spans="1:8" x14ac:dyDescent="0.2">
      <c r="A172" s="3"/>
      <c r="B172" s="3"/>
      <c r="C172" s="13"/>
      <c r="D172" s="3"/>
      <c r="E172" s="3"/>
      <c r="F172" s="14"/>
      <c r="G172" s="14"/>
      <c r="H172" s="97"/>
    </row>
    <row r="173" spans="1:8" x14ac:dyDescent="0.2">
      <c r="A173" s="3"/>
      <c r="B173" s="3"/>
      <c r="C173" s="13"/>
      <c r="D173" s="3"/>
      <c r="E173" s="3"/>
      <c r="F173" s="14"/>
      <c r="G173" s="14"/>
      <c r="H173" s="97"/>
    </row>
    <row r="174" spans="1:8" ht="25.5" x14ac:dyDescent="0.2">
      <c r="A174" s="3"/>
      <c r="B174" s="3"/>
      <c r="C174" s="4" t="s">
        <v>122</v>
      </c>
      <c r="D174" s="3"/>
      <c r="E174" s="3"/>
      <c r="F174" s="14"/>
      <c r="G174" s="14"/>
      <c r="H174" s="97"/>
    </row>
    <row r="175" spans="1:8" x14ac:dyDescent="0.2">
      <c r="A175" s="3"/>
      <c r="B175" s="3"/>
      <c r="C175" s="4" t="s">
        <v>97</v>
      </c>
      <c r="D175" s="3"/>
      <c r="E175" s="3" t="s">
        <v>98</v>
      </c>
      <c r="F175" s="15">
        <v>0</v>
      </c>
      <c r="G175" s="16">
        <v>0</v>
      </c>
      <c r="H175" s="97"/>
    </row>
    <row r="176" spans="1:8" x14ac:dyDescent="0.2">
      <c r="A176" s="3"/>
      <c r="B176" s="3"/>
      <c r="C176" s="13"/>
      <c r="D176" s="3"/>
      <c r="E176" s="3"/>
      <c r="F176" s="14"/>
      <c r="G176" s="14"/>
      <c r="H176" s="97"/>
    </row>
    <row r="177" spans="1:15" x14ac:dyDescent="0.2">
      <c r="A177" s="3"/>
      <c r="B177" s="6"/>
      <c r="C177" s="6"/>
      <c r="D177" s="4"/>
      <c r="E177" s="3"/>
      <c r="F177" s="6"/>
      <c r="G177" s="10"/>
      <c r="H177" s="97"/>
    </row>
    <row r="178" spans="1:15" x14ac:dyDescent="0.2">
      <c r="A178" s="10"/>
      <c r="B178" s="6"/>
      <c r="C178" s="6" t="s">
        <v>1016</v>
      </c>
      <c r="D178" s="6"/>
      <c r="E178" s="10"/>
      <c r="F178" s="8">
        <v>4485.6974208300007</v>
      </c>
      <c r="G178" s="9">
        <v>6.1011102467049176E-3</v>
      </c>
      <c r="H178" s="97"/>
    </row>
    <row r="179" spans="1:15" x14ac:dyDescent="0.2">
      <c r="A179" s="13"/>
      <c r="B179" s="13"/>
      <c r="C179" s="4" t="s">
        <v>124</v>
      </c>
      <c r="D179" s="17"/>
      <c r="E179" s="17"/>
      <c r="F179" s="11">
        <v>735226.41608592996</v>
      </c>
      <c r="G179" s="12">
        <v>1</v>
      </c>
      <c r="H179" s="97"/>
    </row>
    <row r="180" spans="1:15" ht="14.1" customHeight="1" x14ac:dyDescent="0.2">
      <c r="A180" s="18"/>
      <c r="B180" s="18"/>
      <c r="C180" s="18"/>
      <c r="D180" s="19"/>
      <c r="E180" s="19"/>
      <c r="F180" s="33"/>
      <c r="G180" s="33"/>
    </row>
    <row r="181" spans="1:15" s="69" customFormat="1" ht="17.100000000000001" customHeight="1" x14ac:dyDescent="0.2">
      <c r="A181" s="94"/>
      <c r="B181" s="234" t="s">
        <v>1018</v>
      </c>
      <c r="C181" s="234"/>
      <c r="D181" s="234"/>
      <c r="E181" s="234"/>
      <c r="F181" s="234"/>
      <c r="G181" s="95"/>
      <c r="H181"/>
      <c r="I181"/>
      <c r="J181"/>
      <c r="K181"/>
      <c r="L181"/>
      <c r="M181"/>
      <c r="N181"/>
      <c r="O181"/>
    </row>
    <row r="182" spans="1:15" ht="14.1" customHeight="1" x14ac:dyDescent="0.2">
      <c r="A182" s="20"/>
      <c r="B182" s="226" t="s">
        <v>98</v>
      </c>
      <c r="C182" s="226"/>
      <c r="D182" s="226"/>
      <c r="E182" s="226"/>
      <c r="F182" s="226"/>
      <c r="G182" s="22"/>
    </row>
    <row r="183" spans="1:15" ht="14.1" customHeight="1" x14ac:dyDescent="0.2">
      <c r="A183" s="20"/>
      <c r="B183" s="224" t="s">
        <v>126</v>
      </c>
      <c r="C183" s="225"/>
      <c r="D183" s="14" t="s">
        <v>98</v>
      </c>
      <c r="E183" s="23"/>
      <c r="F183" s="22"/>
      <c r="G183" s="22"/>
    </row>
    <row r="184" spans="1:15" ht="29.1" customHeight="1" x14ac:dyDescent="0.2">
      <c r="A184" s="20"/>
      <c r="B184" s="231" t="s">
        <v>127</v>
      </c>
      <c r="C184" s="232"/>
      <c r="D184" s="4" t="s">
        <v>128</v>
      </c>
      <c r="E184" s="23"/>
      <c r="F184" s="22"/>
      <c r="G184" s="22"/>
    </row>
    <row r="185" spans="1:15" ht="17.100000000000001" customHeight="1" x14ac:dyDescent="0.2">
      <c r="A185" s="20"/>
      <c r="B185" s="231" t="s">
        <v>129</v>
      </c>
      <c r="C185" s="232"/>
      <c r="D185" s="4" t="s">
        <v>128</v>
      </c>
      <c r="E185" s="23"/>
      <c r="F185" s="22"/>
      <c r="G185" s="22"/>
    </row>
    <row r="186" spans="1:15" ht="17.100000000000001" customHeight="1" x14ac:dyDescent="0.2">
      <c r="A186" s="20"/>
      <c r="B186" s="231" t="s">
        <v>1055</v>
      </c>
      <c r="C186" s="235"/>
      <c r="D186" s="232"/>
      <c r="E186" s="23"/>
      <c r="F186" s="22"/>
      <c r="G186" s="22"/>
    </row>
    <row r="187" spans="1:15" ht="24" customHeight="1" x14ac:dyDescent="0.2">
      <c r="A187" s="24"/>
      <c r="B187" s="25" t="s">
        <v>98</v>
      </c>
      <c r="C187" s="25" t="s">
        <v>131</v>
      </c>
      <c r="D187" s="25" t="s">
        <v>132</v>
      </c>
      <c r="E187" s="24"/>
      <c r="F187" s="24"/>
      <c r="G187" s="24"/>
    </row>
    <row r="188" spans="1:15" ht="18" customHeight="1" x14ac:dyDescent="0.2">
      <c r="A188" s="24"/>
      <c r="B188" s="25" t="s">
        <v>133</v>
      </c>
      <c r="C188" s="25" t="s">
        <v>134</v>
      </c>
      <c r="D188" s="25" t="s">
        <v>135</v>
      </c>
      <c r="E188" s="24"/>
      <c r="F188" s="24"/>
      <c r="G188" s="24"/>
    </row>
    <row r="189" spans="1:15" ht="17.100000000000001" customHeight="1" x14ac:dyDescent="0.2">
      <c r="A189" s="24"/>
      <c r="B189" s="6" t="s">
        <v>136</v>
      </c>
      <c r="C189" s="26">
        <v>733.48770000000002</v>
      </c>
      <c r="D189" s="26">
        <v>752.20209999999997</v>
      </c>
      <c r="E189" s="24"/>
      <c r="F189" s="21"/>
      <c r="G189" s="27"/>
    </row>
    <row r="190" spans="1:15" ht="17.100000000000001" customHeight="1" x14ac:dyDescent="0.2">
      <c r="A190" s="24"/>
      <c r="B190" s="6" t="s">
        <v>1201</v>
      </c>
      <c r="C190" s="26">
        <v>46.017600000000002</v>
      </c>
      <c r="D190" s="26">
        <v>47.191699999999997</v>
      </c>
      <c r="E190" s="24"/>
      <c r="F190" s="21"/>
      <c r="G190" s="27"/>
    </row>
    <row r="191" spans="1:15" ht="29.1" customHeight="1" x14ac:dyDescent="0.2">
      <c r="A191" s="24"/>
      <c r="B191" s="6" t="s">
        <v>407</v>
      </c>
      <c r="C191" s="26">
        <v>748.66499999999996</v>
      </c>
      <c r="D191" s="26">
        <v>767.76639999999998</v>
      </c>
      <c r="E191" s="24"/>
      <c r="F191" s="21"/>
      <c r="G191" s="27"/>
    </row>
    <row r="192" spans="1:15" ht="29.1" customHeight="1" x14ac:dyDescent="0.2">
      <c r="A192" s="24"/>
      <c r="B192" s="6" t="s">
        <v>1204</v>
      </c>
      <c r="C192" s="26">
        <v>39.660600000000002</v>
      </c>
      <c r="D192" s="26">
        <v>40.673000000000002</v>
      </c>
      <c r="E192" s="24"/>
      <c r="F192" s="21"/>
      <c r="G192" s="27"/>
    </row>
    <row r="193" spans="1:17" ht="17.100000000000001" customHeight="1" x14ac:dyDescent="0.2">
      <c r="A193" s="24"/>
      <c r="B193" s="6" t="s">
        <v>137</v>
      </c>
      <c r="C193" s="26">
        <v>693.12289999999996</v>
      </c>
      <c r="D193" s="26">
        <v>710.30359999999996</v>
      </c>
      <c r="E193" s="24"/>
      <c r="F193" s="21"/>
      <c r="G193" s="27"/>
    </row>
    <row r="194" spans="1:17" ht="17.100000000000001" customHeight="1" x14ac:dyDescent="0.2">
      <c r="A194" s="24"/>
      <c r="B194" s="6" t="s">
        <v>1202</v>
      </c>
      <c r="C194" s="26">
        <v>42.877499999999998</v>
      </c>
      <c r="D194" s="26">
        <v>43.940300000000001</v>
      </c>
      <c r="E194" s="24"/>
      <c r="F194" s="21"/>
      <c r="G194" s="27"/>
    </row>
    <row r="195" spans="1:17" ht="17.100000000000001" customHeight="1" x14ac:dyDescent="0.2">
      <c r="A195" s="20"/>
      <c r="B195" s="231" t="s">
        <v>1056</v>
      </c>
      <c r="C195" s="235"/>
      <c r="D195" s="232"/>
      <c r="E195" s="23"/>
      <c r="F195" s="22"/>
      <c r="G195" s="22"/>
    </row>
    <row r="196" spans="1:17" ht="24" customHeight="1" x14ac:dyDescent="0.2">
      <c r="A196" s="24"/>
      <c r="B196" s="25" t="s">
        <v>98</v>
      </c>
      <c r="C196" s="25" t="s">
        <v>131</v>
      </c>
      <c r="D196" s="25" t="s">
        <v>132</v>
      </c>
      <c r="E196" s="24"/>
      <c r="F196" s="24"/>
      <c r="G196" s="24"/>
    </row>
    <row r="197" spans="1:17" ht="18" customHeight="1" x14ac:dyDescent="0.2">
      <c r="A197" s="24"/>
      <c r="B197" s="25" t="s">
        <v>133</v>
      </c>
      <c r="C197" s="25" t="s">
        <v>134</v>
      </c>
      <c r="D197" s="25" t="s">
        <v>135</v>
      </c>
      <c r="E197" s="24"/>
      <c r="F197" s="24"/>
      <c r="G197" s="24"/>
    </row>
    <row r="198" spans="1:17" ht="17.100000000000001" customHeight="1" x14ac:dyDescent="0.2">
      <c r="A198" s="24"/>
      <c r="B198" s="6" t="s">
        <v>136</v>
      </c>
      <c r="C198" s="86">
        <v>18.239999999999998</v>
      </c>
      <c r="D198" s="26">
        <v>18.605</v>
      </c>
      <c r="E198" s="24"/>
      <c r="F198" s="21"/>
      <c r="G198" s="27"/>
    </row>
    <row r="199" spans="1:17" ht="17.100000000000001" customHeight="1" x14ac:dyDescent="0.2">
      <c r="A199" s="24"/>
      <c r="B199" s="6" t="s">
        <v>1201</v>
      </c>
      <c r="C199" s="86">
        <v>18.239999999999998</v>
      </c>
      <c r="D199" s="26">
        <v>18.605</v>
      </c>
      <c r="E199" s="24"/>
      <c r="F199" s="21"/>
      <c r="G199" s="27"/>
    </row>
    <row r="200" spans="1:17" ht="17.100000000000001" customHeight="1" x14ac:dyDescent="0.2">
      <c r="A200" s="24"/>
      <c r="B200" s="6" t="s">
        <v>137</v>
      </c>
      <c r="C200" s="86">
        <v>17.59</v>
      </c>
      <c r="D200" s="26">
        <v>17.9115</v>
      </c>
      <c r="E200" s="24"/>
      <c r="F200" s="21"/>
      <c r="G200" s="27"/>
    </row>
    <row r="201" spans="1:17" ht="17.100000000000001" customHeight="1" x14ac:dyDescent="0.2">
      <c r="A201" s="24"/>
      <c r="B201" s="6" t="s">
        <v>1202</v>
      </c>
      <c r="C201" s="86">
        <v>17.59</v>
      </c>
      <c r="D201" s="26">
        <v>17.9115</v>
      </c>
      <c r="E201" s="24"/>
      <c r="F201" s="21"/>
      <c r="G201" s="27"/>
    </row>
    <row r="202" spans="1:17" ht="14.1" customHeight="1" x14ac:dyDescent="0.2">
      <c r="A202" s="24"/>
      <c r="B202" s="24"/>
      <c r="C202" s="24"/>
      <c r="D202" s="24"/>
      <c r="E202" s="24"/>
      <c r="F202" s="24"/>
      <c r="G202" s="24"/>
    </row>
    <row r="203" spans="1:17" ht="17.100000000000001" customHeight="1" x14ac:dyDescent="0.2">
      <c r="A203" s="24"/>
      <c r="B203" s="231" t="s">
        <v>1203</v>
      </c>
      <c r="C203" s="232"/>
      <c r="D203" s="4" t="s">
        <v>128</v>
      </c>
      <c r="E203" s="24"/>
      <c r="F203" s="24"/>
      <c r="G203" s="24"/>
    </row>
    <row r="204" spans="1:17" ht="18" customHeight="1" x14ac:dyDescent="0.2">
      <c r="A204" s="24"/>
      <c r="B204" s="28"/>
      <c r="C204" s="28"/>
      <c r="E204" s="24"/>
      <c r="F204" s="24"/>
      <c r="G204" s="24"/>
    </row>
    <row r="205" spans="1:17" s="87" customFormat="1" x14ac:dyDescent="0.2">
      <c r="B205" s="233" t="s">
        <v>1207</v>
      </c>
      <c r="C205" s="233"/>
      <c r="D205" s="233"/>
      <c r="E205" s="233"/>
      <c r="F205" s="233"/>
      <c r="I205"/>
      <c r="J205"/>
      <c r="K205"/>
      <c r="L205"/>
      <c r="M205"/>
      <c r="N205"/>
      <c r="O205"/>
      <c r="P205" s="69"/>
      <c r="Q205" s="69"/>
    </row>
    <row r="206" spans="1:17" ht="18" customHeight="1" x14ac:dyDescent="0.2">
      <c r="A206" s="24"/>
      <c r="B206" s="28"/>
      <c r="C206" s="28"/>
      <c r="E206" s="24"/>
      <c r="F206" s="24"/>
      <c r="G206" s="24"/>
    </row>
    <row r="207" spans="1:17" ht="29.1" customHeight="1" x14ac:dyDescent="0.2">
      <c r="A207" s="24"/>
      <c r="B207" s="231" t="s">
        <v>138</v>
      </c>
      <c r="C207" s="232"/>
      <c r="D207" s="4" t="s">
        <v>128</v>
      </c>
      <c r="E207" s="24"/>
      <c r="F207" s="24"/>
      <c r="G207" s="24"/>
    </row>
    <row r="208" spans="1:17" ht="29.1" customHeight="1" x14ac:dyDescent="0.2">
      <c r="A208" s="24"/>
      <c r="B208" s="231" t="s">
        <v>139</v>
      </c>
      <c r="C208" s="232"/>
      <c r="D208" s="4" t="s">
        <v>128</v>
      </c>
      <c r="E208" s="24"/>
      <c r="F208" s="24"/>
      <c r="G208" s="24"/>
    </row>
    <row r="209" spans="1:7" ht="17.100000000000001" customHeight="1" x14ac:dyDescent="0.2">
      <c r="A209" s="24"/>
      <c r="B209" s="231" t="s">
        <v>140</v>
      </c>
      <c r="C209" s="232"/>
      <c r="D209" s="30">
        <v>0.35032377828478695</v>
      </c>
      <c r="E209" s="24"/>
      <c r="F209" s="21"/>
      <c r="G209" s="27"/>
    </row>
    <row r="210" spans="1:7" ht="17.100000000000001" customHeight="1" x14ac:dyDescent="0.2">
      <c r="A210" s="24"/>
      <c r="B210" s="231" t="s">
        <v>141</v>
      </c>
      <c r="C210" s="232"/>
      <c r="D210" s="4" t="s">
        <v>128</v>
      </c>
      <c r="E210" s="24"/>
      <c r="F210" s="24"/>
      <c r="G210" s="24"/>
    </row>
  </sheetData>
  <sortState xmlns:xlrd2="http://schemas.microsoft.com/office/spreadsheetml/2017/richdata2" ref="A7:G112">
    <sortCondition descending="1" ref="G7:G112"/>
  </sortState>
  <mergeCells count="17">
    <mergeCell ref="A1:H1"/>
    <mergeCell ref="A2:H2"/>
    <mergeCell ref="A3:H3"/>
    <mergeCell ref="B195:D195"/>
    <mergeCell ref="B205:F205"/>
    <mergeCell ref="J2:N2"/>
    <mergeCell ref="B210:C210"/>
    <mergeCell ref="B181:F181"/>
    <mergeCell ref="B182:F182"/>
    <mergeCell ref="B183:C183"/>
    <mergeCell ref="B184:C184"/>
    <mergeCell ref="B185:C185"/>
    <mergeCell ref="B203:C203"/>
    <mergeCell ref="B207:C207"/>
    <mergeCell ref="B208:C208"/>
    <mergeCell ref="B209:C209"/>
    <mergeCell ref="B186:D186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>
    <outlinePr summaryBelow="0" summaryRight="0"/>
  </sheetPr>
  <dimension ref="A1:Q143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6.28515625" customWidth="1"/>
    <col min="4" max="4" width="17.85546875" customWidth="1"/>
    <col min="5" max="6" width="19.140625" customWidth="1"/>
    <col min="7" max="7" width="16.42578125" customWidth="1"/>
  </cols>
  <sheetData>
    <row r="1" spans="1:15" ht="15" x14ac:dyDescent="0.2">
      <c r="A1" s="227" t="s">
        <v>0</v>
      </c>
      <c r="B1" s="227"/>
      <c r="C1" s="227"/>
      <c r="D1" s="227"/>
      <c r="E1" s="227"/>
      <c r="F1" s="227"/>
      <c r="G1" s="227"/>
      <c r="H1" s="227"/>
    </row>
    <row r="2" spans="1:15" s="87" customFormat="1" ht="15" x14ac:dyDescent="0.2">
      <c r="A2" s="228" t="s">
        <v>408</v>
      </c>
      <c r="B2" s="229"/>
      <c r="C2" s="229"/>
      <c r="D2" s="229"/>
      <c r="E2" s="229"/>
      <c r="F2" s="229"/>
      <c r="G2" s="229"/>
      <c r="H2" s="230"/>
      <c r="I2"/>
      <c r="J2" s="223" t="s">
        <v>1238</v>
      </c>
      <c r="K2" s="223"/>
      <c r="L2" s="223"/>
      <c r="M2" s="223"/>
      <c r="N2" s="223"/>
      <c r="O2"/>
    </row>
    <row r="3" spans="1:15" ht="15" x14ac:dyDescent="0.2">
      <c r="A3" s="227" t="s">
        <v>1208</v>
      </c>
      <c r="B3" s="227"/>
      <c r="C3" s="227"/>
      <c r="D3" s="227"/>
      <c r="E3" s="227"/>
      <c r="F3" s="227"/>
      <c r="G3" s="227"/>
      <c r="H3" s="227"/>
    </row>
    <row r="4" spans="1:15" s="113" customFormat="1" ht="30" x14ac:dyDescent="0.2">
      <c r="A4" s="1" t="s">
        <v>2</v>
      </c>
      <c r="B4" s="1" t="s">
        <v>3</v>
      </c>
      <c r="C4" s="1" t="s">
        <v>4</v>
      </c>
      <c r="D4" s="1" t="s">
        <v>5</v>
      </c>
      <c r="E4" s="2" t="s">
        <v>6</v>
      </c>
      <c r="F4" s="2" t="s">
        <v>7</v>
      </c>
      <c r="G4" s="2" t="s">
        <v>8</v>
      </c>
      <c r="H4" s="96" t="s">
        <v>1167</v>
      </c>
      <c r="I4" s="183"/>
      <c r="J4" s="183"/>
      <c r="K4" s="183"/>
      <c r="L4" s="183"/>
      <c r="M4" s="183"/>
      <c r="N4" s="183"/>
      <c r="O4" s="183"/>
    </row>
    <row r="5" spans="1:15" ht="14.1" customHeight="1" x14ac:dyDescent="0.2">
      <c r="A5" s="3"/>
      <c r="B5" s="3"/>
      <c r="C5" s="4" t="s">
        <v>9</v>
      </c>
      <c r="D5" s="3"/>
      <c r="E5" s="3"/>
      <c r="F5" s="3"/>
      <c r="G5" s="3"/>
      <c r="H5" s="97"/>
    </row>
    <row r="6" spans="1:15" ht="25.5" x14ac:dyDescent="0.2">
      <c r="A6" s="3"/>
      <c r="B6" s="3"/>
      <c r="C6" s="4" t="s">
        <v>10</v>
      </c>
      <c r="D6" s="3"/>
      <c r="E6" s="3"/>
      <c r="F6" s="3"/>
      <c r="G6" s="3"/>
      <c r="H6" s="97"/>
    </row>
    <row r="7" spans="1:15" x14ac:dyDescent="0.2">
      <c r="A7" s="5">
        <v>1</v>
      </c>
      <c r="B7" s="6" t="s">
        <v>14</v>
      </c>
      <c r="C7" s="6" t="s">
        <v>15</v>
      </c>
      <c r="D7" s="6" t="s">
        <v>16</v>
      </c>
      <c r="E7" s="7">
        <v>44211</v>
      </c>
      <c r="F7" s="8">
        <v>1046.9827964999999</v>
      </c>
      <c r="G7" s="9">
        <v>7.2261527000000006E-2</v>
      </c>
      <c r="H7" s="97"/>
    </row>
    <row r="8" spans="1:15" x14ac:dyDescent="0.2">
      <c r="A8" s="5">
        <v>2</v>
      </c>
      <c r="B8" s="6" t="s">
        <v>23</v>
      </c>
      <c r="C8" s="6" t="s">
        <v>24</v>
      </c>
      <c r="D8" s="6" t="s">
        <v>25</v>
      </c>
      <c r="E8" s="7">
        <v>137271</v>
      </c>
      <c r="F8" s="8">
        <v>1016.0113065</v>
      </c>
      <c r="G8" s="9">
        <v>7.0123910999999997E-2</v>
      </c>
      <c r="H8" s="97"/>
    </row>
    <row r="9" spans="1:15" x14ac:dyDescent="0.2">
      <c r="A9" s="5">
        <v>3</v>
      </c>
      <c r="B9" s="6" t="s">
        <v>409</v>
      </c>
      <c r="C9" s="6" t="s">
        <v>410</v>
      </c>
      <c r="D9" s="6" t="s">
        <v>147</v>
      </c>
      <c r="E9" s="7">
        <v>53410</v>
      </c>
      <c r="F9" s="8">
        <v>1008.2472749999999</v>
      </c>
      <c r="G9" s="9">
        <v>6.9588046000000001E-2</v>
      </c>
      <c r="H9" s="97"/>
    </row>
    <row r="10" spans="1:15" x14ac:dyDescent="0.2">
      <c r="A10" s="5">
        <v>4</v>
      </c>
      <c r="B10" s="6" t="s">
        <v>411</v>
      </c>
      <c r="C10" s="6" t="s">
        <v>412</v>
      </c>
      <c r="D10" s="6" t="s">
        <v>25</v>
      </c>
      <c r="E10" s="7">
        <v>54472</v>
      </c>
      <c r="F10" s="8">
        <v>805.85876800000005</v>
      </c>
      <c r="G10" s="9">
        <v>5.5619427999999999E-2</v>
      </c>
      <c r="H10" s="97"/>
    </row>
    <row r="11" spans="1:15" ht="25.5" x14ac:dyDescent="0.2">
      <c r="A11" s="5">
        <v>5</v>
      </c>
      <c r="B11" s="6" t="s">
        <v>413</v>
      </c>
      <c r="C11" s="6" t="s">
        <v>414</v>
      </c>
      <c r="D11" s="6" t="s">
        <v>81</v>
      </c>
      <c r="E11" s="7">
        <v>21645</v>
      </c>
      <c r="F11" s="8">
        <v>559.83710250000001</v>
      </c>
      <c r="G11" s="9">
        <v>3.8639301000000001E-2</v>
      </c>
      <c r="H11" s="97"/>
    </row>
    <row r="12" spans="1:15" x14ac:dyDescent="0.2">
      <c r="A12" s="5">
        <v>6</v>
      </c>
      <c r="B12" s="6" t="s">
        <v>17</v>
      </c>
      <c r="C12" s="6" t="s">
        <v>18</v>
      </c>
      <c r="D12" s="6" t="s">
        <v>19</v>
      </c>
      <c r="E12" s="7">
        <v>28251</v>
      </c>
      <c r="F12" s="8">
        <v>541.57167000000004</v>
      </c>
      <c r="G12" s="9">
        <v>3.7378641999999997E-2</v>
      </c>
      <c r="H12" s="97"/>
    </row>
    <row r="13" spans="1:15" x14ac:dyDescent="0.2">
      <c r="A13" s="5">
        <v>7</v>
      </c>
      <c r="B13" s="6" t="s">
        <v>415</v>
      </c>
      <c r="C13" s="6" t="s">
        <v>416</v>
      </c>
      <c r="D13" s="6" t="s">
        <v>25</v>
      </c>
      <c r="E13" s="7">
        <v>108901</v>
      </c>
      <c r="F13" s="8">
        <v>501.43465450000002</v>
      </c>
      <c r="G13" s="9">
        <v>3.4608433000000001E-2</v>
      </c>
      <c r="H13" s="97"/>
    </row>
    <row r="14" spans="1:15" x14ac:dyDescent="0.2">
      <c r="A14" s="5">
        <v>8</v>
      </c>
      <c r="B14" s="6" t="s">
        <v>315</v>
      </c>
      <c r="C14" s="6" t="s">
        <v>316</v>
      </c>
      <c r="D14" s="6" t="s">
        <v>25</v>
      </c>
      <c r="E14" s="7">
        <v>66020</v>
      </c>
      <c r="F14" s="8">
        <v>447.97870999999998</v>
      </c>
      <c r="G14" s="9">
        <v>3.0918965999999999E-2</v>
      </c>
      <c r="H14" s="97"/>
    </row>
    <row r="15" spans="1:15" ht="15" x14ac:dyDescent="0.2">
      <c r="A15" s="5">
        <v>9</v>
      </c>
      <c r="B15" s="6" t="s">
        <v>274</v>
      </c>
      <c r="C15" s="6" t="s">
        <v>275</v>
      </c>
      <c r="D15" s="6" t="s">
        <v>185</v>
      </c>
      <c r="E15" s="7">
        <v>10484</v>
      </c>
      <c r="F15" s="8">
        <v>439.12234000000001</v>
      </c>
      <c r="G15" s="9">
        <v>3.0307710000000002E-2</v>
      </c>
      <c r="H15" s="97"/>
      <c r="J15" s="184" t="s">
        <v>1244</v>
      </c>
    </row>
    <row r="16" spans="1:15" x14ac:dyDescent="0.2">
      <c r="A16" s="5">
        <v>10</v>
      </c>
      <c r="B16" s="6" t="s">
        <v>11</v>
      </c>
      <c r="C16" s="6" t="s">
        <v>12</v>
      </c>
      <c r="D16" s="6" t="s">
        <v>13</v>
      </c>
      <c r="E16" s="7">
        <v>23069</v>
      </c>
      <c r="F16" s="8">
        <v>437.36517099999998</v>
      </c>
      <c r="G16" s="9">
        <v>3.0186431999999999E-2</v>
      </c>
      <c r="H16" s="97"/>
    </row>
    <row r="17" spans="1:8" ht="25.5" x14ac:dyDescent="0.2">
      <c r="A17" s="5">
        <v>11</v>
      </c>
      <c r="B17" s="6" t="s">
        <v>319</v>
      </c>
      <c r="C17" s="6" t="s">
        <v>320</v>
      </c>
      <c r="D17" s="6" t="s">
        <v>202</v>
      </c>
      <c r="E17" s="7">
        <v>46412</v>
      </c>
      <c r="F17" s="8">
        <v>412.27779600000002</v>
      </c>
      <c r="G17" s="9">
        <v>2.8454930999999999E-2</v>
      </c>
      <c r="H17" s="97"/>
    </row>
    <row r="18" spans="1:8" x14ac:dyDescent="0.2">
      <c r="A18" s="5">
        <v>12</v>
      </c>
      <c r="B18" s="6" t="s">
        <v>346</v>
      </c>
      <c r="C18" s="6" t="s">
        <v>347</v>
      </c>
      <c r="D18" s="6" t="s">
        <v>1184</v>
      </c>
      <c r="E18" s="7">
        <v>50010</v>
      </c>
      <c r="F18" s="8">
        <v>395.95417500000002</v>
      </c>
      <c r="G18" s="9">
        <v>2.7328293E-2</v>
      </c>
      <c r="H18" s="97"/>
    </row>
    <row r="19" spans="1:8" x14ac:dyDescent="0.2">
      <c r="A19" s="5">
        <v>13</v>
      </c>
      <c r="B19" s="6" t="s">
        <v>417</v>
      </c>
      <c r="C19" s="6" t="s">
        <v>418</v>
      </c>
      <c r="D19" s="6" t="s">
        <v>147</v>
      </c>
      <c r="E19" s="7">
        <v>8898</v>
      </c>
      <c r="F19" s="8">
        <v>332.63838299999998</v>
      </c>
      <c r="G19" s="9">
        <v>2.2958312000000002E-2</v>
      </c>
      <c r="H19" s="97"/>
    </row>
    <row r="20" spans="1:8" x14ac:dyDescent="0.2">
      <c r="A20" s="5">
        <v>14</v>
      </c>
      <c r="B20" s="6" t="s">
        <v>243</v>
      </c>
      <c r="C20" s="6" t="s">
        <v>244</v>
      </c>
      <c r="D20" s="6" t="s">
        <v>185</v>
      </c>
      <c r="E20" s="7">
        <v>57572</v>
      </c>
      <c r="F20" s="8">
        <v>318.08530000000002</v>
      </c>
      <c r="G20" s="9">
        <v>2.1953875000000001E-2</v>
      </c>
      <c r="H20" s="97"/>
    </row>
    <row r="21" spans="1:8" x14ac:dyDescent="0.2">
      <c r="A21" s="5">
        <v>15</v>
      </c>
      <c r="B21" s="6" t="s">
        <v>20</v>
      </c>
      <c r="C21" s="6" t="s">
        <v>21</v>
      </c>
      <c r="D21" s="6" t="s">
        <v>22</v>
      </c>
      <c r="E21" s="7">
        <v>45416</v>
      </c>
      <c r="F21" s="8">
        <v>310.55460799999997</v>
      </c>
      <c r="G21" s="9">
        <v>2.1434115E-2</v>
      </c>
      <c r="H21" s="97"/>
    </row>
    <row r="22" spans="1:8" x14ac:dyDescent="0.2">
      <c r="A22" s="5">
        <v>16</v>
      </c>
      <c r="B22" s="6" t="s">
        <v>419</v>
      </c>
      <c r="C22" s="6" t="s">
        <v>420</v>
      </c>
      <c r="D22" s="6" t="s">
        <v>1183</v>
      </c>
      <c r="E22" s="7">
        <v>24719</v>
      </c>
      <c r="F22" s="8">
        <v>295.63923999999997</v>
      </c>
      <c r="G22" s="9">
        <v>2.0404674000000001E-2</v>
      </c>
      <c r="H22" s="97"/>
    </row>
    <row r="23" spans="1:8" x14ac:dyDescent="0.2">
      <c r="A23" s="5">
        <v>17</v>
      </c>
      <c r="B23" s="6" t="s">
        <v>323</v>
      </c>
      <c r="C23" s="6" t="s">
        <v>324</v>
      </c>
      <c r="D23" s="6" t="s">
        <v>1187</v>
      </c>
      <c r="E23" s="7">
        <v>8139</v>
      </c>
      <c r="F23" s="8">
        <v>292.279629</v>
      </c>
      <c r="G23" s="9">
        <v>2.0172797999999999E-2</v>
      </c>
      <c r="H23" s="97"/>
    </row>
    <row r="24" spans="1:8" x14ac:dyDescent="0.2">
      <c r="A24" s="5">
        <v>18</v>
      </c>
      <c r="B24" s="6" t="s">
        <v>280</v>
      </c>
      <c r="C24" s="6" t="s">
        <v>281</v>
      </c>
      <c r="D24" s="6" t="s">
        <v>238</v>
      </c>
      <c r="E24" s="7">
        <v>16000</v>
      </c>
      <c r="F24" s="8">
        <v>280.76799999999997</v>
      </c>
      <c r="G24" s="9">
        <v>1.9378279000000002E-2</v>
      </c>
      <c r="H24" s="97"/>
    </row>
    <row r="25" spans="1:8" x14ac:dyDescent="0.2">
      <c r="A25" s="5">
        <v>19</v>
      </c>
      <c r="B25" s="6" t="s">
        <v>421</v>
      </c>
      <c r="C25" s="6" t="s">
        <v>422</v>
      </c>
      <c r="D25" s="6" t="s">
        <v>147</v>
      </c>
      <c r="E25" s="7">
        <v>39000</v>
      </c>
      <c r="F25" s="8">
        <v>278.98649999999998</v>
      </c>
      <c r="G25" s="9">
        <v>1.9255321999999998E-2</v>
      </c>
      <c r="H25" s="97"/>
    </row>
    <row r="26" spans="1:8" x14ac:dyDescent="0.2">
      <c r="A26" s="5">
        <v>20</v>
      </c>
      <c r="B26" s="6" t="s">
        <v>181</v>
      </c>
      <c r="C26" s="6" t="s">
        <v>182</v>
      </c>
      <c r="D26" s="6" t="s">
        <v>1189</v>
      </c>
      <c r="E26" s="7">
        <v>32477</v>
      </c>
      <c r="F26" s="8">
        <v>278.11678949999998</v>
      </c>
      <c r="G26" s="9">
        <v>1.9195295000000001E-2</v>
      </c>
      <c r="H26" s="97"/>
    </row>
    <row r="27" spans="1:8" x14ac:dyDescent="0.2">
      <c r="A27" s="5">
        <v>21</v>
      </c>
      <c r="B27" s="6" t="s">
        <v>334</v>
      </c>
      <c r="C27" s="6" t="s">
        <v>335</v>
      </c>
      <c r="D27" s="6" t="s">
        <v>70</v>
      </c>
      <c r="E27" s="7">
        <v>62892</v>
      </c>
      <c r="F27" s="8">
        <v>275.12105400000002</v>
      </c>
      <c r="G27" s="9">
        <v>1.8988532999999998E-2</v>
      </c>
      <c r="H27" s="97"/>
    </row>
    <row r="28" spans="1:8" ht="25.5" x14ac:dyDescent="0.2">
      <c r="A28" s="5">
        <v>22</v>
      </c>
      <c r="B28" s="6" t="s">
        <v>28</v>
      </c>
      <c r="C28" s="6" t="s">
        <v>29</v>
      </c>
      <c r="D28" s="6" t="s">
        <v>1185</v>
      </c>
      <c r="E28" s="7">
        <v>3567</v>
      </c>
      <c r="F28" s="8">
        <v>270.77275350000002</v>
      </c>
      <c r="G28" s="9">
        <v>1.8688417999999998E-2</v>
      </c>
      <c r="H28" s="97"/>
    </row>
    <row r="29" spans="1:8" x14ac:dyDescent="0.2">
      <c r="A29" s="5">
        <v>23</v>
      </c>
      <c r="B29" s="6" t="s">
        <v>369</v>
      </c>
      <c r="C29" s="6" t="s">
        <v>370</v>
      </c>
      <c r="D29" s="6" t="s">
        <v>147</v>
      </c>
      <c r="E29" s="7">
        <v>18271</v>
      </c>
      <c r="F29" s="8">
        <v>241.01276100000001</v>
      </c>
      <c r="G29" s="9">
        <v>1.6634419000000001E-2</v>
      </c>
      <c r="H29" s="97"/>
    </row>
    <row r="30" spans="1:8" x14ac:dyDescent="0.2">
      <c r="A30" s="5">
        <v>24</v>
      </c>
      <c r="B30" s="6" t="s">
        <v>423</v>
      </c>
      <c r="C30" s="6" t="s">
        <v>424</v>
      </c>
      <c r="D30" s="6" t="s">
        <v>193</v>
      </c>
      <c r="E30" s="7">
        <v>28492</v>
      </c>
      <c r="F30" s="8">
        <v>240.95684399999999</v>
      </c>
      <c r="G30" s="9">
        <v>1.6630559E-2</v>
      </c>
      <c r="H30" s="97"/>
    </row>
    <row r="31" spans="1:8" ht="25.5" x14ac:dyDescent="0.2">
      <c r="A31" s="5">
        <v>25</v>
      </c>
      <c r="B31" s="6" t="s">
        <v>425</v>
      </c>
      <c r="C31" s="6" t="s">
        <v>426</v>
      </c>
      <c r="D31" s="6" t="s">
        <v>202</v>
      </c>
      <c r="E31" s="7">
        <v>9430</v>
      </c>
      <c r="F31" s="8">
        <v>222.56214499999999</v>
      </c>
      <c r="G31" s="9">
        <v>1.5360979E-2</v>
      </c>
      <c r="H31" s="97"/>
    </row>
    <row r="32" spans="1:8" x14ac:dyDescent="0.2">
      <c r="A32" s="5">
        <v>26</v>
      </c>
      <c r="B32" s="6" t="s">
        <v>427</v>
      </c>
      <c r="C32" s="6" t="s">
        <v>428</v>
      </c>
      <c r="D32" s="6" t="s">
        <v>147</v>
      </c>
      <c r="E32" s="7">
        <v>11437</v>
      </c>
      <c r="F32" s="8">
        <v>204.78520349999999</v>
      </c>
      <c r="G32" s="9">
        <v>1.4134035E-2</v>
      </c>
      <c r="H32" s="97"/>
    </row>
    <row r="33" spans="1:8" x14ac:dyDescent="0.2">
      <c r="A33" s="5">
        <v>27</v>
      </c>
      <c r="B33" s="6" t="s">
        <v>311</v>
      </c>
      <c r="C33" s="6" t="s">
        <v>312</v>
      </c>
      <c r="D33" s="6" t="s">
        <v>284</v>
      </c>
      <c r="E33" s="7">
        <v>443</v>
      </c>
      <c r="F33" s="8">
        <v>179.06746649999999</v>
      </c>
      <c r="G33" s="9">
        <v>1.2359027E-2</v>
      </c>
      <c r="H33" s="97"/>
    </row>
    <row r="34" spans="1:8" x14ac:dyDescent="0.2">
      <c r="A34" s="5">
        <v>28</v>
      </c>
      <c r="B34" s="6" t="s">
        <v>429</v>
      </c>
      <c r="C34" s="6" t="s">
        <v>430</v>
      </c>
      <c r="D34" s="6" t="s">
        <v>431</v>
      </c>
      <c r="E34" s="7">
        <v>37242</v>
      </c>
      <c r="F34" s="8">
        <v>177.104331</v>
      </c>
      <c r="G34" s="9">
        <v>1.2223533999999999E-2</v>
      </c>
      <c r="H34" s="97"/>
    </row>
    <row r="35" spans="1:8" x14ac:dyDescent="0.2">
      <c r="A35" s="5">
        <v>29</v>
      </c>
      <c r="B35" s="6" t="s">
        <v>336</v>
      </c>
      <c r="C35" s="6" t="s">
        <v>337</v>
      </c>
      <c r="D35" s="6" t="s">
        <v>193</v>
      </c>
      <c r="E35" s="7">
        <v>4108</v>
      </c>
      <c r="F35" s="8">
        <v>158.75571400000001</v>
      </c>
      <c r="G35" s="9">
        <v>1.0957133000000001E-2</v>
      </c>
      <c r="H35" s="97"/>
    </row>
    <row r="36" spans="1:8" x14ac:dyDescent="0.2">
      <c r="A36" s="5">
        <v>30</v>
      </c>
      <c r="B36" s="6" t="s">
        <v>357</v>
      </c>
      <c r="C36" s="6" t="s">
        <v>358</v>
      </c>
      <c r="D36" s="6" t="s">
        <v>48</v>
      </c>
      <c r="E36" s="7">
        <v>24502</v>
      </c>
      <c r="F36" s="8">
        <v>150.57704100000001</v>
      </c>
      <c r="G36" s="9">
        <v>1.0392650999999999E-2</v>
      </c>
      <c r="H36" s="97"/>
    </row>
    <row r="37" spans="1:8" x14ac:dyDescent="0.2">
      <c r="A37" s="5">
        <v>31</v>
      </c>
      <c r="B37" s="6" t="s">
        <v>432</v>
      </c>
      <c r="C37" s="6" t="s">
        <v>433</v>
      </c>
      <c r="D37" s="6" t="s">
        <v>78</v>
      </c>
      <c r="E37" s="7">
        <v>17387</v>
      </c>
      <c r="F37" s="8">
        <v>145.55527050000001</v>
      </c>
      <c r="G37" s="9">
        <v>1.0046054E-2</v>
      </c>
      <c r="H37" s="97"/>
    </row>
    <row r="38" spans="1:8" x14ac:dyDescent="0.2">
      <c r="A38" s="5">
        <v>32</v>
      </c>
      <c r="B38" s="6" t="s">
        <v>321</v>
      </c>
      <c r="C38" s="6" t="s">
        <v>322</v>
      </c>
      <c r="D38" s="6" t="s">
        <v>19</v>
      </c>
      <c r="E38" s="7">
        <v>15454</v>
      </c>
      <c r="F38" s="8">
        <v>145.545772</v>
      </c>
      <c r="G38" s="9">
        <v>1.0045399E-2</v>
      </c>
      <c r="H38" s="97"/>
    </row>
    <row r="39" spans="1:8" x14ac:dyDescent="0.2">
      <c r="A39" s="5">
        <v>33</v>
      </c>
      <c r="B39" s="6" t="s">
        <v>325</v>
      </c>
      <c r="C39" s="6" t="s">
        <v>326</v>
      </c>
      <c r="D39" s="6" t="s">
        <v>327</v>
      </c>
      <c r="E39" s="7">
        <v>13636</v>
      </c>
      <c r="F39" s="8">
        <v>145.2234</v>
      </c>
      <c r="G39" s="9">
        <v>1.0023149E-2</v>
      </c>
      <c r="H39" s="97"/>
    </row>
    <row r="40" spans="1:8" x14ac:dyDescent="0.2">
      <c r="A40" s="5">
        <v>34</v>
      </c>
      <c r="B40" s="6" t="s">
        <v>434</v>
      </c>
      <c r="C40" s="6" t="s">
        <v>435</v>
      </c>
      <c r="D40" s="6" t="s">
        <v>238</v>
      </c>
      <c r="E40" s="7">
        <v>19492</v>
      </c>
      <c r="F40" s="8">
        <v>144.93276599999999</v>
      </c>
      <c r="G40" s="9">
        <v>1.0003089999999999E-2</v>
      </c>
      <c r="H40" s="97"/>
    </row>
    <row r="41" spans="1:8" x14ac:dyDescent="0.2">
      <c r="A41" s="5">
        <v>35</v>
      </c>
      <c r="B41" s="6" t="s">
        <v>39</v>
      </c>
      <c r="C41" s="6" t="s">
        <v>40</v>
      </c>
      <c r="D41" s="6" t="s">
        <v>16</v>
      </c>
      <c r="E41" s="7">
        <v>37123</v>
      </c>
      <c r="F41" s="8">
        <v>143.09060349999999</v>
      </c>
      <c r="G41" s="9">
        <v>9.875946E-3</v>
      </c>
      <c r="H41" s="97"/>
    </row>
    <row r="42" spans="1:8" x14ac:dyDescent="0.2">
      <c r="A42" s="5">
        <v>36</v>
      </c>
      <c r="B42" s="6" t="s">
        <v>90</v>
      </c>
      <c r="C42" s="6" t="s">
        <v>91</v>
      </c>
      <c r="D42" s="6" t="s">
        <v>19</v>
      </c>
      <c r="E42" s="7">
        <v>1626</v>
      </c>
      <c r="F42" s="8">
        <v>142.83434399999999</v>
      </c>
      <c r="G42" s="9">
        <v>9.8582589999999994E-3</v>
      </c>
      <c r="H42" s="97"/>
    </row>
    <row r="43" spans="1:8" x14ac:dyDescent="0.2">
      <c r="A43" s="5">
        <v>37</v>
      </c>
      <c r="B43" s="6" t="s">
        <v>332</v>
      </c>
      <c r="C43" s="6" t="s">
        <v>333</v>
      </c>
      <c r="D43" s="6" t="s">
        <v>60</v>
      </c>
      <c r="E43" s="7">
        <v>35316</v>
      </c>
      <c r="F43" s="8">
        <v>133.22961000000001</v>
      </c>
      <c r="G43" s="9">
        <v>9.1953520000000004E-3</v>
      </c>
      <c r="H43" s="97"/>
    </row>
    <row r="44" spans="1:8" x14ac:dyDescent="0.2">
      <c r="A44" s="5">
        <v>38</v>
      </c>
      <c r="B44" s="6" t="s">
        <v>350</v>
      </c>
      <c r="C44" s="6" t="s">
        <v>351</v>
      </c>
      <c r="D44" s="6" t="s">
        <v>25</v>
      </c>
      <c r="E44" s="7">
        <v>160000</v>
      </c>
      <c r="F44" s="8">
        <v>131.12</v>
      </c>
      <c r="G44" s="9">
        <v>9.0497489999999993E-3</v>
      </c>
      <c r="H44" s="97"/>
    </row>
    <row r="45" spans="1:8" x14ac:dyDescent="0.2">
      <c r="A45" s="5">
        <v>39</v>
      </c>
      <c r="B45" s="6" t="s">
        <v>352</v>
      </c>
      <c r="C45" s="6" t="s">
        <v>353</v>
      </c>
      <c r="D45" s="6" t="s">
        <v>238</v>
      </c>
      <c r="E45" s="7">
        <v>175</v>
      </c>
      <c r="F45" s="8">
        <v>128.3415</v>
      </c>
      <c r="G45" s="9">
        <v>8.8579799999999997E-3</v>
      </c>
      <c r="H45" s="97"/>
    </row>
    <row r="46" spans="1:8" x14ac:dyDescent="0.2">
      <c r="A46" s="5">
        <v>40</v>
      </c>
      <c r="B46" s="6" t="s">
        <v>373</v>
      </c>
      <c r="C46" s="6" t="s">
        <v>374</v>
      </c>
      <c r="D46" s="6" t="s">
        <v>213</v>
      </c>
      <c r="E46" s="7">
        <v>16000</v>
      </c>
      <c r="F46" s="8">
        <v>120.968</v>
      </c>
      <c r="G46" s="9">
        <v>8.3490700000000001E-3</v>
      </c>
      <c r="H46" s="97"/>
    </row>
    <row r="47" spans="1:8" ht="25.5" x14ac:dyDescent="0.2">
      <c r="A47" s="5">
        <v>41</v>
      </c>
      <c r="B47" s="6" t="s">
        <v>436</v>
      </c>
      <c r="C47" s="6" t="s">
        <v>437</v>
      </c>
      <c r="D47" s="6" t="s">
        <v>202</v>
      </c>
      <c r="E47" s="7">
        <v>53592</v>
      </c>
      <c r="F47" s="8">
        <v>116.857356</v>
      </c>
      <c r="G47" s="9">
        <v>8.0653579999999999E-3</v>
      </c>
      <c r="H47" s="97"/>
    </row>
    <row r="48" spans="1:8" x14ac:dyDescent="0.2">
      <c r="A48" s="5">
        <v>42</v>
      </c>
      <c r="B48" s="6" t="s">
        <v>175</v>
      </c>
      <c r="C48" s="6" t="s">
        <v>176</v>
      </c>
      <c r="D48" s="6" t="s">
        <v>16</v>
      </c>
      <c r="E48" s="7">
        <v>35000</v>
      </c>
      <c r="F48" s="8">
        <v>102.32250000000001</v>
      </c>
      <c r="G48" s="9">
        <v>7.062179E-3</v>
      </c>
      <c r="H48" s="97"/>
    </row>
    <row r="49" spans="1:8" x14ac:dyDescent="0.2">
      <c r="A49" s="5">
        <v>43</v>
      </c>
      <c r="B49" s="6" t="s">
        <v>305</v>
      </c>
      <c r="C49" s="6" t="s">
        <v>306</v>
      </c>
      <c r="D49" s="6" t="s">
        <v>1183</v>
      </c>
      <c r="E49" s="7">
        <v>10058</v>
      </c>
      <c r="F49" s="8">
        <v>98.603603000000007</v>
      </c>
      <c r="G49" s="9">
        <v>6.8055049999999999E-3</v>
      </c>
      <c r="H49" s="97"/>
    </row>
    <row r="50" spans="1:8" x14ac:dyDescent="0.2">
      <c r="A50" s="5">
        <v>44</v>
      </c>
      <c r="B50" s="6" t="s">
        <v>92</v>
      </c>
      <c r="C50" s="6" t="s">
        <v>93</v>
      </c>
      <c r="D50" s="6" t="s">
        <v>53</v>
      </c>
      <c r="E50" s="7">
        <v>111123</v>
      </c>
      <c r="F50" s="8">
        <v>95.6213415</v>
      </c>
      <c r="G50" s="9">
        <v>6.5996730000000003E-3</v>
      </c>
      <c r="H50" s="97"/>
    </row>
    <row r="51" spans="1:8" x14ac:dyDescent="0.2">
      <c r="A51" s="5">
        <v>45</v>
      </c>
      <c r="B51" s="6" t="s">
        <v>344</v>
      </c>
      <c r="C51" s="6" t="s">
        <v>345</v>
      </c>
      <c r="D51" s="6" t="s">
        <v>81</v>
      </c>
      <c r="E51" s="7">
        <v>7100</v>
      </c>
      <c r="F51" s="8">
        <v>86.406999999999996</v>
      </c>
      <c r="G51" s="9">
        <v>5.9637099999999997E-3</v>
      </c>
      <c r="H51" s="97"/>
    </row>
    <row r="52" spans="1:8" x14ac:dyDescent="0.2">
      <c r="A52" s="5">
        <v>46</v>
      </c>
      <c r="B52" s="6" t="s">
        <v>438</v>
      </c>
      <c r="C52" s="6" t="s">
        <v>439</v>
      </c>
      <c r="D52" s="6" t="s">
        <v>60</v>
      </c>
      <c r="E52" s="7">
        <v>7773</v>
      </c>
      <c r="F52" s="8">
        <v>86.393008499999993</v>
      </c>
      <c r="G52" s="9">
        <v>5.9627439999999999E-3</v>
      </c>
      <c r="H52" s="97"/>
    </row>
    <row r="53" spans="1:8" x14ac:dyDescent="0.2">
      <c r="A53" s="5">
        <v>47</v>
      </c>
      <c r="B53" s="6" t="s">
        <v>440</v>
      </c>
      <c r="C53" s="6" t="s">
        <v>441</v>
      </c>
      <c r="D53" s="6" t="s">
        <v>25</v>
      </c>
      <c r="E53" s="7">
        <v>4709</v>
      </c>
      <c r="F53" s="8">
        <v>84.578349000000003</v>
      </c>
      <c r="G53" s="9">
        <v>5.8374990000000003E-3</v>
      </c>
      <c r="H53" s="97"/>
    </row>
    <row r="54" spans="1:8" ht="25.5" x14ac:dyDescent="0.2">
      <c r="A54" s="5">
        <v>48</v>
      </c>
      <c r="B54" s="6" t="s">
        <v>207</v>
      </c>
      <c r="C54" s="6" t="s">
        <v>208</v>
      </c>
      <c r="D54" s="6" t="s">
        <v>45</v>
      </c>
      <c r="E54" s="7">
        <v>36162</v>
      </c>
      <c r="F54" s="8">
        <v>80.388126</v>
      </c>
      <c r="G54" s="9">
        <v>5.5482939999999996E-3</v>
      </c>
      <c r="H54" s="97"/>
    </row>
    <row r="55" spans="1:8" x14ac:dyDescent="0.2">
      <c r="A55" s="5">
        <v>49</v>
      </c>
      <c r="B55" s="6" t="s">
        <v>371</v>
      </c>
      <c r="C55" s="6" t="s">
        <v>372</v>
      </c>
      <c r="D55" s="6" t="s">
        <v>70</v>
      </c>
      <c r="E55" s="7">
        <v>100655</v>
      </c>
      <c r="F55" s="8">
        <v>68.8983475</v>
      </c>
      <c r="G55" s="9">
        <v>4.7552829999999999E-3</v>
      </c>
      <c r="H55" s="97"/>
    </row>
    <row r="56" spans="1:8" x14ac:dyDescent="0.2">
      <c r="A56" s="5">
        <v>50</v>
      </c>
      <c r="B56" s="6" t="s">
        <v>442</v>
      </c>
      <c r="C56" s="6" t="s">
        <v>1157</v>
      </c>
      <c r="D56" s="91" t="s">
        <v>22</v>
      </c>
      <c r="E56" s="7">
        <v>3244</v>
      </c>
      <c r="F56" s="8">
        <v>11.439966</v>
      </c>
      <c r="G56" s="9">
        <v>7.8957300000000001E-4</v>
      </c>
      <c r="H56" s="97"/>
    </row>
    <row r="57" spans="1:8" x14ac:dyDescent="0.2">
      <c r="A57" s="3"/>
      <c r="B57" s="3"/>
      <c r="C57" s="4" t="s">
        <v>97</v>
      </c>
      <c r="D57" s="3"/>
      <c r="E57" s="3" t="s">
        <v>98</v>
      </c>
      <c r="F57" s="11">
        <v>14332.776391500007</v>
      </c>
      <c r="G57" s="12">
        <v>0.98923144399999996</v>
      </c>
      <c r="H57" s="97"/>
    </row>
    <row r="58" spans="1:8" x14ac:dyDescent="0.2">
      <c r="A58" s="3"/>
      <c r="B58" s="3"/>
      <c r="C58" s="13"/>
      <c r="D58" s="3"/>
      <c r="E58" s="3"/>
      <c r="F58" s="14"/>
      <c r="G58" s="14"/>
      <c r="H58" s="97"/>
    </row>
    <row r="59" spans="1:8" x14ac:dyDescent="0.2">
      <c r="A59" s="3"/>
      <c r="B59" s="3"/>
      <c r="C59" s="4" t="s">
        <v>99</v>
      </c>
      <c r="D59" s="3"/>
      <c r="E59" s="3"/>
      <c r="F59" s="3"/>
      <c r="G59" s="3"/>
      <c r="H59" s="97"/>
    </row>
    <row r="60" spans="1:8" x14ac:dyDescent="0.2">
      <c r="A60" s="3"/>
      <c r="B60" s="3"/>
      <c r="C60" s="4" t="s">
        <v>97</v>
      </c>
      <c r="D60" s="3"/>
      <c r="E60" s="3" t="s">
        <v>98</v>
      </c>
      <c r="F60" s="15">
        <v>0</v>
      </c>
      <c r="G60" s="16">
        <v>0</v>
      </c>
      <c r="H60" s="97"/>
    </row>
    <row r="61" spans="1:8" x14ac:dyDescent="0.2">
      <c r="A61" s="3"/>
      <c r="B61" s="3"/>
      <c r="C61" s="13"/>
      <c r="D61" s="3"/>
      <c r="E61" s="3"/>
      <c r="F61" s="14"/>
      <c r="G61" s="14"/>
      <c r="H61" s="97"/>
    </row>
    <row r="62" spans="1:8" x14ac:dyDescent="0.2">
      <c r="A62" s="3"/>
      <c r="B62" s="3"/>
      <c r="C62" s="4" t="s">
        <v>100</v>
      </c>
      <c r="D62" s="3"/>
      <c r="E62" s="3"/>
      <c r="F62" s="3"/>
      <c r="G62" s="3"/>
      <c r="H62" s="97"/>
    </row>
    <row r="63" spans="1:8" x14ac:dyDescent="0.2">
      <c r="A63" s="3"/>
      <c r="B63" s="3"/>
      <c r="C63" s="4" t="s">
        <v>97</v>
      </c>
      <c r="D63" s="3"/>
      <c r="E63" s="3" t="s">
        <v>98</v>
      </c>
      <c r="F63" s="15">
        <v>0</v>
      </c>
      <c r="G63" s="16">
        <v>0</v>
      </c>
      <c r="H63" s="97"/>
    </row>
    <row r="64" spans="1:8" x14ac:dyDescent="0.2">
      <c r="A64" s="3"/>
      <c r="B64" s="3"/>
      <c r="C64" s="13"/>
      <c r="D64" s="3"/>
      <c r="E64" s="3"/>
      <c r="F64" s="14"/>
      <c r="G64" s="14"/>
      <c r="H64" s="97"/>
    </row>
    <row r="65" spans="1:8" x14ac:dyDescent="0.2">
      <c r="A65" s="3"/>
      <c r="B65" s="3"/>
      <c r="C65" s="4" t="s">
        <v>101</v>
      </c>
      <c r="D65" s="3"/>
      <c r="E65" s="3"/>
      <c r="F65" s="3"/>
      <c r="G65" s="3"/>
      <c r="H65" s="97"/>
    </row>
    <row r="66" spans="1:8" x14ac:dyDescent="0.2">
      <c r="A66" s="3"/>
      <c r="B66" s="3"/>
      <c r="C66" s="4" t="s">
        <v>97</v>
      </c>
      <c r="D66" s="3"/>
      <c r="E66" s="3" t="s">
        <v>98</v>
      </c>
      <c r="F66" s="11">
        <v>0</v>
      </c>
      <c r="G66" s="12">
        <v>0</v>
      </c>
      <c r="H66" s="97"/>
    </row>
    <row r="67" spans="1:8" x14ac:dyDescent="0.2">
      <c r="A67" s="3"/>
      <c r="B67" s="3"/>
      <c r="C67" s="13"/>
      <c r="D67" s="3"/>
      <c r="E67" s="3"/>
      <c r="F67" s="14"/>
      <c r="G67" s="14"/>
      <c r="H67" s="97"/>
    </row>
    <row r="68" spans="1:8" x14ac:dyDescent="0.2">
      <c r="A68" s="3"/>
      <c r="B68" s="3"/>
      <c r="C68" s="4" t="s">
        <v>102</v>
      </c>
      <c r="D68" s="3"/>
      <c r="E68" s="3"/>
      <c r="F68" s="14"/>
      <c r="G68" s="14"/>
      <c r="H68" s="97"/>
    </row>
    <row r="69" spans="1:8" x14ac:dyDescent="0.2">
      <c r="A69" s="3"/>
      <c r="B69" s="3"/>
      <c r="C69" s="4" t="s">
        <v>97</v>
      </c>
      <c r="D69" s="3"/>
      <c r="E69" s="3" t="s">
        <v>98</v>
      </c>
      <c r="F69" s="15">
        <v>0</v>
      </c>
      <c r="G69" s="16">
        <v>0</v>
      </c>
      <c r="H69" s="97"/>
    </row>
    <row r="70" spans="1:8" x14ac:dyDescent="0.2">
      <c r="A70" s="3"/>
      <c r="B70" s="3"/>
      <c r="C70" s="13"/>
      <c r="D70" s="3"/>
      <c r="E70" s="3"/>
      <c r="F70" s="14"/>
      <c r="G70" s="14"/>
      <c r="H70" s="97"/>
    </row>
    <row r="71" spans="1:8" x14ac:dyDescent="0.2">
      <c r="A71" s="3"/>
      <c r="B71" s="3"/>
      <c r="C71" s="4" t="s">
        <v>103</v>
      </c>
      <c r="D71" s="3"/>
      <c r="E71" s="3"/>
      <c r="F71" s="14"/>
      <c r="G71" s="14"/>
      <c r="H71" s="97"/>
    </row>
    <row r="72" spans="1:8" x14ac:dyDescent="0.2">
      <c r="A72" s="3"/>
      <c r="B72" s="3"/>
      <c r="C72" s="4" t="s">
        <v>97</v>
      </c>
      <c r="D72" s="3"/>
      <c r="E72" s="3" t="s">
        <v>98</v>
      </c>
      <c r="F72" s="15">
        <v>0</v>
      </c>
      <c r="G72" s="16">
        <v>0</v>
      </c>
      <c r="H72" s="97"/>
    </row>
    <row r="73" spans="1:8" x14ac:dyDescent="0.2">
      <c r="A73" s="3"/>
      <c r="B73" s="3"/>
      <c r="C73" s="13"/>
      <c r="D73" s="3"/>
      <c r="E73" s="3"/>
      <c r="F73" s="14"/>
      <c r="G73" s="14"/>
      <c r="H73" s="97"/>
    </row>
    <row r="74" spans="1:8" x14ac:dyDescent="0.2">
      <c r="A74" s="3"/>
      <c r="B74" s="3"/>
      <c r="C74" s="4" t="s">
        <v>104</v>
      </c>
      <c r="D74" s="3"/>
      <c r="E74" s="3"/>
      <c r="F74" s="11">
        <v>14332.7763915</v>
      </c>
      <c r="G74" s="12">
        <v>0.98923144399999996</v>
      </c>
      <c r="H74" s="97"/>
    </row>
    <row r="75" spans="1:8" x14ac:dyDescent="0.2">
      <c r="A75" s="3"/>
      <c r="B75" s="3"/>
      <c r="C75" s="13"/>
      <c r="D75" s="3"/>
      <c r="E75" s="3"/>
      <c r="F75" s="14"/>
      <c r="G75" s="14"/>
      <c r="H75" s="97"/>
    </row>
    <row r="76" spans="1:8" x14ac:dyDescent="0.2">
      <c r="A76" s="3"/>
      <c r="B76" s="3"/>
      <c r="C76" s="4" t="s">
        <v>105</v>
      </c>
      <c r="D76" s="3"/>
      <c r="E76" s="3"/>
      <c r="F76" s="14"/>
      <c r="G76" s="14"/>
      <c r="H76" s="97"/>
    </row>
    <row r="77" spans="1:8" ht="25.5" x14ac:dyDescent="0.2">
      <c r="A77" s="3"/>
      <c r="B77" s="3"/>
      <c r="C77" s="4" t="s">
        <v>10</v>
      </c>
      <c r="D77" s="3"/>
      <c r="E77" s="3"/>
      <c r="F77" s="14"/>
      <c r="G77" s="14"/>
      <c r="H77" s="97"/>
    </row>
    <row r="78" spans="1:8" x14ac:dyDescent="0.2">
      <c r="A78" s="3"/>
      <c r="B78" s="3"/>
      <c r="C78" s="4" t="s">
        <v>97</v>
      </c>
      <c r="D78" s="3"/>
      <c r="E78" s="3" t="s">
        <v>98</v>
      </c>
      <c r="F78" s="15">
        <v>0</v>
      </c>
      <c r="G78" s="16">
        <v>0</v>
      </c>
      <c r="H78" s="97"/>
    </row>
    <row r="79" spans="1:8" x14ac:dyDescent="0.2">
      <c r="A79" s="3"/>
      <c r="B79" s="3"/>
      <c r="C79" s="13"/>
      <c r="D79" s="3"/>
      <c r="E79" s="3"/>
      <c r="F79" s="14"/>
      <c r="G79" s="14"/>
      <c r="H79" s="97"/>
    </row>
    <row r="80" spans="1:8" x14ac:dyDescent="0.2">
      <c r="A80" s="3"/>
      <c r="B80" s="3"/>
      <c r="C80" s="4" t="s">
        <v>106</v>
      </c>
      <c r="D80" s="3"/>
      <c r="E80" s="3"/>
      <c r="F80" s="3"/>
      <c r="G80" s="3"/>
      <c r="H80" s="97"/>
    </row>
    <row r="81" spans="1:8" x14ac:dyDescent="0.2">
      <c r="A81" s="3"/>
      <c r="B81" s="3"/>
      <c r="C81" s="4" t="s">
        <v>97</v>
      </c>
      <c r="D81" s="3"/>
      <c r="E81" s="3" t="s">
        <v>98</v>
      </c>
      <c r="F81" s="15">
        <v>0</v>
      </c>
      <c r="G81" s="16">
        <v>0</v>
      </c>
      <c r="H81" s="97"/>
    </row>
    <row r="82" spans="1:8" x14ac:dyDescent="0.2">
      <c r="A82" s="3"/>
      <c r="B82" s="3"/>
      <c r="C82" s="13"/>
      <c r="D82" s="3"/>
      <c r="E82" s="3"/>
      <c r="F82" s="14"/>
      <c r="G82" s="14"/>
      <c r="H82" s="97"/>
    </row>
    <row r="83" spans="1:8" x14ac:dyDescent="0.2">
      <c r="A83" s="3"/>
      <c r="B83" s="3"/>
      <c r="C83" s="4" t="s">
        <v>107</v>
      </c>
      <c r="D83" s="3"/>
      <c r="E83" s="3"/>
      <c r="F83" s="3"/>
      <c r="G83" s="3"/>
      <c r="H83" s="97"/>
    </row>
    <row r="84" spans="1:8" x14ac:dyDescent="0.2">
      <c r="A84" s="3"/>
      <c r="B84" s="3"/>
      <c r="C84" s="4" t="s">
        <v>97</v>
      </c>
      <c r="D84" s="3"/>
      <c r="E84" s="3" t="s">
        <v>98</v>
      </c>
      <c r="F84" s="15">
        <v>0</v>
      </c>
      <c r="G84" s="16">
        <v>0</v>
      </c>
      <c r="H84" s="97"/>
    </row>
    <row r="85" spans="1:8" x14ac:dyDescent="0.2">
      <c r="A85" s="3"/>
      <c r="B85" s="3"/>
      <c r="C85" s="13"/>
      <c r="D85" s="3"/>
      <c r="E85" s="3"/>
      <c r="F85" s="14"/>
      <c r="G85" s="14"/>
      <c r="H85" s="97"/>
    </row>
    <row r="86" spans="1:8" x14ac:dyDescent="0.2">
      <c r="A86" s="3"/>
      <c r="B86" s="3"/>
      <c r="C86" s="4" t="s">
        <v>108</v>
      </c>
      <c r="D86" s="3"/>
      <c r="E86" s="3"/>
      <c r="F86" s="14"/>
      <c r="G86" s="14"/>
      <c r="H86" s="97"/>
    </row>
    <row r="87" spans="1:8" x14ac:dyDescent="0.2">
      <c r="A87" s="3"/>
      <c r="B87" s="3"/>
      <c r="C87" s="4" t="s">
        <v>97</v>
      </c>
      <c r="D87" s="3"/>
      <c r="E87" s="3" t="s">
        <v>98</v>
      </c>
      <c r="F87" s="15">
        <v>0</v>
      </c>
      <c r="G87" s="16">
        <v>0</v>
      </c>
      <c r="H87" s="97"/>
    </row>
    <row r="88" spans="1:8" x14ac:dyDescent="0.2">
      <c r="A88" s="3"/>
      <c r="B88" s="3"/>
      <c r="C88" s="13"/>
      <c r="D88" s="3"/>
      <c r="E88" s="3"/>
      <c r="F88" s="14"/>
      <c r="G88" s="14"/>
      <c r="H88" s="97"/>
    </row>
    <row r="89" spans="1:8" x14ac:dyDescent="0.2">
      <c r="A89" s="3"/>
      <c r="B89" s="3"/>
      <c r="C89" s="4" t="s">
        <v>109</v>
      </c>
      <c r="D89" s="3"/>
      <c r="E89" s="3"/>
      <c r="F89" s="11">
        <v>0</v>
      </c>
      <c r="G89" s="12">
        <v>0</v>
      </c>
      <c r="H89" s="97"/>
    </row>
    <row r="90" spans="1:8" x14ac:dyDescent="0.2">
      <c r="A90" s="3"/>
      <c r="B90" s="3"/>
      <c r="C90" s="13"/>
      <c r="D90" s="3"/>
      <c r="E90" s="3"/>
      <c r="F90" s="14"/>
      <c r="G90" s="14"/>
      <c r="H90" s="97"/>
    </row>
    <row r="91" spans="1:8" x14ac:dyDescent="0.2">
      <c r="A91" s="3"/>
      <c r="B91" s="3"/>
      <c r="C91" s="4" t="s">
        <v>110</v>
      </c>
      <c r="D91" s="3"/>
      <c r="E91" s="3"/>
      <c r="F91" s="14"/>
      <c r="G91" s="14"/>
      <c r="H91" s="97"/>
    </row>
    <row r="92" spans="1:8" x14ac:dyDescent="0.2">
      <c r="A92" s="3"/>
      <c r="B92" s="3"/>
      <c r="C92" s="4" t="s">
        <v>111</v>
      </c>
      <c r="D92" s="3"/>
      <c r="E92" s="3"/>
      <c r="F92" s="14"/>
      <c r="G92" s="14"/>
      <c r="H92" s="97"/>
    </row>
    <row r="93" spans="1:8" x14ac:dyDescent="0.2">
      <c r="A93" s="3"/>
      <c r="B93" s="3"/>
      <c r="C93" s="4" t="s">
        <v>97</v>
      </c>
      <c r="D93" s="3"/>
      <c r="E93" s="3" t="s">
        <v>98</v>
      </c>
      <c r="F93" s="15">
        <v>0</v>
      </c>
      <c r="G93" s="16">
        <v>0</v>
      </c>
      <c r="H93" s="97"/>
    </row>
    <row r="94" spans="1:8" x14ac:dyDescent="0.2">
      <c r="A94" s="3"/>
      <c r="B94" s="3"/>
      <c r="C94" s="13"/>
      <c r="D94" s="3"/>
      <c r="E94" s="3"/>
      <c r="F94" s="14"/>
      <c r="G94" s="14"/>
      <c r="H94" s="97"/>
    </row>
    <row r="95" spans="1:8" x14ac:dyDescent="0.2">
      <c r="A95" s="3"/>
      <c r="B95" s="3"/>
      <c r="C95" s="4" t="s">
        <v>112</v>
      </c>
      <c r="D95" s="3"/>
      <c r="E95" s="3"/>
      <c r="F95" s="14"/>
      <c r="G95" s="14"/>
      <c r="H95" s="97"/>
    </row>
    <row r="96" spans="1:8" x14ac:dyDescent="0.2">
      <c r="A96" s="3"/>
      <c r="B96" s="3"/>
      <c r="C96" s="4" t="s">
        <v>97</v>
      </c>
      <c r="D96" s="3"/>
      <c r="E96" s="3" t="s">
        <v>98</v>
      </c>
      <c r="F96" s="15">
        <v>0</v>
      </c>
      <c r="G96" s="16">
        <v>0</v>
      </c>
      <c r="H96" s="97"/>
    </row>
    <row r="97" spans="1:8" x14ac:dyDescent="0.2">
      <c r="A97" s="3"/>
      <c r="B97" s="3"/>
      <c r="C97" s="13"/>
      <c r="D97" s="3"/>
      <c r="E97" s="3"/>
      <c r="F97" s="14"/>
      <c r="G97" s="14"/>
      <c r="H97" s="97"/>
    </row>
    <row r="98" spans="1:8" x14ac:dyDescent="0.2">
      <c r="A98" s="3"/>
      <c r="B98" s="3"/>
      <c r="C98" s="4" t="s">
        <v>113</v>
      </c>
      <c r="D98" s="3"/>
      <c r="E98" s="3"/>
      <c r="F98" s="14"/>
      <c r="G98" s="14"/>
      <c r="H98" s="97"/>
    </row>
    <row r="99" spans="1:8" x14ac:dyDescent="0.2">
      <c r="A99" s="3"/>
      <c r="B99" s="3"/>
      <c r="C99" s="4" t="s">
        <v>97</v>
      </c>
      <c r="D99" s="3"/>
      <c r="E99" s="3" t="s">
        <v>98</v>
      </c>
      <c r="F99" s="15">
        <v>0</v>
      </c>
      <c r="G99" s="16">
        <v>0</v>
      </c>
      <c r="H99" s="97"/>
    </row>
    <row r="100" spans="1:8" x14ac:dyDescent="0.2">
      <c r="A100" s="3"/>
      <c r="B100" s="3"/>
      <c r="C100" s="13"/>
      <c r="D100" s="3"/>
      <c r="E100" s="3"/>
      <c r="F100" s="14"/>
      <c r="G100" s="14"/>
      <c r="H100" s="97"/>
    </row>
    <row r="101" spans="1:8" x14ac:dyDescent="0.2">
      <c r="A101" s="3"/>
      <c r="B101" s="3"/>
      <c r="C101" s="4" t="s">
        <v>114</v>
      </c>
      <c r="D101" s="3"/>
      <c r="E101" s="3"/>
      <c r="F101" s="14"/>
      <c r="G101" s="14"/>
      <c r="H101" s="97"/>
    </row>
    <row r="102" spans="1:8" x14ac:dyDescent="0.2">
      <c r="A102" s="5">
        <v>1</v>
      </c>
      <c r="B102" s="6"/>
      <c r="C102" s="6" t="s">
        <v>115</v>
      </c>
      <c r="D102" s="6"/>
      <c r="E102" s="10"/>
      <c r="F102" s="8">
        <v>110.23803599999999</v>
      </c>
      <c r="G102" s="9">
        <v>7.6084999999999998E-3</v>
      </c>
      <c r="H102" s="8">
        <v>3.4504560529072292</v>
      </c>
    </row>
    <row r="103" spans="1:8" x14ac:dyDescent="0.2">
      <c r="A103" s="5">
        <v>2</v>
      </c>
      <c r="B103" s="6"/>
      <c r="C103" s="6" t="s">
        <v>116</v>
      </c>
      <c r="D103" s="6"/>
      <c r="E103" s="10"/>
      <c r="F103" s="8">
        <v>59.496251299999997</v>
      </c>
      <c r="G103" s="9">
        <v>4.1063619999999997E-3</v>
      </c>
      <c r="H103" s="8">
        <v>3.5655822479098256</v>
      </c>
    </row>
    <row r="104" spans="1:8" x14ac:dyDescent="0.2">
      <c r="A104" s="3"/>
      <c r="B104" s="3"/>
      <c r="C104" s="4" t="s">
        <v>97</v>
      </c>
      <c r="D104" s="3"/>
      <c r="E104" s="3" t="s">
        <v>98</v>
      </c>
      <c r="F104" s="11">
        <v>169.73428730000001</v>
      </c>
      <c r="G104" s="12">
        <v>1.1714861999999999E-2</v>
      </c>
      <c r="H104" s="97"/>
    </row>
    <row r="105" spans="1:8" x14ac:dyDescent="0.2">
      <c r="A105" s="3"/>
      <c r="B105" s="3"/>
      <c r="C105" s="13"/>
      <c r="D105" s="3"/>
      <c r="E105" s="3"/>
      <c r="F105" s="14"/>
      <c r="G105" s="14"/>
      <c r="H105" s="97"/>
    </row>
    <row r="106" spans="1:8" x14ac:dyDescent="0.2">
      <c r="A106" s="3"/>
      <c r="B106" s="3"/>
      <c r="C106" s="4" t="s">
        <v>117</v>
      </c>
      <c r="D106" s="3"/>
      <c r="E106" s="3"/>
      <c r="F106" s="11">
        <v>169.73428730000001</v>
      </c>
      <c r="G106" s="12">
        <v>1.1714861999999999E-2</v>
      </c>
      <c r="H106" s="97"/>
    </row>
    <row r="107" spans="1:8" x14ac:dyDescent="0.2">
      <c r="A107" s="3"/>
      <c r="B107" s="3"/>
      <c r="C107" s="14"/>
      <c r="D107" s="3"/>
      <c r="E107" s="3"/>
      <c r="F107" s="3"/>
      <c r="G107" s="3"/>
      <c r="H107" s="97"/>
    </row>
    <row r="108" spans="1:8" x14ac:dyDescent="0.2">
      <c r="A108" s="3"/>
      <c r="B108" s="3"/>
      <c r="C108" s="4" t="s">
        <v>118</v>
      </c>
      <c r="D108" s="3"/>
      <c r="E108" s="3"/>
      <c r="F108" s="3"/>
      <c r="G108" s="3"/>
      <c r="H108" s="97"/>
    </row>
    <row r="109" spans="1:8" x14ac:dyDescent="0.2">
      <c r="A109" s="3"/>
      <c r="B109" s="3"/>
      <c r="C109" s="4" t="s">
        <v>119</v>
      </c>
      <c r="D109" s="3"/>
      <c r="E109" s="3"/>
      <c r="F109" s="3"/>
      <c r="G109" s="3"/>
      <c r="H109" s="97"/>
    </row>
    <row r="110" spans="1:8" x14ac:dyDescent="0.2">
      <c r="A110" s="3"/>
      <c r="B110" s="3"/>
      <c r="C110" s="4" t="s">
        <v>97</v>
      </c>
      <c r="D110" s="3"/>
      <c r="E110" s="3" t="s">
        <v>98</v>
      </c>
      <c r="F110" s="15">
        <v>0</v>
      </c>
      <c r="G110" s="16">
        <v>0</v>
      </c>
      <c r="H110" s="97"/>
    </row>
    <row r="111" spans="1:8" x14ac:dyDescent="0.2">
      <c r="A111" s="3"/>
      <c r="B111" s="3"/>
      <c r="C111" s="13"/>
      <c r="D111" s="3"/>
      <c r="E111" s="3"/>
      <c r="F111" s="14"/>
      <c r="G111" s="14"/>
      <c r="H111" s="97"/>
    </row>
    <row r="112" spans="1:8" x14ac:dyDescent="0.2">
      <c r="A112" s="3"/>
      <c r="B112" s="3"/>
      <c r="C112" s="4" t="s">
        <v>120</v>
      </c>
      <c r="D112" s="3"/>
      <c r="E112" s="3"/>
      <c r="F112" s="3"/>
      <c r="G112" s="3"/>
      <c r="H112" s="97"/>
    </row>
    <row r="113" spans="1:8" x14ac:dyDescent="0.2">
      <c r="A113" s="3"/>
      <c r="B113" s="3"/>
      <c r="C113" s="4" t="s">
        <v>121</v>
      </c>
      <c r="D113" s="3"/>
      <c r="E113" s="3"/>
      <c r="F113" s="3"/>
      <c r="G113" s="3"/>
      <c r="H113" s="97"/>
    </row>
    <row r="114" spans="1:8" x14ac:dyDescent="0.2">
      <c r="A114" s="3"/>
      <c r="B114" s="3"/>
      <c r="C114" s="4" t="s">
        <v>97</v>
      </c>
      <c r="D114" s="3"/>
      <c r="E114" s="3" t="s">
        <v>98</v>
      </c>
      <c r="F114" s="15">
        <v>0</v>
      </c>
      <c r="G114" s="16">
        <v>0</v>
      </c>
      <c r="H114" s="97"/>
    </row>
    <row r="115" spans="1:8" x14ac:dyDescent="0.2">
      <c r="A115" s="3"/>
      <c r="B115" s="3"/>
      <c r="C115" s="13"/>
      <c r="D115" s="3"/>
      <c r="E115" s="3"/>
      <c r="F115" s="14"/>
      <c r="G115" s="14"/>
      <c r="H115" s="97"/>
    </row>
    <row r="116" spans="1:8" x14ac:dyDescent="0.2">
      <c r="A116" s="3"/>
      <c r="B116" s="3"/>
      <c r="C116" s="13"/>
      <c r="D116" s="3"/>
      <c r="E116" s="3"/>
      <c r="F116" s="14"/>
      <c r="G116" s="14"/>
      <c r="H116" s="97"/>
    </row>
    <row r="117" spans="1:8" ht="25.5" x14ac:dyDescent="0.2">
      <c r="A117" s="3"/>
      <c r="B117" s="3"/>
      <c r="C117" s="4" t="s">
        <v>122</v>
      </c>
      <c r="D117" s="3"/>
      <c r="E117" s="3"/>
      <c r="F117" s="14"/>
      <c r="G117" s="14"/>
      <c r="H117" s="97"/>
    </row>
    <row r="118" spans="1:8" x14ac:dyDescent="0.2">
      <c r="A118" s="3"/>
      <c r="B118" s="3"/>
      <c r="C118" s="4" t="s">
        <v>97</v>
      </c>
      <c r="D118" s="3"/>
      <c r="E118" s="3" t="s">
        <v>98</v>
      </c>
      <c r="F118" s="15">
        <v>0</v>
      </c>
      <c r="G118" s="16">
        <v>0</v>
      </c>
      <c r="H118" s="97"/>
    </row>
    <row r="119" spans="1:8" x14ac:dyDescent="0.2">
      <c r="A119" s="3"/>
      <c r="B119" s="3"/>
      <c r="C119" s="13"/>
      <c r="D119" s="3"/>
      <c r="E119" s="3"/>
      <c r="F119" s="14"/>
      <c r="G119" s="14"/>
      <c r="H119" s="97"/>
    </row>
    <row r="120" spans="1:8" x14ac:dyDescent="0.2">
      <c r="A120" s="3"/>
      <c r="B120" s="6"/>
      <c r="C120" s="6"/>
      <c r="D120" s="4"/>
      <c r="E120" s="3"/>
      <c r="F120" s="6"/>
      <c r="G120" s="10"/>
      <c r="H120" s="97"/>
    </row>
    <row r="121" spans="1:8" x14ac:dyDescent="0.2">
      <c r="A121" s="10"/>
      <c r="B121" s="6"/>
      <c r="C121" s="6" t="s">
        <v>123</v>
      </c>
      <c r="D121" s="6"/>
      <c r="E121" s="10"/>
      <c r="F121" s="8">
        <v>-13.7108116</v>
      </c>
      <c r="G121" s="9">
        <v>-9.4630400000000003E-4</v>
      </c>
      <c r="H121" s="97"/>
    </row>
    <row r="122" spans="1:8" x14ac:dyDescent="0.2">
      <c r="A122" s="13"/>
      <c r="B122" s="13"/>
      <c r="C122" s="4" t="s">
        <v>124</v>
      </c>
      <c r="D122" s="17"/>
      <c r="E122" s="17"/>
      <c r="F122" s="11">
        <v>14488.799867199999</v>
      </c>
      <c r="G122" s="12">
        <v>1.0000000019999999</v>
      </c>
      <c r="H122" s="97"/>
    </row>
    <row r="123" spans="1:8" ht="14.1" customHeight="1" x14ac:dyDescent="0.2">
      <c r="A123" s="18"/>
      <c r="B123" s="18"/>
      <c r="C123" s="18"/>
      <c r="D123" s="19"/>
      <c r="E123" s="19"/>
      <c r="F123" s="19"/>
      <c r="G123" s="19"/>
    </row>
    <row r="124" spans="1:8" ht="14.1" customHeight="1" x14ac:dyDescent="0.2">
      <c r="A124" s="20"/>
      <c r="B124" s="20"/>
      <c r="C124" s="20"/>
      <c r="D124" s="22"/>
      <c r="E124" s="22"/>
      <c r="F124" s="22"/>
      <c r="G124" s="22"/>
    </row>
    <row r="125" spans="1:8" ht="14.1" customHeight="1" x14ac:dyDescent="0.2">
      <c r="A125" s="20"/>
      <c r="B125" s="224" t="s">
        <v>126</v>
      </c>
      <c r="C125" s="225"/>
      <c r="D125" s="14" t="s">
        <v>98</v>
      </c>
      <c r="E125" s="23"/>
      <c r="F125" s="22"/>
      <c r="G125" s="22"/>
    </row>
    <row r="126" spans="1:8" ht="29.1" customHeight="1" x14ac:dyDescent="0.2">
      <c r="A126" s="20"/>
      <c r="B126" s="231" t="s">
        <v>127</v>
      </c>
      <c r="C126" s="232"/>
      <c r="D126" s="4" t="s">
        <v>128</v>
      </c>
      <c r="E126" s="23"/>
      <c r="F126" s="22"/>
      <c r="G126" s="22"/>
    </row>
    <row r="127" spans="1:8" ht="17.100000000000001" customHeight="1" x14ac:dyDescent="0.2">
      <c r="A127" s="20"/>
      <c r="B127" s="231" t="s">
        <v>129</v>
      </c>
      <c r="C127" s="232"/>
      <c r="D127" s="4" t="s">
        <v>128</v>
      </c>
      <c r="E127" s="23"/>
      <c r="F127" s="22"/>
      <c r="G127" s="22"/>
    </row>
    <row r="128" spans="1:8" ht="17.100000000000001" customHeight="1" x14ac:dyDescent="0.2">
      <c r="A128" s="20"/>
      <c r="B128" s="231" t="s">
        <v>130</v>
      </c>
      <c r="C128" s="232"/>
      <c r="D128" s="14" t="s">
        <v>98</v>
      </c>
      <c r="E128" s="23"/>
      <c r="F128" s="22"/>
      <c r="G128" s="22"/>
    </row>
    <row r="129" spans="1:17" ht="24" customHeight="1" x14ac:dyDescent="0.2">
      <c r="A129" s="24"/>
      <c r="B129" s="25" t="s">
        <v>98</v>
      </c>
      <c r="C129" s="25" t="s">
        <v>131</v>
      </c>
      <c r="D129" s="25" t="s">
        <v>132</v>
      </c>
      <c r="E129" s="24"/>
      <c r="F129" s="24"/>
      <c r="G129" s="24"/>
    </row>
    <row r="130" spans="1:17" ht="18" customHeight="1" x14ac:dyDescent="0.2">
      <c r="A130" s="24"/>
      <c r="B130" s="25" t="s">
        <v>133</v>
      </c>
      <c r="C130" s="25" t="s">
        <v>134</v>
      </c>
      <c r="D130" s="25" t="s">
        <v>135</v>
      </c>
      <c r="E130" s="24"/>
      <c r="F130" s="24"/>
      <c r="G130" s="24"/>
    </row>
    <row r="131" spans="1:17" ht="17.100000000000001" customHeight="1" x14ac:dyDescent="0.2">
      <c r="A131" s="24"/>
      <c r="B131" s="6" t="s">
        <v>136</v>
      </c>
      <c r="C131" s="26">
        <v>16.918099999999999</v>
      </c>
      <c r="D131" s="26">
        <v>17.436199999999999</v>
      </c>
      <c r="E131" s="24"/>
      <c r="F131" s="21"/>
      <c r="G131" s="27"/>
    </row>
    <row r="132" spans="1:17" ht="17.100000000000001" customHeight="1" x14ac:dyDescent="0.2">
      <c r="A132" s="24"/>
      <c r="B132" s="6" t="s">
        <v>1201</v>
      </c>
      <c r="C132" s="26">
        <v>16.0915</v>
      </c>
      <c r="D132" s="26">
        <v>16.584399999999999</v>
      </c>
      <c r="E132" s="24"/>
      <c r="F132" s="21"/>
      <c r="G132" s="27"/>
    </row>
    <row r="133" spans="1:17" ht="17.100000000000001" customHeight="1" x14ac:dyDescent="0.2">
      <c r="A133" s="24"/>
      <c r="B133" s="6" t="s">
        <v>137</v>
      </c>
      <c r="C133" s="26">
        <v>16.585599999999999</v>
      </c>
      <c r="D133" s="26">
        <v>17.0854</v>
      </c>
      <c r="E133" s="24"/>
      <c r="F133" s="21"/>
      <c r="G133" s="27"/>
    </row>
    <row r="134" spans="1:17" ht="17.100000000000001" customHeight="1" x14ac:dyDescent="0.2">
      <c r="A134" s="24"/>
      <c r="B134" s="6" t="s">
        <v>1202</v>
      </c>
      <c r="C134" s="26">
        <v>15.9564</v>
      </c>
      <c r="D134" s="26">
        <v>16.437200000000001</v>
      </c>
      <c r="E134" s="24"/>
      <c r="F134" s="21"/>
      <c r="G134" s="27"/>
    </row>
    <row r="135" spans="1:17" ht="14.1" customHeight="1" x14ac:dyDescent="0.2">
      <c r="A135" s="24"/>
      <c r="B135" s="24"/>
      <c r="C135" s="24"/>
      <c r="D135" s="24"/>
      <c r="E135" s="24"/>
      <c r="F135" s="24"/>
      <c r="G135" s="24"/>
    </row>
    <row r="136" spans="1:17" ht="17.100000000000001" customHeight="1" x14ac:dyDescent="0.2">
      <c r="A136" s="24"/>
      <c r="B136" s="231" t="s">
        <v>1203</v>
      </c>
      <c r="C136" s="232"/>
      <c r="D136" s="4" t="s">
        <v>128</v>
      </c>
      <c r="E136" s="24"/>
      <c r="F136" s="24"/>
      <c r="G136" s="24"/>
    </row>
    <row r="137" spans="1:17" ht="18" customHeight="1" x14ac:dyDescent="0.2">
      <c r="A137" s="24"/>
      <c r="B137" s="28"/>
      <c r="C137" s="28"/>
      <c r="D137" s="29"/>
      <c r="E137" s="24"/>
      <c r="F137" s="24"/>
      <c r="G137" s="24"/>
    </row>
    <row r="138" spans="1:17" s="87" customFormat="1" x14ac:dyDescent="0.2">
      <c r="B138" s="233" t="s">
        <v>1207</v>
      </c>
      <c r="C138" s="233"/>
      <c r="D138" s="233"/>
      <c r="E138" s="233"/>
      <c r="F138" s="233"/>
      <c r="I138"/>
      <c r="J138"/>
      <c r="K138"/>
      <c r="L138"/>
      <c r="M138"/>
      <c r="N138"/>
      <c r="O138"/>
      <c r="P138" s="69"/>
      <c r="Q138" s="69"/>
    </row>
    <row r="139" spans="1:17" ht="14.1" customHeight="1" x14ac:dyDescent="0.2">
      <c r="A139" s="24"/>
      <c r="B139" s="21"/>
      <c r="C139" s="21"/>
      <c r="D139" s="24"/>
      <c r="E139" s="24"/>
      <c r="F139" s="24"/>
      <c r="G139" s="24"/>
    </row>
    <row r="140" spans="1:17" ht="29.1" customHeight="1" x14ac:dyDescent="0.2">
      <c r="A140" s="24"/>
      <c r="B140" s="231" t="s">
        <v>138</v>
      </c>
      <c r="C140" s="232"/>
      <c r="D140" s="4" t="s">
        <v>128</v>
      </c>
      <c r="E140" s="24"/>
      <c r="F140" s="24"/>
      <c r="G140" s="24"/>
      <c r="I140" s="87"/>
      <c r="J140" s="87"/>
      <c r="K140" s="87"/>
      <c r="L140" s="87"/>
      <c r="M140" s="87"/>
      <c r="N140" s="87"/>
      <c r="O140" s="87"/>
    </row>
    <row r="141" spans="1:17" ht="29.1" customHeight="1" x14ac:dyDescent="0.2">
      <c r="A141" s="24"/>
      <c r="B141" s="231" t="s">
        <v>139</v>
      </c>
      <c r="C141" s="232"/>
      <c r="D141" s="4" t="s">
        <v>128</v>
      </c>
      <c r="E141" s="24"/>
      <c r="F141" s="24"/>
      <c r="G141" s="24"/>
    </row>
    <row r="142" spans="1:17" ht="17.100000000000001" customHeight="1" x14ac:dyDescent="0.2">
      <c r="A142" s="24"/>
      <c r="B142" s="231" t="s">
        <v>140</v>
      </c>
      <c r="C142" s="232"/>
      <c r="D142" s="30">
        <v>0.32667424044223997</v>
      </c>
      <c r="E142" s="24"/>
      <c r="F142" s="21"/>
      <c r="G142" s="27"/>
    </row>
    <row r="143" spans="1:17" ht="17.100000000000001" customHeight="1" x14ac:dyDescent="0.2">
      <c r="A143" s="24"/>
      <c r="B143" s="231" t="s">
        <v>141</v>
      </c>
      <c r="C143" s="232"/>
      <c r="D143" s="4" t="s">
        <v>128</v>
      </c>
      <c r="E143" s="24"/>
      <c r="F143" s="24"/>
      <c r="G143" s="24"/>
    </row>
  </sheetData>
  <mergeCells count="14">
    <mergeCell ref="B142:C142"/>
    <mergeCell ref="B143:C143"/>
    <mergeCell ref="B126:C126"/>
    <mergeCell ref="B127:C127"/>
    <mergeCell ref="B128:C128"/>
    <mergeCell ref="B136:C136"/>
    <mergeCell ref="B140:C140"/>
    <mergeCell ref="B141:C141"/>
    <mergeCell ref="B138:F138"/>
    <mergeCell ref="J2:N2"/>
    <mergeCell ref="B125:C125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>
    <outlinePr summaryBelow="0" summaryRight="0"/>
  </sheetPr>
  <dimension ref="A1:Q143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5" ht="15" x14ac:dyDescent="0.2">
      <c r="A1" s="227" t="s">
        <v>0</v>
      </c>
      <c r="B1" s="227"/>
      <c r="C1" s="227"/>
      <c r="D1" s="227"/>
      <c r="E1" s="227"/>
      <c r="F1" s="227"/>
      <c r="G1" s="227"/>
      <c r="H1" s="227"/>
    </row>
    <row r="2" spans="1:15" s="87" customFormat="1" ht="15" x14ac:dyDescent="0.2">
      <c r="A2" s="228" t="s">
        <v>443</v>
      </c>
      <c r="B2" s="229"/>
      <c r="C2" s="229"/>
      <c r="D2" s="229"/>
      <c r="E2" s="229"/>
      <c r="F2" s="229"/>
      <c r="G2" s="229"/>
      <c r="H2" s="230"/>
      <c r="I2"/>
      <c r="J2" s="223" t="s">
        <v>1238</v>
      </c>
      <c r="K2" s="223"/>
      <c r="L2" s="223"/>
      <c r="M2" s="223"/>
      <c r="N2" s="223"/>
      <c r="O2"/>
    </row>
    <row r="3" spans="1:15" ht="15" x14ac:dyDescent="0.2">
      <c r="A3" s="227" t="s">
        <v>1208</v>
      </c>
      <c r="B3" s="227"/>
      <c r="C3" s="227"/>
      <c r="D3" s="227"/>
      <c r="E3" s="227"/>
      <c r="F3" s="227"/>
      <c r="G3" s="227"/>
      <c r="H3" s="227"/>
    </row>
    <row r="4" spans="1:15" s="113" customFormat="1" ht="30" x14ac:dyDescent="0.2">
      <c r="A4" s="1" t="s">
        <v>2</v>
      </c>
      <c r="B4" s="1" t="s">
        <v>3</v>
      </c>
      <c r="C4" s="1" t="s">
        <v>4</v>
      </c>
      <c r="D4" s="1" t="s">
        <v>5</v>
      </c>
      <c r="E4" s="2" t="s">
        <v>6</v>
      </c>
      <c r="F4" s="2" t="s">
        <v>7</v>
      </c>
      <c r="G4" s="2" t="s">
        <v>8</v>
      </c>
      <c r="H4" s="96" t="s">
        <v>1167</v>
      </c>
      <c r="I4" s="183"/>
      <c r="J4" s="183"/>
      <c r="K4" s="183"/>
      <c r="L4" s="183"/>
      <c r="M4" s="183"/>
      <c r="N4" s="183"/>
      <c r="O4" s="183"/>
    </row>
    <row r="5" spans="1:15" ht="14.1" customHeight="1" x14ac:dyDescent="0.2">
      <c r="A5" s="3"/>
      <c r="B5" s="3"/>
      <c r="C5" s="4" t="s">
        <v>9</v>
      </c>
      <c r="D5" s="3"/>
      <c r="E5" s="3"/>
      <c r="F5" s="3"/>
      <c r="G5" s="3"/>
      <c r="H5" s="97"/>
    </row>
    <row r="6" spans="1:15" ht="24" customHeight="1" x14ac:dyDescent="0.2">
      <c r="A6" s="3"/>
      <c r="B6" s="3"/>
      <c r="C6" s="4" t="s">
        <v>10</v>
      </c>
      <c r="D6" s="3"/>
      <c r="E6" s="3"/>
      <c r="F6" s="3"/>
      <c r="G6" s="3"/>
      <c r="H6" s="97"/>
    </row>
    <row r="7" spans="1:15" x14ac:dyDescent="0.2">
      <c r="A7" s="5">
        <v>1</v>
      </c>
      <c r="B7" s="6" t="s">
        <v>14</v>
      </c>
      <c r="C7" s="6" t="s">
        <v>15</v>
      </c>
      <c r="D7" s="6" t="s">
        <v>16</v>
      </c>
      <c r="E7" s="7">
        <v>26043</v>
      </c>
      <c r="F7" s="8">
        <v>616.73730450000005</v>
      </c>
      <c r="G7" s="9">
        <v>7.2344645999999999E-2</v>
      </c>
      <c r="H7" s="97"/>
    </row>
    <row r="8" spans="1:15" x14ac:dyDescent="0.2">
      <c r="A8" s="5">
        <v>2</v>
      </c>
      <c r="B8" s="6" t="s">
        <v>23</v>
      </c>
      <c r="C8" s="6" t="s">
        <v>24</v>
      </c>
      <c r="D8" s="6" t="s">
        <v>25</v>
      </c>
      <c r="E8" s="7">
        <v>80632</v>
      </c>
      <c r="F8" s="8">
        <v>596.79774799999996</v>
      </c>
      <c r="G8" s="9">
        <v>7.0005691999999994E-2</v>
      </c>
      <c r="H8" s="97"/>
    </row>
    <row r="9" spans="1:15" x14ac:dyDescent="0.2">
      <c r="A9" s="5">
        <v>3</v>
      </c>
      <c r="B9" s="6" t="s">
        <v>409</v>
      </c>
      <c r="C9" s="6" t="s">
        <v>410</v>
      </c>
      <c r="D9" s="6" t="s">
        <v>147</v>
      </c>
      <c r="E9" s="7">
        <v>31453</v>
      </c>
      <c r="F9" s="8">
        <v>593.75400749999994</v>
      </c>
      <c r="G9" s="9">
        <v>6.9648655000000004E-2</v>
      </c>
      <c r="H9" s="97"/>
    </row>
    <row r="10" spans="1:15" x14ac:dyDescent="0.2">
      <c r="A10" s="5">
        <v>4</v>
      </c>
      <c r="B10" s="6" t="s">
        <v>411</v>
      </c>
      <c r="C10" s="6" t="s">
        <v>412</v>
      </c>
      <c r="D10" s="6" t="s">
        <v>25</v>
      </c>
      <c r="E10" s="7">
        <v>32012</v>
      </c>
      <c r="F10" s="8">
        <v>473.58552800000001</v>
      </c>
      <c r="G10" s="9">
        <v>5.5552627E-2</v>
      </c>
      <c r="H10" s="97"/>
    </row>
    <row r="11" spans="1:15" ht="25.5" x14ac:dyDescent="0.2">
      <c r="A11" s="5">
        <v>5</v>
      </c>
      <c r="B11" s="6" t="s">
        <v>413</v>
      </c>
      <c r="C11" s="6" t="s">
        <v>414</v>
      </c>
      <c r="D11" s="6" t="s">
        <v>81</v>
      </c>
      <c r="E11" s="7">
        <v>12776</v>
      </c>
      <c r="F11" s="8">
        <v>330.44485200000003</v>
      </c>
      <c r="G11" s="9">
        <v>3.8761909999999997E-2</v>
      </c>
      <c r="H11" s="97"/>
    </row>
    <row r="12" spans="1:15" x14ac:dyDescent="0.2">
      <c r="A12" s="5">
        <v>6</v>
      </c>
      <c r="B12" s="6" t="s">
        <v>17</v>
      </c>
      <c r="C12" s="6" t="s">
        <v>18</v>
      </c>
      <c r="D12" s="6" t="s">
        <v>19</v>
      </c>
      <c r="E12" s="7">
        <v>16611</v>
      </c>
      <c r="F12" s="8">
        <v>318.43286999999998</v>
      </c>
      <c r="G12" s="9">
        <v>3.7352877999999999E-2</v>
      </c>
      <c r="H12" s="97"/>
    </row>
    <row r="13" spans="1:15" x14ac:dyDescent="0.2">
      <c r="A13" s="5">
        <v>7</v>
      </c>
      <c r="B13" s="6" t="s">
        <v>415</v>
      </c>
      <c r="C13" s="6" t="s">
        <v>416</v>
      </c>
      <c r="D13" s="6" t="s">
        <v>25</v>
      </c>
      <c r="E13" s="7">
        <v>64105</v>
      </c>
      <c r="F13" s="8">
        <v>295.17147249999999</v>
      </c>
      <c r="G13" s="9">
        <v>3.4624265000000001E-2</v>
      </c>
      <c r="H13" s="97"/>
    </row>
    <row r="14" spans="1:15" x14ac:dyDescent="0.2">
      <c r="A14" s="5">
        <v>8</v>
      </c>
      <c r="B14" s="6" t="s">
        <v>315</v>
      </c>
      <c r="C14" s="6" t="s">
        <v>316</v>
      </c>
      <c r="D14" s="6" t="s">
        <v>25</v>
      </c>
      <c r="E14" s="7">
        <v>38735</v>
      </c>
      <c r="F14" s="8">
        <v>262.8363425</v>
      </c>
      <c r="G14" s="9">
        <v>3.0831283000000001E-2</v>
      </c>
      <c r="H14" s="97"/>
    </row>
    <row r="15" spans="1:15" ht="15" x14ac:dyDescent="0.2">
      <c r="A15" s="5">
        <v>9</v>
      </c>
      <c r="B15" s="6" t="s">
        <v>274</v>
      </c>
      <c r="C15" s="6" t="s">
        <v>275</v>
      </c>
      <c r="D15" s="6" t="s">
        <v>185</v>
      </c>
      <c r="E15" s="7">
        <v>6166</v>
      </c>
      <c r="F15" s="8">
        <v>258.26290999999998</v>
      </c>
      <c r="G15" s="9">
        <v>3.0294808999999999E-2</v>
      </c>
      <c r="H15" s="97"/>
      <c r="J15" s="184" t="s">
        <v>1245</v>
      </c>
    </row>
    <row r="16" spans="1:15" x14ac:dyDescent="0.2">
      <c r="A16" s="5">
        <v>10</v>
      </c>
      <c r="B16" s="6" t="s">
        <v>11</v>
      </c>
      <c r="C16" s="6" t="s">
        <v>12</v>
      </c>
      <c r="D16" s="6" t="s">
        <v>13</v>
      </c>
      <c r="E16" s="7">
        <v>13567</v>
      </c>
      <c r="F16" s="8">
        <v>257.21675299999998</v>
      </c>
      <c r="G16" s="9">
        <v>3.0172093000000001E-2</v>
      </c>
      <c r="H16" s="97"/>
    </row>
    <row r="17" spans="1:8" ht="25.5" x14ac:dyDescent="0.2">
      <c r="A17" s="5">
        <v>11</v>
      </c>
      <c r="B17" s="6" t="s">
        <v>319</v>
      </c>
      <c r="C17" s="6" t="s">
        <v>320</v>
      </c>
      <c r="D17" s="6" t="s">
        <v>202</v>
      </c>
      <c r="E17" s="7">
        <v>27323</v>
      </c>
      <c r="F17" s="8">
        <v>242.71020899999999</v>
      </c>
      <c r="G17" s="9">
        <v>2.8470443000000002E-2</v>
      </c>
      <c r="H17" s="97"/>
    </row>
    <row r="18" spans="1:8" x14ac:dyDescent="0.2">
      <c r="A18" s="5">
        <v>12</v>
      </c>
      <c r="B18" s="6" t="s">
        <v>346</v>
      </c>
      <c r="C18" s="6" t="s">
        <v>347</v>
      </c>
      <c r="D18" s="6" t="s">
        <v>1184</v>
      </c>
      <c r="E18" s="7">
        <v>29796</v>
      </c>
      <c r="F18" s="8">
        <v>235.90983</v>
      </c>
      <c r="G18" s="9">
        <v>2.7672743999999999E-2</v>
      </c>
      <c r="H18" s="97"/>
    </row>
    <row r="19" spans="1:8" x14ac:dyDescent="0.2">
      <c r="A19" s="5">
        <v>13</v>
      </c>
      <c r="B19" s="6" t="s">
        <v>417</v>
      </c>
      <c r="C19" s="6" t="s">
        <v>418</v>
      </c>
      <c r="D19" s="6" t="s">
        <v>147</v>
      </c>
      <c r="E19" s="7">
        <v>5240</v>
      </c>
      <c r="F19" s="8">
        <v>195.88954000000001</v>
      </c>
      <c r="G19" s="9">
        <v>2.2978274999999999E-2</v>
      </c>
      <c r="H19" s="97"/>
    </row>
    <row r="20" spans="1:8" x14ac:dyDescent="0.2">
      <c r="A20" s="5">
        <v>14</v>
      </c>
      <c r="B20" s="6" t="s">
        <v>243</v>
      </c>
      <c r="C20" s="6" t="s">
        <v>244</v>
      </c>
      <c r="D20" s="6" t="s">
        <v>185</v>
      </c>
      <c r="E20" s="7">
        <v>33781</v>
      </c>
      <c r="F20" s="8">
        <v>186.64002500000001</v>
      </c>
      <c r="G20" s="9">
        <v>2.1893287000000001E-2</v>
      </c>
      <c r="H20" s="97"/>
    </row>
    <row r="21" spans="1:8" x14ac:dyDescent="0.2">
      <c r="A21" s="5">
        <v>15</v>
      </c>
      <c r="B21" s="6" t="s">
        <v>20</v>
      </c>
      <c r="C21" s="6" t="s">
        <v>21</v>
      </c>
      <c r="D21" s="6" t="s">
        <v>22</v>
      </c>
      <c r="E21" s="7">
        <v>26720</v>
      </c>
      <c r="F21" s="8">
        <v>182.71136000000001</v>
      </c>
      <c r="G21" s="9">
        <v>2.1432446000000001E-2</v>
      </c>
      <c r="H21" s="97"/>
    </row>
    <row r="22" spans="1:8" x14ac:dyDescent="0.2">
      <c r="A22" s="5">
        <v>16</v>
      </c>
      <c r="B22" s="6" t="s">
        <v>419</v>
      </c>
      <c r="C22" s="6" t="s">
        <v>420</v>
      </c>
      <c r="D22" s="6" t="s">
        <v>1183</v>
      </c>
      <c r="E22" s="7">
        <v>14560</v>
      </c>
      <c r="F22" s="8">
        <v>174.13759999999999</v>
      </c>
      <c r="G22" s="9">
        <v>2.0426725E-2</v>
      </c>
      <c r="H22" s="97"/>
    </row>
    <row r="23" spans="1:8" x14ac:dyDescent="0.2">
      <c r="A23" s="5">
        <v>17</v>
      </c>
      <c r="B23" s="6" t="s">
        <v>323</v>
      </c>
      <c r="C23" s="6" t="s">
        <v>324</v>
      </c>
      <c r="D23" s="6" t="s">
        <v>1187</v>
      </c>
      <c r="E23" s="7">
        <v>4786</v>
      </c>
      <c r="F23" s="8">
        <v>171.870046</v>
      </c>
      <c r="G23" s="9">
        <v>2.0160735999999999E-2</v>
      </c>
      <c r="H23" s="97"/>
    </row>
    <row r="24" spans="1:8" x14ac:dyDescent="0.2">
      <c r="A24" s="5">
        <v>18</v>
      </c>
      <c r="B24" s="6" t="s">
        <v>181</v>
      </c>
      <c r="C24" s="6" t="s">
        <v>182</v>
      </c>
      <c r="D24" s="6" t="s">
        <v>1189</v>
      </c>
      <c r="E24" s="7">
        <v>19626</v>
      </c>
      <c r="F24" s="8">
        <v>168.067251</v>
      </c>
      <c r="G24" s="9">
        <v>1.9714658999999999E-2</v>
      </c>
      <c r="H24" s="97"/>
    </row>
    <row r="25" spans="1:8" x14ac:dyDescent="0.2">
      <c r="A25" s="5">
        <v>19</v>
      </c>
      <c r="B25" s="6" t="s">
        <v>280</v>
      </c>
      <c r="C25" s="6" t="s">
        <v>281</v>
      </c>
      <c r="D25" s="6" t="s">
        <v>238</v>
      </c>
      <c r="E25" s="7">
        <v>9500</v>
      </c>
      <c r="F25" s="8">
        <v>166.70599999999999</v>
      </c>
      <c r="G25" s="9">
        <v>1.9554981999999999E-2</v>
      </c>
      <c r="H25" s="97"/>
    </row>
    <row r="26" spans="1:8" x14ac:dyDescent="0.2">
      <c r="A26" s="5">
        <v>20</v>
      </c>
      <c r="B26" s="6" t="s">
        <v>421</v>
      </c>
      <c r="C26" s="6" t="s">
        <v>422</v>
      </c>
      <c r="D26" s="6" t="s">
        <v>147</v>
      </c>
      <c r="E26" s="7">
        <v>23000</v>
      </c>
      <c r="F26" s="8">
        <v>164.53049999999999</v>
      </c>
      <c r="G26" s="9">
        <v>1.9299791E-2</v>
      </c>
      <c r="H26" s="97"/>
    </row>
    <row r="27" spans="1:8" ht="25.5" x14ac:dyDescent="0.2">
      <c r="A27" s="5">
        <v>21</v>
      </c>
      <c r="B27" s="6" t="s">
        <v>334</v>
      </c>
      <c r="C27" s="6" t="s">
        <v>335</v>
      </c>
      <c r="D27" s="6" t="s">
        <v>70</v>
      </c>
      <c r="E27" s="7">
        <v>37015</v>
      </c>
      <c r="F27" s="8">
        <v>161.92211750000001</v>
      </c>
      <c r="G27" s="9">
        <v>1.8993822E-2</v>
      </c>
      <c r="H27" s="97"/>
    </row>
    <row r="28" spans="1:8" ht="25.5" x14ac:dyDescent="0.2">
      <c r="A28" s="5">
        <v>22</v>
      </c>
      <c r="B28" s="6" t="s">
        <v>28</v>
      </c>
      <c r="C28" s="6" t="s">
        <v>29</v>
      </c>
      <c r="D28" s="6" t="s">
        <v>1185</v>
      </c>
      <c r="E28" s="7">
        <v>2097</v>
      </c>
      <c r="F28" s="8">
        <v>159.18431849999999</v>
      </c>
      <c r="G28" s="9">
        <v>1.8672672000000001E-2</v>
      </c>
      <c r="H28" s="97"/>
    </row>
    <row r="29" spans="1:8" x14ac:dyDescent="0.2">
      <c r="A29" s="5">
        <v>23</v>
      </c>
      <c r="B29" s="6" t="s">
        <v>423</v>
      </c>
      <c r="C29" s="6" t="s">
        <v>424</v>
      </c>
      <c r="D29" s="6" t="s">
        <v>193</v>
      </c>
      <c r="E29" s="7">
        <v>16801</v>
      </c>
      <c r="F29" s="8">
        <v>142.08605700000001</v>
      </c>
      <c r="G29" s="9">
        <v>1.6667008000000001E-2</v>
      </c>
      <c r="H29" s="97"/>
    </row>
    <row r="30" spans="1:8" x14ac:dyDescent="0.2">
      <c r="A30" s="5">
        <v>24</v>
      </c>
      <c r="B30" s="6" t="s">
        <v>369</v>
      </c>
      <c r="C30" s="6" t="s">
        <v>370</v>
      </c>
      <c r="D30" s="6" t="s">
        <v>147</v>
      </c>
      <c r="E30" s="7">
        <v>10771</v>
      </c>
      <c r="F30" s="8">
        <v>142.08026100000001</v>
      </c>
      <c r="G30" s="9">
        <v>1.6666328000000001E-2</v>
      </c>
      <c r="H30" s="97"/>
    </row>
    <row r="31" spans="1:8" ht="25.5" x14ac:dyDescent="0.2">
      <c r="A31" s="5">
        <v>25</v>
      </c>
      <c r="B31" s="6" t="s">
        <v>425</v>
      </c>
      <c r="C31" s="6" t="s">
        <v>426</v>
      </c>
      <c r="D31" s="6" t="s">
        <v>202</v>
      </c>
      <c r="E31" s="7">
        <v>5513</v>
      </c>
      <c r="F31" s="8">
        <v>130.1150695</v>
      </c>
      <c r="G31" s="9">
        <v>1.5262784999999999E-2</v>
      </c>
      <c r="H31" s="97"/>
    </row>
    <row r="32" spans="1:8" x14ac:dyDescent="0.2">
      <c r="A32" s="5">
        <v>26</v>
      </c>
      <c r="B32" s="6" t="s">
        <v>427</v>
      </c>
      <c r="C32" s="6" t="s">
        <v>428</v>
      </c>
      <c r="D32" s="6" t="s">
        <v>147</v>
      </c>
      <c r="E32" s="7">
        <v>6698</v>
      </c>
      <c r="F32" s="8">
        <v>119.931039</v>
      </c>
      <c r="G32" s="9">
        <v>1.4068175E-2</v>
      </c>
      <c r="H32" s="97"/>
    </row>
    <row r="33" spans="1:8" x14ac:dyDescent="0.2">
      <c r="A33" s="5">
        <v>27</v>
      </c>
      <c r="B33" s="6" t="s">
        <v>429</v>
      </c>
      <c r="C33" s="6" t="s">
        <v>430</v>
      </c>
      <c r="D33" s="6" t="s">
        <v>431</v>
      </c>
      <c r="E33" s="7">
        <v>22227</v>
      </c>
      <c r="F33" s="8">
        <v>105.70049849999999</v>
      </c>
      <c r="G33" s="9">
        <v>1.2398902E-2</v>
      </c>
      <c r="H33" s="97"/>
    </row>
    <row r="34" spans="1:8" x14ac:dyDescent="0.2">
      <c r="A34" s="5">
        <v>28</v>
      </c>
      <c r="B34" s="6" t="s">
        <v>311</v>
      </c>
      <c r="C34" s="6" t="s">
        <v>312</v>
      </c>
      <c r="D34" s="6" t="s">
        <v>284</v>
      </c>
      <c r="E34" s="7">
        <v>260</v>
      </c>
      <c r="F34" s="8">
        <v>105.09603</v>
      </c>
      <c r="G34" s="9">
        <v>1.2327996000000001E-2</v>
      </c>
      <c r="H34" s="97"/>
    </row>
    <row r="35" spans="1:8" x14ac:dyDescent="0.2">
      <c r="A35" s="5">
        <v>29</v>
      </c>
      <c r="B35" s="6" t="s">
        <v>434</v>
      </c>
      <c r="C35" s="6" t="s">
        <v>435</v>
      </c>
      <c r="D35" s="6" t="s">
        <v>238</v>
      </c>
      <c r="E35" s="7">
        <v>12994</v>
      </c>
      <c r="F35" s="8">
        <v>96.616887000000006</v>
      </c>
      <c r="G35" s="9">
        <v>1.1333374E-2</v>
      </c>
      <c r="H35" s="97"/>
    </row>
    <row r="36" spans="1:8" x14ac:dyDescent="0.2">
      <c r="A36" s="5">
        <v>30</v>
      </c>
      <c r="B36" s="6" t="s">
        <v>336</v>
      </c>
      <c r="C36" s="6" t="s">
        <v>337</v>
      </c>
      <c r="D36" s="6" t="s">
        <v>193</v>
      </c>
      <c r="E36" s="7">
        <v>2422</v>
      </c>
      <c r="F36" s="8">
        <v>93.599401</v>
      </c>
      <c r="G36" s="9">
        <v>1.0979416000000001E-2</v>
      </c>
      <c r="H36" s="97"/>
    </row>
    <row r="37" spans="1:8" x14ac:dyDescent="0.2">
      <c r="A37" s="5">
        <v>31</v>
      </c>
      <c r="B37" s="6" t="s">
        <v>357</v>
      </c>
      <c r="C37" s="6" t="s">
        <v>358</v>
      </c>
      <c r="D37" s="6" t="s">
        <v>48</v>
      </c>
      <c r="E37" s="7">
        <v>14383</v>
      </c>
      <c r="F37" s="8">
        <v>88.3907265</v>
      </c>
      <c r="G37" s="9">
        <v>1.0368427E-2</v>
      </c>
      <c r="H37" s="97"/>
    </row>
    <row r="38" spans="1:8" x14ac:dyDescent="0.2">
      <c r="A38" s="5">
        <v>32</v>
      </c>
      <c r="B38" s="6" t="s">
        <v>321</v>
      </c>
      <c r="C38" s="6" t="s">
        <v>322</v>
      </c>
      <c r="D38" s="6" t="s">
        <v>19</v>
      </c>
      <c r="E38" s="7">
        <v>9085</v>
      </c>
      <c r="F38" s="8">
        <v>85.562529999999995</v>
      </c>
      <c r="G38" s="9">
        <v>1.0036674000000001E-2</v>
      </c>
      <c r="H38" s="97"/>
    </row>
    <row r="39" spans="1:8" x14ac:dyDescent="0.2">
      <c r="A39" s="5">
        <v>33</v>
      </c>
      <c r="B39" s="6" t="s">
        <v>325</v>
      </c>
      <c r="C39" s="6" t="s">
        <v>326</v>
      </c>
      <c r="D39" s="6" t="s">
        <v>327</v>
      </c>
      <c r="E39" s="7">
        <v>8029</v>
      </c>
      <c r="F39" s="8">
        <v>85.508849999999995</v>
      </c>
      <c r="G39" s="9">
        <v>1.0030377E-2</v>
      </c>
      <c r="H39" s="97"/>
    </row>
    <row r="40" spans="1:8" x14ac:dyDescent="0.2">
      <c r="A40" s="5">
        <v>34</v>
      </c>
      <c r="B40" s="6" t="s">
        <v>432</v>
      </c>
      <c r="C40" s="6" t="s">
        <v>433</v>
      </c>
      <c r="D40" s="6" t="s">
        <v>78</v>
      </c>
      <c r="E40" s="7">
        <v>10176</v>
      </c>
      <c r="F40" s="8">
        <v>85.188383999999999</v>
      </c>
      <c r="G40" s="9">
        <v>9.9927850000000006E-3</v>
      </c>
      <c r="H40" s="97"/>
    </row>
    <row r="41" spans="1:8" x14ac:dyDescent="0.2">
      <c r="A41" s="5">
        <v>35</v>
      </c>
      <c r="B41" s="6" t="s">
        <v>39</v>
      </c>
      <c r="C41" s="6" t="s">
        <v>40</v>
      </c>
      <c r="D41" s="6" t="s">
        <v>16</v>
      </c>
      <c r="E41" s="7">
        <v>21882</v>
      </c>
      <c r="F41" s="8">
        <v>84.344168999999994</v>
      </c>
      <c r="G41" s="9">
        <v>9.8937569999999996E-3</v>
      </c>
      <c r="H41" s="97"/>
    </row>
    <row r="42" spans="1:8" x14ac:dyDescent="0.2">
      <c r="A42" s="5">
        <v>36</v>
      </c>
      <c r="B42" s="6" t="s">
        <v>90</v>
      </c>
      <c r="C42" s="6" t="s">
        <v>91</v>
      </c>
      <c r="D42" s="6" t="s">
        <v>19</v>
      </c>
      <c r="E42" s="7">
        <v>956</v>
      </c>
      <c r="F42" s="8">
        <v>83.978864000000002</v>
      </c>
      <c r="G42" s="9">
        <v>9.8509059999999996E-3</v>
      </c>
      <c r="H42" s="97"/>
    </row>
    <row r="43" spans="1:8" x14ac:dyDescent="0.2">
      <c r="A43" s="5">
        <v>37</v>
      </c>
      <c r="B43" s="6" t="s">
        <v>350</v>
      </c>
      <c r="C43" s="6" t="s">
        <v>351</v>
      </c>
      <c r="D43" s="6" t="s">
        <v>25</v>
      </c>
      <c r="E43" s="7">
        <v>96000</v>
      </c>
      <c r="F43" s="8">
        <v>78.671999999999997</v>
      </c>
      <c r="G43" s="9">
        <v>9.228399E-3</v>
      </c>
      <c r="H43" s="97"/>
    </row>
    <row r="44" spans="1:8" x14ac:dyDescent="0.2">
      <c r="A44" s="5">
        <v>38</v>
      </c>
      <c r="B44" s="6" t="s">
        <v>332</v>
      </c>
      <c r="C44" s="6" t="s">
        <v>333</v>
      </c>
      <c r="D44" s="6" t="s">
        <v>60</v>
      </c>
      <c r="E44" s="7">
        <v>20478</v>
      </c>
      <c r="F44" s="8">
        <v>77.253254999999996</v>
      </c>
      <c r="G44" s="9">
        <v>9.0619770000000006E-3</v>
      </c>
      <c r="H44" s="97"/>
    </row>
    <row r="45" spans="1:8" x14ac:dyDescent="0.2">
      <c r="A45" s="5">
        <v>39</v>
      </c>
      <c r="B45" s="6" t="s">
        <v>352</v>
      </c>
      <c r="C45" s="6" t="s">
        <v>353</v>
      </c>
      <c r="D45" s="6" t="s">
        <v>238</v>
      </c>
      <c r="E45" s="7">
        <v>104</v>
      </c>
      <c r="F45" s="8">
        <v>76.271519999999995</v>
      </c>
      <c r="G45" s="9">
        <v>8.9468180000000005E-3</v>
      </c>
      <c r="H45" s="97"/>
    </row>
    <row r="46" spans="1:8" x14ac:dyDescent="0.2">
      <c r="A46" s="5">
        <v>40</v>
      </c>
      <c r="B46" s="6" t="s">
        <v>373</v>
      </c>
      <c r="C46" s="6" t="s">
        <v>374</v>
      </c>
      <c r="D46" s="6" t="s">
        <v>213</v>
      </c>
      <c r="E46" s="7">
        <v>9400</v>
      </c>
      <c r="F46" s="8">
        <v>71.068700000000007</v>
      </c>
      <c r="G46" s="9">
        <v>8.3365149999999992E-3</v>
      </c>
      <c r="H46" s="97"/>
    </row>
    <row r="47" spans="1:8" ht="25.5" x14ac:dyDescent="0.2">
      <c r="A47" s="5">
        <v>41</v>
      </c>
      <c r="B47" s="6" t="s">
        <v>436</v>
      </c>
      <c r="C47" s="6" t="s">
        <v>437</v>
      </c>
      <c r="D47" s="6" t="s">
        <v>202</v>
      </c>
      <c r="E47" s="7">
        <v>31300</v>
      </c>
      <c r="F47" s="8">
        <v>68.249650000000003</v>
      </c>
      <c r="G47" s="9">
        <v>8.0058349999999993E-3</v>
      </c>
      <c r="H47" s="97"/>
    </row>
    <row r="48" spans="1:8" x14ac:dyDescent="0.2">
      <c r="A48" s="5">
        <v>42</v>
      </c>
      <c r="B48" s="6" t="s">
        <v>175</v>
      </c>
      <c r="C48" s="6" t="s">
        <v>176</v>
      </c>
      <c r="D48" s="6" t="s">
        <v>16</v>
      </c>
      <c r="E48" s="7">
        <v>21000</v>
      </c>
      <c r="F48" s="8">
        <v>61.393500000000003</v>
      </c>
      <c r="G48" s="9">
        <v>7.2015930000000001E-3</v>
      </c>
      <c r="H48" s="97"/>
    </row>
    <row r="49" spans="1:8" x14ac:dyDescent="0.2">
      <c r="A49" s="5">
        <v>43</v>
      </c>
      <c r="B49" s="6" t="s">
        <v>305</v>
      </c>
      <c r="C49" s="6" t="s">
        <v>306</v>
      </c>
      <c r="D49" s="6" t="s">
        <v>1183</v>
      </c>
      <c r="E49" s="7">
        <v>5927</v>
      </c>
      <c r="F49" s="8">
        <v>58.105344500000001</v>
      </c>
      <c r="G49" s="9">
        <v>6.8158849999999998E-3</v>
      </c>
      <c r="H49" s="97"/>
    </row>
    <row r="50" spans="1:8" x14ac:dyDescent="0.2">
      <c r="A50" s="5">
        <v>44</v>
      </c>
      <c r="B50" s="6" t="s">
        <v>438</v>
      </c>
      <c r="C50" s="6" t="s">
        <v>439</v>
      </c>
      <c r="D50" s="6" t="s">
        <v>60</v>
      </c>
      <c r="E50" s="7">
        <v>4575</v>
      </c>
      <c r="F50" s="8">
        <v>50.848837500000002</v>
      </c>
      <c r="G50" s="9">
        <v>5.9646810000000003E-3</v>
      </c>
      <c r="H50" s="97"/>
    </row>
    <row r="51" spans="1:8" x14ac:dyDescent="0.2">
      <c r="A51" s="5">
        <v>45</v>
      </c>
      <c r="B51" s="6" t="s">
        <v>344</v>
      </c>
      <c r="C51" s="6" t="s">
        <v>345</v>
      </c>
      <c r="D51" s="6" t="s">
        <v>81</v>
      </c>
      <c r="E51" s="7">
        <v>4150</v>
      </c>
      <c r="F51" s="8">
        <v>50.505499999999998</v>
      </c>
      <c r="G51" s="9">
        <v>5.9244069999999996E-3</v>
      </c>
      <c r="H51" s="97"/>
    </row>
    <row r="52" spans="1:8" x14ac:dyDescent="0.2">
      <c r="A52" s="5">
        <v>46</v>
      </c>
      <c r="B52" s="6" t="s">
        <v>440</v>
      </c>
      <c r="C52" s="6" t="s">
        <v>441</v>
      </c>
      <c r="D52" s="6" t="s">
        <v>25</v>
      </c>
      <c r="E52" s="7">
        <v>2804</v>
      </c>
      <c r="F52" s="8">
        <v>50.362644000000003</v>
      </c>
      <c r="G52" s="9">
        <v>5.9076490000000001E-3</v>
      </c>
      <c r="H52" s="97"/>
    </row>
    <row r="53" spans="1:8" x14ac:dyDescent="0.2">
      <c r="A53" s="5">
        <v>47</v>
      </c>
      <c r="B53" s="6" t="s">
        <v>92</v>
      </c>
      <c r="C53" s="6" t="s">
        <v>93</v>
      </c>
      <c r="D53" s="6" t="s">
        <v>53</v>
      </c>
      <c r="E53" s="7">
        <v>55523</v>
      </c>
      <c r="F53" s="8">
        <v>47.777541499999998</v>
      </c>
      <c r="G53" s="9">
        <v>5.6044110000000001E-3</v>
      </c>
      <c r="H53" s="97"/>
    </row>
    <row r="54" spans="1:8" ht="25.5" x14ac:dyDescent="0.2">
      <c r="A54" s="5">
        <v>48</v>
      </c>
      <c r="B54" s="6" t="s">
        <v>207</v>
      </c>
      <c r="C54" s="6" t="s">
        <v>208</v>
      </c>
      <c r="D54" s="6" t="s">
        <v>45</v>
      </c>
      <c r="E54" s="7">
        <v>21287</v>
      </c>
      <c r="F54" s="8">
        <v>47.321001000000003</v>
      </c>
      <c r="G54" s="9">
        <v>5.5508579999999997E-3</v>
      </c>
      <c r="H54" s="97"/>
    </row>
    <row r="55" spans="1:8" x14ac:dyDescent="0.2">
      <c r="A55" s="5">
        <v>49</v>
      </c>
      <c r="B55" s="6" t="s">
        <v>371</v>
      </c>
      <c r="C55" s="6" t="s">
        <v>372</v>
      </c>
      <c r="D55" s="6" t="s">
        <v>70</v>
      </c>
      <c r="E55" s="7">
        <v>59307</v>
      </c>
      <c r="F55" s="8">
        <v>40.595641499999999</v>
      </c>
      <c r="G55" s="9">
        <v>4.7619580000000002E-3</v>
      </c>
      <c r="H55" s="97"/>
    </row>
    <row r="56" spans="1:8" ht="25.5" x14ac:dyDescent="0.2">
      <c r="A56" s="5">
        <v>50</v>
      </c>
      <c r="B56" s="6" t="s">
        <v>442</v>
      </c>
      <c r="C56" s="6" t="s">
        <v>1157</v>
      </c>
      <c r="D56" s="91" t="s">
        <v>22</v>
      </c>
      <c r="E56" s="7">
        <v>1908</v>
      </c>
      <c r="F56" s="8">
        <v>6.7285620000000002</v>
      </c>
      <c r="G56" s="9">
        <v>7.8927499999999998E-4</v>
      </c>
      <c r="H56" s="97"/>
    </row>
    <row r="57" spans="1:8" x14ac:dyDescent="0.2">
      <c r="A57" s="3"/>
      <c r="B57" s="3"/>
      <c r="C57" s="4" t="s">
        <v>97</v>
      </c>
      <c r="D57" s="3"/>
      <c r="E57" s="3" t="s">
        <v>98</v>
      </c>
      <c r="F57" s="11">
        <v>8446.8710484999992</v>
      </c>
      <c r="G57" s="12">
        <v>0.99083661099999987</v>
      </c>
      <c r="H57" s="97"/>
    </row>
    <row r="58" spans="1:8" x14ac:dyDescent="0.2">
      <c r="A58" s="3"/>
      <c r="B58" s="3"/>
      <c r="C58" s="13"/>
      <c r="D58" s="3"/>
      <c r="E58" s="3"/>
      <c r="F58" s="14"/>
      <c r="G58" s="14"/>
      <c r="H58" s="97"/>
    </row>
    <row r="59" spans="1:8" x14ac:dyDescent="0.2">
      <c r="A59" s="3"/>
      <c r="B59" s="3"/>
      <c r="C59" s="4" t="s">
        <v>99</v>
      </c>
      <c r="D59" s="3"/>
      <c r="E59" s="3"/>
      <c r="F59" s="3"/>
      <c r="G59" s="3"/>
      <c r="H59" s="97"/>
    </row>
    <row r="60" spans="1:8" x14ac:dyDescent="0.2">
      <c r="A60" s="3"/>
      <c r="B60" s="3"/>
      <c r="C60" s="4" t="s">
        <v>97</v>
      </c>
      <c r="D60" s="3"/>
      <c r="E60" s="3" t="s">
        <v>98</v>
      </c>
      <c r="F60" s="15">
        <v>0</v>
      </c>
      <c r="G60" s="16">
        <v>0</v>
      </c>
      <c r="H60" s="97"/>
    </row>
    <row r="61" spans="1:8" x14ac:dyDescent="0.2">
      <c r="A61" s="3"/>
      <c r="B61" s="3"/>
      <c r="C61" s="13"/>
      <c r="D61" s="3"/>
      <c r="E61" s="3"/>
      <c r="F61" s="14"/>
      <c r="G61" s="14"/>
      <c r="H61" s="97"/>
    </row>
    <row r="62" spans="1:8" x14ac:dyDescent="0.2">
      <c r="A62" s="3"/>
      <c r="B62" s="3"/>
      <c r="C62" s="4" t="s">
        <v>100</v>
      </c>
      <c r="D62" s="3"/>
      <c r="E62" s="3"/>
      <c r="F62" s="3"/>
      <c r="G62" s="3"/>
      <c r="H62" s="97"/>
    </row>
    <row r="63" spans="1:8" x14ac:dyDescent="0.2">
      <c r="A63" s="3"/>
      <c r="B63" s="3"/>
      <c r="C63" s="4" t="s">
        <v>97</v>
      </c>
      <c r="D63" s="3"/>
      <c r="E63" s="3" t="s">
        <v>98</v>
      </c>
      <c r="F63" s="15">
        <v>0</v>
      </c>
      <c r="G63" s="16">
        <v>0</v>
      </c>
      <c r="H63" s="97"/>
    </row>
    <row r="64" spans="1:8" x14ac:dyDescent="0.2">
      <c r="A64" s="3"/>
      <c r="B64" s="3"/>
      <c r="C64" s="13"/>
      <c r="D64" s="3"/>
      <c r="E64" s="3"/>
      <c r="F64" s="14"/>
      <c r="G64" s="14"/>
      <c r="H64" s="97"/>
    </row>
    <row r="65" spans="1:8" x14ac:dyDescent="0.2">
      <c r="A65" s="3"/>
      <c r="B65" s="3"/>
      <c r="C65" s="4" t="s">
        <v>101</v>
      </c>
      <c r="D65" s="3"/>
      <c r="E65" s="3"/>
      <c r="F65" s="3"/>
      <c r="G65" s="3"/>
      <c r="H65" s="97"/>
    </row>
    <row r="66" spans="1:8" x14ac:dyDescent="0.2">
      <c r="A66" s="3"/>
      <c r="B66" s="3"/>
      <c r="C66" s="4" t="s">
        <v>97</v>
      </c>
      <c r="D66" s="3"/>
      <c r="E66" s="3" t="s">
        <v>98</v>
      </c>
      <c r="F66" s="11">
        <v>0</v>
      </c>
      <c r="G66" s="12">
        <v>0</v>
      </c>
      <c r="H66" s="97"/>
    </row>
    <row r="67" spans="1:8" x14ac:dyDescent="0.2">
      <c r="A67" s="3"/>
      <c r="B67" s="3"/>
      <c r="C67" s="13"/>
      <c r="D67" s="3"/>
      <c r="E67" s="3"/>
      <c r="F67" s="14"/>
      <c r="G67" s="14"/>
      <c r="H67" s="97"/>
    </row>
    <row r="68" spans="1:8" x14ac:dyDescent="0.2">
      <c r="A68" s="3"/>
      <c r="B68" s="3"/>
      <c r="C68" s="4" t="s">
        <v>102</v>
      </c>
      <c r="D68" s="3"/>
      <c r="E68" s="3"/>
      <c r="F68" s="14"/>
      <c r="G68" s="14"/>
      <c r="H68" s="97"/>
    </row>
    <row r="69" spans="1:8" x14ac:dyDescent="0.2">
      <c r="A69" s="3"/>
      <c r="B69" s="3"/>
      <c r="C69" s="4" t="s">
        <v>97</v>
      </c>
      <c r="D69" s="3"/>
      <c r="E69" s="3" t="s">
        <v>98</v>
      </c>
      <c r="F69" s="15">
        <v>0</v>
      </c>
      <c r="G69" s="16">
        <v>0</v>
      </c>
      <c r="H69" s="97"/>
    </row>
    <row r="70" spans="1:8" x14ac:dyDescent="0.2">
      <c r="A70" s="3"/>
      <c r="B70" s="3"/>
      <c r="C70" s="13"/>
      <c r="D70" s="3"/>
      <c r="E70" s="3"/>
      <c r="F70" s="14"/>
      <c r="G70" s="14"/>
      <c r="H70" s="97"/>
    </row>
    <row r="71" spans="1:8" x14ac:dyDescent="0.2">
      <c r="A71" s="3"/>
      <c r="B71" s="3"/>
      <c r="C71" s="4" t="s">
        <v>103</v>
      </c>
      <c r="D71" s="3"/>
      <c r="E71" s="3"/>
      <c r="F71" s="14"/>
      <c r="G71" s="14"/>
      <c r="H71" s="97"/>
    </row>
    <row r="72" spans="1:8" x14ac:dyDescent="0.2">
      <c r="A72" s="3"/>
      <c r="B72" s="3"/>
      <c r="C72" s="4" t="s">
        <v>97</v>
      </c>
      <c r="D72" s="3"/>
      <c r="E72" s="3" t="s">
        <v>98</v>
      </c>
      <c r="F72" s="15">
        <v>0</v>
      </c>
      <c r="G72" s="16">
        <v>0</v>
      </c>
      <c r="H72" s="97"/>
    </row>
    <row r="73" spans="1:8" x14ac:dyDescent="0.2">
      <c r="A73" s="3"/>
      <c r="B73" s="3"/>
      <c r="C73" s="13"/>
      <c r="D73" s="3"/>
      <c r="E73" s="3"/>
      <c r="F73" s="14"/>
      <c r="G73" s="14"/>
      <c r="H73" s="97"/>
    </row>
    <row r="74" spans="1:8" x14ac:dyDescent="0.2">
      <c r="A74" s="3"/>
      <c r="B74" s="3"/>
      <c r="C74" s="4" t="s">
        <v>104</v>
      </c>
      <c r="D74" s="3"/>
      <c r="E74" s="3"/>
      <c r="F74" s="11">
        <v>8446.8710484999992</v>
      </c>
      <c r="G74" s="12">
        <v>0.99083661099999998</v>
      </c>
      <c r="H74" s="97"/>
    </row>
    <row r="75" spans="1:8" x14ac:dyDescent="0.2">
      <c r="A75" s="3"/>
      <c r="B75" s="3"/>
      <c r="C75" s="13"/>
      <c r="D75" s="3"/>
      <c r="E75" s="3"/>
      <c r="F75" s="14"/>
      <c r="G75" s="14"/>
      <c r="H75" s="97"/>
    </row>
    <row r="76" spans="1:8" x14ac:dyDescent="0.2">
      <c r="A76" s="3"/>
      <c r="B76" s="3"/>
      <c r="C76" s="4" t="s">
        <v>105</v>
      </c>
      <c r="D76" s="3"/>
      <c r="E76" s="3"/>
      <c r="F76" s="14"/>
      <c r="G76" s="14"/>
      <c r="H76" s="97"/>
    </row>
    <row r="77" spans="1:8" ht="25.5" x14ac:dyDescent="0.2">
      <c r="A77" s="3"/>
      <c r="B77" s="3"/>
      <c r="C77" s="4" t="s">
        <v>10</v>
      </c>
      <c r="D77" s="3"/>
      <c r="E77" s="3"/>
      <c r="F77" s="14"/>
      <c r="G77" s="14"/>
      <c r="H77" s="97"/>
    </row>
    <row r="78" spans="1:8" x14ac:dyDescent="0.2">
      <c r="A78" s="3"/>
      <c r="B78" s="3"/>
      <c r="C78" s="4" t="s">
        <v>97</v>
      </c>
      <c r="D78" s="3"/>
      <c r="E78" s="3" t="s">
        <v>98</v>
      </c>
      <c r="F78" s="15">
        <v>0</v>
      </c>
      <c r="G78" s="16">
        <v>0</v>
      </c>
      <c r="H78" s="97"/>
    </row>
    <row r="79" spans="1:8" x14ac:dyDescent="0.2">
      <c r="A79" s="3"/>
      <c r="B79" s="3"/>
      <c r="C79" s="13"/>
      <c r="D79" s="3"/>
      <c r="E79" s="3"/>
      <c r="F79" s="14"/>
      <c r="G79" s="14"/>
      <c r="H79" s="97"/>
    </row>
    <row r="80" spans="1:8" x14ac:dyDescent="0.2">
      <c r="A80" s="3"/>
      <c r="B80" s="3"/>
      <c r="C80" s="4" t="s">
        <v>106</v>
      </c>
      <c r="D80" s="3"/>
      <c r="E80" s="3"/>
      <c r="F80" s="3"/>
      <c r="G80" s="3"/>
      <c r="H80" s="97"/>
    </row>
    <row r="81" spans="1:8" x14ac:dyDescent="0.2">
      <c r="A81" s="3"/>
      <c r="B81" s="3"/>
      <c r="C81" s="4" t="s">
        <v>97</v>
      </c>
      <c r="D81" s="3"/>
      <c r="E81" s="3" t="s">
        <v>98</v>
      </c>
      <c r="F81" s="15">
        <v>0</v>
      </c>
      <c r="G81" s="16">
        <v>0</v>
      </c>
      <c r="H81" s="97"/>
    </row>
    <row r="82" spans="1:8" x14ac:dyDescent="0.2">
      <c r="A82" s="3"/>
      <c r="B82" s="3"/>
      <c r="C82" s="13"/>
      <c r="D82" s="3"/>
      <c r="E82" s="3"/>
      <c r="F82" s="14"/>
      <c r="G82" s="14"/>
      <c r="H82" s="97"/>
    </row>
    <row r="83" spans="1:8" x14ac:dyDescent="0.2">
      <c r="A83" s="3"/>
      <c r="B83" s="3"/>
      <c r="C83" s="4" t="s">
        <v>107</v>
      </c>
      <c r="D83" s="3"/>
      <c r="E83" s="3"/>
      <c r="F83" s="3"/>
      <c r="G83" s="3"/>
      <c r="H83" s="97"/>
    </row>
    <row r="84" spans="1:8" x14ac:dyDescent="0.2">
      <c r="A84" s="3"/>
      <c r="B84" s="3"/>
      <c r="C84" s="4" t="s">
        <v>97</v>
      </c>
      <c r="D84" s="3"/>
      <c r="E84" s="3" t="s">
        <v>98</v>
      </c>
      <c r="F84" s="15">
        <v>0</v>
      </c>
      <c r="G84" s="16">
        <v>0</v>
      </c>
      <c r="H84" s="97"/>
    </row>
    <row r="85" spans="1:8" x14ac:dyDescent="0.2">
      <c r="A85" s="3"/>
      <c r="B85" s="3"/>
      <c r="C85" s="13"/>
      <c r="D85" s="3"/>
      <c r="E85" s="3"/>
      <c r="F85" s="14"/>
      <c r="G85" s="14"/>
      <c r="H85" s="97"/>
    </row>
    <row r="86" spans="1:8" x14ac:dyDescent="0.2">
      <c r="A86" s="3"/>
      <c r="B86" s="3"/>
      <c r="C86" s="4" t="s">
        <v>108</v>
      </c>
      <c r="D86" s="3"/>
      <c r="E86" s="3"/>
      <c r="F86" s="14"/>
      <c r="G86" s="14"/>
      <c r="H86" s="97"/>
    </row>
    <row r="87" spans="1:8" x14ac:dyDescent="0.2">
      <c r="A87" s="3"/>
      <c r="B87" s="3"/>
      <c r="C87" s="4" t="s">
        <v>97</v>
      </c>
      <c r="D87" s="3"/>
      <c r="E87" s="3" t="s">
        <v>98</v>
      </c>
      <c r="F87" s="15">
        <v>0</v>
      </c>
      <c r="G87" s="16">
        <v>0</v>
      </c>
      <c r="H87" s="97"/>
    </row>
    <row r="88" spans="1:8" x14ac:dyDescent="0.2">
      <c r="A88" s="3"/>
      <c r="B88" s="3"/>
      <c r="C88" s="13"/>
      <c r="D88" s="3"/>
      <c r="E88" s="3"/>
      <c r="F88" s="14"/>
      <c r="G88" s="14"/>
      <c r="H88" s="97"/>
    </row>
    <row r="89" spans="1:8" x14ac:dyDescent="0.2">
      <c r="A89" s="3"/>
      <c r="B89" s="3"/>
      <c r="C89" s="4" t="s">
        <v>109</v>
      </c>
      <c r="D89" s="3"/>
      <c r="E89" s="3"/>
      <c r="F89" s="11">
        <v>0</v>
      </c>
      <c r="G89" s="12">
        <v>0</v>
      </c>
      <c r="H89" s="97"/>
    </row>
    <row r="90" spans="1:8" x14ac:dyDescent="0.2">
      <c r="A90" s="3"/>
      <c r="B90" s="3"/>
      <c r="C90" s="13"/>
      <c r="D90" s="3"/>
      <c r="E90" s="3"/>
      <c r="F90" s="14"/>
      <c r="G90" s="14"/>
      <c r="H90" s="97"/>
    </row>
    <row r="91" spans="1:8" x14ac:dyDescent="0.2">
      <c r="A91" s="3"/>
      <c r="B91" s="3"/>
      <c r="C91" s="4" t="s">
        <v>110</v>
      </c>
      <c r="D91" s="3"/>
      <c r="E91" s="3"/>
      <c r="F91" s="14"/>
      <c r="G91" s="14"/>
      <c r="H91" s="97"/>
    </row>
    <row r="92" spans="1:8" x14ac:dyDescent="0.2">
      <c r="A92" s="3"/>
      <c r="B92" s="3"/>
      <c r="C92" s="4" t="s">
        <v>111</v>
      </c>
      <c r="D92" s="3"/>
      <c r="E92" s="3"/>
      <c r="F92" s="14"/>
      <c r="G92" s="14"/>
      <c r="H92" s="97"/>
    </row>
    <row r="93" spans="1:8" x14ac:dyDescent="0.2">
      <c r="A93" s="3"/>
      <c r="B93" s="3"/>
      <c r="C93" s="4" t="s">
        <v>97</v>
      </c>
      <c r="D93" s="3"/>
      <c r="E93" s="3" t="s">
        <v>98</v>
      </c>
      <c r="F93" s="15">
        <v>0</v>
      </c>
      <c r="G93" s="16">
        <v>0</v>
      </c>
      <c r="H93" s="97"/>
    </row>
    <row r="94" spans="1:8" x14ac:dyDescent="0.2">
      <c r="A94" s="3"/>
      <c r="B94" s="3"/>
      <c r="C94" s="13"/>
      <c r="D94" s="3"/>
      <c r="E94" s="3"/>
      <c r="F94" s="14"/>
      <c r="G94" s="14"/>
      <c r="H94" s="97"/>
    </row>
    <row r="95" spans="1:8" x14ac:dyDescent="0.2">
      <c r="A95" s="3"/>
      <c r="B95" s="3"/>
      <c r="C95" s="4" t="s">
        <v>112</v>
      </c>
      <c r="D95" s="3"/>
      <c r="E95" s="3"/>
      <c r="F95" s="14"/>
      <c r="G95" s="14"/>
      <c r="H95" s="97"/>
    </row>
    <row r="96" spans="1:8" x14ac:dyDescent="0.2">
      <c r="A96" s="3"/>
      <c r="B96" s="3"/>
      <c r="C96" s="4" t="s">
        <v>97</v>
      </c>
      <c r="D96" s="3"/>
      <c r="E96" s="3" t="s">
        <v>98</v>
      </c>
      <c r="F96" s="15">
        <v>0</v>
      </c>
      <c r="G96" s="16">
        <v>0</v>
      </c>
      <c r="H96" s="97"/>
    </row>
    <row r="97" spans="1:8" x14ac:dyDescent="0.2">
      <c r="A97" s="3"/>
      <c r="B97" s="3"/>
      <c r="C97" s="13"/>
      <c r="D97" s="3"/>
      <c r="E97" s="3"/>
      <c r="F97" s="14"/>
      <c r="G97" s="14"/>
      <c r="H97" s="97"/>
    </row>
    <row r="98" spans="1:8" x14ac:dyDescent="0.2">
      <c r="A98" s="3"/>
      <c r="B98" s="3"/>
      <c r="C98" s="4" t="s">
        <v>113</v>
      </c>
      <c r="D98" s="3"/>
      <c r="E98" s="3"/>
      <c r="F98" s="14"/>
      <c r="G98" s="14"/>
      <c r="H98" s="97"/>
    </row>
    <row r="99" spans="1:8" x14ac:dyDescent="0.2">
      <c r="A99" s="3"/>
      <c r="B99" s="3"/>
      <c r="C99" s="4" t="s">
        <v>97</v>
      </c>
      <c r="D99" s="3"/>
      <c r="E99" s="3" t="s">
        <v>98</v>
      </c>
      <c r="F99" s="15">
        <v>0</v>
      </c>
      <c r="G99" s="16">
        <v>0</v>
      </c>
      <c r="H99" s="97"/>
    </row>
    <row r="100" spans="1:8" x14ac:dyDescent="0.2">
      <c r="A100" s="3"/>
      <c r="B100" s="3"/>
      <c r="C100" s="13"/>
      <c r="D100" s="3"/>
      <c r="E100" s="3"/>
      <c r="F100" s="14"/>
      <c r="G100" s="14"/>
      <c r="H100" s="97"/>
    </row>
    <row r="101" spans="1:8" x14ac:dyDescent="0.2">
      <c r="A101" s="3"/>
      <c r="B101" s="3"/>
      <c r="C101" s="4" t="s">
        <v>114</v>
      </c>
      <c r="D101" s="3"/>
      <c r="E101" s="3"/>
      <c r="F101" s="14"/>
      <c r="G101" s="14"/>
      <c r="H101" s="97"/>
    </row>
    <row r="102" spans="1:8" x14ac:dyDescent="0.2">
      <c r="A102" s="5">
        <v>1</v>
      </c>
      <c r="B102" s="6"/>
      <c r="C102" s="6" t="s">
        <v>115</v>
      </c>
      <c r="D102" s="6"/>
      <c r="E102" s="10"/>
      <c r="F102" s="8">
        <v>55.488563300000003</v>
      </c>
      <c r="G102" s="9">
        <v>6.5089309999999999E-3</v>
      </c>
      <c r="H102" s="8">
        <v>3.4504560529072292</v>
      </c>
    </row>
    <row r="103" spans="1:8" x14ac:dyDescent="0.2">
      <c r="A103" s="5">
        <v>2</v>
      </c>
      <c r="B103" s="6"/>
      <c r="C103" s="6" t="s">
        <v>116</v>
      </c>
      <c r="D103" s="6"/>
      <c r="E103" s="10"/>
      <c r="F103" s="8">
        <v>29.947707600000001</v>
      </c>
      <c r="G103" s="9">
        <v>3.5129319999999999E-3</v>
      </c>
      <c r="H103" s="8">
        <v>3.5655822479098256</v>
      </c>
    </row>
    <row r="104" spans="1:8" x14ac:dyDescent="0.2">
      <c r="A104" s="3"/>
      <c r="B104" s="3"/>
      <c r="C104" s="4" t="s">
        <v>97</v>
      </c>
      <c r="D104" s="3"/>
      <c r="E104" s="3" t="s">
        <v>98</v>
      </c>
      <c r="F104" s="11">
        <v>85.436270899999997</v>
      </c>
      <c r="G104" s="12">
        <v>1.0021863000000001E-2</v>
      </c>
      <c r="H104" s="97"/>
    </row>
    <row r="105" spans="1:8" x14ac:dyDescent="0.2">
      <c r="A105" s="3"/>
      <c r="B105" s="3"/>
      <c r="C105" s="13"/>
      <c r="D105" s="3"/>
      <c r="E105" s="3"/>
      <c r="F105" s="14"/>
      <c r="G105" s="14"/>
      <c r="H105" s="97"/>
    </row>
    <row r="106" spans="1:8" x14ac:dyDescent="0.2">
      <c r="A106" s="3"/>
      <c r="B106" s="3"/>
      <c r="C106" s="4" t="s">
        <v>117</v>
      </c>
      <c r="D106" s="3"/>
      <c r="E106" s="3"/>
      <c r="F106" s="11">
        <v>85.436270899999997</v>
      </c>
      <c r="G106" s="12">
        <v>1.0021863000000001E-2</v>
      </c>
      <c r="H106" s="97"/>
    </row>
    <row r="107" spans="1:8" x14ac:dyDescent="0.2">
      <c r="A107" s="3"/>
      <c r="B107" s="3"/>
      <c r="C107" s="14"/>
      <c r="D107" s="3"/>
      <c r="E107" s="3"/>
      <c r="F107" s="3"/>
      <c r="G107" s="3"/>
      <c r="H107" s="97"/>
    </row>
    <row r="108" spans="1:8" x14ac:dyDescent="0.2">
      <c r="A108" s="3"/>
      <c r="B108" s="3"/>
      <c r="C108" s="4" t="s">
        <v>118</v>
      </c>
      <c r="D108" s="3"/>
      <c r="E108" s="3"/>
      <c r="F108" s="3"/>
      <c r="G108" s="3"/>
      <c r="H108" s="97"/>
    </row>
    <row r="109" spans="1:8" x14ac:dyDescent="0.2">
      <c r="A109" s="3"/>
      <c r="B109" s="3"/>
      <c r="C109" s="4" t="s">
        <v>119</v>
      </c>
      <c r="D109" s="3"/>
      <c r="E109" s="3"/>
      <c r="F109" s="3"/>
      <c r="G109" s="3"/>
      <c r="H109" s="97"/>
    </row>
    <row r="110" spans="1:8" x14ac:dyDescent="0.2">
      <c r="A110" s="3"/>
      <c r="B110" s="3"/>
      <c r="C110" s="4" t="s">
        <v>97</v>
      </c>
      <c r="D110" s="3"/>
      <c r="E110" s="3" t="s">
        <v>98</v>
      </c>
      <c r="F110" s="15">
        <v>0</v>
      </c>
      <c r="G110" s="16">
        <v>0</v>
      </c>
      <c r="H110" s="97"/>
    </row>
    <row r="111" spans="1:8" x14ac:dyDescent="0.2">
      <c r="A111" s="3"/>
      <c r="B111" s="3"/>
      <c r="C111" s="13"/>
      <c r="D111" s="3"/>
      <c r="E111" s="3"/>
      <c r="F111" s="14"/>
      <c r="G111" s="14"/>
      <c r="H111" s="97"/>
    </row>
    <row r="112" spans="1:8" x14ac:dyDescent="0.2">
      <c r="A112" s="3"/>
      <c r="B112" s="3"/>
      <c r="C112" s="4" t="s">
        <v>120</v>
      </c>
      <c r="D112" s="3"/>
      <c r="E112" s="3"/>
      <c r="F112" s="3"/>
      <c r="G112" s="3"/>
      <c r="H112" s="97"/>
    </row>
    <row r="113" spans="1:8" x14ac:dyDescent="0.2">
      <c r="A113" s="3"/>
      <c r="B113" s="3"/>
      <c r="C113" s="4" t="s">
        <v>121</v>
      </c>
      <c r="D113" s="3"/>
      <c r="E113" s="3"/>
      <c r="F113" s="3"/>
      <c r="G113" s="3"/>
      <c r="H113" s="97"/>
    </row>
    <row r="114" spans="1:8" x14ac:dyDescent="0.2">
      <c r="A114" s="3"/>
      <c r="B114" s="3"/>
      <c r="C114" s="4" t="s">
        <v>97</v>
      </c>
      <c r="D114" s="3"/>
      <c r="E114" s="3" t="s">
        <v>98</v>
      </c>
      <c r="F114" s="15">
        <v>0</v>
      </c>
      <c r="G114" s="16">
        <v>0</v>
      </c>
      <c r="H114" s="97"/>
    </row>
    <row r="115" spans="1:8" x14ac:dyDescent="0.2">
      <c r="A115" s="3"/>
      <c r="B115" s="3"/>
      <c r="C115" s="13"/>
      <c r="D115" s="3"/>
      <c r="E115" s="3"/>
      <c r="F115" s="14"/>
      <c r="G115" s="14"/>
      <c r="H115" s="97"/>
    </row>
    <row r="116" spans="1:8" x14ac:dyDescent="0.2">
      <c r="A116" s="3"/>
      <c r="B116" s="3"/>
      <c r="C116" s="13"/>
      <c r="D116" s="3"/>
      <c r="E116" s="3"/>
      <c r="F116" s="14"/>
      <c r="G116" s="14"/>
      <c r="H116" s="97"/>
    </row>
    <row r="117" spans="1:8" ht="25.5" x14ac:dyDescent="0.2">
      <c r="A117" s="3"/>
      <c r="B117" s="3"/>
      <c r="C117" s="4" t="s">
        <v>122</v>
      </c>
      <c r="D117" s="3"/>
      <c r="E117" s="3"/>
      <c r="F117" s="14"/>
      <c r="G117" s="14"/>
      <c r="H117" s="97"/>
    </row>
    <row r="118" spans="1:8" x14ac:dyDescent="0.2">
      <c r="A118" s="3"/>
      <c r="B118" s="3"/>
      <c r="C118" s="4" t="s">
        <v>97</v>
      </c>
      <c r="D118" s="3"/>
      <c r="E118" s="3" t="s">
        <v>98</v>
      </c>
      <c r="F118" s="15">
        <v>0</v>
      </c>
      <c r="G118" s="16">
        <v>0</v>
      </c>
      <c r="H118" s="97"/>
    </row>
    <row r="119" spans="1:8" x14ac:dyDescent="0.2">
      <c r="A119" s="3"/>
      <c r="B119" s="3"/>
      <c r="C119" s="13"/>
      <c r="D119" s="3"/>
      <c r="E119" s="3"/>
      <c r="F119" s="14"/>
      <c r="G119" s="14"/>
      <c r="H119" s="97"/>
    </row>
    <row r="120" spans="1:8" x14ac:dyDescent="0.2">
      <c r="A120" s="3"/>
      <c r="B120" s="6"/>
      <c r="C120" s="6"/>
      <c r="D120" s="4"/>
      <c r="E120" s="3"/>
      <c r="F120" s="6"/>
      <c r="G120" s="10"/>
      <c r="H120" s="97"/>
    </row>
    <row r="121" spans="1:8" x14ac:dyDescent="0.2">
      <c r="A121" s="10"/>
      <c r="B121" s="6"/>
      <c r="C121" s="6" t="s">
        <v>123</v>
      </c>
      <c r="D121" s="6"/>
      <c r="E121" s="10"/>
      <c r="F121" s="8">
        <v>-7.3184661000000002</v>
      </c>
      <c r="G121" s="9">
        <v>-8.5847199999999999E-4</v>
      </c>
      <c r="H121" s="97"/>
    </row>
    <row r="122" spans="1:8" x14ac:dyDescent="0.2">
      <c r="A122" s="13"/>
      <c r="B122" s="13"/>
      <c r="C122" s="4" t="s">
        <v>124</v>
      </c>
      <c r="D122" s="17"/>
      <c r="E122" s="17"/>
      <c r="F122" s="11">
        <v>8524.9888532999994</v>
      </c>
      <c r="G122" s="12">
        <v>1.0000000019999999</v>
      </c>
      <c r="H122" s="97"/>
    </row>
    <row r="123" spans="1:8" ht="14.1" customHeight="1" x14ac:dyDescent="0.2">
      <c r="A123" s="20"/>
      <c r="B123" s="226" t="s">
        <v>98</v>
      </c>
      <c r="C123" s="226"/>
      <c r="D123" s="226"/>
      <c r="E123" s="226"/>
      <c r="F123" s="226"/>
      <c r="G123" s="22"/>
    </row>
    <row r="124" spans="1:8" ht="14.1" customHeight="1" x14ac:dyDescent="0.2">
      <c r="A124" s="20"/>
      <c r="B124" s="20"/>
      <c r="C124" s="20"/>
      <c r="D124" s="22"/>
      <c r="E124" s="22"/>
      <c r="F124" s="22"/>
      <c r="G124" s="22"/>
    </row>
    <row r="125" spans="1:8" ht="14.1" customHeight="1" x14ac:dyDescent="0.2">
      <c r="A125" s="20"/>
      <c r="B125" s="224" t="s">
        <v>126</v>
      </c>
      <c r="C125" s="225"/>
      <c r="D125" s="14" t="s">
        <v>98</v>
      </c>
      <c r="E125" s="23"/>
      <c r="F125" s="22"/>
      <c r="G125" s="22"/>
    </row>
    <row r="126" spans="1:8" ht="29.1" customHeight="1" x14ac:dyDescent="0.2">
      <c r="A126" s="20"/>
      <c r="B126" s="231" t="s">
        <v>127</v>
      </c>
      <c r="C126" s="232"/>
      <c r="D126" s="4" t="s">
        <v>128</v>
      </c>
      <c r="E126" s="23"/>
      <c r="F126" s="22"/>
      <c r="G126" s="22"/>
    </row>
    <row r="127" spans="1:8" ht="17.100000000000001" customHeight="1" x14ac:dyDescent="0.2">
      <c r="A127" s="20"/>
      <c r="B127" s="231" t="s">
        <v>129</v>
      </c>
      <c r="C127" s="232"/>
      <c r="D127" s="4" t="s">
        <v>128</v>
      </c>
      <c r="E127" s="23"/>
      <c r="F127" s="22"/>
      <c r="G127" s="22"/>
    </row>
    <row r="128" spans="1:8" ht="17.100000000000001" customHeight="1" x14ac:dyDescent="0.2">
      <c r="A128" s="20"/>
      <c r="B128" s="231" t="s">
        <v>130</v>
      </c>
      <c r="C128" s="232"/>
      <c r="D128" s="14" t="s">
        <v>98</v>
      </c>
      <c r="E128" s="23"/>
      <c r="F128" s="22"/>
      <c r="G128" s="22"/>
    </row>
    <row r="129" spans="1:17" ht="24" customHeight="1" x14ac:dyDescent="0.2">
      <c r="A129" s="24"/>
      <c r="B129" s="25" t="s">
        <v>98</v>
      </c>
      <c r="C129" s="25" t="s">
        <v>131</v>
      </c>
      <c r="D129" s="25" t="s">
        <v>132</v>
      </c>
      <c r="E129" s="24"/>
      <c r="F129" s="24"/>
      <c r="G129" s="24"/>
    </row>
    <row r="130" spans="1:17" ht="18" customHeight="1" x14ac:dyDescent="0.2">
      <c r="A130" s="24"/>
      <c r="B130" s="25" t="s">
        <v>133</v>
      </c>
      <c r="C130" s="25" t="s">
        <v>134</v>
      </c>
      <c r="D130" s="25" t="s">
        <v>135</v>
      </c>
      <c r="E130" s="24"/>
      <c r="F130" s="24"/>
      <c r="G130" s="24"/>
    </row>
    <row r="131" spans="1:17" ht="17.100000000000001" customHeight="1" x14ac:dyDescent="0.2">
      <c r="A131" s="24"/>
      <c r="B131" s="6" t="s">
        <v>136</v>
      </c>
      <c r="C131" s="26">
        <v>16.916899999999998</v>
      </c>
      <c r="D131" s="26">
        <v>17.441099999999999</v>
      </c>
      <c r="E131" s="24"/>
      <c r="F131" s="21"/>
      <c r="G131" s="27"/>
    </row>
    <row r="132" spans="1:17" ht="17.100000000000001" customHeight="1" x14ac:dyDescent="0.2">
      <c r="A132" s="24"/>
      <c r="B132" s="6" t="s">
        <v>1201</v>
      </c>
      <c r="C132" s="26">
        <v>16.1005</v>
      </c>
      <c r="D132" s="26">
        <v>16.599399999999999</v>
      </c>
      <c r="E132" s="24"/>
      <c r="F132" s="21"/>
      <c r="G132" s="27"/>
    </row>
    <row r="133" spans="1:17" ht="17.100000000000001" customHeight="1" x14ac:dyDescent="0.2">
      <c r="A133" s="24"/>
      <c r="B133" s="6" t="s">
        <v>137</v>
      </c>
      <c r="C133" s="26">
        <v>16.5732</v>
      </c>
      <c r="D133" s="26">
        <v>17.078600000000002</v>
      </c>
      <c r="E133" s="24"/>
      <c r="F133" s="21"/>
      <c r="G133" s="27"/>
    </row>
    <row r="134" spans="1:17" ht="17.100000000000001" customHeight="1" x14ac:dyDescent="0.2">
      <c r="A134" s="24"/>
      <c r="B134" s="6" t="s">
        <v>1202</v>
      </c>
      <c r="C134" s="26">
        <v>15.9542</v>
      </c>
      <c r="D134" s="26">
        <v>16.440799999999999</v>
      </c>
      <c r="E134" s="24"/>
      <c r="F134" s="21"/>
      <c r="G134" s="27"/>
    </row>
    <row r="135" spans="1:17" ht="14.1" customHeight="1" x14ac:dyDescent="0.2">
      <c r="A135" s="24"/>
      <c r="B135" s="24"/>
      <c r="C135" s="24"/>
      <c r="D135" s="24"/>
      <c r="E135" s="24"/>
      <c r="F135" s="24"/>
      <c r="G135" s="24"/>
    </row>
    <row r="136" spans="1:17" ht="17.100000000000001" customHeight="1" x14ac:dyDescent="0.2">
      <c r="A136" s="24"/>
      <c r="B136" s="231" t="s">
        <v>1203</v>
      </c>
      <c r="C136" s="232"/>
      <c r="D136" s="4" t="s">
        <v>128</v>
      </c>
      <c r="E136" s="24"/>
      <c r="F136" s="24"/>
      <c r="G136" s="24"/>
    </row>
    <row r="137" spans="1:17" ht="18" customHeight="1" x14ac:dyDescent="0.2">
      <c r="A137" s="24"/>
      <c r="B137" s="28"/>
      <c r="C137" s="28"/>
      <c r="D137" s="29"/>
      <c r="E137" s="24"/>
      <c r="F137" s="24"/>
      <c r="G137" s="24"/>
    </row>
    <row r="138" spans="1:17" s="87" customFormat="1" x14ac:dyDescent="0.2">
      <c r="B138" s="233" t="s">
        <v>1207</v>
      </c>
      <c r="C138" s="233"/>
      <c r="D138" s="233"/>
      <c r="E138" s="233"/>
      <c r="F138" s="233"/>
      <c r="I138"/>
      <c r="J138"/>
      <c r="K138"/>
      <c r="L138"/>
      <c r="M138"/>
      <c r="N138"/>
      <c r="O138"/>
      <c r="P138" s="69"/>
      <c r="Q138" s="69"/>
    </row>
    <row r="139" spans="1:17" ht="14.1" customHeight="1" x14ac:dyDescent="0.2">
      <c r="A139" s="24"/>
      <c r="B139" s="21"/>
      <c r="C139" s="21"/>
      <c r="D139" s="24"/>
      <c r="E139" s="24"/>
      <c r="F139" s="24"/>
      <c r="G139" s="24"/>
    </row>
    <row r="140" spans="1:17" ht="29.1" customHeight="1" x14ac:dyDescent="0.2">
      <c r="A140" s="24"/>
      <c r="B140" s="231" t="s">
        <v>138</v>
      </c>
      <c r="C140" s="232"/>
      <c r="D140" s="4" t="s">
        <v>128</v>
      </c>
      <c r="E140" s="24"/>
      <c r="F140" s="24"/>
      <c r="G140" s="24"/>
      <c r="I140" s="87"/>
      <c r="J140" s="87"/>
      <c r="K140" s="87"/>
      <c r="L140" s="87"/>
      <c r="M140" s="87"/>
      <c r="N140" s="87"/>
      <c r="O140" s="87"/>
    </row>
    <row r="141" spans="1:17" ht="29.1" customHeight="1" x14ac:dyDescent="0.2">
      <c r="A141" s="24"/>
      <c r="B141" s="231" t="s">
        <v>139</v>
      </c>
      <c r="C141" s="232"/>
      <c r="D141" s="4" t="s">
        <v>128</v>
      </c>
      <c r="E141" s="24"/>
      <c r="F141" s="24"/>
      <c r="G141" s="24"/>
    </row>
    <row r="142" spans="1:17" ht="17.100000000000001" customHeight="1" x14ac:dyDescent="0.2">
      <c r="A142" s="24"/>
      <c r="B142" s="231" t="s">
        <v>140</v>
      </c>
      <c r="C142" s="232"/>
      <c r="D142" s="30">
        <v>0.32548226717400186</v>
      </c>
      <c r="E142" s="24"/>
      <c r="F142" s="21"/>
      <c r="G142" s="27"/>
    </row>
    <row r="143" spans="1:17" ht="17.100000000000001" customHeight="1" x14ac:dyDescent="0.2">
      <c r="A143" s="24"/>
      <c r="B143" s="231" t="s">
        <v>141</v>
      </c>
      <c r="C143" s="232"/>
      <c r="D143" s="4" t="s">
        <v>128</v>
      </c>
      <c r="E143" s="24"/>
      <c r="F143" s="24"/>
      <c r="G143" s="24"/>
    </row>
  </sheetData>
  <mergeCells count="15">
    <mergeCell ref="B142:C142"/>
    <mergeCell ref="B143:C143"/>
    <mergeCell ref="B126:C126"/>
    <mergeCell ref="B127:C127"/>
    <mergeCell ref="B128:C128"/>
    <mergeCell ref="B136:C136"/>
    <mergeCell ref="B140:C140"/>
    <mergeCell ref="B141:C141"/>
    <mergeCell ref="B138:F138"/>
    <mergeCell ref="J2:N2"/>
    <mergeCell ref="B125:C125"/>
    <mergeCell ref="B123:F123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>
    <outlinePr summaryBelow="0" summaryRight="0"/>
  </sheetPr>
  <dimension ref="A1:Q194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5" ht="15" x14ac:dyDescent="0.2">
      <c r="A1" s="227" t="s">
        <v>0</v>
      </c>
      <c r="B1" s="227"/>
      <c r="C1" s="227"/>
      <c r="D1" s="227"/>
      <c r="E1" s="227"/>
      <c r="F1" s="227"/>
      <c r="G1" s="227"/>
      <c r="H1" s="227"/>
    </row>
    <row r="2" spans="1:15" s="87" customFormat="1" ht="15" x14ac:dyDescent="0.2">
      <c r="A2" s="228" t="s">
        <v>1280</v>
      </c>
      <c r="B2" s="229"/>
      <c r="C2" s="229"/>
      <c r="D2" s="229"/>
      <c r="E2" s="229"/>
      <c r="F2" s="229"/>
      <c r="G2" s="229"/>
      <c r="H2" s="230"/>
      <c r="I2"/>
      <c r="J2" s="223" t="s">
        <v>1238</v>
      </c>
      <c r="K2" s="223"/>
      <c r="L2" s="223"/>
      <c r="M2" s="223"/>
      <c r="N2" s="223"/>
      <c r="O2"/>
    </row>
    <row r="3" spans="1:15" ht="15" x14ac:dyDescent="0.2">
      <c r="A3" s="227" t="s">
        <v>1208</v>
      </c>
      <c r="B3" s="227"/>
      <c r="C3" s="227"/>
      <c r="D3" s="227"/>
      <c r="E3" s="227"/>
      <c r="F3" s="227"/>
      <c r="G3" s="227"/>
      <c r="H3" s="227"/>
    </row>
    <row r="4" spans="1:15" s="113" customFormat="1" ht="30" x14ac:dyDescent="0.2">
      <c r="A4" s="1" t="s">
        <v>2</v>
      </c>
      <c r="B4" s="1" t="s">
        <v>3</v>
      </c>
      <c r="C4" s="1" t="s">
        <v>4</v>
      </c>
      <c r="D4" s="1" t="s">
        <v>5</v>
      </c>
      <c r="E4" s="2" t="s">
        <v>6</v>
      </c>
      <c r="F4" s="2" t="s">
        <v>7</v>
      </c>
      <c r="G4" s="2" t="s">
        <v>8</v>
      </c>
      <c r="H4" s="96" t="s">
        <v>1167</v>
      </c>
      <c r="I4" s="183"/>
      <c r="J4" s="183"/>
      <c r="K4" s="183"/>
      <c r="L4" s="183"/>
      <c r="M4" s="183"/>
      <c r="N4" s="183"/>
      <c r="O4" s="183"/>
    </row>
    <row r="5" spans="1:15" ht="14.1" customHeight="1" x14ac:dyDescent="0.2">
      <c r="A5" s="3"/>
      <c r="B5" s="3"/>
      <c r="C5" s="4" t="s">
        <v>9</v>
      </c>
      <c r="D5" s="3"/>
      <c r="E5" s="3"/>
      <c r="F5" s="3"/>
      <c r="G5" s="3"/>
      <c r="H5" s="97"/>
    </row>
    <row r="6" spans="1:15" ht="24" customHeight="1" x14ac:dyDescent="0.2">
      <c r="A6" s="3"/>
      <c r="B6" s="3"/>
      <c r="C6" s="4" t="s">
        <v>10</v>
      </c>
      <c r="D6" s="3"/>
      <c r="E6" s="3"/>
      <c r="F6" s="3"/>
      <c r="G6" s="3"/>
      <c r="H6" s="97"/>
    </row>
    <row r="7" spans="1:15" x14ac:dyDescent="0.2">
      <c r="A7" s="5">
        <v>1</v>
      </c>
      <c r="B7" s="6" t="s">
        <v>409</v>
      </c>
      <c r="C7" s="6" t="s">
        <v>410</v>
      </c>
      <c r="D7" s="6" t="s">
        <v>147</v>
      </c>
      <c r="E7" s="7">
        <v>1347587</v>
      </c>
      <c r="F7" s="8">
        <v>25439.073592499997</v>
      </c>
      <c r="G7" s="9">
        <v>4.9882135429169347E-2</v>
      </c>
      <c r="H7" s="97"/>
    </row>
    <row r="8" spans="1:15" x14ac:dyDescent="0.2">
      <c r="A8" s="5">
        <v>2</v>
      </c>
      <c r="B8" s="6" t="s">
        <v>23</v>
      </c>
      <c r="C8" s="6" t="s">
        <v>24</v>
      </c>
      <c r="D8" s="6" t="s">
        <v>25</v>
      </c>
      <c r="E8" s="7">
        <v>3131904</v>
      </c>
      <c r="F8" s="8">
        <v>23180.787455999998</v>
      </c>
      <c r="G8" s="9">
        <v>4.5453981452213216E-2</v>
      </c>
      <c r="H8" s="97"/>
    </row>
    <row r="9" spans="1:15" x14ac:dyDescent="0.2">
      <c r="A9" s="5">
        <v>3</v>
      </c>
      <c r="B9" s="6" t="s">
        <v>411</v>
      </c>
      <c r="C9" s="6" t="s">
        <v>412</v>
      </c>
      <c r="D9" s="6" t="s">
        <v>25</v>
      </c>
      <c r="E9" s="7">
        <v>1354413</v>
      </c>
      <c r="F9" s="8">
        <v>20037.185922000001</v>
      </c>
      <c r="G9" s="9">
        <v>3.9289859284629122E-2</v>
      </c>
      <c r="H9" s="97"/>
    </row>
    <row r="10" spans="1:15" x14ac:dyDescent="0.2">
      <c r="A10" s="5">
        <v>4</v>
      </c>
      <c r="B10" s="6" t="s">
        <v>14</v>
      </c>
      <c r="C10" s="6" t="s">
        <v>15</v>
      </c>
      <c r="D10" s="6" t="s">
        <v>16</v>
      </c>
      <c r="E10" s="7">
        <v>651371</v>
      </c>
      <c r="F10" s="8">
        <v>15425.4423365</v>
      </c>
      <c r="G10" s="9">
        <v>3.0246934932056158E-2</v>
      </c>
      <c r="H10" s="97"/>
    </row>
    <row r="11" spans="1:15" x14ac:dyDescent="0.2">
      <c r="A11" s="5">
        <v>5</v>
      </c>
      <c r="B11" s="6" t="s">
        <v>11</v>
      </c>
      <c r="C11" s="6" t="s">
        <v>12</v>
      </c>
      <c r="D11" s="6" t="s">
        <v>13</v>
      </c>
      <c r="E11" s="7">
        <v>746883</v>
      </c>
      <c r="F11" s="8">
        <v>14160.154796999999</v>
      </c>
      <c r="G11" s="9">
        <v>2.7765899442588202E-2</v>
      </c>
      <c r="H11" s="97"/>
    </row>
    <row r="12" spans="1:15" x14ac:dyDescent="0.2">
      <c r="A12" s="5">
        <v>6</v>
      </c>
      <c r="B12" s="6" t="s">
        <v>434</v>
      </c>
      <c r="C12" s="6" t="s">
        <v>435</v>
      </c>
      <c r="D12" s="6" t="s">
        <v>238</v>
      </c>
      <c r="E12" s="7">
        <v>1685076</v>
      </c>
      <c r="F12" s="8">
        <v>12529.382598</v>
      </c>
      <c r="G12" s="9">
        <v>2.4568204393322534E-2</v>
      </c>
      <c r="H12" s="97"/>
    </row>
    <row r="13" spans="1:15" x14ac:dyDescent="0.2">
      <c r="A13" s="5">
        <v>7</v>
      </c>
      <c r="B13" s="6" t="s">
        <v>367</v>
      </c>
      <c r="C13" s="6" t="s">
        <v>368</v>
      </c>
      <c r="D13" s="6" t="s">
        <v>147</v>
      </c>
      <c r="E13" s="7">
        <v>339977</v>
      </c>
      <c r="F13" s="8">
        <v>11547.998759</v>
      </c>
      <c r="G13" s="9">
        <v>2.2643860671174229E-2</v>
      </c>
      <c r="H13" s="97"/>
    </row>
    <row r="14" spans="1:15" x14ac:dyDescent="0.2">
      <c r="A14" s="5">
        <v>8</v>
      </c>
      <c r="B14" s="6" t="s">
        <v>381</v>
      </c>
      <c r="C14" s="6" t="s">
        <v>382</v>
      </c>
      <c r="D14" s="6" t="s">
        <v>1183</v>
      </c>
      <c r="E14" s="7">
        <v>68182</v>
      </c>
      <c r="F14" s="8">
        <v>11186.075284</v>
      </c>
      <c r="G14" s="9">
        <v>2.1934184049920688E-2</v>
      </c>
      <c r="H14" s="97"/>
    </row>
    <row r="15" spans="1:15" ht="25.5" x14ac:dyDescent="0.2">
      <c r="A15" s="5">
        <v>9</v>
      </c>
      <c r="B15" s="6" t="s">
        <v>413</v>
      </c>
      <c r="C15" s="6" t="s">
        <v>414</v>
      </c>
      <c r="D15" s="6" t="s">
        <v>81</v>
      </c>
      <c r="E15" s="7">
        <v>406141</v>
      </c>
      <c r="F15" s="8">
        <v>10504.633894499999</v>
      </c>
      <c r="G15" s="9">
        <v>2.059798163065877E-2</v>
      </c>
      <c r="H15" s="97"/>
    </row>
    <row r="16" spans="1:15" ht="15" x14ac:dyDescent="0.2">
      <c r="A16" s="5">
        <v>10</v>
      </c>
      <c r="B16" s="6" t="s">
        <v>359</v>
      </c>
      <c r="C16" s="6" t="s">
        <v>360</v>
      </c>
      <c r="D16" s="6" t="s">
        <v>70</v>
      </c>
      <c r="E16" s="7">
        <v>184208</v>
      </c>
      <c r="F16" s="8">
        <v>10149.031864</v>
      </c>
      <c r="G16" s="9">
        <v>1.990070039595539E-2</v>
      </c>
      <c r="H16" s="97"/>
      <c r="J16" s="184" t="s">
        <v>1265</v>
      </c>
    </row>
    <row r="17" spans="1:10" x14ac:dyDescent="0.2">
      <c r="A17" s="5">
        <v>11</v>
      </c>
      <c r="B17" s="6" t="s">
        <v>415</v>
      </c>
      <c r="C17" s="6" t="s">
        <v>416</v>
      </c>
      <c r="D17" s="6" t="s">
        <v>25</v>
      </c>
      <c r="E17" s="7">
        <v>2191327</v>
      </c>
      <c r="F17" s="8">
        <v>10089.9651715</v>
      </c>
      <c r="G17" s="9">
        <v>1.9784879639200052E-2</v>
      </c>
      <c r="H17" s="97"/>
    </row>
    <row r="18" spans="1:10" x14ac:dyDescent="0.2">
      <c r="A18" s="5">
        <v>12</v>
      </c>
      <c r="B18" s="6" t="s">
        <v>444</v>
      </c>
      <c r="C18" s="6" t="s">
        <v>445</v>
      </c>
      <c r="D18" s="6" t="s">
        <v>193</v>
      </c>
      <c r="E18" s="7">
        <v>212046</v>
      </c>
      <c r="F18" s="8">
        <v>9919.9359720000011</v>
      </c>
      <c r="G18" s="9">
        <v>1.9451478364757704E-2</v>
      </c>
      <c r="H18" s="97"/>
    </row>
    <row r="19" spans="1:10" x14ac:dyDescent="0.2">
      <c r="A19" s="5">
        <v>13</v>
      </c>
      <c r="B19" s="6" t="s">
        <v>375</v>
      </c>
      <c r="C19" s="6" t="s">
        <v>376</v>
      </c>
      <c r="D19" s="6" t="s">
        <v>238</v>
      </c>
      <c r="E19" s="7">
        <v>805172</v>
      </c>
      <c r="F19" s="8">
        <v>9862.1492419999995</v>
      </c>
      <c r="G19" s="9">
        <v>1.9338167418846579E-2</v>
      </c>
      <c r="H19" s="97"/>
    </row>
    <row r="20" spans="1:10" x14ac:dyDescent="0.2">
      <c r="A20" s="5">
        <v>14</v>
      </c>
      <c r="B20" s="6" t="s">
        <v>315</v>
      </c>
      <c r="C20" s="6" t="s">
        <v>316</v>
      </c>
      <c r="D20" s="6" t="s">
        <v>25</v>
      </c>
      <c r="E20" s="7">
        <v>1371950</v>
      </c>
      <c r="F20" s="8">
        <v>9309.3667249999999</v>
      </c>
      <c r="G20" s="9">
        <v>1.8254245385459302E-2</v>
      </c>
      <c r="H20" s="97"/>
    </row>
    <row r="21" spans="1:10" x14ac:dyDescent="0.2">
      <c r="A21" s="5">
        <v>15</v>
      </c>
      <c r="B21" s="6" t="s">
        <v>305</v>
      </c>
      <c r="C21" s="6" t="s">
        <v>306</v>
      </c>
      <c r="D21" s="6" t="s">
        <v>1183</v>
      </c>
      <c r="E21" s="7">
        <v>897373</v>
      </c>
      <c r="F21" s="8">
        <v>8797.3962054999993</v>
      </c>
      <c r="G21" s="9">
        <v>1.7250349441820443E-2</v>
      </c>
      <c r="H21" s="97"/>
    </row>
    <row r="22" spans="1:10" x14ac:dyDescent="0.2">
      <c r="A22" s="5">
        <v>16</v>
      </c>
      <c r="B22" s="6" t="s">
        <v>401</v>
      </c>
      <c r="C22" s="6" t="s">
        <v>402</v>
      </c>
      <c r="D22" s="6" t="s">
        <v>19</v>
      </c>
      <c r="E22" s="7">
        <v>374960</v>
      </c>
      <c r="F22" s="8">
        <v>8555.8372799999997</v>
      </c>
      <c r="G22" s="9">
        <v>1.6776689306670395E-2</v>
      </c>
      <c r="H22" s="97"/>
    </row>
    <row r="23" spans="1:10" ht="25.5" x14ac:dyDescent="0.2">
      <c r="A23" s="5">
        <v>17</v>
      </c>
      <c r="B23" s="6" t="s">
        <v>319</v>
      </c>
      <c r="C23" s="6" t="s">
        <v>320</v>
      </c>
      <c r="D23" s="6" t="s">
        <v>202</v>
      </c>
      <c r="E23" s="7">
        <v>900646</v>
      </c>
      <c r="F23" s="8">
        <v>8000.4384179999997</v>
      </c>
      <c r="G23" s="9">
        <v>1.5687637020597427E-2</v>
      </c>
      <c r="H23" s="97"/>
    </row>
    <row r="24" spans="1:10" x14ac:dyDescent="0.2">
      <c r="A24" s="5">
        <v>18</v>
      </c>
      <c r="B24" s="6" t="s">
        <v>462</v>
      </c>
      <c r="C24" s="6" t="s">
        <v>463</v>
      </c>
      <c r="D24" s="6" t="s">
        <v>81</v>
      </c>
      <c r="E24" s="7">
        <v>113013</v>
      </c>
      <c r="F24" s="8">
        <v>7885.2560489999996</v>
      </c>
      <c r="G24" s="9">
        <v>1.546178199845525E-2</v>
      </c>
      <c r="H24" s="97"/>
    </row>
    <row r="25" spans="1:10" x14ac:dyDescent="0.2">
      <c r="A25" s="5">
        <v>19</v>
      </c>
      <c r="B25" s="6" t="s">
        <v>429</v>
      </c>
      <c r="C25" s="6" t="s">
        <v>430</v>
      </c>
      <c r="D25" s="6" t="s">
        <v>431</v>
      </c>
      <c r="E25" s="7">
        <v>1649310</v>
      </c>
      <c r="F25" s="8">
        <v>7843.293705</v>
      </c>
      <c r="G25" s="9">
        <v>1.5379500255029243E-2</v>
      </c>
      <c r="H25" s="97"/>
    </row>
    <row r="26" spans="1:10" ht="25.5" x14ac:dyDescent="0.2">
      <c r="A26" s="5">
        <v>20</v>
      </c>
      <c r="B26" s="6" t="s">
        <v>28</v>
      </c>
      <c r="C26" s="6" t="s">
        <v>29</v>
      </c>
      <c r="D26" s="6" t="s">
        <v>1185</v>
      </c>
      <c r="E26" s="7">
        <v>103151</v>
      </c>
      <c r="F26" s="8">
        <v>7830.2439854999993</v>
      </c>
      <c r="G26" s="9">
        <v>1.5353911749494844E-2</v>
      </c>
      <c r="H26" s="97"/>
    </row>
    <row r="27" spans="1:10" x14ac:dyDescent="0.2">
      <c r="A27" s="5">
        <v>21</v>
      </c>
      <c r="B27" s="6" t="s">
        <v>76</v>
      </c>
      <c r="C27" s="6" t="s">
        <v>77</v>
      </c>
      <c r="D27" s="6" t="s">
        <v>78</v>
      </c>
      <c r="E27" s="7">
        <v>6352636</v>
      </c>
      <c r="F27" s="8">
        <v>7778.8027819999998</v>
      </c>
      <c r="G27" s="9">
        <v>1.5253043411255399E-2</v>
      </c>
      <c r="H27" s="97"/>
    </row>
    <row r="28" spans="1:10" x14ac:dyDescent="0.2">
      <c r="A28" s="5">
        <v>22</v>
      </c>
      <c r="B28" s="6" t="s">
        <v>301</v>
      </c>
      <c r="C28" s="6" t="s">
        <v>302</v>
      </c>
      <c r="D28" s="6" t="s">
        <v>147</v>
      </c>
      <c r="E28" s="7">
        <v>149876</v>
      </c>
      <c r="F28" s="8">
        <v>7164.0727999999999</v>
      </c>
      <c r="G28" s="9">
        <v>1.4047651866512382E-2</v>
      </c>
      <c r="H28" s="97"/>
    </row>
    <row r="29" spans="1:10" x14ac:dyDescent="0.2">
      <c r="A29" s="5">
        <v>23</v>
      </c>
      <c r="B29" s="6" t="s">
        <v>464</v>
      </c>
      <c r="C29" s="6" t="s">
        <v>465</v>
      </c>
      <c r="D29" s="6" t="s">
        <v>19</v>
      </c>
      <c r="E29" s="7">
        <v>856506</v>
      </c>
      <c r="F29" s="8">
        <v>6901.2970949999999</v>
      </c>
      <c r="G29" s="9">
        <v>1.353238886935002E-2</v>
      </c>
      <c r="H29" s="97"/>
    </row>
    <row r="30" spans="1:10" ht="15" x14ac:dyDescent="0.2">
      <c r="A30" s="5">
        <v>24</v>
      </c>
      <c r="B30" s="6" t="s">
        <v>20</v>
      </c>
      <c r="C30" s="6" t="s">
        <v>21</v>
      </c>
      <c r="D30" s="6" t="s">
        <v>22</v>
      </c>
      <c r="E30" s="7">
        <v>1002403</v>
      </c>
      <c r="F30" s="8">
        <v>6854.4317140000003</v>
      </c>
      <c r="G30" s="9">
        <v>1.3440493019704347E-2</v>
      </c>
      <c r="H30" s="97"/>
      <c r="J30" s="184" t="s">
        <v>1266</v>
      </c>
    </row>
    <row r="31" spans="1:10" x14ac:dyDescent="0.2">
      <c r="A31" s="5">
        <v>25</v>
      </c>
      <c r="B31" s="6" t="s">
        <v>466</v>
      </c>
      <c r="C31" s="6" t="s">
        <v>467</v>
      </c>
      <c r="D31" s="6" t="s">
        <v>48</v>
      </c>
      <c r="E31" s="7">
        <v>302944</v>
      </c>
      <c r="F31" s="8">
        <v>6704.7566079999997</v>
      </c>
      <c r="G31" s="9">
        <v>1.3147003011873697E-2</v>
      </c>
      <c r="H31" s="97"/>
    </row>
    <row r="32" spans="1:10" x14ac:dyDescent="0.2">
      <c r="A32" s="5">
        <v>26</v>
      </c>
      <c r="B32" s="6" t="s">
        <v>468</v>
      </c>
      <c r="C32" s="6" t="s">
        <v>469</v>
      </c>
      <c r="D32" s="6" t="s">
        <v>78</v>
      </c>
      <c r="E32" s="7">
        <v>1355977</v>
      </c>
      <c r="F32" s="8">
        <v>6541.2330480000001</v>
      </c>
      <c r="G32" s="9">
        <v>1.2826358302225751E-2</v>
      </c>
      <c r="H32" s="97"/>
    </row>
    <row r="33" spans="1:8" x14ac:dyDescent="0.2">
      <c r="A33" s="5">
        <v>27</v>
      </c>
      <c r="B33" s="6" t="s">
        <v>90</v>
      </c>
      <c r="C33" s="6" t="s">
        <v>91</v>
      </c>
      <c r="D33" s="6" t="s">
        <v>19</v>
      </c>
      <c r="E33" s="7">
        <v>71500</v>
      </c>
      <c r="F33" s="8">
        <v>6280.8459999999995</v>
      </c>
      <c r="G33" s="9">
        <v>1.2315779096378923E-2</v>
      </c>
      <c r="H33" s="97"/>
    </row>
    <row r="34" spans="1:8" x14ac:dyDescent="0.2">
      <c r="A34" s="5">
        <v>28</v>
      </c>
      <c r="B34" s="6" t="s">
        <v>470</v>
      </c>
      <c r="C34" s="6" t="s">
        <v>471</v>
      </c>
      <c r="D34" s="6" t="s">
        <v>327</v>
      </c>
      <c r="E34" s="7">
        <v>133556</v>
      </c>
      <c r="F34" s="8">
        <v>6239.0017619999999</v>
      </c>
      <c r="G34" s="9">
        <v>1.2233728940768629E-2</v>
      </c>
      <c r="H34" s="97"/>
    </row>
    <row r="35" spans="1:8" x14ac:dyDescent="0.2">
      <c r="A35" s="5">
        <v>29</v>
      </c>
      <c r="B35" s="6" t="s">
        <v>82</v>
      </c>
      <c r="C35" s="6" t="s">
        <v>83</v>
      </c>
      <c r="D35" s="6" t="s">
        <v>73</v>
      </c>
      <c r="E35" s="7">
        <v>1283717</v>
      </c>
      <c r="F35" s="8">
        <v>6038.6047679999992</v>
      </c>
      <c r="G35" s="9">
        <v>1.1840781062460136E-2</v>
      </c>
      <c r="H35" s="97"/>
    </row>
    <row r="36" spans="1:8" ht="25.5" x14ac:dyDescent="0.2">
      <c r="A36" s="5">
        <v>30</v>
      </c>
      <c r="B36" s="6" t="s">
        <v>472</v>
      </c>
      <c r="C36" s="6" t="s">
        <v>473</v>
      </c>
      <c r="D36" s="6" t="s">
        <v>45</v>
      </c>
      <c r="E36" s="7">
        <v>360100</v>
      </c>
      <c r="F36" s="8">
        <v>5916.8031000000001</v>
      </c>
      <c r="G36" s="9">
        <v>1.1601946606614781E-2</v>
      </c>
      <c r="H36" s="97"/>
    </row>
    <row r="37" spans="1:8" x14ac:dyDescent="0.2">
      <c r="A37" s="5">
        <v>31</v>
      </c>
      <c r="B37" s="6" t="s">
        <v>274</v>
      </c>
      <c r="C37" s="6" t="s">
        <v>275</v>
      </c>
      <c r="D37" s="6" t="s">
        <v>185</v>
      </c>
      <c r="E37" s="7">
        <v>140588</v>
      </c>
      <c r="F37" s="8">
        <v>5888.5283799999997</v>
      </c>
      <c r="G37" s="9">
        <v>1.1546504201955923E-2</v>
      </c>
      <c r="H37" s="97"/>
    </row>
    <row r="38" spans="1:8" x14ac:dyDescent="0.2">
      <c r="A38" s="5">
        <v>32</v>
      </c>
      <c r="B38" s="6" t="s">
        <v>474</v>
      </c>
      <c r="C38" s="6" t="s">
        <v>475</v>
      </c>
      <c r="D38" s="6" t="s">
        <v>25</v>
      </c>
      <c r="E38" s="7">
        <v>2925547</v>
      </c>
      <c r="F38" s="8">
        <v>5849.6312264999997</v>
      </c>
      <c r="G38" s="9">
        <v>1.1470232828643482E-2</v>
      </c>
      <c r="H38" s="97"/>
    </row>
    <row r="39" spans="1:8" x14ac:dyDescent="0.2">
      <c r="A39" s="5">
        <v>33</v>
      </c>
      <c r="B39" s="6" t="s">
        <v>35</v>
      </c>
      <c r="C39" s="6" t="s">
        <v>36</v>
      </c>
      <c r="D39" s="6" t="s">
        <v>19</v>
      </c>
      <c r="E39" s="7">
        <v>226350</v>
      </c>
      <c r="F39" s="8">
        <v>5582.9227499999997</v>
      </c>
      <c r="G39" s="9">
        <v>1.0947258267620052E-2</v>
      </c>
      <c r="H39" s="97"/>
    </row>
    <row r="40" spans="1:8" x14ac:dyDescent="0.2">
      <c r="A40" s="5">
        <v>34</v>
      </c>
      <c r="B40" s="6" t="s">
        <v>476</v>
      </c>
      <c r="C40" s="6" t="s">
        <v>477</v>
      </c>
      <c r="D40" s="6" t="s">
        <v>174</v>
      </c>
      <c r="E40" s="7">
        <v>1743213</v>
      </c>
      <c r="F40" s="8">
        <v>5182.5722489999998</v>
      </c>
      <c r="G40" s="9">
        <v>1.0162232121231393E-2</v>
      </c>
      <c r="H40" s="97"/>
    </row>
    <row r="41" spans="1:8" x14ac:dyDescent="0.2">
      <c r="A41" s="5">
        <v>35</v>
      </c>
      <c r="B41" s="6" t="s">
        <v>417</v>
      </c>
      <c r="C41" s="6" t="s">
        <v>418</v>
      </c>
      <c r="D41" s="6" t="s">
        <v>147</v>
      </c>
      <c r="E41" s="7">
        <v>136282</v>
      </c>
      <c r="F41" s="8">
        <v>5094.6981470000001</v>
      </c>
      <c r="G41" s="9">
        <v>9.989924437119305E-3</v>
      </c>
      <c r="H41" s="97"/>
    </row>
    <row r="42" spans="1:8" x14ac:dyDescent="0.2">
      <c r="A42" s="5">
        <v>36</v>
      </c>
      <c r="B42" s="6" t="s">
        <v>354</v>
      </c>
      <c r="C42" s="6" t="s">
        <v>355</v>
      </c>
      <c r="D42" s="6" t="s">
        <v>356</v>
      </c>
      <c r="E42" s="7">
        <v>167631</v>
      </c>
      <c r="F42" s="8">
        <v>5086.2598019999996</v>
      </c>
      <c r="G42" s="9">
        <v>9.9733781322172213E-3</v>
      </c>
      <c r="H42" s="97"/>
    </row>
    <row r="43" spans="1:8" x14ac:dyDescent="0.2">
      <c r="A43" s="5">
        <v>37</v>
      </c>
      <c r="B43" s="6" t="s">
        <v>369</v>
      </c>
      <c r="C43" s="6" t="s">
        <v>370</v>
      </c>
      <c r="D43" s="6" t="s">
        <v>147</v>
      </c>
      <c r="E43" s="7">
        <v>378926</v>
      </c>
      <c r="F43" s="8">
        <v>4998.4128659999997</v>
      </c>
      <c r="G43" s="9">
        <v>9.8011237164793187E-3</v>
      </c>
      <c r="H43" s="97"/>
    </row>
    <row r="44" spans="1:8" x14ac:dyDescent="0.2">
      <c r="A44" s="5">
        <v>38</v>
      </c>
      <c r="B44" s="6" t="s">
        <v>39</v>
      </c>
      <c r="C44" s="6" t="s">
        <v>40</v>
      </c>
      <c r="D44" s="6" t="s">
        <v>16</v>
      </c>
      <c r="E44" s="7">
        <v>1227261</v>
      </c>
      <c r="F44" s="8">
        <v>4730.4775245000001</v>
      </c>
      <c r="G44" s="9">
        <v>9.2757434606942166E-3</v>
      </c>
      <c r="H44" s="97"/>
    </row>
    <row r="45" spans="1:8" x14ac:dyDescent="0.2">
      <c r="A45" s="5">
        <v>39</v>
      </c>
      <c r="B45" s="6" t="s">
        <v>454</v>
      </c>
      <c r="C45" s="6" t="s">
        <v>455</v>
      </c>
      <c r="D45" s="6" t="s">
        <v>238</v>
      </c>
      <c r="E45" s="7">
        <v>2081348</v>
      </c>
      <c r="F45" s="8">
        <v>4647.6500839999999</v>
      </c>
      <c r="G45" s="9">
        <v>9.113331508495982E-3</v>
      </c>
      <c r="H45" s="97"/>
    </row>
    <row r="46" spans="1:8" x14ac:dyDescent="0.2">
      <c r="A46" s="5">
        <v>40</v>
      </c>
      <c r="B46" s="6" t="s">
        <v>478</v>
      </c>
      <c r="C46" s="6" t="s">
        <v>479</v>
      </c>
      <c r="D46" s="6" t="s">
        <v>185</v>
      </c>
      <c r="E46" s="7">
        <v>51087</v>
      </c>
      <c r="F46" s="8">
        <v>4617.8050169999997</v>
      </c>
      <c r="G46" s="9">
        <v>9.0548098933682375E-3</v>
      </c>
      <c r="H46" s="97"/>
    </row>
    <row r="47" spans="1:8" x14ac:dyDescent="0.2">
      <c r="A47" s="5">
        <v>41</v>
      </c>
      <c r="B47" s="6" t="s">
        <v>480</v>
      </c>
      <c r="C47" s="6" t="s">
        <v>481</v>
      </c>
      <c r="D47" s="6" t="s">
        <v>70</v>
      </c>
      <c r="E47" s="7">
        <v>348399</v>
      </c>
      <c r="F47" s="8">
        <v>4575.8724659999998</v>
      </c>
      <c r="G47" s="9">
        <v>8.9725865694619284E-3</v>
      </c>
      <c r="H47" s="97"/>
    </row>
    <row r="48" spans="1:8" x14ac:dyDescent="0.2">
      <c r="A48" s="5">
        <v>42</v>
      </c>
      <c r="B48" s="6" t="s">
        <v>32</v>
      </c>
      <c r="C48" s="6" t="s">
        <v>33</v>
      </c>
      <c r="D48" s="6" t="s">
        <v>34</v>
      </c>
      <c r="E48" s="7">
        <v>2032467</v>
      </c>
      <c r="F48" s="8">
        <v>4490.7358365</v>
      </c>
      <c r="G48" s="9">
        <v>8.8056466505509641E-3</v>
      </c>
      <c r="H48" s="97"/>
    </row>
    <row r="49" spans="1:8" x14ac:dyDescent="0.2">
      <c r="A49" s="5">
        <v>43</v>
      </c>
      <c r="B49" s="6" t="s">
        <v>482</v>
      </c>
      <c r="C49" s="6" t="s">
        <v>483</v>
      </c>
      <c r="D49" s="6" t="s">
        <v>19</v>
      </c>
      <c r="E49" s="7">
        <v>114419</v>
      </c>
      <c r="F49" s="8">
        <v>4280.7580470000003</v>
      </c>
      <c r="G49" s="9">
        <v>8.3939122965120423E-3</v>
      </c>
      <c r="H49" s="97"/>
    </row>
    <row r="50" spans="1:8" x14ac:dyDescent="0.2">
      <c r="A50" s="5">
        <v>44</v>
      </c>
      <c r="B50" s="6" t="s">
        <v>421</v>
      </c>
      <c r="C50" s="6" t="s">
        <v>422</v>
      </c>
      <c r="D50" s="6" t="s">
        <v>147</v>
      </c>
      <c r="E50" s="7">
        <v>585900</v>
      </c>
      <c r="F50" s="8">
        <v>4191.2356499999996</v>
      </c>
      <c r="G50" s="9">
        <v>8.2183725578159582E-3</v>
      </c>
      <c r="H50" s="97"/>
    </row>
    <row r="51" spans="1:8" x14ac:dyDescent="0.2">
      <c r="A51" s="5">
        <v>45</v>
      </c>
      <c r="B51" s="6" t="s">
        <v>336</v>
      </c>
      <c r="C51" s="6" t="s">
        <v>337</v>
      </c>
      <c r="D51" s="6" t="s">
        <v>193</v>
      </c>
      <c r="E51" s="7">
        <v>106366</v>
      </c>
      <c r="F51" s="8">
        <v>4110.5672530000002</v>
      </c>
      <c r="G51" s="9">
        <v>8.060194159951883E-3</v>
      </c>
      <c r="H51" s="97"/>
    </row>
    <row r="52" spans="1:8" ht="25.5" x14ac:dyDescent="0.2">
      <c r="A52" s="5">
        <v>46</v>
      </c>
      <c r="B52" s="6" t="s">
        <v>484</v>
      </c>
      <c r="C52" s="6" t="s">
        <v>485</v>
      </c>
      <c r="D52" s="6" t="s">
        <v>1185</v>
      </c>
      <c r="E52" s="7">
        <v>14764</v>
      </c>
      <c r="F52" s="8">
        <v>3984.4271180000001</v>
      </c>
      <c r="G52" s="9">
        <v>7.8128526333729117E-3</v>
      </c>
      <c r="H52" s="97"/>
    </row>
    <row r="53" spans="1:8" x14ac:dyDescent="0.2">
      <c r="A53" s="5">
        <v>47</v>
      </c>
      <c r="B53" s="6" t="s">
        <v>383</v>
      </c>
      <c r="C53" s="6" t="s">
        <v>384</v>
      </c>
      <c r="D53" s="6" t="s">
        <v>53</v>
      </c>
      <c r="E53" s="7">
        <v>209214</v>
      </c>
      <c r="F53" s="8">
        <v>3916.0676520000002</v>
      </c>
      <c r="G53" s="9">
        <v>7.6788101680103759E-3</v>
      </c>
      <c r="H53" s="97"/>
    </row>
    <row r="54" spans="1:8" x14ac:dyDescent="0.2">
      <c r="A54" s="5">
        <v>48</v>
      </c>
      <c r="B54" s="6" t="s">
        <v>323</v>
      </c>
      <c r="C54" s="6" t="s">
        <v>324</v>
      </c>
      <c r="D54" s="6" t="s">
        <v>1187</v>
      </c>
      <c r="E54" s="7">
        <v>106694</v>
      </c>
      <c r="F54" s="8">
        <v>3831.4882340000004</v>
      </c>
      <c r="G54" s="9">
        <v>7.5129628556915747E-3</v>
      </c>
      <c r="H54" s="97"/>
    </row>
    <row r="55" spans="1:8" x14ac:dyDescent="0.2">
      <c r="A55" s="5">
        <v>49</v>
      </c>
      <c r="B55" s="6" t="s">
        <v>330</v>
      </c>
      <c r="C55" s="6" t="s">
        <v>331</v>
      </c>
      <c r="D55" s="6" t="s">
        <v>193</v>
      </c>
      <c r="E55" s="7">
        <v>403490</v>
      </c>
      <c r="F55" s="8">
        <v>3650.1722850000001</v>
      </c>
      <c r="G55" s="9">
        <v>7.1574299904478946E-3</v>
      </c>
      <c r="H55" s="97"/>
    </row>
    <row r="56" spans="1:8" x14ac:dyDescent="0.2">
      <c r="A56" s="5">
        <v>50</v>
      </c>
      <c r="B56" s="6" t="s">
        <v>350</v>
      </c>
      <c r="C56" s="6" t="s">
        <v>351</v>
      </c>
      <c r="D56" s="6" t="s">
        <v>25</v>
      </c>
      <c r="E56" s="7">
        <v>4445537</v>
      </c>
      <c r="F56" s="8">
        <v>3643.1175714999999</v>
      </c>
      <c r="G56" s="9">
        <v>7.1435967754551622E-3</v>
      </c>
      <c r="H56" s="97"/>
    </row>
    <row r="57" spans="1:8" x14ac:dyDescent="0.2">
      <c r="A57" s="5">
        <v>51</v>
      </c>
      <c r="B57" s="6" t="s">
        <v>307</v>
      </c>
      <c r="C57" s="6" t="s">
        <v>308</v>
      </c>
      <c r="D57" s="6" t="s">
        <v>185</v>
      </c>
      <c r="E57" s="7">
        <v>150285</v>
      </c>
      <c r="F57" s="8">
        <v>3637.0472850000001</v>
      </c>
      <c r="G57" s="9">
        <v>7.1316938713582093E-3</v>
      </c>
      <c r="H57" s="97"/>
    </row>
    <row r="58" spans="1:8" x14ac:dyDescent="0.2">
      <c r="A58" s="5">
        <v>52</v>
      </c>
      <c r="B58" s="6" t="s">
        <v>486</v>
      </c>
      <c r="C58" s="6" t="s">
        <v>487</v>
      </c>
      <c r="D58" s="6" t="s">
        <v>73</v>
      </c>
      <c r="E58" s="7">
        <v>559070</v>
      </c>
      <c r="F58" s="8">
        <v>3549.2558949999998</v>
      </c>
      <c r="G58" s="9">
        <v>6.9595483728371417E-3</v>
      </c>
      <c r="H58" s="97"/>
    </row>
    <row r="59" spans="1:8" x14ac:dyDescent="0.2">
      <c r="A59" s="5">
        <v>53</v>
      </c>
      <c r="B59" s="6" t="s">
        <v>438</v>
      </c>
      <c r="C59" s="6" t="s">
        <v>439</v>
      </c>
      <c r="D59" s="6" t="s">
        <v>60</v>
      </c>
      <c r="E59" s="7">
        <v>307717</v>
      </c>
      <c r="F59" s="8">
        <v>3420.1205964999999</v>
      </c>
      <c r="G59" s="9">
        <v>6.7063337883892897E-3</v>
      </c>
      <c r="H59" s="97"/>
    </row>
    <row r="60" spans="1:8" x14ac:dyDescent="0.2">
      <c r="A60" s="5">
        <v>54</v>
      </c>
      <c r="B60" s="6" t="s">
        <v>344</v>
      </c>
      <c r="C60" s="6" t="s">
        <v>345</v>
      </c>
      <c r="D60" s="6" t="s">
        <v>81</v>
      </c>
      <c r="E60" s="7">
        <v>280393</v>
      </c>
      <c r="F60" s="8">
        <v>3412.3828100000001</v>
      </c>
      <c r="G60" s="9">
        <v>6.6911611716384666E-3</v>
      </c>
      <c r="H60" s="97"/>
    </row>
    <row r="61" spans="1:8" x14ac:dyDescent="0.2">
      <c r="A61" s="5">
        <v>55</v>
      </c>
      <c r="B61" s="6" t="s">
        <v>488</v>
      </c>
      <c r="C61" s="6" t="s">
        <v>489</v>
      </c>
      <c r="D61" s="6" t="s">
        <v>78</v>
      </c>
      <c r="E61" s="7">
        <v>45924</v>
      </c>
      <c r="F61" s="8">
        <v>3410.5228980000002</v>
      </c>
      <c r="G61" s="9">
        <v>6.6875141684591653E-3</v>
      </c>
      <c r="H61" s="97"/>
    </row>
    <row r="62" spans="1:8" x14ac:dyDescent="0.2">
      <c r="A62" s="5">
        <v>56</v>
      </c>
      <c r="B62" s="6" t="s">
        <v>280</v>
      </c>
      <c r="C62" s="6" t="s">
        <v>281</v>
      </c>
      <c r="D62" s="6" t="s">
        <v>238</v>
      </c>
      <c r="E62" s="7">
        <v>190000</v>
      </c>
      <c r="F62" s="8">
        <v>3334.12</v>
      </c>
      <c r="G62" s="9">
        <v>6.5376997622324916E-3</v>
      </c>
      <c r="H62" s="97"/>
    </row>
    <row r="63" spans="1:8" x14ac:dyDescent="0.2">
      <c r="A63" s="5">
        <v>57</v>
      </c>
      <c r="B63" s="6" t="s">
        <v>209</v>
      </c>
      <c r="C63" s="6" t="s">
        <v>210</v>
      </c>
      <c r="D63" s="6" t="s">
        <v>193</v>
      </c>
      <c r="E63" s="7">
        <v>611770</v>
      </c>
      <c r="F63" s="8">
        <v>3296.8285299999998</v>
      </c>
      <c r="G63" s="9">
        <v>6.4645768888649162E-3</v>
      </c>
      <c r="H63" s="97"/>
    </row>
    <row r="64" spans="1:8" ht="25.5" x14ac:dyDescent="0.2">
      <c r="A64" s="5">
        <v>58</v>
      </c>
      <c r="B64" s="6" t="s">
        <v>395</v>
      </c>
      <c r="C64" s="6" t="s">
        <v>396</v>
      </c>
      <c r="D64" s="6" t="s">
        <v>202</v>
      </c>
      <c r="E64" s="7">
        <v>441591</v>
      </c>
      <c r="F64" s="8">
        <v>3283.0082895</v>
      </c>
      <c r="G64" s="9">
        <v>6.4374775094092149E-3</v>
      </c>
      <c r="H64" s="97"/>
    </row>
    <row r="65" spans="1:8" x14ac:dyDescent="0.2">
      <c r="A65" s="5">
        <v>59</v>
      </c>
      <c r="B65" s="6" t="s">
        <v>446</v>
      </c>
      <c r="C65" s="6" t="s">
        <v>447</v>
      </c>
      <c r="D65" s="6" t="s">
        <v>81</v>
      </c>
      <c r="E65" s="7">
        <v>492415</v>
      </c>
      <c r="F65" s="8">
        <v>3211.2844224999999</v>
      </c>
      <c r="G65" s="9">
        <v>6.2968379678713287E-3</v>
      </c>
      <c r="H65" s="97"/>
    </row>
    <row r="66" spans="1:8" x14ac:dyDescent="0.2">
      <c r="A66" s="5">
        <v>60</v>
      </c>
      <c r="B66" s="6" t="s">
        <v>338</v>
      </c>
      <c r="C66" s="6" t="s">
        <v>339</v>
      </c>
      <c r="D66" s="6" t="s">
        <v>193</v>
      </c>
      <c r="E66" s="7">
        <v>143232</v>
      </c>
      <c r="F66" s="8">
        <v>3103.550976</v>
      </c>
      <c r="G66" s="9">
        <v>6.0855891443234254E-3</v>
      </c>
      <c r="H66" s="97"/>
    </row>
    <row r="67" spans="1:8" x14ac:dyDescent="0.2">
      <c r="A67" s="5">
        <v>61</v>
      </c>
      <c r="B67" s="6" t="s">
        <v>490</v>
      </c>
      <c r="C67" s="6" t="s">
        <v>491</v>
      </c>
      <c r="D67" s="6" t="s">
        <v>25</v>
      </c>
      <c r="E67" s="7">
        <v>2194408</v>
      </c>
      <c r="F67" s="8">
        <v>3063.393568</v>
      </c>
      <c r="G67" s="9">
        <v>6.0068466045427715E-3</v>
      </c>
      <c r="H67" s="97"/>
    </row>
    <row r="68" spans="1:8" x14ac:dyDescent="0.2">
      <c r="A68" s="5">
        <v>62</v>
      </c>
      <c r="B68" s="6" t="s">
        <v>492</v>
      </c>
      <c r="C68" s="6" t="s">
        <v>493</v>
      </c>
      <c r="D68" s="6" t="s">
        <v>238</v>
      </c>
      <c r="E68" s="7">
        <v>328185</v>
      </c>
      <c r="F68" s="8">
        <v>2995.6726800000001</v>
      </c>
      <c r="G68" s="9">
        <v>5.8740562930435537E-3</v>
      </c>
      <c r="H68" s="97"/>
    </row>
    <row r="69" spans="1:8" x14ac:dyDescent="0.2">
      <c r="A69" s="5">
        <v>63</v>
      </c>
      <c r="B69" s="6" t="s">
        <v>494</v>
      </c>
      <c r="C69" s="6" t="s">
        <v>495</v>
      </c>
      <c r="D69" s="6" t="s">
        <v>81</v>
      </c>
      <c r="E69" s="7">
        <v>3777917</v>
      </c>
      <c r="F69" s="8">
        <v>2935.4415090000002</v>
      </c>
      <c r="G69" s="9">
        <v>5.7559521719184343E-3</v>
      </c>
      <c r="H69" s="97"/>
    </row>
    <row r="70" spans="1:8" x14ac:dyDescent="0.2">
      <c r="A70" s="5">
        <v>64</v>
      </c>
      <c r="B70" s="6" t="s">
        <v>183</v>
      </c>
      <c r="C70" s="6" t="s">
        <v>184</v>
      </c>
      <c r="D70" s="6" t="s">
        <v>185</v>
      </c>
      <c r="E70" s="7">
        <v>228662</v>
      </c>
      <c r="F70" s="8">
        <v>2934.7624390000001</v>
      </c>
      <c r="G70" s="9">
        <v>5.7546206194315592E-3</v>
      </c>
      <c r="H70" s="97"/>
    </row>
    <row r="71" spans="1:8" x14ac:dyDescent="0.2">
      <c r="A71" s="5">
        <v>65</v>
      </c>
      <c r="B71" s="6" t="s">
        <v>321</v>
      </c>
      <c r="C71" s="6" t="s">
        <v>322</v>
      </c>
      <c r="D71" s="6" t="s">
        <v>19</v>
      </c>
      <c r="E71" s="7">
        <v>286278</v>
      </c>
      <c r="F71" s="8">
        <v>2696.1662040000001</v>
      </c>
      <c r="G71" s="9">
        <v>5.2867698675602799E-3</v>
      </c>
      <c r="H71" s="97"/>
    </row>
    <row r="72" spans="1:8" ht="25.5" x14ac:dyDescent="0.2">
      <c r="A72" s="5">
        <v>66</v>
      </c>
      <c r="B72" s="6" t="s">
        <v>334</v>
      </c>
      <c r="C72" s="6" t="s">
        <v>335</v>
      </c>
      <c r="D72" s="6" t="s">
        <v>70</v>
      </c>
      <c r="E72" s="7">
        <v>598756</v>
      </c>
      <c r="F72" s="8">
        <v>2619.2581220000002</v>
      </c>
      <c r="G72" s="9">
        <v>5.1359648727175161E-3</v>
      </c>
      <c r="H72" s="97"/>
    </row>
    <row r="73" spans="1:8" x14ac:dyDescent="0.2">
      <c r="A73" s="5">
        <v>67</v>
      </c>
      <c r="B73" s="6" t="s">
        <v>405</v>
      </c>
      <c r="C73" s="6" t="s">
        <v>406</v>
      </c>
      <c r="D73" s="6" t="s">
        <v>70</v>
      </c>
      <c r="E73" s="7">
        <v>198211</v>
      </c>
      <c r="F73" s="8">
        <v>2556.8227944999999</v>
      </c>
      <c r="G73" s="9">
        <v>5.0135387375599156E-3</v>
      </c>
      <c r="H73" s="97"/>
    </row>
    <row r="74" spans="1:8" x14ac:dyDescent="0.2">
      <c r="A74" s="5">
        <v>68</v>
      </c>
      <c r="B74" s="6" t="s">
        <v>311</v>
      </c>
      <c r="C74" s="6" t="s">
        <v>312</v>
      </c>
      <c r="D74" s="6" t="s">
        <v>284</v>
      </c>
      <c r="E74" s="7">
        <v>6256</v>
      </c>
      <c r="F74" s="8">
        <v>2528.772168</v>
      </c>
      <c r="G74" s="9">
        <v>4.958535746006066E-3</v>
      </c>
      <c r="H74" s="97"/>
    </row>
    <row r="75" spans="1:8" ht="25.5" x14ac:dyDescent="0.2">
      <c r="A75" s="5">
        <v>69</v>
      </c>
      <c r="B75" s="6" t="s">
        <v>387</v>
      </c>
      <c r="C75" s="6" t="s">
        <v>388</v>
      </c>
      <c r="D75" s="6" t="s">
        <v>1185</v>
      </c>
      <c r="E75" s="7">
        <v>126915</v>
      </c>
      <c r="F75" s="8">
        <v>2345.2622849999998</v>
      </c>
      <c r="G75" s="9">
        <v>4.5987009114900872E-3</v>
      </c>
      <c r="H75" s="97"/>
    </row>
    <row r="76" spans="1:8" x14ac:dyDescent="0.2">
      <c r="A76" s="5">
        <v>70</v>
      </c>
      <c r="B76" s="6" t="s">
        <v>419</v>
      </c>
      <c r="C76" s="6" t="s">
        <v>420</v>
      </c>
      <c r="D76" s="6" t="s">
        <v>1183</v>
      </c>
      <c r="E76" s="7">
        <v>190781</v>
      </c>
      <c r="F76" s="8">
        <v>2281.7407600000001</v>
      </c>
      <c r="G76" s="9">
        <v>4.4741449090399225E-3</v>
      </c>
      <c r="H76" s="97"/>
    </row>
    <row r="77" spans="1:8" x14ac:dyDescent="0.2">
      <c r="A77" s="5">
        <v>71</v>
      </c>
      <c r="B77" s="6" t="s">
        <v>348</v>
      </c>
      <c r="C77" s="6" t="s">
        <v>349</v>
      </c>
      <c r="D77" s="6" t="s">
        <v>25</v>
      </c>
      <c r="E77" s="7">
        <v>215838</v>
      </c>
      <c r="F77" s="8">
        <v>2237.1608700000002</v>
      </c>
      <c r="G77" s="9">
        <v>4.3867305579507743E-3</v>
      </c>
      <c r="H77" s="97"/>
    </row>
    <row r="78" spans="1:8" x14ac:dyDescent="0.2">
      <c r="A78" s="5">
        <v>72</v>
      </c>
      <c r="B78" s="6" t="s">
        <v>303</v>
      </c>
      <c r="C78" s="6" t="s">
        <v>304</v>
      </c>
      <c r="D78" s="6" t="s">
        <v>174</v>
      </c>
      <c r="E78" s="7">
        <v>42261</v>
      </c>
      <c r="F78" s="8">
        <v>2118.712974</v>
      </c>
      <c r="G78" s="9">
        <v>4.1544723364362098E-3</v>
      </c>
      <c r="H78" s="97"/>
    </row>
    <row r="79" spans="1:8" x14ac:dyDescent="0.2">
      <c r="A79" s="5">
        <v>73</v>
      </c>
      <c r="B79" s="6" t="s">
        <v>448</v>
      </c>
      <c r="C79" s="6" t="s">
        <v>449</v>
      </c>
      <c r="D79" s="6" t="s">
        <v>70</v>
      </c>
      <c r="E79" s="7">
        <v>80959</v>
      </c>
      <c r="F79" s="8">
        <v>2042.1098159999999</v>
      </c>
      <c r="G79" s="9">
        <v>4.0042652509555262E-3</v>
      </c>
      <c r="H79" s="97"/>
    </row>
    <row r="80" spans="1:8" x14ac:dyDescent="0.2">
      <c r="A80" s="5">
        <v>74</v>
      </c>
      <c r="B80" s="6" t="s">
        <v>325</v>
      </c>
      <c r="C80" s="6" t="s">
        <v>326</v>
      </c>
      <c r="D80" s="6" t="s">
        <v>327</v>
      </c>
      <c r="E80" s="7">
        <v>175633</v>
      </c>
      <c r="F80" s="8">
        <v>1870.49145</v>
      </c>
      <c r="G80" s="9">
        <v>3.667747863880997E-3</v>
      </c>
      <c r="H80" s="97"/>
    </row>
    <row r="81" spans="1:8" x14ac:dyDescent="0.2">
      <c r="A81" s="5">
        <v>75</v>
      </c>
      <c r="B81" s="6" t="s">
        <v>496</v>
      </c>
      <c r="C81" s="6" t="s">
        <v>497</v>
      </c>
      <c r="D81" s="6" t="s">
        <v>238</v>
      </c>
      <c r="E81" s="7">
        <v>76261</v>
      </c>
      <c r="F81" s="8">
        <v>1771.848074</v>
      </c>
      <c r="G81" s="9">
        <v>3.4743232793366463E-3</v>
      </c>
      <c r="H81" s="97"/>
    </row>
    <row r="82" spans="1:8" ht="25.5" x14ac:dyDescent="0.2">
      <c r="A82" s="5">
        <v>76</v>
      </c>
      <c r="B82" s="6" t="s">
        <v>425</v>
      </c>
      <c r="C82" s="6" t="s">
        <v>426</v>
      </c>
      <c r="D82" s="6" t="s">
        <v>202</v>
      </c>
      <c r="E82" s="7">
        <v>74650</v>
      </c>
      <c r="F82" s="8">
        <v>1761.851975</v>
      </c>
      <c r="G82" s="9">
        <v>3.4547224569140725E-3</v>
      </c>
      <c r="H82" s="97"/>
    </row>
    <row r="83" spans="1:8" x14ac:dyDescent="0.2">
      <c r="A83" s="5">
        <v>77</v>
      </c>
      <c r="B83" s="6" t="s">
        <v>393</v>
      </c>
      <c r="C83" s="6" t="s">
        <v>394</v>
      </c>
      <c r="D83" s="6" t="s">
        <v>70</v>
      </c>
      <c r="E83" s="7">
        <v>378948</v>
      </c>
      <c r="F83" s="8">
        <v>1736.3397359999999</v>
      </c>
      <c r="G83" s="9">
        <v>3.404696855302757E-3</v>
      </c>
      <c r="H83" s="97"/>
    </row>
    <row r="84" spans="1:8" x14ac:dyDescent="0.2">
      <c r="A84" s="5">
        <v>78</v>
      </c>
      <c r="B84" s="6" t="s">
        <v>450</v>
      </c>
      <c r="C84" s="6" t="s">
        <v>451</v>
      </c>
      <c r="D84" s="6" t="s">
        <v>193</v>
      </c>
      <c r="E84" s="7">
        <v>141484</v>
      </c>
      <c r="F84" s="8">
        <v>1335.750444</v>
      </c>
      <c r="G84" s="9">
        <v>2.6192024762578267E-3</v>
      </c>
      <c r="H84" s="97"/>
    </row>
    <row r="85" spans="1:8" x14ac:dyDescent="0.2">
      <c r="A85" s="5">
        <v>79</v>
      </c>
      <c r="B85" s="6" t="s">
        <v>309</v>
      </c>
      <c r="C85" s="6" t="s">
        <v>310</v>
      </c>
      <c r="D85" s="6" t="s">
        <v>70</v>
      </c>
      <c r="E85" s="7">
        <v>83911</v>
      </c>
      <c r="F85" s="8">
        <v>1023.0009565</v>
      </c>
      <c r="G85" s="9">
        <v>2.0059485291692145E-3</v>
      </c>
      <c r="H85" s="97"/>
    </row>
    <row r="86" spans="1:8" ht="25.5" x14ac:dyDescent="0.2">
      <c r="A86" s="5">
        <v>80</v>
      </c>
      <c r="B86" s="6" t="s">
        <v>452</v>
      </c>
      <c r="C86" s="6" t="s">
        <v>453</v>
      </c>
      <c r="D86" s="6" t="s">
        <v>202</v>
      </c>
      <c r="E86" s="7">
        <v>167212</v>
      </c>
      <c r="F86" s="8">
        <v>988.55734399999994</v>
      </c>
      <c r="G86" s="9">
        <v>1.9384098691174834E-3</v>
      </c>
      <c r="H86" s="97"/>
    </row>
    <row r="87" spans="1:8" x14ac:dyDescent="0.2">
      <c r="A87" s="5">
        <v>81</v>
      </c>
      <c r="B87" s="6" t="s">
        <v>498</v>
      </c>
      <c r="C87" s="6" t="s">
        <v>499</v>
      </c>
      <c r="D87" s="6" t="s">
        <v>19</v>
      </c>
      <c r="E87" s="7">
        <v>49573</v>
      </c>
      <c r="F87" s="8">
        <v>928.22963849999996</v>
      </c>
      <c r="G87" s="9">
        <v>1.8201164585913531E-3</v>
      </c>
      <c r="H87" s="97"/>
    </row>
    <row r="88" spans="1:8" x14ac:dyDescent="0.2">
      <c r="A88" s="5">
        <v>82</v>
      </c>
      <c r="B88" s="6" t="s">
        <v>86</v>
      </c>
      <c r="C88" s="6" t="s">
        <v>87</v>
      </c>
      <c r="D88" s="6" t="s">
        <v>73</v>
      </c>
      <c r="E88" s="7">
        <v>303525</v>
      </c>
      <c r="F88" s="8">
        <v>895.8540375</v>
      </c>
      <c r="G88" s="9">
        <v>1.7566328530343144E-3</v>
      </c>
      <c r="H88" s="97"/>
    </row>
    <row r="89" spans="1:8" ht="25.5" x14ac:dyDescent="0.2">
      <c r="A89" s="5">
        <v>83</v>
      </c>
      <c r="B89" s="6" t="s">
        <v>500</v>
      </c>
      <c r="C89" s="6" t="s">
        <v>501</v>
      </c>
      <c r="D89" s="6" t="s">
        <v>45</v>
      </c>
      <c r="E89" s="7">
        <v>37216</v>
      </c>
      <c r="F89" s="8">
        <v>831.256576</v>
      </c>
      <c r="G89" s="9">
        <v>1.6299671035443822E-3</v>
      </c>
      <c r="H89" s="97"/>
    </row>
    <row r="90" spans="1:8" ht="25.5" x14ac:dyDescent="0.2">
      <c r="A90" s="5">
        <v>84</v>
      </c>
      <c r="B90" s="6" t="s">
        <v>502</v>
      </c>
      <c r="C90" s="6" t="s">
        <v>503</v>
      </c>
      <c r="D90" s="6" t="s">
        <v>1188</v>
      </c>
      <c r="E90" s="7">
        <v>59430</v>
      </c>
      <c r="F90" s="8">
        <v>564.76328999999998</v>
      </c>
      <c r="G90" s="9">
        <v>1.1074144982036159E-3</v>
      </c>
      <c r="H90" s="97"/>
    </row>
    <row r="91" spans="1:8" x14ac:dyDescent="0.2">
      <c r="A91" s="5">
        <v>85</v>
      </c>
      <c r="B91" s="6" t="s">
        <v>456</v>
      </c>
      <c r="C91" s="6" t="s">
        <v>457</v>
      </c>
      <c r="D91" s="6" t="s">
        <v>174</v>
      </c>
      <c r="E91" s="7">
        <v>14458</v>
      </c>
      <c r="F91" s="8">
        <v>497.485322</v>
      </c>
      <c r="G91" s="9">
        <v>9.7549268513237521E-4</v>
      </c>
      <c r="H91" s="97"/>
    </row>
    <row r="92" spans="1:8" x14ac:dyDescent="0.2">
      <c r="A92" s="5">
        <v>86</v>
      </c>
      <c r="B92" s="6" t="s">
        <v>458</v>
      </c>
      <c r="C92" s="6" t="s">
        <v>459</v>
      </c>
      <c r="D92" s="6" t="s">
        <v>327</v>
      </c>
      <c r="E92" s="7">
        <v>22224</v>
      </c>
      <c r="F92" s="8">
        <v>467.048472</v>
      </c>
      <c r="G92" s="9">
        <v>9.1581067398457429E-4</v>
      </c>
      <c r="H92" s="97"/>
    </row>
    <row r="93" spans="1:8" ht="25.5" x14ac:dyDescent="0.2">
      <c r="A93" s="5">
        <v>87</v>
      </c>
      <c r="B93" s="6" t="s">
        <v>460</v>
      </c>
      <c r="C93" s="6" t="s">
        <v>461</v>
      </c>
      <c r="D93" s="6" t="s">
        <v>1183</v>
      </c>
      <c r="E93" s="7">
        <v>25820</v>
      </c>
      <c r="F93" s="8">
        <v>361.80275</v>
      </c>
      <c r="G93" s="9">
        <v>7.0943989797909546E-4</v>
      </c>
      <c r="H93" s="97"/>
    </row>
    <row r="94" spans="1:8" ht="25.5" x14ac:dyDescent="0.2">
      <c r="A94" s="5">
        <v>88</v>
      </c>
      <c r="B94" s="6" t="s">
        <v>442</v>
      </c>
      <c r="C94" s="6" t="s">
        <v>1157</v>
      </c>
      <c r="D94" s="91" t="s">
        <v>22</v>
      </c>
      <c r="E94" s="7">
        <v>71599</v>
      </c>
      <c r="F94" s="8">
        <v>252.49387350000001</v>
      </c>
      <c r="G94" s="9">
        <v>4.9510189697614696E-4</v>
      </c>
      <c r="H94" s="97"/>
    </row>
    <row r="95" spans="1:8" x14ac:dyDescent="0.2">
      <c r="A95" s="3"/>
      <c r="B95" s="3"/>
      <c r="C95" s="4" t="s">
        <v>97</v>
      </c>
      <c r="D95" s="3"/>
      <c r="E95" s="3" t="s">
        <v>98</v>
      </c>
      <c r="F95" s="11">
        <v>483327.07092400006</v>
      </c>
      <c r="G95" s="12">
        <v>0.94773051859572033</v>
      </c>
      <c r="H95" s="97"/>
    </row>
    <row r="96" spans="1:8" x14ac:dyDescent="0.2">
      <c r="A96" s="3"/>
      <c r="B96" s="3"/>
      <c r="C96" s="13"/>
      <c r="D96" s="3"/>
      <c r="E96" s="3"/>
      <c r="F96" s="14"/>
      <c r="G96" s="14"/>
      <c r="H96" s="97"/>
    </row>
    <row r="97" spans="1:8" x14ac:dyDescent="0.2">
      <c r="A97" s="3"/>
      <c r="B97" s="3"/>
      <c r="C97" s="4" t="s">
        <v>99</v>
      </c>
      <c r="D97" s="3"/>
      <c r="E97" s="3"/>
      <c r="F97" s="3"/>
      <c r="G97" s="3"/>
      <c r="H97" s="97"/>
    </row>
    <row r="98" spans="1:8" x14ac:dyDescent="0.2">
      <c r="A98" s="3"/>
      <c r="B98" s="3"/>
      <c r="C98" s="4" t="s">
        <v>97</v>
      </c>
      <c r="D98" s="3"/>
      <c r="E98" s="3" t="s">
        <v>98</v>
      </c>
      <c r="F98" s="15">
        <v>0</v>
      </c>
      <c r="G98" s="16">
        <v>0</v>
      </c>
      <c r="H98" s="97"/>
    </row>
    <row r="99" spans="1:8" x14ac:dyDescent="0.2">
      <c r="A99" s="3"/>
      <c r="B99" s="3"/>
      <c r="C99" s="13"/>
      <c r="D99" s="3"/>
      <c r="E99" s="3"/>
      <c r="F99" s="14"/>
      <c r="G99" s="14"/>
      <c r="H99" s="97"/>
    </row>
    <row r="100" spans="1:8" x14ac:dyDescent="0.2">
      <c r="A100" s="3"/>
      <c r="B100" s="3"/>
      <c r="C100" s="4" t="s">
        <v>100</v>
      </c>
      <c r="D100" s="3"/>
      <c r="E100" s="3"/>
      <c r="F100" s="3"/>
      <c r="G100" s="3"/>
      <c r="H100" s="97"/>
    </row>
    <row r="101" spans="1:8" x14ac:dyDescent="0.2">
      <c r="A101" s="3"/>
      <c r="B101" s="3"/>
      <c r="C101" s="4" t="s">
        <v>97</v>
      </c>
      <c r="D101" s="3"/>
      <c r="E101" s="3" t="s">
        <v>98</v>
      </c>
      <c r="F101" s="15">
        <v>0</v>
      </c>
      <c r="G101" s="16">
        <v>0</v>
      </c>
      <c r="H101" s="97"/>
    </row>
    <row r="102" spans="1:8" x14ac:dyDescent="0.2">
      <c r="A102" s="3"/>
      <c r="B102" s="3"/>
      <c r="C102" s="13"/>
      <c r="D102" s="3"/>
      <c r="E102" s="3"/>
      <c r="F102" s="14"/>
      <c r="G102" s="14"/>
      <c r="H102" s="97"/>
    </row>
    <row r="103" spans="1:8" x14ac:dyDescent="0.2">
      <c r="A103" s="3"/>
      <c r="B103" s="3"/>
      <c r="C103" s="4" t="s">
        <v>101</v>
      </c>
      <c r="D103" s="3"/>
      <c r="E103" s="3"/>
      <c r="F103" s="3"/>
      <c r="G103" s="3"/>
      <c r="H103" s="97"/>
    </row>
    <row r="104" spans="1:8" x14ac:dyDescent="0.2">
      <c r="A104" s="3"/>
      <c r="B104" s="3"/>
      <c r="C104" s="4" t="s">
        <v>97</v>
      </c>
      <c r="D104" s="3"/>
      <c r="E104" s="3" t="s">
        <v>98</v>
      </c>
      <c r="F104" s="11">
        <v>0</v>
      </c>
      <c r="G104" s="12">
        <v>0</v>
      </c>
      <c r="H104" s="97"/>
    </row>
    <row r="105" spans="1:8" x14ac:dyDescent="0.2">
      <c r="A105" s="3"/>
      <c r="B105" s="3"/>
      <c r="C105" s="13"/>
      <c r="D105" s="3"/>
      <c r="E105" s="3"/>
      <c r="F105" s="14"/>
      <c r="G105" s="14"/>
      <c r="H105" s="97"/>
    </row>
    <row r="106" spans="1:8" x14ac:dyDescent="0.2">
      <c r="A106" s="3"/>
      <c r="B106" s="3"/>
      <c r="C106" s="4" t="s">
        <v>102</v>
      </c>
      <c r="D106" s="3"/>
      <c r="E106" s="3"/>
      <c r="F106" s="14"/>
      <c r="G106" s="14"/>
      <c r="H106" s="97"/>
    </row>
    <row r="107" spans="1:8" x14ac:dyDescent="0.2">
      <c r="A107" s="3"/>
      <c r="B107" s="3"/>
      <c r="C107" s="4" t="s">
        <v>97</v>
      </c>
      <c r="D107" s="3"/>
      <c r="E107" s="3" t="s">
        <v>98</v>
      </c>
      <c r="F107" s="15">
        <v>0</v>
      </c>
      <c r="G107" s="16">
        <v>0</v>
      </c>
      <c r="H107" s="97"/>
    </row>
    <row r="108" spans="1:8" x14ac:dyDescent="0.2">
      <c r="A108" s="3"/>
      <c r="B108" s="3"/>
      <c r="C108" s="13"/>
      <c r="D108" s="3"/>
      <c r="E108" s="3"/>
      <c r="F108" s="14"/>
      <c r="G108" s="14"/>
      <c r="H108" s="97"/>
    </row>
    <row r="109" spans="1:8" x14ac:dyDescent="0.2">
      <c r="A109" s="3"/>
      <c r="B109" s="3"/>
      <c r="C109" s="4" t="s">
        <v>103</v>
      </c>
      <c r="D109" s="3"/>
      <c r="E109" s="3"/>
      <c r="F109" s="14"/>
      <c r="G109" s="14"/>
      <c r="H109" s="97"/>
    </row>
    <row r="110" spans="1:8" x14ac:dyDescent="0.2">
      <c r="A110" s="3"/>
      <c r="B110" s="3"/>
      <c r="C110" s="4" t="s">
        <v>97</v>
      </c>
      <c r="D110" s="3"/>
      <c r="E110" s="3" t="s">
        <v>98</v>
      </c>
      <c r="F110" s="15">
        <v>0</v>
      </c>
      <c r="G110" s="16">
        <v>0</v>
      </c>
      <c r="H110" s="97"/>
    </row>
    <row r="111" spans="1:8" x14ac:dyDescent="0.2">
      <c r="A111" s="3"/>
      <c r="B111" s="3"/>
      <c r="C111" s="13"/>
      <c r="D111" s="3"/>
      <c r="E111" s="3"/>
      <c r="F111" s="14"/>
      <c r="G111" s="14"/>
      <c r="H111" s="97"/>
    </row>
    <row r="112" spans="1:8" x14ac:dyDescent="0.2">
      <c r="A112" s="3"/>
      <c r="B112" s="3"/>
      <c r="C112" s="4" t="s">
        <v>104</v>
      </c>
      <c r="D112" s="3"/>
      <c r="E112" s="3"/>
      <c r="F112" s="11">
        <v>483327.07092400006</v>
      </c>
      <c r="G112" s="12">
        <v>0.94773051859572</v>
      </c>
      <c r="H112" s="97"/>
    </row>
    <row r="113" spans="1:8" x14ac:dyDescent="0.2">
      <c r="A113" s="3"/>
      <c r="B113" s="3"/>
      <c r="C113" s="13"/>
      <c r="D113" s="3"/>
      <c r="E113" s="3"/>
      <c r="F113" s="14"/>
      <c r="G113" s="14"/>
      <c r="H113" s="97"/>
    </row>
    <row r="114" spans="1:8" x14ac:dyDescent="0.2">
      <c r="A114" s="3"/>
      <c r="B114" s="3"/>
      <c r="C114" s="4" t="s">
        <v>105</v>
      </c>
      <c r="D114" s="3"/>
      <c r="E114" s="3"/>
      <c r="F114" s="14"/>
      <c r="G114" s="14"/>
      <c r="H114" s="97"/>
    </row>
    <row r="115" spans="1:8" ht="25.5" x14ac:dyDescent="0.2">
      <c r="A115" s="3"/>
      <c r="B115" s="3"/>
      <c r="C115" s="4" t="s">
        <v>10</v>
      </c>
      <c r="D115" s="3"/>
      <c r="E115" s="3"/>
      <c r="F115" s="14"/>
      <c r="G115" s="14"/>
      <c r="H115" s="97"/>
    </row>
    <row r="116" spans="1:8" x14ac:dyDescent="0.2">
      <c r="A116" s="3"/>
      <c r="B116" s="3"/>
      <c r="C116" s="4" t="s">
        <v>97</v>
      </c>
      <c r="D116" s="3"/>
      <c r="E116" s="3" t="s">
        <v>98</v>
      </c>
      <c r="F116" s="15">
        <v>0</v>
      </c>
      <c r="G116" s="16">
        <v>0</v>
      </c>
      <c r="H116" s="97"/>
    </row>
    <row r="117" spans="1:8" x14ac:dyDescent="0.2">
      <c r="A117" s="3"/>
      <c r="B117" s="3"/>
      <c r="C117" s="13"/>
      <c r="D117" s="3"/>
      <c r="E117" s="3"/>
      <c r="F117" s="14"/>
      <c r="G117" s="14"/>
      <c r="H117" s="97"/>
    </row>
    <row r="118" spans="1:8" x14ac:dyDescent="0.2">
      <c r="A118" s="3"/>
      <c r="B118" s="3"/>
      <c r="C118" s="4" t="s">
        <v>106</v>
      </c>
      <c r="D118" s="3"/>
      <c r="E118" s="3"/>
      <c r="F118" s="3"/>
      <c r="G118" s="3"/>
      <c r="H118" s="97"/>
    </row>
    <row r="119" spans="1:8" x14ac:dyDescent="0.2">
      <c r="A119" s="3"/>
      <c r="B119" s="3"/>
      <c r="C119" s="4" t="s">
        <v>97</v>
      </c>
      <c r="D119" s="3"/>
      <c r="E119" s="3" t="s">
        <v>98</v>
      </c>
      <c r="F119" s="15">
        <v>0</v>
      </c>
      <c r="G119" s="16">
        <v>0</v>
      </c>
      <c r="H119" s="97"/>
    </row>
    <row r="120" spans="1:8" x14ac:dyDescent="0.2">
      <c r="A120" s="3"/>
      <c r="B120" s="3"/>
      <c r="C120" s="13"/>
      <c r="D120" s="3"/>
      <c r="E120" s="3"/>
      <c r="F120" s="14"/>
      <c r="G120" s="14"/>
      <c r="H120" s="97"/>
    </row>
    <row r="121" spans="1:8" x14ac:dyDescent="0.2">
      <c r="A121" s="3"/>
      <c r="B121" s="3"/>
      <c r="C121" s="4" t="s">
        <v>107</v>
      </c>
      <c r="D121" s="3"/>
      <c r="E121" s="3"/>
      <c r="F121" s="3"/>
      <c r="G121" s="3"/>
      <c r="H121" s="97"/>
    </row>
    <row r="122" spans="1:8" x14ac:dyDescent="0.2">
      <c r="A122" s="3"/>
      <c r="B122" s="3"/>
      <c r="C122" s="4" t="s">
        <v>97</v>
      </c>
      <c r="D122" s="3"/>
      <c r="E122" s="3" t="s">
        <v>98</v>
      </c>
      <c r="F122" s="15">
        <v>0</v>
      </c>
      <c r="G122" s="16">
        <v>0</v>
      </c>
      <c r="H122" s="97"/>
    </row>
    <row r="123" spans="1:8" x14ac:dyDescent="0.2">
      <c r="A123" s="3"/>
      <c r="B123" s="3"/>
      <c r="C123" s="13"/>
      <c r="D123" s="3"/>
      <c r="E123" s="3"/>
      <c r="F123" s="14"/>
      <c r="G123" s="14"/>
      <c r="H123" s="97"/>
    </row>
    <row r="124" spans="1:8" x14ac:dyDescent="0.2">
      <c r="A124" s="3"/>
      <c r="B124" s="3"/>
      <c r="C124" s="4" t="s">
        <v>108</v>
      </c>
      <c r="D124" s="3"/>
      <c r="E124" s="3"/>
      <c r="F124" s="14"/>
      <c r="G124" s="14"/>
      <c r="H124" s="97"/>
    </row>
    <row r="125" spans="1:8" x14ac:dyDescent="0.2">
      <c r="A125" s="3"/>
      <c r="B125" s="3"/>
      <c r="C125" s="4" t="s">
        <v>97</v>
      </c>
      <c r="D125" s="3"/>
      <c r="E125" s="3" t="s">
        <v>98</v>
      </c>
      <c r="F125" s="15">
        <v>0</v>
      </c>
      <c r="G125" s="16">
        <v>0</v>
      </c>
      <c r="H125" s="97"/>
    </row>
    <row r="126" spans="1:8" x14ac:dyDescent="0.2">
      <c r="A126" s="3"/>
      <c r="B126" s="3"/>
      <c r="C126" s="13"/>
      <c r="D126" s="3"/>
      <c r="E126" s="3"/>
      <c r="F126" s="14"/>
      <c r="G126" s="14"/>
      <c r="H126" s="97"/>
    </row>
    <row r="127" spans="1:8" x14ac:dyDescent="0.2">
      <c r="A127" s="3"/>
      <c r="B127" s="3"/>
      <c r="C127" s="4" t="s">
        <v>109</v>
      </c>
      <c r="D127" s="3"/>
      <c r="E127" s="3"/>
      <c r="F127" s="11">
        <v>0</v>
      </c>
      <c r="G127" s="12">
        <v>0</v>
      </c>
      <c r="H127" s="97"/>
    </row>
    <row r="128" spans="1:8" x14ac:dyDescent="0.2">
      <c r="A128" s="3"/>
      <c r="B128" s="3"/>
      <c r="C128" s="13"/>
      <c r="D128" s="3"/>
      <c r="E128" s="3"/>
      <c r="F128" s="14"/>
      <c r="G128" s="14"/>
      <c r="H128" s="97"/>
    </row>
    <row r="129" spans="1:15" x14ac:dyDescent="0.2">
      <c r="A129" s="3"/>
      <c r="B129" s="3"/>
      <c r="C129" s="4" t="s">
        <v>110</v>
      </c>
      <c r="D129" s="3"/>
      <c r="E129" s="3"/>
      <c r="F129" s="14"/>
      <c r="G129" s="14"/>
      <c r="H129" s="97"/>
    </row>
    <row r="130" spans="1:15" x14ac:dyDescent="0.2">
      <c r="A130" s="3"/>
      <c r="B130" s="3"/>
      <c r="C130" s="4" t="s">
        <v>111</v>
      </c>
      <c r="D130" s="3"/>
      <c r="E130" s="3"/>
      <c r="F130" s="14"/>
      <c r="G130" s="14"/>
      <c r="H130" s="97"/>
    </row>
    <row r="131" spans="1:15" x14ac:dyDescent="0.2">
      <c r="A131" s="3"/>
      <c r="B131" s="3"/>
      <c r="C131" s="4" t="s">
        <v>97</v>
      </c>
      <c r="D131" s="3"/>
      <c r="E131" s="3" t="s">
        <v>98</v>
      </c>
      <c r="F131" s="15">
        <v>0</v>
      </c>
      <c r="G131" s="16">
        <v>0</v>
      </c>
      <c r="H131" s="97"/>
    </row>
    <row r="132" spans="1:15" x14ac:dyDescent="0.2">
      <c r="A132" s="3"/>
      <c r="B132" s="3"/>
      <c r="C132" s="13"/>
      <c r="D132" s="3"/>
      <c r="E132" s="3"/>
      <c r="F132" s="14"/>
      <c r="G132" s="14"/>
      <c r="H132" s="97"/>
    </row>
    <row r="133" spans="1:15" x14ac:dyDescent="0.2">
      <c r="A133" s="3"/>
      <c r="B133" s="3"/>
      <c r="C133" s="4" t="s">
        <v>112</v>
      </c>
      <c r="D133" s="3"/>
      <c r="E133" s="3"/>
      <c r="F133" s="14"/>
      <c r="G133" s="14"/>
      <c r="H133" s="97"/>
    </row>
    <row r="134" spans="1:15" x14ac:dyDescent="0.2">
      <c r="A134" s="3"/>
      <c r="B134" s="3"/>
      <c r="C134" s="4" t="s">
        <v>97</v>
      </c>
      <c r="D134" s="3"/>
      <c r="E134" s="3" t="s">
        <v>98</v>
      </c>
      <c r="F134" s="15">
        <v>0</v>
      </c>
      <c r="G134" s="16">
        <v>0</v>
      </c>
      <c r="H134" s="97"/>
    </row>
    <row r="135" spans="1:15" x14ac:dyDescent="0.2">
      <c r="A135" s="3"/>
      <c r="B135" s="3"/>
      <c r="C135" s="13"/>
      <c r="D135" s="3"/>
      <c r="E135" s="3"/>
      <c r="F135" s="14"/>
      <c r="G135" s="14"/>
      <c r="H135" s="97"/>
    </row>
    <row r="136" spans="1:15" x14ac:dyDescent="0.2">
      <c r="A136" s="3"/>
      <c r="B136" s="3"/>
      <c r="C136" s="4" t="s">
        <v>113</v>
      </c>
      <c r="D136" s="3"/>
      <c r="E136" s="3"/>
      <c r="F136" s="14"/>
      <c r="G136" s="14"/>
      <c r="H136" s="97"/>
    </row>
    <row r="137" spans="1:15" ht="15" x14ac:dyDescent="0.25">
      <c r="A137" s="5">
        <v>1</v>
      </c>
      <c r="B137" s="6" t="s">
        <v>504</v>
      </c>
      <c r="C137" s="6" t="s">
        <v>505</v>
      </c>
      <c r="D137" s="6" t="s">
        <v>506</v>
      </c>
      <c r="E137" s="7">
        <v>70000</v>
      </c>
      <c r="F137" s="8">
        <v>69.968850000000003</v>
      </c>
      <c r="G137" s="9">
        <v>1.3719822142234861E-4</v>
      </c>
      <c r="H137" s="88">
        <v>3.25</v>
      </c>
      <c r="I137" s="87"/>
      <c r="J137" s="87"/>
      <c r="K137" s="87"/>
      <c r="L137" s="87"/>
      <c r="M137" s="87"/>
      <c r="N137" s="87"/>
      <c r="O137" s="87"/>
    </row>
    <row r="138" spans="1:15" x14ac:dyDescent="0.2">
      <c r="A138" s="3"/>
      <c r="B138" s="3"/>
      <c r="C138" s="4" t="s">
        <v>97</v>
      </c>
      <c r="D138" s="3"/>
      <c r="E138" s="3" t="s">
        <v>98</v>
      </c>
      <c r="F138" s="15">
        <v>69.968850000000003</v>
      </c>
      <c r="G138" s="16">
        <v>1.3719822142234861E-4</v>
      </c>
      <c r="H138" s="97"/>
    </row>
    <row r="139" spans="1:15" x14ac:dyDescent="0.2">
      <c r="A139" s="3"/>
      <c r="B139" s="3"/>
      <c r="C139" s="13"/>
      <c r="D139" s="3"/>
      <c r="E139" s="3"/>
      <c r="F139" s="14"/>
      <c r="G139" s="14"/>
      <c r="H139" s="97"/>
    </row>
    <row r="140" spans="1:15" x14ac:dyDescent="0.2">
      <c r="A140" s="3"/>
      <c r="B140" s="3"/>
      <c r="C140" s="4" t="s">
        <v>114</v>
      </c>
      <c r="D140" s="3"/>
      <c r="E140" s="3"/>
      <c r="F140" s="14"/>
      <c r="G140" s="14"/>
      <c r="H140" s="97"/>
    </row>
    <row r="141" spans="1:15" x14ac:dyDescent="0.2">
      <c r="A141" s="5">
        <v>1</v>
      </c>
      <c r="B141" s="6"/>
      <c r="C141" s="6" t="s">
        <v>115</v>
      </c>
      <c r="D141" s="6"/>
      <c r="E141" s="10"/>
      <c r="F141" s="8">
        <v>4588.2775437</v>
      </c>
      <c r="G141" s="9">
        <v>8.9969110309479489E-3</v>
      </c>
      <c r="H141" s="8">
        <v>3.4504560529072292</v>
      </c>
    </row>
    <row r="142" spans="1:15" x14ac:dyDescent="0.2">
      <c r="A142" s="5">
        <v>2</v>
      </c>
      <c r="B142" s="6"/>
      <c r="C142" s="6" t="s">
        <v>116</v>
      </c>
      <c r="D142" s="6"/>
      <c r="E142" s="10"/>
      <c r="F142" s="8">
        <v>2476.3277533999999</v>
      </c>
      <c r="G142" s="9">
        <v>4.8557002641215373E-3</v>
      </c>
      <c r="H142" s="8">
        <v>3.5655822479098256</v>
      </c>
    </row>
    <row r="143" spans="1:15" x14ac:dyDescent="0.2">
      <c r="A143" s="3"/>
      <c r="B143" s="3"/>
      <c r="C143" s="4" t="s">
        <v>97</v>
      </c>
      <c r="D143" s="3"/>
      <c r="E143" s="3" t="s">
        <v>98</v>
      </c>
      <c r="F143" s="11">
        <v>7064.6052970999999</v>
      </c>
      <c r="G143" s="12">
        <v>1.3852611295069485E-2</v>
      </c>
      <c r="H143" s="97"/>
    </row>
    <row r="144" spans="1:15" x14ac:dyDescent="0.2">
      <c r="A144" s="3"/>
      <c r="B144" s="3"/>
      <c r="C144" s="13"/>
      <c r="D144" s="3"/>
      <c r="E144" s="3"/>
      <c r="F144" s="14"/>
      <c r="G144" s="14"/>
      <c r="H144" s="97"/>
    </row>
    <row r="145" spans="1:8" x14ac:dyDescent="0.2">
      <c r="A145" s="3"/>
      <c r="B145" s="3"/>
      <c r="C145" s="4" t="s">
        <v>117</v>
      </c>
      <c r="D145" s="3"/>
      <c r="E145" s="3"/>
      <c r="F145" s="11">
        <v>7134.5741471000001</v>
      </c>
      <c r="G145" s="12">
        <v>1.3989809516491834E-2</v>
      </c>
      <c r="H145" s="97"/>
    </row>
    <row r="146" spans="1:8" x14ac:dyDescent="0.2">
      <c r="A146" s="3"/>
      <c r="B146" s="3"/>
      <c r="C146" s="14"/>
      <c r="D146" s="3"/>
      <c r="E146" s="3"/>
      <c r="F146" s="3"/>
      <c r="G146" s="3"/>
      <c r="H146" s="97"/>
    </row>
    <row r="147" spans="1:8" x14ac:dyDescent="0.2">
      <c r="A147" s="3"/>
      <c r="B147" s="3"/>
      <c r="C147" s="4" t="s">
        <v>118</v>
      </c>
      <c r="D147" s="3"/>
      <c r="E147" s="3"/>
      <c r="F147" s="3"/>
      <c r="G147" s="3"/>
      <c r="H147" s="97"/>
    </row>
    <row r="148" spans="1:8" x14ac:dyDescent="0.2">
      <c r="A148" s="3"/>
      <c r="B148" s="3"/>
      <c r="C148" s="4" t="s">
        <v>119</v>
      </c>
      <c r="D148" s="3"/>
      <c r="E148" s="3"/>
      <c r="F148" s="3"/>
      <c r="G148" s="3"/>
      <c r="H148" s="97"/>
    </row>
    <row r="149" spans="1:8" x14ac:dyDescent="0.2">
      <c r="A149" s="3"/>
      <c r="B149" s="3"/>
      <c r="C149" s="4" t="s">
        <v>97</v>
      </c>
      <c r="D149" s="3"/>
      <c r="E149" s="3" t="s">
        <v>98</v>
      </c>
      <c r="F149" s="15">
        <v>0</v>
      </c>
      <c r="G149" s="16">
        <v>0</v>
      </c>
      <c r="H149" s="97"/>
    </row>
    <row r="150" spans="1:8" x14ac:dyDescent="0.2">
      <c r="A150" s="3"/>
      <c r="B150" s="3"/>
      <c r="C150" s="13"/>
      <c r="D150" s="3"/>
      <c r="E150" s="3"/>
      <c r="F150" s="14"/>
      <c r="G150" s="14"/>
      <c r="H150" s="97"/>
    </row>
    <row r="151" spans="1:8" x14ac:dyDescent="0.2">
      <c r="A151" s="3"/>
      <c r="B151" s="3"/>
      <c r="C151" s="4" t="s">
        <v>120</v>
      </c>
      <c r="D151" s="3"/>
      <c r="E151" s="3"/>
      <c r="F151" s="3"/>
      <c r="G151" s="3"/>
      <c r="H151" s="97"/>
    </row>
    <row r="152" spans="1:8" x14ac:dyDescent="0.2">
      <c r="A152" s="3"/>
      <c r="B152" s="3"/>
      <c r="C152" s="4" t="s">
        <v>121</v>
      </c>
      <c r="D152" s="3"/>
      <c r="E152" s="3"/>
      <c r="F152" s="3"/>
      <c r="G152" s="3"/>
      <c r="H152" s="97"/>
    </row>
    <row r="153" spans="1:8" x14ac:dyDescent="0.2">
      <c r="A153" s="3"/>
      <c r="B153" s="3"/>
      <c r="C153" s="4" t="s">
        <v>97</v>
      </c>
      <c r="D153" s="3"/>
      <c r="E153" s="3" t="s">
        <v>98</v>
      </c>
      <c r="F153" s="15">
        <v>0</v>
      </c>
      <c r="G153" s="16">
        <v>0</v>
      </c>
      <c r="H153" s="97"/>
    </row>
    <row r="154" spans="1:8" x14ac:dyDescent="0.2">
      <c r="A154" s="3"/>
      <c r="B154" s="3"/>
      <c r="C154" s="13"/>
      <c r="D154" s="3"/>
      <c r="E154" s="3"/>
      <c r="F154" s="14"/>
      <c r="G154" s="14"/>
      <c r="H154" s="97"/>
    </row>
    <row r="155" spans="1:8" x14ac:dyDescent="0.2">
      <c r="A155" s="3"/>
      <c r="B155" s="3"/>
      <c r="C155" s="13"/>
      <c r="D155" s="3"/>
      <c r="E155" s="3"/>
      <c r="F155" s="14"/>
      <c r="G155" s="14"/>
      <c r="H155" s="97"/>
    </row>
    <row r="156" spans="1:8" ht="25.5" x14ac:dyDescent="0.2">
      <c r="A156" s="3"/>
      <c r="B156" s="3"/>
      <c r="C156" s="4" t="s">
        <v>122</v>
      </c>
      <c r="D156" s="3"/>
      <c r="E156" s="3"/>
      <c r="F156" s="14"/>
      <c r="G156" s="14"/>
      <c r="H156" s="97"/>
    </row>
    <row r="157" spans="1:8" x14ac:dyDescent="0.2">
      <c r="A157" s="3"/>
      <c r="B157" s="3"/>
      <c r="C157" s="4" t="s">
        <v>97</v>
      </c>
      <c r="D157" s="3"/>
      <c r="E157" s="3" t="s">
        <v>98</v>
      </c>
      <c r="F157" s="15">
        <v>0</v>
      </c>
      <c r="G157" s="16">
        <v>0</v>
      </c>
      <c r="H157" s="97"/>
    </row>
    <row r="158" spans="1:8" x14ac:dyDescent="0.2">
      <c r="A158" s="3"/>
      <c r="B158" s="3"/>
      <c r="C158" s="13"/>
      <c r="D158" s="3"/>
      <c r="E158" s="3"/>
      <c r="F158" s="14"/>
      <c r="G158" s="14"/>
      <c r="H158" s="97"/>
    </row>
    <row r="159" spans="1:8" x14ac:dyDescent="0.2">
      <c r="A159" s="3"/>
      <c r="B159" s="6"/>
      <c r="C159" s="6"/>
      <c r="D159" s="4"/>
      <c r="E159" s="3"/>
      <c r="F159" s="6"/>
      <c r="G159" s="10"/>
      <c r="H159" s="97"/>
    </row>
    <row r="160" spans="1:8" x14ac:dyDescent="0.2">
      <c r="A160" s="10"/>
      <c r="B160" s="6"/>
      <c r="C160" s="6" t="s">
        <v>1016</v>
      </c>
      <c r="D160" s="6"/>
      <c r="E160" s="10"/>
      <c r="F160" s="8">
        <v>19522.006864219999</v>
      </c>
      <c r="G160" s="9">
        <v>3.8279671887788129E-2</v>
      </c>
      <c r="H160" s="97"/>
    </row>
    <row r="161" spans="1:15" x14ac:dyDescent="0.2">
      <c r="A161" s="13"/>
      <c r="B161" s="13"/>
      <c r="C161" s="4" t="s">
        <v>124</v>
      </c>
      <c r="D161" s="17"/>
      <c r="E161" s="17"/>
      <c r="F161" s="11">
        <v>509983.65193532006</v>
      </c>
      <c r="G161" s="12">
        <v>1</v>
      </c>
      <c r="H161" s="97"/>
    </row>
    <row r="162" spans="1:15" ht="14.1" customHeight="1" x14ac:dyDescent="0.2">
      <c r="A162" s="18"/>
      <c r="B162" s="18"/>
      <c r="C162" s="18"/>
      <c r="D162" s="19"/>
      <c r="E162" s="19"/>
      <c r="F162" s="19"/>
      <c r="G162" s="19"/>
    </row>
    <row r="163" spans="1:15" s="69" customFormat="1" ht="17.100000000000001" customHeight="1" x14ac:dyDescent="0.2">
      <c r="A163" s="94"/>
      <c r="B163" s="234" t="s">
        <v>1018</v>
      </c>
      <c r="C163" s="234"/>
      <c r="D163" s="234"/>
      <c r="E163" s="234"/>
      <c r="F163" s="234"/>
      <c r="G163" s="95"/>
      <c r="H163"/>
      <c r="I163"/>
      <c r="J163"/>
      <c r="K163"/>
      <c r="L163"/>
      <c r="M163"/>
      <c r="N163"/>
      <c r="O163"/>
    </row>
    <row r="164" spans="1:15" ht="14.1" customHeight="1" x14ac:dyDescent="0.2">
      <c r="A164" s="20"/>
      <c r="B164" s="20"/>
      <c r="C164" s="20"/>
      <c r="D164" s="22"/>
      <c r="E164" s="22"/>
      <c r="F164" s="22"/>
      <c r="G164" s="22"/>
    </row>
    <row r="165" spans="1:15" ht="14.1" customHeight="1" x14ac:dyDescent="0.2">
      <c r="A165" s="20"/>
      <c r="B165" s="224" t="s">
        <v>126</v>
      </c>
      <c r="C165" s="225"/>
      <c r="D165" s="14" t="s">
        <v>98</v>
      </c>
      <c r="E165" s="23"/>
      <c r="F165" s="22"/>
      <c r="G165" s="22"/>
    </row>
    <row r="166" spans="1:15" ht="29.1" customHeight="1" x14ac:dyDescent="0.2">
      <c r="A166" s="20"/>
      <c r="B166" s="231" t="s">
        <v>127</v>
      </c>
      <c r="C166" s="232"/>
      <c r="D166" s="4" t="s">
        <v>128</v>
      </c>
      <c r="E166" s="23"/>
      <c r="F166" s="22"/>
      <c r="G166" s="22"/>
    </row>
    <row r="167" spans="1:15" ht="17.100000000000001" customHeight="1" x14ac:dyDescent="0.2">
      <c r="A167" s="20"/>
      <c r="B167" s="231" t="s">
        <v>129</v>
      </c>
      <c r="C167" s="232"/>
      <c r="D167" s="4" t="s">
        <v>128</v>
      </c>
      <c r="E167" s="23"/>
      <c r="F167" s="22"/>
      <c r="G167" s="22"/>
    </row>
    <row r="168" spans="1:15" ht="17.100000000000001" customHeight="1" x14ac:dyDescent="0.2">
      <c r="A168" s="20"/>
      <c r="B168" s="231" t="s">
        <v>1055</v>
      </c>
      <c r="C168" s="235"/>
      <c r="D168" s="232"/>
      <c r="E168" s="23"/>
      <c r="F168" s="22"/>
      <c r="G168" s="22"/>
    </row>
    <row r="169" spans="1:15" ht="24" customHeight="1" x14ac:dyDescent="0.2">
      <c r="A169" s="24"/>
      <c r="B169" s="25" t="s">
        <v>98</v>
      </c>
      <c r="C169" s="25" t="s">
        <v>131</v>
      </c>
      <c r="D169" s="25" t="s">
        <v>132</v>
      </c>
      <c r="E169" s="24"/>
      <c r="F169" s="24"/>
      <c r="G169" s="24"/>
    </row>
    <row r="170" spans="1:15" ht="18" customHeight="1" x14ac:dyDescent="0.2">
      <c r="A170" s="24"/>
      <c r="B170" s="25" t="s">
        <v>133</v>
      </c>
      <c r="C170" s="25" t="s">
        <v>134</v>
      </c>
      <c r="D170" s="25" t="s">
        <v>135</v>
      </c>
      <c r="E170" s="24"/>
      <c r="F170" s="24"/>
      <c r="G170" s="24"/>
    </row>
    <row r="171" spans="1:15" ht="17.100000000000001" customHeight="1" x14ac:dyDescent="0.2">
      <c r="A171" s="24"/>
      <c r="B171" s="6" t="s">
        <v>136</v>
      </c>
      <c r="C171" s="26">
        <v>58.835000000000001</v>
      </c>
      <c r="D171" s="26">
        <v>60.814799999999998</v>
      </c>
      <c r="E171" s="24"/>
      <c r="F171" s="21"/>
      <c r="G171" s="27"/>
    </row>
    <row r="172" spans="1:15" ht="17.100000000000001" customHeight="1" x14ac:dyDescent="0.2">
      <c r="A172" s="24"/>
      <c r="B172" s="6" t="s">
        <v>1201</v>
      </c>
      <c r="C172" s="26">
        <v>27.232600000000001</v>
      </c>
      <c r="D172" s="26">
        <v>28.149000000000001</v>
      </c>
      <c r="E172" s="24"/>
      <c r="F172" s="21"/>
      <c r="G172" s="27"/>
    </row>
    <row r="173" spans="1:15" ht="17.100000000000001" customHeight="1" x14ac:dyDescent="0.2">
      <c r="A173" s="24"/>
      <c r="B173" s="6" t="s">
        <v>137</v>
      </c>
      <c r="C173" s="26">
        <v>54.462400000000002</v>
      </c>
      <c r="D173" s="26">
        <v>56.232599999999998</v>
      </c>
      <c r="E173" s="24"/>
      <c r="F173" s="21"/>
      <c r="G173" s="27"/>
    </row>
    <row r="174" spans="1:15" ht="17.100000000000001" customHeight="1" x14ac:dyDescent="0.2">
      <c r="A174" s="24"/>
      <c r="B174" s="6" t="s">
        <v>1202</v>
      </c>
      <c r="C174" s="26">
        <v>24.6785</v>
      </c>
      <c r="D174" s="26">
        <v>25.480599999999999</v>
      </c>
      <c r="E174" s="24"/>
      <c r="F174" s="21"/>
      <c r="G174" s="27"/>
    </row>
    <row r="175" spans="1:15" ht="17.100000000000001" customHeight="1" x14ac:dyDescent="0.2">
      <c r="A175" s="20"/>
      <c r="B175" s="231" t="s">
        <v>1056</v>
      </c>
      <c r="C175" s="235"/>
      <c r="D175" s="232"/>
      <c r="E175" s="23"/>
      <c r="F175" s="22"/>
      <c r="G175" s="22"/>
    </row>
    <row r="176" spans="1:15" ht="24" customHeight="1" x14ac:dyDescent="0.2">
      <c r="A176" s="24"/>
      <c r="B176" s="25" t="s">
        <v>98</v>
      </c>
      <c r="C176" s="25" t="s">
        <v>131</v>
      </c>
      <c r="D176" s="25" t="s">
        <v>132</v>
      </c>
      <c r="E176" s="24"/>
      <c r="F176" s="24"/>
      <c r="G176" s="24"/>
    </row>
    <row r="177" spans="1:17" ht="18" customHeight="1" x14ac:dyDescent="0.2">
      <c r="A177" s="24"/>
      <c r="B177" s="25" t="s">
        <v>133</v>
      </c>
      <c r="C177" s="25" t="s">
        <v>134</v>
      </c>
      <c r="D177" s="25" t="s">
        <v>135</v>
      </c>
      <c r="E177" s="24"/>
      <c r="F177" s="24"/>
      <c r="G177" s="24"/>
    </row>
    <row r="178" spans="1:17" ht="17.100000000000001" customHeight="1" x14ac:dyDescent="0.2">
      <c r="A178" s="24"/>
      <c r="B178" s="6" t="s">
        <v>136</v>
      </c>
      <c r="C178" s="86">
        <v>194.38</v>
      </c>
      <c r="D178" s="26">
        <v>200.18219999999999</v>
      </c>
      <c r="E178" s="24"/>
      <c r="F178" s="21"/>
      <c r="G178" s="27"/>
    </row>
    <row r="179" spans="1:17" ht="29.1" customHeight="1" x14ac:dyDescent="0.2">
      <c r="A179" s="24"/>
      <c r="B179" s="6" t="s">
        <v>1205</v>
      </c>
      <c r="C179" s="86">
        <v>139.44999999999999</v>
      </c>
      <c r="D179" s="26">
        <v>138.3202</v>
      </c>
      <c r="E179" s="24"/>
      <c r="F179" s="21"/>
      <c r="G179" s="27"/>
    </row>
    <row r="180" spans="1:17" ht="17.100000000000001" customHeight="1" x14ac:dyDescent="0.2">
      <c r="A180" s="24"/>
      <c r="B180" s="6" t="s">
        <v>137</v>
      </c>
      <c r="C180" s="86">
        <v>178.17</v>
      </c>
      <c r="D180" s="26">
        <v>183.3158</v>
      </c>
      <c r="E180" s="24"/>
      <c r="F180" s="21"/>
      <c r="G180" s="27"/>
    </row>
    <row r="181" spans="1:17" ht="29.1" customHeight="1" x14ac:dyDescent="0.2">
      <c r="A181" s="24"/>
      <c r="B181" s="6" t="s">
        <v>1206</v>
      </c>
      <c r="C181" s="86">
        <v>63.44</v>
      </c>
      <c r="D181" s="26">
        <v>62.87</v>
      </c>
      <c r="E181" s="24"/>
      <c r="F181" s="21"/>
      <c r="G181" s="27"/>
    </row>
    <row r="182" spans="1:17" ht="14.1" customHeight="1" x14ac:dyDescent="0.2">
      <c r="A182" s="24"/>
      <c r="B182" s="24"/>
      <c r="C182" s="24"/>
      <c r="D182" s="24"/>
      <c r="E182" s="24"/>
      <c r="F182" s="24"/>
      <c r="G182" s="24"/>
    </row>
    <row r="183" spans="1:17" ht="12.75" customHeight="1" x14ac:dyDescent="0.2">
      <c r="A183" s="24"/>
      <c r="B183" s="231" t="s">
        <v>1303</v>
      </c>
      <c r="C183" s="235"/>
      <c r="D183" s="232"/>
      <c r="E183" s="24"/>
      <c r="F183" s="24"/>
      <c r="G183" s="24"/>
    </row>
    <row r="184" spans="1:17" x14ac:dyDescent="0.2">
      <c r="A184" s="24"/>
      <c r="B184" s="231" t="s">
        <v>1057</v>
      </c>
      <c r="C184" s="235"/>
      <c r="D184" s="232"/>
      <c r="E184" s="24"/>
      <c r="F184" s="24"/>
      <c r="G184" s="24"/>
    </row>
    <row r="185" spans="1:17" ht="23.25" customHeight="1" x14ac:dyDescent="0.2">
      <c r="A185" s="24"/>
      <c r="B185" s="81" t="s">
        <v>133</v>
      </c>
      <c r="C185" s="82" t="s">
        <v>1019</v>
      </c>
      <c r="D185" s="82" t="s">
        <v>1020</v>
      </c>
      <c r="E185" s="24"/>
      <c r="F185" s="24"/>
      <c r="G185" s="24"/>
    </row>
    <row r="186" spans="1:17" ht="23.25" customHeight="1" x14ac:dyDescent="0.2">
      <c r="A186" s="24"/>
      <c r="B186" s="6" t="s">
        <v>1062</v>
      </c>
      <c r="C186" s="83">
        <v>5.0480999999999998</v>
      </c>
      <c r="D186" s="84">
        <v>5.0480999999999998</v>
      </c>
      <c r="E186" s="24"/>
      <c r="F186" s="24"/>
      <c r="G186" s="24"/>
    </row>
    <row r="187" spans="1:17" ht="23.25" customHeight="1" x14ac:dyDescent="0.2">
      <c r="A187" s="24"/>
      <c r="B187" s="6" t="s">
        <v>1063</v>
      </c>
      <c r="C187" s="83">
        <v>2.2959999999999998</v>
      </c>
      <c r="D187" s="83">
        <v>2.2959999999999998</v>
      </c>
      <c r="E187" s="24"/>
      <c r="F187" s="24"/>
      <c r="G187" s="24"/>
    </row>
    <row r="188" spans="1:17" ht="11.1" customHeight="1" x14ac:dyDescent="0.2">
      <c r="A188" s="28"/>
      <c r="B188" s="28"/>
      <c r="C188" s="28"/>
      <c r="D188" s="28"/>
      <c r="E188" s="28"/>
      <c r="F188" s="28"/>
      <c r="G188" s="28"/>
    </row>
    <row r="189" spans="1:17" s="87" customFormat="1" x14ac:dyDescent="0.2">
      <c r="B189" s="233" t="s">
        <v>1207</v>
      </c>
      <c r="C189" s="233"/>
      <c r="D189" s="233"/>
      <c r="E189" s="233"/>
      <c r="F189" s="233"/>
      <c r="I189"/>
      <c r="J189"/>
      <c r="K189"/>
      <c r="L189"/>
      <c r="M189"/>
      <c r="N189"/>
      <c r="O189"/>
      <c r="P189" s="69"/>
      <c r="Q189" s="69"/>
    </row>
    <row r="190" spans="1:17" ht="14.1" customHeight="1" x14ac:dyDescent="0.2">
      <c r="A190" s="24"/>
      <c r="B190" s="21"/>
      <c r="C190" s="21"/>
      <c r="D190" s="24"/>
      <c r="E190" s="24"/>
      <c r="F190" s="24"/>
      <c r="G190" s="24"/>
    </row>
    <row r="191" spans="1:17" ht="29.1" customHeight="1" x14ac:dyDescent="0.2">
      <c r="A191" s="24"/>
      <c r="B191" s="231" t="s">
        <v>138</v>
      </c>
      <c r="C191" s="232"/>
      <c r="D191" s="4" t="s">
        <v>128</v>
      </c>
      <c r="E191" s="24"/>
      <c r="F191" s="24"/>
      <c r="G191" s="24"/>
    </row>
    <row r="192" spans="1:17" ht="29.1" customHeight="1" x14ac:dyDescent="0.2">
      <c r="A192" s="24"/>
      <c r="B192" s="231" t="s">
        <v>139</v>
      </c>
      <c r="C192" s="232"/>
      <c r="D192" s="4" t="s">
        <v>128</v>
      </c>
      <c r="E192" s="24"/>
      <c r="F192" s="24"/>
      <c r="G192" s="24"/>
    </row>
    <row r="193" spans="1:7" ht="17.100000000000001" customHeight="1" x14ac:dyDescent="0.2">
      <c r="A193" s="24"/>
      <c r="B193" s="231" t="s">
        <v>140</v>
      </c>
      <c r="C193" s="232"/>
      <c r="D193" s="30">
        <v>0.43605130960262695</v>
      </c>
      <c r="E193" s="24"/>
      <c r="F193" s="21"/>
      <c r="G193" s="27"/>
    </row>
    <row r="194" spans="1:7" ht="17.100000000000001" customHeight="1" x14ac:dyDescent="0.2">
      <c r="A194" s="24"/>
      <c r="B194" s="231" t="s">
        <v>141</v>
      </c>
      <c r="C194" s="232"/>
      <c r="D194" s="4" t="s">
        <v>128</v>
      </c>
      <c r="E194" s="24"/>
      <c r="F194" s="24"/>
      <c r="G194" s="24"/>
    </row>
  </sheetData>
  <sortState xmlns:xlrd2="http://schemas.microsoft.com/office/spreadsheetml/2017/richdata2" ref="A7:G94">
    <sortCondition descending="1" ref="G7:G94"/>
  </sortState>
  <mergeCells count="17">
    <mergeCell ref="B193:C193"/>
    <mergeCell ref="B194:C194"/>
    <mergeCell ref="B166:C166"/>
    <mergeCell ref="B167:C167"/>
    <mergeCell ref="B191:C191"/>
    <mergeCell ref="B192:C192"/>
    <mergeCell ref="B183:D183"/>
    <mergeCell ref="B168:D168"/>
    <mergeCell ref="B175:D175"/>
    <mergeCell ref="B189:F189"/>
    <mergeCell ref="B184:D184"/>
    <mergeCell ref="J2:N2"/>
    <mergeCell ref="B165:C165"/>
    <mergeCell ref="B163:F163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3">
    <outlinePr summaryBelow="0" summaryRight="0"/>
  </sheetPr>
  <dimension ref="A1:Q171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5" ht="15" x14ac:dyDescent="0.2">
      <c r="A1" s="227" t="s">
        <v>0</v>
      </c>
      <c r="B1" s="227"/>
      <c r="C1" s="227"/>
      <c r="D1" s="227"/>
      <c r="E1" s="227"/>
      <c r="F1" s="227"/>
      <c r="G1" s="227"/>
      <c r="H1" s="227"/>
    </row>
    <row r="2" spans="1:15" s="87" customFormat="1" ht="15" x14ac:dyDescent="0.2">
      <c r="A2" s="228" t="s">
        <v>603</v>
      </c>
      <c r="B2" s="229"/>
      <c r="C2" s="229"/>
      <c r="D2" s="229"/>
      <c r="E2" s="229"/>
      <c r="F2" s="229"/>
      <c r="G2" s="229"/>
      <c r="H2" s="230"/>
      <c r="I2"/>
      <c r="J2" s="223" t="s">
        <v>1238</v>
      </c>
      <c r="K2" s="223"/>
      <c r="L2" s="223"/>
      <c r="M2" s="223"/>
      <c r="N2" s="223"/>
      <c r="O2"/>
    </row>
    <row r="3" spans="1:15" ht="15" x14ac:dyDescent="0.2">
      <c r="A3" s="227" t="s">
        <v>1208</v>
      </c>
      <c r="B3" s="227"/>
      <c r="C3" s="227"/>
      <c r="D3" s="227"/>
      <c r="E3" s="227"/>
      <c r="F3" s="227"/>
      <c r="G3" s="227"/>
      <c r="H3" s="227"/>
    </row>
    <row r="4" spans="1:15" s="113" customFormat="1" ht="30" x14ac:dyDescent="0.2">
      <c r="A4" s="1" t="s">
        <v>2</v>
      </c>
      <c r="B4" s="1" t="s">
        <v>3</v>
      </c>
      <c r="C4" s="1" t="s">
        <v>4</v>
      </c>
      <c r="D4" s="1" t="s">
        <v>5</v>
      </c>
      <c r="E4" s="2" t="s">
        <v>6</v>
      </c>
      <c r="F4" s="2" t="s">
        <v>7</v>
      </c>
      <c r="G4" s="2" t="s">
        <v>8</v>
      </c>
      <c r="H4" s="96" t="s">
        <v>1167</v>
      </c>
      <c r="I4" s="183"/>
      <c r="J4" s="183"/>
      <c r="K4" s="183"/>
      <c r="L4" s="183"/>
      <c r="M4" s="183"/>
      <c r="N4" s="183"/>
      <c r="O4" s="183"/>
    </row>
    <row r="5" spans="1:15" ht="14.1" customHeight="1" x14ac:dyDescent="0.2">
      <c r="A5" s="3"/>
      <c r="B5" s="3"/>
      <c r="C5" s="4" t="s">
        <v>9</v>
      </c>
      <c r="D5" s="3"/>
      <c r="E5" s="3"/>
      <c r="F5" s="3"/>
      <c r="G5" s="3"/>
      <c r="H5" s="97"/>
    </row>
    <row r="6" spans="1:15" ht="24" customHeight="1" x14ac:dyDescent="0.2">
      <c r="A6" s="3"/>
      <c r="B6" s="3"/>
      <c r="C6" s="4" t="s">
        <v>10</v>
      </c>
      <c r="D6" s="3"/>
      <c r="E6" s="3"/>
      <c r="F6" s="3"/>
      <c r="G6" s="3"/>
      <c r="H6" s="97"/>
    </row>
    <row r="7" spans="1:15" x14ac:dyDescent="0.2">
      <c r="A7" s="5">
        <v>1</v>
      </c>
      <c r="B7" s="6" t="s">
        <v>164</v>
      </c>
      <c r="C7" s="6" t="s">
        <v>165</v>
      </c>
      <c r="D7" s="6" t="s">
        <v>19</v>
      </c>
      <c r="E7" s="7">
        <v>76859</v>
      </c>
      <c r="F7" s="8">
        <v>897.75154950000001</v>
      </c>
      <c r="G7" s="9">
        <v>3.0806218999999999E-2</v>
      </c>
      <c r="H7" s="97"/>
    </row>
    <row r="8" spans="1:15" x14ac:dyDescent="0.2">
      <c r="A8" s="5">
        <v>2</v>
      </c>
      <c r="B8" s="6" t="s">
        <v>274</v>
      </c>
      <c r="C8" s="6" t="s">
        <v>275</v>
      </c>
      <c r="D8" s="6" t="s">
        <v>185</v>
      </c>
      <c r="E8" s="7">
        <v>20969</v>
      </c>
      <c r="F8" s="8">
        <v>878.286565</v>
      </c>
      <c r="G8" s="9">
        <v>3.0138280999999999E-2</v>
      </c>
      <c r="H8" s="97"/>
    </row>
    <row r="9" spans="1:15" ht="25.5" x14ac:dyDescent="0.2">
      <c r="A9" s="5">
        <v>3</v>
      </c>
      <c r="B9" s="6" t="s">
        <v>143</v>
      </c>
      <c r="C9" s="6" t="s">
        <v>144</v>
      </c>
      <c r="D9" s="6" t="s">
        <v>45</v>
      </c>
      <c r="E9" s="7">
        <v>446179</v>
      </c>
      <c r="F9" s="8">
        <v>868.04124449999995</v>
      </c>
      <c r="G9" s="9">
        <v>2.9786713999999999E-2</v>
      </c>
      <c r="H9" s="97"/>
    </row>
    <row r="10" spans="1:15" x14ac:dyDescent="0.2">
      <c r="A10" s="5">
        <v>4</v>
      </c>
      <c r="B10" s="6" t="s">
        <v>17</v>
      </c>
      <c r="C10" s="6" t="s">
        <v>18</v>
      </c>
      <c r="D10" s="6" t="s">
        <v>19</v>
      </c>
      <c r="E10" s="7">
        <v>45215</v>
      </c>
      <c r="F10" s="8">
        <v>866.77155000000005</v>
      </c>
      <c r="G10" s="9">
        <v>2.9743144999999999E-2</v>
      </c>
      <c r="H10" s="97"/>
    </row>
    <row r="11" spans="1:15" x14ac:dyDescent="0.2">
      <c r="A11" s="5">
        <v>5</v>
      </c>
      <c r="B11" s="6" t="s">
        <v>74</v>
      </c>
      <c r="C11" s="6" t="s">
        <v>75</v>
      </c>
      <c r="D11" s="6" t="s">
        <v>70</v>
      </c>
      <c r="E11" s="7">
        <v>184388</v>
      </c>
      <c r="F11" s="8">
        <v>774.06082400000003</v>
      </c>
      <c r="G11" s="9">
        <v>2.6561788999999999E-2</v>
      </c>
      <c r="H11" s="97"/>
    </row>
    <row r="12" spans="1:15" x14ac:dyDescent="0.2">
      <c r="A12" s="5">
        <v>6</v>
      </c>
      <c r="B12" s="6" t="s">
        <v>263</v>
      </c>
      <c r="C12" s="6" t="s">
        <v>264</v>
      </c>
      <c r="D12" s="6" t="s">
        <v>147</v>
      </c>
      <c r="E12" s="7">
        <v>121156</v>
      </c>
      <c r="F12" s="8">
        <v>742.62570200000005</v>
      </c>
      <c r="G12" s="9">
        <v>2.5483097E-2</v>
      </c>
      <c r="H12" s="97"/>
    </row>
    <row r="13" spans="1:15" x14ac:dyDescent="0.2">
      <c r="A13" s="5">
        <v>7</v>
      </c>
      <c r="B13" s="6" t="s">
        <v>145</v>
      </c>
      <c r="C13" s="6" t="s">
        <v>146</v>
      </c>
      <c r="D13" s="6" t="s">
        <v>147</v>
      </c>
      <c r="E13" s="7">
        <v>14600</v>
      </c>
      <c r="F13" s="8">
        <v>716.03510000000006</v>
      </c>
      <c r="G13" s="9">
        <v>2.4570643999999999E-2</v>
      </c>
      <c r="H13" s="97"/>
    </row>
    <row r="14" spans="1:15" x14ac:dyDescent="0.2">
      <c r="A14" s="5">
        <v>8</v>
      </c>
      <c r="B14" s="6" t="s">
        <v>148</v>
      </c>
      <c r="C14" s="6" t="s">
        <v>149</v>
      </c>
      <c r="D14" s="6" t="s">
        <v>70</v>
      </c>
      <c r="E14" s="7">
        <v>107225</v>
      </c>
      <c r="F14" s="8">
        <v>641.09827499999994</v>
      </c>
      <c r="G14" s="9">
        <v>2.1999198000000001E-2</v>
      </c>
      <c r="H14" s="97"/>
    </row>
    <row r="15" spans="1:15" x14ac:dyDescent="0.2">
      <c r="A15" s="5">
        <v>9</v>
      </c>
      <c r="B15" s="6" t="s">
        <v>296</v>
      </c>
      <c r="C15" s="6" t="s">
        <v>297</v>
      </c>
      <c r="D15" s="6" t="s">
        <v>19</v>
      </c>
      <c r="E15" s="7">
        <v>89666</v>
      </c>
      <c r="F15" s="8">
        <v>636.13543700000002</v>
      </c>
      <c r="G15" s="9">
        <v>2.1828898999999999E-2</v>
      </c>
      <c r="H15" s="97"/>
    </row>
    <row r="16" spans="1:15" ht="15" x14ac:dyDescent="0.2">
      <c r="A16" s="5">
        <v>10</v>
      </c>
      <c r="B16" s="6" t="s">
        <v>41</v>
      </c>
      <c r="C16" s="6" t="s">
        <v>42</v>
      </c>
      <c r="D16" s="6" t="s">
        <v>19</v>
      </c>
      <c r="E16" s="7">
        <v>51448</v>
      </c>
      <c r="F16" s="8">
        <v>627.79422</v>
      </c>
      <c r="G16" s="9">
        <v>2.1542670999999999E-2</v>
      </c>
      <c r="H16" s="97"/>
      <c r="J16" s="184" t="s">
        <v>1243</v>
      </c>
    </row>
    <row r="17" spans="1:8" x14ac:dyDescent="0.2">
      <c r="A17" s="5">
        <v>11</v>
      </c>
      <c r="B17" s="6" t="s">
        <v>150</v>
      </c>
      <c r="C17" s="6" t="s">
        <v>151</v>
      </c>
      <c r="D17" s="6" t="s">
        <v>81</v>
      </c>
      <c r="E17" s="7">
        <v>566165</v>
      </c>
      <c r="F17" s="8">
        <v>627.59390250000001</v>
      </c>
      <c r="G17" s="9">
        <v>2.1535796999999999E-2</v>
      </c>
      <c r="H17" s="97"/>
    </row>
    <row r="18" spans="1:8" x14ac:dyDescent="0.2">
      <c r="A18" s="5">
        <v>12</v>
      </c>
      <c r="B18" s="6" t="s">
        <v>576</v>
      </c>
      <c r="C18" s="6" t="s">
        <v>577</v>
      </c>
      <c r="D18" s="6" t="s">
        <v>70</v>
      </c>
      <c r="E18" s="7">
        <v>161016</v>
      </c>
      <c r="F18" s="8">
        <v>605.01761999999997</v>
      </c>
      <c r="G18" s="9">
        <v>2.0761095E-2</v>
      </c>
      <c r="H18" s="97"/>
    </row>
    <row r="19" spans="1:8" x14ac:dyDescent="0.2">
      <c r="A19" s="5">
        <v>13</v>
      </c>
      <c r="B19" s="6" t="s">
        <v>154</v>
      </c>
      <c r="C19" s="6" t="s">
        <v>155</v>
      </c>
      <c r="D19" s="6" t="s">
        <v>147</v>
      </c>
      <c r="E19" s="7">
        <v>52435</v>
      </c>
      <c r="F19" s="8">
        <v>591.17840750000005</v>
      </c>
      <c r="G19" s="9">
        <v>2.0286203999999999E-2</v>
      </c>
      <c r="H19" s="97"/>
    </row>
    <row r="20" spans="1:8" x14ac:dyDescent="0.2">
      <c r="A20" s="5">
        <v>14</v>
      </c>
      <c r="B20" s="6" t="s">
        <v>156</v>
      </c>
      <c r="C20" s="6" t="s">
        <v>157</v>
      </c>
      <c r="D20" s="6" t="s">
        <v>19</v>
      </c>
      <c r="E20" s="7">
        <v>76754</v>
      </c>
      <c r="F20" s="8">
        <v>556.735139</v>
      </c>
      <c r="G20" s="9">
        <v>1.9104289E-2</v>
      </c>
      <c r="H20" s="97"/>
    </row>
    <row r="21" spans="1:8" x14ac:dyDescent="0.2">
      <c r="A21" s="5">
        <v>15</v>
      </c>
      <c r="B21" s="6" t="s">
        <v>84</v>
      </c>
      <c r="C21" s="6" t="s">
        <v>85</v>
      </c>
      <c r="D21" s="6" t="s">
        <v>53</v>
      </c>
      <c r="E21" s="7">
        <v>108670</v>
      </c>
      <c r="F21" s="8">
        <v>532.80900999999994</v>
      </c>
      <c r="G21" s="9">
        <v>1.8283266999999999E-2</v>
      </c>
      <c r="H21" s="97"/>
    </row>
    <row r="22" spans="1:8" ht="25.5" x14ac:dyDescent="0.2">
      <c r="A22" s="5">
        <v>16</v>
      </c>
      <c r="B22" s="6" t="s">
        <v>37</v>
      </c>
      <c r="C22" s="6" t="s">
        <v>38</v>
      </c>
      <c r="D22" s="6" t="s">
        <v>1185</v>
      </c>
      <c r="E22" s="7">
        <v>15321</v>
      </c>
      <c r="F22" s="8">
        <v>520.73780850000003</v>
      </c>
      <c r="G22" s="9">
        <v>1.7869045E-2</v>
      </c>
      <c r="H22" s="97"/>
    </row>
    <row r="23" spans="1:8" x14ac:dyDescent="0.2">
      <c r="A23" s="5">
        <v>17</v>
      </c>
      <c r="B23" s="6" t="s">
        <v>203</v>
      </c>
      <c r="C23" s="6" t="s">
        <v>204</v>
      </c>
      <c r="D23" s="6" t="s">
        <v>81</v>
      </c>
      <c r="E23" s="7">
        <v>64874</v>
      </c>
      <c r="F23" s="8">
        <v>502.25450799999999</v>
      </c>
      <c r="G23" s="9">
        <v>1.7234793000000002E-2</v>
      </c>
      <c r="H23" s="97"/>
    </row>
    <row r="24" spans="1:8" ht="25.5" x14ac:dyDescent="0.2">
      <c r="A24" s="5">
        <v>18</v>
      </c>
      <c r="B24" s="6" t="s">
        <v>604</v>
      </c>
      <c r="C24" s="6" t="s">
        <v>605</v>
      </c>
      <c r="D24" s="6" t="s">
        <v>45</v>
      </c>
      <c r="E24" s="7">
        <v>26381</v>
      </c>
      <c r="F24" s="8">
        <v>488.470596</v>
      </c>
      <c r="G24" s="9">
        <v>1.67618E-2</v>
      </c>
      <c r="H24" s="97"/>
    </row>
    <row r="25" spans="1:8" x14ac:dyDescent="0.2">
      <c r="A25" s="5">
        <v>19</v>
      </c>
      <c r="B25" s="6" t="s">
        <v>158</v>
      </c>
      <c r="C25" s="6" t="s">
        <v>159</v>
      </c>
      <c r="D25" s="6" t="s">
        <v>1187</v>
      </c>
      <c r="E25" s="7">
        <v>37305</v>
      </c>
      <c r="F25" s="8">
        <v>454.80390749999998</v>
      </c>
      <c r="G25" s="9">
        <v>1.5606533000000001E-2</v>
      </c>
      <c r="H25" s="97"/>
    </row>
    <row r="26" spans="1:8" x14ac:dyDescent="0.2">
      <c r="A26" s="5">
        <v>20</v>
      </c>
      <c r="B26" s="6" t="s">
        <v>160</v>
      </c>
      <c r="C26" s="6" t="s">
        <v>161</v>
      </c>
      <c r="D26" s="6" t="s">
        <v>147</v>
      </c>
      <c r="E26" s="7">
        <v>43772</v>
      </c>
      <c r="F26" s="8">
        <v>447.78755999999998</v>
      </c>
      <c r="G26" s="9">
        <v>1.5365768E-2</v>
      </c>
      <c r="H26" s="97"/>
    </row>
    <row r="27" spans="1:8" x14ac:dyDescent="0.2">
      <c r="A27" s="5">
        <v>21</v>
      </c>
      <c r="B27" s="6" t="s">
        <v>280</v>
      </c>
      <c r="C27" s="6" t="s">
        <v>281</v>
      </c>
      <c r="D27" s="6" t="s">
        <v>238</v>
      </c>
      <c r="E27" s="7">
        <v>24341</v>
      </c>
      <c r="F27" s="8">
        <v>427.13586800000002</v>
      </c>
      <c r="G27" s="9">
        <v>1.4657108E-2</v>
      </c>
      <c r="H27" s="97"/>
    </row>
    <row r="28" spans="1:8" x14ac:dyDescent="0.2">
      <c r="A28" s="5">
        <v>22</v>
      </c>
      <c r="B28" s="6" t="s">
        <v>172</v>
      </c>
      <c r="C28" s="6" t="s">
        <v>173</v>
      </c>
      <c r="D28" s="6" t="s">
        <v>174</v>
      </c>
      <c r="E28" s="7">
        <v>178406</v>
      </c>
      <c r="F28" s="8">
        <v>426.47954299999998</v>
      </c>
      <c r="G28" s="9">
        <v>1.4634586E-2</v>
      </c>
      <c r="H28" s="97"/>
    </row>
    <row r="29" spans="1:8" x14ac:dyDescent="0.2">
      <c r="A29" s="5">
        <v>23</v>
      </c>
      <c r="B29" s="6" t="s">
        <v>168</v>
      </c>
      <c r="C29" s="6" t="s">
        <v>169</v>
      </c>
      <c r="D29" s="6" t="s">
        <v>81</v>
      </c>
      <c r="E29" s="7">
        <v>637757</v>
      </c>
      <c r="F29" s="8">
        <v>401.78690999999998</v>
      </c>
      <c r="G29" s="9">
        <v>1.3787262E-2</v>
      </c>
      <c r="H29" s="97"/>
    </row>
    <row r="30" spans="1:8" x14ac:dyDescent="0.2">
      <c r="A30" s="5">
        <v>24</v>
      </c>
      <c r="B30" s="6" t="s">
        <v>196</v>
      </c>
      <c r="C30" s="6" t="s">
        <v>197</v>
      </c>
      <c r="D30" s="6" t="s">
        <v>81</v>
      </c>
      <c r="E30" s="7">
        <v>70489</v>
      </c>
      <c r="F30" s="8">
        <v>389.76892550000002</v>
      </c>
      <c r="G30" s="9">
        <v>1.3374865999999999E-2</v>
      </c>
      <c r="H30" s="97"/>
    </row>
    <row r="31" spans="1:8" x14ac:dyDescent="0.2">
      <c r="A31" s="5">
        <v>25</v>
      </c>
      <c r="B31" s="6" t="s">
        <v>556</v>
      </c>
      <c r="C31" s="6" t="s">
        <v>557</v>
      </c>
      <c r="D31" s="6" t="s">
        <v>48</v>
      </c>
      <c r="E31" s="7">
        <v>50898</v>
      </c>
      <c r="F31" s="8">
        <v>380.02991700000001</v>
      </c>
      <c r="G31" s="9">
        <v>1.3040674E-2</v>
      </c>
      <c r="H31" s="97"/>
    </row>
    <row r="32" spans="1:8" x14ac:dyDescent="0.2">
      <c r="A32" s="5">
        <v>26</v>
      </c>
      <c r="B32" s="6" t="s">
        <v>166</v>
      </c>
      <c r="C32" s="6" t="s">
        <v>167</v>
      </c>
      <c r="D32" s="6" t="s">
        <v>1186</v>
      </c>
      <c r="E32" s="7">
        <v>106261</v>
      </c>
      <c r="F32" s="8">
        <v>375.47324350000002</v>
      </c>
      <c r="G32" s="9">
        <v>1.2884312E-2</v>
      </c>
      <c r="H32" s="97"/>
    </row>
    <row r="33" spans="1:8" x14ac:dyDescent="0.2">
      <c r="A33" s="5">
        <v>27</v>
      </c>
      <c r="B33" s="6" t="s">
        <v>152</v>
      </c>
      <c r="C33" s="6" t="s">
        <v>153</v>
      </c>
      <c r="D33" s="6" t="s">
        <v>1184</v>
      </c>
      <c r="E33" s="7">
        <v>31521</v>
      </c>
      <c r="F33" s="8">
        <v>372.59398049999999</v>
      </c>
      <c r="G33" s="9">
        <v>1.278551E-2</v>
      </c>
      <c r="H33" s="97"/>
    </row>
    <row r="34" spans="1:8" x14ac:dyDescent="0.2">
      <c r="A34" s="5">
        <v>28</v>
      </c>
      <c r="B34" s="6" t="s">
        <v>606</v>
      </c>
      <c r="C34" s="6" t="s">
        <v>607</v>
      </c>
      <c r="D34" s="6" t="s">
        <v>19</v>
      </c>
      <c r="E34" s="7">
        <v>37025</v>
      </c>
      <c r="F34" s="8">
        <v>363.45591250000001</v>
      </c>
      <c r="G34" s="9">
        <v>1.2471939E-2</v>
      </c>
      <c r="H34" s="97"/>
    </row>
    <row r="35" spans="1:8" x14ac:dyDescent="0.2">
      <c r="A35" s="5">
        <v>29</v>
      </c>
      <c r="B35" s="6" t="s">
        <v>179</v>
      </c>
      <c r="C35" s="6" t="s">
        <v>180</v>
      </c>
      <c r="D35" s="6" t="s">
        <v>53</v>
      </c>
      <c r="E35" s="7">
        <v>359818</v>
      </c>
      <c r="F35" s="8">
        <v>361.79699900000003</v>
      </c>
      <c r="G35" s="9">
        <v>1.2415013000000001E-2</v>
      </c>
      <c r="H35" s="97"/>
    </row>
    <row r="36" spans="1:8" x14ac:dyDescent="0.2">
      <c r="A36" s="5">
        <v>30</v>
      </c>
      <c r="B36" s="6" t="s">
        <v>181</v>
      </c>
      <c r="C36" s="6" t="s">
        <v>182</v>
      </c>
      <c r="D36" s="6" t="s">
        <v>1189</v>
      </c>
      <c r="E36" s="7">
        <v>42000</v>
      </c>
      <c r="F36" s="8">
        <v>359.66699999999997</v>
      </c>
      <c r="G36" s="9">
        <v>1.2341922999999999E-2</v>
      </c>
      <c r="H36" s="97"/>
    </row>
    <row r="37" spans="1:8" x14ac:dyDescent="0.2">
      <c r="A37" s="5">
        <v>31</v>
      </c>
      <c r="B37" s="6" t="s">
        <v>276</v>
      </c>
      <c r="C37" s="6" t="s">
        <v>277</v>
      </c>
      <c r="D37" s="6" t="s">
        <v>53</v>
      </c>
      <c r="E37" s="7">
        <v>20392</v>
      </c>
      <c r="F37" s="8">
        <v>355.10628800000001</v>
      </c>
      <c r="G37" s="9">
        <v>1.2185423000000001E-2</v>
      </c>
      <c r="H37" s="97"/>
    </row>
    <row r="38" spans="1:8" x14ac:dyDescent="0.2">
      <c r="A38" s="5">
        <v>32</v>
      </c>
      <c r="B38" s="6" t="s">
        <v>198</v>
      </c>
      <c r="C38" s="6" t="s">
        <v>199</v>
      </c>
      <c r="D38" s="6" t="s">
        <v>70</v>
      </c>
      <c r="E38" s="7">
        <v>39266</v>
      </c>
      <c r="F38" s="8">
        <v>349.97785800000003</v>
      </c>
      <c r="G38" s="9">
        <v>1.2009440999999999E-2</v>
      </c>
      <c r="H38" s="97"/>
    </row>
    <row r="39" spans="1:8" ht="25.5" x14ac:dyDescent="0.2">
      <c r="A39" s="5">
        <v>33</v>
      </c>
      <c r="B39" s="6" t="s">
        <v>177</v>
      </c>
      <c r="C39" s="6" t="s">
        <v>178</v>
      </c>
      <c r="D39" s="6" t="s">
        <v>1185</v>
      </c>
      <c r="E39" s="7">
        <v>154145</v>
      </c>
      <c r="F39" s="8">
        <v>348.90720750000003</v>
      </c>
      <c r="G39" s="9">
        <v>1.1972702E-2</v>
      </c>
      <c r="H39" s="97"/>
    </row>
    <row r="40" spans="1:8" x14ac:dyDescent="0.2">
      <c r="A40" s="5">
        <v>34</v>
      </c>
      <c r="B40" s="6" t="s">
        <v>578</v>
      </c>
      <c r="C40" s="6" t="s">
        <v>579</v>
      </c>
      <c r="D40" s="6" t="s">
        <v>70</v>
      </c>
      <c r="E40" s="7">
        <v>34343</v>
      </c>
      <c r="F40" s="8">
        <v>347.49964549999999</v>
      </c>
      <c r="G40" s="9">
        <v>1.1924402000000001E-2</v>
      </c>
      <c r="H40" s="97"/>
    </row>
    <row r="41" spans="1:8" x14ac:dyDescent="0.2">
      <c r="A41" s="5">
        <v>35</v>
      </c>
      <c r="B41" s="6" t="s">
        <v>186</v>
      </c>
      <c r="C41" s="6" t="s">
        <v>187</v>
      </c>
      <c r="D41" s="6" t="s">
        <v>19</v>
      </c>
      <c r="E41" s="7">
        <v>17215</v>
      </c>
      <c r="F41" s="8">
        <v>342.26002249999999</v>
      </c>
      <c r="G41" s="9">
        <v>1.1744605E-2</v>
      </c>
      <c r="H41" s="97"/>
    </row>
    <row r="42" spans="1:8" ht="25.5" x14ac:dyDescent="0.2">
      <c r="A42" s="5">
        <v>36</v>
      </c>
      <c r="B42" s="6" t="s">
        <v>200</v>
      </c>
      <c r="C42" s="6" t="s">
        <v>201</v>
      </c>
      <c r="D42" s="6" t="s">
        <v>202</v>
      </c>
      <c r="E42" s="7">
        <v>79781</v>
      </c>
      <c r="F42" s="8">
        <v>325.42669899999999</v>
      </c>
      <c r="G42" s="9">
        <v>1.1166972000000001E-2</v>
      </c>
      <c r="H42" s="97"/>
    </row>
    <row r="43" spans="1:8" x14ac:dyDescent="0.2">
      <c r="A43" s="5">
        <v>37</v>
      </c>
      <c r="B43" s="6" t="s">
        <v>282</v>
      </c>
      <c r="C43" s="6" t="s">
        <v>283</v>
      </c>
      <c r="D43" s="6" t="s">
        <v>284</v>
      </c>
      <c r="E43" s="7">
        <v>129053</v>
      </c>
      <c r="F43" s="8">
        <v>324.50376849999998</v>
      </c>
      <c r="G43" s="9">
        <v>1.1135301E-2</v>
      </c>
      <c r="H43" s="97"/>
    </row>
    <row r="44" spans="1:8" x14ac:dyDescent="0.2">
      <c r="A44" s="5">
        <v>38</v>
      </c>
      <c r="B44" s="6" t="s">
        <v>194</v>
      </c>
      <c r="C44" s="6" t="s">
        <v>195</v>
      </c>
      <c r="D44" s="6" t="s">
        <v>53</v>
      </c>
      <c r="E44" s="7">
        <v>31488</v>
      </c>
      <c r="F44" s="8">
        <v>310.26700799999998</v>
      </c>
      <c r="G44" s="9">
        <v>1.0646769E-2</v>
      </c>
      <c r="H44" s="97"/>
    </row>
    <row r="45" spans="1:8" x14ac:dyDescent="0.2">
      <c r="A45" s="5">
        <v>39</v>
      </c>
      <c r="B45" s="6" t="s">
        <v>205</v>
      </c>
      <c r="C45" s="6" t="s">
        <v>206</v>
      </c>
      <c r="D45" s="6" t="s">
        <v>1187</v>
      </c>
      <c r="E45" s="7">
        <v>54862</v>
      </c>
      <c r="F45" s="8">
        <v>308.516457</v>
      </c>
      <c r="G45" s="9">
        <v>1.0586699E-2</v>
      </c>
      <c r="H45" s="97"/>
    </row>
    <row r="46" spans="1:8" x14ac:dyDescent="0.2">
      <c r="A46" s="5">
        <v>40</v>
      </c>
      <c r="B46" s="6" t="s">
        <v>188</v>
      </c>
      <c r="C46" s="6" t="s">
        <v>189</v>
      </c>
      <c r="D46" s="6" t="s">
        <v>190</v>
      </c>
      <c r="E46" s="7">
        <v>65640</v>
      </c>
      <c r="F46" s="8">
        <v>301.91118</v>
      </c>
      <c r="G46" s="9">
        <v>1.0360039999999999E-2</v>
      </c>
      <c r="H46" s="97"/>
    </row>
    <row r="47" spans="1:8" x14ac:dyDescent="0.2">
      <c r="A47" s="5">
        <v>41</v>
      </c>
      <c r="B47" s="6" t="s">
        <v>363</v>
      </c>
      <c r="C47" s="6" t="s">
        <v>364</v>
      </c>
      <c r="D47" s="6" t="s">
        <v>238</v>
      </c>
      <c r="E47" s="7">
        <v>7944</v>
      </c>
      <c r="F47" s="8">
        <v>300.92666400000002</v>
      </c>
      <c r="G47" s="9">
        <v>1.0326256000000001E-2</v>
      </c>
      <c r="H47" s="97"/>
    </row>
    <row r="48" spans="1:8" x14ac:dyDescent="0.2">
      <c r="A48" s="5">
        <v>42</v>
      </c>
      <c r="B48" s="6" t="s">
        <v>183</v>
      </c>
      <c r="C48" s="6" t="s">
        <v>184</v>
      </c>
      <c r="D48" s="6" t="s">
        <v>185</v>
      </c>
      <c r="E48" s="7">
        <v>23134</v>
      </c>
      <c r="F48" s="8">
        <v>296.91332299999999</v>
      </c>
      <c r="G48" s="9">
        <v>1.0188539E-2</v>
      </c>
      <c r="H48" s="97"/>
    </row>
    <row r="49" spans="1:8" x14ac:dyDescent="0.2">
      <c r="A49" s="5">
        <v>43</v>
      </c>
      <c r="B49" s="6" t="s">
        <v>30</v>
      </c>
      <c r="C49" s="6" t="s">
        <v>31</v>
      </c>
      <c r="D49" s="6" t="s">
        <v>19</v>
      </c>
      <c r="E49" s="7">
        <v>8805</v>
      </c>
      <c r="F49" s="8">
        <v>295.32410249999998</v>
      </c>
      <c r="G49" s="9">
        <v>1.0134005E-2</v>
      </c>
      <c r="H49" s="97"/>
    </row>
    <row r="50" spans="1:8" x14ac:dyDescent="0.2">
      <c r="A50" s="5">
        <v>44</v>
      </c>
      <c r="B50" s="6" t="s">
        <v>209</v>
      </c>
      <c r="C50" s="6" t="s">
        <v>210</v>
      </c>
      <c r="D50" s="6" t="s">
        <v>193</v>
      </c>
      <c r="E50" s="7">
        <v>53835</v>
      </c>
      <c r="F50" s="8">
        <v>290.11681499999997</v>
      </c>
      <c r="G50" s="9">
        <v>9.9553179999999995E-3</v>
      </c>
      <c r="H50" s="97"/>
    </row>
    <row r="51" spans="1:8" x14ac:dyDescent="0.2">
      <c r="A51" s="5">
        <v>45</v>
      </c>
      <c r="B51" s="6" t="s">
        <v>267</v>
      </c>
      <c r="C51" s="6" t="s">
        <v>268</v>
      </c>
      <c r="D51" s="6" t="s">
        <v>19</v>
      </c>
      <c r="E51" s="7">
        <v>78727</v>
      </c>
      <c r="F51" s="8">
        <v>288.65254549999997</v>
      </c>
      <c r="G51" s="9">
        <v>9.9050719999999991E-3</v>
      </c>
      <c r="H51" s="97"/>
    </row>
    <row r="52" spans="1:8" x14ac:dyDescent="0.2">
      <c r="A52" s="5">
        <v>46</v>
      </c>
      <c r="B52" s="6" t="s">
        <v>259</v>
      </c>
      <c r="C52" s="6" t="s">
        <v>260</v>
      </c>
      <c r="D52" s="6" t="s">
        <v>34</v>
      </c>
      <c r="E52" s="7">
        <v>76646</v>
      </c>
      <c r="F52" s="8">
        <v>287.07759299999998</v>
      </c>
      <c r="G52" s="9">
        <v>9.8510279999999995E-3</v>
      </c>
      <c r="H52" s="97"/>
    </row>
    <row r="53" spans="1:8" x14ac:dyDescent="0.2">
      <c r="A53" s="5">
        <v>47</v>
      </c>
      <c r="B53" s="6" t="s">
        <v>191</v>
      </c>
      <c r="C53" s="6" t="s">
        <v>192</v>
      </c>
      <c r="D53" s="6" t="s">
        <v>193</v>
      </c>
      <c r="E53" s="7">
        <v>61645</v>
      </c>
      <c r="F53" s="8">
        <v>280.05323499999997</v>
      </c>
      <c r="G53" s="9">
        <v>9.6099879999999999E-3</v>
      </c>
      <c r="H53" s="97"/>
    </row>
    <row r="54" spans="1:8" ht="25.5" x14ac:dyDescent="0.2">
      <c r="A54" s="5">
        <v>48</v>
      </c>
      <c r="B54" s="6" t="s">
        <v>211</v>
      </c>
      <c r="C54" s="6" t="s">
        <v>212</v>
      </c>
      <c r="D54" s="6" t="s">
        <v>202</v>
      </c>
      <c r="E54" s="7">
        <v>60329</v>
      </c>
      <c r="F54" s="8">
        <v>272.29494149999999</v>
      </c>
      <c r="G54" s="9">
        <v>9.3437629999999997E-3</v>
      </c>
      <c r="H54" s="97"/>
    </row>
    <row r="55" spans="1:8" x14ac:dyDescent="0.2">
      <c r="A55" s="5">
        <v>49</v>
      </c>
      <c r="B55" s="6" t="s">
        <v>608</v>
      </c>
      <c r="C55" s="6" t="s">
        <v>609</v>
      </c>
      <c r="D55" s="6" t="s">
        <v>586</v>
      </c>
      <c r="E55" s="7">
        <v>26884</v>
      </c>
      <c r="F55" s="8">
        <v>271.20579199999997</v>
      </c>
      <c r="G55" s="9">
        <v>9.306389E-3</v>
      </c>
      <c r="H55" s="97"/>
    </row>
    <row r="56" spans="1:8" ht="25.5" x14ac:dyDescent="0.2">
      <c r="A56" s="5">
        <v>50</v>
      </c>
      <c r="B56" s="6" t="s">
        <v>248</v>
      </c>
      <c r="C56" s="6" t="s">
        <v>249</v>
      </c>
      <c r="D56" s="6" t="s">
        <v>202</v>
      </c>
      <c r="E56" s="7">
        <v>63174</v>
      </c>
      <c r="F56" s="8">
        <v>271.174395</v>
      </c>
      <c r="G56" s="9">
        <v>9.3053110000000001E-3</v>
      </c>
      <c r="H56" s="97"/>
    </row>
    <row r="57" spans="1:8" x14ac:dyDescent="0.2">
      <c r="A57" s="5">
        <v>51</v>
      </c>
      <c r="B57" s="6" t="s">
        <v>218</v>
      </c>
      <c r="C57" s="6" t="s">
        <v>219</v>
      </c>
      <c r="D57" s="6" t="s">
        <v>193</v>
      </c>
      <c r="E57" s="7">
        <v>15127</v>
      </c>
      <c r="F57" s="8">
        <v>269.21521899999999</v>
      </c>
      <c r="G57" s="9">
        <v>9.2380829999999994E-3</v>
      </c>
      <c r="H57" s="97"/>
    </row>
    <row r="58" spans="1:8" x14ac:dyDescent="0.2">
      <c r="A58" s="5">
        <v>52</v>
      </c>
      <c r="B58" s="6" t="s">
        <v>216</v>
      </c>
      <c r="C58" s="6" t="s">
        <v>217</v>
      </c>
      <c r="D58" s="6" t="s">
        <v>1184</v>
      </c>
      <c r="E58" s="7">
        <v>16514</v>
      </c>
      <c r="F58" s="8">
        <v>261.38359200000002</v>
      </c>
      <c r="G58" s="9">
        <v>8.9693410000000005E-3</v>
      </c>
      <c r="H58" s="97"/>
    </row>
    <row r="59" spans="1:8" x14ac:dyDescent="0.2">
      <c r="A59" s="5">
        <v>53</v>
      </c>
      <c r="B59" s="6" t="s">
        <v>175</v>
      </c>
      <c r="C59" s="6" t="s">
        <v>176</v>
      </c>
      <c r="D59" s="6" t="s">
        <v>16</v>
      </c>
      <c r="E59" s="7">
        <v>85308</v>
      </c>
      <c r="F59" s="8">
        <v>249.39793800000001</v>
      </c>
      <c r="G59" s="9">
        <v>8.5580550000000002E-3</v>
      </c>
      <c r="H59" s="97"/>
    </row>
    <row r="60" spans="1:8" x14ac:dyDescent="0.2">
      <c r="A60" s="5">
        <v>54</v>
      </c>
      <c r="B60" s="6" t="s">
        <v>236</v>
      </c>
      <c r="C60" s="6" t="s">
        <v>237</v>
      </c>
      <c r="D60" s="6" t="s">
        <v>238</v>
      </c>
      <c r="E60" s="7">
        <v>68046</v>
      </c>
      <c r="F60" s="8">
        <v>249.38858999999999</v>
      </c>
      <c r="G60" s="9">
        <v>8.5577350000000003E-3</v>
      </c>
      <c r="H60" s="97"/>
    </row>
    <row r="61" spans="1:8" x14ac:dyDescent="0.2">
      <c r="A61" s="5">
        <v>55</v>
      </c>
      <c r="B61" s="6" t="s">
        <v>170</v>
      </c>
      <c r="C61" s="6" t="s">
        <v>171</v>
      </c>
      <c r="D61" s="6" t="s">
        <v>70</v>
      </c>
      <c r="E61" s="7">
        <v>25180</v>
      </c>
      <c r="F61" s="8">
        <v>244.95104000000001</v>
      </c>
      <c r="G61" s="9">
        <v>8.4054609999999995E-3</v>
      </c>
      <c r="H61" s="97"/>
    </row>
    <row r="62" spans="1:8" ht="25.5" x14ac:dyDescent="0.2">
      <c r="A62" s="5">
        <v>56</v>
      </c>
      <c r="B62" s="6" t="s">
        <v>214</v>
      </c>
      <c r="C62" s="6" t="s">
        <v>215</v>
      </c>
      <c r="D62" s="6" t="s">
        <v>70</v>
      </c>
      <c r="E62" s="7">
        <v>12284</v>
      </c>
      <c r="F62" s="8">
        <v>242.65813600000001</v>
      </c>
      <c r="G62" s="9">
        <v>8.3267800000000006E-3</v>
      </c>
      <c r="H62" s="97"/>
    </row>
    <row r="63" spans="1:8" ht="25.5" x14ac:dyDescent="0.2">
      <c r="A63" s="5">
        <v>57</v>
      </c>
      <c r="B63" s="6" t="s">
        <v>207</v>
      </c>
      <c r="C63" s="6" t="s">
        <v>208</v>
      </c>
      <c r="D63" s="6" t="s">
        <v>45</v>
      </c>
      <c r="E63" s="7">
        <v>108094</v>
      </c>
      <c r="F63" s="8">
        <v>240.29296199999999</v>
      </c>
      <c r="G63" s="9">
        <v>8.2456189999999992E-3</v>
      </c>
      <c r="H63" s="97"/>
    </row>
    <row r="64" spans="1:8" x14ac:dyDescent="0.2">
      <c r="A64" s="5">
        <v>58</v>
      </c>
      <c r="B64" s="6" t="s">
        <v>271</v>
      </c>
      <c r="C64" s="6" t="s">
        <v>272</v>
      </c>
      <c r="D64" s="6" t="s">
        <v>19</v>
      </c>
      <c r="E64" s="7">
        <v>21784</v>
      </c>
      <c r="F64" s="8">
        <v>236.01874799999999</v>
      </c>
      <c r="G64" s="9">
        <v>8.0989500000000006E-3</v>
      </c>
      <c r="H64" s="97"/>
    </row>
    <row r="65" spans="1:8" ht="25.5" x14ac:dyDescent="0.2">
      <c r="A65" s="5">
        <v>59</v>
      </c>
      <c r="B65" s="6" t="s">
        <v>226</v>
      </c>
      <c r="C65" s="6" t="s">
        <v>227</v>
      </c>
      <c r="D65" s="6" t="s">
        <v>1191</v>
      </c>
      <c r="E65" s="7">
        <v>244575</v>
      </c>
      <c r="F65" s="8">
        <v>217.06031250000001</v>
      </c>
      <c r="G65" s="9">
        <v>7.4483939999999997E-3</v>
      </c>
      <c r="H65" s="97"/>
    </row>
    <row r="66" spans="1:8" x14ac:dyDescent="0.2">
      <c r="A66" s="5">
        <v>60</v>
      </c>
      <c r="B66" s="6" t="s">
        <v>256</v>
      </c>
      <c r="C66" s="6" t="s">
        <v>257</v>
      </c>
      <c r="D66" s="6" t="s">
        <v>238</v>
      </c>
      <c r="E66" s="7">
        <v>31011</v>
      </c>
      <c r="F66" s="8">
        <v>193.71021150000001</v>
      </c>
      <c r="G66" s="9">
        <v>6.6471389999999998E-3</v>
      </c>
      <c r="H66" s="97"/>
    </row>
    <row r="67" spans="1:8" x14ac:dyDescent="0.2">
      <c r="A67" s="5">
        <v>61</v>
      </c>
      <c r="B67" s="6" t="s">
        <v>289</v>
      </c>
      <c r="C67" s="6" t="s">
        <v>290</v>
      </c>
      <c r="D67" s="6" t="s">
        <v>174</v>
      </c>
      <c r="E67" s="7">
        <v>28337</v>
      </c>
      <c r="F67" s="8">
        <v>182.77365</v>
      </c>
      <c r="G67" s="9">
        <v>6.2718519999999996E-3</v>
      </c>
      <c r="H67" s="97"/>
    </row>
    <row r="68" spans="1:8" x14ac:dyDescent="0.2">
      <c r="A68" s="5">
        <v>62</v>
      </c>
      <c r="B68" s="6" t="s">
        <v>287</v>
      </c>
      <c r="C68" s="6" t="s">
        <v>288</v>
      </c>
      <c r="D68" s="6" t="s">
        <v>147</v>
      </c>
      <c r="E68" s="7">
        <v>13443</v>
      </c>
      <c r="F68" s="8">
        <v>174.30193800000001</v>
      </c>
      <c r="G68" s="9">
        <v>5.981147E-3</v>
      </c>
      <c r="H68" s="97"/>
    </row>
    <row r="69" spans="1:8" x14ac:dyDescent="0.2">
      <c r="A69" s="5">
        <v>63</v>
      </c>
      <c r="B69" s="6" t="s">
        <v>222</v>
      </c>
      <c r="C69" s="6" t="s">
        <v>223</v>
      </c>
      <c r="D69" s="6" t="s">
        <v>70</v>
      </c>
      <c r="E69" s="7">
        <v>66104</v>
      </c>
      <c r="F69" s="8">
        <v>174.11793599999999</v>
      </c>
      <c r="G69" s="9">
        <v>5.9748329999999997E-3</v>
      </c>
      <c r="H69" s="97"/>
    </row>
    <row r="70" spans="1:8" x14ac:dyDescent="0.2">
      <c r="A70" s="5">
        <v>64</v>
      </c>
      <c r="B70" s="6" t="s">
        <v>230</v>
      </c>
      <c r="C70" s="6" t="s">
        <v>231</v>
      </c>
      <c r="D70" s="6" t="s">
        <v>60</v>
      </c>
      <c r="E70" s="7">
        <v>20203</v>
      </c>
      <c r="F70" s="8">
        <v>169.46276399999999</v>
      </c>
      <c r="G70" s="9">
        <v>5.8150909999999997E-3</v>
      </c>
      <c r="H70" s="97"/>
    </row>
    <row r="71" spans="1:8" x14ac:dyDescent="0.2">
      <c r="A71" s="5">
        <v>65</v>
      </c>
      <c r="B71" s="6" t="s">
        <v>265</v>
      </c>
      <c r="C71" s="6" t="s">
        <v>266</v>
      </c>
      <c r="D71" s="6" t="s">
        <v>147</v>
      </c>
      <c r="E71" s="7">
        <v>44625</v>
      </c>
      <c r="F71" s="8">
        <v>166.16118750000001</v>
      </c>
      <c r="G71" s="9">
        <v>5.7017980000000001E-3</v>
      </c>
      <c r="H71" s="97"/>
    </row>
    <row r="72" spans="1:8" x14ac:dyDescent="0.2">
      <c r="A72" s="5">
        <v>66</v>
      </c>
      <c r="B72" s="6" t="s">
        <v>291</v>
      </c>
      <c r="C72" s="6" t="s">
        <v>292</v>
      </c>
      <c r="D72" s="6" t="s">
        <v>147</v>
      </c>
      <c r="E72" s="7">
        <v>9826</v>
      </c>
      <c r="F72" s="8">
        <v>164.708325</v>
      </c>
      <c r="G72" s="9">
        <v>5.6519430000000004E-3</v>
      </c>
      <c r="H72" s="97"/>
    </row>
    <row r="73" spans="1:8" x14ac:dyDescent="0.2">
      <c r="A73" s="5">
        <v>67</v>
      </c>
      <c r="B73" s="6" t="s">
        <v>245</v>
      </c>
      <c r="C73" s="6" t="s">
        <v>246</v>
      </c>
      <c r="D73" s="6" t="s">
        <v>247</v>
      </c>
      <c r="E73" s="7">
        <v>75410</v>
      </c>
      <c r="F73" s="8">
        <v>164.3938</v>
      </c>
      <c r="G73" s="9">
        <v>5.6411500000000002E-3</v>
      </c>
      <c r="H73" s="97"/>
    </row>
    <row r="74" spans="1:8" x14ac:dyDescent="0.2">
      <c r="A74" s="5">
        <v>68</v>
      </c>
      <c r="B74" s="6" t="s">
        <v>232</v>
      </c>
      <c r="C74" s="6" t="s">
        <v>233</v>
      </c>
      <c r="D74" s="6" t="s">
        <v>193</v>
      </c>
      <c r="E74" s="7">
        <v>3032</v>
      </c>
      <c r="F74" s="8">
        <v>161.860288</v>
      </c>
      <c r="G74" s="9">
        <v>5.5542129999999997E-3</v>
      </c>
      <c r="H74" s="97"/>
    </row>
    <row r="75" spans="1:8" x14ac:dyDescent="0.2">
      <c r="A75" s="5">
        <v>69</v>
      </c>
      <c r="B75" s="6" t="s">
        <v>239</v>
      </c>
      <c r="C75" s="6" t="s">
        <v>240</v>
      </c>
      <c r="D75" s="6" t="s">
        <v>25</v>
      </c>
      <c r="E75" s="7">
        <v>201808</v>
      </c>
      <c r="F75" s="8">
        <v>158.62108799999999</v>
      </c>
      <c r="G75" s="9">
        <v>5.4430600000000004E-3</v>
      </c>
      <c r="H75" s="97"/>
    </row>
    <row r="76" spans="1:8" x14ac:dyDescent="0.2">
      <c r="A76" s="5">
        <v>70</v>
      </c>
      <c r="B76" s="6" t="s">
        <v>610</v>
      </c>
      <c r="C76" s="6" t="s">
        <v>611</v>
      </c>
      <c r="D76" s="6" t="s">
        <v>81</v>
      </c>
      <c r="E76" s="7">
        <v>25528</v>
      </c>
      <c r="F76" s="8">
        <v>152.619148</v>
      </c>
      <c r="G76" s="9">
        <v>5.2371049999999997E-3</v>
      </c>
      <c r="H76" s="97"/>
    </row>
    <row r="77" spans="1:8" x14ac:dyDescent="0.2">
      <c r="A77" s="5">
        <v>71</v>
      </c>
      <c r="B77" s="6" t="s">
        <v>298</v>
      </c>
      <c r="C77" s="6" t="s">
        <v>299</v>
      </c>
      <c r="D77" s="6" t="s">
        <v>1187</v>
      </c>
      <c r="E77" s="7">
        <v>379760</v>
      </c>
      <c r="F77" s="8">
        <v>148.10640000000001</v>
      </c>
      <c r="G77" s="9">
        <v>5.08225E-3</v>
      </c>
      <c r="H77" s="97"/>
    </row>
    <row r="78" spans="1:8" x14ac:dyDescent="0.2">
      <c r="A78" s="5">
        <v>72</v>
      </c>
      <c r="B78" s="6" t="s">
        <v>92</v>
      </c>
      <c r="C78" s="6" t="s">
        <v>93</v>
      </c>
      <c r="D78" s="6" t="s">
        <v>53</v>
      </c>
      <c r="E78" s="7">
        <v>161000</v>
      </c>
      <c r="F78" s="8">
        <v>138.54050000000001</v>
      </c>
      <c r="G78" s="9">
        <v>4.7539979999999997E-3</v>
      </c>
      <c r="H78" s="97"/>
    </row>
    <row r="79" spans="1:8" x14ac:dyDescent="0.2">
      <c r="A79" s="5">
        <v>73</v>
      </c>
      <c r="B79" s="6" t="s">
        <v>250</v>
      </c>
      <c r="C79" s="6" t="s">
        <v>251</v>
      </c>
      <c r="D79" s="6" t="s">
        <v>193</v>
      </c>
      <c r="E79" s="7">
        <v>49569</v>
      </c>
      <c r="F79" s="8">
        <v>136.78565549999999</v>
      </c>
      <c r="G79" s="9">
        <v>4.6937810000000002E-3</v>
      </c>
      <c r="H79" s="97"/>
    </row>
    <row r="80" spans="1:8" x14ac:dyDescent="0.2">
      <c r="A80" s="5">
        <v>74</v>
      </c>
      <c r="B80" s="6" t="s">
        <v>241</v>
      </c>
      <c r="C80" s="6" t="s">
        <v>242</v>
      </c>
      <c r="D80" s="6" t="s">
        <v>147</v>
      </c>
      <c r="E80" s="7">
        <v>28631</v>
      </c>
      <c r="F80" s="8">
        <v>135.39599899999999</v>
      </c>
      <c r="G80" s="9">
        <v>4.6460950000000003E-3</v>
      </c>
      <c r="H80" s="97"/>
    </row>
    <row r="81" spans="1:8" x14ac:dyDescent="0.2">
      <c r="A81" s="5">
        <v>75</v>
      </c>
      <c r="B81" s="6" t="s">
        <v>243</v>
      </c>
      <c r="C81" s="6" t="s">
        <v>244</v>
      </c>
      <c r="D81" s="6" t="s">
        <v>185</v>
      </c>
      <c r="E81" s="7">
        <v>23384</v>
      </c>
      <c r="F81" s="8">
        <v>129.19659999999999</v>
      </c>
      <c r="G81" s="9">
        <v>4.4333630000000001E-3</v>
      </c>
      <c r="H81" s="97"/>
    </row>
    <row r="82" spans="1:8" x14ac:dyDescent="0.2">
      <c r="A82" s="5">
        <v>76</v>
      </c>
      <c r="B82" s="6" t="s">
        <v>228</v>
      </c>
      <c r="C82" s="6" t="s">
        <v>229</v>
      </c>
      <c r="D82" s="6" t="s">
        <v>327</v>
      </c>
      <c r="E82" s="7">
        <v>13773</v>
      </c>
      <c r="F82" s="8">
        <v>116.836359</v>
      </c>
      <c r="G82" s="9">
        <v>4.0092230000000001E-3</v>
      </c>
      <c r="H82" s="97"/>
    </row>
    <row r="83" spans="1:8" x14ac:dyDescent="0.2">
      <c r="A83" s="5">
        <v>77</v>
      </c>
      <c r="B83" s="6" t="s">
        <v>261</v>
      </c>
      <c r="C83" s="6" t="s">
        <v>262</v>
      </c>
      <c r="D83" s="6" t="s">
        <v>238</v>
      </c>
      <c r="E83" s="7">
        <v>15743</v>
      </c>
      <c r="F83" s="8">
        <v>114.39650949999999</v>
      </c>
      <c r="G83" s="9">
        <v>3.9255000000000002E-3</v>
      </c>
      <c r="H83" s="97"/>
    </row>
    <row r="84" spans="1:8" x14ac:dyDescent="0.2">
      <c r="A84" s="5">
        <v>78</v>
      </c>
      <c r="B84" s="6" t="s">
        <v>254</v>
      </c>
      <c r="C84" s="6" t="s">
        <v>255</v>
      </c>
      <c r="D84" s="6" t="s">
        <v>185</v>
      </c>
      <c r="E84" s="7">
        <v>9154</v>
      </c>
      <c r="F84" s="8">
        <v>95.457911999999993</v>
      </c>
      <c r="G84" s="9">
        <v>3.2756249999999999E-3</v>
      </c>
      <c r="H84" s="97"/>
    </row>
    <row r="85" spans="1:8" x14ac:dyDescent="0.2">
      <c r="A85" s="3"/>
      <c r="B85" s="3"/>
      <c r="C85" s="4" t="s">
        <v>97</v>
      </c>
      <c r="D85" s="3"/>
      <c r="E85" s="3" t="s">
        <v>98</v>
      </c>
      <c r="F85" s="11">
        <v>28090.105574000001</v>
      </c>
      <c r="G85" s="12">
        <v>0.96390804799999996</v>
      </c>
      <c r="H85" s="97"/>
    </row>
    <row r="86" spans="1:8" x14ac:dyDescent="0.2">
      <c r="A86" s="3"/>
      <c r="B86" s="3"/>
      <c r="C86" s="13"/>
      <c r="D86" s="3"/>
      <c r="E86" s="3"/>
      <c r="F86" s="14"/>
      <c r="G86" s="14"/>
      <c r="H86" s="97"/>
    </row>
    <row r="87" spans="1:8" x14ac:dyDescent="0.2">
      <c r="A87" s="3"/>
      <c r="B87" s="3"/>
      <c r="C87" s="4" t="s">
        <v>99</v>
      </c>
      <c r="D87" s="3"/>
      <c r="E87" s="3"/>
      <c r="F87" s="3"/>
      <c r="G87" s="3"/>
      <c r="H87" s="97"/>
    </row>
    <row r="88" spans="1:8" x14ac:dyDescent="0.2">
      <c r="A88" s="3"/>
      <c r="B88" s="3"/>
      <c r="C88" s="4" t="s">
        <v>97</v>
      </c>
      <c r="D88" s="3"/>
      <c r="E88" s="3" t="s">
        <v>98</v>
      </c>
      <c r="F88" s="15">
        <v>0</v>
      </c>
      <c r="G88" s="16">
        <v>0</v>
      </c>
      <c r="H88" s="97"/>
    </row>
    <row r="89" spans="1:8" x14ac:dyDescent="0.2">
      <c r="A89" s="3"/>
      <c r="B89" s="3"/>
      <c r="C89" s="13"/>
      <c r="D89" s="3"/>
      <c r="E89" s="3"/>
      <c r="F89" s="14"/>
      <c r="G89" s="14"/>
      <c r="H89" s="97"/>
    </row>
    <row r="90" spans="1:8" x14ac:dyDescent="0.2">
      <c r="A90" s="3"/>
      <c r="B90" s="3"/>
      <c r="C90" s="4" t="s">
        <v>100</v>
      </c>
      <c r="D90" s="3"/>
      <c r="E90" s="3"/>
      <c r="F90" s="3"/>
      <c r="G90" s="3"/>
      <c r="H90" s="97"/>
    </row>
    <row r="91" spans="1:8" x14ac:dyDescent="0.2">
      <c r="A91" s="3"/>
      <c r="B91" s="3"/>
      <c r="C91" s="4" t="s">
        <v>97</v>
      </c>
      <c r="D91" s="3"/>
      <c r="E91" s="3" t="s">
        <v>98</v>
      </c>
      <c r="F91" s="15">
        <v>0</v>
      </c>
      <c r="G91" s="16">
        <v>0</v>
      </c>
      <c r="H91" s="97"/>
    </row>
    <row r="92" spans="1:8" x14ac:dyDescent="0.2">
      <c r="A92" s="3"/>
      <c r="B92" s="3"/>
      <c r="C92" s="13"/>
      <c r="D92" s="3"/>
      <c r="E92" s="3"/>
      <c r="F92" s="14"/>
      <c r="G92" s="14"/>
      <c r="H92" s="97"/>
    </row>
    <row r="93" spans="1:8" x14ac:dyDescent="0.2">
      <c r="A93" s="3"/>
      <c r="B93" s="3"/>
      <c r="C93" s="4" t="s">
        <v>101</v>
      </c>
      <c r="D93" s="3"/>
      <c r="E93" s="3"/>
      <c r="F93" s="3"/>
      <c r="G93" s="3"/>
      <c r="H93" s="97"/>
    </row>
    <row r="94" spans="1:8" x14ac:dyDescent="0.2">
      <c r="A94" s="3"/>
      <c r="B94" s="3"/>
      <c r="C94" s="4" t="s">
        <v>97</v>
      </c>
      <c r="D94" s="3"/>
      <c r="E94" s="3" t="s">
        <v>98</v>
      </c>
      <c r="F94" s="15">
        <v>0</v>
      </c>
      <c r="G94" s="16">
        <v>0</v>
      </c>
      <c r="H94" s="97"/>
    </row>
    <row r="95" spans="1:8" x14ac:dyDescent="0.2">
      <c r="A95" s="3"/>
      <c r="B95" s="3"/>
      <c r="C95" s="13"/>
      <c r="D95" s="3"/>
      <c r="E95" s="3"/>
      <c r="F95" s="14"/>
      <c r="G95" s="14"/>
      <c r="H95" s="97"/>
    </row>
    <row r="96" spans="1:8" x14ac:dyDescent="0.2">
      <c r="A96" s="3"/>
      <c r="B96" s="3"/>
      <c r="C96" s="4" t="s">
        <v>102</v>
      </c>
      <c r="D96" s="3"/>
      <c r="E96" s="3"/>
      <c r="F96" s="14"/>
      <c r="G96" s="14"/>
      <c r="H96" s="97"/>
    </row>
    <row r="97" spans="1:8" x14ac:dyDescent="0.2">
      <c r="A97" s="3"/>
      <c r="B97" s="3"/>
      <c r="C97" s="4" t="s">
        <v>97</v>
      </c>
      <c r="D97" s="3"/>
      <c r="E97" s="3" t="s">
        <v>98</v>
      </c>
      <c r="F97" s="15">
        <v>0</v>
      </c>
      <c r="G97" s="16">
        <v>0</v>
      </c>
      <c r="H97" s="97"/>
    </row>
    <row r="98" spans="1:8" x14ac:dyDescent="0.2">
      <c r="A98" s="3"/>
      <c r="B98" s="3"/>
      <c r="C98" s="13"/>
      <c r="D98" s="3"/>
      <c r="E98" s="3"/>
      <c r="F98" s="14"/>
      <c r="G98" s="14"/>
      <c r="H98" s="97"/>
    </row>
    <row r="99" spans="1:8" x14ac:dyDescent="0.2">
      <c r="A99" s="3"/>
      <c r="B99" s="3"/>
      <c r="C99" s="4" t="s">
        <v>103</v>
      </c>
      <c r="D99" s="3"/>
      <c r="E99" s="3"/>
      <c r="F99" s="14"/>
      <c r="G99" s="14"/>
      <c r="H99" s="97"/>
    </row>
    <row r="100" spans="1:8" x14ac:dyDescent="0.2">
      <c r="A100" s="3"/>
      <c r="B100" s="3"/>
      <c r="C100" s="4" t="s">
        <v>97</v>
      </c>
      <c r="D100" s="3"/>
      <c r="E100" s="3" t="s">
        <v>98</v>
      </c>
      <c r="F100" s="15">
        <v>0</v>
      </c>
      <c r="G100" s="16">
        <v>0</v>
      </c>
      <c r="H100" s="97"/>
    </row>
    <row r="101" spans="1:8" x14ac:dyDescent="0.2">
      <c r="A101" s="3"/>
      <c r="B101" s="3"/>
      <c r="C101" s="13"/>
      <c r="D101" s="3"/>
      <c r="E101" s="3"/>
      <c r="F101" s="14"/>
      <c r="G101" s="14"/>
      <c r="H101" s="97"/>
    </row>
    <row r="102" spans="1:8" x14ac:dyDescent="0.2">
      <c r="A102" s="3"/>
      <c r="B102" s="3"/>
      <c r="C102" s="4" t="s">
        <v>104</v>
      </c>
      <c r="D102" s="3"/>
      <c r="E102" s="3"/>
      <c r="F102" s="11">
        <v>28090.105574000001</v>
      </c>
      <c r="G102" s="12">
        <v>0.96390804799999996</v>
      </c>
      <c r="H102" s="97"/>
    </row>
    <row r="103" spans="1:8" x14ac:dyDescent="0.2">
      <c r="A103" s="3"/>
      <c r="B103" s="3"/>
      <c r="C103" s="13"/>
      <c r="D103" s="3"/>
      <c r="E103" s="3"/>
      <c r="F103" s="14"/>
      <c r="G103" s="14"/>
      <c r="H103" s="97"/>
    </row>
    <row r="104" spans="1:8" x14ac:dyDescent="0.2">
      <c r="A104" s="3"/>
      <c r="B104" s="3"/>
      <c r="C104" s="4" t="s">
        <v>105</v>
      </c>
      <c r="D104" s="3"/>
      <c r="E104" s="3"/>
      <c r="F104" s="14"/>
      <c r="G104" s="14"/>
      <c r="H104" s="97"/>
    </row>
    <row r="105" spans="1:8" ht="25.5" x14ac:dyDescent="0.2">
      <c r="A105" s="3"/>
      <c r="B105" s="3"/>
      <c r="C105" s="4" t="s">
        <v>10</v>
      </c>
      <c r="D105" s="3"/>
      <c r="E105" s="3"/>
      <c r="F105" s="14"/>
      <c r="G105" s="14"/>
      <c r="H105" s="97"/>
    </row>
    <row r="106" spans="1:8" x14ac:dyDescent="0.2">
      <c r="A106" s="3"/>
      <c r="B106" s="3"/>
      <c r="C106" s="4" t="s">
        <v>97</v>
      </c>
      <c r="D106" s="3"/>
      <c r="E106" s="3" t="s">
        <v>98</v>
      </c>
      <c r="F106" s="15">
        <v>0</v>
      </c>
      <c r="G106" s="16">
        <v>0</v>
      </c>
      <c r="H106" s="97"/>
    </row>
    <row r="107" spans="1:8" x14ac:dyDescent="0.2">
      <c r="A107" s="3"/>
      <c r="B107" s="3"/>
      <c r="C107" s="13"/>
      <c r="D107" s="3"/>
      <c r="E107" s="3"/>
      <c r="F107" s="14"/>
      <c r="G107" s="14"/>
      <c r="H107" s="97"/>
    </row>
    <row r="108" spans="1:8" x14ac:dyDescent="0.2">
      <c r="A108" s="3"/>
      <c r="B108" s="3"/>
      <c r="C108" s="4" t="s">
        <v>106</v>
      </c>
      <c r="D108" s="3"/>
      <c r="E108" s="3"/>
      <c r="F108" s="3"/>
      <c r="G108" s="3"/>
      <c r="H108" s="97"/>
    </row>
    <row r="109" spans="1:8" x14ac:dyDescent="0.2">
      <c r="A109" s="3"/>
      <c r="B109" s="3"/>
      <c r="C109" s="4" t="s">
        <v>97</v>
      </c>
      <c r="D109" s="3"/>
      <c r="E109" s="3" t="s">
        <v>98</v>
      </c>
      <c r="F109" s="15">
        <v>0</v>
      </c>
      <c r="G109" s="16">
        <v>0</v>
      </c>
      <c r="H109" s="97"/>
    </row>
    <row r="110" spans="1:8" x14ac:dyDescent="0.2">
      <c r="A110" s="3"/>
      <c r="B110" s="3"/>
      <c r="C110" s="13"/>
      <c r="D110" s="3"/>
      <c r="E110" s="3"/>
      <c r="F110" s="14"/>
      <c r="G110" s="14"/>
      <c r="H110" s="97"/>
    </row>
    <row r="111" spans="1:8" x14ac:dyDescent="0.2">
      <c r="A111" s="3"/>
      <c r="B111" s="3"/>
      <c r="C111" s="4" t="s">
        <v>107</v>
      </c>
      <c r="D111" s="3"/>
      <c r="E111" s="3"/>
      <c r="F111" s="3"/>
      <c r="G111" s="3"/>
      <c r="H111" s="97"/>
    </row>
    <row r="112" spans="1:8" x14ac:dyDescent="0.2">
      <c r="A112" s="3"/>
      <c r="B112" s="3"/>
      <c r="C112" s="4" t="s">
        <v>97</v>
      </c>
      <c r="D112" s="3"/>
      <c r="E112" s="3" t="s">
        <v>98</v>
      </c>
      <c r="F112" s="15">
        <v>0</v>
      </c>
      <c r="G112" s="16">
        <v>0</v>
      </c>
      <c r="H112" s="97"/>
    </row>
    <row r="113" spans="1:8" x14ac:dyDescent="0.2">
      <c r="A113" s="3"/>
      <c r="B113" s="3"/>
      <c r="C113" s="13"/>
      <c r="D113" s="3"/>
      <c r="E113" s="3"/>
      <c r="F113" s="14"/>
      <c r="G113" s="14"/>
      <c r="H113" s="97"/>
    </row>
    <row r="114" spans="1:8" x14ac:dyDescent="0.2">
      <c r="A114" s="3"/>
      <c r="B114" s="3"/>
      <c r="C114" s="4" t="s">
        <v>108</v>
      </c>
      <c r="D114" s="3"/>
      <c r="E114" s="3"/>
      <c r="F114" s="14"/>
      <c r="G114" s="14"/>
      <c r="H114" s="97"/>
    </row>
    <row r="115" spans="1:8" x14ac:dyDescent="0.2">
      <c r="A115" s="3"/>
      <c r="B115" s="3"/>
      <c r="C115" s="4" t="s">
        <v>97</v>
      </c>
      <c r="D115" s="3"/>
      <c r="E115" s="3" t="s">
        <v>98</v>
      </c>
      <c r="F115" s="15">
        <v>0</v>
      </c>
      <c r="G115" s="16">
        <v>0</v>
      </c>
      <c r="H115" s="97"/>
    </row>
    <row r="116" spans="1:8" x14ac:dyDescent="0.2">
      <c r="A116" s="3"/>
      <c r="B116" s="3"/>
      <c r="C116" s="13"/>
      <c r="D116" s="3"/>
      <c r="E116" s="3"/>
      <c r="F116" s="14"/>
      <c r="G116" s="14"/>
      <c r="H116" s="97"/>
    </row>
    <row r="117" spans="1:8" x14ac:dyDescent="0.2">
      <c r="A117" s="3"/>
      <c r="B117" s="3"/>
      <c r="C117" s="4" t="s">
        <v>109</v>
      </c>
      <c r="D117" s="3"/>
      <c r="E117" s="3"/>
      <c r="F117" s="11">
        <v>0</v>
      </c>
      <c r="G117" s="12">
        <v>0</v>
      </c>
      <c r="H117" s="97"/>
    </row>
    <row r="118" spans="1:8" x14ac:dyDescent="0.2">
      <c r="A118" s="3"/>
      <c r="B118" s="3"/>
      <c r="C118" s="13"/>
      <c r="D118" s="3"/>
      <c r="E118" s="3"/>
      <c r="F118" s="14"/>
      <c r="G118" s="14"/>
      <c r="H118" s="97"/>
    </row>
    <row r="119" spans="1:8" x14ac:dyDescent="0.2">
      <c r="A119" s="3"/>
      <c r="B119" s="3"/>
      <c r="C119" s="4" t="s">
        <v>110</v>
      </c>
      <c r="D119" s="3"/>
      <c r="E119" s="3"/>
      <c r="F119" s="14"/>
      <c r="G119" s="14"/>
      <c r="H119" s="97"/>
    </row>
    <row r="120" spans="1:8" x14ac:dyDescent="0.2">
      <c r="A120" s="3"/>
      <c r="B120" s="3"/>
      <c r="C120" s="4" t="s">
        <v>111</v>
      </c>
      <c r="D120" s="3"/>
      <c r="E120" s="3"/>
      <c r="F120" s="14"/>
      <c r="G120" s="14"/>
      <c r="H120" s="97"/>
    </row>
    <row r="121" spans="1:8" x14ac:dyDescent="0.2">
      <c r="A121" s="3"/>
      <c r="B121" s="3"/>
      <c r="C121" s="4" t="s">
        <v>97</v>
      </c>
      <c r="D121" s="3"/>
      <c r="E121" s="3" t="s">
        <v>98</v>
      </c>
      <c r="F121" s="15">
        <v>0</v>
      </c>
      <c r="G121" s="16">
        <v>0</v>
      </c>
      <c r="H121" s="97"/>
    </row>
    <row r="122" spans="1:8" x14ac:dyDescent="0.2">
      <c r="A122" s="3"/>
      <c r="B122" s="3"/>
      <c r="C122" s="13"/>
      <c r="D122" s="3"/>
      <c r="E122" s="3"/>
      <c r="F122" s="14"/>
      <c r="G122" s="14"/>
      <c r="H122" s="97"/>
    </row>
    <row r="123" spans="1:8" x14ac:dyDescent="0.2">
      <c r="A123" s="3"/>
      <c r="B123" s="3"/>
      <c r="C123" s="4" t="s">
        <v>112</v>
      </c>
      <c r="D123" s="3"/>
      <c r="E123" s="3"/>
      <c r="F123" s="14"/>
      <c r="G123" s="14"/>
      <c r="H123" s="97"/>
    </row>
    <row r="124" spans="1:8" x14ac:dyDescent="0.2">
      <c r="A124" s="3"/>
      <c r="B124" s="3"/>
      <c r="C124" s="4" t="s">
        <v>97</v>
      </c>
      <c r="D124" s="3"/>
      <c r="E124" s="3" t="s">
        <v>98</v>
      </c>
      <c r="F124" s="15">
        <v>0</v>
      </c>
      <c r="G124" s="16">
        <v>0</v>
      </c>
      <c r="H124" s="97"/>
    </row>
    <row r="125" spans="1:8" x14ac:dyDescent="0.2">
      <c r="A125" s="3"/>
      <c r="B125" s="3"/>
      <c r="C125" s="13"/>
      <c r="D125" s="3"/>
      <c r="E125" s="3"/>
      <c r="F125" s="14"/>
      <c r="G125" s="14"/>
      <c r="H125" s="97"/>
    </row>
    <row r="126" spans="1:8" x14ac:dyDescent="0.2">
      <c r="A126" s="3"/>
      <c r="B126" s="3"/>
      <c r="C126" s="4" t="s">
        <v>113</v>
      </c>
      <c r="D126" s="3"/>
      <c r="E126" s="3"/>
      <c r="F126" s="14"/>
      <c r="G126" s="14"/>
      <c r="H126" s="97"/>
    </row>
    <row r="127" spans="1:8" x14ac:dyDescent="0.2">
      <c r="A127" s="3"/>
      <c r="B127" s="3"/>
      <c r="C127" s="4" t="s">
        <v>97</v>
      </c>
      <c r="D127" s="3"/>
      <c r="E127" s="3" t="s">
        <v>98</v>
      </c>
      <c r="F127" s="15">
        <v>0</v>
      </c>
      <c r="G127" s="16">
        <v>0</v>
      </c>
      <c r="H127" s="97"/>
    </row>
    <row r="128" spans="1:8" x14ac:dyDescent="0.2">
      <c r="A128" s="3"/>
      <c r="B128" s="3"/>
      <c r="C128" s="13"/>
      <c r="D128" s="3"/>
      <c r="E128" s="3"/>
      <c r="F128" s="14"/>
      <c r="G128" s="14"/>
      <c r="H128" s="97"/>
    </row>
    <row r="129" spans="1:8" x14ac:dyDescent="0.2">
      <c r="A129" s="3"/>
      <c r="B129" s="3"/>
      <c r="C129" s="4" t="s">
        <v>114</v>
      </c>
      <c r="D129" s="3"/>
      <c r="E129" s="3"/>
      <c r="F129" s="14"/>
      <c r="G129" s="14"/>
      <c r="H129" s="97"/>
    </row>
    <row r="130" spans="1:8" x14ac:dyDescent="0.2">
      <c r="A130" s="5">
        <v>1</v>
      </c>
      <c r="B130" s="6"/>
      <c r="C130" s="6" t="s">
        <v>115</v>
      </c>
      <c r="D130" s="6"/>
      <c r="E130" s="10"/>
      <c r="F130" s="8">
        <v>672.56795650000004</v>
      </c>
      <c r="G130" s="9">
        <v>2.3079075000000001E-2</v>
      </c>
      <c r="H130" s="8">
        <v>3.4504560529072292</v>
      </c>
    </row>
    <row r="131" spans="1:8" x14ac:dyDescent="0.2">
      <c r="A131" s="5">
        <v>2</v>
      </c>
      <c r="B131" s="6"/>
      <c r="C131" s="6" t="s">
        <v>116</v>
      </c>
      <c r="D131" s="6"/>
      <c r="E131" s="10"/>
      <c r="F131" s="8">
        <v>362.989958</v>
      </c>
      <c r="G131" s="9">
        <v>1.245595E-2</v>
      </c>
      <c r="H131" s="8">
        <v>3.5655822479098256</v>
      </c>
    </row>
    <row r="132" spans="1:8" x14ac:dyDescent="0.2">
      <c r="A132" s="3"/>
      <c r="B132" s="3"/>
      <c r="C132" s="4" t="s">
        <v>97</v>
      </c>
      <c r="D132" s="3"/>
      <c r="E132" s="3" t="s">
        <v>98</v>
      </c>
      <c r="F132" s="11">
        <v>1035.5579144999999</v>
      </c>
      <c r="G132" s="12">
        <v>3.5535024999999998E-2</v>
      </c>
      <c r="H132" s="97"/>
    </row>
    <row r="133" spans="1:8" x14ac:dyDescent="0.2">
      <c r="A133" s="3"/>
      <c r="B133" s="3"/>
      <c r="C133" s="13"/>
      <c r="D133" s="3"/>
      <c r="E133" s="3"/>
      <c r="F133" s="14"/>
      <c r="G133" s="14"/>
      <c r="H133" s="97"/>
    </row>
    <row r="134" spans="1:8" x14ac:dyDescent="0.2">
      <c r="A134" s="3"/>
      <c r="B134" s="3"/>
      <c r="C134" s="4" t="s">
        <v>117</v>
      </c>
      <c r="D134" s="3"/>
      <c r="E134" s="3"/>
      <c r="F134" s="11">
        <v>1035.5579144999999</v>
      </c>
      <c r="G134" s="12">
        <v>3.5535024999999998E-2</v>
      </c>
      <c r="H134" s="97"/>
    </row>
    <row r="135" spans="1:8" x14ac:dyDescent="0.2">
      <c r="A135" s="3"/>
      <c r="B135" s="3"/>
      <c r="C135" s="14"/>
      <c r="D135" s="3"/>
      <c r="E135" s="3"/>
      <c r="F135" s="3"/>
      <c r="G135" s="3"/>
      <c r="H135" s="97"/>
    </row>
    <row r="136" spans="1:8" x14ac:dyDescent="0.2">
      <c r="A136" s="3"/>
      <c r="B136" s="3"/>
      <c r="C136" s="4" t="s">
        <v>118</v>
      </c>
      <c r="D136" s="3"/>
      <c r="E136" s="3"/>
      <c r="F136" s="3"/>
      <c r="G136" s="3"/>
      <c r="H136" s="97"/>
    </row>
    <row r="137" spans="1:8" x14ac:dyDescent="0.2">
      <c r="A137" s="3"/>
      <c r="B137" s="3"/>
      <c r="C137" s="4" t="s">
        <v>119</v>
      </c>
      <c r="D137" s="3"/>
      <c r="E137" s="3"/>
      <c r="F137" s="3"/>
      <c r="G137" s="3"/>
      <c r="H137" s="97"/>
    </row>
    <row r="138" spans="1:8" x14ac:dyDescent="0.2">
      <c r="A138" s="3"/>
      <c r="B138" s="3"/>
      <c r="C138" s="4" t="s">
        <v>97</v>
      </c>
      <c r="D138" s="3"/>
      <c r="E138" s="3" t="s">
        <v>98</v>
      </c>
      <c r="F138" s="15">
        <v>0</v>
      </c>
      <c r="G138" s="16">
        <v>0</v>
      </c>
      <c r="H138" s="97"/>
    </row>
    <row r="139" spans="1:8" x14ac:dyDescent="0.2">
      <c r="A139" s="3"/>
      <c r="B139" s="3"/>
      <c r="C139" s="13"/>
      <c r="D139" s="3"/>
      <c r="E139" s="3"/>
      <c r="F139" s="14"/>
      <c r="G139" s="14"/>
      <c r="H139" s="97"/>
    </row>
    <row r="140" spans="1:8" x14ac:dyDescent="0.2">
      <c r="A140" s="3"/>
      <c r="B140" s="3"/>
      <c r="C140" s="4" t="s">
        <v>120</v>
      </c>
      <c r="D140" s="3"/>
      <c r="E140" s="3"/>
      <c r="F140" s="3"/>
      <c r="G140" s="3"/>
      <c r="H140" s="97"/>
    </row>
    <row r="141" spans="1:8" x14ac:dyDescent="0.2">
      <c r="A141" s="3"/>
      <c r="B141" s="3"/>
      <c r="C141" s="4" t="s">
        <v>121</v>
      </c>
      <c r="D141" s="3"/>
      <c r="E141" s="3"/>
      <c r="F141" s="3"/>
      <c r="G141" s="3"/>
      <c r="H141" s="97"/>
    </row>
    <row r="142" spans="1:8" x14ac:dyDescent="0.2">
      <c r="A142" s="3"/>
      <c r="B142" s="3"/>
      <c r="C142" s="4" t="s">
        <v>97</v>
      </c>
      <c r="D142" s="3"/>
      <c r="E142" s="3" t="s">
        <v>98</v>
      </c>
      <c r="F142" s="15">
        <v>0</v>
      </c>
      <c r="G142" s="16">
        <v>0</v>
      </c>
      <c r="H142" s="97"/>
    </row>
    <row r="143" spans="1:8" x14ac:dyDescent="0.2">
      <c r="A143" s="3"/>
      <c r="B143" s="3"/>
      <c r="C143" s="13"/>
      <c r="D143" s="3"/>
      <c r="E143" s="3"/>
      <c r="F143" s="14"/>
      <c r="G143" s="14"/>
      <c r="H143" s="97"/>
    </row>
    <row r="144" spans="1:8" x14ac:dyDescent="0.2">
      <c r="A144" s="3"/>
      <c r="B144" s="3"/>
      <c r="C144" s="13"/>
      <c r="D144" s="3"/>
      <c r="E144" s="3"/>
      <c r="F144" s="14"/>
      <c r="G144" s="14"/>
      <c r="H144" s="97"/>
    </row>
    <row r="145" spans="1:8" ht="25.5" x14ac:dyDescent="0.2">
      <c r="A145" s="3"/>
      <c r="B145" s="3"/>
      <c r="C145" s="4" t="s">
        <v>122</v>
      </c>
      <c r="D145" s="3"/>
      <c r="E145" s="3"/>
      <c r="F145" s="14"/>
      <c r="G145" s="14"/>
      <c r="H145" s="97"/>
    </row>
    <row r="146" spans="1:8" x14ac:dyDescent="0.2">
      <c r="A146" s="3"/>
      <c r="B146" s="3"/>
      <c r="C146" s="4" t="s">
        <v>97</v>
      </c>
      <c r="D146" s="3"/>
      <c r="E146" s="3" t="s">
        <v>98</v>
      </c>
      <c r="F146" s="15">
        <v>0</v>
      </c>
      <c r="G146" s="16">
        <v>0</v>
      </c>
      <c r="H146" s="97"/>
    </row>
    <row r="147" spans="1:8" x14ac:dyDescent="0.2">
      <c r="A147" s="3"/>
      <c r="B147" s="3"/>
      <c r="C147" s="13"/>
      <c r="D147" s="3"/>
      <c r="E147" s="3"/>
      <c r="F147" s="14"/>
      <c r="G147" s="14"/>
      <c r="H147" s="97"/>
    </row>
    <row r="148" spans="1:8" x14ac:dyDescent="0.2">
      <c r="A148" s="3"/>
      <c r="B148" s="6"/>
      <c r="C148" s="6"/>
      <c r="D148" s="4"/>
      <c r="E148" s="3"/>
      <c r="F148" s="6"/>
      <c r="G148" s="10"/>
      <c r="H148" s="97"/>
    </row>
    <row r="149" spans="1:8" x14ac:dyDescent="0.2">
      <c r="A149" s="10"/>
      <c r="B149" s="6"/>
      <c r="C149" s="6" t="s">
        <v>123</v>
      </c>
      <c r="D149" s="6"/>
      <c r="E149" s="10"/>
      <c r="F149" s="8">
        <v>16.22984988</v>
      </c>
      <c r="G149" s="9">
        <v>5.56925E-4</v>
      </c>
      <c r="H149" s="97"/>
    </row>
    <row r="150" spans="1:8" x14ac:dyDescent="0.2">
      <c r="A150" s="13"/>
      <c r="B150" s="13"/>
      <c r="C150" s="4" t="s">
        <v>124</v>
      </c>
      <c r="D150" s="17"/>
      <c r="E150" s="17"/>
      <c r="F150" s="11">
        <v>29141.893338379999</v>
      </c>
      <c r="G150" s="12">
        <v>0.99999999799999995</v>
      </c>
      <c r="H150" s="97"/>
    </row>
    <row r="151" spans="1:8" ht="14.1" customHeight="1" x14ac:dyDescent="0.2">
      <c r="A151" s="20"/>
      <c r="B151" s="226" t="s">
        <v>98</v>
      </c>
      <c r="C151" s="226"/>
      <c r="D151" s="226"/>
      <c r="E151" s="226"/>
      <c r="F151" s="226"/>
      <c r="G151" s="22"/>
    </row>
    <row r="152" spans="1:8" ht="14.1" customHeight="1" x14ac:dyDescent="0.2">
      <c r="A152" s="20"/>
      <c r="B152" s="20"/>
      <c r="C152" s="20"/>
      <c r="D152" s="22"/>
      <c r="E152" s="22"/>
      <c r="F152" s="22"/>
      <c r="G152" s="22"/>
    </row>
    <row r="153" spans="1:8" ht="14.1" customHeight="1" x14ac:dyDescent="0.2">
      <c r="A153" s="20"/>
      <c r="B153" s="224" t="s">
        <v>126</v>
      </c>
      <c r="C153" s="225"/>
      <c r="D153" s="14" t="s">
        <v>98</v>
      </c>
      <c r="E153" s="23"/>
      <c r="F153" s="22"/>
      <c r="G153" s="22"/>
    </row>
    <row r="154" spans="1:8" ht="29.1" customHeight="1" x14ac:dyDescent="0.2">
      <c r="A154" s="20"/>
      <c r="B154" s="231" t="s">
        <v>127</v>
      </c>
      <c r="C154" s="232"/>
      <c r="D154" s="4" t="s">
        <v>128</v>
      </c>
      <c r="E154" s="23"/>
      <c r="F154" s="22"/>
      <c r="G154" s="22"/>
    </row>
    <row r="155" spans="1:8" ht="17.100000000000001" customHeight="1" x14ac:dyDescent="0.2">
      <c r="A155" s="20"/>
      <c r="B155" s="231" t="s">
        <v>129</v>
      </c>
      <c r="C155" s="232"/>
      <c r="D155" s="4" t="s">
        <v>128</v>
      </c>
      <c r="E155" s="23"/>
      <c r="F155" s="22"/>
      <c r="G155" s="22"/>
    </row>
    <row r="156" spans="1:8" ht="17.100000000000001" customHeight="1" x14ac:dyDescent="0.2">
      <c r="A156" s="20"/>
      <c r="B156" s="231" t="s">
        <v>130</v>
      </c>
      <c r="C156" s="232"/>
      <c r="D156" s="14" t="s">
        <v>98</v>
      </c>
      <c r="E156" s="23"/>
      <c r="F156" s="22"/>
      <c r="G156" s="22"/>
    </row>
    <row r="157" spans="1:8" ht="24" customHeight="1" x14ac:dyDescent="0.2">
      <c r="A157" s="24"/>
      <c r="B157" s="25" t="s">
        <v>98</v>
      </c>
      <c r="C157" s="25" t="s">
        <v>131</v>
      </c>
      <c r="D157" s="25" t="s">
        <v>132</v>
      </c>
      <c r="E157" s="24"/>
      <c r="F157" s="24"/>
      <c r="G157" s="24"/>
    </row>
    <row r="158" spans="1:8" ht="18" customHeight="1" x14ac:dyDescent="0.2">
      <c r="A158" s="24"/>
      <c r="B158" s="25" t="s">
        <v>133</v>
      </c>
      <c r="C158" s="25" t="s">
        <v>134</v>
      </c>
      <c r="D158" s="25" t="s">
        <v>135</v>
      </c>
      <c r="E158" s="24"/>
      <c r="F158" s="24"/>
      <c r="G158" s="24"/>
    </row>
    <row r="159" spans="1:8" ht="17.100000000000001" customHeight="1" x14ac:dyDescent="0.2">
      <c r="A159" s="24"/>
      <c r="B159" s="6" t="s">
        <v>136</v>
      </c>
      <c r="C159" s="26">
        <v>15.5022</v>
      </c>
      <c r="D159" s="26">
        <v>16.124199999999998</v>
      </c>
      <c r="E159" s="24"/>
      <c r="F159" s="21"/>
      <c r="G159" s="27"/>
    </row>
    <row r="160" spans="1:8" ht="17.100000000000001" customHeight="1" x14ac:dyDescent="0.2">
      <c r="A160" s="24"/>
      <c r="B160" s="6" t="s">
        <v>1201</v>
      </c>
      <c r="C160" s="26">
        <v>15.5022</v>
      </c>
      <c r="D160" s="26">
        <v>16.124199999999998</v>
      </c>
      <c r="E160" s="24"/>
      <c r="F160" s="21"/>
      <c r="G160" s="27"/>
    </row>
    <row r="161" spans="1:17" ht="17.100000000000001" customHeight="1" x14ac:dyDescent="0.2">
      <c r="A161" s="24"/>
      <c r="B161" s="6" t="s">
        <v>137</v>
      </c>
      <c r="C161" s="26">
        <v>15.1027</v>
      </c>
      <c r="D161" s="26">
        <v>15.7027</v>
      </c>
      <c r="E161" s="24"/>
      <c r="F161" s="21"/>
      <c r="G161" s="27"/>
    </row>
    <row r="162" spans="1:17" ht="17.100000000000001" customHeight="1" x14ac:dyDescent="0.2">
      <c r="A162" s="24"/>
      <c r="B162" s="6" t="s">
        <v>1202</v>
      </c>
      <c r="C162" s="26">
        <v>15.1027</v>
      </c>
      <c r="D162" s="26">
        <v>15.7027</v>
      </c>
      <c r="E162" s="24"/>
      <c r="F162" s="21"/>
      <c r="G162" s="27"/>
    </row>
    <row r="163" spans="1:17" ht="14.1" customHeight="1" x14ac:dyDescent="0.2">
      <c r="A163" s="24"/>
      <c r="B163" s="24"/>
      <c r="C163" s="24"/>
      <c r="D163" s="24"/>
      <c r="E163" s="24"/>
      <c r="F163" s="24"/>
      <c r="G163" s="24"/>
    </row>
    <row r="164" spans="1:17" ht="17.100000000000001" customHeight="1" x14ac:dyDescent="0.2">
      <c r="A164" s="24"/>
      <c r="B164" s="231" t="s">
        <v>1203</v>
      </c>
      <c r="C164" s="232"/>
      <c r="D164" s="4" t="s">
        <v>128</v>
      </c>
      <c r="E164" s="24"/>
      <c r="F164" s="24"/>
      <c r="G164" s="24"/>
    </row>
    <row r="165" spans="1:17" ht="18" customHeight="1" x14ac:dyDescent="0.2">
      <c r="A165" s="24"/>
      <c r="B165" s="28"/>
      <c r="C165" s="28"/>
      <c r="D165" s="29"/>
      <c r="E165" s="24"/>
      <c r="F165" s="24"/>
      <c r="G165" s="24"/>
      <c r="I165" s="87"/>
      <c r="J165" s="87"/>
      <c r="K165" s="87"/>
      <c r="L165" s="87"/>
      <c r="M165" s="87"/>
      <c r="N165" s="87"/>
      <c r="O165" s="87"/>
    </row>
    <row r="166" spans="1:17" s="87" customFormat="1" x14ac:dyDescent="0.2">
      <c r="B166" s="233" t="s">
        <v>1207</v>
      </c>
      <c r="C166" s="233"/>
      <c r="D166" s="233"/>
      <c r="E166" s="233"/>
      <c r="F166" s="233"/>
      <c r="I166"/>
      <c r="J166"/>
      <c r="K166"/>
      <c r="L166"/>
      <c r="M166"/>
      <c r="N166"/>
      <c r="O166"/>
      <c r="P166" s="69"/>
      <c r="Q166" s="69"/>
    </row>
    <row r="167" spans="1:17" ht="14.1" customHeight="1" x14ac:dyDescent="0.2">
      <c r="A167" s="24"/>
      <c r="B167" s="21"/>
      <c r="C167" s="21"/>
      <c r="D167" s="24"/>
      <c r="E167" s="24"/>
      <c r="F167" s="24"/>
      <c r="G167" s="24"/>
    </row>
    <row r="168" spans="1:17" ht="29.1" customHeight="1" x14ac:dyDescent="0.2">
      <c r="A168" s="24"/>
      <c r="B168" s="231" t="s">
        <v>138</v>
      </c>
      <c r="C168" s="232"/>
      <c r="D168" s="4" t="s">
        <v>128</v>
      </c>
      <c r="E168" s="24"/>
      <c r="F168" s="24"/>
      <c r="G168" s="24"/>
    </row>
    <row r="169" spans="1:17" ht="29.1" customHeight="1" x14ac:dyDescent="0.2">
      <c r="A169" s="24"/>
      <c r="B169" s="231" t="s">
        <v>139</v>
      </c>
      <c r="C169" s="232"/>
      <c r="D169" s="4" t="s">
        <v>128</v>
      </c>
      <c r="E169" s="24"/>
      <c r="F169" s="24"/>
      <c r="G169" s="24"/>
    </row>
    <row r="170" spans="1:17" ht="17.100000000000001" customHeight="1" x14ac:dyDescent="0.2">
      <c r="A170" s="24"/>
      <c r="B170" s="231" t="s">
        <v>140</v>
      </c>
      <c r="C170" s="232"/>
      <c r="D170" s="30">
        <v>0.39828240347767546</v>
      </c>
      <c r="E170" s="24"/>
      <c r="F170" s="21"/>
      <c r="G170" s="27"/>
    </row>
    <row r="171" spans="1:17" ht="17.100000000000001" customHeight="1" x14ac:dyDescent="0.2">
      <c r="A171" s="24"/>
      <c r="B171" s="231" t="s">
        <v>141</v>
      </c>
      <c r="C171" s="232"/>
      <c r="D171" s="4" t="s">
        <v>128</v>
      </c>
      <c r="E171" s="24"/>
      <c r="F171" s="24"/>
      <c r="G171" s="24"/>
    </row>
  </sheetData>
  <mergeCells count="15">
    <mergeCell ref="B170:C170"/>
    <mergeCell ref="B171:C171"/>
    <mergeCell ref="B154:C154"/>
    <mergeCell ref="B155:C155"/>
    <mergeCell ref="B156:C156"/>
    <mergeCell ref="B164:C164"/>
    <mergeCell ref="B168:C168"/>
    <mergeCell ref="B169:C169"/>
    <mergeCell ref="B166:F166"/>
    <mergeCell ref="J2:N2"/>
    <mergeCell ref="B153:C153"/>
    <mergeCell ref="B151:F151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4">
    <outlinePr summaryBelow="0" summaryRight="0"/>
  </sheetPr>
  <dimension ref="A1:Q168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6" ht="15" x14ac:dyDescent="0.2">
      <c r="A1" s="227" t="s">
        <v>0</v>
      </c>
      <c r="B1" s="227"/>
      <c r="C1" s="227"/>
      <c r="D1" s="227"/>
      <c r="E1" s="227"/>
      <c r="F1" s="227"/>
      <c r="G1" s="227"/>
      <c r="H1" s="227"/>
    </row>
    <row r="2" spans="1:16" s="87" customFormat="1" ht="15" x14ac:dyDescent="0.2">
      <c r="A2" s="228" t="s">
        <v>612</v>
      </c>
      <c r="B2" s="229"/>
      <c r="C2" s="229"/>
      <c r="D2" s="229"/>
      <c r="E2" s="229"/>
      <c r="F2" s="229"/>
      <c r="G2" s="229"/>
      <c r="H2" s="230"/>
      <c r="I2"/>
      <c r="J2" s="223" t="s">
        <v>1238</v>
      </c>
      <c r="K2" s="223"/>
      <c r="L2" s="223"/>
      <c r="M2" s="223"/>
      <c r="N2" s="223"/>
      <c r="O2"/>
      <c r="P2"/>
    </row>
    <row r="3" spans="1:16" ht="15" x14ac:dyDescent="0.2">
      <c r="A3" s="227" t="s">
        <v>1208</v>
      </c>
      <c r="B3" s="227"/>
      <c r="C3" s="227"/>
      <c r="D3" s="227"/>
      <c r="E3" s="227"/>
      <c r="F3" s="227"/>
      <c r="G3" s="227"/>
      <c r="H3" s="227"/>
    </row>
    <row r="4" spans="1:16" s="113" customFormat="1" ht="30" x14ac:dyDescent="0.2">
      <c r="A4" s="1" t="s">
        <v>2</v>
      </c>
      <c r="B4" s="1" t="s">
        <v>3</v>
      </c>
      <c r="C4" s="1" t="s">
        <v>4</v>
      </c>
      <c r="D4" s="1" t="s">
        <v>5</v>
      </c>
      <c r="E4" s="2" t="s">
        <v>6</v>
      </c>
      <c r="F4" s="2" t="s">
        <v>7</v>
      </c>
      <c r="G4" s="2" t="s">
        <v>8</v>
      </c>
      <c r="H4" s="96" t="s">
        <v>1167</v>
      </c>
      <c r="I4" s="183"/>
      <c r="J4" s="183"/>
      <c r="K4" s="183"/>
      <c r="L4" s="183"/>
      <c r="M4" s="183"/>
      <c r="N4" s="183"/>
      <c r="O4" s="183"/>
      <c r="P4" s="183"/>
    </row>
    <row r="5" spans="1:16" ht="14.1" customHeight="1" x14ac:dyDescent="0.2">
      <c r="A5" s="3"/>
      <c r="B5" s="3"/>
      <c r="C5" s="4" t="s">
        <v>9</v>
      </c>
      <c r="D5" s="3"/>
      <c r="E5" s="3"/>
      <c r="F5" s="3"/>
      <c r="G5" s="3"/>
      <c r="H5" s="97"/>
    </row>
    <row r="6" spans="1:16" ht="24" customHeight="1" x14ac:dyDescent="0.2">
      <c r="A6" s="3"/>
      <c r="B6" s="3"/>
      <c r="C6" s="4" t="s">
        <v>10</v>
      </c>
      <c r="D6" s="3"/>
      <c r="E6" s="3"/>
      <c r="F6" s="3"/>
      <c r="G6" s="3"/>
      <c r="H6" s="97"/>
    </row>
    <row r="7" spans="1:16" x14ac:dyDescent="0.2">
      <c r="A7" s="5">
        <v>1</v>
      </c>
      <c r="B7" s="6" t="s">
        <v>164</v>
      </c>
      <c r="C7" s="6" t="s">
        <v>165</v>
      </c>
      <c r="D7" s="6" t="s">
        <v>19</v>
      </c>
      <c r="E7" s="7">
        <v>84041</v>
      </c>
      <c r="F7" s="8">
        <v>981.64090050000004</v>
      </c>
      <c r="G7" s="9">
        <v>3.1502949000000002E-2</v>
      </c>
      <c r="H7" s="97"/>
    </row>
    <row r="8" spans="1:16" x14ac:dyDescent="0.2">
      <c r="A8" s="5">
        <v>2</v>
      </c>
      <c r="B8" s="6" t="s">
        <v>274</v>
      </c>
      <c r="C8" s="6" t="s">
        <v>275</v>
      </c>
      <c r="D8" s="6" t="s">
        <v>185</v>
      </c>
      <c r="E8" s="7">
        <v>22704</v>
      </c>
      <c r="F8" s="8">
        <v>950.95704000000001</v>
      </c>
      <c r="G8" s="9">
        <v>3.0518238999999999E-2</v>
      </c>
      <c r="H8" s="97"/>
    </row>
    <row r="9" spans="1:16" ht="25.5" x14ac:dyDescent="0.2">
      <c r="A9" s="5">
        <v>3</v>
      </c>
      <c r="B9" s="6" t="s">
        <v>143</v>
      </c>
      <c r="C9" s="6" t="s">
        <v>144</v>
      </c>
      <c r="D9" s="6" t="s">
        <v>45</v>
      </c>
      <c r="E9" s="7">
        <v>479000</v>
      </c>
      <c r="F9" s="8">
        <v>931.89449999999999</v>
      </c>
      <c r="G9" s="9">
        <v>2.9906480999999999E-2</v>
      </c>
      <c r="H9" s="97"/>
    </row>
    <row r="10" spans="1:16" x14ac:dyDescent="0.2">
      <c r="A10" s="5">
        <v>4</v>
      </c>
      <c r="B10" s="6" t="s">
        <v>17</v>
      </c>
      <c r="C10" s="6" t="s">
        <v>18</v>
      </c>
      <c r="D10" s="6" t="s">
        <v>19</v>
      </c>
      <c r="E10" s="7">
        <v>48611</v>
      </c>
      <c r="F10" s="8">
        <v>931.87287000000003</v>
      </c>
      <c r="G10" s="9">
        <v>2.9905787E-2</v>
      </c>
      <c r="H10" s="97"/>
    </row>
    <row r="11" spans="1:16" x14ac:dyDescent="0.2">
      <c r="A11" s="5">
        <v>5</v>
      </c>
      <c r="B11" s="6" t="s">
        <v>74</v>
      </c>
      <c r="C11" s="6" t="s">
        <v>75</v>
      </c>
      <c r="D11" s="6" t="s">
        <v>70</v>
      </c>
      <c r="E11" s="7">
        <v>198532</v>
      </c>
      <c r="F11" s="8">
        <v>833.43733599999996</v>
      </c>
      <c r="G11" s="9">
        <v>2.6746781000000001E-2</v>
      </c>
      <c r="H11" s="97"/>
    </row>
    <row r="12" spans="1:16" x14ac:dyDescent="0.2">
      <c r="A12" s="5">
        <v>6</v>
      </c>
      <c r="B12" s="6" t="s">
        <v>263</v>
      </c>
      <c r="C12" s="6" t="s">
        <v>264</v>
      </c>
      <c r="D12" s="6" t="s">
        <v>147</v>
      </c>
      <c r="E12" s="7">
        <v>129586</v>
      </c>
      <c r="F12" s="8">
        <v>794.29738699999996</v>
      </c>
      <c r="G12" s="9">
        <v>2.5490697E-2</v>
      </c>
      <c r="H12" s="97"/>
    </row>
    <row r="13" spans="1:16" x14ac:dyDescent="0.2">
      <c r="A13" s="5">
        <v>7</v>
      </c>
      <c r="B13" s="6" t="s">
        <v>145</v>
      </c>
      <c r="C13" s="6" t="s">
        <v>146</v>
      </c>
      <c r="D13" s="6" t="s">
        <v>147</v>
      </c>
      <c r="E13" s="7">
        <v>15854</v>
      </c>
      <c r="F13" s="8">
        <v>777.53564900000003</v>
      </c>
      <c r="G13" s="9">
        <v>2.4952776999999999E-2</v>
      </c>
      <c r="H13" s="97"/>
    </row>
    <row r="14" spans="1:16" x14ac:dyDescent="0.2">
      <c r="A14" s="5">
        <v>8</v>
      </c>
      <c r="B14" s="6" t="s">
        <v>148</v>
      </c>
      <c r="C14" s="6" t="s">
        <v>149</v>
      </c>
      <c r="D14" s="6" t="s">
        <v>70</v>
      </c>
      <c r="E14" s="7">
        <v>127868</v>
      </c>
      <c r="F14" s="8">
        <v>764.52277200000003</v>
      </c>
      <c r="G14" s="9">
        <v>2.4535166000000001E-2</v>
      </c>
      <c r="H14" s="97"/>
    </row>
    <row r="15" spans="1:16" x14ac:dyDescent="0.2">
      <c r="A15" s="5">
        <v>9</v>
      </c>
      <c r="B15" s="6" t="s">
        <v>296</v>
      </c>
      <c r="C15" s="6" t="s">
        <v>297</v>
      </c>
      <c r="D15" s="6" t="s">
        <v>19</v>
      </c>
      <c r="E15" s="7">
        <v>98456</v>
      </c>
      <c r="F15" s="8">
        <v>698.49609199999998</v>
      </c>
      <c r="G15" s="9">
        <v>2.2416228999999999E-2</v>
      </c>
      <c r="H15" s="97"/>
    </row>
    <row r="16" spans="1:16" ht="15" x14ac:dyDescent="0.2">
      <c r="A16" s="5">
        <v>10</v>
      </c>
      <c r="B16" s="6" t="s">
        <v>150</v>
      </c>
      <c r="C16" s="6" t="s">
        <v>151</v>
      </c>
      <c r="D16" s="6" t="s">
        <v>81</v>
      </c>
      <c r="E16" s="7">
        <v>612949</v>
      </c>
      <c r="F16" s="8">
        <v>679.45396649999998</v>
      </c>
      <c r="G16" s="9">
        <v>2.1805126000000001E-2</v>
      </c>
      <c r="H16" s="97"/>
      <c r="J16" s="184" t="s">
        <v>1246</v>
      </c>
    </row>
    <row r="17" spans="1:8" x14ac:dyDescent="0.2">
      <c r="A17" s="5">
        <v>11</v>
      </c>
      <c r="B17" s="6" t="s">
        <v>41</v>
      </c>
      <c r="C17" s="6" t="s">
        <v>42</v>
      </c>
      <c r="D17" s="6" t="s">
        <v>19</v>
      </c>
      <c r="E17" s="7">
        <v>55216</v>
      </c>
      <c r="F17" s="8">
        <v>673.77323999999999</v>
      </c>
      <c r="G17" s="9">
        <v>2.1622820000000001E-2</v>
      </c>
      <c r="H17" s="97"/>
    </row>
    <row r="18" spans="1:8" x14ac:dyDescent="0.2">
      <c r="A18" s="5">
        <v>12</v>
      </c>
      <c r="B18" s="6" t="s">
        <v>156</v>
      </c>
      <c r="C18" s="6" t="s">
        <v>157</v>
      </c>
      <c r="D18" s="6" t="s">
        <v>19</v>
      </c>
      <c r="E18" s="7">
        <v>90886</v>
      </c>
      <c r="F18" s="8">
        <v>659.24160099999995</v>
      </c>
      <c r="G18" s="9">
        <v>2.1156468000000001E-2</v>
      </c>
      <c r="H18" s="97"/>
    </row>
    <row r="19" spans="1:8" x14ac:dyDescent="0.2">
      <c r="A19" s="5">
        <v>13</v>
      </c>
      <c r="B19" s="6" t="s">
        <v>576</v>
      </c>
      <c r="C19" s="6" t="s">
        <v>577</v>
      </c>
      <c r="D19" s="6" t="s">
        <v>70</v>
      </c>
      <c r="E19" s="7">
        <v>175415</v>
      </c>
      <c r="F19" s="8">
        <v>659.12186250000002</v>
      </c>
      <c r="G19" s="9">
        <v>2.1152626000000001E-2</v>
      </c>
      <c r="H19" s="97"/>
    </row>
    <row r="20" spans="1:8" x14ac:dyDescent="0.2">
      <c r="A20" s="5">
        <v>14</v>
      </c>
      <c r="B20" s="6" t="s">
        <v>154</v>
      </c>
      <c r="C20" s="6" t="s">
        <v>155</v>
      </c>
      <c r="D20" s="6" t="s">
        <v>147</v>
      </c>
      <c r="E20" s="7">
        <v>56083</v>
      </c>
      <c r="F20" s="8">
        <v>632.30778350000003</v>
      </c>
      <c r="G20" s="9">
        <v>2.0292105000000001E-2</v>
      </c>
      <c r="H20" s="97"/>
    </row>
    <row r="21" spans="1:8" x14ac:dyDescent="0.2">
      <c r="A21" s="5">
        <v>15</v>
      </c>
      <c r="B21" s="6" t="s">
        <v>84</v>
      </c>
      <c r="C21" s="6" t="s">
        <v>85</v>
      </c>
      <c r="D21" s="6" t="s">
        <v>53</v>
      </c>
      <c r="E21" s="7">
        <v>125724</v>
      </c>
      <c r="F21" s="8">
        <v>616.42477199999996</v>
      </c>
      <c r="G21" s="9">
        <v>1.9782385E-2</v>
      </c>
      <c r="H21" s="97"/>
    </row>
    <row r="22" spans="1:8" ht="25.5" x14ac:dyDescent="0.2">
      <c r="A22" s="5">
        <v>16</v>
      </c>
      <c r="B22" s="6" t="s">
        <v>37</v>
      </c>
      <c r="C22" s="6" t="s">
        <v>38</v>
      </c>
      <c r="D22" s="6" t="s">
        <v>1185</v>
      </c>
      <c r="E22" s="7">
        <v>16781</v>
      </c>
      <c r="F22" s="8">
        <v>570.3610185</v>
      </c>
      <c r="G22" s="9">
        <v>1.8304101E-2</v>
      </c>
      <c r="H22" s="97"/>
    </row>
    <row r="23" spans="1:8" x14ac:dyDescent="0.2">
      <c r="A23" s="5">
        <v>17</v>
      </c>
      <c r="B23" s="6" t="s">
        <v>203</v>
      </c>
      <c r="C23" s="6" t="s">
        <v>204</v>
      </c>
      <c r="D23" s="6" t="s">
        <v>81</v>
      </c>
      <c r="E23" s="7">
        <v>69806</v>
      </c>
      <c r="F23" s="8">
        <v>540.43805199999997</v>
      </c>
      <c r="G23" s="9">
        <v>1.7343809000000002E-2</v>
      </c>
      <c r="H23" s="97"/>
    </row>
    <row r="24" spans="1:8" ht="25.5" x14ac:dyDescent="0.2">
      <c r="A24" s="5">
        <v>18</v>
      </c>
      <c r="B24" s="6" t="s">
        <v>604</v>
      </c>
      <c r="C24" s="6" t="s">
        <v>605</v>
      </c>
      <c r="D24" s="6" t="s">
        <v>45</v>
      </c>
      <c r="E24" s="7">
        <v>26488</v>
      </c>
      <c r="F24" s="8">
        <v>490.45180800000003</v>
      </c>
      <c r="G24" s="9">
        <v>1.5739644000000001E-2</v>
      </c>
      <c r="H24" s="97"/>
    </row>
    <row r="25" spans="1:8" x14ac:dyDescent="0.2">
      <c r="A25" s="5">
        <v>19</v>
      </c>
      <c r="B25" s="6" t="s">
        <v>158</v>
      </c>
      <c r="C25" s="6" t="s">
        <v>159</v>
      </c>
      <c r="D25" s="6" t="s">
        <v>1187</v>
      </c>
      <c r="E25" s="7">
        <v>40035</v>
      </c>
      <c r="F25" s="8">
        <v>488.0867025</v>
      </c>
      <c r="G25" s="9">
        <v>1.5663743000000001E-2</v>
      </c>
      <c r="H25" s="97"/>
    </row>
    <row r="26" spans="1:8" x14ac:dyDescent="0.2">
      <c r="A26" s="5">
        <v>20</v>
      </c>
      <c r="B26" s="6" t="s">
        <v>160</v>
      </c>
      <c r="C26" s="6" t="s">
        <v>161</v>
      </c>
      <c r="D26" s="6" t="s">
        <v>147</v>
      </c>
      <c r="E26" s="7">
        <v>46872</v>
      </c>
      <c r="F26" s="8">
        <v>479.50056000000001</v>
      </c>
      <c r="G26" s="9">
        <v>1.5388195E-2</v>
      </c>
      <c r="H26" s="97"/>
    </row>
    <row r="27" spans="1:8" x14ac:dyDescent="0.2">
      <c r="A27" s="5">
        <v>21</v>
      </c>
      <c r="B27" s="6" t="s">
        <v>172</v>
      </c>
      <c r="C27" s="6" t="s">
        <v>173</v>
      </c>
      <c r="D27" s="6" t="s">
        <v>174</v>
      </c>
      <c r="E27" s="7">
        <v>194334</v>
      </c>
      <c r="F27" s="8">
        <v>464.55542700000001</v>
      </c>
      <c r="G27" s="9">
        <v>1.4908574000000001E-2</v>
      </c>
      <c r="H27" s="97"/>
    </row>
    <row r="28" spans="1:8" x14ac:dyDescent="0.2">
      <c r="A28" s="5">
        <v>22</v>
      </c>
      <c r="B28" s="6" t="s">
        <v>280</v>
      </c>
      <c r="C28" s="6" t="s">
        <v>281</v>
      </c>
      <c r="D28" s="6" t="s">
        <v>238</v>
      </c>
      <c r="E28" s="7">
        <v>26014</v>
      </c>
      <c r="F28" s="8">
        <v>456.493672</v>
      </c>
      <c r="G28" s="9">
        <v>1.4649855E-2</v>
      </c>
      <c r="H28" s="97"/>
    </row>
    <row r="29" spans="1:8" x14ac:dyDescent="0.2">
      <c r="A29" s="5">
        <v>23</v>
      </c>
      <c r="B29" s="6" t="s">
        <v>191</v>
      </c>
      <c r="C29" s="6" t="s">
        <v>192</v>
      </c>
      <c r="D29" s="6" t="s">
        <v>193</v>
      </c>
      <c r="E29" s="7">
        <v>96348</v>
      </c>
      <c r="F29" s="8">
        <v>437.70896399999998</v>
      </c>
      <c r="G29" s="9">
        <v>1.4047014E-2</v>
      </c>
      <c r="H29" s="97"/>
    </row>
    <row r="30" spans="1:8" x14ac:dyDescent="0.2">
      <c r="A30" s="5">
        <v>24</v>
      </c>
      <c r="B30" s="6" t="s">
        <v>168</v>
      </c>
      <c r="C30" s="6" t="s">
        <v>169</v>
      </c>
      <c r="D30" s="6" t="s">
        <v>81</v>
      </c>
      <c r="E30" s="7">
        <v>684537</v>
      </c>
      <c r="F30" s="8">
        <v>431.25830999999999</v>
      </c>
      <c r="G30" s="9">
        <v>1.3839999E-2</v>
      </c>
      <c r="H30" s="97"/>
    </row>
    <row r="31" spans="1:8" x14ac:dyDescent="0.2">
      <c r="A31" s="5">
        <v>25</v>
      </c>
      <c r="B31" s="6" t="s">
        <v>196</v>
      </c>
      <c r="C31" s="6" t="s">
        <v>197</v>
      </c>
      <c r="D31" s="6" t="s">
        <v>81</v>
      </c>
      <c r="E31" s="7">
        <v>75393</v>
      </c>
      <c r="F31" s="8">
        <v>416.88559350000003</v>
      </c>
      <c r="G31" s="9">
        <v>1.3378747999999999E-2</v>
      </c>
      <c r="H31" s="97"/>
    </row>
    <row r="32" spans="1:8" x14ac:dyDescent="0.2">
      <c r="A32" s="5">
        <v>26</v>
      </c>
      <c r="B32" s="6" t="s">
        <v>166</v>
      </c>
      <c r="C32" s="6" t="s">
        <v>167</v>
      </c>
      <c r="D32" s="6" t="s">
        <v>1186</v>
      </c>
      <c r="E32" s="7">
        <v>115109</v>
      </c>
      <c r="F32" s="8">
        <v>406.73765150000003</v>
      </c>
      <c r="G32" s="9">
        <v>1.3053077999999999E-2</v>
      </c>
      <c r="H32" s="97"/>
    </row>
    <row r="33" spans="1:8" x14ac:dyDescent="0.2">
      <c r="A33" s="5">
        <v>27</v>
      </c>
      <c r="B33" s="6" t="s">
        <v>556</v>
      </c>
      <c r="C33" s="6" t="s">
        <v>557</v>
      </c>
      <c r="D33" s="6" t="s">
        <v>48</v>
      </c>
      <c r="E33" s="7">
        <v>54297</v>
      </c>
      <c r="F33" s="8">
        <v>405.40855049999999</v>
      </c>
      <c r="G33" s="9">
        <v>1.3010425000000001E-2</v>
      </c>
      <c r="H33" s="97"/>
    </row>
    <row r="34" spans="1:8" x14ac:dyDescent="0.2">
      <c r="A34" s="5">
        <v>28</v>
      </c>
      <c r="B34" s="6" t="s">
        <v>152</v>
      </c>
      <c r="C34" s="6" t="s">
        <v>153</v>
      </c>
      <c r="D34" s="6" t="s">
        <v>1184</v>
      </c>
      <c r="E34" s="7">
        <v>33694</v>
      </c>
      <c r="F34" s="8">
        <v>398.27992699999999</v>
      </c>
      <c r="G34" s="9">
        <v>1.2781651999999999E-2</v>
      </c>
      <c r="H34" s="97"/>
    </row>
    <row r="35" spans="1:8" ht="25.5" x14ac:dyDescent="0.2">
      <c r="A35" s="5">
        <v>29</v>
      </c>
      <c r="B35" s="6" t="s">
        <v>177</v>
      </c>
      <c r="C35" s="6" t="s">
        <v>178</v>
      </c>
      <c r="D35" s="6" t="s">
        <v>1185</v>
      </c>
      <c r="E35" s="7">
        <v>174815</v>
      </c>
      <c r="F35" s="8">
        <v>395.69375250000002</v>
      </c>
      <c r="G35" s="9">
        <v>1.2698655999999999E-2</v>
      </c>
      <c r="H35" s="97"/>
    </row>
    <row r="36" spans="1:8" x14ac:dyDescent="0.2">
      <c r="A36" s="5">
        <v>30</v>
      </c>
      <c r="B36" s="6" t="s">
        <v>606</v>
      </c>
      <c r="C36" s="6" t="s">
        <v>607</v>
      </c>
      <c r="D36" s="6" t="s">
        <v>19</v>
      </c>
      <c r="E36" s="7">
        <v>40294</v>
      </c>
      <c r="F36" s="8">
        <v>395.54605099999998</v>
      </c>
      <c r="G36" s="9">
        <v>1.2693916E-2</v>
      </c>
      <c r="H36" s="97"/>
    </row>
    <row r="37" spans="1:8" x14ac:dyDescent="0.2">
      <c r="A37" s="5">
        <v>31</v>
      </c>
      <c r="B37" s="6" t="s">
        <v>181</v>
      </c>
      <c r="C37" s="6" t="s">
        <v>182</v>
      </c>
      <c r="D37" s="6" t="s">
        <v>1189</v>
      </c>
      <c r="E37" s="7">
        <v>46000</v>
      </c>
      <c r="F37" s="8">
        <v>393.92099999999999</v>
      </c>
      <c r="G37" s="9">
        <v>1.2641764999999999E-2</v>
      </c>
      <c r="H37" s="97"/>
    </row>
    <row r="38" spans="1:8" x14ac:dyDescent="0.2">
      <c r="A38" s="5">
        <v>32</v>
      </c>
      <c r="B38" s="6" t="s">
        <v>179</v>
      </c>
      <c r="C38" s="6" t="s">
        <v>180</v>
      </c>
      <c r="D38" s="6" t="s">
        <v>53</v>
      </c>
      <c r="E38" s="7">
        <v>387038</v>
      </c>
      <c r="F38" s="8">
        <v>389.16670900000003</v>
      </c>
      <c r="G38" s="9">
        <v>1.2489188999999999E-2</v>
      </c>
      <c r="H38" s="97"/>
    </row>
    <row r="39" spans="1:8" x14ac:dyDescent="0.2">
      <c r="A39" s="5">
        <v>33</v>
      </c>
      <c r="B39" s="6" t="s">
        <v>198</v>
      </c>
      <c r="C39" s="6" t="s">
        <v>199</v>
      </c>
      <c r="D39" s="6" t="s">
        <v>70</v>
      </c>
      <c r="E39" s="7">
        <v>42388</v>
      </c>
      <c r="F39" s="8">
        <v>377.80424399999998</v>
      </c>
      <c r="G39" s="9">
        <v>1.2124543999999999E-2</v>
      </c>
      <c r="H39" s="97"/>
    </row>
    <row r="40" spans="1:8" x14ac:dyDescent="0.2">
      <c r="A40" s="5">
        <v>34</v>
      </c>
      <c r="B40" s="6" t="s">
        <v>578</v>
      </c>
      <c r="C40" s="6" t="s">
        <v>579</v>
      </c>
      <c r="D40" s="6" t="s">
        <v>70</v>
      </c>
      <c r="E40" s="7">
        <v>37170</v>
      </c>
      <c r="F40" s="8">
        <v>376.104645</v>
      </c>
      <c r="G40" s="9">
        <v>1.2070000000000001E-2</v>
      </c>
      <c r="H40" s="97"/>
    </row>
    <row r="41" spans="1:8" x14ac:dyDescent="0.2">
      <c r="A41" s="5">
        <v>35</v>
      </c>
      <c r="B41" s="6" t="s">
        <v>186</v>
      </c>
      <c r="C41" s="6" t="s">
        <v>187</v>
      </c>
      <c r="D41" s="6" t="s">
        <v>19</v>
      </c>
      <c r="E41" s="7">
        <v>18641</v>
      </c>
      <c r="F41" s="8">
        <v>370.6110415</v>
      </c>
      <c r="G41" s="9">
        <v>1.1893697999999999E-2</v>
      </c>
      <c r="H41" s="97"/>
    </row>
    <row r="42" spans="1:8" ht="25.5" x14ac:dyDescent="0.2">
      <c r="A42" s="5">
        <v>36</v>
      </c>
      <c r="B42" s="6" t="s">
        <v>200</v>
      </c>
      <c r="C42" s="6" t="s">
        <v>201</v>
      </c>
      <c r="D42" s="6" t="s">
        <v>202</v>
      </c>
      <c r="E42" s="7">
        <v>86680</v>
      </c>
      <c r="F42" s="8">
        <v>353.56772000000001</v>
      </c>
      <c r="G42" s="9">
        <v>1.1346742E-2</v>
      </c>
      <c r="H42" s="97"/>
    </row>
    <row r="43" spans="1:8" x14ac:dyDescent="0.2">
      <c r="A43" s="5">
        <v>37</v>
      </c>
      <c r="B43" s="6" t="s">
        <v>282</v>
      </c>
      <c r="C43" s="6" t="s">
        <v>283</v>
      </c>
      <c r="D43" s="6" t="s">
        <v>284</v>
      </c>
      <c r="E43" s="7">
        <v>140250</v>
      </c>
      <c r="F43" s="8">
        <v>352.65862499999997</v>
      </c>
      <c r="G43" s="9">
        <v>1.1317567000000001E-2</v>
      </c>
      <c r="H43" s="97"/>
    </row>
    <row r="44" spans="1:8" x14ac:dyDescent="0.2">
      <c r="A44" s="5">
        <v>38</v>
      </c>
      <c r="B44" s="6" t="s">
        <v>194</v>
      </c>
      <c r="C44" s="6" t="s">
        <v>195</v>
      </c>
      <c r="D44" s="6" t="s">
        <v>53</v>
      </c>
      <c r="E44" s="7">
        <v>34149</v>
      </c>
      <c r="F44" s="8">
        <v>336.48717149999999</v>
      </c>
      <c r="G44" s="9">
        <v>1.0798591E-2</v>
      </c>
      <c r="H44" s="97"/>
    </row>
    <row r="45" spans="1:8" x14ac:dyDescent="0.2">
      <c r="A45" s="5">
        <v>39</v>
      </c>
      <c r="B45" s="6" t="s">
        <v>205</v>
      </c>
      <c r="C45" s="6" t="s">
        <v>206</v>
      </c>
      <c r="D45" s="6" t="s">
        <v>1187</v>
      </c>
      <c r="E45" s="7">
        <v>58653</v>
      </c>
      <c r="F45" s="8">
        <v>329.83514550000001</v>
      </c>
      <c r="G45" s="9">
        <v>1.0585113E-2</v>
      </c>
      <c r="H45" s="97"/>
    </row>
    <row r="46" spans="1:8" x14ac:dyDescent="0.2">
      <c r="A46" s="5">
        <v>40</v>
      </c>
      <c r="B46" s="6" t="s">
        <v>188</v>
      </c>
      <c r="C46" s="6" t="s">
        <v>189</v>
      </c>
      <c r="D46" s="6" t="s">
        <v>190</v>
      </c>
      <c r="E46" s="7">
        <v>70561</v>
      </c>
      <c r="F46" s="8">
        <v>324.54531950000001</v>
      </c>
      <c r="G46" s="9">
        <v>1.0415351E-2</v>
      </c>
      <c r="H46" s="97"/>
    </row>
    <row r="47" spans="1:8" x14ac:dyDescent="0.2">
      <c r="A47" s="5">
        <v>41</v>
      </c>
      <c r="B47" s="6" t="s">
        <v>363</v>
      </c>
      <c r="C47" s="6" t="s">
        <v>364</v>
      </c>
      <c r="D47" s="6" t="s">
        <v>238</v>
      </c>
      <c r="E47" s="7">
        <v>8487</v>
      </c>
      <c r="F47" s="8">
        <v>321.49604699999998</v>
      </c>
      <c r="G47" s="9">
        <v>1.0317494E-2</v>
      </c>
      <c r="H47" s="97"/>
    </row>
    <row r="48" spans="1:8" x14ac:dyDescent="0.2">
      <c r="A48" s="5">
        <v>42</v>
      </c>
      <c r="B48" s="6" t="s">
        <v>183</v>
      </c>
      <c r="C48" s="6" t="s">
        <v>184</v>
      </c>
      <c r="D48" s="6" t="s">
        <v>185</v>
      </c>
      <c r="E48" s="7">
        <v>24941</v>
      </c>
      <c r="F48" s="8">
        <v>320.10526449999998</v>
      </c>
      <c r="G48" s="9">
        <v>1.027286E-2</v>
      </c>
      <c r="H48" s="97"/>
    </row>
    <row r="49" spans="1:8" x14ac:dyDescent="0.2">
      <c r="A49" s="5">
        <v>43</v>
      </c>
      <c r="B49" s="6" t="s">
        <v>608</v>
      </c>
      <c r="C49" s="6" t="s">
        <v>609</v>
      </c>
      <c r="D49" s="6" t="s">
        <v>586</v>
      </c>
      <c r="E49" s="7">
        <v>31437</v>
      </c>
      <c r="F49" s="8">
        <v>317.13645600000001</v>
      </c>
      <c r="G49" s="9">
        <v>1.0177584999999999E-2</v>
      </c>
      <c r="H49" s="97"/>
    </row>
    <row r="50" spans="1:8" x14ac:dyDescent="0.2">
      <c r="A50" s="5">
        <v>44</v>
      </c>
      <c r="B50" s="6" t="s">
        <v>30</v>
      </c>
      <c r="C50" s="6" t="s">
        <v>31</v>
      </c>
      <c r="D50" s="6" t="s">
        <v>19</v>
      </c>
      <c r="E50" s="7">
        <v>9410</v>
      </c>
      <c r="F50" s="8">
        <v>315.616105</v>
      </c>
      <c r="G50" s="9">
        <v>1.0128794E-2</v>
      </c>
      <c r="H50" s="97"/>
    </row>
    <row r="51" spans="1:8" x14ac:dyDescent="0.2">
      <c r="A51" s="5">
        <v>45</v>
      </c>
      <c r="B51" s="6" t="s">
        <v>209</v>
      </c>
      <c r="C51" s="6" t="s">
        <v>210</v>
      </c>
      <c r="D51" s="6" t="s">
        <v>193</v>
      </c>
      <c r="E51" s="7">
        <v>58282</v>
      </c>
      <c r="F51" s="8">
        <v>314.08169800000002</v>
      </c>
      <c r="G51" s="9">
        <v>1.0079551000000001E-2</v>
      </c>
      <c r="H51" s="97"/>
    </row>
    <row r="52" spans="1:8" x14ac:dyDescent="0.2">
      <c r="A52" s="5">
        <v>46</v>
      </c>
      <c r="B52" s="6" t="s">
        <v>267</v>
      </c>
      <c r="C52" s="6" t="s">
        <v>268</v>
      </c>
      <c r="D52" s="6" t="s">
        <v>19</v>
      </c>
      <c r="E52" s="7">
        <v>84528</v>
      </c>
      <c r="F52" s="8">
        <v>309.92191200000002</v>
      </c>
      <c r="G52" s="9">
        <v>9.9460550000000005E-3</v>
      </c>
      <c r="H52" s="97"/>
    </row>
    <row r="53" spans="1:8" x14ac:dyDescent="0.2">
      <c r="A53" s="5">
        <v>47</v>
      </c>
      <c r="B53" s="6" t="s">
        <v>259</v>
      </c>
      <c r="C53" s="6" t="s">
        <v>260</v>
      </c>
      <c r="D53" s="6" t="s">
        <v>34</v>
      </c>
      <c r="E53" s="7">
        <v>81720</v>
      </c>
      <c r="F53" s="8">
        <v>306.08226000000002</v>
      </c>
      <c r="G53" s="9">
        <v>9.8228320000000001E-3</v>
      </c>
      <c r="H53" s="97"/>
    </row>
    <row r="54" spans="1:8" ht="25.5" x14ac:dyDescent="0.2">
      <c r="A54" s="5">
        <v>48</v>
      </c>
      <c r="B54" s="6" t="s">
        <v>211</v>
      </c>
      <c r="C54" s="6" t="s">
        <v>212</v>
      </c>
      <c r="D54" s="6" t="s">
        <v>202</v>
      </c>
      <c r="E54" s="7">
        <v>65469</v>
      </c>
      <c r="F54" s="8">
        <v>295.49433149999999</v>
      </c>
      <c r="G54" s="9">
        <v>9.483043E-3</v>
      </c>
      <c r="H54" s="97"/>
    </row>
    <row r="55" spans="1:8" ht="25.5" x14ac:dyDescent="0.2">
      <c r="A55" s="5">
        <v>49</v>
      </c>
      <c r="B55" s="6" t="s">
        <v>248</v>
      </c>
      <c r="C55" s="6" t="s">
        <v>249</v>
      </c>
      <c r="D55" s="6" t="s">
        <v>202</v>
      </c>
      <c r="E55" s="7">
        <v>68454</v>
      </c>
      <c r="F55" s="8">
        <v>293.838795</v>
      </c>
      <c r="G55" s="9">
        <v>9.4299129999999998E-3</v>
      </c>
      <c r="H55" s="97"/>
    </row>
    <row r="56" spans="1:8" x14ac:dyDescent="0.2">
      <c r="A56" s="5">
        <v>50</v>
      </c>
      <c r="B56" s="6" t="s">
        <v>218</v>
      </c>
      <c r="C56" s="6" t="s">
        <v>219</v>
      </c>
      <c r="D56" s="6" t="s">
        <v>193</v>
      </c>
      <c r="E56" s="7">
        <v>16433</v>
      </c>
      <c r="F56" s="8">
        <v>292.458101</v>
      </c>
      <c r="G56" s="9">
        <v>9.3856040000000005E-3</v>
      </c>
      <c r="H56" s="97"/>
    </row>
    <row r="57" spans="1:8" x14ac:dyDescent="0.2">
      <c r="A57" s="5">
        <v>51</v>
      </c>
      <c r="B57" s="6" t="s">
        <v>216</v>
      </c>
      <c r="C57" s="6" t="s">
        <v>217</v>
      </c>
      <c r="D57" s="6" t="s">
        <v>1184</v>
      </c>
      <c r="E57" s="7">
        <v>17701</v>
      </c>
      <c r="F57" s="8">
        <v>280.17142799999999</v>
      </c>
      <c r="G57" s="9">
        <v>8.991298E-3</v>
      </c>
      <c r="H57" s="97"/>
    </row>
    <row r="58" spans="1:8" x14ac:dyDescent="0.2">
      <c r="A58" s="5">
        <v>52</v>
      </c>
      <c r="B58" s="6" t="s">
        <v>236</v>
      </c>
      <c r="C58" s="6" t="s">
        <v>237</v>
      </c>
      <c r="D58" s="6" t="s">
        <v>238</v>
      </c>
      <c r="E58" s="7">
        <v>73821</v>
      </c>
      <c r="F58" s="8">
        <v>270.55396500000001</v>
      </c>
      <c r="G58" s="9">
        <v>8.6826539999999997E-3</v>
      </c>
      <c r="H58" s="97"/>
    </row>
    <row r="59" spans="1:8" x14ac:dyDescent="0.2">
      <c r="A59" s="5">
        <v>53</v>
      </c>
      <c r="B59" s="6" t="s">
        <v>175</v>
      </c>
      <c r="C59" s="6" t="s">
        <v>176</v>
      </c>
      <c r="D59" s="6" t="s">
        <v>16</v>
      </c>
      <c r="E59" s="7">
        <v>91543</v>
      </c>
      <c r="F59" s="8">
        <v>267.62596050000002</v>
      </c>
      <c r="G59" s="9">
        <v>8.5886880000000006E-3</v>
      </c>
      <c r="H59" s="97"/>
    </row>
    <row r="60" spans="1:8" x14ac:dyDescent="0.2">
      <c r="A60" s="5">
        <v>54</v>
      </c>
      <c r="B60" s="6" t="s">
        <v>170</v>
      </c>
      <c r="C60" s="6" t="s">
        <v>171</v>
      </c>
      <c r="D60" s="6" t="s">
        <v>70</v>
      </c>
      <c r="E60" s="7">
        <v>27062</v>
      </c>
      <c r="F60" s="8">
        <v>263.25913600000001</v>
      </c>
      <c r="G60" s="9">
        <v>8.4485470000000007E-3</v>
      </c>
      <c r="H60" s="97"/>
    </row>
    <row r="61" spans="1:8" ht="25.5" x14ac:dyDescent="0.2">
      <c r="A61" s="5">
        <v>55</v>
      </c>
      <c r="B61" s="6" t="s">
        <v>207</v>
      </c>
      <c r="C61" s="6" t="s">
        <v>208</v>
      </c>
      <c r="D61" s="6" t="s">
        <v>45</v>
      </c>
      <c r="E61" s="7">
        <v>116365</v>
      </c>
      <c r="F61" s="8">
        <v>258.679395</v>
      </c>
      <c r="G61" s="9">
        <v>8.3015729999999996E-3</v>
      </c>
      <c r="H61" s="97"/>
    </row>
    <row r="62" spans="1:8" x14ac:dyDescent="0.2">
      <c r="A62" s="5">
        <v>56</v>
      </c>
      <c r="B62" s="6" t="s">
        <v>271</v>
      </c>
      <c r="C62" s="6" t="s">
        <v>272</v>
      </c>
      <c r="D62" s="6" t="s">
        <v>19</v>
      </c>
      <c r="E62" s="7">
        <v>23852</v>
      </c>
      <c r="F62" s="8">
        <v>258.42449399999998</v>
      </c>
      <c r="G62" s="9">
        <v>8.2933929999999996E-3</v>
      </c>
      <c r="H62" s="97"/>
    </row>
    <row r="63" spans="1:8" x14ac:dyDescent="0.2">
      <c r="A63" s="5">
        <v>57</v>
      </c>
      <c r="B63" s="6" t="s">
        <v>222</v>
      </c>
      <c r="C63" s="6" t="s">
        <v>223</v>
      </c>
      <c r="D63" s="6" t="s">
        <v>70</v>
      </c>
      <c r="E63" s="7">
        <v>92539</v>
      </c>
      <c r="F63" s="8">
        <v>243.747726</v>
      </c>
      <c r="G63" s="9">
        <v>7.8223839999999999E-3</v>
      </c>
      <c r="H63" s="97"/>
    </row>
    <row r="64" spans="1:8" ht="25.5" x14ac:dyDescent="0.2">
      <c r="A64" s="5">
        <v>58</v>
      </c>
      <c r="B64" s="6" t="s">
        <v>226</v>
      </c>
      <c r="C64" s="6" t="s">
        <v>227</v>
      </c>
      <c r="D64" s="6" t="s">
        <v>1191</v>
      </c>
      <c r="E64" s="7">
        <v>265375</v>
      </c>
      <c r="F64" s="8">
        <v>235.52031249999999</v>
      </c>
      <c r="G64" s="9">
        <v>7.5583489999999998E-3</v>
      </c>
      <c r="H64" s="97"/>
    </row>
    <row r="65" spans="1:8" x14ac:dyDescent="0.2">
      <c r="A65" s="5">
        <v>59</v>
      </c>
      <c r="B65" s="6" t="s">
        <v>261</v>
      </c>
      <c r="C65" s="6" t="s">
        <v>262</v>
      </c>
      <c r="D65" s="6" t="s">
        <v>238</v>
      </c>
      <c r="E65" s="7">
        <v>29548</v>
      </c>
      <c r="F65" s="8">
        <v>214.710542</v>
      </c>
      <c r="G65" s="9">
        <v>6.8905190000000003E-3</v>
      </c>
      <c r="H65" s="97"/>
    </row>
    <row r="66" spans="1:8" x14ac:dyDescent="0.2">
      <c r="A66" s="5">
        <v>60</v>
      </c>
      <c r="B66" s="6" t="s">
        <v>256</v>
      </c>
      <c r="C66" s="6" t="s">
        <v>257</v>
      </c>
      <c r="D66" s="6" t="s">
        <v>238</v>
      </c>
      <c r="E66" s="7">
        <v>33763</v>
      </c>
      <c r="F66" s="8">
        <v>210.90057949999999</v>
      </c>
      <c r="G66" s="9">
        <v>6.7682489999999996E-3</v>
      </c>
      <c r="H66" s="97"/>
    </row>
    <row r="67" spans="1:8" x14ac:dyDescent="0.2">
      <c r="A67" s="5">
        <v>61</v>
      </c>
      <c r="B67" s="6" t="s">
        <v>289</v>
      </c>
      <c r="C67" s="6" t="s">
        <v>290</v>
      </c>
      <c r="D67" s="6" t="s">
        <v>174</v>
      </c>
      <c r="E67" s="7">
        <v>30413</v>
      </c>
      <c r="F67" s="8">
        <v>196.16385</v>
      </c>
      <c r="G67" s="9">
        <v>6.2953159999999996E-3</v>
      </c>
      <c r="H67" s="97"/>
    </row>
    <row r="68" spans="1:8" ht="25.5" x14ac:dyDescent="0.2">
      <c r="A68" s="5">
        <v>62</v>
      </c>
      <c r="B68" s="6" t="s">
        <v>214</v>
      </c>
      <c r="C68" s="6" t="s">
        <v>215</v>
      </c>
      <c r="D68" s="6" t="s">
        <v>70</v>
      </c>
      <c r="E68" s="7">
        <v>9707</v>
      </c>
      <c r="F68" s="8">
        <v>191.75207800000001</v>
      </c>
      <c r="G68" s="9">
        <v>6.1537329999999998E-3</v>
      </c>
      <c r="H68" s="97"/>
    </row>
    <row r="69" spans="1:8" x14ac:dyDescent="0.2">
      <c r="A69" s="5">
        <v>63</v>
      </c>
      <c r="B69" s="6" t="s">
        <v>287</v>
      </c>
      <c r="C69" s="6" t="s">
        <v>288</v>
      </c>
      <c r="D69" s="6" t="s">
        <v>147</v>
      </c>
      <c r="E69" s="7">
        <v>14757</v>
      </c>
      <c r="F69" s="8">
        <v>191.33926199999999</v>
      </c>
      <c r="G69" s="9">
        <v>6.1404850000000002E-3</v>
      </c>
      <c r="H69" s="97"/>
    </row>
    <row r="70" spans="1:8" x14ac:dyDescent="0.2">
      <c r="A70" s="5">
        <v>64</v>
      </c>
      <c r="B70" s="6" t="s">
        <v>230</v>
      </c>
      <c r="C70" s="6" t="s">
        <v>231</v>
      </c>
      <c r="D70" s="6" t="s">
        <v>60</v>
      </c>
      <c r="E70" s="7">
        <v>22179</v>
      </c>
      <c r="F70" s="8">
        <v>186.037452</v>
      </c>
      <c r="G70" s="9">
        <v>5.9703380000000004E-3</v>
      </c>
      <c r="H70" s="97"/>
    </row>
    <row r="71" spans="1:8" x14ac:dyDescent="0.2">
      <c r="A71" s="5">
        <v>65</v>
      </c>
      <c r="B71" s="6" t="s">
        <v>610</v>
      </c>
      <c r="C71" s="6" t="s">
        <v>611</v>
      </c>
      <c r="D71" s="6" t="s">
        <v>81</v>
      </c>
      <c r="E71" s="7">
        <v>30109</v>
      </c>
      <c r="F71" s="8">
        <v>180.00665649999999</v>
      </c>
      <c r="G71" s="9">
        <v>5.7767970000000002E-3</v>
      </c>
      <c r="H71" s="97"/>
    </row>
    <row r="72" spans="1:8" x14ac:dyDescent="0.2">
      <c r="A72" s="5">
        <v>66</v>
      </c>
      <c r="B72" s="6" t="s">
        <v>245</v>
      </c>
      <c r="C72" s="6" t="s">
        <v>246</v>
      </c>
      <c r="D72" s="6" t="s">
        <v>247</v>
      </c>
      <c r="E72" s="7">
        <v>81931</v>
      </c>
      <c r="F72" s="8">
        <v>178.60957999999999</v>
      </c>
      <c r="G72" s="9">
        <v>5.7319620000000002E-3</v>
      </c>
      <c r="H72" s="97"/>
    </row>
    <row r="73" spans="1:8" x14ac:dyDescent="0.2">
      <c r="A73" s="5">
        <v>67</v>
      </c>
      <c r="B73" s="6" t="s">
        <v>232</v>
      </c>
      <c r="C73" s="6" t="s">
        <v>233</v>
      </c>
      <c r="D73" s="6" t="s">
        <v>193</v>
      </c>
      <c r="E73" s="7">
        <v>3290</v>
      </c>
      <c r="F73" s="8">
        <v>175.63336000000001</v>
      </c>
      <c r="G73" s="9">
        <v>5.636449E-3</v>
      </c>
      <c r="H73" s="97"/>
    </row>
    <row r="74" spans="1:8" x14ac:dyDescent="0.2">
      <c r="A74" s="5">
        <v>68</v>
      </c>
      <c r="B74" s="6" t="s">
        <v>239</v>
      </c>
      <c r="C74" s="6" t="s">
        <v>240</v>
      </c>
      <c r="D74" s="6" t="s">
        <v>25</v>
      </c>
      <c r="E74" s="7">
        <v>216684</v>
      </c>
      <c r="F74" s="8">
        <v>170.313624</v>
      </c>
      <c r="G74" s="9">
        <v>5.4657270000000001E-3</v>
      </c>
      <c r="H74" s="97"/>
    </row>
    <row r="75" spans="1:8" x14ac:dyDescent="0.2">
      <c r="A75" s="5">
        <v>69</v>
      </c>
      <c r="B75" s="6" t="s">
        <v>298</v>
      </c>
      <c r="C75" s="6" t="s">
        <v>299</v>
      </c>
      <c r="D75" s="6" t="s">
        <v>1187</v>
      </c>
      <c r="E75" s="7">
        <v>402399</v>
      </c>
      <c r="F75" s="8">
        <v>156.93561</v>
      </c>
      <c r="G75" s="9">
        <v>5.0363980000000001E-3</v>
      </c>
      <c r="H75" s="97"/>
    </row>
    <row r="76" spans="1:8" x14ac:dyDescent="0.2">
      <c r="A76" s="5">
        <v>70</v>
      </c>
      <c r="B76" s="6" t="s">
        <v>92</v>
      </c>
      <c r="C76" s="6" t="s">
        <v>93</v>
      </c>
      <c r="D76" s="6" t="s">
        <v>53</v>
      </c>
      <c r="E76" s="7">
        <v>172875</v>
      </c>
      <c r="F76" s="8">
        <v>148.7589375</v>
      </c>
      <c r="G76" s="9">
        <v>4.773991E-3</v>
      </c>
      <c r="H76" s="97"/>
    </row>
    <row r="77" spans="1:8" x14ac:dyDescent="0.2">
      <c r="A77" s="5">
        <v>71</v>
      </c>
      <c r="B77" s="6" t="s">
        <v>250</v>
      </c>
      <c r="C77" s="6" t="s">
        <v>251</v>
      </c>
      <c r="D77" s="6" t="s">
        <v>193</v>
      </c>
      <c r="E77" s="7">
        <v>53264</v>
      </c>
      <c r="F77" s="8">
        <v>146.98200800000001</v>
      </c>
      <c r="G77" s="9">
        <v>4.7169660000000004E-3</v>
      </c>
      <c r="H77" s="97"/>
    </row>
    <row r="78" spans="1:8" x14ac:dyDescent="0.2">
      <c r="A78" s="5">
        <v>72</v>
      </c>
      <c r="B78" s="6" t="s">
        <v>241</v>
      </c>
      <c r="C78" s="6" t="s">
        <v>242</v>
      </c>
      <c r="D78" s="6" t="s">
        <v>147</v>
      </c>
      <c r="E78" s="7">
        <v>31018</v>
      </c>
      <c r="F78" s="8">
        <v>146.684122</v>
      </c>
      <c r="G78" s="9">
        <v>4.7074059999999999E-3</v>
      </c>
      <c r="H78" s="97"/>
    </row>
    <row r="79" spans="1:8" x14ac:dyDescent="0.2">
      <c r="A79" s="5">
        <v>73</v>
      </c>
      <c r="B79" s="6" t="s">
        <v>243</v>
      </c>
      <c r="C79" s="6" t="s">
        <v>244</v>
      </c>
      <c r="D79" s="6" t="s">
        <v>185</v>
      </c>
      <c r="E79" s="7">
        <v>25075</v>
      </c>
      <c r="F79" s="8">
        <v>138.53937500000001</v>
      </c>
      <c r="G79" s="9">
        <v>4.4460239999999998E-3</v>
      </c>
      <c r="H79" s="97"/>
    </row>
    <row r="80" spans="1:8" x14ac:dyDescent="0.2">
      <c r="A80" s="5">
        <v>74</v>
      </c>
      <c r="B80" s="6" t="s">
        <v>228</v>
      </c>
      <c r="C80" s="6" t="s">
        <v>229</v>
      </c>
      <c r="D80" s="6" t="s">
        <v>327</v>
      </c>
      <c r="E80" s="7">
        <v>15493</v>
      </c>
      <c r="F80" s="8">
        <v>131.427119</v>
      </c>
      <c r="G80" s="9">
        <v>4.2177760000000003E-3</v>
      </c>
      <c r="H80" s="97"/>
    </row>
    <row r="81" spans="1:8" x14ac:dyDescent="0.2">
      <c r="A81" s="5">
        <v>75</v>
      </c>
      <c r="B81" s="6" t="s">
        <v>254</v>
      </c>
      <c r="C81" s="6" t="s">
        <v>255</v>
      </c>
      <c r="D81" s="6" t="s">
        <v>185</v>
      </c>
      <c r="E81" s="7">
        <v>9638</v>
      </c>
      <c r="F81" s="8">
        <v>100.505064</v>
      </c>
      <c r="G81" s="9">
        <v>3.2254219999999999E-3</v>
      </c>
      <c r="H81" s="97"/>
    </row>
    <row r="82" spans="1:8" x14ac:dyDescent="0.2">
      <c r="A82" s="3"/>
      <c r="B82" s="3"/>
      <c r="C82" s="4" t="s">
        <v>97</v>
      </c>
      <c r="D82" s="3"/>
      <c r="E82" s="3" t="s">
        <v>98</v>
      </c>
      <c r="F82" s="11">
        <v>29996.598039500001</v>
      </c>
      <c r="G82" s="12">
        <v>0.96265478000000004</v>
      </c>
      <c r="H82" s="97"/>
    </row>
    <row r="83" spans="1:8" x14ac:dyDescent="0.2">
      <c r="A83" s="3"/>
      <c r="B83" s="3"/>
      <c r="C83" s="13"/>
      <c r="D83" s="3"/>
      <c r="E83" s="3"/>
      <c r="F83" s="14"/>
      <c r="G83" s="14"/>
      <c r="H83" s="97"/>
    </row>
    <row r="84" spans="1:8" x14ac:dyDescent="0.2">
      <c r="A84" s="3"/>
      <c r="B84" s="3"/>
      <c r="C84" s="4" t="s">
        <v>99</v>
      </c>
      <c r="D84" s="3"/>
      <c r="E84" s="3"/>
      <c r="F84" s="3"/>
      <c r="G84" s="3"/>
      <c r="H84" s="97"/>
    </row>
    <row r="85" spans="1:8" x14ac:dyDescent="0.2">
      <c r="A85" s="3"/>
      <c r="B85" s="3"/>
      <c r="C85" s="4" t="s">
        <v>97</v>
      </c>
      <c r="D85" s="3"/>
      <c r="E85" s="3" t="s">
        <v>98</v>
      </c>
      <c r="F85" s="15">
        <v>0</v>
      </c>
      <c r="G85" s="16">
        <v>0</v>
      </c>
      <c r="H85" s="97"/>
    </row>
    <row r="86" spans="1:8" x14ac:dyDescent="0.2">
      <c r="A86" s="3"/>
      <c r="B86" s="3"/>
      <c r="C86" s="13"/>
      <c r="D86" s="3"/>
      <c r="E86" s="3"/>
      <c r="F86" s="14"/>
      <c r="G86" s="14"/>
      <c r="H86" s="97"/>
    </row>
    <row r="87" spans="1:8" x14ac:dyDescent="0.2">
      <c r="A87" s="3"/>
      <c r="B87" s="3"/>
      <c r="C87" s="4" t="s">
        <v>100</v>
      </c>
      <c r="D87" s="3"/>
      <c r="E87" s="3"/>
      <c r="F87" s="3"/>
      <c r="G87" s="3"/>
      <c r="H87" s="97"/>
    </row>
    <row r="88" spans="1:8" x14ac:dyDescent="0.2">
      <c r="A88" s="3"/>
      <c r="B88" s="3"/>
      <c r="C88" s="4" t="s">
        <v>97</v>
      </c>
      <c r="D88" s="3"/>
      <c r="E88" s="3" t="s">
        <v>98</v>
      </c>
      <c r="F88" s="15">
        <v>0</v>
      </c>
      <c r="G88" s="16">
        <v>0</v>
      </c>
      <c r="H88" s="97"/>
    </row>
    <row r="89" spans="1:8" x14ac:dyDescent="0.2">
      <c r="A89" s="3"/>
      <c r="B89" s="3"/>
      <c r="C89" s="13"/>
      <c r="D89" s="3"/>
      <c r="E89" s="3"/>
      <c r="F89" s="14"/>
      <c r="G89" s="14"/>
      <c r="H89" s="97"/>
    </row>
    <row r="90" spans="1:8" x14ac:dyDescent="0.2">
      <c r="A90" s="3"/>
      <c r="B90" s="3"/>
      <c r="C90" s="4" t="s">
        <v>101</v>
      </c>
      <c r="D90" s="3"/>
      <c r="E90" s="3"/>
      <c r="F90" s="3"/>
      <c r="G90" s="3"/>
      <c r="H90" s="97"/>
    </row>
    <row r="91" spans="1:8" x14ac:dyDescent="0.2">
      <c r="A91" s="3"/>
      <c r="B91" s="3"/>
      <c r="C91" s="4" t="s">
        <v>97</v>
      </c>
      <c r="D91" s="3"/>
      <c r="E91" s="3" t="s">
        <v>98</v>
      </c>
      <c r="F91" s="15">
        <v>0</v>
      </c>
      <c r="G91" s="16">
        <v>0</v>
      </c>
      <c r="H91" s="97"/>
    </row>
    <row r="92" spans="1:8" x14ac:dyDescent="0.2">
      <c r="A92" s="3"/>
      <c r="B92" s="3"/>
      <c r="C92" s="13"/>
      <c r="D92" s="3"/>
      <c r="E92" s="3"/>
      <c r="F92" s="14"/>
      <c r="G92" s="14"/>
      <c r="H92" s="97"/>
    </row>
    <row r="93" spans="1:8" x14ac:dyDescent="0.2">
      <c r="A93" s="3"/>
      <c r="B93" s="3"/>
      <c r="C93" s="4" t="s">
        <v>102</v>
      </c>
      <c r="D93" s="3"/>
      <c r="E93" s="3"/>
      <c r="F93" s="14"/>
      <c r="G93" s="14"/>
      <c r="H93" s="97"/>
    </row>
    <row r="94" spans="1:8" x14ac:dyDescent="0.2">
      <c r="A94" s="3"/>
      <c r="B94" s="3"/>
      <c r="C94" s="4" t="s">
        <v>97</v>
      </c>
      <c r="D94" s="3"/>
      <c r="E94" s="3" t="s">
        <v>98</v>
      </c>
      <c r="F94" s="15">
        <v>0</v>
      </c>
      <c r="G94" s="16">
        <v>0</v>
      </c>
      <c r="H94" s="97"/>
    </row>
    <row r="95" spans="1:8" x14ac:dyDescent="0.2">
      <c r="A95" s="3"/>
      <c r="B95" s="3"/>
      <c r="C95" s="13"/>
      <c r="D95" s="3"/>
      <c r="E95" s="3"/>
      <c r="F95" s="14"/>
      <c r="G95" s="14"/>
      <c r="H95" s="97"/>
    </row>
    <row r="96" spans="1:8" x14ac:dyDescent="0.2">
      <c r="A96" s="3"/>
      <c r="B96" s="3"/>
      <c r="C96" s="4" t="s">
        <v>103</v>
      </c>
      <c r="D96" s="3"/>
      <c r="E96" s="3"/>
      <c r="F96" s="14"/>
      <c r="G96" s="14"/>
      <c r="H96" s="97"/>
    </row>
    <row r="97" spans="1:8" x14ac:dyDescent="0.2">
      <c r="A97" s="3"/>
      <c r="B97" s="3"/>
      <c r="C97" s="4" t="s">
        <v>97</v>
      </c>
      <c r="D97" s="3"/>
      <c r="E97" s="3" t="s">
        <v>98</v>
      </c>
      <c r="F97" s="15">
        <v>0</v>
      </c>
      <c r="G97" s="16">
        <v>0</v>
      </c>
      <c r="H97" s="97"/>
    </row>
    <row r="98" spans="1:8" x14ac:dyDescent="0.2">
      <c r="A98" s="3"/>
      <c r="B98" s="3"/>
      <c r="C98" s="13"/>
      <c r="D98" s="3"/>
      <c r="E98" s="3"/>
      <c r="F98" s="14"/>
      <c r="G98" s="14"/>
      <c r="H98" s="97"/>
    </row>
    <row r="99" spans="1:8" x14ac:dyDescent="0.2">
      <c r="A99" s="3"/>
      <c r="B99" s="3"/>
      <c r="C99" s="4" t="s">
        <v>104</v>
      </c>
      <c r="D99" s="3"/>
      <c r="E99" s="3"/>
      <c r="F99" s="11">
        <v>29996.598039500001</v>
      </c>
      <c r="G99" s="12">
        <v>0.96265478000000004</v>
      </c>
      <c r="H99" s="97"/>
    </row>
    <row r="100" spans="1:8" x14ac:dyDescent="0.2">
      <c r="A100" s="3"/>
      <c r="B100" s="3"/>
      <c r="C100" s="13"/>
      <c r="D100" s="3"/>
      <c r="E100" s="3"/>
      <c r="F100" s="14"/>
      <c r="G100" s="14"/>
      <c r="H100" s="97"/>
    </row>
    <row r="101" spans="1:8" x14ac:dyDescent="0.2">
      <c r="A101" s="3"/>
      <c r="B101" s="3"/>
      <c r="C101" s="4" t="s">
        <v>105</v>
      </c>
      <c r="D101" s="3"/>
      <c r="E101" s="3"/>
      <c r="F101" s="14"/>
      <c r="G101" s="14"/>
      <c r="H101" s="97"/>
    </row>
    <row r="102" spans="1:8" ht="25.5" x14ac:dyDescent="0.2">
      <c r="A102" s="3"/>
      <c r="B102" s="3"/>
      <c r="C102" s="4" t="s">
        <v>10</v>
      </c>
      <c r="D102" s="3"/>
      <c r="E102" s="3"/>
      <c r="F102" s="14"/>
      <c r="G102" s="14"/>
      <c r="H102" s="97"/>
    </row>
    <row r="103" spans="1:8" x14ac:dyDescent="0.2">
      <c r="A103" s="3"/>
      <c r="B103" s="3"/>
      <c r="C103" s="4" t="s">
        <v>97</v>
      </c>
      <c r="D103" s="3"/>
      <c r="E103" s="3" t="s">
        <v>98</v>
      </c>
      <c r="F103" s="15">
        <v>0</v>
      </c>
      <c r="G103" s="16">
        <v>0</v>
      </c>
      <c r="H103" s="97"/>
    </row>
    <row r="104" spans="1:8" x14ac:dyDescent="0.2">
      <c r="A104" s="3"/>
      <c r="B104" s="3"/>
      <c r="C104" s="13"/>
      <c r="D104" s="3"/>
      <c r="E104" s="3"/>
      <c r="F104" s="14"/>
      <c r="G104" s="14"/>
      <c r="H104" s="97"/>
    </row>
    <row r="105" spans="1:8" x14ac:dyDescent="0.2">
      <c r="A105" s="3"/>
      <c r="B105" s="3"/>
      <c r="C105" s="4" t="s">
        <v>106</v>
      </c>
      <c r="D105" s="3"/>
      <c r="E105" s="3"/>
      <c r="F105" s="3"/>
      <c r="G105" s="3"/>
      <c r="H105" s="97"/>
    </row>
    <row r="106" spans="1:8" x14ac:dyDescent="0.2">
      <c r="A106" s="3"/>
      <c r="B106" s="3"/>
      <c r="C106" s="4" t="s">
        <v>97</v>
      </c>
      <c r="D106" s="3"/>
      <c r="E106" s="3" t="s">
        <v>98</v>
      </c>
      <c r="F106" s="15">
        <v>0</v>
      </c>
      <c r="G106" s="16">
        <v>0</v>
      </c>
      <c r="H106" s="97"/>
    </row>
    <row r="107" spans="1:8" x14ac:dyDescent="0.2">
      <c r="A107" s="3"/>
      <c r="B107" s="3"/>
      <c r="C107" s="13"/>
      <c r="D107" s="3"/>
      <c r="E107" s="3"/>
      <c r="F107" s="14"/>
      <c r="G107" s="14"/>
      <c r="H107" s="97"/>
    </row>
    <row r="108" spans="1:8" x14ac:dyDescent="0.2">
      <c r="A108" s="3"/>
      <c r="B108" s="3"/>
      <c r="C108" s="4" t="s">
        <v>107</v>
      </c>
      <c r="D108" s="3"/>
      <c r="E108" s="3"/>
      <c r="F108" s="3"/>
      <c r="G108" s="3"/>
      <c r="H108" s="97"/>
    </row>
    <row r="109" spans="1:8" x14ac:dyDescent="0.2">
      <c r="A109" s="3"/>
      <c r="B109" s="3"/>
      <c r="C109" s="4" t="s">
        <v>97</v>
      </c>
      <c r="D109" s="3"/>
      <c r="E109" s="3" t="s">
        <v>98</v>
      </c>
      <c r="F109" s="15">
        <v>0</v>
      </c>
      <c r="G109" s="16">
        <v>0</v>
      </c>
      <c r="H109" s="97"/>
    </row>
    <row r="110" spans="1:8" x14ac:dyDescent="0.2">
      <c r="A110" s="3"/>
      <c r="B110" s="3"/>
      <c r="C110" s="13"/>
      <c r="D110" s="3"/>
      <c r="E110" s="3"/>
      <c r="F110" s="14"/>
      <c r="G110" s="14"/>
      <c r="H110" s="97"/>
    </row>
    <row r="111" spans="1:8" x14ac:dyDescent="0.2">
      <c r="A111" s="3"/>
      <c r="B111" s="3"/>
      <c r="C111" s="4" t="s">
        <v>108</v>
      </c>
      <c r="D111" s="3"/>
      <c r="E111" s="3"/>
      <c r="F111" s="14"/>
      <c r="G111" s="14"/>
      <c r="H111" s="97"/>
    </row>
    <row r="112" spans="1:8" x14ac:dyDescent="0.2">
      <c r="A112" s="3"/>
      <c r="B112" s="3"/>
      <c r="C112" s="4" t="s">
        <v>97</v>
      </c>
      <c r="D112" s="3"/>
      <c r="E112" s="3" t="s">
        <v>98</v>
      </c>
      <c r="F112" s="15">
        <v>0</v>
      </c>
      <c r="G112" s="16">
        <v>0</v>
      </c>
      <c r="H112" s="97"/>
    </row>
    <row r="113" spans="1:8" x14ac:dyDescent="0.2">
      <c r="A113" s="3"/>
      <c r="B113" s="3"/>
      <c r="C113" s="13"/>
      <c r="D113" s="3"/>
      <c r="E113" s="3"/>
      <c r="F113" s="14"/>
      <c r="G113" s="14"/>
      <c r="H113" s="97"/>
    </row>
    <row r="114" spans="1:8" x14ac:dyDescent="0.2">
      <c r="A114" s="3"/>
      <c r="B114" s="3"/>
      <c r="C114" s="4" t="s">
        <v>109</v>
      </c>
      <c r="D114" s="3"/>
      <c r="E114" s="3"/>
      <c r="F114" s="11">
        <v>0</v>
      </c>
      <c r="G114" s="12">
        <v>0</v>
      </c>
      <c r="H114" s="97"/>
    </row>
    <row r="115" spans="1:8" x14ac:dyDescent="0.2">
      <c r="A115" s="3"/>
      <c r="B115" s="3"/>
      <c r="C115" s="13"/>
      <c r="D115" s="3"/>
      <c r="E115" s="3"/>
      <c r="F115" s="14"/>
      <c r="G115" s="14"/>
      <c r="H115" s="97"/>
    </row>
    <row r="116" spans="1:8" x14ac:dyDescent="0.2">
      <c r="A116" s="3"/>
      <c r="B116" s="3"/>
      <c r="C116" s="4" t="s">
        <v>110</v>
      </c>
      <c r="D116" s="3"/>
      <c r="E116" s="3"/>
      <c r="F116" s="14"/>
      <c r="G116" s="14"/>
      <c r="H116" s="97"/>
    </row>
    <row r="117" spans="1:8" x14ac:dyDescent="0.2">
      <c r="A117" s="3"/>
      <c r="B117" s="3"/>
      <c r="C117" s="4" t="s">
        <v>111</v>
      </c>
      <c r="D117" s="3"/>
      <c r="E117" s="3"/>
      <c r="F117" s="14"/>
      <c r="G117" s="14"/>
      <c r="H117" s="97"/>
    </row>
    <row r="118" spans="1:8" x14ac:dyDescent="0.2">
      <c r="A118" s="3"/>
      <c r="B118" s="3"/>
      <c r="C118" s="4" t="s">
        <v>97</v>
      </c>
      <c r="D118" s="3"/>
      <c r="E118" s="3" t="s">
        <v>98</v>
      </c>
      <c r="F118" s="15">
        <v>0</v>
      </c>
      <c r="G118" s="16">
        <v>0</v>
      </c>
      <c r="H118" s="97"/>
    </row>
    <row r="119" spans="1:8" x14ac:dyDescent="0.2">
      <c r="A119" s="3"/>
      <c r="B119" s="3"/>
      <c r="C119" s="13"/>
      <c r="D119" s="3"/>
      <c r="E119" s="3"/>
      <c r="F119" s="14"/>
      <c r="G119" s="14"/>
      <c r="H119" s="97"/>
    </row>
    <row r="120" spans="1:8" x14ac:dyDescent="0.2">
      <c r="A120" s="3"/>
      <c r="B120" s="3"/>
      <c r="C120" s="4" t="s">
        <v>112</v>
      </c>
      <c r="D120" s="3"/>
      <c r="E120" s="3"/>
      <c r="F120" s="14"/>
      <c r="G120" s="14"/>
      <c r="H120" s="97"/>
    </row>
    <row r="121" spans="1:8" x14ac:dyDescent="0.2">
      <c r="A121" s="3"/>
      <c r="B121" s="3"/>
      <c r="C121" s="4" t="s">
        <v>97</v>
      </c>
      <c r="D121" s="3"/>
      <c r="E121" s="3" t="s">
        <v>98</v>
      </c>
      <c r="F121" s="15">
        <v>0</v>
      </c>
      <c r="G121" s="16">
        <v>0</v>
      </c>
      <c r="H121" s="97"/>
    </row>
    <row r="122" spans="1:8" x14ac:dyDescent="0.2">
      <c r="A122" s="3"/>
      <c r="B122" s="3"/>
      <c r="C122" s="13"/>
      <c r="D122" s="3"/>
      <c r="E122" s="3"/>
      <c r="F122" s="14"/>
      <c r="G122" s="14"/>
      <c r="H122" s="97"/>
    </row>
    <row r="123" spans="1:8" x14ac:dyDescent="0.2">
      <c r="A123" s="3"/>
      <c r="B123" s="3"/>
      <c r="C123" s="4" t="s">
        <v>113</v>
      </c>
      <c r="D123" s="3"/>
      <c r="E123" s="3"/>
      <c r="F123" s="14"/>
      <c r="G123" s="14"/>
      <c r="H123" s="97"/>
    </row>
    <row r="124" spans="1:8" x14ac:dyDescent="0.2">
      <c r="A124" s="3"/>
      <c r="B124" s="3"/>
      <c r="C124" s="4" t="s">
        <v>97</v>
      </c>
      <c r="D124" s="3"/>
      <c r="E124" s="3" t="s">
        <v>98</v>
      </c>
      <c r="F124" s="15">
        <v>0</v>
      </c>
      <c r="G124" s="16">
        <v>0</v>
      </c>
      <c r="H124" s="97"/>
    </row>
    <row r="125" spans="1:8" x14ac:dyDescent="0.2">
      <c r="A125" s="3"/>
      <c r="B125" s="3"/>
      <c r="C125" s="13"/>
      <c r="D125" s="3"/>
      <c r="E125" s="3"/>
      <c r="F125" s="14"/>
      <c r="G125" s="14"/>
      <c r="H125" s="97"/>
    </row>
    <row r="126" spans="1:8" x14ac:dyDescent="0.2">
      <c r="A126" s="3"/>
      <c r="B126" s="3"/>
      <c r="C126" s="4" t="s">
        <v>114</v>
      </c>
      <c r="D126" s="3"/>
      <c r="E126" s="3"/>
      <c r="F126" s="14"/>
      <c r="G126" s="14"/>
      <c r="H126" s="97"/>
    </row>
    <row r="127" spans="1:8" x14ac:dyDescent="0.2">
      <c r="A127" s="5">
        <v>1</v>
      </c>
      <c r="B127" s="6"/>
      <c r="C127" s="6" t="s">
        <v>115</v>
      </c>
      <c r="D127" s="6"/>
      <c r="E127" s="10"/>
      <c r="F127" s="8">
        <v>743.26410680000004</v>
      </c>
      <c r="G127" s="9">
        <v>2.3852930000000001E-2</v>
      </c>
      <c r="H127" s="8">
        <v>3.4504560529072292</v>
      </c>
    </row>
    <row r="128" spans="1:8" x14ac:dyDescent="0.2">
      <c r="A128" s="5">
        <v>2</v>
      </c>
      <c r="B128" s="6"/>
      <c r="C128" s="6" t="s">
        <v>116</v>
      </c>
      <c r="D128" s="6"/>
      <c r="E128" s="10"/>
      <c r="F128" s="8">
        <v>401.14534700000002</v>
      </c>
      <c r="G128" s="9">
        <v>1.2873608999999999E-2</v>
      </c>
      <c r="H128" s="8">
        <v>3.5655822479098256</v>
      </c>
    </row>
    <row r="129" spans="1:8" x14ac:dyDescent="0.2">
      <c r="A129" s="3"/>
      <c r="B129" s="3"/>
      <c r="C129" s="4" t="s">
        <v>97</v>
      </c>
      <c r="D129" s="3"/>
      <c r="E129" s="3" t="s">
        <v>98</v>
      </c>
      <c r="F129" s="11">
        <v>1144.4094537999999</v>
      </c>
      <c r="G129" s="12">
        <v>3.6726539000000002E-2</v>
      </c>
      <c r="H129" s="97"/>
    </row>
    <row r="130" spans="1:8" x14ac:dyDescent="0.2">
      <c r="A130" s="3"/>
      <c r="B130" s="3"/>
      <c r="C130" s="13"/>
      <c r="D130" s="3"/>
      <c r="E130" s="3"/>
      <c r="F130" s="14"/>
      <c r="G130" s="14"/>
      <c r="H130" s="97"/>
    </row>
    <row r="131" spans="1:8" x14ac:dyDescent="0.2">
      <c r="A131" s="3"/>
      <c r="B131" s="3"/>
      <c r="C131" s="4" t="s">
        <v>117</v>
      </c>
      <c r="D131" s="3"/>
      <c r="E131" s="3"/>
      <c r="F131" s="11">
        <v>1144.4094537999999</v>
      </c>
      <c r="G131" s="12">
        <v>3.6726539000000002E-2</v>
      </c>
      <c r="H131" s="97"/>
    </row>
    <row r="132" spans="1:8" x14ac:dyDescent="0.2">
      <c r="A132" s="3"/>
      <c r="B132" s="3"/>
      <c r="C132" s="14"/>
      <c r="D132" s="3"/>
      <c r="E132" s="3"/>
      <c r="F132" s="3"/>
      <c r="G132" s="3"/>
      <c r="H132" s="97"/>
    </row>
    <row r="133" spans="1:8" x14ac:dyDescent="0.2">
      <c r="A133" s="3"/>
      <c r="B133" s="3"/>
      <c r="C133" s="4" t="s">
        <v>118</v>
      </c>
      <c r="D133" s="3"/>
      <c r="E133" s="3"/>
      <c r="F133" s="3"/>
      <c r="G133" s="3"/>
      <c r="H133" s="97"/>
    </row>
    <row r="134" spans="1:8" x14ac:dyDescent="0.2">
      <c r="A134" s="3"/>
      <c r="B134" s="3"/>
      <c r="C134" s="4" t="s">
        <v>119</v>
      </c>
      <c r="D134" s="3"/>
      <c r="E134" s="3"/>
      <c r="F134" s="3"/>
      <c r="G134" s="3"/>
      <c r="H134" s="97"/>
    </row>
    <row r="135" spans="1:8" x14ac:dyDescent="0.2">
      <c r="A135" s="3"/>
      <c r="B135" s="3"/>
      <c r="C135" s="4" t="s">
        <v>97</v>
      </c>
      <c r="D135" s="3"/>
      <c r="E135" s="3" t="s">
        <v>98</v>
      </c>
      <c r="F135" s="15">
        <v>0</v>
      </c>
      <c r="G135" s="16">
        <v>0</v>
      </c>
      <c r="H135" s="97"/>
    </row>
    <row r="136" spans="1:8" x14ac:dyDescent="0.2">
      <c r="A136" s="3"/>
      <c r="B136" s="3"/>
      <c r="C136" s="13"/>
      <c r="D136" s="3"/>
      <c r="E136" s="3"/>
      <c r="F136" s="14"/>
      <c r="G136" s="14"/>
      <c r="H136" s="97"/>
    </row>
    <row r="137" spans="1:8" x14ac:dyDescent="0.2">
      <c r="A137" s="3"/>
      <c r="B137" s="3"/>
      <c r="C137" s="4" t="s">
        <v>120</v>
      </c>
      <c r="D137" s="3"/>
      <c r="E137" s="3"/>
      <c r="F137" s="3"/>
      <c r="G137" s="3"/>
      <c r="H137" s="97"/>
    </row>
    <row r="138" spans="1:8" x14ac:dyDescent="0.2">
      <c r="A138" s="3"/>
      <c r="B138" s="3"/>
      <c r="C138" s="4" t="s">
        <v>121</v>
      </c>
      <c r="D138" s="3"/>
      <c r="E138" s="3"/>
      <c r="F138" s="3"/>
      <c r="G138" s="3"/>
      <c r="H138" s="97"/>
    </row>
    <row r="139" spans="1:8" x14ac:dyDescent="0.2">
      <c r="A139" s="3"/>
      <c r="B139" s="3"/>
      <c r="C139" s="4" t="s">
        <v>97</v>
      </c>
      <c r="D139" s="3"/>
      <c r="E139" s="3" t="s">
        <v>98</v>
      </c>
      <c r="F139" s="15">
        <v>0</v>
      </c>
      <c r="G139" s="16">
        <v>0</v>
      </c>
      <c r="H139" s="97"/>
    </row>
    <row r="140" spans="1:8" x14ac:dyDescent="0.2">
      <c r="A140" s="3"/>
      <c r="B140" s="3"/>
      <c r="C140" s="13"/>
      <c r="D140" s="3"/>
      <c r="E140" s="3"/>
      <c r="F140" s="14"/>
      <c r="G140" s="14"/>
      <c r="H140" s="97"/>
    </row>
    <row r="141" spans="1:8" x14ac:dyDescent="0.2">
      <c r="A141" s="3"/>
      <c r="B141" s="3"/>
      <c r="C141" s="13"/>
      <c r="D141" s="3"/>
      <c r="E141" s="3"/>
      <c r="F141" s="14"/>
      <c r="G141" s="14"/>
      <c r="H141" s="97"/>
    </row>
    <row r="142" spans="1:8" ht="25.5" x14ac:dyDescent="0.2">
      <c r="A142" s="3"/>
      <c r="B142" s="3"/>
      <c r="C142" s="4" t="s">
        <v>122</v>
      </c>
      <c r="D142" s="3"/>
      <c r="E142" s="3"/>
      <c r="F142" s="14"/>
      <c r="G142" s="14"/>
      <c r="H142" s="97"/>
    </row>
    <row r="143" spans="1:8" x14ac:dyDescent="0.2">
      <c r="A143" s="3"/>
      <c r="B143" s="3"/>
      <c r="C143" s="4" t="s">
        <v>97</v>
      </c>
      <c r="D143" s="3"/>
      <c r="E143" s="3" t="s">
        <v>98</v>
      </c>
      <c r="F143" s="15">
        <v>0</v>
      </c>
      <c r="G143" s="16">
        <v>0</v>
      </c>
      <c r="H143" s="97"/>
    </row>
    <row r="144" spans="1:8" x14ac:dyDescent="0.2">
      <c r="A144" s="3"/>
      <c r="B144" s="3"/>
      <c r="C144" s="13"/>
      <c r="D144" s="3"/>
      <c r="E144" s="3"/>
      <c r="F144" s="14"/>
      <c r="G144" s="14"/>
      <c r="H144" s="97"/>
    </row>
    <row r="145" spans="1:8" x14ac:dyDescent="0.2">
      <c r="A145" s="3"/>
      <c r="B145" s="6"/>
      <c r="C145" s="6"/>
      <c r="D145" s="4"/>
      <c r="E145" s="3"/>
      <c r="F145" s="6"/>
      <c r="G145" s="10"/>
      <c r="H145" s="97"/>
    </row>
    <row r="146" spans="1:8" x14ac:dyDescent="0.2">
      <c r="A146" s="10"/>
      <c r="B146" s="6"/>
      <c r="C146" s="6" t="s">
        <v>123</v>
      </c>
      <c r="D146" s="6"/>
      <c r="E146" s="10"/>
      <c r="F146" s="8">
        <v>19.278123399999998</v>
      </c>
      <c r="G146" s="9">
        <v>6.1867599999999997E-4</v>
      </c>
      <c r="H146" s="97"/>
    </row>
    <row r="147" spans="1:8" x14ac:dyDescent="0.2">
      <c r="A147" s="13"/>
      <c r="B147" s="13"/>
      <c r="C147" s="4" t="s">
        <v>124</v>
      </c>
      <c r="D147" s="17"/>
      <c r="E147" s="17"/>
      <c r="F147" s="11">
        <v>31160.285616699999</v>
      </c>
      <c r="G147" s="12">
        <v>0.99999999500000003</v>
      </c>
      <c r="H147" s="97"/>
    </row>
    <row r="148" spans="1:8" ht="14.1" customHeight="1" x14ac:dyDescent="0.2">
      <c r="A148" s="20"/>
      <c r="B148" s="226" t="s">
        <v>98</v>
      </c>
      <c r="C148" s="226"/>
      <c r="D148" s="226"/>
      <c r="E148" s="226"/>
      <c r="F148" s="226"/>
      <c r="G148" s="22"/>
    </row>
    <row r="149" spans="1:8" ht="14.1" customHeight="1" x14ac:dyDescent="0.2">
      <c r="A149" s="20"/>
      <c r="B149" s="20"/>
      <c r="C149" s="20"/>
      <c r="D149" s="22"/>
      <c r="E149" s="22"/>
      <c r="F149" s="22"/>
      <c r="G149" s="22"/>
    </row>
    <row r="150" spans="1:8" ht="14.1" customHeight="1" x14ac:dyDescent="0.2">
      <c r="A150" s="20"/>
      <c r="B150" s="224" t="s">
        <v>126</v>
      </c>
      <c r="C150" s="225"/>
      <c r="D150" s="14" t="s">
        <v>98</v>
      </c>
      <c r="E150" s="23"/>
      <c r="F150" s="22"/>
      <c r="G150" s="22"/>
    </row>
    <row r="151" spans="1:8" ht="29.1" customHeight="1" x14ac:dyDescent="0.2">
      <c r="A151" s="20"/>
      <c r="B151" s="231" t="s">
        <v>127</v>
      </c>
      <c r="C151" s="232"/>
      <c r="D151" s="4" t="s">
        <v>128</v>
      </c>
      <c r="E151" s="23"/>
      <c r="F151" s="22"/>
      <c r="G151" s="22"/>
    </row>
    <row r="152" spans="1:8" ht="17.100000000000001" customHeight="1" x14ac:dyDescent="0.2">
      <c r="A152" s="20"/>
      <c r="B152" s="231" t="s">
        <v>129</v>
      </c>
      <c r="C152" s="232"/>
      <c r="D152" s="4" t="s">
        <v>128</v>
      </c>
      <c r="E152" s="23"/>
      <c r="F152" s="22"/>
      <c r="G152" s="22"/>
    </row>
    <row r="153" spans="1:8" ht="17.100000000000001" customHeight="1" x14ac:dyDescent="0.2">
      <c r="A153" s="20"/>
      <c r="B153" s="231" t="s">
        <v>130</v>
      </c>
      <c r="C153" s="232"/>
      <c r="D153" s="14" t="s">
        <v>98</v>
      </c>
      <c r="E153" s="23"/>
      <c r="F153" s="22"/>
      <c r="G153" s="22"/>
    </row>
    <row r="154" spans="1:8" ht="24" customHeight="1" x14ac:dyDescent="0.2">
      <c r="A154" s="24"/>
      <c r="B154" s="25" t="s">
        <v>98</v>
      </c>
      <c r="C154" s="25" t="s">
        <v>131</v>
      </c>
      <c r="D154" s="25" t="s">
        <v>132</v>
      </c>
      <c r="E154" s="24"/>
      <c r="F154" s="24"/>
      <c r="G154" s="24"/>
    </row>
    <row r="155" spans="1:8" ht="18" customHeight="1" x14ac:dyDescent="0.2">
      <c r="A155" s="24"/>
      <c r="B155" s="25" t="s">
        <v>133</v>
      </c>
      <c r="C155" s="25" t="s">
        <v>134</v>
      </c>
      <c r="D155" s="25" t="s">
        <v>135</v>
      </c>
      <c r="E155" s="24"/>
      <c r="F155" s="24"/>
      <c r="G155" s="24"/>
    </row>
    <row r="156" spans="1:8" ht="17.100000000000001" customHeight="1" x14ac:dyDescent="0.2">
      <c r="A156" s="24"/>
      <c r="B156" s="6" t="s">
        <v>136</v>
      </c>
      <c r="C156" s="26">
        <v>15.8528</v>
      </c>
      <c r="D156" s="26">
        <v>16.502500000000001</v>
      </c>
      <c r="E156" s="24"/>
      <c r="F156" s="21"/>
      <c r="G156" s="27"/>
    </row>
    <row r="157" spans="1:8" ht="17.100000000000001" customHeight="1" x14ac:dyDescent="0.2">
      <c r="A157" s="24"/>
      <c r="B157" s="6" t="s">
        <v>1201</v>
      </c>
      <c r="C157" s="26">
        <v>15.8528</v>
      </c>
      <c r="D157" s="26">
        <v>16.502400000000002</v>
      </c>
      <c r="E157" s="24"/>
      <c r="F157" s="21"/>
      <c r="G157" s="27"/>
    </row>
    <row r="158" spans="1:8" ht="17.100000000000001" customHeight="1" x14ac:dyDescent="0.2">
      <c r="A158" s="24"/>
      <c r="B158" s="6" t="s">
        <v>137</v>
      </c>
      <c r="C158" s="26">
        <v>15.285399999999999</v>
      </c>
      <c r="D158" s="26">
        <v>15.901300000000001</v>
      </c>
      <c r="E158" s="24"/>
      <c r="F158" s="21"/>
      <c r="G158" s="27"/>
    </row>
    <row r="159" spans="1:8" ht="17.100000000000001" customHeight="1" x14ac:dyDescent="0.2">
      <c r="A159" s="24"/>
      <c r="B159" s="6" t="s">
        <v>1202</v>
      </c>
      <c r="C159" s="26">
        <v>15.285399999999999</v>
      </c>
      <c r="D159" s="26">
        <v>15.901300000000001</v>
      </c>
      <c r="E159" s="24"/>
      <c r="F159" s="21"/>
      <c r="G159" s="27"/>
    </row>
    <row r="160" spans="1:8" ht="14.1" customHeight="1" x14ac:dyDescent="0.2">
      <c r="A160" s="24"/>
      <c r="B160" s="24"/>
      <c r="C160" s="24"/>
      <c r="D160" s="24"/>
      <c r="E160" s="24"/>
      <c r="F160" s="24"/>
      <c r="G160" s="24"/>
    </row>
    <row r="161" spans="1:17" ht="17.100000000000001" customHeight="1" x14ac:dyDescent="0.2">
      <c r="A161" s="24"/>
      <c r="B161" s="231" t="s">
        <v>1203</v>
      </c>
      <c r="C161" s="232"/>
      <c r="D161" s="4" t="s">
        <v>128</v>
      </c>
      <c r="E161" s="24"/>
      <c r="F161" s="24"/>
      <c r="G161" s="24"/>
    </row>
    <row r="162" spans="1:17" ht="18" customHeight="1" x14ac:dyDescent="0.2">
      <c r="A162" s="24"/>
      <c r="B162" s="28"/>
      <c r="C162" s="28"/>
      <c r="D162" s="29"/>
      <c r="E162" s="24"/>
      <c r="F162" s="24"/>
      <c r="G162" s="24"/>
    </row>
    <row r="163" spans="1:17" s="87" customFormat="1" x14ac:dyDescent="0.2">
      <c r="B163" s="233" t="s">
        <v>1207</v>
      </c>
      <c r="C163" s="233"/>
      <c r="D163" s="233"/>
      <c r="E163" s="233"/>
      <c r="F163" s="233"/>
      <c r="I163"/>
      <c r="J163"/>
      <c r="K163"/>
      <c r="L163"/>
      <c r="M163"/>
      <c r="N163"/>
      <c r="O163"/>
      <c r="P163"/>
      <c r="Q163" s="69"/>
    </row>
    <row r="164" spans="1:17" ht="14.1" customHeight="1" x14ac:dyDescent="0.2">
      <c r="A164" s="24"/>
      <c r="B164" s="21"/>
      <c r="C164" s="21"/>
      <c r="D164" s="24"/>
      <c r="E164" s="24"/>
      <c r="F164" s="24"/>
      <c r="G164" s="24"/>
    </row>
    <row r="165" spans="1:17" ht="29.1" customHeight="1" x14ac:dyDescent="0.2">
      <c r="A165" s="24"/>
      <c r="B165" s="231" t="s">
        <v>138</v>
      </c>
      <c r="C165" s="232"/>
      <c r="D165" s="4" t="s">
        <v>128</v>
      </c>
      <c r="E165" s="24"/>
      <c r="F165" s="24"/>
      <c r="G165" s="24"/>
      <c r="I165" s="87"/>
      <c r="J165" s="87"/>
      <c r="K165" s="87"/>
      <c r="L165" s="87"/>
      <c r="M165" s="87"/>
      <c r="N165" s="87"/>
      <c r="O165" s="87"/>
    </row>
    <row r="166" spans="1:17" ht="29.1" customHeight="1" x14ac:dyDescent="0.2">
      <c r="A166" s="24"/>
      <c r="B166" s="231" t="s">
        <v>139</v>
      </c>
      <c r="C166" s="232"/>
      <c r="D166" s="4" t="s">
        <v>128</v>
      </c>
      <c r="E166" s="24"/>
      <c r="F166" s="24"/>
      <c r="G166" s="24"/>
      <c r="P166" s="69"/>
    </row>
    <row r="167" spans="1:17" ht="17.100000000000001" customHeight="1" x14ac:dyDescent="0.2">
      <c r="A167" s="24"/>
      <c r="B167" s="231" t="s">
        <v>140</v>
      </c>
      <c r="C167" s="232"/>
      <c r="D167" s="30">
        <v>0.36656855069026567</v>
      </c>
      <c r="E167" s="24"/>
      <c r="F167" s="21"/>
      <c r="G167" s="27"/>
    </row>
    <row r="168" spans="1:17" ht="17.100000000000001" customHeight="1" x14ac:dyDescent="0.2">
      <c r="A168" s="24"/>
      <c r="B168" s="231" t="s">
        <v>141</v>
      </c>
      <c r="C168" s="232"/>
      <c r="D168" s="4" t="s">
        <v>128</v>
      </c>
      <c r="E168" s="24"/>
      <c r="F168" s="24"/>
      <c r="G168" s="24"/>
    </row>
  </sheetData>
  <mergeCells count="15">
    <mergeCell ref="B167:C167"/>
    <mergeCell ref="B168:C168"/>
    <mergeCell ref="B151:C151"/>
    <mergeCell ref="B152:C152"/>
    <mergeCell ref="B153:C153"/>
    <mergeCell ref="B161:C161"/>
    <mergeCell ref="B165:C165"/>
    <mergeCell ref="B166:C166"/>
    <mergeCell ref="B163:F163"/>
    <mergeCell ref="J2:N2"/>
    <mergeCell ref="B150:C150"/>
    <mergeCell ref="B148:F148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5">
    <outlinePr summaryBelow="0" summaryRight="0"/>
  </sheetPr>
  <dimension ref="A1:Q168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6" ht="15" x14ac:dyDescent="0.2">
      <c r="A1" s="227" t="s">
        <v>0</v>
      </c>
      <c r="B1" s="227"/>
      <c r="C1" s="227"/>
      <c r="D1" s="227"/>
      <c r="E1" s="227"/>
      <c r="F1" s="227"/>
      <c r="G1" s="227"/>
      <c r="H1" s="227"/>
    </row>
    <row r="2" spans="1:16" s="87" customFormat="1" ht="15" x14ac:dyDescent="0.2">
      <c r="A2" s="228" t="s">
        <v>613</v>
      </c>
      <c r="B2" s="229"/>
      <c r="C2" s="229"/>
      <c r="D2" s="229"/>
      <c r="E2" s="229"/>
      <c r="F2" s="229"/>
      <c r="G2" s="229"/>
      <c r="H2" s="230"/>
      <c r="I2"/>
      <c r="J2" s="223" t="s">
        <v>1238</v>
      </c>
      <c r="K2" s="223"/>
      <c r="L2" s="223"/>
      <c r="M2" s="223"/>
      <c r="N2" s="223"/>
      <c r="O2"/>
      <c r="P2"/>
    </row>
    <row r="3" spans="1:16" ht="15" x14ac:dyDescent="0.2">
      <c r="A3" s="227" t="s">
        <v>1208</v>
      </c>
      <c r="B3" s="227"/>
      <c r="C3" s="227"/>
      <c r="D3" s="227"/>
      <c r="E3" s="227"/>
      <c r="F3" s="227"/>
      <c r="G3" s="227"/>
      <c r="H3" s="227"/>
    </row>
    <row r="4" spans="1:16" s="113" customFormat="1" ht="30" x14ac:dyDescent="0.2">
      <c r="A4" s="1" t="s">
        <v>2</v>
      </c>
      <c r="B4" s="1" t="s">
        <v>3</v>
      </c>
      <c r="C4" s="1" t="s">
        <v>4</v>
      </c>
      <c r="D4" s="1" t="s">
        <v>5</v>
      </c>
      <c r="E4" s="2" t="s">
        <v>6</v>
      </c>
      <c r="F4" s="2" t="s">
        <v>7</v>
      </c>
      <c r="G4" s="2" t="s">
        <v>8</v>
      </c>
      <c r="H4" s="96" t="s">
        <v>1167</v>
      </c>
      <c r="I4" s="183"/>
      <c r="J4" s="183"/>
      <c r="K4" s="183"/>
      <c r="L4" s="183"/>
      <c r="M4" s="183"/>
      <c r="N4" s="183"/>
      <c r="O4" s="183"/>
      <c r="P4" s="183"/>
    </row>
    <row r="5" spans="1:16" ht="14.1" customHeight="1" x14ac:dyDescent="0.2">
      <c r="A5" s="3"/>
      <c r="B5" s="3"/>
      <c r="C5" s="4" t="s">
        <v>9</v>
      </c>
      <c r="D5" s="3"/>
      <c r="E5" s="3"/>
      <c r="F5" s="3"/>
      <c r="G5" s="3"/>
      <c r="H5" s="97"/>
    </row>
    <row r="6" spans="1:16" ht="24" customHeight="1" x14ac:dyDescent="0.2">
      <c r="A6" s="3"/>
      <c r="B6" s="3"/>
      <c r="C6" s="4" t="s">
        <v>10</v>
      </c>
      <c r="D6" s="3"/>
      <c r="E6" s="3"/>
      <c r="F6" s="3"/>
      <c r="G6" s="3"/>
      <c r="H6" s="97"/>
    </row>
    <row r="7" spans="1:16" x14ac:dyDescent="0.2">
      <c r="A7" s="5">
        <v>1</v>
      </c>
      <c r="B7" s="6" t="s">
        <v>164</v>
      </c>
      <c r="C7" s="6" t="s">
        <v>165</v>
      </c>
      <c r="D7" s="6" t="s">
        <v>19</v>
      </c>
      <c r="E7" s="7">
        <v>73643</v>
      </c>
      <c r="F7" s="8">
        <v>860.18706150000003</v>
      </c>
      <c r="G7" s="9">
        <v>3.0876352999999999E-2</v>
      </c>
      <c r="H7" s="97"/>
    </row>
    <row r="8" spans="1:16" x14ac:dyDescent="0.2">
      <c r="A8" s="5">
        <v>2</v>
      </c>
      <c r="B8" s="6" t="s">
        <v>274</v>
      </c>
      <c r="C8" s="6" t="s">
        <v>275</v>
      </c>
      <c r="D8" s="6" t="s">
        <v>185</v>
      </c>
      <c r="E8" s="7">
        <v>20245</v>
      </c>
      <c r="F8" s="8">
        <v>847.96182499999998</v>
      </c>
      <c r="G8" s="9">
        <v>3.0437529000000001E-2</v>
      </c>
      <c r="H8" s="97"/>
    </row>
    <row r="9" spans="1:16" x14ac:dyDescent="0.2">
      <c r="A9" s="5">
        <v>3</v>
      </c>
      <c r="B9" s="6" t="s">
        <v>17</v>
      </c>
      <c r="C9" s="6" t="s">
        <v>18</v>
      </c>
      <c r="D9" s="6" t="s">
        <v>19</v>
      </c>
      <c r="E9" s="7">
        <v>43884</v>
      </c>
      <c r="F9" s="8">
        <v>841.25627999999995</v>
      </c>
      <c r="G9" s="9">
        <v>3.0196833999999999E-2</v>
      </c>
      <c r="H9" s="97"/>
    </row>
    <row r="10" spans="1:16" ht="25.5" x14ac:dyDescent="0.2">
      <c r="A10" s="5">
        <v>4</v>
      </c>
      <c r="B10" s="6" t="s">
        <v>143</v>
      </c>
      <c r="C10" s="6" t="s">
        <v>144</v>
      </c>
      <c r="D10" s="6" t="s">
        <v>45</v>
      </c>
      <c r="E10" s="7">
        <v>426752</v>
      </c>
      <c r="F10" s="8">
        <v>830.24601600000005</v>
      </c>
      <c r="G10" s="9">
        <v>2.9801621E-2</v>
      </c>
      <c r="H10" s="97"/>
    </row>
    <row r="11" spans="1:16" x14ac:dyDescent="0.2">
      <c r="A11" s="5">
        <v>5</v>
      </c>
      <c r="B11" s="6" t="s">
        <v>74</v>
      </c>
      <c r="C11" s="6" t="s">
        <v>75</v>
      </c>
      <c r="D11" s="6" t="s">
        <v>70</v>
      </c>
      <c r="E11" s="7">
        <v>178040</v>
      </c>
      <c r="F11" s="8">
        <v>747.41192000000001</v>
      </c>
      <c r="G11" s="9">
        <v>2.6828297000000001E-2</v>
      </c>
      <c r="H11" s="97"/>
    </row>
    <row r="12" spans="1:16" x14ac:dyDescent="0.2">
      <c r="A12" s="5">
        <v>6</v>
      </c>
      <c r="B12" s="6" t="s">
        <v>263</v>
      </c>
      <c r="C12" s="6" t="s">
        <v>264</v>
      </c>
      <c r="D12" s="6" t="s">
        <v>147</v>
      </c>
      <c r="E12" s="7">
        <v>115911</v>
      </c>
      <c r="F12" s="8">
        <v>710.47647449999999</v>
      </c>
      <c r="G12" s="9">
        <v>2.5502502E-2</v>
      </c>
      <c r="H12" s="97"/>
    </row>
    <row r="13" spans="1:16" x14ac:dyDescent="0.2">
      <c r="A13" s="5">
        <v>7</v>
      </c>
      <c r="B13" s="6" t="s">
        <v>145</v>
      </c>
      <c r="C13" s="6" t="s">
        <v>146</v>
      </c>
      <c r="D13" s="6" t="s">
        <v>147</v>
      </c>
      <c r="E13" s="7">
        <v>13964</v>
      </c>
      <c r="F13" s="8">
        <v>684.843434</v>
      </c>
      <c r="G13" s="9">
        <v>2.4582406000000001E-2</v>
      </c>
      <c r="H13" s="97"/>
    </row>
    <row r="14" spans="1:16" x14ac:dyDescent="0.2">
      <c r="A14" s="5">
        <v>8</v>
      </c>
      <c r="B14" s="6" t="s">
        <v>148</v>
      </c>
      <c r="C14" s="6" t="s">
        <v>149</v>
      </c>
      <c r="D14" s="6" t="s">
        <v>70</v>
      </c>
      <c r="E14" s="7">
        <v>112762</v>
      </c>
      <c r="F14" s="8">
        <v>674.20399799999996</v>
      </c>
      <c r="G14" s="9">
        <v>2.4200504000000001E-2</v>
      </c>
      <c r="H14" s="97"/>
    </row>
    <row r="15" spans="1:16" x14ac:dyDescent="0.2">
      <c r="A15" s="5">
        <v>9</v>
      </c>
      <c r="B15" s="6" t="s">
        <v>576</v>
      </c>
      <c r="C15" s="6" t="s">
        <v>577</v>
      </c>
      <c r="D15" s="6" t="s">
        <v>70</v>
      </c>
      <c r="E15" s="7">
        <v>164997</v>
      </c>
      <c r="F15" s="8">
        <v>619.97622750000005</v>
      </c>
      <c r="G15" s="9">
        <v>2.2254001999999998E-2</v>
      </c>
      <c r="H15" s="97"/>
    </row>
    <row r="16" spans="1:16" ht="15" x14ac:dyDescent="0.2">
      <c r="A16" s="5">
        <v>10</v>
      </c>
      <c r="B16" s="6" t="s">
        <v>296</v>
      </c>
      <c r="C16" s="6" t="s">
        <v>297</v>
      </c>
      <c r="D16" s="6" t="s">
        <v>19</v>
      </c>
      <c r="E16" s="7">
        <v>87229</v>
      </c>
      <c r="F16" s="8">
        <v>618.84614050000005</v>
      </c>
      <c r="G16" s="9">
        <v>2.2213437999999999E-2</v>
      </c>
      <c r="H16" s="97"/>
      <c r="J16" s="184" t="s">
        <v>1246</v>
      </c>
    </row>
    <row r="17" spans="1:8" x14ac:dyDescent="0.2">
      <c r="A17" s="5">
        <v>11</v>
      </c>
      <c r="B17" s="6" t="s">
        <v>150</v>
      </c>
      <c r="C17" s="6" t="s">
        <v>151</v>
      </c>
      <c r="D17" s="6" t="s">
        <v>81</v>
      </c>
      <c r="E17" s="7">
        <v>543584</v>
      </c>
      <c r="F17" s="8">
        <v>602.56286399999999</v>
      </c>
      <c r="G17" s="9">
        <v>2.1628951E-2</v>
      </c>
      <c r="H17" s="97"/>
    </row>
    <row r="18" spans="1:8" x14ac:dyDescent="0.2">
      <c r="A18" s="5">
        <v>12</v>
      </c>
      <c r="B18" s="6" t="s">
        <v>41</v>
      </c>
      <c r="C18" s="6" t="s">
        <v>42</v>
      </c>
      <c r="D18" s="6" t="s">
        <v>19</v>
      </c>
      <c r="E18" s="7">
        <v>48732</v>
      </c>
      <c r="F18" s="8">
        <v>594.65223000000003</v>
      </c>
      <c r="G18" s="9">
        <v>2.1344999E-2</v>
      </c>
      <c r="H18" s="97"/>
    </row>
    <row r="19" spans="1:8" x14ac:dyDescent="0.2">
      <c r="A19" s="5">
        <v>13</v>
      </c>
      <c r="B19" s="6" t="s">
        <v>154</v>
      </c>
      <c r="C19" s="6" t="s">
        <v>155</v>
      </c>
      <c r="D19" s="6" t="s">
        <v>147</v>
      </c>
      <c r="E19" s="7">
        <v>50165</v>
      </c>
      <c r="F19" s="8">
        <v>565.58529250000004</v>
      </c>
      <c r="G19" s="9">
        <v>2.0301644000000001E-2</v>
      </c>
      <c r="H19" s="97"/>
    </row>
    <row r="20" spans="1:8" x14ac:dyDescent="0.2">
      <c r="A20" s="5">
        <v>14</v>
      </c>
      <c r="B20" s="6" t="s">
        <v>84</v>
      </c>
      <c r="C20" s="6" t="s">
        <v>85</v>
      </c>
      <c r="D20" s="6" t="s">
        <v>53</v>
      </c>
      <c r="E20" s="7">
        <v>110331</v>
      </c>
      <c r="F20" s="8">
        <v>540.95289300000002</v>
      </c>
      <c r="G20" s="9">
        <v>1.9417464999999998E-2</v>
      </c>
      <c r="H20" s="97"/>
    </row>
    <row r="21" spans="1:8" x14ac:dyDescent="0.2">
      <c r="A21" s="5">
        <v>15</v>
      </c>
      <c r="B21" s="6" t="s">
        <v>156</v>
      </c>
      <c r="C21" s="6" t="s">
        <v>157</v>
      </c>
      <c r="D21" s="6" t="s">
        <v>19</v>
      </c>
      <c r="E21" s="7">
        <v>73884</v>
      </c>
      <c r="F21" s="8">
        <v>535.91759400000001</v>
      </c>
      <c r="G21" s="9">
        <v>1.9236724E-2</v>
      </c>
      <c r="H21" s="97"/>
    </row>
    <row r="22" spans="1:8" ht="25.5" x14ac:dyDescent="0.2">
      <c r="A22" s="5">
        <v>16</v>
      </c>
      <c r="B22" s="6" t="s">
        <v>37</v>
      </c>
      <c r="C22" s="6" t="s">
        <v>38</v>
      </c>
      <c r="D22" s="6" t="s">
        <v>1185</v>
      </c>
      <c r="E22" s="7">
        <v>14971</v>
      </c>
      <c r="F22" s="8">
        <v>508.84183350000001</v>
      </c>
      <c r="G22" s="9">
        <v>1.8264841E-2</v>
      </c>
      <c r="H22" s="97"/>
    </row>
    <row r="23" spans="1:8" x14ac:dyDescent="0.2">
      <c r="A23" s="5">
        <v>17</v>
      </c>
      <c r="B23" s="6" t="s">
        <v>203</v>
      </c>
      <c r="C23" s="6" t="s">
        <v>204</v>
      </c>
      <c r="D23" s="6" t="s">
        <v>81</v>
      </c>
      <c r="E23" s="7">
        <v>62271</v>
      </c>
      <c r="F23" s="8">
        <v>482.102082</v>
      </c>
      <c r="G23" s="9">
        <v>1.7305020000000001E-2</v>
      </c>
      <c r="H23" s="97"/>
    </row>
    <row r="24" spans="1:8" x14ac:dyDescent="0.2">
      <c r="A24" s="5">
        <v>18</v>
      </c>
      <c r="B24" s="6" t="s">
        <v>556</v>
      </c>
      <c r="C24" s="6" t="s">
        <v>557</v>
      </c>
      <c r="D24" s="6" t="s">
        <v>48</v>
      </c>
      <c r="E24" s="7">
        <v>61381</v>
      </c>
      <c r="F24" s="8">
        <v>458.30123650000002</v>
      </c>
      <c r="G24" s="9">
        <v>1.645069E-2</v>
      </c>
      <c r="H24" s="97"/>
    </row>
    <row r="25" spans="1:8" ht="25.5" x14ac:dyDescent="0.2">
      <c r="A25" s="5">
        <v>19</v>
      </c>
      <c r="B25" s="6" t="s">
        <v>604</v>
      </c>
      <c r="C25" s="6" t="s">
        <v>605</v>
      </c>
      <c r="D25" s="6" t="s">
        <v>45</v>
      </c>
      <c r="E25" s="7">
        <v>23869</v>
      </c>
      <c r="F25" s="8">
        <v>441.95840399999997</v>
      </c>
      <c r="G25" s="9">
        <v>1.5864065E-2</v>
      </c>
      <c r="H25" s="97"/>
    </row>
    <row r="26" spans="1:8" x14ac:dyDescent="0.2">
      <c r="A26" s="5">
        <v>20</v>
      </c>
      <c r="B26" s="6" t="s">
        <v>158</v>
      </c>
      <c r="C26" s="6" t="s">
        <v>159</v>
      </c>
      <c r="D26" s="6" t="s">
        <v>1187</v>
      </c>
      <c r="E26" s="7">
        <v>35850</v>
      </c>
      <c r="F26" s="8">
        <v>437.06527499999999</v>
      </c>
      <c r="G26" s="9">
        <v>1.5688427000000001E-2</v>
      </c>
      <c r="H26" s="97"/>
    </row>
    <row r="27" spans="1:8" x14ac:dyDescent="0.2">
      <c r="A27" s="5">
        <v>21</v>
      </c>
      <c r="B27" s="6" t="s">
        <v>160</v>
      </c>
      <c r="C27" s="6" t="s">
        <v>161</v>
      </c>
      <c r="D27" s="6" t="s">
        <v>147</v>
      </c>
      <c r="E27" s="7">
        <v>41908</v>
      </c>
      <c r="F27" s="8">
        <v>428.71884</v>
      </c>
      <c r="G27" s="9">
        <v>1.5388832E-2</v>
      </c>
      <c r="H27" s="97"/>
    </row>
    <row r="28" spans="1:8" x14ac:dyDescent="0.2">
      <c r="A28" s="5">
        <v>22</v>
      </c>
      <c r="B28" s="6" t="s">
        <v>172</v>
      </c>
      <c r="C28" s="6" t="s">
        <v>173</v>
      </c>
      <c r="D28" s="6" t="s">
        <v>174</v>
      </c>
      <c r="E28" s="7">
        <v>171020</v>
      </c>
      <c r="F28" s="8">
        <v>408.82330999999999</v>
      </c>
      <c r="G28" s="9">
        <v>1.4674683000000001E-2</v>
      </c>
      <c r="H28" s="97"/>
    </row>
    <row r="29" spans="1:8" x14ac:dyDescent="0.2">
      <c r="A29" s="5">
        <v>23</v>
      </c>
      <c r="B29" s="6" t="s">
        <v>280</v>
      </c>
      <c r="C29" s="6" t="s">
        <v>281</v>
      </c>
      <c r="D29" s="6" t="s">
        <v>238</v>
      </c>
      <c r="E29" s="7">
        <v>23267</v>
      </c>
      <c r="F29" s="8">
        <v>408.28931599999999</v>
      </c>
      <c r="G29" s="9">
        <v>1.4655516E-2</v>
      </c>
      <c r="H29" s="97"/>
    </row>
    <row r="30" spans="1:8" x14ac:dyDescent="0.2">
      <c r="A30" s="5">
        <v>24</v>
      </c>
      <c r="B30" s="6" t="s">
        <v>198</v>
      </c>
      <c r="C30" s="6" t="s">
        <v>199</v>
      </c>
      <c r="D30" s="6" t="s">
        <v>70</v>
      </c>
      <c r="E30" s="7">
        <v>45571</v>
      </c>
      <c r="F30" s="8">
        <v>406.17432300000002</v>
      </c>
      <c r="G30" s="9">
        <v>1.4579597999999999E-2</v>
      </c>
      <c r="H30" s="97"/>
    </row>
    <row r="31" spans="1:8" x14ac:dyDescent="0.2">
      <c r="A31" s="5">
        <v>25</v>
      </c>
      <c r="B31" s="6" t="s">
        <v>168</v>
      </c>
      <c r="C31" s="6" t="s">
        <v>169</v>
      </c>
      <c r="D31" s="6" t="s">
        <v>81</v>
      </c>
      <c r="E31" s="7">
        <v>611244</v>
      </c>
      <c r="F31" s="8">
        <v>385.08372000000003</v>
      </c>
      <c r="G31" s="9">
        <v>1.3822553E-2</v>
      </c>
      <c r="H31" s="97"/>
    </row>
    <row r="32" spans="1:8" x14ac:dyDescent="0.2">
      <c r="A32" s="5">
        <v>26</v>
      </c>
      <c r="B32" s="6" t="s">
        <v>196</v>
      </c>
      <c r="C32" s="6" t="s">
        <v>197</v>
      </c>
      <c r="D32" s="6" t="s">
        <v>81</v>
      </c>
      <c r="E32" s="7">
        <v>67437</v>
      </c>
      <c r="F32" s="8">
        <v>372.89289150000002</v>
      </c>
      <c r="G32" s="9">
        <v>1.3384963999999999E-2</v>
      </c>
      <c r="H32" s="97"/>
    </row>
    <row r="33" spans="1:8" x14ac:dyDescent="0.2">
      <c r="A33" s="5">
        <v>27</v>
      </c>
      <c r="B33" s="6" t="s">
        <v>166</v>
      </c>
      <c r="C33" s="6" t="s">
        <v>167</v>
      </c>
      <c r="D33" s="6" t="s">
        <v>1186</v>
      </c>
      <c r="E33" s="7">
        <v>102407</v>
      </c>
      <c r="F33" s="8">
        <v>361.85513450000002</v>
      </c>
      <c r="G33" s="9">
        <v>1.2988764E-2</v>
      </c>
      <c r="H33" s="97"/>
    </row>
    <row r="34" spans="1:8" x14ac:dyDescent="0.2">
      <c r="A34" s="5">
        <v>28</v>
      </c>
      <c r="B34" s="6" t="s">
        <v>194</v>
      </c>
      <c r="C34" s="6" t="s">
        <v>195</v>
      </c>
      <c r="D34" s="6" t="s">
        <v>53</v>
      </c>
      <c r="E34" s="7">
        <v>36572</v>
      </c>
      <c r="F34" s="8">
        <v>360.36220200000002</v>
      </c>
      <c r="G34" s="9">
        <v>1.2935175E-2</v>
      </c>
      <c r="H34" s="97"/>
    </row>
    <row r="35" spans="1:8" x14ac:dyDescent="0.2">
      <c r="A35" s="5">
        <v>29</v>
      </c>
      <c r="B35" s="6" t="s">
        <v>152</v>
      </c>
      <c r="C35" s="6" t="s">
        <v>153</v>
      </c>
      <c r="D35" s="6" t="s">
        <v>1184</v>
      </c>
      <c r="E35" s="7">
        <v>30086</v>
      </c>
      <c r="F35" s="8">
        <v>355.63156300000003</v>
      </c>
      <c r="G35" s="9">
        <v>1.276537E-2</v>
      </c>
      <c r="H35" s="97"/>
    </row>
    <row r="36" spans="1:8" x14ac:dyDescent="0.2">
      <c r="A36" s="5">
        <v>30</v>
      </c>
      <c r="B36" s="6" t="s">
        <v>179</v>
      </c>
      <c r="C36" s="6" t="s">
        <v>180</v>
      </c>
      <c r="D36" s="6" t="s">
        <v>53</v>
      </c>
      <c r="E36" s="7">
        <v>345255</v>
      </c>
      <c r="F36" s="8">
        <v>347.15390250000002</v>
      </c>
      <c r="G36" s="9">
        <v>1.2461064000000001E-2</v>
      </c>
      <c r="H36" s="97"/>
    </row>
    <row r="37" spans="1:8" x14ac:dyDescent="0.2">
      <c r="A37" s="5">
        <v>31</v>
      </c>
      <c r="B37" s="6" t="s">
        <v>606</v>
      </c>
      <c r="C37" s="6" t="s">
        <v>607</v>
      </c>
      <c r="D37" s="6" t="s">
        <v>19</v>
      </c>
      <c r="E37" s="7">
        <v>35318</v>
      </c>
      <c r="F37" s="8">
        <v>346.69914699999998</v>
      </c>
      <c r="G37" s="9">
        <v>1.2444741E-2</v>
      </c>
      <c r="H37" s="97"/>
    </row>
    <row r="38" spans="1:8" x14ac:dyDescent="0.2">
      <c r="A38" s="5">
        <v>32</v>
      </c>
      <c r="B38" s="6" t="s">
        <v>181</v>
      </c>
      <c r="C38" s="6" t="s">
        <v>182</v>
      </c>
      <c r="D38" s="6" t="s">
        <v>1189</v>
      </c>
      <c r="E38" s="7">
        <v>40169</v>
      </c>
      <c r="F38" s="8">
        <v>343.98723150000001</v>
      </c>
      <c r="G38" s="9">
        <v>1.2347397E-2</v>
      </c>
      <c r="H38" s="97"/>
    </row>
    <row r="39" spans="1:8" ht="25.5" x14ac:dyDescent="0.2">
      <c r="A39" s="5">
        <v>33</v>
      </c>
      <c r="B39" s="6" t="s">
        <v>177</v>
      </c>
      <c r="C39" s="6" t="s">
        <v>178</v>
      </c>
      <c r="D39" s="6" t="s">
        <v>1185</v>
      </c>
      <c r="E39" s="7">
        <v>151609</v>
      </c>
      <c r="F39" s="8">
        <v>343.16697149999999</v>
      </c>
      <c r="G39" s="9">
        <v>1.2317954000000001E-2</v>
      </c>
      <c r="H39" s="97"/>
    </row>
    <row r="40" spans="1:8" x14ac:dyDescent="0.2">
      <c r="A40" s="5">
        <v>34</v>
      </c>
      <c r="B40" s="6" t="s">
        <v>186</v>
      </c>
      <c r="C40" s="6" t="s">
        <v>187</v>
      </c>
      <c r="D40" s="6" t="s">
        <v>19</v>
      </c>
      <c r="E40" s="7">
        <v>16547</v>
      </c>
      <c r="F40" s="8">
        <v>328.97918049999998</v>
      </c>
      <c r="G40" s="9">
        <v>1.1808684E-2</v>
      </c>
      <c r="H40" s="97"/>
    </row>
    <row r="41" spans="1:8" x14ac:dyDescent="0.2">
      <c r="A41" s="5">
        <v>35</v>
      </c>
      <c r="B41" s="6" t="s">
        <v>578</v>
      </c>
      <c r="C41" s="6" t="s">
        <v>579</v>
      </c>
      <c r="D41" s="6" t="s">
        <v>70</v>
      </c>
      <c r="E41" s="7">
        <v>32427</v>
      </c>
      <c r="F41" s="8">
        <v>328.11259949999999</v>
      </c>
      <c r="G41" s="9">
        <v>1.1777578E-2</v>
      </c>
      <c r="H41" s="97"/>
    </row>
    <row r="42" spans="1:8" x14ac:dyDescent="0.2">
      <c r="A42" s="5">
        <v>36</v>
      </c>
      <c r="B42" s="6" t="s">
        <v>191</v>
      </c>
      <c r="C42" s="6" t="s">
        <v>192</v>
      </c>
      <c r="D42" s="6" t="s">
        <v>193</v>
      </c>
      <c r="E42" s="7">
        <v>71675</v>
      </c>
      <c r="F42" s="8">
        <v>325.61952500000001</v>
      </c>
      <c r="G42" s="9">
        <v>1.168809E-2</v>
      </c>
      <c r="H42" s="97"/>
    </row>
    <row r="43" spans="1:8" ht="25.5" x14ac:dyDescent="0.2">
      <c r="A43" s="5">
        <v>37</v>
      </c>
      <c r="B43" s="6" t="s">
        <v>200</v>
      </c>
      <c r="C43" s="6" t="s">
        <v>201</v>
      </c>
      <c r="D43" s="6" t="s">
        <v>202</v>
      </c>
      <c r="E43" s="7">
        <v>76500</v>
      </c>
      <c r="F43" s="8">
        <v>312.04349999999999</v>
      </c>
      <c r="G43" s="9">
        <v>1.1200778999999999E-2</v>
      </c>
      <c r="H43" s="97"/>
    </row>
    <row r="44" spans="1:8" x14ac:dyDescent="0.2">
      <c r="A44" s="5">
        <v>38</v>
      </c>
      <c r="B44" s="6" t="s">
        <v>282</v>
      </c>
      <c r="C44" s="6" t="s">
        <v>283</v>
      </c>
      <c r="D44" s="6" t="s">
        <v>284</v>
      </c>
      <c r="E44" s="7">
        <v>123782</v>
      </c>
      <c r="F44" s="8">
        <v>311.24983900000001</v>
      </c>
      <c r="G44" s="9">
        <v>1.1172291000000001E-2</v>
      </c>
      <c r="H44" s="97"/>
    </row>
    <row r="45" spans="1:8" x14ac:dyDescent="0.2">
      <c r="A45" s="5">
        <v>39</v>
      </c>
      <c r="B45" s="6" t="s">
        <v>205</v>
      </c>
      <c r="C45" s="6" t="s">
        <v>206</v>
      </c>
      <c r="D45" s="6" t="s">
        <v>1187</v>
      </c>
      <c r="E45" s="7">
        <v>52399</v>
      </c>
      <c r="F45" s="8">
        <v>294.66577649999999</v>
      </c>
      <c r="G45" s="9">
        <v>1.0577006999999999E-2</v>
      </c>
      <c r="H45" s="97"/>
    </row>
    <row r="46" spans="1:8" x14ac:dyDescent="0.2">
      <c r="A46" s="5">
        <v>40</v>
      </c>
      <c r="B46" s="6" t="s">
        <v>188</v>
      </c>
      <c r="C46" s="6" t="s">
        <v>189</v>
      </c>
      <c r="D46" s="6" t="s">
        <v>190</v>
      </c>
      <c r="E46" s="7">
        <v>62869</v>
      </c>
      <c r="F46" s="8">
        <v>289.16596550000003</v>
      </c>
      <c r="G46" s="9">
        <v>1.0379592E-2</v>
      </c>
      <c r="H46" s="97"/>
    </row>
    <row r="47" spans="1:8" x14ac:dyDescent="0.2">
      <c r="A47" s="5">
        <v>41</v>
      </c>
      <c r="B47" s="6" t="s">
        <v>608</v>
      </c>
      <c r="C47" s="6" t="s">
        <v>609</v>
      </c>
      <c r="D47" s="6" t="s">
        <v>586</v>
      </c>
      <c r="E47" s="7">
        <v>28480</v>
      </c>
      <c r="F47" s="8">
        <v>287.30624</v>
      </c>
      <c r="G47" s="9">
        <v>1.0312837E-2</v>
      </c>
      <c r="H47" s="97"/>
    </row>
    <row r="48" spans="1:8" x14ac:dyDescent="0.2">
      <c r="A48" s="5">
        <v>42</v>
      </c>
      <c r="B48" s="6" t="s">
        <v>363</v>
      </c>
      <c r="C48" s="6" t="s">
        <v>364</v>
      </c>
      <c r="D48" s="6" t="s">
        <v>238</v>
      </c>
      <c r="E48" s="7">
        <v>7574</v>
      </c>
      <c r="F48" s="8">
        <v>286.91069399999998</v>
      </c>
      <c r="G48" s="9">
        <v>1.0298639E-2</v>
      </c>
      <c r="H48" s="97"/>
    </row>
    <row r="49" spans="1:8" x14ac:dyDescent="0.2">
      <c r="A49" s="5">
        <v>43</v>
      </c>
      <c r="B49" s="6" t="s">
        <v>30</v>
      </c>
      <c r="C49" s="6" t="s">
        <v>31</v>
      </c>
      <c r="D49" s="6" t="s">
        <v>19</v>
      </c>
      <c r="E49" s="7">
        <v>8417</v>
      </c>
      <c r="F49" s="8">
        <v>282.31038849999999</v>
      </c>
      <c r="G49" s="9">
        <v>1.0133511E-2</v>
      </c>
      <c r="H49" s="97"/>
    </row>
    <row r="50" spans="1:8" x14ac:dyDescent="0.2">
      <c r="A50" s="5">
        <v>44</v>
      </c>
      <c r="B50" s="6" t="s">
        <v>209</v>
      </c>
      <c r="C50" s="6" t="s">
        <v>210</v>
      </c>
      <c r="D50" s="6" t="s">
        <v>193</v>
      </c>
      <c r="E50" s="7">
        <v>51431</v>
      </c>
      <c r="F50" s="8">
        <v>277.16165899999999</v>
      </c>
      <c r="G50" s="9">
        <v>9.9486980000000006E-3</v>
      </c>
      <c r="H50" s="97"/>
    </row>
    <row r="51" spans="1:8" x14ac:dyDescent="0.2">
      <c r="A51" s="5">
        <v>45</v>
      </c>
      <c r="B51" s="6" t="s">
        <v>267</v>
      </c>
      <c r="C51" s="6" t="s">
        <v>268</v>
      </c>
      <c r="D51" s="6" t="s">
        <v>19</v>
      </c>
      <c r="E51" s="7">
        <v>75316</v>
      </c>
      <c r="F51" s="8">
        <v>276.14611400000001</v>
      </c>
      <c r="G51" s="9">
        <v>9.9122450000000001E-3</v>
      </c>
      <c r="H51" s="97"/>
    </row>
    <row r="52" spans="1:8" ht="25.5" x14ac:dyDescent="0.2">
      <c r="A52" s="5">
        <v>46</v>
      </c>
      <c r="B52" s="6" t="s">
        <v>211</v>
      </c>
      <c r="C52" s="6" t="s">
        <v>212</v>
      </c>
      <c r="D52" s="6" t="s">
        <v>202</v>
      </c>
      <c r="E52" s="7">
        <v>58166</v>
      </c>
      <c r="F52" s="8">
        <v>262.532241</v>
      </c>
      <c r="G52" s="9">
        <v>9.4235759999999995E-3</v>
      </c>
      <c r="H52" s="97"/>
    </row>
    <row r="53" spans="1:8" ht="25.5" x14ac:dyDescent="0.2">
      <c r="A53" s="5">
        <v>47</v>
      </c>
      <c r="B53" s="6" t="s">
        <v>248</v>
      </c>
      <c r="C53" s="6" t="s">
        <v>249</v>
      </c>
      <c r="D53" s="6" t="s">
        <v>202</v>
      </c>
      <c r="E53" s="7">
        <v>60710</v>
      </c>
      <c r="F53" s="8">
        <v>260.59767499999998</v>
      </c>
      <c r="G53" s="9">
        <v>9.3541349999999995E-3</v>
      </c>
      <c r="H53" s="97"/>
    </row>
    <row r="54" spans="1:8" x14ac:dyDescent="0.2">
      <c r="A54" s="5">
        <v>48</v>
      </c>
      <c r="B54" s="6" t="s">
        <v>222</v>
      </c>
      <c r="C54" s="6" t="s">
        <v>223</v>
      </c>
      <c r="D54" s="6" t="s">
        <v>70</v>
      </c>
      <c r="E54" s="7">
        <v>98339</v>
      </c>
      <c r="F54" s="8">
        <v>259.02492599999999</v>
      </c>
      <c r="G54" s="9">
        <v>9.2976810000000003E-3</v>
      </c>
      <c r="H54" s="97"/>
    </row>
    <row r="55" spans="1:8" x14ac:dyDescent="0.2">
      <c r="A55" s="5">
        <v>49</v>
      </c>
      <c r="B55" s="6" t="s">
        <v>218</v>
      </c>
      <c r="C55" s="6" t="s">
        <v>219</v>
      </c>
      <c r="D55" s="6" t="s">
        <v>193</v>
      </c>
      <c r="E55" s="7">
        <v>14493</v>
      </c>
      <c r="F55" s="8">
        <v>257.93192099999999</v>
      </c>
      <c r="G55" s="9">
        <v>9.2584480000000007E-3</v>
      </c>
      <c r="H55" s="97"/>
    </row>
    <row r="56" spans="1:8" x14ac:dyDescent="0.2">
      <c r="A56" s="5">
        <v>50</v>
      </c>
      <c r="B56" s="6" t="s">
        <v>216</v>
      </c>
      <c r="C56" s="6" t="s">
        <v>217</v>
      </c>
      <c r="D56" s="6" t="s">
        <v>1184</v>
      </c>
      <c r="E56" s="7">
        <v>15766</v>
      </c>
      <c r="F56" s="8">
        <v>249.54424800000001</v>
      </c>
      <c r="G56" s="9">
        <v>8.9573729999999994E-3</v>
      </c>
      <c r="H56" s="97"/>
    </row>
    <row r="57" spans="1:8" x14ac:dyDescent="0.2">
      <c r="A57" s="5">
        <v>51</v>
      </c>
      <c r="B57" s="6" t="s">
        <v>236</v>
      </c>
      <c r="C57" s="6" t="s">
        <v>237</v>
      </c>
      <c r="D57" s="6" t="s">
        <v>238</v>
      </c>
      <c r="E57" s="7">
        <v>65216</v>
      </c>
      <c r="F57" s="8">
        <v>239.01664</v>
      </c>
      <c r="G57" s="9">
        <v>8.5794849999999995E-3</v>
      </c>
      <c r="H57" s="97"/>
    </row>
    <row r="58" spans="1:8" x14ac:dyDescent="0.2">
      <c r="A58" s="5">
        <v>52</v>
      </c>
      <c r="B58" s="6" t="s">
        <v>175</v>
      </c>
      <c r="C58" s="6" t="s">
        <v>176</v>
      </c>
      <c r="D58" s="6" t="s">
        <v>16</v>
      </c>
      <c r="E58" s="7">
        <v>81590</v>
      </c>
      <c r="F58" s="8">
        <v>238.52836500000001</v>
      </c>
      <c r="G58" s="9">
        <v>8.5619589999999992E-3</v>
      </c>
      <c r="H58" s="97"/>
    </row>
    <row r="59" spans="1:8" x14ac:dyDescent="0.2">
      <c r="A59" s="5">
        <v>53</v>
      </c>
      <c r="B59" s="6" t="s">
        <v>170</v>
      </c>
      <c r="C59" s="6" t="s">
        <v>171</v>
      </c>
      <c r="D59" s="6" t="s">
        <v>70</v>
      </c>
      <c r="E59" s="7">
        <v>24209</v>
      </c>
      <c r="F59" s="8">
        <v>235.50515200000001</v>
      </c>
      <c r="G59" s="9">
        <v>8.4534410000000008E-3</v>
      </c>
      <c r="H59" s="97"/>
    </row>
    <row r="60" spans="1:8" x14ac:dyDescent="0.2">
      <c r="A60" s="5">
        <v>54</v>
      </c>
      <c r="B60" s="6" t="s">
        <v>271</v>
      </c>
      <c r="C60" s="6" t="s">
        <v>272</v>
      </c>
      <c r="D60" s="6" t="s">
        <v>19</v>
      </c>
      <c r="E60" s="7">
        <v>21572</v>
      </c>
      <c r="F60" s="8">
        <v>233.721834</v>
      </c>
      <c r="G60" s="9">
        <v>8.3894290000000003E-3</v>
      </c>
      <c r="H60" s="97"/>
    </row>
    <row r="61" spans="1:8" ht="25.5" x14ac:dyDescent="0.2">
      <c r="A61" s="5">
        <v>55</v>
      </c>
      <c r="B61" s="6" t="s">
        <v>207</v>
      </c>
      <c r="C61" s="6" t="s">
        <v>208</v>
      </c>
      <c r="D61" s="6" t="s">
        <v>45</v>
      </c>
      <c r="E61" s="7">
        <v>104294</v>
      </c>
      <c r="F61" s="8">
        <v>231.845562</v>
      </c>
      <c r="G61" s="9">
        <v>8.3220800000000008E-3</v>
      </c>
      <c r="H61" s="97"/>
    </row>
    <row r="62" spans="1:8" x14ac:dyDescent="0.2">
      <c r="A62" s="5">
        <v>56</v>
      </c>
      <c r="B62" s="6" t="s">
        <v>614</v>
      </c>
      <c r="C62" s="6" t="s">
        <v>615</v>
      </c>
      <c r="D62" s="6" t="s">
        <v>193</v>
      </c>
      <c r="E62" s="7">
        <v>40059</v>
      </c>
      <c r="F62" s="8">
        <v>211.0107825</v>
      </c>
      <c r="G62" s="9">
        <v>7.5742170000000003E-3</v>
      </c>
      <c r="H62" s="97"/>
    </row>
    <row r="63" spans="1:8" ht="25.5" x14ac:dyDescent="0.2">
      <c r="A63" s="5">
        <v>57</v>
      </c>
      <c r="B63" s="6" t="s">
        <v>226</v>
      </c>
      <c r="C63" s="6" t="s">
        <v>227</v>
      </c>
      <c r="D63" s="6" t="s">
        <v>1191</v>
      </c>
      <c r="E63" s="7">
        <v>235730</v>
      </c>
      <c r="F63" s="8">
        <v>209.210375</v>
      </c>
      <c r="G63" s="9">
        <v>7.5095910000000004E-3</v>
      </c>
      <c r="H63" s="97"/>
    </row>
    <row r="64" spans="1:8" x14ac:dyDescent="0.2">
      <c r="A64" s="5">
        <v>58</v>
      </c>
      <c r="B64" s="6" t="s">
        <v>259</v>
      </c>
      <c r="C64" s="6" t="s">
        <v>260</v>
      </c>
      <c r="D64" s="6" t="s">
        <v>34</v>
      </c>
      <c r="E64" s="7">
        <v>53690</v>
      </c>
      <c r="F64" s="8">
        <v>201.09589500000001</v>
      </c>
      <c r="G64" s="9">
        <v>7.2183229999999996E-3</v>
      </c>
      <c r="H64" s="97"/>
    </row>
    <row r="65" spans="1:8" x14ac:dyDescent="0.2">
      <c r="A65" s="5">
        <v>59</v>
      </c>
      <c r="B65" s="6" t="s">
        <v>256</v>
      </c>
      <c r="C65" s="6" t="s">
        <v>257</v>
      </c>
      <c r="D65" s="6" t="s">
        <v>238</v>
      </c>
      <c r="E65" s="7">
        <v>29625</v>
      </c>
      <c r="F65" s="8">
        <v>185.05256249999999</v>
      </c>
      <c r="G65" s="9">
        <v>6.6424479999999996E-3</v>
      </c>
      <c r="H65" s="97"/>
    </row>
    <row r="66" spans="1:8" x14ac:dyDescent="0.2">
      <c r="A66" s="5">
        <v>60</v>
      </c>
      <c r="B66" s="6" t="s">
        <v>261</v>
      </c>
      <c r="C66" s="6" t="s">
        <v>262</v>
      </c>
      <c r="D66" s="6" t="s">
        <v>238</v>
      </c>
      <c r="E66" s="7">
        <v>24787</v>
      </c>
      <c r="F66" s="8">
        <v>180.11473549999999</v>
      </c>
      <c r="G66" s="9">
        <v>6.4652060000000003E-3</v>
      </c>
      <c r="H66" s="97"/>
    </row>
    <row r="67" spans="1:8" x14ac:dyDescent="0.2">
      <c r="A67" s="5">
        <v>61</v>
      </c>
      <c r="B67" s="6" t="s">
        <v>289</v>
      </c>
      <c r="C67" s="6" t="s">
        <v>290</v>
      </c>
      <c r="D67" s="6" t="s">
        <v>174</v>
      </c>
      <c r="E67" s="7">
        <v>27300</v>
      </c>
      <c r="F67" s="8">
        <v>176.08500000000001</v>
      </c>
      <c r="G67" s="9">
        <v>6.3205580000000004E-3</v>
      </c>
      <c r="H67" s="97"/>
    </row>
    <row r="68" spans="1:8" x14ac:dyDescent="0.2">
      <c r="A68" s="5">
        <v>62</v>
      </c>
      <c r="B68" s="6" t="s">
        <v>287</v>
      </c>
      <c r="C68" s="6" t="s">
        <v>288</v>
      </c>
      <c r="D68" s="6" t="s">
        <v>147</v>
      </c>
      <c r="E68" s="7">
        <v>13157</v>
      </c>
      <c r="F68" s="8">
        <v>170.59366199999999</v>
      </c>
      <c r="G68" s="9">
        <v>6.1234469999999997E-3</v>
      </c>
      <c r="H68" s="97"/>
    </row>
    <row r="69" spans="1:8" x14ac:dyDescent="0.2">
      <c r="A69" s="5">
        <v>63</v>
      </c>
      <c r="B69" s="6" t="s">
        <v>230</v>
      </c>
      <c r="C69" s="6" t="s">
        <v>231</v>
      </c>
      <c r="D69" s="6" t="s">
        <v>60</v>
      </c>
      <c r="E69" s="7">
        <v>19778</v>
      </c>
      <c r="F69" s="8">
        <v>165.897864</v>
      </c>
      <c r="G69" s="9">
        <v>5.9548919999999998E-3</v>
      </c>
      <c r="H69" s="97"/>
    </row>
    <row r="70" spans="1:8" ht="25.5" x14ac:dyDescent="0.2">
      <c r="A70" s="5">
        <v>64</v>
      </c>
      <c r="B70" s="6" t="s">
        <v>214</v>
      </c>
      <c r="C70" s="6" t="s">
        <v>215</v>
      </c>
      <c r="D70" s="6" t="s">
        <v>70</v>
      </c>
      <c r="E70" s="7">
        <v>8392</v>
      </c>
      <c r="F70" s="8">
        <v>165.77556799999999</v>
      </c>
      <c r="G70" s="9">
        <v>5.9505019999999999E-3</v>
      </c>
      <c r="H70" s="97"/>
    </row>
    <row r="71" spans="1:8" x14ac:dyDescent="0.2">
      <c r="A71" s="5">
        <v>65</v>
      </c>
      <c r="B71" s="6" t="s">
        <v>610</v>
      </c>
      <c r="C71" s="6" t="s">
        <v>611</v>
      </c>
      <c r="D71" s="6" t="s">
        <v>81</v>
      </c>
      <c r="E71" s="7">
        <v>26475</v>
      </c>
      <c r="F71" s="8">
        <v>158.2807875</v>
      </c>
      <c r="G71" s="9">
        <v>5.6814780000000002E-3</v>
      </c>
      <c r="H71" s="97"/>
    </row>
    <row r="72" spans="1:8" x14ac:dyDescent="0.2">
      <c r="A72" s="5">
        <v>66</v>
      </c>
      <c r="B72" s="6" t="s">
        <v>245</v>
      </c>
      <c r="C72" s="6" t="s">
        <v>246</v>
      </c>
      <c r="D72" s="6" t="s">
        <v>247</v>
      </c>
      <c r="E72" s="7">
        <v>72207</v>
      </c>
      <c r="F72" s="8">
        <v>157.41126</v>
      </c>
      <c r="G72" s="9">
        <v>5.6502660000000001E-3</v>
      </c>
      <c r="H72" s="97"/>
    </row>
    <row r="73" spans="1:8" x14ac:dyDescent="0.2">
      <c r="A73" s="5">
        <v>67</v>
      </c>
      <c r="B73" s="6" t="s">
        <v>232</v>
      </c>
      <c r="C73" s="6" t="s">
        <v>233</v>
      </c>
      <c r="D73" s="6" t="s">
        <v>193</v>
      </c>
      <c r="E73" s="7">
        <v>2928</v>
      </c>
      <c r="F73" s="8">
        <v>156.30835200000001</v>
      </c>
      <c r="G73" s="9">
        <v>5.6106769999999997E-3</v>
      </c>
      <c r="H73" s="97"/>
    </row>
    <row r="74" spans="1:8" x14ac:dyDescent="0.2">
      <c r="A74" s="5">
        <v>68</v>
      </c>
      <c r="B74" s="6" t="s">
        <v>239</v>
      </c>
      <c r="C74" s="6" t="s">
        <v>240</v>
      </c>
      <c r="D74" s="6" t="s">
        <v>25</v>
      </c>
      <c r="E74" s="7">
        <v>191773</v>
      </c>
      <c r="F74" s="8">
        <v>150.73357799999999</v>
      </c>
      <c r="G74" s="9">
        <v>5.4105710000000003E-3</v>
      </c>
      <c r="H74" s="97"/>
    </row>
    <row r="75" spans="1:8" x14ac:dyDescent="0.2">
      <c r="A75" s="5">
        <v>69</v>
      </c>
      <c r="B75" s="6" t="s">
        <v>92</v>
      </c>
      <c r="C75" s="6" t="s">
        <v>93</v>
      </c>
      <c r="D75" s="6" t="s">
        <v>53</v>
      </c>
      <c r="E75" s="7">
        <v>154250</v>
      </c>
      <c r="F75" s="8">
        <v>132.732125</v>
      </c>
      <c r="G75" s="9">
        <v>4.7644100000000002E-3</v>
      </c>
      <c r="H75" s="97"/>
    </row>
    <row r="76" spans="1:8" x14ac:dyDescent="0.2">
      <c r="A76" s="5">
        <v>70</v>
      </c>
      <c r="B76" s="6" t="s">
        <v>250</v>
      </c>
      <c r="C76" s="6" t="s">
        <v>251</v>
      </c>
      <c r="D76" s="6" t="s">
        <v>193</v>
      </c>
      <c r="E76" s="7">
        <v>47700</v>
      </c>
      <c r="F76" s="8">
        <v>131.62815000000001</v>
      </c>
      <c r="G76" s="9">
        <v>4.7247829999999998E-3</v>
      </c>
      <c r="H76" s="97"/>
    </row>
    <row r="77" spans="1:8" x14ac:dyDescent="0.2">
      <c r="A77" s="5">
        <v>71</v>
      </c>
      <c r="B77" s="6" t="s">
        <v>241</v>
      </c>
      <c r="C77" s="6" t="s">
        <v>242</v>
      </c>
      <c r="D77" s="6" t="s">
        <v>147</v>
      </c>
      <c r="E77" s="7">
        <v>27624</v>
      </c>
      <c r="F77" s="8">
        <v>130.63389599999999</v>
      </c>
      <c r="G77" s="9">
        <v>4.6890940000000004E-3</v>
      </c>
      <c r="H77" s="97"/>
    </row>
    <row r="78" spans="1:8" x14ac:dyDescent="0.2">
      <c r="A78" s="5">
        <v>72</v>
      </c>
      <c r="B78" s="6" t="s">
        <v>298</v>
      </c>
      <c r="C78" s="6" t="s">
        <v>299</v>
      </c>
      <c r="D78" s="6" t="s">
        <v>1187</v>
      </c>
      <c r="E78" s="7">
        <v>319686</v>
      </c>
      <c r="F78" s="8">
        <v>124.67753999999999</v>
      </c>
      <c r="G78" s="9">
        <v>4.4752910000000002E-3</v>
      </c>
      <c r="H78" s="97"/>
    </row>
    <row r="79" spans="1:8" x14ac:dyDescent="0.2">
      <c r="A79" s="5">
        <v>73</v>
      </c>
      <c r="B79" s="6" t="s">
        <v>243</v>
      </c>
      <c r="C79" s="6" t="s">
        <v>244</v>
      </c>
      <c r="D79" s="6" t="s">
        <v>185</v>
      </c>
      <c r="E79" s="7">
        <v>22459</v>
      </c>
      <c r="F79" s="8">
        <v>124.085975</v>
      </c>
      <c r="G79" s="9">
        <v>4.454057E-3</v>
      </c>
      <c r="H79" s="97"/>
    </row>
    <row r="80" spans="1:8" x14ac:dyDescent="0.2">
      <c r="A80" s="5">
        <v>74</v>
      </c>
      <c r="B80" s="6" t="s">
        <v>228</v>
      </c>
      <c r="C80" s="6" t="s">
        <v>229</v>
      </c>
      <c r="D80" s="6" t="s">
        <v>327</v>
      </c>
      <c r="E80" s="7">
        <v>13264</v>
      </c>
      <c r="F80" s="8">
        <v>112.518512</v>
      </c>
      <c r="G80" s="9">
        <v>4.0388439999999998E-3</v>
      </c>
      <c r="H80" s="97"/>
    </row>
    <row r="81" spans="1:8" x14ac:dyDescent="0.2">
      <c r="A81" s="5">
        <v>75</v>
      </c>
      <c r="B81" s="6" t="s">
        <v>254</v>
      </c>
      <c r="C81" s="6" t="s">
        <v>255</v>
      </c>
      <c r="D81" s="6" t="s">
        <v>185</v>
      </c>
      <c r="E81" s="7">
        <v>8196</v>
      </c>
      <c r="F81" s="8">
        <v>85.467888000000002</v>
      </c>
      <c r="G81" s="9">
        <v>3.067864E-3</v>
      </c>
      <c r="H81" s="97"/>
    </row>
    <row r="82" spans="1:8" x14ac:dyDescent="0.2">
      <c r="A82" s="3"/>
      <c r="B82" s="3"/>
      <c r="C82" s="4" t="s">
        <v>97</v>
      </c>
      <c r="D82" s="3"/>
      <c r="E82" s="3" t="s">
        <v>98</v>
      </c>
      <c r="F82" s="11">
        <v>26669.4221875</v>
      </c>
      <c r="G82" s="12">
        <v>0.95729699999999995</v>
      </c>
      <c r="H82" s="97"/>
    </row>
    <row r="83" spans="1:8" x14ac:dyDescent="0.2">
      <c r="A83" s="3"/>
      <c r="B83" s="3"/>
      <c r="C83" s="13"/>
      <c r="D83" s="3"/>
      <c r="E83" s="3"/>
      <c r="F83" s="14"/>
      <c r="G83" s="14"/>
      <c r="H83" s="97"/>
    </row>
    <row r="84" spans="1:8" x14ac:dyDescent="0.2">
      <c r="A84" s="3"/>
      <c r="B84" s="3"/>
      <c r="C84" s="4" t="s">
        <v>99</v>
      </c>
      <c r="D84" s="3"/>
      <c r="E84" s="3"/>
      <c r="F84" s="3"/>
      <c r="G84" s="3"/>
      <c r="H84" s="97"/>
    </row>
    <row r="85" spans="1:8" x14ac:dyDescent="0.2">
      <c r="A85" s="3"/>
      <c r="B85" s="3"/>
      <c r="C85" s="4" t="s">
        <v>97</v>
      </c>
      <c r="D85" s="3"/>
      <c r="E85" s="3" t="s">
        <v>98</v>
      </c>
      <c r="F85" s="15">
        <v>0</v>
      </c>
      <c r="G85" s="16">
        <v>0</v>
      </c>
      <c r="H85" s="97"/>
    </row>
    <row r="86" spans="1:8" x14ac:dyDescent="0.2">
      <c r="A86" s="3"/>
      <c r="B86" s="3"/>
      <c r="C86" s="13"/>
      <c r="D86" s="3"/>
      <c r="E86" s="3"/>
      <c r="F86" s="14"/>
      <c r="G86" s="14"/>
      <c r="H86" s="97"/>
    </row>
    <row r="87" spans="1:8" x14ac:dyDescent="0.2">
      <c r="A87" s="3"/>
      <c r="B87" s="3"/>
      <c r="C87" s="4" t="s">
        <v>100</v>
      </c>
      <c r="D87" s="3"/>
      <c r="E87" s="3"/>
      <c r="F87" s="3"/>
      <c r="G87" s="3"/>
      <c r="H87" s="97"/>
    </row>
    <row r="88" spans="1:8" x14ac:dyDescent="0.2">
      <c r="A88" s="3"/>
      <c r="B88" s="3"/>
      <c r="C88" s="4" t="s">
        <v>97</v>
      </c>
      <c r="D88" s="3"/>
      <c r="E88" s="3" t="s">
        <v>98</v>
      </c>
      <c r="F88" s="15">
        <v>0</v>
      </c>
      <c r="G88" s="16">
        <v>0</v>
      </c>
      <c r="H88" s="97"/>
    </row>
    <row r="89" spans="1:8" x14ac:dyDescent="0.2">
      <c r="A89" s="3"/>
      <c r="B89" s="3"/>
      <c r="C89" s="13"/>
      <c r="D89" s="3"/>
      <c r="E89" s="3"/>
      <c r="F89" s="14"/>
      <c r="G89" s="14"/>
      <c r="H89" s="97"/>
    </row>
    <row r="90" spans="1:8" x14ac:dyDescent="0.2">
      <c r="A90" s="3"/>
      <c r="B90" s="3"/>
      <c r="C90" s="4" t="s">
        <v>101</v>
      </c>
      <c r="D90" s="3"/>
      <c r="E90" s="3"/>
      <c r="F90" s="3"/>
      <c r="G90" s="3"/>
      <c r="H90" s="97"/>
    </row>
    <row r="91" spans="1:8" x14ac:dyDescent="0.2">
      <c r="A91" s="3"/>
      <c r="B91" s="3"/>
      <c r="C91" s="4" t="s">
        <v>97</v>
      </c>
      <c r="D91" s="3"/>
      <c r="E91" s="3" t="s">
        <v>98</v>
      </c>
      <c r="F91" s="15">
        <v>0</v>
      </c>
      <c r="G91" s="16">
        <v>0</v>
      </c>
      <c r="H91" s="97"/>
    </row>
    <row r="92" spans="1:8" x14ac:dyDescent="0.2">
      <c r="A92" s="3"/>
      <c r="B92" s="3"/>
      <c r="C92" s="13"/>
      <c r="D92" s="3"/>
      <c r="E92" s="3"/>
      <c r="F92" s="14"/>
      <c r="G92" s="14"/>
      <c r="H92" s="97"/>
    </row>
    <row r="93" spans="1:8" x14ac:dyDescent="0.2">
      <c r="A93" s="3"/>
      <c r="B93" s="3"/>
      <c r="C93" s="4" t="s">
        <v>102</v>
      </c>
      <c r="D93" s="3"/>
      <c r="E93" s="3"/>
      <c r="F93" s="14"/>
      <c r="G93" s="14"/>
      <c r="H93" s="97"/>
    </row>
    <row r="94" spans="1:8" x14ac:dyDescent="0.2">
      <c r="A94" s="3"/>
      <c r="B94" s="3"/>
      <c r="C94" s="4" t="s">
        <v>97</v>
      </c>
      <c r="D94" s="3"/>
      <c r="E94" s="3" t="s">
        <v>98</v>
      </c>
      <c r="F94" s="15">
        <v>0</v>
      </c>
      <c r="G94" s="16">
        <v>0</v>
      </c>
      <c r="H94" s="97"/>
    </row>
    <row r="95" spans="1:8" x14ac:dyDescent="0.2">
      <c r="A95" s="3"/>
      <c r="B95" s="3"/>
      <c r="C95" s="13"/>
      <c r="D95" s="3"/>
      <c r="E95" s="3"/>
      <c r="F95" s="14"/>
      <c r="G95" s="14"/>
      <c r="H95" s="97"/>
    </row>
    <row r="96" spans="1:8" x14ac:dyDescent="0.2">
      <c r="A96" s="3"/>
      <c r="B96" s="3"/>
      <c r="C96" s="4" t="s">
        <v>103</v>
      </c>
      <c r="D96" s="3"/>
      <c r="E96" s="3"/>
      <c r="F96" s="14"/>
      <c r="G96" s="14"/>
      <c r="H96" s="97"/>
    </row>
    <row r="97" spans="1:8" x14ac:dyDescent="0.2">
      <c r="A97" s="3"/>
      <c r="B97" s="3"/>
      <c r="C97" s="4" t="s">
        <v>97</v>
      </c>
      <c r="D97" s="3"/>
      <c r="E97" s="3" t="s">
        <v>98</v>
      </c>
      <c r="F97" s="15">
        <v>0</v>
      </c>
      <c r="G97" s="16">
        <v>0</v>
      </c>
      <c r="H97" s="97"/>
    </row>
    <row r="98" spans="1:8" x14ac:dyDescent="0.2">
      <c r="A98" s="3"/>
      <c r="B98" s="3"/>
      <c r="C98" s="13"/>
      <c r="D98" s="3"/>
      <c r="E98" s="3"/>
      <c r="F98" s="14"/>
      <c r="G98" s="14"/>
      <c r="H98" s="97"/>
    </row>
    <row r="99" spans="1:8" x14ac:dyDescent="0.2">
      <c r="A99" s="3"/>
      <c r="B99" s="3"/>
      <c r="C99" s="4" t="s">
        <v>104</v>
      </c>
      <c r="D99" s="3"/>
      <c r="E99" s="3"/>
      <c r="F99" s="11">
        <v>26669.4221875</v>
      </c>
      <c r="G99" s="12">
        <v>0.95729699999999995</v>
      </c>
      <c r="H99" s="97"/>
    </row>
    <row r="100" spans="1:8" x14ac:dyDescent="0.2">
      <c r="A100" s="3"/>
      <c r="B100" s="3"/>
      <c r="C100" s="13"/>
      <c r="D100" s="3"/>
      <c r="E100" s="3"/>
      <c r="F100" s="14"/>
      <c r="G100" s="14"/>
      <c r="H100" s="97"/>
    </row>
    <row r="101" spans="1:8" x14ac:dyDescent="0.2">
      <c r="A101" s="3"/>
      <c r="B101" s="3"/>
      <c r="C101" s="4" t="s">
        <v>105</v>
      </c>
      <c r="D101" s="3"/>
      <c r="E101" s="3"/>
      <c r="F101" s="14"/>
      <c r="G101" s="14"/>
      <c r="H101" s="97"/>
    </row>
    <row r="102" spans="1:8" ht="25.5" x14ac:dyDescent="0.2">
      <c r="A102" s="3"/>
      <c r="B102" s="3"/>
      <c r="C102" s="4" t="s">
        <v>10</v>
      </c>
      <c r="D102" s="3"/>
      <c r="E102" s="3"/>
      <c r="F102" s="14"/>
      <c r="G102" s="14"/>
      <c r="H102" s="97"/>
    </row>
    <row r="103" spans="1:8" x14ac:dyDescent="0.2">
      <c r="A103" s="3"/>
      <c r="B103" s="3"/>
      <c r="C103" s="4" t="s">
        <v>97</v>
      </c>
      <c r="D103" s="3"/>
      <c r="E103" s="3" t="s">
        <v>98</v>
      </c>
      <c r="F103" s="15">
        <v>0</v>
      </c>
      <c r="G103" s="16">
        <v>0</v>
      </c>
      <c r="H103" s="97"/>
    </row>
    <row r="104" spans="1:8" x14ac:dyDescent="0.2">
      <c r="A104" s="3"/>
      <c r="B104" s="3"/>
      <c r="C104" s="13"/>
      <c r="D104" s="3"/>
      <c r="E104" s="3"/>
      <c r="F104" s="14"/>
      <c r="G104" s="14"/>
      <c r="H104" s="97"/>
    </row>
    <row r="105" spans="1:8" x14ac:dyDescent="0.2">
      <c r="A105" s="3"/>
      <c r="B105" s="3"/>
      <c r="C105" s="4" t="s">
        <v>106</v>
      </c>
      <c r="D105" s="3"/>
      <c r="E105" s="3"/>
      <c r="F105" s="3"/>
      <c r="G105" s="3"/>
      <c r="H105" s="97"/>
    </row>
    <row r="106" spans="1:8" x14ac:dyDescent="0.2">
      <c r="A106" s="3"/>
      <c r="B106" s="3"/>
      <c r="C106" s="4" t="s">
        <v>97</v>
      </c>
      <c r="D106" s="3"/>
      <c r="E106" s="3" t="s">
        <v>98</v>
      </c>
      <c r="F106" s="15">
        <v>0</v>
      </c>
      <c r="G106" s="16">
        <v>0</v>
      </c>
      <c r="H106" s="97"/>
    </row>
    <row r="107" spans="1:8" x14ac:dyDescent="0.2">
      <c r="A107" s="3"/>
      <c r="B107" s="3"/>
      <c r="C107" s="13"/>
      <c r="D107" s="3"/>
      <c r="E107" s="3"/>
      <c r="F107" s="14"/>
      <c r="G107" s="14"/>
      <c r="H107" s="97"/>
    </row>
    <row r="108" spans="1:8" x14ac:dyDescent="0.2">
      <c r="A108" s="3"/>
      <c r="B108" s="3"/>
      <c r="C108" s="4" t="s">
        <v>107</v>
      </c>
      <c r="D108" s="3"/>
      <c r="E108" s="3"/>
      <c r="F108" s="3"/>
      <c r="G108" s="3"/>
      <c r="H108" s="97"/>
    </row>
    <row r="109" spans="1:8" x14ac:dyDescent="0.2">
      <c r="A109" s="3"/>
      <c r="B109" s="3"/>
      <c r="C109" s="4" t="s">
        <v>97</v>
      </c>
      <c r="D109" s="3"/>
      <c r="E109" s="3" t="s">
        <v>98</v>
      </c>
      <c r="F109" s="15">
        <v>0</v>
      </c>
      <c r="G109" s="16">
        <v>0</v>
      </c>
      <c r="H109" s="97"/>
    </row>
    <row r="110" spans="1:8" x14ac:dyDescent="0.2">
      <c r="A110" s="3"/>
      <c r="B110" s="3"/>
      <c r="C110" s="13"/>
      <c r="D110" s="3"/>
      <c r="E110" s="3"/>
      <c r="F110" s="14"/>
      <c r="G110" s="14"/>
      <c r="H110" s="97"/>
    </row>
    <row r="111" spans="1:8" x14ac:dyDescent="0.2">
      <c r="A111" s="3"/>
      <c r="B111" s="3"/>
      <c r="C111" s="4" t="s">
        <v>108</v>
      </c>
      <c r="D111" s="3"/>
      <c r="E111" s="3"/>
      <c r="F111" s="14"/>
      <c r="G111" s="14"/>
      <c r="H111" s="97"/>
    </row>
    <row r="112" spans="1:8" x14ac:dyDescent="0.2">
      <c r="A112" s="3"/>
      <c r="B112" s="3"/>
      <c r="C112" s="4" t="s">
        <v>97</v>
      </c>
      <c r="D112" s="3"/>
      <c r="E112" s="3" t="s">
        <v>98</v>
      </c>
      <c r="F112" s="15">
        <v>0</v>
      </c>
      <c r="G112" s="16">
        <v>0</v>
      </c>
      <c r="H112" s="97"/>
    </row>
    <row r="113" spans="1:8" x14ac:dyDescent="0.2">
      <c r="A113" s="3"/>
      <c r="B113" s="3"/>
      <c r="C113" s="13"/>
      <c r="D113" s="3"/>
      <c r="E113" s="3"/>
      <c r="F113" s="14"/>
      <c r="G113" s="14"/>
      <c r="H113" s="97"/>
    </row>
    <row r="114" spans="1:8" x14ac:dyDescent="0.2">
      <c r="A114" s="3"/>
      <c r="B114" s="3"/>
      <c r="C114" s="4" t="s">
        <v>109</v>
      </c>
      <c r="D114" s="3"/>
      <c r="E114" s="3"/>
      <c r="F114" s="11">
        <v>0</v>
      </c>
      <c r="G114" s="12">
        <v>0</v>
      </c>
      <c r="H114" s="97"/>
    </row>
    <row r="115" spans="1:8" x14ac:dyDescent="0.2">
      <c r="A115" s="3"/>
      <c r="B115" s="3"/>
      <c r="C115" s="13"/>
      <c r="D115" s="3"/>
      <c r="E115" s="3"/>
      <c r="F115" s="14"/>
      <c r="G115" s="14"/>
      <c r="H115" s="97"/>
    </row>
    <row r="116" spans="1:8" x14ac:dyDescent="0.2">
      <c r="A116" s="3"/>
      <c r="B116" s="3"/>
      <c r="C116" s="4" t="s">
        <v>110</v>
      </c>
      <c r="D116" s="3"/>
      <c r="E116" s="3"/>
      <c r="F116" s="14"/>
      <c r="G116" s="14"/>
      <c r="H116" s="97"/>
    </row>
    <row r="117" spans="1:8" x14ac:dyDescent="0.2">
      <c r="A117" s="3"/>
      <c r="B117" s="3"/>
      <c r="C117" s="4" t="s">
        <v>111</v>
      </c>
      <c r="D117" s="3"/>
      <c r="E117" s="3"/>
      <c r="F117" s="14"/>
      <c r="G117" s="14"/>
      <c r="H117" s="97"/>
    </row>
    <row r="118" spans="1:8" x14ac:dyDescent="0.2">
      <c r="A118" s="3"/>
      <c r="B118" s="3"/>
      <c r="C118" s="4" t="s">
        <v>97</v>
      </c>
      <c r="D118" s="3"/>
      <c r="E118" s="3" t="s">
        <v>98</v>
      </c>
      <c r="F118" s="15">
        <v>0</v>
      </c>
      <c r="G118" s="16">
        <v>0</v>
      </c>
      <c r="H118" s="97"/>
    </row>
    <row r="119" spans="1:8" x14ac:dyDescent="0.2">
      <c r="A119" s="3"/>
      <c r="B119" s="3"/>
      <c r="C119" s="13"/>
      <c r="D119" s="3"/>
      <c r="E119" s="3"/>
      <c r="F119" s="14"/>
      <c r="G119" s="14"/>
      <c r="H119" s="97"/>
    </row>
    <row r="120" spans="1:8" x14ac:dyDescent="0.2">
      <c r="A120" s="3"/>
      <c r="B120" s="3"/>
      <c r="C120" s="4" t="s">
        <v>112</v>
      </c>
      <c r="D120" s="3"/>
      <c r="E120" s="3"/>
      <c r="F120" s="14"/>
      <c r="G120" s="14"/>
      <c r="H120" s="97"/>
    </row>
    <row r="121" spans="1:8" x14ac:dyDescent="0.2">
      <c r="A121" s="3"/>
      <c r="B121" s="3"/>
      <c r="C121" s="4" t="s">
        <v>97</v>
      </c>
      <c r="D121" s="3"/>
      <c r="E121" s="3" t="s">
        <v>98</v>
      </c>
      <c r="F121" s="15">
        <v>0</v>
      </c>
      <c r="G121" s="16">
        <v>0</v>
      </c>
      <c r="H121" s="97"/>
    </row>
    <row r="122" spans="1:8" x14ac:dyDescent="0.2">
      <c r="A122" s="3"/>
      <c r="B122" s="3"/>
      <c r="C122" s="13"/>
      <c r="D122" s="3"/>
      <c r="E122" s="3"/>
      <c r="F122" s="14"/>
      <c r="G122" s="14"/>
      <c r="H122" s="97"/>
    </row>
    <row r="123" spans="1:8" x14ac:dyDescent="0.2">
      <c r="A123" s="3"/>
      <c r="B123" s="3"/>
      <c r="C123" s="4" t="s">
        <v>113</v>
      </c>
      <c r="D123" s="3"/>
      <c r="E123" s="3"/>
      <c r="F123" s="14"/>
      <c r="G123" s="14"/>
      <c r="H123" s="97"/>
    </row>
    <row r="124" spans="1:8" x14ac:dyDescent="0.2">
      <c r="A124" s="3"/>
      <c r="B124" s="3"/>
      <c r="C124" s="4" t="s">
        <v>97</v>
      </c>
      <c r="D124" s="3"/>
      <c r="E124" s="3" t="s">
        <v>98</v>
      </c>
      <c r="F124" s="15">
        <v>0</v>
      </c>
      <c r="G124" s="16">
        <v>0</v>
      </c>
      <c r="H124" s="97"/>
    </row>
    <row r="125" spans="1:8" x14ac:dyDescent="0.2">
      <c r="A125" s="3"/>
      <c r="B125" s="3"/>
      <c r="C125" s="13"/>
      <c r="D125" s="3"/>
      <c r="E125" s="3"/>
      <c r="F125" s="14"/>
      <c r="G125" s="14"/>
      <c r="H125" s="97"/>
    </row>
    <row r="126" spans="1:8" x14ac:dyDescent="0.2">
      <c r="A126" s="3"/>
      <c r="B126" s="3"/>
      <c r="C126" s="4" t="s">
        <v>114</v>
      </c>
      <c r="D126" s="3"/>
      <c r="E126" s="3"/>
      <c r="F126" s="14"/>
      <c r="G126" s="14"/>
      <c r="H126" s="97"/>
    </row>
    <row r="127" spans="1:8" x14ac:dyDescent="0.2">
      <c r="A127" s="5">
        <v>1</v>
      </c>
      <c r="B127" s="6"/>
      <c r="C127" s="6" t="s">
        <v>115</v>
      </c>
      <c r="D127" s="6"/>
      <c r="E127" s="10"/>
      <c r="F127" s="8">
        <v>761.02836869999999</v>
      </c>
      <c r="G127" s="9">
        <v>2.7317059000000001E-2</v>
      </c>
      <c r="H127" s="8">
        <v>3.4504560529072292</v>
      </c>
    </row>
    <row r="128" spans="1:8" x14ac:dyDescent="0.2">
      <c r="A128" s="5">
        <v>2</v>
      </c>
      <c r="B128" s="6"/>
      <c r="C128" s="6" t="s">
        <v>116</v>
      </c>
      <c r="D128" s="6"/>
      <c r="E128" s="10"/>
      <c r="F128" s="8">
        <v>410.7327646</v>
      </c>
      <c r="G128" s="9">
        <v>1.4743223E-2</v>
      </c>
      <c r="H128" s="8">
        <v>3.5655822479098256</v>
      </c>
    </row>
    <row r="129" spans="1:8" x14ac:dyDescent="0.2">
      <c r="A129" s="3"/>
      <c r="B129" s="3"/>
      <c r="C129" s="4" t="s">
        <v>97</v>
      </c>
      <c r="D129" s="3"/>
      <c r="E129" s="3" t="s">
        <v>98</v>
      </c>
      <c r="F129" s="11">
        <v>1171.7611333</v>
      </c>
      <c r="G129" s="12">
        <v>4.2060281999999997E-2</v>
      </c>
      <c r="H129" s="97"/>
    </row>
    <row r="130" spans="1:8" x14ac:dyDescent="0.2">
      <c r="A130" s="3"/>
      <c r="B130" s="3"/>
      <c r="C130" s="13"/>
      <c r="D130" s="3"/>
      <c r="E130" s="3"/>
      <c r="F130" s="14"/>
      <c r="G130" s="14"/>
      <c r="H130" s="97"/>
    </row>
    <row r="131" spans="1:8" x14ac:dyDescent="0.2">
      <c r="A131" s="3"/>
      <c r="B131" s="3"/>
      <c r="C131" s="4" t="s">
        <v>117</v>
      </c>
      <c r="D131" s="3"/>
      <c r="E131" s="3"/>
      <c r="F131" s="11">
        <v>1171.7611333</v>
      </c>
      <c r="G131" s="12">
        <v>4.2060281999999997E-2</v>
      </c>
      <c r="H131" s="97"/>
    </row>
    <row r="132" spans="1:8" x14ac:dyDescent="0.2">
      <c r="A132" s="3"/>
      <c r="B132" s="3"/>
      <c r="C132" s="14"/>
      <c r="D132" s="3"/>
      <c r="E132" s="3"/>
      <c r="F132" s="3"/>
      <c r="G132" s="3"/>
      <c r="H132" s="97"/>
    </row>
    <row r="133" spans="1:8" x14ac:dyDescent="0.2">
      <c r="A133" s="3"/>
      <c r="B133" s="3"/>
      <c r="C133" s="4" t="s">
        <v>118</v>
      </c>
      <c r="D133" s="3"/>
      <c r="E133" s="3"/>
      <c r="F133" s="3"/>
      <c r="G133" s="3"/>
      <c r="H133" s="97"/>
    </row>
    <row r="134" spans="1:8" x14ac:dyDescent="0.2">
      <c r="A134" s="3"/>
      <c r="B134" s="3"/>
      <c r="C134" s="4" t="s">
        <v>119</v>
      </c>
      <c r="D134" s="3"/>
      <c r="E134" s="3"/>
      <c r="F134" s="3"/>
      <c r="G134" s="3"/>
      <c r="H134" s="97"/>
    </row>
    <row r="135" spans="1:8" x14ac:dyDescent="0.2">
      <c r="A135" s="3"/>
      <c r="B135" s="3"/>
      <c r="C135" s="4" t="s">
        <v>97</v>
      </c>
      <c r="D135" s="3"/>
      <c r="E135" s="3" t="s">
        <v>98</v>
      </c>
      <c r="F135" s="15">
        <v>0</v>
      </c>
      <c r="G135" s="16">
        <v>0</v>
      </c>
      <c r="H135" s="97"/>
    </row>
    <row r="136" spans="1:8" x14ac:dyDescent="0.2">
      <c r="A136" s="3"/>
      <c r="B136" s="3"/>
      <c r="C136" s="13"/>
      <c r="D136" s="3"/>
      <c r="E136" s="3"/>
      <c r="F136" s="14"/>
      <c r="G136" s="14"/>
      <c r="H136" s="97"/>
    </row>
    <row r="137" spans="1:8" x14ac:dyDescent="0.2">
      <c r="A137" s="3"/>
      <c r="B137" s="3"/>
      <c r="C137" s="4" t="s">
        <v>120</v>
      </c>
      <c r="D137" s="3"/>
      <c r="E137" s="3"/>
      <c r="F137" s="3"/>
      <c r="G137" s="3"/>
      <c r="H137" s="97"/>
    </row>
    <row r="138" spans="1:8" x14ac:dyDescent="0.2">
      <c r="A138" s="3"/>
      <c r="B138" s="3"/>
      <c r="C138" s="4" t="s">
        <v>121</v>
      </c>
      <c r="D138" s="3"/>
      <c r="E138" s="3"/>
      <c r="F138" s="3"/>
      <c r="G138" s="3"/>
      <c r="H138" s="97"/>
    </row>
    <row r="139" spans="1:8" x14ac:dyDescent="0.2">
      <c r="A139" s="3"/>
      <c r="B139" s="3"/>
      <c r="C139" s="4" t="s">
        <v>97</v>
      </c>
      <c r="D139" s="3"/>
      <c r="E139" s="3" t="s">
        <v>98</v>
      </c>
      <c r="F139" s="15">
        <v>0</v>
      </c>
      <c r="G139" s="16">
        <v>0</v>
      </c>
      <c r="H139" s="97"/>
    </row>
    <row r="140" spans="1:8" x14ac:dyDescent="0.2">
      <c r="A140" s="3"/>
      <c r="B140" s="3"/>
      <c r="C140" s="13"/>
      <c r="D140" s="3"/>
      <c r="E140" s="3"/>
      <c r="F140" s="14"/>
      <c r="G140" s="14"/>
      <c r="H140" s="97"/>
    </row>
    <row r="141" spans="1:8" x14ac:dyDescent="0.2">
      <c r="A141" s="3"/>
      <c r="B141" s="3"/>
      <c r="C141" s="13"/>
      <c r="D141" s="3"/>
      <c r="E141" s="3"/>
      <c r="F141" s="14"/>
      <c r="G141" s="14"/>
      <c r="H141" s="97"/>
    </row>
    <row r="142" spans="1:8" ht="25.5" x14ac:dyDescent="0.2">
      <c r="A142" s="3"/>
      <c r="B142" s="3"/>
      <c r="C142" s="4" t="s">
        <v>122</v>
      </c>
      <c r="D142" s="3"/>
      <c r="E142" s="3"/>
      <c r="F142" s="14"/>
      <c r="G142" s="14"/>
      <c r="H142" s="97"/>
    </row>
    <row r="143" spans="1:8" x14ac:dyDescent="0.2">
      <c r="A143" s="3"/>
      <c r="B143" s="3"/>
      <c r="C143" s="4" t="s">
        <v>97</v>
      </c>
      <c r="D143" s="3"/>
      <c r="E143" s="3" t="s">
        <v>98</v>
      </c>
      <c r="F143" s="15">
        <v>0</v>
      </c>
      <c r="G143" s="16">
        <v>0</v>
      </c>
      <c r="H143" s="97"/>
    </row>
    <row r="144" spans="1:8" x14ac:dyDescent="0.2">
      <c r="A144" s="3"/>
      <c r="B144" s="3"/>
      <c r="C144" s="13"/>
      <c r="D144" s="3"/>
      <c r="E144" s="3"/>
      <c r="F144" s="14"/>
      <c r="G144" s="14"/>
      <c r="H144" s="97"/>
    </row>
    <row r="145" spans="1:8" x14ac:dyDescent="0.2">
      <c r="A145" s="3"/>
      <c r="B145" s="6"/>
      <c r="C145" s="6"/>
      <c r="D145" s="4"/>
      <c r="E145" s="3"/>
      <c r="F145" s="6"/>
      <c r="G145" s="10"/>
      <c r="H145" s="97"/>
    </row>
    <row r="146" spans="1:8" x14ac:dyDescent="0.2">
      <c r="A146" s="10"/>
      <c r="B146" s="6"/>
      <c r="C146" s="6" t="s">
        <v>123</v>
      </c>
      <c r="D146" s="6"/>
      <c r="E146" s="10"/>
      <c r="F146" s="8">
        <v>17.90549511</v>
      </c>
      <c r="G146" s="9">
        <v>6.4271599999999999E-4</v>
      </c>
      <c r="H146" s="97"/>
    </row>
    <row r="147" spans="1:8" x14ac:dyDescent="0.2">
      <c r="A147" s="13"/>
      <c r="B147" s="13"/>
      <c r="C147" s="4" t="s">
        <v>124</v>
      </c>
      <c r="D147" s="17"/>
      <c r="E147" s="17"/>
      <c r="F147" s="11">
        <v>27859.08881591</v>
      </c>
      <c r="G147" s="12">
        <v>0.99999999799999995</v>
      </c>
      <c r="H147" s="97"/>
    </row>
    <row r="148" spans="1:8" ht="14.1" customHeight="1" x14ac:dyDescent="0.2">
      <c r="A148" s="20"/>
      <c r="B148" s="226" t="s">
        <v>98</v>
      </c>
      <c r="C148" s="226"/>
      <c r="D148" s="226"/>
      <c r="E148" s="226"/>
      <c r="F148" s="226"/>
      <c r="G148" s="22"/>
    </row>
    <row r="149" spans="1:8" ht="14.1" customHeight="1" x14ac:dyDescent="0.2">
      <c r="A149" s="20"/>
      <c r="B149" s="20"/>
      <c r="C149" s="20"/>
      <c r="D149" s="22"/>
      <c r="E149" s="22"/>
      <c r="F149" s="22"/>
      <c r="G149" s="22"/>
    </row>
    <row r="150" spans="1:8" ht="14.1" customHeight="1" x14ac:dyDescent="0.2">
      <c r="A150" s="20"/>
      <c r="B150" s="224" t="s">
        <v>126</v>
      </c>
      <c r="C150" s="225"/>
      <c r="D150" s="14" t="s">
        <v>98</v>
      </c>
      <c r="E150" s="23"/>
      <c r="F150" s="22"/>
      <c r="G150" s="22"/>
    </row>
    <row r="151" spans="1:8" ht="29.1" customHeight="1" x14ac:dyDescent="0.2">
      <c r="A151" s="20"/>
      <c r="B151" s="231" t="s">
        <v>127</v>
      </c>
      <c r="C151" s="232"/>
      <c r="D151" s="4" t="s">
        <v>128</v>
      </c>
      <c r="E151" s="23"/>
      <c r="F151" s="22"/>
      <c r="G151" s="22"/>
    </row>
    <row r="152" spans="1:8" ht="17.100000000000001" customHeight="1" x14ac:dyDescent="0.2">
      <c r="A152" s="20"/>
      <c r="B152" s="231" t="s">
        <v>129</v>
      </c>
      <c r="C152" s="232"/>
      <c r="D152" s="4" t="s">
        <v>128</v>
      </c>
      <c r="E152" s="23"/>
      <c r="F152" s="22"/>
      <c r="G152" s="22"/>
    </row>
    <row r="153" spans="1:8" ht="17.100000000000001" customHeight="1" x14ac:dyDescent="0.2">
      <c r="A153" s="20"/>
      <c r="B153" s="231" t="s">
        <v>130</v>
      </c>
      <c r="C153" s="232"/>
      <c r="D153" s="14" t="s">
        <v>98</v>
      </c>
      <c r="E153" s="23"/>
      <c r="F153" s="22"/>
      <c r="G153" s="22"/>
    </row>
    <row r="154" spans="1:8" ht="24" customHeight="1" x14ac:dyDescent="0.2">
      <c r="A154" s="24"/>
      <c r="B154" s="25" t="s">
        <v>98</v>
      </c>
      <c r="C154" s="25" t="s">
        <v>131</v>
      </c>
      <c r="D154" s="25" t="s">
        <v>132</v>
      </c>
      <c r="E154" s="24"/>
      <c r="F154" s="24"/>
      <c r="G154" s="24"/>
    </row>
    <row r="155" spans="1:8" ht="18" customHeight="1" x14ac:dyDescent="0.2">
      <c r="A155" s="24"/>
      <c r="B155" s="25" t="s">
        <v>133</v>
      </c>
      <c r="C155" s="25" t="s">
        <v>134</v>
      </c>
      <c r="D155" s="25" t="s">
        <v>135</v>
      </c>
      <c r="E155" s="24"/>
      <c r="F155" s="24"/>
      <c r="G155" s="24"/>
    </row>
    <row r="156" spans="1:8" ht="17.100000000000001" customHeight="1" x14ac:dyDescent="0.2">
      <c r="A156" s="24"/>
      <c r="B156" s="6" t="s">
        <v>136</v>
      </c>
      <c r="C156" s="26">
        <v>17.5991</v>
      </c>
      <c r="D156" s="26">
        <v>18.329899999999999</v>
      </c>
      <c r="E156" s="24"/>
      <c r="F156" s="21"/>
      <c r="G156" s="27"/>
    </row>
    <row r="157" spans="1:8" ht="17.100000000000001" customHeight="1" x14ac:dyDescent="0.2">
      <c r="A157" s="24"/>
      <c r="B157" s="6" t="s">
        <v>1201</v>
      </c>
      <c r="C157" s="26">
        <v>17.276</v>
      </c>
      <c r="D157" s="26">
        <v>17.993300000000001</v>
      </c>
      <c r="E157" s="24"/>
      <c r="F157" s="21"/>
      <c r="G157" s="27"/>
    </row>
    <row r="158" spans="1:8" ht="17.100000000000001" customHeight="1" x14ac:dyDescent="0.2">
      <c r="A158" s="24"/>
      <c r="B158" s="6" t="s">
        <v>137</v>
      </c>
      <c r="C158" s="26">
        <v>17.101099999999999</v>
      </c>
      <c r="D158" s="26">
        <v>17.802199999999999</v>
      </c>
      <c r="E158" s="24"/>
      <c r="F158" s="21"/>
      <c r="G158" s="27"/>
    </row>
    <row r="159" spans="1:8" ht="17.100000000000001" customHeight="1" x14ac:dyDescent="0.2">
      <c r="A159" s="24"/>
      <c r="B159" s="6" t="s">
        <v>1202</v>
      </c>
      <c r="C159" s="26">
        <v>16.7789</v>
      </c>
      <c r="D159" s="26">
        <v>17.466699999999999</v>
      </c>
      <c r="E159" s="24"/>
      <c r="F159" s="21"/>
      <c r="G159" s="27"/>
    </row>
    <row r="160" spans="1:8" ht="14.1" customHeight="1" x14ac:dyDescent="0.2">
      <c r="A160" s="24"/>
      <c r="B160" s="24"/>
      <c r="C160" s="24"/>
      <c r="D160" s="24"/>
      <c r="E160" s="24"/>
      <c r="F160" s="24"/>
      <c r="G160" s="24"/>
    </row>
    <row r="161" spans="1:17" ht="17.100000000000001" customHeight="1" x14ac:dyDescent="0.2">
      <c r="A161" s="24"/>
      <c r="B161" s="231" t="s">
        <v>1203</v>
      </c>
      <c r="C161" s="232"/>
      <c r="D161" s="4" t="s">
        <v>128</v>
      </c>
      <c r="E161" s="24"/>
      <c r="F161" s="24"/>
      <c r="G161" s="24"/>
    </row>
    <row r="162" spans="1:17" ht="18" customHeight="1" x14ac:dyDescent="0.2">
      <c r="A162" s="24"/>
      <c r="B162" s="28"/>
      <c r="C162" s="28"/>
      <c r="D162" s="29"/>
      <c r="E162" s="24"/>
      <c r="F162" s="24"/>
      <c r="G162" s="24"/>
    </row>
    <row r="163" spans="1:17" s="87" customFormat="1" x14ac:dyDescent="0.2">
      <c r="B163" s="233" t="s">
        <v>1207</v>
      </c>
      <c r="C163" s="233"/>
      <c r="D163" s="233"/>
      <c r="E163" s="233"/>
      <c r="F163" s="233"/>
      <c r="I163"/>
      <c r="J163"/>
      <c r="K163"/>
      <c r="L163"/>
      <c r="M163"/>
      <c r="N163"/>
      <c r="O163"/>
      <c r="P163"/>
      <c r="Q163" s="69"/>
    </row>
    <row r="164" spans="1:17" ht="14.1" customHeight="1" x14ac:dyDescent="0.2">
      <c r="A164" s="24"/>
      <c r="B164" s="21"/>
      <c r="C164" s="21"/>
      <c r="D164" s="24"/>
      <c r="E164" s="24"/>
      <c r="F164" s="24"/>
      <c r="G164" s="24"/>
      <c r="I164" s="87"/>
      <c r="J164" s="87"/>
      <c r="K164" s="87"/>
      <c r="L164" s="87"/>
      <c r="M164" s="87"/>
      <c r="N164" s="87"/>
      <c r="O164" s="87"/>
    </row>
    <row r="165" spans="1:17" ht="29.1" customHeight="1" x14ac:dyDescent="0.2">
      <c r="A165" s="24"/>
      <c r="B165" s="231" t="s">
        <v>138</v>
      </c>
      <c r="C165" s="232"/>
      <c r="D165" s="4" t="s">
        <v>128</v>
      </c>
      <c r="E165" s="24"/>
      <c r="F165" s="24"/>
      <c r="G165" s="24"/>
    </row>
    <row r="166" spans="1:17" ht="29.1" customHeight="1" x14ac:dyDescent="0.2">
      <c r="A166" s="24"/>
      <c r="B166" s="231" t="s">
        <v>139</v>
      </c>
      <c r="C166" s="232"/>
      <c r="D166" s="4" t="s">
        <v>128</v>
      </c>
      <c r="E166" s="24"/>
      <c r="F166" s="24"/>
      <c r="G166" s="24"/>
      <c r="P166" s="69"/>
    </row>
    <row r="167" spans="1:17" ht="17.100000000000001" customHeight="1" x14ac:dyDescent="0.2">
      <c r="A167" s="24"/>
      <c r="B167" s="231" t="s">
        <v>140</v>
      </c>
      <c r="C167" s="232"/>
      <c r="D167" s="30">
        <v>0.37260317129610998</v>
      </c>
      <c r="E167" s="24"/>
      <c r="F167" s="21"/>
      <c r="G167" s="27"/>
    </row>
    <row r="168" spans="1:17" ht="17.100000000000001" customHeight="1" x14ac:dyDescent="0.2">
      <c r="A168" s="24"/>
      <c r="B168" s="231" t="s">
        <v>141</v>
      </c>
      <c r="C168" s="232"/>
      <c r="D168" s="4" t="s">
        <v>128</v>
      </c>
      <c r="E168" s="24"/>
      <c r="F168" s="24"/>
      <c r="G168" s="24"/>
    </row>
  </sheetData>
  <mergeCells count="15">
    <mergeCell ref="B167:C167"/>
    <mergeCell ref="B168:C168"/>
    <mergeCell ref="B151:C151"/>
    <mergeCell ref="B152:C152"/>
    <mergeCell ref="B153:C153"/>
    <mergeCell ref="B161:C161"/>
    <mergeCell ref="B165:C165"/>
    <mergeCell ref="B166:C166"/>
    <mergeCell ref="B163:F163"/>
    <mergeCell ref="J2:N2"/>
    <mergeCell ref="B150:C150"/>
    <mergeCell ref="B148:F148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6">
    <outlinePr summaryBelow="0" summaryRight="0"/>
  </sheetPr>
  <dimension ref="A1:Q168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5" ht="15" x14ac:dyDescent="0.2">
      <c r="A1" s="227" t="s">
        <v>0</v>
      </c>
      <c r="B1" s="227"/>
      <c r="C1" s="227"/>
      <c r="D1" s="227"/>
      <c r="E1" s="227"/>
      <c r="F1" s="227"/>
      <c r="G1" s="227"/>
      <c r="H1" s="227"/>
    </row>
    <row r="2" spans="1:15" s="87" customFormat="1" ht="15" x14ac:dyDescent="0.2">
      <c r="A2" s="228" t="s">
        <v>616</v>
      </c>
      <c r="B2" s="229"/>
      <c r="C2" s="229"/>
      <c r="D2" s="229"/>
      <c r="E2" s="229"/>
      <c r="F2" s="229"/>
      <c r="G2" s="229"/>
      <c r="H2" s="230"/>
      <c r="I2"/>
      <c r="J2" s="223" t="s">
        <v>1238</v>
      </c>
      <c r="K2" s="223"/>
      <c r="L2" s="223"/>
      <c r="M2" s="223"/>
      <c r="N2" s="223"/>
      <c r="O2"/>
    </row>
    <row r="3" spans="1:15" ht="15" x14ac:dyDescent="0.2">
      <c r="A3" s="227" t="s">
        <v>1208</v>
      </c>
      <c r="B3" s="227"/>
      <c r="C3" s="227"/>
      <c r="D3" s="227"/>
      <c r="E3" s="227"/>
      <c r="F3" s="227"/>
      <c r="G3" s="227"/>
      <c r="H3" s="227"/>
    </row>
    <row r="4" spans="1:15" s="113" customFormat="1" ht="30" x14ac:dyDescent="0.2">
      <c r="A4" s="1" t="s">
        <v>2</v>
      </c>
      <c r="B4" s="1" t="s">
        <v>3</v>
      </c>
      <c r="C4" s="1" t="s">
        <v>4</v>
      </c>
      <c r="D4" s="1" t="s">
        <v>5</v>
      </c>
      <c r="E4" s="2" t="s">
        <v>6</v>
      </c>
      <c r="F4" s="2" t="s">
        <v>7</v>
      </c>
      <c r="G4" s="2" t="s">
        <v>8</v>
      </c>
      <c r="H4" s="96" t="s">
        <v>1167</v>
      </c>
      <c r="I4" s="183"/>
      <c r="J4" s="183"/>
      <c r="K4" s="183"/>
      <c r="L4" s="183"/>
      <c r="M4" s="183"/>
      <c r="N4" s="183"/>
      <c r="O4" s="183"/>
    </row>
    <row r="5" spans="1:15" ht="14.1" customHeight="1" x14ac:dyDescent="0.2">
      <c r="A5" s="3"/>
      <c r="B5" s="3"/>
      <c r="C5" s="4" t="s">
        <v>9</v>
      </c>
      <c r="D5" s="3"/>
      <c r="E5" s="3"/>
      <c r="F5" s="3"/>
      <c r="G5" s="3"/>
      <c r="H5" s="97"/>
    </row>
    <row r="6" spans="1:15" ht="24" customHeight="1" x14ac:dyDescent="0.2">
      <c r="A6" s="3"/>
      <c r="B6" s="3"/>
      <c r="C6" s="4" t="s">
        <v>10</v>
      </c>
      <c r="D6" s="3"/>
      <c r="E6" s="3"/>
      <c r="F6" s="3"/>
      <c r="G6" s="3"/>
      <c r="H6" s="97"/>
    </row>
    <row r="7" spans="1:15" x14ac:dyDescent="0.2">
      <c r="A7" s="5">
        <v>1</v>
      </c>
      <c r="B7" s="6" t="s">
        <v>164</v>
      </c>
      <c r="C7" s="6" t="s">
        <v>165</v>
      </c>
      <c r="D7" s="6" t="s">
        <v>19</v>
      </c>
      <c r="E7" s="7">
        <v>58698</v>
      </c>
      <c r="F7" s="8">
        <v>685.62198899999999</v>
      </c>
      <c r="G7" s="9">
        <v>3.4561742999999999E-2</v>
      </c>
      <c r="H7" s="97"/>
    </row>
    <row r="8" spans="1:15" x14ac:dyDescent="0.2">
      <c r="A8" s="5">
        <v>2</v>
      </c>
      <c r="B8" s="6" t="s">
        <v>274</v>
      </c>
      <c r="C8" s="6" t="s">
        <v>275</v>
      </c>
      <c r="D8" s="6" t="s">
        <v>185</v>
      </c>
      <c r="E8" s="7">
        <v>14492</v>
      </c>
      <c r="F8" s="8">
        <v>606.99742000000003</v>
      </c>
      <c r="G8" s="9">
        <v>3.0598331999999999E-2</v>
      </c>
      <c r="H8" s="97"/>
    </row>
    <row r="9" spans="1:15" x14ac:dyDescent="0.2">
      <c r="A9" s="5">
        <v>3</v>
      </c>
      <c r="B9" s="6" t="s">
        <v>17</v>
      </c>
      <c r="C9" s="6" t="s">
        <v>18</v>
      </c>
      <c r="D9" s="6" t="s">
        <v>19</v>
      </c>
      <c r="E9" s="7">
        <v>31333</v>
      </c>
      <c r="F9" s="8">
        <v>600.65360999999996</v>
      </c>
      <c r="G9" s="9">
        <v>3.0278545E-2</v>
      </c>
      <c r="H9" s="97"/>
    </row>
    <row r="10" spans="1:15" ht="25.5" x14ac:dyDescent="0.2">
      <c r="A10" s="5">
        <v>4</v>
      </c>
      <c r="B10" s="6" t="s">
        <v>143</v>
      </c>
      <c r="C10" s="6" t="s">
        <v>144</v>
      </c>
      <c r="D10" s="6" t="s">
        <v>45</v>
      </c>
      <c r="E10" s="7">
        <v>304491</v>
      </c>
      <c r="F10" s="8">
        <v>592.38724049999996</v>
      </c>
      <c r="G10" s="9">
        <v>2.9861842E-2</v>
      </c>
      <c r="H10" s="97"/>
    </row>
    <row r="11" spans="1:15" x14ac:dyDescent="0.2">
      <c r="A11" s="5">
        <v>5</v>
      </c>
      <c r="B11" s="6" t="s">
        <v>74</v>
      </c>
      <c r="C11" s="6" t="s">
        <v>75</v>
      </c>
      <c r="D11" s="6" t="s">
        <v>70</v>
      </c>
      <c r="E11" s="7">
        <v>127084</v>
      </c>
      <c r="F11" s="8">
        <v>533.49863200000004</v>
      </c>
      <c r="G11" s="9">
        <v>2.6893307000000002E-2</v>
      </c>
      <c r="H11" s="97"/>
    </row>
    <row r="12" spans="1:15" x14ac:dyDescent="0.2">
      <c r="A12" s="5">
        <v>6</v>
      </c>
      <c r="B12" s="6" t="s">
        <v>263</v>
      </c>
      <c r="C12" s="6" t="s">
        <v>264</v>
      </c>
      <c r="D12" s="6" t="s">
        <v>147</v>
      </c>
      <c r="E12" s="7">
        <v>82518</v>
      </c>
      <c r="F12" s="8">
        <v>505.79408100000001</v>
      </c>
      <c r="G12" s="9">
        <v>2.549674E-2</v>
      </c>
      <c r="H12" s="97"/>
    </row>
    <row r="13" spans="1:15" x14ac:dyDescent="0.2">
      <c r="A13" s="5">
        <v>7</v>
      </c>
      <c r="B13" s="6" t="s">
        <v>145</v>
      </c>
      <c r="C13" s="6" t="s">
        <v>146</v>
      </c>
      <c r="D13" s="6" t="s">
        <v>147</v>
      </c>
      <c r="E13" s="7">
        <v>10158</v>
      </c>
      <c r="F13" s="8">
        <v>498.18387300000001</v>
      </c>
      <c r="G13" s="9">
        <v>2.5113113999999999E-2</v>
      </c>
      <c r="H13" s="97"/>
    </row>
    <row r="14" spans="1:15" x14ac:dyDescent="0.2">
      <c r="A14" s="5">
        <v>8</v>
      </c>
      <c r="B14" s="6" t="s">
        <v>148</v>
      </c>
      <c r="C14" s="6" t="s">
        <v>149</v>
      </c>
      <c r="D14" s="6" t="s">
        <v>70</v>
      </c>
      <c r="E14" s="7">
        <v>81856</v>
      </c>
      <c r="F14" s="8">
        <v>489.41702400000003</v>
      </c>
      <c r="G14" s="9">
        <v>2.4671182999999999E-2</v>
      </c>
      <c r="H14" s="97"/>
    </row>
    <row r="15" spans="1:15" x14ac:dyDescent="0.2">
      <c r="A15" s="5">
        <v>9</v>
      </c>
      <c r="B15" s="6" t="s">
        <v>296</v>
      </c>
      <c r="C15" s="6" t="s">
        <v>297</v>
      </c>
      <c r="D15" s="6" t="s">
        <v>19</v>
      </c>
      <c r="E15" s="7">
        <v>64998</v>
      </c>
      <c r="F15" s="8">
        <v>461.128311</v>
      </c>
      <c r="G15" s="9">
        <v>2.3245168E-2</v>
      </c>
      <c r="H15" s="97"/>
    </row>
    <row r="16" spans="1:15" ht="15" x14ac:dyDescent="0.2">
      <c r="A16" s="5">
        <v>10</v>
      </c>
      <c r="B16" s="6" t="s">
        <v>150</v>
      </c>
      <c r="C16" s="6" t="s">
        <v>151</v>
      </c>
      <c r="D16" s="6" t="s">
        <v>81</v>
      </c>
      <c r="E16" s="7">
        <v>390579</v>
      </c>
      <c r="F16" s="8">
        <v>432.95682149999999</v>
      </c>
      <c r="G16" s="9">
        <v>2.1825061999999999E-2</v>
      </c>
      <c r="H16" s="97"/>
      <c r="J16" s="184" t="s">
        <v>1246</v>
      </c>
    </row>
    <row r="17" spans="1:8" x14ac:dyDescent="0.2">
      <c r="A17" s="5">
        <v>11</v>
      </c>
      <c r="B17" s="6" t="s">
        <v>154</v>
      </c>
      <c r="C17" s="6" t="s">
        <v>155</v>
      </c>
      <c r="D17" s="6" t="s">
        <v>147</v>
      </c>
      <c r="E17" s="7">
        <v>35713</v>
      </c>
      <c r="F17" s="8">
        <v>402.64621849999997</v>
      </c>
      <c r="G17" s="9">
        <v>2.0297124999999999E-2</v>
      </c>
      <c r="H17" s="97"/>
    </row>
    <row r="18" spans="1:8" x14ac:dyDescent="0.2">
      <c r="A18" s="5">
        <v>12</v>
      </c>
      <c r="B18" s="6" t="s">
        <v>156</v>
      </c>
      <c r="C18" s="6" t="s">
        <v>157</v>
      </c>
      <c r="D18" s="6" t="s">
        <v>19</v>
      </c>
      <c r="E18" s="7">
        <v>53823</v>
      </c>
      <c r="F18" s="8">
        <v>390.40513049999998</v>
      </c>
      <c r="G18" s="9">
        <v>1.9680059999999999E-2</v>
      </c>
      <c r="H18" s="97"/>
    </row>
    <row r="19" spans="1:8" x14ac:dyDescent="0.2">
      <c r="A19" s="5">
        <v>13</v>
      </c>
      <c r="B19" s="6" t="s">
        <v>41</v>
      </c>
      <c r="C19" s="6" t="s">
        <v>42</v>
      </c>
      <c r="D19" s="6" t="s">
        <v>19</v>
      </c>
      <c r="E19" s="7">
        <v>31667</v>
      </c>
      <c r="F19" s="8">
        <v>386.41656749999999</v>
      </c>
      <c r="G19" s="9">
        <v>1.9478999E-2</v>
      </c>
      <c r="H19" s="97"/>
    </row>
    <row r="20" spans="1:8" x14ac:dyDescent="0.2">
      <c r="A20" s="5">
        <v>14</v>
      </c>
      <c r="B20" s="6" t="s">
        <v>576</v>
      </c>
      <c r="C20" s="6" t="s">
        <v>577</v>
      </c>
      <c r="D20" s="6" t="s">
        <v>70</v>
      </c>
      <c r="E20" s="7">
        <v>101250</v>
      </c>
      <c r="F20" s="8">
        <v>380.44687499999998</v>
      </c>
      <c r="G20" s="9">
        <v>1.9178071000000001E-2</v>
      </c>
      <c r="H20" s="97"/>
    </row>
    <row r="21" spans="1:8" ht="25.5" x14ac:dyDescent="0.2">
      <c r="A21" s="5">
        <v>15</v>
      </c>
      <c r="B21" s="6" t="s">
        <v>37</v>
      </c>
      <c r="C21" s="6" t="s">
        <v>38</v>
      </c>
      <c r="D21" s="6" t="s">
        <v>1185</v>
      </c>
      <c r="E21" s="7">
        <v>10728</v>
      </c>
      <c r="F21" s="8">
        <v>364.62862799999999</v>
      </c>
      <c r="G21" s="9">
        <v>1.8380684000000001E-2</v>
      </c>
      <c r="H21" s="97"/>
    </row>
    <row r="22" spans="1:8" x14ac:dyDescent="0.2">
      <c r="A22" s="5">
        <v>16</v>
      </c>
      <c r="B22" s="6" t="s">
        <v>203</v>
      </c>
      <c r="C22" s="6" t="s">
        <v>204</v>
      </c>
      <c r="D22" s="6" t="s">
        <v>81</v>
      </c>
      <c r="E22" s="7">
        <v>44577</v>
      </c>
      <c r="F22" s="8">
        <v>345.11513400000001</v>
      </c>
      <c r="G22" s="9">
        <v>1.7397022000000002E-2</v>
      </c>
      <c r="H22" s="97"/>
    </row>
    <row r="23" spans="1:8" x14ac:dyDescent="0.2">
      <c r="A23" s="5">
        <v>17</v>
      </c>
      <c r="B23" s="6" t="s">
        <v>556</v>
      </c>
      <c r="C23" s="6" t="s">
        <v>557</v>
      </c>
      <c r="D23" s="6" t="s">
        <v>48</v>
      </c>
      <c r="E23" s="7">
        <v>44433</v>
      </c>
      <c r="F23" s="8">
        <v>331.75899449999997</v>
      </c>
      <c r="G23" s="9">
        <v>1.6723748E-2</v>
      </c>
      <c r="H23" s="97"/>
    </row>
    <row r="24" spans="1:8" ht="25.5" x14ac:dyDescent="0.2">
      <c r="A24" s="5">
        <v>18</v>
      </c>
      <c r="B24" s="6" t="s">
        <v>604</v>
      </c>
      <c r="C24" s="6" t="s">
        <v>605</v>
      </c>
      <c r="D24" s="6" t="s">
        <v>45</v>
      </c>
      <c r="E24" s="7">
        <v>17534</v>
      </c>
      <c r="F24" s="8">
        <v>324.65954399999998</v>
      </c>
      <c r="G24" s="9">
        <v>1.6365869000000002E-2</v>
      </c>
      <c r="H24" s="97"/>
    </row>
    <row r="25" spans="1:8" x14ac:dyDescent="0.2">
      <c r="A25" s="5">
        <v>19</v>
      </c>
      <c r="B25" s="6" t="s">
        <v>158</v>
      </c>
      <c r="C25" s="6" t="s">
        <v>159</v>
      </c>
      <c r="D25" s="6" t="s">
        <v>1187</v>
      </c>
      <c r="E25" s="7">
        <v>25455</v>
      </c>
      <c r="F25" s="8">
        <v>310.3346325</v>
      </c>
      <c r="G25" s="9">
        <v>1.564376E-2</v>
      </c>
      <c r="H25" s="97"/>
    </row>
    <row r="26" spans="1:8" x14ac:dyDescent="0.2">
      <c r="A26" s="5">
        <v>20</v>
      </c>
      <c r="B26" s="6" t="s">
        <v>160</v>
      </c>
      <c r="C26" s="6" t="s">
        <v>161</v>
      </c>
      <c r="D26" s="6" t="s">
        <v>147</v>
      </c>
      <c r="E26" s="7">
        <v>29851</v>
      </c>
      <c r="F26" s="8">
        <v>305.37572999999998</v>
      </c>
      <c r="G26" s="9">
        <v>1.5393785E-2</v>
      </c>
      <c r="H26" s="97"/>
    </row>
    <row r="27" spans="1:8" x14ac:dyDescent="0.2">
      <c r="A27" s="5">
        <v>21</v>
      </c>
      <c r="B27" s="6" t="s">
        <v>172</v>
      </c>
      <c r="C27" s="6" t="s">
        <v>173</v>
      </c>
      <c r="D27" s="6" t="s">
        <v>174</v>
      </c>
      <c r="E27" s="7">
        <v>124748</v>
      </c>
      <c r="F27" s="8">
        <v>298.21009400000003</v>
      </c>
      <c r="G27" s="9">
        <v>1.503257E-2</v>
      </c>
      <c r="H27" s="97"/>
    </row>
    <row r="28" spans="1:8" x14ac:dyDescent="0.2">
      <c r="A28" s="5">
        <v>22</v>
      </c>
      <c r="B28" s="6" t="s">
        <v>280</v>
      </c>
      <c r="C28" s="6" t="s">
        <v>281</v>
      </c>
      <c r="D28" s="6" t="s">
        <v>238</v>
      </c>
      <c r="E28" s="7">
        <v>16566</v>
      </c>
      <c r="F28" s="8">
        <v>290.70016800000002</v>
      </c>
      <c r="G28" s="9">
        <v>1.4654E-2</v>
      </c>
      <c r="H28" s="97"/>
    </row>
    <row r="29" spans="1:8" x14ac:dyDescent="0.2">
      <c r="A29" s="5">
        <v>23</v>
      </c>
      <c r="B29" s="6" t="s">
        <v>198</v>
      </c>
      <c r="C29" s="6" t="s">
        <v>199</v>
      </c>
      <c r="D29" s="6" t="s">
        <v>70</v>
      </c>
      <c r="E29" s="7">
        <v>32500</v>
      </c>
      <c r="F29" s="8">
        <v>289.67250000000001</v>
      </c>
      <c r="G29" s="9">
        <v>1.4602196E-2</v>
      </c>
      <c r="H29" s="97"/>
    </row>
    <row r="30" spans="1:8" x14ac:dyDescent="0.2">
      <c r="A30" s="5">
        <v>24</v>
      </c>
      <c r="B30" s="6" t="s">
        <v>168</v>
      </c>
      <c r="C30" s="6" t="s">
        <v>169</v>
      </c>
      <c r="D30" s="6" t="s">
        <v>81</v>
      </c>
      <c r="E30" s="7">
        <v>435362</v>
      </c>
      <c r="F30" s="8">
        <v>274.27805999999998</v>
      </c>
      <c r="G30" s="9">
        <v>1.3826173000000001E-2</v>
      </c>
      <c r="H30" s="97"/>
    </row>
    <row r="31" spans="1:8" x14ac:dyDescent="0.2">
      <c r="A31" s="5">
        <v>25</v>
      </c>
      <c r="B31" s="6" t="s">
        <v>196</v>
      </c>
      <c r="C31" s="6" t="s">
        <v>197</v>
      </c>
      <c r="D31" s="6" t="s">
        <v>81</v>
      </c>
      <c r="E31" s="7">
        <v>48009</v>
      </c>
      <c r="F31" s="8">
        <v>265.46576549999997</v>
      </c>
      <c r="G31" s="9">
        <v>1.3381951E-2</v>
      </c>
      <c r="H31" s="97"/>
    </row>
    <row r="32" spans="1:8" x14ac:dyDescent="0.2">
      <c r="A32" s="5">
        <v>26</v>
      </c>
      <c r="B32" s="6" t="s">
        <v>194</v>
      </c>
      <c r="C32" s="6" t="s">
        <v>195</v>
      </c>
      <c r="D32" s="6" t="s">
        <v>53</v>
      </c>
      <c r="E32" s="7">
        <v>26331</v>
      </c>
      <c r="F32" s="8">
        <v>259.45250850000002</v>
      </c>
      <c r="G32" s="9">
        <v>1.3078826E-2</v>
      </c>
      <c r="H32" s="97"/>
    </row>
    <row r="33" spans="1:8" x14ac:dyDescent="0.2">
      <c r="A33" s="5">
        <v>27</v>
      </c>
      <c r="B33" s="6" t="s">
        <v>166</v>
      </c>
      <c r="C33" s="6" t="s">
        <v>167</v>
      </c>
      <c r="D33" s="6" t="s">
        <v>1186</v>
      </c>
      <c r="E33" s="7">
        <v>73248</v>
      </c>
      <c r="F33" s="8">
        <v>258.82180799999998</v>
      </c>
      <c r="G33" s="9">
        <v>1.3047033E-2</v>
      </c>
      <c r="H33" s="97"/>
    </row>
    <row r="34" spans="1:8" x14ac:dyDescent="0.2">
      <c r="A34" s="5">
        <v>28</v>
      </c>
      <c r="B34" s="6" t="s">
        <v>181</v>
      </c>
      <c r="C34" s="6" t="s">
        <v>182</v>
      </c>
      <c r="D34" s="6" t="s">
        <v>1189</v>
      </c>
      <c r="E34" s="7">
        <v>30000</v>
      </c>
      <c r="F34" s="8">
        <v>256.90499999999997</v>
      </c>
      <c r="G34" s="9">
        <v>1.2950408E-2</v>
      </c>
      <c r="H34" s="97"/>
    </row>
    <row r="35" spans="1:8" x14ac:dyDescent="0.2">
      <c r="A35" s="5">
        <v>29</v>
      </c>
      <c r="B35" s="6" t="s">
        <v>152</v>
      </c>
      <c r="C35" s="6" t="s">
        <v>153</v>
      </c>
      <c r="D35" s="6" t="s">
        <v>1184</v>
      </c>
      <c r="E35" s="7">
        <v>21424</v>
      </c>
      <c r="F35" s="8">
        <v>253.242392</v>
      </c>
      <c r="G35" s="9">
        <v>1.2765779E-2</v>
      </c>
      <c r="H35" s="97"/>
    </row>
    <row r="36" spans="1:8" x14ac:dyDescent="0.2">
      <c r="A36" s="5">
        <v>30</v>
      </c>
      <c r="B36" s="6" t="s">
        <v>606</v>
      </c>
      <c r="C36" s="6" t="s">
        <v>607</v>
      </c>
      <c r="D36" s="6" t="s">
        <v>19</v>
      </c>
      <c r="E36" s="7">
        <v>25628</v>
      </c>
      <c r="F36" s="8">
        <v>251.57726199999999</v>
      </c>
      <c r="G36" s="9">
        <v>1.2681840999999999E-2</v>
      </c>
      <c r="H36" s="97"/>
    </row>
    <row r="37" spans="1:8" ht="25.5" x14ac:dyDescent="0.2">
      <c r="A37" s="5">
        <v>31</v>
      </c>
      <c r="B37" s="6" t="s">
        <v>177</v>
      </c>
      <c r="C37" s="6" t="s">
        <v>178</v>
      </c>
      <c r="D37" s="6" t="s">
        <v>1185</v>
      </c>
      <c r="E37" s="7">
        <v>111054</v>
      </c>
      <c r="F37" s="8">
        <v>251.37072900000001</v>
      </c>
      <c r="G37" s="9">
        <v>1.2671429E-2</v>
      </c>
      <c r="H37" s="97"/>
    </row>
    <row r="38" spans="1:8" x14ac:dyDescent="0.2">
      <c r="A38" s="5">
        <v>32</v>
      </c>
      <c r="B38" s="6" t="s">
        <v>179</v>
      </c>
      <c r="C38" s="6" t="s">
        <v>180</v>
      </c>
      <c r="D38" s="6" t="s">
        <v>53</v>
      </c>
      <c r="E38" s="7">
        <v>246324</v>
      </c>
      <c r="F38" s="8">
        <v>247.67878200000001</v>
      </c>
      <c r="G38" s="9">
        <v>1.2485321000000001E-2</v>
      </c>
      <c r="H38" s="97"/>
    </row>
    <row r="39" spans="1:8" x14ac:dyDescent="0.2">
      <c r="A39" s="5">
        <v>33</v>
      </c>
      <c r="B39" s="6" t="s">
        <v>578</v>
      </c>
      <c r="C39" s="6" t="s">
        <v>579</v>
      </c>
      <c r="D39" s="6" t="s">
        <v>70</v>
      </c>
      <c r="E39" s="7">
        <v>24137</v>
      </c>
      <c r="F39" s="8">
        <v>244.23023449999999</v>
      </c>
      <c r="G39" s="9">
        <v>1.2311482E-2</v>
      </c>
      <c r="H39" s="97"/>
    </row>
    <row r="40" spans="1:8" x14ac:dyDescent="0.2">
      <c r="A40" s="5">
        <v>34</v>
      </c>
      <c r="B40" s="6" t="s">
        <v>191</v>
      </c>
      <c r="C40" s="6" t="s">
        <v>192</v>
      </c>
      <c r="D40" s="6" t="s">
        <v>193</v>
      </c>
      <c r="E40" s="7">
        <v>52345</v>
      </c>
      <c r="F40" s="8">
        <v>237.803335</v>
      </c>
      <c r="G40" s="9">
        <v>1.1987506E-2</v>
      </c>
      <c r="H40" s="97"/>
    </row>
    <row r="41" spans="1:8" x14ac:dyDescent="0.2">
      <c r="A41" s="5">
        <v>35</v>
      </c>
      <c r="B41" s="6" t="s">
        <v>186</v>
      </c>
      <c r="C41" s="6" t="s">
        <v>187</v>
      </c>
      <c r="D41" s="6" t="s">
        <v>19</v>
      </c>
      <c r="E41" s="7">
        <v>11898</v>
      </c>
      <c r="F41" s="8">
        <v>236.55008699999999</v>
      </c>
      <c r="G41" s="9">
        <v>1.1924331E-2</v>
      </c>
      <c r="H41" s="97"/>
    </row>
    <row r="42" spans="1:8" ht="25.5" x14ac:dyDescent="0.2">
      <c r="A42" s="5">
        <v>36</v>
      </c>
      <c r="B42" s="6" t="s">
        <v>200</v>
      </c>
      <c r="C42" s="6" t="s">
        <v>201</v>
      </c>
      <c r="D42" s="6" t="s">
        <v>202</v>
      </c>
      <c r="E42" s="7">
        <v>55539</v>
      </c>
      <c r="F42" s="8">
        <v>226.54358099999999</v>
      </c>
      <c r="G42" s="9">
        <v>1.141991E-2</v>
      </c>
      <c r="H42" s="97"/>
    </row>
    <row r="43" spans="1:8" x14ac:dyDescent="0.2">
      <c r="A43" s="5">
        <v>37</v>
      </c>
      <c r="B43" s="6" t="s">
        <v>282</v>
      </c>
      <c r="C43" s="6" t="s">
        <v>283</v>
      </c>
      <c r="D43" s="6" t="s">
        <v>284</v>
      </c>
      <c r="E43" s="7">
        <v>89345</v>
      </c>
      <c r="F43" s="8">
        <v>224.65800250000001</v>
      </c>
      <c r="G43" s="9">
        <v>1.1324859E-2</v>
      </c>
      <c r="H43" s="97"/>
    </row>
    <row r="44" spans="1:8" x14ac:dyDescent="0.2">
      <c r="A44" s="5">
        <v>38</v>
      </c>
      <c r="B44" s="6" t="s">
        <v>205</v>
      </c>
      <c r="C44" s="6" t="s">
        <v>206</v>
      </c>
      <c r="D44" s="6" t="s">
        <v>1187</v>
      </c>
      <c r="E44" s="7">
        <v>37305</v>
      </c>
      <c r="F44" s="8">
        <v>209.78466750000001</v>
      </c>
      <c r="G44" s="9">
        <v>1.0575104E-2</v>
      </c>
      <c r="H44" s="97"/>
    </row>
    <row r="45" spans="1:8" ht="25.5" x14ac:dyDescent="0.2">
      <c r="A45" s="5">
        <v>39</v>
      </c>
      <c r="B45" s="6" t="s">
        <v>214</v>
      </c>
      <c r="C45" s="6" t="s">
        <v>215</v>
      </c>
      <c r="D45" s="6" t="s">
        <v>70</v>
      </c>
      <c r="E45" s="7">
        <v>10609</v>
      </c>
      <c r="F45" s="8">
        <v>209.57018600000001</v>
      </c>
      <c r="G45" s="9">
        <v>1.0564291999999999E-2</v>
      </c>
      <c r="H45" s="97"/>
    </row>
    <row r="46" spans="1:8" x14ac:dyDescent="0.2">
      <c r="A46" s="5">
        <v>40</v>
      </c>
      <c r="B46" s="6" t="s">
        <v>188</v>
      </c>
      <c r="C46" s="6" t="s">
        <v>189</v>
      </c>
      <c r="D46" s="6" t="s">
        <v>190</v>
      </c>
      <c r="E46" s="7">
        <v>44870</v>
      </c>
      <c r="F46" s="8">
        <v>206.37956500000001</v>
      </c>
      <c r="G46" s="9">
        <v>1.0403455000000001E-2</v>
      </c>
      <c r="H46" s="97"/>
    </row>
    <row r="47" spans="1:8" x14ac:dyDescent="0.2">
      <c r="A47" s="5">
        <v>41</v>
      </c>
      <c r="B47" s="6" t="s">
        <v>363</v>
      </c>
      <c r="C47" s="6" t="s">
        <v>364</v>
      </c>
      <c r="D47" s="6" t="s">
        <v>238</v>
      </c>
      <c r="E47" s="7">
        <v>5394</v>
      </c>
      <c r="F47" s="8">
        <v>204.33011400000001</v>
      </c>
      <c r="G47" s="9">
        <v>1.0300144000000001E-2</v>
      </c>
      <c r="H47" s="97"/>
    </row>
    <row r="48" spans="1:8" x14ac:dyDescent="0.2">
      <c r="A48" s="5">
        <v>42</v>
      </c>
      <c r="B48" s="6" t="s">
        <v>209</v>
      </c>
      <c r="C48" s="6" t="s">
        <v>210</v>
      </c>
      <c r="D48" s="6" t="s">
        <v>193</v>
      </c>
      <c r="E48" s="7">
        <v>37335</v>
      </c>
      <c r="F48" s="8">
        <v>201.19831500000001</v>
      </c>
      <c r="G48" s="9">
        <v>1.0142272000000001E-2</v>
      </c>
      <c r="H48" s="97"/>
    </row>
    <row r="49" spans="1:8" x14ac:dyDescent="0.2">
      <c r="A49" s="5">
        <v>43</v>
      </c>
      <c r="B49" s="6" t="s">
        <v>30</v>
      </c>
      <c r="C49" s="6" t="s">
        <v>31</v>
      </c>
      <c r="D49" s="6" t="s">
        <v>19</v>
      </c>
      <c r="E49" s="7">
        <v>5993</v>
      </c>
      <c r="F49" s="8">
        <v>201.0082165</v>
      </c>
      <c r="G49" s="9">
        <v>1.0132689E-2</v>
      </c>
      <c r="H49" s="97"/>
    </row>
    <row r="50" spans="1:8" x14ac:dyDescent="0.2">
      <c r="A50" s="5">
        <v>44</v>
      </c>
      <c r="B50" s="6" t="s">
        <v>608</v>
      </c>
      <c r="C50" s="6" t="s">
        <v>609</v>
      </c>
      <c r="D50" s="6" t="s">
        <v>586</v>
      </c>
      <c r="E50" s="7">
        <v>19644</v>
      </c>
      <c r="F50" s="8">
        <v>198.16867199999999</v>
      </c>
      <c r="G50" s="9">
        <v>9.9895499999999998E-3</v>
      </c>
      <c r="H50" s="97"/>
    </row>
    <row r="51" spans="1:8" x14ac:dyDescent="0.2">
      <c r="A51" s="5">
        <v>45</v>
      </c>
      <c r="B51" s="6" t="s">
        <v>84</v>
      </c>
      <c r="C51" s="6" t="s">
        <v>85</v>
      </c>
      <c r="D51" s="6" t="s">
        <v>53</v>
      </c>
      <c r="E51" s="7">
        <v>40384</v>
      </c>
      <c r="F51" s="8">
        <v>198.00275199999999</v>
      </c>
      <c r="G51" s="9">
        <v>9.9811859999999995E-3</v>
      </c>
      <c r="H51" s="97"/>
    </row>
    <row r="52" spans="1:8" x14ac:dyDescent="0.2">
      <c r="A52" s="5">
        <v>46</v>
      </c>
      <c r="B52" s="6" t="s">
        <v>267</v>
      </c>
      <c r="C52" s="6" t="s">
        <v>268</v>
      </c>
      <c r="D52" s="6" t="s">
        <v>19</v>
      </c>
      <c r="E52" s="7">
        <v>53746</v>
      </c>
      <c r="F52" s="8">
        <v>197.059709</v>
      </c>
      <c r="G52" s="9">
        <v>9.9336470000000003E-3</v>
      </c>
      <c r="H52" s="97"/>
    </row>
    <row r="53" spans="1:8" ht="25.5" x14ac:dyDescent="0.2">
      <c r="A53" s="5">
        <v>47</v>
      </c>
      <c r="B53" s="6" t="s">
        <v>211</v>
      </c>
      <c r="C53" s="6" t="s">
        <v>212</v>
      </c>
      <c r="D53" s="6" t="s">
        <v>202</v>
      </c>
      <c r="E53" s="7">
        <v>41627</v>
      </c>
      <c r="F53" s="8">
        <v>187.8834645</v>
      </c>
      <c r="G53" s="9">
        <v>9.4710790000000003E-3</v>
      </c>
      <c r="H53" s="97"/>
    </row>
    <row r="54" spans="1:8" x14ac:dyDescent="0.2">
      <c r="A54" s="5">
        <v>48</v>
      </c>
      <c r="B54" s="6" t="s">
        <v>222</v>
      </c>
      <c r="C54" s="6" t="s">
        <v>223</v>
      </c>
      <c r="D54" s="6" t="s">
        <v>70</v>
      </c>
      <c r="E54" s="7">
        <v>70796</v>
      </c>
      <c r="F54" s="8">
        <v>186.476664</v>
      </c>
      <c r="G54" s="9">
        <v>9.4001629999999996E-3</v>
      </c>
      <c r="H54" s="97"/>
    </row>
    <row r="55" spans="1:8" ht="25.5" x14ac:dyDescent="0.2">
      <c r="A55" s="5">
        <v>49</v>
      </c>
      <c r="B55" s="6" t="s">
        <v>248</v>
      </c>
      <c r="C55" s="6" t="s">
        <v>249</v>
      </c>
      <c r="D55" s="6" t="s">
        <v>202</v>
      </c>
      <c r="E55" s="7">
        <v>43436</v>
      </c>
      <c r="F55" s="8">
        <v>186.44902999999999</v>
      </c>
      <c r="G55" s="9">
        <v>9.3987700000000007E-3</v>
      </c>
      <c r="H55" s="97"/>
    </row>
    <row r="56" spans="1:8" x14ac:dyDescent="0.2">
      <c r="A56" s="5">
        <v>50</v>
      </c>
      <c r="B56" s="6" t="s">
        <v>218</v>
      </c>
      <c r="C56" s="6" t="s">
        <v>219</v>
      </c>
      <c r="D56" s="6" t="s">
        <v>193</v>
      </c>
      <c r="E56" s="7">
        <v>10472</v>
      </c>
      <c r="F56" s="8">
        <v>186.37018399999999</v>
      </c>
      <c r="G56" s="9">
        <v>9.3947960000000004E-3</v>
      </c>
      <c r="H56" s="97"/>
    </row>
    <row r="57" spans="1:8" x14ac:dyDescent="0.2">
      <c r="A57" s="5">
        <v>51</v>
      </c>
      <c r="B57" s="6" t="s">
        <v>236</v>
      </c>
      <c r="C57" s="6" t="s">
        <v>237</v>
      </c>
      <c r="D57" s="6" t="s">
        <v>238</v>
      </c>
      <c r="E57" s="7">
        <v>50534</v>
      </c>
      <c r="F57" s="8">
        <v>185.20711</v>
      </c>
      <c r="G57" s="9">
        <v>9.3361659999999999E-3</v>
      </c>
      <c r="H57" s="97"/>
    </row>
    <row r="58" spans="1:8" x14ac:dyDescent="0.2">
      <c r="A58" s="5">
        <v>52</v>
      </c>
      <c r="B58" s="6" t="s">
        <v>216</v>
      </c>
      <c r="C58" s="6" t="s">
        <v>217</v>
      </c>
      <c r="D58" s="6" t="s">
        <v>1184</v>
      </c>
      <c r="E58" s="7">
        <v>11242</v>
      </c>
      <c r="F58" s="8">
        <v>177.93837600000001</v>
      </c>
      <c r="G58" s="9">
        <v>8.9697539999999999E-3</v>
      </c>
      <c r="H58" s="97"/>
    </row>
    <row r="59" spans="1:8" x14ac:dyDescent="0.2">
      <c r="A59" s="5">
        <v>53</v>
      </c>
      <c r="B59" s="6" t="s">
        <v>175</v>
      </c>
      <c r="C59" s="6" t="s">
        <v>176</v>
      </c>
      <c r="D59" s="6" t="s">
        <v>16</v>
      </c>
      <c r="E59" s="7">
        <v>58207</v>
      </c>
      <c r="F59" s="8">
        <v>170.16816449999999</v>
      </c>
      <c r="G59" s="9">
        <v>8.5780630000000004E-3</v>
      </c>
      <c r="H59" s="97"/>
    </row>
    <row r="60" spans="1:8" x14ac:dyDescent="0.2">
      <c r="A60" s="5">
        <v>54</v>
      </c>
      <c r="B60" s="6" t="s">
        <v>170</v>
      </c>
      <c r="C60" s="6" t="s">
        <v>171</v>
      </c>
      <c r="D60" s="6" t="s">
        <v>70</v>
      </c>
      <c r="E60" s="7">
        <v>17279</v>
      </c>
      <c r="F60" s="8">
        <v>168.090112</v>
      </c>
      <c r="G60" s="9">
        <v>8.4733099999999995E-3</v>
      </c>
      <c r="H60" s="97"/>
    </row>
    <row r="61" spans="1:8" ht="25.5" x14ac:dyDescent="0.2">
      <c r="A61" s="5">
        <v>55</v>
      </c>
      <c r="B61" s="6" t="s">
        <v>207</v>
      </c>
      <c r="C61" s="6" t="s">
        <v>208</v>
      </c>
      <c r="D61" s="6" t="s">
        <v>45</v>
      </c>
      <c r="E61" s="7">
        <v>74468</v>
      </c>
      <c r="F61" s="8">
        <v>165.54236399999999</v>
      </c>
      <c r="G61" s="9">
        <v>8.3448789999999995E-3</v>
      </c>
      <c r="H61" s="97"/>
    </row>
    <row r="62" spans="1:8" x14ac:dyDescent="0.2">
      <c r="A62" s="5">
        <v>56</v>
      </c>
      <c r="B62" s="6" t="s">
        <v>271</v>
      </c>
      <c r="C62" s="6" t="s">
        <v>272</v>
      </c>
      <c r="D62" s="6" t="s">
        <v>19</v>
      </c>
      <c r="E62" s="7">
        <v>15167</v>
      </c>
      <c r="F62" s="8">
        <v>164.32686150000001</v>
      </c>
      <c r="G62" s="9">
        <v>8.2836070000000001E-3</v>
      </c>
      <c r="H62" s="97"/>
    </row>
    <row r="63" spans="1:8" x14ac:dyDescent="0.2">
      <c r="A63" s="5">
        <v>57</v>
      </c>
      <c r="B63" s="6" t="s">
        <v>614</v>
      </c>
      <c r="C63" s="6" t="s">
        <v>615</v>
      </c>
      <c r="D63" s="6" t="s">
        <v>193</v>
      </c>
      <c r="E63" s="7">
        <v>29369</v>
      </c>
      <c r="F63" s="8">
        <v>154.70120750000001</v>
      </c>
      <c r="G63" s="9">
        <v>7.7983840000000002E-3</v>
      </c>
      <c r="H63" s="97"/>
    </row>
    <row r="64" spans="1:8" ht="25.5" x14ac:dyDescent="0.2">
      <c r="A64" s="5">
        <v>58</v>
      </c>
      <c r="B64" s="6" t="s">
        <v>226</v>
      </c>
      <c r="C64" s="6" t="s">
        <v>227</v>
      </c>
      <c r="D64" s="6" t="s">
        <v>1191</v>
      </c>
      <c r="E64" s="7">
        <v>168751</v>
      </c>
      <c r="F64" s="8">
        <v>149.7665125</v>
      </c>
      <c r="G64" s="9">
        <v>7.5496290000000004E-3</v>
      </c>
      <c r="H64" s="97"/>
    </row>
    <row r="65" spans="1:8" x14ac:dyDescent="0.2">
      <c r="A65" s="5">
        <v>59</v>
      </c>
      <c r="B65" s="6" t="s">
        <v>259</v>
      </c>
      <c r="C65" s="6" t="s">
        <v>260</v>
      </c>
      <c r="D65" s="6" t="s">
        <v>34</v>
      </c>
      <c r="E65" s="7">
        <v>39951</v>
      </c>
      <c r="F65" s="8">
        <v>149.6364705</v>
      </c>
      <c r="G65" s="9">
        <v>7.5430740000000003E-3</v>
      </c>
      <c r="H65" s="97"/>
    </row>
    <row r="66" spans="1:8" x14ac:dyDescent="0.2">
      <c r="A66" s="5">
        <v>60</v>
      </c>
      <c r="B66" s="6" t="s">
        <v>256</v>
      </c>
      <c r="C66" s="6" t="s">
        <v>257</v>
      </c>
      <c r="D66" s="6" t="s">
        <v>238</v>
      </c>
      <c r="E66" s="7">
        <v>21471</v>
      </c>
      <c r="F66" s="8">
        <v>134.11860150000001</v>
      </c>
      <c r="G66" s="9">
        <v>6.7608290000000003E-3</v>
      </c>
      <c r="H66" s="97"/>
    </row>
    <row r="67" spans="1:8" x14ac:dyDescent="0.2">
      <c r="A67" s="5">
        <v>61</v>
      </c>
      <c r="B67" s="6" t="s">
        <v>261</v>
      </c>
      <c r="C67" s="6" t="s">
        <v>262</v>
      </c>
      <c r="D67" s="6" t="s">
        <v>238</v>
      </c>
      <c r="E67" s="7">
        <v>17563</v>
      </c>
      <c r="F67" s="8">
        <v>127.6215395</v>
      </c>
      <c r="G67" s="9">
        <v>6.4333159999999997E-3</v>
      </c>
      <c r="H67" s="97"/>
    </row>
    <row r="68" spans="1:8" x14ac:dyDescent="0.2">
      <c r="A68" s="5">
        <v>62</v>
      </c>
      <c r="B68" s="6" t="s">
        <v>289</v>
      </c>
      <c r="C68" s="6" t="s">
        <v>290</v>
      </c>
      <c r="D68" s="6" t="s">
        <v>174</v>
      </c>
      <c r="E68" s="7">
        <v>19348</v>
      </c>
      <c r="F68" s="8">
        <v>124.7946</v>
      </c>
      <c r="G68" s="9">
        <v>6.2908119999999998E-3</v>
      </c>
      <c r="H68" s="97"/>
    </row>
    <row r="69" spans="1:8" x14ac:dyDescent="0.2">
      <c r="A69" s="5">
        <v>63</v>
      </c>
      <c r="B69" s="6" t="s">
        <v>287</v>
      </c>
      <c r="C69" s="6" t="s">
        <v>288</v>
      </c>
      <c r="D69" s="6" t="s">
        <v>147</v>
      </c>
      <c r="E69" s="7">
        <v>9429</v>
      </c>
      <c r="F69" s="8">
        <v>122.25641400000001</v>
      </c>
      <c r="G69" s="9">
        <v>6.1628639999999997E-3</v>
      </c>
      <c r="H69" s="97"/>
    </row>
    <row r="70" spans="1:8" x14ac:dyDescent="0.2">
      <c r="A70" s="5">
        <v>64</v>
      </c>
      <c r="B70" s="6" t="s">
        <v>230</v>
      </c>
      <c r="C70" s="6" t="s">
        <v>231</v>
      </c>
      <c r="D70" s="6" t="s">
        <v>60</v>
      </c>
      <c r="E70" s="7">
        <v>14169</v>
      </c>
      <c r="F70" s="8">
        <v>118.84957199999999</v>
      </c>
      <c r="G70" s="9">
        <v>5.9911269999999997E-3</v>
      </c>
      <c r="H70" s="97"/>
    </row>
    <row r="71" spans="1:8" x14ac:dyDescent="0.2">
      <c r="A71" s="5">
        <v>65</v>
      </c>
      <c r="B71" s="6" t="s">
        <v>610</v>
      </c>
      <c r="C71" s="6" t="s">
        <v>611</v>
      </c>
      <c r="D71" s="6" t="s">
        <v>81</v>
      </c>
      <c r="E71" s="7">
        <v>19196</v>
      </c>
      <c r="F71" s="8">
        <v>114.76328599999999</v>
      </c>
      <c r="G71" s="9">
        <v>5.7851400000000002E-3</v>
      </c>
      <c r="H71" s="97"/>
    </row>
    <row r="72" spans="1:8" x14ac:dyDescent="0.2">
      <c r="A72" s="5">
        <v>66</v>
      </c>
      <c r="B72" s="6" t="s">
        <v>245</v>
      </c>
      <c r="C72" s="6" t="s">
        <v>246</v>
      </c>
      <c r="D72" s="6" t="s">
        <v>247</v>
      </c>
      <c r="E72" s="7">
        <v>52168</v>
      </c>
      <c r="F72" s="8">
        <v>113.72624</v>
      </c>
      <c r="G72" s="9">
        <v>5.7328630000000004E-3</v>
      </c>
      <c r="H72" s="97"/>
    </row>
    <row r="73" spans="1:8" x14ac:dyDescent="0.2">
      <c r="A73" s="5">
        <v>67</v>
      </c>
      <c r="B73" s="6" t="s">
        <v>232</v>
      </c>
      <c r="C73" s="6" t="s">
        <v>233</v>
      </c>
      <c r="D73" s="6" t="s">
        <v>193</v>
      </c>
      <c r="E73" s="7">
        <v>2097</v>
      </c>
      <c r="F73" s="8">
        <v>111.946248</v>
      </c>
      <c r="G73" s="9">
        <v>5.6431349999999996E-3</v>
      </c>
      <c r="H73" s="97"/>
    </row>
    <row r="74" spans="1:8" x14ac:dyDescent="0.2">
      <c r="A74" s="5">
        <v>68</v>
      </c>
      <c r="B74" s="6" t="s">
        <v>239</v>
      </c>
      <c r="C74" s="6" t="s">
        <v>240</v>
      </c>
      <c r="D74" s="6" t="s">
        <v>25</v>
      </c>
      <c r="E74" s="7">
        <v>140383</v>
      </c>
      <c r="F74" s="8">
        <v>110.341038</v>
      </c>
      <c r="G74" s="9">
        <v>5.5622179999999998E-3</v>
      </c>
      <c r="H74" s="97"/>
    </row>
    <row r="75" spans="1:8" x14ac:dyDescent="0.2">
      <c r="A75" s="5">
        <v>69</v>
      </c>
      <c r="B75" s="6" t="s">
        <v>298</v>
      </c>
      <c r="C75" s="6" t="s">
        <v>299</v>
      </c>
      <c r="D75" s="6" t="s">
        <v>1187</v>
      </c>
      <c r="E75" s="7">
        <v>244905</v>
      </c>
      <c r="F75" s="8">
        <v>95.512950000000004</v>
      </c>
      <c r="G75" s="9">
        <v>4.8147440000000001E-3</v>
      </c>
      <c r="H75" s="97"/>
    </row>
    <row r="76" spans="1:8" x14ac:dyDescent="0.2">
      <c r="A76" s="5">
        <v>70</v>
      </c>
      <c r="B76" s="6" t="s">
        <v>92</v>
      </c>
      <c r="C76" s="6" t="s">
        <v>93</v>
      </c>
      <c r="D76" s="6" t="s">
        <v>53</v>
      </c>
      <c r="E76" s="7">
        <v>110125</v>
      </c>
      <c r="F76" s="8">
        <v>94.762562500000001</v>
      </c>
      <c r="G76" s="9">
        <v>4.7769170000000003E-3</v>
      </c>
      <c r="H76" s="97"/>
    </row>
    <row r="77" spans="1:8" x14ac:dyDescent="0.2">
      <c r="A77" s="5">
        <v>71</v>
      </c>
      <c r="B77" s="6" t="s">
        <v>250</v>
      </c>
      <c r="C77" s="6" t="s">
        <v>251</v>
      </c>
      <c r="D77" s="6" t="s">
        <v>193</v>
      </c>
      <c r="E77" s="7">
        <v>34046</v>
      </c>
      <c r="F77" s="8">
        <v>93.949937000000006</v>
      </c>
      <c r="G77" s="9">
        <v>4.7359530000000002E-3</v>
      </c>
      <c r="H77" s="97"/>
    </row>
    <row r="78" spans="1:8" x14ac:dyDescent="0.2">
      <c r="A78" s="5">
        <v>72</v>
      </c>
      <c r="B78" s="6" t="s">
        <v>241</v>
      </c>
      <c r="C78" s="6" t="s">
        <v>242</v>
      </c>
      <c r="D78" s="6" t="s">
        <v>147</v>
      </c>
      <c r="E78" s="7">
        <v>19860</v>
      </c>
      <c r="F78" s="8">
        <v>93.917940000000002</v>
      </c>
      <c r="G78" s="9">
        <v>4.7343400000000001E-3</v>
      </c>
      <c r="H78" s="97"/>
    </row>
    <row r="79" spans="1:8" x14ac:dyDescent="0.2">
      <c r="A79" s="5">
        <v>73</v>
      </c>
      <c r="B79" s="6" t="s">
        <v>243</v>
      </c>
      <c r="C79" s="6" t="s">
        <v>244</v>
      </c>
      <c r="D79" s="6" t="s">
        <v>185</v>
      </c>
      <c r="E79" s="7">
        <v>16020</v>
      </c>
      <c r="F79" s="8">
        <v>88.510499999999993</v>
      </c>
      <c r="G79" s="9">
        <v>4.4617550000000004E-3</v>
      </c>
      <c r="H79" s="97"/>
    </row>
    <row r="80" spans="1:8" x14ac:dyDescent="0.2">
      <c r="A80" s="5">
        <v>74</v>
      </c>
      <c r="B80" s="6" t="s">
        <v>228</v>
      </c>
      <c r="C80" s="6" t="s">
        <v>229</v>
      </c>
      <c r="D80" s="6" t="s">
        <v>327</v>
      </c>
      <c r="E80" s="7">
        <v>9457</v>
      </c>
      <c r="F80" s="8">
        <v>80.223731000000001</v>
      </c>
      <c r="G80" s="9">
        <v>4.0440240000000002E-3</v>
      </c>
      <c r="H80" s="97"/>
    </row>
    <row r="81" spans="1:8" x14ac:dyDescent="0.2">
      <c r="A81" s="5">
        <v>75</v>
      </c>
      <c r="B81" s="6" t="s">
        <v>254</v>
      </c>
      <c r="C81" s="6" t="s">
        <v>255</v>
      </c>
      <c r="D81" s="6" t="s">
        <v>185</v>
      </c>
      <c r="E81" s="7">
        <v>6324</v>
      </c>
      <c r="F81" s="8">
        <v>65.946672000000007</v>
      </c>
      <c r="G81" s="9">
        <v>3.3243270000000002E-3</v>
      </c>
      <c r="H81" s="97"/>
    </row>
    <row r="82" spans="1:8" x14ac:dyDescent="0.2">
      <c r="A82" s="3"/>
      <c r="B82" s="3"/>
      <c r="C82" s="4" t="s">
        <v>97</v>
      </c>
      <c r="D82" s="3"/>
      <c r="E82" s="3" t="s">
        <v>98</v>
      </c>
      <c r="F82" s="11">
        <v>19064.887315</v>
      </c>
      <c r="G82" s="12">
        <v>0.96104815099999996</v>
      </c>
      <c r="H82" s="97"/>
    </row>
    <row r="83" spans="1:8" x14ac:dyDescent="0.2">
      <c r="A83" s="3"/>
      <c r="B83" s="3"/>
      <c r="C83" s="13"/>
      <c r="D83" s="3"/>
      <c r="E83" s="3"/>
      <c r="F83" s="14"/>
      <c r="G83" s="14"/>
      <c r="H83" s="97"/>
    </row>
    <row r="84" spans="1:8" x14ac:dyDescent="0.2">
      <c r="A84" s="3"/>
      <c r="B84" s="3"/>
      <c r="C84" s="4" t="s">
        <v>99</v>
      </c>
      <c r="D84" s="3"/>
      <c r="E84" s="3"/>
      <c r="F84" s="3"/>
      <c r="G84" s="3"/>
      <c r="H84" s="97"/>
    </row>
    <row r="85" spans="1:8" x14ac:dyDescent="0.2">
      <c r="A85" s="3"/>
      <c r="B85" s="3"/>
      <c r="C85" s="4" t="s">
        <v>97</v>
      </c>
      <c r="D85" s="3"/>
      <c r="E85" s="3" t="s">
        <v>98</v>
      </c>
      <c r="F85" s="15">
        <v>0</v>
      </c>
      <c r="G85" s="16">
        <v>0</v>
      </c>
      <c r="H85" s="97"/>
    </row>
    <row r="86" spans="1:8" x14ac:dyDescent="0.2">
      <c r="A86" s="3"/>
      <c r="B86" s="3"/>
      <c r="C86" s="13"/>
      <c r="D86" s="3"/>
      <c r="E86" s="3"/>
      <c r="F86" s="14"/>
      <c r="G86" s="14"/>
      <c r="H86" s="97"/>
    </row>
    <row r="87" spans="1:8" x14ac:dyDescent="0.2">
      <c r="A87" s="3"/>
      <c r="B87" s="3"/>
      <c r="C87" s="4" t="s">
        <v>100</v>
      </c>
      <c r="D87" s="3"/>
      <c r="E87" s="3"/>
      <c r="F87" s="3"/>
      <c r="G87" s="3"/>
      <c r="H87" s="97"/>
    </row>
    <row r="88" spans="1:8" x14ac:dyDescent="0.2">
      <c r="A88" s="3"/>
      <c r="B88" s="3"/>
      <c r="C88" s="4" t="s">
        <v>97</v>
      </c>
      <c r="D88" s="3"/>
      <c r="E88" s="3" t="s">
        <v>98</v>
      </c>
      <c r="F88" s="15">
        <v>0</v>
      </c>
      <c r="G88" s="16">
        <v>0</v>
      </c>
      <c r="H88" s="97"/>
    </row>
    <row r="89" spans="1:8" x14ac:dyDescent="0.2">
      <c r="A89" s="3"/>
      <c r="B89" s="3"/>
      <c r="C89" s="13"/>
      <c r="D89" s="3"/>
      <c r="E89" s="3"/>
      <c r="F89" s="14"/>
      <c r="G89" s="14"/>
      <c r="H89" s="97"/>
    </row>
    <row r="90" spans="1:8" x14ac:dyDescent="0.2">
      <c r="A90" s="3"/>
      <c r="B90" s="3"/>
      <c r="C90" s="4" t="s">
        <v>101</v>
      </c>
      <c r="D90" s="3"/>
      <c r="E90" s="3"/>
      <c r="F90" s="3"/>
      <c r="G90" s="3"/>
      <c r="H90" s="97"/>
    </row>
    <row r="91" spans="1:8" x14ac:dyDescent="0.2">
      <c r="A91" s="3"/>
      <c r="B91" s="3"/>
      <c r="C91" s="4" t="s">
        <v>97</v>
      </c>
      <c r="D91" s="3"/>
      <c r="E91" s="3" t="s">
        <v>98</v>
      </c>
      <c r="F91" s="15">
        <v>0</v>
      </c>
      <c r="G91" s="16">
        <v>0</v>
      </c>
      <c r="H91" s="97"/>
    </row>
    <row r="92" spans="1:8" x14ac:dyDescent="0.2">
      <c r="A92" s="3"/>
      <c r="B92" s="3"/>
      <c r="C92" s="13"/>
      <c r="D92" s="3"/>
      <c r="E92" s="3"/>
      <c r="F92" s="14"/>
      <c r="G92" s="14"/>
      <c r="H92" s="97"/>
    </row>
    <row r="93" spans="1:8" x14ac:dyDescent="0.2">
      <c r="A93" s="3"/>
      <c r="B93" s="3"/>
      <c r="C93" s="4" t="s">
        <v>102</v>
      </c>
      <c r="D93" s="3"/>
      <c r="E93" s="3"/>
      <c r="F93" s="14"/>
      <c r="G93" s="14"/>
      <c r="H93" s="97"/>
    </row>
    <row r="94" spans="1:8" x14ac:dyDescent="0.2">
      <c r="A94" s="3"/>
      <c r="B94" s="3"/>
      <c r="C94" s="4" t="s">
        <v>97</v>
      </c>
      <c r="D94" s="3"/>
      <c r="E94" s="3" t="s">
        <v>98</v>
      </c>
      <c r="F94" s="15">
        <v>0</v>
      </c>
      <c r="G94" s="16">
        <v>0</v>
      </c>
      <c r="H94" s="97"/>
    </row>
    <row r="95" spans="1:8" x14ac:dyDescent="0.2">
      <c r="A95" s="3"/>
      <c r="B95" s="3"/>
      <c r="C95" s="13"/>
      <c r="D95" s="3"/>
      <c r="E95" s="3"/>
      <c r="F95" s="14"/>
      <c r="G95" s="14"/>
      <c r="H95" s="97"/>
    </row>
    <row r="96" spans="1:8" x14ac:dyDescent="0.2">
      <c r="A96" s="3"/>
      <c r="B96" s="3"/>
      <c r="C96" s="4" t="s">
        <v>103</v>
      </c>
      <c r="D96" s="3"/>
      <c r="E96" s="3"/>
      <c r="F96" s="14"/>
      <c r="G96" s="14"/>
      <c r="H96" s="97"/>
    </row>
    <row r="97" spans="1:8" x14ac:dyDescent="0.2">
      <c r="A97" s="3"/>
      <c r="B97" s="3"/>
      <c r="C97" s="4" t="s">
        <v>97</v>
      </c>
      <c r="D97" s="3"/>
      <c r="E97" s="3" t="s">
        <v>98</v>
      </c>
      <c r="F97" s="15">
        <v>0</v>
      </c>
      <c r="G97" s="16">
        <v>0</v>
      </c>
      <c r="H97" s="97"/>
    </row>
    <row r="98" spans="1:8" x14ac:dyDescent="0.2">
      <c r="A98" s="3"/>
      <c r="B98" s="3"/>
      <c r="C98" s="13"/>
      <c r="D98" s="3"/>
      <c r="E98" s="3"/>
      <c r="F98" s="14"/>
      <c r="G98" s="14"/>
      <c r="H98" s="97"/>
    </row>
    <row r="99" spans="1:8" x14ac:dyDescent="0.2">
      <c r="A99" s="3"/>
      <c r="B99" s="3"/>
      <c r="C99" s="4" t="s">
        <v>104</v>
      </c>
      <c r="D99" s="3"/>
      <c r="E99" s="3"/>
      <c r="F99" s="11">
        <v>19064.887315</v>
      </c>
      <c r="G99" s="12">
        <v>0.96104815099999996</v>
      </c>
      <c r="H99" s="97"/>
    </row>
    <row r="100" spans="1:8" x14ac:dyDescent="0.2">
      <c r="A100" s="3"/>
      <c r="B100" s="3"/>
      <c r="C100" s="13"/>
      <c r="D100" s="3"/>
      <c r="E100" s="3"/>
      <c r="F100" s="14"/>
      <c r="G100" s="14"/>
      <c r="H100" s="97"/>
    </row>
    <row r="101" spans="1:8" x14ac:dyDescent="0.2">
      <c r="A101" s="3"/>
      <c r="B101" s="3"/>
      <c r="C101" s="4" t="s">
        <v>105</v>
      </c>
      <c r="D101" s="3"/>
      <c r="E101" s="3"/>
      <c r="F101" s="14"/>
      <c r="G101" s="14"/>
      <c r="H101" s="97"/>
    </row>
    <row r="102" spans="1:8" ht="25.5" x14ac:dyDescent="0.2">
      <c r="A102" s="3"/>
      <c r="B102" s="3"/>
      <c r="C102" s="4" t="s">
        <v>10</v>
      </c>
      <c r="D102" s="3"/>
      <c r="E102" s="3"/>
      <c r="F102" s="14"/>
      <c r="G102" s="14"/>
      <c r="H102" s="97"/>
    </row>
    <row r="103" spans="1:8" x14ac:dyDescent="0.2">
      <c r="A103" s="3"/>
      <c r="B103" s="3"/>
      <c r="C103" s="4" t="s">
        <v>97</v>
      </c>
      <c r="D103" s="3"/>
      <c r="E103" s="3" t="s">
        <v>98</v>
      </c>
      <c r="F103" s="15">
        <v>0</v>
      </c>
      <c r="G103" s="16">
        <v>0</v>
      </c>
      <c r="H103" s="97"/>
    </row>
    <row r="104" spans="1:8" x14ac:dyDescent="0.2">
      <c r="A104" s="3"/>
      <c r="B104" s="3"/>
      <c r="C104" s="13"/>
      <c r="D104" s="3"/>
      <c r="E104" s="3"/>
      <c r="F104" s="14"/>
      <c r="G104" s="14"/>
      <c r="H104" s="97"/>
    </row>
    <row r="105" spans="1:8" x14ac:dyDescent="0.2">
      <c r="A105" s="3"/>
      <c r="B105" s="3"/>
      <c r="C105" s="4" t="s">
        <v>106</v>
      </c>
      <c r="D105" s="3"/>
      <c r="E105" s="3"/>
      <c r="F105" s="3"/>
      <c r="G105" s="3"/>
      <c r="H105" s="97"/>
    </row>
    <row r="106" spans="1:8" x14ac:dyDescent="0.2">
      <c r="A106" s="3"/>
      <c r="B106" s="3"/>
      <c r="C106" s="4" t="s">
        <v>97</v>
      </c>
      <c r="D106" s="3"/>
      <c r="E106" s="3" t="s">
        <v>98</v>
      </c>
      <c r="F106" s="15">
        <v>0</v>
      </c>
      <c r="G106" s="16">
        <v>0</v>
      </c>
      <c r="H106" s="97"/>
    </row>
    <row r="107" spans="1:8" x14ac:dyDescent="0.2">
      <c r="A107" s="3"/>
      <c r="B107" s="3"/>
      <c r="C107" s="13"/>
      <c r="D107" s="3"/>
      <c r="E107" s="3"/>
      <c r="F107" s="14"/>
      <c r="G107" s="14"/>
      <c r="H107" s="97"/>
    </row>
    <row r="108" spans="1:8" x14ac:dyDescent="0.2">
      <c r="A108" s="3"/>
      <c r="B108" s="3"/>
      <c r="C108" s="4" t="s">
        <v>107</v>
      </c>
      <c r="D108" s="3"/>
      <c r="E108" s="3"/>
      <c r="F108" s="3"/>
      <c r="G108" s="3"/>
      <c r="H108" s="97"/>
    </row>
    <row r="109" spans="1:8" x14ac:dyDescent="0.2">
      <c r="A109" s="3"/>
      <c r="B109" s="3"/>
      <c r="C109" s="4" t="s">
        <v>97</v>
      </c>
      <c r="D109" s="3"/>
      <c r="E109" s="3" t="s">
        <v>98</v>
      </c>
      <c r="F109" s="15">
        <v>0</v>
      </c>
      <c r="G109" s="16">
        <v>0</v>
      </c>
      <c r="H109" s="97"/>
    </row>
    <row r="110" spans="1:8" x14ac:dyDescent="0.2">
      <c r="A110" s="3"/>
      <c r="B110" s="3"/>
      <c r="C110" s="13"/>
      <c r="D110" s="3"/>
      <c r="E110" s="3"/>
      <c r="F110" s="14"/>
      <c r="G110" s="14"/>
      <c r="H110" s="97"/>
    </row>
    <row r="111" spans="1:8" x14ac:dyDescent="0.2">
      <c r="A111" s="3"/>
      <c r="B111" s="3"/>
      <c r="C111" s="4" t="s">
        <v>108</v>
      </c>
      <c r="D111" s="3"/>
      <c r="E111" s="3"/>
      <c r="F111" s="14"/>
      <c r="G111" s="14"/>
      <c r="H111" s="97"/>
    </row>
    <row r="112" spans="1:8" x14ac:dyDescent="0.2">
      <c r="A112" s="3"/>
      <c r="B112" s="3"/>
      <c r="C112" s="4" t="s">
        <v>97</v>
      </c>
      <c r="D112" s="3"/>
      <c r="E112" s="3" t="s">
        <v>98</v>
      </c>
      <c r="F112" s="15">
        <v>0</v>
      </c>
      <c r="G112" s="16">
        <v>0</v>
      </c>
      <c r="H112" s="97"/>
    </row>
    <row r="113" spans="1:8" x14ac:dyDescent="0.2">
      <c r="A113" s="3"/>
      <c r="B113" s="3"/>
      <c r="C113" s="13"/>
      <c r="D113" s="3"/>
      <c r="E113" s="3"/>
      <c r="F113" s="14"/>
      <c r="G113" s="14"/>
      <c r="H113" s="97"/>
    </row>
    <row r="114" spans="1:8" x14ac:dyDescent="0.2">
      <c r="A114" s="3"/>
      <c r="B114" s="3"/>
      <c r="C114" s="4" t="s">
        <v>109</v>
      </c>
      <c r="D114" s="3"/>
      <c r="E114" s="3"/>
      <c r="F114" s="11">
        <v>0</v>
      </c>
      <c r="G114" s="12">
        <v>0</v>
      </c>
      <c r="H114" s="97"/>
    </row>
    <row r="115" spans="1:8" x14ac:dyDescent="0.2">
      <c r="A115" s="3"/>
      <c r="B115" s="3"/>
      <c r="C115" s="13"/>
      <c r="D115" s="3"/>
      <c r="E115" s="3"/>
      <c r="F115" s="14"/>
      <c r="G115" s="14"/>
      <c r="H115" s="97"/>
    </row>
    <row r="116" spans="1:8" x14ac:dyDescent="0.2">
      <c r="A116" s="3"/>
      <c r="B116" s="3"/>
      <c r="C116" s="4" t="s">
        <v>110</v>
      </c>
      <c r="D116" s="3"/>
      <c r="E116" s="3"/>
      <c r="F116" s="14"/>
      <c r="G116" s="14"/>
      <c r="H116" s="97"/>
    </row>
    <row r="117" spans="1:8" x14ac:dyDescent="0.2">
      <c r="A117" s="3"/>
      <c r="B117" s="3"/>
      <c r="C117" s="4" t="s">
        <v>111</v>
      </c>
      <c r="D117" s="3"/>
      <c r="E117" s="3"/>
      <c r="F117" s="14"/>
      <c r="G117" s="14"/>
      <c r="H117" s="97"/>
    </row>
    <row r="118" spans="1:8" x14ac:dyDescent="0.2">
      <c r="A118" s="3"/>
      <c r="B118" s="3"/>
      <c r="C118" s="4" t="s">
        <v>97</v>
      </c>
      <c r="D118" s="3"/>
      <c r="E118" s="3" t="s">
        <v>98</v>
      </c>
      <c r="F118" s="15">
        <v>0</v>
      </c>
      <c r="G118" s="16">
        <v>0</v>
      </c>
      <c r="H118" s="97"/>
    </row>
    <row r="119" spans="1:8" x14ac:dyDescent="0.2">
      <c r="A119" s="3"/>
      <c r="B119" s="3"/>
      <c r="C119" s="13"/>
      <c r="D119" s="3"/>
      <c r="E119" s="3"/>
      <c r="F119" s="14"/>
      <c r="G119" s="14"/>
      <c r="H119" s="97"/>
    </row>
    <row r="120" spans="1:8" x14ac:dyDescent="0.2">
      <c r="A120" s="3"/>
      <c r="B120" s="3"/>
      <c r="C120" s="4" t="s">
        <v>112</v>
      </c>
      <c r="D120" s="3"/>
      <c r="E120" s="3"/>
      <c r="F120" s="14"/>
      <c r="G120" s="14"/>
      <c r="H120" s="97"/>
    </row>
    <row r="121" spans="1:8" x14ac:dyDescent="0.2">
      <c r="A121" s="3"/>
      <c r="B121" s="3"/>
      <c r="C121" s="4" t="s">
        <v>97</v>
      </c>
      <c r="D121" s="3"/>
      <c r="E121" s="3" t="s">
        <v>98</v>
      </c>
      <c r="F121" s="15">
        <v>0</v>
      </c>
      <c r="G121" s="16">
        <v>0</v>
      </c>
      <c r="H121" s="97"/>
    </row>
    <row r="122" spans="1:8" x14ac:dyDescent="0.2">
      <c r="A122" s="3"/>
      <c r="B122" s="3"/>
      <c r="C122" s="13"/>
      <c r="D122" s="3"/>
      <c r="E122" s="3"/>
      <c r="F122" s="14"/>
      <c r="G122" s="14"/>
      <c r="H122" s="97"/>
    </row>
    <row r="123" spans="1:8" x14ac:dyDescent="0.2">
      <c r="A123" s="3"/>
      <c r="B123" s="3"/>
      <c r="C123" s="4" t="s">
        <v>113</v>
      </c>
      <c r="D123" s="3"/>
      <c r="E123" s="3"/>
      <c r="F123" s="14"/>
      <c r="G123" s="14"/>
      <c r="H123" s="97"/>
    </row>
    <row r="124" spans="1:8" x14ac:dyDescent="0.2">
      <c r="A124" s="3"/>
      <c r="B124" s="3"/>
      <c r="C124" s="4" t="s">
        <v>97</v>
      </c>
      <c r="D124" s="3"/>
      <c r="E124" s="3" t="s">
        <v>98</v>
      </c>
      <c r="F124" s="15">
        <v>0</v>
      </c>
      <c r="G124" s="16">
        <v>0</v>
      </c>
      <c r="H124" s="97"/>
    </row>
    <row r="125" spans="1:8" x14ac:dyDescent="0.2">
      <c r="A125" s="3"/>
      <c r="B125" s="3"/>
      <c r="C125" s="13"/>
      <c r="D125" s="3"/>
      <c r="E125" s="3"/>
      <c r="F125" s="14"/>
      <c r="G125" s="14"/>
      <c r="H125" s="97"/>
    </row>
    <row r="126" spans="1:8" x14ac:dyDescent="0.2">
      <c r="A126" s="3"/>
      <c r="B126" s="3"/>
      <c r="C126" s="4" t="s">
        <v>114</v>
      </c>
      <c r="D126" s="3"/>
      <c r="E126" s="3"/>
      <c r="F126" s="14"/>
      <c r="G126" s="14"/>
      <c r="H126" s="97"/>
    </row>
    <row r="127" spans="1:8" x14ac:dyDescent="0.2">
      <c r="A127" s="5">
        <v>1</v>
      </c>
      <c r="B127" s="6"/>
      <c r="C127" s="6" t="s">
        <v>115</v>
      </c>
      <c r="D127" s="6"/>
      <c r="E127" s="10"/>
      <c r="F127" s="8">
        <v>493.1042534</v>
      </c>
      <c r="G127" s="9">
        <v>2.4857054E-2</v>
      </c>
      <c r="H127" s="8">
        <v>3.4504560529072292</v>
      </c>
    </row>
    <row r="128" spans="1:8" x14ac:dyDescent="0.2">
      <c r="A128" s="5">
        <v>2</v>
      </c>
      <c r="B128" s="6"/>
      <c r="C128" s="6" t="s">
        <v>116</v>
      </c>
      <c r="D128" s="6"/>
      <c r="E128" s="10"/>
      <c r="F128" s="8">
        <v>266.13219070000002</v>
      </c>
      <c r="G128" s="9">
        <v>1.3415544999999999E-2</v>
      </c>
      <c r="H128" s="8">
        <v>3.5655822479098256</v>
      </c>
    </row>
    <row r="129" spans="1:8" x14ac:dyDescent="0.2">
      <c r="A129" s="3"/>
      <c r="B129" s="3"/>
      <c r="C129" s="4" t="s">
        <v>97</v>
      </c>
      <c r="D129" s="3"/>
      <c r="E129" s="3" t="s">
        <v>98</v>
      </c>
      <c r="F129" s="11">
        <v>759.23644409999997</v>
      </c>
      <c r="G129" s="12">
        <v>3.8272598999999997E-2</v>
      </c>
      <c r="H129" s="97"/>
    </row>
    <row r="130" spans="1:8" x14ac:dyDescent="0.2">
      <c r="A130" s="3"/>
      <c r="B130" s="3"/>
      <c r="C130" s="13"/>
      <c r="D130" s="3"/>
      <c r="E130" s="3"/>
      <c r="F130" s="14"/>
      <c r="G130" s="14"/>
      <c r="H130" s="97"/>
    </row>
    <row r="131" spans="1:8" x14ac:dyDescent="0.2">
      <c r="A131" s="3"/>
      <c r="B131" s="3"/>
      <c r="C131" s="4" t="s">
        <v>117</v>
      </c>
      <c r="D131" s="3"/>
      <c r="E131" s="3"/>
      <c r="F131" s="11">
        <v>759.23644409999997</v>
      </c>
      <c r="G131" s="12">
        <v>3.8272598999999997E-2</v>
      </c>
      <c r="H131" s="97"/>
    </row>
    <row r="132" spans="1:8" x14ac:dyDescent="0.2">
      <c r="A132" s="3"/>
      <c r="B132" s="3"/>
      <c r="C132" s="14"/>
      <c r="D132" s="3"/>
      <c r="E132" s="3"/>
      <c r="F132" s="3"/>
      <c r="G132" s="3"/>
      <c r="H132" s="97"/>
    </row>
    <row r="133" spans="1:8" x14ac:dyDescent="0.2">
      <c r="A133" s="3"/>
      <c r="B133" s="3"/>
      <c r="C133" s="4" t="s">
        <v>118</v>
      </c>
      <c r="D133" s="3"/>
      <c r="E133" s="3"/>
      <c r="F133" s="3"/>
      <c r="G133" s="3"/>
      <c r="H133" s="97"/>
    </row>
    <row r="134" spans="1:8" x14ac:dyDescent="0.2">
      <c r="A134" s="3"/>
      <c r="B134" s="3"/>
      <c r="C134" s="4" t="s">
        <v>119</v>
      </c>
      <c r="D134" s="3"/>
      <c r="E134" s="3"/>
      <c r="F134" s="3"/>
      <c r="G134" s="3"/>
      <c r="H134" s="97"/>
    </row>
    <row r="135" spans="1:8" x14ac:dyDescent="0.2">
      <c r="A135" s="3"/>
      <c r="B135" s="3"/>
      <c r="C135" s="4" t="s">
        <v>97</v>
      </c>
      <c r="D135" s="3"/>
      <c r="E135" s="3" t="s">
        <v>98</v>
      </c>
      <c r="F135" s="15">
        <v>0</v>
      </c>
      <c r="G135" s="16">
        <v>0</v>
      </c>
      <c r="H135" s="97"/>
    </row>
    <row r="136" spans="1:8" x14ac:dyDescent="0.2">
      <c r="A136" s="3"/>
      <c r="B136" s="3"/>
      <c r="C136" s="13"/>
      <c r="D136" s="3"/>
      <c r="E136" s="3"/>
      <c r="F136" s="14"/>
      <c r="G136" s="14"/>
      <c r="H136" s="97"/>
    </row>
    <row r="137" spans="1:8" x14ac:dyDescent="0.2">
      <c r="A137" s="3"/>
      <c r="B137" s="3"/>
      <c r="C137" s="4" t="s">
        <v>120</v>
      </c>
      <c r="D137" s="3"/>
      <c r="E137" s="3"/>
      <c r="F137" s="3"/>
      <c r="G137" s="3"/>
      <c r="H137" s="97"/>
    </row>
    <row r="138" spans="1:8" x14ac:dyDescent="0.2">
      <c r="A138" s="3"/>
      <c r="B138" s="3"/>
      <c r="C138" s="4" t="s">
        <v>121</v>
      </c>
      <c r="D138" s="3"/>
      <c r="E138" s="3"/>
      <c r="F138" s="3"/>
      <c r="G138" s="3"/>
      <c r="H138" s="97"/>
    </row>
    <row r="139" spans="1:8" x14ac:dyDescent="0.2">
      <c r="A139" s="3"/>
      <c r="B139" s="3"/>
      <c r="C139" s="4" t="s">
        <v>97</v>
      </c>
      <c r="D139" s="3"/>
      <c r="E139" s="3" t="s">
        <v>98</v>
      </c>
      <c r="F139" s="15">
        <v>0</v>
      </c>
      <c r="G139" s="16">
        <v>0</v>
      </c>
      <c r="H139" s="97"/>
    </row>
    <row r="140" spans="1:8" x14ac:dyDescent="0.2">
      <c r="A140" s="3"/>
      <c r="B140" s="3"/>
      <c r="C140" s="13"/>
      <c r="D140" s="3"/>
      <c r="E140" s="3"/>
      <c r="F140" s="14"/>
      <c r="G140" s="14"/>
      <c r="H140" s="97"/>
    </row>
    <row r="141" spans="1:8" x14ac:dyDescent="0.2">
      <c r="A141" s="3"/>
      <c r="B141" s="3"/>
      <c r="C141" s="13"/>
      <c r="D141" s="3"/>
      <c r="E141" s="3"/>
      <c r="F141" s="14"/>
      <c r="G141" s="14"/>
      <c r="H141" s="97"/>
    </row>
    <row r="142" spans="1:8" ht="25.5" x14ac:dyDescent="0.2">
      <c r="A142" s="3"/>
      <c r="B142" s="3"/>
      <c r="C142" s="4" t="s">
        <v>122</v>
      </c>
      <c r="D142" s="3"/>
      <c r="E142" s="3"/>
      <c r="F142" s="14"/>
      <c r="G142" s="14"/>
      <c r="H142" s="97"/>
    </row>
    <row r="143" spans="1:8" x14ac:dyDescent="0.2">
      <c r="A143" s="3"/>
      <c r="B143" s="3"/>
      <c r="C143" s="4" t="s">
        <v>97</v>
      </c>
      <c r="D143" s="3"/>
      <c r="E143" s="3" t="s">
        <v>98</v>
      </c>
      <c r="F143" s="15">
        <v>0</v>
      </c>
      <c r="G143" s="16">
        <v>0</v>
      </c>
      <c r="H143" s="97"/>
    </row>
    <row r="144" spans="1:8" x14ac:dyDescent="0.2">
      <c r="A144" s="3"/>
      <c r="B144" s="3"/>
      <c r="C144" s="13"/>
      <c r="D144" s="3"/>
      <c r="E144" s="3"/>
      <c r="F144" s="14"/>
      <c r="G144" s="14"/>
      <c r="H144" s="97"/>
    </row>
    <row r="145" spans="1:8" x14ac:dyDescent="0.2">
      <c r="A145" s="3"/>
      <c r="B145" s="6"/>
      <c r="C145" s="6"/>
      <c r="D145" s="4"/>
      <c r="E145" s="3"/>
      <c r="F145" s="6"/>
      <c r="G145" s="10"/>
      <c r="H145" s="97"/>
    </row>
    <row r="146" spans="1:8" x14ac:dyDescent="0.2">
      <c r="A146" s="10"/>
      <c r="B146" s="6"/>
      <c r="C146" s="6" t="s">
        <v>123</v>
      </c>
      <c r="D146" s="6"/>
      <c r="E146" s="10"/>
      <c r="F146" s="8">
        <v>13.47472299</v>
      </c>
      <c r="G146" s="9">
        <v>6.7925199999999998E-4</v>
      </c>
      <c r="H146" s="97"/>
    </row>
    <row r="147" spans="1:8" x14ac:dyDescent="0.2">
      <c r="A147" s="13"/>
      <c r="B147" s="13"/>
      <c r="C147" s="4" t="s">
        <v>124</v>
      </c>
      <c r="D147" s="17"/>
      <c r="E147" s="17"/>
      <c r="F147" s="11">
        <v>19837.598482090001</v>
      </c>
      <c r="G147" s="12">
        <v>1.0000000019999999</v>
      </c>
      <c r="H147" s="97"/>
    </row>
    <row r="148" spans="1:8" ht="14.1" customHeight="1" x14ac:dyDescent="0.2">
      <c r="A148" s="20"/>
      <c r="B148" s="226" t="s">
        <v>98</v>
      </c>
      <c r="C148" s="226"/>
      <c r="D148" s="226"/>
      <c r="E148" s="226"/>
      <c r="F148" s="226"/>
      <c r="G148" s="22"/>
    </row>
    <row r="149" spans="1:8" ht="14.1" customHeight="1" x14ac:dyDescent="0.2">
      <c r="A149" s="20"/>
      <c r="B149" s="20"/>
      <c r="C149" s="20"/>
      <c r="D149" s="22"/>
      <c r="E149" s="22"/>
      <c r="F149" s="22"/>
      <c r="G149" s="22"/>
    </row>
    <row r="150" spans="1:8" ht="14.1" customHeight="1" x14ac:dyDescent="0.2">
      <c r="A150" s="20"/>
      <c r="B150" s="224" t="s">
        <v>126</v>
      </c>
      <c r="C150" s="225"/>
      <c r="D150" s="14" t="s">
        <v>98</v>
      </c>
      <c r="E150" s="23"/>
      <c r="F150" s="22"/>
      <c r="G150" s="22"/>
    </row>
    <row r="151" spans="1:8" ht="29.1" customHeight="1" x14ac:dyDescent="0.2">
      <c r="A151" s="20"/>
      <c r="B151" s="231" t="s">
        <v>127</v>
      </c>
      <c r="C151" s="232"/>
      <c r="D151" s="4" t="s">
        <v>128</v>
      </c>
      <c r="E151" s="23"/>
      <c r="F151" s="22"/>
      <c r="G151" s="22"/>
    </row>
    <row r="152" spans="1:8" ht="17.100000000000001" customHeight="1" x14ac:dyDescent="0.2">
      <c r="A152" s="20"/>
      <c r="B152" s="231" t="s">
        <v>129</v>
      </c>
      <c r="C152" s="232"/>
      <c r="D152" s="4" t="s">
        <v>128</v>
      </c>
      <c r="E152" s="23"/>
      <c r="F152" s="22"/>
      <c r="G152" s="22"/>
    </row>
    <row r="153" spans="1:8" ht="17.100000000000001" customHeight="1" x14ac:dyDescent="0.2">
      <c r="A153" s="20"/>
      <c r="B153" s="231" t="s">
        <v>130</v>
      </c>
      <c r="C153" s="232"/>
      <c r="D153" s="14" t="s">
        <v>98</v>
      </c>
      <c r="E153" s="23"/>
      <c r="F153" s="22"/>
      <c r="G153" s="22"/>
    </row>
    <row r="154" spans="1:8" ht="24" customHeight="1" x14ac:dyDescent="0.2">
      <c r="A154" s="24"/>
      <c r="B154" s="25" t="s">
        <v>98</v>
      </c>
      <c r="C154" s="25" t="s">
        <v>131</v>
      </c>
      <c r="D154" s="25" t="s">
        <v>132</v>
      </c>
      <c r="E154" s="24"/>
      <c r="F154" s="24"/>
      <c r="G154" s="24"/>
    </row>
    <row r="155" spans="1:8" ht="18" customHeight="1" x14ac:dyDescent="0.2">
      <c r="A155" s="24"/>
      <c r="B155" s="25" t="s">
        <v>133</v>
      </c>
      <c r="C155" s="25" t="s">
        <v>134</v>
      </c>
      <c r="D155" s="25" t="s">
        <v>135</v>
      </c>
      <c r="E155" s="24"/>
      <c r="F155" s="24"/>
      <c r="G155" s="24"/>
    </row>
    <row r="156" spans="1:8" ht="17.100000000000001" customHeight="1" x14ac:dyDescent="0.2">
      <c r="A156" s="24"/>
      <c r="B156" s="6" t="s">
        <v>136</v>
      </c>
      <c r="C156" s="26">
        <v>18.032499999999999</v>
      </c>
      <c r="D156" s="26">
        <v>18.7987</v>
      </c>
      <c r="E156" s="24"/>
      <c r="F156" s="21"/>
      <c r="G156" s="27"/>
    </row>
    <row r="157" spans="1:8" ht="17.100000000000001" customHeight="1" x14ac:dyDescent="0.2">
      <c r="A157" s="24"/>
      <c r="B157" s="6" t="s">
        <v>1201</v>
      </c>
      <c r="C157" s="26">
        <v>17.388999999999999</v>
      </c>
      <c r="D157" s="26">
        <v>18.1279</v>
      </c>
      <c r="E157" s="24"/>
      <c r="F157" s="21"/>
      <c r="G157" s="27"/>
    </row>
    <row r="158" spans="1:8" ht="17.100000000000001" customHeight="1" x14ac:dyDescent="0.2">
      <c r="A158" s="24"/>
      <c r="B158" s="6" t="s">
        <v>137</v>
      </c>
      <c r="C158" s="26">
        <v>17.516100000000002</v>
      </c>
      <c r="D158" s="26">
        <v>18.251100000000001</v>
      </c>
      <c r="E158" s="24"/>
      <c r="F158" s="21"/>
      <c r="G158" s="27"/>
    </row>
    <row r="159" spans="1:8" ht="17.100000000000001" customHeight="1" x14ac:dyDescent="0.2">
      <c r="A159" s="24"/>
      <c r="B159" s="6" t="s">
        <v>1202</v>
      </c>
      <c r="C159" s="26">
        <v>16.8748</v>
      </c>
      <c r="D159" s="26">
        <v>17.582899999999999</v>
      </c>
      <c r="E159" s="24"/>
      <c r="F159" s="21"/>
      <c r="G159" s="27"/>
    </row>
    <row r="160" spans="1:8" ht="14.1" customHeight="1" x14ac:dyDescent="0.2">
      <c r="A160" s="24"/>
      <c r="B160" s="24"/>
      <c r="C160" s="24"/>
      <c r="D160" s="24"/>
      <c r="E160" s="24"/>
      <c r="F160" s="24"/>
      <c r="G160" s="24"/>
    </row>
    <row r="161" spans="1:17" ht="17.100000000000001" customHeight="1" x14ac:dyDescent="0.2">
      <c r="A161" s="24"/>
      <c r="B161" s="231" t="s">
        <v>1203</v>
      </c>
      <c r="C161" s="232"/>
      <c r="D161" s="4" t="s">
        <v>128</v>
      </c>
      <c r="E161" s="24"/>
      <c r="F161" s="24"/>
      <c r="G161" s="24"/>
    </row>
    <row r="162" spans="1:17" ht="18" customHeight="1" x14ac:dyDescent="0.2">
      <c r="A162" s="24"/>
      <c r="B162" s="28"/>
      <c r="C162" s="28"/>
      <c r="D162" s="29"/>
      <c r="E162" s="24"/>
      <c r="F162" s="24"/>
      <c r="G162" s="24"/>
    </row>
    <row r="163" spans="1:17" s="87" customFormat="1" x14ac:dyDescent="0.2">
      <c r="B163" s="233" t="s">
        <v>1207</v>
      </c>
      <c r="C163" s="233"/>
      <c r="D163" s="233"/>
      <c r="E163" s="233"/>
      <c r="F163" s="233"/>
      <c r="I163"/>
      <c r="J163"/>
      <c r="K163"/>
      <c r="L163"/>
      <c r="M163"/>
      <c r="N163"/>
      <c r="O163"/>
      <c r="P163" s="69"/>
      <c r="Q163" s="69"/>
    </row>
    <row r="164" spans="1:17" ht="14.1" customHeight="1" x14ac:dyDescent="0.2">
      <c r="A164" s="24"/>
      <c r="B164" s="21"/>
      <c r="C164" s="21"/>
      <c r="D164" s="24"/>
      <c r="E164" s="24"/>
      <c r="F164" s="24"/>
      <c r="G164" s="24"/>
      <c r="I164" s="87"/>
      <c r="J164" s="87"/>
      <c r="K164" s="87"/>
      <c r="L164" s="87"/>
      <c r="M164" s="87"/>
      <c r="N164" s="87"/>
      <c r="O164" s="87"/>
    </row>
    <row r="165" spans="1:17" ht="29.1" customHeight="1" x14ac:dyDescent="0.2">
      <c r="A165" s="24"/>
      <c r="B165" s="231" t="s">
        <v>138</v>
      </c>
      <c r="C165" s="232"/>
      <c r="D165" s="4" t="s">
        <v>128</v>
      </c>
      <c r="E165" s="24"/>
      <c r="F165" s="24"/>
      <c r="G165" s="24"/>
    </row>
    <row r="166" spans="1:17" ht="29.1" customHeight="1" x14ac:dyDescent="0.2">
      <c r="A166" s="24"/>
      <c r="B166" s="231" t="s">
        <v>139</v>
      </c>
      <c r="C166" s="232"/>
      <c r="D166" s="4" t="s">
        <v>128</v>
      </c>
      <c r="E166" s="24"/>
      <c r="F166" s="24"/>
      <c r="G166" s="24"/>
    </row>
    <row r="167" spans="1:17" ht="17.100000000000001" customHeight="1" x14ac:dyDescent="0.2">
      <c r="A167" s="24"/>
      <c r="B167" s="231" t="s">
        <v>140</v>
      </c>
      <c r="C167" s="232"/>
      <c r="D167" s="30">
        <v>0.36771796474755519</v>
      </c>
      <c r="E167" s="24"/>
      <c r="F167" s="21"/>
      <c r="G167" s="27"/>
    </row>
    <row r="168" spans="1:17" ht="17.100000000000001" customHeight="1" x14ac:dyDescent="0.2">
      <c r="A168" s="24"/>
      <c r="B168" s="231" t="s">
        <v>141</v>
      </c>
      <c r="C168" s="232"/>
      <c r="D168" s="4" t="s">
        <v>128</v>
      </c>
      <c r="E168" s="24"/>
      <c r="F168" s="24"/>
      <c r="G168" s="24"/>
    </row>
  </sheetData>
  <mergeCells count="15">
    <mergeCell ref="B167:C167"/>
    <mergeCell ref="B168:C168"/>
    <mergeCell ref="B151:C151"/>
    <mergeCell ref="B152:C152"/>
    <mergeCell ref="B153:C153"/>
    <mergeCell ref="B161:C161"/>
    <mergeCell ref="B165:C165"/>
    <mergeCell ref="B166:C166"/>
    <mergeCell ref="B163:F163"/>
    <mergeCell ref="J2:N2"/>
    <mergeCell ref="B150:C150"/>
    <mergeCell ref="B148:F148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7">
    <outlinePr summaryBelow="0" summaryRight="0"/>
  </sheetPr>
  <dimension ref="A1:Q169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6" ht="15" x14ac:dyDescent="0.2">
      <c r="A1" s="227" t="s">
        <v>0</v>
      </c>
      <c r="B1" s="227"/>
      <c r="C1" s="227"/>
      <c r="D1" s="227"/>
      <c r="E1" s="227"/>
      <c r="F1" s="227"/>
      <c r="G1" s="227"/>
      <c r="H1" s="227"/>
    </row>
    <row r="2" spans="1:16" s="87" customFormat="1" ht="15" x14ac:dyDescent="0.2">
      <c r="A2" s="228" t="s">
        <v>617</v>
      </c>
      <c r="B2" s="229"/>
      <c r="C2" s="229"/>
      <c r="D2" s="229"/>
      <c r="E2" s="229"/>
      <c r="F2" s="229"/>
      <c r="G2" s="229"/>
      <c r="H2" s="230"/>
      <c r="I2"/>
      <c r="J2" s="223" t="s">
        <v>1238</v>
      </c>
      <c r="K2" s="223"/>
      <c r="L2" s="223"/>
      <c r="M2" s="223"/>
      <c r="N2" s="223"/>
      <c r="O2"/>
      <c r="P2"/>
    </row>
    <row r="3" spans="1:16" ht="15" x14ac:dyDescent="0.2">
      <c r="A3" s="227" t="s">
        <v>1208</v>
      </c>
      <c r="B3" s="227"/>
      <c r="C3" s="227"/>
      <c r="D3" s="227"/>
      <c r="E3" s="227"/>
      <c r="F3" s="227"/>
      <c r="G3" s="227"/>
      <c r="H3" s="227"/>
    </row>
    <row r="4" spans="1:16" s="113" customFormat="1" ht="30" x14ac:dyDescent="0.2">
      <c r="A4" s="1" t="s">
        <v>2</v>
      </c>
      <c r="B4" s="1" t="s">
        <v>3</v>
      </c>
      <c r="C4" s="1" t="s">
        <v>4</v>
      </c>
      <c r="D4" s="1" t="s">
        <v>5</v>
      </c>
      <c r="E4" s="2" t="s">
        <v>6</v>
      </c>
      <c r="F4" s="2" t="s">
        <v>7</v>
      </c>
      <c r="G4" s="2" t="s">
        <v>8</v>
      </c>
      <c r="H4" s="96" t="s">
        <v>1167</v>
      </c>
      <c r="I4" s="183"/>
      <c r="J4" s="183"/>
      <c r="K4" s="183"/>
      <c r="L4" s="183"/>
      <c r="M4" s="183"/>
      <c r="N4" s="183"/>
      <c r="O4" s="183"/>
      <c r="P4" s="183"/>
    </row>
    <row r="5" spans="1:16" ht="14.1" customHeight="1" x14ac:dyDescent="0.2">
      <c r="A5" s="3"/>
      <c r="B5" s="3"/>
      <c r="C5" s="4" t="s">
        <v>9</v>
      </c>
      <c r="D5" s="3"/>
      <c r="E5" s="3"/>
      <c r="F5" s="3"/>
      <c r="G5" s="3"/>
      <c r="H5" s="97"/>
    </row>
    <row r="6" spans="1:16" ht="24" customHeight="1" x14ac:dyDescent="0.2">
      <c r="A6" s="3"/>
      <c r="B6" s="3"/>
      <c r="C6" s="4" t="s">
        <v>10</v>
      </c>
      <c r="D6" s="3"/>
      <c r="E6" s="3"/>
      <c r="F6" s="3"/>
      <c r="G6" s="3"/>
      <c r="H6" s="97"/>
    </row>
    <row r="7" spans="1:16" x14ac:dyDescent="0.2">
      <c r="A7" s="5">
        <v>1</v>
      </c>
      <c r="B7" s="6" t="s">
        <v>164</v>
      </c>
      <c r="C7" s="6" t="s">
        <v>165</v>
      </c>
      <c r="D7" s="6" t="s">
        <v>19</v>
      </c>
      <c r="E7" s="7">
        <v>22067</v>
      </c>
      <c r="F7" s="8">
        <v>257.75359350000002</v>
      </c>
      <c r="G7" s="9">
        <v>3.434591E-2</v>
      </c>
      <c r="H7" s="97"/>
    </row>
    <row r="8" spans="1:16" x14ac:dyDescent="0.2">
      <c r="A8" s="5">
        <v>2</v>
      </c>
      <c r="B8" s="6" t="s">
        <v>17</v>
      </c>
      <c r="C8" s="6" t="s">
        <v>18</v>
      </c>
      <c r="D8" s="6" t="s">
        <v>19</v>
      </c>
      <c r="E8" s="7">
        <v>13076</v>
      </c>
      <c r="F8" s="8">
        <v>250.66692</v>
      </c>
      <c r="G8" s="9">
        <v>3.3401604000000001E-2</v>
      </c>
      <c r="H8" s="97"/>
    </row>
    <row r="9" spans="1:16" x14ac:dyDescent="0.2">
      <c r="A9" s="5">
        <v>3</v>
      </c>
      <c r="B9" s="6" t="s">
        <v>274</v>
      </c>
      <c r="C9" s="6" t="s">
        <v>275</v>
      </c>
      <c r="D9" s="6" t="s">
        <v>185</v>
      </c>
      <c r="E9" s="7">
        <v>5487</v>
      </c>
      <c r="F9" s="8">
        <v>229.82299499999999</v>
      </c>
      <c r="G9" s="9">
        <v>3.0624131999999998E-2</v>
      </c>
      <c r="H9" s="97"/>
    </row>
    <row r="10" spans="1:16" ht="25.5" x14ac:dyDescent="0.2">
      <c r="A10" s="5">
        <v>4</v>
      </c>
      <c r="B10" s="6" t="s">
        <v>143</v>
      </c>
      <c r="C10" s="6" t="s">
        <v>144</v>
      </c>
      <c r="D10" s="6" t="s">
        <v>45</v>
      </c>
      <c r="E10" s="7">
        <v>115375</v>
      </c>
      <c r="F10" s="8">
        <v>224.4620625</v>
      </c>
      <c r="G10" s="9">
        <v>2.9909781999999999E-2</v>
      </c>
      <c r="H10" s="97"/>
    </row>
    <row r="11" spans="1:16" x14ac:dyDescent="0.2">
      <c r="A11" s="5">
        <v>5</v>
      </c>
      <c r="B11" s="6" t="s">
        <v>74</v>
      </c>
      <c r="C11" s="6" t="s">
        <v>75</v>
      </c>
      <c r="D11" s="6" t="s">
        <v>70</v>
      </c>
      <c r="E11" s="7">
        <v>48208</v>
      </c>
      <c r="F11" s="8">
        <v>202.377184</v>
      </c>
      <c r="G11" s="9">
        <v>2.6966950999999999E-2</v>
      </c>
      <c r="H11" s="97"/>
    </row>
    <row r="12" spans="1:16" x14ac:dyDescent="0.2">
      <c r="A12" s="5">
        <v>6</v>
      </c>
      <c r="B12" s="6" t="s">
        <v>263</v>
      </c>
      <c r="C12" s="6" t="s">
        <v>264</v>
      </c>
      <c r="D12" s="6" t="s">
        <v>147</v>
      </c>
      <c r="E12" s="7">
        <v>31217</v>
      </c>
      <c r="F12" s="8">
        <v>191.34460150000001</v>
      </c>
      <c r="G12" s="9">
        <v>2.5496848999999999E-2</v>
      </c>
      <c r="H12" s="97"/>
    </row>
    <row r="13" spans="1:16" x14ac:dyDescent="0.2">
      <c r="A13" s="5">
        <v>7</v>
      </c>
      <c r="B13" s="6" t="s">
        <v>145</v>
      </c>
      <c r="C13" s="6" t="s">
        <v>146</v>
      </c>
      <c r="D13" s="6" t="s">
        <v>147</v>
      </c>
      <c r="E13" s="7">
        <v>3812</v>
      </c>
      <c r="F13" s="8">
        <v>186.953822</v>
      </c>
      <c r="G13" s="9">
        <v>2.4911774000000001E-2</v>
      </c>
      <c r="H13" s="97"/>
    </row>
    <row r="14" spans="1:16" x14ac:dyDescent="0.2">
      <c r="A14" s="5">
        <v>8</v>
      </c>
      <c r="B14" s="6" t="s">
        <v>148</v>
      </c>
      <c r="C14" s="6" t="s">
        <v>149</v>
      </c>
      <c r="D14" s="6" t="s">
        <v>70</v>
      </c>
      <c r="E14" s="7">
        <v>30587</v>
      </c>
      <c r="F14" s="8">
        <v>182.879673</v>
      </c>
      <c r="G14" s="9">
        <v>2.4368889000000001E-2</v>
      </c>
      <c r="H14" s="97"/>
    </row>
    <row r="15" spans="1:16" x14ac:dyDescent="0.2">
      <c r="A15" s="5">
        <v>9</v>
      </c>
      <c r="B15" s="6" t="s">
        <v>296</v>
      </c>
      <c r="C15" s="6" t="s">
        <v>297</v>
      </c>
      <c r="D15" s="6" t="s">
        <v>19</v>
      </c>
      <c r="E15" s="7">
        <v>24026</v>
      </c>
      <c r="F15" s="8">
        <v>170.45245700000001</v>
      </c>
      <c r="G15" s="9">
        <v>2.2712950999999999E-2</v>
      </c>
      <c r="H15" s="97"/>
    </row>
    <row r="16" spans="1:16" ht="15" x14ac:dyDescent="0.2">
      <c r="A16" s="5">
        <v>10</v>
      </c>
      <c r="B16" s="6" t="s">
        <v>150</v>
      </c>
      <c r="C16" s="6" t="s">
        <v>151</v>
      </c>
      <c r="D16" s="6" t="s">
        <v>81</v>
      </c>
      <c r="E16" s="7">
        <v>146354</v>
      </c>
      <c r="F16" s="8">
        <v>162.23340899999999</v>
      </c>
      <c r="G16" s="9">
        <v>2.1617754999999999E-2</v>
      </c>
      <c r="H16" s="97"/>
      <c r="J16" s="184" t="s">
        <v>1246</v>
      </c>
    </row>
    <row r="17" spans="1:8" x14ac:dyDescent="0.2">
      <c r="A17" s="5">
        <v>11</v>
      </c>
      <c r="B17" s="6" t="s">
        <v>198</v>
      </c>
      <c r="C17" s="6" t="s">
        <v>199</v>
      </c>
      <c r="D17" s="6" t="s">
        <v>70</v>
      </c>
      <c r="E17" s="7">
        <v>17407</v>
      </c>
      <c r="F17" s="8">
        <v>155.14859100000001</v>
      </c>
      <c r="G17" s="9">
        <v>2.0673697000000001E-2</v>
      </c>
      <c r="H17" s="97"/>
    </row>
    <row r="18" spans="1:8" x14ac:dyDescent="0.2">
      <c r="A18" s="5">
        <v>12</v>
      </c>
      <c r="B18" s="6" t="s">
        <v>156</v>
      </c>
      <c r="C18" s="6" t="s">
        <v>157</v>
      </c>
      <c r="D18" s="6" t="s">
        <v>19</v>
      </c>
      <c r="E18" s="7">
        <v>21271</v>
      </c>
      <c r="F18" s="8">
        <v>154.2891985</v>
      </c>
      <c r="G18" s="9">
        <v>2.0559181999999999E-2</v>
      </c>
      <c r="H18" s="97"/>
    </row>
    <row r="19" spans="1:8" x14ac:dyDescent="0.2">
      <c r="A19" s="5">
        <v>13</v>
      </c>
      <c r="B19" s="6" t="s">
        <v>154</v>
      </c>
      <c r="C19" s="6" t="s">
        <v>155</v>
      </c>
      <c r="D19" s="6" t="s">
        <v>147</v>
      </c>
      <c r="E19" s="7">
        <v>13510</v>
      </c>
      <c r="F19" s="8">
        <v>152.31849500000001</v>
      </c>
      <c r="G19" s="9">
        <v>2.0296583999999999E-2</v>
      </c>
      <c r="H19" s="97"/>
    </row>
    <row r="20" spans="1:8" x14ac:dyDescent="0.2">
      <c r="A20" s="5">
        <v>14</v>
      </c>
      <c r="B20" s="6" t="s">
        <v>41</v>
      </c>
      <c r="C20" s="6" t="s">
        <v>42</v>
      </c>
      <c r="D20" s="6" t="s">
        <v>19</v>
      </c>
      <c r="E20" s="7">
        <v>12093</v>
      </c>
      <c r="F20" s="8">
        <v>147.56483249999999</v>
      </c>
      <c r="G20" s="9">
        <v>1.9663153999999999E-2</v>
      </c>
      <c r="H20" s="97"/>
    </row>
    <row r="21" spans="1:8" ht="25.5" x14ac:dyDescent="0.2">
      <c r="A21" s="5">
        <v>15</v>
      </c>
      <c r="B21" s="6" t="s">
        <v>37</v>
      </c>
      <c r="C21" s="6" t="s">
        <v>38</v>
      </c>
      <c r="D21" s="6" t="s">
        <v>1185</v>
      </c>
      <c r="E21" s="7">
        <v>4064</v>
      </c>
      <c r="F21" s="8">
        <v>138.12926400000001</v>
      </c>
      <c r="G21" s="9">
        <v>1.8405854999999999E-2</v>
      </c>
      <c r="H21" s="97"/>
    </row>
    <row r="22" spans="1:8" x14ac:dyDescent="0.2">
      <c r="A22" s="5">
        <v>16</v>
      </c>
      <c r="B22" s="6" t="s">
        <v>556</v>
      </c>
      <c r="C22" s="6" t="s">
        <v>557</v>
      </c>
      <c r="D22" s="6" t="s">
        <v>48</v>
      </c>
      <c r="E22" s="7">
        <v>18007</v>
      </c>
      <c r="F22" s="8">
        <v>134.4492655</v>
      </c>
      <c r="G22" s="9">
        <v>1.7915492000000002E-2</v>
      </c>
      <c r="H22" s="97"/>
    </row>
    <row r="23" spans="1:8" x14ac:dyDescent="0.2">
      <c r="A23" s="5">
        <v>17</v>
      </c>
      <c r="B23" s="6" t="s">
        <v>203</v>
      </c>
      <c r="C23" s="6" t="s">
        <v>204</v>
      </c>
      <c r="D23" s="6" t="s">
        <v>81</v>
      </c>
      <c r="E23" s="7">
        <v>16888</v>
      </c>
      <c r="F23" s="8">
        <v>130.74689599999999</v>
      </c>
      <c r="G23" s="9">
        <v>1.7422147999999998E-2</v>
      </c>
      <c r="H23" s="97"/>
    </row>
    <row r="24" spans="1:8" ht="25.5" x14ac:dyDescent="0.2">
      <c r="A24" s="5">
        <v>18</v>
      </c>
      <c r="B24" s="6" t="s">
        <v>604</v>
      </c>
      <c r="C24" s="6" t="s">
        <v>605</v>
      </c>
      <c r="D24" s="6" t="s">
        <v>45</v>
      </c>
      <c r="E24" s="7">
        <v>6784</v>
      </c>
      <c r="F24" s="8">
        <v>125.612544</v>
      </c>
      <c r="G24" s="9">
        <v>1.6737990000000001E-2</v>
      </c>
      <c r="H24" s="97"/>
    </row>
    <row r="25" spans="1:8" x14ac:dyDescent="0.2">
      <c r="A25" s="5">
        <v>19</v>
      </c>
      <c r="B25" s="6" t="s">
        <v>158</v>
      </c>
      <c r="C25" s="6" t="s">
        <v>159</v>
      </c>
      <c r="D25" s="6" t="s">
        <v>1187</v>
      </c>
      <c r="E25" s="7">
        <v>9615</v>
      </c>
      <c r="F25" s="8">
        <v>117.2212725</v>
      </c>
      <c r="G25" s="9">
        <v>1.5619845E-2</v>
      </c>
      <c r="H25" s="97"/>
    </row>
    <row r="26" spans="1:8" x14ac:dyDescent="0.2">
      <c r="A26" s="5">
        <v>20</v>
      </c>
      <c r="B26" s="6" t="s">
        <v>160</v>
      </c>
      <c r="C26" s="6" t="s">
        <v>161</v>
      </c>
      <c r="D26" s="6" t="s">
        <v>147</v>
      </c>
      <c r="E26" s="7">
        <v>11291</v>
      </c>
      <c r="F26" s="8">
        <v>115.50693</v>
      </c>
      <c r="G26" s="9">
        <v>1.5391408000000001E-2</v>
      </c>
      <c r="H26" s="97"/>
    </row>
    <row r="27" spans="1:8" x14ac:dyDescent="0.2">
      <c r="A27" s="5">
        <v>21</v>
      </c>
      <c r="B27" s="6" t="s">
        <v>172</v>
      </c>
      <c r="C27" s="6" t="s">
        <v>173</v>
      </c>
      <c r="D27" s="6" t="s">
        <v>174</v>
      </c>
      <c r="E27" s="7">
        <v>46520</v>
      </c>
      <c r="F27" s="8">
        <v>111.20605999999999</v>
      </c>
      <c r="G27" s="9">
        <v>1.4818313E-2</v>
      </c>
      <c r="H27" s="97"/>
    </row>
    <row r="28" spans="1:8" x14ac:dyDescent="0.2">
      <c r="A28" s="5">
        <v>22</v>
      </c>
      <c r="B28" s="6" t="s">
        <v>280</v>
      </c>
      <c r="C28" s="6" t="s">
        <v>281</v>
      </c>
      <c r="D28" s="6" t="s">
        <v>238</v>
      </c>
      <c r="E28" s="7">
        <v>6266</v>
      </c>
      <c r="F28" s="8">
        <v>109.95576800000001</v>
      </c>
      <c r="G28" s="9">
        <v>1.465171E-2</v>
      </c>
      <c r="H28" s="97"/>
    </row>
    <row r="29" spans="1:8" x14ac:dyDescent="0.2">
      <c r="A29" s="5">
        <v>23</v>
      </c>
      <c r="B29" s="6" t="s">
        <v>30</v>
      </c>
      <c r="C29" s="6" t="s">
        <v>31</v>
      </c>
      <c r="D29" s="6" t="s">
        <v>19</v>
      </c>
      <c r="E29" s="7">
        <v>3200</v>
      </c>
      <c r="F29" s="8">
        <v>107.3296</v>
      </c>
      <c r="G29" s="9">
        <v>1.4301771E-2</v>
      </c>
      <c r="H29" s="97"/>
    </row>
    <row r="30" spans="1:8" x14ac:dyDescent="0.2">
      <c r="A30" s="5">
        <v>24</v>
      </c>
      <c r="B30" s="6" t="s">
        <v>168</v>
      </c>
      <c r="C30" s="6" t="s">
        <v>169</v>
      </c>
      <c r="D30" s="6" t="s">
        <v>81</v>
      </c>
      <c r="E30" s="7">
        <v>164647</v>
      </c>
      <c r="F30" s="8">
        <v>103.72761</v>
      </c>
      <c r="G30" s="9">
        <v>1.3821801999999999E-2</v>
      </c>
      <c r="H30" s="97"/>
    </row>
    <row r="31" spans="1:8" x14ac:dyDescent="0.2">
      <c r="A31" s="5">
        <v>25</v>
      </c>
      <c r="B31" s="6" t="s">
        <v>196</v>
      </c>
      <c r="C31" s="6" t="s">
        <v>197</v>
      </c>
      <c r="D31" s="6" t="s">
        <v>81</v>
      </c>
      <c r="E31" s="7">
        <v>18162</v>
      </c>
      <c r="F31" s="8">
        <v>100.426779</v>
      </c>
      <c r="G31" s="9">
        <v>1.3381963E-2</v>
      </c>
      <c r="H31" s="97"/>
    </row>
    <row r="32" spans="1:8" x14ac:dyDescent="0.2">
      <c r="A32" s="5">
        <v>26</v>
      </c>
      <c r="B32" s="6" t="s">
        <v>166</v>
      </c>
      <c r="C32" s="6" t="s">
        <v>167</v>
      </c>
      <c r="D32" s="6" t="s">
        <v>1186</v>
      </c>
      <c r="E32" s="7">
        <v>27718</v>
      </c>
      <c r="F32" s="8">
        <v>97.941552999999999</v>
      </c>
      <c r="G32" s="9">
        <v>1.3050805E-2</v>
      </c>
      <c r="H32" s="97"/>
    </row>
    <row r="33" spans="1:8" x14ac:dyDescent="0.2">
      <c r="A33" s="5">
        <v>27</v>
      </c>
      <c r="B33" s="6" t="s">
        <v>194</v>
      </c>
      <c r="C33" s="6" t="s">
        <v>195</v>
      </c>
      <c r="D33" s="6" t="s">
        <v>53</v>
      </c>
      <c r="E33" s="7">
        <v>9799</v>
      </c>
      <c r="F33" s="8">
        <v>96.554446499999997</v>
      </c>
      <c r="G33" s="9">
        <v>1.2865971E-2</v>
      </c>
      <c r="H33" s="97"/>
    </row>
    <row r="34" spans="1:8" x14ac:dyDescent="0.2">
      <c r="A34" s="5">
        <v>28</v>
      </c>
      <c r="B34" s="6" t="s">
        <v>152</v>
      </c>
      <c r="C34" s="6" t="s">
        <v>153</v>
      </c>
      <c r="D34" s="6" t="s">
        <v>1184</v>
      </c>
      <c r="E34" s="7">
        <v>8101</v>
      </c>
      <c r="F34" s="8">
        <v>95.757870499999996</v>
      </c>
      <c r="G34" s="9">
        <v>1.2759827E-2</v>
      </c>
      <c r="H34" s="97"/>
    </row>
    <row r="35" spans="1:8" ht="25.5" x14ac:dyDescent="0.2">
      <c r="A35" s="5">
        <v>29</v>
      </c>
      <c r="B35" s="6" t="s">
        <v>177</v>
      </c>
      <c r="C35" s="6" t="s">
        <v>178</v>
      </c>
      <c r="D35" s="6" t="s">
        <v>1185</v>
      </c>
      <c r="E35" s="7">
        <v>42002</v>
      </c>
      <c r="F35" s="8">
        <v>95.071527000000003</v>
      </c>
      <c r="G35" s="9">
        <v>1.2668370999999999E-2</v>
      </c>
      <c r="H35" s="97"/>
    </row>
    <row r="36" spans="1:8" x14ac:dyDescent="0.2">
      <c r="A36" s="5">
        <v>30</v>
      </c>
      <c r="B36" s="6" t="s">
        <v>181</v>
      </c>
      <c r="C36" s="6" t="s">
        <v>182</v>
      </c>
      <c r="D36" s="6" t="s">
        <v>1189</v>
      </c>
      <c r="E36" s="7">
        <v>11000</v>
      </c>
      <c r="F36" s="8">
        <v>94.198499999999996</v>
      </c>
      <c r="G36" s="9">
        <v>1.2552038999999999E-2</v>
      </c>
      <c r="H36" s="97"/>
    </row>
    <row r="37" spans="1:8" x14ac:dyDescent="0.2">
      <c r="A37" s="5">
        <v>31</v>
      </c>
      <c r="B37" s="6" t="s">
        <v>606</v>
      </c>
      <c r="C37" s="6" t="s">
        <v>607</v>
      </c>
      <c r="D37" s="6" t="s">
        <v>19</v>
      </c>
      <c r="E37" s="7">
        <v>9582</v>
      </c>
      <c r="F37" s="8">
        <v>94.061702999999994</v>
      </c>
      <c r="G37" s="9">
        <v>1.2533811000000001E-2</v>
      </c>
      <c r="H37" s="97"/>
    </row>
    <row r="38" spans="1:8" x14ac:dyDescent="0.2">
      <c r="A38" s="5">
        <v>32</v>
      </c>
      <c r="B38" s="6" t="s">
        <v>179</v>
      </c>
      <c r="C38" s="6" t="s">
        <v>180</v>
      </c>
      <c r="D38" s="6" t="s">
        <v>53</v>
      </c>
      <c r="E38" s="7">
        <v>93256</v>
      </c>
      <c r="F38" s="8">
        <v>93.768907999999996</v>
      </c>
      <c r="G38" s="9">
        <v>1.2494796000000001E-2</v>
      </c>
      <c r="H38" s="97"/>
    </row>
    <row r="39" spans="1:8" x14ac:dyDescent="0.2">
      <c r="A39" s="5">
        <v>33</v>
      </c>
      <c r="B39" s="6" t="s">
        <v>578</v>
      </c>
      <c r="C39" s="6" t="s">
        <v>579</v>
      </c>
      <c r="D39" s="6" t="s">
        <v>70</v>
      </c>
      <c r="E39" s="7">
        <v>8981</v>
      </c>
      <c r="F39" s="8">
        <v>90.874248499999993</v>
      </c>
      <c r="G39" s="9">
        <v>1.2109079999999999E-2</v>
      </c>
      <c r="H39" s="97"/>
    </row>
    <row r="40" spans="1:8" x14ac:dyDescent="0.2">
      <c r="A40" s="5">
        <v>34</v>
      </c>
      <c r="B40" s="6" t="s">
        <v>191</v>
      </c>
      <c r="C40" s="6" t="s">
        <v>192</v>
      </c>
      <c r="D40" s="6" t="s">
        <v>193</v>
      </c>
      <c r="E40" s="7">
        <v>19577</v>
      </c>
      <c r="F40" s="8">
        <v>88.938310999999999</v>
      </c>
      <c r="G40" s="9">
        <v>1.1851113999999999E-2</v>
      </c>
      <c r="H40" s="97"/>
    </row>
    <row r="41" spans="1:8" x14ac:dyDescent="0.2">
      <c r="A41" s="5">
        <v>35</v>
      </c>
      <c r="B41" s="6" t="s">
        <v>186</v>
      </c>
      <c r="C41" s="6" t="s">
        <v>187</v>
      </c>
      <c r="D41" s="6" t="s">
        <v>19</v>
      </c>
      <c r="E41" s="7">
        <v>4460</v>
      </c>
      <c r="F41" s="8">
        <v>88.671490000000006</v>
      </c>
      <c r="G41" s="9">
        <v>1.1815559999999999E-2</v>
      </c>
      <c r="H41" s="97"/>
    </row>
    <row r="42" spans="1:8" ht="25.5" x14ac:dyDescent="0.2">
      <c r="A42" s="5">
        <v>36</v>
      </c>
      <c r="B42" s="6" t="s">
        <v>200</v>
      </c>
      <c r="C42" s="6" t="s">
        <v>201</v>
      </c>
      <c r="D42" s="6" t="s">
        <v>202</v>
      </c>
      <c r="E42" s="7">
        <v>20765</v>
      </c>
      <c r="F42" s="8">
        <v>84.700434999999999</v>
      </c>
      <c r="G42" s="9">
        <v>1.1286413E-2</v>
      </c>
      <c r="H42" s="97"/>
    </row>
    <row r="43" spans="1:8" x14ac:dyDescent="0.2">
      <c r="A43" s="5">
        <v>37</v>
      </c>
      <c r="B43" s="6" t="s">
        <v>282</v>
      </c>
      <c r="C43" s="6" t="s">
        <v>283</v>
      </c>
      <c r="D43" s="6" t="s">
        <v>284</v>
      </c>
      <c r="E43" s="7">
        <v>33456</v>
      </c>
      <c r="F43" s="8">
        <v>84.125112000000001</v>
      </c>
      <c r="G43" s="9">
        <v>1.1209751E-2</v>
      </c>
      <c r="H43" s="97"/>
    </row>
    <row r="44" spans="1:8" x14ac:dyDescent="0.2">
      <c r="A44" s="5">
        <v>38</v>
      </c>
      <c r="B44" s="6" t="s">
        <v>205</v>
      </c>
      <c r="C44" s="6" t="s">
        <v>206</v>
      </c>
      <c r="D44" s="6" t="s">
        <v>1187</v>
      </c>
      <c r="E44" s="7">
        <v>14108</v>
      </c>
      <c r="F44" s="8">
        <v>79.336337999999998</v>
      </c>
      <c r="G44" s="9">
        <v>1.0571641999999999E-2</v>
      </c>
      <c r="H44" s="97"/>
    </row>
    <row r="45" spans="1:8" ht="25.5" x14ac:dyDescent="0.2">
      <c r="A45" s="5">
        <v>39</v>
      </c>
      <c r="B45" s="6" t="s">
        <v>214</v>
      </c>
      <c r="C45" s="6" t="s">
        <v>215</v>
      </c>
      <c r="D45" s="6" t="s">
        <v>70</v>
      </c>
      <c r="E45" s="7">
        <v>3957</v>
      </c>
      <c r="F45" s="8">
        <v>78.166578000000001</v>
      </c>
      <c r="G45" s="9">
        <v>1.041577E-2</v>
      </c>
      <c r="H45" s="97"/>
    </row>
    <row r="46" spans="1:8" x14ac:dyDescent="0.2">
      <c r="A46" s="5">
        <v>40</v>
      </c>
      <c r="B46" s="6" t="s">
        <v>188</v>
      </c>
      <c r="C46" s="6" t="s">
        <v>189</v>
      </c>
      <c r="D46" s="6" t="s">
        <v>190</v>
      </c>
      <c r="E46" s="7">
        <v>16994</v>
      </c>
      <c r="F46" s="8">
        <v>78.163903000000005</v>
      </c>
      <c r="G46" s="9">
        <v>1.0415414E-2</v>
      </c>
      <c r="H46" s="97"/>
    </row>
    <row r="47" spans="1:8" x14ac:dyDescent="0.2">
      <c r="A47" s="5">
        <v>41</v>
      </c>
      <c r="B47" s="6" t="s">
        <v>363</v>
      </c>
      <c r="C47" s="6" t="s">
        <v>364</v>
      </c>
      <c r="D47" s="6" t="s">
        <v>238</v>
      </c>
      <c r="E47" s="7">
        <v>2040</v>
      </c>
      <c r="F47" s="8">
        <v>77.277240000000006</v>
      </c>
      <c r="G47" s="9">
        <v>1.0297265E-2</v>
      </c>
      <c r="H47" s="97"/>
    </row>
    <row r="48" spans="1:8" x14ac:dyDescent="0.2">
      <c r="A48" s="5">
        <v>42</v>
      </c>
      <c r="B48" s="6" t="s">
        <v>209</v>
      </c>
      <c r="C48" s="6" t="s">
        <v>210</v>
      </c>
      <c r="D48" s="6" t="s">
        <v>193</v>
      </c>
      <c r="E48" s="7">
        <v>13902</v>
      </c>
      <c r="F48" s="8">
        <v>74.917878000000002</v>
      </c>
      <c r="G48" s="9">
        <v>9.9828780000000006E-3</v>
      </c>
      <c r="H48" s="97"/>
    </row>
    <row r="49" spans="1:8" x14ac:dyDescent="0.2">
      <c r="A49" s="5">
        <v>43</v>
      </c>
      <c r="B49" s="6" t="s">
        <v>267</v>
      </c>
      <c r="C49" s="6" t="s">
        <v>268</v>
      </c>
      <c r="D49" s="6" t="s">
        <v>19</v>
      </c>
      <c r="E49" s="7">
        <v>20366</v>
      </c>
      <c r="F49" s="8">
        <v>74.671938999999995</v>
      </c>
      <c r="G49" s="9">
        <v>9.9501069999999997E-3</v>
      </c>
      <c r="H49" s="97"/>
    </row>
    <row r="50" spans="1:8" x14ac:dyDescent="0.2">
      <c r="A50" s="5">
        <v>44</v>
      </c>
      <c r="B50" s="6" t="s">
        <v>608</v>
      </c>
      <c r="C50" s="6" t="s">
        <v>609</v>
      </c>
      <c r="D50" s="6" t="s">
        <v>586</v>
      </c>
      <c r="E50" s="7">
        <v>7374</v>
      </c>
      <c r="F50" s="8">
        <v>74.388912000000005</v>
      </c>
      <c r="G50" s="9">
        <v>9.9123930000000002E-3</v>
      </c>
      <c r="H50" s="97"/>
    </row>
    <row r="51" spans="1:8" x14ac:dyDescent="0.2">
      <c r="A51" s="5">
        <v>45</v>
      </c>
      <c r="B51" s="6" t="s">
        <v>614</v>
      </c>
      <c r="C51" s="6" t="s">
        <v>615</v>
      </c>
      <c r="D51" s="6" t="s">
        <v>193</v>
      </c>
      <c r="E51" s="7">
        <v>14001</v>
      </c>
      <c r="F51" s="8">
        <v>73.750267500000007</v>
      </c>
      <c r="G51" s="9">
        <v>9.8272930000000008E-3</v>
      </c>
      <c r="H51" s="97"/>
    </row>
    <row r="52" spans="1:8" ht="25.5" x14ac:dyDescent="0.2">
      <c r="A52" s="5">
        <v>46</v>
      </c>
      <c r="B52" s="6" t="s">
        <v>211</v>
      </c>
      <c r="C52" s="6" t="s">
        <v>212</v>
      </c>
      <c r="D52" s="6" t="s">
        <v>202</v>
      </c>
      <c r="E52" s="7">
        <v>15722</v>
      </c>
      <c r="F52" s="8">
        <v>70.961247</v>
      </c>
      <c r="G52" s="9">
        <v>9.4556529999999996E-3</v>
      </c>
      <c r="H52" s="97"/>
    </row>
    <row r="53" spans="1:8" ht="25.5" x14ac:dyDescent="0.2">
      <c r="A53" s="5">
        <v>47</v>
      </c>
      <c r="B53" s="6" t="s">
        <v>248</v>
      </c>
      <c r="C53" s="6" t="s">
        <v>249</v>
      </c>
      <c r="D53" s="6" t="s">
        <v>202</v>
      </c>
      <c r="E53" s="7">
        <v>16397</v>
      </c>
      <c r="F53" s="8">
        <v>70.384122500000004</v>
      </c>
      <c r="G53" s="9">
        <v>9.3787509999999994E-3</v>
      </c>
      <c r="H53" s="97"/>
    </row>
    <row r="54" spans="1:8" x14ac:dyDescent="0.2">
      <c r="A54" s="5">
        <v>48</v>
      </c>
      <c r="B54" s="6" t="s">
        <v>218</v>
      </c>
      <c r="C54" s="6" t="s">
        <v>219</v>
      </c>
      <c r="D54" s="6" t="s">
        <v>193</v>
      </c>
      <c r="E54" s="7">
        <v>3920</v>
      </c>
      <c r="F54" s="8">
        <v>69.764240000000001</v>
      </c>
      <c r="G54" s="9">
        <v>9.2961510000000008E-3</v>
      </c>
      <c r="H54" s="97"/>
    </row>
    <row r="55" spans="1:8" x14ac:dyDescent="0.2">
      <c r="A55" s="5">
        <v>49</v>
      </c>
      <c r="B55" s="6" t="s">
        <v>222</v>
      </c>
      <c r="C55" s="6" t="s">
        <v>223</v>
      </c>
      <c r="D55" s="6" t="s">
        <v>70</v>
      </c>
      <c r="E55" s="7">
        <v>26481</v>
      </c>
      <c r="F55" s="8">
        <v>69.750953999999993</v>
      </c>
      <c r="G55" s="9">
        <v>9.2943810000000009E-3</v>
      </c>
      <c r="H55" s="97"/>
    </row>
    <row r="56" spans="1:8" x14ac:dyDescent="0.2">
      <c r="A56" s="5">
        <v>50</v>
      </c>
      <c r="B56" s="6" t="s">
        <v>239</v>
      </c>
      <c r="C56" s="6" t="s">
        <v>240</v>
      </c>
      <c r="D56" s="6" t="s">
        <v>25</v>
      </c>
      <c r="E56" s="7">
        <v>87002</v>
      </c>
      <c r="F56" s="8">
        <v>68.383572000000001</v>
      </c>
      <c r="G56" s="9">
        <v>9.1121759999999996E-3</v>
      </c>
      <c r="H56" s="97"/>
    </row>
    <row r="57" spans="1:8" x14ac:dyDescent="0.2">
      <c r="A57" s="5">
        <v>51</v>
      </c>
      <c r="B57" s="6" t="s">
        <v>216</v>
      </c>
      <c r="C57" s="6" t="s">
        <v>217</v>
      </c>
      <c r="D57" s="6" t="s">
        <v>1184</v>
      </c>
      <c r="E57" s="7">
        <v>4258</v>
      </c>
      <c r="F57" s="8">
        <v>67.395623999999998</v>
      </c>
      <c r="G57" s="9">
        <v>8.9805309999999999E-3</v>
      </c>
      <c r="H57" s="97"/>
    </row>
    <row r="58" spans="1:8" x14ac:dyDescent="0.2">
      <c r="A58" s="5">
        <v>52</v>
      </c>
      <c r="B58" s="6" t="s">
        <v>175</v>
      </c>
      <c r="C58" s="6" t="s">
        <v>176</v>
      </c>
      <c r="D58" s="6" t="s">
        <v>16</v>
      </c>
      <c r="E58" s="7">
        <v>22056</v>
      </c>
      <c r="F58" s="8">
        <v>64.480716000000001</v>
      </c>
      <c r="G58" s="9">
        <v>8.5921160000000003E-3</v>
      </c>
      <c r="H58" s="97"/>
    </row>
    <row r="59" spans="1:8" x14ac:dyDescent="0.2">
      <c r="A59" s="5">
        <v>53</v>
      </c>
      <c r="B59" s="6" t="s">
        <v>236</v>
      </c>
      <c r="C59" s="6" t="s">
        <v>237</v>
      </c>
      <c r="D59" s="6" t="s">
        <v>238</v>
      </c>
      <c r="E59" s="7">
        <v>17494</v>
      </c>
      <c r="F59" s="8">
        <v>64.11551</v>
      </c>
      <c r="G59" s="9">
        <v>8.543452E-3</v>
      </c>
      <c r="H59" s="97"/>
    </row>
    <row r="60" spans="1:8" x14ac:dyDescent="0.2">
      <c r="A60" s="5">
        <v>54</v>
      </c>
      <c r="B60" s="6" t="s">
        <v>170</v>
      </c>
      <c r="C60" s="6" t="s">
        <v>171</v>
      </c>
      <c r="D60" s="6" t="s">
        <v>70</v>
      </c>
      <c r="E60" s="7">
        <v>6547</v>
      </c>
      <c r="F60" s="8">
        <v>63.689216000000002</v>
      </c>
      <c r="G60" s="9">
        <v>8.4866479999999994E-3</v>
      </c>
      <c r="H60" s="97"/>
    </row>
    <row r="61" spans="1:8" x14ac:dyDescent="0.2">
      <c r="A61" s="5">
        <v>55</v>
      </c>
      <c r="B61" s="6" t="s">
        <v>287</v>
      </c>
      <c r="C61" s="6" t="s">
        <v>288</v>
      </c>
      <c r="D61" s="6" t="s">
        <v>147</v>
      </c>
      <c r="E61" s="7">
        <v>4866</v>
      </c>
      <c r="F61" s="8">
        <v>63.092556000000002</v>
      </c>
      <c r="G61" s="9">
        <v>8.4071430000000006E-3</v>
      </c>
      <c r="H61" s="97"/>
    </row>
    <row r="62" spans="1:8" ht="25.5" x14ac:dyDescent="0.2">
      <c r="A62" s="5">
        <v>56</v>
      </c>
      <c r="B62" s="6" t="s">
        <v>207</v>
      </c>
      <c r="C62" s="6" t="s">
        <v>208</v>
      </c>
      <c r="D62" s="6" t="s">
        <v>45</v>
      </c>
      <c r="E62" s="7">
        <v>28232</v>
      </c>
      <c r="F62" s="8">
        <v>62.759735999999997</v>
      </c>
      <c r="G62" s="9">
        <v>8.3627939999999998E-3</v>
      </c>
      <c r="H62" s="97"/>
    </row>
    <row r="63" spans="1:8" x14ac:dyDescent="0.2">
      <c r="A63" s="5">
        <v>57</v>
      </c>
      <c r="B63" s="6" t="s">
        <v>271</v>
      </c>
      <c r="C63" s="6" t="s">
        <v>272</v>
      </c>
      <c r="D63" s="6" t="s">
        <v>19</v>
      </c>
      <c r="E63" s="7">
        <v>5663</v>
      </c>
      <c r="F63" s="8">
        <v>61.355773499999998</v>
      </c>
      <c r="G63" s="9">
        <v>8.1757150000000001E-3</v>
      </c>
      <c r="H63" s="97"/>
    </row>
    <row r="64" spans="1:8" ht="25.5" x14ac:dyDescent="0.2">
      <c r="A64" s="5">
        <v>58</v>
      </c>
      <c r="B64" s="6" t="s">
        <v>226</v>
      </c>
      <c r="C64" s="6" t="s">
        <v>227</v>
      </c>
      <c r="D64" s="6" t="s">
        <v>1191</v>
      </c>
      <c r="E64" s="7">
        <v>63692</v>
      </c>
      <c r="F64" s="8">
        <v>56.526649999999997</v>
      </c>
      <c r="G64" s="9">
        <v>7.53223E-3</v>
      </c>
      <c r="H64" s="97"/>
    </row>
    <row r="65" spans="1:8" x14ac:dyDescent="0.2">
      <c r="A65" s="5">
        <v>59</v>
      </c>
      <c r="B65" s="6" t="s">
        <v>259</v>
      </c>
      <c r="C65" s="6" t="s">
        <v>260</v>
      </c>
      <c r="D65" s="6" t="s">
        <v>34</v>
      </c>
      <c r="E65" s="7">
        <v>15004</v>
      </c>
      <c r="F65" s="8">
        <v>56.197482000000001</v>
      </c>
      <c r="G65" s="9">
        <v>7.4883679999999996E-3</v>
      </c>
      <c r="H65" s="97"/>
    </row>
    <row r="66" spans="1:8" x14ac:dyDescent="0.2">
      <c r="A66" s="5">
        <v>60</v>
      </c>
      <c r="B66" s="6" t="s">
        <v>84</v>
      </c>
      <c r="C66" s="6" t="s">
        <v>85</v>
      </c>
      <c r="D66" s="6" t="s">
        <v>53</v>
      </c>
      <c r="E66" s="7">
        <v>10971</v>
      </c>
      <c r="F66" s="8">
        <v>53.790813</v>
      </c>
      <c r="G66" s="9">
        <v>7.1676769999999999E-3</v>
      </c>
      <c r="H66" s="97"/>
    </row>
    <row r="67" spans="1:8" x14ac:dyDescent="0.2">
      <c r="A67" s="5">
        <v>61</v>
      </c>
      <c r="B67" s="6" t="s">
        <v>256</v>
      </c>
      <c r="C67" s="6" t="s">
        <v>257</v>
      </c>
      <c r="D67" s="6" t="s">
        <v>238</v>
      </c>
      <c r="E67" s="7">
        <v>8028</v>
      </c>
      <c r="F67" s="8">
        <v>50.146901999999997</v>
      </c>
      <c r="G67" s="9">
        <v>6.6821220000000004E-3</v>
      </c>
      <c r="H67" s="97"/>
    </row>
    <row r="68" spans="1:8" x14ac:dyDescent="0.2">
      <c r="A68" s="5">
        <v>62</v>
      </c>
      <c r="B68" s="6" t="s">
        <v>289</v>
      </c>
      <c r="C68" s="6" t="s">
        <v>290</v>
      </c>
      <c r="D68" s="6" t="s">
        <v>174</v>
      </c>
      <c r="E68" s="7">
        <v>7412</v>
      </c>
      <c r="F68" s="8">
        <v>47.807400000000001</v>
      </c>
      <c r="G68" s="9">
        <v>6.3703809999999996E-3</v>
      </c>
      <c r="H68" s="97"/>
    </row>
    <row r="69" spans="1:8" x14ac:dyDescent="0.2">
      <c r="A69" s="5">
        <v>63</v>
      </c>
      <c r="B69" s="6" t="s">
        <v>261</v>
      </c>
      <c r="C69" s="6" t="s">
        <v>262</v>
      </c>
      <c r="D69" s="6" t="s">
        <v>238</v>
      </c>
      <c r="E69" s="7">
        <v>6546</v>
      </c>
      <c r="F69" s="8">
        <v>47.566509000000003</v>
      </c>
      <c r="G69" s="9">
        <v>6.3382819999999998E-3</v>
      </c>
      <c r="H69" s="97"/>
    </row>
    <row r="70" spans="1:8" x14ac:dyDescent="0.2">
      <c r="A70" s="5">
        <v>64</v>
      </c>
      <c r="B70" s="6" t="s">
        <v>230</v>
      </c>
      <c r="C70" s="6" t="s">
        <v>231</v>
      </c>
      <c r="D70" s="6" t="s">
        <v>60</v>
      </c>
      <c r="E70" s="7">
        <v>5369</v>
      </c>
      <c r="F70" s="8">
        <v>45.035172000000003</v>
      </c>
      <c r="G70" s="9">
        <v>6.000979E-3</v>
      </c>
      <c r="H70" s="97"/>
    </row>
    <row r="71" spans="1:8" x14ac:dyDescent="0.2">
      <c r="A71" s="5">
        <v>65</v>
      </c>
      <c r="B71" s="6" t="s">
        <v>610</v>
      </c>
      <c r="C71" s="6" t="s">
        <v>611</v>
      </c>
      <c r="D71" s="6" t="s">
        <v>81</v>
      </c>
      <c r="E71" s="7">
        <v>7194</v>
      </c>
      <c r="F71" s="8">
        <v>43.009329000000001</v>
      </c>
      <c r="G71" s="9">
        <v>5.7310340000000003E-3</v>
      </c>
      <c r="H71" s="97"/>
    </row>
    <row r="72" spans="1:8" x14ac:dyDescent="0.2">
      <c r="A72" s="5">
        <v>66</v>
      </c>
      <c r="B72" s="6" t="s">
        <v>245</v>
      </c>
      <c r="C72" s="6" t="s">
        <v>246</v>
      </c>
      <c r="D72" s="6" t="s">
        <v>247</v>
      </c>
      <c r="E72" s="7">
        <v>19523</v>
      </c>
      <c r="F72" s="8">
        <v>42.560139999999997</v>
      </c>
      <c r="G72" s="9">
        <v>5.6711790000000002E-3</v>
      </c>
      <c r="H72" s="97"/>
    </row>
    <row r="73" spans="1:8" x14ac:dyDescent="0.2">
      <c r="A73" s="5">
        <v>67</v>
      </c>
      <c r="B73" s="6" t="s">
        <v>232</v>
      </c>
      <c r="C73" s="6" t="s">
        <v>233</v>
      </c>
      <c r="D73" s="6" t="s">
        <v>193</v>
      </c>
      <c r="E73" s="7">
        <v>792</v>
      </c>
      <c r="F73" s="8">
        <v>42.280127999999998</v>
      </c>
      <c r="G73" s="9">
        <v>5.6338669999999999E-3</v>
      </c>
      <c r="H73" s="97"/>
    </row>
    <row r="74" spans="1:8" x14ac:dyDescent="0.2">
      <c r="A74" s="5">
        <v>68</v>
      </c>
      <c r="B74" s="6" t="s">
        <v>298</v>
      </c>
      <c r="C74" s="6" t="s">
        <v>299</v>
      </c>
      <c r="D74" s="6" t="s">
        <v>1187</v>
      </c>
      <c r="E74" s="7">
        <v>93287</v>
      </c>
      <c r="F74" s="8">
        <v>36.381929999999997</v>
      </c>
      <c r="G74" s="9">
        <v>4.8479270000000001E-3</v>
      </c>
      <c r="H74" s="97"/>
    </row>
    <row r="75" spans="1:8" x14ac:dyDescent="0.2">
      <c r="A75" s="5">
        <v>69</v>
      </c>
      <c r="B75" s="6" t="s">
        <v>92</v>
      </c>
      <c r="C75" s="6" t="s">
        <v>93</v>
      </c>
      <c r="D75" s="6" t="s">
        <v>53</v>
      </c>
      <c r="E75" s="7">
        <v>41500</v>
      </c>
      <c r="F75" s="8">
        <v>35.710749999999997</v>
      </c>
      <c r="G75" s="9">
        <v>4.7584910000000001E-3</v>
      </c>
      <c r="H75" s="97"/>
    </row>
    <row r="76" spans="1:8" x14ac:dyDescent="0.2">
      <c r="A76" s="5">
        <v>70</v>
      </c>
      <c r="B76" s="6" t="s">
        <v>250</v>
      </c>
      <c r="C76" s="6" t="s">
        <v>251</v>
      </c>
      <c r="D76" s="6" t="s">
        <v>193</v>
      </c>
      <c r="E76" s="7">
        <v>12902</v>
      </c>
      <c r="F76" s="8">
        <v>35.603068999999998</v>
      </c>
      <c r="G76" s="9">
        <v>4.7441430000000001E-3</v>
      </c>
      <c r="H76" s="97"/>
    </row>
    <row r="77" spans="1:8" x14ac:dyDescent="0.2">
      <c r="A77" s="5">
        <v>71</v>
      </c>
      <c r="B77" s="6" t="s">
        <v>241</v>
      </c>
      <c r="C77" s="6" t="s">
        <v>242</v>
      </c>
      <c r="D77" s="6" t="s">
        <v>147</v>
      </c>
      <c r="E77" s="7">
        <v>7455</v>
      </c>
      <c r="F77" s="8">
        <v>35.254694999999998</v>
      </c>
      <c r="G77" s="9">
        <v>4.6977210000000002E-3</v>
      </c>
      <c r="H77" s="97"/>
    </row>
    <row r="78" spans="1:8" x14ac:dyDescent="0.2">
      <c r="A78" s="5">
        <v>72</v>
      </c>
      <c r="B78" s="6" t="s">
        <v>243</v>
      </c>
      <c r="C78" s="6" t="s">
        <v>244</v>
      </c>
      <c r="D78" s="6" t="s">
        <v>185</v>
      </c>
      <c r="E78" s="7">
        <v>6070</v>
      </c>
      <c r="F78" s="8">
        <v>33.536749999999998</v>
      </c>
      <c r="G78" s="9">
        <v>4.4688039999999998E-3</v>
      </c>
      <c r="H78" s="97"/>
    </row>
    <row r="79" spans="1:8" x14ac:dyDescent="0.2">
      <c r="A79" s="5">
        <v>73</v>
      </c>
      <c r="B79" s="6" t="s">
        <v>228</v>
      </c>
      <c r="C79" s="6" t="s">
        <v>229</v>
      </c>
      <c r="D79" s="6" t="s">
        <v>327</v>
      </c>
      <c r="E79" s="7">
        <v>3918</v>
      </c>
      <c r="F79" s="8">
        <v>33.236393999999997</v>
      </c>
      <c r="G79" s="9">
        <v>4.4287809999999997E-3</v>
      </c>
      <c r="H79" s="97"/>
    </row>
    <row r="80" spans="1:8" x14ac:dyDescent="0.2">
      <c r="A80" s="5">
        <v>74</v>
      </c>
      <c r="B80" s="6" t="s">
        <v>576</v>
      </c>
      <c r="C80" s="6" t="s">
        <v>577</v>
      </c>
      <c r="D80" s="6" t="s">
        <v>70</v>
      </c>
      <c r="E80" s="7">
        <v>8699</v>
      </c>
      <c r="F80" s="8">
        <v>32.6864925</v>
      </c>
      <c r="G80" s="9">
        <v>4.3555060000000003E-3</v>
      </c>
      <c r="H80" s="97"/>
    </row>
    <row r="81" spans="1:8" x14ac:dyDescent="0.2">
      <c r="A81" s="5">
        <v>75</v>
      </c>
      <c r="B81" s="6" t="s">
        <v>254</v>
      </c>
      <c r="C81" s="6" t="s">
        <v>255</v>
      </c>
      <c r="D81" s="6" t="s">
        <v>185</v>
      </c>
      <c r="E81" s="7">
        <v>1852</v>
      </c>
      <c r="F81" s="8">
        <v>19.312656</v>
      </c>
      <c r="G81" s="9">
        <v>2.5734299999999998E-3</v>
      </c>
      <c r="H81" s="97"/>
    </row>
    <row r="82" spans="1:8" x14ac:dyDescent="0.2">
      <c r="A82" s="3"/>
      <c r="B82" s="3"/>
      <c r="C82" s="4" t="s">
        <v>97</v>
      </c>
      <c r="D82" s="3"/>
      <c r="E82" s="3" t="s">
        <v>98</v>
      </c>
      <c r="F82" s="11">
        <v>7220.6935119999998</v>
      </c>
      <c r="G82" s="12">
        <v>0.962164244</v>
      </c>
      <c r="H82" s="97"/>
    </row>
    <row r="83" spans="1:8" x14ac:dyDescent="0.2">
      <c r="A83" s="3"/>
      <c r="B83" s="3"/>
      <c r="C83" s="13"/>
      <c r="D83" s="3"/>
      <c r="E83" s="3"/>
      <c r="F83" s="14"/>
      <c r="G83" s="14"/>
      <c r="H83" s="97"/>
    </row>
    <row r="84" spans="1:8" x14ac:dyDescent="0.2">
      <c r="A84" s="3"/>
      <c r="B84" s="3"/>
      <c r="C84" s="4" t="s">
        <v>99</v>
      </c>
      <c r="D84" s="3"/>
      <c r="E84" s="3"/>
      <c r="F84" s="3"/>
      <c r="G84" s="3"/>
      <c r="H84" s="97"/>
    </row>
    <row r="85" spans="1:8" x14ac:dyDescent="0.2">
      <c r="A85" s="3"/>
      <c r="B85" s="3"/>
      <c r="C85" s="4" t="s">
        <v>97</v>
      </c>
      <c r="D85" s="3"/>
      <c r="E85" s="3" t="s">
        <v>98</v>
      </c>
      <c r="F85" s="15">
        <v>0</v>
      </c>
      <c r="G85" s="16">
        <v>0</v>
      </c>
      <c r="H85" s="97"/>
    </row>
    <row r="86" spans="1:8" x14ac:dyDescent="0.2">
      <c r="A86" s="3"/>
      <c r="B86" s="3"/>
      <c r="C86" s="13"/>
      <c r="D86" s="3"/>
      <c r="E86" s="3"/>
      <c r="F86" s="14"/>
      <c r="G86" s="14"/>
      <c r="H86" s="97"/>
    </row>
    <row r="87" spans="1:8" x14ac:dyDescent="0.2">
      <c r="A87" s="3"/>
      <c r="B87" s="3"/>
      <c r="C87" s="4" t="s">
        <v>100</v>
      </c>
      <c r="D87" s="3"/>
      <c r="E87" s="3"/>
      <c r="F87" s="3"/>
      <c r="G87" s="3"/>
      <c r="H87" s="97"/>
    </row>
    <row r="88" spans="1:8" x14ac:dyDescent="0.2">
      <c r="A88" s="3"/>
      <c r="B88" s="3"/>
      <c r="C88" s="4" t="s">
        <v>97</v>
      </c>
      <c r="D88" s="3"/>
      <c r="E88" s="3" t="s">
        <v>98</v>
      </c>
      <c r="F88" s="15">
        <v>0</v>
      </c>
      <c r="G88" s="16">
        <v>0</v>
      </c>
      <c r="H88" s="97"/>
    </row>
    <row r="89" spans="1:8" x14ac:dyDescent="0.2">
      <c r="A89" s="3"/>
      <c r="B89" s="3"/>
      <c r="C89" s="13"/>
      <c r="D89" s="3"/>
      <c r="E89" s="3"/>
      <c r="F89" s="14"/>
      <c r="G89" s="14"/>
      <c r="H89" s="97"/>
    </row>
    <row r="90" spans="1:8" x14ac:dyDescent="0.2">
      <c r="A90" s="3"/>
      <c r="B90" s="3"/>
      <c r="C90" s="4" t="s">
        <v>101</v>
      </c>
      <c r="D90" s="3"/>
      <c r="E90" s="3"/>
      <c r="F90" s="3"/>
      <c r="G90" s="3"/>
      <c r="H90" s="97"/>
    </row>
    <row r="91" spans="1:8" x14ac:dyDescent="0.2">
      <c r="A91" s="3"/>
      <c r="B91" s="3"/>
      <c r="C91" s="4" t="s">
        <v>97</v>
      </c>
      <c r="D91" s="3"/>
      <c r="E91" s="3" t="s">
        <v>98</v>
      </c>
      <c r="F91" s="15">
        <v>0</v>
      </c>
      <c r="G91" s="16">
        <v>0</v>
      </c>
      <c r="H91" s="97"/>
    </row>
    <row r="92" spans="1:8" x14ac:dyDescent="0.2">
      <c r="A92" s="3"/>
      <c r="B92" s="3"/>
      <c r="C92" s="13"/>
      <c r="D92" s="3"/>
      <c r="E92" s="3"/>
      <c r="F92" s="14"/>
      <c r="G92" s="14"/>
      <c r="H92" s="97"/>
    </row>
    <row r="93" spans="1:8" x14ac:dyDescent="0.2">
      <c r="A93" s="3"/>
      <c r="B93" s="3"/>
      <c r="C93" s="4" t="s">
        <v>102</v>
      </c>
      <c r="D93" s="3"/>
      <c r="E93" s="3"/>
      <c r="F93" s="14"/>
      <c r="G93" s="14"/>
      <c r="H93" s="97"/>
    </row>
    <row r="94" spans="1:8" x14ac:dyDescent="0.2">
      <c r="A94" s="3"/>
      <c r="B94" s="3"/>
      <c r="C94" s="4" t="s">
        <v>97</v>
      </c>
      <c r="D94" s="3"/>
      <c r="E94" s="3" t="s">
        <v>98</v>
      </c>
      <c r="F94" s="15">
        <v>0</v>
      </c>
      <c r="G94" s="16">
        <v>0</v>
      </c>
      <c r="H94" s="97"/>
    </row>
    <row r="95" spans="1:8" x14ac:dyDescent="0.2">
      <c r="A95" s="3"/>
      <c r="B95" s="3"/>
      <c r="C95" s="13"/>
      <c r="D95" s="3"/>
      <c r="E95" s="3"/>
      <c r="F95" s="14"/>
      <c r="G95" s="14"/>
      <c r="H95" s="97"/>
    </row>
    <row r="96" spans="1:8" x14ac:dyDescent="0.2">
      <c r="A96" s="3"/>
      <c r="B96" s="3"/>
      <c r="C96" s="4" t="s">
        <v>103</v>
      </c>
      <c r="D96" s="3"/>
      <c r="E96" s="3"/>
      <c r="F96" s="14"/>
      <c r="G96" s="14"/>
      <c r="H96" s="97"/>
    </row>
    <row r="97" spans="1:8" x14ac:dyDescent="0.2">
      <c r="A97" s="3"/>
      <c r="B97" s="3"/>
      <c r="C97" s="4" t="s">
        <v>97</v>
      </c>
      <c r="D97" s="3"/>
      <c r="E97" s="3" t="s">
        <v>98</v>
      </c>
      <c r="F97" s="15">
        <v>0</v>
      </c>
      <c r="G97" s="16">
        <v>0</v>
      </c>
      <c r="H97" s="97"/>
    </row>
    <row r="98" spans="1:8" x14ac:dyDescent="0.2">
      <c r="A98" s="3"/>
      <c r="B98" s="3"/>
      <c r="C98" s="13"/>
      <c r="D98" s="3"/>
      <c r="E98" s="3"/>
      <c r="F98" s="14"/>
      <c r="G98" s="14"/>
      <c r="H98" s="97"/>
    </row>
    <row r="99" spans="1:8" x14ac:dyDescent="0.2">
      <c r="A99" s="3"/>
      <c r="B99" s="3"/>
      <c r="C99" s="4" t="s">
        <v>104</v>
      </c>
      <c r="D99" s="3"/>
      <c r="E99" s="3"/>
      <c r="F99" s="11">
        <v>7220.6935119999998</v>
      </c>
      <c r="G99" s="12">
        <v>0.962164244</v>
      </c>
      <c r="H99" s="97"/>
    </row>
    <row r="100" spans="1:8" x14ac:dyDescent="0.2">
      <c r="A100" s="3"/>
      <c r="B100" s="3"/>
      <c r="C100" s="13"/>
      <c r="D100" s="3"/>
      <c r="E100" s="3"/>
      <c r="F100" s="14"/>
      <c r="G100" s="14"/>
      <c r="H100" s="97"/>
    </row>
    <row r="101" spans="1:8" x14ac:dyDescent="0.2">
      <c r="A101" s="3"/>
      <c r="B101" s="3"/>
      <c r="C101" s="4" t="s">
        <v>105</v>
      </c>
      <c r="D101" s="3"/>
      <c r="E101" s="3"/>
      <c r="F101" s="14"/>
      <c r="G101" s="14"/>
      <c r="H101" s="97"/>
    </row>
    <row r="102" spans="1:8" ht="25.5" x14ac:dyDescent="0.2">
      <c r="A102" s="3"/>
      <c r="B102" s="3"/>
      <c r="C102" s="4" t="s">
        <v>10</v>
      </c>
      <c r="D102" s="3"/>
      <c r="E102" s="3"/>
      <c r="F102" s="14"/>
      <c r="G102" s="14"/>
      <c r="H102" s="97"/>
    </row>
    <row r="103" spans="1:8" x14ac:dyDescent="0.2">
      <c r="A103" s="3"/>
      <c r="B103" s="3"/>
      <c r="C103" s="4" t="s">
        <v>97</v>
      </c>
      <c r="D103" s="3"/>
      <c r="E103" s="3" t="s">
        <v>98</v>
      </c>
      <c r="F103" s="15">
        <v>0</v>
      </c>
      <c r="G103" s="16">
        <v>0</v>
      </c>
      <c r="H103" s="97"/>
    </row>
    <row r="104" spans="1:8" x14ac:dyDescent="0.2">
      <c r="A104" s="3"/>
      <c r="B104" s="3"/>
      <c r="C104" s="13"/>
      <c r="D104" s="3"/>
      <c r="E104" s="3"/>
      <c r="F104" s="14"/>
      <c r="G104" s="14"/>
      <c r="H104" s="97"/>
    </row>
    <row r="105" spans="1:8" x14ac:dyDescent="0.2">
      <c r="A105" s="3"/>
      <c r="B105" s="3"/>
      <c r="C105" s="4" t="s">
        <v>106</v>
      </c>
      <c r="D105" s="3"/>
      <c r="E105" s="3"/>
      <c r="F105" s="3"/>
      <c r="G105" s="3"/>
      <c r="H105" s="97"/>
    </row>
    <row r="106" spans="1:8" x14ac:dyDescent="0.2">
      <c r="A106" s="3"/>
      <c r="B106" s="3"/>
      <c r="C106" s="4" t="s">
        <v>97</v>
      </c>
      <c r="D106" s="3"/>
      <c r="E106" s="3" t="s">
        <v>98</v>
      </c>
      <c r="F106" s="15">
        <v>0</v>
      </c>
      <c r="G106" s="16">
        <v>0</v>
      </c>
      <c r="H106" s="97"/>
    </row>
    <row r="107" spans="1:8" x14ac:dyDescent="0.2">
      <c r="A107" s="3"/>
      <c r="B107" s="3"/>
      <c r="C107" s="13"/>
      <c r="D107" s="3"/>
      <c r="E107" s="3"/>
      <c r="F107" s="14"/>
      <c r="G107" s="14"/>
      <c r="H107" s="97"/>
    </row>
    <row r="108" spans="1:8" x14ac:dyDescent="0.2">
      <c r="A108" s="3"/>
      <c r="B108" s="3"/>
      <c r="C108" s="4" t="s">
        <v>107</v>
      </c>
      <c r="D108" s="3"/>
      <c r="E108" s="3"/>
      <c r="F108" s="3"/>
      <c r="G108" s="3"/>
      <c r="H108" s="97"/>
    </row>
    <row r="109" spans="1:8" x14ac:dyDescent="0.2">
      <c r="A109" s="3"/>
      <c r="B109" s="3"/>
      <c r="C109" s="4" t="s">
        <v>97</v>
      </c>
      <c r="D109" s="3"/>
      <c r="E109" s="3" t="s">
        <v>98</v>
      </c>
      <c r="F109" s="15">
        <v>0</v>
      </c>
      <c r="G109" s="16">
        <v>0</v>
      </c>
      <c r="H109" s="97"/>
    </row>
    <row r="110" spans="1:8" x14ac:dyDescent="0.2">
      <c r="A110" s="3"/>
      <c r="B110" s="3"/>
      <c r="C110" s="13"/>
      <c r="D110" s="3"/>
      <c r="E110" s="3"/>
      <c r="F110" s="14"/>
      <c r="G110" s="14"/>
      <c r="H110" s="97"/>
    </row>
    <row r="111" spans="1:8" x14ac:dyDescent="0.2">
      <c r="A111" s="3"/>
      <c r="B111" s="3"/>
      <c r="C111" s="4" t="s">
        <v>108</v>
      </c>
      <c r="D111" s="3"/>
      <c r="E111" s="3"/>
      <c r="F111" s="14"/>
      <c r="G111" s="14"/>
      <c r="H111" s="97"/>
    </row>
    <row r="112" spans="1:8" x14ac:dyDescent="0.2">
      <c r="A112" s="3"/>
      <c r="B112" s="3"/>
      <c r="C112" s="4" t="s">
        <v>97</v>
      </c>
      <c r="D112" s="3"/>
      <c r="E112" s="3" t="s">
        <v>98</v>
      </c>
      <c r="F112" s="15">
        <v>0</v>
      </c>
      <c r="G112" s="16">
        <v>0</v>
      </c>
      <c r="H112" s="97"/>
    </row>
    <row r="113" spans="1:8" x14ac:dyDescent="0.2">
      <c r="A113" s="3"/>
      <c r="B113" s="3"/>
      <c r="C113" s="13"/>
      <c r="D113" s="3"/>
      <c r="E113" s="3"/>
      <c r="F113" s="14"/>
      <c r="G113" s="14"/>
      <c r="H113" s="97"/>
    </row>
    <row r="114" spans="1:8" x14ac:dyDescent="0.2">
      <c r="A114" s="3"/>
      <c r="B114" s="3"/>
      <c r="C114" s="4" t="s">
        <v>109</v>
      </c>
      <c r="D114" s="3"/>
      <c r="E114" s="3"/>
      <c r="F114" s="11">
        <v>0</v>
      </c>
      <c r="G114" s="12">
        <v>0</v>
      </c>
      <c r="H114" s="97"/>
    </row>
    <row r="115" spans="1:8" x14ac:dyDescent="0.2">
      <c r="A115" s="3"/>
      <c r="B115" s="3"/>
      <c r="C115" s="13"/>
      <c r="D115" s="3"/>
      <c r="E115" s="3"/>
      <c r="F115" s="14"/>
      <c r="G115" s="14"/>
      <c r="H115" s="97"/>
    </row>
    <row r="116" spans="1:8" x14ac:dyDescent="0.2">
      <c r="A116" s="3"/>
      <c r="B116" s="3"/>
      <c r="C116" s="4" t="s">
        <v>110</v>
      </c>
      <c r="D116" s="3"/>
      <c r="E116" s="3"/>
      <c r="F116" s="14"/>
      <c r="G116" s="14"/>
      <c r="H116" s="97"/>
    </row>
    <row r="117" spans="1:8" x14ac:dyDescent="0.2">
      <c r="A117" s="3"/>
      <c r="B117" s="3"/>
      <c r="C117" s="4" t="s">
        <v>111</v>
      </c>
      <c r="D117" s="3"/>
      <c r="E117" s="3"/>
      <c r="F117" s="14"/>
      <c r="G117" s="14"/>
      <c r="H117" s="97"/>
    </row>
    <row r="118" spans="1:8" x14ac:dyDescent="0.2">
      <c r="A118" s="3"/>
      <c r="B118" s="3"/>
      <c r="C118" s="4" t="s">
        <v>97</v>
      </c>
      <c r="D118" s="3"/>
      <c r="E118" s="3" t="s">
        <v>98</v>
      </c>
      <c r="F118" s="15">
        <v>0</v>
      </c>
      <c r="G118" s="16">
        <v>0</v>
      </c>
      <c r="H118" s="97"/>
    </row>
    <row r="119" spans="1:8" x14ac:dyDescent="0.2">
      <c r="A119" s="3"/>
      <c r="B119" s="3"/>
      <c r="C119" s="13"/>
      <c r="D119" s="3"/>
      <c r="E119" s="3"/>
      <c r="F119" s="14"/>
      <c r="G119" s="14"/>
      <c r="H119" s="97"/>
    </row>
    <row r="120" spans="1:8" x14ac:dyDescent="0.2">
      <c r="A120" s="3"/>
      <c r="B120" s="3"/>
      <c r="C120" s="4" t="s">
        <v>112</v>
      </c>
      <c r="D120" s="3"/>
      <c r="E120" s="3"/>
      <c r="F120" s="14"/>
      <c r="G120" s="14"/>
      <c r="H120" s="97"/>
    </row>
    <row r="121" spans="1:8" x14ac:dyDescent="0.2">
      <c r="A121" s="3"/>
      <c r="B121" s="3"/>
      <c r="C121" s="4" t="s">
        <v>97</v>
      </c>
      <c r="D121" s="3"/>
      <c r="E121" s="3" t="s">
        <v>98</v>
      </c>
      <c r="F121" s="15">
        <v>0</v>
      </c>
      <c r="G121" s="16">
        <v>0</v>
      </c>
      <c r="H121" s="97"/>
    </row>
    <row r="122" spans="1:8" x14ac:dyDescent="0.2">
      <c r="A122" s="3"/>
      <c r="B122" s="3"/>
      <c r="C122" s="13"/>
      <c r="D122" s="3"/>
      <c r="E122" s="3"/>
      <c r="F122" s="14"/>
      <c r="G122" s="14"/>
      <c r="H122" s="97"/>
    </row>
    <row r="123" spans="1:8" x14ac:dyDescent="0.2">
      <c r="A123" s="3"/>
      <c r="B123" s="3"/>
      <c r="C123" s="4" t="s">
        <v>113</v>
      </c>
      <c r="D123" s="3"/>
      <c r="E123" s="3"/>
      <c r="F123" s="14"/>
      <c r="G123" s="14"/>
      <c r="H123" s="97"/>
    </row>
    <row r="124" spans="1:8" x14ac:dyDescent="0.2">
      <c r="A124" s="3"/>
      <c r="B124" s="3"/>
      <c r="C124" s="4" t="s">
        <v>97</v>
      </c>
      <c r="D124" s="3"/>
      <c r="E124" s="3" t="s">
        <v>98</v>
      </c>
      <c r="F124" s="15">
        <v>0</v>
      </c>
      <c r="G124" s="16">
        <v>0</v>
      </c>
      <c r="H124" s="97"/>
    </row>
    <row r="125" spans="1:8" x14ac:dyDescent="0.2">
      <c r="A125" s="3"/>
      <c r="B125" s="3"/>
      <c r="C125" s="13"/>
      <c r="D125" s="3"/>
      <c r="E125" s="3"/>
      <c r="F125" s="14"/>
      <c r="G125" s="14"/>
      <c r="H125" s="97"/>
    </row>
    <row r="126" spans="1:8" x14ac:dyDescent="0.2">
      <c r="A126" s="3"/>
      <c r="B126" s="3"/>
      <c r="C126" s="4" t="s">
        <v>114</v>
      </c>
      <c r="D126" s="3"/>
      <c r="E126" s="3"/>
      <c r="F126" s="14"/>
      <c r="G126" s="14"/>
      <c r="H126" s="97"/>
    </row>
    <row r="127" spans="1:8" x14ac:dyDescent="0.2">
      <c r="A127" s="5">
        <v>1</v>
      </c>
      <c r="B127" s="6"/>
      <c r="C127" s="6" t="s">
        <v>115</v>
      </c>
      <c r="D127" s="6"/>
      <c r="E127" s="10"/>
      <c r="F127" s="8">
        <v>181.37276199999999</v>
      </c>
      <c r="G127" s="9">
        <v>2.4168091999999999E-2</v>
      </c>
      <c r="H127" s="8">
        <v>3.4504560529072292</v>
      </c>
    </row>
    <row r="128" spans="1:8" x14ac:dyDescent="0.2">
      <c r="A128" s="5">
        <v>2</v>
      </c>
      <c r="B128" s="6"/>
      <c r="C128" s="6" t="s">
        <v>116</v>
      </c>
      <c r="D128" s="6"/>
      <c r="E128" s="10"/>
      <c r="F128" s="8">
        <v>97.888220099999998</v>
      </c>
      <c r="G128" s="9">
        <v>1.3043697999999999E-2</v>
      </c>
      <c r="H128" s="8">
        <v>3.5655822479098256</v>
      </c>
    </row>
    <row r="129" spans="1:8" x14ac:dyDescent="0.2">
      <c r="A129" s="3"/>
      <c r="B129" s="3"/>
      <c r="C129" s="4" t="s">
        <v>97</v>
      </c>
      <c r="D129" s="3"/>
      <c r="E129" s="3" t="s">
        <v>98</v>
      </c>
      <c r="F129" s="11">
        <v>279.26098209999998</v>
      </c>
      <c r="G129" s="12">
        <v>3.7211790000000002E-2</v>
      </c>
      <c r="H129" s="97"/>
    </row>
    <row r="130" spans="1:8" x14ac:dyDescent="0.2">
      <c r="A130" s="3"/>
      <c r="B130" s="3"/>
      <c r="C130" s="13"/>
      <c r="D130" s="3"/>
      <c r="E130" s="3"/>
      <c r="F130" s="14"/>
      <c r="G130" s="14"/>
      <c r="H130" s="97"/>
    </row>
    <row r="131" spans="1:8" x14ac:dyDescent="0.2">
      <c r="A131" s="3"/>
      <c r="B131" s="3"/>
      <c r="C131" s="4" t="s">
        <v>117</v>
      </c>
      <c r="D131" s="3"/>
      <c r="E131" s="3"/>
      <c r="F131" s="11">
        <v>279.26098209999998</v>
      </c>
      <c r="G131" s="12">
        <v>3.7211790000000002E-2</v>
      </c>
      <c r="H131" s="97"/>
    </row>
    <row r="132" spans="1:8" x14ac:dyDescent="0.2">
      <c r="A132" s="3"/>
      <c r="B132" s="3"/>
      <c r="C132" s="14"/>
      <c r="D132" s="3"/>
      <c r="E132" s="3"/>
      <c r="F132" s="3"/>
      <c r="G132" s="3"/>
      <c r="H132" s="97"/>
    </row>
    <row r="133" spans="1:8" x14ac:dyDescent="0.2">
      <c r="A133" s="3"/>
      <c r="B133" s="3"/>
      <c r="C133" s="4" t="s">
        <v>118</v>
      </c>
      <c r="D133" s="3"/>
      <c r="E133" s="3"/>
      <c r="F133" s="3"/>
      <c r="G133" s="3"/>
      <c r="H133" s="97"/>
    </row>
    <row r="134" spans="1:8" x14ac:dyDescent="0.2">
      <c r="A134" s="3"/>
      <c r="B134" s="3"/>
      <c r="C134" s="4" t="s">
        <v>119</v>
      </c>
      <c r="D134" s="3"/>
      <c r="E134" s="3"/>
      <c r="F134" s="3"/>
      <c r="G134" s="3"/>
      <c r="H134" s="97"/>
    </row>
    <row r="135" spans="1:8" x14ac:dyDescent="0.2">
      <c r="A135" s="3"/>
      <c r="B135" s="3"/>
      <c r="C135" s="4" t="s">
        <v>97</v>
      </c>
      <c r="D135" s="3"/>
      <c r="E135" s="3" t="s">
        <v>98</v>
      </c>
      <c r="F135" s="15">
        <v>0</v>
      </c>
      <c r="G135" s="16">
        <v>0</v>
      </c>
      <c r="H135" s="97"/>
    </row>
    <row r="136" spans="1:8" x14ac:dyDescent="0.2">
      <c r="A136" s="3"/>
      <c r="B136" s="3"/>
      <c r="C136" s="13"/>
      <c r="D136" s="3"/>
      <c r="E136" s="3"/>
      <c r="F136" s="14"/>
      <c r="G136" s="14"/>
      <c r="H136" s="97"/>
    </row>
    <row r="137" spans="1:8" x14ac:dyDescent="0.2">
      <c r="A137" s="3"/>
      <c r="B137" s="3"/>
      <c r="C137" s="4" t="s">
        <v>120</v>
      </c>
      <c r="D137" s="3"/>
      <c r="E137" s="3"/>
      <c r="F137" s="3"/>
      <c r="G137" s="3"/>
      <c r="H137" s="97"/>
    </row>
    <row r="138" spans="1:8" x14ac:dyDescent="0.2">
      <c r="A138" s="3"/>
      <c r="B138" s="3"/>
      <c r="C138" s="4" t="s">
        <v>121</v>
      </c>
      <c r="D138" s="3"/>
      <c r="E138" s="3"/>
      <c r="F138" s="3"/>
      <c r="G138" s="3"/>
      <c r="H138" s="97"/>
    </row>
    <row r="139" spans="1:8" x14ac:dyDescent="0.2">
      <c r="A139" s="3"/>
      <c r="B139" s="3"/>
      <c r="C139" s="4" t="s">
        <v>97</v>
      </c>
      <c r="D139" s="3"/>
      <c r="E139" s="3" t="s">
        <v>98</v>
      </c>
      <c r="F139" s="15">
        <v>0</v>
      </c>
      <c r="G139" s="16">
        <v>0</v>
      </c>
      <c r="H139" s="97"/>
    </row>
    <row r="140" spans="1:8" x14ac:dyDescent="0.2">
      <c r="A140" s="3"/>
      <c r="B140" s="3"/>
      <c r="C140" s="13"/>
      <c r="D140" s="3"/>
      <c r="E140" s="3"/>
      <c r="F140" s="14"/>
      <c r="G140" s="14"/>
      <c r="H140" s="97"/>
    </row>
    <row r="141" spans="1:8" x14ac:dyDescent="0.2">
      <c r="A141" s="3"/>
      <c r="B141" s="3"/>
      <c r="C141" s="13"/>
      <c r="D141" s="3"/>
      <c r="E141" s="3"/>
      <c r="F141" s="14"/>
      <c r="G141" s="14"/>
      <c r="H141" s="97"/>
    </row>
    <row r="142" spans="1:8" ht="25.5" x14ac:dyDescent="0.2">
      <c r="A142" s="3"/>
      <c r="B142" s="3"/>
      <c r="C142" s="4" t="s">
        <v>122</v>
      </c>
      <c r="D142" s="3"/>
      <c r="E142" s="3"/>
      <c r="F142" s="14"/>
      <c r="G142" s="14"/>
      <c r="H142" s="97"/>
    </row>
    <row r="143" spans="1:8" x14ac:dyDescent="0.2">
      <c r="A143" s="3"/>
      <c r="B143" s="3"/>
      <c r="C143" s="4" t="s">
        <v>97</v>
      </c>
      <c r="D143" s="3"/>
      <c r="E143" s="3" t="s">
        <v>98</v>
      </c>
      <c r="F143" s="15">
        <v>0</v>
      </c>
      <c r="G143" s="16">
        <v>0</v>
      </c>
      <c r="H143" s="97"/>
    </row>
    <row r="144" spans="1:8" x14ac:dyDescent="0.2">
      <c r="A144" s="3"/>
      <c r="B144" s="3"/>
      <c r="C144" s="13"/>
      <c r="D144" s="3"/>
      <c r="E144" s="3"/>
      <c r="F144" s="14"/>
      <c r="G144" s="14"/>
      <c r="H144" s="97"/>
    </row>
    <row r="145" spans="1:8" x14ac:dyDescent="0.2">
      <c r="A145" s="3"/>
      <c r="B145" s="6"/>
      <c r="C145" s="6"/>
      <c r="D145" s="4"/>
      <c r="E145" s="3"/>
      <c r="F145" s="6"/>
      <c r="G145" s="10"/>
      <c r="H145" s="97"/>
    </row>
    <row r="146" spans="1:8" x14ac:dyDescent="0.2">
      <c r="A146" s="10"/>
      <c r="B146" s="6"/>
      <c r="C146" s="6" t="s">
        <v>123</v>
      </c>
      <c r="D146" s="6"/>
      <c r="E146" s="10"/>
      <c r="F146" s="8">
        <v>4.6826480999999998</v>
      </c>
      <c r="G146" s="9">
        <v>6.2396700000000001E-4</v>
      </c>
      <c r="H146" s="97"/>
    </row>
    <row r="147" spans="1:8" x14ac:dyDescent="0.2">
      <c r="A147" s="13"/>
      <c r="B147" s="13"/>
      <c r="C147" s="4" t="s">
        <v>124</v>
      </c>
      <c r="D147" s="17"/>
      <c r="E147" s="17"/>
      <c r="F147" s="11">
        <v>7504.6371618000003</v>
      </c>
      <c r="G147" s="12">
        <v>1.0000000040000001</v>
      </c>
      <c r="H147" s="97"/>
    </row>
    <row r="148" spans="1:8" ht="14.1" customHeight="1" x14ac:dyDescent="0.2">
      <c r="A148" s="20"/>
      <c r="B148" s="226" t="s">
        <v>98</v>
      </c>
      <c r="C148" s="226"/>
      <c r="D148" s="226"/>
      <c r="E148" s="226"/>
      <c r="F148" s="226"/>
      <c r="G148" s="22"/>
    </row>
    <row r="149" spans="1:8" ht="17.100000000000001" customHeight="1" x14ac:dyDescent="0.2">
      <c r="A149" s="20"/>
      <c r="B149" s="226" t="s">
        <v>125</v>
      </c>
      <c r="C149" s="226"/>
      <c r="D149" s="226"/>
      <c r="E149" s="226"/>
      <c r="F149" s="226"/>
      <c r="G149" s="22"/>
    </row>
    <row r="150" spans="1:8" ht="14.1" customHeight="1" x14ac:dyDescent="0.2">
      <c r="A150" s="20"/>
      <c r="B150" s="20"/>
      <c r="C150" s="20"/>
      <c r="D150" s="22"/>
      <c r="E150" s="22"/>
      <c r="F150" s="22"/>
      <c r="G150" s="22"/>
    </row>
    <row r="151" spans="1:8" ht="14.1" customHeight="1" x14ac:dyDescent="0.2">
      <c r="A151" s="20"/>
      <c r="B151" s="224" t="s">
        <v>126</v>
      </c>
      <c r="C151" s="225"/>
      <c r="D151" s="14" t="s">
        <v>98</v>
      </c>
      <c r="E151" s="23"/>
      <c r="F151" s="22"/>
      <c r="G151" s="22"/>
    </row>
    <row r="152" spans="1:8" ht="29.1" customHeight="1" x14ac:dyDescent="0.2">
      <c r="A152" s="20"/>
      <c r="B152" s="231" t="s">
        <v>127</v>
      </c>
      <c r="C152" s="232"/>
      <c r="D152" s="4" t="s">
        <v>128</v>
      </c>
      <c r="E152" s="23"/>
      <c r="F152" s="22"/>
      <c r="G152" s="22"/>
    </row>
    <row r="153" spans="1:8" ht="17.100000000000001" customHeight="1" x14ac:dyDescent="0.2">
      <c r="A153" s="20"/>
      <c r="B153" s="231" t="s">
        <v>129</v>
      </c>
      <c r="C153" s="232"/>
      <c r="D153" s="4" t="s">
        <v>128</v>
      </c>
      <c r="E153" s="23"/>
      <c r="F153" s="22"/>
      <c r="G153" s="22"/>
    </row>
    <row r="154" spans="1:8" ht="17.100000000000001" customHeight="1" x14ac:dyDescent="0.2">
      <c r="A154" s="20"/>
      <c r="B154" s="231" t="s">
        <v>130</v>
      </c>
      <c r="C154" s="232"/>
      <c r="D154" s="14" t="s">
        <v>98</v>
      </c>
      <c r="E154" s="23"/>
      <c r="F154" s="22"/>
      <c r="G154" s="22"/>
    </row>
    <row r="155" spans="1:8" ht="24" customHeight="1" x14ac:dyDescent="0.2">
      <c r="A155" s="24"/>
      <c r="B155" s="25" t="s">
        <v>98</v>
      </c>
      <c r="C155" s="25" t="s">
        <v>131</v>
      </c>
      <c r="D155" s="25" t="s">
        <v>132</v>
      </c>
      <c r="E155" s="24"/>
      <c r="F155" s="24"/>
      <c r="G155" s="24"/>
    </row>
    <row r="156" spans="1:8" ht="18" customHeight="1" x14ac:dyDescent="0.2">
      <c r="A156" s="24"/>
      <c r="B156" s="25" t="s">
        <v>133</v>
      </c>
      <c r="C156" s="25" t="s">
        <v>134</v>
      </c>
      <c r="D156" s="25" t="s">
        <v>135</v>
      </c>
      <c r="E156" s="24"/>
      <c r="F156" s="24"/>
      <c r="G156" s="24"/>
    </row>
    <row r="157" spans="1:8" ht="17.100000000000001" customHeight="1" x14ac:dyDescent="0.2">
      <c r="A157" s="24"/>
      <c r="B157" s="6" t="s">
        <v>136</v>
      </c>
      <c r="C157" s="26">
        <v>18.110600000000002</v>
      </c>
      <c r="D157" s="26">
        <v>18.907599999999999</v>
      </c>
      <c r="E157" s="24"/>
      <c r="F157" s="21"/>
      <c r="G157" s="27"/>
    </row>
    <row r="158" spans="1:8" ht="17.100000000000001" customHeight="1" x14ac:dyDescent="0.2">
      <c r="A158" s="24"/>
      <c r="B158" s="6" t="s">
        <v>1201</v>
      </c>
      <c r="C158" s="26">
        <v>17.4666</v>
      </c>
      <c r="D158" s="26">
        <v>18.235299999999999</v>
      </c>
      <c r="E158" s="24"/>
      <c r="F158" s="21"/>
      <c r="G158" s="27"/>
    </row>
    <row r="159" spans="1:8" ht="17.100000000000001" customHeight="1" x14ac:dyDescent="0.2">
      <c r="A159" s="24"/>
      <c r="B159" s="6" t="s">
        <v>137</v>
      </c>
      <c r="C159" s="26">
        <v>17.7545</v>
      </c>
      <c r="D159" s="26">
        <v>18.527000000000001</v>
      </c>
      <c r="E159" s="24"/>
      <c r="F159" s="21"/>
      <c r="G159" s="27"/>
    </row>
    <row r="160" spans="1:8" ht="17.100000000000001" customHeight="1" x14ac:dyDescent="0.2">
      <c r="A160" s="24"/>
      <c r="B160" s="6" t="s">
        <v>1202</v>
      </c>
      <c r="C160" s="26">
        <v>17.112400000000001</v>
      </c>
      <c r="D160" s="26">
        <v>17.857099999999999</v>
      </c>
      <c r="E160" s="24"/>
      <c r="F160" s="21"/>
      <c r="G160" s="27"/>
    </row>
    <row r="161" spans="1:17" ht="14.1" customHeight="1" x14ac:dyDescent="0.2">
      <c r="A161" s="24"/>
      <c r="B161" s="24"/>
      <c r="C161" s="24"/>
      <c r="D161" s="24"/>
      <c r="E161" s="24"/>
      <c r="F161" s="24"/>
      <c r="G161" s="24"/>
    </row>
    <row r="162" spans="1:17" ht="17.100000000000001" customHeight="1" x14ac:dyDescent="0.2">
      <c r="A162" s="24"/>
      <c r="B162" s="231" t="s">
        <v>1203</v>
      </c>
      <c r="C162" s="232"/>
      <c r="D162" s="4" t="s">
        <v>128</v>
      </c>
      <c r="E162" s="24"/>
      <c r="F162" s="24"/>
      <c r="G162" s="24"/>
    </row>
    <row r="163" spans="1:17" ht="18" customHeight="1" x14ac:dyDescent="0.2">
      <c r="A163" s="24"/>
      <c r="B163" s="28"/>
      <c r="C163" s="28"/>
      <c r="D163" s="29"/>
      <c r="E163" s="24"/>
      <c r="F163" s="24"/>
      <c r="G163" s="24"/>
    </row>
    <row r="164" spans="1:17" s="87" customFormat="1" x14ac:dyDescent="0.2">
      <c r="B164" s="233" t="s">
        <v>1207</v>
      </c>
      <c r="C164" s="233"/>
      <c r="D164" s="233"/>
      <c r="E164" s="233"/>
      <c r="F164" s="233"/>
      <c r="P164"/>
      <c r="Q164" s="69"/>
    </row>
    <row r="165" spans="1:17" ht="14.1" customHeight="1" x14ac:dyDescent="0.2">
      <c r="A165" s="24"/>
      <c r="B165" s="21"/>
      <c r="C165" s="21"/>
      <c r="D165" s="24"/>
      <c r="E165" s="24"/>
      <c r="F165" s="24"/>
      <c r="G165" s="24"/>
    </row>
    <row r="166" spans="1:17" ht="29.1" customHeight="1" x14ac:dyDescent="0.2">
      <c r="A166" s="24"/>
      <c r="B166" s="231" t="s">
        <v>138</v>
      </c>
      <c r="C166" s="232"/>
      <c r="D166" s="4" t="s">
        <v>128</v>
      </c>
      <c r="E166" s="24"/>
      <c r="F166" s="24"/>
      <c r="G166" s="24"/>
      <c r="P166" s="69"/>
    </row>
    <row r="167" spans="1:17" ht="29.1" customHeight="1" x14ac:dyDescent="0.2">
      <c r="A167" s="24"/>
      <c r="B167" s="231" t="s">
        <v>139</v>
      </c>
      <c r="C167" s="232"/>
      <c r="D167" s="4" t="s">
        <v>128</v>
      </c>
      <c r="E167" s="24"/>
      <c r="F167" s="24"/>
      <c r="G167" s="24"/>
    </row>
    <row r="168" spans="1:17" ht="17.100000000000001" customHeight="1" x14ac:dyDescent="0.2">
      <c r="A168" s="24"/>
      <c r="B168" s="231" t="s">
        <v>140</v>
      </c>
      <c r="C168" s="232"/>
      <c r="D168" s="30">
        <v>0.38570521848968131</v>
      </c>
      <c r="E168" s="24"/>
      <c r="F168" s="21"/>
      <c r="G168" s="27"/>
    </row>
    <row r="169" spans="1:17" ht="17.100000000000001" customHeight="1" x14ac:dyDescent="0.2">
      <c r="A169" s="24"/>
      <c r="B169" s="231" t="s">
        <v>141</v>
      </c>
      <c r="C169" s="232"/>
      <c r="D169" s="4" t="s">
        <v>128</v>
      </c>
      <c r="E169" s="24"/>
      <c r="F169" s="24"/>
      <c r="G169" s="24"/>
    </row>
  </sheetData>
  <mergeCells count="16">
    <mergeCell ref="B168:C168"/>
    <mergeCell ref="B169:C169"/>
    <mergeCell ref="B152:C152"/>
    <mergeCell ref="B153:C153"/>
    <mergeCell ref="B154:C154"/>
    <mergeCell ref="B162:C162"/>
    <mergeCell ref="B166:C166"/>
    <mergeCell ref="B167:C167"/>
    <mergeCell ref="B164:F164"/>
    <mergeCell ref="J2:N2"/>
    <mergeCell ref="B151:C151"/>
    <mergeCell ref="B148:F148"/>
    <mergeCell ref="B149:F149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8">
    <outlinePr summaryBelow="0" summaryRight="0"/>
  </sheetPr>
  <dimension ref="A1:Q167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6" ht="15" x14ac:dyDescent="0.2">
      <c r="A1" s="227" t="s">
        <v>0</v>
      </c>
      <c r="B1" s="227"/>
      <c r="C1" s="227"/>
      <c r="D1" s="227"/>
      <c r="E1" s="227"/>
      <c r="F1" s="227"/>
      <c r="G1" s="227"/>
      <c r="H1" s="227"/>
    </row>
    <row r="2" spans="1:16" s="87" customFormat="1" ht="15" x14ac:dyDescent="0.2">
      <c r="A2" s="228" t="s">
        <v>618</v>
      </c>
      <c r="B2" s="229"/>
      <c r="C2" s="229"/>
      <c r="D2" s="229"/>
      <c r="E2" s="229"/>
      <c r="F2" s="229"/>
      <c r="G2" s="229"/>
      <c r="H2" s="230"/>
      <c r="I2"/>
      <c r="J2" s="223" t="s">
        <v>1238</v>
      </c>
      <c r="K2" s="223"/>
      <c r="L2" s="223"/>
      <c r="M2" s="223"/>
      <c r="N2" s="223"/>
      <c r="O2"/>
      <c r="P2"/>
    </row>
    <row r="3" spans="1:16" ht="15" x14ac:dyDescent="0.2">
      <c r="A3" s="227" t="s">
        <v>1208</v>
      </c>
      <c r="B3" s="227"/>
      <c r="C3" s="227"/>
      <c r="D3" s="227"/>
      <c r="E3" s="227"/>
      <c r="F3" s="227"/>
      <c r="G3" s="227"/>
      <c r="H3" s="227"/>
    </row>
    <row r="4" spans="1:16" s="113" customFormat="1" ht="30" x14ac:dyDescent="0.2">
      <c r="A4" s="1" t="s">
        <v>2</v>
      </c>
      <c r="B4" s="1" t="s">
        <v>3</v>
      </c>
      <c r="C4" s="1" t="s">
        <v>4</v>
      </c>
      <c r="D4" s="1" t="s">
        <v>5</v>
      </c>
      <c r="E4" s="2" t="s">
        <v>6</v>
      </c>
      <c r="F4" s="2" t="s">
        <v>7</v>
      </c>
      <c r="G4" s="2" t="s">
        <v>8</v>
      </c>
      <c r="H4" s="96" t="s">
        <v>1167</v>
      </c>
      <c r="I4" s="183"/>
      <c r="J4" s="183"/>
      <c r="K4" s="183"/>
      <c r="L4" s="183"/>
      <c r="M4" s="183"/>
      <c r="N4" s="183"/>
      <c r="O4" s="183"/>
      <c r="P4" s="183"/>
    </row>
    <row r="5" spans="1:16" ht="14.1" customHeight="1" x14ac:dyDescent="0.2">
      <c r="A5" s="3"/>
      <c r="B5" s="3"/>
      <c r="C5" s="4" t="s">
        <v>9</v>
      </c>
      <c r="D5" s="3"/>
      <c r="E5" s="3"/>
      <c r="F5" s="3"/>
      <c r="G5" s="3"/>
      <c r="H5" s="97"/>
    </row>
    <row r="6" spans="1:16" ht="24" customHeight="1" x14ac:dyDescent="0.2">
      <c r="A6" s="3"/>
      <c r="B6" s="3"/>
      <c r="C6" s="4" t="s">
        <v>10</v>
      </c>
      <c r="D6" s="3"/>
      <c r="E6" s="3"/>
      <c r="F6" s="3"/>
      <c r="G6" s="3"/>
      <c r="H6" s="97"/>
    </row>
    <row r="7" spans="1:16" x14ac:dyDescent="0.2">
      <c r="A7" s="5">
        <v>1</v>
      </c>
      <c r="B7" s="6" t="s">
        <v>164</v>
      </c>
      <c r="C7" s="6" t="s">
        <v>165</v>
      </c>
      <c r="D7" s="6" t="s">
        <v>19</v>
      </c>
      <c r="E7" s="7">
        <v>11268</v>
      </c>
      <c r="F7" s="8">
        <v>131.61587399999999</v>
      </c>
      <c r="G7" s="9">
        <v>3.3921521000000003E-2</v>
      </c>
      <c r="H7" s="97"/>
    </row>
    <row r="8" spans="1:16" x14ac:dyDescent="0.2">
      <c r="A8" s="5">
        <v>2</v>
      </c>
      <c r="B8" s="6" t="s">
        <v>17</v>
      </c>
      <c r="C8" s="6" t="s">
        <v>18</v>
      </c>
      <c r="D8" s="6" t="s">
        <v>19</v>
      </c>
      <c r="E8" s="7">
        <v>6755</v>
      </c>
      <c r="F8" s="8">
        <v>129.49334999999999</v>
      </c>
      <c r="G8" s="9">
        <v>3.3374479999999998E-2</v>
      </c>
      <c r="H8" s="97"/>
    </row>
    <row r="9" spans="1:16" x14ac:dyDescent="0.2">
      <c r="A9" s="5">
        <v>3</v>
      </c>
      <c r="B9" s="6" t="s">
        <v>274</v>
      </c>
      <c r="C9" s="6" t="s">
        <v>275</v>
      </c>
      <c r="D9" s="6" t="s">
        <v>185</v>
      </c>
      <c r="E9" s="7">
        <v>2845</v>
      </c>
      <c r="F9" s="8">
        <v>119.162825</v>
      </c>
      <c r="G9" s="9">
        <v>3.0711980999999999E-2</v>
      </c>
      <c r="H9" s="97"/>
    </row>
    <row r="10" spans="1:16" ht="25.5" x14ac:dyDescent="0.2">
      <c r="A10" s="5">
        <v>4</v>
      </c>
      <c r="B10" s="6" t="s">
        <v>143</v>
      </c>
      <c r="C10" s="6" t="s">
        <v>144</v>
      </c>
      <c r="D10" s="6" t="s">
        <v>45</v>
      </c>
      <c r="E10" s="7">
        <v>59516</v>
      </c>
      <c r="F10" s="8">
        <v>115.78837799999999</v>
      </c>
      <c r="G10" s="9">
        <v>2.9842280999999998E-2</v>
      </c>
      <c r="H10" s="97"/>
    </row>
    <row r="11" spans="1:16" x14ac:dyDescent="0.2">
      <c r="A11" s="5">
        <v>5</v>
      </c>
      <c r="B11" s="6" t="s">
        <v>74</v>
      </c>
      <c r="C11" s="6" t="s">
        <v>75</v>
      </c>
      <c r="D11" s="6" t="s">
        <v>70</v>
      </c>
      <c r="E11" s="7">
        <v>24954</v>
      </c>
      <c r="F11" s="8">
        <v>104.75689199999999</v>
      </c>
      <c r="G11" s="9">
        <v>2.6999123E-2</v>
      </c>
      <c r="H11" s="97"/>
    </row>
    <row r="12" spans="1:16" x14ac:dyDescent="0.2">
      <c r="A12" s="5">
        <v>6</v>
      </c>
      <c r="B12" s="6" t="s">
        <v>145</v>
      </c>
      <c r="C12" s="6" t="s">
        <v>146</v>
      </c>
      <c r="D12" s="6" t="s">
        <v>147</v>
      </c>
      <c r="E12" s="7">
        <v>2021</v>
      </c>
      <c r="F12" s="8">
        <v>99.116913499999995</v>
      </c>
      <c r="G12" s="9">
        <v>2.5545524E-2</v>
      </c>
      <c r="H12" s="97"/>
    </row>
    <row r="13" spans="1:16" x14ac:dyDescent="0.2">
      <c r="A13" s="5">
        <v>7</v>
      </c>
      <c r="B13" s="6" t="s">
        <v>263</v>
      </c>
      <c r="C13" s="6" t="s">
        <v>264</v>
      </c>
      <c r="D13" s="6" t="s">
        <v>147</v>
      </c>
      <c r="E13" s="7">
        <v>16149</v>
      </c>
      <c r="F13" s="8">
        <v>98.985295500000007</v>
      </c>
      <c r="G13" s="9">
        <v>2.5511602000000001E-2</v>
      </c>
      <c r="H13" s="97"/>
    </row>
    <row r="14" spans="1:16" x14ac:dyDescent="0.2">
      <c r="A14" s="5">
        <v>8</v>
      </c>
      <c r="B14" s="6" t="s">
        <v>148</v>
      </c>
      <c r="C14" s="6" t="s">
        <v>149</v>
      </c>
      <c r="D14" s="6" t="s">
        <v>70</v>
      </c>
      <c r="E14" s="7">
        <v>16224</v>
      </c>
      <c r="F14" s="8">
        <v>97.003296000000006</v>
      </c>
      <c r="G14" s="9">
        <v>2.5000779000000001E-2</v>
      </c>
      <c r="H14" s="97"/>
    </row>
    <row r="15" spans="1:16" x14ac:dyDescent="0.2">
      <c r="A15" s="5">
        <v>9</v>
      </c>
      <c r="B15" s="6" t="s">
        <v>41</v>
      </c>
      <c r="C15" s="6" t="s">
        <v>42</v>
      </c>
      <c r="D15" s="6" t="s">
        <v>19</v>
      </c>
      <c r="E15" s="7">
        <v>7409</v>
      </c>
      <c r="F15" s="8">
        <v>90.408322499999997</v>
      </c>
      <c r="G15" s="9">
        <v>2.3301048000000001E-2</v>
      </c>
      <c r="H15" s="97"/>
    </row>
    <row r="16" spans="1:16" ht="15" x14ac:dyDescent="0.2">
      <c r="A16" s="5">
        <v>10</v>
      </c>
      <c r="B16" s="6" t="s">
        <v>156</v>
      </c>
      <c r="C16" s="6" t="s">
        <v>157</v>
      </c>
      <c r="D16" s="6" t="s">
        <v>19</v>
      </c>
      <c r="E16" s="7">
        <v>12363</v>
      </c>
      <c r="F16" s="8">
        <v>89.675020500000002</v>
      </c>
      <c r="G16" s="9">
        <v>2.3112053E-2</v>
      </c>
      <c r="H16" s="97"/>
      <c r="J16" s="184" t="s">
        <v>1246</v>
      </c>
    </row>
    <row r="17" spans="1:8" x14ac:dyDescent="0.2">
      <c r="A17" s="5">
        <v>11</v>
      </c>
      <c r="B17" s="6" t="s">
        <v>150</v>
      </c>
      <c r="C17" s="6" t="s">
        <v>151</v>
      </c>
      <c r="D17" s="6" t="s">
        <v>81</v>
      </c>
      <c r="E17" s="7">
        <v>77707</v>
      </c>
      <c r="F17" s="8">
        <v>86.138209500000002</v>
      </c>
      <c r="G17" s="9">
        <v>2.2200507000000001E-2</v>
      </c>
      <c r="H17" s="97"/>
    </row>
    <row r="18" spans="1:8" x14ac:dyDescent="0.2">
      <c r="A18" s="5">
        <v>12</v>
      </c>
      <c r="B18" s="6" t="s">
        <v>576</v>
      </c>
      <c r="C18" s="6" t="s">
        <v>577</v>
      </c>
      <c r="D18" s="6" t="s">
        <v>70</v>
      </c>
      <c r="E18" s="7">
        <v>22660</v>
      </c>
      <c r="F18" s="8">
        <v>85.144949999999994</v>
      </c>
      <c r="G18" s="9">
        <v>2.1944512999999999E-2</v>
      </c>
      <c r="H18" s="97"/>
    </row>
    <row r="19" spans="1:8" x14ac:dyDescent="0.2">
      <c r="A19" s="5">
        <v>13</v>
      </c>
      <c r="B19" s="6" t="s">
        <v>198</v>
      </c>
      <c r="C19" s="6" t="s">
        <v>199</v>
      </c>
      <c r="D19" s="6" t="s">
        <v>70</v>
      </c>
      <c r="E19" s="7">
        <v>9128</v>
      </c>
      <c r="F19" s="8">
        <v>81.357864000000006</v>
      </c>
      <c r="G19" s="9">
        <v>2.0968462E-2</v>
      </c>
      <c r="H19" s="97"/>
    </row>
    <row r="20" spans="1:8" x14ac:dyDescent="0.2">
      <c r="A20" s="5">
        <v>14</v>
      </c>
      <c r="B20" s="6" t="s">
        <v>154</v>
      </c>
      <c r="C20" s="6" t="s">
        <v>155</v>
      </c>
      <c r="D20" s="6" t="s">
        <v>147</v>
      </c>
      <c r="E20" s="7">
        <v>6988</v>
      </c>
      <c r="F20" s="8">
        <v>78.786206000000007</v>
      </c>
      <c r="G20" s="9">
        <v>2.0305666E-2</v>
      </c>
      <c r="H20" s="97"/>
    </row>
    <row r="21" spans="1:8" ht="25.5" x14ac:dyDescent="0.2">
      <c r="A21" s="5">
        <v>15</v>
      </c>
      <c r="B21" s="6" t="s">
        <v>37</v>
      </c>
      <c r="C21" s="6" t="s">
        <v>38</v>
      </c>
      <c r="D21" s="6" t="s">
        <v>1185</v>
      </c>
      <c r="E21" s="7">
        <v>2108</v>
      </c>
      <c r="F21" s="8">
        <v>71.647757999999996</v>
      </c>
      <c r="G21" s="9">
        <v>1.8465865000000001E-2</v>
      </c>
      <c r="H21" s="97"/>
    </row>
    <row r="22" spans="1:8" x14ac:dyDescent="0.2">
      <c r="A22" s="5">
        <v>16</v>
      </c>
      <c r="B22" s="6" t="s">
        <v>203</v>
      </c>
      <c r="C22" s="6" t="s">
        <v>204</v>
      </c>
      <c r="D22" s="6" t="s">
        <v>81</v>
      </c>
      <c r="E22" s="7">
        <v>8757</v>
      </c>
      <c r="F22" s="8">
        <v>67.796694000000002</v>
      </c>
      <c r="G22" s="9">
        <v>1.7473325000000001E-2</v>
      </c>
      <c r="H22" s="97"/>
    </row>
    <row r="23" spans="1:8" ht="25.5" x14ac:dyDescent="0.2">
      <c r="A23" s="5">
        <v>17</v>
      </c>
      <c r="B23" s="6" t="s">
        <v>604</v>
      </c>
      <c r="C23" s="6" t="s">
        <v>605</v>
      </c>
      <c r="D23" s="6" t="s">
        <v>45</v>
      </c>
      <c r="E23" s="7">
        <v>3630</v>
      </c>
      <c r="F23" s="8">
        <v>67.213080000000005</v>
      </c>
      <c r="G23" s="9">
        <v>1.732291E-2</v>
      </c>
      <c r="H23" s="97"/>
    </row>
    <row r="24" spans="1:8" x14ac:dyDescent="0.2">
      <c r="A24" s="5">
        <v>18</v>
      </c>
      <c r="B24" s="6" t="s">
        <v>158</v>
      </c>
      <c r="C24" s="6" t="s">
        <v>159</v>
      </c>
      <c r="D24" s="6" t="s">
        <v>1187</v>
      </c>
      <c r="E24" s="7">
        <v>4980</v>
      </c>
      <c r="F24" s="8">
        <v>60.71367</v>
      </c>
      <c r="G24" s="9">
        <v>1.5647808999999999E-2</v>
      </c>
      <c r="H24" s="97"/>
    </row>
    <row r="25" spans="1:8" x14ac:dyDescent="0.2">
      <c r="A25" s="5">
        <v>19</v>
      </c>
      <c r="B25" s="6" t="s">
        <v>160</v>
      </c>
      <c r="C25" s="6" t="s">
        <v>161</v>
      </c>
      <c r="D25" s="6" t="s">
        <v>147</v>
      </c>
      <c r="E25" s="7">
        <v>5849</v>
      </c>
      <c r="F25" s="8">
        <v>59.835270000000001</v>
      </c>
      <c r="G25" s="9">
        <v>1.5421417999999999E-2</v>
      </c>
      <c r="H25" s="97"/>
    </row>
    <row r="26" spans="1:8" x14ac:dyDescent="0.2">
      <c r="A26" s="5">
        <v>20</v>
      </c>
      <c r="B26" s="6" t="s">
        <v>172</v>
      </c>
      <c r="C26" s="6" t="s">
        <v>173</v>
      </c>
      <c r="D26" s="6" t="s">
        <v>174</v>
      </c>
      <c r="E26" s="7">
        <v>24683</v>
      </c>
      <c r="F26" s="8">
        <v>59.004711499999999</v>
      </c>
      <c r="G26" s="9">
        <v>1.5207356999999999E-2</v>
      </c>
      <c r="H26" s="97"/>
    </row>
    <row r="27" spans="1:8" x14ac:dyDescent="0.2">
      <c r="A27" s="5">
        <v>21</v>
      </c>
      <c r="B27" s="6" t="s">
        <v>280</v>
      </c>
      <c r="C27" s="6" t="s">
        <v>281</v>
      </c>
      <c r="D27" s="6" t="s">
        <v>238</v>
      </c>
      <c r="E27" s="7">
        <v>3246</v>
      </c>
      <c r="F27" s="8">
        <v>56.960808</v>
      </c>
      <c r="G27" s="9">
        <v>1.4680578999999999E-2</v>
      </c>
      <c r="H27" s="97"/>
    </row>
    <row r="28" spans="1:8" x14ac:dyDescent="0.2">
      <c r="A28" s="5">
        <v>22</v>
      </c>
      <c r="B28" s="6" t="s">
        <v>168</v>
      </c>
      <c r="C28" s="6" t="s">
        <v>169</v>
      </c>
      <c r="D28" s="6" t="s">
        <v>81</v>
      </c>
      <c r="E28" s="7">
        <v>85069</v>
      </c>
      <c r="F28" s="8">
        <v>53.593470000000003</v>
      </c>
      <c r="G28" s="9">
        <v>1.3812711E-2</v>
      </c>
      <c r="H28" s="97"/>
    </row>
    <row r="29" spans="1:8" x14ac:dyDescent="0.2">
      <c r="A29" s="5">
        <v>23</v>
      </c>
      <c r="B29" s="6" t="s">
        <v>194</v>
      </c>
      <c r="C29" s="6" t="s">
        <v>195</v>
      </c>
      <c r="D29" s="6" t="s">
        <v>53</v>
      </c>
      <c r="E29" s="7">
        <v>5426</v>
      </c>
      <c r="F29" s="8">
        <v>53.465091000000001</v>
      </c>
      <c r="G29" s="9">
        <v>1.3779624000000001E-2</v>
      </c>
      <c r="H29" s="97"/>
    </row>
    <row r="30" spans="1:8" x14ac:dyDescent="0.2">
      <c r="A30" s="5">
        <v>24</v>
      </c>
      <c r="B30" s="6" t="s">
        <v>196</v>
      </c>
      <c r="C30" s="6" t="s">
        <v>197</v>
      </c>
      <c r="D30" s="6" t="s">
        <v>81</v>
      </c>
      <c r="E30" s="7">
        <v>9395</v>
      </c>
      <c r="F30" s="8">
        <v>51.949652499999999</v>
      </c>
      <c r="G30" s="9">
        <v>1.3389048000000001E-2</v>
      </c>
      <c r="H30" s="97"/>
    </row>
    <row r="31" spans="1:8" x14ac:dyDescent="0.2">
      <c r="A31" s="5">
        <v>25</v>
      </c>
      <c r="B31" s="6" t="s">
        <v>181</v>
      </c>
      <c r="C31" s="6" t="s">
        <v>182</v>
      </c>
      <c r="D31" s="6" t="s">
        <v>1189</v>
      </c>
      <c r="E31" s="7">
        <v>6000</v>
      </c>
      <c r="F31" s="8">
        <v>51.381</v>
      </c>
      <c r="G31" s="9">
        <v>1.3242488E-2</v>
      </c>
      <c r="H31" s="97"/>
    </row>
    <row r="32" spans="1:8" x14ac:dyDescent="0.2">
      <c r="A32" s="5">
        <v>26</v>
      </c>
      <c r="B32" s="6" t="s">
        <v>166</v>
      </c>
      <c r="C32" s="6" t="s">
        <v>167</v>
      </c>
      <c r="D32" s="6" t="s">
        <v>1186</v>
      </c>
      <c r="E32" s="7">
        <v>14411</v>
      </c>
      <c r="F32" s="8">
        <v>50.921268499999996</v>
      </c>
      <c r="G32" s="9">
        <v>1.3124001E-2</v>
      </c>
      <c r="H32" s="97"/>
    </row>
    <row r="33" spans="1:8" ht="25.5" x14ac:dyDescent="0.2">
      <c r="A33" s="5">
        <v>27</v>
      </c>
      <c r="B33" s="6" t="s">
        <v>177</v>
      </c>
      <c r="C33" s="6" t="s">
        <v>178</v>
      </c>
      <c r="D33" s="6" t="s">
        <v>1185</v>
      </c>
      <c r="E33" s="7">
        <v>22301</v>
      </c>
      <c r="F33" s="8">
        <v>50.478313499999999</v>
      </c>
      <c r="G33" s="9">
        <v>1.3009837999999999E-2</v>
      </c>
      <c r="H33" s="97"/>
    </row>
    <row r="34" spans="1:8" x14ac:dyDescent="0.2">
      <c r="A34" s="5">
        <v>28</v>
      </c>
      <c r="B34" s="6" t="s">
        <v>606</v>
      </c>
      <c r="C34" s="6" t="s">
        <v>607</v>
      </c>
      <c r="D34" s="6" t="s">
        <v>19</v>
      </c>
      <c r="E34" s="7">
        <v>5096</v>
      </c>
      <c r="F34" s="8">
        <v>50.024884</v>
      </c>
      <c r="G34" s="9">
        <v>1.2892974999999999E-2</v>
      </c>
      <c r="H34" s="97"/>
    </row>
    <row r="35" spans="1:8" x14ac:dyDescent="0.2">
      <c r="A35" s="5">
        <v>29</v>
      </c>
      <c r="B35" s="6" t="s">
        <v>152</v>
      </c>
      <c r="C35" s="6" t="s">
        <v>153</v>
      </c>
      <c r="D35" s="6" t="s">
        <v>1184</v>
      </c>
      <c r="E35" s="7">
        <v>4196</v>
      </c>
      <c r="F35" s="8">
        <v>49.598818000000001</v>
      </c>
      <c r="G35" s="9">
        <v>1.2783164E-2</v>
      </c>
      <c r="H35" s="97"/>
    </row>
    <row r="36" spans="1:8" x14ac:dyDescent="0.2">
      <c r="A36" s="5">
        <v>30</v>
      </c>
      <c r="B36" s="6" t="s">
        <v>608</v>
      </c>
      <c r="C36" s="6" t="s">
        <v>609</v>
      </c>
      <c r="D36" s="6" t="s">
        <v>586</v>
      </c>
      <c r="E36" s="7">
        <v>4863</v>
      </c>
      <c r="F36" s="8">
        <v>49.057943999999999</v>
      </c>
      <c r="G36" s="9">
        <v>1.2643764E-2</v>
      </c>
      <c r="H36" s="97"/>
    </row>
    <row r="37" spans="1:8" x14ac:dyDescent="0.2">
      <c r="A37" s="5">
        <v>31</v>
      </c>
      <c r="B37" s="6" t="s">
        <v>578</v>
      </c>
      <c r="C37" s="6" t="s">
        <v>579</v>
      </c>
      <c r="D37" s="6" t="s">
        <v>70</v>
      </c>
      <c r="E37" s="7">
        <v>4749</v>
      </c>
      <c r="F37" s="8">
        <v>48.052756500000001</v>
      </c>
      <c r="G37" s="9">
        <v>1.2384696000000001E-2</v>
      </c>
      <c r="H37" s="97"/>
    </row>
    <row r="38" spans="1:8" x14ac:dyDescent="0.2">
      <c r="A38" s="5">
        <v>32</v>
      </c>
      <c r="B38" s="6" t="s">
        <v>191</v>
      </c>
      <c r="C38" s="6" t="s">
        <v>192</v>
      </c>
      <c r="D38" s="6" t="s">
        <v>193</v>
      </c>
      <c r="E38" s="7">
        <v>10421</v>
      </c>
      <c r="F38" s="8">
        <v>47.342602999999997</v>
      </c>
      <c r="G38" s="9">
        <v>1.2201666999999999E-2</v>
      </c>
      <c r="H38" s="97"/>
    </row>
    <row r="39" spans="1:8" x14ac:dyDescent="0.2">
      <c r="A39" s="5">
        <v>33</v>
      </c>
      <c r="B39" s="6" t="s">
        <v>186</v>
      </c>
      <c r="C39" s="6" t="s">
        <v>187</v>
      </c>
      <c r="D39" s="6" t="s">
        <v>19</v>
      </c>
      <c r="E39" s="7">
        <v>2370</v>
      </c>
      <c r="F39" s="8">
        <v>47.119154999999999</v>
      </c>
      <c r="G39" s="9">
        <v>1.2144078000000001E-2</v>
      </c>
      <c r="H39" s="97"/>
    </row>
    <row r="40" spans="1:8" ht="25.5" x14ac:dyDescent="0.2">
      <c r="A40" s="5">
        <v>34</v>
      </c>
      <c r="B40" s="6" t="s">
        <v>214</v>
      </c>
      <c r="C40" s="6" t="s">
        <v>215</v>
      </c>
      <c r="D40" s="6" t="s">
        <v>70</v>
      </c>
      <c r="E40" s="7">
        <v>2300</v>
      </c>
      <c r="F40" s="8">
        <v>45.434199999999997</v>
      </c>
      <c r="G40" s="9">
        <v>1.1709812E-2</v>
      </c>
      <c r="H40" s="97"/>
    </row>
    <row r="41" spans="1:8" x14ac:dyDescent="0.2">
      <c r="A41" s="5">
        <v>35</v>
      </c>
      <c r="B41" s="6" t="s">
        <v>556</v>
      </c>
      <c r="C41" s="6" t="s">
        <v>557</v>
      </c>
      <c r="D41" s="6" t="s">
        <v>48</v>
      </c>
      <c r="E41" s="7">
        <v>6024</v>
      </c>
      <c r="F41" s="8">
        <v>44.978195999999997</v>
      </c>
      <c r="G41" s="9">
        <v>1.1592286E-2</v>
      </c>
      <c r="H41" s="97"/>
    </row>
    <row r="42" spans="1:8" ht="25.5" x14ac:dyDescent="0.2">
      <c r="A42" s="5">
        <v>36</v>
      </c>
      <c r="B42" s="6" t="s">
        <v>200</v>
      </c>
      <c r="C42" s="6" t="s">
        <v>201</v>
      </c>
      <c r="D42" s="6" t="s">
        <v>202</v>
      </c>
      <c r="E42" s="7">
        <v>11014</v>
      </c>
      <c r="F42" s="8">
        <v>44.926105999999997</v>
      </c>
      <c r="G42" s="9">
        <v>1.1578860999999999E-2</v>
      </c>
      <c r="H42" s="97"/>
    </row>
    <row r="43" spans="1:8" x14ac:dyDescent="0.2">
      <c r="A43" s="5">
        <v>37</v>
      </c>
      <c r="B43" s="6" t="s">
        <v>282</v>
      </c>
      <c r="C43" s="6" t="s">
        <v>283</v>
      </c>
      <c r="D43" s="6" t="s">
        <v>284</v>
      </c>
      <c r="E43" s="7">
        <v>17729</v>
      </c>
      <c r="F43" s="8">
        <v>44.579570500000003</v>
      </c>
      <c r="G43" s="9">
        <v>1.1489548E-2</v>
      </c>
      <c r="H43" s="97"/>
    </row>
    <row r="44" spans="1:8" x14ac:dyDescent="0.2">
      <c r="A44" s="5">
        <v>38</v>
      </c>
      <c r="B44" s="6" t="s">
        <v>205</v>
      </c>
      <c r="C44" s="6" t="s">
        <v>206</v>
      </c>
      <c r="D44" s="6" t="s">
        <v>1187</v>
      </c>
      <c r="E44" s="7">
        <v>7308</v>
      </c>
      <c r="F44" s="8">
        <v>41.096538000000002</v>
      </c>
      <c r="G44" s="9">
        <v>1.0591860999999999E-2</v>
      </c>
      <c r="H44" s="97"/>
    </row>
    <row r="45" spans="1:8" x14ac:dyDescent="0.2">
      <c r="A45" s="5">
        <v>39</v>
      </c>
      <c r="B45" s="6" t="s">
        <v>296</v>
      </c>
      <c r="C45" s="6" t="s">
        <v>297</v>
      </c>
      <c r="D45" s="6" t="s">
        <v>19</v>
      </c>
      <c r="E45" s="7">
        <v>5737</v>
      </c>
      <c r="F45" s="8">
        <v>40.7011465</v>
      </c>
      <c r="G45" s="9">
        <v>1.0489956999999999E-2</v>
      </c>
      <c r="H45" s="97"/>
    </row>
    <row r="46" spans="1:8" x14ac:dyDescent="0.2">
      <c r="A46" s="5">
        <v>40</v>
      </c>
      <c r="B46" s="6" t="s">
        <v>188</v>
      </c>
      <c r="C46" s="6" t="s">
        <v>189</v>
      </c>
      <c r="D46" s="6" t="s">
        <v>190</v>
      </c>
      <c r="E46" s="7">
        <v>8758</v>
      </c>
      <c r="F46" s="8">
        <v>40.282420999999999</v>
      </c>
      <c r="G46" s="9">
        <v>1.0382038E-2</v>
      </c>
      <c r="H46" s="97"/>
    </row>
    <row r="47" spans="1:8" x14ac:dyDescent="0.2">
      <c r="A47" s="5">
        <v>41</v>
      </c>
      <c r="B47" s="6" t="s">
        <v>363</v>
      </c>
      <c r="C47" s="6" t="s">
        <v>364</v>
      </c>
      <c r="D47" s="6" t="s">
        <v>238</v>
      </c>
      <c r="E47" s="7">
        <v>1054</v>
      </c>
      <c r="F47" s="8">
        <v>39.926574000000002</v>
      </c>
      <c r="G47" s="9">
        <v>1.0290324999999999E-2</v>
      </c>
      <c r="H47" s="97"/>
    </row>
    <row r="48" spans="1:8" x14ac:dyDescent="0.2">
      <c r="A48" s="5">
        <v>42</v>
      </c>
      <c r="B48" s="6" t="s">
        <v>209</v>
      </c>
      <c r="C48" s="6" t="s">
        <v>210</v>
      </c>
      <c r="D48" s="6" t="s">
        <v>193</v>
      </c>
      <c r="E48" s="7">
        <v>7372</v>
      </c>
      <c r="F48" s="8">
        <v>39.727708</v>
      </c>
      <c r="G48" s="9">
        <v>1.0239071000000001E-2</v>
      </c>
      <c r="H48" s="97"/>
    </row>
    <row r="49" spans="1:8" x14ac:dyDescent="0.2">
      <c r="A49" s="5">
        <v>43</v>
      </c>
      <c r="B49" s="6" t="s">
        <v>267</v>
      </c>
      <c r="C49" s="6" t="s">
        <v>268</v>
      </c>
      <c r="D49" s="6" t="s">
        <v>19</v>
      </c>
      <c r="E49" s="7">
        <v>10500</v>
      </c>
      <c r="F49" s="8">
        <v>38.498249999999999</v>
      </c>
      <c r="G49" s="9">
        <v>9.9222010000000003E-3</v>
      </c>
      <c r="H49" s="97"/>
    </row>
    <row r="50" spans="1:8" x14ac:dyDescent="0.2">
      <c r="A50" s="5">
        <v>44</v>
      </c>
      <c r="B50" s="6" t="s">
        <v>614</v>
      </c>
      <c r="C50" s="6" t="s">
        <v>615</v>
      </c>
      <c r="D50" s="6" t="s">
        <v>193</v>
      </c>
      <c r="E50" s="7">
        <v>7193</v>
      </c>
      <c r="F50" s="8">
        <v>37.889127500000001</v>
      </c>
      <c r="G50" s="9">
        <v>9.7652109999999993E-3</v>
      </c>
      <c r="H50" s="97"/>
    </row>
    <row r="51" spans="1:8" x14ac:dyDescent="0.2">
      <c r="A51" s="5">
        <v>45</v>
      </c>
      <c r="B51" s="6" t="s">
        <v>218</v>
      </c>
      <c r="C51" s="6" t="s">
        <v>219</v>
      </c>
      <c r="D51" s="6" t="s">
        <v>193</v>
      </c>
      <c r="E51" s="7">
        <v>2084</v>
      </c>
      <c r="F51" s="8">
        <v>37.088948000000002</v>
      </c>
      <c r="G51" s="9">
        <v>9.5589799999999999E-3</v>
      </c>
      <c r="H51" s="97"/>
    </row>
    <row r="52" spans="1:8" x14ac:dyDescent="0.2">
      <c r="A52" s="5">
        <v>46</v>
      </c>
      <c r="B52" s="6" t="s">
        <v>222</v>
      </c>
      <c r="C52" s="6" t="s">
        <v>223</v>
      </c>
      <c r="D52" s="6" t="s">
        <v>70</v>
      </c>
      <c r="E52" s="7">
        <v>14021</v>
      </c>
      <c r="F52" s="8">
        <v>36.931314</v>
      </c>
      <c r="G52" s="9">
        <v>9.5183530000000002E-3</v>
      </c>
      <c r="H52" s="97"/>
    </row>
    <row r="53" spans="1:8" ht="25.5" x14ac:dyDescent="0.2">
      <c r="A53" s="5">
        <v>47</v>
      </c>
      <c r="B53" s="6" t="s">
        <v>211</v>
      </c>
      <c r="C53" s="6" t="s">
        <v>212</v>
      </c>
      <c r="D53" s="6" t="s">
        <v>202</v>
      </c>
      <c r="E53" s="7">
        <v>8180</v>
      </c>
      <c r="F53" s="8">
        <v>36.920430000000003</v>
      </c>
      <c r="G53" s="9">
        <v>9.5155480000000004E-3</v>
      </c>
      <c r="H53" s="97"/>
    </row>
    <row r="54" spans="1:8" ht="25.5" x14ac:dyDescent="0.2">
      <c r="A54" s="5">
        <v>48</v>
      </c>
      <c r="B54" s="6" t="s">
        <v>248</v>
      </c>
      <c r="C54" s="6" t="s">
        <v>249</v>
      </c>
      <c r="D54" s="6" t="s">
        <v>202</v>
      </c>
      <c r="E54" s="7">
        <v>8568</v>
      </c>
      <c r="F54" s="8">
        <v>36.77814</v>
      </c>
      <c r="G54" s="9">
        <v>9.4788749999999995E-3</v>
      </c>
      <c r="H54" s="97"/>
    </row>
    <row r="55" spans="1:8" x14ac:dyDescent="0.2">
      <c r="A55" s="5">
        <v>49</v>
      </c>
      <c r="B55" s="6" t="s">
        <v>30</v>
      </c>
      <c r="C55" s="6" t="s">
        <v>31</v>
      </c>
      <c r="D55" s="6" t="s">
        <v>19</v>
      </c>
      <c r="E55" s="7">
        <v>1047</v>
      </c>
      <c r="F55" s="8">
        <v>35.116903499999999</v>
      </c>
      <c r="G55" s="9">
        <v>9.0507230000000001E-3</v>
      </c>
      <c r="H55" s="97"/>
    </row>
    <row r="56" spans="1:8" x14ac:dyDescent="0.2">
      <c r="A56" s="5">
        <v>50</v>
      </c>
      <c r="B56" s="6" t="s">
        <v>216</v>
      </c>
      <c r="C56" s="6" t="s">
        <v>217</v>
      </c>
      <c r="D56" s="6" t="s">
        <v>1184</v>
      </c>
      <c r="E56" s="7">
        <v>2196</v>
      </c>
      <c r="F56" s="8">
        <v>34.758288</v>
      </c>
      <c r="G56" s="9">
        <v>8.9582959999999993E-3</v>
      </c>
      <c r="H56" s="97"/>
    </row>
    <row r="57" spans="1:8" x14ac:dyDescent="0.2">
      <c r="A57" s="5">
        <v>51</v>
      </c>
      <c r="B57" s="6" t="s">
        <v>236</v>
      </c>
      <c r="C57" s="6" t="s">
        <v>237</v>
      </c>
      <c r="D57" s="6" t="s">
        <v>238</v>
      </c>
      <c r="E57" s="7">
        <v>9322</v>
      </c>
      <c r="F57" s="8">
        <v>34.165129999999998</v>
      </c>
      <c r="G57" s="9">
        <v>8.8054210000000008E-3</v>
      </c>
      <c r="H57" s="97"/>
    </row>
    <row r="58" spans="1:8" x14ac:dyDescent="0.2">
      <c r="A58" s="5">
        <v>52</v>
      </c>
      <c r="B58" s="6" t="s">
        <v>175</v>
      </c>
      <c r="C58" s="6" t="s">
        <v>176</v>
      </c>
      <c r="D58" s="6" t="s">
        <v>16</v>
      </c>
      <c r="E58" s="7">
        <v>11386</v>
      </c>
      <c r="F58" s="8">
        <v>33.286971000000001</v>
      </c>
      <c r="G58" s="9">
        <v>8.579092E-3</v>
      </c>
      <c r="H58" s="97"/>
    </row>
    <row r="59" spans="1:8" x14ac:dyDescent="0.2">
      <c r="A59" s="5">
        <v>53</v>
      </c>
      <c r="B59" s="6" t="s">
        <v>271</v>
      </c>
      <c r="C59" s="6" t="s">
        <v>272</v>
      </c>
      <c r="D59" s="6" t="s">
        <v>19</v>
      </c>
      <c r="E59" s="7">
        <v>3044</v>
      </c>
      <c r="F59" s="8">
        <v>32.980218000000001</v>
      </c>
      <c r="G59" s="9">
        <v>8.5000319999999994E-3</v>
      </c>
      <c r="H59" s="97"/>
    </row>
    <row r="60" spans="1:8" x14ac:dyDescent="0.2">
      <c r="A60" s="5">
        <v>54</v>
      </c>
      <c r="B60" s="6" t="s">
        <v>170</v>
      </c>
      <c r="C60" s="6" t="s">
        <v>171</v>
      </c>
      <c r="D60" s="6" t="s">
        <v>70</v>
      </c>
      <c r="E60" s="7">
        <v>3383</v>
      </c>
      <c r="F60" s="8">
        <v>32.909824</v>
      </c>
      <c r="G60" s="9">
        <v>8.4818889999999994E-3</v>
      </c>
      <c r="H60" s="97"/>
    </row>
    <row r="61" spans="1:8" x14ac:dyDescent="0.2">
      <c r="A61" s="5">
        <v>55</v>
      </c>
      <c r="B61" s="6" t="s">
        <v>287</v>
      </c>
      <c r="C61" s="6" t="s">
        <v>288</v>
      </c>
      <c r="D61" s="6" t="s">
        <v>147</v>
      </c>
      <c r="E61" s="7">
        <v>2526</v>
      </c>
      <c r="F61" s="8">
        <v>32.752116000000001</v>
      </c>
      <c r="G61" s="9">
        <v>8.4412429999999993E-3</v>
      </c>
      <c r="H61" s="97"/>
    </row>
    <row r="62" spans="1:8" ht="25.5" x14ac:dyDescent="0.2">
      <c r="A62" s="5">
        <v>56</v>
      </c>
      <c r="B62" s="6" t="s">
        <v>207</v>
      </c>
      <c r="C62" s="6" t="s">
        <v>208</v>
      </c>
      <c r="D62" s="6" t="s">
        <v>45</v>
      </c>
      <c r="E62" s="7">
        <v>14626</v>
      </c>
      <c r="F62" s="8">
        <v>32.513598000000002</v>
      </c>
      <c r="G62" s="9">
        <v>8.3797699999999999E-3</v>
      </c>
      <c r="H62" s="97"/>
    </row>
    <row r="63" spans="1:8" x14ac:dyDescent="0.2">
      <c r="A63" s="5">
        <v>57</v>
      </c>
      <c r="B63" s="6" t="s">
        <v>259</v>
      </c>
      <c r="C63" s="6" t="s">
        <v>260</v>
      </c>
      <c r="D63" s="6" t="s">
        <v>34</v>
      </c>
      <c r="E63" s="7">
        <v>8109</v>
      </c>
      <c r="F63" s="8">
        <v>30.372259499999998</v>
      </c>
      <c r="G63" s="9">
        <v>7.8278800000000006E-3</v>
      </c>
      <c r="H63" s="97"/>
    </row>
    <row r="64" spans="1:8" ht="25.5" x14ac:dyDescent="0.2">
      <c r="A64" s="5">
        <v>58</v>
      </c>
      <c r="B64" s="6" t="s">
        <v>226</v>
      </c>
      <c r="C64" s="6" t="s">
        <v>227</v>
      </c>
      <c r="D64" s="6" t="s">
        <v>1191</v>
      </c>
      <c r="E64" s="7">
        <v>33148</v>
      </c>
      <c r="F64" s="8">
        <v>29.418849999999999</v>
      </c>
      <c r="G64" s="9">
        <v>7.5821559999999996E-3</v>
      </c>
      <c r="H64" s="97"/>
    </row>
    <row r="65" spans="1:8" x14ac:dyDescent="0.2">
      <c r="A65" s="5">
        <v>59</v>
      </c>
      <c r="B65" s="6" t="s">
        <v>239</v>
      </c>
      <c r="C65" s="6" t="s">
        <v>240</v>
      </c>
      <c r="D65" s="6" t="s">
        <v>25</v>
      </c>
      <c r="E65" s="7">
        <v>36717</v>
      </c>
      <c r="F65" s="8">
        <v>28.859562</v>
      </c>
      <c r="G65" s="9">
        <v>7.4380100000000001E-3</v>
      </c>
      <c r="H65" s="97"/>
    </row>
    <row r="66" spans="1:8" x14ac:dyDescent="0.2">
      <c r="A66" s="5">
        <v>60</v>
      </c>
      <c r="B66" s="6" t="s">
        <v>84</v>
      </c>
      <c r="C66" s="6" t="s">
        <v>85</v>
      </c>
      <c r="D66" s="6" t="s">
        <v>53</v>
      </c>
      <c r="E66" s="7">
        <v>5816</v>
      </c>
      <c r="F66" s="8">
        <v>28.515847999999998</v>
      </c>
      <c r="G66" s="9">
        <v>7.3494249999999997E-3</v>
      </c>
      <c r="H66" s="97"/>
    </row>
    <row r="67" spans="1:8" x14ac:dyDescent="0.2">
      <c r="A67" s="5">
        <v>61</v>
      </c>
      <c r="B67" s="6" t="s">
        <v>256</v>
      </c>
      <c r="C67" s="6" t="s">
        <v>257</v>
      </c>
      <c r="D67" s="6" t="s">
        <v>238</v>
      </c>
      <c r="E67" s="7">
        <v>4265</v>
      </c>
      <c r="F67" s="8">
        <v>26.641322500000001</v>
      </c>
      <c r="G67" s="9">
        <v>6.866301E-3</v>
      </c>
      <c r="H67" s="97"/>
    </row>
    <row r="68" spans="1:8" x14ac:dyDescent="0.2">
      <c r="A68" s="5">
        <v>62</v>
      </c>
      <c r="B68" s="6" t="s">
        <v>289</v>
      </c>
      <c r="C68" s="6" t="s">
        <v>290</v>
      </c>
      <c r="D68" s="6" t="s">
        <v>174</v>
      </c>
      <c r="E68" s="7">
        <v>3829</v>
      </c>
      <c r="F68" s="8">
        <v>24.697050000000001</v>
      </c>
      <c r="G68" s="9">
        <v>6.365201E-3</v>
      </c>
      <c r="H68" s="97"/>
    </row>
    <row r="69" spans="1:8" x14ac:dyDescent="0.2">
      <c r="A69" s="5">
        <v>63</v>
      </c>
      <c r="B69" s="6" t="s">
        <v>179</v>
      </c>
      <c r="C69" s="6" t="s">
        <v>180</v>
      </c>
      <c r="D69" s="6" t="s">
        <v>53</v>
      </c>
      <c r="E69" s="7">
        <v>24055</v>
      </c>
      <c r="F69" s="8">
        <v>24.187302500000001</v>
      </c>
      <c r="G69" s="9">
        <v>6.2338230000000003E-3</v>
      </c>
      <c r="H69" s="97"/>
    </row>
    <row r="70" spans="1:8" x14ac:dyDescent="0.2">
      <c r="A70" s="5">
        <v>64</v>
      </c>
      <c r="B70" s="6" t="s">
        <v>230</v>
      </c>
      <c r="C70" s="6" t="s">
        <v>231</v>
      </c>
      <c r="D70" s="6" t="s">
        <v>60</v>
      </c>
      <c r="E70" s="7">
        <v>2788</v>
      </c>
      <c r="F70" s="8">
        <v>23.385743999999999</v>
      </c>
      <c r="G70" s="9">
        <v>6.0272370000000004E-3</v>
      </c>
      <c r="H70" s="97"/>
    </row>
    <row r="71" spans="1:8" x14ac:dyDescent="0.2">
      <c r="A71" s="5">
        <v>65</v>
      </c>
      <c r="B71" s="6" t="s">
        <v>610</v>
      </c>
      <c r="C71" s="6" t="s">
        <v>611</v>
      </c>
      <c r="D71" s="6" t="s">
        <v>81</v>
      </c>
      <c r="E71" s="7">
        <v>3781</v>
      </c>
      <c r="F71" s="8">
        <v>22.604708500000001</v>
      </c>
      <c r="G71" s="9">
        <v>5.8259389999999996E-3</v>
      </c>
      <c r="H71" s="97"/>
    </row>
    <row r="72" spans="1:8" x14ac:dyDescent="0.2">
      <c r="A72" s="5">
        <v>66</v>
      </c>
      <c r="B72" s="6" t="s">
        <v>245</v>
      </c>
      <c r="C72" s="6" t="s">
        <v>246</v>
      </c>
      <c r="D72" s="6" t="s">
        <v>247</v>
      </c>
      <c r="E72" s="7">
        <v>10365</v>
      </c>
      <c r="F72" s="8">
        <v>22.595700000000001</v>
      </c>
      <c r="G72" s="9">
        <v>5.823618E-3</v>
      </c>
      <c r="H72" s="97"/>
    </row>
    <row r="73" spans="1:8" x14ac:dyDescent="0.2">
      <c r="A73" s="5">
        <v>67</v>
      </c>
      <c r="B73" s="6" t="s">
        <v>232</v>
      </c>
      <c r="C73" s="6" t="s">
        <v>233</v>
      </c>
      <c r="D73" s="6" t="s">
        <v>193</v>
      </c>
      <c r="E73" s="7">
        <v>411</v>
      </c>
      <c r="F73" s="8">
        <v>21.940823999999999</v>
      </c>
      <c r="G73" s="9">
        <v>5.6548359999999999E-3</v>
      </c>
      <c r="H73" s="97"/>
    </row>
    <row r="74" spans="1:8" x14ac:dyDescent="0.2">
      <c r="A74" s="5">
        <v>68</v>
      </c>
      <c r="B74" s="6" t="s">
        <v>241</v>
      </c>
      <c r="C74" s="6" t="s">
        <v>242</v>
      </c>
      <c r="D74" s="6" t="s">
        <v>147</v>
      </c>
      <c r="E74" s="7">
        <v>3956</v>
      </c>
      <c r="F74" s="8">
        <v>18.707923999999998</v>
      </c>
      <c r="G74" s="9">
        <v>4.8216159999999999E-3</v>
      </c>
      <c r="H74" s="97"/>
    </row>
    <row r="75" spans="1:8" x14ac:dyDescent="0.2">
      <c r="A75" s="5">
        <v>69</v>
      </c>
      <c r="B75" s="6" t="s">
        <v>298</v>
      </c>
      <c r="C75" s="6" t="s">
        <v>299</v>
      </c>
      <c r="D75" s="6" t="s">
        <v>1187</v>
      </c>
      <c r="E75" s="7">
        <v>47427</v>
      </c>
      <c r="F75" s="8">
        <v>18.49653</v>
      </c>
      <c r="G75" s="9">
        <v>4.7671329999999998E-3</v>
      </c>
      <c r="H75" s="97"/>
    </row>
    <row r="76" spans="1:8" x14ac:dyDescent="0.2">
      <c r="A76" s="5">
        <v>70</v>
      </c>
      <c r="B76" s="6" t="s">
        <v>250</v>
      </c>
      <c r="C76" s="6" t="s">
        <v>251</v>
      </c>
      <c r="D76" s="6" t="s">
        <v>193</v>
      </c>
      <c r="E76" s="7">
        <v>6683</v>
      </c>
      <c r="F76" s="8">
        <v>18.4417385</v>
      </c>
      <c r="G76" s="9">
        <v>4.753012E-3</v>
      </c>
      <c r="H76" s="97"/>
    </row>
    <row r="77" spans="1:8" x14ac:dyDescent="0.2">
      <c r="A77" s="5">
        <v>71</v>
      </c>
      <c r="B77" s="6" t="s">
        <v>92</v>
      </c>
      <c r="C77" s="6" t="s">
        <v>93</v>
      </c>
      <c r="D77" s="6" t="s">
        <v>53</v>
      </c>
      <c r="E77" s="7">
        <v>21125</v>
      </c>
      <c r="F77" s="8">
        <v>18.178062499999999</v>
      </c>
      <c r="G77" s="9">
        <v>4.6850540000000001E-3</v>
      </c>
      <c r="H77" s="97"/>
    </row>
    <row r="78" spans="1:8" x14ac:dyDescent="0.2">
      <c r="A78" s="5">
        <v>72</v>
      </c>
      <c r="B78" s="6" t="s">
        <v>243</v>
      </c>
      <c r="C78" s="6" t="s">
        <v>244</v>
      </c>
      <c r="D78" s="6" t="s">
        <v>185</v>
      </c>
      <c r="E78" s="7">
        <v>3145</v>
      </c>
      <c r="F78" s="8">
        <v>17.376124999999998</v>
      </c>
      <c r="G78" s="9">
        <v>4.4783699999999997E-3</v>
      </c>
      <c r="H78" s="97"/>
    </row>
    <row r="79" spans="1:8" x14ac:dyDescent="0.2">
      <c r="A79" s="5">
        <v>73</v>
      </c>
      <c r="B79" s="6" t="s">
        <v>228</v>
      </c>
      <c r="C79" s="6" t="s">
        <v>229</v>
      </c>
      <c r="D79" s="6" t="s">
        <v>327</v>
      </c>
      <c r="E79" s="7">
        <v>2029</v>
      </c>
      <c r="F79" s="8">
        <v>17.212007</v>
      </c>
      <c r="G79" s="9">
        <v>4.4360720000000001E-3</v>
      </c>
      <c r="H79" s="97"/>
    </row>
    <row r="80" spans="1:8" x14ac:dyDescent="0.2">
      <c r="A80" s="5">
        <v>74</v>
      </c>
      <c r="B80" s="6" t="s">
        <v>254</v>
      </c>
      <c r="C80" s="6" t="s">
        <v>255</v>
      </c>
      <c r="D80" s="6" t="s">
        <v>185</v>
      </c>
      <c r="E80" s="7">
        <v>982</v>
      </c>
      <c r="F80" s="8">
        <v>10.240296000000001</v>
      </c>
      <c r="G80" s="9">
        <v>2.6392439999999998E-3</v>
      </c>
      <c r="H80" s="97"/>
    </row>
    <row r="81" spans="1:8" x14ac:dyDescent="0.2">
      <c r="A81" s="3"/>
      <c r="B81" s="3"/>
      <c r="C81" s="4" t="s">
        <v>97</v>
      </c>
      <c r="D81" s="3"/>
      <c r="E81" s="3" t="s">
        <v>98</v>
      </c>
      <c r="F81" s="11">
        <v>3729.7039159999999</v>
      </c>
      <c r="G81" s="12">
        <v>0.96126117700000002</v>
      </c>
      <c r="H81" s="97"/>
    </row>
    <row r="82" spans="1:8" x14ac:dyDescent="0.2">
      <c r="A82" s="3"/>
      <c r="B82" s="3"/>
      <c r="C82" s="13"/>
      <c r="D82" s="3"/>
      <c r="E82" s="3"/>
      <c r="F82" s="14"/>
      <c r="G82" s="14"/>
      <c r="H82" s="97"/>
    </row>
    <row r="83" spans="1:8" x14ac:dyDescent="0.2">
      <c r="A83" s="3"/>
      <c r="B83" s="3"/>
      <c r="C83" s="4" t="s">
        <v>99</v>
      </c>
      <c r="D83" s="3"/>
      <c r="E83" s="3"/>
      <c r="F83" s="3"/>
      <c r="G83" s="3"/>
      <c r="H83" s="97"/>
    </row>
    <row r="84" spans="1:8" x14ac:dyDescent="0.2">
      <c r="A84" s="3"/>
      <c r="B84" s="3"/>
      <c r="C84" s="4" t="s">
        <v>97</v>
      </c>
      <c r="D84" s="3"/>
      <c r="E84" s="3" t="s">
        <v>98</v>
      </c>
      <c r="F84" s="15">
        <v>0</v>
      </c>
      <c r="G84" s="16">
        <v>0</v>
      </c>
      <c r="H84" s="97"/>
    </row>
    <row r="85" spans="1:8" x14ac:dyDescent="0.2">
      <c r="A85" s="3"/>
      <c r="B85" s="3"/>
      <c r="C85" s="13"/>
      <c r="D85" s="3"/>
      <c r="E85" s="3"/>
      <c r="F85" s="14"/>
      <c r="G85" s="14"/>
      <c r="H85" s="97"/>
    </row>
    <row r="86" spans="1:8" x14ac:dyDescent="0.2">
      <c r="A86" s="3"/>
      <c r="B86" s="3"/>
      <c r="C86" s="4" t="s">
        <v>100</v>
      </c>
      <c r="D86" s="3"/>
      <c r="E86" s="3"/>
      <c r="F86" s="3"/>
      <c r="G86" s="3"/>
      <c r="H86" s="97"/>
    </row>
    <row r="87" spans="1:8" x14ac:dyDescent="0.2">
      <c r="A87" s="3"/>
      <c r="B87" s="3"/>
      <c r="C87" s="4" t="s">
        <v>97</v>
      </c>
      <c r="D87" s="3"/>
      <c r="E87" s="3" t="s">
        <v>98</v>
      </c>
      <c r="F87" s="15">
        <v>0</v>
      </c>
      <c r="G87" s="16">
        <v>0</v>
      </c>
      <c r="H87" s="97"/>
    </row>
    <row r="88" spans="1:8" x14ac:dyDescent="0.2">
      <c r="A88" s="3"/>
      <c r="B88" s="3"/>
      <c r="C88" s="13"/>
      <c r="D88" s="3"/>
      <c r="E88" s="3"/>
      <c r="F88" s="14"/>
      <c r="G88" s="14"/>
      <c r="H88" s="97"/>
    </row>
    <row r="89" spans="1:8" x14ac:dyDescent="0.2">
      <c r="A89" s="3"/>
      <c r="B89" s="3"/>
      <c r="C89" s="4" t="s">
        <v>101</v>
      </c>
      <c r="D89" s="3"/>
      <c r="E89" s="3"/>
      <c r="F89" s="3"/>
      <c r="G89" s="3"/>
      <c r="H89" s="97"/>
    </row>
    <row r="90" spans="1:8" x14ac:dyDescent="0.2">
      <c r="A90" s="3"/>
      <c r="B90" s="3"/>
      <c r="C90" s="4" t="s">
        <v>97</v>
      </c>
      <c r="D90" s="3"/>
      <c r="E90" s="3" t="s">
        <v>98</v>
      </c>
      <c r="F90" s="15">
        <v>0</v>
      </c>
      <c r="G90" s="16">
        <v>0</v>
      </c>
      <c r="H90" s="97"/>
    </row>
    <row r="91" spans="1:8" x14ac:dyDescent="0.2">
      <c r="A91" s="3"/>
      <c r="B91" s="3"/>
      <c r="C91" s="13"/>
      <c r="D91" s="3"/>
      <c r="E91" s="3"/>
      <c r="F91" s="14"/>
      <c r="G91" s="14"/>
      <c r="H91" s="97"/>
    </row>
    <row r="92" spans="1:8" x14ac:dyDescent="0.2">
      <c r="A92" s="3"/>
      <c r="B92" s="3"/>
      <c r="C92" s="4" t="s">
        <v>102</v>
      </c>
      <c r="D92" s="3"/>
      <c r="E92" s="3"/>
      <c r="F92" s="14"/>
      <c r="G92" s="14"/>
      <c r="H92" s="97"/>
    </row>
    <row r="93" spans="1:8" x14ac:dyDescent="0.2">
      <c r="A93" s="3"/>
      <c r="B93" s="3"/>
      <c r="C93" s="4" t="s">
        <v>97</v>
      </c>
      <c r="D93" s="3"/>
      <c r="E93" s="3" t="s">
        <v>98</v>
      </c>
      <c r="F93" s="15">
        <v>0</v>
      </c>
      <c r="G93" s="16">
        <v>0</v>
      </c>
      <c r="H93" s="97"/>
    </row>
    <row r="94" spans="1:8" x14ac:dyDescent="0.2">
      <c r="A94" s="3"/>
      <c r="B94" s="3"/>
      <c r="C94" s="13"/>
      <c r="D94" s="3"/>
      <c r="E94" s="3"/>
      <c r="F94" s="14"/>
      <c r="G94" s="14"/>
      <c r="H94" s="97"/>
    </row>
    <row r="95" spans="1:8" x14ac:dyDescent="0.2">
      <c r="A95" s="3"/>
      <c r="B95" s="3"/>
      <c r="C95" s="4" t="s">
        <v>103</v>
      </c>
      <c r="D95" s="3"/>
      <c r="E95" s="3"/>
      <c r="F95" s="14"/>
      <c r="G95" s="14"/>
      <c r="H95" s="97"/>
    </row>
    <row r="96" spans="1:8" x14ac:dyDescent="0.2">
      <c r="A96" s="3"/>
      <c r="B96" s="3"/>
      <c r="C96" s="4" t="s">
        <v>97</v>
      </c>
      <c r="D96" s="3"/>
      <c r="E96" s="3" t="s">
        <v>98</v>
      </c>
      <c r="F96" s="15">
        <v>0</v>
      </c>
      <c r="G96" s="16">
        <v>0</v>
      </c>
      <c r="H96" s="97"/>
    </row>
    <row r="97" spans="1:8" x14ac:dyDescent="0.2">
      <c r="A97" s="3"/>
      <c r="B97" s="3"/>
      <c r="C97" s="13"/>
      <c r="D97" s="3"/>
      <c r="E97" s="3"/>
      <c r="F97" s="14"/>
      <c r="G97" s="14"/>
      <c r="H97" s="97"/>
    </row>
    <row r="98" spans="1:8" x14ac:dyDescent="0.2">
      <c r="A98" s="3"/>
      <c r="B98" s="3"/>
      <c r="C98" s="4" t="s">
        <v>104</v>
      </c>
      <c r="D98" s="3"/>
      <c r="E98" s="3"/>
      <c r="F98" s="11">
        <v>3729.7039159999999</v>
      </c>
      <c r="G98" s="12">
        <v>0.96126117700000002</v>
      </c>
      <c r="H98" s="97"/>
    </row>
    <row r="99" spans="1:8" x14ac:dyDescent="0.2">
      <c r="A99" s="3"/>
      <c r="B99" s="3"/>
      <c r="C99" s="13"/>
      <c r="D99" s="3"/>
      <c r="E99" s="3"/>
      <c r="F99" s="14"/>
      <c r="G99" s="14"/>
      <c r="H99" s="97"/>
    </row>
    <row r="100" spans="1:8" x14ac:dyDescent="0.2">
      <c r="A100" s="3"/>
      <c r="B100" s="3"/>
      <c r="C100" s="4" t="s">
        <v>105</v>
      </c>
      <c r="D100" s="3"/>
      <c r="E100" s="3"/>
      <c r="F100" s="14"/>
      <c r="G100" s="14"/>
      <c r="H100" s="97"/>
    </row>
    <row r="101" spans="1:8" ht="25.5" x14ac:dyDescent="0.2">
      <c r="A101" s="3"/>
      <c r="B101" s="3"/>
      <c r="C101" s="4" t="s">
        <v>10</v>
      </c>
      <c r="D101" s="3"/>
      <c r="E101" s="3"/>
      <c r="F101" s="14"/>
      <c r="G101" s="14"/>
      <c r="H101" s="97"/>
    </row>
    <row r="102" spans="1:8" x14ac:dyDescent="0.2">
      <c r="A102" s="3"/>
      <c r="B102" s="3"/>
      <c r="C102" s="4" t="s">
        <v>97</v>
      </c>
      <c r="D102" s="3"/>
      <c r="E102" s="3" t="s">
        <v>98</v>
      </c>
      <c r="F102" s="15">
        <v>0</v>
      </c>
      <c r="G102" s="16">
        <v>0</v>
      </c>
      <c r="H102" s="97"/>
    </row>
    <row r="103" spans="1:8" x14ac:dyDescent="0.2">
      <c r="A103" s="3"/>
      <c r="B103" s="3"/>
      <c r="C103" s="13"/>
      <c r="D103" s="3"/>
      <c r="E103" s="3"/>
      <c r="F103" s="14"/>
      <c r="G103" s="14"/>
      <c r="H103" s="97"/>
    </row>
    <row r="104" spans="1:8" x14ac:dyDescent="0.2">
      <c r="A104" s="3"/>
      <c r="B104" s="3"/>
      <c r="C104" s="4" t="s">
        <v>106</v>
      </c>
      <c r="D104" s="3"/>
      <c r="E104" s="3"/>
      <c r="F104" s="3"/>
      <c r="G104" s="3"/>
      <c r="H104" s="97"/>
    </row>
    <row r="105" spans="1:8" x14ac:dyDescent="0.2">
      <c r="A105" s="3"/>
      <c r="B105" s="3"/>
      <c r="C105" s="4" t="s">
        <v>97</v>
      </c>
      <c r="D105" s="3"/>
      <c r="E105" s="3" t="s">
        <v>98</v>
      </c>
      <c r="F105" s="15">
        <v>0</v>
      </c>
      <c r="G105" s="16">
        <v>0</v>
      </c>
      <c r="H105" s="97"/>
    </row>
    <row r="106" spans="1:8" x14ac:dyDescent="0.2">
      <c r="A106" s="3"/>
      <c r="B106" s="3"/>
      <c r="C106" s="13"/>
      <c r="D106" s="3"/>
      <c r="E106" s="3"/>
      <c r="F106" s="14"/>
      <c r="G106" s="14"/>
      <c r="H106" s="97"/>
    </row>
    <row r="107" spans="1:8" x14ac:dyDescent="0.2">
      <c r="A107" s="3"/>
      <c r="B107" s="3"/>
      <c r="C107" s="4" t="s">
        <v>107</v>
      </c>
      <c r="D107" s="3"/>
      <c r="E107" s="3"/>
      <c r="F107" s="3"/>
      <c r="G107" s="3"/>
      <c r="H107" s="97"/>
    </row>
    <row r="108" spans="1:8" x14ac:dyDescent="0.2">
      <c r="A108" s="3"/>
      <c r="B108" s="3"/>
      <c r="C108" s="4" t="s">
        <v>97</v>
      </c>
      <c r="D108" s="3"/>
      <c r="E108" s="3" t="s">
        <v>98</v>
      </c>
      <c r="F108" s="15">
        <v>0</v>
      </c>
      <c r="G108" s="16">
        <v>0</v>
      </c>
      <c r="H108" s="97"/>
    </row>
    <row r="109" spans="1:8" x14ac:dyDescent="0.2">
      <c r="A109" s="3"/>
      <c r="B109" s="3"/>
      <c r="C109" s="13"/>
      <c r="D109" s="3"/>
      <c r="E109" s="3"/>
      <c r="F109" s="14"/>
      <c r="G109" s="14"/>
      <c r="H109" s="97"/>
    </row>
    <row r="110" spans="1:8" x14ac:dyDescent="0.2">
      <c r="A110" s="3"/>
      <c r="B110" s="3"/>
      <c r="C110" s="4" t="s">
        <v>108</v>
      </c>
      <c r="D110" s="3"/>
      <c r="E110" s="3"/>
      <c r="F110" s="14"/>
      <c r="G110" s="14"/>
      <c r="H110" s="97"/>
    </row>
    <row r="111" spans="1:8" x14ac:dyDescent="0.2">
      <c r="A111" s="3"/>
      <c r="B111" s="3"/>
      <c r="C111" s="4" t="s">
        <v>97</v>
      </c>
      <c r="D111" s="3"/>
      <c r="E111" s="3" t="s">
        <v>98</v>
      </c>
      <c r="F111" s="15">
        <v>0</v>
      </c>
      <c r="G111" s="16">
        <v>0</v>
      </c>
      <c r="H111" s="97"/>
    </row>
    <row r="112" spans="1:8" x14ac:dyDescent="0.2">
      <c r="A112" s="3"/>
      <c r="B112" s="3"/>
      <c r="C112" s="13"/>
      <c r="D112" s="3"/>
      <c r="E112" s="3"/>
      <c r="F112" s="14"/>
      <c r="G112" s="14"/>
      <c r="H112" s="97"/>
    </row>
    <row r="113" spans="1:8" x14ac:dyDescent="0.2">
      <c r="A113" s="3"/>
      <c r="B113" s="3"/>
      <c r="C113" s="4" t="s">
        <v>109</v>
      </c>
      <c r="D113" s="3"/>
      <c r="E113" s="3"/>
      <c r="F113" s="11">
        <v>0</v>
      </c>
      <c r="G113" s="12">
        <v>0</v>
      </c>
      <c r="H113" s="97"/>
    </row>
    <row r="114" spans="1:8" x14ac:dyDescent="0.2">
      <c r="A114" s="3"/>
      <c r="B114" s="3"/>
      <c r="C114" s="13"/>
      <c r="D114" s="3"/>
      <c r="E114" s="3"/>
      <c r="F114" s="14"/>
      <c r="G114" s="14"/>
      <c r="H114" s="97"/>
    </row>
    <row r="115" spans="1:8" x14ac:dyDescent="0.2">
      <c r="A115" s="3"/>
      <c r="B115" s="3"/>
      <c r="C115" s="4" t="s">
        <v>110</v>
      </c>
      <c r="D115" s="3"/>
      <c r="E115" s="3"/>
      <c r="F115" s="14"/>
      <c r="G115" s="14"/>
      <c r="H115" s="97"/>
    </row>
    <row r="116" spans="1:8" x14ac:dyDescent="0.2">
      <c r="A116" s="3"/>
      <c r="B116" s="3"/>
      <c r="C116" s="4" t="s">
        <v>111</v>
      </c>
      <c r="D116" s="3"/>
      <c r="E116" s="3"/>
      <c r="F116" s="14"/>
      <c r="G116" s="14"/>
      <c r="H116" s="97"/>
    </row>
    <row r="117" spans="1:8" x14ac:dyDescent="0.2">
      <c r="A117" s="3"/>
      <c r="B117" s="3"/>
      <c r="C117" s="4" t="s">
        <v>97</v>
      </c>
      <c r="D117" s="3"/>
      <c r="E117" s="3" t="s">
        <v>98</v>
      </c>
      <c r="F117" s="15">
        <v>0</v>
      </c>
      <c r="G117" s="16">
        <v>0</v>
      </c>
      <c r="H117" s="97"/>
    </row>
    <row r="118" spans="1:8" x14ac:dyDescent="0.2">
      <c r="A118" s="3"/>
      <c r="B118" s="3"/>
      <c r="C118" s="13"/>
      <c r="D118" s="3"/>
      <c r="E118" s="3"/>
      <c r="F118" s="14"/>
      <c r="G118" s="14"/>
      <c r="H118" s="97"/>
    </row>
    <row r="119" spans="1:8" x14ac:dyDescent="0.2">
      <c r="A119" s="3"/>
      <c r="B119" s="3"/>
      <c r="C119" s="4" t="s">
        <v>112</v>
      </c>
      <c r="D119" s="3"/>
      <c r="E119" s="3"/>
      <c r="F119" s="14"/>
      <c r="G119" s="14"/>
      <c r="H119" s="97"/>
    </row>
    <row r="120" spans="1:8" x14ac:dyDescent="0.2">
      <c r="A120" s="3"/>
      <c r="B120" s="3"/>
      <c r="C120" s="4" t="s">
        <v>97</v>
      </c>
      <c r="D120" s="3"/>
      <c r="E120" s="3" t="s">
        <v>98</v>
      </c>
      <c r="F120" s="15">
        <v>0</v>
      </c>
      <c r="G120" s="16">
        <v>0</v>
      </c>
      <c r="H120" s="97"/>
    </row>
    <row r="121" spans="1:8" x14ac:dyDescent="0.2">
      <c r="A121" s="3"/>
      <c r="B121" s="3"/>
      <c r="C121" s="13"/>
      <c r="D121" s="3"/>
      <c r="E121" s="3"/>
      <c r="F121" s="14"/>
      <c r="G121" s="14"/>
      <c r="H121" s="97"/>
    </row>
    <row r="122" spans="1:8" x14ac:dyDescent="0.2">
      <c r="A122" s="3"/>
      <c r="B122" s="3"/>
      <c r="C122" s="4" t="s">
        <v>113</v>
      </c>
      <c r="D122" s="3"/>
      <c r="E122" s="3"/>
      <c r="F122" s="14"/>
      <c r="G122" s="14"/>
      <c r="H122" s="97"/>
    </row>
    <row r="123" spans="1:8" x14ac:dyDescent="0.2">
      <c r="A123" s="3"/>
      <c r="B123" s="3"/>
      <c r="C123" s="4" t="s">
        <v>97</v>
      </c>
      <c r="D123" s="3"/>
      <c r="E123" s="3" t="s">
        <v>98</v>
      </c>
      <c r="F123" s="15">
        <v>0</v>
      </c>
      <c r="G123" s="16">
        <v>0</v>
      </c>
      <c r="H123" s="97"/>
    </row>
    <row r="124" spans="1:8" x14ac:dyDescent="0.2">
      <c r="A124" s="3"/>
      <c r="B124" s="3"/>
      <c r="C124" s="13"/>
      <c r="D124" s="3"/>
      <c r="E124" s="3"/>
      <c r="F124" s="14"/>
      <c r="G124" s="14"/>
      <c r="H124" s="97"/>
    </row>
    <row r="125" spans="1:8" x14ac:dyDescent="0.2">
      <c r="A125" s="3"/>
      <c r="B125" s="3"/>
      <c r="C125" s="4" t="s">
        <v>114</v>
      </c>
      <c r="D125" s="3"/>
      <c r="E125" s="3"/>
      <c r="F125" s="14"/>
      <c r="G125" s="14"/>
      <c r="H125" s="97"/>
    </row>
    <row r="126" spans="1:8" x14ac:dyDescent="0.2">
      <c r="A126" s="5">
        <v>1</v>
      </c>
      <c r="B126" s="6"/>
      <c r="C126" s="6" t="s">
        <v>115</v>
      </c>
      <c r="D126" s="6"/>
      <c r="E126" s="10"/>
      <c r="F126" s="8">
        <v>95.892104599999996</v>
      </c>
      <c r="G126" s="9">
        <v>2.4714389999999999E-2</v>
      </c>
      <c r="H126" s="8">
        <v>3.4504560529072292</v>
      </c>
    </row>
    <row r="127" spans="1:8" x14ac:dyDescent="0.2">
      <c r="A127" s="5">
        <v>2</v>
      </c>
      <c r="B127" s="6"/>
      <c r="C127" s="6" t="s">
        <v>116</v>
      </c>
      <c r="D127" s="6"/>
      <c r="E127" s="10"/>
      <c r="F127" s="8">
        <v>51.753672399999999</v>
      </c>
      <c r="G127" s="9">
        <v>1.3338538E-2</v>
      </c>
      <c r="H127" s="8">
        <v>3.5655822479098256</v>
      </c>
    </row>
    <row r="128" spans="1:8" x14ac:dyDescent="0.2">
      <c r="A128" s="3"/>
      <c r="B128" s="3"/>
      <c r="C128" s="4" t="s">
        <v>97</v>
      </c>
      <c r="D128" s="3"/>
      <c r="E128" s="3" t="s">
        <v>98</v>
      </c>
      <c r="F128" s="11">
        <v>147.64577700000001</v>
      </c>
      <c r="G128" s="12">
        <v>3.8052928E-2</v>
      </c>
      <c r="H128" s="97"/>
    </row>
    <row r="129" spans="1:8" x14ac:dyDescent="0.2">
      <c r="A129" s="3"/>
      <c r="B129" s="3"/>
      <c r="C129" s="13"/>
      <c r="D129" s="3"/>
      <c r="E129" s="3"/>
      <c r="F129" s="14"/>
      <c r="G129" s="14"/>
      <c r="H129" s="97"/>
    </row>
    <row r="130" spans="1:8" x14ac:dyDescent="0.2">
      <c r="A130" s="3"/>
      <c r="B130" s="3"/>
      <c r="C130" s="4" t="s">
        <v>117</v>
      </c>
      <c r="D130" s="3"/>
      <c r="E130" s="3"/>
      <c r="F130" s="11">
        <v>147.64577700000001</v>
      </c>
      <c r="G130" s="12">
        <v>3.8052928E-2</v>
      </c>
      <c r="H130" s="97"/>
    </row>
    <row r="131" spans="1:8" x14ac:dyDescent="0.2">
      <c r="A131" s="3"/>
      <c r="B131" s="3"/>
      <c r="C131" s="14"/>
      <c r="D131" s="3"/>
      <c r="E131" s="3"/>
      <c r="F131" s="3"/>
      <c r="G131" s="3"/>
      <c r="H131" s="97"/>
    </row>
    <row r="132" spans="1:8" x14ac:dyDescent="0.2">
      <c r="A132" s="3"/>
      <c r="B132" s="3"/>
      <c r="C132" s="4" t="s">
        <v>118</v>
      </c>
      <c r="D132" s="3"/>
      <c r="E132" s="3"/>
      <c r="F132" s="3"/>
      <c r="G132" s="3"/>
      <c r="H132" s="97"/>
    </row>
    <row r="133" spans="1:8" x14ac:dyDescent="0.2">
      <c r="A133" s="3"/>
      <c r="B133" s="3"/>
      <c r="C133" s="4" t="s">
        <v>119</v>
      </c>
      <c r="D133" s="3"/>
      <c r="E133" s="3"/>
      <c r="F133" s="3"/>
      <c r="G133" s="3"/>
      <c r="H133" s="97"/>
    </row>
    <row r="134" spans="1:8" x14ac:dyDescent="0.2">
      <c r="A134" s="3"/>
      <c r="B134" s="3"/>
      <c r="C134" s="4" t="s">
        <v>97</v>
      </c>
      <c r="D134" s="3"/>
      <c r="E134" s="3" t="s">
        <v>98</v>
      </c>
      <c r="F134" s="15">
        <v>0</v>
      </c>
      <c r="G134" s="16">
        <v>0</v>
      </c>
      <c r="H134" s="97"/>
    </row>
    <row r="135" spans="1:8" x14ac:dyDescent="0.2">
      <c r="A135" s="3"/>
      <c r="B135" s="3"/>
      <c r="C135" s="13"/>
      <c r="D135" s="3"/>
      <c r="E135" s="3"/>
      <c r="F135" s="14"/>
      <c r="G135" s="14"/>
      <c r="H135" s="97"/>
    </row>
    <row r="136" spans="1:8" x14ac:dyDescent="0.2">
      <c r="A136" s="3"/>
      <c r="B136" s="3"/>
      <c r="C136" s="4" t="s">
        <v>120</v>
      </c>
      <c r="D136" s="3"/>
      <c r="E136" s="3"/>
      <c r="F136" s="3"/>
      <c r="G136" s="3"/>
      <c r="H136" s="97"/>
    </row>
    <row r="137" spans="1:8" x14ac:dyDescent="0.2">
      <c r="A137" s="3"/>
      <c r="B137" s="3"/>
      <c r="C137" s="4" t="s">
        <v>121</v>
      </c>
      <c r="D137" s="3"/>
      <c r="E137" s="3"/>
      <c r="F137" s="3"/>
      <c r="G137" s="3"/>
      <c r="H137" s="97"/>
    </row>
    <row r="138" spans="1:8" x14ac:dyDescent="0.2">
      <c r="A138" s="3"/>
      <c r="B138" s="3"/>
      <c r="C138" s="4" t="s">
        <v>97</v>
      </c>
      <c r="D138" s="3"/>
      <c r="E138" s="3" t="s">
        <v>98</v>
      </c>
      <c r="F138" s="15">
        <v>0</v>
      </c>
      <c r="G138" s="16">
        <v>0</v>
      </c>
      <c r="H138" s="97"/>
    </row>
    <row r="139" spans="1:8" x14ac:dyDescent="0.2">
      <c r="A139" s="3"/>
      <c r="B139" s="3"/>
      <c r="C139" s="13"/>
      <c r="D139" s="3"/>
      <c r="E139" s="3"/>
      <c r="F139" s="14"/>
      <c r="G139" s="14"/>
      <c r="H139" s="97"/>
    </row>
    <row r="140" spans="1:8" x14ac:dyDescent="0.2">
      <c r="A140" s="3"/>
      <c r="B140" s="3"/>
      <c r="C140" s="13"/>
      <c r="D140" s="3"/>
      <c r="E140" s="3"/>
      <c r="F140" s="14"/>
      <c r="G140" s="14"/>
      <c r="H140" s="97"/>
    </row>
    <row r="141" spans="1:8" ht="25.5" x14ac:dyDescent="0.2">
      <c r="A141" s="3"/>
      <c r="B141" s="3"/>
      <c r="C141" s="4" t="s">
        <v>122</v>
      </c>
      <c r="D141" s="3"/>
      <c r="E141" s="3"/>
      <c r="F141" s="14"/>
      <c r="G141" s="14"/>
      <c r="H141" s="97"/>
    </row>
    <row r="142" spans="1:8" x14ac:dyDescent="0.2">
      <c r="A142" s="3"/>
      <c r="B142" s="3"/>
      <c r="C142" s="4" t="s">
        <v>97</v>
      </c>
      <c r="D142" s="3"/>
      <c r="E142" s="3" t="s">
        <v>98</v>
      </c>
      <c r="F142" s="15">
        <v>0</v>
      </c>
      <c r="G142" s="16">
        <v>0</v>
      </c>
      <c r="H142" s="97"/>
    </row>
    <row r="143" spans="1:8" x14ac:dyDescent="0.2">
      <c r="A143" s="3"/>
      <c r="B143" s="3"/>
      <c r="C143" s="13"/>
      <c r="D143" s="3"/>
      <c r="E143" s="3"/>
      <c r="F143" s="14"/>
      <c r="G143" s="14"/>
      <c r="H143" s="97"/>
    </row>
    <row r="144" spans="1:8" x14ac:dyDescent="0.2">
      <c r="A144" s="3"/>
      <c r="B144" s="6"/>
      <c r="C144" s="6"/>
      <c r="D144" s="4"/>
      <c r="E144" s="3"/>
      <c r="F144" s="6"/>
      <c r="G144" s="10"/>
      <c r="H144" s="97"/>
    </row>
    <row r="145" spans="1:8" x14ac:dyDescent="0.2">
      <c r="A145" s="10"/>
      <c r="B145" s="6"/>
      <c r="C145" s="6" t="s">
        <v>123</v>
      </c>
      <c r="D145" s="6"/>
      <c r="E145" s="10"/>
      <c r="F145" s="8">
        <v>2.6612807900000002</v>
      </c>
      <c r="G145" s="9">
        <v>6.8589499999999995E-4</v>
      </c>
      <c r="H145" s="97"/>
    </row>
    <row r="146" spans="1:8" x14ac:dyDescent="0.2">
      <c r="A146" s="13"/>
      <c r="B146" s="13"/>
      <c r="C146" s="4" t="s">
        <v>124</v>
      </c>
      <c r="D146" s="17"/>
      <c r="E146" s="17"/>
      <c r="F146" s="11">
        <v>3880.0109737900002</v>
      </c>
      <c r="G146" s="12">
        <v>1</v>
      </c>
      <c r="H146" s="97"/>
    </row>
    <row r="147" spans="1:8" ht="14.1" customHeight="1" x14ac:dyDescent="0.2">
      <c r="A147" s="20"/>
      <c r="B147" s="226" t="s">
        <v>98</v>
      </c>
      <c r="C147" s="226"/>
      <c r="D147" s="226"/>
      <c r="E147" s="226"/>
      <c r="F147" s="226"/>
      <c r="G147" s="22"/>
    </row>
    <row r="148" spans="1:8" ht="14.1" customHeight="1" x14ac:dyDescent="0.2">
      <c r="A148" s="20"/>
      <c r="B148" s="20"/>
      <c r="C148" s="20"/>
      <c r="D148" s="22"/>
      <c r="E148" s="22"/>
      <c r="F148" s="22"/>
      <c r="G148" s="22"/>
    </row>
    <row r="149" spans="1:8" ht="14.1" customHeight="1" x14ac:dyDescent="0.2">
      <c r="A149" s="20"/>
      <c r="B149" s="224" t="s">
        <v>126</v>
      </c>
      <c r="C149" s="225"/>
      <c r="D149" s="14" t="s">
        <v>98</v>
      </c>
      <c r="E149" s="23"/>
      <c r="F149" s="22"/>
      <c r="G149" s="22"/>
    </row>
    <row r="150" spans="1:8" ht="29.1" customHeight="1" x14ac:dyDescent="0.2">
      <c r="A150" s="20"/>
      <c r="B150" s="231" t="s">
        <v>127</v>
      </c>
      <c r="C150" s="232"/>
      <c r="D150" s="4" t="s">
        <v>128</v>
      </c>
      <c r="E150" s="23"/>
      <c r="F150" s="22"/>
      <c r="G150" s="22"/>
    </row>
    <row r="151" spans="1:8" ht="17.100000000000001" customHeight="1" x14ac:dyDescent="0.2">
      <c r="A151" s="20"/>
      <c r="B151" s="231" t="s">
        <v>129</v>
      </c>
      <c r="C151" s="232"/>
      <c r="D151" s="4" t="s">
        <v>128</v>
      </c>
      <c r="E151" s="23"/>
      <c r="F151" s="22"/>
      <c r="G151" s="22"/>
    </row>
    <row r="152" spans="1:8" ht="17.100000000000001" customHeight="1" x14ac:dyDescent="0.2">
      <c r="A152" s="20"/>
      <c r="B152" s="231" t="s">
        <v>130</v>
      </c>
      <c r="C152" s="232"/>
      <c r="D152" s="14" t="s">
        <v>98</v>
      </c>
      <c r="E152" s="23"/>
      <c r="F152" s="22"/>
      <c r="G152" s="22"/>
    </row>
    <row r="153" spans="1:8" ht="24" customHeight="1" x14ac:dyDescent="0.2">
      <c r="A153" s="24"/>
      <c r="B153" s="25" t="s">
        <v>98</v>
      </c>
      <c r="C153" s="25" t="s">
        <v>131</v>
      </c>
      <c r="D153" s="25" t="s">
        <v>132</v>
      </c>
      <c r="E153" s="24"/>
      <c r="F153" s="24"/>
      <c r="G153" s="24"/>
    </row>
    <row r="154" spans="1:8" ht="18" customHeight="1" x14ac:dyDescent="0.2">
      <c r="A154" s="24"/>
      <c r="B154" s="25" t="s">
        <v>133</v>
      </c>
      <c r="C154" s="25" t="s">
        <v>134</v>
      </c>
      <c r="D154" s="25" t="s">
        <v>135</v>
      </c>
      <c r="E154" s="24"/>
      <c r="F154" s="24"/>
      <c r="G154" s="24"/>
    </row>
    <row r="155" spans="1:8" ht="17.100000000000001" customHeight="1" x14ac:dyDescent="0.2">
      <c r="A155" s="24"/>
      <c r="B155" s="6" t="s">
        <v>136</v>
      </c>
      <c r="C155" s="26">
        <v>20.404</v>
      </c>
      <c r="D155" s="26">
        <v>21.234300000000001</v>
      </c>
      <c r="E155" s="24"/>
      <c r="F155" s="21"/>
      <c r="G155" s="27"/>
    </row>
    <row r="156" spans="1:8" ht="17.100000000000001" customHeight="1" x14ac:dyDescent="0.2">
      <c r="A156" s="24"/>
      <c r="B156" s="6" t="s">
        <v>1201</v>
      </c>
      <c r="C156" s="26">
        <v>19.128</v>
      </c>
      <c r="D156" s="26">
        <v>19.906400000000001</v>
      </c>
      <c r="E156" s="24"/>
      <c r="F156" s="21"/>
      <c r="G156" s="27"/>
    </row>
    <row r="157" spans="1:8" ht="17.100000000000001" customHeight="1" x14ac:dyDescent="0.2">
      <c r="A157" s="24"/>
      <c r="B157" s="6" t="s">
        <v>137</v>
      </c>
      <c r="C157" s="26">
        <v>20.0441</v>
      </c>
      <c r="D157" s="26">
        <v>20.85</v>
      </c>
      <c r="E157" s="24"/>
      <c r="F157" s="21"/>
      <c r="G157" s="27"/>
    </row>
    <row r="158" spans="1:8" ht="17.100000000000001" customHeight="1" x14ac:dyDescent="0.2">
      <c r="A158" s="24"/>
      <c r="B158" s="6" t="s">
        <v>1202</v>
      </c>
      <c r="C158" s="26">
        <v>18.771899999999999</v>
      </c>
      <c r="D158" s="26">
        <v>19.526599999999998</v>
      </c>
      <c r="E158" s="24"/>
      <c r="F158" s="21"/>
      <c r="G158" s="27"/>
    </row>
    <row r="159" spans="1:8" ht="14.1" customHeight="1" x14ac:dyDescent="0.2">
      <c r="A159" s="24"/>
      <c r="B159" s="24"/>
      <c r="C159" s="24"/>
      <c r="D159" s="24"/>
      <c r="E159" s="24"/>
      <c r="F159" s="24"/>
      <c r="G159" s="24"/>
    </row>
    <row r="160" spans="1:8" ht="17.100000000000001" customHeight="1" x14ac:dyDescent="0.2">
      <c r="A160" s="24"/>
      <c r="B160" s="231" t="s">
        <v>1203</v>
      </c>
      <c r="C160" s="232"/>
      <c r="D160" s="4" t="s">
        <v>128</v>
      </c>
      <c r="E160" s="24"/>
      <c r="F160" s="24"/>
      <c r="G160" s="24"/>
    </row>
    <row r="161" spans="1:17" ht="18" customHeight="1" x14ac:dyDescent="0.2">
      <c r="A161" s="24"/>
      <c r="B161" s="28"/>
      <c r="C161" s="28"/>
      <c r="D161" s="29"/>
      <c r="E161" s="24"/>
      <c r="F161" s="24"/>
      <c r="G161" s="24"/>
    </row>
    <row r="162" spans="1:17" s="87" customFormat="1" x14ac:dyDescent="0.2">
      <c r="B162" s="233" t="s">
        <v>1207</v>
      </c>
      <c r="C162" s="233"/>
      <c r="D162" s="233"/>
      <c r="E162" s="233"/>
      <c r="F162" s="233"/>
      <c r="P162"/>
      <c r="Q162" s="69"/>
    </row>
    <row r="163" spans="1:17" ht="14.1" customHeight="1" x14ac:dyDescent="0.2">
      <c r="A163" s="24"/>
      <c r="B163" s="21"/>
      <c r="C163" s="21"/>
      <c r="D163" s="24"/>
      <c r="E163" s="24"/>
      <c r="F163" s="24"/>
      <c r="G163" s="24"/>
    </row>
    <row r="164" spans="1:17" ht="29.1" customHeight="1" x14ac:dyDescent="0.2">
      <c r="A164" s="24"/>
      <c r="B164" s="231" t="s">
        <v>138</v>
      </c>
      <c r="C164" s="232"/>
      <c r="D164" s="4" t="s">
        <v>128</v>
      </c>
      <c r="E164" s="24"/>
      <c r="F164" s="24"/>
      <c r="G164" s="24"/>
    </row>
    <row r="165" spans="1:17" ht="29.1" customHeight="1" x14ac:dyDescent="0.2">
      <c r="A165" s="24"/>
      <c r="B165" s="231" t="s">
        <v>139</v>
      </c>
      <c r="C165" s="232"/>
      <c r="D165" s="4" t="s">
        <v>128</v>
      </c>
      <c r="E165" s="24"/>
      <c r="F165" s="24"/>
      <c r="G165" s="24"/>
      <c r="P165" s="69"/>
    </row>
    <row r="166" spans="1:17" ht="17.100000000000001" customHeight="1" x14ac:dyDescent="0.2">
      <c r="A166" s="24"/>
      <c r="B166" s="231" t="s">
        <v>140</v>
      </c>
      <c r="C166" s="232"/>
      <c r="D166" s="30">
        <v>0.37375137781982465</v>
      </c>
      <c r="E166" s="24"/>
      <c r="F166" s="21"/>
      <c r="G166" s="27"/>
    </row>
    <row r="167" spans="1:17" ht="17.100000000000001" customHeight="1" x14ac:dyDescent="0.2">
      <c r="A167" s="24"/>
      <c r="B167" s="231" t="s">
        <v>141</v>
      </c>
      <c r="C167" s="232"/>
      <c r="D167" s="4" t="s">
        <v>128</v>
      </c>
      <c r="E167" s="24"/>
      <c r="F167" s="24"/>
      <c r="G167" s="24"/>
    </row>
  </sheetData>
  <mergeCells count="15">
    <mergeCell ref="B166:C166"/>
    <mergeCell ref="B167:C167"/>
    <mergeCell ref="B150:C150"/>
    <mergeCell ref="B151:C151"/>
    <mergeCell ref="B152:C152"/>
    <mergeCell ref="B160:C160"/>
    <mergeCell ref="B164:C164"/>
    <mergeCell ref="B165:C165"/>
    <mergeCell ref="B162:F162"/>
    <mergeCell ref="J2:N2"/>
    <mergeCell ref="B149:C149"/>
    <mergeCell ref="B147:F147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19">
    <outlinePr summaryBelow="0" summaryRight="0"/>
  </sheetPr>
  <dimension ref="A1:Q164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5" ht="15" x14ac:dyDescent="0.2">
      <c r="A1" s="227" t="s">
        <v>0</v>
      </c>
      <c r="B1" s="227"/>
      <c r="C1" s="227"/>
      <c r="D1" s="227"/>
      <c r="E1" s="227"/>
      <c r="F1" s="227"/>
      <c r="G1" s="227"/>
      <c r="H1" s="227"/>
    </row>
    <row r="2" spans="1:15" s="87" customFormat="1" ht="15" x14ac:dyDescent="0.2">
      <c r="A2" s="228" t="s">
        <v>619</v>
      </c>
      <c r="B2" s="229"/>
      <c r="C2" s="229"/>
      <c r="D2" s="229"/>
      <c r="E2" s="229"/>
      <c r="F2" s="229"/>
      <c r="G2" s="229"/>
      <c r="H2" s="230"/>
      <c r="I2"/>
      <c r="J2" s="223" t="s">
        <v>1238</v>
      </c>
      <c r="K2" s="223"/>
      <c r="L2" s="223"/>
      <c r="M2" s="223"/>
      <c r="N2" s="223"/>
      <c r="O2"/>
    </row>
    <row r="3" spans="1:15" ht="15" x14ac:dyDescent="0.2">
      <c r="A3" s="227" t="s">
        <v>1208</v>
      </c>
      <c r="B3" s="227"/>
      <c r="C3" s="227"/>
      <c r="D3" s="227"/>
      <c r="E3" s="227"/>
      <c r="F3" s="227"/>
      <c r="G3" s="227"/>
      <c r="H3" s="227"/>
    </row>
    <row r="4" spans="1:15" s="113" customFormat="1" ht="30" x14ac:dyDescent="0.2">
      <c r="A4" s="1" t="s">
        <v>2</v>
      </c>
      <c r="B4" s="1" t="s">
        <v>3</v>
      </c>
      <c r="C4" s="1" t="s">
        <v>4</v>
      </c>
      <c r="D4" s="1" t="s">
        <v>5</v>
      </c>
      <c r="E4" s="2" t="s">
        <v>6</v>
      </c>
      <c r="F4" s="2" t="s">
        <v>7</v>
      </c>
      <c r="G4" s="2" t="s">
        <v>8</v>
      </c>
      <c r="H4" s="96" t="s">
        <v>1167</v>
      </c>
      <c r="I4" s="183"/>
      <c r="J4" s="183"/>
      <c r="K4" s="183"/>
      <c r="L4" s="183"/>
      <c r="M4" s="183"/>
      <c r="N4" s="183"/>
      <c r="O4" s="183"/>
    </row>
    <row r="5" spans="1:15" ht="14.1" customHeight="1" x14ac:dyDescent="0.2">
      <c r="A5" s="3"/>
      <c r="B5" s="3"/>
      <c r="C5" s="4" t="s">
        <v>9</v>
      </c>
      <c r="D5" s="3"/>
      <c r="E5" s="3"/>
      <c r="F5" s="3"/>
      <c r="G5" s="3"/>
      <c r="H5" s="97"/>
    </row>
    <row r="6" spans="1:15" ht="24" customHeight="1" x14ac:dyDescent="0.2">
      <c r="A6" s="3"/>
      <c r="B6" s="3"/>
      <c r="C6" s="4" t="s">
        <v>10</v>
      </c>
      <c r="D6" s="3"/>
      <c r="E6" s="3"/>
      <c r="F6" s="3"/>
      <c r="G6" s="3"/>
      <c r="H6" s="97"/>
    </row>
    <row r="7" spans="1:15" ht="25.5" x14ac:dyDescent="0.2">
      <c r="A7" s="5">
        <v>1</v>
      </c>
      <c r="B7" s="6" t="s">
        <v>604</v>
      </c>
      <c r="C7" s="6" t="s">
        <v>605</v>
      </c>
      <c r="D7" s="6" t="s">
        <v>45</v>
      </c>
      <c r="E7" s="7">
        <v>25868</v>
      </c>
      <c r="F7" s="8">
        <v>478.97188799999998</v>
      </c>
      <c r="G7" s="9">
        <v>3.6406975000000001E-2</v>
      </c>
      <c r="H7" s="97"/>
    </row>
    <row r="8" spans="1:15" x14ac:dyDescent="0.2">
      <c r="A8" s="5">
        <v>2</v>
      </c>
      <c r="B8" s="6" t="s">
        <v>41</v>
      </c>
      <c r="C8" s="6" t="s">
        <v>42</v>
      </c>
      <c r="D8" s="6" t="s">
        <v>19</v>
      </c>
      <c r="E8" s="7">
        <v>37713</v>
      </c>
      <c r="F8" s="8">
        <v>460.1928825</v>
      </c>
      <c r="G8" s="9">
        <v>3.4979570000000001E-2</v>
      </c>
      <c r="H8" s="97"/>
    </row>
    <row r="9" spans="1:15" x14ac:dyDescent="0.2">
      <c r="A9" s="5">
        <v>3</v>
      </c>
      <c r="B9" s="6" t="s">
        <v>17</v>
      </c>
      <c r="C9" s="6" t="s">
        <v>18</v>
      </c>
      <c r="D9" s="6" t="s">
        <v>19</v>
      </c>
      <c r="E9" s="7">
        <v>23704</v>
      </c>
      <c r="F9" s="8">
        <v>454.40568000000002</v>
      </c>
      <c r="G9" s="9">
        <v>3.4539681000000003E-2</v>
      </c>
      <c r="H9" s="97"/>
    </row>
    <row r="10" spans="1:15" x14ac:dyDescent="0.2">
      <c r="A10" s="5">
        <v>4</v>
      </c>
      <c r="B10" s="6" t="s">
        <v>274</v>
      </c>
      <c r="C10" s="6" t="s">
        <v>275</v>
      </c>
      <c r="D10" s="6" t="s">
        <v>185</v>
      </c>
      <c r="E10" s="7">
        <v>9882</v>
      </c>
      <c r="F10" s="8">
        <v>413.90757000000002</v>
      </c>
      <c r="G10" s="9">
        <v>3.1461392999999997E-2</v>
      </c>
      <c r="H10" s="97"/>
    </row>
    <row r="11" spans="1:15" ht="25.5" x14ac:dyDescent="0.2">
      <c r="A11" s="5">
        <v>5</v>
      </c>
      <c r="B11" s="6" t="s">
        <v>143</v>
      </c>
      <c r="C11" s="6" t="s">
        <v>144</v>
      </c>
      <c r="D11" s="6" t="s">
        <v>45</v>
      </c>
      <c r="E11" s="7">
        <v>202669</v>
      </c>
      <c r="F11" s="8">
        <v>394.29253949999998</v>
      </c>
      <c r="G11" s="9">
        <v>2.9970441E-2</v>
      </c>
      <c r="H11" s="97"/>
    </row>
    <row r="12" spans="1:15" x14ac:dyDescent="0.2">
      <c r="A12" s="5">
        <v>6</v>
      </c>
      <c r="B12" s="6" t="s">
        <v>74</v>
      </c>
      <c r="C12" s="6" t="s">
        <v>75</v>
      </c>
      <c r="D12" s="6" t="s">
        <v>70</v>
      </c>
      <c r="E12" s="7">
        <v>84988</v>
      </c>
      <c r="F12" s="8">
        <v>356.77962400000001</v>
      </c>
      <c r="G12" s="9">
        <v>2.7119059000000001E-2</v>
      </c>
      <c r="H12" s="97"/>
    </row>
    <row r="13" spans="1:15" x14ac:dyDescent="0.2">
      <c r="A13" s="5">
        <v>7</v>
      </c>
      <c r="B13" s="6" t="s">
        <v>576</v>
      </c>
      <c r="C13" s="6" t="s">
        <v>577</v>
      </c>
      <c r="D13" s="6" t="s">
        <v>70</v>
      </c>
      <c r="E13" s="7">
        <v>90401</v>
      </c>
      <c r="F13" s="8">
        <v>339.6817575</v>
      </c>
      <c r="G13" s="9">
        <v>2.5819439E-2</v>
      </c>
      <c r="H13" s="97"/>
    </row>
    <row r="14" spans="1:15" x14ac:dyDescent="0.2">
      <c r="A14" s="5">
        <v>8</v>
      </c>
      <c r="B14" s="6" t="s">
        <v>186</v>
      </c>
      <c r="C14" s="6" t="s">
        <v>187</v>
      </c>
      <c r="D14" s="6" t="s">
        <v>19</v>
      </c>
      <c r="E14" s="7">
        <v>15895</v>
      </c>
      <c r="F14" s="8">
        <v>316.01644249999998</v>
      </c>
      <c r="G14" s="9">
        <v>2.4020621999999998E-2</v>
      </c>
      <c r="H14" s="97"/>
    </row>
    <row r="15" spans="1:15" ht="15" x14ac:dyDescent="0.2">
      <c r="A15" s="5">
        <v>9</v>
      </c>
      <c r="B15" s="6" t="s">
        <v>150</v>
      </c>
      <c r="C15" s="6" t="s">
        <v>151</v>
      </c>
      <c r="D15" s="6" t="s">
        <v>81</v>
      </c>
      <c r="E15" s="7">
        <v>281219</v>
      </c>
      <c r="F15" s="8">
        <v>311.73126150000002</v>
      </c>
      <c r="G15" s="9">
        <v>2.3694903E-2</v>
      </c>
      <c r="H15" s="97"/>
      <c r="J15" s="184" t="s">
        <v>1246</v>
      </c>
    </row>
    <row r="16" spans="1:15" x14ac:dyDescent="0.2">
      <c r="A16" s="5">
        <v>10</v>
      </c>
      <c r="B16" s="6" t="s">
        <v>172</v>
      </c>
      <c r="C16" s="6" t="s">
        <v>173</v>
      </c>
      <c r="D16" s="6" t="s">
        <v>174</v>
      </c>
      <c r="E16" s="7">
        <v>127326</v>
      </c>
      <c r="F16" s="8">
        <v>304.37280299999998</v>
      </c>
      <c r="G16" s="9">
        <v>2.3135580999999999E-2</v>
      </c>
      <c r="H16" s="97"/>
    </row>
    <row r="17" spans="1:8" x14ac:dyDescent="0.2">
      <c r="A17" s="5">
        <v>11</v>
      </c>
      <c r="B17" s="6" t="s">
        <v>154</v>
      </c>
      <c r="C17" s="6" t="s">
        <v>155</v>
      </c>
      <c r="D17" s="6" t="s">
        <v>147</v>
      </c>
      <c r="E17" s="7">
        <v>23695</v>
      </c>
      <c r="F17" s="8">
        <v>267.14927749999998</v>
      </c>
      <c r="G17" s="9">
        <v>2.0306195999999999E-2</v>
      </c>
      <c r="H17" s="97"/>
    </row>
    <row r="18" spans="1:8" ht="25.5" x14ac:dyDescent="0.2">
      <c r="A18" s="5">
        <v>12</v>
      </c>
      <c r="B18" s="6" t="s">
        <v>177</v>
      </c>
      <c r="C18" s="6" t="s">
        <v>178</v>
      </c>
      <c r="D18" s="6" t="s">
        <v>1185</v>
      </c>
      <c r="E18" s="7">
        <v>112163</v>
      </c>
      <c r="F18" s="8">
        <v>253.88095050000001</v>
      </c>
      <c r="G18" s="9">
        <v>1.9297662E-2</v>
      </c>
      <c r="H18" s="97"/>
    </row>
    <row r="19" spans="1:8" x14ac:dyDescent="0.2">
      <c r="A19" s="5">
        <v>13</v>
      </c>
      <c r="B19" s="6" t="s">
        <v>556</v>
      </c>
      <c r="C19" s="6" t="s">
        <v>557</v>
      </c>
      <c r="D19" s="6" t="s">
        <v>48</v>
      </c>
      <c r="E19" s="7">
        <v>33464</v>
      </c>
      <c r="F19" s="8">
        <v>249.85895600000001</v>
      </c>
      <c r="G19" s="9">
        <v>1.8991946999999999E-2</v>
      </c>
      <c r="H19" s="97"/>
    </row>
    <row r="20" spans="1:8" x14ac:dyDescent="0.2">
      <c r="A20" s="5">
        <v>14</v>
      </c>
      <c r="B20" s="6" t="s">
        <v>263</v>
      </c>
      <c r="C20" s="6" t="s">
        <v>264</v>
      </c>
      <c r="D20" s="6" t="s">
        <v>147</v>
      </c>
      <c r="E20" s="7">
        <v>40028</v>
      </c>
      <c r="F20" s="8">
        <v>245.35162600000001</v>
      </c>
      <c r="G20" s="9">
        <v>1.8649341999999999E-2</v>
      </c>
      <c r="H20" s="97"/>
    </row>
    <row r="21" spans="1:8" x14ac:dyDescent="0.2">
      <c r="A21" s="5">
        <v>15</v>
      </c>
      <c r="B21" s="6" t="s">
        <v>203</v>
      </c>
      <c r="C21" s="6" t="s">
        <v>204</v>
      </c>
      <c r="D21" s="6" t="s">
        <v>81</v>
      </c>
      <c r="E21" s="7">
        <v>30235</v>
      </c>
      <c r="F21" s="8">
        <v>234.07937000000001</v>
      </c>
      <c r="G21" s="9">
        <v>1.7792530000000001E-2</v>
      </c>
      <c r="H21" s="97"/>
    </row>
    <row r="22" spans="1:8" x14ac:dyDescent="0.2">
      <c r="A22" s="5">
        <v>16</v>
      </c>
      <c r="B22" s="6" t="s">
        <v>156</v>
      </c>
      <c r="C22" s="6" t="s">
        <v>157</v>
      </c>
      <c r="D22" s="6" t="s">
        <v>19</v>
      </c>
      <c r="E22" s="7">
        <v>30000</v>
      </c>
      <c r="F22" s="8">
        <v>217.60499999999999</v>
      </c>
      <c r="G22" s="9">
        <v>1.6540302E-2</v>
      </c>
      <c r="H22" s="97"/>
    </row>
    <row r="23" spans="1:8" x14ac:dyDescent="0.2">
      <c r="A23" s="5">
        <v>17</v>
      </c>
      <c r="B23" s="6" t="s">
        <v>271</v>
      </c>
      <c r="C23" s="6" t="s">
        <v>272</v>
      </c>
      <c r="D23" s="6" t="s">
        <v>19</v>
      </c>
      <c r="E23" s="7">
        <v>20083</v>
      </c>
      <c r="F23" s="8">
        <v>217.58926349999999</v>
      </c>
      <c r="G23" s="9">
        <v>1.6539106000000001E-2</v>
      </c>
      <c r="H23" s="97"/>
    </row>
    <row r="24" spans="1:8" x14ac:dyDescent="0.2">
      <c r="A24" s="5">
        <v>18</v>
      </c>
      <c r="B24" s="6" t="s">
        <v>181</v>
      </c>
      <c r="C24" s="6" t="s">
        <v>182</v>
      </c>
      <c r="D24" s="6" t="s">
        <v>1189</v>
      </c>
      <c r="E24" s="7">
        <v>24745</v>
      </c>
      <c r="F24" s="8">
        <v>211.9038075</v>
      </c>
      <c r="G24" s="9">
        <v>1.6106951000000001E-2</v>
      </c>
      <c r="H24" s="97"/>
    </row>
    <row r="25" spans="1:8" x14ac:dyDescent="0.2">
      <c r="A25" s="5">
        <v>19</v>
      </c>
      <c r="B25" s="6" t="s">
        <v>158</v>
      </c>
      <c r="C25" s="6" t="s">
        <v>159</v>
      </c>
      <c r="D25" s="6" t="s">
        <v>1187</v>
      </c>
      <c r="E25" s="7">
        <v>17040</v>
      </c>
      <c r="F25" s="8">
        <v>207.74315999999999</v>
      </c>
      <c r="G25" s="9">
        <v>1.5790696999999999E-2</v>
      </c>
      <c r="H25" s="97"/>
    </row>
    <row r="26" spans="1:8" x14ac:dyDescent="0.2">
      <c r="A26" s="5">
        <v>20</v>
      </c>
      <c r="B26" s="6" t="s">
        <v>160</v>
      </c>
      <c r="C26" s="6" t="s">
        <v>161</v>
      </c>
      <c r="D26" s="6" t="s">
        <v>147</v>
      </c>
      <c r="E26" s="7">
        <v>19892</v>
      </c>
      <c r="F26" s="8">
        <v>203.49516</v>
      </c>
      <c r="G26" s="9">
        <v>1.5467804E-2</v>
      </c>
      <c r="H26" s="97"/>
    </row>
    <row r="27" spans="1:8" x14ac:dyDescent="0.2">
      <c r="A27" s="5">
        <v>21</v>
      </c>
      <c r="B27" s="6" t="s">
        <v>267</v>
      </c>
      <c r="C27" s="6" t="s">
        <v>268</v>
      </c>
      <c r="D27" s="6" t="s">
        <v>19</v>
      </c>
      <c r="E27" s="7">
        <v>54288</v>
      </c>
      <c r="F27" s="8">
        <v>199.046952</v>
      </c>
      <c r="G27" s="9">
        <v>1.5129693E-2</v>
      </c>
      <c r="H27" s="97"/>
    </row>
    <row r="28" spans="1:8" x14ac:dyDescent="0.2">
      <c r="A28" s="5">
        <v>22</v>
      </c>
      <c r="B28" s="6" t="s">
        <v>168</v>
      </c>
      <c r="C28" s="6" t="s">
        <v>169</v>
      </c>
      <c r="D28" s="6" t="s">
        <v>81</v>
      </c>
      <c r="E28" s="7">
        <v>311961</v>
      </c>
      <c r="F28" s="8">
        <v>196.53542999999999</v>
      </c>
      <c r="G28" s="9">
        <v>1.493879E-2</v>
      </c>
      <c r="H28" s="97"/>
    </row>
    <row r="29" spans="1:8" x14ac:dyDescent="0.2">
      <c r="A29" s="5">
        <v>23</v>
      </c>
      <c r="B29" s="6" t="s">
        <v>280</v>
      </c>
      <c r="C29" s="6" t="s">
        <v>281</v>
      </c>
      <c r="D29" s="6" t="s">
        <v>238</v>
      </c>
      <c r="E29" s="7">
        <v>11037</v>
      </c>
      <c r="F29" s="8">
        <v>193.67727600000001</v>
      </c>
      <c r="G29" s="9">
        <v>1.472154E-2</v>
      </c>
      <c r="H29" s="97"/>
    </row>
    <row r="30" spans="1:8" x14ac:dyDescent="0.2">
      <c r="A30" s="5">
        <v>24</v>
      </c>
      <c r="B30" s="6" t="s">
        <v>194</v>
      </c>
      <c r="C30" s="6" t="s">
        <v>195</v>
      </c>
      <c r="D30" s="6" t="s">
        <v>53</v>
      </c>
      <c r="E30" s="7">
        <v>19637</v>
      </c>
      <c r="F30" s="8">
        <v>193.4931795</v>
      </c>
      <c r="G30" s="9">
        <v>1.4707547E-2</v>
      </c>
      <c r="H30" s="97"/>
    </row>
    <row r="31" spans="1:8" x14ac:dyDescent="0.2">
      <c r="A31" s="5">
        <v>25</v>
      </c>
      <c r="B31" s="6" t="s">
        <v>620</v>
      </c>
      <c r="C31" s="6" t="s">
        <v>621</v>
      </c>
      <c r="D31" s="6" t="s">
        <v>193</v>
      </c>
      <c r="E31" s="7">
        <v>2436</v>
      </c>
      <c r="F31" s="8">
        <v>192.132192</v>
      </c>
      <c r="G31" s="9">
        <v>1.4604097E-2</v>
      </c>
      <c r="H31" s="97"/>
    </row>
    <row r="32" spans="1:8" x14ac:dyDescent="0.2">
      <c r="A32" s="5">
        <v>26</v>
      </c>
      <c r="B32" s="6" t="s">
        <v>606</v>
      </c>
      <c r="C32" s="6" t="s">
        <v>607</v>
      </c>
      <c r="D32" s="6" t="s">
        <v>19</v>
      </c>
      <c r="E32" s="7">
        <v>19126</v>
      </c>
      <c r="F32" s="8">
        <v>187.75037900000001</v>
      </c>
      <c r="G32" s="9">
        <v>1.4271031999999999E-2</v>
      </c>
      <c r="H32" s="97"/>
    </row>
    <row r="33" spans="1:8" ht="25.5" x14ac:dyDescent="0.2">
      <c r="A33" s="5">
        <v>27</v>
      </c>
      <c r="B33" s="6" t="s">
        <v>214</v>
      </c>
      <c r="C33" s="6" t="s">
        <v>215</v>
      </c>
      <c r="D33" s="6" t="s">
        <v>70</v>
      </c>
      <c r="E33" s="7">
        <v>9500</v>
      </c>
      <c r="F33" s="8">
        <v>187.66300000000001</v>
      </c>
      <c r="G33" s="9">
        <v>1.4264391E-2</v>
      </c>
      <c r="H33" s="97"/>
    </row>
    <row r="34" spans="1:8" x14ac:dyDescent="0.2">
      <c r="A34" s="5">
        <v>28</v>
      </c>
      <c r="B34" s="6" t="s">
        <v>164</v>
      </c>
      <c r="C34" s="6" t="s">
        <v>165</v>
      </c>
      <c r="D34" s="6" t="s">
        <v>19</v>
      </c>
      <c r="E34" s="7">
        <v>15638</v>
      </c>
      <c r="F34" s="8">
        <v>182.659659</v>
      </c>
      <c r="G34" s="9">
        <v>1.3884083E-2</v>
      </c>
      <c r="H34" s="97"/>
    </row>
    <row r="35" spans="1:8" x14ac:dyDescent="0.2">
      <c r="A35" s="5">
        <v>29</v>
      </c>
      <c r="B35" s="6" t="s">
        <v>198</v>
      </c>
      <c r="C35" s="6" t="s">
        <v>199</v>
      </c>
      <c r="D35" s="6" t="s">
        <v>70</v>
      </c>
      <c r="E35" s="7">
        <v>20160</v>
      </c>
      <c r="F35" s="8">
        <v>179.68608</v>
      </c>
      <c r="G35" s="9">
        <v>1.365806E-2</v>
      </c>
      <c r="H35" s="97"/>
    </row>
    <row r="36" spans="1:8" ht="25.5" x14ac:dyDescent="0.2">
      <c r="A36" s="5">
        <v>30</v>
      </c>
      <c r="B36" s="6" t="s">
        <v>622</v>
      </c>
      <c r="C36" s="6" t="s">
        <v>623</v>
      </c>
      <c r="D36" s="6" t="s">
        <v>202</v>
      </c>
      <c r="E36" s="7">
        <v>20000</v>
      </c>
      <c r="F36" s="8">
        <v>179.65</v>
      </c>
      <c r="G36" s="9">
        <v>1.3655317E-2</v>
      </c>
      <c r="H36" s="97"/>
    </row>
    <row r="37" spans="1:8" x14ac:dyDescent="0.2">
      <c r="A37" s="5">
        <v>31</v>
      </c>
      <c r="B37" s="6" t="s">
        <v>166</v>
      </c>
      <c r="C37" s="6" t="s">
        <v>167</v>
      </c>
      <c r="D37" s="6" t="s">
        <v>1186</v>
      </c>
      <c r="E37" s="7">
        <v>50602</v>
      </c>
      <c r="F37" s="8">
        <v>178.802167</v>
      </c>
      <c r="G37" s="9">
        <v>1.3590873E-2</v>
      </c>
      <c r="H37" s="97"/>
    </row>
    <row r="38" spans="1:8" x14ac:dyDescent="0.2">
      <c r="A38" s="5">
        <v>32</v>
      </c>
      <c r="B38" s="6" t="s">
        <v>196</v>
      </c>
      <c r="C38" s="6" t="s">
        <v>197</v>
      </c>
      <c r="D38" s="6" t="s">
        <v>81</v>
      </c>
      <c r="E38" s="7">
        <v>31853</v>
      </c>
      <c r="F38" s="8">
        <v>176.13116350000001</v>
      </c>
      <c r="G38" s="9">
        <v>1.3387848000000001E-2</v>
      </c>
      <c r="H38" s="97"/>
    </row>
    <row r="39" spans="1:8" x14ac:dyDescent="0.2">
      <c r="A39" s="5">
        <v>33</v>
      </c>
      <c r="B39" s="6" t="s">
        <v>152</v>
      </c>
      <c r="C39" s="6" t="s">
        <v>153</v>
      </c>
      <c r="D39" s="6" t="s">
        <v>1184</v>
      </c>
      <c r="E39" s="7">
        <v>14203</v>
      </c>
      <c r="F39" s="8">
        <v>167.8865615</v>
      </c>
      <c r="G39" s="9">
        <v>1.276117E-2</v>
      </c>
      <c r="H39" s="97"/>
    </row>
    <row r="40" spans="1:8" x14ac:dyDescent="0.2">
      <c r="A40" s="5">
        <v>34</v>
      </c>
      <c r="B40" s="6" t="s">
        <v>209</v>
      </c>
      <c r="C40" s="6" t="s">
        <v>210</v>
      </c>
      <c r="D40" s="6" t="s">
        <v>193</v>
      </c>
      <c r="E40" s="7">
        <v>27841</v>
      </c>
      <c r="F40" s="8">
        <v>150.03514899999999</v>
      </c>
      <c r="G40" s="9">
        <v>1.1404272E-2</v>
      </c>
      <c r="H40" s="97"/>
    </row>
    <row r="41" spans="1:8" x14ac:dyDescent="0.2">
      <c r="A41" s="5">
        <v>35</v>
      </c>
      <c r="B41" s="6" t="s">
        <v>614</v>
      </c>
      <c r="C41" s="6" t="s">
        <v>615</v>
      </c>
      <c r="D41" s="6" t="s">
        <v>193</v>
      </c>
      <c r="E41" s="7">
        <v>27833</v>
      </c>
      <c r="F41" s="8">
        <v>146.61032750000001</v>
      </c>
      <c r="G41" s="9">
        <v>1.114395E-2</v>
      </c>
      <c r="H41" s="97"/>
    </row>
    <row r="42" spans="1:8" x14ac:dyDescent="0.2">
      <c r="A42" s="5">
        <v>36</v>
      </c>
      <c r="B42" s="6" t="s">
        <v>403</v>
      </c>
      <c r="C42" s="6" t="s">
        <v>404</v>
      </c>
      <c r="D42" s="6" t="s">
        <v>70</v>
      </c>
      <c r="E42" s="7">
        <v>8109</v>
      </c>
      <c r="F42" s="8">
        <v>142.8603075</v>
      </c>
      <c r="G42" s="9">
        <v>1.0858908E-2</v>
      </c>
      <c r="H42" s="97"/>
    </row>
    <row r="43" spans="1:8" x14ac:dyDescent="0.2">
      <c r="A43" s="5">
        <v>37</v>
      </c>
      <c r="B43" s="6" t="s">
        <v>608</v>
      </c>
      <c r="C43" s="6" t="s">
        <v>609</v>
      </c>
      <c r="D43" s="6" t="s">
        <v>586</v>
      </c>
      <c r="E43" s="7">
        <v>14087</v>
      </c>
      <c r="F43" s="8">
        <v>142.109656</v>
      </c>
      <c r="G43" s="9">
        <v>1.080185E-2</v>
      </c>
      <c r="H43" s="97"/>
    </row>
    <row r="44" spans="1:8" x14ac:dyDescent="0.2">
      <c r="A44" s="5">
        <v>38</v>
      </c>
      <c r="B44" s="6" t="s">
        <v>205</v>
      </c>
      <c r="C44" s="6" t="s">
        <v>206</v>
      </c>
      <c r="D44" s="6" t="s">
        <v>1187</v>
      </c>
      <c r="E44" s="7">
        <v>24759</v>
      </c>
      <c r="F44" s="8">
        <v>139.2322365</v>
      </c>
      <c r="G44" s="9">
        <v>1.0583136E-2</v>
      </c>
      <c r="H44" s="97"/>
    </row>
    <row r="45" spans="1:8" x14ac:dyDescent="0.2">
      <c r="A45" s="5">
        <v>39</v>
      </c>
      <c r="B45" s="6" t="s">
        <v>218</v>
      </c>
      <c r="C45" s="6" t="s">
        <v>219</v>
      </c>
      <c r="D45" s="6" t="s">
        <v>193</v>
      </c>
      <c r="E45" s="7">
        <v>7795</v>
      </c>
      <c r="F45" s="8">
        <v>138.72761499999999</v>
      </c>
      <c r="G45" s="9">
        <v>1.0544779000000001E-2</v>
      </c>
      <c r="H45" s="97"/>
    </row>
    <row r="46" spans="1:8" x14ac:dyDescent="0.2">
      <c r="A46" s="5">
        <v>40</v>
      </c>
      <c r="B46" s="6" t="s">
        <v>282</v>
      </c>
      <c r="C46" s="6" t="s">
        <v>283</v>
      </c>
      <c r="D46" s="6" t="s">
        <v>284</v>
      </c>
      <c r="E46" s="7">
        <v>54852</v>
      </c>
      <c r="F46" s="8">
        <v>137.925354</v>
      </c>
      <c r="G46" s="9">
        <v>1.0483799E-2</v>
      </c>
      <c r="H46" s="97"/>
    </row>
    <row r="47" spans="1:8" x14ac:dyDescent="0.2">
      <c r="A47" s="5">
        <v>41</v>
      </c>
      <c r="B47" s="6" t="s">
        <v>188</v>
      </c>
      <c r="C47" s="6" t="s">
        <v>189</v>
      </c>
      <c r="D47" s="6" t="s">
        <v>190</v>
      </c>
      <c r="E47" s="7">
        <v>29888</v>
      </c>
      <c r="F47" s="8">
        <v>137.46985599999999</v>
      </c>
      <c r="G47" s="9">
        <v>1.0449175999999999E-2</v>
      </c>
      <c r="H47" s="97"/>
    </row>
    <row r="48" spans="1:8" x14ac:dyDescent="0.2">
      <c r="A48" s="5">
        <v>42</v>
      </c>
      <c r="B48" s="6" t="s">
        <v>222</v>
      </c>
      <c r="C48" s="6" t="s">
        <v>223</v>
      </c>
      <c r="D48" s="6" t="s">
        <v>70</v>
      </c>
      <c r="E48" s="7">
        <v>51244</v>
      </c>
      <c r="F48" s="8">
        <v>134.976696</v>
      </c>
      <c r="G48" s="9">
        <v>1.0259669000000001E-2</v>
      </c>
      <c r="H48" s="97"/>
    </row>
    <row r="49" spans="1:8" x14ac:dyDescent="0.2">
      <c r="A49" s="5">
        <v>43</v>
      </c>
      <c r="B49" s="6" t="s">
        <v>30</v>
      </c>
      <c r="C49" s="6" t="s">
        <v>31</v>
      </c>
      <c r="D49" s="6" t="s">
        <v>19</v>
      </c>
      <c r="E49" s="7">
        <v>3993</v>
      </c>
      <c r="F49" s="8">
        <v>133.92721649999999</v>
      </c>
      <c r="G49" s="9">
        <v>1.0179898E-2</v>
      </c>
      <c r="H49" s="97"/>
    </row>
    <row r="50" spans="1:8" x14ac:dyDescent="0.2">
      <c r="A50" s="5">
        <v>44</v>
      </c>
      <c r="B50" s="6" t="s">
        <v>624</v>
      </c>
      <c r="C50" s="6" t="s">
        <v>625</v>
      </c>
      <c r="D50" s="6" t="s">
        <v>16</v>
      </c>
      <c r="E50" s="7">
        <v>108924</v>
      </c>
      <c r="F50" s="8">
        <v>133.75867199999999</v>
      </c>
      <c r="G50" s="9">
        <v>1.0167087E-2</v>
      </c>
      <c r="H50" s="97"/>
    </row>
    <row r="51" spans="1:8" ht="25.5" x14ac:dyDescent="0.2">
      <c r="A51" s="5">
        <v>45</v>
      </c>
      <c r="B51" s="6" t="s">
        <v>248</v>
      </c>
      <c r="C51" s="6" t="s">
        <v>249</v>
      </c>
      <c r="D51" s="6" t="s">
        <v>202</v>
      </c>
      <c r="E51" s="7">
        <v>30368</v>
      </c>
      <c r="F51" s="8">
        <v>130.35463999999999</v>
      </c>
      <c r="G51" s="9">
        <v>9.9083439999999995E-3</v>
      </c>
      <c r="H51" s="97"/>
    </row>
    <row r="52" spans="1:8" ht="25.5" x14ac:dyDescent="0.2">
      <c r="A52" s="5">
        <v>46</v>
      </c>
      <c r="B52" s="6" t="s">
        <v>211</v>
      </c>
      <c r="C52" s="6" t="s">
        <v>212</v>
      </c>
      <c r="D52" s="6" t="s">
        <v>202</v>
      </c>
      <c r="E52" s="7">
        <v>28703</v>
      </c>
      <c r="F52" s="8">
        <v>129.55099050000001</v>
      </c>
      <c r="G52" s="9">
        <v>9.8472579999999994E-3</v>
      </c>
      <c r="H52" s="97"/>
    </row>
    <row r="53" spans="1:8" x14ac:dyDescent="0.2">
      <c r="A53" s="5">
        <v>47</v>
      </c>
      <c r="B53" s="6" t="s">
        <v>236</v>
      </c>
      <c r="C53" s="6" t="s">
        <v>237</v>
      </c>
      <c r="D53" s="6" t="s">
        <v>238</v>
      </c>
      <c r="E53" s="7">
        <v>33876</v>
      </c>
      <c r="F53" s="8">
        <v>124.15554</v>
      </c>
      <c r="G53" s="9">
        <v>9.4371460000000004E-3</v>
      </c>
      <c r="H53" s="97"/>
    </row>
    <row r="54" spans="1:8" x14ac:dyDescent="0.2">
      <c r="A54" s="5">
        <v>48</v>
      </c>
      <c r="B54" s="6" t="s">
        <v>216</v>
      </c>
      <c r="C54" s="6" t="s">
        <v>217</v>
      </c>
      <c r="D54" s="6" t="s">
        <v>1184</v>
      </c>
      <c r="E54" s="7">
        <v>7527</v>
      </c>
      <c r="F54" s="8">
        <v>119.137356</v>
      </c>
      <c r="G54" s="9">
        <v>9.0557099999999998E-3</v>
      </c>
      <c r="H54" s="97"/>
    </row>
    <row r="55" spans="1:8" ht="25.5" x14ac:dyDescent="0.2">
      <c r="A55" s="5">
        <v>49</v>
      </c>
      <c r="B55" s="6" t="s">
        <v>334</v>
      </c>
      <c r="C55" s="6" t="s">
        <v>335</v>
      </c>
      <c r="D55" s="6" t="s">
        <v>70</v>
      </c>
      <c r="E55" s="7">
        <v>26486</v>
      </c>
      <c r="F55" s="8">
        <v>115.863007</v>
      </c>
      <c r="G55" s="9">
        <v>8.8068250000000008E-3</v>
      </c>
      <c r="H55" s="97"/>
    </row>
    <row r="56" spans="1:8" x14ac:dyDescent="0.2">
      <c r="A56" s="5">
        <v>50</v>
      </c>
      <c r="B56" s="6" t="s">
        <v>175</v>
      </c>
      <c r="C56" s="6" t="s">
        <v>176</v>
      </c>
      <c r="D56" s="6" t="s">
        <v>16</v>
      </c>
      <c r="E56" s="7">
        <v>38906</v>
      </c>
      <c r="F56" s="8">
        <v>113.741691</v>
      </c>
      <c r="G56" s="9">
        <v>8.6455820000000006E-3</v>
      </c>
      <c r="H56" s="97"/>
    </row>
    <row r="57" spans="1:8" x14ac:dyDescent="0.2">
      <c r="A57" s="5">
        <v>51</v>
      </c>
      <c r="B57" s="6" t="s">
        <v>170</v>
      </c>
      <c r="C57" s="6" t="s">
        <v>171</v>
      </c>
      <c r="D57" s="6" t="s">
        <v>70</v>
      </c>
      <c r="E57" s="7">
        <v>11620</v>
      </c>
      <c r="F57" s="8">
        <v>113.03936</v>
      </c>
      <c r="G57" s="9">
        <v>8.5921980000000005E-3</v>
      </c>
      <c r="H57" s="97"/>
    </row>
    <row r="58" spans="1:8" ht="25.5" x14ac:dyDescent="0.2">
      <c r="A58" s="5">
        <v>52</v>
      </c>
      <c r="B58" s="6" t="s">
        <v>207</v>
      </c>
      <c r="C58" s="6" t="s">
        <v>208</v>
      </c>
      <c r="D58" s="6" t="s">
        <v>45</v>
      </c>
      <c r="E58" s="7">
        <v>50508</v>
      </c>
      <c r="F58" s="8">
        <v>112.279284</v>
      </c>
      <c r="G58" s="9">
        <v>8.5344240000000005E-3</v>
      </c>
      <c r="H58" s="97"/>
    </row>
    <row r="59" spans="1:8" x14ac:dyDescent="0.2">
      <c r="A59" s="5">
        <v>53</v>
      </c>
      <c r="B59" s="6" t="s">
        <v>626</v>
      </c>
      <c r="C59" s="6" t="s">
        <v>627</v>
      </c>
      <c r="D59" s="6" t="s">
        <v>53</v>
      </c>
      <c r="E59" s="7">
        <v>138600</v>
      </c>
      <c r="F59" s="8">
        <v>111.7116</v>
      </c>
      <c r="G59" s="9">
        <v>8.491274E-3</v>
      </c>
      <c r="H59" s="97"/>
    </row>
    <row r="60" spans="1:8" x14ac:dyDescent="0.2">
      <c r="A60" s="5">
        <v>54</v>
      </c>
      <c r="B60" s="6" t="s">
        <v>610</v>
      </c>
      <c r="C60" s="6" t="s">
        <v>611</v>
      </c>
      <c r="D60" s="6" t="s">
        <v>81</v>
      </c>
      <c r="E60" s="7">
        <v>17966</v>
      </c>
      <c r="F60" s="8">
        <v>107.40973099999999</v>
      </c>
      <c r="G60" s="9">
        <v>8.1642859999999998E-3</v>
      </c>
      <c r="H60" s="97"/>
    </row>
    <row r="61" spans="1:8" x14ac:dyDescent="0.2">
      <c r="A61" s="5">
        <v>55</v>
      </c>
      <c r="B61" s="6" t="s">
        <v>287</v>
      </c>
      <c r="C61" s="6" t="s">
        <v>288</v>
      </c>
      <c r="D61" s="6" t="s">
        <v>147</v>
      </c>
      <c r="E61" s="7">
        <v>8261</v>
      </c>
      <c r="F61" s="8">
        <v>107.112126</v>
      </c>
      <c r="G61" s="9">
        <v>8.1416649999999993E-3</v>
      </c>
      <c r="H61" s="97"/>
    </row>
    <row r="62" spans="1:8" x14ac:dyDescent="0.2">
      <c r="A62" s="5">
        <v>56</v>
      </c>
      <c r="B62" s="6" t="s">
        <v>628</v>
      </c>
      <c r="C62" s="6" t="s">
        <v>629</v>
      </c>
      <c r="D62" s="6" t="s">
        <v>48</v>
      </c>
      <c r="E62" s="7">
        <v>103230</v>
      </c>
      <c r="F62" s="8">
        <v>103.02354</v>
      </c>
      <c r="G62" s="9">
        <v>7.8308879999999994E-3</v>
      </c>
      <c r="H62" s="97"/>
    </row>
    <row r="63" spans="1:8" ht="25.5" x14ac:dyDescent="0.2">
      <c r="A63" s="5">
        <v>57</v>
      </c>
      <c r="B63" s="6" t="s">
        <v>226</v>
      </c>
      <c r="C63" s="6" t="s">
        <v>227</v>
      </c>
      <c r="D63" s="6" t="s">
        <v>1191</v>
      </c>
      <c r="E63" s="7">
        <v>115940</v>
      </c>
      <c r="F63" s="8">
        <v>102.89675</v>
      </c>
      <c r="G63" s="9">
        <v>7.8212509999999996E-3</v>
      </c>
      <c r="H63" s="97"/>
    </row>
    <row r="64" spans="1:8" x14ac:dyDescent="0.2">
      <c r="A64" s="5">
        <v>58</v>
      </c>
      <c r="B64" s="6" t="s">
        <v>630</v>
      </c>
      <c r="C64" s="6" t="s">
        <v>631</v>
      </c>
      <c r="D64" s="6" t="s">
        <v>193</v>
      </c>
      <c r="E64" s="7">
        <v>2024</v>
      </c>
      <c r="F64" s="8">
        <v>102.319272</v>
      </c>
      <c r="G64" s="9">
        <v>7.7773570000000004E-3</v>
      </c>
      <c r="H64" s="97"/>
    </row>
    <row r="65" spans="1:8" x14ac:dyDescent="0.2">
      <c r="A65" s="5">
        <v>59</v>
      </c>
      <c r="B65" s="6" t="s">
        <v>256</v>
      </c>
      <c r="C65" s="6" t="s">
        <v>257</v>
      </c>
      <c r="D65" s="6" t="s">
        <v>238</v>
      </c>
      <c r="E65" s="7">
        <v>16139</v>
      </c>
      <c r="F65" s="8">
        <v>100.8122635</v>
      </c>
      <c r="G65" s="9">
        <v>7.6628080000000001E-3</v>
      </c>
      <c r="H65" s="97"/>
    </row>
    <row r="66" spans="1:8" x14ac:dyDescent="0.2">
      <c r="A66" s="5">
        <v>60</v>
      </c>
      <c r="B66" s="6" t="s">
        <v>289</v>
      </c>
      <c r="C66" s="6" t="s">
        <v>290</v>
      </c>
      <c r="D66" s="6" t="s">
        <v>174</v>
      </c>
      <c r="E66" s="7">
        <v>12942</v>
      </c>
      <c r="F66" s="8">
        <v>83.475899999999996</v>
      </c>
      <c r="G66" s="9">
        <v>6.3450590000000001E-3</v>
      </c>
      <c r="H66" s="97"/>
    </row>
    <row r="67" spans="1:8" x14ac:dyDescent="0.2">
      <c r="A67" s="5">
        <v>61</v>
      </c>
      <c r="B67" s="6" t="s">
        <v>230</v>
      </c>
      <c r="C67" s="6" t="s">
        <v>231</v>
      </c>
      <c r="D67" s="6" t="s">
        <v>60</v>
      </c>
      <c r="E67" s="7">
        <v>9697</v>
      </c>
      <c r="F67" s="8">
        <v>81.338436000000002</v>
      </c>
      <c r="G67" s="9">
        <v>6.1825889999999996E-3</v>
      </c>
      <c r="H67" s="97"/>
    </row>
    <row r="68" spans="1:8" x14ac:dyDescent="0.2">
      <c r="A68" s="5">
        <v>62</v>
      </c>
      <c r="B68" s="6" t="s">
        <v>245</v>
      </c>
      <c r="C68" s="6" t="s">
        <v>246</v>
      </c>
      <c r="D68" s="6" t="s">
        <v>247</v>
      </c>
      <c r="E68" s="7">
        <v>36994</v>
      </c>
      <c r="F68" s="8">
        <v>80.646919999999994</v>
      </c>
      <c r="G68" s="9">
        <v>6.1300269999999997E-3</v>
      </c>
      <c r="H68" s="97"/>
    </row>
    <row r="69" spans="1:8" x14ac:dyDescent="0.2">
      <c r="A69" s="5">
        <v>63</v>
      </c>
      <c r="B69" s="6" t="s">
        <v>232</v>
      </c>
      <c r="C69" s="6" t="s">
        <v>233</v>
      </c>
      <c r="D69" s="6" t="s">
        <v>193</v>
      </c>
      <c r="E69" s="7">
        <v>1438</v>
      </c>
      <c r="F69" s="8">
        <v>76.766192000000004</v>
      </c>
      <c r="G69" s="9">
        <v>5.8350499999999996E-3</v>
      </c>
      <c r="H69" s="97"/>
    </row>
    <row r="70" spans="1:8" x14ac:dyDescent="0.2">
      <c r="A70" s="5">
        <v>64</v>
      </c>
      <c r="B70" s="6" t="s">
        <v>241</v>
      </c>
      <c r="C70" s="6" t="s">
        <v>242</v>
      </c>
      <c r="D70" s="6" t="s">
        <v>147</v>
      </c>
      <c r="E70" s="7">
        <v>14362</v>
      </c>
      <c r="F70" s="8">
        <v>67.917897999999994</v>
      </c>
      <c r="G70" s="9">
        <v>5.1624849999999996E-3</v>
      </c>
      <c r="H70" s="97"/>
    </row>
    <row r="71" spans="1:8" x14ac:dyDescent="0.2">
      <c r="A71" s="5">
        <v>65</v>
      </c>
      <c r="B71" s="6" t="s">
        <v>250</v>
      </c>
      <c r="C71" s="6" t="s">
        <v>251</v>
      </c>
      <c r="D71" s="6" t="s">
        <v>193</v>
      </c>
      <c r="E71" s="7">
        <v>23079</v>
      </c>
      <c r="F71" s="8">
        <v>63.686500500000001</v>
      </c>
      <c r="G71" s="9">
        <v>4.8408540000000003E-3</v>
      </c>
      <c r="H71" s="97"/>
    </row>
    <row r="72" spans="1:8" x14ac:dyDescent="0.2">
      <c r="A72" s="5">
        <v>66</v>
      </c>
      <c r="B72" s="6" t="s">
        <v>92</v>
      </c>
      <c r="C72" s="6" t="s">
        <v>93</v>
      </c>
      <c r="D72" s="6" t="s">
        <v>53</v>
      </c>
      <c r="E72" s="7">
        <v>72875</v>
      </c>
      <c r="F72" s="8">
        <v>62.708937499999998</v>
      </c>
      <c r="G72" s="9">
        <v>4.7665479999999998E-3</v>
      </c>
      <c r="H72" s="97"/>
    </row>
    <row r="73" spans="1:8" x14ac:dyDescent="0.2">
      <c r="A73" s="5">
        <v>67</v>
      </c>
      <c r="B73" s="6" t="s">
        <v>578</v>
      </c>
      <c r="C73" s="6" t="s">
        <v>579</v>
      </c>
      <c r="D73" s="6" t="s">
        <v>70</v>
      </c>
      <c r="E73" s="7">
        <v>6000</v>
      </c>
      <c r="F73" s="8">
        <v>60.710999999999999</v>
      </c>
      <c r="G73" s="9">
        <v>4.614684E-3</v>
      </c>
      <c r="H73" s="97"/>
    </row>
    <row r="74" spans="1:8" x14ac:dyDescent="0.2">
      <c r="A74" s="5">
        <v>68</v>
      </c>
      <c r="B74" s="6" t="s">
        <v>243</v>
      </c>
      <c r="C74" s="6" t="s">
        <v>244</v>
      </c>
      <c r="D74" s="6" t="s">
        <v>185</v>
      </c>
      <c r="E74" s="7">
        <v>10835</v>
      </c>
      <c r="F74" s="8">
        <v>59.863374999999998</v>
      </c>
      <c r="G74" s="9">
        <v>4.5502549999999996E-3</v>
      </c>
      <c r="H74" s="97"/>
    </row>
    <row r="75" spans="1:8" x14ac:dyDescent="0.2">
      <c r="A75" s="5">
        <v>69</v>
      </c>
      <c r="B75" s="6" t="s">
        <v>228</v>
      </c>
      <c r="C75" s="6" t="s">
        <v>229</v>
      </c>
      <c r="D75" s="6" t="s">
        <v>327</v>
      </c>
      <c r="E75" s="7">
        <v>7010</v>
      </c>
      <c r="F75" s="8">
        <v>59.465829999999997</v>
      </c>
      <c r="G75" s="9">
        <v>4.5200379999999997E-3</v>
      </c>
      <c r="H75" s="97"/>
    </row>
    <row r="76" spans="1:8" x14ac:dyDescent="0.2">
      <c r="A76" s="5">
        <v>70</v>
      </c>
      <c r="B76" s="6" t="s">
        <v>179</v>
      </c>
      <c r="C76" s="6" t="s">
        <v>180</v>
      </c>
      <c r="D76" s="6" t="s">
        <v>53</v>
      </c>
      <c r="E76" s="7">
        <v>54714</v>
      </c>
      <c r="F76" s="8">
        <v>55.014927</v>
      </c>
      <c r="G76" s="9">
        <v>4.1817219999999997E-3</v>
      </c>
      <c r="H76" s="97"/>
    </row>
    <row r="77" spans="1:8" x14ac:dyDescent="0.2">
      <c r="A77" s="5">
        <v>71</v>
      </c>
      <c r="B77" s="6" t="s">
        <v>148</v>
      </c>
      <c r="C77" s="6" t="s">
        <v>149</v>
      </c>
      <c r="D77" s="6" t="s">
        <v>70</v>
      </c>
      <c r="E77" s="7">
        <v>1335</v>
      </c>
      <c r="F77" s="8">
        <v>7.9819649999999998</v>
      </c>
      <c r="G77" s="9">
        <v>6.0671499999999997E-4</v>
      </c>
      <c r="H77" s="97"/>
    </row>
    <row r="78" spans="1:8" x14ac:dyDescent="0.2">
      <c r="A78" s="3"/>
      <c r="B78" s="3"/>
      <c r="C78" s="4" t="s">
        <v>97</v>
      </c>
      <c r="D78" s="3"/>
      <c r="E78" s="3" t="s">
        <v>98</v>
      </c>
      <c r="F78" s="11">
        <v>12544.741177</v>
      </c>
      <c r="G78" s="12">
        <v>0.95353420799999999</v>
      </c>
      <c r="H78" s="97"/>
    </row>
    <row r="79" spans="1:8" x14ac:dyDescent="0.2">
      <c r="A79" s="3"/>
      <c r="B79" s="3"/>
      <c r="C79" s="13"/>
      <c r="D79" s="3"/>
      <c r="E79" s="3"/>
      <c r="F79" s="14"/>
      <c r="G79" s="14"/>
      <c r="H79" s="97"/>
    </row>
    <row r="80" spans="1:8" x14ac:dyDescent="0.2">
      <c r="A80" s="3"/>
      <c r="B80" s="3"/>
      <c r="C80" s="4" t="s">
        <v>99</v>
      </c>
      <c r="D80" s="3"/>
      <c r="E80" s="3"/>
      <c r="F80" s="3"/>
      <c r="G80" s="3"/>
      <c r="H80" s="97"/>
    </row>
    <row r="81" spans="1:8" x14ac:dyDescent="0.2">
      <c r="A81" s="3"/>
      <c r="B81" s="3"/>
      <c r="C81" s="4" t="s">
        <v>97</v>
      </c>
      <c r="D81" s="3"/>
      <c r="E81" s="3" t="s">
        <v>98</v>
      </c>
      <c r="F81" s="15">
        <v>0</v>
      </c>
      <c r="G81" s="16">
        <v>0</v>
      </c>
      <c r="H81" s="97"/>
    </row>
    <row r="82" spans="1:8" x14ac:dyDescent="0.2">
      <c r="A82" s="3"/>
      <c r="B82" s="3"/>
      <c r="C82" s="13"/>
      <c r="D82" s="3"/>
      <c r="E82" s="3"/>
      <c r="F82" s="14"/>
      <c r="G82" s="14"/>
      <c r="H82" s="97"/>
    </row>
    <row r="83" spans="1:8" x14ac:dyDescent="0.2">
      <c r="A83" s="3"/>
      <c r="B83" s="3"/>
      <c r="C83" s="4" t="s">
        <v>100</v>
      </c>
      <c r="D83" s="3"/>
      <c r="E83" s="3"/>
      <c r="F83" s="3"/>
      <c r="G83" s="3"/>
      <c r="H83" s="97"/>
    </row>
    <row r="84" spans="1:8" x14ac:dyDescent="0.2">
      <c r="A84" s="3"/>
      <c r="B84" s="3"/>
      <c r="C84" s="4" t="s">
        <v>97</v>
      </c>
      <c r="D84" s="3"/>
      <c r="E84" s="3" t="s">
        <v>98</v>
      </c>
      <c r="F84" s="15">
        <v>0</v>
      </c>
      <c r="G84" s="16">
        <v>0</v>
      </c>
      <c r="H84" s="97"/>
    </row>
    <row r="85" spans="1:8" x14ac:dyDescent="0.2">
      <c r="A85" s="3"/>
      <c r="B85" s="3"/>
      <c r="C85" s="13"/>
      <c r="D85" s="3"/>
      <c r="E85" s="3"/>
      <c r="F85" s="14"/>
      <c r="G85" s="14"/>
      <c r="H85" s="97"/>
    </row>
    <row r="86" spans="1:8" x14ac:dyDescent="0.2">
      <c r="A86" s="3"/>
      <c r="B86" s="3"/>
      <c r="C86" s="4" t="s">
        <v>101</v>
      </c>
      <c r="D86" s="3"/>
      <c r="E86" s="3"/>
      <c r="F86" s="3"/>
      <c r="G86" s="3"/>
      <c r="H86" s="97"/>
    </row>
    <row r="87" spans="1:8" x14ac:dyDescent="0.2">
      <c r="A87" s="3"/>
      <c r="B87" s="3"/>
      <c r="C87" s="4" t="s">
        <v>97</v>
      </c>
      <c r="D87" s="3"/>
      <c r="E87" s="3" t="s">
        <v>98</v>
      </c>
      <c r="F87" s="15">
        <v>0</v>
      </c>
      <c r="G87" s="16">
        <v>0</v>
      </c>
      <c r="H87" s="97"/>
    </row>
    <row r="88" spans="1:8" x14ac:dyDescent="0.2">
      <c r="A88" s="3"/>
      <c r="B88" s="3"/>
      <c r="C88" s="13"/>
      <c r="D88" s="3"/>
      <c r="E88" s="3"/>
      <c r="F88" s="14"/>
      <c r="G88" s="14"/>
      <c r="H88" s="97"/>
    </row>
    <row r="89" spans="1:8" x14ac:dyDescent="0.2">
      <c r="A89" s="3"/>
      <c r="B89" s="3"/>
      <c r="C89" s="4" t="s">
        <v>102</v>
      </c>
      <c r="D89" s="3"/>
      <c r="E89" s="3"/>
      <c r="F89" s="14"/>
      <c r="G89" s="14"/>
      <c r="H89" s="97"/>
    </row>
    <row r="90" spans="1:8" x14ac:dyDescent="0.2">
      <c r="A90" s="3"/>
      <c r="B90" s="3"/>
      <c r="C90" s="4" t="s">
        <v>97</v>
      </c>
      <c r="D90" s="3"/>
      <c r="E90" s="3" t="s">
        <v>98</v>
      </c>
      <c r="F90" s="15">
        <v>0</v>
      </c>
      <c r="G90" s="16">
        <v>0</v>
      </c>
      <c r="H90" s="97"/>
    </row>
    <row r="91" spans="1:8" x14ac:dyDescent="0.2">
      <c r="A91" s="3"/>
      <c r="B91" s="3"/>
      <c r="C91" s="13"/>
      <c r="D91" s="3"/>
      <c r="E91" s="3"/>
      <c r="F91" s="14"/>
      <c r="G91" s="14"/>
      <c r="H91" s="97"/>
    </row>
    <row r="92" spans="1:8" x14ac:dyDescent="0.2">
      <c r="A92" s="3"/>
      <c r="B92" s="3"/>
      <c r="C92" s="4" t="s">
        <v>103</v>
      </c>
      <c r="D92" s="3"/>
      <c r="E92" s="3"/>
      <c r="F92" s="14"/>
      <c r="G92" s="14"/>
      <c r="H92" s="97"/>
    </row>
    <row r="93" spans="1:8" x14ac:dyDescent="0.2">
      <c r="A93" s="3"/>
      <c r="B93" s="3"/>
      <c r="C93" s="4" t="s">
        <v>97</v>
      </c>
      <c r="D93" s="3"/>
      <c r="E93" s="3" t="s">
        <v>98</v>
      </c>
      <c r="F93" s="15">
        <v>0</v>
      </c>
      <c r="G93" s="16">
        <v>0</v>
      </c>
      <c r="H93" s="97"/>
    </row>
    <row r="94" spans="1:8" x14ac:dyDescent="0.2">
      <c r="A94" s="3"/>
      <c r="B94" s="3"/>
      <c r="C94" s="13"/>
      <c r="D94" s="3"/>
      <c r="E94" s="3"/>
      <c r="F94" s="14"/>
      <c r="G94" s="14"/>
      <c r="H94" s="97"/>
    </row>
    <row r="95" spans="1:8" x14ac:dyDescent="0.2">
      <c r="A95" s="3"/>
      <c r="B95" s="3"/>
      <c r="C95" s="4" t="s">
        <v>104</v>
      </c>
      <c r="D95" s="3"/>
      <c r="E95" s="3"/>
      <c r="F95" s="11">
        <v>12544.741177</v>
      </c>
      <c r="G95" s="12">
        <v>0.95353420799999999</v>
      </c>
      <c r="H95" s="97"/>
    </row>
    <row r="96" spans="1:8" x14ac:dyDescent="0.2">
      <c r="A96" s="3"/>
      <c r="B96" s="3"/>
      <c r="C96" s="13"/>
      <c r="D96" s="3"/>
      <c r="E96" s="3"/>
      <c r="F96" s="14"/>
      <c r="G96" s="14"/>
      <c r="H96" s="97"/>
    </row>
    <row r="97" spans="1:8" x14ac:dyDescent="0.2">
      <c r="A97" s="3"/>
      <c r="B97" s="3"/>
      <c r="C97" s="4" t="s">
        <v>105</v>
      </c>
      <c r="D97" s="3"/>
      <c r="E97" s="3"/>
      <c r="F97" s="14"/>
      <c r="G97" s="14"/>
      <c r="H97" s="97"/>
    </row>
    <row r="98" spans="1:8" ht="25.5" x14ac:dyDescent="0.2">
      <c r="A98" s="3"/>
      <c r="B98" s="3"/>
      <c r="C98" s="4" t="s">
        <v>10</v>
      </c>
      <c r="D98" s="3"/>
      <c r="E98" s="3"/>
      <c r="F98" s="14"/>
      <c r="G98" s="14"/>
      <c r="H98" s="97"/>
    </row>
    <row r="99" spans="1:8" x14ac:dyDescent="0.2">
      <c r="A99" s="3"/>
      <c r="B99" s="3"/>
      <c r="C99" s="4" t="s">
        <v>97</v>
      </c>
      <c r="D99" s="3"/>
      <c r="E99" s="3" t="s">
        <v>98</v>
      </c>
      <c r="F99" s="15">
        <v>0</v>
      </c>
      <c r="G99" s="16">
        <v>0</v>
      </c>
      <c r="H99" s="97"/>
    </row>
    <row r="100" spans="1:8" x14ac:dyDescent="0.2">
      <c r="A100" s="3"/>
      <c r="B100" s="3"/>
      <c r="C100" s="13"/>
      <c r="D100" s="3"/>
      <c r="E100" s="3"/>
      <c r="F100" s="14"/>
      <c r="G100" s="14"/>
      <c r="H100" s="97"/>
    </row>
    <row r="101" spans="1:8" x14ac:dyDescent="0.2">
      <c r="A101" s="3"/>
      <c r="B101" s="3"/>
      <c r="C101" s="4" t="s">
        <v>106</v>
      </c>
      <c r="D101" s="3"/>
      <c r="E101" s="3"/>
      <c r="F101" s="3"/>
      <c r="G101" s="3"/>
      <c r="H101" s="97"/>
    </row>
    <row r="102" spans="1:8" x14ac:dyDescent="0.2">
      <c r="A102" s="3"/>
      <c r="B102" s="3"/>
      <c r="C102" s="4" t="s">
        <v>97</v>
      </c>
      <c r="D102" s="3"/>
      <c r="E102" s="3" t="s">
        <v>98</v>
      </c>
      <c r="F102" s="15">
        <v>0</v>
      </c>
      <c r="G102" s="16">
        <v>0</v>
      </c>
      <c r="H102" s="97"/>
    </row>
    <row r="103" spans="1:8" x14ac:dyDescent="0.2">
      <c r="A103" s="3"/>
      <c r="B103" s="3"/>
      <c r="C103" s="13"/>
      <c r="D103" s="3"/>
      <c r="E103" s="3"/>
      <c r="F103" s="14"/>
      <c r="G103" s="14"/>
      <c r="H103" s="97"/>
    </row>
    <row r="104" spans="1:8" x14ac:dyDescent="0.2">
      <c r="A104" s="3"/>
      <c r="B104" s="3"/>
      <c r="C104" s="4" t="s">
        <v>107</v>
      </c>
      <c r="D104" s="3"/>
      <c r="E104" s="3"/>
      <c r="F104" s="3"/>
      <c r="G104" s="3"/>
      <c r="H104" s="97"/>
    </row>
    <row r="105" spans="1:8" x14ac:dyDescent="0.2">
      <c r="A105" s="3"/>
      <c r="B105" s="3"/>
      <c r="C105" s="4" t="s">
        <v>97</v>
      </c>
      <c r="D105" s="3"/>
      <c r="E105" s="3" t="s">
        <v>98</v>
      </c>
      <c r="F105" s="15">
        <v>0</v>
      </c>
      <c r="G105" s="16">
        <v>0</v>
      </c>
      <c r="H105" s="97"/>
    </row>
    <row r="106" spans="1:8" x14ac:dyDescent="0.2">
      <c r="A106" s="3"/>
      <c r="B106" s="3"/>
      <c r="C106" s="13"/>
      <c r="D106" s="3"/>
      <c r="E106" s="3"/>
      <c r="F106" s="14"/>
      <c r="G106" s="14"/>
      <c r="H106" s="97"/>
    </row>
    <row r="107" spans="1:8" x14ac:dyDescent="0.2">
      <c r="A107" s="3"/>
      <c r="B107" s="3"/>
      <c r="C107" s="4" t="s">
        <v>108</v>
      </c>
      <c r="D107" s="3"/>
      <c r="E107" s="3"/>
      <c r="F107" s="14"/>
      <c r="G107" s="14"/>
      <c r="H107" s="97"/>
    </row>
    <row r="108" spans="1:8" x14ac:dyDescent="0.2">
      <c r="A108" s="3"/>
      <c r="B108" s="3"/>
      <c r="C108" s="4" t="s">
        <v>97</v>
      </c>
      <c r="D108" s="3"/>
      <c r="E108" s="3" t="s">
        <v>98</v>
      </c>
      <c r="F108" s="15">
        <v>0</v>
      </c>
      <c r="G108" s="16">
        <v>0</v>
      </c>
      <c r="H108" s="97"/>
    </row>
    <row r="109" spans="1:8" x14ac:dyDescent="0.2">
      <c r="A109" s="3"/>
      <c r="B109" s="3"/>
      <c r="C109" s="13"/>
      <c r="D109" s="3"/>
      <c r="E109" s="3"/>
      <c r="F109" s="14"/>
      <c r="G109" s="14"/>
      <c r="H109" s="97"/>
    </row>
    <row r="110" spans="1:8" x14ac:dyDescent="0.2">
      <c r="A110" s="3"/>
      <c r="B110" s="3"/>
      <c r="C110" s="4" t="s">
        <v>109</v>
      </c>
      <c r="D110" s="3"/>
      <c r="E110" s="3"/>
      <c r="F110" s="11">
        <v>0</v>
      </c>
      <c r="G110" s="12">
        <v>0</v>
      </c>
      <c r="H110" s="97"/>
    </row>
    <row r="111" spans="1:8" x14ac:dyDescent="0.2">
      <c r="A111" s="3"/>
      <c r="B111" s="3"/>
      <c r="C111" s="13"/>
      <c r="D111" s="3"/>
      <c r="E111" s="3"/>
      <c r="F111" s="14"/>
      <c r="G111" s="14"/>
      <c r="H111" s="97"/>
    </row>
    <row r="112" spans="1:8" x14ac:dyDescent="0.2">
      <c r="A112" s="3"/>
      <c r="B112" s="3"/>
      <c r="C112" s="4" t="s">
        <v>110</v>
      </c>
      <c r="D112" s="3"/>
      <c r="E112" s="3"/>
      <c r="F112" s="14"/>
      <c r="G112" s="14"/>
      <c r="H112" s="97"/>
    </row>
    <row r="113" spans="1:8" x14ac:dyDescent="0.2">
      <c r="A113" s="3"/>
      <c r="B113" s="3"/>
      <c r="C113" s="4" t="s">
        <v>111</v>
      </c>
      <c r="D113" s="3"/>
      <c r="E113" s="3"/>
      <c r="F113" s="14"/>
      <c r="G113" s="14"/>
      <c r="H113" s="97"/>
    </row>
    <row r="114" spans="1:8" x14ac:dyDescent="0.2">
      <c r="A114" s="3"/>
      <c r="B114" s="3"/>
      <c r="C114" s="4" t="s">
        <v>97</v>
      </c>
      <c r="D114" s="3"/>
      <c r="E114" s="3" t="s">
        <v>98</v>
      </c>
      <c r="F114" s="15">
        <v>0</v>
      </c>
      <c r="G114" s="16">
        <v>0</v>
      </c>
      <c r="H114" s="97"/>
    </row>
    <row r="115" spans="1:8" x14ac:dyDescent="0.2">
      <c r="A115" s="3"/>
      <c r="B115" s="3"/>
      <c r="C115" s="13"/>
      <c r="D115" s="3"/>
      <c r="E115" s="3"/>
      <c r="F115" s="14"/>
      <c r="G115" s="14"/>
      <c r="H115" s="97"/>
    </row>
    <row r="116" spans="1:8" x14ac:dyDescent="0.2">
      <c r="A116" s="3"/>
      <c r="B116" s="3"/>
      <c r="C116" s="4" t="s">
        <v>112</v>
      </c>
      <c r="D116" s="3"/>
      <c r="E116" s="3"/>
      <c r="F116" s="14"/>
      <c r="G116" s="14"/>
      <c r="H116" s="97"/>
    </row>
    <row r="117" spans="1:8" x14ac:dyDescent="0.2">
      <c r="A117" s="3"/>
      <c r="B117" s="3"/>
      <c r="C117" s="4" t="s">
        <v>97</v>
      </c>
      <c r="D117" s="3"/>
      <c r="E117" s="3" t="s">
        <v>98</v>
      </c>
      <c r="F117" s="15">
        <v>0</v>
      </c>
      <c r="G117" s="16">
        <v>0</v>
      </c>
      <c r="H117" s="97"/>
    </row>
    <row r="118" spans="1:8" x14ac:dyDescent="0.2">
      <c r="A118" s="3"/>
      <c r="B118" s="3"/>
      <c r="C118" s="13"/>
      <c r="D118" s="3"/>
      <c r="E118" s="3"/>
      <c r="F118" s="14"/>
      <c r="G118" s="14"/>
      <c r="H118" s="97"/>
    </row>
    <row r="119" spans="1:8" x14ac:dyDescent="0.2">
      <c r="A119" s="3"/>
      <c r="B119" s="3"/>
      <c r="C119" s="4" t="s">
        <v>113</v>
      </c>
      <c r="D119" s="3"/>
      <c r="E119" s="3"/>
      <c r="F119" s="14"/>
      <c r="G119" s="14"/>
      <c r="H119" s="97"/>
    </row>
    <row r="120" spans="1:8" x14ac:dyDescent="0.2">
      <c r="A120" s="3"/>
      <c r="B120" s="3"/>
      <c r="C120" s="4" t="s">
        <v>97</v>
      </c>
      <c r="D120" s="3"/>
      <c r="E120" s="3" t="s">
        <v>98</v>
      </c>
      <c r="F120" s="15">
        <v>0</v>
      </c>
      <c r="G120" s="16">
        <v>0</v>
      </c>
      <c r="H120" s="97"/>
    </row>
    <row r="121" spans="1:8" x14ac:dyDescent="0.2">
      <c r="A121" s="3"/>
      <c r="B121" s="3"/>
      <c r="C121" s="13"/>
      <c r="D121" s="3"/>
      <c r="E121" s="3"/>
      <c r="F121" s="14"/>
      <c r="G121" s="14"/>
      <c r="H121" s="97"/>
    </row>
    <row r="122" spans="1:8" x14ac:dyDescent="0.2">
      <c r="A122" s="3"/>
      <c r="B122" s="3"/>
      <c r="C122" s="4" t="s">
        <v>114</v>
      </c>
      <c r="D122" s="3"/>
      <c r="E122" s="3"/>
      <c r="F122" s="14"/>
      <c r="G122" s="14"/>
      <c r="H122" s="97"/>
    </row>
    <row r="123" spans="1:8" x14ac:dyDescent="0.2">
      <c r="A123" s="5">
        <v>1</v>
      </c>
      <c r="B123" s="6"/>
      <c r="C123" s="6" t="s">
        <v>115</v>
      </c>
      <c r="D123" s="6"/>
      <c r="E123" s="10"/>
      <c r="F123" s="8">
        <v>389.41555990000001</v>
      </c>
      <c r="G123" s="9">
        <v>2.9599738E-2</v>
      </c>
      <c r="H123" s="8">
        <v>3.4504560529072292</v>
      </c>
    </row>
    <row r="124" spans="1:8" x14ac:dyDescent="0.2">
      <c r="A124" s="5">
        <v>2</v>
      </c>
      <c r="B124" s="6"/>
      <c r="C124" s="6" t="s">
        <v>116</v>
      </c>
      <c r="D124" s="6"/>
      <c r="E124" s="10"/>
      <c r="F124" s="8">
        <v>210.17051950000001</v>
      </c>
      <c r="G124" s="9">
        <v>1.5975202000000001E-2</v>
      </c>
      <c r="H124" s="8">
        <v>3.5655822479098256</v>
      </c>
    </row>
    <row r="125" spans="1:8" x14ac:dyDescent="0.2">
      <c r="A125" s="3"/>
      <c r="B125" s="3"/>
      <c r="C125" s="4" t="s">
        <v>97</v>
      </c>
      <c r="D125" s="3"/>
      <c r="E125" s="3" t="s">
        <v>98</v>
      </c>
      <c r="F125" s="11">
        <v>599.58607940000002</v>
      </c>
      <c r="G125" s="12">
        <v>4.5574940000000001E-2</v>
      </c>
      <c r="H125" s="97"/>
    </row>
    <row r="126" spans="1:8" x14ac:dyDescent="0.2">
      <c r="A126" s="3"/>
      <c r="B126" s="3"/>
      <c r="C126" s="13"/>
      <c r="D126" s="3"/>
      <c r="E126" s="3"/>
      <c r="F126" s="14"/>
      <c r="G126" s="14"/>
      <c r="H126" s="97"/>
    </row>
    <row r="127" spans="1:8" x14ac:dyDescent="0.2">
      <c r="A127" s="3"/>
      <c r="B127" s="3"/>
      <c r="C127" s="4" t="s">
        <v>117</v>
      </c>
      <c r="D127" s="3"/>
      <c r="E127" s="3"/>
      <c r="F127" s="11">
        <v>599.58607940000002</v>
      </c>
      <c r="G127" s="12">
        <v>4.5574940000000001E-2</v>
      </c>
      <c r="H127" s="97"/>
    </row>
    <row r="128" spans="1:8" x14ac:dyDescent="0.2">
      <c r="A128" s="3"/>
      <c r="B128" s="3"/>
      <c r="C128" s="14"/>
      <c r="D128" s="3"/>
      <c r="E128" s="3"/>
      <c r="F128" s="3"/>
      <c r="G128" s="3"/>
      <c r="H128" s="97"/>
    </row>
    <row r="129" spans="1:8" x14ac:dyDescent="0.2">
      <c r="A129" s="3"/>
      <c r="B129" s="3"/>
      <c r="C129" s="4" t="s">
        <v>118</v>
      </c>
      <c r="D129" s="3"/>
      <c r="E129" s="3"/>
      <c r="F129" s="3"/>
      <c r="G129" s="3"/>
      <c r="H129" s="97"/>
    </row>
    <row r="130" spans="1:8" x14ac:dyDescent="0.2">
      <c r="A130" s="3"/>
      <c r="B130" s="3"/>
      <c r="C130" s="4" t="s">
        <v>119</v>
      </c>
      <c r="D130" s="3"/>
      <c r="E130" s="3"/>
      <c r="F130" s="3"/>
      <c r="G130" s="3"/>
      <c r="H130" s="97"/>
    </row>
    <row r="131" spans="1:8" x14ac:dyDescent="0.2">
      <c r="A131" s="3"/>
      <c r="B131" s="3"/>
      <c r="C131" s="4" t="s">
        <v>97</v>
      </c>
      <c r="D131" s="3"/>
      <c r="E131" s="3" t="s">
        <v>98</v>
      </c>
      <c r="F131" s="15">
        <v>0</v>
      </c>
      <c r="G131" s="16">
        <v>0</v>
      </c>
      <c r="H131" s="97"/>
    </row>
    <row r="132" spans="1:8" x14ac:dyDescent="0.2">
      <c r="A132" s="3"/>
      <c r="B132" s="3"/>
      <c r="C132" s="13"/>
      <c r="D132" s="3"/>
      <c r="E132" s="3"/>
      <c r="F132" s="14"/>
      <c r="G132" s="14"/>
      <c r="H132" s="97"/>
    </row>
    <row r="133" spans="1:8" x14ac:dyDescent="0.2">
      <c r="A133" s="3"/>
      <c r="B133" s="3"/>
      <c r="C133" s="4" t="s">
        <v>120</v>
      </c>
      <c r="D133" s="3"/>
      <c r="E133" s="3"/>
      <c r="F133" s="3"/>
      <c r="G133" s="3"/>
      <c r="H133" s="97"/>
    </row>
    <row r="134" spans="1:8" x14ac:dyDescent="0.2">
      <c r="A134" s="3"/>
      <c r="B134" s="3"/>
      <c r="C134" s="4" t="s">
        <v>121</v>
      </c>
      <c r="D134" s="3"/>
      <c r="E134" s="3"/>
      <c r="F134" s="3"/>
      <c r="G134" s="3"/>
      <c r="H134" s="97"/>
    </row>
    <row r="135" spans="1:8" x14ac:dyDescent="0.2">
      <c r="A135" s="3"/>
      <c r="B135" s="3"/>
      <c r="C135" s="4" t="s">
        <v>97</v>
      </c>
      <c r="D135" s="3"/>
      <c r="E135" s="3" t="s">
        <v>98</v>
      </c>
      <c r="F135" s="15">
        <v>0</v>
      </c>
      <c r="G135" s="16">
        <v>0</v>
      </c>
      <c r="H135" s="97"/>
    </row>
    <row r="136" spans="1:8" x14ac:dyDescent="0.2">
      <c r="A136" s="3"/>
      <c r="B136" s="3"/>
      <c r="C136" s="13"/>
      <c r="D136" s="3"/>
      <c r="E136" s="3"/>
      <c r="F136" s="14"/>
      <c r="G136" s="14"/>
      <c r="H136" s="97"/>
    </row>
    <row r="137" spans="1:8" x14ac:dyDescent="0.2">
      <c r="A137" s="3"/>
      <c r="B137" s="3"/>
      <c r="C137" s="13"/>
      <c r="D137" s="3"/>
      <c r="E137" s="3"/>
      <c r="F137" s="14"/>
      <c r="G137" s="14"/>
      <c r="H137" s="97"/>
    </row>
    <row r="138" spans="1:8" ht="25.5" x14ac:dyDescent="0.2">
      <c r="A138" s="3"/>
      <c r="B138" s="3"/>
      <c r="C138" s="4" t="s">
        <v>122</v>
      </c>
      <c r="D138" s="3"/>
      <c r="E138" s="3"/>
      <c r="F138" s="14"/>
      <c r="G138" s="14"/>
      <c r="H138" s="97"/>
    </row>
    <row r="139" spans="1:8" x14ac:dyDescent="0.2">
      <c r="A139" s="3"/>
      <c r="B139" s="3"/>
      <c r="C139" s="4" t="s">
        <v>97</v>
      </c>
      <c r="D139" s="3"/>
      <c r="E139" s="3" t="s">
        <v>98</v>
      </c>
      <c r="F139" s="15">
        <v>0</v>
      </c>
      <c r="G139" s="16">
        <v>0</v>
      </c>
      <c r="H139" s="97"/>
    </row>
    <row r="140" spans="1:8" x14ac:dyDescent="0.2">
      <c r="A140" s="3"/>
      <c r="B140" s="3"/>
      <c r="C140" s="13"/>
      <c r="D140" s="3"/>
      <c r="E140" s="3"/>
      <c r="F140" s="14"/>
      <c r="G140" s="14"/>
      <c r="H140" s="97"/>
    </row>
    <row r="141" spans="1:8" x14ac:dyDescent="0.2">
      <c r="A141" s="3"/>
      <c r="B141" s="6"/>
      <c r="C141" s="6"/>
      <c r="D141" s="4"/>
      <c r="E141" s="3"/>
      <c r="F141" s="6"/>
      <c r="G141" s="10"/>
      <c r="H141" s="97"/>
    </row>
    <row r="142" spans="1:8" x14ac:dyDescent="0.2">
      <c r="A142" s="10"/>
      <c r="B142" s="6"/>
      <c r="C142" s="6" t="s">
        <v>123</v>
      </c>
      <c r="D142" s="6"/>
      <c r="E142" s="10"/>
      <c r="F142" s="8">
        <v>11.720109649999999</v>
      </c>
      <c r="G142" s="9">
        <v>8.9085300000000004E-4</v>
      </c>
      <c r="H142" s="97"/>
    </row>
    <row r="143" spans="1:8" x14ac:dyDescent="0.2">
      <c r="A143" s="13"/>
      <c r="B143" s="13"/>
      <c r="C143" s="4" t="s">
        <v>124</v>
      </c>
      <c r="D143" s="17"/>
      <c r="E143" s="17"/>
      <c r="F143" s="11">
        <v>13156.047366049999</v>
      </c>
      <c r="G143" s="12">
        <v>1.0000000010000001</v>
      </c>
      <c r="H143" s="97"/>
    </row>
    <row r="144" spans="1:8" ht="14.1" customHeight="1" x14ac:dyDescent="0.2">
      <c r="A144" s="20"/>
      <c r="B144" s="226" t="s">
        <v>98</v>
      </c>
      <c r="C144" s="226"/>
      <c r="D144" s="226"/>
      <c r="E144" s="226"/>
      <c r="F144" s="226"/>
      <c r="G144" s="22"/>
    </row>
    <row r="145" spans="1:17" ht="14.1" customHeight="1" x14ac:dyDescent="0.2">
      <c r="A145" s="20"/>
      <c r="B145" s="20"/>
      <c r="C145" s="20"/>
      <c r="D145" s="22"/>
      <c r="E145" s="22"/>
      <c r="F145" s="22"/>
      <c r="G145" s="22"/>
    </row>
    <row r="146" spans="1:17" ht="14.1" customHeight="1" x14ac:dyDescent="0.2">
      <c r="A146" s="20"/>
      <c r="B146" s="224" t="s">
        <v>126</v>
      </c>
      <c r="C146" s="225"/>
      <c r="D146" s="14" t="s">
        <v>98</v>
      </c>
      <c r="E146" s="23"/>
      <c r="F146" s="22"/>
      <c r="G146" s="22"/>
    </row>
    <row r="147" spans="1:17" ht="29.1" customHeight="1" x14ac:dyDescent="0.2">
      <c r="A147" s="20"/>
      <c r="B147" s="231" t="s">
        <v>127</v>
      </c>
      <c r="C147" s="232"/>
      <c r="D147" s="4" t="s">
        <v>128</v>
      </c>
      <c r="E147" s="23"/>
      <c r="F147" s="22"/>
      <c r="G147" s="22"/>
    </row>
    <row r="148" spans="1:17" ht="17.100000000000001" customHeight="1" x14ac:dyDescent="0.2">
      <c r="A148" s="20"/>
      <c r="B148" s="231" t="s">
        <v>129</v>
      </c>
      <c r="C148" s="232"/>
      <c r="D148" s="4" t="s">
        <v>128</v>
      </c>
      <c r="E148" s="23"/>
      <c r="F148" s="22"/>
      <c r="G148" s="22"/>
    </row>
    <row r="149" spans="1:17" ht="17.100000000000001" customHeight="1" x14ac:dyDescent="0.2">
      <c r="A149" s="20"/>
      <c r="B149" s="231" t="s">
        <v>130</v>
      </c>
      <c r="C149" s="232"/>
      <c r="D149" s="14" t="s">
        <v>98</v>
      </c>
      <c r="E149" s="23"/>
      <c r="F149" s="22"/>
      <c r="G149" s="22"/>
    </row>
    <row r="150" spans="1:17" ht="24" customHeight="1" x14ac:dyDescent="0.2">
      <c r="A150" s="24"/>
      <c r="B150" s="25" t="s">
        <v>98</v>
      </c>
      <c r="C150" s="25" t="s">
        <v>131</v>
      </c>
      <c r="D150" s="25" t="s">
        <v>132</v>
      </c>
      <c r="E150" s="24"/>
      <c r="F150" s="24"/>
      <c r="G150" s="24"/>
    </row>
    <row r="151" spans="1:17" ht="18" customHeight="1" x14ac:dyDescent="0.2">
      <c r="A151" s="24"/>
      <c r="B151" s="25" t="s">
        <v>133</v>
      </c>
      <c r="C151" s="25" t="s">
        <v>134</v>
      </c>
      <c r="D151" s="25" t="s">
        <v>135</v>
      </c>
      <c r="E151" s="24"/>
      <c r="F151" s="24"/>
      <c r="G151" s="24"/>
    </row>
    <row r="152" spans="1:17" ht="17.100000000000001" customHeight="1" x14ac:dyDescent="0.2">
      <c r="A152" s="24"/>
      <c r="B152" s="6" t="s">
        <v>136</v>
      </c>
      <c r="C152" s="26">
        <v>19.977</v>
      </c>
      <c r="D152" s="26">
        <v>20.7118</v>
      </c>
      <c r="E152" s="24"/>
      <c r="F152" s="21"/>
      <c r="G152" s="27"/>
    </row>
    <row r="153" spans="1:17" ht="17.100000000000001" customHeight="1" x14ac:dyDescent="0.2">
      <c r="A153" s="24"/>
      <c r="B153" s="6" t="s">
        <v>1201</v>
      </c>
      <c r="C153" s="26">
        <v>18.750399999999999</v>
      </c>
      <c r="D153" s="26">
        <v>19.440100000000001</v>
      </c>
      <c r="E153" s="24"/>
      <c r="F153" s="21"/>
      <c r="G153" s="27"/>
    </row>
    <row r="154" spans="1:17" ht="17.100000000000001" customHeight="1" x14ac:dyDescent="0.2">
      <c r="A154" s="24"/>
      <c r="B154" s="6" t="s">
        <v>137</v>
      </c>
      <c r="C154" s="26">
        <v>19.679300000000001</v>
      </c>
      <c r="D154" s="26">
        <v>20.396000000000001</v>
      </c>
      <c r="E154" s="24"/>
      <c r="F154" s="21"/>
      <c r="G154" s="27"/>
    </row>
    <row r="155" spans="1:17" ht="17.100000000000001" customHeight="1" x14ac:dyDescent="0.2">
      <c r="A155" s="24"/>
      <c r="B155" s="6" t="s">
        <v>1202</v>
      </c>
      <c r="C155" s="26">
        <v>18.455500000000001</v>
      </c>
      <c r="D155" s="26">
        <v>19.127600000000001</v>
      </c>
      <c r="E155" s="24"/>
      <c r="F155" s="21"/>
      <c r="G155" s="27"/>
    </row>
    <row r="156" spans="1:17" ht="14.1" customHeight="1" x14ac:dyDescent="0.2">
      <c r="A156" s="24"/>
      <c r="B156" s="24"/>
      <c r="C156" s="24"/>
      <c r="D156" s="24"/>
      <c r="E156" s="24"/>
      <c r="F156" s="24"/>
      <c r="G156" s="24"/>
      <c r="I156" s="87"/>
      <c r="J156" s="87"/>
      <c r="K156" s="87"/>
      <c r="L156" s="87"/>
      <c r="M156" s="87"/>
      <c r="N156" s="87"/>
      <c r="O156" s="87"/>
    </row>
    <row r="157" spans="1:17" ht="17.100000000000001" customHeight="1" x14ac:dyDescent="0.2">
      <c r="A157" s="24"/>
      <c r="B157" s="231" t="s">
        <v>1203</v>
      </c>
      <c r="C157" s="232"/>
      <c r="D157" s="4" t="s">
        <v>128</v>
      </c>
      <c r="E157" s="24"/>
      <c r="F157" s="24"/>
      <c r="G157" s="24"/>
    </row>
    <row r="158" spans="1:17" ht="18" customHeight="1" x14ac:dyDescent="0.2">
      <c r="A158" s="24"/>
      <c r="B158" s="28"/>
      <c r="C158" s="28"/>
      <c r="D158" s="29"/>
      <c r="E158" s="24"/>
      <c r="F158" s="24"/>
      <c r="G158" s="24"/>
    </row>
    <row r="159" spans="1:17" s="87" customFormat="1" x14ac:dyDescent="0.2">
      <c r="B159" s="233" t="s">
        <v>1207</v>
      </c>
      <c r="C159" s="233"/>
      <c r="D159" s="233"/>
      <c r="E159" s="233"/>
      <c r="F159" s="233"/>
      <c r="I159"/>
      <c r="J159"/>
      <c r="K159"/>
      <c r="L159"/>
      <c r="M159"/>
      <c r="N159"/>
      <c r="O159"/>
      <c r="P159" s="69"/>
      <c r="Q159" s="69"/>
    </row>
    <row r="160" spans="1:17" ht="14.1" customHeight="1" x14ac:dyDescent="0.2">
      <c r="A160" s="24"/>
      <c r="B160" s="21"/>
      <c r="C160" s="21"/>
      <c r="D160" s="24"/>
      <c r="E160" s="24"/>
      <c r="F160" s="24"/>
      <c r="G160" s="24"/>
    </row>
    <row r="161" spans="1:7" ht="29.1" customHeight="1" x14ac:dyDescent="0.2">
      <c r="A161" s="24"/>
      <c r="B161" s="231" t="s">
        <v>138</v>
      </c>
      <c r="C161" s="232"/>
      <c r="D161" s="4" t="s">
        <v>128</v>
      </c>
      <c r="E161" s="24"/>
      <c r="F161" s="24"/>
      <c r="G161" s="24"/>
    </row>
    <row r="162" spans="1:7" ht="29.1" customHeight="1" x14ac:dyDescent="0.2">
      <c r="A162" s="24"/>
      <c r="B162" s="231" t="s">
        <v>139</v>
      </c>
      <c r="C162" s="232"/>
      <c r="D162" s="4" t="s">
        <v>128</v>
      </c>
      <c r="E162" s="24"/>
      <c r="F162" s="24"/>
      <c r="G162" s="24"/>
    </row>
    <row r="163" spans="1:7" ht="17.100000000000001" customHeight="1" x14ac:dyDescent="0.2">
      <c r="A163" s="24"/>
      <c r="B163" s="231" t="s">
        <v>140</v>
      </c>
      <c r="C163" s="232"/>
      <c r="D163" s="30">
        <v>0.4827373902823181</v>
      </c>
      <c r="E163" s="24"/>
      <c r="F163" s="21"/>
      <c r="G163" s="27"/>
    </row>
    <row r="164" spans="1:7" ht="17.100000000000001" customHeight="1" x14ac:dyDescent="0.2">
      <c r="A164" s="24"/>
      <c r="B164" s="231" t="s">
        <v>141</v>
      </c>
      <c r="C164" s="232"/>
      <c r="D164" s="4" t="s">
        <v>128</v>
      </c>
      <c r="E164" s="24"/>
      <c r="F164" s="24"/>
      <c r="G164" s="24"/>
    </row>
  </sheetData>
  <mergeCells count="15">
    <mergeCell ref="B163:C163"/>
    <mergeCell ref="B164:C164"/>
    <mergeCell ref="B147:C147"/>
    <mergeCell ref="B148:C148"/>
    <mergeCell ref="B149:C149"/>
    <mergeCell ref="B157:C157"/>
    <mergeCell ref="B161:C161"/>
    <mergeCell ref="B162:C162"/>
    <mergeCell ref="B159:F159"/>
    <mergeCell ref="J2:N2"/>
    <mergeCell ref="B146:C146"/>
    <mergeCell ref="B144:F144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outlinePr summaryBelow="0" summaryRight="0"/>
  </sheetPr>
  <dimension ref="A1:Q156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5" ht="15" x14ac:dyDescent="0.2">
      <c r="A1" s="227" t="s">
        <v>0</v>
      </c>
      <c r="B1" s="227"/>
      <c r="C1" s="227"/>
      <c r="D1" s="227"/>
      <c r="E1" s="227"/>
      <c r="F1" s="227"/>
      <c r="G1" s="227"/>
      <c r="H1" s="227"/>
    </row>
    <row r="2" spans="1:15" s="87" customFormat="1" ht="15" x14ac:dyDescent="0.2">
      <c r="A2" s="228" t="s">
        <v>632</v>
      </c>
      <c r="B2" s="229"/>
      <c r="C2" s="229"/>
      <c r="D2" s="229"/>
      <c r="E2" s="229"/>
      <c r="F2" s="229"/>
      <c r="G2" s="229"/>
      <c r="H2" s="230"/>
      <c r="I2"/>
      <c r="J2" s="223" t="s">
        <v>1238</v>
      </c>
      <c r="K2" s="223"/>
      <c r="L2" s="223"/>
      <c r="M2" s="223"/>
      <c r="N2" s="223"/>
      <c r="O2"/>
    </row>
    <row r="3" spans="1:15" ht="15" x14ac:dyDescent="0.2">
      <c r="A3" s="227" t="s">
        <v>1208</v>
      </c>
      <c r="B3" s="227"/>
      <c r="C3" s="227"/>
      <c r="D3" s="227"/>
      <c r="E3" s="227"/>
      <c r="F3" s="227"/>
      <c r="G3" s="227"/>
      <c r="H3" s="227"/>
    </row>
    <row r="4" spans="1:15" s="113" customFormat="1" ht="30" x14ac:dyDescent="0.2">
      <c r="A4" s="1" t="s">
        <v>2</v>
      </c>
      <c r="B4" s="1" t="s">
        <v>3</v>
      </c>
      <c r="C4" s="1" t="s">
        <v>4</v>
      </c>
      <c r="D4" s="1" t="s">
        <v>5</v>
      </c>
      <c r="E4" s="2" t="s">
        <v>6</v>
      </c>
      <c r="F4" s="2" t="s">
        <v>7</v>
      </c>
      <c r="G4" s="2" t="s">
        <v>8</v>
      </c>
      <c r="H4" s="96" t="s">
        <v>1167</v>
      </c>
      <c r="I4" s="183"/>
      <c r="J4" s="183"/>
      <c r="K4" s="183"/>
      <c r="L4" s="183"/>
      <c r="M4" s="183"/>
      <c r="N4" s="183"/>
      <c r="O4" s="183"/>
    </row>
    <row r="5" spans="1:15" ht="14.1" customHeight="1" x14ac:dyDescent="0.2">
      <c r="A5" s="3"/>
      <c r="B5" s="3"/>
      <c r="C5" s="4" t="s">
        <v>9</v>
      </c>
      <c r="D5" s="3"/>
      <c r="E5" s="3"/>
      <c r="F5" s="3"/>
      <c r="G5" s="3"/>
      <c r="H5" s="97"/>
    </row>
    <row r="6" spans="1:15" ht="24" customHeight="1" x14ac:dyDescent="0.2">
      <c r="A6" s="3"/>
      <c r="B6" s="3"/>
      <c r="C6" s="4" t="s">
        <v>10</v>
      </c>
      <c r="D6" s="3"/>
      <c r="E6" s="3"/>
      <c r="F6" s="3"/>
      <c r="G6" s="3"/>
      <c r="H6" s="97"/>
    </row>
    <row r="7" spans="1:15" x14ac:dyDescent="0.2">
      <c r="A7" s="5">
        <v>1</v>
      </c>
      <c r="B7" s="6" t="s">
        <v>41</v>
      </c>
      <c r="C7" s="6" t="s">
        <v>42</v>
      </c>
      <c r="D7" s="6" t="s">
        <v>19</v>
      </c>
      <c r="E7" s="7">
        <v>10313</v>
      </c>
      <c r="F7" s="8">
        <v>125.84438249999999</v>
      </c>
      <c r="G7" s="9">
        <v>3.1907654000000001E-2</v>
      </c>
      <c r="H7" s="97"/>
    </row>
    <row r="8" spans="1:15" x14ac:dyDescent="0.2">
      <c r="A8" s="5">
        <v>2</v>
      </c>
      <c r="B8" s="6" t="s">
        <v>164</v>
      </c>
      <c r="C8" s="6" t="s">
        <v>165</v>
      </c>
      <c r="D8" s="6" t="s">
        <v>19</v>
      </c>
      <c r="E8" s="7">
        <v>10697</v>
      </c>
      <c r="F8" s="8">
        <v>124.9463085</v>
      </c>
      <c r="G8" s="9">
        <v>3.1679947999999999E-2</v>
      </c>
      <c r="H8" s="97"/>
    </row>
    <row r="9" spans="1:15" ht="25.5" x14ac:dyDescent="0.2">
      <c r="A9" s="5">
        <v>3</v>
      </c>
      <c r="B9" s="6" t="s">
        <v>143</v>
      </c>
      <c r="C9" s="6" t="s">
        <v>144</v>
      </c>
      <c r="D9" s="6" t="s">
        <v>45</v>
      </c>
      <c r="E9" s="7">
        <v>62305</v>
      </c>
      <c r="F9" s="8">
        <v>121.2143775</v>
      </c>
      <c r="G9" s="9">
        <v>3.0733723000000001E-2</v>
      </c>
      <c r="H9" s="97"/>
    </row>
    <row r="10" spans="1:15" x14ac:dyDescent="0.2">
      <c r="A10" s="5">
        <v>4</v>
      </c>
      <c r="B10" s="6" t="s">
        <v>74</v>
      </c>
      <c r="C10" s="6" t="s">
        <v>75</v>
      </c>
      <c r="D10" s="6" t="s">
        <v>70</v>
      </c>
      <c r="E10" s="7">
        <v>27556</v>
      </c>
      <c r="F10" s="8">
        <v>115.680088</v>
      </c>
      <c r="G10" s="9">
        <v>2.9330512E-2</v>
      </c>
      <c r="H10" s="97"/>
    </row>
    <row r="11" spans="1:15" x14ac:dyDescent="0.2">
      <c r="A11" s="5">
        <v>5</v>
      </c>
      <c r="B11" s="6" t="s">
        <v>576</v>
      </c>
      <c r="C11" s="6" t="s">
        <v>577</v>
      </c>
      <c r="D11" s="6" t="s">
        <v>70</v>
      </c>
      <c r="E11" s="7">
        <v>30132</v>
      </c>
      <c r="F11" s="8">
        <v>113.22099</v>
      </c>
      <c r="G11" s="9">
        <v>2.8707012000000001E-2</v>
      </c>
      <c r="H11" s="97"/>
    </row>
    <row r="12" spans="1:15" x14ac:dyDescent="0.2">
      <c r="A12" s="5">
        <v>6</v>
      </c>
      <c r="B12" s="6" t="s">
        <v>150</v>
      </c>
      <c r="C12" s="6" t="s">
        <v>151</v>
      </c>
      <c r="D12" s="6" t="s">
        <v>81</v>
      </c>
      <c r="E12" s="7">
        <v>99622</v>
      </c>
      <c r="F12" s="8">
        <v>110.430987</v>
      </c>
      <c r="G12" s="9">
        <v>2.7999611000000001E-2</v>
      </c>
      <c r="H12" s="97"/>
    </row>
    <row r="13" spans="1:15" x14ac:dyDescent="0.2">
      <c r="A13" s="5">
        <v>7</v>
      </c>
      <c r="B13" s="6" t="s">
        <v>148</v>
      </c>
      <c r="C13" s="6" t="s">
        <v>149</v>
      </c>
      <c r="D13" s="6" t="s">
        <v>70</v>
      </c>
      <c r="E13" s="7">
        <v>18339</v>
      </c>
      <c r="F13" s="8">
        <v>109.648881</v>
      </c>
      <c r="G13" s="9">
        <v>2.7801309E-2</v>
      </c>
      <c r="H13" s="97"/>
    </row>
    <row r="14" spans="1:15" x14ac:dyDescent="0.2">
      <c r="A14" s="5">
        <v>8</v>
      </c>
      <c r="B14" s="6" t="s">
        <v>274</v>
      </c>
      <c r="C14" s="6" t="s">
        <v>275</v>
      </c>
      <c r="D14" s="6" t="s">
        <v>185</v>
      </c>
      <c r="E14" s="7">
        <v>2544</v>
      </c>
      <c r="F14" s="8">
        <v>106.55544</v>
      </c>
      <c r="G14" s="9">
        <v>2.7016971000000001E-2</v>
      </c>
      <c r="H14" s="97"/>
    </row>
    <row r="15" spans="1:15" x14ac:dyDescent="0.2">
      <c r="A15" s="5">
        <v>9</v>
      </c>
      <c r="B15" s="6" t="s">
        <v>145</v>
      </c>
      <c r="C15" s="6" t="s">
        <v>146</v>
      </c>
      <c r="D15" s="6" t="s">
        <v>147</v>
      </c>
      <c r="E15" s="7">
        <v>2123</v>
      </c>
      <c r="F15" s="8">
        <v>104.1193505</v>
      </c>
      <c r="G15" s="9">
        <v>2.6399305000000001E-2</v>
      </c>
      <c r="H15" s="97"/>
    </row>
    <row r="16" spans="1:15" ht="15" x14ac:dyDescent="0.2">
      <c r="A16" s="5">
        <v>10</v>
      </c>
      <c r="B16" s="6" t="s">
        <v>156</v>
      </c>
      <c r="C16" s="6" t="s">
        <v>157</v>
      </c>
      <c r="D16" s="6" t="s">
        <v>19</v>
      </c>
      <c r="E16" s="7">
        <v>14152</v>
      </c>
      <c r="F16" s="8">
        <v>102.651532</v>
      </c>
      <c r="G16" s="9">
        <v>2.6027141E-2</v>
      </c>
      <c r="H16" s="97"/>
      <c r="J16" s="184" t="s">
        <v>1245</v>
      </c>
    </row>
    <row r="17" spans="1:8" x14ac:dyDescent="0.2">
      <c r="A17" s="5">
        <v>11</v>
      </c>
      <c r="B17" s="6" t="s">
        <v>296</v>
      </c>
      <c r="C17" s="6" t="s">
        <v>297</v>
      </c>
      <c r="D17" s="6" t="s">
        <v>19</v>
      </c>
      <c r="E17" s="7">
        <v>14341</v>
      </c>
      <c r="F17" s="8">
        <v>101.74222450000001</v>
      </c>
      <c r="G17" s="9">
        <v>2.5796587999999999E-2</v>
      </c>
      <c r="H17" s="97"/>
    </row>
    <row r="18" spans="1:8" x14ac:dyDescent="0.2">
      <c r="A18" s="5">
        <v>12</v>
      </c>
      <c r="B18" s="6" t="s">
        <v>263</v>
      </c>
      <c r="C18" s="6" t="s">
        <v>264</v>
      </c>
      <c r="D18" s="6" t="s">
        <v>147</v>
      </c>
      <c r="E18" s="7">
        <v>16476</v>
      </c>
      <c r="F18" s="8">
        <v>100.989642</v>
      </c>
      <c r="G18" s="9">
        <v>2.5605771999999999E-2</v>
      </c>
      <c r="H18" s="97"/>
    </row>
    <row r="19" spans="1:8" x14ac:dyDescent="0.2">
      <c r="A19" s="5">
        <v>13</v>
      </c>
      <c r="B19" s="6" t="s">
        <v>17</v>
      </c>
      <c r="C19" s="6" t="s">
        <v>18</v>
      </c>
      <c r="D19" s="6" t="s">
        <v>19</v>
      </c>
      <c r="E19" s="7">
        <v>4324</v>
      </c>
      <c r="F19" s="8">
        <v>82.891080000000002</v>
      </c>
      <c r="G19" s="9">
        <v>2.1016909E-2</v>
      </c>
      <c r="H19" s="97"/>
    </row>
    <row r="20" spans="1:8" ht="25.5" x14ac:dyDescent="0.2">
      <c r="A20" s="5">
        <v>14</v>
      </c>
      <c r="B20" s="6" t="s">
        <v>37</v>
      </c>
      <c r="C20" s="6" t="s">
        <v>38</v>
      </c>
      <c r="D20" s="6" t="s">
        <v>1185</v>
      </c>
      <c r="E20" s="7">
        <v>2327</v>
      </c>
      <c r="F20" s="8">
        <v>79.0912395</v>
      </c>
      <c r="G20" s="9">
        <v>2.0053464999999999E-2</v>
      </c>
      <c r="H20" s="97"/>
    </row>
    <row r="21" spans="1:8" x14ac:dyDescent="0.2">
      <c r="A21" s="5">
        <v>15</v>
      </c>
      <c r="B21" s="6" t="s">
        <v>608</v>
      </c>
      <c r="C21" s="6" t="s">
        <v>609</v>
      </c>
      <c r="D21" s="6" t="s">
        <v>586</v>
      </c>
      <c r="E21" s="7">
        <v>7639</v>
      </c>
      <c r="F21" s="8">
        <v>77.062231999999995</v>
      </c>
      <c r="G21" s="9">
        <v>1.9539013000000001E-2</v>
      </c>
      <c r="H21" s="97"/>
    </row>
    <row r="22" spans="1:8" x14ac:dyDescent="0.2">
      <c r="A22" s="5">
        <v>16</v>
      </c>
      <c r="B22" s="6" t="s">
        <v>179</v>
      </c>
      <c r="C22" s="6" t="s">
        <v>180</v>
      </c>
      <c r="D22" s="6" t="s">
        <v>53</v>
      </c>
      <c r="E22" s="7">
        <v>72425</v>
      </c>
      <c r="F22" s="8">
        <v>72.823337499999994</v>
      </c>
      <c r="G22" s="9">
        <v>1.8464247999999999E-2</v>
      </c>
      <c r="H22" s="97"/>
    </row>
    <row r="23" spans="1:8" x14ac:dyDescent="0.2">
      <c r="A23" s="5">
        <v>17</v>
      </c>
      <c r="B23" s="6" t="s">
        <v>168</v>
      </c>
      <c r="C23" s="6" t="s">
        <v>169</v>
      </c>
      <c r="D23" s="6" t="s">
        <v>81</v>
      </c>
      <c r="E23" s="7">
        <v>114515</v>
      </c>
      <c r="F23" s="8">
        <v>72.144450000000006</v>
      </c>
      <c r="G23" s="9">
        <v>1.8292117E-2</v>
      </c>
      <c r="H23" s="97"/>
    </row>
    <row r="24" spans="1:8" x14ac:dyDescent="0.2">
      <c r="A24" s="5">
        <v>18</v>
      </c>
      <c r="B24" s="6" t="s">
        <v>203</v>
      </c>
      <c r="C24" s="6" t="s">
        <v>204</v>
      </c>
      <c r="D24" s="6" t="s">
        <v>81</v>
      </c>
      <c r="E24" s="7">
        <v>9248</v>
      </c>
      <c r="F24" s="8">
        <v>71.598016000000001</v>
      </c>
      <c r="G24" s="9">
        <v>1.8153569000000001E-2</v>
      </c>
      <c r="H24" s="97"/>
    </row>
    <row r="25" spans="1:8" ht="25.5" x14ac:dyDescent="0.2">
      <c r="A25" s="5">
        <v>19</v>
      </c>
      <c r="B25" s="6" t="s">
        <v>604</v>
      </c>
      <c r="C25" s="6" t="s">
        <v>605</v>
      </c>
      <c r="D25" s="6" t="s">
        <v>45</v>
      </c>
      <c r="E25" s="7">
        <v>3819</v>
      </c>
      <c r="F25" s="8">
        <v>70.712603999999999</v>
      </c>
      <c r="G25" s="9">
        <v>1.7929074E-2</v>
      </c>
      <c r="H25" s="97"/>
    </row>
    <row r="26" spans="1:8" x14ac:dyDescent="0.2">
      <c r="A26" s="5">
        <v>20</v>
      </c>
      <c r="B26" s="6" t="s">
        <v>172</v>
      </c>
      <c r="C26" s="6" t="s">
        <v>173</v>
      </c>
      <c r="D26" s="6" t="s">
        <v>174</v>
      </c>
      <c r="E26" s="7">
        <v>28774</v>
      </c>
      <c r="F26" s="8">
        <v>68.784246999999993</v>
      </c>
      <c r="G26" s="9">
        <v>1.7440141999999999E-2</v>
      </c>
      <c r="H26" s="97"/>
    </row>
    <row r="27" spans="1:8" x14ac:dyDescent="0.2">
      <c r="A27" s="5">
        <v>21</v>
      </c>
      <c r="B27" s="6" t="s">
        <v>194</v>
      </c>
      <c r="C27" s="6" t="s">
        <v>195</v>
      </c>
      <c r="D27" s="6" t="s">
        <v>53</v>
      </c>
      <c r="E27" s="7">
        <v>6936</v>
      </c>
      <c r="F27" s="8">
        <v>68.343875999999995</v>
      </c>
      <c r="G27" s="9">
        <v>1.7328487E-2</v>
      </c>
      <c r="H27" s="97"/>
    </row>
    <row r="28" spans="1:8" x14ac:dyDescent="0.2">
      <c r="A28" s="5">
        <v>22</v>
      </c>
      <c r="B28" s="6" t="s">
        <v>209</v>
      </c>
      <c r="C28" s="6" t="s">
        <v>210</v>
      </c>
      <c r="D28" s="6" t="s">
        <v>193</v>
      </c>
      <c r="E28" s="7">
        <v>12470</v>
      </c>
      <c r="F28" s="8">
        <v>67.200829999999996</v>
      </c>
      <c r="G28" s="9">
        <v>1.7038668999999999E-2</v>
      </c>
      <c r="H28" s="97"/>
    </row>
    <row r="29" spans="1:8" x14ac:dyDescent="0.2">
      <c r="A29" s="5">
        <v>23</v>
      </c>
      <c r="B29" s="6" t="s">
        <v>84</v>
      </c>
      <c r="C29" s="6" t="s">
        <v>85</v>
      </c>
      <c r="D29" s="6" t="s">
        <v>53</v>
      </c>
      <c r="E29" s="7">
        <v>13250</v>
      </c>
      <c r="F29" s="8">
        <v>64.964749999999995</v>
      </c>
      <c r="G29" s="9">
        <v>1.6471715000000001E-2</v>
      </c>
      <c r="H29" s="97"/>
    </row>
    <row r="30" spans="1:8" x14ac:dyDescent="0.2">
      <c r="A30" s="5">
        <v>24</v>
      </c>
      <c r="B30" s="6" t="s">
        <v>218</v>
      </c>
      <c r="C30" s="6" t="s">
        <v>219</v>
      </c>
      <c r="D30" s="6" t="s">
        <v>193</v>
      </c>
      <c r="E30" s="7">
        <v>3496</v>
      </c>
      <c r="F30" s="8">
        <v>62.218311999999997</v>
      </c>
      <c r="G30" s="9">
        <v>1.5775358999999999E-2</v>
      </c>
      <c r="H30" s="97"/>
    </row>
    <row r="31" spans="1:8" x14ac:dyDescent="0.2">
      <c r="A31" s="5">
        <v>25</v>
      </c>
      <c r="B31" s="6" t="s">
        <v>160</v>
      </c>
      <c r="C31" s="6" t="s">
        <v>161</v>
      </c>
      <c r="D31" s="6" t="s">
        <v>147</v>
      </c>
      <c r="E31" s="7">
        <v>6040</v>
      </c>
      <c r="F31" s="8">
        <v>61.789200000000001</v>
      </c>
      <c r="G31" s="9">
        <v>1.5666559E-2</v>
      </c>
      <c r="H31" s="97"/>
    </row>
    <row r="32" spans="1:8" x14ac:dyDescent="0.2">
      <c r="A32" s="5">
        <v>26</v>
      </c>
      <c r="B32" s="6" t="s">
        <v>191</v>
      </c>
      <c r="C32" s="6" t="s">
        <v>192</v>
      </c>
      <c r="D32" s="6" t="s">
        <v>193</v>
      </c>
      <c r="E32" s="7">
        <v>13550</v>
      </c>
      <c r="F32" s="8">
        <v>61.557650000000002</v>
      </c>
      <c r="G32" s="9">
        <v>1.560785E-2</v>
      </c>
      <c r="H32" s="97"/>
    </row>
    <row r="33" spans="1:8" x14ac:dyDescent="0.2">
      <c r="A33" s="5">
        <v>27</v>
      </c>
      <c r="B33" s="6" t="s">
        <v>166</v>
      </c>
      <c r="C33" s="6" t="s">
        <v>167</v>
      </c>
      <c r="D33" s="6" t="s">
        <v>1186</v>
      </c>
      <c r="E33" s="7">
        <v>17100</v>
      </c>
      <c r="F33" s="8">
        <v>60.422849999999997</v>
      </c>
      <c r="G33" s="9">
        <v>1.5320123E-2</v>
      </c>
      <c r="H33" s="97"/>
    </row>
    <row r="34" spans="1:8" x14ac:dyDescent="0.2">
      <c r="A34" s="5">
        <v>28</v>
      </c>
      <c r="B34" s="6" t="s">
        <v>198</v>
      </c>
      <c r="C34" s="6" t="s">
        <v>199</v>
      </c>
      <c r="D34" s="6" t="s">
        <v>70</v>
      </c>
      <c r="E34" s="7">
        <v>6741</v>
      </c>
      <c r="F34" s="8">
        <v>60.082532999999998</v>
      </c>
      <c r="G34" s="9">
        <v>1.5233836000000001E-2</v>
      </c>
      <c r="H34" s="97"/>
    </row>
    <row r="35" spans="1:8" ht="25.5" x14ac:dyDescent="0.2">
      <c r="A35" s="5">
        <v>29</v>
      </c>
      <c r="B35" s="6" t="s">
        <v>200</v>
      </c>
      <c r="C35" s="6" t="s">
        <v>201</v>
      </c>
      <c r="D35" s="6" t="s">
        <v>202</v>
      </c>
      <c r="E35" s="7">
        <v>14444</v>
      </c>
      <c r="F35" s="8">
        <v>58.917076000000002</v>
      </c>
      <c r="G35" s="9">
        <v>1.4938336E-2</v>
      </c>
      <c r="H35" s="97"/>
    </row>
    <row r="36" spans="1:8" x14ac:dyDescent="0.2">
      <c r="A36" s="5">
        <v>30</v>
      </c>
      <c r="B36" s="6" t="s">
        <v>196</v>
      </c>
      <c r="C36" s="6" t="s">
        <v>197</v>
      </c>
      <c r="D36" s="6" t="s">
        <v>81</v>
      </c>
      <c r="E36" s="7">
        <v>10566</v>
      </c>
      <c r="F36" s="8">
        <v>58.424697000000002</v>
      </c>
      <c r="G36" s="9">
        <v>1.4813494E-2</v>
      </c>
      <c r="H36" s="97"/>
    </row>
    <row r="37" spans="1:8" x14ac:dyDescent="0.2">
      <c r="A37" s="5">
        <v>31</v>
      </c>
      <c r="B37" s="6" t="s">
        <v>259</v>
      </c>
      <c r="C37" s="6" t="s">
        <v>260</v>
      </c>
      <c r="D37" s="6" t="s">
        <v>34</v>
      </c>
      <c r="E37" s="7">
        <v>14751</v>
      </c>
      <c r="F37" s="8">
        <v>55.2498705</v>
      </c>
      <c r="G37" s="9">
        <v>1.4008522000000001E-2</v>
      </c>
      <c r="H37" s="97"/>
    </row>
    <row r="38" spans="1:8" x14ac:dyDescent="0.2">
      <c r="A38" s="5">
        <v>32</v>
      </c>
      <c r="B38" s="6" t="s">
        <v>158</v>
      </c>
      <c r="C38" s="6" t="s">
        <v>159</v>
      </c>
      <c r="D38" s="6" t="s">
        <v>1187</v>
      </c>
      <c r="E38" s="7">
        <v>4452</v>
      </c>
      <c r="F38" s="8">
        <v>54.276558000000001</v>
      </c>
      <c r="G38" s="9">
        <v>1.376174E-2</v>
      </c>
      <c r="H38" s="97"/>
    </row>
    <row r="39" spans="1:8" x14ac:dyDescent="0.2">
      <c r="A39" s="5">
        <v>33</v>
      </c>
      <c r="B39" s="6" t="s">
        <v>181</v>
      </c>
      <c r="C39" s="6" t="s">
        <v>182</v>
      </c>
      <c r="D39" s="6" t="s">
        <v>1189</v>
      </c>
      <c r="E39" s="7">
        <v>6263</v>
      </c>
      <c r="F39" s="8">
        <v>53.633200500000001</v>
      </c>
      <c r="G39" s="9">
        <v>1.3598617E-2</v>
      </c>
      <c r="H39" s="97"/>
    </row>
    <row r="40" spans="1:8" x14ac:dyDescent="0.2">
      <c r="A40" s="5">
        <v>34</v>
      </c>
      <c r="B40" s="6" t="s">
        <v>245</v>
      </c>
      <c r="C40" s="6" t="s">
        <v>246</v>
      </c>
      <c r="D40" s="6" t="s">
        <v>247</v>
      </c>
      <c r="E40" s="7">
        <v>20978</v>
      </c>
      <c r="F40" s="8">
        <v>45.732039999999998</v>
      </c>
      <c r="G40" s="9">
        <v>1.1595289999999999E-2</v>
      </c>
      <c r="H40" s="97"/>
    </row>
    <row r="41" spans="1:8" ht="25.5" x14ac:dyDescent="0.2">
      <c r="A41" s="5">
        <v>35</v>
      </c>
      <c r="B41" s="6" t="s">
        <v>226</v>
      </c>
      <c r="C41" s="6" t="s">
        <v>227</v>
      </c>
      <c r="D41" s="6" t="s">
        <v>1191</v>
      </c>
      <c r="E41" s="7">
        <v>49629</v>
      </c>
      <c r="F41" s="8">
        <v>44.045737500000001</v>
      </c>
      <c r="G41" s="9">
        <v>1.1167730000000001E-2</v>
      </c>
      <c r="H41" s="97"/>
    </row>
    <row r="42" spans="1:8" x14ac:dyDescent="0.2">
      <c r="A42" s="5">
        <v>36</v>
      </c>
      <c r="B42" s="6" t="s">
        <v>363</v>
      </c>
      <c r="C42" s="6" t="s">
        <v>364</v>
      </c>
      <c r="D42" s="6" t="s">
        <v>238</v>
      </c>
      <c r="E42" s="7">
        <v>1151</v>
      </c>
      <c r="F42" s="8">
        <v>43.601030999999999</v>
      </c>
      <c r="G42" s="9">
        <v>1.1054975999999999E-2</v>
      </c>
      <c r="H42" s="97"/>
    </row>
    <row r="43" spans="1:8" x14ac:dyDescent="0.2">
      <c r="A43" s="5">
        <v>37</v>
      </c>
      <c r="B43" s="6" t="s">
        <v>205</v>
      </c>
      <c r="C43" s="6" t="s">
        <v>206</v>
      </c>
      <c r="D43" s="6" t="s">
        <v>1187</v>
      </c>
      <c r="E43" s="7">
        <v>7638</v>
      </c>
      <c r="F43" s="8">
        <v>42.952292999999997</v>
      </c>
      <c r="G43" s="9">
        <v>1.0890489E-2</v>
      </c>
      <c r="H43" s="97"/>
    </row>
    <row r="44" spans="1:8" x14ac:dyDescent="0.2">
      <c r="A44" s="5">
        <v>38</v>
      </c>
      <c r="B44" s="6" t="s">
        <v>152</v>
      </c>
      <c r="C44" s="6" t="s">
        <v>153</v>
      </c>
      <c r="D44" s="6" t="s">
        <v>1184</v>
      </c>
      <c r="E44" s="7">
        <v>3633</v>
      </c>
      <c r="F44" s="8">
        <v>42.943876500000002</v>
      </c>
      <c r="G44" s="9">
        <v>1.0888355000000001E-2</v>
      </c>
      <c r="H44" s="97"/>
    </row>
    <row r="45" spans="1:8" x14ac:dyDescent="0.2">
      <c r="A45" s="5">
        <v>39</v>
      </c>
      <c r="B45" s="6" t="s">
        <v>556</v>
      </c>
      <c r="C45" s="6" t="s">
        <v>557</v>
      </c>
      <c r="D45" s="6" t="s">
        <v>48</v>
      </c>
      <c r="E45" s="7">
        <v>5730</v>
      </c>
      <c r="F45" s="8">
        <v>42.783045000000001</v>
      </c>
      <c r="G45" s="9">
        <v>1.0847577000000001E-2</v>
      </c>
      <c r="H45" s="97"/>
    </row>
    <row r="46" spans="1:8" x14ac:dyDescent="0.2">
      <c r="A46" s="5">
        <v>40</v>
      </c>
      <c r="B46" s="6" t="s">
        <v>614</v>
      </c>
      <c r="C46" s="6" t="s">
        <v>615</v>
      </c>
      <c r="D46" s="6" t="s">
        <v>193</v>
      </c>
      <c r="E46" s="7">
        <v>7830</v>
      </c>
      <c r="F46" s="8">
        <v>41.244525000000003</v>
      </c>
      <c r="G46" s="9">
        <v>1.0457487E-2</v>
      </c>
      <c r="H46" s="97"/>
    </row>
    <row r="47" spans="1:8" ht="25.5" x14ac:dyDescent="0.2">
      <c r="A47" s="5">
        <v>41</v>
      </c>
      <c r="B47" s="6" t="s">
        <v>211</v>
      </c>
      <c r="C47" s="6" t="s">
        <v>212</v>
      </c>
      <c r="D47" s="6" t="s">
        <v>202</v>
      </c>
      <c r="E47" s="7">
        <v>9101</v>
      </c>
      <c r="F47" s="8">
        <v>41.077363499999997</v>
      </c>
      <c r="G47" s="9">
        <v>1.0415104E-2</v>
      </c>
      <c r="H47" s="97"/>
    </row>
    <row r="48" spans="1:8" x14ac:dyDescent="0.2">
      <c r="A48" s="5">
        <v>42</v>
      </c>
      <c r="B48" s="6" t="s">
        <v>236</v>
      </c>
      <c r="C48" s="6" t="s">
        <v>237</v>
      </c>
      <c r="D48" s="6" t="s">
        <v>238</v>
      </c>
      <c r="E48" s="7">
        <v>11027</v>
      </c>
      <c r="F48" s="8">
        <v>40.413955000000001</v>
      </c>
      <c r="G48" s="9">
        <v>1.0246897E-2</v>
      </c>
      <c r="H48" s="97"/>
    </row>
    <row r="49" spans="1:8" x14ac:dyDescent="0.2">
      <c r="A49" s="5">
        <v>43</v>
      </c>
      <c r="B49" s="6" t="s">
        <v>154</v>
      </c>
      <c r="C49" s="6" t="s">
        <v>155</v>
      </c>
      <c r="D49" s="6" t="s">
        <v>147</v>
      </c>
      <c r="E49" s="7">
        <v>3553</v>
      </c>
      <c r="F49" s="8">
        <v>40.058298499999999</v>
      </c>
      <c r="G49" s="9">
        <v>1.0156721E-2</v>
      </c>
      <c r="H49" s="97"/>
    </row>
    <row r="50" spans="1:8" x14ac:dyDescent="0.2">
      <c r="A50" s="5">
        <v>44</v>
      </c>
      <c r="B50" s="6" t="s">
        <v>282</v>
      </c>
      <c r="C50" s="6" t="s">
        <v>283</v>
      </c>
      <c r="D50" s="6" t="s">
        <v>284</v>
      </c>
      <c r="E50" s="7">
        <v>15875</v>
      </c>
      <c r="F50" s="8">
        <v>39.9176875</v>
      </c>
      <c r="G50" s="9">
        <v>1.0121069999999999E-2</v>
      </c>
      <c r="H50" s="97"/>
    </row>
    <row r="51" spans="1:8" x14ac:dyDescent="0.2">
      <c r="A51" s="5">
        <v>45</v>
      </c>
      <c r="B51" s="6" t="s">
        <v>216</v>
      </c>
      <c r="C51" s="6" t="s">
        <v>217</v>
      </c>
      <c r="D51" s="6" t="s">
        <v>1184</v>
      </c>
      <c r="E51" s="7">
        <v>2499</v>
      </c>
      <c r="F51" s="8">
        <v>39.554172000000001</v>
      </c>
      <c r="G51" s="9">
        <v>1.0028901E-2</v>
      </c>
      <c r="H51" s="97"/>
    </row>
    <row r="52" spans="1:8" x14ac:dyDescent="0.2">
      <c r="A52" s="5">
        <v>46</v>
      </c>
      <c r="B52" s="6" t="s">
        <v>170</v>
      </c>
      <c r="C52" s="6" t="s">
        <v>171</v>
      </c>
      <c r="D52" s="6" t="s">
        <v>70</v>
      </c>
      <c r="E52" s="7">
        <v>4052</v>
      </c>
      <c r="F52" s="8">
        <v>39.417856</v>
      </c>
      <c r="G52" s="9">
        <v>9.9943380000000002E-3</v>
      </c>
      <c r="H52" s="97"/>
    </row>
    <row r="53" spans="1:8" ht="25.5" x14ac:dyDescent="0.2">
      <c r="A53" s="5">
        <v>47</v>
      </c>
      <c r="B53" s="6" t="s">
        <v>207</v>
      </c>
      <c r="C53" s="6" t="s">
        <v>208</v>
      </c>
      <c r="D53" s="6" t="s">
        <v>45</v>
      </c>
      <c r="E53" s="7">
        <v>17679</v>
      </c>
      <c r="F53" s="8">
        <v>39.300417000000003</v>
      </c>
      <c r="G53" s="9">
        <v>9.9645619999999997E-3</v>
      </c>
      <c r="H53" s="97"/>
    </row>
    <row r="54" spans="1:8" ht="25.5" x14ac:dyDescent="0.2">
      <c r="A54" s="5">
        <v>48</v>
      </c>
      <c r="B54" s="6" t="s">
        <v>177</v>
      </c>
      <c r="C54" s="6" t="s">
        <v>178</v>
      </c>
      <c r="D54" s="6" t="s">
        <v>1185</v>
      </c>
      <c r="E54" s="7">
        <v>17243</v>
      </c>
      <c r="F54" s="8">
        <v>39.0295305</v>
      </c>
      <c r="G54" s="9">
        <v>9.8958789999999998E-3</v>
      </c>
      <c r="H54" s="97"/>
    </row>
    <row r="55" spans="1:8" ht="25.5" x14ac:dyDescent="0.2">
      <c r="A55" s="5">
        <v>49</v>
      </c>
      <c r="B55" s="6" t="s">
        <v>248</v>
      </c>
      <c r="C55" s="6" t="s">
        <v>249</v>
      </c>
      <c r="D55" s="6" t="s">
        <v>202</v>
      </c>
      <c r="E55" s="7">
        <v>9020</v>
      </c>
      <c r="F55" s="8">
        <v>38.718350000000001</v>
      </c>
      <c r="G55" s="9">
        <v>9.816979E-3</v>
      </c>
      <c r="H55" s="97"/>
    </row>
    <row r="56" spans="1:8" x14ac:dyDescent="0.2">
      <c r="A56" s="5">
        <v>50</v>
      </c>
      <c r="B56" s="6" t="s">
        <v>610</v>
      </c>
      <c r="C56" s="6" t="s">
        <v>611</v>
      </c>
      <c r="D56" s="6" t="s">
        <v>81</v>
      </c>
      <c r="E56" s="7">
        <v>6433</v>
      </c>
      <c r="F56" s="8">
        <v>38.459690500000001</v>
      </c>
      <c r="G56" s="9">
        <v>9.7513970000000002E-3</v>
      </c>
      <c r="H56" s="97"/>
    </row>
    <row r="57" spans="1:8" x14ac:dyDescent="0.2">
      <c r="A57" s="5">
        <v>51</v>
      </c>
      <c r="B57" s="6" t="s">
        <v>606</v>
      </c>
      <c r="C57" s="6" t="s">
        <v>607</v>
      </c>
      <c r="D57" s="6" t="s">
        <v>19</v>
      </c>
      <c r="E57" s="7">
        <v>3895</v>
      </c>
      <c r="F57" s="8">
        <v>38.235267499999999</v>
      </c>
      <c r="G57" s="9">
        <v>9.6944949999999992E-3</v>
      </c>
      <c r="H57" s="97"/>
    </row>
    <row r="58" spans="1:8" x14ac:dyDescent="0.2">
      <c r="A58" s="5">
        <v>52</v>
      </c>
      <c r="B58" s="6" t="s">
        <v>186</v>
      </c>
      <c r="C58" s="6" t="s">
        <v>187</v>
      </c>
      <c r="D58" s="6" t="s">
        <v>19</v>
      </c>
      <c r="E58" s="7">
        <v>1901</v>
      </c>
      <c r="F58" s="8">
        <v>37.794731499999997</v>
      </c>
      <c r="G58" s="9">
        <v>9.5827970000000005E-3</v>
      </c>
      <c r="H58" s="97"/>
    </row>
    <row r="59" spans="1:8" x14ac:dyDescent="0.2">
      <c r="A59" s="5">
        <v>53</v>
      </c>
      <c r="B59" s="6" t="s">
        <v>271</v>
      </c>
      <c r="C59" s="6" t="s">
        <v>272</v>
      </c>
      <c r="D59" s="6" t="s">
        <v>19</v>
      </c>
      <c r="E59" s="7">
        <v>3361</v>
      </c>
      <c r="F59" s="8">
        <v>36.414754500000001</v>
      </c>
      <c r="G59" s="9">
        <v>9.2329060000000008E-3</v>
      </c>
      <c r="H59" s="97"/>
    </row>
    <row r="60" spans="1:8" x14ac:dyDescent="0.2">
      <c r="A60" s="5">
        <v>54</v>
      </c>
      <c r="B60" s="6" t="s">
        <v>256</v>
      </c>
      <c r="C60" s="6" t="s">
        <v>257</v>
      </c>
      <c r="D60" s="6" t="s">
        <v>238</v>
      </c>
      <c r="E60" s="7">
        <v>5643</v>
      </c>
      <c r="F60" s="8">
        <v>35.248999499999996</v>
      </c>
      <c r="G60" s="9">
        <v>8.9373309999999997E-3</v>
      </c>
      <c r="H60" s="97"/>
    </row>
    <row r="61" spans="1:8" x14ac:dyDescent="0.2">
      <c r="A61" s="5">
        <v>55</v>
      </c>
      <c r="B61" s="6" t="s">
        <v>239</v>
      </c>
      <c r="C61" s="6" t="s">
        <v>240</v>
      </c>
      <c r="D61" s="6" t="s">
        <v>25</v>
      </c>
      <c r="E61" s="7">
        <v>44477</v>
      </c>
      <c r="F61" s="8">
        <v>34.958922000000001</v>
      </c>
      <c r="G61" s="9">
        <v>8.8637820000000006E-3</v>
      </c>
      <c r="H61" s="97"/>
    </row>
    <row r="62" spans="1:8" x14ac:dyDescent="0.2">
      <c r="A62" s="5">
        <v>56</v>
      </c>
      <c r="B62" s="6" t="s">
        <v>230</v>
      </c>
      <c r="C62" s="6" t="s">
        <v>231</v>
      </c>
      <c r="D62" s="6" t="s">
        <v>60</v>
      </c>
      <c r="E62" s="7">
        <v>3908</v>
      </c>
      <c r="F62" s="8">
        <v>32.780304000000001</v>
      </c>
      <c r="G62" s="9">
        <v>8.3113969999999999E-3</v>
      </c>
      <c r="H62" s="97"/>
    </row>
    <row r="63" spans="1:8" x14ac:dyDescent="0.2">
      <c r="A63" s="5">
        <v>57</v>
      </c>
      <c r="B63" s="6" t="s">
        <v>232</v>
      </c>
      <c r="C63" s="6" t="s">
        <v>233</v>
      </c>
      <c r="D63" s="6" t="s">
        <v>193</v>
      </c>
      <c r="E63" s="7">
        <v>596</v>
      </c>
      <c r="F63" s="8">
        <v>31.816863999999999</v>
      </c>
      <c r="G63" s="9">
        <v>8.0671179999999999E-3</v>
      </c>
      <c r="H63" s="97"/>
    </row>
    <row r="64" spans="1:8" x14ac:dyDescent="0.2">
      <c r="A64" s="5">
        <v>58</v>
      </c>
      <c r="B64" s="6" t="s">
        <v>254</v>
      </c>
      <c r="C64" s="6" t="s">
        <v>255</v>
      </c>
      <c r="D64" s="6" t="s">
        <v>185</v>
      </c>
      <c r="E64" s="7">
        <v>2348</v>
      </c>
      <c r="F64" s="8">
        <v>24.484943999999999</v>
      </c>
      <c r="G64" s="9">
        <v>6.2081209999999996E-3</v>
      </c>
      <c r="H64" s="97"/>
    </row>
    <row r="65" spans="1:8" x14ac:dyDescent="0.2">
      <c r="A65" s="5">
        <v>59</v>
      </c>
      <c r="B65" s="6" t="s">
        <v>250</v>
      </c>
      <c r="C65" s="6" t="s">
        <v>251</v>
      </c>
      <c r="D65" s="6" t="s">
        <v>193</v>
      </c>
      <c r="E65" s="7">
        <v>8117</v>
      </c>
      <c r="F65" s="8">
        <v>22.398861499999999</v>
      </c>
      <c r="G65" s="9">
        <v>5.6791979999999999E-3</v>
      </c>
      <c r="H65" s="97"/>
    </row>
    <row r="66" spans="1:8" x14ac:dyDescent="0.2">
      <c r="A66" s="5">
        <v>60</v>
      </c>
      <c r="B66" s="6" t="s">
        <v>241</v>
      </c>
      <c r="C66" s="6" t="s">
        <v>242</v>
      </c>
      <c r="D66" s="6" t="s">
        <v>147</v>
      </c>
      <c r="E66" s="7">
        <v>4487</v>
      </c>
      <c r="F66" s="8">
        <v>21.219023</v>
      </c>
      <c r="G66" s="9">
        <v>5.3800510000000003E-3</v>
      </c>
      <c r="H66" s="97"/>
    </row>
    <row r="67" spans="1:8" x14ac:dyDescent="0.2">
      <c r="A67" s="5">
        <v>61</v>
      </c>
      <c r="B67" s="6" t="s">
        <v>243</v>
      </c>
      <c r="C67" s="6" t="s">
        <v>244</v>
      </c>
      <c r="D67" s="6" t="s">
        <v>185</v>
      </c>
      <c r="E67" s="7">
        <v>3797</v>
      </c>
      <c r="F67" s="8">
        <v>20.978425000000001</v>
      </c>
      <c r="G67" s="9">
        <v>5.3190479999999998E-3</v>
      </c>
      <c r="H67" s="97"/>
    </row>
    <row r="68" spans="1:8" x14ac:dyDescent="0.2">
      <c r="A68" s="5">
        <v>62</v>
      </c>
      <c r="B68" s="6" t="s">
        <v>92</v>
      </c>
      <c r="C68" s="6" t="s">
        <v>93</v>
      </c>
      <c r="D68" s="6" t="s">
        <v>53</v>
      </c>
      <c r="E68" s="7">
        <v>22875</v>
      </c>
      <c r="F68" s="8">
        <v>19.683937499999999</v>
      </c>
      <c r="G68" s="9">
        <v>4.9908330000000001E-3</v>
      </c>
      <c r="H68" s="97"/>
    </row>
    <row r="69" spans="1:8" x14ac:dyDescent="0.2">
      <c r="A69" s="5">
        <v>63</v>
      </c>
      <c r="B69" s="6" t="s">
        <v>228</v>
      </c>
      <c r="C69" s="6" t="s">
        <v>229</v>
      </c>
      <c r="D69" s="6" t="s">
        <v>327</v>
      </c>
      <c r="E69" s="7">
        <v>2232</v>
      </c>
      <c r="F69" s="8">
        <v>18.934056000000002</v>
      </c>
      <c r="G69" s="9">
        <v>4.8007010000000001E-3</v>
      </c>
      <c r="H69" s="97"/>
    </row>
    <row r="70" spans="1:8" x14ac:dyDescent="0.2">
      <c r="A70" s="3"/>
      <c r="B70" s="3"/>
      <c r="C70" s="4" t="s">
        <v>97</v>
      </c>
      <c r="D70" s="3"/>
      <c r="E70" s="3" t="s">
        <v>98</v>
      </c>
      <c r="F70" s="11">
        <v>3793.431771</v>
      </c>
      <c r="G70" s="12">
        <v>0.96181892000000002</v>
      </c>
      <c r="H70" s="97"/>
    </row>
    <row r="71" spans="1:8" x14ac:dyDescent="0.2">
      <c r="A71" s="3"/>
      <c r="B71" s="3"/>
      <c r="C71" s="13"/>
      <c r="D71" s="3"/>
      <c r="E71" s="3"/>
      <c r="F71" s="14"/>
      <c r="G71" s="14"/>
      <c r="H71" s="97"/>
    </row>
    <row r="72" spans="1:8" x14ac:dyDescent="0.2">
      <c r="A72" s="3"/>
      <c r="B72" s="3"/>
      <c r="C72" s="4" t="s">
        <v>99</v>
      </c>
      <c r="D72" s="3"/>
      <c r="E72" s="3"/>
      <c r="F72" s="3"/>
      <c r="G72" s="3"/>
      <c r="H72" s="97"/>
    </row>
    <row r="73" spans="1:8" x14ac:dyDescent="0.2">
      <c r="A73" s="3"/>
      <c r="B73" s="3"/>
      <c r="C73" s="4" t="s">
        <v>97</v>
      </c>
      <c r="D73" s="3"/>
      <c r="E73" s="3" t="s">
        <v>98</v>
      </c>
      <c r="F73" s="15">
        <v>0</v>
      </c>
      <c r="G73" s="16">
        <v>0</v>
      </c>
      <c r="H73" s="97"/>
    </row>
    <row r="74" spans="1:8" x14ac:dyDescent="0.2">
      <c r="A74" s="3"/>
      <c r="B74" s="3"/>
      <c r="C74" s="13"/>
      <c r="D74" s="3"/>
      <c r="E74" s="3"/>
      <c r="F74" s="14"/>
      <c r="G74" s="14"/>
      <c r="H74" s="97"/>
    </row>
    <row r="75" spans="1:8" x14ac:dyDescent="0.2">
      <c r="A75" s="3"/>
      <c r="B75" s="3"/>
      <c r="C75" s="4" t="s">
        <v>100</v>
      </c>
      <c r="D75" s="3"/>
      <c r="E75" s="3"/>
      <c r="F75" s="3"/>
      <c r="G75" s="3"/>
      <c r="H75" s="97"/>
    </row>
    <row r="76" spans="1:8" x14ac:dyDescent="0.2">
      <c r="A76" s="3"/>
      <c r="B76" s="3"/>
      <c r="C76" s="4" t="s">
        <v>97</v>
      </c>
      <c r="D76" s="3"/>
      <c r="E76" s="3" t="s">
        <v>98</v>
      </c>
      <c r="F76" s="15">
        <v>0</v>
      </c>
      <c r="G76" s="16">
        <v>0</v>
      </c>
      <c r="H76" s="97"/>
    </row>
    <row r="77" spans="1:8" x14ac:dyDescent="0.2">
      <c r="A77" s="3"/>
      <c r="B77" s="3"/>
      <c r="C77" s="13"/>
      <c r="D77" s="3"/>
      <c r="E77" s="3"/>
      <c r="F77" s="14"/>
      <c r="G77" s="14"/>
      <c r="H77" s="97"/>
    </row>
    <row r="78" spans="1:8" x14ac:dyDescent="0.2">
      <c r="A78" s="3"/>
      <c r="B78" s="3"/>
      <c r="C78" s="4" t="s">
        <v>101</v>
      </c>
      <c r="D78" s="3"/>
      <c r="E78" s="3"/>
      <c r="F78" s="3"/>
      <c r="G78" s="3"/>
      <c r="H78" s="97"/>
    </row>
    <row r="79" spans="1:8" x14ac:dyDescent="0.2">
      <c r="A79" s="3"/>
      <c r="B79" s="3"/>
      <c r="C79" s="4" t="s">
        <v>97</v>
      </c>
      <c r="D79" s="3"/>
      <c r="E79" s="3" t="s">
        <v>98</v>
      </c>
      <c r="F79" s="15">
        <v>0</v>
      </c>
      <c r="G79" s="16">
        <v>0</v>
      </c>
      <c r="H79" s="97"/>
    </row>
    <row r="80" spans="1:8" x14ac:dyDescent="0.2">
      <c r="A80" s="3"/>
      <c r="B80" s="3"/>
      <c r="C80" s="13"/>
      <c r="D80" s="3"/>
      <c r="E80" s="3"/>
      <c r="F80" s="14"/>
      <c r="G80" s="14"/>
      <c r="H80" s="97"/>
    </row>
    <row r="81" spans="1:8" x14ac:dyDescent="0.2">
      <c r="A81" s="3"/>
      <c r="B81" s="3"/>
      <c r="C81" s="4" t="s">
        <v>102</v>
      </c>
      <c r="D81" s="3"/>
      <c r="E81" s="3"/>
      <c r="F81" s="14"/>
      <c r="G81" s="14"/>
      <c r="H81" s="97"/>
    </row>
    <row r="82" spans="1:8" x14ac:dyDescent="0.2">
      <c r="A82" s="3"/>
      <c r="B82" s="3"/>
      <c r="C82" s="4" t="s">
        <v>97</v>
      </c>
      <c r="D82" s="3"/>
      <c r="E82" s="3" t="s">
        <v>98</v>
      </c>
      <c r="F82" s="15">
        <v>0</v>
      </c>
      <c r="G82" s="16">
        <v>0</v>
      </c>
      <c r="H82" s="97"/>
    </row>
    <row r="83" spans="1:8" x14ac:dyDescent="0.2">
      <c r="A83" s="3"/>
      <c r="B83" s="3"/>
      <c r="C83" s="13"/>
      <c r="D83" s="3"/>
      <c r="E83" s="3"/>
      <c r="F83" s="14"/>
      <c r="G83" s="14"/>
      <c r="H83" s="97"/>
    </row>
    <row r="84" spans="1:8" x14ac:dyDescent="0.2">
      <c r="A84" s="3"/>
      <c r="B84" s="3"/>
      <c r="C84" s="4" t="s">
        <v>103</v>
      </c>
      <c r="D84" s="3"/>
      <c r="E84" s="3"/>
      <c r="F84" s="14"/>
      <c r="G84" s="14"/>
      <c r="H84" s="97"/>
    </row>
    <row r="85" spans="1:8" x14ac:dyDescent="0.2">
      <c r="A85" s="3"/>
      <c r="B85" s="3"/>
      <c r="C85" s="4" t="s">
        <v>97</v>
      </c>
      <c r="D85" s="3"/>
      <c r="E85" s="3" t="s">
        <v>98</v>
      </c>
      <c r="F85" s="15">
        <v>0</v>
      </c>
      <c r="G85" s="16">
        <v>0</v>
      </c>
      <c r="H85" s="97"/>
    </row>
    <row r="86" spans="1:8" x14ac:dyDescent="0.2">
      <c r="A86" s="3"/>
      <c r="B86" s="3"/>
      <c r="C86" s="13"/>
      <c r="D86" s="3"/>
      <c r="E86" s="3"/>
      <c r="F86" s="14"/>
      <c r="G86" s="14"/>
      <c r="H86" s="97"/>
    </row>
    <row r="87" spans="1:8" x14ac:dyDescent="0.2">
      <c r="A87" s="3"/>
      <c r="B87" s="3"/>
      <c r="C87" s="4" t="s">
        <v>104</v>
      </c>
      <c r="D87" s="3"/>
      <c r="E87" s="3"/>
      <c r="F87" s="11">
        <v>3793.431771</v>
      </c>
      <c r="G87" s="12">
        <v>0.96181892000000002</v>
      </c>
      <c r="H87" s="97"/>
    </row>
    <row r="88" spans="1:8" x14ac:dyDescent="0.2">
      <c r="A88" s="3"/>
      <c r="B88" s="3"/>
      <c r="C88" s="13"/>
      <c r="D88" s="3"/>
      <c r="E88" s="3"/>
      <c r="F88" s="14"/>
      <c r="G88" s="14"/>
      <c r="H88" s="97"/>
    </row>
    <row r="89" spans="1:8" x14ac:dyDescent="0.2">
      <c r="A89" s="3"/>
      <c r="B89" s="3"/>
      <c r="C89" s="4" t="s">
        <v>105</v>
      </c>
      <c r="D89" s="3"/>
      <c r="E89" s="3"/>
      <c r="F89" s="14"/>
      <c r="G89" s="14"/>
      <c r="H89" s="97"/>
    </row>
    <row r="90" spans="1:8" ht="25.5" x14ac:dyDescent="0.2">
      <c r="A90" s="3"/>
      <c r="B90" s="3"/>
      <c r="C90" s="4" t="s">
        <v>10</v>
      </c>
      <c r="D90" s="3"/>
      <c r="E90" s="3"/>
      <c r="F90" s="14"/>
      <c r="G90" s="14"/>
      <c r="H90" s="97"/>
    </row>
    <row r="91" spans="1:8" x14ac:dyDescent="0.2">
      <c r="A91" s="3"/>
      <c r="B91" s="3"/>
      <c r="C91" s="4" t="s">
        <v>97</v>
      </c>
      <c r="D91" s="3"/>
      <c r="E91" s="3" t="s">
        <v>98</v>
      </c>
      <c r="F91" s="15">
        <v>0</v>
      </c>
      <c r="G91" s="16">
        <v>0</v>
      </c>
      <c r="H91" s="97"/>
    </row>
    <row r="92" spans="1:8" x14ac:dyDescent="0.2">
      <c r="A92" s="3"/>
      <c r="B92" s="3"/>
      <c r="C92" s="13"/>
      <c r="D92" s="3"/>
      <c r="E92" s="3"/>
      <c r="F92" s="14"/>
      <c r="G92" s="14"/>
      <c r="H92" s="97"/>
    </row>
    <row r="93" spans="1:8" x14ac:dyDescent="0.2">
      <c r="A93" s="3"/>
      <c r="B93" s="3"/>
      <c r="C93" s="4" t="s">
        <v>106</v>
      </c>
      <c r="D93" s="3"/>
      <c r="E93" s="3"/>
      <c r="F93" s="3"/>
      <c r="G93" s="3"/>
      <c r="H93" s="97"/>
    </row>
    <row r="94" spans="1:8" x14ac:dyDescent="0.2">
      <c r="A94" s="3"/>
      <c r="B94" s="3"/>
      <c r="C94" s="4" t="s">
        <v>97</v>
      </c>
      <c r="D94" s="3"/>
      <c r="E94" s="3" t="s">
        <v>98</v>
      </c>
      <c r="F94" s="15">
        <v>0</v>
      </c>
      <c r="G94" s="16">
        <v>0</v>
      </c>
      <c r="H94" s="97"/>
    </row>
    <row r="95" spans="1:8" x14ac:dyDescent="0.2">
      <c r="A95" s="3"/>
      <c r="B95" s="3"/>
      <c r="C95" s="13"/>
      <c r="D95" s="3"/>
      <c r="E95" s="3"/>
      <c r="F95" s="14"/>
      <c r="G95" s="14"/>
      <c r="H95" s="97"/>
    </row>
    <row r="96" spans="1:8" x14ac:dyDescent="0.2">
      <c r="A96" s="3"/>
      <c r="B96" s="3"/>
      <c r="C96" s="4" t="s">
        <v>107</v>
      </c>
      <c r="D96" s="3"/>
      <c r="E96" s="3"/>
      <c r="F96" s="3"/>
      <c r="G96" s="3"/>
      <c r="H96" s="97"/>
    </row>
    <row r="97" spans="1:8" x14ac:dyDescent="0.2">
      <c r="A97" s="3"/>
      <c r="B97" s="3"/>
      <c r="C97" s="4" t="s">
        <v>97</v>
      </c>
      <c r="D97" s="3"/>
      <c r="E97" s="3" t="s">
        <v>98</v>
      </c>
      <c r="F97" s="15">
        <v>0</v>
      </c>
      <c r="G97" s="16">
        <v>0</v>
      </c>
      <c r="H97" s="97"/>
    </row>
    <row r="98" spans="1:8" x14ac:dyDescent="0.2">
      <c r="A98" s="3"/>
      <c r="B98" s="3"/>
      <c r="C98" s="13"/>
      <c r="D98" s="3"/>
      <c r="E98" s="3"/>
      <c r="F98" s="14"/>
      <c r="G98" s="14"/>
      <c r="H98" s="97"/>
    </row>
    <row r="99" spans="1:8" x14ac:dyDescent="0.2">
      <c r="A99" s="3"/>
      <c r="B99" s="3"/>
      <c r="C99" s="4" t="s">
        <v>108</v>
      </c>
      <c r="D99" s="3"/>
      <c r="E99" s="3"/>
      <c r="F99" s="14"/>
      <c r="G99" s="14"/>
      <c r="H99" s="97"/>
    </row>
    <row r="100" spans="1:8" x14ac:dyDescent="0.2">
      <c r="A100" s="3"/>
      <c r="B100" s="3"/>
      <c r="C100" s="4" t="s">
        <v>97</v>
      </c>
      <c r="D100" s="3"/>
      <c r="E100" s="3" t="s">
        <v>98</v>
      </c>
      <c r="F100" s="15">
        <v>0</v>
      </c>
      <c r="G100" s="16">
        <v>0</v>
      </c>
      <c r="H100" s="97"/>
    </row>
    <row r="101" spans="1:8" x14ac:dyDescent="0.2">
      <c r="A101" s="3"/>
      <c r="B101" s="3"/>
      <c r="C101" s="13"/>
      <c r="D101" s="3"/>
      <c r="E101" s="3"/>
      <c r="F101" s="14"/>
      <c r="G101" s="14"/>
      <c r="H101" s="97"/>
    </row>
    <row r="102" spans="1:8" x14ac:dyDescent="0.2">
      <c r="A102" s="3"/>
      <c r="B102" s="3"/>
      <c r="C102" s="4" t="s">
        <v>109</v>
      </c>
      <c r="D102" s="3"/>
      <c r="E102" s="3"/>
      <c r="F102" s="11">
        <v>0</v>
      </c>
      <c r="G102" s="12">
        <v>0</v>
      </c>
      <c r="H102" s="97"/>
    </row>
    <row r="103" spans="1:8" x14ac:dyDescent="0.2">
      <c r="A103" s="3"/>
      <c r="B103" s="3"/>
      <c r="C103" s="13"/>
      <c r="D103" s="3"/>
      <c r="E103" s="3"/>
      <c r="F103" s="14"/>
      <c r="G103" s="14"/>
      <c r="H103" s="97"/>
    </row>
    <row r="104" spans="1:8" x14ac:dyDescent="0.2">
      <c r="A104" s="3"/>
      <c r="B104" s="3"/>
      <c r="C104" s="4" t="s">
        <v>110</v>
      </c>
      <c r="D104" s="3"/>
      <c r="E104" s="3"/>
      <c r="F104" s="14"/>
      <c r="G104" s="14"/>
      <c r="H104" s="97"/>
    </row>
    <row r="105" spans="1:8" x14ac:dyDescent="0.2">
      <c r="A105" s="3"/>
      <c r="B105" s="3"/>
      <c r="C105" s="4" t="s">
        <v>111</v>
      </c>
      <c r="D105" s="3"/>
      <c r="E105" s="3"/>
      <c r="F105" s="14"/>
      <c r="G105" s="14"/>
      <c r="H105" s="97"/>
    </row>
    <row r="106" spans="1:8" x14ac:dyDescent="0.2">
      <c r="A106" s="3"/>
      <c r="B106" s="3"/>
      <c r="C106" s="4" t="s">
        <v>97</v>
      </c>
      <c r="D106" s="3"/>
      <c r="E106" s="3" t="s">
        <v>98</v>
      </c>
      <c r="F106" s="15">
        <v>0</v>
      </c>
      <c r="G106" s="16">
        <v>0</v>
      </c>
      <c r="H106" s="97"/>
    </row>
    <row r="107" spans="1:8" x14ac:dyDescent="0.2">
      <c r="A107" s="3"/>
      <c r="B107" s="3"/>
      <c r="C107" s="13"/>
      <c r="D107" s="3"/>
      <c r="E107" s="3"/>
      <c r="F107" s="14"/>
      <c r="G107" s="14"/>
      <c r="H107" s="97"/>
    </row>
    <row r="108" spans="1:8" x14ac:dyDescent="0.2">
      <c r="A108" s="3"/>
      <c r="B108" s="3"/>
      <c r="C108" s="4" t="s">
        <v>112</v>
      </c>
      <c r="D108" s="3"/>
      <c r="E108" s="3"/>
      <c r="F108" s="14"/>
      <c r="G108" s="14"/>
      <c r="H108" s="97"/>
    </row>
    <row r="109" spans="1:8" x14ac:dyDescent="0.2">
      <c r="A109" s="3"/>
      <c r="B109" s="3"/>
      <c r="C109" s="4" t="s">
        <v>97</v>
      </c>
      <c r="D109" s="3"/>
      <c r="E109" s="3" t="s">
        <v>98</v>
      </c>
      <c r="F109" s="15">
        <v>0</v>
      </c>
      <c r="G109" s="16">
        <v>0</v>
      </c>
      <c r="H109" s="97"/>
    </row>
    <row r="110" spans="1:8" x14ac:dyDescent="0.2">
      <c r="A110" s="3"/>
      <c r="B110" s="3"/>
      <c r="C110" s="13"/>
      <c r="D110" s="3"/>
      <c r="E110" s="3"/>
      <c r="F110" s="14"/>
      <c r="G110" s="14"/>
      <c r="H110" s="97"/>
    </row>
    <row r="111" spans="1:8" x14ac:dyDescent="0.2">
      <c r="A111" s="3"/>
      <c r="B111" s="3"/>
      <c r="C111" s="4" t="s">
        <v>113</v>
      </c>
      <c r="D111" s="3"/>
      <c r="E111" s="3"/>
      <c r="F111" s="14"/>
      <c r="G111" s="14"/>
      <c r="H111" s="97"/>
    </row>
    <row r="112" spans="1:8" x14ac:dyDescent="0.2">
      <c r="A112" s="3"/>
      <c r="B112" s="3"/>
      <c r="C112" s="4" t="s">
        <v>97</v>
      </c>
      <c r="D112" s="3"/>
      <c r="E112" s="3" t="s">
        <v>98</v>
      </c>
      <c r="F112" s="15">
        <v>0</v>
      </c>
      <c r="G112" s="16">
        <v>0</v>
      </c>
      <c r="H112" s="97"/>
    </row>
    <row r="113" spans="1:8" x14ac:dyDescent="0.2">
      <c r="A113" s="3"/>
      <c r="B113" s="3"/>
      <c r="C113" s="13"/>
      <c r="D113" s="3"/>
      <c r="E113" s="3"/>
      <c r="F113" s="14"/>
      <c r="G113" s="14"/>
      <c r="H113" s="97"/>
    </row>
    <row r="114" spans="1:8" x14ac:dyDescent="0.2">
      <c r="A114" s="3"/>
      <c r="B114" s="3"/>
      <c r="C114" s="4" t="s">
        <v>114</v>
      </c>
      <c r="D114" s="3"/>
      <c r="E114" s="3"/>
      <c r="F114" s="14"/>
      <c r="G114" s="14"/>
      <c r="H114" s="97"/>
    </row>
    <row r="115" spans="1:8" x14ac:dyDescent="0.2">
      <c r="A115" s="5">
        <v>1</v>
      </c>
      <c r="B115" s="6"/>
      <c r="C115" s="6" t="s">
        <v>115</v>
      </c>
      <c r="D115" s="6"/>
      <c r="E115" s="10"/>
      <c r="F115" s="8">
        <v>74.417394799999997</v>
      </c>
      <c r="G115" s="9">
        <v>1.8868418000000001E-2</v>
      </c>
      <c r="H115" s="8">
        <v>3.4504560529072292</v>
      </c>
    </row>
    <row r="116" spans="1:8" x14ac:dyDescent="0.2">
      <c r="A116" s="5">
        <v>2</v>
      </c>
      <c r="B116" s="6"/>
      <c r="C116" s="6" t="s">
        <v>116</v>
      </c>
      <c r="D116" s="6"/>
      <c r="E116" s="10"/>
      <c r="F116" s="8">
        <v>40.163662299999999</v>
      </c>
      <c r="G116" s="9">
        <v>1.0183436000000001E-2</v>
      </c>
      <c r="H116" s="8">
        <v>3.5655822479098256</v>
      </c>
    </row>
    <row r="117" spans="1:8" x14ac:dyDescent="0.2">
      <c r="A117" s="3"/>
      <c r="B117" s="3"/>
      <c r="C117" s="4" t="s">
        <v>97</v>
      </c>
      <c r="D117" s="3"/>
      <c r="E117" s="3" t="s">
        <v>98</v>
      </c>
      <c r="F117" s="11">
        <v>114.5810571</v>
      </c>
      <c r="G117" s="12">
        <v>2.9051853999999998E-2</v>
      </c>
      <c r="H117" s="97"/>
    </row>
    <row r="118" spans="1:8" x14ac:dyDescent="0.2">
      <c r="A118" s="3"/>
      <c r="B118" s="3"/>
      <c r="C118" s="13"/>
      <c r="D118" s="3"/>
      <c r="E118" s="3"/>
      <c r="F118" s="14"/>
      <c r="G118" s="14"/>
      <c r="H118" s="97"/>
    </row>
    <row r="119" spans="1:8" x14ac:dyDescent="0.2">
      <c r="A119" s="3"/>
      <c r="B119" s="3"/>
      <c r="C119" s="4" t="s">
        <v>117</v>
      </c>
      <c r="D119" s="3"/>
      <c r="E119" s="3"/>
      <c r="F119" s="11">
        <v>114.5810571</v>
      </c>
      <c r="G119" s="12">
        <v>2.9051853999999998E-2</v>
      </c>
      <c r="H119" s="97"/>
    </row>
    <row r="120" spans="1:8" x14ac:dyDescent="0.2">
      <c r="A120" s="3"/>
      <c r="B120" s="3"/>
      <c r="C120" s="14"/>
      <c r="D120" s="3"/>
      <c r="E120" s="3"/>
      <c r="F120" s="3"/>
      <c r="G120" s="3"/>
      <c r="H120" s="97"/>
    </row>
    <row r="121" spans="1:8" x14ac:dyDescent="0.2">
      <c r="A121" s="3"/>
      <c r="B121" s="3"/>
      <c r="C121" s="4" t="s">
        <v>118</v>
      </c>
      <c r="D121" s="3"/>
      <c r="E121" s="3"/>
      <c r="F121" s="3"/>
      <c r="G121" s="3"/>
      <c r="H121" s="97"/>
    </row>
    <row r="122" spans="1:8" x14ac:dyDescent="0.2">
      <c r="A122" s="3"/>
      <c r="B122" s="3"/>
      <c r="C122" s="4" t="s">
        <v>119</v>
      </c>
      <c r="D122" s="3"/>
      <c r="E122" s="3"/>
      <c r="F122" s="3"/>
      <c r="G122" s="3"/>
      <c r="H122" s="97"/>
    </row>
    <row r="123" spans="1:8" x14ac:dyDescent="0.2">
      <c r="A123" s="3"/>
      <c r="B123" s="3"/>
      <c r="C123" s="4" t="s">
        <v>97</v>
      </c>
      <c r="D123" s="3"/>
      <c r="E123" s="3" t="s">
        <v>98</v>
      </c>
      <c r="F123" s="15">
        <v>0</v>
      </c>
      <c r="G123" s="16">
        <v>0</v>
      </c>
      <c r="H123" s="97"/>
    </row>
    <row r="124" spans="1:8" x14ac:dyDescent="0.2">
      <c r="A124" s="3"/>
      <c r="B124" s="3"/>
      <c r="C124" s="13"/>
      <c r="D124" s="3"/>
      <c r="E124" s="3"/>
      <c r="F124" s="14"/>
      <c r="G124" s="14"/>
      <c r="H124" s="97"/>
    </row>
    <row r="125" spans="1:8" x14ac:dyDescent="0.2">
      <c r="A125" s="3"/>
      <c r="B125" s="3"/>
      <c r="C125" s="4" t="s">
        <v>120</v>
      </c>
      <c r="D125" s="3"/>
      <c r="E125" s="3"/>
      <c r="F125" s="3"/>
      <c r="G125" s="3"/>
      <c r="H125" s="97"/>
    </row>
    <row r="126" spans="1:8" x14ac:dyDescent="0.2">
      <c r="A126" s="3"/>
      <c r="B126" s="3"/>
      <c r="C126" s="4" t="s">
        <v>121</v>
      </c>
      <c r="D126" s="3"/>
      <c r="E126" s="3"/>
      <c r="F126" s="3"/>
      <c r="G126" s="3"/>
      <c r="H126" s="97"/>
    </row>
    <row r="127" spans="1:8" x14ac:dyDescent="0.2">
      <c r="A127" s="3"/>
      <c r="B127" s="3"/>
      <c r="C127" s="4" t="s">
        <v>97</v>
      </c>
      <c r="D127" s="3"/>
      <c r="E127" s="3" t="s">
        <v>98</v>
      </c>
      <c r="F127" s="15">
        <v>0</v>
      </c>
      <c r="G127" s="16">
        <v>0</v>
      </c>
      <c r="H127" s="97"/>
    </row>
    <row r="128" spans="1:8" x14ac:dyDescent="0.2">
      <c r="A128" s="3"/>
      <c r="B128" s="3"/>
      <c r="C128" s="13"/>
      <c r="D128" s="3"/>
      <c r="E128" s="3"/>
      <c r="F128" s="14"/>
      <c r="G128" s="14"/>
      <c r="H128" s="97"/>
    </row>
    <row r="129" spans="1:8" x14ac:dyDescent="0.2">
      <c r="A129" s="3"/>
      <c r="B129" s="3"/>
      <c r="C129" s="13"/>
      <c r="D129" s="3"/>
      <c r="E129" s="3"/>
      <c r="F129" s="14"/>
      <c r="G129" s="14"/>
      <c r="H129" s="97"/>
    </row>
    <row r="130" spans="1:8" ht="25.5" x14ac:dyDescent="0.2">
      <c r="A130" s="3"/>
      <c r="B130" s="3"/>
      <c r="C130" s="4" t="s">
        <v>122</v>
      </c>
      <c r="D130" s="3"/>
      <c r="E130" s="3"/>
      <c r="F130" s="14"/>
      <c r="G130" s="14"/>
      <c r="H130" s="97"/>
    </row>
    <row r="131" spans="1:8" x14ac:dyDescent="0.2">
      <c r="A131" s="3"/>
      <c r="B131" s="3"/>
      <c r="C131" s="4" t="s">
        <v>97</v>
      </c>
      <c r="D131" s="3"/>
      <c r="E131" s="3" t="s">
        <v>98</v>
      </c>
      <c r="F131" s="15">
        <v>0</v>
      </c>
      <c r="G131" s="16">
        <v>0</v>
      </c>
      <c r="H131" s="97"/>
    </row>
    <row r="132" spans="1:8" x14ac:dyDescent="0.2">
      <c r="A132" s="3"/>
      <c r="B132" s="3"/>
      <c r="C132" s="13"/>
      <c r="D132" s="3"/>
      <c r="E132" s="3"/>
      <c r="F132" s="14"/>
      <c r="G132" s="14"/>
      <c r="H132" s="97"/>
    </row>
    <row r="133" spans="1:8" x14ac:dyDescent="0.2">
      <c r="A133" s="3"/>
      <c r="B133" s="6"/>
      <c r="C133" s="6"/>
      <c r="D133" s="4"/>
      <c r="E133" s="3"/>
      <c r="F133" s="6"/>
      <c r="G133" s="10"/>
      <c r="H133" s="97"/>
    </row>
    <row r="134" spans="1:8" x14ac:dyDescent="0.2">
      <c r="A134" s="10"/>
      <c r="B134" s="6"/>
      <c r="C134" s="6" t="s">
        <v>123</v>
      </c>
      <c r="D134" s="6"/>
      <c r="E134" s="10"/>
      <c r="F134" s="8">
        <v>36.005848710000002</v>
      </c>
      <c r="G134" s="9">
        <v>9.1292290000000009E-3</v>
      </c>
      <c r="H134" s="97"/>
    </row>
    <row r="135" spans="1:8" x14ac:dyDescent="0.2">
      <c r="A135" s="13"/>
      <c r="B135" s="13"/>
      <c r="C135" s="4" t="s">
        <v>124</v>
      </c>
      <c r="D135" s="17"/>
      <c r="E135" s="17"/>
      <c r="F135" s="11">
        <v>3944.0186768100002</v>
      </c>
      <c r="G135" s="12">
        <v>1.000000003</v>
      </c>
      <c r="H135" s="97"/>
    </row>
    <row r="136" spans="1:8" ht="14.1" customHeight="1" x14ac:dyDescent="0.2">
      <c r="A136" s="20"/>
      <c r="B136" s="226" t="s">
        <v>98</v>
      </c>
      <c r="C136" s="226"/>
      <c r="D136" s="226"/>
      <c r="E136" s="226"/>
      <c r="F136" s="226"/>
      <c r="G136" s="22"/>
    </row>
    <row r="137" spans="1:8" ht="14.1" customHeight="1" x14ac:dyDescent="0.2">
      <c r="A137" s="20"/>
      <c r="B137" s="20"/>
      <c r="C137" s="20"/>
      <c r="D137" s="22"/>
      <c r="E137" s="22"/>
      <c r="F137" s="22"/>
      <c r="G137" s="22"/>
    </row>
    <row r="138" spans="1:8" ht="14.1" customHeight="1" x14ac:dyDescent="0.2">
      <c r="A138" s="20"/>
      <c r="B138" s="224" t="s">
        <v>126</v>
      </c>
      <c r="C138" s="225"/>
      <c r="D138" s="14" t="s">
        <v>98</v>
      </c>
      <c r="E138" s="23"/>
      <c r="F138" s="22"/>
      <c r="G138" s="22"/>
    </row>
    <row r="139" spans="1:8" ht="29.1" customHeight="1" x14ac:dyDescent="0.2">
      <c r="A139" s="20"/>
      <c r="B139" s="231" t="s">
        <v>127</v>
      </c>
      <c r="C139" s="232"/>
      <c r="D139" s="4" t="s">
        <v>128</v>
      </c>
      <c r="E139" s="23"/>
      <c r="F139" s="22"/>
      <c r="G139" s="22"/>
    </row>
    <row r="140" spans="1:8" ht="17.100000000000001" customHeight="1" x14ac:dyDescent="0.2">
      <c r="A140" s="20"/>
      <c r="B140" s="231" t="s">
        <v>129</v>
      </c>
      <c r="C140" s="232"/>
      <c r="D140" s="4" t="s">
        <v>128</v>
      </c>
      <c r="E140" s="23"/>
      <c r="F140" s="22"/>
      <c r="G140" s="22"/>
    </row>
    <row r="141" spans="1:8" ht="17.100000000000001" customHeight="1" x14ac:dyDescent="0.2">
      <c r="A141" s="20"/>
      <c r="B141" s="231" t="s">
        <v>130</v>
      </c>
      <c r="C141" s="232"/>
      <c r="D141" s="14" t="s">
        <v>98</v>
      </c>
      <c r="E141" s="23"/>
      <c r="F141" s="22"/>
      <c r="G141" s="22"/>
    </row>
    <row r="142" spans="1:8" ht="24" customHeight="1" x14ac:dyDescent="0.2">
      <c r="A142" s="24"/>
      <c r="B142" s="25" t="s">
        <v>98</v>
      </c>
      <c r="C142" s="25" t="s">
        <v>131</v>
      </c>
      <c r="D142" s="25" t="s">
        <v>132</v>
      </c>
      <c r="E142" s="24"/>
      <c r="F142" s="24"/>
      <c r="G142" s="24"/>
    </row>
    <row r="143" spans="1:8" ht="18" customHeight="1" x14ac:dyDescent="0.2">
      <c r="A143" s="24"/>
      <c r="B143" s="25" t="s">
        <v>133</v>
      </c>
      <c r="C143" s="25" t="s">
        <v>134</v>
      </c>
      <c r="D143" s="25" t="s">
        <v>135</v>
      </c>
      <c r="E143" s="24"/>
      <c r="F143" s="24"/>
      <c r="G143" s="24"/>
    </row>
    <row r="144" spans="1:8" ht="17.100000000000001" customHeight="1" x14ac:dyDescent="0.2">
      <c r="A144" s="24"/>
      <c r="B144" s="6" t="s">
        <v>136</v>
      </c>
      <c r="C144" s="26">
        <v>15.2921</v>
      </c>
      <c r="D144" s="26">
        <v>15.868600000000001</v>
      </c>
      <c r="E144" s="24"/>
      <c r="F144" s="21"/>
      <c r="G144" s="27"/>
    </row>
    <row r="145" spans="1:17" ht="17.100000000000001" customHeight="1" x14ac:dyDescent="0.2">
      <c r="A145" s="24"/>
      <c r="B145" s="6" t="s">
        <v>1201</v>
      </c>
      <c r="C145" s="26">
        <v>15.2921</v>
      </c>
      <c r="D145" s="26">
        <v>15.868600000000001</v>
      </c>
      <c r="E145" s="24"/>
      <c r="F145" s="21"/>
      <c r="G145" s="27"/>
    </row>
    <row r="146" spans="1:17" ht="17.100000000000001" customHeight="1" x14ac:dyDescent="0.2">
      <c r="A146" s="24"/>
      <c r="B146" s="6" t="s">
        <v>137</v>
      </c>
      <c r="C146" s="26">
        <v>14.931900000000001</v>
      </c>
      <c r="D146" s="26">
        <v>15.4895</v>
      </c>
      <c r="E146" s="24"/>
      <c r="F146" s="21"/>
      <c r="G146" s="27"/>
    </row>
    <row r="147" spans="1:17" ht="17.100000000000001" customHeight="1" x14ac:dyDescent="0.2">
      <c r="A147" s="24"/>
      <c r="B147" s="6" t="s">
        <v>1202</v>
      </c>
      <c r="C147" s="26">
        <v>14.931900000000001</v>
      </c>
      <c r="D147" s="26">
        <v>15.489599999999999</v>
      </c>
      <c r="E147" s="24"/>
      <c r="F147" s="21"/>
      <c r="G147" s="27"/>
    </row>
    <row r="148" spans="1:17" ht="14.1" customHeight="1" x14ac:dyDescent="0.2">
      <c r="A148" s="24"/>
      <c r="B148" s="24"/>
      <c r="C148" s="24"/>
      <c r="D148" s="24"/>
      <c r="E148" s="24"/>
      <c r="F148" s="24"/>
      <c r="G148" s="24"/>
    </row>
    <row r="149" spans="1:17" ht="17.100000000000001" customHeight="1" x14ac:dyDescent="0.2">
      <c r="A149" s="24"/>
      <c r="B149" s="231" t="s">
        <v>1203</v>
      </c>
      <c r="C149" s="232"/>
      <c r="D149" s="4" t="s">
        <v>128</v>
      </c>
      <c r="E149" s="24"/>
      <c r="F149" s="24"/>
      <c r="G149" s="24"/>
    </row>
    <row r="150" spans="1:17" ht="18" customHeight="1" x14ac:dyDescent="0.2">
      <c r="A150" s="24"/>
      <c r="B150" s="28"/>
      <c r="C150" s="28"/>
      <c r="D150" s="29"/>
      <c r="E150" s="24"/>
      <c r="F150" s="24"/>
      <c r="G150" s="24"/>
    </row>
    <row r="151" spans="1:17" s="87" customFormat="1" x14ac:dyDescent="0.2">
      <c r="B151" s="233" t="s">
        <v>1207</v>
      </c>
      <c r="C151" s="233"/>
      <c r="D151" s="233"/>
      <c r="E151" s="233"/>
      <c r="F151" s="233"/>
      <c r="I151"/>
      <c r="J151"/>
      <c r="K151"/>
      <c r="L151"/>
      <c r="M151"/>
      <c r="N151"/>
      <c r="O151"/>
      <c r="P151" s="69"/>
      <c r="Q151" s="69"/>
    </row>
    <row r="152" spans="1:17" ht="14.1" customHeight="1" x14ac:dyDescent="0.2">
      <c r="A152" s="24"/>
      <c r="B152" s="21"/>
      <c r="C152" s="21"/>
      <c r="D152" s="24"/>
      <c r="E152" s="24"/>
      <c r="F152" s="24"/>
      <c r="G152" s="24"/>
    </row>
    <row r="153" spans="1:17" ht="29.1" customHeight="1" x14ac:dyDescent="0.2">
      <c r="A153" s="24"/>
      <c r="B153" s="231" t="s">
        <v>138</v>
      </c>
      <c r="C153" s="232"/>
      <c r="D153" s="4" t="s">
        <v>128</v>
      </c>
      <c r="E153" s="24"/>
      <c r="F153" s="24"/>
      <c r="G153" s="24"/>
    </row>
    <row r="154" spans="1:17" ht="29.1" customHeight="1" x14ac:dyDescent="0.2">
      <c r="A154" s="24"/>
      <c r="B154" s="231" t="s">
        <v>139</v>
      </c>
      <c r="C154" s="232"/>
      <c r="D154" s="4" t="s">
        <v>128</v>
      </c>
      <c r="E154" s="24"/>
      <c r="F154" s="24"/>
      <c r="G154" s="24"/>
    </row>
    <row r="155" spans="1:17" ht="17.100000000000001" customHeight="1" x14ac:dyDescent="0.2">
      <c r="A155" s="24"/>
      <c r="B155" s="231" t="s">
        <v>140</v>
      </c>
      <c r="C155" s="232"/>
      <c r="D155" s="30">
        <v>0.26362601063217656</v>
      </c>
      <c r="E155" s="24"/>
      <c r="F155" s="21"/>
      <c r="G155" s="27"/>
      <c r="I155" s="87"/>
      <c r="J155" s="87"/>
      <c r="K155" s="87"/>
      <c r="L155" s="87"/>
      <c r="M155" s="87"/>
      <c r="N155" s="87"/>
      <c r="O155" s="87"/>
    </row>
    <row r="156" spans="1:17" ht="17.100000000000001" customHeight="1" x14ac:dyDescent="0.2">
      <c r="A156" s="24"/>
      <c r="B156" s="231" t="s">
        <v>141</v>
      </c>
      <c r="C156" s="232"/>
      <c r="D156" s="4" t="s">
        <v>128</v>
      </c>
      <c r="E156" s="24"/>
      <c r="F156" s="24"/>
      <c r="G156" s="24"/>
    </row>
  </sheetData>
  <mergeCells count="15">
    <mergeCell ref="B155:C155"/>
    <mergeCell ref="B156:C156"/>
    <mergeCell ref="B139:C139"/>
    <mergeCell ref="B140:C140"/>
    <mergeCell ref="B141:C141"/>
    <mergeCell ref="B149:C149"/>
    <mergeCell ref="B153:C153"/>
    <mergeCell ref="B154:C154"/>
    <mergeCell ref="B151:F151"/>
    <mergeCell ref="J2:N2"/>
    <mergeCell ref="B138:C138"/>
    <mergeCell ref="B136:F136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2">
    <outlinePr summaryBelow="0" summaryRight="0"/>
  </sheetPr>
  <dimension ref="A1:Q157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6" ht="15" x14ac:dyDescent="0.2">
      <c r="A1" s="227" t="s">
        <v>0</v>
      </c>
      <c r="B1" s="227"/>
      <c r="C1" s="227"/>
      <c r="D1" s="227"/>
      <c r="E1" s="227"/>
      <c r="F1" s="227"/>
      <c r="G1" s="227"/>
      <c r="H1" s="227"/>
    </row>
    <row r="2" spans="1:16" s="87" customFormat="1" ht="15" x14ac:dyDescent="0.2">
      <c r="A2" s="228" t="s">
        <v>633</v>
      </c>
      <c r="B2" s="229"/>
      <c r="C2" s="229"/>
      <c r="D2" s="229"/>
      <c r="E2" s="229"/>
      <c r="F2" s="229"/>
      <c r="G2" s="229"/>
      <c r="H2" s="230"/>
      <c r="I2"/>
      <c r="J2" s="223" t="s">
        <v>1238</v>
      </c>
      <c r="K2" s="223"/>
      <c r="L2" s="223"/>
      <c r="M2" s="223"/>
      <c r="N2" s="223"/>
      <c r="O2"/>
      <c r="P2"/>
    </row>
    <row r="3" spans="1:16" ht="15" x14ac:dyDescent="0.2">
      <c r="A3" s="227" t="s">
        <v>1208</v>
      </c>
      <c r="B3" s="227"/>
      <c r="C3" s="227"/>
      <c r="D3" s="227"/>
      <c r="E3" s="227"/>
      <c r="F3" s="227"/>
      <c r="G3" s="227"/>
      <c r="H3" s="227"/>
    </row>
    <row r="4" spans="1:16" s="113" customFormat="1" ht="30" x14ac:dyDescent="0.2">
      <c r="A4" s="1" t="s">
        <v>2</v>
      </c>
      <c r="B4" s="1" t="s">
        <v>3</v>
      </c>
      <c r="C4" s="1" t="s">
        <v>4</v>
      </c>
      <c r="D4" s="1" t="s">
        <v>5</v>
      </c>
      <c r="E4" s="2" t="s">
        <v>6</v>
      </c>
      <c r="F4" s="2" t="s">
        <v>7</v>
      </c>
      <c r="G4" s="2" t="s">
        <v>8</v>
      </c>
      <c r="H4" s="96" t="s">
        <v>1167</v>
      </c>
      <c r="I4" s="183"/>
      <c r="J4" s="183"/>
      <c r="K4" s="183"/>
      <c r="L4" s="183"/>
      <c r="M4" s="183"/>
      <c r="N4" s="183"/>
      <c r="O4" s="183"/>
      <c r="P4" s="183"/>
    </row>
    <row r="5" spans="1:16" ht="14.1" customHeight="1" x14ac:dyDescent="0.2">
      <c r="A5" s="3"/>
      <c r="B5" s="3"/>
      <c r="C5" s="4" t="s">
        <v>9</v>
      </c>
      <c r="D5" s="3"/>
      <c r="E5" s="3"/>
      <c r="F5" s="3"/>
      <c r="G5" s="3"/>
      <c r="H5" s="97"/>
    </row>
    <row r="6" spans="1:16" ht="24" customHeight="1" x14ac:dyDescent="0.2">
      <c r="A6" s="3"/>
      <c r="B6" s="3"/>
      <c r="C6" s="4" t="s">
        <v>10</v>
      </c>
      <c r="D6" s="3"/>
      <c r="E6" s="3"/>
      <c r="F6" s="3"/>
      <c r="G6" s="3"/>
      <c r="H6" s="97"/>
    </row>
    <row r="7" spans="1:16" x14ac:dyDescent="0.2">
      <c r="A7" s="5">
        <v>1</v>
      </c>
      <c r="B7" s="6" t="s">
        <v>164</v>
      </c>
      <c r="C7" s="6" t="s">
        <v>165</v>
      </c>
      <c r="D7" s="6" t="s">
        <v>19</v>
      </c>
      <c r="E7" s="7">
        <v>7188</v>
      </c>
      <c r="F7" s="8">
        <v>83.959434000000002</v>
      </c>
      <c r="G7" s="9">
        <v>3.3791816000000002E-2</v>
      </c>
      <c r="H7" s="97"/>
    </row>
    <row r="8" spans="1:16" ht="25.5" x14ac:dyDescent="0.2">
      <c r="A8" s="5">
        <v>2</v>
      </c>
      <c r="B8" s="6" t="s">
        <v>143</v>
      </c>
      <c r="C8" s="6" t="s">
        <v>144</v>
      </c>
      <c r="D8" s="6" t="s">
        <v>45</v>
      </c>
      <c r="E8" s="7">
        <v>41594</v>
      </c>
      <c r="F8" s="8">
        <v>80.921126999999998</v>
      </c>
      <c r="G8" s="9">
        <v>3.2568963999999999E-2</v>
      </c>
      <c r="H8" s="97"/>
    </row>
    <row r="9" spans="1:16" x14ac:dyDescent="0.2">
      <c r="A9" s="5">
        <v>3</v>
      </c>
      <c r="B9" s="6" t="s">
        <v>74</v>
      </c>
      <c r="C9" s="6" t="s">
        <v>75</v>
      </c>
      <c r="D9" s="6" t="s">
        <v>70</v>
      </c>
      <c r="E9" s="7">
        <v>18542</v>
      </c>
      <c r="F9" s="8">
        <v>77.839315999999997</v>
      </c>
      <c r="G9" s="9">
        <v>3.1328602999999997E-2</v>
      </c>
      <c r="H9" s="97"/>
    </row>
    <row r="10" spans="1:16" x14ac:dyDescent="0.2">
      <c r="A10" s="5">
        <v>4</v>
      </c>
      <c r="B10" s="6" t="s">
        <v>274</v>
      </c>
      <c r="C10" s="6" t="s">
        <v>275</v>
      </c>
      <c r="D10" s="6" t="s">
        <v>185</v>
      </c>
      <c r="E10" s="7">
        <v>1808</v>
      </c>
      <c r="F10" s="8">
        <v>75.728080000000006</v>
      </c>
      <c r="G10" s="9">
        <v>3.0478878000000001E-2</v>
      </c>
      <c r="H10" s="97"/>
    </row>
    <row r="11" spans="1:16" x14ac:dyDescent="0.2">
      <c r="A11" s="5">
        <v>5</v>
      </c>
      <c r="B11" s="6" t="s">
        <v>41</v>
      </c>
      <c r="C11" s="6" t="s">
        <v>42</v>
      </c>
      <c r="D11" s="6" t="s">
        <v>19</v>
      </c>
      <c r="E11" s="7">
        <v>5966</v>
      </c>
      <c r="F11" s="8">
        <v>72.800115000000005</v>
      </c>
      <c r="G11" s="9">
        <v>2.9300435999999999E-2</v>
      </c>
      <c r="H11" s="97"/>
    </row>
    <row r="12" spans="1:16" x14ac:dyDescent="0.2">
      <c r="A12" s="5">
        <v>6</v>
      </c>
      <c r="B12" s="6" t="s">
        <v>576</v>
      </c>
      <c r="C12" s="6" t="s">
        <v>577</v>
      </c>
      <c r="D12" s="6" t="s">
        <v>70</v>
      </c>
      <c r="E12" s="7">
        <v>19247</v>
      </c>
      <c r="F12" s="8">
        <v>72.320602500000007</v>
      </c>
      <c r="G12" s="9">
        <v>2.9107443E-2</v>
      </c>
      <c r="H12" s="97"/>
    </row>
    <row r="13" spans="1:16" x14ac:dyDescent="0.2">
      <c r="A13" s="5">
        <v>7</v>
      </c>
      <c r="B13" s="6" t="s">
        <v>148</v>
      </c>
      <c r="C13" s="6" t="s">
        <v>149</v>
      </c>
      <c r="D13" s="6" t="s">
        <v>70</v>
      </c>
      <c r="E13" s="7">
        <v>11327</v>
      </c>
      <c r="F13" s="8">
        <v>67.724132999999995</v>
      </c>
      <c r="G13" s="9">
        <v>2.7257466000000001E-2</v>
      </c>
      <c r="H13" s="97"/>
    </row>
    <row r="14" spans="1:16" x14ac:dyDescent="0.2">
      <c r="A14" s="5">
        <v>8</v>
      </c>
      <c r="B14" s="6" t="s">
        <v>150</v>
      </c>
      <c r="C14" s="6" t="s">
        <v>151</v>
      </c>
      <c r="D14" s="6" t="s">
        <v>81</v>
      </c>
      <c r="E14" s="7">
        <v>59758</v>
      </c>
      <c r="F14" s="8">
        <v>66.241743</v>
      </c>
      <c r="G14" s="9">
        <v>2.6660837E-2</v>
      </c>
      <c r="H14" s="97"/>
    </row>
    <row r="15" spans="1:16" x14ac:dyDescent="0.2">
      <c r="A15" s="5">
        <v>9</v>
      </c>
      <c r="B15" s="6" t="s">
        <v>263</v>
      </c>
      <c r="C15" s="6" t="s">
        <v>264</v>
      </c>
      <c r="D15" s="6" t="s">
        <v>147</v>
      </c>
      <c r="E15" s="7">
        <v>10518</v>
      </c>
      <c r="F15" s="8">
        <v>64.470080999999993</v>
      </c>
      <c r="G15" s="9">
        <v>2.5947781999999999E-2</v>
      </c>
      <c r="H15" s="97"/>
    </row>
    <row r="16" spans="1:16" ht="15" x14ac:dyDescent="0.2">
      <c r="A16" s="5">
        <v>10</v>
      </c>
      <c r="B16" s="6" t="s">
        <v>145</v>
      </c>
      <c r="C16" s="6" t="s">
        <v>146</v>
      </c>
      <c r="D16" s="6" t="s">
        <v>147</v>
      </c>
      <c r="E16" s="7">
        <v>1308</v>
      </c>
      <c r="F16" s="8">
        <v>64.148898000000003</v>
      </c>
      <c r="G16" s="9">
        <v>2.5818513000000001E-2</v>
      </c>
      <c r="H16" s="97"/>
      <c r="J16" s="184" t="s">
        <v>1245</v>
      </c>
    </row>
    <row r="17" spans="1:8" x14ac:dyDescent="0.2">
      <c r="A17" s="5">
        <v>11</v>
      </c>
      <c r="B17" s="6" t="s">
        <v>296</v>
      </c>
      <c r="C17" s="6" t="s">
        <v>297</v>
      </c>
      <c r="D17" s="6" t="s">
        <v>19</v>
      </c>
      <c r="E17" s="7">
        <v>8948</v>
      </c>
      <c r="F17" s="8">
        <v>63.481586</v>
      </c>
      <c r="G17" s="9">
        <v>2.5549934999999999E-2</v>
      </c>
      <c r="H17" s="97"/>
    </row>
    <row r="18" spans="1:8" x14ac:dyDescent="0.2">
      <c r="A18" s="5">
        <v>12</v>
      </c>
      <c r="B18" s="6" t="s">
        <v>156</v>
      </c>
      <c r="C18" s="6" t="s">
        <v>157</v>
      </c>
      <c r="D18" s="6" t="s">
        <v>19</v>
      </c>
      <c r="E18" s="7">
        <v>8617</v>
      </c>
      <c r="F18" s="8">
        <v>62.503409499999997</v>
      </c>
      <c r="G18" s="9">
        <v>2.515624E-2</v>
      </c>
      <c r="H18" s="97"/>
    </row>
    <row r="19" spans="1:8" ht="25.5" x14ac:dyDescent="0.2">
      <c r="A19" s="5">
        <v>13</v>
      </c>
      <c r="B19" s="6" t="s">
        <v>37</v>
      </c>
      <c r="C19" s="6" t="s">
        <v>38</v>
      </c>
      <c r="D19" s="6" t="s">
        <v>1185</v>
      </c>
      <c r="E19" s="7">
        <v>1515</v>
      </c>
      <c r="F19" s="8">
        <v>51.492577500000003</v>
      </c>
      <c r="G19" s="9">
        <v>2.0724624000000001E-2</v>
      </c>
      <c r="H19" s="97"/>
    </row>
    <row r="20" spans="1:8" x14ac:dyDescent="0.2">
      <c r="A20" s="5">
        <v>14</v>
      </c>
      <c r="B20" s="6" t="s">
        <v>17</v>
      </c>
      <c r="C20" s="6" t="s">
        <v>18</v>
      </c>
      <c r="D20" s="6" t="s">
        <v>19</v>
      </c>
      <c r="E20" s="7">
        <v>2627</v>
      </c>
      <c r="F20" s="8">
        <v>50.359589999999997</v>
      </c>
      <c r="G20" s="9">
        <v>2.0268621000000001E-2</v>
      </c>
      <c r="H20" s="97"/>
    </row>
    <row r="21" spans="1:8" x14ac:dyDescent="0.2">
      <c r="A21" s="5">
        <v>15</v>
      </c>
      <c r="B21" s="6" t="s">
        <v>203</v>
      </c>
      <c r="C21" s="6" t="s">
        <v>204</v>
      </c>
      <c r="D21" s="6" t="s">
        <v>81</v>
      </c>
      <c r="E21" s="7">
        <v>5830</v>
      </c>
      <c r="F21" s="8">
        <v>45.135860000000001</v>
      </c>
      <c r="G21" s="9">
        <v>1.8166186000000001E-2</v>
      </c>
      <c r="H21" s="97"/>
    </row>
    <row r="22" spans="1:8" ht="25.5" x14ac:dyDescent="0.2">
      <c r="A22" s="5">
        <v>16</v>
      </c>
      <c r="B22" s="6" t="s">
        <v>604</v>
      </c>
      <c r="C22" s="6" t="s">
        <v>605</v>
      </c>
      <c r="D22" s="6" t="s">
        <v>45</v>
      </c>
      <c r="E22" s="7">
        <v>2402</v>
      </c>
      <c r="F22" s="8">
        <v>44.475431999999998</v>
      </c>
      <c r="G22" s="9">
        <v>1.7900378000000002E-2</v>
      </c>
      <c r="H22" s="97"/>
    </row>
    <row r="23" spans="1:8" x14ac:dyDescent="0.2">
      <c r="A23" s="5">
        <v>17</v>
      </c>
      <c r="B23" s="6" t="s">
        <v>282</v>
      </c>
      <c r="C23" s="6" t="s">
        <v>283</v>
      </c>
      <c r="D23" s="6" t="s">
        <v>284</v>
      </c>
      <c r="E23" s="7">
        <v>17427</v>
      </c>
      <c r="F23" s="8">
        <v>43.8201915</v>
      </c>
      <c r="G23" s="9">
        <v>1.7636658E-2</v>
      </c>
      <c r="H23" s="97"/>
    </row>
    <row r="24" spans="1:8" x14ac:dyDescent="0.2">
      <c r="A24" s="5">
        <v>18</v>
      </c>
      <c r="B24" s="6" t="s">
        <v>194</v>
      </c>
      <c r="C24" s="6" t="s">
        <v>195</v>
      </c>
      <c r="D24" s="6" t="s">
        <v>53</v>
      </c>
      <c r="E24" s="7">
        <v>4329</v>
      </c>
      <c r="F24" s="8">
        <v>42.655801500000003</v>
      </c>
      <c r="G24" s="9">
        <v>1.7168017000000001E-2</v>
      </c>
      <c r="H24" s="97"/>
    </row>
    <row r="25" spans="1:8" x14ac:dyDescent="0.2">
      <c r="A25" s="5">
        <v>19</v>
      </c>
      <c r="B25" s="6" t="s">
        <v>608</v>
      </c>
      <c r="C25" s="6" t="s">
        <v>609</v>
      </c>
      <c r="D25" s="6" t="s">
        <v>586</v>
      </c>
      <c r="E25" s="7">
        <v>4210</v>
      </c>
      <c r="F25" s="8">
        <v>42.470480000000002</v>
      </c>
      <c r="G25" s="9">
        <v>1.7093429E-2</v>
      </c>
      <c r="H25" s="97"/>
    </row>
    <row r="26" spans="1:8" x14ac:dyDescent="0.2">
      <c r="A26" s="5">
        <v>20</v>
      </c>
      <c r="B26" s="6" t="s">
        <v>179</v>
      </c>
      <c r="C26" s="6" t="s">
        <v>180</v>
      </c>
      <c r="D26" s="6" t="s">
        <v>53</v>
      </c>
      <c r="E26" s="7">
        <v>41705</v>
      </c>
      <c r="F26" s="8">
        <v>41.934377499999997</v>
      </c>
      <c r="G26" s="9">
        <v>1.6877659999999999E-2</v>
      </c>
      <c r="H26" s="97"/>
    </row>
    <row r="27" spans="1:8" x14ac:dyDescent="0.2">
      <c r="A27" s="5">
        <v>21</v>
      </c>
      <c r="B27" s="6" t="s">
        <v>198</v>
      </c>
      <c r="C27" s="6" t="s">
        <v>199</v>
      </c>
      <c r="D27" s="6" t="s">
        <v>70</v>
      </c>
      <c r="E27" s="7">
        <v>4578</v>
      </c>
      <c r="F27" s="8">
        <v>40.803713999999999</v>
      </c>
      <c r="G27" s="9">
        <v>1.6422592999999999E-2</v>
      </c>
      <c r="H27" s="97"/>
    </row>
    <row r="28" spans="1:8" x14ac:dyDescent="0.2">
      <c r="A28" s="5">
        <v>22</v>
      </c>
      <c r="B28" s="6" t="s">
        <v>556</v>
      </c>
      <c r="C28" s="6" t="s">
        <v>557</v>
      </c>
      <c r="D28" s="6" t="s">
        <v>48</v>
      </c>
      <c r="E28" s="7">
        <v>5435</v>
      </c>
      <c r="F28" s="8">
        <v>40.580427499999999</v>
      </c>
      <c r="G28" s="9">
        <v>1.6332724999999999E-2</v>
      </c>
      <c r="H28" s="97"/>
    </row>
    <row r="29" spans="1:8" ht="25.5" x14ac:dyDescent="0.2">
      <c r="A29" s="5">
        <v>23</v>
      </c>
      <c r="B29" s="6" t="s">
        <v>200</v>
      </c>
      <c r="C29" s="6" t="s">
        <v>201</v>
      </c>
      <c r="D29" s="6" t="s">
        <v>202</v>
      </c>
      <c r="E29" s="7">
        <v>9664</v>
      </c>
      <c r="F29" s="8">
        <v>39.419455999999997</v>
      </c>
      <c r="G29" s="9">
        <v>1.5865458999999998E-2</v>
      </c>
      <c r="H29" s="97"/>
    </row>
    <row r="30" spans="1:8" x14ac:dyDescent="0.2">
      <c r="A30" s="5">
        <v>24</v>
      </c>
      <c r="B30" s="6" t="s">
        <v>160</v>
      </c>
      <c r="C30" s="6" t="s">
        <v>161</v>
      </c>
      <c r="D30" s="6" t="s">
        <v>147</v>
      </c>
      <c r="E30" s="7">
        <v>3807</v>
      </c>
      <c r="F30" s="8">
        <v>38.945610000000002</v>
      </c>
      <c r="G30" s="9">
        <v>1.5674746999999999E-2</v>
      </c>
      <c r="H30" s="97"/>
    </row>
    <row r="31" spans="1:8" x14ac:dyDescent="0.2">
      <c r="A31" s="5">
        <v>25</v>
      </c>
      <c r="B31" s="6" t="s">
        <v>154</v>
      </c>
      <c r="C31" s="6" t="s">
        <v>155</v>
      </c>
      <c r="D31" s="6" t="s">
        <v>147</v>
      </c>
      <c r="E31" s="7">
        <v>3437</v>
      </c>
      <c r="F31" s="8">
        <v>38.750456499999999</v>
      </c>
      <c r="G31" s="9">
        <v>1.5596202E-2</v>
      </c>
      <c r="H31" s="97"/>
    </row>
    <row r="32" spans="1:8" x14ac:dyDescent="0.2">
      <c r="A32" s="5">
        <v>26</v>
      </c>
      <c r="B32" s="6" t="s">
        <v>84</v>
      </c>
      <c r="C32" s="6" t="s">
        <v>85</v>
      </c>
      <c r="D32" s="6" t="s">
        <v>53</v>
      </c>
      <c r="E32" s="7">
        <v>7883</v>
      </c>
      <c r="F32" s="8">
        <v>38.650348999999999</v>
      </c>
      <c r="G32" s="9">
        <v>1.5555911E-2</v>
      </c>
      <c r="H32" s="97"/>
    </row>
    <row r="33" spans="1:8" x14ac:dyDescent="0.2">
      <c r="A33" s="5">
        <v>27</v>
      </c>
      <c r="B33" s="6" t="s">
        <v>209</v>
      </c>
      <c r="C33" s="6" t="s">
        <v>210</v>
      </c>
      <c r="D33" s="6" t="s">
        <v>193</v>
      </c>
      <c r="E33" s="7">
        <v>7139</v>
      </c>
      <c r="F33" s="8">
        <v>38.472071</v>
      </c>
      <c r="G33" s="9">
        <v>1.5484158E-2</v>
      </c>
      <c r="H33" s="97"/>
    </row>
    <row r="34" spans="1:8" x14ac:dyDescent="0.2">
      <c r="A34" s="5">
        <v>28</v>
      </c>
      <c r="B34" s="6" t="s">
        <v>172</v>
      </c>
      <c r="C34" s="6" t="s">
        <v>173</v>
      </c>
      <c r="D34" s="6" t="s">
        <v>174</v>
      </c>
      <c r="E34" s="7">
        <v>15930</v>
      </c>
      <c r="F34" s="8">
        <v>38.080665000000003</v>
      </c>
      <c r="G34" s="9">
        <v>1.5326625999999999E-2</v>
      </c>
      <c r="H34" s="97"/>
    </row>
    <row r="35" spans="1:8" x14ac:dyDescent="0.2">
      <c r="A35" s="5">
        <v>29</v>
      </c>
      <c r="B35" s="6" t="s">
        <v>168</v>
      </c>
      <c r="C35" s="6" t="s">
        <v>169</v>
      </c>
      <c r="D35" s="6" t="s">
        <v>81</v>
      </c>
      <c r="E35" s="7">
        <v>59112</v>
      </c>
      <c r="F35" s="8">
        <v>37.240560000000002</v>
      </c>
      <c r="G35" s="9">
        <v>1.4988502000000001E-2</v>
      </c>
      <c r="H35" s="97"/>
    </row>
    <row r="36" spans="1:8" x14ac:dyDescent="0.2">
      <c r="A36" s="5">
        <v>30</v>
      </c>
      <c r="B36" s="6" t="s">
        <v>181</v>
      </c>
      <c r="C36" s="6" t="s">
        <v>182</v>
      </c>
      <c r="D36" s="6" t="s">
        <v>1189</v>
      </c>
      <c r="E36" s="7">
        <v>4291</v>
      </c>
      <c r="F36" s="8">
        <v>36.7459785</v>
      </c>
      <c r="G36" s="9">
        <v>1.4789444000000001E-2</v>
      </c>
      <c r="H36" s="97"/>
    </row>
    <row r="37" spans="1:8" x14ac:dyDescent="0.2">
      <c r="A37" s="5">
        <v>31</v>
      </c>
      <c r="B37" s="6" t="s">
        <v>158</v>
      </c>
      <c r="C37" s="6" t="s">
        <v>159</v>
      </c>
      <c r="D37" s="6" t="s">
        <v>1187</v>
      </c>
      <c r="E37" s="7">
        <v>3000</v>
      </c>
      <c r="F37" s="8">
        <v>36.5745</v>
      </c>
      <c r="G37" s="9">
        <v>1.4720426999999999E-2</v>
      </c>
      <c r="H37" s="97"/>
    </row>
    <row r="38" spans="1:8" x14ac:dyDescent="0.2">
      <c r="A38" s="5">
        <v>32</v>
      </c>
      <c r="B38" s="6" t="s">
        <v>166</v>
      </c>
      <c r="C38" s="6" t="s">
        <v>167</v>
      </c>
      <c r="D38" s="6" t="s">
        <v>1186</v>
      </c>
      <c r="E38" s="7">
        <v>10223</v>
      </c>
      <c r="F38" s="8">
        <v>36.122970500000001</v>
      </c>
      <c r="G38" s="9">
        <v>1.4538697E-2</v>
      </c>
      <c r="H38" s="97"/>
    </row>
    <row r="39" spans="1:8" x14ac:dyDescent="0.2">
      <c r="A39" s="5">
        <v>33</v>
      </c>
      <c r="B39" s="6" t="s">
        <v>196</v>
      </c>
      <c r="C39" s="6" t="s">
        <v>197</v>
      </c>
      <c r="D39" s="6" t="s">
        <v>81</v>
      </c>
      <c r="E39" s="7">
        <v>6030</v>
      </c>
      <c r="F39" s="8">
        <v>33.342885000000003</v>
      </c>
      <c r="G39" s="9">
        <v>1.3419774000000001E-2</v>
      </c>
      <c r="H39" s="97"/>
    </row>
    <row r="40" spans="1:8" x14ac:dyDescent="0.2">
      <c r="A40" s="5">
        <v>34</v>
      </c>
      <c r="B40" s="6" t="s">
        <v>191</v>
      </c>
      <c r="C40" s="6" t="s">
        <v>192</v>
      </c>
      <c r="D40" s="6" t="s">
        <v>193</v>
      </c>
      <c r="E40" s="7">
        <v>7291</v>
      </c>
      <c r="F40" s="8">
        <v>33.123013</v>
      </c>
      <c r="G40" s="9">
        <v>1.3331279999999999E-2</v>
      </c>
      <c r="H40" s="97"/>
    </row>
    <row r="41" spans="1:8" x14ac:dyDescent="0.2">
      <c r="A41" s="5">
        <v>35</v>
      </c>
      <c r="B41" s="6" t="s">
        <v>218</v>
      </c>
      <c r="C41" s="6" t="s">
        <v>219</v>
      </c>
      <c r="D41" s="6" t="s">
        <v>193</v>
      </c>
      <c r="E41" s="7">
        <v>1815</v>
      </c>
      <c r="F41" s="8">
        <v>32.301555</v>
      </c>
      <c r="G41" s="9">
        <v>1.3000662E-2</v>
      </c>
      <c r="H41" s="97"/>
    </row>
    <row r="42" spans="1:8" x14ac:dyDescent="0.2">
      <c r="A42" s="5">
        <v>36</v>
      </c>
      <c r="B42" s="6" t="s">
        <v>186</v>
      </c>
      <c r="C42" s="6" t="s">
        <v>187</v>
      </c>
      <c r="D42" s="6" t="s">
        <v>19</v>
      </c>
      <c r="E42" s="7">
        <v>1619</v>
      </c>
      <c r="F42" s="8">
        <v>32.188148499999997</v>
      </c>
      <c r="G42" s="9">
        <v>1.2955018E-2</v>
      </c>
      <c r="H42" s="97"/>
    </row>
    <row r="43" spans="1:8" x14ac:dyDescent="0.2">
      <c r="A43" s="5">
        <v>37</v>
      </c>
      <c r="B43" s="6" t="s">
        <v>259</v>
      </c>
      <c r="C43" s="6" t="s">
        <v>260</v>
      </c>
      <c r="D43" s="6" t="s">
        <v>34</v>
      </c>
      <c r="E43" s="7">
        <v>7838</v>
      </c>
      <c r="F43" s="8">
        <v>29.357229</v>
      </c>
      <c r="G43" s="9">
        <v>1.1815635E-2</v>
      </c>
      <c r="H43" s="97"/>
    </row>
    <row r="44" spans="1:8" x14ac:dyDescent="0.2">
      <c r="A44" s="5">
        <v>38</v>
      </c>
      <c r="B44" s="6" t="s">
        <v>152</v>
      </c>
      <c r="C44" s="6" t="s">
        <v>153</v>
      </c>
      <c r="D44" s="6" t="s">
        <v>1184</v>
      </c>
      <c r="E44" s="7">
        <v>2381</v>
      </c>
      <c r="F44" s="8">
        <v>28.144610499999999</v>
      </c>
      <c r="G44" s="9">
        <v>1.1327583E-2</v>
      </c>
      <c r="H44" s="97"/>
    </row>
    <row r="45" spans="1:8" ht="25.5" x14ac:dyDescent="0.2">
      <c r="A45" s="5">
        <v>39</v>
      </c>
      <c r="B45" s="6" t="s">
        <v>226</v>
      </c>
      <c r="C45" s="6" t="s">
        <v>227</v>
      </c>
      <c r="D45" s="6" t="s">
        <v>1191</v>
      </c>
      <c r="E45" s="7">
        <v>31221</v>
      </c>
      <c r="F45" s="8">
        <v>27.708637499999998</v>
      </c>
      <c r="G45" s="9">
        <v>1.1152113999999999E-2</v>
      </c>
      <c r="H45" s="97"/>
    </row>
    <row r="46" spans="1:8" x14ac:dyDescent="0.2">
      <c r="A46" s="5">
        <v>40</v>
      </c>
      <c r="B46" s="6" t="s">
        <v>205</v>
      </c>
      <c r="C46" s="6" t="s">
        <v>206</v>
      </c>
      <c r="D46" s="6" t="s">
        <v>1187</v>
      </c>
      <c r="E46" s="7">
        <v>4776</v>
      </c>
      <c r="F46" s="8">
        <v>26.857835999999999</v>
      </c>
      <c r="G46" s="9">
        <v>1.0809684999999999E-2</v>
      </c>
      <c r="H46" s="97"/>
    </row>
    <row r="47" spans="1:8" x14ac:dyDescent="0.2">
      <c r="A47" s="5">
        <v>41</v>
      </c>
      <c r="B47" s="6" t="s">
        <v>363</v>
      </c>
      <c r="C47" s="6" t="s">
        <v>364</v>
      </c>
      <c r="D47" s="6" t="s">
        <v>238</v>
      </c>
      <c r="E47" s="7">
        <v>700</v>
      </c>
      <c r="F47" s="8">
        <v>26.5167</v>
      </c>
      <c r="G47" s="9">
        <v>1.0672385E-2</v>
      </c>
      <c r="H47" s="97"/>
    </row>
    <row r="48" spans="1:8" x14ac:dyDescent="0.2">
      <c r="A48" s="5">
        <v>42</v>
      </c>
      <c r="B48" s="6" t="s">
        <v>256</v>
      </c>
      <c r="C48" s="6" t="s">
        <v>257</v>
      </c>
      <c r="D48" s="6" t="s">
        <v>238</v>
      </c>
      <c r="E48" s="7">
        <v>4161</v>
      </c>
      <c r="F48" s="8">
        <v>25.9916865</v>
      </c>
      <c r="G48" s="9">
        <v>1.0461079E-2</v>
      </c>
      <c r="H48" s="97"/>
    </row>
    <row r="49" spans="1:8" x14ac:dyDescent="0.2">
      <c r="A49" s="5">
        <v>43</v>
      </c>
      <c r="B49" s="6" t="s">
        <v>232</v>
      </c>
      <c r="C49" s="6" t="s">
        <v>233</v>
      </c>
      <c r="D49" s="6" t="s">
        <v>193</v>
      </c>
      <c r="E49" s="7">
        <v>472</v>
      </c>
      <c r="F49" s="8">
        <v>25.197247999999998</v>
      </c>
      <c r="G49" s="9">
        <v>1.0141335E-2</v>
      </c>
      <c r="H49" s="97"/>
    </row>
    <row r="50" spans="1:8" ht="25.5" x14ac:dyDescent="0.2">
      <c r="A50" s="5">
        <v>44</v>
      </c>
      <c r="B50" s="6" t="s">
        <v>248</v>
      </c>
      <c r="C50" s="6" t="s">
        <v>249</v>
      </c>
      <c r="D50" s="6" t="s">
        <v>202</v>
      </c>
      <c r="E50" s="7">
        <v>5695</v>
      </c>
      <c r="F50" s="8">
        <v>24.445787500000002</v>
      </c>
      <c r="G50" s="9">
        <v>9.838889E-3</v>
      </c>
      <c r="H50" s="97"/>
    </row>
    <row r="51" spans="1:8" ht="25.5" x14ac:dyDescent="0.2">
      <c r="A51" s="5">
        <v>45</v>
      </c>
      <c r="B51" s="6" t="s">
        <v>211</v>
      </c>
      <c r="C51" s="6" t="s">
        <v>212</v>
      </c>
      <c r="D51" s="6" t="s">
        <v>202</v>
      </c>
      <c r="E51" s="7">
        <v>5379</v>
      </c>
      <c r="F51" s="8">
        <v>24.278116499999999</v>
      </c>
      <c r="G51" s="9">
        <v>9.7714050000000004E-3</v>
      </c>
      <c r="H51" s="97"/>
    </row>
    <row r="52" spans="1:8" x14ac:dyDescent="0.2">
      <c r="A52" s="5">
        <v>46</v>
      </c>
      <c r="B52" s="6" t="s">
        <v>271</v>
      </c>
      <c r="C52" s="6" t="s">
        <v>272</v>
      </c>
      <c r="D52" s="6" t="s">
        <v>19</v>
      </c>
      <c r="E52" s="7">
        <v>2237</v>
      </c>
      <c r="F52" s="8">
        <v>24.236776500000001</v>
      </c>
      <c r="G52" s="9">
        <v>9.7547669999999993E-3</v>
      </c>
      <c r="H52" s="97"/>
    </row>
    <row r="53" spans="1:8" ht="25.5" x14ac:dyDescent="0.2">
      <c r="A53" s="5">
        <v>47</v>
      </c>
      <c r="B53" s="6" t="s">
        <v>177</v>
      </c>
      <c r="C53" s="6" t="s">
        <v>178</v>
      </c>
      <c r="D53" s="6" t="s">
        <v>1185</v>
      </c>
      <c r="E53" s="7">
        <v>10628</v>
      </c>
      <c r="F53" s="8">
        <v>24.056477999999998</v>
      </c>
      <c r="G53" s="9">
        <v>9.6822000000000002E-3</v>
      </c>
      <c r="H53" s="97"/>
    </row>
    <row r="54" spans="1:8" x14ac:dyDescent="0.2">
      <c r="A54" s="5">
        <v>48</v>
      </c>
      <c r="B54" s="6" t="s">
        <v>216</v>
      </c>
      <c r="C54" s="6" t="s">
        <v>217</v>
      </c>
      <c r="D54" s="6" t="s">
        <v>1184</v>
      </c>
      <c r="E54" s="7">
        <v>1516</v>
      </c>
      <c r="F54" s="8">
        <v>23.995248</v>
      </c>
      <c r="G54" s="9">
        <v>9.6575570000000006E-3</v>
      </c>
      <c r="H54" s="97"/>
    </row>
    <row r="55" spans="1:8" x14ac:dyDescent="0.2">
      <c r="A55" s="5">
        <v>49</v>
      </c>
      <c r="B55" s="6" t="s">
        <v>236</v>
      </c>
      <c r="C55" s="6" t="s">
        <v>237</v>
      </c>
      <c r="D55" s="6" t="s">
        <v>238</v>
      </c>
      <c r="E55" s="7">
        <v>6538</v>
      </c>
      <c r="F55" s="8">
        <v>23.961770000000001</v>
      </c>
      <c r="G55" s="9">
        <v>9.6440829999999995E-3</v>
      </c>
      <c r="H55" s="97"/>
    </row>
    <row r="56" spans="1:8" x14ac:dyDescent="0.2">
      <c r="A56" s="5">
        <v>50</v>
      </c>
      <c r="B56" s="6" t="s">
        <v>614</v>
      </c>
      <c r="C56" s="6" t="s">
        <v>615</v>
      </c>
      <c r="D56" s="6" t="s">
        <v>193</v>
      </c>
      <c r="E56" s="7">
        <v>4476</v>
      </c>
      <c r="F56" s="8">
        <v>23.57733</v>
      </c>
      <c r="G56" s="9">
        <v>9.4893540000000002E-3</v>
      </c>
      <c r="H56" s="97"/>
    </row>
    <row r="57" spans="1:8" x14ac:dyDescent="0.2">
      <c r="A57" s="5">
        <v>51</v>
      </c>
      <c r="B57" s="6" t="s">
        <v>170</v>
      </c>
      <c r="C57" s="6" t="s">
        <v>171</v>
      </c>
      <c r="D57" s="6" t="s">
        <v>70</v>
      </c>
      <c r="E57" s="7">
        <v>2393</v>
      </c>
      <c r="F57" s="8">
        <v>23.279104</v>
      </c>
      <c r="G57" s="9">
        <v>9.3693249999999995E-3</v>
      </c>
      <c r="H57" s="97"/>
    </row>
    <row r="58" spans="1:8" ht="25.5" x14ac:dyDescent="0.2">
      <c r="A58" s="5">
        <v>52</v>
      </c>
      <c r="B58" s="6" t="s">
        <v>207</v>
      </c>
      <c r="C58" s="6" t="s">
        <v>208</v>
      </c>
      <c r="D58" s="6" t="s">
        <v>45</v>
      </c>
      <c r="E58" s="7">
        <v>10454</v>
      </c>
      <c r="F58" s="8">
        <v>23.239242000000001</v>
      </c>
      <c r="G58" s="9">
        <v>9.3532809999999997E-3</v>
      </c>
      <c r="H58" s="97"/>
    </row>
    <row r="59" spans="1:8" x14ac:dyDescent="0.2">
      <c r="A59" s="5">
        <v>53</v>
      </c>
      <c r="B59" s="6" t="s">
        <v>606</v>
      </c>
      <c r="C59" s="6" t="s">
        <v>607</v>
      </c>
      <c r="D59" s="6" t="s">
        <v>19</v>
      </c>
      <c r="E59" s="7">
        <v>2300</v>
      </c>
      <c r="F59" s="8">
        <v>22.577950000000001</v>
      </c>
      <c r="G59" s="9">
        <v>9.0871259999999992E-3</v>
      </c>
      <c r="H59" s="97"/>
    </row>
    <row r="60" spans="1:8" x14ac:dyDescent="0.2">
      <c r="A60" s="5">
        <v>54</v>
      </c>
      <c r="B60" s="6" t="s">
        <v>245</v>
      </c>
      <c r="C60" s="6" t="s">
        <v>246</v>
      </c>
      <c r="D60" s="6" t="s">
        <v>247</v>
      </c>
      <c r="E60" s="7">
        <v>10050</v>
      </c>
      <c r="F60" s="8">
        <v>21.908999999999999</v>
      </c>
      <c r="G60" s="9">
        <v>8.8178879999999994E-3</v>
      </c>
      <c r="H60" s="97"/>
    </row>
    <row r="61" spans="1:8" x14ac:dyDescent="0.2">
      <c r="A61" s="5">
        <v>55</v>
      </c>
      <c r="B61" s="6" t="s">
        <v>610</v>
      </c>
      <c r="C61" s="6" t="s">
        <v>611</v>
      </c>
      <c r="D61" s="6" t="s">
        <v>81</v>
      </c>
      <c r="E61" s="7">
        <v>3328</v>
      </c>
      <c r="F61" s="8">
        <v>19.896447999999999</v>
      </c>
      <c r="G61" s="9">
        <v>8.0078800000000002E-3</v>
      </c>
      <c r="H61" s="97"/>
    </row>
    <row r="62" spans="1:8" x14ac:dyDescent="0.2">
      <c r="A62" s="5">
        <v>56</v>
      </c>
      <c r="B62" s="6" t="s">
        <v>230</v>
      </c>
      <c r="C62" s="6" t="s">
        <v>231</v>
      </c>
      <c r="D62" s="6" t="s">
        <v>60</v>
      </c>
      <c r="E62" s="7">
        <v>2336</v>
      </c>
      <c r="F62" s="8">
        <v>19.594367999999999</v>
      </c>
      <c r="G62" s="9">
        <v>7.8863000000000006E-3</v>
      </c>
      <c r="H62" s="97"/>
    </row>
    <row r="63" spans="1:8" x14ac:dyDescent="0.2">
      <c r="A63" s="5">
        <v>57</v>
      </c>
      <c r="B63" s="6" t="s">
        <v>239</v>
      </c>
      <c r="C63" s="6" t="s">
        <v>240</v>
      </c>
      <c r="D63" s="6" t="s">
        <v>25</v>
      </c>
      <c r="E63" s="7">
        <v>24172</v>
      </c>
      <c r="F63" s="8">
        <v>18.999192000000001</v>
      </c>
      <c r="G63" s="9">
        <v>7.6467549999999999E-3</v>
      </c>
      <c r="H63" s="97"/>
    </row>
    <row r="64" spans="1:8" x14ac:dyDescent="0.2">
      <c r="A64" s="5">
        <v>58</v>
      </c>
      <c r="B64" s="6" t="s">
        <v>250</v>
      </c>
      <c r="C64" s="6" t="s">
        <v>251</v>
      </c>
      <c r="D64" s="6" t="s">
        <v>193</v>
      </c>
      <c r="E64" s="7">
        <v>5225</v>
      </c>
      <c r="F64" s="8">
        <v>14.4183875</v>
      </c>
      <c r="G64" s="9">
        <v>5.8030820000000002E-3</v>
      </c>
      <c r="H64" s="97"/>
    </row>
    <row r="65" spans="1:8" x14ac:dyDescent="0.2">
      <c r="A65" s="5">
        <v>59</v>
      </c>
      <c r="B65" s="6" t="s">
        <v>228</v>
      </c>
      <c r="C65" s="6" t="s">
        <v>229</v>
      </c>
      <c r="D65" s="6" t="s">
        <v>327</v>
      </c>
      <c r="E65" s="7">
        <v>1566</v>
      </c>
      <c r="F65" s="8">
        <v>13.284378</v>
      </c>
      <c r="G65" s="9">
        <v>5.3466679999999997E-3</v>
      </c>
      <c r="H65" s="97"/>
    </row>
    <row r="66" spans="1:8" x14ac:dyDescent="0.2">
      <c r="A66" s="5">
        <v>60</v>
      </c>
      <c r="B66" s="6" t="s">
        <v>241</v>
      </c>
      <c r="C66" s="6" t="s">
        <v>242</v>
      </c>
      <c r="D66" s="6" t="s">
        <v>147</v>
      </c>
      <c r="E66" s="7">
        <v>2733</v>
      </c>
      <c r="F66" s="8">
        <v>12.924357000000001</v>
      </c>
      <c r="G66" s="9">
        <v>5.2017679999999998E-3</v>
      </c>
      <c r="H66" s="97"/>
    </row>
    <row r="67" spans="1:8" x14ac:dyDescent="0.2">
      <c r="A67" s="5">
        <v>61</v>
      </c>
      <c r="B67" s="6" t="s">
        <v>243</v>
      </c>
      <c r="C67" s="6" t="s">
        <v>244</v>
      </c>
      <c r="D67" s="6" t="s">
        <v>185</v>
      </c>
      <c r="E67" s="7">
        <v>2245</v>
      </c>
      <c r="F67" s="8">
        <v>12.403625</v>
      </c>
      <c r="G67" s="9">
        <v>4.9921849999999997E-3</v>
      </c>
      <c r="H67" s="97"/>
    </row>
    <row r="68" spans="1:8" x14ac:dyDescent="0.2">
      <c r="A68" s="5">
        <v>62</v>
      </c>
      <c r="B68" s="6" t="s">
        <v>92</v>
      </c>
      <c r="C68" s="6" t="s">
        <v>93</v>
      </c>
      <c r="D68" s="6" t="s">
        <v>53</v>
      </c>
      <c r="E68" s="7">
        <v>14375</v>
      </c>
      <c r="F68" s="8">
        <v>12.3696875</v>
      </c>
      <c r="G68" s="9">
        <v>4.9785259999999996E-3</v>
      </c>
      <c r="H68" s="97"/>
    </row>
    <row r="69" spans="1:8" x14ac:dyDescent="0.2">
      <c r="A69" s="5">
        <v>63</v>
      </c>
      <c r="B69" s="6" t="s">
        <v>254</v>
      </c>
      <c r="C69" s="6" t="s">
        <v>255</v>
      </c>
      <c r="D69" s="6" t="s">
        <v>185</v>
      </c>
      <c r="E69" s="7">
        <v>1125</v>
      </c>
      <c r="F69" s="8">
        <v>11.7315</v>
      </c>
      <c r="G69" s="9">
        <v>4.7216690000000004E-3</v>
      </c>
      <c r="H69" s="97"/>
    </row>
    <row r="70" spans="1:8" x14ac:dyDescent="0.2">
      <c r="A70" s="5">
        <v>64</v>
      </c>
      <c r="B70" s="6" t="s">
        <v>222</v>
      </c>
      <c r="C70" s="6" t="s">
        <v>223</v>
      </c>
      <c r="D70" s="6" t="s">
        <v>70</v>
      </c>
      <c r="E70" s="7">
        <v>2084</v>
      </c>
      <c r="F70" s="8">
        <v>5.4892560000000001</v>
      </c>
      <c r="G70" s="9">
        <v>2.209304E-3</v>
      </c>
      <c r="H70" s="97"/>
    </row>
    <row r="71" spans="1:8" x14ac:dyDescent="0.2">
      <c r="A71" s="3"/>
      <c r="B71" s="3"/>
      <c r="C71" s="4" t="s">
        <v>97</v>
      </c>
      <c r="D71" s="3"/>
      <c r="E71" s="3" t="s">
        <v>98</v>
      </c>
      <c r="F71" s="11">
        <v>2396.2671435000002</v>
      </c>
      <c r="G71" s="12">
        <v>0.96444453900000005</v>
      </c>
      <c r="H71" s="97"/>
    </row>
    <row r="72" spans="1:8" x14ac:dyDescent="0.2">
      <c r="A72" s="3"/>
      <c r="B72" s="3"/>
      <c r="C72" s="13"/>
      <c r="D72" s="3"/>
      <c r="E72" s="3"/>
      <c r="F72" s="14"/>
      <c r="G72" s="14"/>
      <c r="H72" s="97"/>
    </row>
    <row r="73" spans="1:8" x14ac:dyDescent="0.2">
      <c r="A73" s="3"/>
      <c r="B73" s="3"/>
      <c r="C73" s="4" t="s">
        <v>99</v>
      </c>
      <c r="D73" s="3"/>
      <c r="E73" s="3"/>
      <c r="F73" s="3"/>
      <c r="G73" s="3"/>
      <c r="H73" s="97"/>
    </row>
    <row r="74" spans="1:8" x14ac:dyDescent="0.2">
      <c r="A74" s="3"/>
      <c r="B74" s="3"/>
      <c r="C74" s="4" t="s">
        <v>97</v>
      </c>
      <c r="D74" s="3"/>
      <c r="E74" s="3" t="s">
        <v>98</v>
      </c>
      <c r="F74" s="15">
        <v>0</v>
      </c>
      <c r="G74" s="16">
        <v>0</v>
      </c>
      <c r="H74" s="97"/>
    </row>
    <row r="75" spans="1:8" x14ac:dyDescent="0.2">
      <c r="A75" s="3"/>
      <c r="B75" s="3"/>
      <c r="C75" s="13"/>
      <c r="D75" s="3"/>
      <c r="E75" s="3"/>
      <c r="F75" s="14"/>
      <c r="G75" s="14"/>
      <c r="H75" s="97"/>
    </row>
    <row r="76" spans="1:8" x14ac:dyDescent="0.2">
      <c r="A76" s="3"/>
      <c r="B76" s="3"/>
      <c r="C76" s="4" t="s">
        <v>100</v>
      </c>
      <c r="D76" s="3"/>
      <c r="E76" s="3"/>
      <c r="F76" s="3"/>
      <c r="G76" s="3"/>
      <c r="H76" s="97"/>
    </row>
    <row r="77" spans="1:8" x14ac:dyDescent="0.2">
      <c r="A77" s="3"/>
      <c r="B77" s="3"/>
      <c r="C77" s="4" t="s">
        <v>97</v>
      </c>
      <c r="D77" s="3"/>
      <c r="E77" s="3" t="s">
        <v>98</v>
      </c>
      <c r="F77" s="15">
        <v>0</v>
      </c>
      <c r="G77" s="16">
        <v>0</v>
      </c>
      <c r="H77" s="97"/>
    </row>
    <row r="78" spans="1:8" x14ac:dyDescent="0.2">
      <c r="A78" s="3"/>
      <c r="B78" s="3"/>
      <c r="C78" s="13"/>
      <c r="D78" s="3"/>
      <c r="E78" s="3"/>
      <c r="F78" s="14"/>
      <c r="G78" s="14"/>
      <c r="H78" s="97"/>
    </row>
    <row r="79" spans="1:8" x14ac:dyDescent="0.2">
      <c r="A79" s="3"/>
      <c r="B79" s="3"/>
      <c r="C79" s="4" t="s">
        <v>101</v>
      </c>
      <c r="D79" s="3"/>
      <c r="E79" s="3"/>
      <c r="F79" s="3"/>
      <c r="G79" s="3"/>
      <c r="H79" s="97"/>
    </row>
    <row r="80" spans="1:8" x14ac:dyDescent="0.2">
      <c r="A80" s="3"/>
      <c r="B80" s="3"/>
      <c r="C80" s="4" t="s">
        <v>97</v>
      </c>
      <c r="D80" s="3"/>
      <c r="E80" s="3" t="s">
        <v>98</v>
      </c>
      <c r="F80" s="15">
        <v>0</v>
      </c>
      <c r="G80" s="16">
        <v>0</v>
      </c>
      <c r="H80" s="97"/>
    </row>
    <row r="81" spans="1:8" x14ac:dyDescent="0.2">
      <c r="A81" s="3"/>
      <c r="B81" s="3"/>
      <c r="C81" s="13"/>
      <c r="D81" s="3"/>
      <c r="E81" s="3"/>
      <c r="F81" s="14"/>
      <c r="G81" s="14"/>
      <c r="H81" s="97"/>
    </row>
    <row r="82" spans="1:8" x14ac:dyDescent="0.2">
      <c r="A82" s="3"/>
      <c r="B82" s="3"/>
      <c r="C82" s="4" t="s">
        <v>102</v>
      </c>
      <c r="D82" s="3"/>
      <c r="E82" s="3"/>
      <c r="F82" s="14"/>
      <c r="G82" s="14"/>
      <c r="H82" s="97"/>
    </row>
    <row r="83" spans="1:8" x14ac:dyDescent="0.2">
      <c r="A83" s="3"/>
      <c r="B83" s="3"/>
      <c r="C83" s="4" t="s">
        <v>97</v>
      </c>
      <c r="D83" s="3"/>
      <c r="E83" s="3" t="s">
        <v>98</v>
      </c>
      <c r="F83" s="15">
        <v>0</v>
      </c>
      <c r="G83" s="16">
        <v>0</v>
      </c>
      <c r="H83" s="97"/>
    </row>
    <row r="84" spans="1:8" x14ac:dyDescent="0.2">
      <c r="A84" s="3"/>
      <c r="B84" s="3"/>
      <c r="C84" s="13"/>
      <c r="D84" s="3"/>
      <c r="E84" s="3"/>
      <c r="F84" s="14"/>
      <c r="G84" s="14"/>
      <c r="H84" s="97"/>
    </row>
    <row r="85" spans="1:8" x14ac:dyDescent="0.2">
      <c r="A85" s="3"/>
      <c r="B85" s="3"/>
      <c r="C85" s="4" t="s">
        <v>103</v>
      </c>
      <c r="D85" s="3"/>
      <c r="E85" s="3"/>
      <c r="F85" s="14"/>
      <c r="G85" s="14"/>
      <c r="H85" s="97"/>
    </row>
    <row r="86" spans="1:8" x14ac:dyDescent="0.2">
      <c r="A86" s="3"/>
      <c r="B86" s="3"/>
      <c r="C86" s="4" t="s">
        <v>97</v>
      </c>
      <c r="D86" s="3"/>
      <c r="E86" s="3" t="s">
        <v>98</v>
      </c>
      <c r="F86" s="15">
        <v>0</v>
      </c>
      <c r="G86" s="16">
        <v>0</v>
      </c>
      <c r="H86" s="97"/>
    </row>
    <row r="87" spans="1:8" x14ac:dyDescent="0.2">
      <c r="A87" s="3"/>
      <c r="B87" s="3"/>
      <c r="C87" s="13"/>
      <c r="D87" s="3"/>
      <c r="E87" s="3"/>
      <c r="F87" s="14"/>
      <c r="G87" s="14"/>
      <c r="H87" s="97"/>
    </row>
    <row r="88" spans="1:8" x14ac:dyDescent="0.2">
      <c r="A88" s="3"/>
      <c r="B88" s="3"/>
      <c r="C88" s="4" t="s">
        <v>104</v>
      </c>
      <c r="D88" s="3"/>
      <c r="E88" s="3"/>
      <c r="F88" s="11">
        <v>2396.2671435000002</v>
      </c>
      <c r="G88" s="12">
        <v>0.96444453900000005</v>
      </c>
      <c r="H88" s="97"/>
    </row>
    <row r="89" spans="1:8" x14ac:dyDescent="0.2">
      <c r="A89" s="3"/>
      <c r="B89" s="3"/>
      <c r="C89" s="13"/>
      <c r="D89" s="3"/>
      <c r="E89" s="3"/>
      <c r="F89" s="14"/>
      <c r="G89" s="14"/>
      <c r="H89" s="97"/>
    </row>
    <row r="90" spans="1:8" x14ac:dyDescent="0.2">
      <c r="A90" s="3"/>
      <c r="B90" s="3"/>
      <c r="C90" s="4" t="s">
        <v>105</v>
      </c>
      <c r="D90" s="3"/>
      <c r="E90" s="3"/>
      <c r="F90" s="14"/>
      <c r="G90" s="14"/>
      <c r="H90" s="97"/>
    </row>
    <row r="91" spans="1:8" ht="25.5" x14ac:dyDescent="0.2">
      <c r="A91" s="3"/>
      <c r="B91" s="3"/>
      <c r="C91" s="4" t="s">
        <v>10</v>
      </c>
      <c r="D91" s="3"/>
      <c r="E91" s="3"/>
      <c r="F91" s="14"/>
      <c r="G91" s="14"/>
      <c r="H91" s="97"/>
    </row>
    <row r="92" spans="1:8" x14ac:dyDescent="0.2">
      <c r="A92" s="3"/>
      <c r="B92" s="3"/>
      <c r="C92" s="4" t="s">
        <v>97</v>
      </c>
      <c r="D92" s="3"/>
      <c r="E92" s="3" t="s">
        <v>98</v>
      </c>
      <c r="F92" s="15">
        <v>0</v>
      </c>
      <c r="G92" s="16">
        <v>0</v>
      </c>
      <c r="H92" s="97"/>
    </row>
    <row r="93" spans="1:8" x14ac:dyDescent="0.2">
      <c r="A93" s="3"/>
      <c r="B93" s="3"/>
      <c r="C93" s="13"/>
      <c r="D93" s="3"/>
      <c r="E93" s="3"/>
      <c r="F93" s="14"/>
      <c r="G93" s="14"/>
      <c r="H93" s="97"/>
    </row>
    <row r="94" spans="1:8" x14ac:dyDescent="0.2">
      <c r="A94" s="3"/>
      <c r="B94" s="3"/>
      <c r="C94" s="4" t="s">
        <v>106</v>
      </c>
      <c r="D94" s="3"/>
      <c r="E94" s="3"/>
      <c r="F94" s="3"/>
      <c r="G94" s="3"/>
      <c r="H94" s="97"/>
    </row>
    <row r="95" spans="1:8" x14ac:dyDescent="0.2">
      <c r="A95" s="3"/>
      <c r="B95" s="3"/>
      <c r="C95" s="4" t="s">
        <v>97</v>
      </c>
      <c r="D95" s="3"/>
      <c r="E95" s="3" t="s">
        <v>98</v>
      </c>
      <c r="F95" s="15">
        <v>0</v>
      </c>
      <c r="G95" s="16">
        <v>0</v>
      </c>
      <c r="H95" s="97"/>
    </row>
    <row r="96" spans="1:8" x14ac:dyDescent="0.2">
      <c r="A96" s="3"/>
      <c r="B96" s="3"/>
      <c r="C96" s="13"/>
      <c r="D96" s="3"/>
      <c r="E96" s="3"/>
      <c r="F96" s="14"/>
      <c r="G96" s="14"/>
      <c r="H96" s="97"/>
    </row>
    <row r="97" spans="1:8" x14ac:dyDescent="0.2">
      <c r="A97" s="3"/>
      <c r="B97" s="3"/>
      <c r="C97" s="4" t="s">
        <v>107</v>
      </c>
      <c r="D97" s="3"/>
      <c r="E97" s="3"/>
      <c r="F97" s="3"/>
      <c r="G97" s="3"/>
      <c r="H97" s="97"/>
    </row>
    <row r="98" spans="1:8" x14ac:dyDescent="0.2">
      <c r="A98" s="3"/>
      <c r="B98" s="3"/>
      <c r="C98" s="4" t="s">
        <v>97</v>
      </c>
      <c r="D98" s="3"/>
      <c r="E98" s="3" t="s">
        <v>98</v>
      </c>
      <c r="F98" s="15">
        <v>0</v>
      </c>
      <c r="G98" s="16">
        <v>0</v>
      </c>
      <c r="H98" s="97"/>
    </row>
    <row r="99" spans="1:8" x14ac:dyDescent="0.2">
      <c r="A99" s="3"/>
      <c r="B99" s="3"/>
      <c r="C99" s="13"/>
      <c r="D99" s="3"/>
      <c r="E99" s="3"/>
      <c r="F99" s="14"/>
      <c r="G99" s="14"/>
      <c r="H99" s="97"/>
    </row>
    <row r="100" spans="1:8" x14ac:dyDescent="0.2">
      <c r="A100" s="3"/>
      <c r="B100" s="3"/>
      <c r="C100" s="4" t="s">
        <v>108</v>
      </c>
      <c r="D100" s="3"/>
      <c r="E100" s="3"/>
      <c r="F100" s="14"/>
      <c r="G100" s="14"/>
      <c r="H100" s="97"/>
    </row>
    <row r="101" spans="1:8" x14ac:dyDescent="0.2">
      <c r="A101" s="3"/>
      <c r="B101" s="3"/>
      <c r="C101" s="4" t="s">
        <v>97</v>
      </c>
      <c r="D101" s="3"/>
      <c r="E101" s="3" t="s">
        <v>98</v>
      </c>
      <c r="F101" s="15">
        <v>0</v>
      </c>
      <c r="G101" s="16">
        <v>0</v>
      </c>
      <c r="H101" s="97"/>
    </row>
    <row r="102" spans="1:8" x14ac:dyDescent="0.2">
      <c r="A102" s="3"/>
      <c r="B102" s="3"/>
      <c r="C102" s="13"/>
      <c r="D102" s="3"/>
      <c r="E102" s="3"/>
      <c r="F102" s="14"/>
      <c r="G102" s="14"/>
      <c r="H102" s="97"/>
    </row>
    <row r="103" spans="1:8" x14ac:dyDescent="0.2">
      <c r="A103" s="3"/>
      <c r="B103" s="3"/>
      <c r="C103" s="4" t="s">
        <v>109</v>
      </c>
      <c r="D103" s="3"/>
      <c r="E103" s="3"/>
      <c r="F103" s="11">
        <v>0</v>
      </c>
      <c r="G103" s="12">
        <v>0</v>
      </c>
      <c r="H103" s="97"/>
    </row>
    <row r="104" spans="1:8" x14ac:dyDescent="0.2">
      <c r="A104" s="3"/>
      <c r="B104" s="3"/>
      <c r="C104" s="13"/>
      <c r="D104" s="3"/>
      <c r="E104" s="3"/>
      <c r="F104" s="14"/>
      <c r="G104" s="14"/>
      <c r="H104" s="97"/>
    </row>
    <row r="105" spans="1:8" x14ac:dyDescent="0.2">
      <c r="A105" s="3"/>
      <c r="B105" s="3"/>
      <c r="C105" s="4" t="s">
        <v>110</v>
      </c>
      <c r="D105" s="3"/>
      <c r="E105" s="3"/>
      <c r="F105" s="14"/>
      <c r="G105" s="14"/>
      <c r="H105" s="97"/>
    </row>
    <row r="106" spans="1:8" x14ac:dyDescent="0.2">
      <c r="A106" s="3"/>
      <c r="B106" s="3"/>
      <c r="C106" s="4" t="s">
        <v>111</v>
      </c>
      <c r="D106" s="3"/>
      <c r="E106" s="3"/>
      <c r="F106" s="14"/>
      <c r="G106" s="14"/>
      <c r="H106" s="97"/>
    </row>
    <row r="107" spans="1:8" x14ac:dyDescent="0.2">
      <c r="A107" s="3"/>
      <c r="B107" s="3"/>
      <c r="C107" s="4" t="s">
        <v>97</v>
      </c>
      <c r="D107" s="3"/>
      <c r="E107" s="3" t="s">
        <v>98</v>
      </c>
      <c r="F107" s="15">
        <v>0</v>
      </c>
      <c r="G107" s="16">
        <v>0</v>
      </c>
      <c r="H107" s="97"/>
    </row>
    <row r="108" spans="1:8" x14ac:dyDescent="0.2">
      <c r="A108" s="3"/>
      <c r="B108" s="3"/>
      <c r="C108" s="13"/>
      <c r="D108" s="3"/>
      <c r="E108" s="3"/>
      <c r="F108" s="14"/>
      <c r="G108" s="14"/>
      <c r="H108" s="97"/>
    </row>
    <row r="109" spans="1:8" x14ac:dyDescent="0.2">
      <c r="A109" s="3"/>
      <c r="B109" s="3"/>
      <c r="C109" s="4" t="s">
        <v>112</v>
      </c>
      <c r="D109" s="3"/>
      <c r="E109" s="3"/>
      <c r="F109" s="14"/>
      <c r="G109" s="14"/>
      <c r="H109" s="97"/>
    </row>
    <row r="110" spans="1:8" x14ac:dyDescent="0.2">
      <c r="A110" s="3"/>
      <c r="B110" s="3"/>
      <c r="C110" s="4" t="s">
        <v>97</v>
      </c>
      <c r="D110" s="3"/>
      <c r="E110" s="3" t="s">
        <v>98</v>
      </c>
      <c r="F110" s="15">
        <v>0</v>
      </c>
      <c r="G110" s="16">
        <v>0</v>
      </c>
      <c r="H110" s="97"/>
    </row>
    <row r="111" spans="1:8" x14ac:dyDescent="0.2">
      <c r="A111" s="3"/>
      <c r="B111" s="3"/>
      <c r="C111" s="13"/>
      <c r="D111" s="3"/>
      <c r="E111" s="3"/>
      <c r="F111" s="14"/>
      <c r="G111" s="14"/>
      <c r="H111" s="97"/>
    </row>
    <row r="112" spans="1:8" x14ac:dyDescent="0.2">
      <c r="A112" s="3"/>
      <c r="B112" s="3"/>
      <c r="C112" s="4" t="s">
        <v>113</v>
      </c>
      <c r="D112" s="3"/>
      <c r="E112" s="3"/>
      <c r="F112" s="14"/>
      <c r="G112" s="14"/>
      <c r="H112" s="97"/>
    </row>
    <row r="113" spans="1:8" x14ac:dyDescent="0.2">
      <c r="A113" s="3"/>
      <c r="B113" s="3"/>
      <c r="C113" s="4" t="s">
        <v>97</v>
      </c>
      <c r="D113" s="3"/>
      <c r="E113" s="3" t="s">
        <v>98</v>
      </c>
      <c r="F113" s="15">
        <v>0</v>
      </c>
      <c r="G113" s="16">
        <v>0</v>
      </c>
      <c r="H113" s="97"/>
    </row>
    <row r="114" spans="1:8" x14ac:dyDescent="0.2">
      <c r="A114" s="3"/>
      <c r="B114" s="3"/>
      <c r="C114" s="13"/>
      <c r="D114" s="3"/>
      <c r="E114" s="3"/>
      <c r="F114" s="14"/>
      <c r="G114" s="14"/>
      <c r="H114" s="97"/>
    </row>
    <row r="115" spans="1:8" x14ac:dyDescent="0.2">
      <c r="A115" s="3"/>
      <c r="B115" s="3"/>
      <c r="C115" s="4" t="s">
        <v>114</v>
      </c>
      <c r="D115" s="3"/>
      <c r="E115" s="3"/>
      <c r="F115" s="14"/>
      <c r="G115" s="14"/>
      <c r="H115" s="97"/>
    </row>
    <row r="116" spans="1:8" x14ac:dyDescent="0.2">
      <c r="A116" s="5">
        <v>1</v>
      </c>
      <c r="B116" s="6"/>
      <c r="C116" s="6" t="s">
        <v>115</v>
      </c>
      <c r="D116" s="6"/>
      <c r="E116" s="10"/>
      <c r="F116" s="8">
        <v>58.105420899999999</v>
      </c>
      <c r="G116" s="9">
        <v>2.3386146999999999E-2</v>
      </c>
      <c r="H116" s="8">
        <v>3.4504560529072292</v>
      </c>
    </row>
    <row r="117" spans="1:8" x14ac:dyDescent="0.2">
      <c r="A117" s="5">
        <v>2</v>
      </c>
      <c r="B117" s="6"/>
      <c r="C117" s="6" t="s">
        <v>116</v>
      </c>
      <c r="D117" s="6"/>
      <c r="E117" s="10"/>
      <c r="F117" s="8">
        <v>31.359964000000002</v>
      </c>
      <c r="G117" s="9">
        <v>1.2621692E-2</v>
      </c>
      <c r="H117" s="8">
        <v>3.5655822479098256</v>
      </c>
    </row>
    <row r="118" spans="1:8" x14ac:dyDescent="0.2">
      <c r="A118" s="3"/>
      <c r="B118" s="3"/>
      <c r="C118" s="4" t="s">
        <v>97</v>
      </c>
      <c r="D118" s="3"/>
      <c r="E118" s="3" t="s">
        <v>98</v>
      </c>
      <c r="F118" s="11">
        <v>89.465384900000004</v>
      </c>
      <c r="G118" s="12">
        <v>3.6007839E-2</v>
      </c>
      <c r="H118" s="97"/>
    </row>
    <row r="119" spans="1:8" x14ac:dyDescent="0.2">
      <c r="A119" s="3"/>
      <c r="B119" s="3"/>
      <c r="C119" s="13"/>
      <c r="D119" s="3"/>
      <c r="E119" s="3"/>
      <c r="F119" s="14"/>
      <c r="G119" s="14"/>
      <c r="H119" s="97"/>
    </row>
    <row r="120" spans="1:8" x14ac:dyDescent="0.2">
      <c r="A120" s="3"/>
      <c r="B120" s="3"/>
      <c r="C120" s="4" t="s">
        <v>117</v>
      </c>
      <c r="D120" s="3"/>
      <c r="E120" s="3"/>
      <c r="F120" s="11">
        <v>89.465384900000004</v>
      </c>
      <c r="G120" s="12">
        <v>3.6007839E-2</v>
      </c>
      <c r="H120" s="97"/>
    </row>
    <row r="121" spans="1:8" x14ac:dyDescent="0.2">
      <c r="A121" s="3"/>
      <c r="B121" s="3"/>
      <c r="C121" s="14"/>
      <c r="D121" s="3"/>
      <c r="E121" s="3"/>
      <c r="F121" s="3"/>
      <c r="G121" s="3"/>
      <c r="H121" s="97"/>
    </row>
    <row r="122" spans="1:8" x14ac:dyDescent="0.2">
      <c r="A122" s="3"/>
      <c r="B122" s="3"/>
      <c r="C122" s="4" t="s">
        <v>118</v>
      </c>
      <c r="D122" s="3"/>
      <c r="E122" s="3"/>
      <c r="F122" s="3"/>
      <c r="G122" s="3"/>
      <c r="H122" s="97"/>
    </row>
    <row r="123" spans="1:8" x14ac:dyDescent="0.2">
      <c r="A123" s="3"/>
      <c r="B123" s="3"/>
      <c r="C123" s="4" t="s">
        <v>119</v>
      </c>
      <c r="D123" s="3"/>
      <c r="E123" s="3"/>
      <c r="F123" s="3"/>
      <c r="G123" s="3"/>
      <c r="H123" s="97"/>
    </row>
    <row r="124" spans="1:8" x14ac:dyDescent="0.2">
      <c r="A124" s="3"/>
      <c r="B124" s="3"/>
      <c r="C124" s="4" t="s">
        <v>97</v>
      </c>
      <c r="D124" s="3"/>
      <c r="E124" s="3" t="s">
        <v>98</v>
      </c>
      <c r="F124" s="15">
        <v>0</v>
      </c>
      <c r="G124" s="16">
        <v>0</v>
      </c>
      <c r="H124" s="97"/>
    </row>
    <row r="125" spans="1:8" x14ac:dyDescent="0.2">
      <c r="A125" s="3"/>
      <c r="B125" s="3"/>
      <c r="C125" s="13"/>
      <c r="D125" s="3"/>
      <c r="E125" s="3"/>
      <c r="F125" s="14"/>
      <c r="G125" s="14"/>
      <c r="H125" s="97"/>
    </row>
    <row r="126" spans="1:8" x14ac:dyDescent="0.2">
      <c r="A126" s="3"/>
      <c r="B126" s="3"/>
      <c r="C126" s="4" t="s">
        <v>120</v>
      </c>
      <c r="D126" s="3"/>
      <c r="E126" s="3"/>
      <c r="F126" s="3"/>
      <c r="G126" s="3"/>
      <c r="H126" s="97"/>
    </row>
    <row r="127" spans="1:8" x14ac:dyDescent="0.2">
      <c r="A127" s="3"/>
      <c r="B127" s="3"/>
      <c r="C127" s="4" t="s">
        <v>121</v>
      </c>
      <c r="D127" s="3"/>
      <c r="E127" s="3"/>
      <c r="F127" s="3"/>
      <c r="G127" s="3"/>
      <c r="H127" s="97"/>
    </row>
    <row r="128" spans="1:8" x14ac:dyDescent="0.2">
      <c r="A128" s="3"/>
      <c r="B128" s="3"/>
      <c r="C128" s="4" t="s">
        <v>97</v>
      </c>
      <c r="D128" s="3"/>
      <c r="E128" s="3" t="s">
        <v>98</v>
      </c>
      <c r="F128" s="15">
        <v>0</v>
      </c>
      <c r="G128" s="16">
        <v>0</v>
      </c>
      <c r="H128" s="97"/>
    </row>
    <row r="129" spans="1:8" x14ac:dyDescent="0.2">
      <c r="A129" s="3"/>
      <c r="B129" s="3"/>
      <c r="C129" s="13"/>
      <c r="D129" s="3"/>
      <c r="E129" s="3"/>
      <c r="F129" s="14"/>
      <c r="G129" s="14"/>
      <c r="H129" s="97"/>
    </row>
    <row r="130" spans="1:8" x14ac:dyDescent="0.2">
      <c r="A130" s="3"/>
      <c r="B130" s="3"/>
      <c r="C130" s="13"/>
      <c r="D130" s="3"/>
      <c r="E130" s="3"/>
      <c r="F130" s="14"/>
      <c r="G130" s="14"/>
      <c r="H130" s="97"/>
    </row>
    <row r="131" spans="1:8" ht="25.5" x14ac:dyDescent="0.2">
      <c r="A131" s="3"/>
      <c r="B131" s="3"/>
      <c r="C131" s="4" t="s">
        <v>122</v>
      </c>
      <c r="D131" s="3"/>
      <c r="E131" s="3"/>
      <c r="F131" s="14"/>
      <c r="G131" s="14"/>
      <c r="H131" s="97"/>
    </row>
    <row r="132" spans="1:8" x14ac:dyDescent="0.2">
      <c r="A132" s="3"/>
      <c r="B132" s="3"/>
      <c r="C132" s="4" t="s">
        <v>97</v>
      </c>
      <c r="D132" s="3"/>
      <c r="E132" s="3" t="s">
        <v>98</v>
      </c>
      <c r="F132" s="15">
        <v>0</v>
      </c>
      <c r="G132" s="16">
        <v>0</v>
      </c>
      <c r="H132" s="97"/>
    </row>
    <row r="133" spans="1:8" x14ac:dyDescent="0.2">
      <c r="A133" s="3"/>
      <c r="B133" s="3"/>
      <c r="C133" s="13"/>
      <c r="D133" s="3"/>
      <c r="E133" s="3"/>
      <c r="F133" s="14"/>
      <c r="G133" s="14"/>
      <c r="H133" s="97"/>
    </row>
    <row r="134" spans="1:8" x14ac:dyDescent="0.2">
      <c r="A134" s="3"/>
      <c r="B134" s="6"/>
      <c r="C134" s="6"/>
      <c r="D134" s="4"/>
      <c r="E134" s="3"/>
      <c r="F134" s="6"/>
      <c r="G134" s="10"/>
      <c r="H134" s="97"/>
    </row>
    <row r="135" spans="1:8" x14ac:dyDescent="0.2">
      <c r="A135" s="10"/>
      <c r="B135" s="6"/>
      <c r="C135" s="6" t="s">
        <v>123</v>
      </c>
      <c r="D135" s="6"/>
      <c r="E135" s="10"/>
      <c r="F135" s="8">
        <v>-1.12397382</v>
      </c>
      <c r="G135" s="9">
        <v>-4.5237499999999998E-4</v>
      </c>
      <c r="H135" s="97"/>
    </row>
    <row r="136" spans="1:8" x14ac:dyDescent="0.2">
      <c r="A136" s="13"/>
      <c r="B136" s="13"/>
      <c r="C136" s="4" t="s">
        <v>124</v>
      </c>
      <c r="D136" s="17"/>
      <c r="E136" s="17"/>
      <c r="F136" s="11">
        <v>2484.6085545800001</v>
      </c>
      <c r="G136" s="12">
        <v>1.000000003</v>
      </c>
      <c r="H136" s="97"/>
    </row>
    <row r="137" spans="1:8" ht="14.1" customHeight="1" x14ac:dyDescent="0.2">
      <c r="A137" s="20"/>
      <c r="B137" s="226" t="s">
        <v>98</v>
      </c>
      <c r="C137" s="226"/>
      <c r="D137" s="226"/>
      <c r="E137" s="226"/>
      <c r="F137" s="226"/>
      <c r="G137" s="22"/>
    </row>
    <row r="138" spans="1:8" ht="14.1" customHeight="1" x14ac:dyDescent="0.2">
      <c r="A138" s="20"/>
      <c r="B138" s="20"/>
      <c r="C138" s="20"/>
      <c r="D138" s="22"/>
      <c r="E138" s="22"/>
      <c r="F138" s="22"/>
      <c r="G138" s="22"/>
    </row>
    <row r="139" spans="1:8" ht="14.1" customHeight="1" x14ac:dyDescent="0.2">
      <c r="A139" s="20"/>
      <c r="B139" s="224" t="s">
        <v>126</v>
      </c>
      <c r="C139" s="225"/>
      <c r="D139" s="14" t="s">
        <v>98</v>
      </c>
      <c r="E139" s="23"/>
      <c r="F139" s="22"/>
      <c r="G139" s="22"/>
    </row>
    <row r="140" spans="1:8" ht="29.1" customHeight="1" x14ac:dyDescent="0.2">
      <c r="A140" s="20"/>
      <c r="B140" s="231" t="s">
        <v>127</v>
      </c>
      <c r="C140" s="232"/>
      <c r="D140" s="4" t="s">
        <v>128</v>
      </c>
      <c r="E140" s="23"/>
      <c r="F140" s="22"/>
      <c r="G140" s="22"/>
    </row>
    <row r="141" spans="1:8" ht="17.100000000000001" customHeight="1" x14ac:dyDescent="0.2">
      <c r="A141" s="20"/>
      <c r="B141" s="231" t="s">
        <v>129</v>
      </c>
      <c r="C141" s="232"/>
      <c r="D141" s="4" t="s">
        <v>128</v>
      </c>
      <c r="E141" s="23"/>
      <c r="F141" s="22"/>
      <c r="G141" s="22"/>
    </row>
    <row r="142" spans="1:8" ht="17.100000000000001" customHeight="1" x14ac:dyDescent="0.2">
      <c r="A142" s="20"/>
      <c r="B142" s="231" t="s">
        <v>130</v>
      </c>
      <c r="C142" s="232"/>
      <c r="D142" s="14" t="s">
        <v>98</v>
      </c>
      <c r="E142" s="23"/>
      <c r="F142" s="22"/>
      <c r="G142" s="22"/>
    </row>
    <row r="143" spans="1:8" ht="24" customHeight="1" x14ac:dyDescent="0.2">
      <c r="A143" s="24"/>
      <c r="B143" s="25" t="s">
        <v>98</v>
      </c>
      <c r="C143" s="25" t="s">
        <v>131</v>
      </c>
      <c r="D143" s="25" t="s">
        <v>132</v>
      </c>
      <c r="E143" s="24"/>
      <c r="F143" s="24"/>
      <c r="G143" s="24"/>
    </row>
    <row r="144" spans="1:8" ht="18" customHeight="1" x14ac:dyDescent="0.2">
      <c r="A144" s="24"/>
      <c r="B144" s="25" t="s">
        <v>133</v>
      </c>
      <c r="C144" s="25" t="s">
        <v>134</v>
      </c>
      <c r="D144" s="25" t="s">
        <v>135</v>
      </c>
      <c r="E144" s="24"/>
      <c r="F144" s="24"/>
      <c r="G144" s="24"/>
    </row>
    <row r="145" spans="1:17" ht="17.100000000000001" customHeight="1" x14ac:dyDescent="0.2">
      <c r="A145" s="24"/>
      <c r="B145" s="6" t="s">
        <v>136</v>
      </c>
      <c r="C145" s="26">
        <v>17.597100000000001</v>
      </c>
      <c r="D145" s="26">
        <v>18.238399999999999</v>
      </c>
      <c r="E145" s="24"/>
      <c r="F145" s="21"/>
      <c r="G145" s="27"/>
    </row>
    <row r="146" spans="1:17" ht="17.100000000000001" customHeight="1" x14ac:dyDescent="0.2">
      <c r="A146" s="24"/>
      <c r="B146" s="6" t="s">
        <v>1201</v>
      </c>
      <c r="C146" s="26">
        <v>16.992799999999999</v>
      </c>
      <c r="D146" s="26">
        <v>17.612100000000002</v>
      </c>
      <c r="E146" s="24"/>
      <c r="F146" s="21"/>
      <c r="G146" s="27"/>
    </row>
    <row r="147" spans="1:17" ht="17.100000000000001" customHeight="1" x14ac:dyDescent="0.2">
      <c r="A147" s="24"/>
      <c r="B147" s="6" t="s">
        <v>137</v>
      </c>
      <c r="C147" s="26">
        <v>17.3874</v>
      </c>
      <c r="D147" s="26">
        <v>18.019200000000001</v>
      </c>
      <c r="E147" s="24"/>
      <c r="F147" s="21"/>
      <c r="G147" s="27"/>
    </row>
    <row r="148" spans="1:17" ht="17.100000000000001" customHeight="1" x14ac:dyDescent="0.2">
      <c r="A148" s="24"/>
      <c r="B148" s="6" t="s">
        <v>1202</v>
      </c>
      <c r="C148" s="26">
        <v>16.784099999999999</v>
      </c>
      <c r="D148" s="26">
        <v>17.393999999999998</v>
      </c>
      <c r="E148" s="24"/>
      <c r="F148" s="21"/>
      <c r="G148" s="27"/>
    </row>
    <row r="149" spans="1:17" ht="14.1" customHeight="1" x14ac:dyDescent="0.2">
      <c r="A149" s="24"/>
      <c r="B149" s="24"/>
      <c r="C149" s="24"/>
      <c r="D149" s="24"/>
      <c r="E149" s="24"/>
      <c r="F149" s="24"/>
      <c r="G149" s="24"/>
    </row>
    <row r="150" spans="1:17" ht="17.100000000000001" customHeight="1" x14ac:dyDescent="0.2">
      <c r="A150" s="24"/>
      <c r="B150" s="231" t="s">
        <v>1203</v>
      </c>
      <c r="C150" s="232"/>
      <c r="D150" s="4" t="s">
        <v>128</v>
      </c>
      <c r="E150" s="24"/>
      <c r="F150" s="24"/>
      <c r="G150" s="24"/>
    </row>
    <row r="151" spans="1:17" ht="18" customHeight="1" x14ac:dyDescent="0.2">
      <c r="A151" s="24"/>
      <c r="B151" s="28"/>
      <c r="C151" s="28"/>
      <c r="D151" s="29"/>
      <c r="E151" s="24"/>
      <c r="F151" s="24"/>
      <c r="G151" s="24"/>
    </row>
    <row r="152" spans="1:17" s="87" customFormat="1" x14ac:dyDescent="0.2">
      <c r="B152" s="233" t="s">
        <v>1207</v>
      </c>
      <c r="C152" s="233"/>
      <c r="D152" s="233"/>
      <c r="E152" s="233"/>
      <c r="F152" s="233"/>
      <c r="I152"/>
      <c r="J152"/>
      <c r="K152"/>
      <c r="L152"/>
      <c r="M152"/>
      <c r="N152"/>
      <c r="O152"/>
      <c r="P152"/>
      <c r="Q152" s="69"/>
    </row>
    <row r="153" spans="1:17" ht="14.1" customHeight="1" x14ac:dyDescent="0.2">
      <c r="A153" s="24"/>
      <c r="B153" s="21"/>
      <c r="C153" s="21"/>
      <c r="D153" s="24"/>
      <c r="E153" s="24"/>
      <c r="F153" s="24"/>
      <c r="G153" s="24"/>
    </row>
    <row r="154" spans="1:17" ht="29.1" customHeight="1" x14ac:dyDescent="0.2">
      <c r="A154" s="24"/>
      <c r="B154" s="231" t="s">
        <v>138</v>
      </c>
      <c r="C154" s="232"/>
      <c r="D154" s="4" t="s">
        <v>128</v>
      </c>
      <c r="E154" s="24"/>
      <c r="F154" s="24"/>
      <c r="G154" s="24"/>
    </row>
    <row r="155" spans="1:17" ht="29.1" customHeight="1" x14ac:dyDescent="0.2">
      <c r="A155" s="24"/>
      <c r="B155" s="231" t="s">
        <v>139</v>
      </c>
      <c r="C155" s="232"/>
      <c r="D155" s="4" t="s">
        <v>128</v>
      </c>
      <c r="E155" s="24"/>
      <c r="F155" s="24"/>
      <c r="G155" s="24"/>
      <c r="I155" s="87"/>
      <c r="J155" s="87"/>
      <c r="K155" s="87"/>
      <c r="L155" s="87"/>
      <c r="M155" s="87"/>
      <c r="N155" s="87"/>
      <c r="O155" s="87"/>
    </row>
    <row r="156" spans="1:17" ht="17.100000000000001" customHeight="1" x14ac:dyDescent="0.2">
      <c r="A156" s="24"/>
      <c r="B156" s="231" t="s">
        <v>140</v>
      </c>
      <c r="C156" s="232"/>
      <c r="D156" s="30">
        <v>0.29161569789663017</v>
      </c>
      <c r="E156" s="24"/>
      <c r="F156" s="21"/>
      <c r="G156" s="27"/>
      <c r="P156" s="69"/>
    </row>
    <row r="157" spans="1:17" ht="17.100000000000001" customHeight="1" x14ac:dyDescent="0.2">
      <c r="A157" s="24"/>
      <c r="B157" s="231" t="s">
        <v>141</v>
      </c>
      <c r="C157" s="232"/>
      <c r="D157" s="4" t="s">
        <v>128</v>
      </c>
      <c r="E157" s="24"/>
      <c r="F157" s="24"/>
      <c r="G157" s="24"/>
    </row>
  </sheetData>
  <mergeCells count="15">
    <mergeCell ref="B156:C156"/>
    <mergeCell ref="B157:C157"/>
    <mergeCell ref="B140:C140"/>
    <mergeCell ref="B141:C141"/>
    <mergeCell ref="B142:C142"/>
    <mergeCell ref="B150:C150"/>
    <mergeCell ref="B154:C154"/>
    <mergeCell ref="B155:C155"/>
    <mergeCell ref="B152:F152"/>
    <mergeCell ref="J2:N2"/>
    <mergeCell ref="B139:C139"/>
    <mergeCell ref="B137:F137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3">
    <outlinePr summaryBelow="0" summaryRight="0"/>
  </sheetPr>
  <dimension ref="A1:Q131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5" ht="15" x14ac:dyDescent="0.2">
      <c r="A1" s="227" t="s">
        <v>0</v>
      </c>
      <c r="B1" s="227"/>
      <c r="C1" s="227"/>
      <c r="D1" s="227"/>
      <c r="E1" s="227"/>
      <c r="F1" s="227"/>
      <c r="G1" s="227"/>
      <c r="H1" s="227"/>
    </row>
    <row r="2" spans="1:15" s="87" customFormat="1" ht="15" x14ac:dyDescent="0.2">
      <c r="A2" s="228" t="s">
        <v>634</v>
      </c>
      <c r="B2" s="229"/>
      <c r="C2" s="229"/>
      <c r="D2" s="229"/>
      <c r="E2" s="229"/>
      <c r="F2" s="229"/>
      <c r="G2" s="229"/>
      <c r="H2" s="230"/>
      <c r="I2"/>
      <c r="J2" s="223" t="s">
        <v>1238</v>
      </c>
      <c r="K2" s="223"/>
      <c r="L2" s="223"/>
      <c r="M2" s="223"/>
      <c r="N2" s="223"/>
      <c r="O2"/>
    </row>
    <row r="3" spans="1:15" ht="15" x14ac:dyDescent="0.2">
      <c r="A3" s="227" t="s">
        <v>1208</v>
      </c>
      <c r="B3" s="227"/>
      <c r="C3" s="227"/>
      <c r="D3" s="227"/>
      <c r="E3" s="227"/>
      <c r="F3" s="227"/>
      <c r="G3" s="227"/>
      <c r="H3" s="227"/>
    </row>
    <row r="4" spans="1:15" s="113" customFormat="1" ht="30" x14ac:dyDescent="0.2">
      <c r="A4" s="1" t="s">
        <v>2</v>
      </c>
      <c r="B4" s="1" t="s">
        <v>3</v>
      </c>
      <c r="C4" s="1" t="s">
        <v>4</v>
      </c>
      <c r="D4" s="1" t="s">
        <v>5</v>
      </c>
      <c r="E4" s="2" t="s">
        <v>6</v>
      </c>
      <c r="F4" s="2" t="s">
        <v>7</v>
      </c>
      <c r="G4" s="2" t="s">
        <v>8</v>
      </c>
      <c r="H4" s="96" t="s">
        <v>1167</v>
      </c>
      <c r="I4" s="183"/>
      <c r="J4" s="183"/>
      <c r="K4" s="183"/>
      <c r="L4" s="183"/>
      <c r="M4" s="183"/>
      <c r="N4" s="183"/>
      <c r="O4" s="183"/>
    </row>
    <row r="5" spans="1:15" ht="14.1" customHeight="1" x14ac:dyDescent="0.2">
      <c r="A5" s="3"/>
      <c r="B5" s="3"/>
      <c r="C5" s="4" t="s">
        <v>9</v>
      </c>
      <c r="D5" s="3"/>
      <c r="E5" s="3"/>
      <c r="F5" s="3"/>
      <c r="G5" s="3"/>
      <c r="H5" s="97"/>
    </row>
    <row r="6" spans="1:15" ht="24" customHeight="1" x14ac:dyDescent="0.2">
      <c r="A6" s="3"/>
      <c r="B6" s="3"/>
      <c r="C6" s="4" t="s">
        <v>10</v>
      </c>
      <c r="D6" s="3"/>
      <c r="E6" s="3"/>
      <c r="F6" s="3"/>
      <c r="G6" s="3"/>
      <c r="H6" s="97"/>
    </row>
    <row r="7" spans="1:15" x14ac:dyDescent="0.2">
      <c r="A7" s="5">
        <v>1</v>
      </c>
      <c r="B7" s="6" t="s">
        <v>409</v>
      </c>
      <c r="C7" s="6" t="s">
        <v>410</v>
      </c>
      <c r="D7" s="6" t="s">
        <v>147</v>
      </c>
      <c r="E7" s="7">
        <v>8300</v>
      </c>
      <c r="F7" s="8">
        <v>156.68324999999999</v>
      </c>
      <c r="G7" s="9">
        <v>8.8069073999999997E-2</v>
      </c>
      <c r="H7" s="97"/>
    </row>
    <row r="8" spans="1:15" x14ac:dyDescent="0.2">
      <c r="A8" s="5">
        <v>2</v>
      </c>
      <c r="B8" s="6" t="s">
        <v>23</v>
      </c>
      <c r="C8" s="6" t="s">
        <v>24</v>
      </c>
      <c r="D8" s="6" t="s">
        <v>25</v>
      </c>
      <c r="E8" s="7">
        <v>19709</v>
      </c>
      <c r="F8" s="8">
        <v>145.87616349999999</v>
      </c>
      <c r="G8" s="9">
        <v>8.1994589000000007E-2</v>
      </c>
      <c r="H8" s="97"/>
    </row>
    <row r="9" spans="1:15" x14ac:dyDescent="0.2">
      <c r="A9" s="5">
        <v>3</v>
      </c>
      <c r="B9" s="6" t="s">
        <v>14</v>
      </c>
      <c r="C9" s="6" t="s">
        <v>15</v>
      </c>
      <c r="D9" s="6" t="s">
        <v>16</v>
      </c>
      <c r="E9" s="7">
        <v>5610</v>
      </c>
      <c r="F9" s="8">
        <v>132.85321500000001</v>
      </c>
      <c r="G9" s="9">
        <v>7.4674604000000006E-2</v>
      </c>
      <c r="H9" s="97"/>
    </row>
    <row r="10" spans="1:15" x14ac:dyDescent="0.2">
      <c r="A10" s="5">
        <v>4</v>
      </c>
      <c r="B10" s="6" t="s">
        <v>411</v>
      </c>
      <c r="C10" s="6" t="s">
        <v>412</v>
      </c>
      <c r="D10" s="6" t="s">
        <v>25</v>
      </c>
      <c r="E10" s="7">
        <v>7350</v>
      </c>
      <c r="F10" s="8">
        <v>108.7359</v>
      </c>
      <c r="G10" s="9">
        <v>6.1118657999999999E-2</v>
      </c>
      <c r="H10" s="97"/>
    </row>
    <row r="11" spans="1:15" ht="25.5" x14ac:dyDescent="0.2">
      <c r="A11" s="5">
        <v>5</v>
      </c>
      <c r="B11" s="6" t="s">
        <v>413</v>
      </c>
      <c r="C11" s="6" t="s">
        <v>414</v>
      </c>
      <c r="D11" s="6" t="s">
        <v>81</v>
      </c>
      <c r="E11" s="7">
        <v>3376</v>
      </c>
      <c r="F11" s="8">
        <v>87.318551999999997</v>
      </c>
      <c r="G11" s="9">
        <v>4.9080319999999997E-2</v>
      </c>
      <c r="H11" s="97"/>
    </row>
    <row r="12" spans="1:15" x14ac:dyDescent="0.2">
      <c r="A12" s="5">
        <v>6</v>
      </c>
      <c r="B12" s="6" t="s">
        <v>415</v>
      </c>
      <c r="C12" s="6" t="s">
        <v>416</v>
      </c>
      <c r="D12" s="6" t="s">
        <v>25</v>
      </c>
      <c r="E12" s="7">
        <v>16051</v>
      </c>
      <c r="F12" s="8">
        <v>73.906829500000001</v>
      </c>
      <c r="G12" s="9">
        <v>4.1541811999999997E-2</v>
      </c>
      <c r="H12" s="97"/>
    </row>
    <row r="13" spans="1:15" ht="25.5" x14ac:dyDescent="0.2">
      <c r="A13" s="5">
        <v>7</v>
      </c>
      <c r="B13" s="6" t="s">
        <v>319</v>
      </c>
      <c r="C13" s="6" t="s">
        <v>320</v>
      </c>
      <c r="D13" s="6" t="s">
        <v>202</v>
      </c>
      <c r="E13" s="7">
        <v>7963</v>
      </c>
      <c r="F13" s="8">
        <v>70.735328999999993</v>
      </c>
      <c r="G13" s="9">
        <v>3.9759163E-2</v>
      </c>
      <c r="H13" s="97"/>
    </row>
    <row r="14" spans="1:15" x14ac:dyDescent="0.2">
      <c r="A14" s="5">
        <v>8</v>
      </c>
      <c r="B14" s="6" t="s">
        <v>11</v>
      </c>
      <c r="C14" s="6" t="s">
        <v>12</v>
      </c>
      <c r="D14" s="6" t="s">
        <v>13</v>
      </c>
      <c r="E14" s="7">
        <v>3340</v>
      </c>
      <c r="F14" s="8">
        <v>63.323059999999998</v>
      </c>
      <c r="G14" s="9">
        <v>3.5592849000000003E-2</v>
      </c>
      <c r="H14" s="97"/>
    </row>
    <row r="15" spans="1:15" ht="15" x14ac:dyDescent="0.2">
      <c r="A15" s="5">
        <v>9</v>
      </c>
      <c r="B15" s="6" t="s">
        <v>274</v>
      </c>
      <c r="C15" s="6" t="s">
        <v>275</v>
      </c>
      <c r="D15" s="6" t="s">
        <v>185</v>
      </c>
      <c r="E15" s="7">
        <v>1505</v>
      </c>
      <c r="F15" s="8">
        <v>63.036924999999997</v>
      </c>
      <c r="G15" s="9">
        <v>3.5432017000000003E-2</v>
      </c>
      <c r="H15" s="97"/>
      <c r="J15" s="184" t="s">
        <v>1245</v>
      </c>
    </row>
    <row r="16" spans="1:15" ht="25.5" x14ac:dyDescent="0.2">
      <c r="A16" s="5">
        <v>10</v>
      </c>
      <c r="B16" s="6" t="s">
        <v>28</v>
      </c>
      <c r="C16" s="6" t="s">
        <v>29</v>
      </c>
      <c r="D16" s="6" t="s">
        <v>1185</v>
      </c>
      <c r="E16" s="7">
        <v>746</v>
      </c>
      <c r="F16" s="8">
        <v>56.629232999999999</v>
      </c>
      <c r="G16" s="9">
        <v>3.1830359000000003E-2</v>
      </c>
      <c r="H16" s="97"/>
    </row>
    <row r="17" spans="1:8" x14ac:dyDescent="0.2">
      <c r="A17" s="5">
        <v>11</v>
      </c>
      <c r="B17" s="6" t="s">
        <v>315</v>
      </c>
      <c r="C17" s="6" t="s">
        <v>316</v>
      </c>
      <c r="D17" s="6" t="s">
        <v>25</v>
      </c>
      <c r="E17" s="7">
        <v>8341</v>
      </c>
      <c r="F17" s="8">
        <v>56.597855500000001</v>
      </c>
      <c r="G17" s="9">
        <v>3.1812722000000002E-2</v>
      </c>
      <c r="H17" s="97"/>
    </row>
    <row r="18" spans="1:8" x14ac:dyDescent="0.2">
      <c r="A18" s="5">
        <v>12</v>
      </c>
      <c r="B18" s="6" t="s">
        <v>20</v>
      </c>
      <c r="C18" s="6" t="s">
        <v>21</v>
      </c>
      <c r="D18" s="6" t="s">
        <v>22</v>
      </c>
      <c r="E18" s="7">
        <v>6757</v>
      </c>
      <c r="F18" s="8">
        <v>46.204366</v>
      </c>
      <c r="G18" s="9">
        <v>2.5970712999999999E-2</v>
      </c>
      <c r="H18" s="97"/>
    </row>
    <row r="19" spans="1:8" x14ac:dyDescent="0.2">
      <c r="A19" s="5">
        <v>13</v>
      </c>
      <c r="B19" s="6" t="s">
        <v>468</v>
      </c>
      <c r="C19" s="6" t="s">
        <v>469</v>
      </c>
      <c r="D19" s="6" t="s">
        <v>78</v>
      </c>
      <c r="E19" s="7">
        <v>9000</v>
      </c>
      <c r="F19" s="8">
        <v>43.415999999999997</v>
      </c>
      <c r="G19" s="9">
        <v>2.4403418999999999E-2</v>
      </c>
      <c r="H19" s="97"/>
    </row>
    <row r="20" spans="1:8" x14ac:dyDescent="0.2">
      <c r="A20" s="5">
        <v>14</v>
      </c>
      <c r="B20" s="6" t="s">
        <v>369</v>
      </c>
      <c r="C20" s="6" t="s">
        <v>370</v>
      </c>
      <c r="D20" s="6" t="s">
        <v>147</v>
      </c>
      <c r="E20" s="7">
        <v>3000</v>
      </c>
      <c r="F20" s="8">
        <v>39.573</v>
      </c>
      <c r="G20" s="9">
        <v>2.2243332000000001E-2</v>
      </c>
      <c r="H20" s="97"/>
    </row>
    <row r="21" spans="1:8" x14ac:dyDescent="0.2">
      <c r="A21" s="5">
        <v>15</v>
      </c>
      <c r="B21" s="6" t="s">
        <v>172</v>
      </c>
      <c r="C21" s="6" t="s">
        <v>173</v>
      </c>
      <c r="D21" s="6" t="s">
        <v>174</v>
      </c>
      <c r="E21" s="7">
        <v>16375</v>
      </c>
      <c r="F21" s="8">
        <v>39.144437500000002</v>
      </c>
      <c r="G21" s="9">
        <v>2.2002443999999999E-2</v>
      </c>
      <c r="H21" s="97"/>
    </row>
    <row r="22" spans="1:8" x14ac:dyDescent="0.2">
      <c r="A22" s="5">
        <v>16</v>
      </c>
      <c r="B22" s="6" t="s">
        <v>419</v>
      </c>
      <c r="C22" s="6" t="s">
        <v>420</v>
      </c>
      <c r="D22" s="6" t="s">
        <v>1183</v>
      </c>
      <c r="E22" s="7">
        <v>3200</v>
      </c>
      <c r="F22" s="8">
        <v>38.271999999999998</v>
      </c>
      <c r="G22" s="9">
        <v>2.1512060999999999E-2</v>
      </c>
      <c r="H22" s="97"/>
    </row>
    <row r="23" spans="1:8" x14ac:dyDescent="0.2">
      <c r="A23" s="5">
        <v>17</v>
      </c>
      <c r="B23" s="6" t="s">
        <v>417</v>
      </c>
      <c r="C23" s="6" t="s">
        <v>418</v>
      </c>
      <c r="D23" s="6" t="s">
        <v>147</v>
      </c>
      <c r="E23" s="7">
        <v>969</v>
      </c>
      <c r="F23" s="8">
        <v>36.224611500000002</v>
      </c>
      <c r="G23" s="9">
        <v>2.0361257000000001E-2</v>
      </c>
      <c r="H23" s="97"/>
    </row>
    <row r="24" spans="1:8" x14ac:dyDescent="0.2">
      <c r="A24" s="5">
        <v>18</v>
      </c>
      <c r="B24" s="6" t="s">
        <v>448</v>
      </c>
      <c r="C24" s="6" t="s">
        <v>449</v>
      </c>
      <c r="D24" s="6" t="s">
        <v>70</v>
      </c>
      <c r="E24" s="7">
        <v>1421</v>
      </c>
      <c r="F24" s="8">
        <v>35.843304000000003</v>
      </c>
      <c r="G24" s="9">
        <v>2.0146931E-2</v>
      </c>
      <c r="H24" s="97"/>
    </row>
    <row r="25" spans="1:8" x14ac:dyDescent="0.2">
      <c r="A25" s="5">
        <v>19</v>
      </c>
      <c r="B25" s="6" t="s">
        <v>373</v>
      </c>
      <c r="C25" s="6" t="s">
        <v>374</v>
      </c>
      <c r="D25" s="6" t="s">
        <v>213</v>
      </c>
      <c r="E25" s="7">
        <v>4000</v>
      </c>
      <c r="F25" s="8">
        <v>30.242000000000001</v>
      </c>
      <c r="G25" s="9">
        <v>1.6998530000000001E-2</v>
      </c>
      <c r="H25" s="97"/>
    </row>
    <row r="26" spans="1:8" x14ac:dyDescent="0.2">
      <c r="A26" s="5">
        <v>20</v>
      </c>
      <c r="B26" s="6" t="s">
        <v>181</v>
      </c>
      <c r="C26" s="6" t="s">
        <v>182</v>
      </c>
      <c r="D26" s="6" t="s">
        <v>1189</v>
      </c>
      <c r="E26" s="7">
        <v>3500</v>
      </c>
      <c r="F26" s="8">
        <v>29.972249999999999</v>
      </c>
      <c r="G26" s="9">
        <v>1.6846908000000001E-2</v>
      </c>
      <c r="H26" s="97"/>
    </row>
    <row r="27" spans="1:8" x14ac:dyDescent="0.2">
      <c r="A27" s="5">
        <v>21</v>
      </c>
      <c r="B27" s="6" t="s">
        <v>440</v>
      </c>
      <c r="C27" s="6" t="s">
        <v>441</v>
      </c>
      <c r="D27" s="6" t="s">
        <v>25</v>
      </c>
      <c r="E27" s="7">
        <v>1570</v>
      </c>
      <c r="F27" s="8">
        <v>28.19877</v>
      </c>
      <c r="G27" s="9">
        <v>1.5850064000000001E-2</v>
      </c>
      <c r="H27" s="97"/>
    </row>
    <row r="28" spans="1:8" ht="25.5" x14ac:dyDescent="0.2">
      <c r="A28" s="5">
        <v>22</v>
      </c>
      <c r="B28" s="6" t="s">
        <v>436</v>
      </c>
      <c r="C28" s="6" t="s">
        <v>437</v>
      </c>
      <c r="D28" s="6" t="s">
        <v>202</v>
      </c>
      <c r="E28" s="7">
        <v>12606</v>
      </c>
      <c r="F28" s="8">
        <v>27.487383000000001</v>
      </c>
      <c r="G28" s="9">
        <v>1.5450205E-2</v>
      </c>
      <c r="H28" s="97"/>
    </row>
    <row r="29" spans="1:8" ht="25.5" x14ac:dyDescent="0.2">
      <c r="A29" s="5">
        <v>23</v>
      </c>
      <c r="B29" s="6" t="s">
        <v>566</v>
      </c>
      <c r="C29" s="6" t="s">
        <v>567</v>
      </c>
      <c r="D29" s="6" t="s">
        <v>1185</v>
      </c>
      <c r="E29" s="7">
        <v>1871</v>
      </c>
      <c r="F29" s="8">
        <v>26.599071500000001</v>
      </c>
      <c r="G29" s="9">
        <v>1.49509E-2</v>
      </c>
      <c r="H29" s="97"/>
    </row>
    <row r="30" spans="1:8" x14ac:dyDescent="0.2">
      <c r="A30" s="5">
        <v>24</v>
      </c>
      <c r="B30" s="6" t="s">
        <v>39</v>
      </c>
      <c r="C30" s="6" t="s">
        <v>40</v>
      </c>
      <c r="D30" s="6" t="s">
        <v>16</v>
      </c>
      <c r="E30" s="7">
        <v>5912</v>
      </c>
      <c r="F30" s="8">
        <v>22.787804000000001</v>
      </c>
      <c r="G30" s="9">
        <v>1.2808649E-2</v>
      </c>
      <c r="H30" s="97"/>
    </row>
    <row r="31" spans="1:8" x14ac:dyDescent="0.2">
      <c r="A31" s="5">
        <v>25</v>
      </c>
      <c r="B31" s="6" t="s">
        <v>332</v>
      </c>
      <c r="C31" s="6" t="s">
        <v>333</v>
      </c>
      <c r="D31" s="6" t="s">
        <v>60</v>
      </c>
      <c r="E31" s="7">
        <v>6000</v>
      </c>
      <c r="F31" s="8">
        <v>22.635000000000002</v>
      </c>
      <c r="G31" s="9">
        <v>1.2722761000000001E-2</v>
      </c>
      <c r="H31" s="97"/>
    </row>
    <row r="32" spans="1:8" x14ac:dyDescent="0.2">
      <c r="A32" s="5">
        <v>26</v>
      </c>
      <c r="B32" s="6" t="s">
        <v>423</v>
      </c>
      <c r="C32" s="6" t="s">
        <v>424</v>
      </c>
      <c r="D32" s="6" t="s">
        <v>193</v>
      </c>
      <c r="E32" s="7">
        <v>2650</v>
      </c>
      <c r="F32" s="8">
        <v>22.411049999999999</v>
      </c>
      <c r="G32" s="9">
        <v>1.2596882E-2</v>
      </c>
      <c r="H32" s="97"/>
    </row>
    <row r="33" spans="1:8" x14ac:dyDescent="0.2">
      <c r="A33" s="5">
        <v>27</v>
      </c>
      <c r="B33" s="6" t="s">
        <v>357</v>
      </c>
      <c r="C33" s="6" t="s">
        <v>358</v>
      </c>
      <c r="D33" s="6" t="s">
        <v>48</v>
      </c>
      <c r="E33" s="7">
        <v>3551</v>
      </c>
      <c r="F33" s="8">
        <v>21.822670500000001</v>
      </c>
      <c r="G33" s="9">
        <v>1.2266164E-2</v>
      </c>
      <c r="H33" s="97"/>
    </row>
    <row r="34" spans="1:8" x14ac:dyDescent="0.2">
      <c r="A34" s="5">
        <v>28</v>
      </c>
      <c r="B34" s="6" t="s">
        <v>90</v>
      </c>
      <c r="C34" s="6" t="s">
        <v>91</v>
      </c>
      <c r="D34" s="6" t="s">
        <v>19</v>
      </c>
      <c r="E34" s="7">
        <v>248</v>
      </c>
      <c r="F34" s="8">
        <v>21.785312000000001</v>
      </c>
      <c r="G34" s="9">
        <v>1.2245165000000001E-2</v>
      </c>
      <c r="H34" s="97"/>
    </row>
    <row r="35" spans="1:8" x14ac:dyDescent="0.2">
      <c r="A35" s="5">
        <v>29</v>
      </c>
      <c r="B35" s="6" t="s">
        <v>350</v>
      </c>
      <c r="C35" s="6" t="s">
        <v>351</v>
      </c>
      <c r="D35" s="6" t="s">
        <v>25</v>
      </c>
      <c r="E35" s="7">
        <v>25574</v>
      </c>
      <c r="F35" s="8">
        <v>20.957892999999999</v>
      </c>
      <c r="G35" s="9">
        <v>1.1780086E-2</v>
      </c>
      <c r="H35" s="97"/>
    </row>
    <row r="36" spans="1:8" x14ac:dyDescent="0.2">
      <c r="A36" s="5">
        <v>30</v>
      </c>
      <c r="B36" s="6" t="s">
        <v>328</v>
      </c>
      <c r="C36" s="6" t="s">
        <v>329</v>
      </c>
      <c r="D36" s="6" t="s">
        <v>25</v>
      </c>
      <c r="E36" s="7">
        <v>25000</v>
      </c>
      <c r="F36" s="8">
        <v>20.75</v>
      </c>
      <c r="G36" s="9">
        <v>1.1663233E-2</v>
      </c>
      <c r="H36" s="97"/>
    </row>
    <row r="37" spans="1:8" x14ac:dyDescent="0.2">
      <c r="A37" s="5">
        <v>31</v>
      </c>
      <c r="B37" s="6" t="s">
        <v>635</v>
      </c>
      <c r="C37" s="6" t="s">
        <v>636</v>
      </c>
      <c r="D37" s="6" t="s">
        <v>327</v>
      </c>
      <c r="E37" s="7">
        <v>7000</v>
      </c>
      <c r="F37" s="8">
        <v>19.057500000000001</v>
      </c>
      <c r="G37" s="9">
        <v>1.0711907E-2</v>
      </c>
      <c r="H37" s="97"/>
    </row>
    <row r="38" spans="1:8" ht="25.5" x14ac:dyDescent="0.2">
      <c r="A38" s="5">
        <v>32</v>
      </c>
      <c r="B38" s="6" t="s">
        <v>425</v>
      </c>
      <c r="C38" s="6" t="s">
        <v>426</v>
      </c>
      <c r="D38" s="6" t="s">
        <v>202</v>
      </c>
      <c r="E38" s="7">
        <v>788</v>
      </c>
      <c r="F38" s="8">
        <v>18.597981999999998</v>
      </c>
      <c r="G38" s="9">
        <v>1.0453619000000001E-2</v>
      </c>
      <c r="H38" s="97"/>
    </row>
    <row r="39" spans="1:8" x14ac:dyDescent="0.2">
      <c r="A39" s="5">
        <v>33</v>
      </c>
      <c r="B39" s="6" t="s">
        <v>421</v>
      </c>
      <c r="C39" s="6" t="s">
        <v>422</v>
      </c>
      <c r="D39" s="6" t="s">
        <v>147</v>
      </c>
      <c r="E39" s="7">
        <v>2582</v>
      </c>
      <c r="F39" s="8">
        <v>18.470337000000001</v>
      </c>
      <c r="G39" s="9">
        <v>1.0381872E-2</v>
      </c>
      <c r="H39" s="97"/>
    </row>
    <row r="40" spans="1:8" x14ac:dyDescent="0.2">
      <c r="A40" s="5">
        <v>34</v>
      </c>
      <c r="B40" s="6" t="s">
        <v>321</v>
      </c>
      <c r="C40" s="6" t="s">
        <v>322</v>
      </c>
      <c r="D40" s="6" t="s">
        <v>19</v>
      </c>
      <c r="E40" s="7">
        <v>1931</v>
      </c>
      <c r="F40" s="8">
        <v>18.186157999999999</v>
      </c>
      <c r="G40" s="9">
        <v>1.0222139999999999E-2</v>
      </c>
      <c r="H40" s="97"/>
    </row>
    <row r="41" spans="1:8" x14ac:dyDescent="0.2">
      <c r="A41" s="5">
        <v>35</v>
      </c>
      <c r="B41" s="6" t="s">
        <v>336</v>
      </c>
      <c r="C41" s="6" t="s">
        <v>337</v>
      </c>
      <c r="D41" s="6" t="s">
        <v>193</v>
      </c>
      <c r="E41" s="7">
        <v>462</v>
      </c>
      <c r="F41" s="8">
        <v>17.854220999999999</v>
      </c>
      <c r="G41" s="9">
        <v>1.0035564E-2</v>
      </c>
      <c r="H41" s="97"/>
    </row>
    <row r="42" spans="1:8" x14ac:dyDescent="0.2">
      <c r="A42" s="5">
        <v>36</v>
      </c>
      <c r="B42" s="6" t="s">
        <v>450</v>
      </c>
      <c r="C42" s="6" t="s">
        <v>451</v>
      </c>
      <c r="D42" s="6" t="s">
        <v>193</v>
      </c>
      <c r="E42" s="7">
        <v>1814</v>
      </c>
      <c r="F42" s="8">
        <v>17.125973999999999</v>
      </c>
      <c r="G42" s="9">
        <v>9.6262280000000006E-3</v>
      </c>
      <c r="H42" s="97"/>
    </row>
    <row r="43" spans="1:8" ht="25.5" x14ac:dyDescent="0.2">
      <c r="A43" s="5">
        <v>37</v>
      </c>
      <c r="B43" s="6" t="s">
        <v>395</v>
      </c>
      <c r="C43" s="6" t="s">
        <v>396</v>
      </c>
      <c r="D43" s="6" t="s">
        <v>202</v>
      </c>
      <c r="E43" s="7">
        <v>2272</v>
      </c>
      <c r="F43" s="8">
        <v>16.891183999999999</v>
      </c>
      <c r="G43" s="9">
        <v>9.4942559999999995E-3</v>
      </c>
      <c r="H43" s="97"/>
    </row>
    <row r="44" spans="1:8" ht="25.5" x14ac:dyDescent="0.2">
      <c r="A44" s="5">
        <v>38</v>
      </c>
      <c r="B44" s="6" t="s">
        <v>442</v>
      </c>
      <c r="C44" s="6" t="s">
        <v>1157</v>
      </c>
      <c r="D44" s="91" t="s">
        <v>22</v>
      </c>
      <c r="E44" s="7">
        <v>482</v>
      </c>
      <c r="F44" s="8">
        <v>1.699773</v>
      </c>
      <c r="G44" s="9">
        <v>9.5541400000000002E-4</v>
      </c>
      <c r="H44" s="97"/>
    </row>
    <row r="45" spans="1:8" x14ac:dyDescent="0.2">
      <c r="A45" s="3"/>
      <c r="B45" s="3"/>
      <c r="C45" s="4" t="s">
        <v>97</v>
      </c>
      <c r="D45" s="3"/>
      <c r="E45" s="3" t="s">
        <v>98</v>
      </c>
      <c r="F45" s="11">
        <v>1717.9063644999999</v>
      </c>
      <c r="G45" s="12">
        <v>0.96560687099999987</v>
      </c>
      <c r="H45" s="97"/>
    </row>
    <row r="46" spans="1:8" x14ac:dyDescent="0.2">
      <c r="A46" s="3"/>
      <c r="B46" s="3"/>
      <c r="C46" s="13"/>
      <c r="D46" s="3"/>
      <c r="E46" s="3"/>
      <c r="F46" s="14"/>
      <c r="G46" s="14"/>
      <c r="H46" s="97"/>
    </row>
    <row r="47" spans="1:8" x14ac:dyDescent="0.2">
      <c r="A47" s="3"/>
      <c r="B47" s="3"/>
      <c r="C47" s="4" t="s">
        <v>99</v>
      </c>
      <c r="D47" s="3"/>
      <c r="E47" s="3"/>
      <c r="F47" s="3"/>
      <c r="G47" s="3"/>
      <c r="H47" s="97"/>
    </row>
    <row r="48" spans="1:8" x14ac:dyDescent="0.2">
      <c r="A48" s="3"/>
      <c r="B48" s="3"/>
      <c r="C48" s="4" t="s">
        <v>97</v>
      </c>
      <c r="D48" s="3"/>
      <c r="E48" s="3" t="s">
        <v>98</v>
      </c>
      <c r="F48" s="15">
        <v>0</v>
      </c>
      <c r="G48" s="16">
        <v>0</v>
      </c>
      <c r="H48" s="97"/>
    </row>
    <row r="49" spans="1:8" x14ac:dyDescent="0.2">
      <c r="A49" s="3"/>
      <c r="B49" s="3"/>
      <c r="C49" s="13"/>
      <c r="D49" s="3"/>
      <c r="E49" s="3"/>
      <c r="F49" s="14"/>
      <c r="G49" s="14"/>
      <c r="H49" s="97"/>
    </row>
    <row r="50" spans="1:8" x14ac:dyDescent="0.2">
      <c r="A50" s="3"/>
      <c r="B50" s="3"/>
      <c r="C50" s="4" t="s">
        <v>100</v>
      </c>
      <c r="D50" s="3"/>
      <c r="E50" s="3"/>
      <c r="F50" s="3"/>
      <c r="G50" s="3"/>
      <c r="H50" s="97"/>
    </row>
    <row r="51" spans="1:8" x14ac:dyDescent="0.2">
      <c r="A51" s="3"/>
      <c r="B51" s="3"/>
      <c r="C51" s="4" t="s">
        <v>97</v>
      </c>
      <c r="D51" s="3"/>
      <c r="E51" s="3" t="s">
        <v>98</v>
      </c>
      <c r="F51" s="15">
        <v>0</v>
      </c>
      <c r="G51" s="16">
        <v>0</v>
      </c>
      <c r="H51" s="97"/>
    </row>
    <row r="52" spans="1:8" x14ac:dyDescent="0.2">
      <c r="A52" s="3"/>
      <c r="B52" s="3"/>
      <c r="C52" s="13"/>
      <c r="D52" s="3"/>
      <c r="E52" s="3"/>
      <c r="F52" s="14"/>
      <c r="G52" s="14"/>
      <c r="H52" s="97"/>
    </row>
    <row r="53" spans="1:8" x14ac:dyDescent="0.2">
      <c r="A53" s="3"/>
      <c r="B53" s="3"/>
      <c r="C53" s="4" t="s">
        <v>101</v>
      </c>
      <c r="D53" s="3"/>
      <c r="E53" s="3"/>
      <c r="F53" s="3"/>
      <c r="G53" s="3"/>
      <c r="H53" s="97"/>
    </row>
    <row r="54" spans="1:8" x14ac:dyDescent="0.2">
      <c r="A54" s="3"/>
      <c r="B54" s="3"/>
      <c r="C54" s="4" t="s">
        <v>97</v>
      </c>
      <c r="D54" s="3"/>
      <c r="E54" s="3" t="s">
        <v>98</v>
      </c>
      <c r="F54" s="11">
        <v>1.699773</v>
      </c>
      <c r="G54" s="12">
        <v>9.5541400000000002E-4</v>
      </c>
      <c r="H54" s="97"/>
    </row>
    <row r="55" spans="1:8" x14ac:dyDescent="0.2">
      <c r="A55" s="3"/>
      <c r="B55" s="3"/>
      <c r="C55" s="13"/>
      <c r="D55" s="3"/>
      <c r="E55" s="3"/>
      <c r="F55" s="14"/>
      <c r="G55" s="14"/>
      <c r="H55" s="97"/>
    </row>
    <row r="56" spans="1:8" x14ac:dyDescent="0.2">
      <c r="A56" s="3"/>
      <c r="B56" s="3"/>
      <c r="C56" s="4" t="s">
        <v>102</v>
      </c>
      <c r="D56" s="3"/>
      <c r="E56" s="3"/>
      <c r="F56" s="14"/>
      <c r="G56" s="14"/>
      <c r="H56" s="97"/>
    </row>
    <row r="57" spans="1:8" x14ac:dyDescent="0.2">
      <c r="A57" s="3"/>
      <c r="B57" s="3"/>
      <c r="C57" s="4" t="s">
        <v>97</v>
      </c>
      <c r="D57" s="3"/>
      <c r="E57" s="3" t="s">
        <v>98</v>
      </c>
      <c r="F57" s="15">
        <v>0</v>
      </c>
      <c r="G57" s="16">
        <v>0</v>
      </c>
      <c r="H57" s="97"/>
    </row>
    <row r="58" spans="1:8" x14ac:dyDescent="0.2">
      <c r="A58" s="3"/>
      <c r="B58" s="3"/>
      <c r="C58" s="13"/>
      <c r="D58" s="3"/>
      <c r="E58" s="3"/>
      <c r="F58" s="14"/>
      <c r="G58" s="14"/>
      <c r="H58" s="97"/>
    </row>
    <row r="59" spans="1:8" x14ac:dyDescent="0.2">
      <c r="A59" s="3"/>
      <c r="B59" s="3"/>
      <c r="C59" s="4" t="s">
        <v>103</v>
      </c>
      <c r="D59" s="3"/>
      <c r="E59" s="3"/>
      <c r="F59" s="14"/>
      <c r="G59" s="14"/>
      <c r="H59" s="97"/>
    </row>
    <row r="60" spans="1:8" x14ac:dyDescent="0.2">
      <c r="A60" s="3"/>
      <c r="B60" s="3"/>
      <c r="C60" s="4" t="s">
        <v>97</v>
      </c>
      <c r="D60" s="3"/>
      <c r="E60" s="3" t="s">
        <v>98</v>
      </c>
      <c r="F60" s="15">
        <v>0</v>
      </c>
      <c r="G60" s="16">
        <v>0</v>
      </c>
      <c r="H60" s="97"/>
    </row>
    <row r="61" spans="1:8" x14ac:dyDescent="0.2">
      <c r="A61" s="3"/>
      <c r="B61" s="3"/>
      <c r="C61" s="13"/>
      <c r="D61" s="3"/>
      <c r="E61" s="3"/>
      <c r="F61" s="14"/>
      <c r="G61" s="14"/>
      <c r="H61" s="97"/>
    </row>
    <row r="62" spans="1:8" x14ac:dyDescent="0.2">
      <c r="A62" s="3"/>
      <c r="B62" s="3"/>
      <c r="C62" s="4" t="s">
        <v>104</v>
      </c>
      <c r="D62" s="3"/>
      <c r="E62" s="3"/>
      <c r="F62" s="11">
        <v>1717.9063645000001</v>
      </c>
      <c r="G62" s="12">
        <v>0.96560687099999998</v>
      </c>
      <c r="H62" s="97"/>
    </row>
    <row r="63" spans="1:8" x14ac:dyDescent="0.2">
      <c r="A63" s="3"/>
      <c r="B63" s="3"/>
      <c r="C63" s="13"/>
      <c r="D63" s="3"/>
      <c r="E63" s="3"/>
      <c r="F63" s="14"/>
      <c r="G63" s="14"/>
      <c r="H63" s="97"/>
    </row>
    <row r="64" spans="1:8" x14ac:dyDescent="0.2">
      <c r="A64" s="3"/>
      <c r="B64" s="3"/>
      <c r="C64" s="4" t="s">
        <v>105</v>
      </c>
      <c r="D64" s="3"/>
      <c r="E64" s="3"/>
      <c r="F64" s="14"/>
      <c r="G64" s="14"/>
      <c r="H64" s="97"/>
    </row>
    <row r="65" spans="1:8" ht="25.5" x14ac:dyDescent="0.2">
      <c r="A65" s="3"/>
      <c r="B65" s="3"/>
      <c r="C65" s="4" t="s">
        <v>10</v>
      </c>
      <c r="D65" s="3"/>
      <c r="E65" s="3"/>
      <c r="F65" s="14"/>
      <c r="G65" s="14"/>
      <c r="H65" s="97"/>
    </row>
    <row r="66" spans="1:8" x14ac:dyDescent="0.2">
      <c r="A66" s="3"/>
      <c r="B66" s="3"/>
      <c r="C66" s="4" t="s">
        <v>97</v>
      </c>
      <c r="D66" s="3"/>
      <c r="E66" s="3" t="s">
        <v>98</v>
      </c>
      <c r="F66" s="15">
        <v>0</v>
      </c>
      <c r="G66" s="16">
        <v>0</v>
      </c>
      <c r="H66" s="97"/>
    </row>
    <row r="67" spans="1:8" x14ac:dyDescent="0.2">
      <c r="A67" s="3"/>
      <c r="B67" s="3"/>
      <c r="C67" s="13"/>
      <c r="D67" s="3"/>
      <c r="E67" s="3"/>
      <c r="F67" s="14"/>
      <c r="G67" s="14"/>
      <c r="H67" s="97"/>
    </row>
    <row r="68" spans="1:8" x14ac:dyDescent="0.2">
      <c r="A68" s="3"/>
      <c r="B68" s="3"/>
      <c r="C68" s="4" t="s">
        <v>106</v>
      </c>
      <c r="D68" s="3"/>
      <c r="E68" s="3"/>
      <c r="F68" s="3"/>
      <c r="G68" s="3"/>
      <c r="H68" s="97"/>
    </row>
    <row r="69" spans="1:8" x14ac:dyDescent="0.2">
      <c r="A69" s="3"/>
      <c r="B69" s="3"/>
      <c r="C69" s="4" t="s">
        <v>97</v>
      </c>
      <c r="D69" s="3"/>
      <c r="E69" s="3" t="s">
        <v>98</v>
      </c>
      <c r="F69" s="15">
        <v>0</v>
      </c>
      <c r="G69" s="16">
        <v>0</v>
      </c>
      <c r="H69" s="97"/>
    </row>
    <row r="70" spans="1:8" x14ac:dyDescent="0.2">
      <c r="A70" s="3"/>
      <c r="B70" s="3"/>
      <c r="C70" s="13"/>
      <c r="D70" s="3"/>
      <c r="E70" s="3"/>
      <c r="F70" s="14"/>
      <c r="G70" s="14"/>
      <c r="H70" s="97"/>
    </row>
    <row r="71" spans="1:8" x14ac:dyDescent="0.2">
      <c r="A71" s="3"/>
      <c r="B71" s="3"/>
      <c r="C71" s="4" t="s">
        <v>107</v>
      </c>
      <c r="D71" s="3"/>
      <c r="E71" s="3"/>
      <c r="F71" s="3"/>
      <c r="G71" s="3"/>
      <c r="H71" s="97"/>
    </row>
    <row r="72" spans="1:8" x14ac:dyDescent="0.2">
      <c r="A72" s="3"/>
      <c r="B72" s="3"/>
      <c r="C72" s="4" t="s">
        <v>97</v>
      </c>
      <c r="D72" s="3"/>
      <c r="E72" s="3" t="s">
        <v>98</v>
      </c>
      <c r="F72" s="15">
        <v>0</v>
      </c>
      <c r="G72" s="16">
        <v>0</v>
      </c>
      <c r="H72" s="97"/>
    </row>
    <row r="73" spans="1:8" x14ac:dyDescent="0.2">
      <c r="A73" s="3"/>
      <c r="B73" s="3"/>
      <c r="C73" s="13"/>
      <c r="D73" s="3"/>
      <c r="E73" s="3"/>
      <c r="F73" s="14"/>
      <c r="G73" s="14"/>
      <c r="H73" s="97"/>
    </row>
    <row r="74" spans="1:8" x14ac:dyDescent="0.2">
      <c r="A74" s="3"/>
      <c r="B74" s="3"/>
      <c r="C74" s="4" t="s">
        <v>108</v>
      </c>
      <c r="D74" s="3"/>
      <c r="E74" s="3"/>
      <c r="F74" s="14"/>
      <c r="G74" s="14"/>
      <c r="H74" s="97"/>
    </row>
    <row r="75" spans="1:8" x14ac:dyDescent="0.2">
      <c r="A75" s="3"/>
      <c r="B75" s="3"/>
      <c r="C75" s="4" t="s">
        <v>97</v>
      </c>
      <c r="D75" s="3"/>
      <c r="E75" s="3" t="s">
        <v>98</v>
      </c>
      <c r="F75" s="15">
        <v>0</v>
      </c>
      <c r="G75" s="16">
        <v>0</v>
      </c>
      <c r="H75" s="97"/>
    </row>
    <row r="76" spans="1:8" x14ac:dyDescent="0.2">
      <c r="A76" s="3"/>
      <c r="B76" s="3"/>
      <c r="C76" s="13"/>
      <c r="D76" s="3"/>
      <c r="E76" s="3"/>
      <c r="F76" s="14"/>
      <c r="G76" s="14"/>
      <c r="H76" s="97"/>
    </row>
    <row r="77" spans="1:8" x14ac:dyDescent="0.2">
      <c r="A77" s="3"/>
      <c r="B77" s="3"/>
      <c r="C77" s="4" t="s">
        <v>109</v>
      </c>
      <c r="D77" s="3"/>
      <c r="E77" s="3"/>
      <c r="F77" s="11">
        <v>0</v>
      </c>
      <c r="G77" s="12">
        <v>0</v>
      </c>
      <c r="H77" s="97"/>
    </row>
    <row r="78" spans="1:8" x14ac:dyDescent="0.2">
      <c r="A78" s="3"/>
      <c r="B78" s="3"/>
      <c r="C78" s="13"/>
      <c r="D78" s="3"/>
      <c r="E78" s="3"/>
      <c r="F78" s="14"/>
      <c r="G78" s="14"/>
      <c r="H78" s="97"/>
    </row>
    <row r="79" spans="1:8" x14ac:dyDescent="0.2">
      <c r="A79" s="3"/>
      <c r="B79" s="3"/>
      <c r="C79" s="4" t="s">
        <v>110</v>
      </c>
      <c r="D79" s="3"/>
      <c r="E79" s="3"/>
      <c r="F79" s="14"/>
      <c r="G79" s="14"/>
      <c r="H79" s="97"/>
    </row>
    <row r="80" spans="1:8" x14ac:dyDescent="0.2">
      <c r="A80" s="3"/>
      <c r="B80" s="3"/>
      <c r="C80" s="4" t="s">
        <v>111</v>
      </c>
      <c r="D80" s="3"/>
      <c r="E80" s="3"/>
      <c r="F80" s="14"/>
      <c r="G80" s="14"/>
      <c r="H80" s="97"/>
    </row>
    <row r="81" spans="1:8" x14ac:dyDescent="0.2">
      <c r="A81" s="3"/>
      <c r="B81" s="3"/>
      <c r="C81" s="4" t="s">
        <v>97</v>
      </c>
      <c r="D81" s="3"/>
      <c r="E81" s="3" t="s">
        <v>98</v>
      </c>
      <c r="F81" s="15">
        <v>0</v>
      </c>
      <c r="G81" s="16">
        <v>0</v>
      </c>
      <c r="H81" s="97"/>
    </row>
    <row r="82" spans="1:8" x14ac:dyDescent="0.2">
      <c r="A82" s="3"/>
      <c r="B82" s="3"/>
      <c r="C82" s="13"/>
      <c r="D82" s="3"/>
      <c r="E82" s="3"/>
      <c r="F82" s="14"/>
      <c r="G82" s="14"/>
      <c r="H82" s="97"/>
    </row>
    <row r="83" spans="1:8" x14ac:dyDescent="0.2">
      <c r="A83" s="3"/>
      <c r="B83" s="3"/>
      <c r="C83" s="4" t="s">
        <v>112</v>
      </c>
      <c r="D83" s="3"/>
      <c r="E83" s="3"/>
      <c r="F83" s="14"/>
      <c r="G83" s="14"/>
      <c r="H83" s="97"/>
    </row>
    <row r="84" spans="1:8" x14ac:dyDescent="0.2">
      <c r="A84" s="3"/>
      <c r="B84" s="3"/>
      <c r="C84" s="4" t="s">
        <v>97</v>
      </c>
      <c r="D84" s="3"/>
      <c r="E84" s="3" t="s">
        <v>98</v>
      </c>
      <c r="F84" s="15">
        <v>0</v>
      </c>
      <c r="G84" s="16">
        <v>0</v>
      </c>
      <c r="H84" s="97"/>
    </row>
    <row r="85" spans="1:8" x14ac:dyDescent="0.2">
      <c r="A85" s="3"/>
      <c r="B85" s="3"/>
      <c r="C85" s="13"/>
      <c r="D85" s="3"/>
      <c r="E85" s="3"/>
      <c r="F85" s="14"/>
      <c r="G85" s="14"/>
      <c r="H85" s="97"/>
    </row>
    <row r="86" spans="1:8" x14ac:dyDescent="0.2">
      <c r="A86" s="3"/>
      <c r="B86" s="3"/>
      <c r="C86" s="4" t="s">
        <v>113</v>
      </c>
      <c r="D86" s="3"/>
      <c r="E86" s="3"/>
      <c r="F86" s="14"/>
      <c r="G86" s="14"/>
      <c r="H86" s="97"/>
    </row>
    <row r="87" spans="1:8" x14ac:dyDescent="0.2">
      <c r="A87" s="3"/>
      <c r="B87" s="3"/>
      <c r="C87" s="4" t="s">
        <v>97</v>
      </c>
      <c r="D87" s="3"/>
      <c r="E87" s="3" t="s">
        <v>98</v>
      </c>
      <c r="F87" s="15">
        <v>0</v>
      </c>
      <c r="G87" s="16">
        <v>0</v>
      </c>
      <c r="H87" s="97"/>
    </row>
    <row r="88" spans="1:8" x14ac:dyDescent="0.2">
      <c r="A88" s="3"/>
      <c r="B88" s="3"/>
      <c r="C88" s="13"/>
      <c r="D88" s="3"/>
      <c r="E88" s="3"/>
      <c r="F88" s="14"/>
      <c r="G88" s="14"/>
      <c r="H88" s="97"/>
    </row>
    <row r="89" spans="1:8" x14ac:dyDescent="0.2">
      <c r="A89" s="3"/>
      <c r="B89" s="3"/>
      <c r="C89" s="4" t="s">
        <v>114</v>
      </c>
      <c r="D89" s="3"/>
      <c r="E89" s="3"/>
      <c r="F89" s="14"/>
      <c r="G89" s="14"/>
      <c r="H89" s="97"/>
    </row>
    <row r="90" spans="1:8" x14ac:dyDescent="0.2">
      <c r="A90" s="5">
        <v>1</v>
      </c>
      <c r="B90" s="6"/>
      <c r="C90" s="6" t="s">
        <v>115</v>
      </c>
      <c r="D90" s="6"/>
      <c r="E90" s="10"/>
      <c r="F90" s="8">
        <v>38.4634918</v>
      </c>
      <c r="G90" s="9">
        <v>2.1619695000000001E-2</v>
      </c>
      <c r="H90" s="8">
        <v>3.4504560529072292</v>
      </c>
    </row>
    <row r="91" spans="1:8" x14ac:dyDescent="0.2">
      <c r="A91" s="5">
        <v>2</v>
      </c>
      <c r="B91" s="6"/>
      <c r="C91" s="6" t="s">
        <v>116</v>
      </c>
      <c r="D91" s="6"/>
      <c r="E91" s="10"/>
      <c r="F91" s="8">
        <v>20.759052400000002</v>
      </c>
      <c r="G91" s="9">
        <v>1.1668321000000001E-2</v>
      </c>
      <c r="H91" s="8">
        <v>3.5655822479098256</v>
      </c>
    </row>
    <row r="92" spans="1:8" x14ac:dyDescent="0.2">
      <c r="A92" s="3"/>
      <c r="B92" s="3"/>
      <c r="C92" s="4" t="s">
        <v>97</v>
      </c>
      <c r="D92" s="3"/>
      <c r="E92" s="3" t="s">
        <v>98</v>
      </c>
      <c r="F92" s="11">
        <v>59.222544200000002</v>
      </c>
      <c r="G92" s="12">
        <v>3.3288015999999997E-2</v>
      </c>
      <c r="H92" s="97"/>
    </row>
    <row r="93" spans="1:8" x14ac:dyDescent="0.2">
      <c r="A93" s="3"/>
      <c r="B93" s="3"/>
      <c r="C93" s="13"/>
      <c r="D93" s="3"/>
      <c r="E93" s="3"/>
      <c r="F93" s="14"/>
      <c r="G93" s="14"/>
      <c r="H93" s="97"/>
    </row>
    <row r="94" spans="1:8" x14ac:dyDescent="0.2">
      <c r="A94" s="3"/>
      <c r="B94" s="3"/>
      <c r="C94" s="4" t="s">
        <v>117</v>
      </c>
      <c r="D94" s="3"/>
      <c r="E94" s="3"/>
      <c r="F94" s="11">
        <v>59.222544200000002</v>
      </c>
      <c r="G94" s="12">
        <v>3.3288015999999997E-2</v>
      </c>
      <c r="H94" s="97"/>
    </row>
    <row r="95" spans="1:8" x14ac:dyDescent="0.2">
      <c r="A95" s="3"/>
      <c r="B95" s="3"/>
      <c r="C95" s="14"/>
      <c r="D95" s="3"/>
      <c r="E95" s="3"/>
      <c r="F95" s="3"/>
      <c r="G95" s="3"/>
      <c r="H95" s="97"/>
    </row>
    <row r="96" spans="1:8" x14ac:dyDescent="0.2">
      <c r="A96" s="3"/>
      <c r="B96" s="3"/>
      <c r="C96" s="4" t="s">
        <v>118</v>
      </c>
      <c r="D96" s="3"/>
      <c r="E96" s="3"/>
      <c r="F96" s="3"/>
      <c r="G96" s="3"/>
      <c r="H96" s="97"/>
    </row>
    <row r="97" spans="1:8" x14ac:dyDescent="0.2">
      <c r="A97" s="3"/>
      <c r="B97" s="3"/>
      <c r="C97" s="4" t="s">
        <v>119</v>
      </c>
      <c r="D97" s="3"/>
      <c r="E97" s="3"/>
      <c r="F97" s="3"/>
      <c r="G97" s="3"/>
      <c r="H97" s="97"/>
    </row>
    <row r="98" spans="1:8" x14ac:dyDescent="0.2">
      <c r="A98" s="3"/>
      <c r="B98" s="3"/>
      <c r="C98" s="4" t="s">
        <v>97</v>
      </c>
      <c r="D98" s="3"/>
      <c r="E98" s="3" t="s">
        <v>98</v>
      </c>
      <c r="F98" s="15">
        <v>0</v>
      </c>
      <c r="G98" s="16">
        <v>0</v>
      </c>
      <c r="H98" s="97"/>
    </row>
    <row r="99" spans="1:8" x14ac:dyDescent="0.2">
      <c r="A99" s="3"/>
      <c r="B99" s="3"/>
      <c r="C99" s="13"/>
      <c r="D99" s="3"/>
      <c r="E99" s="3"/>
      <c r="F99" s="14"/>
      <c r="G99" s="14"/>
      <c r="H99" s="97"/>
    </row>
    <row r="100" spans="1:8" x14ac:dyDescent="0.2">
      <c r="A100" s="3"/>
      <c r="B100" s="3"/>
      <c r="C100" s="4" t="s">
        <v>120</v>
      </c>
      <c r="D100" s="3"/>
      <c r="E100" s="3"/>
      <c r="F100" s="3"/>
      <c r="G100" s="3"/>
      <c r="H100" s="97"/>
    </row>
    <row r="101" spans="1:8" x14ac:dyDescent="0.2">
      <c r="A101" s="3"/>
      <c r="B101" s="3"/>
      <c r="C101" s="4" t="s">
        <v>121</v>
      </c>
      <c r="D101" s="3"/>
      <c r="E101" s="3"/>
      <c r="F101" s="3"/>
      <c r="G101" s="3"/>
      <c r="H101" s="97"/>
    </row>
    <row r="102" spans="1:8" x14ac:dyDescent="0.2">
      <c r="A102" s="3"/>
      <c r="B102" s="3"/>
      <c r="C102" s="4" t="s">
        <v>97</v>
      </c>
      <c r="D102" s="3"/>
      <c r="E102" s="3" t="s">
        <v>98</v>
      </c>
      <c r="F102" s="15">
        <v>0</v>
      </c>
      <c r="G102" s="16">
        <v>0</v>
      </c>
      <c r="H102" s="97"/>
    </row>
    <row r="103" spans="1:8" x14ac:dyDescent="0.2">
      <c r="A103" s="3"/>
      <c r="B103" s="3"/>
      <c r="C103" s="13"/>
      <c r="D103" s="3"/>
      <c r="E103" s="3"/>
      <c r="F103" s="14"/>
      <c r="G103" s="14"/>
      <c r="H103" s="97"/>
    </row>
    <row r="104" spans="1:8" x14ac:dyDescent="0.2">
      <c r="A104" s="3"/>
      <c r="B104" s="3"/>
      <c r="C104" s="13"/>
      <c r="D104" s="3"/>
      <c r="E104" s="3"/>
      <c r="F104" s="14"/>
      <c r="G104" s="14"/>
      <c r="H104" s="97"/>
    </row>
    <row r="105" spans="1:8" ht="25.5" x14ac:dyDescent="0.2">
      <c r="A105" s="3"/>
      <c r="B105" s="3"/>
      <c r="C105" s="4" t="s">
        <v>122</v>
      </c>
      <c r="D105" s="3"/>
      <c r="E105" s="3"/>
      <c r="F105" s="14"/>
      <c r="G105" s="14"/>
      <c r="H105" s="97"/>
    </row>
    <row r="106" spans="1:8" x14ac:dyDescent="0.2">
      <c r="A106" s="3"/>
      <c r="B106" s="3"/>
      <c r="C106" s="4" t="s">
        <v>97</v>
      </c>
      <c r="D106" s="3"/>
      <c r="E106" s="3" t="s">
        <v>98</v>
      </c>
      <c r="F106" s="15">
        <v>0</v>
      </c>
      <c r="G106" s="16">
        <v>0</v>
      </c>
      <c r="H106" s="97"/>
    </row>
    <row r="107" spans="1:8" x14ac:dyDescent="0.2">
      <c r="A107" s="3"/>
      <c r="B107" s="3"/>
      <c r="C107" s="13"/>
      <c r="D107" s="3"/>
      <c r="E107" s="3"/>
      <c r="F107" s="14"/>
      <c r="G107" s="14"/>
      <c r="H107" s="97"/>
    </row>
    <row r="108" spans="1:8" x14ac:dyDescent="0.2">
      <c r="A108" s="3"/>
      <c r="B108" s="6"/>
      <c r="C108" s="6"/>
      <c r="D108" s="4"/>
      <c r="E108" s="3"/>
      <c r="F108" s="6"/>
      <c r="G108" s="10"/>
      <c r="H108" s="97"/>
    </row>
    <row r="109" spans="1:8" x14ac:dyDescent="0.2">
      <c r="A109" s="10"/>
      <c r="B109" s="6"/>
      <c r="C109" s="6" t="s">
        <v>123</v>
      </c>
      <c r="D109" s="6"/>
      <c r="E109" s="10"/>
      <c r="F109" s="8">
        <v>1.96609688</v>
      </c>
      <c r="G109" s="9">
        <v>1.105111E-3</v>
      </c>
      <c r="H109" s="97"/>
    </row>
    <row r="110" spans="1:8" x14ac:dyDescent="0.2">
      <c r="A110" s="13"/>
      <c r="B110" s="13"/>
      <c r="C110" s="4" t="s">
        <v>124</v>
      </c>
      <c r="D110" s="17"/>
      <c r="E110" s="17"/>
      <c r="F110" s="11">
        <v>1779.0950055799999</v>
      </c>
      <c r="G110" s="12">
        <v>0.99999999799999995</v>
      </c>
      <c r="H110" s="97"/>
    </row>
    <row r="111" spans="1:8" ht="14.1" customHeight="1" x14ac:dyDescent="0.2">
      <c r="A111" s="20"/>
      <c r="B111" s="226" t="s">
        <v>98</v>
      </c>
      <c r="C111" s="226"/>
      <c r="D111" s="226"/>
      <c r="E111" s="226"/>
      <c r="F111" s="226"/>
      <c r="G111" s="22"/>
    </row>
    <row r="112" spans="1:8" ht="14.1" customHeight="1" x14ac:dyDescent="0.2">
      <c r="A112" s="20"/>
      <c r="B112" s="20"/>
      <c r="C112" s="20"/>
      <c r="D112" s="22"/>
      <c r="E112" s="22"/>
      <c r="F112" s="22"/>
      <c r="G112" s="22"/>
    </row>
    <row r="113" spans="1:17" ht="14.1" customHeight="1" x14ac:dyDescent="0.2">
      <c r="A113" s="20"/>
      <c r="B113" s="224" t="s">
        <v>126</v>
      </c>
      <c r="C113" s="225"/>
      <c r="D113" s="14" t="s">
        <v>98</v>
      </c>
      <c r="E113" s="23"/>
      <c r="F113" s="22"/>
      <c r="G113" s="22"/>
    </row>
    <row r="114" spans="1:17" ht="29.1" customHeight="1" x14ac:dyDescent="0.2">
      <c r="A114" s="20"/>
      <c r="B114" s="231" t="s">
        <v>127</v>
      </c>
      <c r="C114" s="232"/>
      <c r="D114" s="4" t="s">
        <v>128</v>
      </c>
      <c r="E114" s="23"/>
      <c r="F114" s="22"/>
      <c r="G114" s="22"/>
    </row>
    <row r="115" spans="1:17" ht="17.100000000000001" customHeight="1" x14ac:dyDescent="0.2">
      <c r="A115" s="20"/>
      <c r="B115" s="231" t="s">
        <v>129</v>
      </c>
      <c r="C115" s="232"/>
      <c r="D115" s="4" t="s">
        <v>128</v>
      </c>
      <c r="E115" s="23"/>
      <c r="F115" s="22"/>
      <c r="G115" s="22"/>
    </row>
    <row r="116" spans="1:17" ht="17.100000000000001" customHeight="1" x14ac:dyDescent="0.2">
      <c r="A116" s="20"/>
      <c r="B116" s="231" t="s">
        <v>130</v>
      </c>
      <c r="C116" s="232"/>
      <c r="D116" s="14" t="s">
        <v>98</v>
      </c>
      <c r="E116" s="23"/>
      <c r="F116" s="22"/>
      <c r="G116" s="22"/>
    </row>
    <row r="117" spans="1:17" ht="24" customHeight="1" x14ac:dyDescent="0.2">
      <c r="A117" s="24"/>
      <c r="B117" s="25" t="s">
        <v>98</v>
      </c>
      <c r="C117" s="25" t="s">
        <v>131</v>
      </c>
      <c r="D117" s="25" t="s">
        <v>132</v>
      </c>
      <c r="E117" s="24"/>
      <c r="F117" s="24"/>
      <c r="G117" s="24"/>
    </row>
    <row r="118" spans="1:17" ht="18" customHeight="1" x14ac:dyDescent="0.2">
      <c r="A118" s="24"/>
      <c r="B118" s="25" t="s">
        <v>133</v>
      </c>
      <c r="C118" s="25" t="s">
        <v>134</v>
      </c>
      <c r="D118" s="25" t="s">
        <v>135</v>
      </c>
      <c r="E118" s="24"/>
      <c r="F118" s="24"/>
      <c r="G118" s="24"/>
    </row>
    <row r="119" spans="1:17" ht="17.100000000000001" customHeight="1" x14ac:dyDescent="0.2">
      <c r="A119" s="24"/>
      <c r="B119" s="6" t="s">
        <v>136</v>
      </c>
      <c r="C119" s="26">
        <v>21.238499999999998</v>
      </c>
      <c r="D119" s="26">
        <v>21.755299999999998</v>
      </c>
      <c r="E119" s="24"/>
      <c r="F119" s="21"/>
      <c r="G119" s="27"/>
    </row>
    <row r="120" spans="1:17" ht="17.100000000000001" customHeight="1" x14ac:dyDescent="0.2">
      <c r="A120" s="24"/>
      <c r="B120" s="6" t="s">
        <v>1201</v>
      </c>
      <c r="C120" s="26">
        <v>17.692499999999999</v>
      </c>
      <c r="D120" s="26">
        <v>18.123100000000001</v>
      </c>
      <c r="E120" s="24"/>
      <c r="F120" s="21"/>
      <c r="G120" s="27"/>
    </row>
    <row r="121" spans="1:17" ht="17.100000000000001" customHeight="1" x14ac:dyDescent="0.2">
      <c r="A121" s="24"/>
      <c r="B121" s="6" t="s">
        <v>137</v>
      </c>
      <c r="C121" s="26">
        <v>20.761800000000001</v>
      </c>
      <c r="D121" s="26">
        <v>21.2606</v>
      </c>
      <c r="E121" s="24"/>
      <c r="F121" s="21"/>
      <c r="G121" s="27"/>
    </row>
    <row r="122" spans="1:17" ht="17.100000000000001" customHeight="1" x14ac:dyDescent="0.2">
      <c r="A122" s="24"/>
      <c r="B122" s="6" t="s">
        <v>1202</v>
      </c>
      <c r="C122" s="26">
        <v>17.2364</v>
      </c>
      <c r="D122" s="26">
        <v>17.650500000000001</v>
      </c>
      <c r="E122" s="24"/>
      <c r="F122" s="21"/>
      <c r="G122" s="27"/>
    </row>
    <row r="123" spans="1:17" ht="14.1" customHeight="1" x14ac:dyDescent="0.2">
      <c r="A123" s="24"/>
      <c r="B123" s="24"/>
      <c r="C123" s="24"/>
      <c r="D123" s="24"/>
      <c r="E123" s="24"/>
      <c r="F123" s="24"/>
      <c r="G123" s="24"/>
    </row>
    <row r="124" spans="1:17" ht="17.100000000000001" customHeight="1" x14ac:dyDescent="0.2">
      <c r="A124" s="24"/>
      <c r="B124" s="231" t="s">
        <v>1203</v>
      </c>
      <c r="C124" s="232"/>
      <c r="D124" s="4" t="s">
        <v>128</v>
      </c>
      <c r="E124" s="24"/>
      <c r="F124" s="24"/>
      <c r="G124" s="24"/>
    </row>
    <row r="125" spans="1:17" ht="18" customHeight="1" x14ac:dyDescent="0.2">
      <c r="A125" s="24"/>
      <c r="B125" s="28"/>
      <c r="C125" s="28"/>
      <c r="D125" s="29"/>
      <c r="E125" s="24"/>
      <c r="F125" s="24"/>
      <c r="G125" s="24"/>
    </row>
    <row r="126" spans="1:17" s="87" customFormat="1" x14ac:dyDescent="0.2">
      <c r="B126" s="233" t="s">
        <v>1207</v>
      </c>
      <c r="C126" s="233"/>
      <c r="D126" s="233"/>
      <c r="E126" s="233"/>
      <c r="F126" s="233"/>
      <c r="I126"/>
      <c r="J126"/>
      <c r="K126"/>
      <c r="L126"/>
      <c r="M126"/>
      <c r="N126"/>
      <c r="O126"/>
      <c r="P126" s="69"/>
      <c r="Q126" s="69"/>
    </row>
    <row r="127" spans="1:17" ht="14.1" customHeight="1" x14ac:dyDescent="0.2">
      <c r="A127" s="24"/>
      <c r="B127" s="21"/>
      <c r="C127" s="21"/>
      <c r="D127" s="24"/>
      <c r="E127" s="24"/>
      <c r="F127" s="24"/>
      <c r="G127" s="24"/>
    </row>
    <row r="128" spans="1:17" ht="29.1" customHeight="1" x14ac:dyDescent="0.2">
      <c r="A128" s="24"/>
      <c r="B128" s="231" t="s">
        <v>138</v>
      </c>
      <c r="C128" s="232"/>
      <c r="D128" s="4" t="s">
        <v>128</v>
      </c>
      <c r="E128" s="24"/>
      <c r="F128" s="24"/>
      <c r="G128" s="24"/>
    </row>
    <row r="129" spans="1:15" ht="29.1" customHeight="1" x14ac:dyDescent="0.2">
      <c r="A129" s="24"/>
      <c r="B129" s="231" t="s">
        <v>139</v>
      </c>
      <c r="C129" s="232"/>
      <c r="D129" s="4" t="s">
        <v>128</v>
      </c>
      <c r="E129" s="24"/>
      <c r="F129" s="24"/>
      <c r="G129" s="24"/>
    </row>
    <row r="130" spans="1:15" ht="17.100000000000001" customHeight="1" x14ac:dyDescent="0.2">
      <c r="A130" s="24"/>
      <c r="B130" s="231" t="s">
        <v>140</v>
      </c>
      <c r="C130" s="232"/>
      <c r="D130" s="30">
        <v>0.207915052005816</v>
      </c>
      <c r="E130" s="24"/>
      <c r="F130" s="21"/>
      <c r="G130" s="27"/>
      <c r="I130" s="87"/>
      <c r="J130" s="87"/>
      <c r="K130" s="87"/>
      <c r="L130" s="87"/>
      <c r="M130" s="87"/>
      <c r="N130" s="87"/>
      <c r="O130" s="87"/>
    </row>
    <row r="131" spans="1:15" ht="17.100000000000001" customHeight="1" x14ac:dyDescent="0.2">
      <c r="A131" s="24"/>
      <c r="B131" s="231" t="s">
        <v>141</v>
      </c>
      <c r="C131" s="232"/>
      <c r="D131" s="4" t="s">
        <v>128</v>
      </c>
      <c r="E131" s="24"/>
      <c r="F131" s="24"/>
      <c r="G131" s="24"/>
    </row>
  </sheetData>
  <mergeCells count="15">
    <mergeCell ref="B130:C130"/>
    <mergeCell ref="B131:C131"/>
    <mergeCell ref="B114:C114"/>
    <mergeCell ref="B115:C115"/>
    <mergeCell ref="B116:C116"/>
    <mergeCell ref="B124:C124"/>
    <mergeCell ref="B128:C128"/>
    <mergeCell ref="B129:C129"/>
    <mergeCell ref="B126:F126"/>
    <mergeCell ref="J2:N2"/>
    <mergeCell ref="B113:C113"/>
    <mergeCell ref="B111:F111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4">
    <outlinePr summaryBelow="0" summaryRight="0"/>
  </sheetPr>
  <dimension ref="A1:Q130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5" ht="15" x14ac:dyDescent="0.2">
      <c r="A1" s="227" t="s">
        <v>0</v>
      </c>
      <c r="B1" s="227"/>
      <c r="C1" s="227"/>
      <c r="D1" s="227"/>
      <c r="E1" s="227"/>
      <c r="F1" s="227"/>
      <c r="G1" s="227"/>
      <c r="H1" s="227"/>
    </row>
    <row r="2" spans="1:15" s="87" customFormat="1" ht="15" x14ac:dyDescent="0.2">
      <c r="A2" s="228" t="s">
        <v>637</v>
      </c>
      <c r="B2" s="229"/>
      <c r="C2" s="229"/>
      <c r="D2" s="229"/>
      <c r="E2" s="229"/>
      <c r="F2" s="229"/>
      <c r="G2" s="229"/>
      <c r="H2" s="230"/>
      <c r="I2"/>
      <c r="J2" s="223" t="s">
        <v>1238</v>
      </c>
      <c r="K2" s="223"/>
      <c r="L2" s="223"/>
      <c r="M2" s="223"/>
      <c r="N2" s="223"/>
      <c r="O2"/>
    </row>
    <row r="3" spans="1:15" ht="15" x14ac:dyDescent="0.2">
      <c r="A3" s="227" t="s">
        <v>1208</v>
      </c>
      <c r="B3" s="227"/>
      <c r="C3" s="227"/>
      <c r="D3" s="227"/>
      <c r="E3" s="227"/>
      <c r="F3" s="227"/>
      <c r="G3" s="227"/>
      <c r="H3" s="227"/>
    </row>
    <row r="4" spans="1:15" s="113" customFormat="1" ht="30" x14ac:dyDescent="0.2">
      <c r="A4" s="1" t="s">
        <v>2</v>
      </c>
      <c r="B4" s="1" t="s">
        <v>3</v>
      </c>
      <c r="C4" s="1" t="s">
        <v>4</v>
      </c>
      <c r="D4" s="1" t="s">
        <v>5</v>
      </c>
      <c r="E4" s="2" t="s">
        <v>6</v>
      </c>
      <c r="F4" s="2" t="s">
        <v>7</v>
      </c>
      <c r="G4" s="2" t="s">
        <v>8</v>
      </c>
      <c r="H4" s="96" t="s">
        <v>1167</v>
      </c>
      <c r="I4" s="183"/>
      <c r="J4" s="183"/>
      <c r="K4" s="183"/>
      <c r="L4" s="183"/>
      <c r="M4" s="183"/>
      <c r="N4" s="183"/>
      <c r="O4" s="183"/>
    </row>
    <row r="5" spans="1:15" ht="14.1" customHeight="1" x14ac:dyDescent="0.2">
      <c r="A5" s="3"/>
      <c r="B5" s="3"/>
      <c r="C5" s="4" t="s">
        <v>9</v>
      </c>
      <c r="D5" s="3"/>
      <c r="E5" s="3"/>
      <c r="F5" s="3"/>
      <c r="G5" s="3"/>
      <c r="H5" s="97"/>
    </row>
    <row r="6" spans="1:15" ht="24" customHeight="1" x14ac:dyDescent="0.2">
      <c r="A6" s="3"/>
      <c r="B6" s="3"/>
      <c r="C6" s="4" t="s">
        <v>10</v>
      </c>
      <c r="D6" s="3"/>
      <c r="E6" s="3"/>
      <c r="F6" s="3"/>
      <c r="G6" s="3"/>
      <c r="H6" s="97"/>
    </row>
    <row r="7" spans="1:15" x14ac:dyDescent="0.2">
      <c r="A7" s="5">
        <v>1</v>
      </c>
      <c r="B7" s="6" t="s">
        <v>409</v>
      </c>
      <c r="C7" s="6" t="s">
        <v>410</v>
      </c>
      <c r="D7" s="6" t="s">
        <v>147</v>
      </c>
      <c r="E7" s="7">
        <v>6220</v>
      </c>
      <c r="F7" s="8">
        <v>117.41804999999999</v>
      </c>
      <c r="G7" s="9">
        <v>9.0120986E-2</v>
      </c>
      <c r="H7" s="97"/>
    </row>
    <row r="8" spans="1:15" x14ac:dyDescent="0.2">
      <c r="A8" s="5">
        <v>2</v>
      </c>
      <c r="B8" s="6" t="s">
        <v>23</v>
      </c>
      <c r="C8" s="6" t="s">
        <v>24</v>
      </c>
      <c r="D8" s="6" t="s">
        <v>25</v>
      </c>
      <c r="E8" s="7">
        <v>14156</v>
      </c>
      <c r="F8" s="8">
        <v>104.775634</v>
      </c>
      <c r="G8" s="9">
        <v>8.0417648999999994E-2</v>
      </c>
      <c r="H8" s="97"/>
    </row>
    <row r="9" spans="1:15" x14ac:dyDescent="0.2">
      <c r="A9" s="5">
        <v>3</v>
      </c>
      <c r="B9" s="6" t="s">
        <v>14</v>
      </c>
      <c r="C9" s="6" t="s">
        <v>15</v>
      </c>
      <c r="D9" s="6" t="s">
        <v>16</v>
      </c>
      <c r="E9" s="7">
        <v>4029</v>
      </c>
      <c r="F9" s="8">
        <v>95.412763499999997</v>
      </c>
      <c r="G9" s="9">
        <v>7.3231435999999997E-2</v>
      </c>
      <c r="H9" s="97"/>
    </row>
    <row r="10" spans="1:15" x14ac:dyDescent="0.2">
      <c r="A10" s="5">
        <v>4</v>
      </c>
      <c r="B10" s="6" t="s">
        <v>411</v>
      </c>
      <c r="C10" s="6" t="s">
        <v>412</v>
      </c>
      <c r="D10" s="6" t="s">
        <v>25</v>
      </c>
      <c r="E10" s="7">
        <v>5280</v>
      </c>
      <c r="F10" s="8">
        <v>78.112319999999997</v>
      </c>
      <c r="G10" s="9">
        <v>5.9952957000000001E-2</v>
      </c>
      <c r="H10" s="97"/>
    </row>
    <row r="11" spans="1:15" ht="25.5" x14ac:dyDescent="0.2">
      <c r="A11" s="5">
        <v>5</v>
      </c>
      <c r="B11" s="6" t="s">
        <v>413</v>
      </c>
      <c r="C11" s="6" t="s">
        <v>414</v>
      </c>
      <c r="D11" s="6" t="s">
        <v>81</v>
      </c>
      <c r="E11" s="7">
        <v>2400</v>
      </c>
      <c r="F11" s="8">
        <v>62.074800000000003</v>
      </c>
      <c r="G11" s="9">
        <v>4.7643801E-2</v>
      </c>
      <c r="H11" s="97"/>
    </row>
    <row r="12" spans="1:15" x14ac:dyDescent="0.2">
      <c r="A12" s="5">
        <v>6</v>
      </c>
      <c r="B12" s="6" t="s">
        <v>415</v>
      </c>
      <c r="C12" s="6" t="s">
        <v>416</v>
      </c>
      <c r="D12" s="6" t="s">
        <v>25</v>
      </c>
      <c r="E12" s="7">
        <v>12121</v>
      </c>
      <c r="F12" s="8">
        <v>55.811144499999997</v>
      </c>
      <c r="G12" s="9">
        <v>4.2836304999999998E-2</v>
      </c>
      <c r="H12" s="97"/>
    </row>
    <row r="13" spans="1:15" ht="25.5" x14ac:dyDescent="0.2">
      <c r="A13" s="5">
        <v>7</v>
      </c>
      <c r="B13" s="6" t="s">
        <v>319</v>
      </c>
      <c r="C13" s="6" t="s">
        <v>320</v>
      </c>
      <c r="D13" s="6" t="s">
        <v>202</v>
      </c>
      <c r="E13" s="7">
        <v>5800</v>
      </c>
      <c r="F13" s="8">
        <v>51.5214</v>
      </c>
      <c r="G13" s="9">
        <v>3.9543830000000002E-2</v>
      </c>
      <c r="H13" s="97"/>
    </row>
    <row r="14" spans="1:15" x14ac:dyDescent="0.2">
      <c r="A14" s="5">
        <v>8</v>
      </c>
      <c r="B14" s="6" t="s">
        <v>274</v>
      </c>
      <c r="C14" s="6" t="s">
        <v>275</v>
      </c>
      <c r="D14" s="6" t="s">
        <v>185</v>
      </c>
      <c r="E14" s="7">
        <v>1104</v>
      </c>
      <c r="F14" s="8">
        <v>46.241039999999998</v>
      </c>
      <c r="G14" s="9">
        <v>3.5491034999999997E-2</v>
      </c>
      <c r="H14" s="97"/>
    </row>
    <row r="15" spans="1:15" ht="15" x14ac:dyDescent="0.2">
      <c r="A15" s="5">
        <v>9</v>
      </c>
      <c r="B15" s="6" t="s">
        <v>11</v>
      </c>
      <c r="C15" s="6" t="s">
        <v>12</v>
      </c>
      <c r="D15" s="6" t="s">
        <v>13</v>
      </c>
      <c r="E15" s="7">
        <v>2403</v>
      </c>
      <c r="F15" s="8">
        <v>45.558477000000003</v>
      </c>
      <c r="G15" s="9">
        <v>3.4967153000000001E-2</v>
      </c>
      <c r="H15" s="97"/>
      <c r="J15" s="184" t="s">
        <v>1245</v>
      </c>
    </row>
    <row r="16" spans="1:15" ht="25.5" x14ac:dyDescent="0.2">
      <c r="A16" s="5">
        <v>10</v>
      </c>
      <c r="B16" s="6" t="s">
        <v>28</v>
      </c>
      <c r="C16" s="6" t="s">
        <v>29</v>
      </c>
      <c r="D16" s="6" t="s">
        <v>1185</v>
      </c>
      <c r="E16" s="7">
        <v>539</v>
      </c>
      <c r="F16" s="8">
        <v>40.9157595</v>
      </c>
      <c r="G16" s="9">
        <v>3.1403763000000001E-2</v>
      </c>
      <c r="H16" s="97"/>
    </row>
    <row r="17" spans="1:8" x14ac:dyDescent="0.2">
      <c r="A17" s="5">
        <v>11</v>
      </c>
      <c r="B17" s="6" t="s">
        <v>468</v>
      </c>
      <c r="C17" s="6" t="s">
        <v>469</v>
      </c>
      <c r="D17" s="6" t="s">
        <v>78</v>
      </c>
      <c r="E17" s="7">
        <v>8169</v>
      </c>
      <c r="F17" s="8">
        <v>39.407255999999997</v>
      </c>
      <c r="G17" s="9">
        <v>3.0245952999999999E-2</v>
      </c>
      <c r="H17" s="97"/>
    </row>
    <row r="18" spans="1:8" x14ac:dyDescent="0.2">
      <c r="A18" s="5">
        <v>12</v>
      </c>
      <c r="B18" s="6" t="s">
        <v>315</v>
      </c>
      <c r="C18" s="6" t="s">
        <v>316</v>
      </c>
      <c r="D18" s="6" t="s">
        <v>25</v>
      </c>
      <c r="E18" s="7">
        <v>5742</v>
      </c>
      <c r="F18" s="8">
        <v>38.962341000000002</v>
      </c>
      <c r="G18" s="9">
        <v>2.9904469999999999E-2</v>
      </c>
      <c r="H18" s="97"/>
    </row>
    <row r="19" spans="1:8" x14ac:dyDescent="0.2">
      <c r="A19" s="5">
        <v>13</v>
      </c>
      <c r="B19" s="6" t="s">
        <v>20</v>
      </c>
      <c r="C19" s="6" t="s">
        <v>21</v>
      </c>
      <c r="D19" s="6" t="s">
        <v>22</v>
      </c>
      <c r="E19" s="7">
        <v>4918</v>
      </c>
      <c r="F19" s="8">
        <v>33.629283999999998</v>
      </c>
      <c r="G19" s="9">
        <v>2.5811230000000001E-2</v>
      </c>
      <c r="H19" s="97"/>
    </row>
    <row r="20" spans="1:8" x14ac:dyDescent="0.2">
      <c r="A20" s="5">
        <v>14</v>
      </c>
      <c r="B20" s="6" t="s">
        <v>417</v>
      </c>
      <c r="C20" s="6" t="s">
        <v>418</v>
      </c>
      <c r="D20" s="6" t="s">
        <v>147</v>
      </c>
      <c r="E20" s="7">
        <v>729</v>
      </c>
      <c r="F20" s="8">
        <v>27.252571499999998</v>
      </c>
      <c r="G20" s="9">
        <v>2.0916959999999998E-2</v>
      </c>
      <c r="H20" s="97"/>
    </row>
    <row r="21" spans="1:8" x14ac:dyDescent="0.2">
      <c r="A21" s="5">
        <v>15</v>
      </c>
      <c r="B21" s="6" t="s">
        <v>369</v>
      </c>
      <c r="C21" s="6" t="s">
        <v>370</v>
      </c>
      <c r="D21" s="6" t="s">
        <v>147</v>
      </c>
      <c r="E21" s="7">
        <v>2000</v>
      </c>
      <c r="F21" s="8">
        <v>26.382000000000001</v>
      </c>
      <c r="G21" s="9">
        <v>2.0248776999999999E-2</v>
      </c>
      <c r="H21" s="97"/>
    </row>
    <row r="22" spans="1:8" x14ac:dyDescent="0.2">
      <c r="A22" s="5">
        <v>16</v>
      </c>
      <c r="B22" s="6" t="s">
        <v>172</v>
      </c>
      <c r="C22" s="6" t="s">
        <v>173</v>
      </c>
      <c r="D22" s="6" t="s">
        <v>174</v>
      </c>
      <c r="E22" s="7">
        <v>11000</v>
      </c>
      <c r="F22" s="8">
        <v>26.295500000000001</v>
      </c>
      <c r="G22" s="9">
        <v>2.0182386E-2</v>
      </c>
      <c r="H22" s="97"/>
    </row>
    <row r="23" spans="1:8" x14ac:dyDescent="0.2">
      <c r="A23" s="5">
        <v>17</v>
      </c>
      <c r="B23" s="6" t="s">
        <v>448</v>
      </c>
      <c r="C23" s="6" t="s">
        <v>449</v>
      </c>
      <c r="D23" s="6" t="s">
        <v>70</v>
      </c>
      <c r="E23" s="7">
        <v>1032</v>
      </c>
      <c r="F23" s="8">
        <v>26.031168000000001</v>
      </c>
      <c r="G23" s="9">
        <v>1.9979505000000002E-2</v>
      </c>
      <c r="H23" s="97"/>
    </row>
    <row r="24" spans="1:8" x14ac:dyDescent="0.2">
      <c r="A24" s="5">
        <v>18</v>
      </c>
      <c r="B24" s="6" t="s">
        <v>373</v>
      </c>
      <c r="C24" s="6" t="s">
        <v>374</v>
      </c>
      <c r="D24" s="6" t="s">
        <v>213</v>
      </c>
      <c r="E24" s="7">
        <v>3400</v>
      </c>
      <c r="F24" s="8">
        <v>25.7057</v>
      </c>
      <c r="G24" s="9">
        <v>1.9729700999999999E-2</v>
      </c>
      <c r="H24" s="97"/>
    </row>
    <row r="25" spans="1:8" x14ac:dyDescent="0.2">
      <c r="A25" s="5">
        <v>19</v>
      </c>
      <c r="B25" s="6" t="s">
        <v>181</v>
      </c>
      <c r="C25" s="6" t="s">
        <v>182</v>
      </c>
      <c r="D25" s="6" t="s">
        <v>1189</v>
      </c>
      <c r="E25" s="7">
        <v>3000</v>
      </c>
      <c r="F25" s="8">
        <v>25.6905</v>
      </c>
      <c r="G25" s="9">
        <v>1.9718034999999998E-2</v>
      </c>
      <c r="H25" s="97"/>
    </row>
    <row r="26" spans="1:8" x14ac:dyDescent="0.2">
      <c r="A26" s="5">
        <v>20</v>
      </c>
      <c r="B26" s="6" t="s">
        <v>419</v>
      </c>
      <c r="C26" s="6" t="s">
        <v>420</v>
      </c>
      <c r="D26" s="6" t="s">
        <v>1183</v>
      </c>
      <c r="E26" s="7">
        <v>2000</v>
      </c>
      <c r="F26" s="8">
        <v>23.92</v>
      </c>
      <c r="G26" s="9">
        <v>1.8359136000000002E-2</v>
      </c>
      <c r="H26" s="97"/>
    </row>
    <row r="27" spans="1:8" x14ac:dyDescent="0.2">
      <c r="A27" s="5">
        <v>21</v>
      </c>
      <c r="B27" s="6" t="s">
        <v>440</v>
      </c>
      <c r="C27" s="6" t="s">
        <v>441</v>
      </c>
      <c r="D27" s="6" t="s">
        <v>25</v>
      </c>
      <c r="E27" s="7">
        <v>1305</v>
      </c>
      <c r="F27" s="8">
        <v>23.439105000000001</v>
      </c>
      <c r="G27" s="9">
        <v>1.7990038999999999E-2</v>
      </c>
      <c r="H27" s="97"/>
    </row>
    <row r="28" spans="1:8" ht="25.5" x14ac:dyDescent="0.2">
      <c r="A28" s="5">
        <v>22</v>
      </c>
      <c r="B28" s="6" t="s">
        <v>436</v>
      </c>
      <c r="C28" s="6" t="s">
        <v>437</v>
      </c>
      <c r="D28" s="6" t="s">
        <v>202</v>
      </c>
      <c r="E28" s="7">
        <v>9339</v>
      </c>
      <c r="F28" s="8">
        <v>20.3636895</v>
      </c>
      <c r="G28" s="9">
        <v>1.5629588E-2</v>
      </c>
      <c r="H28" s="97"/>
    </row>
    <row r="29" spans="1:8" ht="25.5" x14ac:dyDescent="0.2">
      <c r="A29" s="5">
        <v>23</v>
      </c>
      <c r="B29" s="6" t="s">
        <v>566</v>
      </c>
      <c r="C29" s="6" t="s">
        <v>567</v>
      </c>
      <c r="D29" s="6" t="s">
        <v>1185</v>
      </c>
      <c r="E29" s="7">
        <v>1362</v>
      </c>
      <c r="F29" s="8">
        <v>19.362873</v>
      </c>
      <c r="G29" s="9">
        <v>1.4861439000000001E-2</v>
      </c>
      <c r="H29" s="97"/>
    </row>
    <row r="30" spans="1:8" x14ac:dyDescent="0.2">
      <c r="A30" s="5">
        <v>24</v>
      </c>
      <c r="B30" s="6" t="s">
        <v>328</v>
      </c>
      <c r="C30" s="6" t="s">
        <v>329</v>
      </c>
      <c r="D30" s="6" t="s">
        <v>25</v>
      </c>
      <c r="E30" s="7">
        <v>22387</v>
      </c>
      <c r="F30" s="8">
        <v>18.581209999999999</v>
      </c>
      <c r="G30" s="9">
        <v>1.4261495000000001E-2</v>
      </c>
      <c r="H30" s="97"/>
    </row>
    <row r="31" spans="1:8" x14ac:dyDescent="0.2">
      <c r="A31" s="5">
        <v>25</v>
      </c>
      <c r="B31" s="6" t="s">
        <v>39</v>
      </c>
      <c r="C31" s="6" t="s">
        <v>40</v>
      </c>
      <c r="D31" s="6" t="s">
        <v>16</v>
      </c>
      <c r="E31" s="7">
        <v>4293</v>
      </c>
      <c r="F31" s="8">
        <v>16.547368500000001</v>
      </c>
      <c r="G31" s="9">
        <v>1.2700476E-2</v>
      </c>
      <c r="H31" s="97"/>
    </row>
    <row r="32" spans="1:8" x14ac:dyDescent="0.2">
      <c r="A32" s="5">
        <v>26</v>
      </c>
      <c r="B32" s="6" t="s">
        <v>321</v>
      </c>
      <c r="C32" s="6" t="s">
        <v>322</v>
      </c>
      <c r="D32" s="6" t="s">
        <v>19</v>
      </c>
      <c r="E32" s="7">
        <v>1677</v>
      </c>
      <c r="F32" s="8">
        <v>15.793986</v>
      </c>
      <c r="G32" s="9">
        <v>1.2122238E-2</v>
      </c>
      <c r="H32" s="97"/>
    </row>
    <row r="33" spans="1:8" x14ac:dyDescent="0.2">
      <c r="A33" s="5">
        <v>27</v>
      </c>
      <c r="B33" s="6" t="s">
        <v>357</v>
      </c>
      <c r="C33" s="6" t="s">
        <v>358</v>
      </c>
      <c r="D33" s="6" t="s">
        <v>48</v>
      </c>
      <c r="E33" s="7">
        <v>2553</v>
      </c>
      <c r="F33" s="8">
        <v>15.6894615</v>
      </c>
      <c r="G33" s="9">
        <v>1.2042014E-2</v>
      </c>
      <c r="H33" s="97"/>
    </row>
    <row r="34" spans="1:8" x14ac:dyDescent="0.2">
      <c r="A34" s="5">
        <v>28</v>
      </c>
      <c r="B34" s="6" t="s">
        <v>90</v>
      </c>
      <c r="C34" s="6" t="s">
        <v>91</v>
      </c>
      <c r="D34" s="6" t="s">
        <v>19</v>
      </c>
      <c r="E34" s="7">
        <v>178</v>
      </c>
      <c r="F34" s="8">
        <v>15.636232</v>
      </c>
      <c r="G34" s="9">
        <v>1.2001159000000001E-2</v>
      </c>
      <c r="H34" s="97"/>
    </row>
    <row r="35" spans="1:8" x14ac:dyDescent="0.2">
      <c r="A35" s="5">
        <v>29</v>
      </c>
      <c r="B35" s="6" t="s">
        <v>332</v>
      </c>
      <c r="C35" s="6" t="s">
        <v>333</v>
      </c>
      <c r="D35" s="6" t="s">
        <v>60</v>
      </c>
      <c r="E35" s="7">
        <v>4100</v>
      </c>
      <c r="F35" s="8">
        <v>15.46725</v>
      </c>
      <c r="G35" s="9">
        <v>1.1871461E-2</v>
      </c>
      <c r="H35" s="97"/>
    </row>
    <row r="36" spans="1:8" x14ac:dyDescent="0.2">
      <c r="A36" s="5">
        <v>30</v>
      </c>
      <c r="B36" s="6" t="s">
        <v>635</v>
      </c>
      <c r="C36" s="6" t="s">
        <v>636</v>
      </c>
      <c r="D36" s="6" t="s">
        <v>327</v>
      </c>
      <c r="E36" s="7">
        <v>5000</v>
      </c>
      <c r="F36" s="8">
        <v>13.612500000000001</v>
      </c>
      <c r="G36" s="9">
        <v>1.0447899E-2</v>
      </c>
      <c r="H36" s="97"/>
    </row>
    <row r="37" spans="1:8" x14ac:dyDescent="0.2">
      <c r="A37" s="5">
        <v>31</v>
      </c>
      <c r="B37" s="6" t="s">
        <v>421</v>
      </c>
      <c r="C37" s="6" t="s">
        <v>422</v>
      </c>
      <c r="D37" s="6" t="s">
        <v>147</v>
      </c>
      <c r="E37" s="7">
        <v>1875</v>
      </c>
      <c r="F37" s="8">
        <v>13.412812499999999</v>
      </c>
      <c r="G37" s="9">
        <v>1.0294634E-2</v>
      </c>
      <c r="H37" s="97"/>
    </row>
    <row r="38" spans="1:8" ht="25.5" x14ac:dyDescent="0.2">
      <c r="A38" s="5">
        <v>32</v>
      </c>
      <c r="B38" s="6" t="s">
        <v>425</v>
      </c>
      <c r="C38" s="6" t="s">
        <v>426</v>
      </c>
      <c r="D38" s="6" t="s">
        <v>202</v>
      </c>
      <c r="E38" s="7">
        <v>556</v>
      </c>
      <c r="F38" s="8">
        <v>13.122434</v>
      </c>
      <c r="G38" s="9">
        <v>1.0071762E-2</v>
      </c>
      <c r="H38" s="97"/>
    </row>
    <row r="39" spans="1:8" x14ac:dyDescent="0.2">
      <c r="A39" s="5">
        <v>33</v>
      </c>
      <c r="B39" s="6" t="s">
        <v>336</v>
      </c>
      <c r="C39" s="6" t="s">
        <v>337</v>
      </c>
      <c r="D39" s="6" t="s">
        <v>193</v>
      </c>
      <c r="E39" s="7">
        <v>334</v>
      </c>
      <c r="F39" s="8">
        <v>12.907597000000001</v>
      </c>
      <c r="G39" s="9">
        <v>9.9068699999999999E-3</v>
      </c>
      <c r="H39" s="97"/>
    </row>
    <row r="40" spans="1:8" x14ac:dyDescent="0.2">
      <c r="A40" s="5">
        <v>34</v>
      </c>
      <c r="B40" s="6" t="s">
        <v>450</v>
      </c>
      <c r="C40" s="6" t="s">
        <v>451</v>
      </c>
      <c r="D40" s="6" t="s">
        <v>193</v>
      </c>
      <c r="E40" s="7">
        <v>1305</v>
      </c>
      <c r="F40" s="8">
        <v>12.320505000000001</v>
      </c>
      <c r="G40" s="9">
        <v>9.4562640000000007E-3</v>
      </c>
      <c r="H40" s="97"/>
    </row>
    <row r="41" spans="1:8" ht="25.5" x14ac:dyDescent="0.2">
      <c r="A41" s="5">
        <v>35</v>
      </c>
      <c r="B41" s="6" t="s">
        <v>395</v>
      </c>
      <c r="C41" s="6" t="s">
        <v>396</v>
      </c>
      <c r="D41" s="6" t="s">
        <v>202</v>
      </c>
      <c r="E41" s="7">
        <v>1652</v>
      </c>
      <c r="F41" s="8">
        <v>12.281794</v>
      </c>
      <c r="G41" s="9">
        <v>9.4265519999999995E-3</v>
      </c>
      <c r="H41" s="97"/>
    </row>
    <row r="42" spans="1:8" x14ac:dyDescent="0.2">
      <c r="A42" s="5">
        <v>36</v>
      </c>
      <c r="B42" s="6" t="s">
        <v>350</v>
      </c>
      <c r="C42" s="6" t="s">
        <v>351</v>
      </c>
      <c r="D42" s="6" t="s">
        <v>25</v>
      </c>
      <c r="E42" s="7">
        <v>13106</v>
      </c>
      <c r="F42" s="8">
        <v>10.740367000000001</v>
      </c>
      <c r="G42" s="9">
        <v>8.2434729999999994E-3</v>
      </c>
      <c r="H42" s="97"/>
    </row>
    <row r="43" spans="1:8" ht="25.5" x14ac:dyDescent="0.2">
      <c r="A43" s="5">
        <v>37</v>
      </c>
      <c r="B43" s="6" t="s">
        <v>442</v>
      </c>
      <c r="C43" s="6" t="s">
        <v>1157</v>
      </c>
      <c r="D43" s="91" t="s">
        <v>22</v>
      </c>
      <c r="E43" s="7">
        <v>351</v>
      </c>
      <c r="F43" s="8">
        <v>1.2378015</v>
      </c>
      <c r="G43" s="9">
        <v>9.5003999999999998E-4</v>
      </c>
      <c r="H43" s="97"/>
    </row>
    <row r="44" spans="1:8" x14ac:dyDescent="0.2">
      <c r="A44" s="3"/>
      <c r="B44" s="3"/>
      <c r="C44" s="4" t="s">
        <v>97</v>
      </c>
      <c r="D44" s="3"/>
      <c r="E44" s="3" t="s">
        <v>98</v>
      </c>
      <c r="F44" s="11">
        <v>1241.6346954999999</v>
      </c>
      <c r="G44" s="12">
        <v>0.952982471</v>
      </c>
      <c r="H44" s="97"/>
    </row>
    <row r="45" spans="1:8" x14ac:dyDescent="0.2">
      <c r="A45" s="3"/>
      <c r="B45" s="3"/>
      <c r="C45" s="13"/>
      <c r="D45" s="3"/>
      <c r="E45" s="3"/>
      <c r="F45" s="14"/>
      <c r="G45" s="14"/>
      <c r="H45" s="97"/>
    </row>
    <row r="46" spans="1:8" x14ac:dyDescent="0.2">
      <c r="A46" s="3"/>
      <c r="B46" s="3"/>
      <c r="C46" s="4" t="s">
        <v>99</v>
      </c>
      <c r="D46" s="3"/>
      <c r="E46" s="3"/>
      <c r="F46" s="3"/>
      <c r="G46" s="3"/>
      <c r="H46" s="97"/>
    </row>
    <row r="47" spans="1:8" x14ac:dyDescent="0.2">
      <c r="A47" s="3"/>
      <c r="B47" s="3"/>
      <c r="C47" s="4" t="s">
        <v>97</v>
      </c>
      <c r="D47" s="3"/>
      <c r="E47" s="3" t="s">
        <v>98</v>
      </c>
      <c r="F47" s="15">
        <v>0</v>
      </c>
      <c r="G47" s="16">
        <v>0</v>
      </c>
      <c r="H47" s="97"/>
    </row>
    <row r="48" spans="1:8" x14ac:dyDescent="0.2">
      <c r="A48" s="3"/>
      <c r="B48" s="3"/>
      <c r="C48" s="13"/>
      <c r="D48" s="3"/>
      <c r="E48" s="3"/>
      <c r="F48" s="14"/>
      <c r="G48" s="14"/>
      <c r="H48" s="97"/>
    </row>
    <row r="49" spans="1:8" x14ac:dyDescent="0.2">
      <c r="A49" s="3"/>
      <c r="B49" s="3"/>
      <c r="C49" s="4" t="s">
        <v>100</v>
      </c>
      <c r="D49" s="3"/>
      <c r="E49" s="3"/>
      <c r="F49" s="3"/>
      <c r="G49" s="3"/>
      <c r="H49" s="97"/>
    </row>
    <row r="50" spans="1:8" x14ac:dyDescent="0.2">
      <c r="A50" s="3"/>
      <c r="B50" s="3"/>
      <c r="C50" s="4" t="s">
        <v>97</v>
      </c>
      <c r="D50" s="3"/>
      <c r="E50" s="3" t="s">
        <v>98</v>
      </c>
      <c r="F50" s="15">
        <v>0</v>
      </c>
      <c r="G50" s="16">
        <v>0</v>
      </c>
      <c r="H50" s="97"/>
    </row>
    <row r="51" spans="1:8" x14ac:dyDescent="0.2">
      <c r="A51" s="3"/>
      <c r="B51" s="3"/>
      <c r="C51" s="13"/>
      <c r="D51" s="3"/>
      <c r="E51" s="3"/>
      <c r="F51" s="14"/>
      <c r="G51" s="14"/>
      <c r="H51" s="97"/>
    </row>
    <row r="52" spans="1:8" x14ac:dyDescent="0.2">
      <c r="A52" s="3"/>
      <c r="B52" s="3"/>
      <c r="C52" s="4" t="s">
        <v>101</v>
      </c>
      <c r="D52" s="3"/>
      <c r="E52" s="3"/>
      <c r="F52" s="3"/>
      <c r="G52" s="3"/>
      <c r="H52" s="97"/>
    </row>
    <row r="53" spans="1:8" x14ac:dyDescent="0.2">
      <c r="A53" s="3"/>
      <c r="B53" s="3"/>
      <c r="C53" s="4" t="s">
        <v>97</v>
      </c>
      <c r="D53" s="3"/>
      <c r="E53" s="3" t="s">
        <v>98</v>
      </c>
      <c r="F53" s="11">
        <v>0</v>
      </c>
      <c r="G53" s="12">
        <v>0</v>
      </c>
      <c r="H53" s="97"/>
    </row>
    <row r="54" spans="1:8" x14ac:dyDescent="0.2">
      <c r="A54" s="3"/>
      <c r="B54" s="3"/>
      <c r="C54" s="13"/>
      <c r="D54" s="3"/>
      <c r="E54" s="3"/>
      <c r="F54" s="14"/>
      <c r="G54" s="14"/>
      <c r="H54" s="97"/>
    </row>
    <row r="55" spans="1:8" x14ac:dyDescent="0.2">
      <c r="A55" s="3"/>
      <c r="B55" s="3"/>
      <c r="C55" s="4" t="s">
        <v>102</v>
      </c>
      <c r="D55" s="3"/>
      <c r="E55" s="3"/>
      <c r="F55" s="14"/>
      <c r="G55" s="14"/>
      <c r="H55" s="97"/>
    </row>
    <row r="56" spans="1:8" x14ac:dyDescent="0.2">
      <c r="A56" s="3"/>
      <c r="B56" s="3"/>
      <c r="C56" s="4" t="s">
        <v>97</v>
      </c>
      <c r="D56" s="3"/>
      <c r="E56" s="3" t="s">
        <v>98</v>
      </c>
      <c r="F56" s="15">
        <v>0</v>
      </c>
      <c r="G56" s="16">
        <v>0</v>
      </c>
      <c r="H56" s="97"/>
    </row>
    <row r="57" spans="1:8" x14ac:dyDescent="0.2">
      <c r="A57" s="3"/>
      <c r="B57" s="3"/>
      <c r="C57" s="13"/>
      <c r="D57" s="3"/>
      <c r="E57" s="3"/>
      <c r="F57" s="14"/>
      <c r="G57" s="14"/>
      <c r="H57" s="97"/>
    </row>
    <row r="58" spans="1:8" x14ac:dyDescent="0.2">
      <c r="A58" s="3"/>
      <c r="B58" s="3"/>
      <c r="C58" s="4" t="s">
        <v>103</v>
      </c>
      <c r="D58" s="3"/>
      <c r="E58" s="3"/>
      <c r="F58" s="14"/>
      <c r="G58" s="14"/>
      <c r="H58" s="97"/>
    </row>
    <row r="59" spans="1:8" x14ac:dyDescent="0.2">
      <c r="A59" s="3"/>
      <c r="B59" s="3"/>
      <c r="C59" s="4" t="s">
        <v>97</v>
      </c>
      <c r="D59" s="3"/>
      <c r="E59" s="3" t="s">
        <v>98</v>
      </c>
      <c r="F59" s="15">
        <v>0</v>
      </c>
      <c r="G59" s="16">
        <v>0</v>
      </c>
      <c r="H59" s="97"/>
    </row>
    <row r="60" spans="1:8" x14ac:dyDescent="0.2">
      <c r="A60" s="3"/>
      <c r="B60" s="3"/>
      <c r="C60" s="13"/>
      <c r="D60" s="3"/>
      <c r="E60" s="3"/>
      <c r="F60" s="14"/>
      <c r="G60" s="14"/>
      <c r="H60" s="97"/>
    </row>
    <row r="61" spans="1:8" x14ac:dyDescent="0.2">
      <c r="A61" s="3"/>
      <c r="B61" s="3"/>
      <c r="C61" s="4" t="s">
        <v>104</v>
      </c>
      <c r="D61" s="3"/>
      <c r="E61" s="3"/>
      <c r="F61" s="11">
        <v>1241.6346954999999</v>
      </c>
      <c r="G61" s="12">
        <v>0.952982471</v>
      </c>
      <c r="H61" s="97"/>
    </row>
    <row r="62" spans="1:8" x14ac:dyDescent="0.2">
      <c r="A62" s="3"/>
      <c r="B62" s="3"/>
      <c r="C62" s="13"/>
      <c r="D62" s="3"/>
      <c r="E62" s="3"/>
      <c r="F62" s="14"/>
      <c r="G62" s="14"/>
      <c r="H62" s="97"/>
    </row>
    <row r="63" spans="1:8" x14ac:dyDescent="0.2">
      <c r="A63" s="3"/>
      <c r="B63" s="3"/>
      <c r="C63" s="4" t="s">
        <v>105</v>
      </c>
      <c r="D63" s="3"/>
      <c r="E63" s="3"/>
      <c r="F63" s="14"/>
      <c r="G63" s="14"/>
      <c r="H63" s="97"/>
    </row>
    <row r="64" spans="1:8" ht="25.5" x14ac:dyDescent="0.2">
      <c r="A64" s="3"/>
      <c r="B64" s="3"/>
      <c r="C64" s="4" t="s">
        <v>10</v>
      </c>
      <c r="D64" s="3"/>
      <c r="E64" s="3"/>
      <c r="F64" s="14"/>
      <c r="G64" s="14"/>
      <c r="H64" s="97"/>
    </row>
    <row r="65" spans="1:8" x14ac:dyDescent="0.2">
      <c r="A65" s="3"/>
      <c r="B65" s="3"/>
      <c r="C65" s="4" t="s">
        <v>97</v>
      </c>
      <c r="D65" s="3"/>
      <c r="E65" s="3" t="s">
        <v>98</v>
      </c>
      <c r="F65" s="15">
        <v>0</v>
      </c>
      <c r="G65" s="16">
        <v>0</v>
      </c>
      <c r="H65" s="97"/>
    </row>
    <row r="66" spans="1:8" x14ac:dyDescent="0.2">
      <c r="A66" s="3"/>
      <c r="B66" s="3"/>
      <c r="C66" s="13"/>
      <c r="D66" s="3"/>
      <c r="E66" s="3"/>
      <c r="F66" s="14"/>
      <c r="G66" s="14"/>
      <c r="H66" s="97"/>
    </row>
    <row r="67" spans="1:8" x14ac:dyDescent="0.2">
      <c r="A67" s="3"/>
      <c r="B67" s="3"/>
      <c r="C67" s="4" t="s">
        <v>106</v>
      </c>
      <c r="D67" s="3"/>
      <c r="E67" s="3"/>
      <c r="F67" s="3"/>
      <c r="G67" s="3"/>
      <c r="H67" s="97"/>
    </row>
    <row r="68" spans="1:8" x14ac:dyDescent="0.2">
      <c r="A68" s="3"/>
      <c r="B68" s="3"/>
      <c r="C68" s="4" t="s">
        <v>97</v>
      </c>
      <c r="D68" s="3"/>
      <c r="E68" s="3" t="s">
        <v>98</v>
      </c>
      <c r="F68" s="15">
        <v>0</v>
      </c>
      <c r="G68" s="16">
        <v>0</v>
      </c>
      <c r="H68" s="97"/>
    </row>
    <row r="69" spans="1:8" x14ac:dyDescent="0.2">
      <c r="A69" s="3"/>
      <c r="B69" s="3"/>
      <c r="C69" s="13"/>
      <c r="D69" s="3"/>
      <c r="E69" s="3"/>
      <c r="F69" s="14"/>
      <c r="G69" s="14"/>
      <c r="H69" s="97"/>
    </row>
    <row r="70" spans="1:8" x14ac:dyDescent="0.2">
      <c r="A70" s="3"/>
      <c r="B70" s="3"/>
      <c r="C70" s="4" t="s">
        <v>107</v>
      </c>
      <c r="D70" s="3"/>
      <c r="E70" s="3"/>
      <c r="F70" s="3"/>
      <c r="G70" s="3"/>
      <c r="H70" s="97"/>
    </row>
    <row r="71" spans="1:8" x14ac:dyDescent="0.2">
      <c r="A71" s="3"/>
      <c r="B71" s="3"/>
      <c r="C71" s="4" t="s">
        <v>97</v>
      </c>
      <c r="D71" s="3"/>
      <c r="E71" s="3" t="s">
        <v>98</v>
      </c>
      <c r="F71" s="15">
        <v>0</v>
      </c>
      <c r="G71" s="16">
        <v>0</v>
      </c>
      <c r="H71" s="97"/>
    </row>
    <row r="72" spans="1:8" x14ac:dyDescent="0.2">
      <c r="A72" s="3"/>
      <c r="B72" s="3"/>
      <c r="C72" s="13"/>
      <c r="D72" s="3"/>
      <c r="E72" s="3"/>
      <c r="F72" s="14"/>
      <c r="G72" s="14"/>
      <c r="H72" s="97"/>
    </row>
    <row r="73" spans="1:8" x14ac:dyDescent="0.2">
      <c r="A73" s="3"/>
      <c r="B73" s="3"/>
      <c r="C73" s="4" t="s">
        <v>108</v>
      </c>
      <c r="D73" s="3"/>
      <c r="E73" s="3"/>
      <c r="F73" s="14"/>
      <c r="G73" s="14"/>
      <c r="H73" s="97"/>
    </row>
    <row r="74" spans="1:8" x14ac:dyDescent="0.2">
      <c r="A74" s="3"/>
      <c r="B74" s="3"/>
      <c r="C74" s="4" t="s">
        <v>97</v>
      </c>
      <c r="D74" s="3"/>
      <c r="E74" s="3" t="s">
        <v>98</v>
      </c>
      <c r="F74" s="15">
        <v>0</v>
      </c>
      <c r="G74" s="16">
        <v>0</v>
      </c>
      <c r="H74" s="97"/>
    </row>
    <row r="75" spans="1:8" x14ac:dyDescent="0.2">
      <c r="A75" s="3"/>
      <c r="B75" s="3"/>
      <c r="C75" s="13"/>
      <c r="D75" s="3"/>
      <c r="E75" s="3"/>
      <c r="F75" s="14"/>
      <c r="G75" s="14"/>
      <c r="H75" s="97"/>
    </row>
    <row r="76" spans="1:8" x14ac:dyDescent="0.2">
      <c r="A76" s="3"/>
      <c r="B76" s="3"/>
      <c r="C76" s="4" t="s">
        <v>109</v>
      </c>
      <c r="D76" s="3"/>
      <c r="E76" s="3"/>
      <c r="F76" s="11">
        <v>0</v>
      </c>
      <c r="G76" s="12">
        <v>0</v>
      </c>
      <c r="H76" s="97"/>
    </row>
    <row r="77" spans="1:8" x14ac:dyDescent="0.2">
      <c r="A77" s="3"/>
      <c r="B77" s="3"/>
      <c r="C77" s="13"/>
      <c r="D77" s="3"/>
      <c r="E77" s="3"/>
      <c r="F77" s="14"/>
      <c r="G77" s="14"/>
      <c r="H77" s="97"/>
    </row>
    <row r="78" spans="1:8" x14ac:dyDescent="0.2">
      <c r="A78" s="3"/>
      <c r="B78" s="3"/>
      <c r="C78" s="4" t="s">
        <v>110</v>
      </c>
      <c r="D78" s="3"/>
      <c r="E78" s="3"/>
      <c r="F78" s="14"/>
      <c r="G78" s="14"/>
      <c r="H78" s="97"/>
    </row>
    <row r="79" spans="1:8" x14ac:dyDescent="0.2">
      <c r="A79" s="3"/>
      <c r="B79" s="3"/>
      <c r="C79" s="4" t="s">
        <v>111</v>
      </c>
      <c r="D79" s="3"/>
      <c r="E79" s="3"/>
      <c r="F79" s="14"/>
      <c r="G79" s="14"/>
      <c r="H79" s="97"/>
    </row>
    <row r="80" spans="1:8" x14ac:dyDescent="0.2">
      <c r="A80" s="3"/>
      <c r="B80" s="3"/>
      <c r="C80" s="4" t="s">
        <v>97</v>
      </c>
      <c r="D80" s="3"/>
      <c r="E80" s="3" t="s">
        <v>98</v>
      </c>
      <c r="F80" s="15">
        <v>0</v>
      </c>
      <c r="G80" s="16">
        <v>0</v>
      </c>
      <c r="H80" s="97"/>
    </row>
    <row r="81" spans="1:8" x14ac:dyDescent="0.2">
      <c r="A81" s="3"/>
      <c r="B81" s="3"/>
      <c r="C81" s="13"/>
      <c r="D81" s="3"/>
      <c r="E81" s="3"/>
      <c r="F81" s="14"/>
      <c r="G81" s="14"/>
      <c r="H81" s="97"/>
    </row>
    <row r="82" spans="1:8" x14ac:dyDescent="0.2">
      <c r="A82" s="3"/>
      <c r="B82" s="3"/>
      <c r="C82" s="4" t="s">
        <v>112</v>
      </c>
      <c r="D82" s="3"/>
      <c r="E82" s="3"/>
      <c r="F82" s="14"/>
      <c r="G82" s="14"/>
      <c r="H82" s="97"/>
    </row>
    <row r="83" spans="1:8" x14ac:dyDescent="0.2">
      <c r="A83" s="3"/>
      <c r="B83" s="3"/>
      <c r="C83" s="4" t="s">
        <v>97</v>
      </c>
      <c r="D83" s="3"/>
      <c r="E83" s="3" t="s">
        <v>98</v>
      </c>
      <c r="F83" s="15">
        <v>0</v>
      </c>
      <c r="G83" s="16">
        <v>0</v>
      </c>
      <c r="H83" s="97"/>
    </row>
    <row r="84" spans="1:8" x14ac:dyDescent="0.2">
      <c r="A84" s="3"/>
      <c r="B84" s="3"/>
      <c r="C84" s="13"/>
      <c r="D84" s="3"/>
      <c r="E84" s="3"/>
      <c r="F84" s="14"/>
      <c r="G84" s="14"/>
      <c r="H84" s="97"/>
    </row>
    <row r="85" spans="1:8" x14ac:dyDescent="0.2">
      <c r="A85" s="3"/>
      <c r="B85" s="3"/>
      <c r="C85" s="4" t="s">
        <v>113</v>
      </c>
      <c r="D85" s="3"/>
      <c r="E85" s="3"/>
      <c r="F85" s="14"/>
      <c r="G85" s="14"/>
      <c r="H85" s="97"/>
    </row>
    <row r="86" spans="1:8" x14ac:dyDescent="0.2">
      <c r="A86" s="3"/>
      <c r="B86" s="3"/>
      <c r="C86" s="4" t="s">
        <v>97</v>
      </c>
      <c r="D86" s="3"/>
      <c r="E86" s="3" t="s">
        <v>98</v>
      </c>
      <c r="F86" s="15">
        <v>0</v>
      </c>
      <c r="G86" s="16">
        <v>0</v>
      </c>
      <c r="H86" s="97"/>
    </row>
    <row r="87" spans="1:8" x14ac:dyDescent="0.2">
      <c r="A87" s="3"/>
      <c r="B87" s="3"/>
      <c r="C87" s="13"/>
      <c r="D87" s="3"/>
      <c r="E87" s="3"/>
      <c r="F87" s="14"/>
      <c r="G87" s="14"/>
      <c r="H87" s="97"/>
    </row>
    <row r="88" spans="1:8" x14ac:dyDescent="0.2">
      <c r="A88" s="3"/>
      <c r="B88" s="3"/>
      <c r="C88" s="4" t="s">
        <v>114</v>
      </c>
      <c r="D88" s="3"/>
      <c r="E88" s="3"/>
      <c r="F88" s="14"/>
      <c r="G88" s="14"/>
      <c r="H88" s="97"/>
    </row>
    <row r="89" spans="1:8" x14ac:dyDescent="0.2">
      <c r="A89" s="5">
        <v>1</v>
      </c>
      <c r="B89" s="6"/>
      <c r="C89" s="6" t="s">
        <v>115</v>
      </c>
      <c r="D89" s="6"/>
      <c r="E89" s="10"/>
      <c r="F89" s="8">
        <v>39.014135500000002</v>
      </c>
      <c r="G89" s="9">
        <v>2.9944223999999998E-2</v>
      </c>
      <c r="H89" s="8">
        <v>3.4504560529072292</v>
      </c>
    </row>
    <row r="90" spans="1:8" x14ac:dyDescent="0.2">
      <c r="A90" s="5">
        <v>2</v>
      </c>
      <c r="B90" s="6"/>
      <c r="C90" s="6" t="s">
        <v>116</v>
      </c>
      <c r="D90" s="6"/>
      <c r="E90" s="10"/>
      <c r="F90" s="8">
        <v>21.056213</v>
      </c>
      <c r="G90" s="9">
        <v>1.6161116E-2</v>
      </c>
      <c r="H90" s="8">
        <v>3.5655822479098256</v>
      </c>
    </row>
    <row r="91" spans="1:8" x14ac:dyDescent="0.2">
      <c r="A91" s="3"/>
      <c r="B91" s="3"/>
      <c r="C91" s="4" t="s">
        <v>97</v>
      </c>
      <c r="D91" s="3"/>
      <c r="E91" s="3" t="s">
        <v>98</v>
      </c>
      <c r="F91" s="11">
        <v>60.070348500000001</v>
      </c>
      <c r="G91" s="12">
        <v>4.6105340000000002E-2</v>
      </c>
      <c r="H91" s="97"/>
    </row>
    <row r="92" spans="1:8" x14ac:dyDescent="0.2">
      <c r="A92" s="3"/>
      <c r="B92" s="3"/>
      <c r="C92" s="13"/>
      <c r="D92" s="3"/>
      <c r="E92" s="3"/>
      <c r="F92" s="14"/>
      <c r="G92" s="14"/>
      <c r="H92" s="97"/>
    </row>
    <row r="93" spans="1:8" x14ac:dyDescent="0.2">
      <c r="A93" s="3"/>
      <c r="B93" s="3"/>
      <c r="C93" s="4" t="s">
        <v>117</v>
      </c>
      <c r="D93" s="3"/>
      <c r="E93" s="3"/>
      <c r="F93" s="11">
        <v>60.070348500000001</v>
      </c>
      <c r="G93" s="12">
        <v>4.6105340000000002E-2</v>
      </c>
      <c r="H93" s="97"/>
    </row>
    <row r="94" spans="1:8" x14ac:dyDescent="0.2">
      <c r="A94" s="3"/>
      <c r="B94" s="3"/>
      <c r="C94" s="14"/>
      <c r="D94" s="3"/>
      <c r="E94" s="3"/>
      <c r="F94" s="3"/>
      <c r="G94" s="3"/>
      <c r="H94" s="97"/>
    </row>
    <row r="95" spans="1:8" x14ac:dyDescent="0.2">
      <c r="A95" s="3"/>
      <c r="B95" s="3"/>
      <c r="C95" s="4" t="s">
        <v>118</v>
      </c>
      <c r="D95" s="3"/>
      <c r="E95" s="3"/>
      <c r="F95" s="3"/>
      <c r="G95" s="3"/>
      <c r="H95" s="97"/>
    </row>
    <row r="96" spans="1:8" x14ac:dyDescent="0.2">
      <c r="A96" s="3"/>
      <c r="B96" s="3"/>
      <c r="C96" s="4" t="s">
        <v>119</v>
      </c>
      <c r="D96" s="3"/>
      <c r="E96" s="3"/>
      <c r="F96" s="3"/>
      <c r="G96" s="3"/>
      <c r="H96" s="97"/>
    </row>
    <row r="97" spans="1:8" x14ac:dyDescent="0.2">
      <c r="A97" s="3"/>
      <c r="B97" s="3"/>
      <c r="C97" s="4" t="s">
        <v>97</v>
      </c>
      <c r="D97" s="3"/>
      <c r="E97" s="3" t="s">
        <v>98</v>
      </c>
      <c r="F97" s="15">
        <v>0</v>
      </c>
      <c r="G97" s="16">
        <v>0</v>
      </c>
      <c r="H97" s="97"/>
    </row>
    <row r="98" spans="1:8" x14ac:dyDescent="0.2">
      <c r="A98" s="3"/>
      <c r="B98" s="3"/>
      <c r="C98" s="13"/>
      <c r="D98" s="3"/>
      <c r="E98" s="3"/>
      <c r="F98" s="14"/>
      <c r="G98" s="14"/>
      <c r="H98" s="97"/>
    </row>
    <row r="99" spans="1:8" x14ac:dyDescent="0.2">
      <c r="A99" s="3"/>
      <c r="B99" s="3"/>
      <c r="C99" s="4" t="s">
        <v>120</v>
      </c>
      <c r="D99" s="3"/>
      <c r="E99" s="3"/>
      <c r="F99" s="3"/>
      <c r="G99" s="3"/>
      <c r="H99" s="97"/>
    </row>
    <row r="100" spans="1:8" x14ac:dyDescent="0.2">
      <c r="A100" s="3"/>
      <c r="B100" s="3"/>
      <c r="C100" s="4" t="s">
        <v>121</v>
      </c>
      <c r="D100" s="3"/>
      <c r="E100" s="3"/>
      <c r="F100" s="3"/>
      <c r="G100" s="3"/>
      <c r="H100" s="97"/>
    </row>
    <row r="101" spans="1:8" x14ac:dyDescent="0.2">
      <c r="A101" s="3"/>
      <c r="B101" s="3"/>
      <c r="C101" s="4" t="s">
        <v>97</v>
      </c>
      <c r="D101" s="3"/>
      <c r="E101" s="3" t="s">
        <v>98</v>
      </c>
      <c r="F101" s="15">
        <v>0</v>
      </c>
      <c r="G101" s="16">
        <v>0</v>
      </c>
      <c r="H101" s="97"/>
    </row>
    <row r="102" spans="1:8" x14ac:dyDescent="0.2">
      <c r="A102" s="3"/>
      <c r="B102" s="3"/>
      <c r="C102" s="13"/>
      <c r="D102" s="3"/>
      <c r="E102" s="3"/>
      <c r="F102" s="14"/>
      <c r="G102" s="14"/>
      <c r="H102" s="97"/>
    </row>
    <row r="103" spans="1:8" x14ac:dyDescent="0.2">
      <c r="A103" s="3"/>
      <c r="B103" s="3"/>
      <c r="C103" s="13"/>
      <c r="D103" s="3"/>
      <c r="E103" s="3"/>
      <c r="F103" s="14"/>
      <c r="G103" s="14"/>
      <c r="H103" s="97"/>
    </row>
    <row r="104" spans="1:8" ht="25.5" x14ac:dyDescent="0.2">
      <c r="A104" s="3"/>
      <c r="B104" s="3"/>
      <c r="C104" s="4" t="s">
        <v>122</v>
      </c>
      <c r="D104" s="3"/>
      <c r="E104" s="3"/>
      <c r="F104" s="14"/>
      <c r="G104" s="14"/>
      <c r="H104" s="97"/>
    </row>
    <row r="105" spans="1:8" x14ac:dyDescent="0.2">
      <c r="A105" s="3"/>
      <c r="B105" s="3"/>
      <c r="C105" s="4" t="s">
        <v>97</v>
      </c>
      <c r="D105" s="3"/>
      <c r="E105" s="3" t="s">
        <v>98</v>
      </c>
      <c r="F105" s="15">
        <v>0</v>
      </c>
      <c r="G105" s="16">
        <v>0</v>
      </c>
      <c r="H105" s="97"/>
    </row>
    <row r="106" spans="1:8" x14ac:dyDescent="0.2">
      <c r="A106" s="3"/>
      <c r="B106" s="3"/>
      <c r="C106" s="13"/>
      <c r="D106" s="3"/>
      <c r="E106" s="3"/>
      <c r="F106" s="14"/>
      <c r="G106" s="14"/>
      <c r="H106" s="97"/>
    </row>
    <row r="107" spans="1:8" x14ac:dyDescent="0.2">
      <c r="A107" s="3"/>
      <c r="B107" s="6"/>
      <c r="C107" s="6"/>
      <c r="D107" s="4"/>
      <c r="E107" s="3"/>
      <c r="F107" s="6"/>
      <c r="G107" s="10"/>
      <c r="H107" s="97"/>
    </row>
    <row r="108" spans="1:8" x14ac:dyDescent="0.2">
      <c r="A108" s="10"/>
      <c r="B108" s="6"/>
      <c r="C108" s="6" t="s">
        <v>123</v>
      </c>
      <c r="D108" s="6"/>
      <c r="E108" s="10"/>
      <c r="F108" s="8">
        <v>1.1884844999999999</v>
      </c>
      <c r="G108" s="9">
        <v>9.1218899999999999E-4</v>
      </c>
      <c r="H108" s="97"/>
    </row>
    <row r="109" spans="1:8" x14ac:dyDescent="0.2">
      <c r="A109" s="13"/>
      <c r="B109" s="13"/>
      <c r="C109" s="4" t="s">
        <v>124</v>
      </c>
      <c r="D109" s="17"/>
      <c r="E109" s="17"/>
      <c r="F109" s="11">
        <v>1302.8935285</v>
      </c>
      <c r="G109" s="12">
        <v>1</v>
      </c>
      <c r="H109" s="97"/>
    </row>
    <row r="110" spans="1:8" ht="14.1" customHeight="1" x14ac:dyDescent="0.2">
      <c r="A110" s="20"/>
      <c r="B110" s="226" t="s">
        <v>98</v>
      </c>
      <c r="C110" s="226"/>
      <c r="D110" s="226"/>
      <c r="E110" s="226"/>
      <c r="F110" s="226"/>
      <c r="G110" s="22"/>
    </row>
    <row r="111" spans="1:8" ht="14.1" customHeight="1" x14ac:dyDescent="0.2">
      <c r="A111" s="20"/>
      <c r="B111" s="20"/>
      <c r="C111" s="20"/>
      <c r="D111" s="22"/>
      <c r="E111" s="22"/>
      <c r="F111" s="22"/>
      <c r="G111" s="22"/>
    </row>
    <row r="112" spans="1:8" ht="14.1" customHeight="1" x14ac:dyDescent="0.2">
      <c r="A112" s="20"/>
      <c r="B112" s="224" t="s">
        <v>126</v>
      </c>
      <c r="C112" s="225"/>
      <c r="D112" s="14" t="s">
        <v>98</v>
      </c>
      <c r="E112" s="23"/>
      <c r="F112" s="22"/>
      <c r="G112" s="22"/>
    </row>
    <row r="113" spans="1:17" ht="29.1" customHeight="1" x14ac:dyDescent="0.2">
      <c r="A113" s="20"/>
      <c r="B113" s="231" t="s">
        <v>127</v>
      </c>
      <c r="C113" s="232"/>
      <c r="D113" s="4" t="s">
        <v>128</v>
      </c>
      <c r="E113" s="23"/>
      <c r="F113" s="22"/>
      <c r="G113" s="22"/>
    </row>
    <row r="114" spans="1:17" ht="17.100000000000001" customHeight="1" x14ac:dyDescent="0.2">
      <c r="A114" s="20"/>
      <c r="B114" s="231" t="s">
        <v>129</v>
      </c>
      <c r="C114" s="232"/>
      <c r="D114" s="4" t="s">
        <v>128</v>
      </c>
      <c r="E114" s="23"/>
      <c r="F114" s="22"/>
      <c r="G114" s="22"/>
    </row>
    <row r="115" spans="1:17" ht="17.100000000000001" customHeight="1" x14ac:dyDescent="0.2">
      <c r="A115" s="20"/>
      <c r="B115" s="231" t="s">
        <v>130</v>
      </c>
      <c r="C115" s="232"/>
      <c r="D115" s="14" t="s">
        <v>98</v>
      </c>
      <c r="E115" s="23"/>
      <c r="F115" s="22"/>
      <c r="G115" s="22"/>
    </row>
    <row r="116" spans="1:17" ht="24" customHeight="1" x14ac:dyDescent="0.2">
      <c r="A116" s="24"/>
      <c r="B116" s="25" t="s">
        <v>98</v>
      </c>
      <c r="C116" s="25" t="s">
        <v>131</v>
      </c>
      <c r="D116" s="25" t="s">
        <v>132</v>
      </c>
      <c r="E116" s="24"/>
      <c r="F116" s="24"/>
      <c r="G116" s="24"/>
    </row>
    <row r="117" spans="1:17" ht="18" customHeight="1" x14ac:dyDescent="0.2">
      <c r="A117" s="24"/>
      <c r="B117" s="25" t="s">
        <v>133</v>
      </c>
      <c r="C117" s="25" t="s">
        <v>134</v>
      </c>
      <c r="D117" s="25" t="s">
        <v>135</v>
      </c>
      <c r="E117" s="24"/>
      <c r="F117" s="24"/>
      <c r="G117" s="24"/>
    </row>
    <row r="118" spans="1:17" ht="17.100000000000001" customHeight="1" x14ac:dyDescent="0.2">
      <c r="A118" s="24"/>
      <c r="B118" s="6" t="s">
        <v>136</v>
      </c>
      <c r="C118" s="26">
        <v>23.251000000000001</v>
      </c>
      <c r="D118" s="26">
        <v>23.777699999999999</v>
      </c>
      <c r="E118" s="24"/>
      <c r="F118" s="21"/>
      <c r="G118" s="27"/>
    </row>
    <row r="119" spans="1:17" ht="17.100000000000001" customHeight="1" x14ac:dyDescent="0.2">
      <c r="A119" s="24"/>
      <c r="B119" s="6" t="s">
        <v>1201</v>
      </c>
      <c r="C119" s="26">
        <v>18.838799999999999</v>
      </c>
      <c r="D119" s="26">
        <v>19.265599999999999</v>
      </c>
      <c r="E119" s="24"/>
      <c r="F119" s="21"/>
      <c r="G119" s="27"/>
    </row>
    <row r="120" spans="1:17" ht="17.100000000000001" customHeight="1" x14ac:dyDescent="0.2">
      <c r="A120" s="24"/>
      <c r="B120" s="6" t="s">
        <v>137</v>
      </c>
      <c r="C120" s="26">
        <v>22.725300000000001</v>
      </c>
      <c r="D120" s="26">
        <v>23.236499999999999</v>
      </c>
      <c r="E120" s="24"/>
      <c r="F120" s="21"/>
      <c r="G120" s="27"/>
    </row>
    <row r="121" spans="1:17" ht="17.100000000000001" customHeight="1" x14ac:dyDescent="0.2">
      <c r="A121" s="24"/>
      <c r="B121" s="6" t="s">
        <v>1202</v>
      </c>
      <c r="C121" s="26">
        <v>18.342199999999998</v>
      </c>
      <c r="D121" s="26">
        <v>18.754799999999999</v>
      </c>
      <c r="E121" s="24"/>
      <c r="F121" s="21"/>
      <c r="G121" s="27"/>
    </row>
    <row r="122" spans="1:17" ht="14.1" customHeight="1" x14ac:dyDescent="0.2">
      <c r="A122" s="24"/>
      <c r="B122" s="24"/>
      <c r="C122" s="24"/>
      <c r="D122" s="24"/>
      <c r="E122" s="24"/>
      <c r="F122" s="24"/>
      <c r="G122" s="24"/>
    </row>
    <row r="123" spans="1:17" ht="17.100000000000001" customHeight="1" x14ac:dyDescent="0.2">
      <c r="A123" s="24"/>
      <c r="B123" s="231" t="s">
        <v>1203</v>
      </c>
      <c r="C123" s="232"/>
      <c r="D123" s="4" t="s">
        <v>128</v>
      </c>
      <c r="E123" s="24"/>
      <c r="F123" s="24"/>
      <c r="G123" s="24"/>
    </row>
    <row r="124" spans="1:17" ht="18" customHeight="1" x14ac:dyDescent="0.2">
      <c r="A124" s="24"/>
      <c r="B124" s="28"/>
      <c r="C124" s="28"/>
      <c r="D124" s="29"/>
      <c r="E124" s="24"/>
      <c r="F124" s="24"/>
      <c r="G124" s="24"/>
    </row>
    <row r="125" spans="1:17" s="87" customFormat="1" x14ac:dyDescent="0.2">
      <c r="B125" s="233" t="s">
        <v>1207</v>
      </c>
      <c r="C125" s="233"/>
      <c r="D125" s="233"/>
      <c r="E125" s="233"/>
      <c r="F125" s="233"/>
      <c r="I125"/>
      <c r="J125"/>
      <c r="K125"/>
      <c r="L125"/>
      <c r="M125"/>
      <c r="N125"/>
      <c r="O125"/>
      <c r="P125" s="69"/>
      <c r="Q125" s="69"/>
    </row>
    <row r="126" spans="1:17" ht="14.1" customHeight="1" x14ac:dyDescent="0.2">
      <c r="A126" s="24"/>
      <c r="B126" s="21"/>
      <c r="C126" s="21"/>
      <c r="D126" s="24"/>
      <c r="E126" s="24"/>
      <c r="F126" s="24"/>
      <c r="G126" s="24"/>
    </row>
    <row r="127" spans="1:17" ht="29.1" customHeight="1" x14ac:dyDescent="0.2">
      <c r="A127" s="24"/>
      <c r="B127" s="231" t="s">
        <v>138</v>
      </c>
      <c r="C127" s="232"/>
      <c r="D127" s="4" t="s">
        <v>128</v>
      </c>
      <c r="E127" s="24"/>
      <c r="F127" s="24"/>
      <c r="G127" s="24"/>
      <c r="I127" s="87"/>
      <c r="J127" s="87"/>
      <c r="K127" s="87"/>
      <c r="L127" s="87"/>
      <c r="M127" s="87"/>
      <c r="N127" s="87"/>
      <c r="O127" s="87"/>
    </row>
    <row r="128" spans="1:17" ht="29.1" customHeight="1" x14ac:dyDescent="0.2">
      <c r="A128" s="24"/>
      <c r="B128" s="231" t="s">
        <v>139</v>
      </c>
      <c r="C128" s="232"/>
      <c r="D128" s="4" t="s">
        <v>128</v>
      </c>
      <c r="E128" s="24"/>
      <c r="F128" s="24"/>
      <c r="G128" s="24"/>
    </row>
    <row r="129" spans="1:7" ht="17.100000000000001" customHeight="1" x14ac:dyDescent="0.2">
      <c r="A129" s="24"/>
      <c r="B129" s="231" t="s">
        <v>140</v>
      </c>
      <c r="C129" s="232"/>
      <c r="D129" s="30">
        <v>0.21534088256757211</v>
      </c>
      <c r="E129" s="24"/>
      <c r="F129" s="21"/>
      <c r="G129" s="27"/>
    </row>
    <row r="130" spans="1:7" ht="17.100000000000001" customHeight="1" x14ac:dyDescent="0.2">
      <c r="A130" s="24"/>
      <c r="B130" s="231" t="s">
        <v>141</v>
      </c>
      <c r="C130" s="232"/>
      <c r="D130" s="4" t="s">
        <v>128</v>
      </c>
      <c r="E130" s="24"/>
      <c r="F130" s="24"/>
      <c r="G130" s="24"/>
    </row>
  </sheetData>
  <mergeCells count="15">
    <mergeCell ref="B129:C129"/>
    <mergeCell ref="B130:C130"/>
    <mergeCell ref="B113:C113"/>
    <mergeCell ref="B114:C114"/>
    <mergeCell ref="B115:C115"/>
    <mergeCell ref="B123:C123"/>
    <mergeCell ref="B127:C127"/>
    <mergeCell ref="B128:C128"/>
    <mergeCell ref="B125:F125"/>
    <mergeCell ref="J2:N2"/>
    <mergeCell ref="B112:C112"/>
    <mergeCell ref="B110:F110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5">
    <outlinePr summaryBelow="0" summaryRight="0"/>
  </sheetPr>
  <dimension ref="A1:Q157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6" ht="15" x14ac:dyDescent="0.2">
      <c r="A1" s="227" t="s">
        <v>0</v>
      </c>
      <c r="B1" s="227"/>
      <c r="C1" s="227"/>
      <c r="D1" s="227"/>
      <c r="E1" s="227"/>
      <c r="F1" s="227"/>
      <c r="G1" s="227"/>
      <c r="H1" s="227"/>
    </row>
    <row r="2" spans="1:16" s="87" customFormat="1" ht="15" x14ac:dyDescent="0.2">
      <c r="A2" s="228" t="s">
        <v>638</v>
      </c>
      <c r="B2" s="229"/>
      <c r="C2" s="229"/>
      <c r="D2" s="229"/>
      <c r="E2" s="229"/>
      <c r="F2" s="229"/>
      <c r="G2" s="229"/>
      <c r="H2" s="230"/>
      <c r="I2"/>
      <c r="J2" s="223" t="s">
        <v>1238</v>
      </c>
      <c r="K2" s="223"/>
      <c r="L2" s="223"/>
      <c r="M2" s="223"/>
      <c r="N2" s="223"/>
      <c r="O2"/>
      <c r="P2"/>
    </row>
    <row r="3" spans="1:16" ht="15" x14ac:dyDescent="0.2">
      <c r="A3" s="227" t="s">
        <v>1208</v>
      </c>
      <c r="B3" s="227"/>
      <c r="C3" s="227"/>
      <c r="D3" s="227"/>
      <c r="E3" s="227"/>
      <c r="F3" s="227"/>
      <c r="G3" s="227"/>
      <c r="H3" s="227"/>
    </row>
    <row r="4" spans="1:16" s="113" customFormat="1" ht="30" x14ac:dyDescent="0.2">
      <c r="A4" s="1" t="s">
        <v>2</v>
      </c>
      <c r="B4" s="1" t="s">
        <v>3</v>
      </c>
      <c r="C4" s="1" t="s">
        <v>4</v>
      </c>
      <c r="D4" s="1" t="s">
        <v>5</v>
      </c>
      <c r="E4" s="2" t="s">
        <v>6</v>
      </c>
      <c r="F4" s="2" t="s">
        <v>7</v>
      </c>
      <c r="G4" s="2" t="s">
        <v>8</v>
      </c>
      <c r="H4" s="96" t="s">
        <v>1167</v>
      </c>
      <c r="I4" s="183"/>
      <c r="J4" s="183"/>
      <c r="K4" s="183"/>
      <c r="L4" s="183"/>
      <c r="M4" s="183"/>
      <c r="N4" s="183"/>
      <c r="O4" s="183"/>
      <c r="P4" s="183"/>
    </row>
    <row r="5" spans="1:16" ht="14.1" customHeight="1" x14ac:dyDescent="0.2">
      <c r="A5" s="3"/>
      <c r="B5" s="3"/>
      <c r="C5" s="4" t="s">
        <v>9</v>
      </c>
      <c r="D5" s="3"/>
      <c r="E5" s="3"/>
      <c r="F5" s="3"/>
      <c r="G5" s="3"/>
      <c r="H5" s="97"/>
    </row>
    <row r="6" spans="1:16" ht="24" customHeight="1" x14ac:dyDescent="0.2">
      <c r="A6" s="3"/>
      <c r="B6" s="3"/>
      <c r="C6" s="4" t="s">
        <v>10</v>
      </c>
      <c r="D6" s="3"/>
      <c r="E6" s="3"/>
      <c r="F6" s="3"/>
      <c r="G6" s="3"/>
      <c r="H6" s="97"/>
    </row>
    <row r="7" spans="1:16" ht="17.100000000000001" customHeight="1" x14ac:dyDescent="0.2">
      <c r="A7" s="5">
        <v>1</v>
      </c>
      <c r="B7" s="6" t="s">
        <v>148</v>
      </c>
      <c r="C7" s="6" t="s">
        <v>149</v>
      </c>
      <c r="D7" s="6" t="s">
        <v>70</v>
      </c>
      <c r="E7" s="7">
        <v>47558</v>
      </c>
      <c r="F7" s="8">
        <v>284.34928200000002</v>
      </c>
      <c r="G7" s="9">
        <v>3.5209483999999999E-2</v>
      </c>
      <c r="H7" s="97"/>
    </row>
    <row r="8" spans="1:16" ht="17.100000000000001" customHeight="1" x14ac:dyDescent="0.2">
      <c r="A8" s="5">
        <v>2</v>
      </c>
      <c r="B8" s="6" t="s">
        <v>164</v>
      </c>
      <c r="C8" s="6" t="s">
        <v>165</v>
      </c>
      <c r="D8" s="6" t="s">
        <v>19</v>
      </c>
      <c r="E8" s="7">
        <v>22568</v>
      </c>
      <c r="F8" s="8">
        <v>263.605524</v>
      </c>
      <c r="G8" s="9">
        <v>3.2640892999999997E-2</v>
      </c>
      <c r="H8" s="97"/>
    </row>
    <row r="9" spans="1:16" ht="17.100000000000001" customHeight="1" x14ac:dyDescent="0.2">
      <c r="A9" s="5">
        <v>3</v>
      </c>
      <c r="B9" s="6" t="s">
        <v>274</v>
      </c>
      <c r="C9" s="6" t="s">
        <v>275</v>
      </c>
      <c r="D9" s="6" t="s">
        <v>185</v>
      </c>
      <c r="E9" s="7">
        <v>6170</v>
      </c>
      <c r="F9" s="8">
        <v>258.43045000000001</v>
      </c>
      <c r="G9" s="9">
        <v>3.2000091000000001E-2</v>
      </c>
      <c r="H9" s="97"/>
    </row>
    <row r="10" spans="1:16" ht="17.100000000000001" customHeight="1" x14ac:dyDescent="0.2">
      <c r="A10" s="5">
        <v>4</v>
      </c>
      <c r="B10" s="6" t="s">
        <v>263</v>
      </c>
      <c r="C10" s="6" t="s">
        <v>264</v>
      </c>
      <c r="D10" s="6" t="s">
        <v>147</v>
      </c>
      <c r="E10" s="7">
        <v>40414</v>
      </c>
      <c r="F10" s="8">
        <v>247.717613</v>
      </c>
      <c r="G10" s="9">
        <v>3.0673576000000001E-2</v>
      </c>
      <c r="H10" s="97"/>
    </row>
    <row r="11" spans="1:16" ht="17.100000000000001" customHeight="1" x14ac:dyDescent="0.2">
      <c r="A11" s="5">
        <v>5</v>
      </c>
      <c r="B11" s="6" t="s">
        <v>17</v>
      </c>
      <c r="C11" s="6" t="s">
        <v>18</v>
      </c>
      <c r="D11" s="6" t="s">
        <v>19</v>
      </c>
      <c r="E11" s="7">
        <v>12759</v>
      </c>
      <c r="F11" s="8">
        <v>244.59003000000001</v>
      </c>
      <c r="G11" s="9">
        <v>3.0286304E-2</v>
      </c>
      <c r="H11" s="97"/>
    </row>
    <row r="12" spans="1:16" ht="17.100000000000001" customHeight="1" x14ac:dyDescent="0.2">
      <c r="A12" s="5">
        <v>6</v>
      </c>
      <c r="B12" s="6" t="s">
        <v>74</v>
      </c>
      <c r="C12" s="6" t="s">
        <v>75</v>
      </c>
      <c r="D12" s="6" t="s">
        <v>70</v>
      </c>
      <c r="E12" s="7">
        <v>57461</v>
      </c>
      <c r="F12" s="8">
        <v>241.22127800000001</v>
      </c>
      <c r="G12" s="9">
        <v>2.9869169000000001E-2</v>
      </c>
      <c r="H12" s="97"/>
    </row>
    <row r="13" spans="1:16" ht="29.1" customHeight="1" x14ac:dyDescent="0.2">
      <c r="A13" s="5">
        <v>7</v>
      </c>
      <c r="B13" s="6" t="s">
        <v>143</v>
      </c>
      <c r="C13" s="6" t="s">
        <v>144</v>
      </c>
      <c r="D13" s="6" t="s">
        <v>45</v>
      </c>
      <c r="E13" s="7">
        <v>120530</v>
      </c>
      <c r="F13" s="8">
        <v>234.49111500000001</v>
      </c>
      <c r="G13" s="9">
        <v>2.9035808E-2</v>
      </c>
      <c r="H13" s="97"/>
    </row>
    <row r="14" spans="1:16" ht="17.100000000000001" customHeight="1" x14ac:dyDescent="0.2">
      <c r="A14" s="5">
        <v>8</v>
      </c>
      <c r="B14" s="6" t="s">
        <v>152</v>
      </c>
      <c r="C14" s="6" t="s">
        <v>153</v>
      </c>
      <c r="D14" s="6" t="s">
        <v>1184</v>
      </c>
      <c r="E14" s="7">
        <v>19498</v>
      </c>
      <c r="F14" s="8">
        <v>230.47610900000001</v>
      </c>
      <c r="G14" s="9">
        <v>2.8538651000000002E-2</v>
      </c>
      <c r="H14" s="97"/>
    </row>
    <row r="15" spans="1:16" ht="17.100000000000001" customHeight="1" x14ac:dyDescent="0.2">
      <c r="A15" s="5">
        <v>9</v>
      </c>
      <c r="B15" s="6" t="s">
        <v>156</v>
      </c>
      <c r="C15" s="6" t="s">
        <v>157</v>
      </c>
      <c r="D15" s="6" t="s">
        <v>19</v>
      </c>
      <c r="E15" s="7">
        <v>29750</v>
      </c>
      <c r="F15" s="8">
        <v>215.79162500000001</v>
      </c>
      <c r="G15" s="9">
        <v>2.6720348000000001E-2</v>
      </c>
      <c r="H15" s="97"/>
      <c r="J15" s="184" t="s">
        <v>1240</v>
      </c>
    </row>
    <row r="16" spans="1:16" ht="17.100000000000001" customHeight="1" x14ac:dyDescent="0.2">
      <c r="A16" s="5">
        <v>10</v>
      </c>
      <c r="B16" s="6" t="s">
        <v>150</v>
      </c>
      <c r="C16" s="6" t="s">
        <v>151</v>
      </c>
      <c r="D16" s="6" t="s">
        <v>81</v>
      </c>
      <c r="E16" s="7">
        <v>192978</v>
      </c>
      <c r="F16" s="8">
        <v>213.916113</v>
      </c>
      <c r="G16" s="9">
        <v>2.6488113000000001E-2</v>
      </c>
      <c r="H16" s="97"/>
    </row>
    <row r="17" spans="1:8" ht="29.1" customHeight="1" x14ac:dyDescent="0.2">
      <c r="A17" s="5">
        <v>11</v>
      </c>
      <c r="B17" s="6" t="s">
        <v>604</v>
      </c>
      <c r="C17" s="6" t="s">
        <v>605</v>
      </c>
      <c r="D17" s="6" t="s">
        <v>45</v>
      </c>
      <c r="E17" s="7">
        <v>11046</v>
      </c>
      <c r="F17" s="8">
        <v>204.527736</v>
      </c>
      <c r="G17" s="9">
        <v>2.53256E-2</v>
      </c>
      <c r="H17" s="97"/>
    </row>
    <row r="18" spans="1:8" ht="17.100000000000001" customHeight="1" x14ac:dyDescent="0.2">
      <c r="A18" s="5">
        <v>12</v>
      </c>
      <c r="B18" s="6" t="s">
        <v>172</v>
      </c>
      <c r="C18" s="6" t="s">
        <v>173</v>
      </c>
      <c r="D18" s="6" t="s">
        <v>174</v>
      </c>
      <c r="E18" s="7">
        <v>82902</v>
      </c>
      <c r="F18" s="8">
        <v>198.17723100000001</v>
      </c>
      <c r="G18" s="9">
        <v>2.4539249999999999E-2</v>
      </c>
      <c r="H18" s="97"/>
    </row>
    <row r="19" spans="1:8" ht="17.100000000000001" customHeight="1" x14ac:dyDescent="0.2">
      <c r="A19" s="5">
        <v>13</v>
      </c>
      <c r="B19" s="6" t="s">
        <v>84</v>
      </c>
      <c r="C19" s="6" t="s">
        <v>85</v>
      </c>
      <c r="D19" s="6" t="s">
        <v>53</v>
      </c>
      <c r="E19" s="7">
        <v>40332</v>
      </c>
      <c r="F19" s="8">
        <v>197.74779599999999</v>
      </c>
      <c r="G19" s="9">
        <v>2.4486075E-2</v>
      </c>
      <c r="H19" s="97"/>
    </row>
    <row r="20" spans="1:8" ht="17.100000000000001" customHeight="1" x14ac:dyDescent="0.2">
      <c r="A20" s="5">
        <v>14</v>
      </c>
      <c r="B20" s="6" t="s">
        <v>191</v>
      </c>
      <c r="C20" s="6" t="s">
        <v>192</v>
      </c>
      <c r="D20" s="6" t="s">
        <v>193</v>
      </c>
      <c r="E20" s="7">
        <v>42854</v>
      </c>
      <c r="F20" s="8">
        <v>194.685722</v>
      </c>
      <c r="G20" s="9">
        <v>2.4106915E-2</v>
      </c>
      <c r="H20" s="97"/>
    </row>
    <row r="21" spans="1:8" ht="17.100000000000001" customHeight="1" x14ac:dyDescent="0.2">
      <c r="A21" s="5">
        <v>15</v>
      </c>
      <c r="B21" s="6" t="s">
        <v>282</v>
      </c>
      <c r="C21" s="6" t="s">
        <v>283</v>
      </c>
      <c r="D21" s="6" t="s">
        <v>284</v>
      </c>
      <c r="E21" s="7">
        <v>74291</v>
      </c>
      <c r="F21" s="8">
        <v>186.8047195</v>
      </c>
      <c r="G21" s="9">
        <v>2.3131051E-2</v>
      </c>
      <c r="H21" s="97"/>
    </row>
    <row r="22" spans="1:8" ht="17.100000000000001" customHeight="1" x14ac:dyDescent="0.2">
      <c r="A22" s="5">
        <v>16</v>
      </c>
      <c r="B22" s="6" t="s">
        <v>37</v>
      </c>
      <c r="C22" s="6" t="s">
        <v>38</v>
      </c>
      <c r="D22" s="6" t="s">
        <v>1185</v>
      </c>
      <c r="E22" s="7">
        <v>5414</v>
      </c>
      <c r="F22" s="8">
        <v>184.01373899999999</v>
      </c>
      <c r="G22" s="9">
        <v>2.2785459000000001E-2</v>
      </c>
      <c r="H22" s="97"/>
    </row>
    <row r="23" spans="1:8" ht="17.100000000000001" customHeight="1" x14ac:dyDescent="0.2">
      <c r="A23" s="5">
        <v>17</v>
      </c>
      <c r="B23" s="6" t="s">
        <v>259</v>
      </c>
      <c r="C23" s="6" t="s">
        <v>260</v>
      </c>
      <c r="D23" s="6" t="s">
        <v>34</v>
      </c>
      <c r="E23" s="7">
        <v>44883</v>
      </c>
      <c r="F23" s="8">
        <v>168.10927649999999</v>
      </c>
      <c r="G23" s="9">
        <v>2.0816092000000001E-2</v>
      </c>
      <c r="H23" s="97"/>
    </row>
    <row r="24" spans="1:8" ht="17.100000000000001" customHeight="1" x14ac:dyDescent="0.2">
      <c r="A24" s="5">
        <v>18</v>
      </c>
      <c r="B24" s="6" t="s">
        <v>203</v>
      </c>
      <c r="C24" s="6" t="s">
        <v>204</v>
      </c>
      <c r="D24" s="6" t="s">
        <v>81</v>
      </c>
      <c r="E24" s="7">
        <v>20855</v>
      </c>
      <c r="F24" s="8">
        <v>161.45940999999999</v>
      </c>
      <c r="G24" s="9">
        <v>1.9992673999999998E-2</v>
      </c>
      <c r="H24" s="97"/>
    </row>
    <row r="25" spans="1:8" ht="29.1" customHeight="1" x14ac:dyDescent="0.2">
      <c r="A25" s="5">
        <v>19</v>
      </c>
      <c r="B25" s="6" t="s">
        <v>200</v>
      </c>
      <c r="C25" s="6" t="s">
        <v>201</v>
      </c>
      <c r="D25" s="6" t="s">
        <v>202</v>
      </c>
      <c r="E25" s="7">
        <v>38459</v>
      </c>
      <c r="F25" s="8">
        <v>156.87426099999999</v>
      </c>
      <c r="G25" s="9">
        <v>1.9424918999999999E-2</v>
      </c>
      <c r="H25" s="97"/>
    </row>
    <row r="26" spans="1:8" ht="17.100000000000001" customHeight="1" x14ac:dyDescent="0.2">
      <c r="A26" s="5">
        <v>20</v>
      </c>
      <c r="B26" s="6" t="s">
        <v>41</v>
      </c>
      <c r="C26" s="6" t="s">
        <v>42</v>
      </c>
      <c r="D26" s="6" t="s">
        <v>19</v>
      </c>
      <c r="E26" s="7">
        <v>12434</v>
      </c>
      <c r="F26" s="8">
        <v>151.72588500000001</v>
      </c>
      <c r="G26" s="9">
        <v>1.8787423000000001E-2</v>
      </c>
      <c r="H26" s="97"/>
    </row>
    <row r="27" spans="1:8" ht="17.100000000000001" customHeight="1" x14ac:dyDescent="0.2">
      <c r="A27" s="5">
        <v>21</v>
      </c>
      <c r="B27" s="6" t="s">
        <v>68</v>
      </c>
      <c r="C27" s="6" t="s">
        <v>69</v>
      </c>
      <c r="D27" s="6" t="s">
        <v>70</v>
      </c>
      <c r="E27" s="7">
        <v>4397</v>
      </c>
      <c r="F27" s="8">
        <v>145.81331399999999</v>
      </c>
      <c r="G27" s="9">
        <v>1.80553E-2</v>
      </c>
      <c r="H27" s="97"/>
    </row>
    <row r="28" spans="1:8" ht="17.100000000000001" customHeight="1" x14ac:dyDescent="0.2">
      <c r="A28" s="5">
        <v>22</v>
      </c>
      <c r="B28" s="6" t="s">
        <v>158</v>
      </c>
      <c r="C28" s="6" t="s">
        <v>159</v>
      </c>
      <c r="D28" s="6" t="s">
        <v>1187</v>
      </c>
      <c r="E28" s="7">
        <v>10382</v>
      </c>
      <c r="F28" s="8">
        <v>126.572153</v>
      </c>
      <c r="G28" s="9">
        <v>1.5672768E-2</v>
      </c>
      <c r="H28" s="97"/>
    </row>
    <row r="29" spans="1:8" ht="17.100000000000001" customHeight="1" x14ac:dyDescent="0.2">
      <c r="A29" s="5">
        <v>23</v>
      </c>
      <c r="B29" s="6" t="s">
        <v>160</v>
      </c>
      <c r="C29" s="6" t="s">
        <v>161</v>
      </c>
      <c r="D29" s="6" t="s">
        <v>147</v>
      </c>
      <c r="E29" s="7">
        <v>12295</v>
      </c>
      <c r="F29" s="8">
        <v>125.77785</v>
      </c>
      <c r="G29" s="9">
        <v>1.5574413E-2</v>
      </c>
      <c r="H29" s="97"/>
    </row>
    <row r="30" spans="1:8" ht="17.100000000000001" customHeight="1" x14ac:dyDescent="0.2">
      <c r="A30" s="5">
        <v>24</v>
      </c>
      <c r="B30" s="6" t="s">
        <v>177</v>
      </c>
      <c r="C30" s="6" t="s">
        <v>178</v>
      </c>
      <c r="D30" s="6" t="s">
        <v>1185</v>
      </c>
      <c r="E30" s="7">
        <v>54769</v>
      </c>
      <c r="F30" s="8">
        <v>123.96963150000001</v>
      </c>
      <c r="G30" s="9">
        <v>1.5350511000000001E-2</v>
      </c>
      <c r="H30" s="97"/>
    </row>
    <row r="31" spans="1:8" ht="29.1" customHeight="1" x14ac:dyDescent="0.2">
      <c r="A31" s="5">
        <v>25</v>
      </c>
      <c r="B31" s="6" t="s">
        <v>166</v>
      </c>
      <c r="C31" s="6" t="s">
        <v>167</v>
      </c>
      <c r="D31" s="6" t="s">
        <v>1186</v>
      </c>
      <c r="E31" s="7">
        <v>32952</v>
      </c>
      <c r="F31" s="8">
        <v>116.435892</v>
      </c>
      <c r="G31" s="9">
        <v>1.4417648E-2</v>
      </c>
      <c r="H31" s="97"/>
    </row>
    <row r="32" spans="1:8" ht="17.100000000000001" customHeight="1" x14ac:dyDescent="0.2">
      <c r="A32" s="5">
        <v>26</v>
      </c>
      <c r="B32" s="6" t="s">
        <v>168</v>
      </c>
      <c r="C32" s="6" t="s">
        <v>169</v>
      </c>
      <c r="D32" s="6" t="s">
        <v>81</v>
      </c>
      <c r="E32" s="7">
        <v>181703</v>
      </c>
      <c r="F32" s="8">
        <v>114.47289000000001</v>
      </c>
      <c r="G32" s="9">
        <v>1.4174579E-2</v>
      </c>
      <c r="H32" s="97"/>
    </row>
    <row r="33" spans="1:8" ht="17.100000000000001" customHeight="1" x14ac:dyDescent="0.2">
      <c r="A33" s="5">
        <v>27</v>
      </c>
      <c r="B33" s="6" t="s">
        <v>196</v>
      </c>
      <c r="C33" s="6" t="s">
        <v>197</v>
      </c>
      <c r="D33" s="6" t="s">
        <v>81</v>
      </c>
      <c r="E33" s="7">
        <v>19955</v>
      </c>
      <c r="F33" s="8">
        <v>110.3411725</v>
      </c>
      <c r="G33" s="9">
        <v>1.366297E-2</v>
      </c>
      <c r="H33" s="97"/>
    </row>
    <row r="34" spans="1:8" ht="17.100000000000001" customHeight="1" x14ac:dyDescent="0.2">
      <c r="A34" s="5">
        <v>28</v>
      </c>
      <c r="B34" s="6" t="s">
        <v>179</v>
      </c>
      <c r="C34" s="6" t="s">
        <v>180</v>
      </c>
      <c r="D34" s="6" t="s">
        <v>53</v>
      </c>
      <c r="E34" s="7">
        <v>108993</v>
      </c>
      <c r="F34" s="8">
        <v>109.5924615</v>
      </c>
      <c r="G34" s="9">
        <v>1.3570261E-2</v>
      </c>
      <c r="H34" s="97"/>
    </row>
    <row r="35" spans="1:8" ht="17.100000000000001" customHeight="1" x14ac:dyDescent="0.2">
      <c r="A35" s="5">
        <v>29</v>
      </c>
      <c r="B35" s="6" t="s">
        <v>608</v>
      </c>
      <c r="C35" s="6" t="s">
        <v>609</v>
      </c>
      <c r="D35" s="6" t="s">
        <v>586</v>
      </c>
      <c r="E35" s="7">
        <v>10328</v>
      </c>
      <c r="F35" s="8">
        <v>104.188864</v>
      </c>
      <c r="G35" s="9">
        <v>1.2901162000000001E-2</v>
      </c>
      <c r="H35" s="97"/>
    </row>
    <row r="36" spans="1:8" ht="29.1" customHeight="1" x14ac:dyDescent="0.2">
      <c r="A36" s="5">
        <v>30</v>
      </c>
      <c r="B36" s="6" t="s">
        <v>214</v>
      </c>
      <c r="C36" s="6" t="s">
        <v>215</v>
      </c>
      <c r="D36" s="6" t="s">
        <v>70</v>
      </c>
      <c r="E36" s="7">
        <v>5046</v>
      </c>
      <c r="F36" s="8">
        <v>99.678684000000004</v>
      </c>
      <c r="G36" s="9">
        <v>1.234269E-2</v>
      </c>
      <c r="H36" s="97"/>
    </row>
    <row r="37" spans="1:8" ht="17.100000000000001" customHeight="1" x14ac:dyDescent="0.2">
      <c r="A37" s="5">
        <v>31</v>
      </c>
      <c r="B37" s="6" t="s">
        <v>198</v>
      </c>
      <c r="C37" s="6" t="s">
        <v>199</v>
      </c>
      <c r="D37" s="6" t="s">
        <v>70</v>
      </c>
      <c r="E37" s="7">
        <v>11132</v>
      </c>
      <c r="F37" s="8">
        <v>99.219515999999999</v>
      </c>
      <c r="G37" s="9">
        <v>1.2285834000000001E-2</v>
      </c>
      <c r="H37" s="97"/>
    </row>
    <row r="38" spans="1:8" ht="29.1" customHeight="1" x14ac:dyDescent="0.2">
      <c r="A38" s="5">
        <v>32</v>
      </c>
      <c r="B38" s="6" t="s">
        <v>226</v>
      </c>
      <c r="C38" s="6" t="s">
        <v>227</v>
      </c>
      <c r="D38" s="6" t="s">
        <v>1191</v>
      </c>
      <c r="E38" s="7">
        <v>107569</v>
      </c>
      <c r="F38" s="8">
        <v>95.467487500000004</v>
      </c>
      <c r="G38" s="9">
        <v>1.182124E-2</v>
      </c>
      <c r="H38" s="97"/>
    </row>
    <row r="39" spans="1:8" ht="17.100000000000001" customHeight="1" x14ac:dyDescent="0.2">
      <c r="A39" s="5">
        <v>33</v>
      </c>
      <c r="B39" s="6" t="s">
        <v>211</v>
      </c>
      <c r="C39" s="6" t="s">
        <v>212</v>
      </c>
      <c r="D39" s="6" t="s">
        <v>202</v>
      </c>
      <c r="E39" s="7">
        <v>21059</v>
      </c>
      <c r="F39" s="8">
        <v>95.049796499999999</v>
      </c>
      <c r="G39" s="9">
        <v>1.1769519000000001E-2</v>
      </c>
      <c r="H39" s="97"/>
    </row>
    <row r="40" spans="1:8" ht="17.100000000000001" customHeight="1" x14ac:dyDescent="0.2">
      <c r="A40" s="5">
        <v>34</v>
      </c>
      <c r="B40" s="6" t="s">
        <v>236</v>
      </c>
      <c r="C40" s="6" t="s">
        <v>237</v>
      </c>
      <c r="D40" s="6" t="s">
        <v>238</v>
      </c>
      <c r="E40" s="7">
        <v>25572</v>
      </c>
      <c r="F40" s="8">
        <v>93.721379999999996</v>
      </c>
      <c r="G40" s="9">
        <v>1.1605028E-2</v>
      </c>
      <c r="H40" s="97"/>
    </row>
    <row r="41" spans="1:8" ht="17.100000000000001" customHeight="1" x14ac:dyDescent="0.2">
      <c r="A41" s="5">
        <v>35</v>
      </c>
      <c r="B41" s="6" t="s">
        <v>256</v>
      </c>
      <c r="C41" s="6" t="s">
        <v>257</v>
      </c>
      <c r="D41" s="6" t="s">
        <v>238</v>
      </c>
      <c r="E41" s="7">
        <v>14616</v>
      </c>
      <c r="F41" s="8">
        <v>91.298844000000003</v>
      </c>
      <c r="G41" s="9">
        <v>1.1305058E-2</v>
      </c>
      <c r="H41" s="97"/>
    </row>
    <row r="42" spans="1:8" ht="17.100000000000001" customHeight="1" x14ac:dyDescent="0.2">
      <c r="A42" s="5">
        <v>36</v>
      </c>
      <c r="B42" s="6" t="s">
        <v>170</v>
      </c>
      <c r="C42" s="6" t="s">
        <v>171</v>
      </c>
      <c r="D42" s="6" t="s">
        <v>70</v>
      </c>
      <c r="E42" s="7">
        <v>9272</v>
      </c>
      <c r="F42" s="8">
        <v>90.198015999999996</v>
      </c>
      <c r="G42" s="9">
        <v>1.1168749E-2</v>
      </c>
      <c r="H42" s="97"/>
    </row>
    <row r="43" spans="1:8" ht="17.100000000000001" customHeight="1" x14ac:dyDescent="0.2">
      <c r="A43" s="5">
        <v>37</v>
      </c>
      <c r="B43" s="6" t="s">
        <v>614</v>
      </c>
      <c r="C43" s="6" t="s">
        <v>615</v>
      </c>
      <c r="D43" s="6" t="s">
        <v>193</v>
      </c>
      <c r="E43" s="7">
        <v>16923</v>
      </c>
      <c r="F43" s="8">
        <v>89.1419025</v>
      </c>
      <c r="G43" s="9">
        <v>1.1037976E-2</v>
      </c>
      <c r="H43" s="97"/>
    </row>
    <row r="44" spans="1:8" ht="17.100000000000001" customHeight="1" x14ac:dyDescent="0.2">
      <c r="A44" s="5">
        <v>38</v>
      </c>
      <c r="B44" s="6" t="s">
        <v>188</v>
      </c>
      <c r="C44" s="6" t="s">
        <v>189</v>
      </c>
      <c r="D44" s="6" t="s">
        <v>190</v>
      </c>
      <c r="E44" s="7">
        <v>19323</v>
      </c>
      <c r="F44" s="8">
        <v>88.876138499999996</v>
      </c>
      <c r="G44" s="9">
        <v>1.1005067E-2</v>
      </c>
      <c r="H44" s="97"/>
    </row>
    <row r="45" spans="1:8" ht="41.1" customHeight="1" x14ac:dyDescent="0.2">
      <c r="A45" s="5">
        <v>39</v>
      </c>
      <c r="B45" s="6" t="s">
        <v>205</v>
      </c>
      <c r="C45" s="6" t="s">
        <v>206</v>
      </c>
      <c r="D45" s="6" t="s">
        <v>1187</v>
      </c>
      <c r="E45" s="7">
        <v>15418</v>
      </c>
      <c r="F45" s="8">
        <v>86.703123000000005</v>
      </c>
      <c r="G45" s="9">
        <v>1.0735994E-2</v>
      </c>
      <c r="H45" s="97"/>
    </row>
    <row r="46" spans="1:8" ht="41.1" customHeight="1" x14ac:dyDescent="0.2">
      <c r="A46" s="5">
        <v>40</v>
      </c>
      <c r="B46" s="6" t="s">
        <v>234</v>
      </c>
      <c r="C46" s="6" t="s">
        <v>235</v>
      </c>
      <c r="D46" s="6" t="s">
        <v>1187</v>
      </c>
      <c r="E46" s="7">
        <v>65797</v>
      </c>
      <c r="F46" s="8">
        <v>84.088566</v>
      </c>
      <c r="G46" s="9">
        <v>1.0412246999999999E-2</v>
      </c>
      <c r="H46" s="97"/>
    </row>
    <row r="47" spans="1:8" ht="17.100000000000001" customHeight="1" x14ac:dyDescent="0.2">
      <c r="A47" s="5">
        <v>41</v>
      </c>
      <c r="B47" s="6" t="s">
        <v>287</v>
      </c>
      <c r="C47" s="6" t="s">
        <v>288</v>
      </c>
      <c r="D47" s="6" t="s">
        <v>147</v>
      </c>
      <c r="E47" s="7">
        <v>6375</v>
      </c>
      <c r="F47" s="8">
        <v>82.658249999999995</v>
      </c>
      <c r="G47" s="9">
        <v>1.0235139000000001E-2</v>
      </c>
      <c r="H47" s="97"/>
    </row>
    <row r="48" spans="1:8" ht="29.1" customHeight="1" x14ac:dyDescent="0.2">
      <c r="A48" s="5">
        <v>42</v>
      </c>
      <c r="B48" s="6" t="s">
        <v>248</v>
      </c>
      <c r="C48" s="6" t="s">
        <v>249</v>
      </c>
      <c r="D48" s="6" t="s">
        <v>202</v>
      </c>
      <c r="E48" s="7">
        <v>18519</v>
      </c>
      <c r="F48" s="8">
        <v>79.492807499999998</v>
      </c>
      <c r="G48" s="9">
        <v>9.8431790000000005E-3</v>
      </c>
      <c r="H48" s="97"/>
    </row>
    <row r="49" spans="1:8" ht="17.100000000000001" customHeight="1" x14ac:dyDescent="0.2">
      <c r="A49" s="5">
        <v>43</v>
      </c>
      <c r="B49" s="6" t="s">
        <v>261</v>
      </c>
      <c r="C49" s="6" t="s">
        <v>262</v>
      </c>
      <c r="D49" s="6" t="s">
        <v>238</v>
      </c>
      <c r="E49" s="7">
        <v>10808</v>
      </c>
      <c r="F49" s="8">
        <v>78.536332000000002</v>
      </c>
      <c r="G49" s="9">
        <v>9.7247429999999992E-3</v>
      </c>
      <c r="H49" s="97"/>
    </row>
    <row r="50" spans="1:8" ht="17.100000000000001" customHeight="1" x14ac:dyDescent="0.2">
      <c r="A50" s="5">
        <v>44</v>
      </c>
      <c r="B50" s="6" t="s">
        <v>216</v>
      </c>
      <c r="C50" s="6" t="s">
        <v>217</v>
      </c>
      <c r="D50" s="6" t="s">
        <v>1184</v>
      </c>
      <c r="E50" s="7">
        <v>4895</v>
      </c>
      <c r="F50" s="8">
        <v>77.478059999999999</v>
      </c>
      <c r="G50" s="9">
        <v>9.5937030000000003E-3</v>
      </c>
      <c r="H50" s="97"/>
    </row>
    <row r="51" spans="1:8" ht="17.100000000000001" customHeight="1" x14ac:dyDescent="0.2">
      <c r="A51" s="5">
        <v>45</v>
      </c>
      <c r="B51" s="6" t="s">
        <v>186</v>
      </c>
      <c r="C51" s="6" t="s">
        <v>187</v>
      </c>
      <c r="D51" s="6" t="s">
        <v>19</v>
      </c>
      <c r="E51" s="7">
        <v>3837</v>
      </c>
      <c r="F51" s="8">
        <v>76.285315499999996</v>
      </c>
      <c r="G51" s="9">
        <v>9.4460120000000002E-3</v>
      </c>
      <c r="H51" s="97"/>
    </row>
    <row r="52" spans="1:8" ht="29.1" customHeight="1" x14ac:dyDescent="0.2">
      <c r="A52" s="5">
        <v>46</v>
      </c>
      <c r="B52" s="6" t="s">
        <v>207</v>
      </c>
      <c r="C52" s="6" t="s">
        <v>208</v>
      </c>
      <c r="D52" s="6" t="s">
        <v>45</v>
      </c>
      <c r="E52" s="7">
        <v>33472</v>
      </c>
      <c r="F52" s="8">
        <v>74.408255999999994</v>
      </c>
      <c r="G52" s="9">
        <v>9.2135849999999998E-3</v>
      </c>
      <c r="H52" s="97"/>
    </row>
    <row r="53" spans="1:8" ht="17.100000000000001" customHeight="1" x14ac:dyDescent="0.2">
      <c r="A53" s="5">
        <v>47</v>
      </c>
      <c r="B53" s="6" t="s">
        <v>245</v>
      </c>
      <c r="C53" s="6" t="s">
        <v>246</v>
      </c>
      <c r="D53" s="6" t="s">
        <v>247</v>
      </c>
      <c r="E53" s="7">
        <v>33525</v>
      </c>
      <c r="F53" s="8">
        <v>73.084500000000006</v>
      </c>
      <c r="G53" s="9">
        <v>9.0496710000000005E-3</v>
      </c>
      <c r="H53" s="97"/>
    </row>
    <row r="54" spans="1:8" ht="17.100000000000001" customHeight="1" x14ac:dyDescent="0.2">
      <c r="A54" s="5">
        <v>48</v>
      </c>
      <c r="B54" s="6" t="s">
        <v>271</v>
      </c>
      <c r="C54" s="6" t="s">
        <v>272</v>
      </c>
      <c r="D54" s="6" t="s">
        <v>19</v>
      </c>
      <c r="E54" s="7">
        <v>6630</v>
      </c>
      <c r="F54" s="8">
        <v>71.832735</v>
      </c>
      <c r="G54" s="9">
        <v>8.8946719999999993E-3</v>
      </c>
      <c r="H54" s="97"/>
    </row>
    <row r="55" spans="1:8" ht="17.100000000000001" customHeight="1" x14ac:dyDescent="0.2">
      <c r="A55" s="5">
        <v>49</v>
      </c>
      <c r="B55" s="6" t="s">
        <v>51</v>
      </c>
      <c r="C55" s="6" t="s">
        <v>52</v>
      </c>
      <c r="D55" s="6" t="s">
        <v>53</v>
      </c>
      <c r="E55" s="7">
        <v>39491</v>
      </c>
      <c r="F55" s="8">
        <v>68.437903000000006</v>
      </c>
      <c r="G55" s="9">
        <v>8.4743079999999998E-3</v>
      </c>
      <c r="H55" s="97"/>
    </row>
    <row r="56" spans="1:8" ht="17.100000000000001" customHeight="1" x14ac:dyDescent="0.2">
      <c r="A56" s="5">
        <v>50</v>
      </c>
      <c r="B56" s="6" t="s">
        <v>269</v>
      </c>
      <c r="C56" s="6" t="s">
        <v>270</v>
      </c>
      <c r="D56" s="6" t="s">
        <v>70</v>
      </c>
      <c r="E56" s="7">
        <v>46361</v>
      </c>
      <c r="F56" s="8">
        <v>64.882219500000005</v>
      </c>
      <c r="G56" s="9">
        <v>8.0340259999999997E-3</v>
      </c>
      <c r="H56" s="97"/>
    </row>
    <row r="57" spans="1:8" ht="17.100000000000001" customHeight="1" x14ac:dyDescent="0.2">
      <c r="A57" s="5">
        <v>51</v>
      </c>
      <c r="B57" s="6" t="s">
        <v>239</v>
      </c>
      <c r="C57" s="6" t="s">
        <v>240</v>
      </c>
      <c r="D57" s="6" t="s">
        <v>25</v>
      </c>
      <c r="E57" s="7">
        <v>82133</v>
      </c>
      <c r="F57" s="8">
        <v>64.556538000000003</v>
      </c>
      <c r="G57" s="9">
        <v>7.9936980000000005E-3</v>
      </c>
      <c r="H57" s="97"/>
    </row>
    <row r="58" spans="1:8" ht="41.1" customHeight="1" x14ac:dyDescent="0.2">
      <c r="A58" s="5">
        <v>52</v>
      </c>
      <c r="B58" s="6" t="s">
        <v>162</v>
      </c>
      <c r="C58" s="6" t="s">
        <v>163</v>
      </c>
      <c r="D58" s="6" t="s">
        <v>1190</v>
      </c>
      <c r="E58" s="7">
        <v>26477</v>
      </c>
      <c r="F58" s="8">
        <v>62.009134000000003</v>
      </c>
      <c r="G58" s="9">
        <v>7.6782669999999999E-3</v>
      </c>
      <c r="H58" s="97"/>
    </row>
    <row r="59" spans="1:8" ht="17.100000000000001" customHeight="1" x14ac:dyDescent="0.2">
      <c r="A59" s="5">
        <v>53</v>
      </c>
      <c r="B59" s="6" t="s">
        <v>230</v>
      </c>
      <c r="C59" s="6" t="s">
        <v>231</v>
      </c>
      <c r="D59" s="6" t="s">
        <v>60</v>
      </c>
      <c r="E59" s="7">
        <v>7165</v>
      </c>
      <c r="F59" s="8">
        <v>60.100020000000001</v>
      </c>
      <c r="G59" s="9">
        <v>7.4418710000000001E-3</v>
      </c>
      <c r="H59" s="97"/>
    </row>
    <row r="60" spans="1:8" ht="17.100000000000001" customHeight="1" x14ac:dyDescent="0.2">
      <c r="A60" s="5">
        <v>54</v>
      </c>
      <c r="B60" s="6" t="s">
        <v>232</v>
      </c>
      <c r="C60" s="6" t="s">
        <v>233</v>
      </c>
      <c r="D60" s="6" t="s">
        <v>193</v>
      </c>
      <c r="E60" s="7">
        <v>1052</v>
      </c>
      <c r="F60" s="8">
        <v>56.159967999999999</v>
      </c>
      <c r="G60" s="9">
        <v>6.9539950000000001E-3</v>
      </c>
      <c r="H60" s="97"/>
    </row>
    <row r="61" spans="1:8" ht="17.100000000000001" customHeight="1" x14ac:dyDescent="0.2">
      <c r="A61" s="5">
        <v>55</v>
      </c>
      <c r="B61" s="6" t="s">
        <v>222</v>
      </c>
      <c r="C61" s="6" t="s">
        <v>223</v>
      </c>
      <c r="D61" s="6" t="s">
        <v>70</v>
      </c>
      <c r="E61" s="7">
        <v>20113</v>
      </c>
      <c r="F61" s="8">
        <v>52.977642000000003</v>
      </c>
      <c r="G61" s="9">
        <v>6.5599439999999998E-3</v>
      </c>
      <c r="H61" s="97"/>
    </row>
    <row r="62" spans="1:8" ht="17.100000000000001" customHeight="1" x14ac:dyDescent="0.2">
      <c r="A62" s="5">
        <v>56</v>
      </c>
      <c r="B62" s="6" t="s">
        <v>252</v>
      </c>
      <c r="C62" s="6" t="s">
        <v>253</v>
      </c>
      <c r="D62" s="6" t="s">
        <v>60</v>
      </c>
      <c r="E62" s="7">
        <v>23492</v>
      </c>
      <c r="F62" s="8">
        <v>49.720818000000001</v>
      </c>
      <c r="G62" s="9">
        <v>6.156669E-3</v>
      </c>
      <c r="H62" s="97"/>
    </row>
    <row r="63" spans="1:8" ht="17.100000000000001" customHeight="1" x14ac:dyDescent="0.2">
      <c r="A63" s="5">
        <v>57</v>
      </c>
      <c r="B63" s="6" t="s">
        <v>224</v>
      </c>
      <c r="C63" s="6" t="s">
        <v>225</v>
      </c>
      <c r="D63" s="6" t="s">
        <v>34</v>
      </c>
      <c r="E63" s="7">
        <v>40010</v>
      </c>
      <c r="F63" s="8">
        <v>43.630904999999998</v>
      </c>
      <c r="G63" s="9">
        <v>5.4025870000000004E-3</v>
      </c>
      <c r="H63" s="97"/>
    </row>
    <row r="64" spans="1:8" ht="17.100000000000001" customHeight="1" x14ac:dyDescent="0.2">
      <c r="A64" s="5">
        <v>58</v>
      </c>
      <c r="B64" s="6" t="s">
        <v>243</v>
      </c>
      <c r="C64" s="6" t="s">
        <v>244</v>
      </c>
      <c r="D64" s="6" t="s">
        <v>185</v>
      </c>
      <c r="E64" s="7">
        <v>7147</v>
      </c>
      <c r="F64" s="8">
        <v>39.487175000000001</v>
      </c>
      <c r="G64" s="9">
        <v>4.8894899999999998E-3</v>
      </c>
      <c r="H64" s="97"/>
    </row>
    <row r="65" spans="1:8" ht="17.100000000000001" customHeight="1" x14ac:dyDescent="0.2">
      <c r="A65" s="5">
        <v>59</v>
      </c>
      <c r="B65" s="6" t="s">
        <v>92</v>
      </c>
      <c r="C65" s="6" t="s">
        <v>93</v>
      </c>
      <c r="D65" s="6" t="s">
        <v>53</v>
      </c>
      <c r="E65" s="7">
        <v>45125</v>
      </c>
      <c r="F65" s="8">
        <v>38.830062499999997</v>
      </c>
      <c r="G65" s="9">
        <v>4.8081240000000004E-3</v>
      </c>
      <c r="H65" s="97"/>
    </row>
    <row r="66" spans="1:8" ht="17.100000000000001" customHeight="1" x14ac:dyDescent="0.2">
      <c r="A66" s="5">
        <v>60</v>
      </c>
      <c r="B66" s="6" t="s">
        <v>254</v>
      </c>
      <c r="C66" s="6" t="s">
        <v>255</v>
      </c>
      <c r="D66" s="6" t="s">
        <v>185</v>
      </c>
      <c r="E66" s="7">
        <v>3563</v>
      </c>
      <c r="F66" s="8">
        <v>37.154964</v>
      </c>
      <c r="G66" s="9">
        <v>4.6007050000000001E-3</v>
      </c>
      <c r="H66" s="97"/>
    </row>
    <row r="67" spans="1:8" ht="17.100000000000001" customHeight="1" x14ac:dyDescent="0.2">
      <c r="A67" s="5">
        <v>61</v>
      </c>
      <c r="B67" s="6" t="s">
        <v>228</v>
      </c>
      <c r="C67" s="6" t="s">
        <v>229</v>
      </c>
      <c r="D67" s="6" t="s">
        <v>327</v>
      </c>
      <c r="E67" s="7">
        <v>4284</v>
      </c>
      <c r="F67" s="8">
        <v>36.341172</v>
      </c>
      <c r="G67" s="9">
        <v>4.4999369999999999E-3</v>
      </c>
      <c r="H67" s="97"/>
    </row>
    <row r="68" spans="1:8" ht="17.100000000000001" customHeight="1" x14ac:dyDescent="0.2">
      <c r="A68" s="5">
        <v>62</v>
      </c>
      <c r="B68" s="6" t="s">
        <v>241</v>
      </c>
      <c r="C68" s="6" t="s">
        <v>242</v>
      </c>
      <c r="D68" s="6" t="s">
        <v>147</v>
      </c>
      <c r="E68" s="7">
        <v>7394</v>
      </c>
      <c r="F68" s="8">
        <v>34.966225999999999</v>
      </c>
      <c r="G68" s="9">
        <v>4.3296849999999998E-3</v>
      </c>
      <c r="H68" s="97"/>
    </row>
    <row r="69" spans="1:8" ht="17.100000000000001" customHeight="1" x14ac:dyDescent="0.2">
      <c r="A69" s="5">
        <v>63</v>
      </c>
      <c r="B69" s="6" t="s">
        <v>278</v>
      </c>
      <c r="C69" s="6" t="s">
        <v>279</v>
      </c>
      <c r="D69" s="6" t="s">
        <v>1190</v>
      </c>
      <c r="E69" s="7">
        <v>1280</v>
      </c>
      <c r="F69" s="8">
        <v>31.52704</v>
      </c>
      <c r="G69" s="9">
        <v>3.9038279999999998E-3</v>
      </c>
      <c r="H69" s="97"/>
    </row>
    <row r="70" spans="1:8" ht="29.1" customHeight="1" x14ac:dyDescent="0.2">
      <c r="A70" s="5">
        <v>64</v>
      </c>
      <c r="B70" s="6" t="s">
        <v>293</v>
      </c>
      <c r="C70" s="6" t="s">
        <v>294</v>
      </c>
      <c r="D70" s="6" t="s">
        <v>45</v>
      </c>
      <c r="E70" s="7">
        <v>4928</v>
      </c>
      <c r="F70" s="8">
        <v>29.947455999999999</v>
      </c>
      <c r="G70" s="9">
        <v>3.7082370000000001E-3</v>
      </c>
      <c r="H70" s="97"/>
    </row>
    <row r="71" spans="1:8" ht="14.1" customHeight="1" x14ac:dyDescent="0.2">
      <c r="A71" s="3"/>
      <c r="B71" s="3"/>
      <c r="C71" s="4" t="s">
        <v>97</v>
      </c>
      <c r="D71" s="3"/>
      <c r="E71" s="3" t="s">
        <v>98</v>
      </c>
      <c r="F71" s="11">
        <v>7713.8280965000004</v>
      </c>
      <c r="G71" s="12">
        <v>0.95516298399999999</v>
      </c>
      <c r="H71" s="97"/>
    </row>
    <row r="72" spans="1:8" ht="14.1" customHeight="1" x14ac:dyDescent="0.2">
      <c r="A72" s="3"/>
      <c r="B72" s="3"/>
      <c r="C72" s="13"/>
      <c r="D72" s="3"/>
      <c r="E72" s="3"/>
      <c r="F72" s="14"/>
      <c r="G72" s="14"/>
      <c r="H72" s="97"/>
    </row>
    <row r="73" spans="1:8" ht="14.1" customHeight="1" x14ac:dyDescent="0.2">
      <c r="A73" s="3"/>
      <c r="B73" s="3"/>
      <c r="C73" s="4" t="s">
        <v>99</v>
      </c>
      <c r="D73" s="3"/>
      <c r="E73" s="3"/>
      <c r="F73" s="3"/>
      <c r="G73" s="3"/>
      <c r="H73" s="97"/>
    </row>
    <row r="74" spans="1:8" ht="14.1" customHeight="1" x14ac:dyDescent="0.2">
      <c r="A74" s="3"/>
      <c r="B74" s="3"/>
      <c r="C74" s="4" t="s">
        <v>97</v>
      </c>
      <c r="D74" s="3"/>
      <c r="E74" s="3" t="s">
        <v>98</v>
      </c>
      <c r="F74" s="15">
        <v>0</v>
      </c>
      <c r="G74" s="16">
        <v>0</v>
      </c>
      <c r="H74" s="97"/>
    </row>
    <row r="75" spans="1:8" ht="14.1" customHeight="1" x14ac:dyDescent="0.2">
      <c r="A75" s="3"/>
      <c r="B75" s="3"/>
      <c r="C75" s="13"/>
      <c r="D75" s="3"/>
      <c r="E75" s="3"/>
      <c r="F75" s="14"/>
      <c r="G75" s="14"/>
      <c r="H75" s="97"/>
    </row>
    <row r="76" spans="1:8" ht="14.1" customHeight="1" x14ac:dyDescent="0.2">
      <c r="A76" s="3"/>
      <c r="B76" s="3"/>
      <c r="C76" s="4" t="s">
        <v>100</v>
      </c>
      <c r="D76" s="3"/>
      <c r="E76" s="3"/>
      <c r="F76" s="3"/>
      <c r="G76" s="3"/>
      <c r="H76" s="97"/>
    </row>
    <row r="77" spans="1:8" ht="14.1" customHeight="1" x14ac:dyDescent="0.2">
      <c r="A77" s="3"/>
      <c r="B77" s="3"/>
      <c r="C77" s="4" t="s">
        <v>97</v>
      </c>
      <c r="D77" s="3"/>
      <c r="E77" s="3" t="s">
        <v>98</v>
      </c>
      <c r="F77" s="15">
        <v>0</v>
      </c>
      <c r="G77" s="16">
        <v>0</v>
      </c>
      <c r="H77" s="97"/>
    </row>
    <row r="78" spans="1:8" ht="14.1" customHeight="1" x14ac:dyDescent="0.2">
      <c r="A78" s="3"/>
      <c r="B78" s="3"/>
      <c r="C78" s="13"/>
      <c r="D78" s="3"/>
      <c r="E78" s="3"/>
      <c r="F78" s="14"/>
      <c r="G78" s="14"/>
      <c r="H78" s="97"/>
    </row>
    <row r="79" spans="1:8" ht="14.1" customHeight="1" x14ac:dyDescent="0.2">
      <c r="A79" s="3"/>
      <c r="B79" s="3"/>
      <c r="C79" s="4" t="s">
        <v>101</v>
      </c>
      <c r="D79" s="3"/>
      <c r="E79" s="3"/>
      <c r="F79" s="3"/>
      <c r="G79" s="3"/>
      <c r="H79" s="97"/>
    </row>
    <row r="80" spans="1:8" ht="14.1" customHeight="1" x14ac:dyDescent="0.2">
      <c r="A80" s="3"/>
      <c r="B80" s="3"/>
      <c r="C80" s="4" t="s">
        <v>97</v>
      </c>
      <c r="D80" s="3"/>
      <c r="E80" s="3" t="s">
        <v>98</v>
      </c>
      <c r="F80" s="15">
        <v>0</v>
      </c>
      <c r="G80" s="16">
        <v>0</v>
      </c>
      <c r="H80" s="97"/>
    </row>
    <row r="81" spans="1:8" ht="14.1" customHeight="1" x14ac:dyDescent="0.2">
      <c r="A81" s="3"/>
      <c r="B81" s="3"/>
      <c r="C81" s="13"/>
      <c r="D81" s="3"/>
      <c r="E81" s="3"/>
      <c r="F81" s="14"/>
      <c r="G81" s="14"/>
      <c r="H81" s="97"/>
    </row>
    <row r="82" spans="1:8" ht="14.1" customHeight="1" x14ac:dyDescent="0.2">
      <c r="A82" s="3"/>
      <c r="B82" s="3"/>
      <c r="C82" s="4" t="s">
        <v>102</v>
      </c>
      <c r="D82" s="3"/>
      <c r="E82" s="3"/>
      <c r="F82" s="14"/>
      <c r="G82" s="14"/>
      <c r="H82" s="97"/>
    </row>
    <row r="83" spans="1:8" ht="14.1" customHeight="1" x14ac:dyDescent="0.2">
      <c r="A83" s="3"/>
      <c r="B83" s="3"/>
      <c r="C83" s="4" t="s">
        <v>97</v>
      </c>
      <c r="D83" s="3"/>
      <c r="E83" s="3" t="s">
        <v>98</v>
      </c>
      <c r="F83" s="15">
        <v>0</v>
      </c>
      <c r="G83" s="16">
        <v>0</v>
      </c>
      <c r="H83" s="97"/>
    </row>
    <row r="84" spans="1:8" ht="14.1" customHeight="1" x14ac:dyDescent="0.2">
      <c r="A84" s="3"/>
      <c r="B84" s="3"/>
      <c r="C84" s="13"/>
      <c r="D84" s="3"/>
      <c r="E84" s="3"/>
      <c r="F84" s="14"/>
      <c r="G84" s="14"/>
      <c r="H84" s="97"/>
    </row>
    <row r="85" spans="1:8" ht="14.1" customHeight="1" x14ac:dyDescent="0.2">
      <c r="A85" s="3"/>
      <c r="B85" s="3"/>
      <c r="C85" s="4" t="s">
        <v>103</v>
      </c>
      <c r="D85" s="3"/>
      <c r="E85" s="3"/>
      <c r="F85" s="14"/>
      <c r="G85" s="14"/>
      <c r="H85" s="97"/>
    </row>
    <row r="86" spans="1:8" ht="14.1" customHeight="1" x14ac:dyDescent="0.2">
      <c r="A86" s="3"/>
      <c r="B86" s="3"/>
      <c r="C86" s="4" t="s">
        <v>97</v>
      </c>
      <c r="D86" s="3"/>
      <c r="E86" s="3" t="s">
        <v>98</v>
      </c>
      <c r="F86" s="15">
        <v>0</v>
      </c>
      <c r="G86" s="16">
        <v>0</v>
      </c>
      <c r="H86" s="97"/>
    </row>
    <row r="87" spans="1:8" ht="14.1" customHeight="1" x14ac:dyDescent="0.2">
      <c r="A87" s="3"/>
      <c r="B87" s="3"/>
      <c r="C87" s="13"/>
      <c r="D87" s="3"/>
      <c r="E87" s="3"/>
      <c r="F87" s="14"/>
      <c r="G87" s="14"/>
      <c r="H87" s="97"/>
    </row>
    <row r="88" spans="1:8" ht="18" customHeight="1" x14ac:dyDescent="0.2">
      <c r="A88" s="3"/>
      <c r="B88" s="3"/>
      <c r="C88" s="4" t="s">
        <v>104</v>
      </c>
      <c r="D88" s="3"/>
      <c r="E88" s="3"/>
      <c r="F88" s="11">
        <v>7713.8280965000004</v>
      </c>
      <c r="G88" s="12">
        <v>0.95516298399999999</v>
      </c>
      <c r="H88" s="97"/>
    </row>
    <row r="89" spans="1:8" ht="14.1" customHeight="1" x14ac:dyDescent="0.2">
      <c r="A89" s="3"/>
      <c r="B89" s="3"/>
      <c r="C89" s="13"/>
      <c r="D89" s="3"/>
      <c r="E89" s="3"/>
      <c r="F89" s="14"/>
      <c r="G89" s="14"/>
      <c r="H89" s="97"/>
    </row>
    <row r="90" spans="1:8" ht="14.1" customHeight="1" x14ac:dyDescent="0.2">
      <c r="A90" s="3"/>
      <c r="B90" s="3"/>
      <c r="C90" s="4" t="s">
        <v>105</v>
      </c>
      <c r="D90" s="3"/>
      <c r="E90" s="3"/>
      <c r="F90" s="14"/>
      <c r="G90" s="14"/>
      <c r="H90" s="97"/>
    </row>
    <row r="91" spans="1:8" ht="24" customHeight="1" x14ac:dyDescent="0.2">
      <c r="A91" s="3"/>
      <c r="B91" s="3"/>
      <c r="C91" s="4" t="s">
        <v>10</v>
      </c>
      <c r="D91" s="3"/>
      <c r="E91" s="3"/>
      <c r="F91" s="14"/>
      <c r="G91" s="14"/>
      <c r="H91" s="97"/>
    </row>
    <row r="92" spans="1:8" ht="14.1" customHeight="1" x14ac:dyDescent="0.2">
      <c r="A92" s="3"/>
      <c r="B92" s="3"/>
      <c r="C92" s="4" t="s">
        <v>97</v>
      </c>
      <c r="D92" s="3"/>
      <c r="E92" s="3" t="s">
        <v>98</v>
      </c>
      <c r="F92" s="15">
        <v>0</v>
      </c>
      <c r="G92" s="16">
        <v>0</v>
      </c>
      <c r="H92" s="97"/>
    </row>
    <row r="93" spans="1:8" ht="14.1" customHeight="1" x14ac:dyDescent="0.2">
      <c r="A93" s="3"/>
      <c r="B93" s="3"/>
      <c r="C93" s="13"/>
      <c r="D93" s="3"/>
      <c r="E93" s="3"/>
      <c r="F93" s="14"/>
      <c r="G93" s="14"/>
      <c r="H93" s="97"/>
    </row>
    <row r="94" spans="1:8" ht="14.1" customHeight="1" x14ac:dyDescent="0.2">
      <c r="A94" s="3"/>
      <c r="B94" s="3"/>
      <c r="C94" s="4" t="s">
        <v>106</v>
      </c>
      <c r="D94" s="3"/>
      <c r="E94" s="3"/>
      <c r="F94" s="3"/>
      <c r="G94" s="3"/>
      <c r="H94" s="97"/>
    </row>
    <row r="95" spans="1:8" ht="14.1" customHeight="1" x14ac:dyDescent="0.2">
      <c r="A95" s="3"/>
      <c r="B95" s="3"/>
      <c r="C95" s="4" t="s">
        <v>97</v>
      </c>
      <c r="D95" s="3"/>
      <c r="E95" s="3" t="s">
        <v>98</v>
      </c>
      <c r="F95" s="15">
        <v>0</v>
      </c>
      <c r="G95" s="16">
        <v>0</v>
      </c>
      <c r="H95" s="97"/>
    </row>
    <row r="96" spans="1:8" ht="14.1" customHeight="1" x14ac:dyDescent="0.2">
      <c r="A96" s="3"/>
      <c r="B96" s="3"/>
      <c r="C96" s="13"/>
      <c r="D96" s="3"/>
      <c r="E96" s="3"/>
      <c r="F96" s="14"/>
      <c r="G96" s="14"/>
      <c r="H96" s="97"/>
    </row>
    <row r="97" spans="1:8" ht="14.1" customHeight="1" x14ac:dyDescent="0.2">
      <c r="A97" s="3"/>
      <c r="B97" s="3"/>
      <c r="C97" s="4" t="s">
        <v>107</v>
      </c>
      <c r="D97" s="3"/>
      <c r="E97" s="3"/>
      <c r="F97" s="3"/>
      <c r="G97" s="3"/>
      <c r="H97" s="97"/>
    </row>
    <row r="98" spans="1:8" ht="14.1" customHeight="1" x14ac:dyDescent="0.2">
      <c r="A98" s="3"/>
      <c r="B98" s="3"/>
      <c r="C98" s="4" t="s">
        <v>97</v>
      </c>
      <c r="D98" s="3"/>
      <c r="E98" s="3" t="s">
        <v>98</v>
      </c>
      <c r="F98" s="15">
        <v>0</v>
      </c>
      <c r="G98" s="16">
        <v>0</v>
      </c>
      <c r="H98" s="97"/>
    </row>
    <row r="99" spans="1:8" ht="14.1" customHeight="1" x14ac:dyDescent="0.2">
      <c r="A99" s="3"/>
      <c r="B99" s="3"/>
      <c r="C99" s="13"/>
      <c r="D99" s="3"/>
      <c r="E99" s="3"/>
      <c r="F99" s="14"/>
      <c r="G99" s="14"/>
      <c r="H99" s="97"/>
    </row>
    <row r="100" spans="1:8" ht="14.1" customHeight="1" x14ac:dyDescent="0.2">
      <c r="A100" s="3"/>
      <c r="B100" s="3"/>
      <c r="C100" s="4" t="s">
        <v>108</v>
      </c>
      <c r="D100" s="3"/>
      <c r="E100" s="3"/>
      <c r="F100" s="14"/>
      <c r="G100" s="14"/>
      <c r="H100" s="97"/>
    </row>
    <row r="101" spans="1:8" ht="14.1" customHeight="1" x14ac:dyDescent="0.2">
      <c r="A101" s="3"/>
      <c r="B101" s="3"/>
      <c r="C101" s="4" t="s">
        <v>97</v>
      </c>
      <c r="D101" s="3"/>
      <c r="E101" s="3" t="s">
        <v>98</v>
      </c>
      <c r="F101" s="15">
        <v>0</v>
      </c>
      <c r="G101" s="16">
        <v>0</v>
      </c>
      <c r="H101" s="97"/>
    </row>
    <row r="102" spans="1:8" ht="14.1" customHeight="1" x14ac:dyDescent="0.2">
      <c r="A102" s="3"/>
      <c r="B102" s="3"/>
      <c r="C102" s="13"/>
      <c r="D102" s="3"/>
      <c r="E102" s="3"/>
      <c r="F102" s="14"/>
      <c r="G102" s="14"/>
      <c r="H102" s="97"/>
    </row>
    <row r="103" spans="1:8" ht="14.1" customHeight="1" x14ac:dyDescent="0.2">
      <c r="A103" s="3"/>
      <c r="B103" s="3"/>
      <c r="C103" s="4" t="s">
        <v>109</v>
      </c>
      <c r="D103" s="3"/>
      <c r="E103" s="3"/>
      <c r="F103" s="11">
        <v>0</v>
      </c>
      <c r="G103" s="12">
        <v>0</v>
      </c>
      <c r="H103" s="97"/>
    </row>
    <row r="104" spans="1:8" ht="14.1" customHeight="1" x14ac:dyDescent="0.2">
      <c r="A104" s="3"/>
      <c r="B104" s="3"/>
      <c r="C104" s="13"/>
      <c r="D104" s="3"/>
      <c r="E104" s="3"/>
      <c r="F104" s="14"/>
      <c r="G104" s="14"/>
      <c r="H104" s="97"/>
    </row>
    <row r="105" spans="1:8" ht="14.1" customHeight="1" x14ac:dyDescent="0.2">
      <c r="A105" s="3"/>
      <c r="B105" s="3"/>
      <c r="C105" s="4" t="s">
        <v>110</v>
      </c>
      <c r="D105" s="3"/>
      <c r="E105" s="3"/>
      <c r="F105" s="14"/>
      <c r="G105" s="14"/>
      <c r="H105" s="97"/>
    </row>
    <row r="106" spans="1:8" ht="14.1" customHeight="1" x14ac:dyDescent="0.2">
      <c r="A106" s="3"/>
      <c r="B106" s="3"/>
      <c r="C106" s="4" t="s">
        <v>111</v>
      </c>
      <c r="D106" s="3"/>
      <c r="E106" s="3"/>
      <c r="F106" s="14"/>
      <c r="G106" s="14"/>
      <c r="H106" s="97"/>
    </row>
    <row r="107" spans="1:8" ht="14.1" customHeight="1" x14ac:dyDescent="0.2">
      <c r="A107" s="3"/>
      <c r="B107" s="3"/>
      <c r="C107" s="4" t="s">
        <v>97</v>
      </c>
      <c r="D107" s="3"/>
      <c r="E107" s="3" t="s">
        <v>98</v>
      </c>
      <c r="F107" s="15">
        <v>0</v>
      </c>
      <c r="G107" s="16">
        <v>0</v>
      </c>
      <c r="H107" s="97"/>
    </row>
    <row r="108" spans="1:8" ht="14.1" customHeight="1" x14ac:dyDescent="0.2">
      <c r="A108" s="3"/>
      <c r="B108" s="3"/>
      <c r="C108" s="13"/>
      <c r="D108" s="3"/>
      <c r="E108" s="3"/>
      <c r="F108" s="14"/>
      <c r="G108" s="14"/>
      <c r="H108" s="97"/>
    </row>
    <row r="109" spans="1:8" ht="14.1" customHeight="1" x14ac:dyDescent="0.2">
      <c r="A109" s="3"/>
      <c r="B109" s="3"/>
      <c r="C109" s="4" t="s">
        <v>112</v>
      </c>
      <c r="D109" s="3"/>
      <c r="E109" s="3"/>
      <c r="F109" s="14"/>
      <c r="G109" s="14"/>
      <c r="H109" s="97"/>
    </row>
    <row r="110" spans="1:8" ht="14.1" customHeight="1" x14ac:dyDescent="0.2">
      <c r="A110" s="3"/>
      <c r="B110" s="3"/>
      <c r="C110" s="4" t="s">
        <v>97</v>
      </c>
      <c r="D110" s="3"/>
      <c r="E110" s="3" t="s">
        <v>98</v>
      </c>
      <c r="F110" s="15">
        <v>0</v>
      </c>
      <c r="G110" s="16">
        <v>0</v>
      </c>
      <c r="H110" s="97"/>
    </row>
    <row r="111" spans="1:8" ht="14.1" customHeight="1" x14ac:dyDescent="0.2">
      <c r="A111" s="3"/>
      <c r="B111" s="3"/>
      <c r="C111" s="13"/>
      <c r="D111" s="3"/>
      <c r="E111" s="3"/>
      <c r="F111" s="14"/>
      <c r="G111" s="14"/>
      <c r="H111" s="97"/>
    </row>
    <row r="112" spans="1:8" ht="14.1" customHeight="1" x14ac:dyDescent="0.2">
      <c r="A112" s="3"/>
      <c r="B112" s="3"/>
      <c r="C112" s="4" t="s">
        <v>113</v>
      </c>
      <c r="D112" s="3"/>
      <c r="E112" s="3"/>
      <c r="F112" s="14"/>
      <c r="G112" s="14"/>
      <c r="H112" s="97"/>
    </row>
    <row r="113" spans="1:8" ht="14.1" customHeight="1" x14ac:dyDescent="0.2">
      <c r="A113" s="3"/>
      <c r="B113" s="3"/>
      <c r="C113" s="4" t="s">
        <v>97</v>
      </c>
      <c r="D113" s="3"/>
      <c r="E113" s="3" t="s">
        <v>98</v>
      </c>
      <c r="F113" s="15">
        <v>0</v>
      </c>
      <c r="G113" s="16">
        <v>0</v>
      </c>
      <c r="H113" s="97"/>
    </row>
    <row r="114" spans="1:8" ht="14.1" customHeight="1" x14ac:dyDescent="0.2">
      <c r="A114" s="3"/>
      <c r="B114" s="3"/>
      <c r="C114" s="13"/>
      <c r="D114" s="3"/>
      <c r="E114" s="3"/>
      <c r="F114" s="14"/>
      <c r="G114" s="14"/>
      <c r="H114" s="97"/>
    </row>
    <row r="115" spans="1:8" ht="14.1" customHeight="1" x14ac:dyDescent="0.2">
      <c r="A115" s="3"/>
      <c r="B115" s="3"/>
      <c r="C115" s="4" t="s">
        <v>114</v>
      </c>
      <c r="D115" s="3"/>
      <c r="E115" s="3"/>
      <c r="F115" s="14"/>
      <c r="G115" s="14"/>
      <c r="H115" s="97"/>
    </row>
    <row r="116" spans="1:8" ht="17.100000000000001" customHeight="1" x14ac:dyDescent="0.2">
      <c r="A116" s="5">
        <v>1</v>
      </c>
      <c r="B116" s="6"/>
      <c r="C116" s="6" t="s">
        <v>115</v>
      </c>
      <c r="D116" s="6"/>
      <c r="E116" s="10"/>
      <c r="F116" s="8">
        <v>218.26010059999999</v>
      </c>
      <c r="G116" s="9">
        <v>2.7026007000000001E-2</v>
      </c>
      <c r="H116" s="8">
        <v>3.4504560529072292</v>
      </c>
    </row>
    <row r="117" spans="1:8" ht="17.100000000000001" customHeight="1" x14ac:dyDescent="0.2">
      <c r="A117" s="5">
        <v>2</v>
      </c>
      <c r="B117" s="6"/>
      <c r="C117" s="6" t="s">
        <v>116</v>
      </c>
      <c r="D117" s="6"/>
      <c r="E117" s="10"/>
      <c r="F117" s="8">
        <v>117.7967967</v>
      </c>
      <c r="G117" s="9">
        <v>1.4586161E-2</v>
      </c>
      <c r="H117" s="8">
        <v>3.5655822479098256</v>
      </c>
    </row>
    <row r="118" spans="1:8" ht="14.1" customHeight="1" x14ac:dyDescent="0.2">
      <c r="A118" s="3"/>
      <c r="B118" s="3"/>
      <c r="C118" s="4" t="s">
        <v>97</v>
      </c>
      <c r="D118" s="3"/>
      <c r="E118" s="3" t="s">
        <v>98</v>
      </c>
      <c r="F118" s="11">
        <v>336.0568973</v>
      </c>
      <c r="G118" s="12">
        <v>4.1612167999999998E-2</v>
      </c>
      <c r="H118" s="97"/>
    </row>
    <row r="119" spans="1:8" ht="14.1" customHeight="1" x14ac:dyDescent="0.2">
      <c r="A119" s="3"/>
      <c r="B119" s="3"/>
      <c r="C119" s="13"/>
      <c r="D119" s="3"/>
      <c r="E119" s="3"/>
      <c r="F119" s="14"/>
      <c r="G119" s="14"/>
      <c r="H119" s="97"/>
    </row>
    <row r="120" spans="1:8" ht="14.1" customHeight="1" x14ac:dyDescent="0.2">
      <c r="A120" s="3"/>
      <c r="B120" s="3"/>
      <c r="C120" s="4" t="s">
        <v>117</v>
      </c>
      <c r="D120" s="3"/>
      <c r="E120" s="3"/>
      <c r="F120" s="11">
        <v>336.0568973</v>
      </c>
      <c r="G120" s="12">
        <v>4.1612167999999998E-2</v>
      </c>
      <c r="H120" s="97"/>
    </row>
    <row r="121" spans="1:8" ht="14.1" customHeight="1" x14ac:dyDescent="0.2">
      <c r="A121" s="3"/>
      <c r="B121" s="3"/>
      <c r="C121" s="14"/>
      <c r="D121" s="3"/>
      <c r="E121" s="3"/>
      <c r="F121" s="3"/>
      <c r="G121" s="3"/>
      <c r="H121" s="97"/>
    </row>
    <row r="122" spans="1:8" ht="14.1" customHeight="1" x14ac:dyDescent="0.2">
      <c r="A122" s="3"/>
      <c r="B122" s="3"/>
      <c r="C122" s="4" t="s">
        <v>118</v>
      </c>
      <c r="D122" s="3"/>
      <c r="E122" s="3"/>
      <c r="F122" s="3"/>
      <c r="G122" s="3"/>
      <c r="H122" s="97"/>
    </row>
    <row r="123" spans="1:8" ht="14.1" customHeight="1" x14ac:dyDescent="0.2">
      <c r="A123" s="3"/>
      <c r="B123" s="3"/>
      <c r="C123" s="4" t="s">
        <v>119</v>
      </c>
      <c r="D123" s="3"/>
      <c r="E123" s="3"/>
      <c r="F123" s="3"/>
      <c r="G123" s="3"/>
      <c r="H123" s="97"/>
    </row>
    <row r="124" spans="1:8" ht="14.1" customHeight="1" x14ac:dyDescent="0.2">
      <c r="A124" s="3"/>
      <c r="B124" s="3"/>
      <c r="C124" s="4" t="s">
        <v>97</v>
      </c>
      <c r="D124" s="3"/>
      <c r="E124" s="3" t="s">
        <v>98</v>
      </c>
      <c r="F124" s="15">
        <v>0</v>
      </c>
      <c r="G124" s="16">
        <v>0</v>
      </c>
      <c r="H124" s="97"/>
    </row>
    <row r="125" spans="1:8" ht="14.1" customHeight="1" x14ac:dyDescent="0.2">
      <c r="A125" s="3"/>
      <c r="B125" s="3"/>
      <c r="C125" s="13"/>
      <c r="D125" s="3"/>
      <c r="E125" s="3"/>
      <c r="F125" s="14"/>
      <c r="G125" s="14"/>
      <c r="H125" s="97"/>
    </row>
    <row r="126" spans="1:8" ht="14.1" customHeight="1" x14ac:dyDescent="0.2">
      <c r="A126" s="3"/>
      <c r="B126" s="3"/>
      <c r="C126" s="4" t="s">
        <v>120</v>
      </c>
      <c r="D126" s="3"/>
      <c r="E126" s="3"/>
      <c r="F126" s="3"/>
      <c r="G126" s="3"/>
      <c r="H126" s="97"/>
    </row>
    <row r="127" spans="1:8" ht="14.1" customHeight="1" x14ac:dyDescent="0.2">
      <c r="A127" s="3"/>
      <c r="B127" s="3"/>
      <c r="C127" s="4" t="s">
        <v>121</v>
      </c>
      <c r="D127" s="3"/>
      <c r="E127" s="3"/>
      <c r="F127" s="3"/>
      <c r="G127" s="3"/>
      <c r="H127" s="97"/>
    </row>
    <row r="128" spans="1:8" ht="14.1" customHeight="1" x14ac:dyDescent="0.2">
      <c r="A128" s="3"/>
      <c r="B128" s="3"/>
      <c r="C128" s="4" t="s">
        <v>97</v>
      </c>
      <c r="D128" s="3"/>
      <c r="E128" s="3" t="s">
        <v>98</v>
      </c>
      <c r="F128" s="15">
        <v>0</v>
      </c>
      <c r="G128" s="16">
        <v>0</v>
      </c>
      <c r="H128" s="97"/>
    </row>
    <row r="129" spans="1:8" ht="14.1" customHeight="1" x14ac:dyDescent="0.2">
      <c r="A129" s="3"/>
      <c r="B129" s="3"/>
      <c r="C129" s="13"/>
      <c r="D129" s="3"/>
      <c r="E129" s="3"/>
      <c r="F129" s="14"/>
      <c r="G129" s="14"/>
      <c r="H129" s="97"/>
    </row>
    <row r="130" spans="1:8" ht="14.1" customHeight="1" x14ac:dyDescent="0.2">
      <c r="A130" s="3"/>
      <c r="B130" s="3"/>
      <c r="C130" s="13"/>
      <c r="D130" s="3"/>
      <c r="E130" s="3"/>
      <c r="F130" s="14"/>
      <c r="G130" s="14"/>
      <c r="H130" s="97"/>
    </row>
    <row r="131" spans="1:8" ht="24" customHeight="1" x14ac:dyDescent="0.2">
      <c r="A131" s="3"/>
      <c r="B131" s="3"/>
      <c r="C131" s="4" t="s">
        <v>122</v>
      </c>
      <c r="D131" s="3"/>
      <c r="E131" s="3"/>
      <c r="F131" s="14"/>
      <c r="G131" s="14"/>
      <c r="H131" s="97"/>
    </row>
    <row r="132" spans="1:8" ht="14.1" customHeight="1" x14ac:dyDescent="0.2">
      <c r="A132" s="3"/>
      <c r="B132" s="3"/>
      <c r="C132" s="4" t="s">
        <v>97</v>
      </c>
      <c r="D132" s="3"/>
      <c r="E132" s="3" t="s">
        <v>98</v>
      </c>
      <c r="F132" s="15">
        <v>0</v>
      </c>
      <c r="G132" s="16">
        <v>0</v>
      </c>
      <c r="H132" s="97"/>
    </row>
    <row r="133" spans="1:8" ht="14.1" customHeight="1" x14ac:dyDescent="0.2">
      <c r="A133" s="3"/>
      <c r="B133" s="3"/>
      <c r="C133" s="13"/>
      <c r="D133" s="3"/>
      <c r="E133" s="3"/>
      <c r="F133" s="14"/>
      <c r="G133" s="14"/>
      <c r="H133" s="97"/>
    </row>
    <row r="134" spans="1:8" ht="14.1" customHeight="1" x14ac:dyDescent="0.2">
      <c r="A134" s="3"/>
      <c r="B134" s="6"/>
      <c r="C134" s="6"/>
      <c r="D134" s="4"/>
      <c r="E134" s="3"/>
      <c r="F134" s="6"/>
      <c r="G134" s="10"/>
      <c r="H134" s="97"/>
    </row>
    <row r="135" spans="1:8" ht="18" customHeight="1" x14ac:dyDescent="0.2">
      <c r="A135" s="10"/>
      <c r="B135" s="6"/>
      <c r="C135" s="6" t="s">
        <v>123</v>
      </c>
      <c r="D135" s="6"/>
      <c r="E135" s="10"/>
      <c r="F135" s="8">
        <v>26.043593900000001</v>
      </c>
      <c r="G135" s="9">
        <v>3.2248419999999999E-3</v>
      </c>
      <c r="H135" s="97"/>
    </row>
    <row r="136" spans="1:8" ht="14.1" customHeight="1" x14ac:dyDescent="0.2">
      <c r="A136" s="13"/>
      <c r="B136" s="13"/>
      <c r="C136" s="4" t="s">
        <v>124</v>
      </c>
      <c r="D136" s="17"/>
      <c r="E136" s="17"/>
      <c r="F136" s="11">
        <v>8075.9285877000002</v>
      </c>
      <c r="G136" s="12">
        <v>0.99999999399999995</v>
      </c>
      <c r="H136" s="97"/>
    </row>
    <row r="137" spans="1:8" ht="14.1" customHeight="1" x14ac:dyDescent="0.2">
      <c r="A137" s="20"/>
      <c r="B137" s="226" t="s">
        <v>98</v>
      </c>
      <c r="C137" s="226"/>
      <c r="D137" s="226"/>
      <c r="E137" s="226"/>
      <c r="F137" s="226"/>
      <c r="G137" s="22"/>
    </row>
    <row r="138" spans="1:8" ht="14.1" customHeight="1" x14ac:dyDescent="0.2">
      <c r="A138" s="20"/>
      <c r="B138" s="20"/>
      <c r="C138" s="20"/>
      <c r="D138" s="22"/>
      <c r="E138" s="22"/>
      <c r="F138" s="22"/>
      <c r="G138" s="22"/>
    </row>
    <row r="139" spans="1:8" ht="14.1" customHeight="1" x14ac:dyDescent="0.2">
      <c r="A139" s="20"/>
      <c r="B139" s="224" t="s">
        <v>126</v>
      </c>
      <c r="C139" s="225"/>
      <c r="D139" s="14" t="s">
        <v>98</v>
      </c>
      <c r="E139" s="23"/>
      <c r="F139" s="22"/>
      <c r="G139" s="22"/>
    </row>
    <row r="140" spans="1:8" ht="29.1" customHeight="1" x14ac:dyDescent="0.2">
      <c r="A140" s="20"/>
      <c r="B140" s="231" t="s">
        <v>127</v>
      </c>
      <c r="C140" s="232"/>
      <c r="D140" s="4" t="s">
        <v>128</v>
      </c>
      <c r="E140" s="23"/>
      <c r="F140" s="22"/>
      <c r="G140" s="22"/>
    </row>
    <row r="141" spans="1:8" ht="17.100000000000001" customHeight="1" x14ac:dyDescent="0.2">
      <c r="A141" s="20"/>
      <c r="B141" s="231" t="s">
        <v>129</v>
      </c>
      <c r="C141" s="232"/>
      <c r="D141" s="4" t="s">
        <v>128</v>
      </c>
      <c r="E141" s="23"/>
      <c r="F141" s="22"/>
      <c r="G141" s="22"/>
    </row>
    <row r="142" spans="1:8" ht="17.100000000000001" customHeight="1" x14ac:dyDescent="0.2">
      <c r="A142" s="20"/>
      <c r="B142" s="231" t="s">
        <v>130</v>
      </c>
      <c r="C142" s="232"/>
      <c r="D142" s="14" t="s">
        <v>98</v>
      </c>
      <c r="E142" s="23"/>
      <c r="F142" s="22"/>
      <c r="G142" s="22"/>
    </row>
    <row r="143" spans="1:8" ht="24" customHeight="1" x14ac:dyDescent="0.2">
      <c r="A143" s="24"/>
      <c r="B143" s="25" t="s">
        <v>98</v>
      </c>
      <c r="C143" s="25" t="s">
        <v>131</v>
      </c>
      <c r="D143" s="25" t="s">
        <v>132</v>
      </c>
      <c r="E143" s="24"/>
      <c r="F143" s="24"/>
      <c r="G143" s="24"/>
    </row>
    <row r="144" spans="1:8" ht="18" customHeight="1" x14ac:dyDescent="0.2">
      <c r="A144" s="24"/>
      <c r="B144" s="25" t="s">
        <v>133</v>
      </c>
      <c r="C144" s="25" t="s">
        <v>134</v>
      </c>
      <c r="D144" s="25" t="s">
        <v>135</v>
      </c>
      <c r="E144" s="24"/>
      <c r="F144" s="24"/>
      <c r="G144" s="24"/>
    </row>
    <row r="145" spans="1:17" ht="17.100000000000001" customHeight="1" x14ac:dyDescent="0.2">
      <c r="A145" s="24"/>
      <c r="B145" s="6" t="s">
        <v>136</v>
      </c>
      <c r="C145" s="26">
        <v>18.3291</v>
      </c>
      <c r="D145" s="26">
        <v>19.092099999999999</v>
      </c>
      <c r="E145" s="24"/>
      <c r="F145" s="21"/>
      <c r="G145" s="27"/>
    </row>
    <row r="146" spans="1:17" ht="17.100000000000001" customHeight="1" x14ac:dyDescent="0.2">
      <c r="A146" s="24"/>
      <c r="B146" s="6" t="s">
        <v>1201</v>
      </c>
      <c r="C146" s="26">
        <v>16.882400000000001</v>
      </c>
      <c r="D146" s="26">
        <v>17.5852</v>
      </c>
      <c r="E146" s="24"/>
      <c r="F146" s="21"/>
      <c r="G146" s="27"/>
    </row>
    <row r="147" spans="1:17" ht="17.100000000000001" customHeight="1" x14ac:dyDescent="0.2">
      <c r="A147" s="24"/>
      <c r="B147" s="6" t="s">
        <v>137</v>
      </c>
      <c r="C147" s="26">
        <v>17.9133</v>
      </c>
      <c r="D147" s="26">
        <v>18.656400000000001</v>
      </c>
      <c r="E147" s="24"/>
      <c r="F147" s="21"/>
      <c r="G147" s="27"/>
    </row>
    <row r="148" spans="1:17" ht="17.100000000000001" customHeight="1" x14ac:dyDescent="0.2">
      <c r="A148" s="24"/>
      <c r="B148" s="6" t="s">
        <v>1202</v>
      </c>
      <c r="C148" s="26">
        <v>16.484000000000002</v>
      </c>
      <c r="D148" s="26">
        <v>17.1678</v>
      </c>
      <c r="E148" s="24"/>
      <c r="F148" s="21"/>
      <c r="G148" s="27"/>
    </row>
    <row r="149" spans="1:17" ht="14.1" customHeight="1" x14ac:dyDescent="0.2">
      <c r="A149" s="24"/>
      <c r="B149" s="24"/>
      <c r="C149" s="24"/>
      <c r="D149" s="24"/>
      <c r="E149" s="24"/>
      <c r="F149" s="24"/>
      <c r="G149" s="24"/>
    </row>
    <row r="150" spans="1:17" ht="17.100000000000001" customHeight="1" x14ac:dyDescent="0.2">
      <c r="A150" s="24"/>
      <c r="B150" s="231" t="s">
        <v>1203</v>
      </c>
      <c r="C150" s="232"/>
      <c r="D150" s="4" t="s">
        <v>128</v>
      </c>
      <c r="E150" s="24"/>
      <c r="F150" s="24"/>
      <c r="G150" s="24"/>
    </row>
    <row r="151" spans="1:17" ht="18" customHeight="1" x14ac:dyDescent="0.2">
      <c r="A151" s="24"/>
      <c r="B151" s="28"/>
      <c r="C151" s="28"/>
      <c r="D151" s="29"/>
      <c r="E151" s="24"/>
      <c r="F151" s="24"/>
      <c r="G151" s="24"/>
    </row>
    <row r="152" spans="1:17" s="87" customFormat="1" x14ac:dyDescent="0.2">
      <c r="B152" s="233" t="s">
        <v>1207</v>
      </c>
      <c r="C152" s="233"/>
      <c r="D152" s="233"/>
      <c r="E152" s="233"/>
      <c r="F152" s="233"/>
      <c r="I152"/>
      <c r="J152"/>
      <c r="K152"/>
      <c r="L152"/>
      <c r="M152"/>
      <c r="N152"/>
      <c r="O152"/>
      <c r="P152"/>
      <c r="Q152" s="69"/>
    </row>
    <row r="153" spans="1:17" ht="14.1" customHeight="1" x14ac:dyDescent="0.2">
      <c r="A153" s="24"/>
      <c r="B153" s="21"/>
      <c r="C153" s="21"/>
      <c r="D153" s="24"/>
      <c r="E153" s="24"/>
      <c r="F153" s="24"/>
      <c r="G153" s="24"/>
    </row>
    <row r="154" spans="1:17" ht="29.1" customHeight="1" x14ac:dyDescent="0.2">
      <c r="A154" s="24"/>
      <c r="B154" s="231" t="s">
        <v>138</v>
      </c>
      <c r="C154" s="232"/>
      <c r="D154" s="4" t="s">
        <v>128</v>
      </c>
      <c r="E154" s="24"/>
      <c r="F154" s="24"/>
      <c r="G154" s="24"/>
    </row>
    <row r="155" spans="1:17" ht="29.1" customHeight="1" x14ac:dyDescent="0.2">
      <c r="A155" s="24"/>
      <c r="B155" s="231" t="s">
        <v>139</v>
      </c>
      <c r="C155" s="232"/>
      <c r="D155" s="4" t="s">
        <v>128</v>
      </c>
      <c r="E155" s="24"/>
      <c r="F155" s="24"/>
      <c r="G155" s="24"/>
    </row>
    <row r="156" spans="1:17" ht="17.100000000000001" customHeight="1" x14ac:dyDescent="0.2">
      <c r="A156" s="24"/>
      <c r="B156" s="231" t="s">
        <v>140</v>
      </c>
      <c r="C156" s="232"/>
      <c r="D156" s="30">
        <v>0.28861622294614581</v>
      </c>
      <c r="E156" s="24"/>
      <c r="F156" s="21"/>
      <c r="G156" s="27"/>
      <c r="I156" s="87"/>
      <c r="J156" s="87"/>
      <c r="K156" s="87"/>
      <c r="L156" s="87"/>
      <c r="M156" s="87"/>
      <c r="N156" s="87"/>
      <c r="O156" s="87"/>
    </row>
    <row r="157" spans="1:17" ht="17.100000000000001" customHeight="1" x14ac:dyDescent="0.2">
      <c r="A157" s="24"/>
      <c r="B157" s="231" t="s">
        <v>141</v>
      </c>
      <c r="C157" s="232"/>
      <c r="D157" s="4" t="s">
        <v>128</v>
      </c>
      <c r="E157" s="24"/>
      <c r="F157" s="24"/>
      <c r="G157" s="24"/>
      <c r="P157" s="69"/>
    </row>
  </sheetData>
  <mergeCells count="15">
    <mergeCell ref="B156:C156"/>
    <mergeCell ref="B157:C157"/>
    <mergeCell ref="B140:C140"/>
    <mergeCell ref="B141:C141"/>
    <mergeCell ref="B142:C142"/>
    <mergeCell ref="B150:C150"/>
    <mergeCell ref="B154:C154"/>
    <mergeCell ref="B155:C155"/>
    <mergeCell ref="B152:F152"/>
    <mergeCell ref="J2:N2"/>
    <mergeCell ref="B139:C139"/>
    <mergeCell ref="B137:F137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6">
    <outlinePr summaryBelow="0" summaryRight="0"/>
  </sheetPr>
  <dimension ref="A1:Q155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5" ht="15" x14ac:dyDescent="0.2">
      <c r="A1" s="227" t="s">
        <v>0</v>
      </c>
      <c r="B1" s="227"/>
      <c r="C1" s="227"/>
      <c r="D1" s="227"/>
      <c r="E1" s="227"/>
      <c r="F1" s="227"/>
      <c r="G1" s="227"/>
      <c r="H1" s="227"/>
    </row>
    <row r="2" spans="1:15" s="87" customFormat="1" ht="15" x14ac:dyDescent="0.2">
      <c r="A2" s="228" t="s">
        <v>639</v>
      </c>
      <c r="B2" s="229"/>
      <c r="C2" s="229"/>
      <c r="D2" s="229"/>
      <c r="E2" s="229"/>
      <c r="F2" s="229"/>
      <c r="G2" s="229"/>
      <c r="H2" s="230"/>
      <c r="I2"/>
      <c r="J2" s="223" t="s">
        <v>1238</v>
      </c>
      <c r="K2" s="223"/>
      <c r="L2" s="223"/>
      <c r="M2" s="223"/>
      <c r="N2" s="223"/>
      <c r="O2"/>
    </row>
    <row r="3" spans="1:15" ht="15" x14ac:dyDescent="0.2">
      <c r="A3" s="227" t="s">
        <v>1208</v>
      </c>
      <c r="B3" s="227"/>
      <c r="C3" s="227"/>
      <c r="D3" s="227"/>
      <c r="E3" s="227"/>
      <c r="F3" s="227"/>
      <c r="G3" s="227"/>
      <c r="H3" s="227"/>
    </row>
    <row r="4" spans="1:15" s="113" customFormat="1" ht="30" x14ac:dyDescent="0.2">
      <c r="A4" s="1" t="s">
        <v>2</v>
      </c>
      <c r="B4" s="1" t="s">
        <v>3</v>
      </c>
      <c r="C4" s="1" t="s">
        <v>4</v>
      </c>
      <c r="D4" s="1" t="s">
        <v>5</v>
      </c>
      <c r="E4" s="2" t="s">
        <v>6</v>
      </c>
      <c r="F4" s="2" t="s">
        <v>7</v>
      </c>
      <c r="G4" s="2" t="s">
        <v>8</v>
      </c>
      <c r="H4" s="96" t="s">
        <v>1167</v>
      </c>
      <c r="I4" s="183"/>
      <c r="J4" s="183"/>
      <c r="K4" s="183"/>
      <c r="L4" s="183"/>
      <c r="M4" s="183"/>
      <c r="N4" s="183"/>
      <c r="O4" s="183"/>
    </row>
    <row r="5" spans="1:15" ht="14.1" customHeight="1" x14ac:dyDescent="0.2">
      <c r="A5" s="3"/>
      <c r="B5" s="3"/>
      <c r="C5" s="4" t="s">
        <v>9</v>
      </c>
      <c r="D5" s="3"/>
      <c r="E5" s="3"/>
      <c r="F5" s="3"/>
      <c r="G5" s="3"/>
      <c r="H5" s="97"/>
    </row>
    <row r="6" spans="1:15" ht="24" customHeight="1" x14ac:dyDescent="0.2">
      <c r="A6" s="3"/>
      <c r="B6" s="3"/>
      <c r="C6" s="4" t="s">
        <v>10</v>
      </c>
      <c r="D6" s="3"/>
      <c r="E6" s="3"/>
      <c r="F6" s="3"/>
      <c r="G6" s="3"/>
      <c r="H6" s="97"/>
    </row>
    <row r="7" spans="1:15" ht="17.100000000000001" customHeight="1" x14ac:dyDescent="0.2">
      <c r="A7" s="5">
        <v>1</v>
      </c>
      <c r="B7" s="6" t="s">
        <v>164</v>
      </c>
      <c r="C7" s="6" t="s">
        <v>165</v>
      </c>
      <c r="D7" s="6" t="s">
        <v>19</v>
      </c>
      <c r="E7" s="7">
        <v>12857</v>
      </c>
      <c r="F7" s="8">
        <v>150.17618849999999</v>
      </c>
      <c r="G7" s="9">
        <v>3.8676218999999998E-2</v>
      </c>
      <c r="H7" s="97"/>
    </row>
    <row r="8" spans="1:15" ht="17.100000000000001" customHeight="1" x14ac:dyDescent="0.2">
      <c r="A8" s="5">
        <v>2</v>
      </c>
      <c r="B8" s="6" t="s">
        <v>263</v>
      </c>
      <c r="C8" s="6" t="s">
        <v>264</v>
      </c>
      <c r="D8" s="6" t="s">
        <v>147</v>
      </c>
      <c r="E8" s="7">
        <v>22712</v>
      </c>
      <c r="F8" s="8">
        <v>139.21320399999999</v>
      </c>
      <c r="G8" s="9">
        <v>3.5852822999999999E-2</v>
      </c>
      <c r="H8" s="97"/>
    </row>
    <row r="9" spans="1:15" ht="17.100000000000001" customHeight="1" x14ac:dyDescent="0.2">
      <c r="A9" s="5">
        <v>3</v>
      </c>
      <c r="B9" s="6" t="s">
        <v>148</v>
      </c>
      <c r="C9" s="6" t="s">
        <v>149</v>
      </c>
      <c r="D9" s="6" t="s">
        <v>70</v>
      </c>
      <c r="E9" s="7">
        <v>22677</v>
      </c>
      <c r="F9" s="8">
        <v>135.58578299999999</v>
      </c>
      <c r="G9" s="9">
        <v>3.4918620999999997E-2</v>
      </c>
      <c r="H9" s="97"/>
    </row>
    <row r="10" spans="1:15" ht="17.100000000000001" customHeight="1" x14ac:dyDescent="0.2">
      <c r="A10" s="5">
        <v>4</v>
      </c>
      <c r="B10" s="6" t="s">
        <v>274</v>
      </c>
      <c r="C10" s="6" t="s">
        <v>275</v>
      </c>
      <c r="D10" s="6" t="s">
        <v>185</v>
      </c>
      <c r="E10" s="7">
        <v>2944</v>
      </c>
      <c r="F10" s="8">
        <v>123.30944</v>
      </c>
      <c r="G10" s="9">
        <v>3.1756984000000002E-2</v>
      </c>
      <c r="H10" s="97"/>
    </row>
    <row r="11" spans="1:15" ht="17.100000000000001" customHeight="1" x14ac:dyDescent="0.2">
      <c r="A11" s="5">
        <v>5</v>
      </c>
      <c r="B11" s="6" t="s">
        <v>152</v>
      </c>
      <c r="C11" s="6" t="s">
        <v>153</v>
      </c>
      <c r="D11" s="6" t="s">
        <v>1184</v>
      </c>
      <c r="E11" s="7">
        <v>9885</v>
      </c>
      <c r="F11" s="8">
        <v>116.8456425</v>
      </c>
      <c r="G11" s="9">
        <v>3.0092305E-2</v>
      </c>
      <c r="H11" s="97"/>
    </row>
    <row r="12" spans="1:15" ht="17.100000000000001" customHeight="1" x14ac:dyDescent="0.2">
      <c r="A12" s="5">
        <v>6</v>
      </c>
      <c r="B12" s="6" t="s">
        <v>17</v>
      </c>
      <c r="C12" s="6" t="s">
        <v>18</v>
      </c>
      <c r="D12" s="6" t="s">
        <v>19</v>
      </c>
      <c r="E12" s="7">
        <v>6084</v>
      </c>
      <c r="F12" s="8">
        <v>116.63028</v>
      </c>
      <c r="G12" s="9">
        <v>3.0036839999999999E-2</v>
      </c>
      <c r="H12" s="97"/>
    </row>
    <row r="13" spans="1:15" ht="17.100000000000001" customHeight="1" x14ac:dyDescent="0.2">
      <c r="A13" s="5">
        <v>7</v>
      </c>
      <c r="B13" s="6" t="s">
        <v>74</v>
      </c>
      <c r="C13" s="6" t="s">
        <v>75</v>
      </c>
      <c r="D13" s="6" t="s">
        <v>70</v>
      </c>
      <c r="E13" s="7">
        <v>26962</v>
      </c>
      <c r="F13" s="8">
        <v>113.186476</v>
      </c>
      <c r="G13" s="9">
        <v>2.9149926999999999E-2</v>
      </c>
      <c r="H13" s="97"/>
    </row>
    <row r="14" spans="1:15" ht="29.1" customHeight="1" x14ac:dyDescent="0.2">
      <c r="A14" s="5">
        <v>8</v>
      </c>
      <c r="B14" s="6" t="s">
        <v>143</v>
      </c>
      <c r="C14" s="6" t="s">
        <v>144</v>
      </c>
      <c r="D14" s="6" t="s">
        <v>45</v>
      </c>
      <c r="E14" s="7">
        <v>56608</v>
      </c>
      <c r="F14" s="8">
        <v>110.130864</v>
      </c>
      <c r="G14" s="9">
        <v>2.8362987999999999E-2</v>
      </c>
      <c r="H14" s="97"/>
    </row>
    <row r="15" spans="1:15" ht="17.100000000000001" customHeight="1" x14ac:dyDescent="0.2">
      <c r="A15" s="5">
        <v>9</v>
      </c>
      <c r="B15" s="6" t="s">
        <v>150</v>
      </c>
      <c r="C15" s="6" t="s">
        <v>151</v>
      </c>
      <c r="D15" s="6" t="s">
        <v>81</v>
      </c>
      <c r="E15" s="7">
        <v>88789</v>
      </c>
      <c r="F15" s="8">
        <v>98.422606500000001</v>
      </c>
      <c r="G15" s="9">
        <v>2.5347655E-2</v>
      </c>
      <c r="H15" s="97"/>
      <c r="J15" s="184" t="s">
        <v>1240</v>
      </c>
    </row>
    <row r="16" spans="1:15" ht="17.100000000000001" customHeight="1" x14ac:dyDescent="0.2">
      <c r="A16" s="5">
        <v>10</v>
      </c>
      <c r="B16" s="6" t="s">
        <v>156</v>
      </c>
      <c r="C16" s="6" t="s">
        <v>157</v>
      </c>
      <c r="D16" s="6" t="s">
        <v>19</v>
      </c>
      <c r="E16" s="7">
        <v>13540</v>
      </c>
      <c r="F16" s="8">
        <v>98.212389999999999</v>
      </c>
      <c r="G16" s="9">
        <v>2.5293515999999999E-2</v>
      </c>
      <c r="H16" s="97"/>
    </row>
    <row r="17" spans="1:8" ht="17.100000000000001" customHeight="1" x14ac:dyDescent="0.2">
      <c r="A17" s="5">
        <v>11</v>
      </c>
      <c r="B17" s="6" t="s">
        <v>172</v>
      </c>
      <c r="C17" s="6" t="s">
        <v>173</v>
      </c>
      <c r="D17" s="6" t="s">
        <v>174</v>
      </c>
      <c r="E17" s="7">
        <v>40331</v>
      </c>
      <c r="F17" s="8">
        <v>96.411255499999996</v>
      </c>
      <c r="G17" s="9">
        <v>2.4829654E-2</v>
      </c>
      <c r="H17" s="97"/>
    </row>
    <row r="18" spans="1:8" ht="17.100000000000001" customHeight="1" x14ac:dyDescent="0.2">
      <c r="A18" s="5">
        <v>12</v>
      </c>
      <c r="B18" s="6" t="s">
        <v>282</v>
      </c>
      <c r="C18" s="6" t="s">
        <v>283</v>
      </c>
      <c r="D18" s="6" t="s">
        <v>284</v>
      </c>
      <c r="E18" s="7">
        <v>38110</v>
      </c>
      <c r="F18" s="8">
        <v>95.827595000000002</v>
      </c>
      <c r="G18" s="9">
        <v>2.4679339000000002E-2</v>
      </c>
      <c r="H18" s="97"/>
    </row>
    <row r="19" spans="1:8" ht="29.1" customHeight="1" x14ac:dyDescent="0.2">
      <c r="A19" s="5">
        <v>13</v>
      </c>
      <c r="B19" s="6" t="s">
        <v>604</v>
      </c>
      <c r="C19" s="6" t="s">
        <v>605</v>
      </c>
      <c r="D19" s="6" t="s">
        <v>45</v>
      </c>
      <c r="E19" s="7">
        <v>5141</v>
      </c>
      <c r="F19" s="8">
        <v>95.190755999999993</v>
      </c>
      <c r="G19" s="9">
        <v>2.4515327999999999E-2</v>
      </c>
      <c r="H19" s="97"/>
    </row>
    <row r="20" spans="1:8" ht="17.100000000000001" customHeight="1" x14ac:dyDescent="0.2">
      <c r="A20" s="5">
        <v>14</v>
      </c>
      <c r="B20" s="6" t="s">
        <v>191</v>
      </c>
      <c r="C20" s="6" t="s">
        <v>192</v>
      </c>
      <c r="D20" s="6" t="s">
        <v>193</v>
      </c>
      <c r="E20" s="7">
        <v>20115</v>
      </c>
      <c r="F20" s="8">
        <v>91.382445000000004</v>
      </c>
      <c r="G20" s="9">
        <v>2.3534539E-2</v>
      </c>
      <c r="H20" s="97"/>
    </row>
    <row r="21" spans="1:8" ht="17.100000000000001" customHeight="1" x14ac:dyDescent="0.2">
      <c r="A21" s="5">
        <v>15</v>
      </c>
      <c r="B21" s="6" t="s">
        <v>84</v>
      </c>
      <c r="C21" s="6" t="s">
        <v>85</v>
      </c>
      <c r="D21" s="6" t="s">
        <v>53</v>
      </c>
      <c r="E21" s="7">
        <v>18429</v>
      </c>
      <c r="F21" s="8">
        <v>90.357387000000003</v>
      </c>
      <c r="G21" s="9">
        <v>2.3270546999999999E-2</v>
      </c>
      <c r="H21" s="97"/>
    </row>
    <row r="22" spans="1:8" ht="17.100000000000001" customHeight="1" x14ac:dyDescent="0.2">
      <c r="A22" s="5">
        <v>16</v>
      </c>
      <c r="B22" s="6" t="s">
        <v>37</v>
      </c>
      <c r="C22" s="6" t="s">
        <v>38</v>
      </c>
      <c r="D22" s="6" t="s">
        <v>1185</v>
      </c>
      <c r="E22" s="7">
        <v>2480</v>
      </c>
      <c r="F22" s="8">
        <v>84.291480000000007</v>
      </c>
      <c r="G22" s="9">
        <v>2.170834E-2</v>
      </c>
      <c r="H22" s="97"/>
    </row>
    <row r="23" spans="1:8" ht="17.100000000000001" customHeight="1" x14ac:dyDescent="0.2">
      <c r="A23" s="5">
        <v>17</v>
      </c>
      <c r="B23" s="6" t="s">
        <v>203</v>
      </c>
      <c r="C23" s="6" t="s">
        <v>204</v>
      </c>
      <c r="D23" s="6" t="s">
        <v>81</v>
      </c>
      <c r="E23" s="7">
        <v>10174</v>
      </c>
      <c r="F23" s="8">
        <v>78.767107999999993</v>
      </c>
      <c r="G23" s="9">
        <v>2.0285599000000001E-2</v>
      </c>
      <c r="H23" s="97"/>
    </row>
    <row r="24" spans="1:8" ht="29.1" customHeight="1" x14ac:dyDescent="0.2">
      <c r="A24" s="5">
        <v>18</v>
      </c>
      <c r="B24" s="6" t="s">
        <v>200</v>
      </c>
      <c r="C24" s="6" t="s">
        <v>201</v>
      </c>
      <c r="D24" s="6" t="s">
        <v>202</v>
      </c>
      <c r="E24" s="7">
        <v>17911</v>
      </c>
      <c r="F24" s="8">
        <v>73.058969000000005</v>
      </c>
      <c r="G24" s="9">
        <v>1.881553E-2</v>
      </c>
      <c r="H24" s="97"/>
    </row>
    <row r="25" spans="1:8" ht="17.100000000000001" customHeight="1" x14ac:dyDescent="0.2">
      <c r="A25" s="5">
        <v>19</v>
      </c>
      <c r="B25" s="6" t="s">
        <v>41</v>
      </c>
      <c r="C25" s="6" t="s">
        <v>42</v>
      </c>
      <c r="D25" s="6" t="s">
        <v>19</v>
      </c>
      <c r="E25" s="7">
        <v>5766</v>
      </c>
      <c r="F25" s="8">
        <v>70.359615000000005</v>
      </c>
      <c r="G25" s="9">
        <v>1.8120342000000001E-2</v>
      </c>
      <c r="H25" s="97"/>
    </row>
    <row r="26" spans="1:8" ht="17.100000000000001" customHeight="1" x14ac:dyDescent="0.2">
      <c r="A26" s="5">
        <v>20</v>
      </c>
      <c r="B26" s="6" t="s">
        <v>68</v>
      </c>
      <c r="C26" s="6" t="s">
        <v>69</v>
      </c>
      <c r="D26" s="6" t="s">
        <v>70</v>
      </c>
      <c r="E26" s="7">
        <v>2003</v>
      </c>
      <c r="F26" s="8">
        <v>66.423485999999997</v>
      </c>
      <c r="G26" s="9">
        <v>1.7106634999999999E-2</v>
      </c>
      <c r="H26" s="97"/>
    </row>
    <row r="27" spans="1:8" ht="17.100000000000001" customHeight="1" x14ac:dyDescent="0.2">
      <c r="A27" s="5">
        <v>21</v>
      </c>
      <c r="B27" s="6" t="s">
        <v>259</v>
      </c>
      <c r="C27" s="6" t="s">
        <v>260</v>
      </c>
      <c r="D27" s="6" t="s">
        <v>34</v>
      </c>
      <c r="E27" s="7">
        <v>17176</v>
      </c>
      <c r="F27" s="8">
        <v>64.332707999999997</v>
      </c>
      <c r="G27" s="9">
        <v>1.6568177999999999E-2</v>
      </c>
      <c r="H27" s="97"/>
    </row>
    <row r="28" spans="1:8" ht="17.100000000000001" customHeight="1" x14ac:dyDescent="0.2">
      <c r="A28" s="5">
        <v>22</v>
      </c>
      <c r="B28" s="6" t="s">
        <v>177</v>
      </c>
      <c r="C28" s="6" t="s">
        <v>178</v>
      </c>
      <c r="D28" s="6" t="s">
        <v>1185</v>
      </c>
      <c r="E28" s="7">
        <v>27913</v>
      </c>
      <c r="F28" s="8">
        <v>63.181075499999999</v>
      </c>
      <c r="G28" s="9">
        <v>1.6271588E-2</v>
      </c>
      <c r="H28" s="97"/>
    </row>
    <row r="29" spans="1:8" ht="17.100000000000001" customHeight="1" x14ac:dyDescent="0.2">
      <c r="A29" s="5">
        <v>23</v>
      </c>
      <c r="B29" s="6" t="s">
        <v>158</v>
      </c>
      <c r="C29" s="6" t="s">
        <v>159</v>
      </c>
      <c r="D29" s="6" t="s">
        <v>1187</v>
      </c>
      <c r="E29" s="7">
        <v>5092</v>
      </c>
      <c r="F29" s="8">
        <v>62.079118000000001</v>
      </c>
      <c r="G29" s="9">
        <v>1.5987791000000001E-2</v>
      </c>
      <c r="H29" s="97"/>
    </row>
    <row r="30" spans="1:8" ht="29.1" customHeight="1" x14ac:dyDescent="0.2">
      <c r="A30" s="5">
        <v>24</v>
      </c>
      <c r="B30" s="6" t="s">
        <v>166</v>
      </c>
      <c r="C30" s="6" t="s">
        <v>167</v>
      </c>
      <c r="D30" s="6" t="s">
        <v>1186</v>
      </c>
      <c r="E30" s="7">
        <v>17365</v>
      </c>
      <c r="F30" s="8">
        <v>61.359227500000003</v>
      </c>
      <c r="G30" s="9">
        <v>1.5802390999999999E-2</v>
      </c>
      <c r="H30" s="97"/>
    </row>
    <row r="31" spans="1:8" ht="17.100000000000001" customHeight="1" x14ac:dyDescent="0.2">
      <c r="A31" s="5">
        <v>25</v>
      </c>
      <c r="B31" s="6" t="s">
        <v>160</v>
      </c>
      <c r="C31" s="6" t="s">
        <v>161</v>
      </c>
      <c r="D31" s="6" t="s">
        <v>147</v>
      </c>
      <c r="E31" s="7">
        <v>5920</v>
      </c>
      <c r="F31" s="8">
        <v>60.561599999999999</v>
      </c>
      <c r="G31" s="9">
        <v>1.5596970999999999E-2</v>
      </c>
      <c r="H31" s="97"/>
    </row>
    <row r="32" spans="1:8" ht="17.100000000000001" customHeight="1" x14ac:dyDescent="0.2">
      <c r="A32" s="5">
        <v>26</v>
      </c>
      <c r="B32" s="6" t="s">
        <v>170</v>
      </c>
      <c r="C32" s="6" t="s">
        <v>171</v>
      </c>
      <c r="D32" s="6" t="s">
        <v>70</v>
      </c>
      <c r="E32" s="7">
        <v>5918</v>
      </c>
      <c r="F32" s="8">
        <v>57.570304</v>
      </c>
      <c r="G32" s="9">
        <v>1.4826595999999999E-2</v>
      </c>
      <c r="H32" s="97"/>
    </row>
    <row r="33" spans="1:8" ht="17.100000000000001" customHeight="1" x14ac:dyDescent="0.2">
      <c r="A33" s="5">
        <v>27</v>
      </c>
      <c r="B33" s="6" t="s">
        <v>186</v>
      </c>
      <c r="C33" s="6" t="s">
        <v>187</v>
      </c>
      <c r="D33" s="6" t="s">
        <v>19</v>
      </c>
      <c r="E33" s="7">
        <v>2835</v>
      </c>
      <c r="F33" s="8">
        <v>56.3640525</v>
      </c>
      <c r="G33" s="9">
        <v>1.4515939E-2</v>
      </c>
      <c r="H33" s="97"/>
    </row>
    <row r="34" spans="1:8" ht="41.1" customHeight="1" x14ac:dyDescent="0.2">
      <c r="A34" s="5">
        <v>28</v>
      </c>
      <c r="B34" s="6" t="s">
        <v>162</v>
      </c>
      <c r="C34" s="6" t="s">
        <v>163</v>
      </c>
      <c r="D34" s="6" t="s">
        <v>1190</v>
      </c>
      <c r="E34" s="7">
        <v>23991</v>
      </c>
      <c r="F34" s="8">
        <v>56.186922000000003</v>
      </c>
      <c r="G34" s="9">
        <v>1.4470321E-2</v>
      </c>
      <c r="H34" s="97"/>
    </row>
    <row r="35" spans="1:8" ht="17.100000000000001" customHeight="1" x14ac:dyDescent="0.2">
      <c r="A35" s="5">
        <v>29</v>
      </c>
      <c r="B35" s="6" t="s">
        <v>168</v>
      </c>
      <c r="C35" s="6" t="s">
        <v>169</v>
      </c>
      <c r="D35" s="6" t="s">
        <v>81</v>
      </c>
      <c r="E35" s="7">
        <v>87334</v>
      </c>
      <c r="F35" s="8">
        <v>55.020420000000001</v>
      </c>
      <c r="G35" s="9">
        <v>1.4169901E-2</v>
      </c>
      <c r="H35" s="97"/>
    </row>
    <row r="36" spans="1:8" ht="17.100000000000001" customHeight="1" x14ac:dyDescent="0.2">
      <c r="A36" s="5">
        <v>30</v>
      </c>
      <c r="B36" s="6" t="s">
        <v>179</v>
      </c>
      <c r="C36" s="6" t="s">
        <v>180</v>
      </c>
      <c r="D36" s="6" t="s">
        <v>53</v>
      </c>
      <c r="E36" s="7">
        <v>52272</v>
      </c>
      <c r="F36" s="8">
        <v>52.559496000000003</v>
      </c>
      <c r="G36" s="9">
        <v>1.3536118E-2</v>
      </c>
      <c r="H36" s="97"/>
    </row>
    <row r="37" spans="1:8" ht="17.100000000000001" customHeight="1" x14ac:dyDescent="0.2">
      <c r="A37" s="5">
        <v>31</v>
      </c>
      <c r="B37" s="6" t="s">
        <v>196</v>
      </c>
      <c r="C37" s="6" t="s">
        <v>197</v>
      </c>
      <c r="D37" s="6" t="s">
        <v>81</v>
      </c>
      <c r="E37" s="7">
        <v>9438</v>
      </c>
      <c r="F37" s="8">
        <v>52.187421000000001</v>
      </c>
      <c r="G37" s="9">
        <v>1.3440294E-2</v>
      </c>
      <c r="H37" s="97"/>
    </row>
    <row r="38" spans="1:8" ht="17.100000000000001" customHeight="1" x14ac:dyDescent="0.2">
      <c r="A38" s="5">
        <v>32</v>
      </c>
      <c r="B38" s="6" t="s">
        <v>198</v>
      </c>
      <c r="C38" s="6" t="s">
        <v>199</v>
      </c>
      <c r="D38" s="6" t="s">
        <v>70</v>
      </c>
      <c r="E38" s="7">
        <v>5646</v>
      </c>
      <c r="F38" s="8">
        <v>50.322797999999999</v>
      </c>
      <c r="G38" s="9">
        <v>1.2960081E-2</v>
      </c>
      <c r="H38" s="97"/>
    </row>
    <row r="39" spans="1:8" ht="17.100000000000001" customHeight="1" x14ac:dyDescent="0.2">
      <c r="A39" s="5">
        <v>33</v>
      </c>
      <c r="B39" s="6" t="s">
        <v>608</v>
      </c>
      <c r="C39" s="6" t="s">
        <v>609</v>
      </c>
      <c r="D39" s="6" t="s">
        <v>586</v>
      </c>
      <c r="E39" s="7">
        <v>4775</v>
      </c>
      <c r="F39" s="8">
        <v>48.170200000000001</v>
      </c>
      <c r="G39" s="9">
        <v>1.2405703000000001E-2</v>
      </c>
      <c r="H39" s="97"/>
    </row>
    <row r="40" spans="1:8" ht="17.100000000000001" customHeight="1" x14ac:dyDescent="0.2">
      <c r="A40" s="5">
        <v>34</v>
      </c>
      <c r="B40" s="6" t="s">
        <v>278</v>
      </c>
      <c r="C40" s="6" t="s">
        <v>279</v>
      </c>
      <c r="D40" s="6" t="s">
        <v>1190</v>
      </c>
      <c r="E40" s="7">
        <v>1773</v>
      </c>
      <c r="F40" s="8">
        <v>43.669876500000001</v>
      </c>
      <c r="G40" s="9">
        <v>1.1246694E-2</v>
      </c>
      <c r="H40" s="97"/>
    </row>
    <row r="41" spans="1:8" ht="17.100000000000001" customHeight="1" x14ac:dyDescent="0.2">
      <c r="A41" s="5">
        <v>35</v>
      </c>
      <c r="B41" s="6" t="s">
        <v>211</v>
      </c>
      <c r="C41" s="6" t="s">
        <v>212</v>
      </c>
      <c r="D41" s="6" t="s">
        <v>202</v>
      </c>
      <c r="E41" s="7">
        <v>9605</v>
      </c>
      <c r="F41" s="8">
        <v>43.3521675</v>
      </c>
      <c r="G41" s="9">
        <v>1.1164871999999999E-2</v>
      </c>
      <c r="H41" s="97"/>
    </row>
    <row r="42" spans="1:8" ht="41.1" customHeight="1" x14ac:dyDescent="0.2">
      <c r="A42" s="5">
        <v>36</v>
      </c>
      <c r="B42" s="6" t="s">
        <v>205</v>
      </c>
      <c r="C42" s="6" t="s">
        <v>206</v>
      </c>
      <c r="D42" s="6" t="s">
        <v>1187</v>
      </c>
      <c r="E42" s="7">
        <v>7522</v>
      </c>
      <c r="F42" s="8">
        <v>42.299967000000002</v>
      </c>
      <c r="G42" s="9">
        <v>1.0893889E-2</v>
      </c>
      <c r="H42" s="97"/>
    </row>
    <row r="43" spans="1:8" ht="17.100000000000001" customHeight="1" x14ac:dyDescent="0.2">
      <c r="A43" s="5">
        <v>37</v>
      </c>
      <c r="B43" s="6" t="s">
        <v>256</v>
      </c>
      <c r="C43" s="6" t="s">
        <v>257</v>
      </c>
      <c r="D43" s="6" t="s">
        <v>238</v>
      </c>
      <c r="E43" s="7">
        <v>6770</v>
      </c>
      <c r="F43" s="8">
        <v>42.288805000000004</v>
      </c>
      <c r="G43" s="9">
        <v>1.0891015E-2</v>
      </c>
      <c r="H43" s="97"/>
    </row>
    <row r="44" spans="1:8" ht="17.100000000000001" customHeight="1" x14ac:dyDescent="0.2">
      <c r="A44" s="5">
        <v>38</v>
      </c>
      <c r="B44" s="6" t="s">
        <v>614</v>
      </c>
      <c r="C44" s="6" t="s">
        <v>615</v>
      </c>
      <c r="D44" s="6" t="s">
        <v>193</v>
      </c>
      <c r="E44" s="7">
        <v>7802</v>
      </c>
      <c r="F44" s="8">
        <v>41.097034999999998</v>
      </c>
      <c r="G44" s="9">
        <v>1.0584087000000001E-2</v>
      </c>
      <c r="H44" s="97"/>
    </row>
    <row r="45" spans="1:8" ht="29.1" customHeight="1" x14ac:dyDescent="0.2">
      <c r="A45" s="5">
        <v>39</v>
      </c>
      <c r="B45" s="6" t="s">
        <v>214</v>
      </c>
      <c r="C45" s="6" t="s">
        <v>215</v>
      </c>
      <c r="D45" s="6" t="s">
        <v>70</v>
      </c>
      <c r="E45" s="7">
        <v>2075</v>
      </c>
      <c r="F45" s="8">
        <v>40.989550000000001</v>
      </c>
      <c r="G45" s="9">
        <v>1.0556406000000001E-2</v>
      </c>
      <c r="H45" s="97"/>
    </row>
    <row r="46" spans="1:8" ht="17.100000000000001" customHeight="1" x14ac:dyDescent="0.2">
      <c r="A46" s="5">
        <v>40</v>
      </c>
      <c r="B46" s="6" t="s">
        <v>188</v>
      </c>
      <c r="C46" s="6" t="s">
        <v>189</v>
      </c>
      <c r="D46" s="6" t="s">
        <v>190</v>
      </c>
      <c r="E46" s="7">
        <v>8864</v>
      </c>
      <c r="F46" s="8">
        <v>40.769967999999999</v>
      </c>
      <c r="G46" s="9">
        <v>1.0499855000000001E-2</v>
      </c>
      <c r="H46" s="97"/>
    </row>
    <row r="47" spans="1:8" ht="41.1" customHeight="1" x14ac:dyDescent="0.2">
      <c r="A47" s="5">
        <v>41</v>
      </c>
      <c r="B47" s="6" t="s">
        <v>234</v>
      </c>
      <c r="C47" s="6" t="s">
        <v>235</v>
      </c>
      <c r="D47" s="6" t="s">
        <v>1187</v>
      </c>
      <c r="E47" s="7">
        <v>31256</v>
      </c>
      <c r="F47" s="8">
        <v>39.945168000000002</v>
      </c>
      <c r="G47" s="9">
        <v>1.0287437E-2</v>
      </c>
      <c r="H47" s="97"/>
    </row>
    <row r="48" spans="1:8" ht="29.1" customHeight="1" x14ac:dyDescent="0.2">
      <c r="A48" s="5">
        <v>42</v>
      </c>
      <c r="B48" s="6" t="s">
        <v>226</v>
      </c>
      <c r="C48" s="6" t="s">
        <v>227</v>
      </c>
      <c r="D48" s="6" t="s">
        <v>1191</v>
      </c>
      <c r="E48" s="7">
        <v>44513</v>
      </c>
      <c r="F48" s="8">
        <v>39.505287500000001</v>
      </c>
      <c r="G48" s="9">
        <v>1.017415E-2</v>
      </c>
      <c r="H48" s="97"/>
    </row>
    <row r="49" spans="1:8" ht="29.1" customHeight="1" x14ac:dyDescent="0.2">
      <c r="A49" s="5">
        <v>43</v>
      </c>
      <c r="B49" s="6" t="s">
        <v>248</v>
      </c>
      <c r="C49" s="6" t="s">
        <v>249</v>
      </c>
      <c r="D49" s="6" t="s">
        <v>202</v>
      </c>
      <c r="E49" s="7">
        <v>8921</v>
      </c>
      <c r="F49" s="8">
        <v>38.293392500000003</v>
      </c>
      <c r="G49" s="9">
        <v>9.8620400000000007E-3</v>
      </c>
      <c r="H49" s="97"/>
    </row>
    <row r="50" spans="1:8" ht="17.100000000000001" customHeight="1" x14ac:dyDescent="0.2">
      <c r="A50" s="5">
        <v>44</v>
      </c>
      <c r="B50" s="6" t="s">
        <v>216</v>
      </c>
      <c r="C50" s="6" t="s">
        <v>217</v>
      </c>
      <c r="D50" s="6" t="s">
        <v>1184</v>
      </c>
      <c r="E50" s="7">
        <v>2335</v>
      </c>
      <c r="F50" s="8">
        <v>36.958379999999998</v>
      </c>
      <c r="G50" s="9">
        <v>9.5182229999999993E-3</v>
      </c>
      <c r="H50" s="97"/>
    </row>
    <row r="51" spans="1:8" ht="17.100000000000001" customHeight="1" x14ac:dyDescent="0.2">
      <c r="A51" s="5">
        <v>45</v>
      </c>
      <c r="B51" s="6" t="s">
        <v>261</v>
      </c>
      <c r="C51" s="6" t="s">
        <v>262</v>
      </c>
      <c r="D51" s="6" t="s">
        <v>238</v>
      </c>
      <c r="E51" s="7">
        <v>5084</v>
      </c>
      <c r="F51" s="8">
        <v>36.942886000000001</v>
      </c>
      <c r="G51" s="9">
        <v>9.5142319999999992E-3</v>
      </c>
      <c r="H51" s="97"/>
    </row>
    <row r="52" spans="1:8" ht="17.100000000000001" customHeight="1" x14ac:dyDescent="0.2">
      <c r="A52" s="5">
        <v>46</v>
      </c>
      <c r="B52" s="6" t="s">
        <v>271</v>
      </c>
      <c r="C52" s="6" t="s">
        <v>272</v>
      </c>
      <c r="D52" s="6" t="s">
        <v>19</v>
      </c>
      <c r="E52" s="7">
        <v>3399</v>
      </c>
      <c r="F52" s="8">
        <v>36.826465499999998</v>
      </c>
      <c r="G52" s="9">
        <v>9.4842490000000002E-3</v>
      </c>
      <c r="H52" s="97"/>
    </row>
    <row r="53" spans="1:8" ht="17.100000000000001" customHeight="1" x14ac:dyDescent="0.2">
      <c r="A53" s="5">
        <v>47</v>
      </c>
      <c r="B53" s="6" t="s">
        <v>245</v>
      </c>
      <c r="C53" s="6" t="s">
        <v>246</v>
      </c>
      <c r="D53" s="6" t="s">
        <v>247</v>
      </c>
      <c r="E53" s="7">
        <v>16295</v>
      </c>
      <c r="F53" s="8">
        <v>35.523099999999999</v>
      </c>
      <c r="G53" s="9">
        <v>9.1485820000000006E-3</v>
      </c>
      <c r="H53" s="97"/>
    </row>
    <row r="54" spans="1:8" ht="29.1" customHeight="1" x14ac:dyDescent="0.2">
      <c r="A54" s="5">
        <v>48</v>
      </c>
      <c r="B54" s="6" t="s">
        <v>207</v>
      </c>
      <c r="C54" s="6" t="s">
        <v>208</v>
      </c>
      <c r="D54" s="6" t="s">
        <v>45</v>
      </c>
      <c r="E54" s="7">
        <v>15720</v>
      </c>
      <c r="F54" s="8">
        <v>34.94556</v>
      </c>
      <c r="G54" s="9">
        <v>8.9998430000000004E-3</v>
      </c>
      <c r="H54" s="97"/>
    </row>
    <row r="55" spans="1:8" ht="17.100000000000001" customHeight="1" x14ac:dyDescent="0.2">
      <c r="A55" s="5">
        <v>49</v>
      </c>
      <c r="B55" s="6" t="s">
        <v>236</v>
      </c>
      <c r="C55" s="6" t="s">
        <v>237</v>
      </c>
      <c r="D55" s="6" t="s">
        <v>238</v>
      </c>
      <c r="E55" s="7">
        <v>9026</v>
      </c>
      <c r="F55" s="8">
        <v>33.080289999999998</v>
      </c>
      <c r="G55" s="9">
        <v>8.5194629999999997E-3</v>
      </c>
      <c r="H55" s="97"/>
    </row>
    <row r="56" spans="1:8" ht="17.100000000000001" customHeight="1" x14ac:dyDescent="0.2">
      <c r="A56" s="5">
        <v>50</v>
      </c>
      <c r="B56" s="6" t="s">
        <v>287</v>
      </c>
      <c r="C56" s="6" t="s">
        <v>288</v>
      </c>
      <c r="D56" s="6" t="s">
        <v>147</v>
      </c>
      <c r="E56" s="7">
        <v>2500</v>
      </c>
      <c r="F56" s="8">
        <v>32.414999999999999</v>
      </c>
      <c r="G56" s="9">
        <v>8.3481249999999996E-3</v>
      </c>
      <c r="H56" s="97"/>
    </row>
    <row r="57" spans="1:8" ht="17.100000000000001" customHeight="1" x14ac:dyDescent="0.2">
      <c r="A57" s="5">
        <v>51</v>
      </c>
      <c r="B57" s="6" t="s">
        <v>239</v>
      </c>
      <c r="C57" s="6" t="s">
        <v>240</v>
      </c>
      <c r="D57" s="6" t="s">
        <v>25</v>
      </c>
      <c r="E57" s="7">
        <v>38757</v>
      </c>
      <c r="F57" s="8">
        <v>30.463001999999999</v>
      </c>
      <c r="G57" s="9">
        <v>7.8454100000000006E-3</v>
      </c>
      <c r="H57" s="97"/>
    </row>
    <row r="58" spans="1:8" ht="17.100000000000001" customHeight="1" x14ac:dyDescent="0.2">
      <c r="A58" s="5">
        <v>52</v>
      </c>
      <c r="B58" s="6" t="s">
        <v>269</v>
      </c>
      <c r="C58" s="6" t="s">
        <v>270</v>
      </c>
      <c r="D58" s="6" t="s">
        <v>70</v>
      </c>
      <c r="E58" s="7">
        <v>21739</v>
      </c>
      <c r="F58" s="8">
        <v>30.423730500000001</v>
      </c>
      <c r="G58" s="9">
        <v>7.8352960000000003E-3</v>
      </c>
      <c r="H58" s="97"/>
    </row>
    <row r="59" spans="1:8" ht="17.100000000000001" customHeight="1" x14ac:dyDescent="0.2">
      <c r="A59" s="5">
        <v>53</v>
      </c>
      <c r="B59" s="6" t="s">
        <v>51</v>
      </c>
      <c r="C59" s="6" t="s">
        <v>52</v>
      </c>
      <c r="D59" s="6" t="s">
        <v>53</v>
      </c>
      <c r="E59" s="7">
        <v>15969</v>
      </c>
      <c r="F59" s="8">
        <v>27.674277</v>
      </c>
      <c r="G59" s="9">
        <v>7.1272039999999998E-3</v>
      </c>
      <c r="H59" s="97"/>
    </row>
    <row r="60" spans="1:8" ht="17.100000000000001" customHeight="1" x14ac:dyDescent="0.2">
      <c r="A60" s="5">
        <v>54</v>
      </c>
      <c r="B60" s="6" t="s">
        <v>228</v>
      </c>
      <c r="C60" s="6" t="s">
        <v>229</v>
      </c>
      <c r="D60" s="6" t="s">
        <v>327</v>
      </c>
      <c r="E60" s="7">
        <v>3231</v>
      </c>
      <c r="F60" s="8">
        <v>27.408573000000001</v>
      </c>
      <c r="G60" s="9">
        <v>7.0587749999999998E-3</v>
      </c>
      <c r="H60" s="97"/>
    </row>
    <row r="61" spans="1:8" ht="17.100000000000001" customHeight="1" x14ac:dyDescent="0.2">
      <c r="A61" s="5">
        <v>55</v>
      </c>
      <c r="B61" s="6" t="s">
        <v>230</v>
      </c>
      <c r="C61" s="6" t="s">
        <v>231</v>
      </c>
      <c r="D61" s="6" t="s">
        <v>60</v>
      </c>
      <c r="E61" s="7">
        <v>3248</v>
      </c>
      <c r="F61" s="8">
        <v>27.244223999999999</v>
      </c>
      <c r="G61" s="9">
        <v>7.0164490000000001E-3</v>
      </c>
      <c r="H61" s="97"/>
    </row>
    <row r="62" spans="1:8" ht="17.100000000000001" customHeight="1" x14ac:dyDescent="0.2">
      <c r="A62" s="5">
        <v>56</v>
      </c>
      <c r="B62" s="6" t="s">
        <v>232</v>
      </c>
      <c r="C62" s="6" t="s">
        <v>233</v>
      </c>
      <c r="D62" s="6" t="s">
        <v>193</v>
      </c>
      <c r="E62" s="7">
        <v>482</v>
      </c>
      <c r="F62" s="8">
        <v>25.731088</v>
      </c>
      <c r="G62" s="9">
        <v>6.6267569999999996E-3</v>
      </c>
      <c r="H62" s="97"/>
    </row>
    <row r="63" spans="1:8" ht="17.100000000000001" customHeight="1" x14ac:dyDescent="0.2">
      <c r="A63" s="5">
        <v>57</v>
      </c>
      <c r="B63" s="6" t="s">
        <v>252</v>
      </c>
      <c r="C63" s="6" t="s">
        <v>253</v>
      </c>
      <c r="D63" s="6" t="s">
        <v>60</v>
      </c>
      <c r="E63" s="7">
        <v>12025</v>
      </c>
      <c r="F63" s="8">
        <v>25.450912500000001</v>
      </c>
      <c r="G63" s="9">
        <v>6.5546010000000002E-3</v>
      </c>
      <c r="H63" s="97"/>
    </row>
    <row r="64" spans="1:8" ht="17.100000000000001" customHeight="1" x14ac:dyDescent="0.2">
      <c r="A64" s="5">
        <v>58</v>
      </c>
      <c r="B64" s="6" t="s">
        <v>243</v>
      </c>
      <c r="C64" s="6" t="s">
        <v>244</v>
      </c>
      <c r="D64" s="6" t="s">
        <v>185</v>
      </c>
      <c r="E64" s="7">
        <v>3384</v>
      </c>
      <c r="F64" s="8">
        <v>18.6966</v>
      </c>
      <c r="G64" s="9">
        <v>4.8151030000000003E-3</v>
      </c>
      <c r="H64" s="97"/>
    </row>
    <row r="65" spans="1:8" ht="17.100000000000001" customHeight="1" x14ac:dyDescent="0.2">
      <c r="A65" s="5">
        <v>59</v>
      </c>
      <c r="B65" s="6" t="s">
        <v>92</v>
      </c>
      <c r="C65" s="6" t="s">
        <v>93</v>
      </c>
      <c r="D65" s="6" t="s">
        <v>53</v>
      </c>
      <c r="E65" s="7">
        <v>21625</v>
      </c>
      <c r="F65" s="8">
        <v>18.6083125</v>
      </c>
      <c r="G65" s="9">
        <v>4.7923649999999998E-3</v>
      </c>
      <c r="H65" s="97"/>
    </row>
    <row r="66" spans="1:8" ht="17.100000000000001" customHeight="1" x14ac:dyDescent="0.2">
      <c r="A66" s="5">
        <v>60</v>
      </c>
      <c r="B66" s="6" t="s">
        <v>254</v>
      </c>
      <c r="C66" s="6" t="s">
        <v>255</v>
      </c>
      <c r="D66" s="6" t="s">
        <v>185</v>
      </c>
      <c r="E66" s="7">
        <v>1745</v>
      </c>
      <c r="F66" s="8">
        <v>18.196860000000001</v>
      </c>
      <c r="G66" s="9">
        <v>4.6864000000000003E-3</v>
      </c>
      <c r="H66" s="97"/>
    </row>
    <row r="67" spans="1:8" ht="17.100000000000001" customHeight="1" x14ac:dyDescent="0.2">
      <c r="A67" s="5">
        <v>61</v>
      </c>
      <c r="B67" s="6" t="s">
        <v>241</v>
      </c>
      <c r="C67" s="6" t="s">
        <v>242</v>
      </c>
      <c r="D67" s="6" t="s">
        <v>147</v>
      </c>
      <c r="E67" s="7">
        <v>3422</v>
      </c>
      <c r="F67" s="8">
        <v>16.182638000000001</v>
      </c>
      <c r="G67" s="9">
        <v>4.1676600000000001E-3</v>
      </c>
      <c r="H67" s="97"/>
    </row>
    <row r="68" spans="1:8" ht="29.1" customHeight="1" x14ac:dyDescent="0.2">
      <c r="A68" s="5">
        <v>62</v>
      </c>
      <c r="B68" s="6" t="s">
        <v>293</v>
      </c>
      <c r="C68" s="6" t="s">
        <v>294</v>
      </c>
      <c r="D68" s="6" t="s">
        <v>45</v>
      </c>
      <c r="E68" s="7">
        <v>2317</v>
      </c>
      <c r="F68" s="8">
        <v>14.080409</v>
      </c>
      <c r="G68" s="9">
        <v>3.6262540000000002E-3</v>
      </c>
      <c r="H68" s="97"/>
    </row>
    <row r="69" spans="1:8" ht="14.1" customHeight="1" x14ac:dyDescent="0.2">
      <c r="A69" s="3"/>
      <c r="B69" s="3"/>
      <c r="C69" s="4" t="s">
        <v>97</v>
      </c>
      <c r="D69" s="3"/>
      <c r="E69" s="3" t="s">
        <v>98</v>
      </c>
      <c r="F69" s="11">
        <v>3722.7418385000001</v>
      </c>
      <c r="G69" s="12">
        <v>0.95875103900000003</v>
      </c>
      <c r="H69" s="97"/>
    </row>
    <row r="70" spans="1:8" ht="14.1" customHeight="1" x14ac:dyDescent="0.2">
      <c r="A70" s="3"/>
      <c r="B70" s="3"/>
      <c r="C70" s="13"/>
      <c r="D70" s="3"/>
      <c r="E70" s="3"/>
      <c r="F70" s="14"/>
      <c r="G70" s="14"/>
      <c r="H70" s="97"/>
    </row>
    <row r="71" spans="1:8" ht="14.1" customHeight="1" x14ac:dyDescent="0.2">
      <c r="A71" s="3"/>
      <c r="B71" s="3"/>
      <c r="C71" s="4" t="s">
        <v>99</v>
      </c>
      <c r="D71" s="3"/>
      <c r="E71" s="3"/>
      <c r="F71" s="3"/>
      <c r="G71" s="3"/>
      <c r="H71" s="97"/>
    </row>
    <row r="72" spans="1:8" ht="14.1" customHeight="1" x14ac:dyDescent="0.2">
      <c r="A72" s="3"/>
      <c r="B72" s="3"/>
      <c r="C72" s="4" t="s">
        <v>97</v>
      </c>
      <c r="D72" s="3"/>
      <c r="E72" s="3" t="s">
        <v>98</v>
      </c>
      <c r="F72" s="15">
        <v>0</v>
      </c>
      <c r="G72" s="16">
        <v>0</v>
      </c>
      <c r="H72" s="97"/>
    </row>
    <row r="73" spans="1:8" ht="14.1" customHeight="1" x14ac:dyDescent="0.2">
      <c r="A73" s="3"/>
      <c r="B73" s="3"/>
      <c r="C73" s="13"/>
      <c r="D73" s="3"/>
      <c r="E73" s="3"/>
      <c r="F73" s="14"/>
      <c r="G73" s="14"/>
      <c r="H73" s="97"/>
    </row>
    <row r="74" spans="1:8" ht="14.1" customHeight="1" x14ac:dyDescent="0.2">
      <c r="A74" s="3"/>
      <c r="B74" s="3"/>
      <c r="C74" s="4" t="s">
        <v>100</v>
      </c>
      <c r="D74" s="3"/>
      <c r="E74" s="3"/>
      <c r="F74" s="3"/>
      <c r="G74" s="3"/>
      <c r="H74" s="97"/>
    </row>
    <row r="75" spans="1:8" ht="14.1" customHeight="1" x14ac:dyDescent="0.2">
      <c r="A75" s="3"/>
      <c r="B75" s="3"/>
      <c r="C75" s="4" t="s">
        <v>97</v>
      </c>
      <c r="D75" s="3"/>
      <c r="E75" s="3" t="s">
        <v>98</v>
      </c>
      <c r="F75" s="15">
        <v>0</v>
      </c>
      <c r="G75" s="16">
        <v>0</v>
      </c>
      <c r="H75" s="97"/>
    </row>
    <row r="76" spans="1:8" ht="14.1" customHeight="1" x14ac:dyDescent="0.2">
      <c r="A76" s="3"/>
      <c r="B76" s="3"/>
      <c r="C76" s="13"/>
      <c r="D76" s="3"/>
      <c r="E76" s="3"/>
      <c r="F76" s="14"/>
      <c r="G76" s="14"/>
      <c r="H76" s="97"/>
    </row>
    <row r="77" spans="1:8" ht="14.1" customHeight="1" x14ac:dyDescent="0.2">
      <c r="A77" s="3"/>
      <c r="B77" s="3"/>
      <c r="C77" s="4" t="s">
        <v>101</v>
      </c>
      <c r="D77" s="3"/>
      <c r="E77" s="3"/>
      <c r="F77" s="3"/>
      <c r="G77" s="3"/>
      <c r="H77" s="97"/>
    </row>
    <row r="78" spans="1:8" ht="14.1" customHeight="1" x14ac:dyDescent="0.2">
      <c r="A78" s="3"/>
      <c r="B78" s="3"/>
      <c r="C78" s="4" t="s">
        <v>97</v>
      </c>
      <c r="D78" s="3"/>
      <c r="E78" s="3" t="s">
        <v>98</v>
      </c>
      <c r="F78" s="15">
        <v>0</v>
      </c>
      <c r="G78" s="16">
        <v>0</v>
      </c>
      <c r="H78" s="97"/>
    </row>
    <row r="79" spans="1:8" ht="14.1" customHeight="1" x14ac:dyDescent="0.2">
      <c r="A79" s="3"/>
      <c r="B79" s="3"/>
      <c r="C79" s="13"/>
      <c r="D79" s="3"/>
      <c r="E79" s="3"/>
      <c r="F79" s="14"/>
      <c r="G79" s="14"/>
      <c r="H79" s="97"/>
    </row>
    <row r="80" spans="1:8" ht="14.1" customHeight="1" x14ac:dyDescent="0.2">
      <c r="A80" s="3"/>
      <c r="B80" s="3"/>
      <c r="C80" s="4" t="s">
        <v>102</v>
      </c>
      <c r="D80" s="3"/>
      <c r="E80" s="3"/>
      <c r="F80" s="14"/>
      <c r="G80" s="14"/>
      <c r="H80" s="97"/>
    </row>
    <row r="81" spans="1:8" ht="14.1" customHeight="1" x14ac:dyDescent="0.2">
      <c r="A81" s="3"/>
      <c r="B81" s="3"/>
      <c r="C81" s="4" t="s">
        <v>97</v>
      </c>
      <c r="D81" s="3"/>
      <c r="E81" s="3" t="s">
        <v>98</v>
      </c>
      <c r="F81" s="15">
        <v>0</v>
      </c>
      <c r="G81" s="16">
        <v>0</v>
      </c>
      <c r="H81" s="97"/>
    </row>
    <row r="82" spans="1:8" ht="14.1" customHeight="1" x14ac:dyDescent="0.2">
      <c r="A82" s="3"/>
      <c r="B82" s="3"/>
      <c r="C82" s="13"/>
      <c r="D82" s="3"/>
      <c r="E82" s="3"/>
      <c r="F82" s="14"/>
      <c r="G82" s="14"/>
      <c r="H82" s="97"/>
    </row>
    <row r="83" spans="1:8" ht="14.1" customHeight="1" x14ac:dyDescent="0.2">
      <c r="A83" s="3"/>
      <c r="B83" s="3"/>
      <c r="C83" s="4" t="s">
        <v>103</v>
      </c>
      <c r="D83" s="3"/>
      <c r="E83" s="3"/>
      <c r="F83" s="14"/>
      <c r="G83" s="14"/>
      <c r="H83" s="97"/>
    </row>
    <row r="84" spans="1:8" ht="14.1" customHeight="1" x14ac:dyDescent="0.2">
      <c r="A84" s="3"/>
      <c r="B84" s="3"/>
      <c r="C84" s="4" t="s">
        <v>97</v>
      </c>
      <c r="D84" s="3"/>
      <c r="E84" s="3" t="s">
        <v>98</v>
      </c>
      <c r="F84" s="15">
        <v>0</v>
      </c>
      <c r="G84" s="16">
        <v>0</v>
      </c>
      <c r="H84" s="97"/>
    </row>
    <row r="85" spans="1:8" ht="14.1" customHeight="1" x14ac:dyDescent="0.2">
      <c r="A85" s="3"/>
      <c r="B85" s="3"/>
      <c r="C85" s="13"/>
      <c r="D85" s="3"/>
      <c r="E85" s="3"/>
      <c r="F85" s="14"/>
      <c r="G85" s="14"/>
      <c r="H85" s="97"/>
    </row>
    <row r="86" spans="1:8" ht="18" customHeight="1" x14ac:dyDescent="0.2">
      <c r="A86" s="3"/>
      <c r="B86" s="3"/>
      <c r="C86" s="4" t="s">
        <v>104</v>
      </c>
      <c r="D86" s="3"/>
      <c r="E86" s="3"/>
      <c r="F86" s="11">
        <v>3722.7418385000001</v>
      </c>
      <c r="G86" s="12">
        <v>0.95875103900000003</v>
      </c>
      <c r="H86" s="97"/>
    </row>
    <row r="87" spans="1:8" ht="14.1" customHeight="1" x14ac:dyDescent="0.2">
      <c r="A87" s="3"/>
      <c r="B87" s="3"/>
      <c r="C87" s="13"/>
      <c r="D87" s="3"/>
      <c r="E87" s="3"/>
      <c r="F87" s="14"/>
      <c r="G87" s="14"/>
      <c r="H87" s="97"/>
    </row>
    <row r="88" spans="1:8" ht="14.1" customHeight="1" x14ac:dyDescent="0.2">
      <c r="A88" s="3"/>
      <c r="B88" s="3"/>
      <c r="C88" s="4" t="s">
        <v>105</v>
      </c>
      <c r="D88" s="3"/>
      <c r="E88" s="3"/>
      <c r="F88" s="14"/>
      <c r="G88" s="14"/>
      <c r="H88" s="97"/>
    </row>
    <row r="89" spans="1:8" ht="24" customHeight="1" x14ac:dyDescent="0.2">
      <c r="A89" s="3"/>
      <c r="B89" s="3"/>
      <c r="C89" s="4" t="s">
        <v>10</v>
      </c>
      <c r="D89" s="3"/>
      <c r="E89" s="3"/>
      <c r="F89" s="14"/>
      <c r="G89" s="14"/>
      <c r="H89" s="97"/>
    </row>
    <row r="90" spans="1:8" ht="14.1" customHeight="1" x14ac:dyDescent="0.2">
      <c r="A90" s="3"/>
      <c r="B90" s="3"/>
      <c r="C90" s="4" t="s">
        <v>97</v>
      </c>
      <c r="D90" s="3"/>
      <c r="E90" s="3" t="s">
        <v>98</v>
      </c>
      <c r="F90" s="15">
        <v>0</v>
      </c>
      <c r="G90" s="16">
        <v>0</v>
      </c>
      <c r="H90" s="97"/>
    </row>
    <row r="91" spans="1:8" ht="14.1" customHeight="1" x14ac:dyDescent="0.2">
      <c r="A91" s="3"/>
      <c r="B91" s="3"/>
      <c r="C91" s="13"/>
      <c r="D91" s="3"/>
      <c r="E91" s="3"/>
      <c r="F91" s="14"/>
      <c r="G91" s="14"/>
      <c r="H91" s="97"/>
    </row>
    <row r="92" spans="1:8" ht="14.1" customHeight="1" x14ac:dyDescent="0.2">
      <c r="A92" s="3"/>
      <c r="B92" s="3"/>
      <c r="C92" s="4" t="s">
        <v>106</v>
      </c>
      <c r="D92" s="3"/>
      <c r="E92" s="3"/>
      <c r="F92" s="3"/>
      <c r="G92" s="3"/>
      <c r="H92" s="97"/>
    </row>
    <row r="93" spans="1:8" ht="14.1" customHeight="1" x14ac:dyDescent="0.2">
      <c r="A93" s="3"/>
      <c r="B93" s="3"/>
      <c r="C93" s="4" t="s">
        <v>97</v>
      </c>
      <c r="D93" s="3"/>
      <c r="E93" s="3" t="s">
        <v>98</v>
      </c>
      <c r="F93" s="15">
        <v>0</v>
      </c>
      <c r="G93" s="16">
        <v>0</v>
      </c>
      <c r="H93" s="97"/>
    </row>
    <row r="94" spans="1:8" ht="14.1" customHeight="1" x14ac:dyDescent="0.2">
      <c r="A94" s="3"/>
      <c r="B94" s="3"/>
      <c r="C94" s="13"/>
      <c r="D94" s="3"/>
      <c r="E94" s="3"/>
      <c r="F94" s="14"/>
      <c r="G94" s="14"/>
      <c r="H94" s="97"/>
    </row>
    <row r="95" spans="1:8" ht="14.1" customHeight="1" x14ac:dyDescent="0.2">
      <c r="A95" s="3"/>
      <c r="B95" s="3"/>
      <c r="C95" s="4" t="s">
        <v>107</v>
      </c>
      <c r="D95" s="3"/>
      <c r="E95" s="3"/>
      <c r="F95" s="3"/>
      <c r="G95" s="3"/>
      <c r="H95" s="97"/>
    </row>
    <row r="96" spans="1:8" ht="14.1" customHeight="1" x14ac:dyDescent="0.2">
      <c r="A96" s="3"/>
      <c r="B96" s="3"/>
      <c r="C96" s="4" t="s">
        <v>97</v>
      </c>
      <c r="D96" s="3"/>
      <c r="E96" s="3" t="s">
        <v>98</v>
      </c>
      <c r="F96" s="15">
        <v>0</v>
      </c>
      <c r="G96" s="16">
        <v>0</v>
      </c>
      <c r="H96" s="97"/>
    </row>
    <row r="97" spans="1:8" ht="14.1" customHeight="1" x14ac:dyDescent="0.2">
      <c r="A97" s="3"/>
      <c r="B97" s="3"/>
      <c r="C97" s="13"/>
      <c r="D97" s="3"/>
      <c r="E97" s="3"/>
      <c r="F97" s="14"/>
      <c r="G97" s="14"/>
      <c r="H97" s="97"/>
    </row>
    <row r="98" spans="1:8" ht="14.1" customHeight="1" x14ac:dyDescent="0.2">
      <c r="A98" s="3"/>
      <c r="B98" s="3"/>
      <c r="C98" s="4" t="s">
        <v>108</v>
      </c>
      <c r="D98" s="3"/>
      <c r="E98" s="3"/>
      <c r="F98" s="14"/>
      <c r="G98" s="14"/>
      <c r="H98" s="97"/>
    </row>
    <row r="99" spans="1:8" ht="14.1" customHeight="1" x14ac:dyDescent="0.2">
      <c r="A99" s="3"/>
      <c r="B99" s="3"/>
      <c r="C99" s="4" t="s">
        <v>97</v>
      </c>
      <c r="D99" s="3"/>
      <c r="E99" s="3" t="s">
        <v>98</v>
      </c>
      <c r="F99" s="15">
        <v>0</v>
      </c>
      <c r="G99" s="16">
        <v>0</v>
      </c>
      <c r="H99" s="97"/>
    </row>
    <row r="100" spans="1:8" ht="14.1" customHeight="1" x14ac:dyDescent="0.2">
      <c r="A100" s="3"/>
      <c r="B100" s="3"/>
      <c r="C100" s="13"/>
      <c r="D100" s="3"/>
      <c r="E100" s="3"/>
      <c r="F100" s="14"/>
      <c r="G100" s="14"/>
      <c r="H100" s="97"/>
    </row>
    <row r="101" spans="1:8" ht="14.1" customHeight="1" x14ac:dyDescent="0.2">
      <c r="A101" s="3"/>
      <c r="B101" s="3"/>
      <c r="C101" s="4" t="s">
        <v>109</v>
      </c>
      <c r="D101" s="3"/>
      <c r="E101" s="3"/>
      <c r="F101" s="11">
        <v>0</v>
      </c>
      <c r="G101" s="12">
        <v>0</v>
      </c>
      <c r="H101" s="97"/>
    </row>
    <row r="102" spans="1:8" ht="14.1" customHeight="1" x14ac:dyDescent="0.2">
      <c r="A102" s="3"/>
      <c r="B102" s="3"/>
      <c r="C102" s="13"/>
      <c r="D102" s="3"/>
      <c r="E102" s="3"/>
      <c r="F102" s="14"/>
      <c r="G102" s="14"/>
      <c r="H102" s="97"/>
    </row>
    <row r="103" spans="1:8" ht="14.1" customHeight="1" x14ac:dyDescent="0.2">
      <c r="A103" s="3"/>
      <c r="B103" s="3"/>
      <c r="C103" s="4" t="s">
        <v>110</v>
      </c>
      <c r="D103" s="3"/>
      <c r="E103" s="3"/>
      <c r="F103" s="14"/>
      <c r="G103" s="14"/>
      <c r="H103" s="97"/>
    </row>
    <row r="104" spans="1:8" ht="14.1" customHeight="1" x14ac:dyDescent="0.2">
      <c r="A104" s="3"/>
      <c r="B104" s="3"/>
      <c r="C104" s="4" t="s">
        <v>111</v>
      </c>
      <c r="D104" s="3"/>
      <c r="E104" s="3"/>
      <c r="F104" s="14"/>
      <c r="G104" s="14"/>
      <c r="H104" s="97"/>
    </row>
    <row r="105" spans="1:8" ht="14.1" customHeight="1" x14ac:dyDescent="0.2">
      <c r="A105" s="3"/>
      <c r="B105" s="3"/>
      <c r="C105" s="4" t="s">
        <v>97</v>
      </c>
      <c r="D105" s="3"/>
      <c r="E105" s="3" t="s">
        <v>98</v>
      </c>
      <c r="F105" s="15">
        <v>0</v>
      </c>
      <c r="G105" s="16">
        <v>0</v>
      </c>
      <c r="H105" s="97"/>
    </row>
    <row r="106" spans="1:8" ht="14.1" customHeight="1" x14ac:dyDescent="0.2">
      <c r="A106" s="3"/>
      <c r="B106" s="3"/>
      <c r="C106" s="13"/>
      <c r="D106" s="3"/>
      <c r="E106" s="3"/>
      <c r="F106" s="14"/>
      <c r="G106" s="14"/>
      <c r="H106" s="97"/>
    </row>
    <row r="107" spans="1:8" ht="14.1" customHeight="1" x14ac:dyDescent="0.2">
      <c r="A107" s="3"/>
      <c r="B107" s="3"/>
      <c r="C107" s="4" t="s">
        <v>112</v>
      </c>
      <c r="D107" s="3"/>
      <c r="E107" s="3"/>
      <c r="F107" s="14"/>
      <c r="G107" s="14"/>
      <c r="H107" s="97"/>
    </row>
    <row r="108" spans="1:8" ht="14.1" customHeight="1" x14ac:dyDescent="0.2">
      <c r="A108" s="3"/>
      <c r="B108" s="3"/>
      <c r="C108" s="4" t="s">
        <v>97</v>
      </c>
      <c r="D108" s="3"/>
      <c r="E108" s="3" t="s">
        <v>98</v>
      </c>
      <c r="F108" s="15">
        <v>0</v>
      </c>
      <c r="G108" s="16">
        <v>0</v>
      </c>
      <c r="H108" s="97"/>
    </row>
    <row r="109" spans="1:8" ht="14.1" customHeight="1" x14ac:dyDescent="0.2">
      <c r="A109" s="3"/>
      <c r="B109" s="3"/>
      <c r="C109" s="13"/>
      <c r="D109" s="3"/>
      <c r="E109" s="3"/>
      <c r="F109" s="14"/>
      <c r="G109" s="14"/>
      <c r="H109" s="97"/>
    </row>
    <row r="110" spans="1:8" ht="14.1" customHeight="1" x14ac:dyDescent="0.2">
      <c r="A110" s="3"/>
      <c r="B110" s="3"/>
      <c r="C110" s="4" t="s">
        <v>113</v>
      </c>
      <c r="D110" s="3"/>
      <c r="E110" s="3"/>
      <c r="F110" s="14"/>
      <c r="G110" s="14"/>
      <c r="H110" s="97"/>
    </row>
    <row r="111" spans="1:8" ht="14.1" customHeight="1" x14ac:dyDescent="0.2">
      <c r="A111" s="3"/>
      <c r="B111" s="3"/>
      <c r="C111" s="4" t="s">
        <v>97</v>
      </c>
      <c r="D111" s="3"/>
      <c r="E111" s="3" t="s">
        <v>98</v>
      </c>
      <c r="F111" s="15">
        <v>0</v>
      </c>
      <c r="G111" s="16">
        <v>0</v>
      </c>
      <c r="H111" s="97"/>
    </row>
    <row r="112" spans="1:8" ht="14.1" customHeight="1" x14ac:dyDescent="0.2">
      <c r="A112" s="3"/>
      <c r="B112" s="3"/>
      <c r="C112" s="13"/>
      <c r="D112" s="3"/>
      <c r="E112" s="3"/>
      <c r="F112" s="14"/>
      <c r="G112" s="14"/>
      <c r="H112" s="97"/>
    </row>
    <row r="113" spans="1:8" ht="14.1" customHeight="1" x14ac:dyDescent="0.2">
      <c r="A113" s="3"/>
      <c r="B113" s="3"/>
      <c r="C113" s="4" t="s">
        <v>114</v>
      </c>
      <c r="D113" s="3"/>
      <c r="E113" s="3"/>
      <c r="F113" s="14"/>
      <c r="G113" s="14"/>
      <c r="H113" s="97"/>
    </row>
    <row r="114" spans="1:8" ht="17.100000000000001" customHeight="1" x14ac:dyDescent="0.2">
      <c r="A114" s="5">
        <v>1</v>
      </c>
      <c r="B114" s="6"/>
      <c r="C114" s="6" t="s">
        <v>115</v>
      </c>
      <c r="D114" s="6"/>
      <c r="E114" s="10"/>
      <c r="F114" s="8">
        <v>108.2488001</v>
      </c>
      <c r="G114" s="9">
        <v>2.7878283E-2</v>
      </c>
      <c r="H114" s="8">
        <v>3.4504560529072292</v>
      </c>
    </row>
    <row r="115" spans="1:8" ht="17.100000000000001" customHeight="1" x14ac:dyDescent="0.2">
      <c r="A115" s="5">
        <v>2</v>
      </c>
      <c r="B115" s="6"/>
      <c r="C115" s="6" t="s">
        <v>116</v>
      </c>
      <c r="D115" s="6"/>
      <c r="E115" s="10"/>
      <c r="F115" s="8">
        <v>58.422693000000002</v>
      </c>
      <c r="G115" s="9">
        <v>1.5046119E-2</v>
      </c>
      <c r="H115" s="8">
        <v>3.5655822479098256</v>
      </c>
    </row>
    <row r="116" spans="1:8" ht="14.1" customHeight="1" x14ac:dyDescent="0.2">
      <c r="A116" s="3"/>
      <c r="B116" s="3"/>
      <c r="C116" s="4" t="s">
        <v>97</v>
      </c>
      <c r="D116" s="3"/>
      <c r="E116" s="3" t="s">
        <v>98</v>
      </c>
      <c r="F116" s="11">
        <v>166.67149309999999</v>
      </c>
      <c r="G116" s="12">
        <v>4.2924402E-2</v>
      </c>
      <c r="H116" s="97"/>
    </row>
    <row r="117" spans="1:8" ht="14.1" customHeight="1" x14ac:dyDescent="0.2">
      <c r="A117" s="3"/>
      <c r="B117" s="3"/>
      <c r="C117" s="13"/>
      <c r="D117" s="3"/>
      <c r="E117" s="3"/>
      <c r="F117" s="14"/>
      <c r="G117" s="14"/>
      <c r="H117" s="97"/>
    </row>
    <row r="118" spans="1:8" ht="14.1" customHeight="1" x14ac:dyDescent="0.2">
      <c r="A118" s="3"/>
      <c r="B118" s="3"/>
      <c r="C118" s="4" t="s">
        <v>117</v>
      </c>
      <c r="D118" s="3"/>
      <c r="E118" s="3"/>
      <c r="F118" s="11">
        <v>166.67149309999999</v>
      </c>
      <c r="G118" s="12">
        <v>4.2924402E-2</v>
      </c>
      <c r="H118" s="97"/>
    </row>
    <row r="119" spans="1:8" ht="14.1" customHeight="1" x14ac:dyDescent="0.2">
      <c r="A119" s="3"/>
      <c r="B119" s="3"/>
      <c r="C119" s="14"/>
      <c r="D119" s="3"/>
      <c r="E119" s="3"/>
      <c r="F119" s="3"/>
      <c r="G119" s="3"/>
      <c r="H119" s="97"/>
    </row>
    <row r="120" spans="1:8" ht="14.1" customHeight="1" x14ac:dyDescent="0.2">
      <c r="A120" s="3"/>
      <c r="B120" s="3"/>
      <c r="C120" s="4" t="s">
        <v>118</v>
      </c>
      <c r="D120" s="3"/>
      <c r="E120" s="3"/>
      <c r="F120" s="3"/>
      <c r="G120" s="3"/>
      <c r="H120" s="97"/>
    </row>
    <row r="121" spans="1:8" ht="14.1" customHeight="1" x14ac:dyDescent="0.2">
      <c r="A121" s="3"/>
      <c r="B121" s="3"/>
      <c r="C121" s="4" t="s">
        <v>119</v>
      </c>
      <c r="D121" s="3"/>
      <c r="E121" s="3"/>
      <c r="F121" s="3"/>
      <c r="G121" s="3"/>
      <c r="H121" s="97"/>
    </row>
    <row r="122" spans="1:8" ht="14.1" customHeight="1" x14ac:dyDescent="0.2">
      <c r="A122" s="3"/>
      <c r="B122" s="3"/>
      <c r="C122" s="4" t="s">
        <v>97</v>
      </c>
      <c r="D122" s="3"/>
      <c r="E122" s="3" t="s">
        <v>98</v>
      </c>
      <c r="F122" s="15">
        <v>0</v>
      </c>
      <c r="G122" s="16">
        <v>0</v>
      </c>
      <c r="H122" s="97"/>
    </row>
    <row r="123" spans="1:8" ht="14.1" customHeight="1" x14ac:dyDescent="0.2">
      <c r="A123" s="3"/>
      <c r="B123" s="3"/>
      <c r="C123" s="13"/>
      <c r="D123" s="3"/>
      <c r="E123" s="3"/>
      <c r="F123" s="14"/>
      <c r="G123" s="14"/>
      <c r="H123" s="97"/>
    </row>
    <row r="124" spans="1:8" ht="14.1" customHeight="1" x14ac:dyDescent="0.2">
      <c r="A124" s="3"/>
      <c r="B124" s="3"/>
      <c r="C124" s="4" t="s">
        <v>120</v>
      </c>
      <c r="D124" s="3"/>
      <c r="E124" s="3"/>
      <c r="F124" s="3"/>
      <c r="G124" s="3"/>
      <c r="H124" s="97"/>
    </row>
    <row r="125" spans="1:8" ht="14.1" customHeight="1" x14ac:dyDescent="0.2">
      <c r="A125" s="3"/>
      <c r="B125" s="3"/>
      <c r="C125" s="4" t="s">
        <v>121</v>
      </c>
      <c r="D125" s="3"/>
      <c r="E125" s="3"/>
      <c r="F125" s="3"/>
      <c r="G125" s="3"/>
      <c r="H125" s="97"/>
    </row>
    <row r="126" spans="1:8" ht="14.1" customHeight="1" x14ac:dyDescent="0.2">
      <c r="A126" s="3"/>
      <c r="B126" s="3"/>
      <c r="C126" s="4" t="s">
        <v>97</v>
      </c>
      <c r="D126" s="3"/>
      <c r="E126" s="3" t="s">
        <v>98</v>
      </c>
      <c r="F126" s="15">
        <v>0</v>
      </c>
      <c r="G126" s="16">
        <v>0</v>
      </c>
      <c r="H126" s="97"/>
    </row>
    <row r="127" spans="1:8" ht="14.1" customHeight="1" x14ac:dyDescent="0.2">
      <c r="A127" s="3"/>
      <c r="B127" s="3"/>
      <c r="C127" s="13"/>
      <c r="D127" s="3"/>
      <c r="E127" s="3"/>
      <c r="F127" s="14"/>
      <c r="G127" s="14"/>
      <c r="H127" s="97"/>
    </row>
    <row r="128" spans="1:8" ht="14.1" customHeight="1" x14ac:dyDescent="0.2">
      <c r="A128" s="3"/>
      <c r="B128" s="3"/>
      <c r="C128" s="13"/>
      <c r="D128" s="3"/>
      <c r="E128" s="3"/>
      <c r="F128" s="14"/>
      <c r="G128" s="14"/>
      <c r="H128" s="97"/>
    </row>
    <row r="129" spans="1:8" ht="24" customHeight="1" x14ac:dyDescent="0.2">
      <c r="A129" s="3"/>
      <c r="B129" s="3"/>
      <c r="C129" s="4" t="s">
        <v>122</v>
      </c>
      <c r="D129" s="3"/>
      <c r="E129" s="3"/>
      <c r="F129" s="14"/>
      <c r="G129" s="14"/>
      <c r="H129" s="97"/>
    </row>
    <row r="130" spans="1:8" ht="14.1" customHeight="1" x14ac:dyDescent="0.2">
      <c r="A130" s="3"/>
      <c r="B130" s="3"/>
      <c r="C130" s="4" t="s">
        <v>97</v>
      </c>
      <c r="D130" s="3"/>
      <c r="E130" s="3" t="s">
        <v>98</v>
      </c>
      <c r="F130" s="15">
        <v>0</v>
      </c>
      <c r="G130" s="16">
        <v>0</v>
      </c>
      <c r="H130" s="97"/>
    </row>
    <row r="131" spans="1:8" ht="14.1" customHeight="1" x14ac:dyDescent="0.2">
      <c r="A131" s="3"/>
      <c r="B131" s="3"/>
      <c r="C131" s="13"/>
      <c r="D131" s="3"/>
      <c r="E131" s="3"/>
      <c r="F131" s="14"/>
      <c r="G131" s="14"/>
      <c r="H131" s="97"/>
    </row>
    <row r="132" spans="1:8" ht="14.1" customHeight="1" x14ac:dyDescent="0.2">
      <c r="A132" s="3"/>
      <c r="B132" s="6"/>
      <c r="C132" s="6"/>
      <c r="D132" s="4"/>
      <c r="E132" s="3"/>
      <c r="F132" s="6"/>
      <c r="G132" s="10"/>
      <c r="H132" s="97"/>
    </row>
    <row r="133" spans="1:8" ht="18" customHeight="1" x14ac:dyDescent="0.2">
      <c r="A133" s="10"/>
      <c r="B133" s="6"/>
      <c r="C133" s="6" t="s">
        <v>123</v>
      </c>
      <c r="D133" s="6"/>
      <c r="E133" s="10"/>
      <c r="F133" s="8">
        <v>-6.5055842899999998</v>
      </c>
      <c r="G133" s="9">
        <v>-1.675441E-3</v>
      </c>
      <c r="H133" s="97"/>
    </row>
    <row r="134" spans="1:8" ht="14.1" customHeight="1" x14ac:dyDescent="0.2">
      <c r="A134" s="13"/>
      <c r="B134" s="13"/>
      <c r="C134" s="4" t="s">
        <v>124</v>
      </c>
      <c r="D134" s="17"/>
      <c r="E134" s="17"/>
      <c r="F134" s="11">
        <v>3882.9077473100001</v>
      </c>
      <c r="G134" s="12">
        <v>1</v>
      </c>
      <c r="H134" s="97"/>
    </row>
    <row r="135" spans="1:8" ht="14.1" customHeight="1" x14ac:dyDescent="0.2">
      <c r="A135" s="20"/>
      <c r="B135" s="226" t="s">
        <v>98</v>
      </c>
      <c r="C135" s="226"/>
      <c r="D135" s="226"/>
      <c r="E135" s="226"/>
      <c r="F135" s="226"/>
      <c r="G135" s="22"/>
    </row>
    <row r="136" spans="1:8" ht="14.1" customHeight="1" x14ac:dyDescent="0.2">
      <c r="A136" s="20"/>
      <c r="B136" s="20"/>
      <c r="C136" s="20"/>
      <c r="D136" s="22"/>
      <c r="E136" s="22"/>
      <c r="F136" s="22"/>
      <c r="G136" s="22"/>
    </row>
    <row r="137" spans="1:8" ht="14.1" customHeight="1" x14ac:dyDescent="0.2">
      <c r="A137" s="20"/>
      <c r="B137" s="224" t="s">
        <v>126</v>
      </c>
      <c r="C137" s="225"/>
      <c r="D137" s="14" t="s">
        <v>98</v>
      </c>
      <c r="E137" s="23"/>
      <c r="F137" s="22"/>
      <c r="G137" s="22"/>
    </row>
    <row r="138" spans="1:8" ht="29.1" customHeight="1" x14ac:dyDescent="0.2">
      <c r="A138" s="20"/>
      <c r="B138" s="231" t="s">
        <v>127</v>
      </c>
      <c r="C138" s="232"/>
      <c r="D138" s="4" t="s">
        <v>128</v>
      </c>
      <c r="E138" s="23"/>
      <c r="F138" s="22"/>
      <c r="G138" s="22"/>
    </row>
    <row r="139" spans="1:8" ht="17.100000000000001" customHeight="1" x14ac:dyDescent="0.2">
      <c r="A139" s="20"/>
      <c r="B139" s="231" t="s">
        <v>129</v>
      </c>
      <c r="C139" s="232"/>
      <c r="D139" s="4" t="s">
        <v>128</v>
      </c>
      <c r="E139" s="23"/>
      <c r="F139" s="22"/>
      <c r="G139" s="22"/>
    </row>
    <row r="140" spans="1:8" ht="17.100000000000001" customHeight="1" x14ac:dyDescent="0.2">
      <c r="A140" s="20"/>
      <c r="B140" s="231" t="s">
        <v>130</v>
      </c>
      <c r="C140" s="232"/>
      <c r="D140" s="14" t="s">
        <v>98</v>
      </c>
      <c r="E140" s="23"/>
      <c r="F140" s="22"/>
      <c r="G140" s="22"/>
    </row>
    <row r="141" spans="1:8" ht="24" customHeight="1" x14ac:dyDescent="0.2">
      <c r="A141" s="24"/>
      <c r="B141" s="25" t="s">
        <v>98</v>
      </c>
      <c r="C141" s="25" t="s">
        <v>131</v>
      </c>
      <c r="D141" s="25" t="s">
        <v>132</v>
      </c>
      <c r="E141" s="24"/>
      <c r="F141" s="24"/>
      <c r="G141" s="24"/>
    </row>
    <row r="142" spans="1:8" ht="18" customHeight="1" x14ac:dyDescent="0.2">
      <c r="A142" s="24"/>
      <c r="B142" s="25" t="s">
        <v>133</v>
      </c>
      <c r="C142" s="25" t="s">
        <v>134</v>
      </c>
      <c r="D142" s="25" t="s">
        <v>135</v>
      </c>
      <c r="E142" s="24"/>
      <c r="F142" s="24"/>
      <c r="G142" s="24"/>
    </row>
    <row r="143" spans="1:8" ht="17.100000000000001" customHeight="1" x14ac:dyDescent="0.2">
      <c r="A143" s="24"/>
      <c r="B143" s="6" t="s">
        <v>136</v>
      </c>
      <c r="C143" s="26">
        <v>15.7905</v>
      </c>
      <c r="D143" s="26">
        <v>16.470199999999998</v>
      </c>
      <c r="E143" s="24"/>
      <c r="F143" s="21"/>
      <c r="G143" s="27"/>
    </row>
    <row r="144" spans="1:8" ht="17.100000000000001" customHeight="1" x14ac:dyDescent="0.2">
      <c r="A144" s="24"/>
      <c r="B144" s="6" t="s">
        <v>1201</v>
      </c>
      <c r="C144" s="26">
        <v>15.7905</v>
      </c>
      <c r="D144" s="26">
        <v>16.470199999999998</v>
      </c>
      <c r="E144" s="24"/>
      <c r="F144" s="21"/>
      <c r="G144" s="27"/>
    </row>
    <row r="145" spans="1:17" ht="17.100000000000001" customHeight="1" x14ac:dyDescent="0.2">
      <c r="A145" s="24"/>
      <c r="B145" s="6" t="s">
        <v>137</v>
      </c>
      <c r="C145" s="26">
        <v>15.5047</v>
      </c>
      <c r="D145" s="26">
        <v>16.170500000000001</v>
      </c>
      <c r="E145" s="24"/>
      <c r="F145" s="21"/>
      <c r="G145" s="27"/>
    </row>
    <row r="146" spans="1:17" ht="17.100000000000001" customHeight="1" x14ac:dyDescent="0.2">
      <c r="A146" s="24"/>
      <c r="B146" s="6" t="s">
        <v>1202</v>
      </c>
      <c r="C146" s="26">
        <v>15.5045</v>
      </c>
      <c r="D146" s="26">
        <v>16.170400000000001</v>
      </c>
      <c r="E146" s="24"/>
      <c r="F146" s="21"/>
      <c r="G146" s="27"/>
    </row>
    <row r="147" spans="1:17" ht="14.1" customHeight="1" x14ac:dyDescent="0.2">
      <c r="A147" s="24"/>
      <c r="B147" s="24"/>
      <c r="C147" s="24"/>
      <c r="D147" s="24"/>
      <c r="E147" s="24"/>
      <c r="F147" s="24"/>
      <c r="G147" s="24"/>
    </row>
    <row r="148" spans="1:17" ht="17.100000000000001" customHeight="1" x14ac:dyDescent="0.2">
      <c r="A148" s="24"/>
      <c r="B148" s="231" t="s">
        <v>1203</v>
      </c>
      <c r="C148" s="232"/>
      <c r="D148" s="4" t="s">
        <v>128</v>
      </c>
      <c r="E148" s="24"/>
      <c r="F148" s="24"/>
      <c r="G148" s="24"/>
    </row>
    <row r="149" spans="1:17" ht="18" customHeight="1" x14ac:dyDescent="0.2">
      <c r="A149" s="24"/>
      <c r="B149" s="28"/>
      <c r="C149" s="28"/>
      <c r="D149" s="29"/>
      <c r="E149" s="24"/>
      <c r="F149" s="24"/>
      <c r="G149" s="24"/>
    </row>
    <row r="150" spans="1:17" s="87" customFormat="1" x14ac:dyDescent="0.2">
      <c r="B150" s="233" t="s">
        <v>1207</v>
      </c>
      <c r="C150" s="233"/>
      <c r="D150" s="233"/>
      <c r="E150" s="233"/>
      <c r="F150" s="233"/>
      <c r="I150"/>
      <c r="J150"/>
      <c r="K150"/>
      <c r="L150"/>
      <c r="M150"/>
      <c r="N150"/>
      <c r="O150"/>
      <c r="P150" s="69"/>
      <c r="Q150" s="69"/>
    </row>
    <row r="151" spans="1:17" ht="14.1" customHeight="1" x14ac:dyDescent="0.2">
      <c r="A151" s="24"/>
      <c r="B151" s="21"/>
      <c r="C151" s="21"/>
      <c r="D151" s="24"/>
      <c r="E151" s="24"/>
      <c r="F151" s="24"/>
      <c r="G151" s="24"/>
    </row>
    <row r="152" spans="1:17" ht="29.1" customHeight="1" x14ac:dyDescent="0.2">
      <c r="A152" s="24"/>
      <c r="B152" s="231" t="s">
        <v>138</v>
      </c>
      <c r="C152" s="232"/>
      <c r="D152" s="4" t="s">
        <v>128</v>
      </c>
      <c r="E152" s="24"/>
      <c r="F152" s="24"/>
      <c r="G152" s="24"/>
    </row>
    <row r="153" spans="1:17" ht="29.1" customHeight="1" x14ac:dyDescent="0.2">
      <c r="A153" s="24"/>
      <c r="B153" s="231" t="s">
        <v>139</v>
      </c>
      <c r="C153" s="232"/>
      <c r="D153" s="4" t="s">
        <v>128</v>
      </c>
      <c r="E153" s="24"/>
      <c r="F153" s="24"/>
      <c r="G153" s="24"/>
    </row>
    <row r="154" spans="1:17" ht="17.100000000000001" customHeight="1" x14ac:dyDescent="0.2">
      <c r="A154" s="24"/>
      <c r="B154" s="231" t="s">
        <v>140</v>
      </c>
      <c r="C154" s="232"/>
      <c r="D154" s="30">
        <v>0.28091030557415969</v>
      </c>
      <c r="E154" s="24"/>
      <c r="F154" s="21"/>
      <c r="G154" s="27"/>
    </row>
    <row r="155" spans="1:17" ht="17.100000000000001" customHeight="1" x14ac:dyDescent="0.2">
      <c r="A155" s="24"/>
      <c r="B155" s="231" t="s">
        <v>141</v>
      </c>
      <c r="C155" s="232"/>
      <c r="D155" s="4" t="s">
        <v>128</v>
      </c>
      <c r="E155" s="24"/>
      <c r="F155" s="24"/>
      <c r="G155" s="24"/>
      <c r="I155" s="87"/>
      <c r="J155" s="87"/>
      <c r="K155" s="87"/>
      <c r="L155" s="87"/>
      <c r="M155" s="87"/>
      <c r="N155" s="87"/>
      <c r="O155" s="87"/>
    </row>
  </sheetData>
  <mergeCells count="15">
    <mergeCell ref="B154:C154"/>
    <mergeCell ref="B155:C155"/>
    <mergeCell ref="B138:C138"/>
    <mergeCell ref="B139:C139"/>
    <mergeCell ref="B140:C140"/>
    <mergeCell ref="B148:C148"/>
    <mergeCell ref="B152:C152"/>
    <mergeCell ref="B153:C153"/>
    <mergeCell ref="B150:F150"/>
    <mergeCell ref="J2:N2"/>
    <mergeCell ref="B137:C137"/>
    <mergeCell ref="B135:F135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27">
    <outlinePr summaryBelow="0" summaryRight="0"/>
  </sheetPr>
  <dimension ref="A1:Q159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5" ht="15" x14ac:dyDescent="0.2">
      <c r="A1" s="227" t="s">
        <v>0</v>
      </c>
      <c r="B1" s="227"/>
      <c r="C1" s="227"/>
      <c r="D1" s="227"/>
      <c r="E1" s="227"/>
      <c r="F1" s="227"/>
      <c r="G1" s="227"/>
      <c r="H1" s="227"/>
    </row>
    <row r="2" spans="1:15" s="87" customFormat="1" ht="15" x14ac:dyDescent="0.2">
      <c r="A2" s="228" t="s">
        <v>640</v>
      </c>
      <c r="B2" s="229"/>
      <c r="C2" s="229"/>
      <c r="D2" s="229"/>
      <c r="E2" s="229"/>
      <c r="F2" s="229"/>
      <c r="G2" s="229"/>
      <c r="H2" s="230"/>
      <c r="I2"/>
      <c r="J2" s="223" t="s">
        <v>1238</v>
      </c>
      <c r="K2" s="223"/>
      <c r="L2" s="223"/>
      <c r="M2" s="223"/>
      <c r="N2" s="223"/>
      <c r="O2"/>
    </row>
    <row r="3" spans="1:15" ht="15" x14ac:dyDescent="0.2">
      <c r="A3" s="227" t="s">
        <v>1208</v>
      </c>
      <c r="B3" s="227"/>
      <c r="C3" s="227"/>
      <c r="D3" s="227"/>
      <c r="E3" s="227"/>
      <c r="F3" s="227"/>
      <c r="G3" s="227"/>
      <c r="H3" s="227"/>
    </row>
    <row r="4" spans="1:15" s="113" customFormat="1" ht="30" x14ac:dyDescent="0.2">
      <c r="A4" s="1" t="s">
        <v>2</v>
      </c>
      <c r="B4" s="1" t="s">
        <v>3</v>
      </c>
      <c r="C4" s="1" t="s">
        <v>4</v>
      </c>
      <c r="D4" s="1" t="s">
        <v>5</v>
      </c>
      <c r="E4" s="2" t="s">
        <v>6</v>
      </c>
      <c r="F4" s="2" t="s">
        <v>7</v>
      </c>
      <c r="G4" s="2" t="s">
        <v>8</v>
      </c>
      <c r="H4" s="96" t="s">
        <v>1167</v>
      </c>
      <c r="I4" s="183"/>
      <c r="J4" s="183"/>
      <c r="K4" s="183"/>
      <c r="L4" s="183"/>
      <c r="M4" s="183"/>
      <c r="N4" s="183"/>
      <c r="O4" s="183"/>
    </row>
    <row r="5" spans="1:15" x14ac:dyDescent="0.2">
      <c r="A5" s="3"/>
      <c r="B5" s="3"/>
      <c r="C5" s="4" t="s">
        <v>9</v>
      </c>
      <c r="D5" s="3"/>
      <c r="E5" s="3"/>
      <c r="F5" s="3"/>
      <c r="G5" s="3"/>
      <c r="H5" s="97"/>
    </row>
    <row r="6" spans="1:15" ht="25.5" x14ac:dyDescent="0.2">
      <c r="A6" s="3"/>
      <c r="B6" s="3"/>
      <c r="C6" s="4" t="s">
        <v>10</v>
      </c>
      <c r="D6" s="3"/>
      <c r="E6" s="3"/>
      <c r="F6" s="3"/>
      <c r="G6" s="3"/>
      <c r="H6" s="97"/>
    </row>
    <row r="7" spans="1:15" x14ac:dyDescent="0.2">
      <c r="A7" s="5">
        <v>1</v>
      </c>
      <c r="B7" s="6" t="s">
        <v>164</v>
      </c>
      <c r="C7" s="6" t="s">
        <v>165</v>
      </c>
      <c r="D7" s="6" t="s">
        <v>19</v>
      </c>
      <c r="E7" s="7">
        <v>11734</v>
      </c>
      <c r="F7" s="8">
        <v>137.058987</v>
      </c>
      <c r="G7" s="9">
        <v>3.5374568000000002E-2</v>
      </c>
      <c r="H7" s="97"/>
    </row>
    <row r="8" spans="1:15" ht="25.5" x14ac:dyDescent="0.2">
      <c r="A8" s="5">
        <v>2</v>
      </c>
      <c r="B8" s="6" t="s">
        <v>143</v>
      </c>
      <c r="C8" s="6" t="s">
        <v>144</v>
      </c>
      <c r="D8" s="6" t="s">
        <v>45</v>
      </c>
      <c r="E8" s="7">
        <v>65865</v>
      </c>
      <c r="F8" s="8">
        <v>128.14035749999999</v>
      </c>
      <c r="G8" s="9">
        <v>3.3072693E-2</v>
      </c>
      <c r="H8" s="97"/>
    </row>
    <row r="9" spans="1:15" x14ac:dyDescent="0.2">
      <c r="A9" s="5">
        <v>3</v>
      </c>
      <c r="B9" s="6" t="s">
        <v>274</v>
      </c>
      <c r="C9" s="6" t="s">
        <v>275</v>
      </c>
      <c r="D9" s="6" t="s">
        <v>185</v>
      </c>
      <c r="E9" s="7">
        <v>2837</v>
      </c>
      <c r="F9" s="8">
        <v>118.82774499999999</v>
      </c>
      <c r="G9" s="9">
        <v>3.0669132000000002E-2</v>
      </c>
      <c r="H9" s="97"/>
    </row>
    <row r="10" spans="1:15" x14ac:dyDescent="0.2">
      <c r="A10" s="5">
        <v>4</v>
      </c>
      <c r="B10" s="6" t="s">
        <v>148</v>
      </c>
      <c r="C10" s="6" t="s">
        <v>149</v>
      </c>
      <c r="D10" s="6" t="s">
        <v>70</v>
      </c>
      <c r="E10" s="7">
        <v>18995</v>
      </c>
      <c r="F10" s="8">
        <v>113.571105</v>
      </c>
      <c r="G10" s="9">
        <v>2.9312406999999999E-2</v>
      </c>
      <c r="H10" s="97"/>
    </row>
    <row r="11" spans="1:15" x14ac:dyDescent="0.2">
      <c r="A11" s="5">
        <v>5</v>
      </c>
      <c r="B11" s="6" t="s">
        <v>74</v>
      </c>
      <c r="C11" s="6" t="s">
        <v>75</v>
      </c>
      <c r="D11" s="6" t="s">
        <v>70</v>
      </c>
      <c r="E11" s="7">
        <v>26702</v>
      </c>
      <c r="F11" s="8">
        <v>112.09499599999999</v>
      </c>
      <c r="G11" s="9">
        <v>2.8931426999999999E-2</v>
      </c>
      <c r="H11" s="97"/>
    </row>
    <row r="12" spans="1:15" x14ac:dyDescent="0.2">
      <c r="A12" s="5">
        <v>6</v>
      </c>
      <c r="B12" s="6" t="s">
        <v>150</v>
      </c>
      <c r="C12" s="6" t="s">
        <v>151</v>
      </c>
      <c r="D12" s="6" t="s">
        <v>81</v>
      </c>
      <c r="E12" s="7">
        <v>96084</v>
      </c>
      <c r="F12" s="8">
        <v>106.509114</v>
      </c>
      <c r="G12" s="9">
        <v>2.7489725999999999E-2</v>
      </c>
      <c r="H12" s="97"/>
    </row>
    <row r="13" spans="1:15" x14ac:dyDescent="0.2">
      <c r="A13" s="5">
        <v>7</v>
      </c>
      <c r="B13" s="6" t="s">
        <v>156</v>
      </c>
      <c r="C13" s="6" t="s">
        <v>157</v>
      </c>
      <c r="D13" s="6" t="s">
        <v>19</v>
      </c>
      <c r="E13" s="7">
        <v>14411</v>
      </c>
      <c r="F13" s="8">
        <v>104.53018849999999</v>
      </c>
      <c r="G13" s="9">
        <v>2.6978970000000001E-2</v>
      </c>
      <c r="H13" s="97"/>
    </row>
    <row r="14" spans="1:15" x14ac:dyDescent="0.2">
      <c r="A14" s="5">
        <v>8</v>
      </c>
      <c r="B14" s="6" t="s">
        <v>145</v>
      </c>
      <c r="C14" s="6" t="s">
        <v>146</v>
      </c>
      <c r="D14" s="6" t="s">
        <v>147</v>
      </c>
      <c r="E14" s="7">
        <v>2026</v>
      </c>
      <c r="F14" s="8">
        <v>99.362131000000005</v>
      </c>
      <c r="G14" s="9">
        <v>2.5645108E-2</v>
      </c>
      <c r="H14" s="97"/>
    </row>
    <row r="15" spans="1:15" ht="15" x14ac:dyDescent="0.2">
      <c r="A15" s="5">
        <v>9</v>
      </c>
      <c r="B15" s="6" t="s">
        <v>263</v>
      </c>
      <c r="C15" s="6" t="s">
        <v>264</v>
      </c>
      <c r="D15" s="6" t="s">
        <v>147</v>
      </c>
      <c r="E15" s="7">
        <v>16128</v>
      </c>
      <c r="F15" s="8">
        <v>98.856576000000004</v>
      </c>
      <c r="G15" s="9">
        <v>2.5514624999999999E-2</v>
      </c>
      <c r="H15" s="97"/>
      <c r="J15" s="184" t="s">
        <v>1240</v>
      </c>
    </row>
    <row r="16" spans="1:15" x14ac:dyDescent="0.2">
      <c r="A16" s="5">
        <v>10</v>
      </c>
      <c r="B16" s="6" t="s">
        <v>17</v>
      </c>
      <c r="C16" s="6" t="s">
        <v>18</v>
      </c>
      <c r="D16" s="6" t="s">
        <v>19</v>
      </c>
      <c r="E16" s="7">
        <v>5142</v>
      </c>
      <c r="F16" s="8">
        <v>98.572140000000005</v>
      </c>
      <c r="G16" s="9">
        <v>2.5441213000000001E-2</v>
      </c>
      <c r="H16" s="97"/>
    </row>
    <row r="17" spans="1:8" x14ac:dyDescent="0.2">
      <c r="A17" s="5">
        <v>11</v>
      </c>
      <c r="B17" s="6" t="s">
        <v>152</v>
      </c>
      <c r="C17" s="6" t="s">
        <v>153</v>
      </c>
      <c r="D17" s="6" t="s">
        <v>1184</v>
      </c>
      <c r="E17" s="7">
        <v>8070</v>
      </c>
      <c r="F17" s="8">
        <v>95.391435000000001</v>
      </c>
      <c r="G17" s="9">
        <v>2.4620282E-2</v>
      </c>
      <c r="H17" s="97"/>
    </row>
    <row r="18" spans="1:8" x14ac:dyDescent="0.2">
      <c r="A18" s="5">
        <v>12</v>
      </c>
      <c r="B18" s="6" t="s">
        <v>84</v>
      </c>
      <c r="C18" s="6" t="s">
        <v>85</v>
      </c>
      <c r="D18" s="6" t="s">
        <v>53</v>
      </c>
      <c r="E18" s="7">
        <v>18710</v>
      </c>
      <c r="F18" s="8">
        <v>91.735129999999998</v>
      </c>
      <c r="G18" s="9">
        <v>2.3676599E-2</v>
      </c>
      <c r="H18" s="97"/>
    </row>
    <row r="19" spans="1:8" x14ac:dyDescent="0.2">
      <c r="A19" s="5">
        <v>13</v>
      </c>
      <c r="B19" s="6" t="s">
        <v>172</v>
      </c>
      <c r="C19" s="6" t="s">
        <v>173</v>
      </c>
      <c r="D19" s="6" t="s">
        <v>174</v>
      </c>
      <c r="E19" s="7">
        <v>35495</v>
      </c>
      <c r="F19" s="8">
        <v>84.850797499999999</v>
      </c>
      <c r="G19" s="9">
        <v>2.1899769999999999E-2</v>
      </c>
      <c r="H19" s="97"/>
    </row>
    <row r="20" spans="1:8" x14ac:dyDescent="0.2">
      <c r="A20" s="5">
        <v>14</v>
      </c>
      <c r="B20" s="6" t="s">
        <v>191</v>
      </c>
      <c r="C20" s="6" t="s">
        <v>192</v>
      </c>
      <c r="D20" s="6" t="s">
        <v>193</v>
      </c>
      <c r="E20" s="7">
        <v>17579</v>
      </c>
      <c r="F20" s="8">
        <v>79.861396999999997</v>
      </c>
      <c r="G20" s="9">
        <v>2.0612018999999999E-2</v>
      </c>
      <c r="H20" s="97"/>
    </row>
    <row r="21" spans="1:8" ht="25.5" x14ac:dyDescent="0.2">
      <c r="A21" s="5">
        <v>15</v>
      </c>
      <c r="B21" s="6" t="s">
        <v>37</v>
      </c>
      <c r="C21" s="6" t="s">
        <v>38</v>
      </c>
      <c r="D21" s="6" t="s">
        <v>1185</v>
      </c>
      <c r="E21" s="7">
        <v>2325</v>
      </c>
      <c r="F21" s="8">
        <v>79.023262500000001</v>
      </c>
      <c r="G21" s="9">
        <v>2.0395699E-2</v>
      </c>
      <c r="H21" s="97"/>
    </row>
    <row r="22" spans="1:8" x14ac:dyDescent="0.2">
      <c r="A22" s="5">
        <v>16</v>
      </c>
      <c r="B22" s="6" t="s">
        <v>41</v>
      </c>
      <c r="C22" s="6" t="s">
        <v>42</v>
      </c>
      <c r="D22" s="6" t="s">
        <v>19</v>
      </c>
      <c r="E22" s="7">
        <v>6458</v>
      </c>
      <c r="F22" s="8">
        <v>78.803745000000006</v>
      </c>
      <c r="G22" s="9">
        <v>2.0339042000000002E-2</v>
      </c>
      <c r="H22" s="97"/>
    </row>
    <row r="23" spans="1:8" ht="25.5" x14ac:dyDescent="0.2">
      <c r="A23" s="5">
        <v>17</v>
      </c>
      <c r="B23" s="6" t="s">
        <v>604</v>
      </c>
      <c r="C23" s="6" t="s">
        <v>605</v>
      </c>
      <c r="D23" s="6" t="s">
        <v>45</v>
      </c>
      <c r="E23" s="7">
        <v>4242</v>
      </c>
      <c r="F23" s="8">
        <v>78.544871999999998</v>
      </c>
      <c r="G23" s="9">
        <v>2.0272227E-2</v>
      </c>
      <c r="H23" s="97"/>
    </row>
    <row r="24" spans="1:8" ht="25.5" x14ac:dyDescent="0.2">
      <c r="A24" s="5">
        <v>18</v>
      </c>
      <c r="B24" s="6" t="s">
        <v>200</v>
      </c>
      <c r="C24" s="6" t="s">
        <v>201</v>
      </c>
      <c r="D24" s="6" t="s">
        <v>202</v>
      </c>
      <c r="E24" s="7">
        <v>18738</v>
      </c>
      <c r="F24" s="8">
        <v>76.432302000000007</v>
      </c>
      <c r="G24" s="9">
        <v>1.9726978999999999E-2</v>
      </c>
      <c r="H24" s="97"/>
    </row>
    <row r="25" spans="1:8" x14ac:dyDescent="0.2">
      <c r="A25" s="5">
        <v>19</v>
      </c>
      <c r="B25" s="6" t="s">
        <v>68</v>
      </c>
      <c r="C25" s="6" t="s">
        <v>69</v>
      </c>
      <c r="D25" s="6" t="s">
        <v>70</v>
      </c>
      <c r="E25" s="7">
        <v>2243</v>
      </c>
      <c r="F25" s="8">
        <v>74.382366000000005</v>
      </c>
      <c r="G25" s="9">
        <v>1.9197895E-2</v>
      </c>
      <c r="H25" s="97"/>
    </row>
    <row r="26" spans="1:8" x14ac:dyDescent="0.2">
      <c r="A26" s="5">
        <v>20</v>
      </c>
      <c r="B26" s="6" t="s">
        <v>203</v>
      </c>
      <c r="C26" s="6" t="s">
        <v>204</v>
      </c>
      <c r="D26" s="6" t="s">
        <v>81</v>
      </c>
      <c r="E26" s="7">
        <v>9017</v>
      </c>
      <c r="F26" s="8">
        <v>69.809613999999996</v>
      </c>
      <c r="G26" s="9">
        <v>1.8017680000000001E-2</v>
      </c>
      <c r="H26" s="97"/>
    </row>
    <row r="27" spans="1:8" x14ac:dyDescent="0.2">
      <c r="A27" s="5">
        <v>21</v>
      </c>
      <c r="B27" s="6" t="s">
        <v>166</v>
      </c>
      <c r="C27" s="6" t="s">
        <v>167</v>
      </c>
      <c r="D27" s="6" t="s">
        <v>1186</v>
      </c>
      <c r="E27" s="7">
        <v>19524</v>
      </c>
      <c r="F27" s="8">
        <v>68.988054000000005</v>
      </c>
      <c r="G27" s="9">
        <v>1.7805637999999999E-2</v>
      </c>
      <c r="H27" s="97"/>
    </row>
    <row r="28" spans="1:8" x14ac:dyDescent="0.2">
      <c r="A28" s="5">
        <v>22</v>
      </c>
      <c r="B28" s="6" t="s">
        <v>168</v>
      </c>
      <c r="C28" s="6" t="s">
        <v>169</v>
      </c>
      <c r="D28" s="6" t="s">
        <v>81</v>
      </c>
      <c r="E28" s="7">
        <v>108845</v>
      </c>
      <c r="F28" s="8">
        <v>68.57235</v>
      </c>
      <c r="G28" s="9">
        <v>1.7698345000000001E-2</v>
      </c>
      <c r="H28" s="97"/>
    </row>
    <row r="29" spans="1:8" x14ac:dyDescent="0.2">
      <c r="A29" s="5">
        <v>23</v>
      </c>
      <c r="B29" s="6" t="s">
        <v>282</v>
      </c>
      <c r="C29" s="6" t="s">
        <v>283</v>
      </c>
      <c r="D29" s="6" t="s">
        <v>284</v>
      </c>
      <c r="E29" s="7">
        <v>26084</v>
      </c>
      <c r="F29" s="8">
        <v>65.588217999999998</v>
      </c>
      <c r="G29" s="9">
        <v>1.6928149E-2</v>
      </c>
      <c r="H29" s="97"/>
    </row>
    <row r="30" spans="1:8" x14ac:dyDescent="0.2">
      <c r="A30" s="5">
        <v>24</v>
      </c>
      <c r="B30" s="6" t="s">
        <v>259</v>
      </c>
      <c r="C30" s="6" t="s">
        <v>260</v>
      </c>
      <c r="D30" s="6" t="s">
        <v>34</v>
      </c>
      <c r="E30" s="7">
        <v>16845</v>
      </c>
      <c r="F30" s="8">
        <v>63.092947500000001</v>
      </c>
      <c r="G30" s="9">
        <v>1.6284125999999999E-2</v>
      </c>
      <c r="H30" s="97"/>
    </row>
    <row r="31" spans="1:8" x14ac:dyDescent="0.2">
      <c r="A31" s="5">
        <v>25</v>
      </c>
      <c r="B31" s="6" t="s">
        <v>160</v>
      </c>
      <c r="C31" s="6" t="s">
        <v>161</v>
      </c>
      <c r="D31" s="6" t="s">
        <v>147</v>
      </c>
      <c r="E31" s="7">
        <v>6046</v>
      </c>
      <c r="F31" s="8">
        <v>61.850580000000001</v>
      </c>
      <c r="G31" s="9">
        <v>1.5963473999999998E-2</v>
      </c>
      <c r="H31" s="97"/>
    </row>
    <row r="32" spans="1:8" x14ac:dyDescent="0.2">
      <c r="A32" s="5">
        <v>26</v>
      </c>
      <c r="B32" s="6" t="s">
        <v>170</v>
      </c>
      <c r="C32" s="6" t="s">
        <v>171</v>
      </c>
      <c r="D32" s="6" t="s">
        <v>70</v>
      </c>
      <c r="E32" s="7">
        <v>6322</v>
      </c>
      <c r="F32" s="8">
        <v>61.500416000000001</v>
      </c>
      <c r="G32" s="9">
        <v>1.5873097999999999E-2</v>
      </c>
      <c r="H32" s="97"/>
    </row>
    <row r="33" spans="1:8" x14ac:dyDescent="0.2">
      <c r="A33" s="5">
        <v>27</v>
      </c>
      <c r="B33" s="6" t="s">
        <v>209</v>
      </c>
      <c r="C33" s="6" t="s">
        <v>210</v>
      </c>
      <c r="D33" s="6" t="s">
        <v>193</v>
      </c>
      <c r="E33" s="7">
        <v>11402</v>
      </c>
      <c r="F33" s="8">
        <v>61.445377999999998</v>
      </c>
      <c r="G33" s="9">
        <v>1.5858891999999999E-2</v>
      </c>
      <c r="H33" s="97"/>
    </row>
    <row r="34" spans="1:8" x14ac:dyDescent="0.2">
      <c r="A34" s="5">
        <v>28</v>
      </c>
      <c r="B34" s="6" t="s">
        <v>181</v>
      </c>
      <c r="C34" s="6" t="s">
        <v>182</v>
      </c>
      <c r="D34" s="6" t="s">
        <v>1189</v>
      </c>
      <c r="E34" s="7">
        <v>7162</v>
      </c>
      <c r="F34" s="8">
        <v>61.331786999999998</v>
      </c>
      <c r="G34" s="9">
        <v>1.5829574999999999E-2</v>
      </c>
      <c r="H34" s="97"/>
    </row>
    <row r="35" spans="1:8" x14ac:dyDescent="0.2">
      <c r="A35" s="5">
        <v>29</v>
      </c>
      <c r="B35" s="6" t="s">
        <v>158</v>
      </c>
      <c r="C35" s="6" t="s">
        <v>159</v>
      </c>
      <c r="D35" s="6" t="s">
        <v>1187</v>
      </c>
      <c r="E35" s="7">
        <v>4871</v>
      </c>
      <c r="F35" s="8">
        <v>59.3847965</v>
      </c>
      <c r="G35" s="9">
        <v>1.5327062000000001E-2</v>
      </c>
      <c r="H35" s="97"/>
    </row>
    <row r="36" spans="1:8" x14ac:dyDescent="0.2">
      <c r="A36" s="5">
        <v>30</v>
      </c>
      <c r="B36" s="6" t="s">
        <v>196</v>
      </c>
      <c r="C36" s="6" t="s">
        <v>197</v>
      </c>
      <c r="D36" s="6" t="s">
        <v>81</v>
      </c>
      <c r="E36" s="7">
        <v>10108</v>
      </c>
      <c r="F36" s="8">
        <v>55.892186000000002</v>
      </c>
      <c r="G36" s="9">
        <v>1.4425627999999999E-2</v>
      </c>
      <c r="H36" s="97"/>
    </row>
    <row r="37" spans="1:8" x14ac:dyDescent="0.2">
      <c r="A37" s="5">
        <v>31</v>
      </c>
      <c r="B37" s="6" t="s">
        <v>179</v>
      </c>
      <c r="C37" s="6" t="s">
        <v>180</v>
      </c>
      <c r="D37" s="6" t="s">
        <v>53</v>
      </c>
      <c r="E37" s="7">
        <v>54093</v>
      </c>
      <c r="F37" s="8">
        <v>54.390511500000002</v>
      </c>
      <c r="G37" s="9">
        <v>1.403805E-2</v>
      </c>
      <c r="H37" s="97"/>
    </row>
    <row r="38" spans="1:8" x14ac:dyDescent="0.2">
      <c r="A38" s="5">
        <v>32</v>
      </c>
      <c r="B38" s="6" t="s">
        <v>608</v>
      </c>
      <c r="C38" s="6" t="s">
        <v>609</v>
      </c>
      <c r="D38" s="6" t="s">
        <v>586</v>
      </c>
      <c r="E38" s="7">
        <v>5370</v>
      </c>
      <c r="F38" s="8">
        <v>54.172559999999997</v>
      </c>
      <c r="G38" s="9">
        <v>1.3981797000000001E-2</v>
      </c>
      <c r="H38" s="97"/>
    </row>
    <row r="39" spans="1:8" x14ac:dyDescent="0.2">
      <c r="A39" s="5">
        <v>33</v>
      </c>
      <c r="B39" s="6" t="s">
        <v>198</v>
      </c>
      <c r="C39" s="6" t="s">
        <v>199</v>
      </c>
      <c r="D39" s="6" t="s">
        <v>70</v>
      </c>
      <c r="E39" s="7">
        <v>5377</v>
      </c>
      <c r="F39" s="8">
        <v>47.925201000000001</v>
      </c>
      <c r="G39" s="9">
        <v>1.2369369999999999E-2</v>
      </c>
      <c r="H39" s="97"/>
    </row>
    <row r="40" spans="1:8" x14ac:dyDescent="0.2">
      <c r="A40" s="5">
        <v>34</v>
      </c>
      <c r="B40" s="6" t="s">
        <v>188</v>
      </c>
      <c r="C40" s="6" t="s">
        <v>189</v>
      </c>
      <c r="D40" s="6" t="s">
        <v>190</v>
      </c>
      <c r="E40" s="7">
        <v>9854</v>
      </c>
      <c r="F40" s="8">
        <v>45.323473</v>
      </c>
      <c r="G40" s="9">
        <v>1.1697871E-2</v>
      </c>
      <c r="H40" s="97"/>
    </row>
    <row r="41" spans="1:8" ht="25.5" x14ac:dyDescent="0.2">
      <c r="A41" s="5">
        <v>35</v>
      </c>
      <c r="B41" s="6" t="s">
        <v>214</v>
      </c>
      <c r="C41" s="6" t="s">
        <v>215</v>
      </c>
      <c r="D41" s="6" t="s">
        <v>70</v>
      </c>
      <c r="E41" s="7">
        <v>2262</v>
      </c>
      <c r="F41" s="8">
        <v>44.683548000000002</v>
      </c>
      <c r="G41" s="9">
        <v>1.1532707999999999E-2</v>
      </c>
      <c r="H41" s="97"/>
    </row>
    <row r="42" spans="1:8" x14ac:dyDescent="0.2">
      <c r="A42" s="5">
        <v>36</v>
      </c>
      <c r="B42" s="6" t="s">
        <v>256</v>
      </c>
      <c r="C42" s="6" t="s">
        <v>257</v>
      </c>
      <c r="D42" s="6" t="s">
        <v>238</v>
      </c>
      <c r="E42" s="7">
        <v>7135</v>
      </c>
      <c r="F42" s="8">
        <v>44.568777500000003</v>
      </c>
      <c r="G42" s="9">
        <v>1.1503085999999999E-2</v>
      </c>
      <c r="H42" s="97"/>
    </row>
    <row r="43" spans="1:8" x14ac:dyDescent="0.2">
      <c r="A43" s="5">
        <v>37</v>
      </c>
      <c r="B43" s="6" t="s">
        <v>234</v>
      </c>
      <c r="C43" s="6" t="s">
        <v>235</v>
      </c>
      <c r="D43" s="6" t="s">
        <v>1187</v>
      </c>
      <c r="E43" s="7">
        <v>33431</v>
      </c>
      <c r="F43" s="8">
        <v>42.724817999999999</v>
      </c>
      <c r="G43" s="9">
        <v>1.1027165E-2</v>
      </c>
      <c r="H43" s="97"/>
    </row>
    <row r="44" spans="1:8" x14ac:dyDescent="0.2">
      <c r="A44" s="5">
        <v>38</v>
      </c>
      <c r="B44" s="6" t="s">
        <v>205</v>
      </c>
      <c r="C44" s="6" t="s">
        <v>206</v>
      </c>
      <c r="D44" s="6" t="s">
        <v>1187</v>
      </c>
      <c r="E44" s="7">
        <v>7429</v>
      </c>
      <c r="F44" s="8">
        <v>41.776981499999998</v>
      </c>
      <c r="G44" s="9">
        <v>1.078253E-2</v>
      </c>
      <c r="H44" s="97"/>
    </row>
    <row r="45" spans="1:8" x14ac:dyDescent="0.2">
      <c r="A45" s="5">
        <v>39</v>
      </c>
      <c r="B45" s="6" t="s">
        <v>614</v>
      </c>
      <c r="C45" s="6" t="s">
        <v>615</v>
      </c>
      <c r="D45" s="6" t="s">
        <v>193</v>
      </c>
      <c r="E45" s="7">
        <v>7914</v>
      </c>
      <c r="F45" s="8">
        <v>41.686995000000003</v>
      </c>
      <c r="G45" s="9">
        <v>1.0759305E-2</v>
      </c>
      <c r="H45" s="97"/>
    </row>
    <row r="46" spans="1:8" ht="25.5" x14ac:dyDescent="0.2">
      <c r="A46" s="5">
        <v>40</v>
      </c>
      <c r="B46" s="6" t="s">
        <v>211</v>
      </c>
      <c r="C46" s="6" t="s">
        <v>212</v>
      </c>
      <c r="D46" s="6" t="s">
        <v>202</v>
      </c>
      <c r="E46" s="7">
        <v>9162</v>
      </c>
      <c r="F46" s="8">
        <v>41.352687000000003</v>
      </c>
      <c r="G46" s="9">
        <v>1.0673021E-2</v>
      </c>
      <c r="H46" s="97"/>
    </row>
    <row r="47" spans="1:8" x14ac:dyDescent="0.2">
      <c r="A47" s="5">
        <v>41</v>
      </c>
      <c r="B47" s="6" t="s">
        <v>154</v>
      </c>
      <c r="C47" s="6" t="s">
        <v>155</v>
      </c>
      <c r="D47" s="6" t="s">
        <v>147</v>
      </c>
      <c r="E47" s="7">
        <v>3490</v>
      </c>
      <c r="F47" s="8">
        <v>39.348005000000001</v>
      </c>
      <c r="G47" s="9">
        <v>1.0155618E-2</v>
      </c>
      <c r="H47" s="97"/>
    </row>
    <row r="48" spans="1:8" ht="25.5" x14ac:dyDescent="0.2">
      <c r="A48" s="5">
        <v>42</v>
      </c>
      <c r="B48" s="6" t="s">
        <v>226</v>
      </c>
      <c r="C48" s="6" t="s">
        <v>227</v>
      </c>
      <c r="D48" s="6" t="s">
        <v>1191</v>
      </c>
      <c r="E48" s="7">
        <v>43509</v>
      </c>
      <c r="F48" s="8">
        <v>38.614237500000002</v>
      </c>
      <c r="G48" s="9">
        <v>9.9662339999999992E-3</v>
      </c>
      <c r="H48" s="97"/>
    </row>
    <row r="49" spans="1:8" x14ac:dyDescent="0.2">
      <c r="A49" s="5">
        <v>43</v>
      </c>
      <c r="B49" s="6" t="s">
        <v>261</v>
      </c>
      <c r="C49" s="6" t="s">
        <v>262</v>
      </c>
      <c r="D49" s="6" t="s">
        <v>238</v>
      </c>
      <c r="E49" s="7">
        <v>5294</v>
      </c>
      <c r="F49" s="8">
        <v>38.468851000000001</v>
      </c>
      <c r="G49" s="9">
        <v>9.9287109999999998E-3</v>
      </c>
      <c r="H49" s="97"/>
    </row>
    <row r="50" spans="1:8" x14ac:dyDescent="0.2">
      <c r="A50" s="5">
        <v>44</v>
      </c>
      <c r="B50" s="6" t="s">
        <v>216</v>
      </c>
      <c r="C50" s="6" t="s">
        <v>217</v>
      </c>
      <c r="D50" s="6" t="s">
        <v>1184</v>
      </c>
      <c r="E50" s="7">
        <v>2418</v>
      </c>
      <c r="F50" s="8">
        <v>38.272103999999999</v>
      </c>
      <c r="G50" s="9">
        <v>9.8779309999999995E-3</v>
      </c>
      <c r="H50" s="97"/>
    </row>
    <row r="51" spans="1:8" ht="25.5" x14ac:dyDescent="0.2">
      <c r="A51" s="5">
        <v>45</v>
      </c>
      <c r="B51" s="6" t="s">
        <v>248</v>
      </c>
      <c r="C51" s="6" t="s">
        <v>249</v>
      </c>
      <c r="D51" s="6" t="s">
        <v>202</v>
      </c>
      <c r="E51" s="7">
        <v>8877</v>
      </c>
      <c r="F51" s="8">
        <v>38.104522500000002</v>
      </c>
      <c r="G51" s="9">
        <v>9.8346779999999995E-3</v>
      </c>
      <c r="H51" s="97"/>
    </row>
    <row r="52" spans="1:8" ht="25.5" x14ac:dyDescent="0.2">
      <c r="A52" s="5">
        <v>46</v>
      </c>
      <c r="B52" s="6" t="s">
        <v>177</v>
      </c>
      <c r="C52" s="6" t="s">
        <v>178</v>
      </c>
      <c r="D52" s="6" t="s">
        <v>1185</v>
      </c>
      <c r="E52" s="7">
        <v>16531</v>
      </c>
      <c r="F52" s="8">
        <v>37.417918499999999</v>
      </c>
      <c r="G52" s="9">
        <v>9.6574680000000006E-3</v>
      </c>
      <c r="H52" s="97"/>
    </row>
    <row r="53" spans="1:8" x14ac:dyDescent="0.2">
      <c r="A53" s="5">
        <v>47</v>
      </c>
      <c r="B53" s="6" t="s">
        <v>245</v>
      </c>
      <c r="C53" s="6" t="s">
        <v>246</v>
      </c>
      <c r="D53" s="6" t="s">
        <v>247</v>
      </c>
      <c r="E53" s="7">
        <v>17156</v>
      </c>
      <c r="F53" s="8">
        <v>37.400080000000003</v>
      </c>
      <c r="G53" s="9">
        <v>9.6528629999999994E-3</v>
      </c>
      <c r="H53" s="97"/>
    </row>
    <row r="54" spans="1:8" x14ac:dyDescent="0.2">
      <c r="A54" s="5">
        <v>48</v>
      </c>
      <c r="B54" s="6" t="s">
        <v>236</v>
      </c>
      <c r="C54" s="6" t="s">
        <v>237</v>
      </c>
      <c r="D54" s="6" t="s">
        <v>238</v>
      </c>
      <c r="E54" s="7">
        <v>10008</v>
      </c>
      <c r="F54" s="8">
        <v>36.679319999999997</v>
      </c>
      <c r="G54" s="9">
        <v>9.4668370000000005E-3</v>
      </c>
      <c r="H54" s="97"/>
    </row>
    <row r="55" spans="1:8" ht="25.5" x14ac:dyDescent="0.2">
      <c r="A55" s="5">
        <v>49</v>
      </c>
      <c r="B55" s="6" t="s">
        <v>207</v>
      </c>
      <c r="C55" s="6" t="s">
        <v>208</v>
      </c>
      <c r="D55" s="6" t="s">
        <v>45</v>
      </c>
      <c r="E55" s="7">
        <v>16461</v>
      </c>
      <c r="F55" s="8">
        <v>36.592803000000004</v>
      </c>
      <c r="G55" s="9">
        <v>9.4445069999999996E-3</v>
      </c>
      <c r="H55" s="97"/>
    </row>
    <row r="56" spans="1:8" x14ac:dyDescent="0.2">
      <c r="A56" s="5">
        <v>50</v>
      </c>
      <c r="B56" s="6" t="s">
        <v>218</v>
      </c>
      <c r="C56" s="6" t="s">
        <v>219</v>
      </c>
      <c r="D56" s="6" t="s">
        <v>193</v>
      </c>
      <c r="E56" s="7">
        <v>1976</v>
      </c>
      <c r="F56" s="8">
        <v>35.166871999999998</v>
      </c>
      <c r="G56" s="9">
        <v>9.0764780000000007E-3</v>
      </c>
      <c r="H56" s="97"/>
    </row>
    <row r="57" spans="1:8" x14ac:dyDescent="0.2">
      <c r="A57" s="5">
        <v>51</v>
      </c>
      <c r="B57" s="6" t="s">
        <v>271</v>
      </c>
      <c r="C57" s="6" t="s">
        <v>272</v>
      </c>
      <c r="D57" s="6" t="s">
        <v>19</v>
      </c>
      <c r="E57" s="7">
        <v>3232</v>
      </c>
      <c r="F57" s="8">
        <v>35.017104000000003</v>
      </c>
      <c r="G57" s="9">
        <v>9.0378239999999999E-3</v>
      </c>
      <c r="H57" s="97"/>
    </row>
    <row r="58" spans="1:8" x14ac:dyDescent="0.2">
      <c r="A58" s="5">
        <v>52</v>
      </c>
      <c r="B58" s="6" t="s">
        <v>239</v>
      </c>
      <c r="C58" s="6" t="s">
        <v>240</v>
      </c>
      <c r="D58" s="6" t="s">
        <v>25</v>
      </c>
      <c r="E58" s="7">
        <v>41531</v>
      </c>
      <c r="F58" s="8">
        <v>32.643366</v>
      </c>
      <c r="G58" s="9">
        <v>8.4251680000000002E-3</v>
      </c>
      <c r="H58" s="97"/>
    </row>
    <row r="59" spans="1:8" x14ac:dyDescent="0.2">
      <c r="A59" s="5">
        <v>53</v>
      </c>
      <c r="B59" s="6" t="s">
        <v>269</v>
      </c>
      <c r="C59" s="6" t="s">
        <v>270</v>
      </c>
      <c r="D59" s="6" t="s">
        <v>70</v>
      </c>
      <c r="E59" s="7">
        <v>23010</v>
      </c>
      <c r="F59" s="8">
        <v>32.202494999999999</v>
      </c>
      <c r="G59" s="9">
        <v>8.3113800000000002E-3</v>
      </c>
      <c r="H59" s="97"/>
    </row>
    <row r="60" spans="1:8" x14ac:dyDescent="0.2">
      <c r="A60" s="5">
        <v>54</v>
      </c>
      <c r="B60" s="6" t="s">
        <v>230</v>
      </c>
      <c r="C60" s="6" t="s">
        <v>231</v>
      </c>
      <c r="D60" s="6" t="s">
        <v>60</v>
      </c>
      <c r="E60" s="7">
        <v>3629</v>
      </c>
      <c r="F60" s="8">
        <v>30.440052000000001</v>
      </c>
      <c r="G60" s="9">
        <v>7.856498E-3</v>
      </c>
      <c r="H60" s="97"/>
    </row>
    <row r="61" spans="1:8" x14ac:dyDescent="0.2">
      <c r="A61" s="5">
        <v>55</v>
      </c>
      <c r="B61" s="6" t="s">
        <v>232</v>
      </c>
      <c r="C61" s="6" t="s">
        <v>233</v>
      </c>
      <c r="D61" s="6" t="s">
        <v>193</v>
      </c>
      <c r="E61" s="7">
        <v>536</v>
      </c>
      <c r="F61" s="8">
        <v>28.613824000000001</v>
      </c>
      <c r="G61" s="9">
        <v>7.3851539999999997E-3</v>
      </c>
      <c r="H61" s="97"/>
    </row>
    <row r="62" spans="1:8" x14ac:dyDescent="0.2">
      <c r="A62" s="5">
        <v>56</v>
      </c>
      <c r="B62" s="6" t="s">
        <v>51</v>
      </c>
      <c r="C62" s="6" t="s">
        <v>52</v>
      </c>
      <c r="D62" s="6" t="s">
        <v>53</v>
      </c>
      <c r="E62" s="7">
        <v>15361</v>
      </c>
      <c r="F62" s="8">
        <v>26.620612999999999</v>
      </c>
      <c r="G62" s="9">
        <v>6.8707109999999998E-3</v>
      </c>
      <c r="H62" s="97"/>
    </row>
    <row r="63" spans="1:8" x14ac:dyDescent="0.2">
      <c r="A63" s="5">
        <v>57</v>
      </c>
      <c r="B63" s="6" t="s">
        <v>287</v>
      </c>
      <c r="C63" s="6" t="s">
        <v>288</v>
      </c>
      <c r="D63" s="6" t="s">
        <v>147</v>
      </c>
      <c r="E63" s="7">
        <v>1600</v>
      </c>
      <c r="F63" s="8">
        <v>20.7456</v>
      </c>
      <c r="G63" s="9">
        <v>5.3543849999999997E-3</v>
      </c>
      <c r="H63" s="97"/>
    </row>
    <row r="64" spans="1:8" x14ac:dyDescent="0.2">
      <c r="A64" s="5">
        <v>58</v>
      </c>
      <c r="B64" s="6" t="s">
        <v>254</v>
      </c>
      <c r="C64" s="6" t="s">
        <v>255</v>
      </c>
      <c r="D64" s="6" t="s">
        <v>185</v>
      </c>
      <c r="E64" s="7">
        <v>1926</v>
      </c>
      <c r="F64" s="8">
        <v>20.084327999999999</v>
      </c>
      <c r="G64" s="9">
        <v>5.1837130000000004E-3</v>
      </c>
      <c r="H64" s="97"/>
    </row>
    <row r="65" spans="1:8" x14ac:dyDescent="0.2">
      <c r="A65" s="5">
        <v>59</v>
      </c>
      <c r="B65" s="6" t="s">
        <v>243</v>
      </c>
      <c r="C65" s="6" t="s">
        <v>244</v>
      </c>
      <c r="D65" s="6" t="s">
        <v>185</v>
      </c>
      <c r="E65" s="7">
        <v>3534</v>
      </c>
      <c r="F65" s="8">
        <v>19.52535</v>
      </c>
      <c r="G65" s="9">
        <v>5.0394419999999999E-3</v>
      </c>
      <c r="H65" s="97"/>
    </row>
    <row r="66" spans="1:8" x14ac:dyDescent="0.2">
      <c r="A66" s="5">
        <v>60</v>
      </c>
      <c r="B66" s="6" t="s">
        <v>222</v>
      </c>
      <c r="C66" s="6" t="s">
        <v>223</v>
      </c>
      <c r="D66" s="6" t="s">
        <v>70</v>
      </c>
      <c r="E66" s="7">
        <v>7251</v>
      </c>
      <c r="F66" s="8">
        <v>19.099133999999999</v>
      </c>
      <c r="G66" s="9">
        <v>4.9294370000000001E-3</v>
      </c>
      <c r="H66" s="97"/>
    </row>
    <row r="67" spans="1:8" x14ac:dyDescent="0.2">
      <c r="A67" s="5">
        <v>61</v>
      </c>
      <c r="B67" s="6" t="s">
        <v>92</v>
      </c>
      <c r="C67" s="6" t="s">
        <v>93</v>
      </c>
      <c r="D67" s="6" t="s">
        <v>53</v>
      </c>
      <c r="E67" s="7">
        <v>21625</v>
      </c>
      <c r="F67" s="8">
        <v>18.6083125</v>
      </c>
      <c r="G67" s="9">
        <v>4.8027570000000004E-3</v>
      </c>
      <c r="H67" s="97"/>
    </row>
    <row r="68" spans="1:8" x14ac:dyDescent="0.2">
      <c r="A68" s="5">
        <v>62</v>
      </c>
      <c r="B68" s="6" t="s">
        <v>228</v>
      </c>
      <c r="C68" s="6" t="s">
        <v>229</v>
      </c>
      <c r="D68" s="6" t="s">
        <v>327</v>
      </c>
      <c r="E68" s="7">
        <v>2169</v>
      </c>
      <c r="F68" s="8">
        <v>18.399626999999999</v>
      </c>
      <c r="G68" s="9">
        <v>4.7488959999999998E-3</v>
      </c>
      <c r="H68" s="97"/>
    </row>
    <row r="69" spans="1:8" x14ac:dyDescent="0.2">
      <c r="A69" s="5">
        <v>63</v>
      </c>
      <c r="B69" s="6" t="s">
        <v>241</v>
      </c>
      <c r="C69" s="6" t="s">
        <v>242</v>
      </c>
      <c r="D69" s="6" t="s">
        <v>147</v>
      </c>
      <c r="E69" s="7">
        <v>3830</v>
      </c>
      <c r="F69" s="8">
        <v>18.112069999999999</v>
      </c>
      <c r="G69" s="9">
        <v>4.6746779999999998E-3</v>
      </c>
      <c r="H69" s="97"/>
    </row>
    <row r="70" spans="1:8" x14ac:dyDescent="0.2">
      <c r="A70" s="5">
        <v>64</v>
      </c>
      <c r="B70" s="6" t="s">
        <v>252</v>
      </c>
      <c r="C70" s="6" t="s">
        <v>253</v>
      </c>
      <c r="D70" s="6" t="s">
        <v>60</v>
      </c>
      <c r="E70" s="7">
        <v>4206</v>
      </c>
      <c r="F70" s="8">
        <v>8.901999</v>
      </c>
      <c r="G70" s="9">
        <v>2.2975830000000002E-3</v>
      </c>
      <c r="H70" s="97"/>
    </row>
    <row r="71" spans="1:8" x14ac:dyDescent="0.2">
      <c r="A71" s="3"/>
      <c r="B71" s="3"/>
      <c r="C71" s="4" t="s">
        <v>97</v>
      </c>
      <c r="D71" s="3"/>
      <c r="E71" s="3" t="s">
        <v>98</v>
      </c>
      <c r="F71" s="11">
        <v>3717.6891145</v>
      </c>
      <c r="G71" s="12">
        <v>0.95952590199999999</v>
      </c>
      <c r="H71" s="97"/>
    </row>
    <row r="72" spans="1:8" x14ac:dyDescent="0.2">
      <c r="A72" s="3"/>
      <c r="B72" s="3"/>
      <c r="C72" s="13"/>
      <c r="D72" s="3"/>
      <c r="E72" s="3"/>
      <c r="F72" s="14"/>
      <c r="G72" s="14"/>
      <c r="H72" s="97"/>
    </row>
    <row r="73" spans="1:8" x14ac:dyDescent="0.2">
      <c r="A73" s="3"/>
      <c r="B73" s="3"/>
      <c r="C73" s="4" t="s">
        <v>99</v>
      </c>
      <c r="D73" s="3"/>
      <c r="E73" s="3"/>
      <c r="F73" s="3"/>
      <c r="G73" s="3"/>
      <c r="H73" s="97"/>
    </row>
    <row r="74" spans="1:8" x14ac:dyDescent="0.2">
      <c r="A74" s="3"/>
      <c r="B74" s="3"/>
      <c r="C74" s="4" t="s">
        <v>97</v>
      </c>
      <c r="D74" s="3"/>
      <c r="E74" s="3" t="s">
        <v>98</v>
      </c>
      <c r="F74" s="15">
        <v>0</v>
      </c>
      <c r="G74" s="16">
        <v>0</v>
      </c>
      <c r="H74" s="97"/>
    </row>
    <row r="75" spans="1:8" x14ac:dyDescent="0.2">
      <c r="A75" s="3"/>
      <c r="B75" s="3"/>
      <c r="C75" s="13"/>
      <c r="D75" s="3"/>
      <c r="E75" s="3"/>
      <c r="F75" s="14"/>
      <c r="G75" s="14"/>
      <c r="H75" s="97"/>
    </row>
    <row r="76" spans="1:8" x14ac:dyDescent="0.2">
      <c r="A76" s="3"/>
      <c r="B76" s="3"/>
      <c r="C76" s="4" t="s">
        <v>100</v>
      </c>
      <c r="D76" s="3"/>
      <c r="E76" s="3"/>
      <c r="F76" s="3"/>
      <c r="G76" s="3"/>
      <c r="H76" s="97"/>
    </row>
    <row r="77" spans="1:8" x14ac:dyDescent="0.2">
      <c r="A77" s="3"/>
      <c r="B77" s="3"/>
      <c r="C77" s="4" t="s">
        <v>97</v>
      </c>
      <c r="D77" s="3"/>
      <c r="E77" s="3" t="s">
        <v>98</v>
      </c>
      <c r="F77" s="15">
        <v>0</v>
      </c>
      <c r="G77" s="16">
        <v>0</v>
      </c>
      <c r="H77" s="97"/>
    </row>
    <row r="78" spans="1:8" x14ac:dyDescent="0.2">
      <c r="A78" s="3"/>
      <c r="B78" s="3"/>
      <c r="C78" s="13"/>
      <c r="D78" s="3"/>
      <c r="E78" s="3"/>
      <c r="F78" s="14"/>
      <c r="G78" s="14"/>
      <c r="H78" s="97"/>
    </row>
    <row r="79" spans="1:8" x14ac:dyDescent="0.2">
      <c r="A79" s="3"/>
      <c r="B79" s="3"/>
      <c r="C79" s="4" t="s">
        <v>101</v>
      </c>
      <c r="D79" s="3"/>
      <c r="E79" s="3"/>
      <c r="F79" s="3"/>
      <c r="G79" s="3"/>
      <c r="H79" s="97"/>
    </row>
    <row r="80" spans="1:8" x14ac:dyDescent="0.2">
      <c r="A80" s="3"/>
      <c r="B80" s="3"/>
      <c r="C80" s="4" t="s">
        <v>97</v>
      </c>
      <c r="D80" s="3"/>
      <c r="E80" s="3" t="s">
        <v>98</v>
      </c>
      <c r="F80" s="15">
        <v>0</v>
      </c>
      <c r="G80" s="16">
        <v>0</v>
      </c>
      <c r="H80" s="97"/>
    </row>
    <row r="81" spans="1:8" x14ac:dyDescent="0.2">
      <c r="A81" s="3"/>
      <c r="B81" s="3"/>
      <c r="C81" s="13"/>
      <c r="D81" s="3"/>
      <c r="E81" s="3"/>
      <c r="F81" s="14"/>
      <c r="G81" s="14"/>
      <c r="H81" s="97"/>
    </row>
    <row r="82" spans="1:8" x14ac:dyDescent="0.2">
      <c r="A82" s="3"/>
      <c r="B82" s="3"/>
      <c r="C82" s="4" t="s">
        <v>102</v>
      </c>
      <c r="D82" s="3"/>
      <c r="E82" s="3"/>
      <c r="F82" s="14"/>
      <c r="G82" s="14"/>
      <c r="H82" s="97"/>
    </row>
    <row r="83" spans="1:8" x14ac:dyDescent="0.2">
      <c r="A83" s="3"/>
      <c r="B83" s="3"/>
      <c r="C83" s="4" t="s">
        <v>97</v>
      </c>
      <c r="D83" s="3"/>
      <c r="E83" s="3" t="s">
        <v>98</v>
      </c>
      <c r="F83" s="15">
        <v>0</v>
      </c>
      <c r="G83" s="16">
        <v>0</v>
      </c>
      <c r="H83" s="97"/>
    </row>
    <row r="84" spans="1:8" x14ac:dyDescent="0.2">
      <c r="A84" s="3"/>
      <c r="B84" s="3"/>
      <c r="C84" s="13"/>
      <c r="D84" s="3"/>
      <c r="E84" s="3"/>
      <c r="F84" s="14"/>
      <c r="G84" s="14"/>
      <c r="H84" s="97"/>
    </row>
    <row r="85" spans="1:8" x14ac:dyDescent="0.2">
      <c r="A85" s="3"/>
      <c r="B85" s="3"/>
      <c r="C85" s="4" t="s">
        <v>103</v>
      </c>
      <c r="D85" s="3"/>
      <c r="E85" s="3"/>
      <c r="F85" s="14"/>
      <c r="G85" s="14"/>
      <c r="H85" s="97"/>
    </row>
    <row r="86" spans="1:8" x14ac:dyDescent="0.2">
      <c r="A86" s="3"/>
      <c r="B86" s="3"/>
      <c r="C86" s="4" t="s">
        <v>97</v>
      </c>
      <c r="D86" s="3"/>
      <c r="E86" s="3" t="s">
        <v>98</v>
      </c>
      <c r="F86" s="15">
        <v>0</v>
      </c>
      <c r="G86" s="16">
        <v>0</v>
      </c>
      <c r="H86" s="97"/>
    </row>
    <row r="87" spans="1:8" x14ac:dyDescent="0.2">
      <c r="A87" s="3"/>
      <c r="B87" s="3"/>
      <c r="C87" s="13"/>
      <c r="D87" s="3"/>
      <c r="E87" s="3"/>
      <c r="F87" s="14"/>
      <c r="G87" s="14"/>
      <c r="H87" s="97"/>
    </row>
    <row r="88" spans="1:8" x14ac:dyDescent="0.2">
      <c r="A88" s="3"/>
      <c r="B88" s="3"/>
      <c r="C88" s="4" t="s">
        <v>104</v>
      </c>
      <c r="D88" s="3"/>
      <c r="E88" s="3"/>
      <c r="F88" s="11">
        <v>3717.6891145</v>
      </c>
      <c r="G88" s="12">
        <v>0.95952590199999999</v>
      </c>
      <c r="H88" s="97"/>
    </row>
    <row r="89" spans="1:8" x14ac:dyDescent="0.2">
      <c r="A89" s="3"/>
      <c r="B89" s="3"/>
      <c r="C89" s="13"/>
      <c r="D89" s="3"/>
      <c r="E89" s="3"/>
      <c r="F89" s="14"/>
      <c r="G89" s="14"/>
      <c r="H89" s="97"/>
    </row>
    <row r="90" spans="1:8" x14ac:dyDescent="0.2">
      <c r="A90" s="3"/>
      <c r="B90" s="3"/>
      <c r="C90" s="4" t="s">
        <v>105</v>
      </c>
      <c r="D90" s="3"/>
      <c r="E90" s="3"/>
      <c r="F90" s="14"/>
      <c r="G90" s="14"/>
      <c r="H90" s="97"/>
    </row>
    <row r="91" spans="1:8" ht="25.5" x14ac:dyDescent="0.2">
      <c r="A91" s="3"/>
      <c r="B91" s="3"/>
      <c r="C91" s="4" t="s">
        <v>10</v>
      </c>
      <c r="D91" s="3"/>
      <c r="E91" s="3"/>
      <c r="F91" s="14"/>
      <c r="G91" s="14"/>
      <c r="H91" s="97"/>
    </row>
    <row r="92" spans="1:8" x14ac:dyDescent="0.2">
      <c r="A92" s="3"/>
      <c r="B92" s="3"/>
      <c r="C92" s="4" t="s">
        <v>97</v>
      </c>
      <c r="D92" s="3"/>
      <c r="E92" s="3" t="s">
        <v>98</v>
      </c>
      <c r="F92" s="15">
        <v>0</v>
      </c>
      <c r="G92" s="16">
        <v>0</v>
      </c>
      <c r="H92" s="97"/>
    </row>
    <row r="93" spans="1:8" x14ac:dyDescent="0.2">
      <c r="A93" s="3"/>
      <c r="B93" s="3"/>
      <c r="C93" s="13"/>
      <c r="D93" s="3"/>
      <c r="E93" s="3"/>
      <c r="F93" s="14"/>
      <c r="G93" s="14"/>
      <c r="H93" s="97"/>
    </row>
    <row r="94" spans="1:8" x14ac:dyDescent="0.2">
      <c r="A94" s="3"/>
      <c r="B94" s="3"/>
      <c r="C94" s="4" t="s">
        <v>106</v>
      </c>
      <c r="D94" s="3"/>
      <c r="E94" s="3"/>
      <c r="F94" s="3"/>
      <c r="G94" s="3"/>
      <c r="H94" s="97"/>
    </row>
    <row r="95" spans="1:8" x14ac:dyDescent="0.2">
      <c r="A95" s="3"/>
      <c r="B95" s="3"/>
      <c r="C95" s="4" t="s">
        <v>97</v>
      </c>
      <c r="D95" s="3"/>
      <c r="E95" s="3" t="s">
        <v>98</v>
      </c>
      <c r="F95" s="15">
        <v>0</v>
      </c>
      <c r="G95" s="16">
        <v>0</v>
      </c>
      <c r="H95" s="97"/>
    </row>
    <row r="96" spans="1:8" x14ac:dyDescent="0.2">
      <c r="A96" s="3"/>
      <c r="B96" s="3"/>
      <c r="C96" s="13"/>
      <c r="D96" s="3"/>
      <c r="E96" s="3"/>
      <c r="F96" s="14"/>
      <c r="G96" s="14"/>
      <c r="H96" s="97"/>
    </row>
    <row r="97" spans="1:8" x14ac:dyDescent="0.2">
      <c r="A97" s="3"/>
      <c r="B97" s="3"/>
      <c r="C97" s="4" t="s">
        <v>107</v>
      </c>
      <c r="D97" s="3"/>
      <c r="E97" s="3"/>
      <c r="F97" s="3"/>
      <c r="G97" s="3"/>
      <c r="H97" s="97"/>
    </row>
    <row r="98" spans="1:8" x14ac:dyDescent="0.2">
      <c r="A98" s="3"/>
      <c r="B98" s="3"/>
      <c r="C98" s="4" t="s">
        <v>97</v>
      </c>
      <c r="D98" s="3"/>
      <c r="E98" s="3" t="s">
        <v>98</v>
      </c>
      <c r="F98" s="15">
        <v>0</v>
      </c>
      <c r="G98" s="16">
        <v>0</v>
      </c>
      <c r="H98" s="97"/>
    </row>
    <row r="99" spans="1:8" x14ac:dyDescent="0.2">
      <c r="A99" s="3"/>
      <c r="B99" s="3"/>
      <c r="C99" s="13"/>
      <c r="D99" s="3"/>
      <c r="E99" s="3"/>
      <c r="F99" s="14"/>
      <c r="G99" s="14"/>
      <c r="H99" s="97"/>
    </row>
    <row r="100" spans="1:8" x14ac:dyDescent="0.2">
      <c r="A100" s="3"/>
      <c r="B100" s="3"/>
      <c r="C100" s="4" t="s">
        <v>108</v>
      </c>
      <c r="D100" s="3"/>
      <c r="E100" s="3"/>
      <c r="F100" s="14"/>
      <c r="G100" s="14"/>
      <c r="H100" s="97"/>
    </row>
    <row r="101" spans="1:8" x14ac:dyDescent="0.2">
      <c r="A101" s="3"/>
      <c r="B101" s="3"/>
      <c r="C101" s="4" t="s">
        <v>97</v>
      </c>
      <c r="D101" s="3"/>
      <c r="E101" s="3" t="s">
        <v>98</v>
      </c>
      <c r="F101" s="15">
        <v>0</v>
      </c>
      <c r="G101" s="16">
        <v>0</v>
      </c>
      <c r="H101" s="97"/>
    </row>
    <row r="102" spans="1:8" x14ac:dyDescent="0.2">
      <c r="A102" s="3"/>
      <c r="B102" s="3"/>
      <c r="C102" s="13"/>
      <c r="D102" s="3"/>
      <c r="E102" s="3"/>
      <c r="F102" s="14"/>
      <c r="G102" s="14"/>
      <c r="H102" s="97"/>
    </row>
    <row r="103" spans="1:8" x14ac:dyDescent="0.2">
      <c r="A103" s="3"/>
      <c r="B103" s="3"/>
      <c r="C103" s="4" t="s">
        <v>109</v>
      </c>
      <c r="D103" s="3"/>
      <c r="E103" s="3"/>
      <c r="F103" s="11">
        <v>0</v>
      </c>
      <c r="G103" s="12">
        <v>0</v>
      </c>
      <c r="H103" s="97"/>
    </row>
    <row r="104" spans="1:8" x14ac:dyDescent="0.2">
      <c r="A104" s="3"/>
      <c r="B104" s="3"/>
      <c r="C104" s="13"/>
      <c r="D104" s="3"/>
      <c r="E104" s="3"/>
      <c r="F104" s="14"/>
      <c r="G104" s="14"/>
      <c r="H104" s="97"/>
    </row>
    <row r="105" spans="1:8" x14ac:dyDescent="0.2">
      <c r="A105" s="3"/>
      <c r="B105" s="3"/>
      <c r="C105" s="4" t="s">
        <v>110</v>
      </c>
      <c r="D105" s="3"/>
      <c r="E105" s="3"/>
      <c r="F105" s="14"/>
      <c r="G105" s="14"/>
      <c r="H105" s="97"/>
    </row>
    <row r="106" spans="1:8" x14ac:dyDescent="0.2">
      <c r="A106" s="3"/>
      <c r="B106" s="3"/>
      <c r="C106" s="4" t="s">
        <v>111</v>
      </c>
      <c r="D106" s="3"/>
      <c r="E106" s="3"/>
      <c r="F106" s="14"/>
      <c r="G106" s="14"/>
      <c r="H106" s="97"/>
    </row>
    <row r="107" spans="1:8" x14ac:dyDescent="0.2">
      <c r="A107" s="3"/>
      <c r="B107" s="3"/>
      <c r="C107" s="4" t="s">
        <v>97</v>
      </c>
      <c r="D107" s="3"/>
      <c r="E107" s="3" t="s">
        <v>98</v>
      </c>
      <c r="F107" s="15">
        <v>0</v>
      </c>
      <c r="G107" s="16">
        <v>0</v>
      </c>
      <c r="H107" s="97"/>
    </row>
    <row r="108" spans="1:8" x14ac:dyDescent="0.2">
      <c r="A108" s="3"/>
      <c r="B108" s="3"/>
      <c r="C108" s="13"/>
      <c r="D108" s="3"/>
      <c r="E108" s="3"/>
      <c r="F108" s="14"/>
      <c r="G108" s="14"/>
      <c r="H108" s="97"/>
    </row>
    <row r="109" spans="1:8" x14ac:dyDescent="0.2">
      <c r="A109" s="3"/>
      <c r="B109" s="3"/>
      <c r="C109" s="4" t="s">
        <v>112</v>
      </c>
      <c r="D109" s="3"/>
      <c r="E109" s="3"/>
      <c r="F109" s="14"/>
      <c r="G109" s="14"/>
      <c r="H109" s="97"/>
    </row>
    <row r="110" spans="1:8" x14ac:dyDescent="0.2">
      <c r="A110" s="3"/>
      <c r="B110" s="3"/>
      <c r="C110" s="4" t="s">
        <v>97</v>
      </c>
      <c r="D110" s="3"/>
      <c r="E110" s="3" t="s">
        <v>98</v>
      </c>
      <c r="F110" s="15">
        <v>0</v>
      </c>
      <c r="G110" s="16">
        <v>0</v>
      </c>
      <c r="H110" s="97"/>
    </row>
    <row r="111" spans="1:8" x14ac:dyDescent="0.2">
      <c r="A111" s="3"/>
      <c r="B111" s="3"/>
      <c r="C111" s="13"/>
      <c r="D111" s="3"/>
      <c r="E111" s="3"/>
      <c r="F111" s="14"/>
      <c r="G111" s="14"/>
      <c r="H111" s="97"/>
    </row>
    <row r="112" spans="1:8" x14ac:dyDescent="0.2">
      <c r="A112" s="3"/>
      <c r="B112" s="3"/>
      <c r="C112" s="4" t="s">
        <v>113</v>
      </c>
      <c r="D112" s="3"/>
      <c r="E112" s="3"/>
      <c r="F112" s="14"/>
      <c r="G112" s="14"/>
      <c r="H112" s="97"/>
    </row>
    <row r="113" spans="1:8" x14ac:dyDescent="0.2">
      <c r="A113" s="3"/>
      <c r="B113" s="3"/>
      <c r="C113" s="4" t="s">
        <v>97</v>
      </c>
      <c r="D113" s="3"/>
      <c r="E113" s="3" t="s">
        <v>98</v>
      </c>
      <c r="F113" s="15">
        <v>0</v>
      </c>
      <c r="G113" s="16">
        <v>0</v>
      </c>
      <c r="H113" s="97"/>
    </row>
    <row r="114" spans="1:8" x14ac:dyDescent="0.2">
      <c r="A114" s="3"/>
      <c r="B114" s="3"/>
      <c r="C114" s="13"/>
      <c r="D114" s="3"/>
      <c r="E114" s="3"/>
      <c r="F114" s="14"/>
      <c r="G114" s="14"/>
      <c r="H114" s="97"/>
    </row>
    <row r="115" spans="1:8" x14ac:dyDescent="0.2">
      <c r="A115" s="3"/>
      <c r="B115" s="3"/>
      <c r="C115" s="4" t="s">
        <v>114</v>
      </c>
      <c r="D115" s="3"/>
      <c r="E115" s="3"/>
      <c r="F115" s="14"/>
      <c r="G115" s="14"/>
      <c r="H115" s="97"/>
    </row>
    <row r="116" spans="1:8" x14ac:dyDescent="0.2">
      <c r="A116" s="5">
        <v>1</v>
      </c>
      <c r="B116" s="6"/>
      <c r="C116" s="6" t="s">
        <v>115</v>
      </c>
      <c r="D116" s="6"/>
      <c r="E116" s="10"/>
      <c r="F116" s="8">
        <v>90.725469899999993</v>
      </c>
      <c r="G116" s="9">
        <v>2.3416007999999999E-2</v>
      </c>
      <c r="H116" s="8">
        <v>3.4504560529072292</v>
      </c>
    </row>
    <row r="117" spans="1:8" x14ac:dyDescent="0.2">
      <c r="A117" s="5">
        <v>2</v>
      </c>
      <c r="B117" s="6"/>
      <c r="C117" s="6" t="s">
        <v>116</v>
      </c>
      <c r="D117" s="6"/>
      <c r="E117" s="10"/>
      <c r="F117" s="8">
        <v>48.965230699999999</v>
      </c>
      <c r="G117" s="9">
        <v>1.2637799E-2</v>
      </c>
      <c r="H117" s="8">
        <v>3.5655822479098256</v>
      </c>
    </row>
    <row r="118" spans="1:8" x14ac:dyDescent="0.2">
      <c r="A118" s="3"/>
      <c r="B118" s="3"/>
      <c r="C118" s="4" t="s">
        <v>97</v>
      </c>
      <c r="D118" s="3"/>
      <c r="E118" s="3" t="s">
        <v>98</v>
      </c>
      <c r="F118" s="11">
        <v>139.69070060000001</v>
      </c>
      <c r="G118" s="12">
        <v>3.6053807E-2</v>
      </c>
      <c r="H118" s="97"/>
    </row>
    <row r="119" spans="1:8" x14ac:dyDescent="0.2">
      <c r="A119" s="3"/>
      <c r="B119" s="3"/>
      <c r="C119" s="13"/>
      <c r="D119" s="3"/>
      <c r="E119" s="3"/>
      <c r="F119" s="14"/>
      <c r="G119" s="14"/>
      <c r="H119" s="97"/>
    </row>
    <row r="120" spans="1:8" x14ac:dyDescent="0.2">
      <c r="A120" s="3"/>
      <c r="B120" s="3"/>
      <c r="C120" s="4" t="s">
        <v>117</v>
      </c>
      <c r="D120" s="3"/>
      <c r="E120" s="3"/>
      <c r="F120" s="11">
        <v>139.69070060000001</v>
      </c>
      <c r="G120" s="12">
        <v>3.6053807E-2</v>
      </c>
      <c r="H120" s="97"/>
    </row>
    <row r="121" spans="1:8" x14ac:dyDescent="0.2">
      <c r="A121" s="3"/>
      <c r="B121" s="3"/>
      <c r="C121" s="14"/>
      <c r="D121" s="3"/>
      <c r="E121" s="3"/>
      <c r="F121" s="3"/>
      <c r="G121" s="3"/>
      <c r="H121" s="97"/>
    </row>
    <row r="122" spans="1:8" x14ac:dyDescent="0.2">
      <c r="A122" s="3"/>
      <c r="B122" s="3"/>
      <c r="C122" s="4" t="s">
        <v>118</v>
      </c>
      <c r="D122" s="3"/>
      <c r="E122" s="3"/>
      <c r="F122" s="3"/>
      <c r="G122" s="3"/>
      <c r="H122" s="97"/>
    </row>
    <row r="123" spans="1:8" x14ac:dyDescent="0.2">
      <c r="A123" s="3"/>
      <c r="B123" s="3"/>
      <c r="C123" s="4" t="s">
        <v>119</v>
      </c>
      <c r="D123" s="3"/>
      <c r="E123" s="3"/>
      <c r="F123" s="3"/>
      <c r="G123" s="3"/>
      <c r="H123" s="97"/>
    </row>
    <row r="124" spans="1:8" x14ac:dyDescent="0.2">
      <c r="A124" s="3"/>
      <c r="B124" s="3"/>
      <c r="C124" s="4" t="s">
        <v>97</v>
      </c>
      <c r="D124" s="3"/>
      <c r="E124" s="3" t="s">
        <v>98</v>
      </c>
      <c r="F124" s="15">
        <v>0</v>
      </c>
      <c r="G124" s="16">
        <v>0</v>
      </c>
      <c r="H124" s="97"/>
    </row>
    <row r="125" spans="1:8" x14ac:dyDescent="0.2">
      <c r="A125" s="3"/>
      <c r="B125" s="3"/>
      <c r="C125" s="13"/>
      <c r="D125" s="3"/>
      <c r="E125" s="3"/>
      <c r="F125" s="14"/>
      <c r="G125" s="14"/>
      <c r="H125" s="97"/>
    </row>
    <row r="126" spans="1:8" x14ac:dyDescent="0.2">
      <c r="A126" s="3"/>
      <c r="B126" s="3"/>
      <c r="C126" s="4" t="s">
        <v>120</v>
      </c>
      <c r="D126" s="3"/>
      <c r="E126" s="3"/>
      <c r="F126" s="3"/>
      <c r="G126" s="3"/>
      <c r="H126" s="97"/>
    </row>
    <row r="127" spans="1:8" x14ac:dyDescent="0.2">
      <c r="A127" s="3"/>
      <c r="B127" s="3"/>
      <c r="C127" s="4" t="s">
        <v>121</v>
      </c>
      <c r="D127" s="3"/>
      <c r="E127" s="3"/>
      <c r="F127" s="3"/>
      <c r="G127" s="3"/>
      <c r="H127" s="97"/>
    </row>
    <row r="128" spans="1:8" x14ac:dyDescent="0.2">
      <c r="A128" s="3"/>
      <c r="B128" s="3"/>
      <c r="C128" s="4" t="s">
        <v>97</v>
      </c>
      <c r="D128" s="3"/>
      <c r="E128" s="3" t="s">
        <v>98</v>
      </c>
      <c r="F128" s="15">
        <v>0</v>
      </c>
      <c r="G128" s="16">
        <v>0</v>
      </c>
      <c r="H128" s="97"/>
    </row>
    <row r="129" spans="1:8" x14ac:dyDescent="0.2">
      <c r="A129" s="3"/>
      <c r="B129" s="3"/>
      <c r="C129" s="13"/>
      <c r="D129" s="3"/>
      <c r="E129" s="3"/>
      <c r="F129" s="14"/>
      <c r="G129" s="14"/>
      <c r="H129" s="97"/>
    </row>
    <row r="130" spans="1:8" x14ac:dyDescent="0.2">
      <c r="A130" s="3"/>
      <c r="B130" s="3"/>
      <c r="C130" s="13"/>
      <c r="D130" s="3"/>
      <c r="E130" s="3"/>
      <c r="F130" s="14"/>
      <c r="G130" s="14"/>
      <c r="H130" s="97"/>
    </row>
    <row r="131" spans="1:8" ht="25.5" x14ac:dyDescent="0.2">
      <c r="A131" s="3"/>
      <c r="B131" s="3"/>
      <c r="C131" s="4" t="s">
        <v>122</v>
      </c>
      <c r="D131" s="3"/>
      <c r="E131" s="3"/>
      <c r="F131" s="14"/>
      <c r="G131" s="14"/>
      <c r="H131" s="97"/>
    </row>
    <row r="132" spans="1:8" x14ac:dyDescent="0.2">
      <c r="A132" s="3"/>
      <c r="B132" s="3"/>
      <c r="C132" s="4" t="s">
        <v>97</v>
      </c>
      <c r="D132" s="3"/>
      <c r="E132" s="3" t="s">
        <v>98</v>
      </c>
      <c r="F132" s="15">
        <v>0</v>
      </c>
      <c r="G132" s="16">
        <v>0</v>
      </c>
      <c r="H132" s="97"/>
    </row>
    <row r="133" spans="1:8" x14ac:dyDescent="0.2">
      <c r="A133" s="3"/>
      <c r="B133" s="3"/>
      <c r="C133" s="13"/>
      <c r="D133" s="3"/>
      <c r="E133" s="3"/>
      <c r="F133" s="14"/>
      <c r="G133" s="14"/>
      <c r="H133" s="97"/>
    </row>
    <row r="134" spans="1:8" x14ac:dyDescent="0.2">
      <c r="A134" s="3"/>
      <c r="B134" s="6"/>
      <c r="C134" s="6"/>
      <c r="D134" s="4"/>
      <c r="E134" s="3"/>
      <c r="F134" s="6"/>
      <c r="G134" s="10"/>
      <c r="H134" s="97"/>
    </row>
    <row r="135" spans="1:8" x14ac:dyDescent="0.2">
      <c r="A135" s="10"/>
      <c r="B135" s="6"/>
      <c r="C135" s="6" t="s">
        <v>123</v>
      </c>
      <c r="D135" s="6"/>
      <c r="E135" s="10"/>
      <c r="F135" s="8">
        <v>17.1264422</v>
      </c>
      <c r="G135" s="9">
        <v>4.4202900000000003E-3</v>
      </c>
      <c r="H135" s="97"/>
    </row>
    <row r="136" spans="1:8" x14ac:dyDescent="0.2">
      <c r="A136" s="13"/>
      <c r="B136" s="13"/>
      <c r="C136" s="4" t="s">
        <v>124</v>
      </c>
      <c r="D136" s="17"/>
      <c r="E136" s="17"/>
      <c r="F136" s="11">
        <v>3874.5062573</v>
      </c>
      <c r="G136" s="12">
        <v>0.99999999900000003</v>
      </c>
      <c r="H136" s="97"/>
    </row>
    <row r="137" spans="1:8" ht="14.1" customHeight="1" x14ac:dyDescent="0.2">
      <c r="A137" s="18"/>
      <c r="B137" s="18"/>
      <c r="C137" s="18"/>
      <c r="D137" s="19"/>
      <c r="E137" s="19"/>
      <c r="F137" s="19"/>
      <c r="G137" s="19"/>
    </row>
    <row r="138" spans="1:8" ht="14.1" customHeight="1" x14ac:dyDescent="0.2">
      <c r="A138" s="20"/>
      <c r="B138" s="226" t="s">
        <v>98</v>
      </c>
      <c r="C138" s="226"/>
      <c r="D138" s="226"/>
      <c r="E138" s="226"/>
      <c r="F138" s="226"/>
      <c r="G138" s="22"/>
    </row>
    <row r="139" spans="1:8" ht="14.1" customHeight="1" x14ac:dyDescent="0.2">
      <c r="A139" s="20"/>
      <c r="B139" s="226" t="s">
        <v>98</v>
      </c>
      <c r="C139" s="226"/>
      <c r="D139" s="226"/>
      <c r="E139" s="226"/>
      <c r="F139" s="226"/>
      <c r="G139" s="22"/>
    </row>
    <row r="140" spans="1:8" ht="14.1" customHeight="1" x14ac:dyDescent="0.2">
      <c r="A140" s="20"/>
      <c r="B140" s="20"/>
      <c r="C140" s="20"/>
      <c r="D140" s="22"/>
      <c r="E140" s="22"/>
      <c r="F140" s="22"/>
      <c r="G140" s="22"/>
    </row>
    <row r="141" spans="1:8" ht="14.1" customHeight="1" x14ac:dyDescent="0.2">
      <c r="A141" s="20"/>
      <c r="B141" s="224" t="s">
        <v>126</v>
      </c>
      <c r="C141" s="225"/>
      <c r="D141" s="14" t="s">
        <v>98</v>
      </c>
      <c r="E141" s="23"/>
      <c r="F141" s="22"/>
      <c r="G141" s="22"/>
    </row>
    <row r="142" spans="1:8" ht="29.1" customHeight="1" x14ac:dyDescent="0.2">
      <c r="A142" s="20"/>
      <c r="B142" s="231" t="s">
        <v>127</v>
      </c>
      <c r="C142" s="232"/>
      <c r="D142" s="4" t="s">
        <v>128</v>
      </c>
      <c r="E142" s="23"/>
      <c r="F142" s="22"/>
      <c r="G142" s="22"/>
    </row>
    <row r="143" spans="1:8" ht="17.100000000000001" customHeight="1" x14ac:dyDescent="0.2">
      <c r="A143" s="20"/>
      <c r="B143" s="231" t="s">
        <v>129</v>
      </c>
      <c r="C143" s="232"/>
      <c r="D143" s="4" t="s">
        <v>128</v>
      </c>
      <c r="E143" s="23"/>
      <c r="F143" s="22"/>
      <c r="G143" s="22"/>
    </row>
    <row r="144" spans="1:8" ht="17.100000000000001" customHeight="1" x14ac:dyDescent="0.2">
      <c r="A144" s="20"/>
      <c r="B144" s="231" t="s">
        <v>130</v>
      </c>
      <c r="C144" s="232"/>
      <c r="D144" s="14" t="s">
        <v>98</v>
      </c>
      <c r="E144" s="23"/>
      <c r="F144" s="22"/>
      <c r="G144" s="22"/>
    </row>
    <row r="145" spans="1:17" ht="24" customHeight="1" x14ac:dyDescent="0.2">
      <c r="A145" s="24"/>
      <c r="B145" s="25" t="s">
        <v>98</v>
      </c>
      <c r="C145" s="25" t="s">
        <v>131</v>
      </c>
      <c r="D145" s="25" t="s">
        <v>132</v>
      </c>
      <c r="E145" s="24"/>
      <c r="F145" s="24"/>
      <c r="G145" s="24"/>
    </row>
    <row r="146" spans="1:17" ht="18" customHeight="1" x14ac:dyDescent="0.2">
      <c r="A146" s="24"/>
      <c r="B146" s="25" t="s">
        <v>133</v>
      </c>
      <c r="C146" s="25" t="s">
        <v>134</v>
      </c>
      <c r="D146" s="25" t="s">
        <v>135</v>
      </c>
      <c r="E146" s="24"/>
      <c r="F146" s="24"/>
      <c r="G146" s="24"/>
    </row>
    <row r="147" spans="1:17" ht="17.100000000000001" customHeight="1" x14ac:dyDescent="0.2">
      <c r="A147" s="24"/>
      <c r="B147" s="6" t="s">
        <v>136</v>
      </c>
      <c r="C147" s="26">
        <v>15.637499999999999</v>
      </c>
      <c r="D147" s="26">
        <v>16.2986</v>
      </c>
      <c r="E147" s="24"/>
      <c r="F147" s="21"/>
      <c r="G147" s="27"/>
    </row>
    <row r="148" spans="1:17" ht="17.100000000000001" customHeight="1" x14ac:dyDescent="0.2">
      <c r="A148" s="24"/>
      <c r="B148" s="6" t="s">
        <v>1201</v>
      </c>
      <c r="C148" s="26">
        <v>15.637499999999999</v>
      </c>
      <c r="D148" s="26">
        <v>16.2986</v>
      </c>
      <c r="E148" s="24"/>
      <c r="F148" s="21"/>
      <c r="G148" s="27"/>
    </row>
    <row r="149" spans="1:17" ht="17.100000000000001" customHeight="1" x14ac:dyDescent="0.2">
      <c r="A149" s="24"/>
      <c r="B149" s="6" t="s">
        <v>137</v>
      </c>
      <c r="C149" s="26">
        <v>15.328099999999999</v>
      </c>
      <c r="D149" s="26">
        <v>15.9735</v>
      </c>
      <c r="E149" s="24"/>
      <c r="F149" s="21"/>
      <c r="G149" s="27"/>
    </row>
    <row r="150" spans="1:17" ht="17.100000000000001" customHeight="1" x14ac:dyDescent="0.2">
      <c r="A150" s="24"/>
      <c r="B150" s="6" t="s">
        <v>1202</v>
      </c>
      <c r="C150" s="26">
        <v>15.328099999999999</v>
      </c>
      <c r="D150" s="26">
        <v>15.9735</v>
      </c>
      <c r="E150" s="24"/>
      <c r="F150" s="21"/>
      <c r="G150" s="27"/>
    </row>
    <row r="151" spans="1:17" ht="14.1" customHeight="1" x14ac:dyDescent="0.2">
      <c r="A151" s="24"/>
      <c r="B151" s="24"/>
      <c r="C151" s="24"/>
      <c r="D151" s="24"/>
      <c r="E151" s="24"/>
      <c r="F151" s="24"/>
      <c r="G151" s="24"/>
    </row>
    <row r="152" spans="1:17" ht="17.100000000000001" customHeight="1" x14ac:dyDescent="0.2">
      <c r="A152" s="24"/>
      <c r="B152" s="231" t="s">
        <v>1203</v>
      </c>
      <c r="C152" s="232"/>
      <c r="D152" s="4" t="s">
        <v>128</v>
      </c>
      <c r="E152" s="24"/>
      <c r="F152" s="24"/>
      <c r="G152" s="24"/>
    </row>
    <row r="153" spans="1:17" ht="18" customHeight="1" x14ac:dyDescent="0.2">
      <c r="A153" s="24"/>
      <c r="B153" s="28"/>
      <c r="C153" s="28"/>
      <c r="D153" s="29"/>
      <c r="E153" s="24"/>
      <c r="F153" s="24"/>
      <c r="G153" s="24"/>
    </row>
    <row r="154" spans="1:17" s="87" customFormat="1" x14ac:dyDescent="0.2">
      <c r="B154" s="233" t="s">
        <v>1207</v>
      </c>
      <c r="C154" s="233"/>
      <c r="D154" s="233"/>
      <c r="E154" s="233"/>
      <c r="F154" s="233"/>
      <c r="I154"/>
      <c r="J154"/>
      <c r="K154"/>
      <c r="L154"/>
      <c r="M154"/>
      <c r="N154"/>
      <c r="O154"/>
      <c r="P154" s="69"/>
      <c r="Q154" s="69"/>
    </row>
    <row r="155" spans="1:17" ht="14.1" customHeight="1" x14ac:dyDescent="0.2">
      <c r="A155" s="24"/>
      <c r="B155" s="21"/>
      <c r="C155" s="21"/>
      <c r="D155" s="24"/>
      <c r="E155" s="24"/>
      <c r="F155" s="24"/>
      <c r="G155" s="24"/>
    </row>
    <row r="156" spans="1:17" ht="29.1" customHeight="1" x14ac:dyDescent="0.2">
      <c r="A156" s="24"/>
      <c r="B156" s="231" t="s">
        <v>138</v>
      </c>
      <c r="C156" s="232"/>
      <c r="D156" s="4" t="s">
        <v>128</v>
      </c>
      <c r="E156" s="24"/>
      <c r="F156" s="24"/>
      <c r="G156" s="24"/>
      <c r="I156" s="87"/>
      <c r="J156" s="87"/>
      <c r="K156" s="87"/>
      <c r="L156" s="87"/>
      <c r="M156" s="87"/>
      <c r="N156" s="87"/>
      <c r="O156" s="87"/>
    </row>
    <row r="157" spans="1:17" ht="29.1" customHeight="1" x14ac:dyDescent="0.2">
      <c r="A157" s="24"/>
      <c r="B157" s="231" t="s">
        <v>139</v>
      </c>
      <c r="C157" s="232"/>
      <c r="D157" s="4" t="s">
        <v>128</v>
      </c>
      <c r="E157" s="24"/>
      <c r="F157" s="24"/>
      <c r="G157" s="24"/>
    </row>
    <row r="158" spans="1:17" ht="17.100000000000001" customHeight="1" x14ac:dyDescent="0.2">
      <c r="A158" s="24"/>
      <c r="B158" s="231" t="s">
        <v>140</v>
      </c>
      <c r="C158" s="232"/>
      <c r="D158" s="30">
        <v>0.29505253160772377</v>
      </c>
      <c r="E158" s="24"/>
      <c r="F158" s="21"/>
      <c r="G158" s="27"/>
    </row>
    <row r="159" spans="1:17" ht="17.100000000000001" customHeight="1" x14ac:dyDescent="0.2">
      <c r="A159" s="24"/>
      <c r="B159" s="231" t="s">
        <v>141</v>
      </c>
      <c r="C159" s="232"/>
      <c r="D159" s="4" t="s">
        <v>128</v>
      </c>
      <c r="E159" s="24"/>
      <c r="F159" s="24"/>
      <c r="G159" s="24"/>
    </row>
  </sheetData>
  <mergeCells count="16">
    <mergeCell ref="B158:C158"/>
    <mergeCell ref="B159:C159"/>
    <mergeCell ref="B142:C142"/>
    <mergeCell ref="B143:C143"/>
    <mergeCell ref="B144:C144"/>
    <mergeCell ref="B152:C152"/>
    <mergeCell ref="B156:C156"/>
    <mergeCell ref="B157:C157"/>
    <mergeCell ref="B154:F154"/>
    <mergeCell ref="J2:N2"/>
    <mergeCell ref="B141:C141"/>
    <mergeCell ref="B138:F138"/>
    <mergeCell ref="B139:F139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28">
    <outlinePr summaryBelow="0" summaryRight="0"/>
  </sheetPr>
  <dimension ref="A1:Q160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6" ht="15" x14ac:dyDescent="0.2">
      <c r="A1" s="227" t="s">
        <v>0</v>
      </c>
      <c r="B1" s="227"/>
      <c r="C1" s="227"/>
      <c r="D1" s="227"/>
      <c r="E1" s="227"/>
      <c r="F1" s="227"/>
      <c r="G1" s="227"/>
      <c r="H1" s="227"/>
    </row>
    <row r="2" spans="1:16" s="87" customFormat="1" ht="15" x14ac:dyDescent="0.2">
      <c r="A2" s="228" t="s">
        <v>641</v>
      </c>
      <c r="B2" s="229"/>
      <c r="C2" s="229"/>
      <c r="D2" s="229"/>
      <c r="E2" s="229"/>
      <c r="F2" s="229"/>
      <c r="G2" s="229"/>
      <c r="H2" s="230"/>
      <c r="I2"/>
      <c r="J2" s="223" t="s">
        <v>1238</v>
      </c>
      <c r="K2" s="223"/>
      <c r="L2" s="223"/>
      <c r="M2" s="223"/>
      <c r="N2" s="223"/>
      <c r="O2"/>
      <c r="P2"/>
    </row>
    <row r="3" spans="1:16" ht="15" x14ac:dyDescent="0.2">
      <c r="A3" s="227" t="s">
        <v>1208</v>
      </c>
      <c r="B3" s="227"/>
      <c r="C3" s="227"/>
      <c r="D3" s="227"/>
      <c r="E3" s="227"/>
      <c r="F3" s="227"/>
      <c r="G3" s="227"/>
      <c r="H3" s="227"/>
    </row>
    <row r="4" spans="1:16" s="113" customFormat="1" ht="30" x14ac:dyDescent="0.2">
      <c r="A4" s="1" t="s">
        <v>2</v>
      </c>
      <c r="B4" s="1" t="s">
        <v>3</v>
      </c>
      <c r="C4" s="1" t="s">
        <v>4</v>
      </c>
      <c r="D4" s="1" t="s">
        <v>5</v>
      </c>
      <c r="E4" s="2" t="s">
        <v>6</v>
      </c>
      <c r="F4" s="2" t="s">
        <v>7</v>
      </c>
      <c r="G4" s="2" t="s">
        <v>8</v>
      </c>
      <c r="H4" s="96" t="s">
        <v>1167</v>
      </c>
      <c r="I4" s="183"/>
      <c r="J4" s="183"/>
      <c r="K4" s="183"/>
      <c r="L4" s="183"/>
      <c r="M4" s="183"/>
      <c r="N4" s="183"/>
      <c r="O4" s="183"/>
      <c r="P4" s="183"/>
    </row>
    <row r="5" spans="1:16" ht="14.1" customHeight="1" x14ac:dyDescent="0.2">
      <c r="A5" s="3"/>
      <c r="B5" s="3"/>
      <c r="C5" s="4" t="s">
        <v>9</v>
      </c>
      <c r="D5" s="3"/>
      <c r="E5" s="3"/>
      <c r="F5" s="3"/>
      <c r="G5" s="3"/>
      <c r="H5" s="97"/>
    </row>
    <row r="6" spans="1:16" ht="24" customHeight="1" x14ac:dyDescent="0.2">
      <c r="A6" s="3"/>
      <c r="B6" s="3"/>
      <c r="C6" s="4" t="s">
        <v>10</v>
      </c>
      <c r="D6" s="3"/>
      <c r="E6" s="3"/>
      <c r="F6" s="3"/>
      <c r="G6" s="3"/>
      <c r="H6" s="97"/>
    </row>
    <row r="7" spans="1:16" x14ac:dyDescent="0.2">
      <c r="A7" s="5">
        <v>1</v>
      </c>
      <c r="B7" s="6" t="s">
        <v>164</v>
      </c>
      <c r="C7" s="6" t="s">
        <v>165</v>
      </c>
      <c r="D7" s="6" t="s">
        <v>19</v>
      </c>
      <c r="E7" s="7">
        <v>11414</v>
      </c>
      <c r="F7" s="8">
        <v>133.32122699999999</v>
      </c>
      <c r="G7" s="9">
        <v>3.2905927000000001E-2</v>
      </c>
      <c r="H7" s="97"/>
    </row>
    <row r="8" spans="1:16" ht="25.5" x14ac:dyDescent="0.2">
      <c r="A8" s="5">
        <v>2</v>
      </c>
      <c r="B8" s="6" t="s">
        <v>143</v>
      </c>
      <c r="C8" s="6" t="s">
        <v>144</v>
      </c>
      <c r="D8" s="6" t="s">
        <v>45</v>
      </c>
      <c r="E8" s="7">
        <v>67686</v>
      </c>
      <c r="F8" s="8">
        <v>131.68311299999999</v>
      </c>
      <c r="G8" s="9">
        <v>3.2501612999999999E-2</v>
      </c>
      <c r="H8" s="97"/>
    </row>
    <row r="9" spans="1:16" x14ac:dyDescent="0.2">
      <c r="A9" s="5">
        <v>3</v>
      </c>
      <c r="B9" s="6" t="s">
        <v>274</v>
      </c>
      <c r="C9" s="6" t="s">
        <v>275</v>
      </c>
      <c r="D9" s="6" t="s">
        <v>185</v>
      </c>
      <c r="E9" s="7">
        <v>3069</v>
      </c>
      <c r="F9" s="8">
        <v>128.54506499999999</v>
      </c>
      <c r="G9" s="9">
        <v>3.1727089999999999E-2</v>
      </c>
      <c r="H9" s="97"/>
    </row>
    <row r="10" spans="1:16" x14ac:dyDescent="0.2">
      <c r="A10" s="5">
        <v>4</v>
      </c>
      <c r="B10" s="6" t="s">
        <v>148</v>
      </c>
      <c r="C10" s="6" t="s">
        <v>149</v>
      </c>
      <c r="D10" s="6" t="s">
        <v>70</v>
      </c>
      <c r="E10" s="7">
        <v>20933</v>
      </c>
      <c r="F10" s="8">
        <v>125.158407</v>
      </c>
      <c r="G10" s="9">
        <v>3.0891205000000001E-2</v>
      </c>
      <c r="H10" s="97"/>
    </row>
    <row r="11" spans="1:16" x14ac:dyDescent="0.2">
      <c r="A11" s="5">
        <v>5</v>
      </c>
      <c r="B11" s="6" t="s">
        <v>74</v>
      </c>
      <c r="C11" s="6" t="s">
        <v>75</v>
      </c>
      <c r="D11" s="6" t="s">
        <v>70</v>
      </c>
      <c r="E11" s="7">
        <v>28956</v>
      </c>
      <c r="F11" s="8">
        <v>121.557288</v>
      </c>
      <c r="G11" s="9">
        <v>3.0002388000000001E-2</v>
      </c>
      <c r="H11" s="97"/>
    </row>
    <row r="12" spans="1:16" x14ac:dyDescent="0.2">
      <c r="A12" s="5">
        <v>6</v>
      </c>
      <c r="B12" s="6" t="s">
        <v>145</v>
      </c>
      <c r="C12" s="6" t="s">
        <v>146</v>
      </c>
      <c r="D12" s="6" t="s">
        <v>147</v>
      </c>
      <c r="E12" s="7">
        <v>2353</v>
      </c>
      <c r="F12" s="8">
        <v>115.3993555</v>
      </c>
      <c r="G12" s="9">
        <v>2.8482507000000001E-2</v>
      </c>
      <c r="H12" s="97"/>
    </row>
    <row r="13" spans="1:16" x14ac:dyDescent="0.2">
      <c r="A13" s="5">
        <v>7</v>
      </c>
      <c r="B13" s="6" t="s">
        <v>150</v>
      </c>
      <c r="C13" s="6" t="s">
        <v>151</v>
      </c>
      <c r="D13" s="6" t="s">
        <v>81</v>
      </c>
      <c r="E13" s="7">
        <v>101617</v>
      </c>
      <c r="F13" s="8">
        <v>112.6424445</v>
      </c>
      <c r="G13" s="9">
        <v>2.7802054999999999E-2</v>
      </c>
      <c r="H13" s="97"/>
    </row>
    <row r="14" spans="1:16" x14ac:dyDescent="0.2">
      <c r="A14" s="5">
        <v>8</v>
      </c>
      <c r="B14" s="6" t="s">
        <v>156</v>
      </c>
      <c r="C14" s="6" t="s">
        <v>157</v>
      </c>
      <c r="D14" s="6" t="s">
        <v>19</v>
      </c>
      <c r="E14" s="7">
        <v>14589</v>
      </c>
      <c r="F14" s="8">
        <v>105.82131149999999</v>
      </c>
      <c r="G14" s="9">
        <v>2.6118484000000001E-2</v>
      </c>
      <c r="H14" s="97"/>
    </row>
    <row r="15" spans="1:16" ht="15" x14ac:dyDescent="0.2">
      <c r="A15" s="5">
        <v>9</v>
      </c>
      <c r="B15" s="6" t="s">
        <v>263</v>
      </c>
      <c r="C15" s="6" t="s">
        <v>264</v>
      </c>
      <c r="D15" s="6" t="s">
        <v>147</v>
      </c>
      <c r="E15" s="7">
        <v>16894</v>
      </c>
      <c r="F15" s="8">
        <v>103.551773</v>
      </c>
      <c r="G15" s="9">
        <v>2.5558324E-2</v>
      </c>
      <c r="H15" s="97"/>
      <c r="J15" s="184" t="s">
        <v>1240</v>
      </c>
    </row>
    <row r="16" spans="1:16" x14ac:dyDescent="0.2">
      <c r="A16" s="5">
        <v>10</v>
      </c>
      <c r="B16" s="6" t="s">
        <v>172</v>
      </c>
      <c r="C16" s="6" t="s">
        <v>173</v>
      </c>
      <c r="D16" s="6" t="s">
        <v>174</v>
      </c>
      <c r="E16" s="7">
        <v>36249</v>
      </c>
      <c r="F16" s="8">
        <v>86.653234499999996</v>
      </c>
      <c r="G16" s="9">
        <v>2.1387479000000001E-2</v>
      </c>
      <c r="H16" s="97"/>
    </row>
    <row r="17" spans="1:8" x14ac:dyDescent="0.2">
      <c r="A17" s="5">
        <v>11</v>
      </c>
      <c r="B17" s="6" t="s">
        <v>84</v>
      </c>
      <c r="C17" s="6" t="s">
        <v>85</v>
      </c>
      <c r="D17" s="6" t="s">
        <v>53</v>
      </c>
      <c r="E17" s="7">
        <v>17357</v>
      </c>
      <c r="F17" s="8">
        <v>85.101371</v>
      </c>
      <c r="G17" s="9">
        <v>2.1004452999999999E-2</v>
      </c>
      <c r="H17" s="97"/>
    </row>
    <row r="18" spans="1:8" ht="25.5" x14ac:dyDescent="0.2">
      <c r="A18" s="5">
        <v>12</v>
      </c>
      <c r="B18" s="6" t="s">
        <v>604</v>
      </c>
      <c r="C18" s="6" t="s">
        <v>605</v>
      </c>
      <c r="D18" s="6" t="s">
        <v>45</v>
      </c>
      <c r="E18" s="7">
        <v>4453</v>
      </c>
      <c r="F18" s="8">
        <v>82.451747999999995</v>
      </c>
      <c r="G18" s="9">
        <v>2.0350482E-2</v>
      </c>
      <c r="H18" s="97"/>
    </row>
    <row r="19" spans="1:8" x14ac:dyDescent="0.2">
      <c r="A19" s="5">
        <v>13</v>
      </c>
      <c r="B19" s="6" t="s">
        <v>152</v>
      </c>
      <c r="C19" s="6" t="s">
        <v>153</v>
      </c>
      <c r="D19" s="6" t="s">
        <v>1184</v>
      </c>
      <c r="E19" s="7">
        <v>6933</v>
      </c>
      <c r="F19" s="8">
        <v>81.9515265</v>
      </c>
      <c r="G19" s="9">
        <v>2.0227018999999999E-2</v>
      </c>
      <c r="H19" s="97"/>
    </row>
    <row r="20" spans="1:8" x14ac:dyDescent="0.2">
      <c r="A20" s="5">
        <v>14</v>
      </c>
      <c r="B20" s="6" t="s">
        <v>41</v>
      </c>
      <c r="C20" s="6" t="s">
        <v>42</v>
      </c>
      <c r="D20" s="6" t="s">
        <v>19</v>
      </c>
      <c r="E20" s="7">
        <v>6666</v>
      </c>
      <c r="F20" s="8">
        <v>81.341864999999999</v>
      </c>
      <c r="G20" s="9">
        <v>2.0076544000000002E-2</v>
      </c>
      <c r="H20" s="97"/>
    </row>
    <row r="21" spans="1:8" x14ac:dyDescent="0.2">
      <c r="A21" s="5">
        <v>15</v>
      </c>
      <c r="B21" s="6" t="s">
        <v>191</v>
      </c>
      <c r="C21" s="6" t="s">
        <v>192</v>
      </c>
      <c r="D21" s="6" t="s">
        <v>193</v>
      </c>
      <c r="E21" s="7">
        <v>17769</v>
      </c>
      <c r="F21" s="8">
        <v>80.724566999999993</v>
      </c>
      <c r="G21" s="9">
        <v>1.9924184000000001E-2</v>
      </c>
      <c r="H21" s="97"/>
    </row>
    <row r="22" spans="1:8" ht="25.5" x14ac:dyDescent="0.2">
      <c r="A22" s="5">
        <v>16</v>
      </c>
      <c r="B22" s="6" t="s">
        <v>37</v>
      </c>
      <c r="C22" s="6" t="s">
        <v>38</v>
      </c>
      <c r="D22" s="6" t="s">
        <v>1185</v>
      </c>
      <c r="E22" s="7">
        <v>2267</v>
      </c>
      <c r="F22" s="8">
        <v>77.0519295</v>
      </c>
      <c r="G22" s="9">
        <v>1.9017715000000001E-2</v>
      </c>
      <c r="H22" s="97"/>
    </row>
    <row r="23" spans="1:8" ht="25.5" x14ac:dyDescent="0.2">
      <c r="A23" s="5">
        <v>17</v>
      </c>
      <c r="B23" s="6" t="s">
        <v>200</v>
      </c>
      <c r="C23" s="6" t="s">
        <v>201</v>
      </c>
      <c r="D23" s="6" t="s">
        <v>202</v>
      </c>
      <c r="E23" s="7">
        <v>18670</v>
      </c>
      <c r="F23" s="8">
        <v>76.154929999999993</v>
      </c>
      <c r="G23" s="9">
        <v>1.8796321000000001E-2</v>
      </c>
      <c r="H23" s="97"/>
    </row>
    <row r="24" spans="1:8" x14ac:dyDescent="0.2">
      <c r="A24" s="5">
        <v>18</v>
      </c>
      <c r="B24" s="6" t="s">
        <v>68</v>
      </c>
      <c r="C24" s="6" t="s">
        <v>69</v>
      </c>
      <c r="D24" s="6" t="s">
        <v>70</v>
      </c>
      <c r="E24" s="7">
        <v>2279</v>
      </c>
      <c r="F24" s="8">
        <v>75.576198000000005</v>
      </c>
      <c r="G24" s="9">
        <v>1.865348E-2</v>
      </c>
      <c r="H24" s="97"/>
    </row>
    <row r="25" spans="1:8" x14ac:dyDescent="0.2">
      <c r="A25" s="5">
        <v>19</v>
      </c>
      <c r="B25" s="6" t="s">
        <v>203</v>
      </c>
      <c r="C25" s="6" t="s">
        <v>204</v>
      </c>
      <c r="D25" s="6" t="s">
        <v>81</v>
      </c>
      <c r="E25" s="7">
        <v>9477</v>
      </c>
      <c r="F25" s="8">
        <v>73.370934000000005</v>
      </c>
      <c r="G25" s="9">
        <v>1.8109184E-2</v>
      </c>
      <c r="H25" s="97"/>
    </row>
    <row r="26" spans="1:8" x14ac:dyDescent="0.2">
      <c r="A26" s="5">
        <v>20</v>
      </c>
      <c r="B26" s="6" t="s">
        <v>259</v>
      </c>
      <c r="C26" s="6" t="s">
        <v>260</v>
      </c>
      <c r="D26" s="6" t="s">
        <v>34</v>
      </c>
      <c r="E26" s="7">
        <v>19575</v>
      </c>
      <c r="F26" s="8">
        <v>73.3181625</v>
      </c>
      <c r="G26" s="9">
        <v>1.8096159000000001E-2</v>
      </c>
      <c r="H26" s="97"/>
    </row>
    <row r="27" spans="1:8" x14ac:dyDescent="0.2">
      <c r="A27" s="5">
        <v>21</v>
      </c>
      <c r="B27" s="6" t="s">
        <v>282</v>
      </c>
      <c r="C27" s="6" t="s">
        <v>283</v>
      </c>
      <c r="D27" s="6" t="s">
        <v>284</v>
      </c>
      <c r="E27" s="7">
        <v>27958</v>
      </c>
      <c r="F27" s="8">
        <v>70.300391000000005</v>
      </c>
      <c r="G27" s="9">
        <v>1.7351321999999999E-2</v>
      </c>
      <c r="H27" s="97"/>
    </row>
    <row r="28" spans="1:8" x14ac:dyDescent="0.2">
      <c r="A28" s="5">
        <v>22</v>
      </c>
      <c r="B28" s="6" t="s">
        <v>166</v>
      </c>
      <c r="C28" s="6" t="s">
        <v>167</v>
      </c>
      <c r="D28" s="6" t="s">
        <v>1186</v>
      </c>
      <c r="E28" s="7">
        <v>19759</v>
      </c>
      <c r="F28" s="8">
        <v>69.818426500000001</v>
      </c>
      <c r="G28" s="9">
        <v>1.7232364999999999E-2</v>
      </c>
      <c r="H28" s="97"/>
    </row>
    <row r="29" spans="1:8" x14ac:dyDescent="0.2">
      <c r="A29" s="5">
        <v>23</v>
      </c>
      <c r="B29" s="6" t="s">
        <v>168</v>
      </c>
      <c r="C29" s="6" t="s">
        <v>169</v>
      </c>
      <c r="D29" s="6" t="s">
        <v>81</v>
      </c>
      <c r="E29" s="7">
        <v>108798</v>
      </c>
      <c r="F29" s="8">
        <v>68.542739999999995</v>
      </c>
      <c r="G29" s="9">
        <v>1.6917504E-2</v>
      </c>
      <c r="H29" s="97"/>
    </row>
    <row r="30" spans="1:8" x14ac:dyDescent="0.2">
      <c r="A30" s="5">
        <v>24</v>
      </c>
      <c r="B30" s="6" t="s">
        <v>296</v>
      </c>
      <c r="C30" s="6" t="s">
        <v>297</v>
      </c>
      <c r="D30" s="6" t="s">
        <v>19</v>
      </c>
      <c r="E30" s="7">
        <v>9335</v>
      </c>
      <c r="F30" s="8">
        <v>66.227157500000004</v>
      </c>
      <c r="G30" s="9">
        <v>1.6345979E-2</v>
      </c>
      <c r="H30" s="97"/>
    </row>
    <row r="31" spans="1:8" x14ac:dyDescent="0.2">
      <c r="A31" s="5">
        <v>25</v>
      </c>
      <c r="B31" s="6" t="s">
        <v>160</v>
      </c>
      <c r="C31" s="6" t="s">
        <v>161</v>
      </c>
      <c r="D31" s="6" t="s">
        <v>147</v>
      </c>
      <c r="E31" s="7">
        <v>6153</v>
      </c>
      <c r="F31" s="8">
        <v>62.945189999999997</v>
      </c>
      <c r="G31" s="9">
        <v>1.5535934E-2</v>
      </c>
      <c r="H31" s="97"/>
    </row>
    <row r="32" spans="1:8" x14ac:dyDescent="0.2">
      <c r="A32" s="5">
        <v>26</v>
      </c>
      <c r="B32" s="6" t="s">
        <v>170</v>
      </c>
      <c r="C32" s="6" t="s">
        <v>171</v>
      </c>
      <c r="D32" s="6" t="s">
        <v>70</v>
      </c>
      <c r="E32" s="7">
        <v>6426</v>
      </c>
      <c r="F32" s="8">
        <v>62.512127999999997</v>
      </c>
      <c r="G32" s="9">
        <v>1.5429047E-2</v>
      </c>
      <c r="H32" s="97"/>
    </row>
    <row r="33" spans="1:8" x14ac:dyDescent="0.2">
      <c r="A33" s="5">
        <v>27</v>
      </c>
      <c r="B33" s="6" t="s">
        <v>194</v>
      </c>
      <c r="C33" s="6" t="s">
        <v>195</v>
      </c>
      <c r="D33" s="6" t="s">
        <v>53</v>
      </c>
      <c r="E33" s="7">
        <v>6312</v>
      </c>
      <c r="F33" s="8">
        <v>62.195292000000002</v>
      </c>
      <c r="G33" s="9">
        <v>1.5350847000000001E-2</v>
      </c>
      <c r="H33" s="97"/>
    </row>
    <row r="34" spans="1:8" x14ac:dyDescent="0.2">
      <c r="A34" s="5">
        <v>28</v>
      </c>
      <c r="B34" s="6" t="s">
        <v>158</v>
      </c>
      <c r="C34" s="6" t="s">
        <v>159</v>
      </c>
      <c r="D34" s="6" t="s">
        <v>1187</v>
      </c>
      <c r="E34" s="7">
        <v>5037</v>
      </c>
      <c r="F34" s="8">
        <v>61.408585500000001</v>
      </c>
      <c r="G34" s="9">
        <v>1.5156674E-2</v>
      </c>
      <c r="H34" s="97"/>
    </row>
    <row r="35" spans="1:8" x14ac:dyDescent="0.2">
      <c r="A35" s="5">
        <v>29</v>
      </c>
      <c r="B35" s="6" t="s">
        <v>209</v>
      </c>
      <c r="C35" s="6" t="s">
        <v>210</v>
      </c>
      <c r="D35" s="6" t="s">
        <v>193</v>
      </c>
      <c r="E35" s="7">
        <v>11300</v>
      </c>
      <c r="F35" s="8">
        <v>60.895699999999998</v>
      </c>
      <c r="G35" s="9">
        <v>1.5030086E-2</v>
      </c>
      <c r="H35" s="97"/>
    </row>
    <row r="36" spans="1:8" x14ac:dyDescent="0.2">
      <c r="A36" s="5">
        <v>30</v>
      </c>
      <c r="B36" s="6" t="s">
        <v>181</v>
      </c>
      <c r="C36" s="6" t="s">
        <v>182</v>
      </c>
      <c r="D36" s="6" t="s">
        <v>1189</v>
      </c>
      <c r="E36" s="7">
        <v>7019</v>
      </c>
      <c r="F36" s="8">
        <v>60.107206499999997</v>
      </c>
      <c r="G36" s="9">
        <v>1.4835472000000001E-2</v>
      </c>
      <c r="H36" s="97"/>
    </row>
    <row r="37" spans="1:8" x14ac:dyDescent="0.2">
      <c r="A37" s="5">
        <v>31</v>
      </c>
      <c r="B37" s="6" t="s">
        <v>186</v>
      </c>
      <c r="C37" s="6" t="s">
        <v>187</v>
      </c>
      <c r="D37" s="6" t="s">
        <v>19</v>
      </c>
      <c r="E37" s="7">
        <v>2911</v>
      </c>
      <c r="F37" s="8">
        <v>57.875046500000003</v>
      </c>
      <c r="G37" s="9">
        <v>1.4284537E-2</v>
      </c>
      <c r="H37" s="97"/>
    </row>
    <row r="38" spans="1:8" x14ac:dyDescent="0.2">
      <c r="A38" s="5">
        <v>32</v>
      </c>
      <c r="B38" s="6" t="s">
        <v>196</v>
      </c>
      <c r="C38" s="6" t="s">
        <v>197</v>
      </c>
      <c r="D38" s="6" t="s">
        <v>81</v>
      </c>
      <c r="E38" s="7">
        <v>10036</v>
      </c>
      <c r="F38" s="8">
        <v>55.494062</v>
      </c>
      <c r="G38" s="9">
        <v>1.369687E-2</v>
      </c>
      <c r="H38" s="97"/>
    </row>
    <row r="39" spans="1:8" x14ac:dyDescent="0.2">
      <c r="A39" s="5">
        <v>33</v>
      </c>
      <c r="B39" s="6" t="s">
        <v>179</v>
      </c>
      <c r="C39" s="6" t="s">
        <v>180</v>
      </c>
      <c r="D39" s="6" t="s">
        <v>53</v>
      </c>
      <c r="E39" s="7">
        <v>50979</v>
      </c>
      <c r="F39" s="8">
        <v>51.259384500000003</v>
      </c>
      <c r="G39" s="9">
        <v>1.265168E-2</v>
      </c>
      <c r="H39" s="97"/>
    </row>
    <row r="40" spans="1:8" x14ac:dyDescent="0.2">
      <c r="A40" s="5">
        <v>34</v>
      </c>
      <c r="B40" s="6" t="s">
        <v>276</v>
      </c>
      <c r="C40" s="6" t="s">
        <v>277</v>
      </c>
      <c r="D40" s="6" t="s">
        <v>53</v>
      </c>
      <c r="E40" s="7">
        <v>2890</v>
      </c>
      <c r="F40" s="8">
        <v>50.326459999999997</v>
      </c>
      <c r="G40" s="9">
        <v>1.2421419E-2</v>
      </c>
      <c r="H40" s="97"/>
    </row>
    <row r="41" spans="1:8" x14ac:dyDescent="0.2">
      <c r="A41" s="5">
        <v>35</v>
      </c>
      <c r="B41" s="6" t="s">
        <v>198</v>
      </c>
      <c r="C41" s="6" t="s">
        <v>199</v>
      </c>
      <c r="D41" s="6" t="s">
        <v>70</v>
      </c>
      <c r="E41" s="7">
        <v>5611</v>
      </c>
      <c r="F41" s="8">
        <v>50.010843000000001</v>
      </c>
      <c r="G41" s="9">
        <v>1.2343519000000001E-2</v>
      </c>
      <c r="H41" s="97"/>
    </row>
    <row r="42" spans="1:8" x14ac:dyDescent="0.2">
      <c r="A42" s="5">
        <v>36</v>
      </c>
      <c r="B42" s="6" t="s">
        <v>188</v>
      </c>
      <c r="C42" s="6" t="s">
        <v>189</v>
      </c>
      <c r="D42" s="6" t="s">
        <v>190</v>
      </c>
      <c r="E42" s="7">
        <v>9975</v>
      </c>
      <c r="F42" s="8">
        <v>45.880012499999999</v>
      </c>
      <c r="G42" s="9">
        <v>1.1323961E-2</v>
      </c>
      <c r="H42" s="97"/>
    </row>
    <row r="43" spans="1:8" ht="25.5" x14ac:dyDescent="0.2">
      <c r="A43" s="5">
        <v>37</v>
      </c>
      <c r="B43" s="6" t="s">
        <v>214</v>
      </c>
      <c r="C43" s="6" t="s">
        <v>215</v>
      </c>
      <c r="D43" s="6" t="s">
        <v>70</v>
      </c>
      <c r="E43" s="7">
        <v>2285</v>
      </c>
      <c r="F43" s="8">
        <v>45.137889999999999</v>
      </c>
      <c r="G43" s="9">
        <v>1.1140792E-2</v>
      </c>
      <c r="H43" s="97"/>
    </row>
    <row r="44" spans="1:8" x14ac:dyDescent="0.2">
      <c r="A44" s="5">
        <v>38</v>
      </c>
      <c r="B44" s="6" t="s">
        <v>256</v>
      </c>
      <c r="C44" s="6" t="s">
        <v>257</v>
      </c>
      <c r="D44" s="6" t="s">
        <v>238</v>
      </c>
      <c r="E44" s="7">
        <v>7112</v>
      </c>
      <c r="F44" s="8">
        <v>44.425108000000002</v>
      </c>
      <c r="G44" s="9">
        <v>1.0964866E-2</v>
      </c>
      <c r="H44" s="97"/>
    </row>
    <row r="45" spans="1:8" x14ac:dyDescent="0.2">
      <c r="A45" s="5">
        <v>39</v>
      </c>
      <c r="B45" s="6" t="s">
        <v>205</v>
      </c>
      <c r="C45" s="6" t="s">
        <v>206</v>
      </c>
      <c r="D45" s="6" t="s">
        <v>1187</v>
      </c>
      <c r="E45" s="7">
        <v>7805</v>
      </c>
      <c r="F45" s="8">
        <v>43.891417500000003</v>
      </c>
      <c r="G45" s="9">
        <v>1.0833142E-2</v>
      </c>
      <c r="H45" s="97"/>
    </row>
    <row r="46" spans="1:8" ht="25.5" x14ac:dyDescent="0.2">
      <c r="A46" s="5">
        <v>40</v>
      </c>
      <c r="B46" s="6" t="s">
        <v>211</v>
      </c>
      <c r="C46" s="6" t="s">
        <v>212</v>
      </c>
      <c r="D46" s="6" t="s">
        <v>202</v>
      </c>
      <c r="E46" s="7">
        <v>9643</v>
      </c>
      <c r="F46" s="8">
        <v>43.523680499999998</v>
      </c>
      <c r="G46" s="9">
        <v>1.0742378E-2</v>
      </c>
      <c r="H46" s="97"/>
    </row>
    <row r="47" spans="1:8" x14ac:dyDescent="0.2">
      <c r="A47" s="5">
        <v>41</v>
      </c>
      <c r="B47" s="6" t="s">
        <v>614</v>
      </c>
      <c r="C47" s="6" t="s">
        <v>615</v>
      </c>
      <c r="D47" s="6" t="s">
        <v>193</v>
      </c>
      <c r="E47" s="7">
        <v>8154</v>
      </c>
      <c r="F47" s="8">
        <v>42.951194999999998</v>
      </c>
      <c r="G47" s="9">
        <v>1.0601078999999999E-2</v>
      </c>
      <c r="H47" s="97"/>
    </row>
    <row r="48" spans="1:8" x14ac:dyDescent="0.2">
      <c r="A48" s="5">
        <v>42</v>
      </c>
      <c r="B48" s="6" t="s">
        <v>261</v>
      </c>
      <c r="C48" s="6" t="s">
        <v>262</v>
      </c>
      <c r="D48" s="6" t="s">
        <v>238</v>
      </c>
      <c r="E48" s="7">
        <v>5781</v>
      </c>
      <c r="F48" s="8">
        <v>42.007636499999997</v>
      </c>
      <c r="G48" s="9">
        <v>1.0368193E-2</v>
      </c>
      <c r="H48" s="97"/>
    </row>
    <row r="49" spans="1:8" x14ac:dyDescent="0.2">
      <c r="A49" s="5">
        <v>43</v>
      </c>
      <c r="B49" s="6" t="s">
        <v>154</v>
      </c>
      <c r="C49" s="6" t="s">
        <v>155</v>
      </c>
      <c r="D49" s="6" t="s">
        <v>147</v>
      </c>
      <c r="E49" s="7">
        <v>3655</v>
      </c>
      <c r="F49" s="8">
        <v>41.2082975</v>
      </c>
      <c r="G49" s="9">
        <v>1.0170903E-2</v>
      </c>
      <c r="H49" s="97"/>
    </row>
    <row r="50" spans="1:8" x14ac:dyDescent="0.2">
      <c r="A50" s="5">
        <v>44</v>
      </c>
      <c r="B50" s="6" t="s">
        <v>234</v>
      </c>
      <c r="C50" s="6" t="s">
        <v>235</v>
      </c>
      <c r="D50" s="6" t="s">
        <v>1187</v>
      </c>
      <c r="E50" s="7">
        <v>32152</v>
      </c>
      <c r="F50" s="8">
        <v>41.090255999999997</v>
      </c>
      <c r="G50" s="9">
        <v>1.0141768000000001E-2</v>
      </c>
      <c r="H50" s="97"/>
    </row>
    <row r="51" spans="1:8" ht="25.5" x14ac:dyDescent="0.2">
      <c r="A51" s="5">
        <v>45</v>
      </c>
      <c r="B51" s="6" t="s">
        <v>248</v>
      </c>
      <c r="C51" s="6" t="s">
        <v>249</v>
      </c>
      <c r="D51" s="6" t="s">
        <v>202</v>
      </c>
      <c r="E51" s="7">
        <v>9296</v>
      </c>
      <c r="F51" s="8">
        <v>39.903080000000003</v>
      </c>
      <c r="G51" s="9">
        <v>9.848753E-3</v>
      </c>
      <c r="H51" s="97"/>
    </row>
    <row r="52" spans="1:8" x14ac:dyDescent="0.2">
      <c r="A52" s="5">
        <v>46</v>
      </c>
      <c r="B52" s="6" t="s">
        <v>216</v>
      </c>
      <c r="C52" s="6" t="s">
        <v>217</v>
      </c>
      <c r="D52" s="6" t="s">
        <v>1184</v>
      </c>
      <c r="E52" s="7">
        <v>2495</v>
      </c>
      <c r="F52" s="8">
        <v>39.490859999999998</v>
      </c>
      <c r="G52" s="9">
        <v>9.7470100000000004E-3</v>
      </c>
      <c r="H52" s="97"/>
    </row>
    <row r="53" spans="1:8" ht="25.5" x14ac:dyDescent="0.2">
      <c r="A53" s="5">
        <v>47</v>
      </c>
      <c r="B53" s="6" t="s">
        <v>226</v>
      </c>
      <c r="C53" s="6" t="s">
        <v>227</v>
      </c>
      <c r="D53" s="6" t="s">
        <v>1191</v>
      </c>
      <c r="E53" s="7">
        <v>44136</v>
      </c>
      <c r="F53" s="8">
        <v>39.170699999999997</v>
      </c>
      <c r="G53" s="9">
        <v>9.6679890000000001E-3</v>
      </c>
      <c r="H53" s="97"/>
    </row>
    <row r="54" spans="1:8" ht="25.5" x14ac:dyDescent="0.2">
      <c r="A54" s="5">
        <v>48</v>
      </c>
      <c r="B54" s="6" t="s">
        <v>207</v>
      </c>
      <c r="C54" s="6" t="s">
        <v>208</v>
      </c>
      <c r="D54" s="6" t="s">
        <v>45</v>
      </c>
      <c r="E54" s="7">
        <v>17050</v>
      </c>
      <c r="F54" s="8">
        <v>37.902149999999999</v>
      </c>
      <c r="G54" s="9">
        <v>9.3548899999999994E-3</v>
      </c>
      <c r="H54" s="97"/>
    </row>
    <row r="55" spans="1:8" ht="25.5" x14ac:dyDescent="0.2">
      <c r="A55" s="5">
        <v>49</v>
      </c>
      <c r="B55" s="6" t="s">
        <v>177</v>
      </c>
      <c r="C55" s="6" t="s">
        <v>178</v>
      </c>
      <c r="D55" s="6" t="s">
        <v>1185</v>
      </c>
      <c r="E55" s="7">
        <v>16405</v>
      </c>
      <c r="F55" s="8">
        <v>37.132717499999998</v>
      </c>
      <c r="G55" s="9">
        <v>9.1649810000000009E-3</v>
      </c>
      <c r="H55" s="97"/>
    </row>
    <row r="56" spans="1:8" x14ac:dyDescent="0.2">
      <c r="A56" s="5">
        <v>50</v>
      </c>
      <c r="B56" s="6" t="s">
        <v>236</v>
      </c>
      <c r="C56" s="6" t="s">
        <v>237</v>
      </c>
      <c r="D56" s="6" t="s">
        <v>238</v>
      </c>
      <c r="E56" s="7">
        <v>10105</v>
      </c>
      <c r="F56" s="8">
        <v>37.034824999999998</v>
      </c>
      <c r="G56" s="9">
        <v>9.1408189999999997E-3</v>
      </c>
      <c r="H56" s="97"/>
    </row>
    <row r="57" spans="1:8" x14ac:dyDescent="0.2">
      <c r="A57" s="5">
        <v>51</v>
      </c>
      <c r="B57" s="6" t="s">
        <v>245</v>
      </c>
      <c r="C57" s="6" t="s">
        <v>246</v>
      </c>
      <c r="D57" s="6" t="s">
        <v>247</v>
      </c>
      <c r="E57" s="7">
        <v>16931</v>
      </c>
      <c r="F57" s="8">
        <v>36.909579999999998</v>
      </c>
      <c r="G57" s="9">
        <v>9.1099070000000004E-3</v>
      </c>
      <c r="H57" s="97"/>
    </row>
    <row r="58" spans="1:8" x14ac:dyDescent="0.2">
      <c r="A58" s="5">
        <v>52</v>
      </c>
      <c r="B58" s="6" t="s">
        <v>271</v>
      </c>
      <c r="C58" s="6" t="s">
        <v>272</v>
      </c>
      <c r="D58" s="6" t="s">
        <v>19</v>
      </c>
      <c r="E58" s="7">
        <v>3352</v>
      </c>
      <c r="F58" s="8">
        <v>36.317244000000002</v>
      </c>
      <c r="G58" s="9">
        <v>8.9637080000000008E-3</v>
      </c>
      <c r="H58" s="97"/>
    </row>
    <row r="59" spans="1:8" x14ac:dyDescent="0.2">
      <c r="A59" s="5">
        <v>53</v>
      </c>
      <c r="B59" s="6" t="s">
        <v>222</v>
      </c>
      <c r="C59" s="6" t="s">
        <v>223</v>
      </c>
      <c r="D59" s="6" t="s">
        <v>70</v>
      </c>
      <c r="E59" s="7">
        <v>12795</v>
      </c>
      <c r="F59" s="8">
        <v>33.702030000000001</v>
      </c>
      <c r="G59" s="9">
        <v>8.3182289999999999E-3</v>
      </c>
      <c r="H59" s="97"/>
    </row>
    <row r="60" spans="1:8" x14ac:dyDescent="0.2">
      <c r="A60" s="5">
        <v>54</v>
      </c>
      <c r="B60" s="6" t="s">
        <v>239</v>
      </c>
      <c r="C60" s="6" t="s">
        <v>240</v>
      </c>
      <c r="D60" s="6" t="s">
        <v>25</v>
      </c>
      <c r="E60" s="7">
        <v>42227</v>
      </c>
      <c r="F60" s="8">
        <v>33.190421999999998</v>
      </c>
      <c r="G60" s="9">
        <v>8.1919560000000002E-3</v>
      </c>
      <c r="H60" s="97"/>
    </row>
    <row r="61" spans="1:8" x14ac:dyDescent="0.2">
      <c r="A61" s="5">
        <v>55</v>
      </c>
      <c r="B61" s="6" t="s">
        <v>218</v>
      </c>
      <c r="C61" s="6" t="s">
        <v>219</v>
      </c>
      <c r="D61" s="6" t="s">
        <v>193</v>
      </c>
      <c r="E61" s="7">
        <v>1825</v>
      </c>
      <c r="F61" s="8">
        <v>32.479525000000002</v>
      </c>
      <c r="G61" s="9">
        <v>8.0164940000000007E-3</v>
      </c>
      <c r="H61" s="97"/>
    </row>
    <row r="62" spans="1:8" x14ac:dyDescent="0.2">
      <c r="A62" s="5">
        <v>56</v>
      </c>
      <c r="B62" s="6" t="s">
        <v>269</v>
      </c>
      <c r="C62" s="6" t="s">
        <v>270</v>
      </c>
      <c r="D62" s="6" t="s">
        <v>70</v>
      </c>
      <c r="E62" s="7">
        <v>23018</v>
      </c>
      <c r="F62" s="8">
        <v>32.213690999999997</v>
      </c>
      <c r="G62" s="9">
        <v>7.9508819999999994E-3</v>
      </c>
      <c r="H62" s="97"/>
    </row>
    <row r="63" spans="1:8" x14ac:dyDescent="0.2">
      <c r="A63" s="5">
        <v>57</v>
      </c>
      <c r="B63" s="6" t="s">
        <v>232</v>
      </c>
      <c r="C63" s="6" t="s">
        <v>233</v>
      </c>
      <c r="D63" s="6" t="s">
        <v>193</v>
      </c>
      <c r="E63" s="7">
        <v>546</v>
      </c>
      <c r="F63" s="8">
        <v>29.147663999999999</v>
      </c>
      <c r="G63" s="9">
        <v>7.1941349999999999E-3</v>
      </c>
      <c r="H63" s="97"/>
    </row>
    <row r="64" spans="1:8" x14ac:dyDescent="0.2">
      <c r="A64" s="5">
        <v>58</v>
      </c>
      <c r="B64" s="6" t="s">
        <v>162</v>
      </c>
      <c r="C64" s="6" t="s">
        <v>163</v>
      </c>
      <c r="D64" s="6" t="s">
        <v>1190</v>
      </c>
      <c r="E64" s="7">
        <v>11833</v>
      </c>
      <c r="F64" s="8">
        <v>27.712886000000001</v>
      </c>
      <c r="G64" s="9">
        <v>6.8400079999999999E-3</v>
      </c>
      <c r="H64" s="97"/>
    </row>
    <row r="65" spans="1:8" x14ac:dyDescent="0.2">
      <c r="A65" s="5">
        <v>59</v>
      </c>
      <c r="B65" s="6" t="s">
        <v>51</v>
      </c>
      <c r="C65" s="6" t="s">
        <v>52</v>
      </c>
      <c r="D65" s="6" t="s">
        <v>53</v>
      </c>
      <c r="E65" s="7">
        <v>15702</v>
      </c>
      <c r="F65" s="8">
        <v>27.211566000000001</v>
      </c>
      <c r="G65" s="9">
        <v>6.716273E-3</v>
      </c>
      <c r="H65" s="97"/>
    </row>
    <row r="66" spans="1:8" x14ac:dyDescent="0.2">
      <c r="A66" s="5">
        <v>60</v>
      </c>
      <c r="B66" s="6" t="s">
        <v>252</v>
      </c>
      <c r="C66" s="6" t="s">
        <v>253</v>
      </c>
      <c r="D66" s="6" t="s">
        <v>60</v>
      </c>
      <c r="E66" s="7">
        <v>10387</v>
      </c>
      <c r="F66" s="8">
        <v>21.984085499999999</v>
      </c>
      <c r="G66" s="9">
        <v>5.4260430000000002E-3</v>
      </c>
      <c r="H66" s="97"/>
    </row>
    <row r="67" spans="1:8" x14ac:dyDescent="0.2">
      <c r="A67" s="5">
        <v>61</v>
      </c>
      <c r="B67" s="6" t="s">
        <v>243</v>
      </c>
      <c r="C67" s="6" t="s">
        <v>244</v>
      </c>
      <c r="D67" s="6" t="s">
        <v>185</v>
      </c>
      <c r="E67" s="7">
        <v>3667</v>
      </c>
      <c r="F67" s="8">
        <v>20.260175</v>
      </c>
      <c r="G67" s="9">
        <v>5.0005529999999996E-3</v>
      </c>
      <c r="H67" s="97"/>
    </row>
    <row r="68" spans="1:8" x14ac:dyDescent="0.2">
      <c r="A68" s="5">
        <v>62</v>
      </c>
      <c r="B68" s="6" t="s">
        <v>92</v>
      </c>
      <c r="C68" s="6" t="s">
        <v>93</v>
      </c>
      <c r="D68" s="6" t="s">
        <v>53</v>
      </c>
      <c r="E68" s="7">
        <v>22625</v>
      </c>
      <c r="F68" s="8">
        <v>19.468812499999999</v>
      </c>
      <c r="G68" s="9">
        <v>4.8052310000000001E-3</v>
      </c>
      <c r="H68" s="97"/>
    </row>
    <row r="69" spans="1:8" x14ac:dyDescent="0.2">
      <c r="A69" s="5">
        <v>63</v>
      </c>
      <c r="B69" s="6" t="s">
        <v>241</v>
      </c>
      <c r="C69" s="6" t="s">
        <v>242</v>
      </c>
      <c r="D69" s="6" t="s">
        <v>147</v>
      </c>
      <c r="E69" s="7">
        <v>3970</v>
      </c>
      <c r="F69" s="8">
        <v>18.77413</v>
      </c>
      <c r="G69" s="9">
        <v>4.6337720000000004E-3</v>
      </c>
      <c r="H69" s="97"/>
    </row>
    <row r="70" spans="1:8" x14ac:dyDescent="0.2">
      <c r="A70" s="5">
        <v>64</v>
      </c>
      <c r="B70" s="6" t="s">
        <v>254</v>
      </c>
      <c r="C70" s="6" t="s">
        <v>255</v>
      </c>
      <c r="D70" s="6" t="s">
        <v>185</v>
      </c>
      <c r="E70" s="7">
        <v>1792</v>
      </c>
      <c r="F70" s="8">
        <v>18.686976000000001</v>
      </c>
      <c r="G70" s="9">
        <v>4.6122610000000003E-3</v>
      </c>
      <c r="H70" s="97"/>
    </row>
    <row r="71" spans="1:8" x14ac:dyDescent="0.2">
      <c r="A71" s="5">
        <v>65</v>
      </c>
      <c r="B71" s="6" t="s">
        <v>228</v>
      </c>
      <c r="C71" s="6" t="s">
        <v>229</v>
      </c>
      <c r="D71" s="6" t="s">
        <v>327</v>
      </c>
      <c r="E71" s="7">
        <v>2142</v>
      </c>
      <c r="F71" s="8">
        <v>18.170586</v>
      </c>
      <c r="G71" s="9">
        <v>4.4848070000000004E-3</v>
      </c>
      <c r="H71" s="97"/>
    </row>
    <row r="72" spans="1:8" x14ac:dyDescent="0.2">
      <c r="A72" s="3"/>
      <c r="B72" s="3"/>
      <c r="C72" s="4" t="s">
        <v>97</v>
      </c>
      <c r="D72" s="3"/>
      <c r="E72" s="3" t="s">
        <v>98</v>
      </c>
      <c r="F72" s="11">
        <v>3888.2742625000001</v>
      </c>
      <c r="G72" s="12">
        <v>0.95969165099999998</v>
      </c>
      <c r="H72" s="97"/>
    </row>
    <row r="73" spans="1:8" x14ac:dyDescent="0.2">
      <c r="A73" s="3"/>
      <c r="B73" s="3"/>
      <c r="C73" s="13"/>
      <c r="D73" s="3"/>
      <c r="E73" s="3"/>
      <c r="F73" s="14"/>
      <c r="G73" s="14"/>
      <c r="H73" s="97"/>
    </row>
    <row r="74" spans="1:8" x14ac:dyDescent="0.2">
      <c r="A74" s="3"/>
      <c r="B74" s="3"/>
      <c r="C74" s="4" t="s">
        <v>99</v>
      </c>
      <c r="D74" s="3"/>
      <c r="E74" s="3"/>
      <c r="F74" s="3"/>
      <c r="G74" s="3"/>
      <c r="H74" s="97"/>
    </row>
    <row r="75" spans="1:8" x14ac:dyDescent="0.2">
      <c r="A75" s="3"/>
      <c r="B75" s="3"/>
      <c r="C75" s="4" t="s">
        <v>97</v>
      </c>
      <c r="D75" s="3"/>
      <c r="E75" s="3" t="s">
        <v>98</v>
      </c>
      <c r="F75" s="15">
        <v>0</v>
      </c>
      <c r="G75" s="16">
        <v>0</v>
      </c>
      <c r="H75" s="97"/>
    </row>
    <row r="76" spans="1:8" x14ac:dyDescent="0.2">
      <c r="A76" s="3"/>
      <c r="B76" s="3"/>
      <c r="C76" s="13"/>
      <c r="D76" s="3"/>
      <c r="E76" s="3"/>
      <c r="F76" s="14"/>
      <c r="G76" s="14"/>
      <c r="H76" s="97"/>
    </row>
    <row r="77" spans="1:8" x14ac:dyDescent="0.2">
      <c r="A77" s="3"/>
      <c r="B77" s="3"/>
      <c r="C77" s="4" t="s">
        <v>100</v>
      </c>
      <c r="D77" s="3"/>
      <c r="E77" s="3"/>
      <c r="F77" s="3"/>
      <c r="G77" s="3"/>
      <c r="H77" s="97"/>
    </row>
    <row r="78" spans="1:8" x14ac:dyDescent="0.2">
      <c r="A78" s="3"/>
      <c r="B78" s="3"/>
      <c r="C78" s="4" t="s">
        <v>97</v>
      </c>
      <c r="D78" s="3"/>
      <c r="E78" s="3" t="s">
        <v>98</v>
      </c>
      <c r="F78" s="15">
        <v>0</v>
      </c>
      <c r="G78" s="16">
        <v>0</v>
      </c>
      <c r="H78" s="97"/>
    </row>
    <row r="79" spans="1:8" x14ac:dyDescent="0.2">
      <c r="A79" s="3"/>
      <c r="B79" s="3"/>
      <c r="C79" s="13"/>
      <c r="D79" s="3"/>
      <c r="E79" s="3"/>
      <c r="F79" s="14"/>
      <c r="G79" s="14"/>
      <c r="H79" s="97"/>
    </row>
    <row r="80" spans="1:8" x14ac:dyDescent="0.2">
      <c r="A80" s="3"/>
      <c r="B80" s="3"/>
      <c r="C80" s="4" t="s">
        <v>101</v>
      </c>
      <c r="D80" s="3"/>
      <c r="E80" s="3"/>
      <c r="F80" s="3"/>
      <c r="G80" s="3"/>
      <c r="H80" s="97"/>
    </row>
    <row r="81" spans="1:8" x14ac:dyDescent="0.2">
      <c r="A81" s="3"/>
      <c r="B81" s="3"/>
      <c r="C81" s="4" t="s">
        <v>97</v>
      </c>
      <c r="D81" s="3"/>
      <c r="E81" s="3" t="s">
        <v>98</v>
      </c>
      <c r="F81" s="15">
        <v>0</v>
      </c>
      <c r="G81" s="16">
        <v>0</v>
      </c>
      <c r="H81" s="97"/>
    </row>
    <row r="82" spans="1:8" x14ac:dyDescent="0.2">
      <c r="A82" s="3"/>
      <c r="B82" s="3"/>
      <c r="C82" s="13"/>
      <c r="D82" s="3"/>
      <c r="E82" s="3"/>
      <c r="F82" s="14"/>
      <c r="G82" s="14"/>
      <c r="H82" s="97"/>
    </row>
    <row r="83" spans="1:8" x14ac:dyDescent="0.2">
      <c r="A83" s="3"/>
      <c r="B83" s="3"/>
      <c r="C83" s="4" t="s">
        <v>102</v>
      </c>
      <c r="D83" s="3"/>
      <c r="E83" s="3"/>
      <c r="F83" s="14"/>
      <c r="G83" s="14"/>
      <c r="H83" s="97"/>
    </row>
    <row r="84" spans="1:8" x14ac:dyDescent="0.2">
      <c r="A84" s="3"/>
      <c r="B84" s="3"/>
      <c r="C84" s="4" t="s">
        <v>97</v>
      </c>
      <c r="D84" s="3"/>
      <c r="E84" s="3" t="s">
        <v>98</v>
      </c>
      <c r="F84" s="15">
        <v>0</v>
      </c>
      <c r="G84" s="16">
        <v>0</v>
      </c>
      <c r="H84" s="97"/>
    </row>
    <row r="85" spans="1:8" x14ac:dyDescent="0.2">
      <c r="A85" s="3"/>
      <c r="B85" s="3"/>
      <c r="C85" s="13"/>
      <c r="D85" s="3"/>
      <c r="E85" s="3"/>
      <c r="F85" s="14"/>
      <c r="G85" s="14"/>
      <c r="H85" s="97"/>
    </row>
    <row r="86" spans="1:8" x14ac:dyDescent="0.2">
      <c r="A86" s="3"/>
      <c r="B86" s="3"/>
      <c r="C86" s="4" t="s">
        <v>103</v>
      </c>
      <c r="D86" s="3"/>
      <c r="E86" s="3"/>
      <c r="F86" s="14"/>
      <c r="G86" s="14"/>
      <c r="H86" s="97"/>
    </row>
    <row r="87" spans="1:8" x14ac:dyDescent="0.2">
      <c r="A87" s="3"/>
      <c r="B87" s="3"/>
      <c r="C87" s="4" t="s">
        <v>97</v>
      </c>
      <c r="D87" s="3"/>
      <c r="E87" s="3" t="s">
        <v>98</v>
      </c>
      <c r="F87" s="15">
        <v>0</v>
      </c>
      <c r="G87" s="16">
        <v>0</v>
      </c>
      <c r="H87" s="97"/>
    </row>
    <row r="88" spans="1:8" x14ac:dyDescent="0.2">
      <c r="A88" s="3"/>
      <c r="B88" s="3"/>
      <c r="C88" s="13"/>
      <c r="D88" s="3"/>
      <c r="E88" s="3"/>
      <c r="F88" s="14"/>
      <c r="G88" s="14"/>
      <c r="H88" s="97"/>
    </row>
    <row r="89" spans="1:8" x14ac:dyDescent="0.2">
      <c r="A89" s="3"/>
      <c r="B89" s="3"/>
      <c r="C89" s="4" t="s">
        <v>104</v>
      </c>
      <c r="D89" s="3"/>
      <c r="E89" s="3"/>
      <c r="F89" s="11">
        <v>3888.2742625000001</v>
      </c>
      <c r="G89" s="12">
        <v>0.95969165099999998</v>
      </c>
      <c r="H89" s="97"/>
    </row>
    <row r="90" spans="1:8" x14ac:dyDescent="0.2">
      <c r="A90" s="3"/>
      <c r="B90" s="3"/>
      <c r="C90" s="13"/>
      <c r="D90" s="3"/>
      <c r="E90" s="3"/>
      <c r="F90" s="14"/>
      <c r="G90" s="14"/>
      <c r="H90" s="97"/>
    </row>
    <row r="91" spans="1:8" x14ac:dyDescent="0.2">
      <c r="A91" s="3"/>
      <c r="B91" s="3"/>
      <c r="C91" s="4" t="s">
        <v>105</v>
      </c>
      <c r="D91" s="3"/>
      <c r="E91" s="3"/>
      <c r="F91" s="14"/>
      <c r="G91" s="14"/>
      <c r="H91" s="97"/>
    </row>
    <row r="92" spans="1:8" ht="25.5" x14ac:dyDescent="0.2">
      <c r="A92" s="3"/>
      <c r="B92" s="3"/>
      <c r="C92" s="4" t="s">
        <v>10</v>
      </c>
      <c r="D92" s="3"/>
      <c r="E92" s="3"/>
      <c r="F92" s="14"/>
      <c r="G92" s="14"/>
      <c r="H92" s="97"/>
    </row>
    <row r="93" spans="1:8" x14ac:dyDescent="0.2">
      <c r="A93" s="3"/>
      <c r="B93" s="3"/>
      <c r="C93" s="4" t="s">
        <v>97</v>
      </c>
      <c r="D93" s="3"/>
      <c r="E93" s="3" t="s">
        <v>98</v>
      </c>
      <c r="F93" s="15">
        <v>0</v>
      </c>
      <c r="G93" s="16">
        <v>0</v>
      </c>
      <c r="H93" s="97"/>
    </row>
    <row r="94" spans="1:8" x14ac:dyDescent="0.2">
      <c r="A94" s="3"/>
      <c r="B94" s="3"/>
      <c r="C94" s="13"/>
      <c r="D94" s="3"/>
      <c r="E94" s="3"/>
      <c r="F94" s="14"/>
      <c r="G94" s="14"/>
      <c r="H94" s="97"/>
    </row>
    <row r="95" spans="1:8" x14ac:dyDescent="0.2">
      <c r="A95" s="3"/>
      <c r="B95" s="3"/>
      <c r="C95" s="4" t="s">
        <v>106</v>
      </c>
      <c r="D95" s="3"/>
      <c r="E95" s="3"/>
      <c r="F95" s="3"/>
      <c r="G95" s="3"/>
      <c r="H95" s="97"/>
    </row>
    <row r="96" spans="1:8" x14ac:dyDescent="0.2">
      <c r="A96" s="3"/>
      <c r="B96" s="3"/>
      <c r="C96" s="4" t="s">
        <v>97</v>
      </c>
      <c r="D96" s="3"/>
      <c r="E96" s="3" t="s">
        <v>98</v>
      </c>
      <c r="F96" s="15">
        <v>0</v>
      </c>
      <c r="G96" s="16">
        <v>0</v>
      </c>
      <c r="H96" s="97"/>
    </row>
    <row r="97" spans="1:8" x14ac:dyDescent="0.2">
      <c r="A97" s="3"/>
      <c r="B97" s="3"/>
      <c r="C97" s="13"/>
      <c r="D97" s="3"/>
      <c r="E97" s="3"/>
      <c r="F97" s="14"/>
      <c r="G97" s="14"/>
      <c r="H97" s="97"/>
    </row>
    <row r="98" spans="1:8" x14ac:dyDescent="0.2">
      <c r="A98" s="3"/>
      <c r="B98" s="3"/>
      <c r="C98" s="4" t="s">
        <v>107</v>
      </c>
      <c r="D98" s="3"/>
      <c r="E98" s="3"/>
      <c r="F98" s="3"/>
      <c r="G98" s="3"/>
      <c r="H98" s="97"/>
    </row>
    <row r="99" spans="1:8" x14ac:dyDescent="0.2">
      <c r="A99" s="3"/>
      <c r="B99" s="3"/>
      <c r="C99" s="4" t="s">
        <v>97</v>
      </c>
      <c r="D99" s="3"/>
      <c r="E99" s="3" t="s">
        <v>98</v>
      </c>
      <c r="F99" s="15">
        <v>0</v>
      </c>
      <c r="G99" s="16">
        <v>0</v>
      </c>
      <c r="H99" s="97"/>
    </row>
    <row r="100" spans="1:8" x14ac:dyDescent="0.2">
      <c r="A100" s="3"/>
      <c r="B100" s="3"/>
      <c r="C100" s="13"/>
      <c r="D100" s="3"/>
      <c r="E100" s="3"/>
      <c r="F100" s="14"/>
      <c r="G100" s="14"/>
      <c r="H100" s="97"/>
    </row>
    <row r="101" spans="1:8" x14ac:dyDescent="0.2">
      <c r="A101" s="3"/>
      <c r="B101" s="3"/>
      <c r="C101" s="4" t="s">
        <v>108</v>
      </c>
      <c r="D101" s="3"/>
      <c r="E101" s="3"/>
      <c r="F101" s="14"/>
      <c r="G101" s="14"/>
      <c r="H101" s="97"/>
    </row>
    <row r="102" spans="1:8" x14ac:dyDescent="0.2">
      <c r="A102" s="3"/>
      <c r="B102" s="3"/>
      <c r="C102" s="4" t="s">
        <v>97</v>
      </c>
      <c r="D102" s="3"/>
      <c r="E102" s="3" t="s">
        <v>98</v>
      </c>
      <c r="F102" s="15">
        <v>0</v>
      </c>
      <c r="G102" s="16">
        <v>0</v>
      </c>
      <c r="H102" s="97"/>
    </row>
    <row r="103" spans="1:8" x14ac:dyDescent="0.2">
      <c r="A103" s="3"/>
      <c r="B103" s="3"/>
      <c r="C103" s="13"/>
      <c r="D103" s="3"/>
      <c r="E103" s="3"/>
      <c r="F103" s="14"/>
      <c r="G103" s="14"/>
      <c r="H103" s="97"/>
    </row>
    <row r="104" spans="1:8" x14ac:dyDescent="0.2">
      <c r="A104" s="3"/>
      <c r="B104" s="3"/>
      <c r="C104" s="4" t="s">
        <v>109</v>
      </c>
      <c r="D104" s="3"/>
      <c r="E104" s="3"/>
      <c r="F104" s="11">
        <v>0</v>
      </c>
      <c r="G104" s="12">
        <v>0</v>
      </c>
      <c r="H104" s="97"/>
    </row>
    <row r="105" spans="1:8" x14ac:dyDescent="0.2">
      <c r="A105" s="3"/>
      <c r="B105" s="3"/>
      <c r="C105" s="13"/>
      <c r="D105" s="3"/>
      <c r="E105" s="3"/>
      <c r="F105" s="14"/>
      <c r="G105" s="14"/>
      <c r="H105" s="97"/>
    </row>
    <row r="106" spans="1:8" x14ac:dyDescent="0.2">
      <c r="A106" s="3"/>
      <c r="B106" s="3"/>
      <c r="C106" s="4" t="s">
        <v>110</v>
      </c>
      <c r="D106" s="3"/>
      <c r="E106" s="3"/>
      <c r="F106" s="14"/>
      <c r="G106" s="14"/>
      <c r="H106" s="97"/>
    </row>
    <row r="107" spans="1:8" x14ac:dyDescent="0.2">
      <c r="A107" s="3"/>
      <c r="B107" s="3"/>
      <c r="C107" s="4" t="s">
        <v>111</v>
      </c>
      <c r="D107" s="3"/>
      <c r="E107" s="3"/>
      <c r="F107" s="14"/>
      <c r="G107" s="14"/>
      <c r="H107" s="97"/>
    </row>
    <row r="108" spans="1:8" x14ac:dyDescent="0.2">
      <c r="A108" s="3"/>
      <c r="B108" s="3"/>
      <c r="C108" s="4" t="s">
        <v>97</v>
      </c>
      <c r="D108" s="3"/>
      <c r="E108" s="3" t="s">
        <v>98</v>
      </c>
      <c r="F108" s="15">
        <v>0</v>
      </c>
      <c r="G108" s="16">
        <v>0</v>
      </c>
      <c r="H108" s="97"/>
    </row>
    <row r="109" spans="1:8" x14ac:dyDescent="0.2">
      <c r="A109" s="3"/>
      <c r="B109" s="3"/>
      <c r="C109" s="13"/>
      <c r="D109" s="3"/>
      <c r="E109" s="3"/>
      <c r="F109" s="14"/>
      <c r="G109" s="14"/>
      <c r="H109" s="97"/>
    </row>
    <row r="110" spans="1:8" x14ac:dyDescent="0.2">
      <c r="A110" s="3"/>
      <c r="B110" s="3"/>
      <c r="C110" s="4" t="s">
        <v>112</v>
      </c>
      <c r="D110" s="3"/>
      <c r="E110" s="3"/>
      <c r="F110" s="14"/>
      <c r="G110" s="14"/>
      <c r="H110" s="97"/>
    </row>
    <row r="111" spans="1:8" x14ac:dyDescent="0.2">
      <c r="A111" s="3"/>
      <c r="B111" s="3"/>
      <c r="C111" s="4" t="s">
        <v>97</v>
      </c>
      <c r="D111" s="3"/>
      <c r="E111" s="3" t="s">
        <v>98</v>
      </c>
      <c r="F111" s="15">
        <v>0</v>
      </c>
      <c r="G111" s="16">
        <v>0</v>
      </c>
      <c r="H111" s="97"/>
    </row>
    <row r="112" spans="1:8" x14ac:dyDescent="0.2">
      <c r="A112" s="3"/>
      <c r="B112" s="3"/>
      <c r="C112" s="13"/>
      <c r="D112" s="3"/>
      <c r="E112" s="3"/>
      <c r="F112" s="14"/>
      <c r="G112" s="14"/>
      <c r="H112" s="97"/>
    </row>
    <row r="113" spans="1:8" x14ac:dyDescent="0.2">
      <c r="A113" s="3"/>
      <c r="B113" s="3"/>
      <c r="C113" s="4" t="s">
        <v>113</v>
      </c>
      <c r="D113" s="3"/>
      <c r="E113" s="3"/>
      <c r="F113" s="14"/>
      <c r="G113" s="14"/>
      <c r="H113" s="97"/>
    </row>
    <row r="114" spans="1:8" x14ac:dyDescent="0.2">
      <c r="A114" s="3"/>
      <c r="B114" s="3"/>
      <c r="C114" s="4" t="s">
        <v>97</v>
      </c>
      <c r="D114" s="3"/>
      <c r="E114" s="3" t="s">
        <v>98</v>
      </c>
      <c r="F114" s="15">
        <v>0</v>
      </c>
      <c r="G114" s="16">
        <v>0</v>
      </c>
      <c r="H114" s="97"/>
    </row>
    <row r="115" spans="1:8" x14ac:dyDescent="0.2">
      <c r="A115" s="3"/>
      <c r="B115" s="3"/>
      <c r="C115" s="13"/>
      <c r="D115" s="3"/>
      <c r="E115" s="3"/>
      <c r="F115" s="14"/>
      <c r="G115" s="14"/>
      <c r="H115" s="97"/>
    </row>
    <row r="116" spans="1:8" x14ac:dyDescent="0.2">
      <c r="A116" s="3"/>
      <c r="B116" s="3"/>
      <c r="C116" s="4" t="s">
        <v>114</v>
      </c>
      <c r="D116" s="3"/>
      <c r="E116" s="3"/>
      <c r="F116" s="14"/>
      <c r="G116" s="14"/>
      <c r="H116" s="97"/>
    </row>
    <row r="117" spans="1:8" x14ac:dyDescent="0.2">
      <c r="A117" s="5">
        <v>1</v>
      </c>
      <c r="B117" s="6"/>
      <c r="C117" s="6" t="s">
        <v>115</v>
      </c>
      <c r="D117" s="6"/>
      <c r="E117" s="10"/>
      <c r="F117" s="8">
        <v>101.1358175</v>
      </c>
      <c r="G117" s="9">
        <v>2.4962024999999999E-2</v>
      </c>
      <c r="H117" s="8">
        <v>3.4504560529072292</v>
      </c>
    </row>
    <row r="118" spans="1:8" x14ac:dyDescent="0.2">
      <c r="A118" s="5">
        <v>2</v>
      </c>
      <c r="B118" s="6"/>
      <c r="C118" s="6" t="s">
        <v>116</v>
      </c>
      <c r="D118" s="6"/>
      <c r="E118" s="10"/>
      <c r="F118" s="8">
        <v>54.583758400000001</v>
      </c>
      <c r="G118" s="9">
        <v>1.3472191999999999E-2</v>
      </c>
      <c r="H118" s="8">
        <v>3.5655822479098256</v>
      </c>
    </row>
    <row r="119" spans="1:8" x14ac:dyDescent="0.2">
      <c r="A119" s="3"/>
      <c r="B119" s="3"/>
      <c r="C119" s="4" t="s">
        <v>97</v>
      </c>
      <c r="D119" s="3"/>
      <c r="E119" s="3" t="s">
        <v>98</v>
      </c>
      <c r="F119" s="11">
        <v>155.7195759</v>
      </c>
      <c r="G119" s="12">
        <v>3.8434217E-2</v>
      </c>
      <c r="H119" s="97"/>
    </row>
    <row r="120" spans="1:8" x14ac:dyDescent="0.2">
      <c r="A120" s="3"/>
      <c r="B120" s="3"/>
      <c r="C120" s="13"/>
      <c r="D120" s="3"/>
      <c r="E120" s="3"/>
      <c r="F120" s="14"/>
      <c r="G120" s="14"/>
      <c r="H120" s="97"/>
    </row>
    <row r="121" spans="1:8" x14ac:dyDescent="0.2">
      <c r="A121" s="3"/>
      <c r="B121" s="3"/>
      <c r="C121" s="4" t="s">
        <v>117</v>
      </c>
      <c r="D121" s="3"/>
      <c r="E121" s="3"/>
      <c r="F121" s="11">
        <v>155.7195759</v>
      </c>
      <c r="G121" s="12">
        <v>3.8434217E-2</v>
      </c>
      <c r="H121" s="97"/>
    </row>
    <row r="122" spans="1:8" x14ac:dyDescent="0.2">
      <c r="A122" s="3"/>
      <c r="B122" s="3"/>
      <c r="C122" s="14"/>
      <c r="D122" s="3"/>
      <c r="E122" s="3"/>
      <c r="F122" s="3"/>
      <c r="G122" s="3"/>
      <c r="H122" s="97"/>
    </row>
    <row r="123" spans="1:8" x14ac:dyDescent="0.2">
      <c r="A123" s="3"/>
      <c r="B123" s="3"/>
      <c r="C123" s="4" t="s">
        <v>118</v>
      </c>
      <c r="D123" s="3"/>
      <c r="E123" s="3"/>
      <c r="F123" s="3"/>
      <c r="G123" s="3"/>
      <c r="H123" s="97"/>
    </row>
    <row r="124" spans="1:8" x14ac:dyDescent="0.2">
      <c r="A124" s="3"/>
      <c r="B124" s="3"/>
      <c r="C124" s="4" t="s">
        <v>119</v>
      </c>
      <c r="D124" s="3"/>
      <c r="E124" s="3"/>
      <c r="F124" s="3"/>
      <c r="G124" s="3"/>
      <c r="H124" s="97"/>
    </row>
    <row r="125" spans="1:8" x14ac:dyDescent="0.2">
      <c r="A125" s="3"/>
      <c r="B125" s="3"/>
      <c r="C125" s="4" t="s">
        <v>97</v>
      </c>
      <c r="D125" s="3"/>
      <c r="E125" s="3" t="s">
        <v>98</v>
      </c>
      <c r="F125" s="15">
        <v>0</v>
      </c>
      <c r="G125" s="16">
        <v>0</v>
      </c>
      <c r="H125" s="97"/>
    </row>
    <row r="126" spans="1:8" x14ac:dyDescent="0.2">
      <c r="A126" s="3"/>
      <c r="B126" s="3"/>
      <c r="C126" s="13"/>
      <c r="D126" s="3"/>
      <c r="E126" s="3"/>
      <c r="F126" s="14"/>
      <c r="G126" s="14"/>
      <c r="H126" s="97"/>
    </row>
    <row r="127" spans="1:8" x14ac:dyDescent="0.2">
      <c r="A127" s="3"/>
      <c r="B127" s="3"/>
      <c r="C127" s="4" t="s">
        <v>120</v>
      </c>
      <c r="D127" s="3"/>
      <c r="E127" s="3"/>
      <c r="F127" s="3"/>
      <c r="G127" s="3"/>
      <c r="H127" s="97"/>
    </row>
    <row r="128" spans="1:8" x14ac:dyDescent="0.2">
      <c r="A128" s="3"/>
      <c r="B128" s="3"/>
      <c r="C128" s="4" t="s">
        <v>121</v>
      </c>
      <c r="D128" s="3"/>
      <c r="E128" s="3"/>
      <c r="F128" s="3"/>
      <c r="G128" s="3"/>
      <c r="H128" s="97"/>
    </row>
    <row r="129" spans="1:8" x14ac:dyDescent="0.2">
      <c r="A129" s="3"/>
      <c r="B129" s="3"/>
      <c r="C129" s="4" t="s">
        <v>97</v>
      </c>
      <c r="D129" s="3"/>
      <c r="E129" s="3" t="s">
        <v>98</v>
      </c>
      <c r="F129" s="15">
        <v>0</v>
      </c>
      <c r="G129" s="16">
        <v>0</v>
      </c>
      <c r="H129" s="97"/>
    </row>
    <row r="130" spans="1:8" x14ac:dyDescent="0.2">
      <c r="A130" s="3"/>
      <c r="B130" s="3"/>
      <c r="C130" s="13"/>
      <c r="D130" s="3"/>
      <c r="E130" s="3"/>
      <c r="F130" s="14"/>
      <c r="G130" s="14"/>
      <c r="H130" s="97"/>
    </row>
    <row r="131" spans="1:8" x14ac:dyDescent="0.2">
      <c r="A131" s="3"/>
      <c r="B131" s="3"/>
      <c r="C131" s="13"/>
      <c r="D131" s="3"/>
      <c r="E131" s="3"/>
      <c r="F131" s="14"/>
      <c r="G131" s="14"/>
      <c r="H131" s="97"/>
    </row>
    <row r="132" spans="1:8" ht="25.5" x14ac:dyDescent="0.2">
      <c r="A132" s="3"/>
      <c r="B132" s="3"/>
      <c r="C132" s="4" t="s">
        <v>122</v>
      </c>
      <c r="D132" s="3"/>
      <c r="E132" s="3"/>
      <c r="F132" s="14"/>
      <c r="G132" s="14"/>
      <c r="H132" s="97"/>
    </row>
    <row r="133" spans="1:8" x14ac:dyDescent="0.2">
      <c r="A133" s="3"/>
      <c r="B133" s="3"/>
      <c r="C133" s="4" t="s">
        <v>97</v>
      </c>
      <c r="D133" s="3"/>
      <c r="E133" s="3" t="s">
        <v>98</v>
      </c>
      <c r="F133" s="15">
        <v>0</v>
      </c>
      <c r="G133" s="16">
        <v>0</v>
      </c>
      <c r="H133" s="97"/>
    </row>
    <row r="134" spans="1:8" x14ac:dyDescent="0.2">
      <c r="A134" s="3"/>
      <c r="B134" s="3"/>
      <c r="C134" s="13"/>
      <c r="D134" s="3"/>
      <c r="E134" s="3"/>
      <c r="F134" s="14"/>
      <c r="G134" s="14"/>
      <c r="H134" s="97"/>
    </row>
    <row r="135" spans="1:8" x14ac:dyDescent="0.2">
      <c r="A135" s="3"/>
      <c r="B135" s="6"/>
      <c r="C135" s="6"/>
      <c r="D135" s="4"/>
      <c r="E135" s="3"/>
      <c r="F135" s="6"/>
      <c r="G135" s="10"/>
      <c r="H135" s="97"/>
    </row>
    <row r="136" spans="1:8" x14ac:dyDescent="0.2">
      <c r="A136" s="10"/>
      <c r="B136" s="6"/>
      <c r="C136" s="6" t="s">
        <v>123</v>
      </c>
      <c r="D136" s="6"/>
      <c r="E136" s="10"/>
      <c r="F136" s="8">
        <v>7.59319671</v>
      </c>
      <c r="G136" s="9">
        <v>1.874129E-3</v>
      </c>
      <c r="H136" s="97"/>
    </row>
    <row r="137" spans="1:8" x14ac:dyDescent="0.2">
      <c r="A137" s="13"/>
      <c r="B137" s="13"/>
      <c r="C137" s="4" t="s">
        <v>124</v>
      </c>
      <c r="D137" s="17"/>
      <c r="E137" s="17"/>
      <c r="F137" s="11">
        <v>4051.5870351100002</v>
      </c>
      <c r="G137" s="12">
        <v>0.99999999699999997</v>
      </c>
      <c r="H137" s="97"/>
    </row>
    <row r="138" spans="1:8" ht="14.1" customHeight="1" x14ac:dyDescent="0.2">
      <c r="A138" s="18"/>
      <c r="B138" s="18"/>
      <c r="C138" s="18"/>
      <c r="D138" s="19"/>
      <c r="E138" s="19"/>
      <c r="F138" s="19"/>
      <c r="G138" s="19"/>
    </row>
    <row r="139" spans="1:8" ht="14.1" customHeight="1" x14ac:dyDescent="0.2">
      <c r="A139" s="20"/>
      <c r="B139" s="226" t="s">
        <v>98</v>
      </c>
      <c r="C139" s="226"/>
      <c r="D139" s="226"/>
      <c r="E139" s="226"/>
      <c r="F139" s="226"/>
      <c r="G139" s="22"/>
    </row>
    <row r="140" spans="1:8" ht="14.1" customHeight="1" x14ac:dyDescent="0.2">
      <c r="A140" s="20"/>
      <c r="B140" s="226" t="s">
        <v>98</v>
      </c>
      <c r="C140" s="226"/>
      <c r="D140" s="226"/>
      <c r="E140" s="226"/>
      <c r="F140" s="226"/>
      <c r="G140" s="22"/>
    </row>
    <row r="141" spans="1:8" ht="14.1" customHeight="1" x14ac:dyDescent="0.2">
      <c r="A141" s="20"/>
      <c r="B141" s="20"/>
      <c r="C141" s="20"/>
      <c r="D141" s="22"/>
      <c r="E141" s="22"/>
      <c r="F141" s="22"/>
      <c r="G141" s="22"/>
    </row>
    <row r="142" spans="1:8" ht="14.1" customHeight="1" x14ac:dyDescent="0.2">
      <c r="A142" s="20"/>
      <c r="B142" s="224" t="s">
        <v>126</v>
      </c>
      <c r="C142" s="225"/>
      <c r="D142" s="14" t="s">
        <v>98</v>
      </c>
      <c r="E142" s="23"/>
      <c r="F142" s="22"/>
      <c r="G142" s="22"/>
    </row>
    <row r="143" spans="1:8" ht="29.1" customHeight="1" x14ac:dyDescent="0.2">
      <c r="A143" s="20"/>
      <c r="B143" s="231" t="s">
        <v>127</v>
      </c>
      <c r="C143" s="232"/>
      <c r="D143" s="4" t="s">
        <v>128</v>
      </c>
      <c r="E143" s="23"/>
      <c r="F143" s="22"/>
      <c r="G143" s="22"/>
    </row>
    <row r="144" spans="1:8" ht="17.100000000000001" customHeight="1" x14ac:dyDescent="0.2">
      <c r="A144" s="20"/>
      <c r="B144" s="231" t="s">
        <v>129</v>
      </c>
      <c r="C144" s="232"/>
      <c r="D144" s="4" t="s">
        <v>128</v>
      </c>
      <c r="E144" s="23"/>
      <c r="F144" s="22"/>
      <c r="G144" s="22"/>
    </row>
    <row r="145" spans="1:17" ht="17.100000000000001" customHeight="1" x14ac:dyDescent="0.2">
      <c r="A145" s="20"/>
      <c r="B145" s="231" t="s">
        <v>130</v>
      </c>
      <c r="C145" s="232"/>
      <c r="D145" s="14" t="s">
        <v>98</v>
      </c>
      <c r="E145" s="23"/>
      <c r="F145" s="22"/>
      <c r="G145" s="22"/>
    </row>
    <row r="146" spans="1:17" ht="24" customHeight="1" x14ac:dyDescent="0.2">
      <c r="A146" s="24"/>
      <c r="B146" s="25" t="s">
        <v>98</v>
      </c>
      <c r="C146" s="25" t="s">
        <v>131</v>
      </c>
      <c r="D146" s="25" t="s">
        <v>132</v>
      </c>
      <c r="E146" s="24"/>
      <c r="F146" s="24"/>
      <c r="G146" s="24"/>
    </row>
    <row r="147" spans="1:17" ht="18" customHeight="1" x14ac:dyDescent="0.2">
      <c r="A147" s="24"/>
      <c r="B147" s="25" t="s">
        <v>133</v>
      </c>
      <c r="C147" s="25" t="s">
        <v>134</v>
      </c>
      <c r="D147" s="25" t="s">
        <v>135</v>
      </c>
      <c r="E147" s="24"/>
      <c r="F147" s="24"/>
      <c r="G147" s="24"/>
    </row>
    <row r="148" spans="1:17" ht="17.100000000000001" customHeight="1" x14ac:dyDescent="0.2">
      <c r="A148" s="24"/>
      <c r="B148" s="6" t="s">
        <v>136</v>
      </c>
      <c r="C148" s="26">
        <v>15.010199999999999</v>
      </c>
      <c r="D148" s="26">
        <v>15.5656</v>
      </c>
      <c r="E148" s="24"/>
      <c r="F148" s="21"/>
      <c r="G148" s="27"/>
    </row>
    <row r="149" spans="1:17" ht="17.100000000000001" customHeight="1" x14ac:dyDescent="0.2">
      <c r="A149" s="24"/>
      <c r="B149" s="6" t="s">
        <v>1201</v>
      </c>
      <c r="C149" s="26">
        <v>15.010199999999999</v>
      </c>
      <c r="D149" s="26">
        <v>15.5656</v>
      </c>
      <c r="E149" s="24"/>
      <c r="F149" s="21"/>
      <c r="G149" s="27"/>
    </row>
    <row r="150" spans="1:17" ht="17.100000000000001" customHeight="1" x14ac:dyDescent="0.2">
      <c r="A150" s="24"/>
      <c r="B150" s="6" t="s">
        <v>137</v>
      </c>
      <c r="C150" s="26">
        <v>14.445499999999999</v>
      </c>
      <c r="D150" s="26">
        <v>14.9777</v>
      </c>
      <c r="E150" s="24"/>
      <c r="F150" s="21"/>
      <c r="G150" s="27"/>
    </row>
    <row r="151" spans="1:17" ht="17.100000000000001" customHeight="1" x14ac:dyDescent="0.2">
      <c r="A151" s="24"/>
      <c r="B151" s="6" t="s">
        <v>1202</v>
      </c>
      <c r="C151" s="26">
        <v>14.445399999999999</v>
      </c>
      <c r="D151" s="26">
        <v>14.9777</v>
      </c>
      <c r="E151" s="24"/>
      <c r="F151" s="21"/>
      <c r="G151" s="27"/>
    </row>
    <row r="152" spans="1:17" ht="14.1" customHeight="1" x14ac:dyDescent="0.2">
      <c r="A152" s="24"/>
      <c r="B152" s="24"/>
      <c r="C152" s="24"/>
      <c r="D152" s="24"/>
      <c r="E152" s="24"/>
      <c r="F152" s="24"/>
      <c r="G152" s="24"/>
    </row>
    <row r="153" spans="1:17" ht="17.100000000000001" customHeight="1" x14ac:dyDescent="0.2">
      <c r="A153" s="24"/>
      <c r="B153" s="231" t="s">
        <v>1203</v>
      </c>
      <c r="C153" s="232"/>
      <c r="D153" s="4" t="s">
        <v>128</v>
      </c>
      <c r="E153" s="24"/>
      <c r="F153" s="24"/>
      <c r="G153" s="24"/>
    </row>
    <row r="154" spans="1:17" ht="18" customHeight="1" x14ac:dyDescent="0.2">
      <c r="A154" s="24"/>
      <c r="B154" s="28"/>
      <c r="C154" s="28"/>
      <c r="D154" s="29"/>
      <c r="E154" s="24"/>
      <c r="F154" s="24"/>
      <c r="G154" s="24"/>
    </row>
    <row r="155" spans="1:17" s="87" customFormat="1" x14ac:dyDescent="0.2">
      <c r="B155" s="233" t="s">
        <v>1207</v>
      </c>
      <c r="C155" s="233"/>
      <c r="D155" s="233"/>
      <c r="E155" s="233"/>
      <c r="F155" s="233"/>
      <c r="I155"/>
      <c r="J155"/>
      <c r="K155"/>
      <c r="L155"/>
      <c r="M155"/>
      <c r="N155"/>
      <c r="O155"/>
      <c r="P155"/>
      <c r="Q155" s="69"/>
    </row>
    <row r="156" spans="1:17" ht="14.1" customHeight="1" x14ac:dyDescent="0.2">
      <c r="A156" s="24"/>
      <c r="B156" s="21"/>
      <c r="C156" s="21"/>
      <c r="D156" s="24"/>
      <c r="E156" s="24"/>
      <c r="F156" s="24"/>
      <c r="G156" s="24"/>
    </row>
    <row r="157" spans="1:17" ht="29.1" customHeight="1" x14ac:dyDescent="0.2">
      <c r="A157" s="24"/>
      <c r="B157" s="231" t="s">
        <v>138</v>
      </c>
      <c r="C157" s="232"/>
      <c r="D157" s="4" t="s">
        <v>128</v>
      </c>
      <c r="E157" s="24"/>
      <c r="F157" s="24"/>
      <c r="G157" s="24"/>
    </row>
    <row r="158" spans="1:17" ht="29.1" customHeight="1" x14ac:dyDescent="0.2">
      <c r="A158" s="24"/>
      <c r="B158" s="231" t="s">
        <v>139</v>
      </c>
      <c r="C158" s="232"/>
      <c r="D158" s="4" t="s">
        <v>128</v>
      </c>
      <c r="E158" s="24"/>
      <c r="F158" s="24"/>
      <c r="G158" s="24"/>
      <c r="I158" s="87"/>
      <c r="J158" s="87"/>
      <c r="K158" s="87"/>
      <c r="L158" s="87"/>
      <c r="M158" s="87"/>
      <c r="N158" s="87"/>
      <c r="O158" s="87"/>
      <c r="P158" s="69"/>
    </row>
    <row r="159" spans="1:17" ht="17.100000000000001" customHeight="1" x14ac:dyDescent="0.2">
      <c r="A159" s="24"/>
      <c r="B159" s="231" t="s">
        <v>140</v>
      </c>
      <c r="C159" s="232"/>
      <c r="D159" s="30">
        <v>0.29932037466607203</v>
      </c>
      <c r="E159" s="24"/>
      <c r="F159" s="21"/>
      <c r="G159" s="27"/>
    </row>
    <row r="160" spans="1:17" ht="17.100000000000001" customHeight="1" x14ac:dyDescent="0.2">
      <c r="A160" s="24"/>
      <c r="B160" s="231" t="s">
        <v>141</v>
      </c>
      <c r="C160" s="232"/>
      <c r="D160" s="4" t="s">
        <v>128</v>
      </c>
      <c r="E160" s="24"/>
      <c r="F160" s="24"/>
      <c r="G160" s="24"/>
    </row>
  </sheetData>
  <mergeCells count="16">
    <mergeCell ref="B159:C159"/>
    <mergeCell ref="B160:C160"/>
    <mergeCell ref="B143:C143"/>
    <mergeCell ref="B144:C144"/>
    <mergeCell ref="B145:C145"/>
    <mergeCell ref="B153:C153"/>
    <mergeCell ref="B157:C157"/>
    <mergeCell ref="B158:C158"/>
    <mergeCell ref="B155:F155"/>
    <mergeCell ref="J2:N2"/>
    <mergeCell ref="B142:C142"/>
    <mergeCell ref="B139:F139"/>
    <mergeCell ref="B140:F140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29">
    <outlinePr summaryBelow="0" summaryRight="0"/>
  </sheetPr>
  <dimension ref="A1:Q216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5" ht="15" x14ac:dyDescent="0.2">
      <c r="A1" s="227" t="s">
        <v>0</v>
      </c>
      <c r="B1" s="227"/>
      <c r="C1" s="227"/>
      <c r="D1" s="227"/>
      <c r="E1" s="227"/>
      <c r="F1" s="227"/>
      <c r="G1" s="227"/>
      <c r="H1" s="227"/>
    </row>
    <row r="2" spans="1:15" s="87" customFormat="1" ht="15" x14ac:dyDescent="0.2">
      <c r="A2" s="228" t="s">
        <v>642</v>
      </c>
      <c r="B2" s="229"/>
      <c r="C2" s="229"/>
      <c r="D2" s="229"/>
      <c r="E2" s="229"/>
      <c r="F2" s="229"/>
      <c r="G2" s="229"/>
      <c r="H2" s="230"/>
      <c r="I2"/>
      <c r="J2" s="223" t="s">
        <v>1238</v>
      </c>
      <c r="K2" s="223"/>
      <c r="L2" s="223"/>
      <c r="M2" s="223"/>
      <c r="N2" s="223"/>
      <c r="O2"/>
    </row>
    <row r="3" spans="1:15" ht="15" x14ac:dyDescent="0.2">
      <c r="A3" s="227" t="s">
        <v>1208</v>
      </c>
      <c r="B3" s="227"/>
      <c r="C3" s="227"/>
      <c r="D3" s="227"/>
      <c r="E3" s="227"/>
      <c r="F3" s="227"/>
      <c r="G3" s="227"/>
      <c r="H3" s="227"/>
    </row>
    <row r="4" spans="1:15" s="113" customFormat="1" ht="30" x14ac:dyDescent="0.2">
      <c r="A4" s="1" t="s">
        <v>2</v>
      </c>
      <c r="B4" s="1" t="s">
        <v>3</v>
      </c>
      <c r="C4" s="1" t="s">
        <v>4</v>
      </c>
      <c r="D4" s="1" t="s">
        <v>5</v>
      </c>
      <c r="E4" s="2" t="s">
        <v>6</v>
      </c>
      <c r="F4" s="2" t="s">
        <v>7</v>
      </c>
      <c r="G4" s="2" t="s">
        <v>8</v>
      </c>
      <c r="H4" s="96" t="s">
        <v>1167</v>
      </c>
      <c r="I4" s="183"/>
      <c r="J4" s="183"/>
      <c r="K4" s="183"/>
      <c r="L4" s="183"/>
      <c r="M4" s="183"/>
      <c r="N4" s="183"/>
      <c r="O4" s="183"/>
    </row>
    <row r="5" spans="1:15" x14ac:dyDescent="0.2">
      <c r="A5" s="3"/>
      <c r="B5" s="3"/>
      <c r="C5" s="4" t="s">
        <v>9</v>
      </c>
      <c r="D5" s="3"/>
      <c r="E5" s="3"/>
      <c r="F5" s="3"/>
      <c r="G5" s="3"/>
      <c r="H5" s="97"/>
    </row>
    <row r="6" spans="1:15" ht="24" customHeight="1" x14ac:dyDescent="0.2">
      <c r="A6" s="3"/>
      <c r="B6" s="3"/>
      <c r="C6" s="4" t="s">
        <v>10</v>
      </c>
      <c r="D6" s="3"/>
      <c r="E6" s="3"/>
      <c r="F6" s="3"/>
      <c r="G6" s="3"/>
      <c r="H6" s="97"/>
    </row>
    <row r="7" spans="1:15" ht="17.100000000000001" customHeight="1" x14ac:dyDescent="0.2">
      <c r="A7" s="5">
        <v>1</v>
      </c>
      <c r="B7" s="6" t="s">
        <v>263</v>
      </c>
      <c r="C7" s="6" t="s">
        <v>264</v>
      </c>
      <c r="D7" s="6" t="s">
        <v>147</v>
      </c>
      <c r="E7" s="7">
        <v>1304528</v>
      </c>
      <c r="F7" s="8">
        <v>7996.1043760000002</v>
      </c>
      <c r="G7" s="9">
        <v>3.7257581993108753E-2</v>
      </c>
      <c r="H7" s="97"/>
    </row>
    <row r="8" spans="1:15" ht="17.100000000000001" customHeight="1" x14ac:dyDescent="0.2">
      <c r="A8" s="5">
        <v>2</v>
      </c>
      <c r="B8" s="6" t="s">
        <v>145</v>
      </c>
      <c r="C8" s="6" t="s">
        <v>146</v>
      </c>
      <c r="D8" s="6" t="s">
        <v>147</v>
      </c>
      <c r="E8" s="7">
        <v>158185</v>
      </c>
      <c r="F8" s="8">
        <v>7757.9460474999996</v>
      </c>
      <c r="G8" s="9">
        <v>3.614789119441645E-2</v>
      </c>
      <c r="H8" s="97"/>
    </row>
    <row r="9" spans="1:15" ht="17.100000000000001" customHeight="1" x14ac:dyDescent="0.2">
      <c r="A9" s="5">
        <v>3</v>
      </c>
      <c r="B9" s="6" t="s">
        <v>160</v>
      </c>
      <c r="C9" s="6" t="s">
        <v>161</v>
      </c>
      <c r="D9" s="6" t="s">
        <v>147</v>
      </c>
      <c r="E9" s="7">
        <v>622044</v>
      </c>
      <c r="F9" s="8">
        <v>6363.5101199999999</v>
      </c>
      <c r="G9" s="9">
        <v>2.9650563438302639E-2</v>
      </c>
      <c r="H9" s="97"/>
    </row>
    <row r="10" spans="1:15" ht="17.100000000000001" customHeight="1" x14ac:dyDescent="0.2">
      <c r="A10" s="5">
        <v>4</v>
      </c>
      <c r="B10" s="6" t="s">
        <v>216</v>
      </c>
      <c r="C10" s="6" t="s">
        <v>217</v>
      </c>
      <c r="D10" s="6" t="s">
        <v>1184</v>
      </c>
      <c r="E10" s="7">
        <v>382347</v>
      </c>
      <c r="F10" s="8">
        <v>6051.7883160000001</v>
      </c>
      <c r="G10" s="9">
        <v>2.8198106075886416E-2</v>
      </c>
      <c r="H10" s="97"/>
    </row>
    <row r="11" spans="1:15" ht="17.100000000000001" customHeight="1" x14ac:dyDescent="0.2">
      <c r="A11" s="5">
        <v>5</v>
      </c>
      <c r="B11" s="6" t="s">
        <v>196</v>
      </c>
      <c r="C11" s="6" t="s">
        <v>197</v>
      </c>
      <c r="D11" s="6" t="s">
        <v>81</v>
      </c>
      <c r="E11" s="7">
        <v>1046412</v>
      </c>
      <c r="F11" s="8">
        <v>5786.1351540000005</v>
      </c>
      <c r="G11" s="9">
        <v>2.6960304016342165E-2</v>
      </c>
      <c r="H11" s="97"/>
    </row>
    <row r="12" spans="1:15" ht="17.100000000000001" customHeight="1" x14ac:dyDescent="0.2">
      <c r="A12" s="5">
        <v>6</v>
      </c>
      <c r="B12" s="6" t="s">
        <v>606</v>
      </c>
      <c r="C12" s="6" t="s">
        <v>607</v>
      </c>
      <c r="D12" s="6" t="s">
        <v>19</v>
      </c>
      <c r="E12" s="7">
        <v>490032</v>
      </c>
      <c r="F12" s="8">
        <v>4810.399128</v>
      </c>
      <c r="G12" s="9">
        <v>2.241389450455053E-2</v>
      </c>
      <c r="H12" s="97"/>
    </row>
    <row r="13" spans="1:15" ht="17.100000000000001" customHeight="1" x14ac:dyDescent="0.2">
      <c r="A13" s="5">
        <v>7</v>
      </c>
      <c r="B13" s="6" t="s">
        <v>274</v>
      </c>
      <c r="C13" s="6" t="s">
        <v>275</v>
      </c>
      <c r="D13" s="6" t="s">
        <v>185</v>
      </c>
      <c r="E13" s="7">
        <v>113639</v>
      </c>
      <c r="F13" s="8">
        <v>4759.769515</v>
      </c>
      <c r="G13" s="9">
        <v>2.217798750922808E-2</v>
      </c>
      <c r="H13" s="97"/>
    </row>
    <row r="14" spans="1:15" ht="17.100000000000001" customHeight="1" x14ac:dyDescent="0.2">
      <c r="A14" s="5">
        <v>8</v>
      </c>
      <c r="B14" s="6" t="s">
        <v>643</v>
      </c>
      <c r="C14" s="6" t="s">
        <v>644</v>
      </c>
      <c r="D14" s="6" t="s">
        <v>193</v>
      </c>
      <c r="E14" s="7">
        <v>504084</v>
      </c>
      <c r="F14" s="8">
        <v>4720.7466599999998</v>
      </c>
      <c r="G14" s="9">
        <v>2.1996161816190414E-2</v>
      </c>
      <c r="H14" s="97"/>
    </row>
    <row r="15" spans="1:15" ht="17.100000000000001" customHeight="1" x14ac:dyDescent="0.2">
      <c r="A15" s="5">
        <v>9</v>
      </c>
      <c r="B15" s="6" t="s">
        <v>205</v>
      </c>
      <c r="C15" s="6" t="s">
        <v>206</v>
      </c>
      <c r="D15" s="6" t="s">
        <v>1187</v>
      </c>
      <c r="E15" s="7">
        <v>824354</v>
      </c>
      <c r="F15" s="8">
        <v>4635.7547190000005</v>
      </c>
      <c r="G15" s="9">
        <v>2.1600144698146615E-2</v>
      </c>
      <c r="H15" s="97"/>
      <c r="J15" s="184" t="s">
        <v>1251</v>
      </c>
    </row>
    <row r="16" spans="1:15" ht="17.100000000000001" customHeight="1" x14ac:dyDescent="0.2">
      <c r="A16" s="5">
        <v>10</v>
      </c>
      <c r="B16" s="6" t="s">
        <v>41</v>
      </c>
      <c r="C16" s="6" t="s">
        <v>42</v>
      </c>
      <c r="D16" s="6" t="s">
        <v>19</v>
      </c>
      <c r="E16" s="7">
        <v>372310</v>
      </c>
      <c r="F16" s="8">
        <v>4543.1127749999996</v>
      </c>
      <c r="G16" s="9">
        <v>2.116848264594268E-2</v>
      </c>
      <c r="H16" s="97"/>
    </row>
    <row r="17" spans="1:10" ht="41.1" customHeight="1" x14ac:dyDescent="0.2">
      <c r="A17" s="5">
        <v>11</v>
      </c>
      <c r="B17" s="6" t="s">
        <v>280</v>
      </c>
      <c r="C17" s="6" t="s">
        <v>281</v>
      </c>
      <c r="D17" s="6" t="s">
        <v>238</v>
      </c>
      <c r="E17" s="7">
        <v>258222</v>
      </c>
      <c r="F17" s="8">
        <v>4531.2796559999997</v>
      </c>
      <c r="G17" s="9">
        <v>2.1113346622118383E-2</v>
      </c>
      <c r="H17" s="97"/>
    </row>
    <row r="18" spans="1:10" ht="17.100000000000001" customHeight="1" x14ac:dyDescent="0.2">
      <c r="A18" s="5">
        <v>12</v>
      </c>
      <c r="B18" s="6" t="s">
        <v>359</v>
      </c>
      <c r="C18" s="6" t="s">
        <v>360</v>
      </c>
      <c r="D18" s="6" t="s">
        <v>70</v>
      </c>
      <c r="E18" s="7">
        <v>81993</v>
      </c>
      <c r="F18" s="8">
        <v>4517.4453315000001</v>
      </c>
      <c r="G18" s="9">
        <v>2.1048886047926148E-2</v>
      </c>
      <c r="H18" s="97"/>
    </row>
    <row r="19" spans="1:10" ht="17.100000000000001" customHeight="1" x14ac:dyDescent="0.2">
      <c r="A19" s="5">
        <v>13</v>
      </c>
      <c r="B19" s="6" t="s">
        <v>562</v>
      </c>
      <c r="C19" s="6" t="s">
        <v>563</v>
      </c>
      <c r="D19" s="6" t="s">
        <v>147</v>
      </c>
      <c r="E19" s="7">
        <v>827825</v>
      </c>
      <c r="F19" s="8">
        <v>4509.1627750000007</v>
      </c>
      <c r="G19" s="9">
        <v>2.1010293751802862E-2</v>
      </c>
      <c r="H19" s="97"/>
    </row>
    <row r="20" spans="1:10" ht="17.100000000000001" customHeight="1" x14ac:dyDescent="0.2">
      <c r="A20" s="5">
        <v>14</v>
      </c>
      <c r="B20" s="6" t="s">
        <v>564</v>
      </c>
      <c r="C20" s="6" t="s">
        <v>565</v>
      </c>
      <c r="D20" s="6" t="s">
        <v>185</v>
      </c>
      <c r="E20" s="7">
        <v>265529</v>
      </c>
      <c r="F20" s="8">
        <v>4367.0226984999999</v>
      </c>
      <c r="G20" s="9">
        <v>2.0347996799977088E-2</v>
      </c>
      <c r="H20" s="97"/>
    </row>
    <row r="21" spans="1:10" ht="17.100000000000001" customHeight="1" x14ac:dyDescent="0.2">
      <c r="A21" s="5">
        <v>15</v>
      </c>
      <c r="B21" s="6" t="s">
        <v>209</v>
      </c>
      <c r="C21" s="6" t="s">
        <v>210</v>
      </c>
      <c r="D21" s="6" t="s">
        <v>193</v>
      </c>
      <c r="E21" s="7">
        <v>766562</v>
      </c>
      <c r="F21" s="8">
        <v>4131.0026180000004</v>
      </c>
      <c r="G21" s="9">
        <v>1.9248269096616647E-2</v>
      </c>
      <c r="H21" s="97"/>
    </row>
    <row r="22" spans="1:10" ht="17.100000000000001" customHeight="1" x14ac:dyDescent="0.2">
      <c r="A22" s="5">
        <v>16</v>
      </c>
      <c r="B22" s="6" t="s">
        <v>218</v>
      </c>
      <c r="C22" s="6" t="s">
        <v>219</v>
      </c>
      <c r="D22" s="6" t="s">
        <v>193</v>
      </c>
      <c r="E22" s="7">
        <v>200691</v>
      </c>
      <c r="F22" s="8">
        <v>3571.6977270000002</v>
      </c>
      <c r="G22" s="9">
        <v>1.6642206587212098E-2</v>
      </c>
      <c r="H22" s="97"/>
    </row>
    <row r="23" spans="1:10" ht="17.100000000000001" customHeight="1" x14ac:dyDescent="0.2">
      <c r="A23" s="5">
        <v>17</v>
      </c>
      <c r="B23" s="6" t="s">
        <v>379</v>
      </c>
      <c r="C23" s="6" t="s">
        <v>380</v>
      </c>
      <c r="D23" s="6" t="s">
        <v>25</v>
      </c>
      <c r="E23" s="7">
        <v>2552643</v>
      </c>
      <c r="F23" s="8">
        <v>3437.1337994999999</v>
      </c>
      <c r="G23" s="9">
        <v>1.60152104492935E-2</v>
      </c>
      <c r="H23" s="97"/>
    </row>
    <row r="24" spans="1:10" ht="17.100000000000001" customHeight="1" x14ac:dyDescent="0.2">
      <c r="A24" s="5">
        <v>18</v>
      </c>
      <c r="B24" s="6" t="s">
        <v>566</v>
      </c>
      <c r="C24" s="6" t="s">
        <v>567</v>
      </c>
      <c r="D24" s="6" t="s">
        <v>1185</v>
      </c>
      <c r="E24" s="7">
        <v>231114</v>
      </c>
      <c r="F24" s="8">
        <v>3285.6321809999999</v>
      </c>
      <c r="G24" s="9">
        <v>1.5309293704347743E-2</v>
      </c>
      <c r="H24" s="97"/>
    </row>
    <row r="25" spans="1:10" ht="17.100000000000001" customHeight="1" x14ac:dyDescent="0.2">
      <c r="A25" s="5">
        <v>19</v>
      </c>
      <c r="B25" s="6" t="s">
        <v>186</v>
      </c>
      <c r="C25" s="6" t="s">
        <v>187</v>
      </c>
      <c r="D25" s="6" t="s">
        <v>19</v>
      </c>
      <c r="E25" s="7">
        <v>163564</v>
      </c>
      <c r="F25" s="8">
        <v>3251.8976659999998</v>
      </c>
      <c r="G25" s="9">
        <v>1.5152108855387706E-2</v>
      </c>
      <c r="H25" s="97"/>
    </row>
    <row r="26" spans="1:10" ht="17.100000000000001" customHeight="1" x14ac:dyDescent="0.2">
      <c r="A26" s="5">
        <v>20</v>
      </c>
      <c r="B26" s="6" t="s">
        <v>37</v>
      </c>
      <c r="C26" s="6" t="s">
        <v>38</v>
      </c>
      <c r="D26" s="6" t="s">
        <v>1185</v>
      </c>
      <c r="E26" s="7">
        <v>94011</v>
      </c>
      <c r="F26" s="8">
        <v>3195.2928734999996</v>
      </c>
      <c r="G26" s="9">
        <v>1.4888360710215711E-2</v>
      </c>
      <c r="H26" s="97"/>
    </row>
    <row r="27" spans="1:10" ht="17.100000000000001" customHeight="1" x14ac:dyDescent="0.2">
      <c r="A27" s="5">
        <v>21</v>
      </c>
      <c r="B27" s="6" t="s">
        <v>156</v>
      </c>
      <c r="C27" s="6" t="s">
        <v>157</v>
      </c>
      <c r="D27" s="6" t="s">
        <v>19</v>
      </c>
      <c r="E27" s="7">
        <v>439042</v>
      </c>
      <c r="F27" s="8">
        <v>3184.5911470000001</v>
      </c>
      <c r="G27" s="9">
        <v>1.4838496372058958E-2</v>
      </c>
      <c r="H27" s="97"/>
      <c r="J27" s="184" t="s">
        <v>1252</v>
      </c>
    </row>
    <row r="28" spans="1:10" ht="17.100000000000001" customHeight="1" x14ac:dyDescent="0.2">
      <c r="A28" s="5">
        <v>22</v>
      </c>
      <c r="B28" s="6" t="s">
        <v>446</v>
      </c>
      <c r="C28" s="6" t="s">
        <v>447</v>
      </c>
      <c r="D28" s="6" t="s">
        <v>81</v>
      </c>
      <c r="E28" s="7">
        <v>483280</v>
      </c>
      <c r="F28" s="8">
        <v>3151.7105200000001</v>
      </c>
      <c r="G28" s="9">
        <v>1.4685290185792271E-2</v>
      </c>
      <c r="H28" s="97"/>
    </row>
    <row r="29" spans="1:10" ht="17.100000000000001" customHeight="1" x14ac:dyDescent="0.2">
      <c r="A29" s="5">
        <v>23</v>
      </c>
      <c r="B29" s="6" t="s">
        <v>68</v>
      </c>
      <c r="C29" s="6" t="s">
        <v>69</v>
      </c>
      <c r="D29" s="6" t="s">
        <v>70</v>
      </c>
      <c r="E29" s="7">
        <v>94991</v>
      </c>
      <c r="F29" s="8">
        <v>3150.0915419999997</v>
      </c>
      <c r="G29" s="9">
        <v>1.4677746611728743E-2</v>
      </c>
      <c r="H29" s="97"/>
    </row>
    <row r="30" spans="1:10" ht="17.100000000000001" customHeight="1" x14ac:dyDescent="0.2">
      <c r="A30" s="5">
        <v>24</v>
      </c>
      <c r="B30" s="6" t="s">
        <v>282</v>
      </c>
      <c r="C30" s="6" t="s">
        <v>283</v>
      </c>
      <c r="D30" s="6" t="s">
        <v>284</v>
      </c>
      <c r="E30" s="7">
        <v>1225926</v>
      </c>
      <c r="F30" s="8">
        <v>3082.5909270000002</v>
      </c>
      <c r="G30" s="9">
        <v>1.4363229744553254E-2</v>
      </c>
      <c r="H30" s="97"/>
    </row>
    <row r="31" spans="1:10" ht="29.1" customHeight="1" x14ac:dyDescent="0.2">
      <c r="A31" s="5">
        <v>25</v>
      </c>
      <c r="B31" s="6" t="s">
        <v>148</v>
      </c>
      <c r="C31" s="6" t="s">
        <v>149</v>
      </c>
      <c r="D31" s="6" t="s">
        <v>70</v>
      </c>
      <c r="E31" s="7">
        <v>472095</v>
      </c>
      <c r="F31" s="8">
        <v>2822.6560049999998</v>
      </c>
      <c r="G31" s="9">
        <v>1.3152071633816837E-2</v>
      </c>
      <c r="H31" s="97"/>
    </row>
    <row r="32" spans="1:10" ht="17.100000000000001" customHeight="1" x14ac:dyDescent="0.2">
      <c r="A32" s="5">
        <v>26</v>
      </c>
      <c r="B32" s="6" t="s">
        <v>154</v>
      </c>
      <c r="C32" s="6" t="s">
        <v>155</v>
      </c>
      <c r="D32" s="6" t="s">
        <v>147</v>
      </c>
      <c r="E32" s="7">
        <v>243425</v>
      </c>
      <c r="F32" s="8">
        <v>2744.4951624999999</v>
      </c>
      <c r="G32" s="9">
        <v>1.2787883791692775E-2</v>
      </c>
      <c r="H32" s="97"/>
    </row>
    <row r="33" spans="1:8" ht="17.100000000000001" customHeight="1" x14ac:dyDescent="0.2">
      <c r="A33" s="5">
        <v>27</v>
      </c>
      <c r="B33" s="6" t="s">
        <v>74</v>
      </c>
      <c r="C33" s="6" t="s">
        <v>75</v>
      </c>
      <c r="D33" s="6" t="s">
        <v>70</v>
      </c>
      <c r="E33" s="7">
        <v>600000</v>
      </c>
      <c r="F33" s="8">
        <v>2518.8000000000002</v>
      </c>
      <c r="G33" s="9">
        <v>1.1736264699834671E-2</v>
      </c>
      <c r="H33" s="97"/>
    </row>
    <row r="34" spans="1:8" ht="17.100000000000001" customHeight="1" x14ac:dyDescent="0.2">
      <c r="A34" s="5">
        <v>28</v>
      </c>
      <c r="B34" s="6" t="s">
        <v>645</v>
      </c>
      <c r="C34" s="6" t="s">
        <v>646</v>
      </c>
      <c r="D34" s="6" t="s">
        <v>202</v>
      </c>
      <c r="E34" s="7">
        <v>670786</v>
      </c>
      <c r="F34" s="8">
        <v>2465.1385500000001</v>
      </c>
      <c r="G34" s="9">
        <v>1.1486230960999931E-2</v>
      </c>
      <c r="H34" s="97"/>
    </row>
    <row r="35" spans="1:8" ht="17.100000000000001" customHeight="1" x14ac:dyDescent="0.2">
      <c r="A35" s="5">
        <v>29</v>
      </c>
      <c r="B35" s="6" t="s">
        <v>647</v>
      </c>
      <c r="C35" s="6" t="s">
        <v>648</v>
      </c>
      <c r="D35" s="6" t="s">
        <v>25</v>
      </c>
      <c r="E35" s="7">
        <v>1016082</v>
      </c>
      <c r="F35" s="8">
        <v>2390.8409459999998</v>
      </c>
      <c r="G35" s="9">
        <v>1.1140043749983772E-2</v>
      </c>
      <c r="H35" s="97"/>
    </row>
    <row r="36" spans="1:8" ht="17.100000000000001" customHeight="1" x14ac:dyDescent="0.2">
      <c r="A36" s="5">
        <v>30</v>
      </c>
      <c r="B36" s="6" t="s">
        <v>649</v>
      </c>
      <c r="C36" s="6" t="s">
        <v>650</v>
      </c>
      <c r="D36" s="6" t="s">
        <v>213</v>
      </c>
      <c r="E36" s="7">
        <v>605404</v>
      </c>
      <c r="F36" s="8">
        <v>2390.1349919999998</v>
      </c>
      <c r="G36" s="9">
        <v>1.1136754380835803E-2</v>
      </c>
      <c r="H36" s="97"/>
    </row>
    <row r="37" spans="1:8" ht="17.100000000000001" customHeight="1" x14ac:dyDescent="0.2">
      <c r="A37" s="5">
        <v>31</v>
      </c>
      <c r="B37" s="6" t="s">
        <v>181</v>
      </c>
      <c r="C37" s="6" t="s">
        <v>182</v>
      </c>
      <c r="D37" s="6" t="s">
        <v>1189</v>
      </c>
      <c r="E37" s="7">
        <v>275421</v>
      </c>
      <c r="F37" s="8">
        <v>2358.5677335</v>
      </c>
      <c r="G37" s="9">
        <v>1.0989667791347116E-2</v>
      </c>
      <c r="H37" s="97"/>
    </row>
    <row r="38" spans="1:8" ht="17.100000000000001" customHeight="1" x14ac:dyDescent="0.2">
      <c r="A38" s="5">
        <v>32</v>
      </c>
      <c r="B38" s="6" t="s">
        <v>267</v>
      </c>
      <c r="C38" s="6" t="s">
        <v>268</v>
      </c>
      <c r="D38" s="6" t="s">
        <v>19</v>
      </c>
      <c r="E38" s="7">
        <v>621794</v>
      </c>
      <c r="F38" s="8">
        <v>2279.8077010000002</v>
      </c>
      <c r="G38" s="9">
        <v>1.0622688043376821E-2</v>
      </c>
      <c r="H38" s="97"/>
    </row>
    <row r="39" spans="1:8" ht="17.100000000000001" customHeight="1" x14ac:dyDescent="0.2">
      <c r="A39" s="5">
        <v>33</v>
      </c>
      <c r="B39" s="6" t="s">
        <v>651</v>
      </c>
      <c r="C39" s="6" t="s">
        <v>652</v>
      </c>
      <c r="D39" s="6" t="s">
        <v>34</v>
      </c>
      <c r="E39" s="7">
        <v>466310</v>
      </c>
      <c r="F39" s="8">
        <v>2234.09121</v>
      </c>
      <c r="G39" s="9">
        <v>1.0409673576359347E-2</v>
      </c>
      <c r="H39" s="97"/>
    </row>
    <row r="40" spans="1:8" ht="17.100000000000001" customHeight="1" x14ac:dyDescent="0.2">
      <c r="A40" s="5">
        <v>34</v>
      </c>
      <c r="B40" s="6" t="s">
        <v>653</v>
      </c>
      <c r="C40" s="6" t="s">
        <v>654</v>
      </c>
      <c r="D40" s="6" t="s">
        <v>327</v>
      </c>
      <c r="E40" s="7">
        <v>265000</v>
      </c>
      <c r="F40" s="8">
        <v>2165.1824999999999</v>
      </c>
      <c r="G40" s="9">
        <v>1.0088595737434404E-2</v>
      </c>
      <c r="H40" s="97"/>
    </row>
    <row r="41" spans="1:8" ht="17.100000000000001" customHeight="1" x14ac:dyDescent="0.2">
      <c r="A41" s="5">
        <v>35</v>
      </c>
      <c r="B41" s="6" t="s">
        <v>405</v>
      </c>
      <c r="C41" s="6" t="s">
        <v>406</v>
      </c>
      <c r="D41" s="6" t="s">
        <v>70</v>
      </c>
      <c r="E41" s="7">
        <v>167736</v>
      </c>
      <c r="F41" s="8">
        <v>2163.7105320000001</v>
      </c>
      <c r="G41" s="9">
        <v>1.0081737151569039E-2</v>
      </c>
      <c r="H41" s="97"/>
    </row>
    <row r="42" spans="1:8" ht="17.100000000000001" customHeight="1" x14ac:dyDescent="0.2">
      <c r="A42" s="5">
        <v>36</v>
      </c>
      <c r="B42" s="6" t="s">
        <v>232</v>
      </c>
      <c r="C42" s="6" t="s">
        <v>233</v>
      </c>
      <c r="D42" s="6" t="s">
        <v>193</v>
      </c>
      <c r="E42" s="7">
        <v>40215</v>
      </c>
      <c r="F42" s="8">
        <v>2146.8375599999999</v>
      </c>
      <c r="G42" s="9">
        <v>1.0003118100566618E-2</v>
      </c>
      <c r="H42" s="97"/>
    </row>
    <row r="43" spans="1:8" ht="17.100000000000001" customHeight="1" x14ac:dyDescent="0.2">
      <c r="A43" s="5">
        <v>37</v>
      </c>
      <c r="B43" s="6" t="s">
        <v>51</v>
      </c>
      <c r="C43" s="6" t="s">
        <v>52</v>
      </c>
      <c r="D43" s="6" t="s">
        <v>53</v>
      </c>
      <c r="E43" s="7">
        <v>1129503</v>
      </c>
      <c r="F43" s="8">
        <v>1957.4286990000001</v>
      </c>
      <c r="G43" s="9">
        <v>9.1205738218663665E-3</v>
      </c>
      <c r="H43" s="97"/>
    </row>
    <row r="44" spans="1:8" ht="17.100000000000001" customHeight="1" x14ac:dyDescent="0.2">
      <c r="A44" s="5">
        <v>38</v>
      </c>
      <c r="B44" s="6" t="s">
        <v>211</v>
      </c>
      <c r="C44" s="6" t="s">
        <v>212</v>
      </c>
      <c r="D44" s="6" t="s">
        <v>202</v>
      </c>
      <c r="E44" s="7">
        <v>431501</v>
      </c>
      <c r="F44" s="8">
        <v>1947.5797634999999</v>
      </c>
      <c r="G44" s="9">
        <v>9.0746830349680025E-3</v>
      </c>
      <c r="H44" s="97"/>
    </row>
    <row r="45" spans="1:8" ht="17.100000000000001" customHeight="1" x14ac:dyDescent="0.2">
      <c r="A45" s="5">
        <v>39</v>
      </c>
      <c r="B45" s="6" t="s">
        <v>66</v>
      </c>
      <c r="C45" s="6" t="s">
        <v>67</v>
      </c>
      <c r="D45" s="6" t="s">
        <v>60</v>
      </c>
      <c r="E45" s="7">
        <v>189736</v>
      </c>
      <c r="F45" s="8">
        <v>1896.980528</v>
      </c>
      <c r="G45" s="9">
        <v>8.8389175825949393E-3</v>
      </c>
      <c r="H45" s="97"/>
    </row>
    <row r="46" spans="1:8" ht="17.100000000000001" customHeight="1" x14ac:dyDescent="0.2">
      <c r="A46" s="5">
        <v>40</v>
      </c>
      <c r="B46" s="6" t="s">
        <v>198</v>
      </c>
      <c r="C46" s="6" t="s">
        <v>199</v>
      </c>
      <c r="D46" s="6" t="s">
        <v>70</v>
      </c>
      <c r="E46" s="7">
        <v>203161</v>
      </c>
      <c r="F46" s="8">
        <v>1810.773993</v>
      </c>
      <c r="G46" s="9">
        <v>8.4372411042657504E-3</v>
      </c>
      <c r="H46" s="97"/>
    </row>
    <row r="47" spans="1:8" ht="17.100000000000001" customHeight="1" x14ac:dyDescent="0.2">
      <c r="A47" s="5">
        <v>41</v>
      </c>
      <c r="B47" s="6" t="s">
        <v>655</v>
      </c>
      <c r="C47" s="6" t="s">
        <v>656</v>
      </c>
      <c r="D47" s="6" t="s">
        <v>185</v>
      </c>
      <c r="E47" s="7">
        <v>181328</v>
      </c>
      <c r="F47" s="8">
        <v>1796.5071600000001</v>
      </c>
      <c r="G47" s="9">
        <v>8.3707652711244394E-3</v>
      </c>
      <c r="H47" s="97"/>
    </row>
    <row r="48" spans="1:8" ht="17.100000000000001" customHeight="1" x14ac:dyDescent="0.2">
      <c r="A48" s="5">
        <v>42</v>
      </c>
      <c r="B48" s="6" t="s">
        <v>84</v>
      </c>
      <c r="C48" s="6" t="s">
        <v>85</v>
      </c>
      <c r="D48" s="6" t="s">
        <v>53</v>
      </c>
      <c r="E48" s="7">
        <v>365975</v>
      </c>
      <c r="F48" s="8">
        <v>1794.3754250000002</v>
      </c>
      <c r="G48" s="9">
        <v>8.3608325228991323E-3</v>
      </c>
      <c r="H48" s="97"/>
    </row>
    <row r="49" spans="1:8" ht="17.100000000000001" customHeight="1" x14ac:dyDescent="0.2">
      <c r="A49" s="5">
        <v>43</v>
      </c>
      <c r="B49" s="6" t="s">
        <v>220</v>
      </c>
      <c r="C49" s="6" t="s">
        <v>221</v>
      </c>
      <c r="D49" s="6" t="s">
        <v>193</v>
      </c>
      <c r="E49" s="7">
        <v>350331</v>
      </c>
      <c r="F49" s="8">
        <v>1728.0076575000001</v>
      </c>
      <c r="G49" s="9">
        <v>8.0515941209152175E-3</v>
      </c>
      <c r="H49" s="97"/>
    </row>
    <row r="50" spans="1:8" ht="17.100000000000001" customHeight="1" x14ac:dyDescent="0.2">
      <c r="A50" s="5">
        <v>44</v>
      </c>
      <c r="B50" s="6" t="s">
        <v>241</v>
      </c>
      <c r="C50" s="6" t="s">
        <v>242</v>
      </c>
      <c r="D50" s="6" t="s">
        <v>147</v>
      </c>
      <c r="E50" s="7">
        <v>342266</v>
      </c>
      <c r="F50" s="8">
        <v>1618.575914</v>
      </c>
      <c r="G50" s="9">
        <v>7.5417005572021743E-3</v>
      </c>
      <c r="H50" s="97"/>
    </row>
    <row r="51" spans="1:8" ht="41.1" customHeight="1" x14ac:dyDescent="0.2">
      <c r="A51" s="5">
        <v>45</v>
      </c>
      <c r="B51" s="6" t="s">
        <v>657</v>
      </c>
      <c r="C51" s="6" t="s">
        <v>658</v>
      </c>
      <c r="D51" s="6" t="s">
        <v>174</v>
      </c>
      <c r="E51" s="7">
        <v>94501</v>
      </c>
      <c r="F51" s="8">
        <v>1611.3365510000001</v>
      </c>
      <c r="G51" s="9">
        <v>7.5079689864438019E-3</v>
      </c>
      <c r="H51" s="97"/>
    </row>
    <row r="52" spans="1:8" ht="17.100000000000001" customHeight="1" x14ac:dyDescent="0.2">
      <c r="A52" s="5">
        <v>46</v>
      </c>
      <c r="B52" s="6" t="s">
        <v>556</v>
      </c>
      <c r="C52" s="6" t="s">
        <v>557</v>
      </c>
      <c r="D52" s="6" t="s">
        <v>48</v>
      </c>
      <c r="E52" s="7">
        <v>209840</v>
      </c>
      <c r="F52" s="8">
        <v>1566.77036</v>
      </c>
      <c r="G52" s="9">
        <v>7.3003143039603218E-3</v>
      </c>
      <c r="H52" s="97"/>
    </row>
    <row r="53" spans="1:8" ht="29.1" customHeight="1" x14ac:dyDescent="0.2">
      <c r="A53" s="5">
        <v>47</v>
      </c>
      <c r="B53" s="6" t="s">
        <v>558</v>
      </c>
      <c r="C53" s="6" t="s">
        <v>559</v>
      </c>
      <c r="D53" s="6" t="s">
        <v>1184</v>
      </c>
      <c r="E53" s="7">
        <v>612855</v>
      </c>
      <c r="F53" s="8">
        <v>1549.2974400000001</v>
      </c>
      <c r="G53" s="9">
        <v>7.2188998152359152E-3</v>
      </c>
      <c r="H53" s="97"/>
    </row>
    <row r="54" spans="1:8" ht="17.100000000000001" customHeight="1" x14ac:dyDescent="0.2">
      <c r="A54" s="5">
        <v>48</v>
      </c>
      <c r="B54" s="6" t="s">
        <v>560</v>
      </c>
      <c r="C54" s="6" t="s">
        <v>561</v>
      </c>
      <c r="D54" s="6" t="s">
        <v>284</v>
      </c>
      <c r="E54" s="7">
        <v>227275</v>
      </c>
      <c r="F54" s="8">
        <v>1521.1515750000001</v>
      </c>
      <c r="G54" s="9">
        <v>7.0877550947953038E-3</v>
      </c>
      <c r="H54" s="97"/>
    </row>
    <row r="55" spans="1:8" ht="17.100000000000001" customHeight="1" x14ac:dyDescent="0.2">
      <c r="A55" s="5">
        <v>49</v>
      </c>
      <c r="B55" s="6" t="s">
        <v>659</v>
      </c>
      <c r="C55" s="6" t="s">
        <v>660</v>
      </c>
      <c r="D55" s="6" t="s">
        <v>1187</v>
      </c>
      <c r="E55" s="7">
        <v>3249123</v>
      </c>
      <c r="F55" s="8">
        <v>1514.091318</v>
      </c>
      <c r="G55" s="9">
        <v>7.0548580624779852E-3</v>
      </c>
      <c r="H55" s="97"/>
    </row>
    <row r="56" spans="1:8" ht="17.100000000000001" customHeight="1" x14ac:dyDescent="0.2">
      <c r="A56" s="5">
        <v>50</v>
      </c>
      <c r="B56" s="6" t="s">
        <v>164</v>
      </c>
      <c r="C56" s="6" t="s">
        <v>165</v>
      </c>
      <c r="D56" s="6" t="s">
        <v>19</v>
      </c>
      <c r="E56" s="7">
        <v>127565</v>
      </c>
      <c r="F56" s="8">
        <v>1490.0229824999999</v>
      </c>
      <c r="G56" s="9">
        <v>6.9427124549218365E-3</v>
      </c>
      <c r="H56" s="97"/>
    </row>
    <row r="57" spans="1:8" ht="17.100000000000001" customHeight="1" x14ac:dyDescent="0.2">
      <c r="A57" s="5">
        <v>51</v>
      </c>
      <c r="B57" s="6" t="s">
        <v>79</v>
      </c>
      <c r="C57" s="6" t="s">
        <v>80</v>
      </c>
      <c r="D57" s="6" t="s">
        <v>81</v>
      </c>
      <c r="E57" s="7">
        <v>611312</v>
      </c>
      <c r="F57" s="8">
        <v>1466.5374879999999</v>
      </c>
      <c r="G57" s="9">
        <v>6.8332825755909998E-3</v>
      </c>
      <c r="H57" s="97"/>
    </row>
    <row r="58" spans="1:8" ht="17.100000000000001" customHeight="1" x14ac:dyDescent="0.2">
      <c r="A58" s="5">
        <v>52</v>
      </c>
      <c r="B58" s="6" t="s">
        <v>464</v>
      </c>
      <c r="C58" s="6" t="s">
        <v>465</v>
      </c>
      <c r="D58" s="6" t="s">
        <v>19</v>
      </c>
      <c r="E58" s="7">
        <v>179969</v>
      </c>
      <c r="F58" s="8">
        <v>1450.1002175000001</v>
      </c>
      <c r="G58" s="9">
        <v>6.7566936612147958E-3</v>
      </c>
      <c r="H58" s="97"/>
    </row>
    <row r="59" spans="1:8" ht="17.100000000000001" customHeight="1" x14ac:dyDescent="0.2">
      <c r="A59" s="5">
        <v>53</v>
      </c>
      <c r="B59" s="6" t="s">
        <v>593</v>
      </c>
      <c r="C59" s="6" t="s">
        <v>594</v>
      </c>
      <c r="D59" s="6" t="s">
        <v>1184</v>
      </c>
      <c r="E59" s="7">
        <v>54037</v>
      </c>
      <c r="F59" s="8">
        <v>1440.6804569999999</v>
      </c>
      <c r="G59" s="9">
        <v>6.7128026009332931E-3</v>
      </c>
      <c r="H59" s="97"/>
    </row>
    <row r="60" spans="1:8" ht="17.100000000000001" customHeight="1" x14ac:dyDescent="0.2">
      <c r="A60" s="5">
        <v>54</v>
      </c>
      <c r="B60" s="6" t="s">
        <v>200</v>
      </c>
      <c r="C60" s="6" t="s">
        <v>201</v>
      </c>
      <c r="D60" s="6" t="s">
        <v>202</v>
      </c>
      <c r="E60" s="7">
        <v>318046</v>
      </c>
      <c r="F60" s="8">
        <v>1297.309634</v>
      </c>
      <c r="G60" s="9">
        <v>6.0447710267864203E-3</v>
      </c>
      <c r="H60" s="97"/>
    </row>
    <row r="61" spans="1:8" ht="29.1" customHeight="1" x14ac:dyDescent="0.2">
      <c r="A61" s="5">
        <v>55</v>
      </c>
      <c r="B61" s="6" t="s">
        <v>661</v>
      </c>
      <c r="C61" s="6" t="s">
        <v>662</v>
      </c>
      <c r="D61" s="6" t="s">
        <v>70</v>
      </c>
      <c r="E61" s="7">
        <v>121900</v>
      </c>
      <c r="F61" s="8">
        <v>1202.7873</v>
      </c>
      <c r="G61" s="9">
        <v>5.6043473600124868E-3</v>
      </c>
      <c r="H61" s="97"/>
    </row>
    <row r="62" spans="1:8" ht="29.1" customHeight="1" x14ac:dyDescent="0.2">
      <c r="A62" s="5">
        <v>56</v>
      </c>
      <c r="B62" s="6" t="s">
        <v>245</v>
      </c>
      <c r="C62" s="6" t="s">
        <v>246</v>
      </c>
      <c r="D62" s="6" t="s">
        <v>247</v>
      </c>
      <c r="E62" s="7">
        <v>520000</v>
      </c>
      <c r="F62" s="8">
        <v>1133.5999999999999</v>
      </c>
      <c r="G62" s="9">
        <v>5.2819714402622597E-3</v>
      </c>
      <c r="H62" s="97"/>
    </row>
    <row r="63" spans="1:8" ht="17.100000000000001" customHeight="1" x14ac:dyDescent="0.2">
      <c r="A63" s="5">
        <v>57</v>
      </c>
      <c r="B63" s="6" t="s">
        <v>474</v>
      </c>
      <c r="C63" s="6" t="s">
        <v>475</v>
      </c>
      <c r="D63" s="6" t="s">
        <v>25</v>
      </c>
      <c r="E63" s="7">
        <v>562160</v>
      </c>
      <c r="F63" s="8">
        <v>1124.03892</v>
      </c>
      <c r="G63" s="9">
        <v>5.2374219064778016E-3</v>
      </c>
      <c r="H63" s="97"/>
    </row>
    <row r="64" spans="1:8" ht="17.100000000000001" customHeight="1" x14ac:dyDescent="0.2">
      <c r="A64" s="5">
        <v>58</v>
      </c>
      <c r="B64" s="6" t="s">
        <v>663</v>
      </c>
      <c r="C64" s="6" t="s">
        <v>664</v>
      </c>
      <c r="D64" s="6" t="s">
        <v>70</v>
      </c>
      <c r="E64" s="7">
        <v>131901</v>
      </c>
      <c r="F64" s="8">
        <v>1121.8839555</v>
      </c>
      <c r="G64" s="9">
        <v>5.2273809211710095E-3</v>
      </c>
      <c r="H64" s="97"/>
    </row>
    <row r="65" spans="1:8" ht="17.100000000000001" customHeight="1" x14ac:dyDescent="0.2">
      <c r="A65" s="5">
        <v>59</v>
      </c>
      <c r="B65" s="6" t="s">
        <v>434</v>
      </c>
      <c r="C65" s="6" t="s">
        <v>435</v>
      </c>
      <c r="D65" s="6" t="s">
        <v>238</v>
      </c>
      <c r="E65" s="7">
        <v>147434</v>
      </c>
      <c r="F65" s="8">
        <v>1096.2455070000001</v>
      </c>
      <c r="G65" s="9">
        <v>5.1079194243911627E-3</v>
      </c>
      <c r="H65" s="97"/>
    </row>
    <row r="66" spans="1:8" ht="17.100000000000001" customHeight="1" x14ac:dyDescent="0.2">
      <c r="A66" s="5">
        <v>60</v>
      </c>
      <c r="B66" s="6" t="s">
        <v>472</v>
      </c>
      <c r="C66" s="6" t="s">
        <v>473</v>
      </c>
      <c r="D66" s="6" t="s">
        <v>45</v>
      </c>
      <c r="E66" s="7">
        <v>65840</v>
      </c>
      <c r="F66" s="8">
        <v>1081.8170399999999</v>
      </c>
      <c r="G66" s="9">
        <v>5.0406904630108107E-3</v>
      </c>
      <c r="H66" s="97"/>
    </row>
    <row r="67" spans="1:8" ht="17.100000000000001" customHeight="1" x14ac:dyDescent="0.2">
      <c r="A67" s="5">
        <v>61</v>
      </c>
      <c r="B67" s="6" t="s">
        <v>466</v>
      </c>
      <c r="C67" s="6" t="s">
        <v>467</v>
      </c>
      <c r="D67" s="6" t="s">
        <v>48</v>
      </c>
      <c r="E67" s="7">
        <v>47400</v>
      </c>
      <c r="F67" s="8">
        <v>1049.0568000000001</v>
      </c>
      <c r="G67" s="9">
        <v>4.8880452159605842E-3</v>
      </c>
      <c r="H67" s="97"/>
    </row>
    <row r="68" spans="1:8" ht="17.100000000000001" customHeight="1" x14ac:dyDescent="0.2">
      <c r="A68" s="5">
        <v>62</v>
      </c>
      <c r="B68" s="6" t="s">
        <v>665</v>
      </c>
      <c r="C68" s="6" t="s">
        <v>666</v>
      </c>
      <c r="D68" s="6" t="s">
        <v>147</v>
      </c>
      <c r="E68" s="7">
        <v>56721</v>
      </c>
      <c r="F68" s="8">
        <v>1011.562314</v>
      </c>
      <c r="G68" s="9">
        <v>4.7133409073690938E-3</v>
      </c>
      <c r="H68" s="97"/>
    </row>
    <row r="69" spans="1:8" ht="17.100000000000001" customHeight="1" x14ac:dyDescent="0.2">
      <c r="A69" s="5">
        <v>63</v>
      </c>
      <c r="B69" s="6" t="s">
        <v>568</v>
      </c>
      <c r="C69" s="6" t="s">
        <v>569</v>
      </c>
      <c r="D69" s="6" t="s">
        <v>147</v>
      </c>
      <c r="E69" s="7">
        <v>17115</v>
      </c>
      <c r="F69" s="8">
        <v>1004.3082000000001</v>
      </c>
      <c r="G69" s="9">
        <v>4.6795406048175713E-3</v>
      </c>
      <c r="H69" s="97"/>
    </row>
    <row r="70" spans="1:8" ht="17.100000000000001" customHeight="1" x14ac:dyDescent="0.2">
      <c r="A70" s="5">
        <v>64</v>
      </c>
      <c r="B70" s="6" t="s">
        <v>490</v>
      </c>
      <c r="C70" s="6" t="s">
        <v>491</v>
      </c>
      <c r="D70" s="6" t="s">
        <v>25</v>
      </c>
      <c r="E70" s="7">
        <v>713743</v>
      </c>
      <c r="F70" s="8">
        <v>996.3852280000001</v>
      </c>
      <c r="G70" s="9">
        <v>4.642623780694426E-3</v>
      </c>
      <c r="H70" s="97"/>
    </row>
    <row r="71" spans="1:8" ht="17.100000000000001" customHeight="1" x14ac:dyDescent="0.2">
      <c r="A71" s="5">
        <v>65</v>
      </c>
      <c r="B71" s="6" t="s">
        <v>572</v>
      </c>
      <c r="C71" s="6" t="s">
        <v>573</v>
      </c>
      <c r="D71" s="6" t="s">
        <v>238</v>
      </c>
      <c r="E71" s="7">
        <v>43085</v>
      </c>
      <c r="F71" s="8">
        <v>974.13030749999996</v>
      </c>
      <c r="G71" s="9">
        <v>4.5389277199266876E-3</v>
      </c>
      <c r="H71" s="97"/>
    </row>
    <row r="72" spans="1:8" ht="17.100000000000001" customHeight="1" x14ac:dyDescent="0.2">
      <c r="A72" s="5">
        <v>66</v>
      </c>
      <c r="B72" s="6" t="s">
        <v>570</v>
      </c>
      <c r="C72" s="6" t="s">
        <v>571</v>
      </c>
      <c r="D72" s="6" t="s">
        <v>147</v>
      </c>
      <c r="E72" s="7">
        <v>31834</v>
      </c>
      <c r="F72" s="8">
        <v>961.54597000000001</v>
      </c>
      <c r="G72" s="9">
        <v>4.4802914185244113E-3</v>
      </c>
      <c r="H72" s="97"/>
    </row>
    <row r="73" spans="1:8" ht="17.100000000000001" customHeight="1" x14ac:dyDescent="0.2">
      <c r="A73" s="5">
        <v>67</v>
      </c>
      <c r="B73" s="6" t="s">
        <v>667</v>
      </c>
      <c r="C73" s="6" t="s">
        <v>668</v>
      </c>
      <c r="D73" s="6" t="s">
        <v>19</v>
      </c>
      <c r="E73" s="7">
        <v>491611</v>
      </c>
      <c r="F73" s="8">
        <v>907.75971149999998</v>
      </c>
      <c r="G73" s="9">
        <v>4.229676138641239E-3</v>
      </c>
      <c r="H73" s="97"/>
    </row>
    <row r="74" spans="1:8" ht="17.100000000000001" customHeight="1" x14ac:dyDescent="0.2">
      <c r="A74" s="5">
        <v>68</v>
      </c>
      <c r="B74" s="6" t="s">
        <v>552</v>
      </c>
      <c r="C74" s="6" t="s">
        <v>553</v>
      </c>
      <c r="D74" s="6" t="s">
        <v>78</v>
      </c>
      <c r="E74" s="7">
        <v>71400</v>
      </c>
      <c r="F74" s="8">
        <v>893.17830000000004</v>
      </c>
      <c r="G74" s="9">
        <v>4.161734537457655E-3</v>
      </c>
      <c r="H74" s="97"/>
    </row>
    <row r="75" spans="1:8" ht="17.100000000000001" customHeight="1" x14ac:dyDescent="0.2">
      <c r="A75" s="5">
        <v>69</v>
      </c>
      <c r="B75" s="6" t="s">
        <v>540</v>
      </c>
      <c r="C75" s="6" t="s">
        <v>541</v>
      </c>
      <c r="D75" s="6" t="s">
        <v>1184</v>
      </c>
      <c r="E75" s="7">
        <v>84421</v>
      </c>
      <c r="F75" s="8">
        <v>889.07976150000002</v>
      </c>
      <c r="G75" s="9">
        <v>4.1426375338374935E-3</v>
      </c>
      <c r="H75" s="97"/>
    </row>
    <row r="76" spans="1:8" ht="17.100000000000001" customHeight="1" x14ac:dyDescent="0.2">
      <c r="A76" s="5">
        <v>70</v>
      </c>
      <c r="B76" s="6" t="s">
        <v>214</v>
      </c>
      <c r="C76" s="6" t="s">
        <v>215</v>
      </c>
      <c r="D76" s="6" t="s">
        <v>70</v>
      </c>
      <c r="E76" s="7">
        <v>44733</v>
      </c>
      <c r="F76" s="8">
        <v>883.65568199999996</v>
      </c>
      <c r="G76" s="9">
        <v>4.1173642160810429E-3</v>
      </c>
      <c r="H76" s="97"/>
    </row>
    <row r="77" spans="1:8" ht="17.100000000000001" customHeight="1" x14ac:dyDescent="0.2">
      <c r="A77" s="5">
        <v>71</v>
      </c>
      <c r="B77" s="6" t="s">
        <v>532</v>
      </c>
      <c r="C77" s="6" t="s">
        <v>533</v>
      </c>
      <c r="D77" s="6" t="s">
        <v>185</v>
      </c>
      <c r="E77" s="7">
        <v>34845</v>
      </c>
      <c r="F77" s="8">
        <v>843.78909750000003</v>
      </c>
      <c r="G77" s="9">
        <v>3.9316071935424027E-3</v>
      </c>
      <c r="H77" s="97"/>
    </row>
    <row r="78" spans="1:8" ht="17.100000000000001" customHeight="1" x14ac:dyDescent="0.2">
      <c r="A78" s="5">
        <v>72</v>
      </c>
      <c r="B78" s="6" t="s">
        <v>334</v>
      </c>
      <c r="C78" s="6" t="s">
        <v>335</v>
      </c>
      <c r="D78" s="6" t="s">
        <v>70</v>
      </c>
      <c r="E78" s="7">
        <v>192724</v>
      </c>
      <c r="F78" s="8">
        <v>843.07113800000002</v>
      </c>
      <c r="G78" s="9">
        <v>3.9282618851670809E-3</v>
      </c>
      <c r="H78" s="97"/>
    </row>
    <row r="79" spans="1:8" ht="17.100000000000001" customHeight="1" x14ac:dyDescent="0.2">
      <c r="A79" s="5">
        <v>73</v>
      </c>
      <c r="B79" s="6" t="s">
        <v>669</v>
      </c>
      <c r="C79" s="6" t="s">
        <v>670</v>
      </c>
      <c r="D79" s="6" t="s">
        <v>1186</v>
      </c>
      <c r="E79" s="7">
        <v>36660</v>
      </c>
      <c r="F79" s="8">
        <v>839.18406000000004</v>
      </c>
      <c r="G79" s="9">
        <v>3.9101501747030093E-3</v>
      </c>
      <c r="H79" s="97"/>
    </row>
    <row r="80" spans="1:8" ht="17.100000000000001" customHeight="1" x14ac:dyDescent="0.2">
      <c r="A80" s="5">
        <v>74</v>
      </c>
      <c r="B80" s="6" t="s">
        <v>574</v>
      </c>
      <c r="C80" s="6" t="s">
        <v>575</v>
      </c>
      <c r="D80" s="6" t="s">
        <v>185</v>
      </c>
      <c r="E80" s="7">
        <v>25979</v>
      </c>
      <c r="F80" s="8">
        <v>816.37708550000002</v>
      </c>
      <c r="G80" s="9">
        <v>3.8038818367109577E-3</v>
      </c>
      <c r="H80" s="97"/>
    </row>
    <row r="81" spans="1:8" ht="17.100000000000001" customHeight="1" x14ac:dyDescent="0.2">
      <c r="A81" s="5">
        <v>75</v>
      </c>
      <c r="B81" s="6" t="s">
        <v>530</v>
      </c>
      <c r="C81" s="6" t="s">
        <v>531</v>
      </c>
      <c r="D81" s="6" t="s">
        <v>238</v>
      </c>
      <c r="E81" s="7">
        <v>211080</v>
      </c>
      <c r="F81" s="8">
        <v>793.23864000000003</v>
      </c>
      <c r="G81" s="9">
        <v>3.6960690206355655E-3</v>
      </c>
      <c r="H81" s="97"/>
    </row>
    <row r="82" spans="1:8" ht="17.100000000000001" customHeight="1" x14ac:dyDescent="0.2">
      <c r="A82" s="5">
        <v>76</v>
      </c>
      <c r="B82" s="6" t="s">
        <v>576</v>
      </c>
      <c r="C82" s="6" t="s">
        <v>577</v>
      </c>
      <c r="D82" s="6" t="s">
        <v>70</v>
      </c>
      <c r="E82" s="7">
        <v>199400</v>
      </c>
      <c r="F82" s="8">
        <v>749.24549999999999</v>
      </c>
      <c r="G82" s="9">
        <v>3.491084450198498E-3</v>
      </c>
      <c r="H82" s="97"/>
    </row>
    <row r="83" spans="1:8" ht="17.100000000000001" customHeight="1" x14ac:dyDescent="0.2">
      <c r="A83" s="5">
        <v>77</v>
      </c>
      <c r="B83" s="6" t="s">
        <v>578</v>
      </c>
      <c r="C83" s="6" t="s">
        <v>579</v>
      </c>
      <c r="D83" s="6" t="s">
        <v>70</v>
      </c>
      <c r="E83" s="7">
        <v>73080</v>
      </c>
      <c r="F83" s="8">
        <v>739.45997999999997</v>
      </c>
      <c r="G83" s="9">
        <v>3.4454891457100408E-3</v>
      </c>
      <c r="H83" s="97"/>
    </row>
    <row r="84" spans="1:8" ht="17.100000000000001" customHeight="1" x14ac:dyDescent="0.2">
      <c r="A84" s="5">
        <v>78</v>
      </c>
      <c r="B84" s="6" t="s">
        <v>550</v>
      </c>
      <c r="C84" s="6" t="s">
        <v>551</v>
      </c>
      <c r="D84" s="6" t="s">
        <v>1186</v>
      </c>
      <c r="E84" s="7">
        <v>55720</v>
      </c>
      <c r="F84" s="8">
        <v>723.41276000000005</v>
      </c>
      <c r="G84" s="9">
        <v>3.3707176586461689E-3</v>
      </c>
      <c r="H84" s="97"/>
    </row>
    <row r="85" spans="1:8" ht="17.100000000000001" customHeight="1" x14ac:dyDescent="0.2">
      <c r="A85" s="5">
        <v>79</v>
      </c>
      <c r="B85" s="6" t="s">
        <v>542</v>
      </c>
      <c r="C85" s="6" t="s">
        <v>543</v>
      </c>
      <c r="D85" s="6" t="s">
        <v>70</v>
      </c>
      <c r="E85" s="7">
        <v>132900</v>
      </c>
      <c r="F85" s="8">
        <v>715.93230000000005</v>
      </c>
      <c r="G85" s="9">
        <v>3.3358627044471358E-3</v>
      </c>
      <c r="H85" s="97"/>
    </row>
    <row r="86" spans="1:8" ht="17.100000000000001" customHeight="1" x14ac:dyDescent="0.2">
      <c r="A86" s="5">
        <v>80</v>
      </c>
      <c r="B86" s="6" t="s">
        <v>183</v>
      </c>
      <c r="C86" s="6" t="s">
        <v>184</v>
      </c>
      <c r="D86" s="6" t="s">
        <v>185</v>
      </c>
      <c r="E86" s="7">
        <v>53210</v>
      </c>
      <c r="F86" s="8">
        <v>682.92374500000005</v>
      </c>
      <c r="G86" s="9">
        <v>3.1820604419256766E-3</v>
      </c>
      <c r="H86" s="97"/>
    </row>
    <row r="87" spans="1:8" ht="17.100000000000001" customHeight="1" x14ac:dyDescent="0.2">
      <c r="A87" s="5">
        <v>81</v>
      </c>
      <c r="B87" s="6" t="s">
        <v>580</v>
      </c>
      <c r="C87" s="6" t="s">
        <v>581</v>
      </c>
      <c r="D87" s="6" t="s">
        <v>147</v>
      </c>
      <c r="E87" s="7">
        <v>149903</v>
      </c>
      <c r="F87" s="8">
        <v>676.51223900000002</v>
      </c>
      <c r="G87" s="9">
        <v>3.1521862432832364E-3</v>
      </c>
      <c r="H87" s="97"/>
    </row>
    <row r="88" spans="1:8" ht="29.1" customHeight="1" x14ac:dyDescent="0.2">
      <c r="A88" s="5">
        <v>82</v>
      </c>
      <c r="B88" s="6" t="s">
        <v>548</v>
      </c>
      <c r="C88" s="6" t="s">
        <v>549</v>
      </c>
      <c r="D88" s="6" t="s">
        <v>174</v>
      </c>
      <c r="E88" s="7">
        <v>108525</v>
      </c>
      <c r="F88" s="8">
        <v>672.74647500000003</v>
      </c>
      <c r="G88" s="9">
        <v>3.1346397913612463E-3</v>
      </c>
      <c r="H88" s="97"/>
    </row>
    <row r="89" spans="1:8" ht="17.100000000000001" customHeight="1" x14ac:dyDescent="0.2">
      <c r="A89" s="5">
        <v>83</v>
      </c>
      <c r="B89" s="6" t="s">
        <v>546</v>
      </c>
      <c r="C89" s="6" t="s">
        <v>547</v>
      </c>
      <c r="D89" s="6" t="s">
        <v>238</v>
      </c>
      <c r="E89" s="7">
        <v>51881</v>
      </c>
      <c r="F89" s="8">
        <v>630.48385250000001</v>
      </c>
      <c r="G89" s="9">
        <v>2.9377185095726213E-3</v>
      </c>
      <c r="H89" s="97"/>
    </row>
    <row r="90" spans="1:8" ht="17.100000000000001" customHeight="1" x14ac:dyDescent="0.2">
      <c r="A90" s="5">
        <v>84</v>
      </c>
      <c r="B90" s="6" t="s">
        <v>582</v>
      </c>
      <c r="C90" s="6" t="s">
        <v>583</v>
      </c>
      <c r="D90" s="6" t="s">
        <v>1185</v>
      </c>
      <c r="E90" s="7">
        <v>104090</v>
      </c>
      <c r="F90" s="8">
        <v>601.90042500000004</v>
      </c>
      <c r="G90" s="9">
        <v>2.8045349812382825E-3</v>
      </c>
      <c r="H90" s="97"/>
    </row>
    <row r="91" spans="1:8" ht="17.100000000000001" customHeight="1" x14ac:dyDescent="0.2">
      <c r="A91" s="5">
        <v>85</v>
      </c>
      <c r="B91" s="6" t="s">
        <v>415</v>
      </c>
      <c r="C91" s="6" t="s">
        <v>416</v>
      </c>
      <c r="D91" s="6" t="s">
        <v>25</v>
      </c>
      <c r="E91" s="7">
        <v>129250</v>
      </c>
      <c r="F91" s="8">
        <v>595.13162499999999</v>
      </c>
      <c r="G91" s="9">
        <v>2.7729959831041544E-3</v>
      </c>
      <c r="H91" s="97"/>
    </row>
    <row r="92" spans="1:8" ht="17.100000000000001" customHeight="1" x14ac:dyDescent="0.2">
      <c r="A92" s="5">
        <v>86</v>
      </c>
      <c r="B92" s="6" t="s">
        <v>584</v>
      </c>
      <c r="C92" s="6" t="s">
        <v>585</v>
      </c>
      <c r="D92" s="6" t="s">
        <v>586</v>
      </c>
      <c r="E92" s="7">
        <v>25497</v>
      </c>
      <c r="F92" s="8">
        <v>591.12244799999996</v>
      </c>
      <c r="G92" s="9">
        <v>2.7543153564166486E-3</v>
      </c>
      <c r="H92" s="97"/>
    </row>
    <row r="93" spans="1:8" ht="17.100000000000001" customHeight="1" x14ac:dyDescent="0.2">
      <c r="A93" s="5">
        <v>87</v>
      </c>
      <c r="B93" s="6" t="s">
        <v>375</v>
      </c>
      <c r="C93" s="6" t="s">
        <v>376</v>
      </c>
      <c r="D93" s="6" t="s">
        <v>238</v>
      </c>
      <c r="E93" s="7">
        <v>46926</v>
      </c>
      <c r="F93" s="8">
        <v>574.77311099999997</v>
      </c>
      <c r="G93" s="9">
        <v>2.6781361652546665E-3</v>
      </c>
      <c r="H93" s="97"/>
    </row>
    <row r="94" spans="1:8" ht="17.100000000000001" customHeight="1" x14ac:dyDescent="0.2">
      <c r="A94" s="5">
        <v>88</v>
      </c>
      <c r="B94" s="6" t="s">
        <v>587</v>
      </c>
      <c r="C94" s="6" t="s">
        <v>588</v>
      </c>
      <c r="D94" s="6" t="s">
        <v>70</v>
      </c>
      <c r="E94" s="7">
        <v>11921</v>
      </c>
      <c r="F94" s="8">
        <v>574.15112299999998</v>
      </c>
      <c r="G94" s="9">
        <v>2.6752380328868243E-3</v>
      </c>
      <c r="H94" s="97"/>
    </row>
    <row r="95" spans="1:8" ht="17.100000000000001" customHeight="1" x14ac:dyDescent="0.2">
      <c r="A95" s="5">
        <v>89</v>
      </c>
      <c r="B95" s="6" t="s">
        <v>589</v>
      </c>
      <c r="C95" s="6" t="s">
        <v>590</v>
      </c>
      <c r="D95" s="6" t="s">
        <v>53</v>
      </c>
      <c r="E95" s="7">
        <v>216355</v>
      </c>
      <c r="F95" s="8">
        <v>569.77089249999995</v>
      </c>
      <c r="G95" s="9">
        <v>2.6548284947757041E-3</v>
      </c>
      <c r="H95" s="97"/>
    </row>
    <row r="96" spans="1:8" ht="41.1" customHeight="1" x14ac:dyDescent="0.2">
      <c r="A96" s="5">
        <v>90</v>
      </c>
      <c r="B96" s="6" t="s">
        <v>591</v>
      </c>
      <c r="C96" s="6" t="s">
        <v>592</v>
      </c>
      <c r="D96" s="6" t="s">
        <v>53</v>
      </c>
      <c r="E96" s="7">
        <v>184195</v>
      </c>
      <c r="F96" s="8">
        <v>552.30870749999997</v>
      </c>
      <c r="G96" s="9">
        <v>2.5734640254262194E-3</v>
      </c>
      <c r="H96" s="97"/>
    </row>
    <row r="97" spans="1:8" ht="17.100000000000001" customHeight="1" x14ac:dyDescent="0.2">
      <c r="A97" s="5">
        <v>91</v>
      </c>
      <c r="B97" s="6" t="s">
        <v>462</v>
      </c>
      <c r="C97" s="6" t="s">
        <v>463</v>
      </c>
      <c r="D97" s="6" t="s">
        <v>81</v>
      </c>
      <c r="E97" s="7">
        <v>7626</v>
      </c>
      <c r="F97" s="8">
        <v>532.08889799999997</v>
      </c>
      <c r="G97" s="9">
        <v>2.4792504965742931E-3</v>
      </c>
      <c r="H97" s="97"/>
    </row>
    <row r="98" spans="1:8" ht="17.100000000000001" customHeight="1" x14ac:dyDescent="0.2">
      <c r="A98" s="5">
        <v>92</v>
      </c>
      <c r="B98" s="6" t="s">
        <v>46</v>
      </c>
      <c r="C98" s="6" t="s">
        <v>47</v>
      </c>
      <c r="D98" s="6" t="s">
        <v>48</v>
      </c>
      <c r="E98" s="7">
        <v>77349</v>
      </c>
      <c r="F98" s="8">
        <v>526.591992</v>
      </c>
      <c r="G98" s="9">
        <v>2.4536378461669133E-3</v>
      </c>
      <c r="H98" s="97"/>
    </row>
    <row r="99" spans="1:8" ht="17.100000000000001" customHeight="1" x14ac:dyDescent="0.2">
      <c r="A99" s="5">
        <v>93</v>
      </c>
      <c r="B99" s="6" t="s">
        <v>468</v>
      </c>
      <c r="C99" s="6" t="s">
        <v>469</v>
      </c>
      <c r="D99" s="6" t="s">
        <v>78</v>
      </c>
      <c r="E99" s="7">
        <v>101497</v>
      </c>
      <c r="F99" s="8">
        <v>489.62152800000001</v>
      </c>
      <c r="G99" s="9">
        <v>2.2813752006294714E-3</v>
      </c>
      <c r="H99" s="97"/>
    </row>
    <row r="100" spans="1:8" ht="17.100000000000001" customHeight="1" x14ac:dyDescent="0.2">
      <c r="A100" s="5">
        <v>94</v>
      </c>
      <c r="B100" s="6" t="s">
        <v>56</v>
      </c>
      <c r="C100" s="6" t="s">
        <v>57</v>
      </c>
      <c r="D100" s="6" t="s">
        <v>13</v>
      </c>
      <c r="E100" s="7">
        <v>658100</v>
      </c>
      <c r="F100" s="8">
        <v>462.97334999999998</v>
      </c>
      <c r="G100" s="9">
        <v>2.1572089028780378E-3</v>
      </c>
      <c r="H100" s="97"/>
    </row>
    <row r="101" spans="1:8" ht="17.100000000000001" customHeight="1" x14ac:dyDescent="0.2">
      <c r="A101" s="5">
        <v>95</v>
      </c>
      <c r="B101" s="6" t="s">
        <v>444</v>
      </c>
      <c r="C101" s="6" t="s">
        <v>445</v>
      </c>
      <c r="D101" s="6" t="s">
        <v>193</v>
      </c>
      <c r="E101" s="7">
        <v>9500</v>
      </c>
      <c r="F101" s="8">
        <v>444.42899999999997</v>
      </c>
      <c r="G101" s="9">
        <v>2.0708021217575126E-3</v>
      </c>
      <c r="H101" s="97"/>
    </row>
    <row r="102" spans="1:8" ht="17.100000000000001" customHeight="1" x14ac:dyDescent="0.2">
      <c r="A102" s="5">
        <v>96</v>
      </c>
      <c r="B102" s="6" t="s">
        <v>671</v>
      </c>
      <c r="C102" s="6" t="s">
        <v>672</v>
      </c>
      <c r="D102" s="6" t="s">
        <v>213</v>
      </c>
      <c r="E102" s="7">
        <v>350000</v>
      </c>
      <c r="F102" s="8">
        <v>425.25</v>
      </c>
      <c r="G102" s="9">
        <v>1.981438210101911E-3</v>
      </c>
      <c r="H102" s="97"/>
    </row>
    <row r="103" spans="1:8" ht="17.100000000000001" customHeight="1" x14ac:dyDescent="0.2">
      <c r="A103" s="5">
        <v>97</v>
      </c>
      <c r="B103" s="6" t="s">
        <v>350</v>
      </c>
      <c r="C103" s="6" t="s">
        <v>351</v>
      </c>
      <c r="D103" s="6" t="s">
        <v>25</v>
      </c>
      <c r="E103" s="7">
        <v>496048</v>
      </c>
      <c r="F103" s="8">
        <v>406.51133599999997</v>
      </c>
      <c r="G103" s="9">
        <v>1.8941260293709029E-3</v>
      </c>
      <c r="H103" s="97"/>
    </row>
    <row r="104" spans="1:8" ht="17.100000000000001" customHeight="1" x14ac:dyDescent="0.2">
      <c r="A104" s="5">
        <v>98</v>
      </c>
      <c r="B104" s="6" t="s">
        <v>23</v>
      </c>
      <c r="C104" s="6" t="s">
        <v>24</v>
      </c>
      <c r="D104" s="6" t="s">
        <v>25</v>
      </c>
      <c r="E104" s="7">
        <v>52900</v>
      </c>
      <c r="F104" s="8">
        <v>391.53935000000001</v>
      </c>
      <c r="G104" s="9">
        <v>1.8243645593144402E-3</v>
      </c>
      <c r="H104" s="97"/>
    </row>
    <row r="105" spans="1:8" ht="29.1" customHeight="1" x14ac:dyDescent="0.2">
      <c r="A105" s="5">
        <v>99</v>
      </c>
      <c r="B105" s="6" t="s">
        <v>401</v>
      </c>
      <c r="C105" s="6" t="s">
        <v>402</v>
      </c>
      <c r="D105" s="6" t="s">
        <v>19</v>
      </c>
      <c r="E105" s="7">
        <v>17009</v>
      </c>
      <c r="F105" s="8">
        <v>388.11136199999999</v>
      </c>
      <c r="G105" s="9">
        <v>1.808391963413274E-3</v>
      </c>
      <c r="H105" s="97"/>
    </row>
    <row r="106" spans="1:8" ht="17.100000000000001" customHeight="1" x14ac:dyDescent="0.2">
      <c r="A106" s="5">
        <v>100</v>
      </c>
      <c r="B106" s="6" t="s">
        <v>595</v>
      </c>
      <c r="C106" s="6" t="s">
        <v>596</v>
      </c>
      <c r="D106" s="6" t="s">
        <v>202</v>
      </c>
      <c r="E106" s="7">
        <v>58720</v>
      </c>
      <c r="F106" s="8">
        <v>335.2912</v>
      </c>
      <c r="G106" s="9">
        <v>1.5622781779915857E-3</v>
      </c>
      <c r="H106" s="97"/>
    </row>
    <row r="107" spans="1:8" ht="17.100000000000001" customHeight="1" x14ac:dyDescent="0.2">
      <c r="A107" s="5">
        <v>101</v>
      </c>
      <c r="B107" s="6" t="s">
        <v>419</v>
      </c>
      <c r="C107" s="6" t="s">
        <v>420</v>
      </c>
      <c r="D107" s="6" t="s">
        <v>1183</v>
      </c>
      <c r="E107" s="7">
        <v>27500</v>
      </c>
      <c r="F107" s="8">
        <v>328.9</v>
      </c>
      <c r="G107" s="9">
        <v>1.5324985944797612E-3</v>
      </c>
      <c r="H107" s="97"/>
    </row>
    <row r="108" spans="1:8" ht="17.100000000000001" customHeight="1" x14ac:dyDescent="0.2">
      <c r="A108" s="5">
        <v>102</v>
      </c>
      <c r="B108" s="6" t="s">
        <v>291</v>
      </c>
      <c r="C108" s="6" t="s">
        <v>292</v>
      </c>
      <c r="D108" s="6" t="s">
        <v>147</v>
      </c>
      <c r="E108" s="7">
        <v>19330</v>
      </c>
      <c r="F108" s="8">
        <v>324.01912499999997</v>
      </c>
      <c r="G108" s="9">
        <v>1.5097563199971483E-3</v>
      </c>
      <c r="H108" s="97"/>
    </row>
    <row r="109" spans="1:8" ht="17.100000000000001" customHeight="1" x14ac:dyDescent="0.2">
      <c r="A109" s="5">
        <v>103</v>
      </c>
      <c r="B109" s="6" t="s">
        <v>411</v>
      </c>
      <c r="C109" s="6" t="s">
        <v>412</v>
      </c>
      <c r="D109" s="6" t="s">
        <v>25</v>
      </c>
      <c r="E109" s="7">
        <v>20000</v>
      </c>
      <c r="F109" s="8">
        <v>295.88</v>
      </c>
      <c r="G109" s="9">
        <v>1.3786430043620304E-3</v>
      </c>
      <c r="H109" s="97"/>
    </row>
    <row r="110" spans="1:8" ht="17.100000000000001" customHeight="1" x14ac:dyDescent="0.2">
      <c r="A110" s="5">
        <v>104</v>
      </c>
      <c r="B110" s="6" t="s">
        <v>393</v>
      </c>
      <c r="C110" s="6" t="s">
        <v>394</v>
      </c>
      <c r="D110" s="6" t="s">
        <v>70</v>
      </c>
      <c r="E110" s="7">
        <v>63061</v>
      </c>
      <c r="F110" s="8">
        <v>288.94550199999998</v>
      </c>
      <c r="G110" s="9">
        <v>1.346331941916233E-3</v>
      </c>
      <c r="H110" s="97"/>
    </row>
    <row r="111" spans="1:8" ht="17.100000000000001" customHeight="1" x14ac:dyDescent="0.2">
      <c r="A111" s="5">
        <v>105</v>
      </c>
      <c r="B111" s="6" t="s">
        <v>673</v>
      </c>
      <c r="C111" s="6" t="s">
        <v>674</v>
      </c>
      <c r="D111" s="6" t="s">
        <v>1184</v>
      </c>
      <c r="E111" s="7">
        <v>16923</v>
      </c>
      <c r="F111" s="8">
        <v>253.81115399999999</v>
      </c>
      <c r="G111" s="9">
        <v>1.182624617720542E-3</v>
      </c>
      <c r="H111" s="97"/>
    </row>
    <row r="112" spans="1:8" ht="17.100000000000001" customHeight="1" x14ac:dyDescent="0.2">
      <c r="A112" s="5">
        <v>106</v>
      </c>
      <c r="B112" s="6" t="s">
        <v>597</v>
      </c>
      <c r="C112" s="6" t="s">
        <v>598</v>
      </c>
      <c r="D112" s="6" t="s">
        <v>327</v>
      </c>
      <c r="E112" s="7">
        <v>4500</v>
      </c>
      <c r="F112" s="8">
        <v>250.95150000000001</v>
      </c>
      <c r="G112" s="9">
        <v>1.1693001551614103E-3</v>
      </c>
      <c r="H112" s="97"/>
    </row>
    <row r="113" spans="1:8" ht="17.100000000000001" customHeight="1" x14ac:dyDescent="0.2">
      <c r="A113" s="5">
        <v>107</v>
      </c>
      <c r="B113" s="6" t="s">
        <v>338</v>
      </c>
      <c r="C113" s="6" t="s">
        <v>339</v>
      </c>
      <c r="D113" s="6" t="s">
        <v>193</v>
      </c>
      <c r="E113" s="7">
        <v>10686</v>
      </c>
      <c r="F113" s="8">
        <v>231.54424800000001</v>
      </c>
      <c r="G113" s="9">
        <v>1.0788727109147867E-3</v>
      </c>
      <c r="H113" s="97"/>
    </row>
    <row r="114" spans="1:8" ht="17.100000000000001" customHeight="1" x14ac:dyDescent="0.2">
      <c r="A114" s="5">
        <v>108</v>
      </c>
      <c r="B114" s="6" t="s">
        <v>354</v>
      </c>
      <c r="C114" s="6" t="s">
        <v>355</v>
      </c>
      <c r="D114" s="6" t="s">
        <v>356</v>
      </c>
      <c r="E114" s="7">
        <v>4155</v>
      </c>
      <c r="F114" s="8">
        <v>126.07101</v>
      </c>
      <c r="G114" s="9">
        <v>5.8742367172284564E-4</v>
      </c>
      <c r="H114" s="97"/>
    </row>
    <row r="115" spans="1:8" ht="17.100000000000001" customHeight="1" x14ac:dyDescent="0.2">
      <c r="A115" s="5">
        <v>109</v>
      </c>
      <c r="B115" s="6" t="s">
        <v>599</v>
      </c>
      <c r="C115" s="6" t="s">
        <v>600</v>
      </c>
      <c r="D115" s="6" t="s">
        <v>19</v>
      </c>
      <c r="E115" s="7">
        <v>7345</v>
      </c>
      <c r="F115" s="8">
        <v>102.63903000000001</v>
      </c>
      <c r="G115" s="9">
        <v>4.7824314142221367E-4</v>
      </c>
      <c r="H115" s="97"/>
    </row>
    <row r="116" spans="1:8" ht="17.100000000000001" customHeight="1" x14ac:dyDescent="0.2">
      <c r="A116" s="5">
        <v>110</v>
      </c>
      <c r="B116" s="6" t="s">
        <v>601</v>
      </c>
      <c r="C116" s="6" t="s">
        <v>602</v>
      </c>
      <c r="D116" s="6" t="s">
        <v>356</v>
      </c>
      <c r="E116" s="7">
        <v>9272</v>
      </c>
      <c r="F116" s="8">
        <v>25.405280000000001</v>
      </c>
      <c r="G116" s="9">
        <v>1.1837505592084157E-4</v>
      </c>
      <c r="H116" s="97"/>
    </row>
    <row r="117" spans="1:8" ht="14.1" customHeight="1" x14ac:dyDescent="0.2">
      <c r="A117" s="3"/>
      <c r="B117" s="3"/>
      <c r="C117" s="4" t="s">
        <v>97</v>
      </c>
      <c r="D117" s="3"/>
      <c r="E117" s="3" t="s">
        <v>98</v>
      </c>
      <c r="F117" s="11">
        <v>203676.75340151897</v>
      </c>
      <c r="G117" s="12">
        <v>0.94902504808765231</v>
      </c>
      <c r="H117" s="97"/>
    </row>
    <row r="118" spans="1:8" ht="14.1" customHeight="1" x14ac:dyDescent="0.2">
      <c r="A118" s="3"/>
      <c r="B118" s="3"/>
      <c r="C118" s="13"/>
      <c r="D118" s="3"/>
      <c r="E118" s="3"/>
      <c r="F118" s="14"/>
      <c r="G118" s="14"/>
      <c r="H118" s="97"/>
    </row>
    <row r="119" spans="1:8" ht="14.1" customHeight="1" x14ac:dyDescent="0.2">
      <c r="A119" s="3"/>
      <c r="B119" s="3"/>
      <c r="C119" s="4" t="s">
        <v>99</v>
      </c>
      <c r="D119" s="3"/>
      <c r="E119" s="3"/>
      <c r="F119" s="3"/>
      <c r="G119" s="3"/>
      <c r="H119" s="97"/>
    </row>
    <row r="120" spans="1:8" ht="14.1" customHeight="1" x14ac:dyDescent="0.2">
      <c r="A120" s="3"/>
      <c r="B120" s="3"/>
      <c r="C120" s="4" t="s">
        <v>97</v>
      </c>
      <c r="D120" s="3"/>
      <c r="E120" s="3" t="s">
        <v>98</v>
      </c>
      <c r="F120" s="15">
        <v>0</v>
      </c>
      <c r="G120" s="16">
        <v>0</v>
      </c>
      <c r="H120" s="97"/>
    </row>
    <row r="121" spans="1:8" ht="14.1" customHeight="1" x14ac:dyDescent="0.2">
      <c r="A121" s="3"/>
      <c r="B121" s="3"/>
      <c r="C121" s="13"/>
      <c r="D121" s="3"/>
      <c r="E121" s="3"/>
      <c r="F121" s="14"/>
      <c r="G121" s="14"/>
      <c r="H121" s="97"/>
    </row>
    <row r="122" spans="1:8" ht="14.1" customHeight="1" x14ac:dyDescent="0.2">
      <c r="A122" s="3"/>
      <c r="B122" s="3"/>
      <c r="C122" s="4" t="s">
        <v>100</v>
      </c>
      <c r="D122" s="3"/>
      <c r="E122" s="3"/>
      <c r="F122" s="3"/>
      <c r="G122" s="3"/>
      <c r="H122" s="97"/>
    </row>
    <row r="123" spans="1:8" ht="17.100000000000001" customHeight="1" x14ac:dyDescent="0.2">
      <c r="A123" s="5">
        <v>1</v>
      </c>
      <c r="B123" s="6" t="s">
        <v>94</v>
      </c>
      <c r="C123" s="6" t="s">
        <v>1083</v>
      </c>
      <c r="D123" s="6" t="s">
        <v>95</v>
      </c>
      <c r="E123" s="7">
        <v>375961</v>
      </c>
      <c r="F123" s="8">
        <v>0</v>
      </c>
      <c r="G123" s="10" t="s">
        <v>96</v>
      </c>
      <c r="H123" s="97"/>
    </row>
    <row r="124" spans="1:8" ht="14.1" customHeight="1" x14ac:dyDescent="0.2">
      <c r="A124" s="3"/>
      <c r="B124" s="3"/>
      <c r="C124" s="4" t="s">
        <v>97</v>
      </c>
      <c r="D124" s="3"/>
      <c r="E124" s="3" t="s">
        <v>98</v>
      </c>
      <c r="F124" s="15">
        <v>0</v>
      </c>
      <c r="G124" s="16">
        <v>0</v>
      </c>
      <c r="H124" s="97"/>
    </row>
    <row r="125" spans="1:8" ht="14.1" customHeight="1" x14ac:dyDescent="0.2">
      <c r="A125" s="3"/>
      <c r="B125" s="3"/>
      <c r="C125" s="13"/>
      <c r="D125" s="3"/>
      <c r="E125" s="3"/>
      <c r="F125" s="14"/>
      <c r="G125" s="14"/>
      <c r="H125" s="97"/>
    </row>
    <row r="126" spans="1:8" ht="14.1" customHeight="1" x14ac:dyDescent="0.2">
      <c r="A126" s="3"/>
      <c r="B126" s="3"/>
      <c r="C126" s="4" t="s">
        <v>101</v>
      </c>
      <c r="D126" s="3"/>
      <c r="E126" s="3"/>
      <c r="F126" s="3"/>
      <c r="G126" s="3"/>
      <c r="H126" s="97"/>
    </row>
    <row r="127" spans="1:8" ht="14.1" customHeight="1" x14ac:dyDescent="0.2">
      <c r="A127" s="3"/>
      <c r="B127" s="3"/>
      <c r="C127" s="4" t="s">
        <v>97</v>
      </c>
      <c r="D127" s="3"/>
      <c r="E127" s="3" t="s">
        <v>98</v>
      </c>
      <c r="F127" s="15">
        <v>0</v>
      </c>
      <c r="G127" s="16">
        <v>0</v>
      </c>
      <c r="H127" s="97"/>
    </row>
    <row r="128" spans="1:8" ht="14.1" customHeight="1" x14ac:dyDescent="0.2">
      <c r="A128" s="3"/>
      <c r="B128" s="3"/>
      <c r="C128" s="13"/>
      <c r="D128" s="3"/>
      <c r="E128" s="3"/>
      <c r="F128" s="14"/>
      <c r="G128" s="14"/>
      <c r="H128" s="97"/>
    </row>
    <row r="129" spans="1:8" ht="14.1" customHeight="1" x14ac:dyDescent="0.2">
      <c r="A129" s="3"/>
      <c r="B129" s="3"/>
      <c r="C129" s="4" t="s">
        <v>102</v>
      </c>
      <c r="D129" s="3"/>
      <c r="E129" s="3"/>
      <c r="F129" s="14"/>
      <c r="G129" s="14"/>
      <c r="H129" s="97"/>
    </row>
    <row r="130" spans="1:8" ht="14.1" customHeight="1" x14ac:dyDescent="0.2">
      <c r="A130" s="3"/>
      <c r="B130" s="3"/>
      <c r="C130" s="4" t="s">
        <v>97</v>
      </c>
      <c r="D130" s="3"/>
      <c r="E130" s="3" t="s">
        <v>98</v>
      </c>
      <c r="F130" s="15">
        <v>0</v>
      </c>
      <c r="G130" s="16">
        <v>0</v>
      </c>
      <c r="H130" s="97"/>
    </row>
    <row r="131" spans="1:8" ht="14.1" customHeight="1" x14ac:dyDescent="0.2">
      <c r="A131" s="3"/>
      <c r="B131" s="3"/>
      <c r="C131" s="13"/>
      <c r="D131" s="3"/>
      <c r="E131" s="3"/>
      <c r="F131" s="14"/>
      <c r="G131" s="14"/>
      <c r="H131" s="97"/>
    </row>
    <row r="132" spans="1:8" ht="14.1" customHeight="1" x14ac:dyDescent="0.2">
      <c r="A132" s="3"/>
      <c r="B132" s="3"/>
      <c r="C132" s="4" t="s">
        <v>103</v>
      </c>
      <c r="D132" s="3"/>
      <c r="E132" s="3"/>
      <c r="F132" s="14"/>
      <c r="G132" s="14"/>
      <c r="H132" s="97"/>
    </row>
    <row r="133" spans="1:8" ht="14.1" customHeight="1" x14ac:dyDescent="0.2">
      <c r="A133" s="3"/>
      <c r="B133" s="3"/>
      <c r="C133" s="4" t="s">
        <v>97</v>
      </c>
      <c r="D133" s="3"/>
      <c r="E133" s="3" t="s">
        <v>98</v>
      </c>
      <c r="F133" s="15">
        <v>0</v>
      </c>
      <c r="G133" s="16">
        <v>0</v>
      </c>
      <c r="H133" s="97"/>
    </row>
    <row r="134" spans="1:8" ht="14.1" customHeight="1" x14ac:dyDescent="0.2">
      <c r="A134" s="3"/>
      <c r="B134" s="3"/>
      <c r="C134" s="13"/>
      <c r="D134" s="3"/>
      <c r="E134" s="3"/>
      <c r="F134" s="14"/>
      <c r="G134" s="14"/>
      <c r="H134" s="97"/>
    </row>
    <row r="135" spans="1:8" ht="18" customHeight="1" x14ac:dyDescent="0.2">
      <c r="A135" s="3"/>
      <c r="B135" s="3"/>
      <c r="C135" s="4" t="s">
        <v>104</v>
      </c>
      <c r="D135" s="3"/>
      <c r="E135" s="3"/>
      <c r="F135" s="11">
        <v>203676.75340151897</v>
      </c>
      <c r="G135" s="12">
        <v>0.94902504808765231</v>
      </c>
      <c r="H135" s="97"/>
    </row>
    <row r="136" spans="1:8" ht="14.1" customHeight="1" x14ac:dyDescent="0.2">
      <c r="A136" s="3"/>
      <c r="B136" s="3"/>
      <c r="C136" s="13"/>
      <c r="D136" s="3"/>
      <c r="E136" s="3"/>
      <c r="F136" s="14"/>
      <c r="G136" s="14"/>
      <c r="H136" s="97"/>
    </row>
    <row r="137" spans="1:8" ht="14.1" customHeight="1" x14ac:dyDescent="0.2">
      <c r="A137" s="3"/>
      <c r="B137" s="3"/>
      <c r="C137" s="4" t="s">
        <v>105</v>
      </c>
      <c r="D137" s="3"/>
      <c r="E137" s="3"/>
      <c r="F137" s="14"/>
      <c r="G137" s="14"/>
      <c r="H137" s="97"/>
    </row>
    <row r="138" spans="1:8" ht="24" customHeight="1" x14ac:dyDescent="0.2">
      <c r="A138" s="3"/>
      <c r="B138" s="3"/>
      <c r="C138" s="4" t="s">
        <v>10</v>
      </c>
      <c r="D138" s="3"/>
      <c r="E138" s="3"/>
      <c r="F138" s="14"/>
      <c r="G138" s="14"/>
      <c r="H138" s="97"/>
    </row>
    <row r="139" spans="1:8" ht="14.1" customHeight="1" x14ac:dyDescent="0.2">
      <c r="A139" s="3"/>
      <c r="B139" s="3"/>
      <c r="C139" s="4" t="s">
        <v>97</v>
      </c>
      <c r="D139" s="3"/>
      <c r="E139" s="3" t="s">
        <v>98</v>
      </c>
      <c r="F139" s="15">
        <v>0</v>
      </c>
      <c r="G139" s="16">
        <v>0</v>
      </c>
      <c r="H139" s="97"/>
    </row>
    <row r="140" spans="1:8" ht="14.1" customHeight="1" x14ac:dyDescent="0.2">
      <c r="A140" s="3"/>
      <c r="B140" s="3"/>
      <c r="C140" s="13"/>
      <c r="D140" s="3"/>
      <c r="E140" s="3"/>
      <c r="F140" s="14"/>
      <c r="G140" s="14"/>
      <c r="H140" s="97"/>
    </row>
    <row r="141" spans="1:8" ht="14.1" customHeight="1" x14ac:dyDescent="0.2">
      <c r="A141" s="3"/>
      <c r="B141" s="3"/>
      <c r="C141" s="4" t="s">
        <v>106</v>
      </c>
      <c r="D141" s="3"/>
      <c r="E141" s="3"/>
      <c r="F141" s="3"/>
      <c r="G141" s="3"/>
      <c r="H141" s="97"/>
    </row>
    <row r="142" spans="1:8" ht="14.1" customHeight="1" x14ac:dyDescent="0.2">
      <c r="A142" s="3"/>
      <c r="B142" s="3"/>
      <c r="C142" s="4" t="s">
        <v>97</v>
      </c>
      <c r="D142" s="3"/>
      <c r="E142" s="3" t="s">
        <v>98</v>
      </c>
      <c r="F142" s="15">
        <v>0</v>
      </c>
      <c r="G142" s="16">
        <v>0</v>
      </c>
      <c r="H142" s="97"/>
    </row>
    <row r="143" spans="1:8" ht="14.1" customHeight="1" x14ac:dyDescent="0.2">
      <c r="A143" s="3"/>
      <c r="B143" s="3"/>
      <c r="C143" s="13"/>
      <c r="D143" s="3"/>
      <c r="E143" s="3"/>
      <c r="F143" s="14"/>
      <c r="G143" s="14"/>
      <c r="H143" s="97"/>
    </row>
    <row r="144" spans="1:8" ht="14.1" customHeight="1" x14ac:dyDescent="0.2">
      <c r="A144" s="3"/>
      <c r="B144" s="3"/>
      <c r="C144" s="4" t="s">
        <v>107</v>
      </c>
      <c r="D144" s="3"/>
      <c r="E144" s="3"/>
      <c r="F144" s="3"/>
      <c r="G144" s="3"/>
      <c r="H144" s="97"/>
    </row>
    <row r="145" spans="1:15" ht="14.1" customHeight="1" x14ac:dyDescent="0.2">
      <c r="A145" s="3"/>
      <c r="B145" s="3"/>
      <c r="C145" s="4" t="s">
        <v>97</v>
      </c>
      <c r="D145" s="3"/>
      <c r="E145" s="3" t="s">
        <v>98</v>
      </c>
      <c r="F145" s="15">
        <v>0</v>
      </c>
      <c r="G145" s="16">
        <v>0</v>
      </c>
      <c r="H145" s="97"/>
    </row>
    <row r="146" spans="1:15" ht="14.1" customHeight="1" x14ac:dyDescent="0.2">
      <c r="A146" s="3"/>
      <c r="B146" s="3"/>
      <c r="C146" s="13"/>
      <c r="D146" s="3"/>
      <c r="E146" s="3"/>
      <c r="F146" s="14"/>
      <c r="G146" s="14"/>
      <c r="H146" s="97"/>
    </row>
    <row r="147" spans="1:15" ht="14.1" customHeight="1" x14ac:dyDescent="0.2">
      <c r="A147" s="3"/>
      <c r="B147" s="3"/>
      <c r="C147" s="4" t="s">
        <v>108</v>
      </c>
      <c r="D147" s="3"/>
      <c r="E147" s="3"/>
      <c r="F147" s="14"/>
      <c r="G147" s="14"/>
      <c r="H147" s="97"/>
    </row>
    <row r="148" spans="1:15" ht="14.1" customHeight="1" x14ac:dyDescent="0.2">
      <c r="A148" s="3"/>
      <c r="B148" s="3"/>
      <c r="C148" s="4" t="s">
        <v>97</v>
      </c>
      <c r="D148" s="3"/>
      <c r="E148" s="3" t="s">
        <v>98</v>
      </c>
      <c r="F148" s="15">
        <v>0</v>
      </c>
      <c r="G148" s="16">
        <v>0</v>
      </c>
      <c r="H148" s="97"/>
    </row>
    <row r="149" spans="1:15" ht="14.1" customHeight="1" x14ac:dyDescent="0.2">
      <c r="A149" s="3"/>
      <c r="B149" s="3"/>
      <c r="C149" s="13"/>
      <c r="D149" s="3"/>
      <c r="E149" s="3"/>
      <c r="F149" s="14"/>
      <c r="G149" s="14"/>
      <c r="H149" s="97"/>
    </row>
    <row r="150" spans="1:15" ht="14.1" customHeight="1" x14ac:dyDescent="0.2">
      <c r="A150" s="3"/>
      <c r="B150" s="3"/>
      <c r="C150" s="4" t="s">
        <v>109</v>
      </c>
      <c r="D150" s="3"/>
      <c r="E150" s="3"/>
      <c r="F150" s="11">
        <v>0</v>
      </c>
      <c r="G150" s="12">
        <v>0</v>
      </c>
      <c r="H150" s="97"/>
    </row>
    <row r="151" spans="1:15" ht="14.1" customHeight="1" x14ac:dyDescent="0.2">
      <c r="A151" s="3"/>
      <c r="B151" s="3"/>
      <c r="C151" s="13"/>
      <c r="D151" s="3"/>
      <c r="E151" s="3"/>
      <c r="F151" s="14"/>
      <c r="G151" s="14"/>
      <c r="H151" s="97"/>
    </row>
    <row r="152" spans="1:15" ht="14.1" customHeight="1" x14ac:dyDescent="0.2">
      <c r="A152" s="3"/>
      <c r="B152" s="3"/>
      <c r="C152" s="4" t="s">
        <v>110</v>
      </c>
      <c r="D152" s="3"/>
      <c r="E152" s="3"/>
      <c r="F152" s="14"/>
      <c r="G152" s="14"/>
      <c r="H152" s="97"/>
    </row>
    <row r="153" spans="1:15" ht="14.1" customHeight="1" x14ac:dyDescent="0.2">
      <c r="A153" s="3"/>
      <c r="B153" s="3"/>
      <c r="C153" s="4" t="s">
        <v>111</v>
      </c>
      <c r="D153" s="3"/>
      <c r="E153" s="3"/>
      <c r="F153" s="14"/>
      <c r="G153" s="14"/>
      <c r="H153" s="97"/>
    </row>
    <row r="154" spans="1:15" ht="14.1" customHeight="1" x14ac:dyDescent="0.2">
      <c r="A154" s="3"/>
      <c r="B154" s="3"/>
      <c r="C154" s="4" t="s">
        <v>97</v>
      </c>
      <c r="D154" s="3"/>
      <c r="E154" s="3" t="s">
        <v>98</v>
      </c>
      <c r="F154" s="15">
        <v>0</v>
      </c>
      <c r="G154" s="16">
        <v>0</v>
      </c>
      <c r="H154" s="97"/>
    </row>
    <row r="155" spans="1:15" ht="14.1" customHeight="1" x14ac:dyDescent="0.2">
      <c r="A155" s="3"/>
      <c r="B155" s="3"/>
      <c r="C155" s="13"/>
      <c r="D155" s="3"/>
      <c r="E155" s="3"/>
      <c r="F155" s="14"/>
      <c r="G155" s="14"/>
      <c r="H155" s="97"/>
    </row>
    <row r="156" spans="1:15" ht="14.1" customHeight="1" x14ac:dyDescent="0.2">
      <c r="A156" s="3"/>
      <c r="B156" s="3"/>
      <c r="C156" s="4" t="s">
        <v>112</v>
      </c>
      <c r="D156" s="3"/>
      <c r="E156" s="3"/>
      <c r="F156" s="14"/>
      <c r="G156" s="14"/>
      <c r="H156" s="97"/>
    </row>
    <row r="157" spans="1:15" ht="14.1" customHeight="1" x14ac:dyDescent="0.2">
      <c r="A157" s="3"/>
      <c r="B157" s="3"/>
      <c r="C157" s="4" t="s">
        <v>97</v>
      </c>
      <c r="D157" s="3"/>
      <c r="E157" s="3" t="s">
        <v>98</v>
      </c>
      <c r="F157" s="15">
        <v>0</v>
      </c>
      <c r="G157" s="16">
        <v>0</v>
      </c>
      <c r="H157" s="97"/>
      <c r="I157" s="87"/>
      <c r="J157" s="87"/>
      <c r="K157" s="87"/>
      <c r="L157" s="87"/>
      <c r="M157" s="87"/>
      <c r="N157" s="87"/>
      <c r="O157" s="87"/>
    </row>
    <row r="158" spans="1:15" ht="14.1" customHeight="1" x14ac:dyDescent="0.2">
      <c r="A158" s="3"/>
      <c r="B158" s="3"/>
      <c r="C158" s="13"/>
      <c r="D158" s="3"/>
      <c r="E158" s="3"/>
      <c r="F158" s="14"/>
      <c r="G158" s="14"/>
      <c r="H158" s="97"/>
    </row>
    <row r="159" spans="1:15" ht="14.1" customHeight="1" x14ac:dyDescent="0.2">
      <c r="A159" s="3"/>
      <c r="B159" s="3"/>
      <c r="C159" s="4" t="s">
        <v>113</v>
      </c>
      <c r="D159" s="3"/>
      <c r="E159" s="3"/>
      <c r="F159" s="14"/>
      <c r="G159" s="14"/>
      <c r="H159" s="97"/>
    </row>
    <row r="160" spans="1:15" ht="17.100000000000001" customHeight="1" x14ac:dyDescent="0.25">
      <c r="A160" s="5">
        <v>1</v>
      </c>
      <c r="B160" s="6" t="s">
        <v>504</v>
      </c>
      <c r="C160" s="6" t="s">
        <v>505</v>
      </c>
      <c r="D160" s="6" t="s">
        <v>506</v>
      </c>
      <c r="E160" s="7">
        <v>15000</v>
      </c>
      <c r="F160" s="8">
        <v>14.993325</v>
      </c>
      <c r="G160" s="9">
        <v>6.9860898416169867E-5</v>
      </c>
      <c r="H160" s="88">
        <v>3.25</v>
      </c>
    </row>
    <row r="161" spans="1:8" ht="14.1" customHeight="1" x14ac:dyDescent="0.2">
      <c r="A161" s="3"/>
      <c r="B161" s="3"/>
      <c r="C161" s="4" t="s">
        <v>97</v>
      </c>
      <c r="D161" s="3"/>
      <c r="E161" s="3" t="s">
        <v>98</v>
      </c>
      <c r="F161" s="11">
        <v>14.993325</v>
      </c>
      <c r="G161" s="12">
        <v>6.9860898416169867E-5</v>
      </c>
      <c r="H161" s="97"/>
    </row>
    <row r="162" spans="1:8" ht="14.1" customHeight="1" x14ac:dyDescent="0.2">
      <c r="A162" s="3"/>
      <c r="B162" s="3"/>
      <c r="C162" s="13"/>
      <c r="D162" s="3"/>
      <c r="E162" s="3"/>
      <c r="F162" s="14"/>
      <c r="G162" s="14"/>
      <c r="H162" s="97"/>
    </row>
    <row r="163" spans="1:8" ht="14.1" customHeight="1" x14ac:dyDescent="0.2">
      <c r="A163" s="3"/>
      <c r="B163" s="3"/>
      <c r="C163" s="4" t="s">
        <v>114</v>
      </c>
      <c r="D163" s="3"/>
      <c r="E163" s="3"/>
      <c r="F163" s="14"/>
      <c r="G163" s="14"/>
      <c r="H163" s="97"/>
    </row>
    <row r="164" spans="1:8" ht="17.100000000000001" customHeight="1" x14ac:dyDescent="0.2">
      <c r="A164" s="5">
        <v>1</v>
      </c>
      <c r="B164" s="6"/>
      <c r="C164" s="6" t="s">
        <v>115</v>
      </c>
      <c r="D164" s="6"/>
      <c r="E164" s="10"/>
      <c r="F164" s="8">
        <v>4961.4607071</v>
      </c>
      <c r="G164" s="9">
        <v>2.3117760900569512E-2</v>
      </c>
      <c r="H164" s="8">
        <v>3.4504560529072292</v>
      </c>
    </row>
    <row r="165" spans="1:8" ht="17.100000000000001" customHeight="1" x14ac:dyDescent="0.2">
      <c r="A165" s="5">
        <v>2</v>
      </c>
      <c r="B165" s="6"/>
      <c r="C165" s="6" t="s">
        <v>116</v>
      </c>
      <c r="D165" s="6"/>
      <c r="E165" s="10"/>
      <c r="F165" s="8">
        <v>2677.7373750000002</v>
      </c>
      <c r="G165" s="9">
        <v>1.2476828104510264E-2</v>
      </c>
      <c r="H165" s="8">
        <v>3.5655822479098256</v>
      </c>
    </row>
    <row r="166" spans="1:8" ht="14.1" customHeight="1" x14ac:dyDescent="0.2">
      <c r="A166" s="3"/>
      <c r="B166" s="3"/>
      <c r="C166" s="4" t="s">
        <v>97</v>
      </c>
      <c r="D166" s="3"/>
      <c r="E166" s="3" t="s">
        <v>98</v>
      </c>
      <c r="F166" s="11">
        <v>7639.1980820999997</v>
      </c>
      <c r="G166" s="12">
        <v>3.5594589005079773E-2</v>
      </c>
      <c r="H166" s="97"/>
    </row>
    <row r="167" spans="1:8" ht="14.1" customHeight="1" x14ac:dyDescent="0.2">
      <c r="A167" s="3"/>
      <c r="B167" s="3"/>
      <c r="C167" s="13"/>
      <c r="D167" s="3"/>
      <c r="E167" s="3"/>
      <c r="F167" s="14"/>
      <c r="G167" s="14"/>
      <c r="H167" s="97"/>
    </row>
    <row r="168" spans="1:8" ht="14.1" customHeight="1" x14ac:dyDescent="0.2">
      <c r="A168" s="3"/>
      <c r="B168" s="3"/>
      <c r="C168" s="4" t="s">
        <v>117</v>
      </c>
      <c r="D168" s="3"/>
      <c r="E168" s="3"/>
      <c r="F168" s="11">
        <v>7654.1914071000001</v>
      </c>
      <c r="G168" s="12">
        <v>3.5664449903495946E-2</v>
      </c>
      <c r="H168" s="97"/>
    </row>
    <row r="169" spans="1:8" ht="14.1" customHeight="1" x14ac:dyDescent="0.2">
      <c r="A169" s="3"/>
      <c r="B169" s="3"/>
      <c r="C169" s="14"/>
      <c r="D169" s="3"/>
      <c r="E169" s="3"/>
      <c r="F169" s="3"/>
      <c r="G169" s="3"/>
      <c r="H169" s="97"/>
    </row>
    <row r="170" spans="1:8" ht="14.1" customHeight="1" x14ac:dyDescent="0.2">
      <c r="A170" s="3"/>
      <c r="B170" s="3"/>
      <c r="C170" s="4" t="s">
        <v>118</v>
      </c>
      <c r="D170" s="3"/>
      <c r="E170" s="3"/>
      <c r="F170" s="3"/>
      <c r="G170" s="3"/>
      <c r="H170" s="97"/>
    </row>
    <row r="171" spans="1:8" ht="14.1" customHeight="1" x14ac:dyDescent="0.2">
      <c r="A171" s="3"/>
      <c r="B171" s="3"/>
      <c r="C171" s="4" t="s">
        <v>119</v>
      </c>
      <c r="D171" s="3"/>
      <c r="E171" s="3"/>
      <c r="F171" s="3"/>
      <c r="G171" s="3"/>
      <c r="H171" s="97"/>
    </row>
    <row r="172" spans="1:8" ht="14.1" customHeight="1" x14ac:dyDescent="0.2">
      <c r="A172" s="3"/>
      <c r="B172" s="3"/>
      <c r="C172" s="4" t="s">
        <v>97</v>
      </c>
      <c r="D172" s="3"/>
      <c r="E172" s="3" t="s">
        <v>98</v>
      </c>
      <c r="F172" s="15">
        <v>0</v>
      </c>
      <c r="G172" s="16">
        <v>0</v>
      </c>
      <c r="H172" s="97"/>
    </row>
    <row r="173" spans="1:8" ht="14.1" customHeight="1" x14ac:dyDescent="0.2">
      <c r="A173" s="3"/>
      <c r="B173" s="3"/>
      <c r="C173" s="13"/>
      <c r="D173" s="3"/>
      <c r="E173" s="3"/>
      <c r="F173" s="14"/>
      <c r="G173" s="14"/>
      <c r="H173" s="97"/>
    </row>
    <row r="174" spans="1:8" ht="14.1" customHeight="1" x14ac:dyDescent="0.2">
      <c r="A174" s="3"/>
      <c r="B174" s="3"/>
      <c r="C174" s="4" t="s">
        <v>120</v>
      </c>
      <c r="D174" s="3"/>
      <c r="E174" s="3"/>
      <c r="F174" s="3"/>
      <c r="G174" s="3"/>
      <c r="H174" s="97"/>
    </row>
    <row r="175" spans="1:8" ht="14.1" customHeight="1" x14ac:dyDescent="0.2">
      <c r="A175" s="3"/>
      <c r="B175" s="3"/>
      <c r="C175" s="4" t="s">
        <v>121</v>
      </c>
      <c r="D175" s="3"/>
      <c r="E175" s="3"/>
      <c r="F175" s="3"/>
      <c r="G175" s="3"/>
      <c r="H175" s="97"/>
    </row>
    <row r="176" spans="1:8" ht="14.1" customHeight="1" x14ac:dyDescent="0.2">
      <c r="A176" s="3"/>
      <c r="B176" s="3"/>
      <c r="C176" s="4" t="s">
        <v>97</v>
      </c>
      <c r="D176" s="3"/>
      <c r="E176" s="3" t="s">
        <v>98</v>
      </c>
      <c r="F176" s="15">
        <v>0</v>
      </c>
      <c r="G176" s="16">
        <v>0</v>
      </c>
      <c r="H176" s="97"/>
    </row>
    <row r="177" spans="1:15" ht="14.1" customHeight="1" x14ac:dyDescent="0.2">
      <c r="A177" s="3"/>
      <c r="B177" s="3"/>
      <c r="C177" s="13"/>
      <c r="D177" s="3"/>
      <c r="E177" s="3"/>
      <c r="F177" s="14"/>
      <c r="G177" s="14"/>
      <c r="H177" s="97"/>
    </row>
    <row r="178" spans="1:15" ht="14.1" customHeight="1" x14ac:dyDescent="0.2">
      <c r="A178" s="3"/>
      <c r="B178" s="3"/>
      <c r="C178" s="13"/>
      <c r="D178" s="3"/>
      <c r="E178" s="3"/>
      <c r="F178" s="14"/>
      <c r="G178" s="14"/>
      <c r="H178" s="97"/>
    </row>
    <row r="179" spans="1:15" ht="24" customHeight="1" x14ac:dyDescent="0.2">
      <c r="A179" s="3"/>
      <c r="B179" s="3"/>
      <c r="C179" s="4" t="s">
        <v>122</v>
      </c>
      <c r="D179" s="3"/>
      <c r="E179" s="3"/>
      <c r="F179" s="14"/>
      <c r="G179" s="14"/>
      <c r="H179" s="97"/>
    </row>
    <row r="180" spans="1:15" ht="14.1" customHeight="1" x14ac:dyDescent="0.2">
      <c r="A180" s="3"/>
      <c r="B180" s="3"/>
      <c r="C180" s="4" t="s">
        <v>97</v>
      </c>
      <c r="D180" s="3"/>
      <c r="E180" s="3" t="s">
        <v>98</v>
      </c>
      <c r="F180" s="15">
        <v>0</v>
      </c>
      <c r="G180" s="16">
        <v>0</v>
      </c>
      <c r="H180" s="97"/>
    </row>
    <row r="181" spans="1:15" ht="14.1" customHeight="1" x14ac:dyDescent="0.2">
      <c r="A181" s="3"/>
      <c r="B181" s="3"/>
      <c r="C181" s="13"/>
      <c r="D181" s="3"/>
      <c r="E181" s="3"/>
      <c r="F181" s="14"/>
      <c r="G181" s="14"/>
      <c r="H181" s="97"/>
    </row>
    <row r="182" spans="1:15" ht="14.1" customHeight="1" x14ac:dyDescent="0.2">
      <c r="A182" s="3"/>
      <c r="B182" s="6"/>
      <c r="C182" s="6"/>
      <c r="D182" s="4"/>
      <c r="E182" s="3"/>
      <c r="F182" s="6"/>
      <c r="G182" s="10"/>
      <c r="H182" s="97"/>
    </row>
    <row r="183" spans="1:15" ht="18" customHeight="1" x14ac:dyDescent="0.2">
      <c r="A183" s="10"/>
      <c r="B183" s="6"/>
      <c r="C183" s="6" t="s">
        <v>1016</v>
      </c>
      <c r="D183" s="6"/>
      <c r="E183" s="10"/>
      <c r="F183" s="8">
        <v>3285.8915034899996</v>
      </c>
      <c r="G183" s="9">
        <v>1.5310502008851975E-2</v>
      </c>
      <c r="H183" s="97"/>
    </row>
    <row r="184" spans="1:15" ht="14.1" customHeight="1" x14ac:dyDescent="0.2">
      <c r="A184" s="13"/>
      <c r="B184" s="13"/>
      <c r="C184" s="4" t="s">
        <v>124</v>
      </c>
      <c r="D184" s="17"/>
      <c r="E184" s="17"/>
      <c r="F184" s="11">
        <v>214616.83631210896</v>
      </c>
      <c r="G184" s="12">
        <v>1.0000000000000002</v>
      </c>
      <c r="H184" s="97"/>
    </row>
    <row r="185" spans="1:15" ht="14.1" customHeight="1" x14ac:dyDescent="0.2">
      <c r="A185" s="18"/>
      <c r="B185" s="18"/>
      <c r="C185" s="18"/>
      <c r="D185" s="19"/>
      <c r="E185" s="19"/>
      <c r="F185" s="19"/>
      <c r="G185" s="19"/>
    </row>
    <row r="186" spans="1:15" s="69" customFormat="1" ht="17.100000000000001" customHeight="1" x14ac:dyDescent="0.2">
      <c r="A186" s="94"/>
      <c r="B186" s="234" t="s">
        <v>1018</v>
      </c>
      <c r="C186" s="234"/>
      <c r="D186" s="234"/>
      <c r="E186" s="234"/>
      <c r="F186" s="234"/>
      <c r="G186" s="95"/>
      <c r="H186"/>
      <c r="I186"/>
      <c r="J186"/>
      <c r="K186"/>
      <c r="L186"/>
      <c r="M186"/>
      <c r="N186"/>
      <c r="O186"/>
    </row>
    <row r="187" spans="1:15" ht="17.100000000000001" customHeight="1" x14ac:dyDescent="0.2">
      <c r="A187" s="20"/>
      <c r="B187" s="226" t="s">
        <v>125</v>
      </c>
      <c r="C187" s="226"/>
      <c r="D187" s="226"/>
      <c r="E187" s="226"/>
      <c r="F187" s="226"/>
      <c r="G187" s="22"/>
    </row>
    <row r="188" spans="1:15" ht="14.1" customHeight="1" x14ac:dyDescent="0.2">
      <c r="A188" s="20"/>
      <c r="B188" s="20"/>
      <c r="C188" s="20"/>
      <c r="D188" s="22"/>
      <c r="E188" s="22"/>
      <c r="F188" s="22"/>
      <c r="G188" s="22"/>
    </row>
    <row r="189" spans="1:15" ht="14.1" customHeight="1" x14ac:dyDescent="0.2">
      <c r="A189" s="20"/>
      <c r="B189" s="224" t="s">
        <v>126</v>
      </c>
      <c r="C189" s="225"/>
      <c r="D189" s="14" t="s">
        <v>98</v>
      </c>
      <c r="E189" s="23"/>
      <c r="F189" s="22"/>
      <c r="G189" s="22"/>
    </row>
    <row r="190" spans="1:15" ht="29.1" customHeight="1" x14ac:dyDescent="0.2">
      <c r="A190" s="20"/>
      <c r="B190" s="231" t="s">
        <v>127</v>
      </c>
      <c r="C190" s="232"/>
      <c r="D190" s="4" t="s">
        <v>128</v>
      </c>
      <c r="E190" s="23"/>
      <c r="F190" s="22"/>
      <c r="G190" s="22"/>
    </row>
    <row r="191" spans="1:15" ht="17.100000000000001" customHeight="1" x14ac:dyDescent="0.2">
      <c r="A191" s="20"/>
      <c r="B191" s="231" t="s">
        <v>1084</v>
      </c>
      <c r="C191" s="232"/>
      <c r="D191" s="90" t="s">
        <v>1085</v>
      </c>
      <c r="E191" s="23"/>
      <c r="F191" s="22"/>
      <c r="G191" s="22"/>
    </row>
    <row r="192" spans="1:15" ht="17.100000000000001" customHeight="1" x14ac:dyDescent="0.2">
      <c r="A192" s="20"/>
      <c r="B192" s="231" t="s">
        <v>1055</v>
      </c>
      <c r="C192" s="235"/>
      <c r="D192" s="232"/>
      <c r="E192" s="23"/>
      <c r="F192" s="22"/>
      <c r="G192" s="22"/>
    </row>
    <row r="193" spans="1:7" ht="24" customHeight="1" x14ac:dyDescent="0.2">
      <c r="A193" s="24"/>
      <c r="B193" s="25" t="s">
        <v>98</v>
      </c>
      <c r="C193" s="25" t="s">
        <v>131</v>
      </c>
      <c r="D193" s="25" t="s">
        <v>132</v>
      </c>
      <c r="E193" s="24"/>
      <c r="F193" s="24"/>
      <c r="G193" s="24"/>
    </row>
    <row r="194" spans="1:7" ht="18" customHeight="1" x14ac:dyDescent="0.2">
      <c r="A194" s="24"/>
      <c r="B194" s="25" t="s">
        <v>133</v>
      </c>
      <c r="C194" s="25" t="s">
        <v>134</v>
      </c>
      <c r="D194" s="25" t="s">
        <v>135</v>
      </c>
      <c r="E194" s="24"/>
      <c r="F194" s="24"/>
      <c r="G194" s="24"/>
    </row>
    <row r="195" spans="1:7" ht="17.100000000000001" customHeight="1" x14ac:dyDescent="0.2">
      <c r="A195" s="24"/>
      <c r="B195" s="6" t="s">
        <v>136</v>
      </c>
      <c r="C195" s="26">
        <v>155.23179999999999</v>
      </c>
      <c r="D195" s="26">
        <v>162.3811</v>
      </c>
      <c r="E195" s="24"/>
      <c r="F195" s="21"/>
      <c r="G195" s="27"/>
    </row>
    <row r="196" spans="1:7" ht="17.100000000000001" customHeight="1" x14ac:dyDescent="0.2">
      <c r="A196" s="24"/>
      <c r="B196" s="6" t="s">
        <v>1201</v>
      </c>
      <c r="C196" s="26">
        <v>27.204499999999999</v>
      </c>
      <c r="D196" s="26">
        <v>28.4574</v>
      </c>
      <c r="E196" s="24"/>
      <c r="F196" s="21"/>
      <c r="G196" s="27"/>
    </row>
    <row r="197" spans="1:7" ht="29.1" customHeight="1" x14ac:dyDescent="0.2">
      <c r="A197" s="24"/>
      <c r="B197" s="6" t="s">
        <v>407</v>
      </c>
      <c r="C197" s="26">
        <v>158.45949999999999</v>
      </c>
      <c r="D197" s="26">
        <v>165.75890000000001</v>
      </c>
      <c r="E197" s="24"/>
      <c r="F197" s="21"/>
      <c r="G197" s="27"/>
    </row>
    <row r="198" spans="1:7" ht="29.1" customHeight="1" x14ac:dyDescent="0.2">
      <c r="A198" s="24"/>
      <c r="B198" s="6" t="s">
        <v>1204</v>
      </c>
      <c r="C198" s="26">
        <v>28.2761</v>
      </c>
      <c r="D198" s="26">
        <v>29.578299999999999</v>
      </c>
      <c r="E198" s="24"/>
      <c r="F198" s="21"/>
      <c r="G198" s="27"/>
    </row>
    <row r="199" spans="1:7" ht="17.100000000000001" customHeight="1" x14ac:dyDescent="0.2">
      <c r="A199" s="24"/>
      <c r="B199" s="6" t="s">
        <v>137</v>
      </c>
      <c r="C199" s="26">
        <v>146.1019</v>
      </c>
      <c r="D199" s="26">
        <v>152.69470000000001</v>
      </c>
      <c r="E199" s="24"/>
      <c r="F199" s="21"/>
      <c r="G199" s="27"/>
    </row>
    <row r="200" spans="1:7" ht="17.100000000000001" customHeight="1" x14ac:dyDescent="0.2">
      <c r="A200" s="24"/>
      <c r="B200" s="6" t="s">
        <v>1202</v>
      </c>
      <c r="C200" s="26">
        <v>24.920100000000001</v>
      </c>
      <c r="D200" s="26">
        <v>26.044599999999999</v>
      </c>
      <c r="E200" s="24"/>
      <c r="F200" s="21"/>
      <c r="G200" s="27"/>
    </row>
    <row r="201" spans="1:7" ht="17.100000000000001" customHeight="1" x14ac:dyDescent="0.2">
      <c r="A201" s="20"/>
      <c r="B201" s="231" t="s">
        <v>1056</v>
      </c>
      <c r="C201" s="235"/>
      <c r="D201" s="232"/>
      <c r="E201" s="23"/>
      <c r="F201" s="22"/>
      <c r="G201" s="22"/>
    </row>
    <row r="202" spans="1:7" ht="24" customHeight="1" x14ac:dyDescent="0.2">
      <c r="A202" s="24"/>
      <c r="B202" s="25" t="s">
        <v>98</v>
      </c>
      <c r="C202" s="25" t="s">
        <v>131</v>
      </c>
      <c r="D202" s="25" t="s">
        <v>132</v>
      </c>
      <c r="E202" s="24"/>
      <c r="F202" s="24"/>
      <c r="G202" s="24"/>
    </row>
    <row r="203" spans="1:7" ht="18" customHeight="1" x14ac:dyDescent="0.2">
      <c r="A203" s="24"/>
      <c r="B203" s="25" t="s">
        <v>133</v>
      </c>
      <c r="C203" s="25" t="s">
        <v>134</v>
      </c>
      <c r="D203" s="25" t="s">
        <v>135</v>
      </c>
      <c r="E203" s="24"/>
      <c r="F203" s="24"/>
      <c r="G203" s="24"/>
    </row>
    <row r="204" spans="1:7" ht="17.100000000000001" customHeight="1" x14ac:dyDescent="0.2">
      <c r="A204" s="24"/>
      <c r="B204" s="6" t="s">
        <v>136</v>
      </c>
      <c r="C204" s="86">
        <v>24.86</v>
      </c>
      <c r="D204" s="26">
        <v>25.905200000000001</v>
      </c>
      <c r="E204" s="24"/>
      <c r="F204" s="21"/>
      <c r="G204" s="27"/>
    </row>
    <row r="205" spans="1:7" ht="17.100000000000001" customHeight="1" x14ac:dyDescent="0.2">
      <c r="A205" s="24"/>
      <c r="B205" s="6" t="s">
        <v>1201</v>
      </c>
      <c r="C205" s="86">
        <v>24.86</v>
      </c>
      <c r="D205" s="26">
        <v>25.905200000000001</v>
      </c>
      <c r="E205" s="24"/>
      <c r="F205" s="21"/>
      <c r="G205" s="27"/>
    </row>
    <row r="206" spans="1:7" ht="17.100000000000001" customHeight="1" x14ac:dyDescent="0.2">
      <c r="A206" s="24"/>
      <c r="B206" s="6" t="s">
        <v>137</v>
      </c>
      <c r="C206" s="86">
        <v>23.77</v>
      </c>
      <c r="D206" s="26">
        <v>24.725999999999999</v>
      </c>
      <c r="E206" s="24"/>
      <c r="F206" s="21"/>
      <c r="G206" s="27"/>
    </row>
    <row r="207" spans="1:7" ht="17.100000000000001" customHeight="1" x14ac:dyDescent="0.2">
      <c r="A207" s="24"/>
      <c r="B207" s="6" t="s">
        <v>1202</v>
      </c>
      <c r="C207" s="86">
        <v>23.77</v>
      </c>
      <c r="D207" s="26">
        <v>24.725999999999999</v>
      </c>
      <c r="E207" s="24"/>
      <c r="F207" s="21"/>
      <c r="G207" s="27"/>
    </row>
    <row r="208" spans="1:7" ht="14.1" customHeight="1" x14ac:dyDescent="0.2">
      <c r="A208" s="24"/>
      <c r="B208" s="24"/>
      <c r="C208" s="24"/>
      <c r="D208" s="24"/>
      <c r="E208" s="24"/>
      <c r="F208" s="24"/>
      <c r="G208" s="24"/>
    </row>
    <row r="209" spans="1:17" ht="17.100000000000001" customHeight="1" x14ac:dyDescent="0.2">
      <c r="A209" s="24"/>
      <c r="B209" s="231" t="s">
        <v>1203</v>
      </c>
      <c r="C209" s="232"/>
      <c r="D209" s="4" t="s">
        <v>128</v>
      </c>
      <c r="E209" s="24"/>
      <c r="F209" s="24"/>
      <c r="G209" s="24"/>
    </row>
    <row r="210" spans="1:17" ht="18" customHeight="1" x14ac:dyDescent="0.2">
      <c r="A210" s="24"/>
      <c r="B210" s="28"/>
      <c r="C210" s="28"/>
      <c r="D210" s="29"/>
      <c r="E210" s="24"/>
      <c r="F210" s="24"/>
      <c r="G210" s="24"/>
    </row>
    <row r="211" spans="1:17" s="87" customFormat="1" x14ac:dyDescent="0.2">
      <c r="B211" s="233" t="s">
        <v>1207</v>
      </c>
      <c r="C211" s="233"/>
      <c r="D211" s="233"/>
      <c r="E211" s="233"/>
      <c r="F211" s="233"/>
      <c r="I211"/>
      <c r="J211"/>
      <c r="K211"/>
      <c r="L211"/>
      <c r="M211"/>
      <c r="N211"/>
      <c r="O211"/>
      <c r="P211" s="69"/>
      <c r="Q211" s="69"/>
    </row>
    <row r="212" spans="1:17" ht="14.1" customHeight="1" x14ac:dyDescent="0.2">
      <c r="A212" s="24"/>
      <c r="B212" s="21"/>
      <c r="C212" s="21"/>
      <c r="D212" s="24"/>
      <c r="E212" s="24"/>
      <c r="F212" s="24"/>
      <c r="G212" s="24"/>
    </row>
    <row r="213" spans="1:17" ht="29.1" customHeight="1" x14ac:dyDescent="0.2">
      <c r="A213" s="24"/>
      <c r="B213" s="231" t="s">
        <v>138</v>
      </c>
      <c r="C213" s="232"/>
      <c r="D213" s="4" t="s">
        <v>128</v>
      </c>
      <c r="E213" s="24"/>
      <c r="F213" s="24"/>
      <c r="G213" s="24"/>
    </row>
    <row r="214" spans="1:17" ht="29.1" customHeight="1" x14ac:dyDescent="0.2">
      <c r="A214" s="24"/>
      <c r="B214" s="231" t="s">
        <v>139</v>
      </c>
      <c r="C214" s="232"/>
      <c r="D214" s="4" t="s">
        <v>128</v>
      </c>
      <c r="E214" s="24"/>
      <c r="F214" s="24"/>
      <c r="G214" s="24"/>
    </row>
    <row r="215" spans="1:17" ht="17.100000000000001" customHeight="1" x14ac:dyDescent="0.2">
      <c r="A215" s="24"/>
      <c r="B215" s="231" t="s">
        <v>140</v>
      </c>
      <c r="C215" s="232"/>
      <c r="D215" s="30">
        <v>0.43093299156723797</v>
      </c>
      <c r="E215" s="24"/>
      <c r="F215" s="21"/>
      <c r="G215" s="27"/>
    </row>
    <row r="216" spans="1:17" ht="17.100000000000001" customHeight="1" x14ac:dyDescent="0.2">
      <c r="A216" s="24"/>
      <c r="B216" s="231" t="s">
        <v>141</v>
      </c>
      <c r="C216" s="232"/>
      <c r="D216" s="4" t="s">
        <v>128</v>
      </c>
      <c r="E216" s="24"/>
      <c r="F216" s="24"/>
      <c r="G216" s="24"/>
    </row>
  </sheetData>
  <sortState xmlns:xlrd2="http://schemas.microsoft.com/office/spreadsheetml/2017/richdata2" ref="A7:G116">
    <sortCondition descending="1" ref="G7:G116"/>
  </sortState>
  <mergeCells count="17">
    <mergeCell ref="B215:C215"/>
    <mergeCell ref="B216:C216"/>
    <mergeCell ref="B190:C190"/>
    <mergeCell ref="B191:C191"/>
    <mergeCell ref="B209:C209"/>
    <mergeCell ref="B213:C213"/>
    <mergeCell ref="B214:C214"/>
    <mergeCell ref="B201:D201"/>
    <mergeCell ref="B192:D192"/>
    <mergeCell ref="B211:F211"/>
    <mergeCell ref="J2:N2"/>
    <mergeCell ref="B189:C189"/>
    <mergeCell ref="B186:F186"/>
    <mergeCell ref="B187:F187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697A5-7B24-4B80-A96E-B35B9CA2A201}">
  <sheetPr codeName="Sheet32">
    <outlinePr summaryBelow="0" summaryRight="0"/>
  </sheetPr>
  <dimension ref="A1:Q259"/>
  <sheetViews>
    <sheetView showGridLines="0" workbookViewId="0">
      <selection sqref="A1:I1"/>
    </sheetView>
  </sheetViews>
  <sheetFormatPr defaultRowHeight="12.75" x14ac:dyDescent="0.2"/>
  <cols>
    <col min="1" max="1" width="6.85546875" customWidth="1"/>
    <col min="2" max="2" width="30" customWidth="1"/>
    <col min="3" max="3" width="36.5703125" customWidth="1"/>
    <col min="4" max="4" width="17.85546875" customWidth="1"/>
    <col min="5" max="6" width="19.140625" customWidth="1"/>
    <col min="7" max="7" width="16.42578125" customWidth="1"/>
    <col min="8" max="8" width="11.85546875" customWidth="1"/>
    <col min="9" max="9" width="10.140625" customWidth="1"/>
    <col min="10" max="17" width="9.140625" style="69"/>
    <col min="244" max="244" width="6.85546875" customWidth="1"/>
    <col min="245" max="245" width="20.5703125" customWidth="1"/>
    <col min="246" max="246" width="34.28515625" customWidth="1"/>
    <col min="247" max="247" width="17.85546875" customWidth="1"/>
    <col min="248" max="249" width="19.140625" customWidth="1"/>
    <col min="250" max="250" width="16.42578125" customWidth="1"/>
    <col min="500" max="500" width="6.85546875" customWidth="1"/>
    <col min="501" max="501" width="20.5703125" customWidth="1"/>
    <col min="502" max="502" width="34.28515625" customWidth="1"/>
    <col min="503" max="503" width="17.85546875" customWidth="1"/>
    <col min="504" max="505" width="19.140625" customWidth="1"/>
    <col min="506" max="506" width="16.42578125" customWidth="1"/>
    <col min="756" max="756" width="6.85546875" customWidth="1"/>
    <col min="757" max="757" width="20.5703125" customWidth="1"/>
    <col min="758" max="758" width="34.28515625" customWidth="1"/>
    <col min="759" max="759" width="17.85546875" customWidth="1"/>
    <col min="760" max="761" width="19.140625" customWidth="1"/>
    <col min="762" max="762" width="16.42578125" customWidth="1"/>
    <col min="1012" max="1012" width="6.85546875" customWidth="1"/>
    <col min="1013" max="1013" width="20.5703125" customWidth="1"/>
    <col min="1014" max="1014" width="34.28515625" customWidth="1"/>
    <col min="1015" max="1015" width="17.85546875" customWidth="1"/>
    <col min="1016" max="1017" width="19.140625" customWidth="1"/>
    <col min="1018" max="1018" width="16.42578125" customWidth="1"/>
    <col min="1268" max="1268" width="6.85546875" customWidth="1"/>
    <col min="1269" max="1269" width="20.5703125" customWidth="1"/>
    <col min="1270" max="1270" width="34.28515625" customWidth="1"/>
    <col min="1271" max="1271" width="17.85546875" customWidth="1"/>
    <col min="1272" max="1273" width="19.140625" customWidth="1"/>
    <col min="1274" max="1274" width="16.42578125" customWidth="1"/>
    <col min="1524" max="1524" width="6.85546875" customWidth="1"/>
    <col min="1525" max="1525" width="20.5703125" customWidth="1"/>
    <col min="1526" max="1526" width="34.28515625" customWidth="1"/>
    <col min="1527" max="1527" width="17.85546875" customWidth="1"/>
    <col min="1528" max="1529" width="19.140625" customWidth="1"/>
    <col min="1530" max="1530" width="16.42578125" customWidth="1"/>
    <col min="1780" max="1780" width="6.85546875" customWidth="1"/>
    <col min="1781" max="1781" width="20.5703125" customWidth="1"/>
    <col min="1782" max="1782" width="34.28515625" customWidth="1"/>
    <col min="1783" max="1783" width="17.85546875" customWidth="1"/>
    <col min="1784" max="1785" width="19.140625" customWidth="1"/>
    <col min="1786" max="1786" width="16.42578125" customWidth="1"/>
    <col min="2036" max="2036" width="6.85546875" customWidth="1"/>
    <col min="2037" max="2037" width="20.5703125" customWidth="1"/>
    <col min="2038" max="2038" width="34.28515625" customWidth="1"/>
    <col min="2039" max="2039" width="17.85546875" customWidth="1"/>
    <col min="2040" max="2041" width="19.140625" customWidth="1"/>
    <col min="2042" max="2042" width="16.42578125" customWidth="1"/>
    <col min="2292" max="2292" width="6.85546875" customWidth="1"/>
    <col min="2293" max="2293" width="20.5703125" customWidth="1"/>
    <col min="2294" max="2294" width="34.28515625" customWidth="1"/>
    <col min="2295" max="2295" width="17.85546875" customWidth="1"/>
    <col min="2296" max="2297" width="19.140625" customWidth="1"/>
    <col min="2298" max="2298" width="16.42578125" customWidth="1"/>
    <col min="2548" max="2548" width="6.85546875" customWidth="1"/>
    <col min="2549" max="2549" width="20.5703125" customWidth="1"/>
    <col min="2550" max="2550" width="34.28515625" customWidth="1"/>
    <col min="2551" max="2551" width="17.85546875" customWidth="1"/>
    <col min="2552" max="2553" width="19.140625" customWidth="1"/>
    <col min="2554" max="2554" width="16.42578125" customWidth="1"/>
    <col min="2804" max="2804" width="6.85546875" customWidth="1"/>
    <col min="2805" max="2805" width="20.5703125" customWidth="1"/>
    <col min="2806" max="2806" width="34.28515625" customWidth="1"/>
    <col min="2807" max="2807" width="17.85546875" customWidth="1"/>
    <col min="2808" max="2809" width="19.140625" customWidth="1"/>
    <col min="2810" max="2810" width="16.42578125" customWidth="1"/>
    <col min="3060" max="3060" width="6.85546875" customWidth="1"/>
    <col min="3061" max="3061" width="20.5703125" customWidth="1"/>
    <col min="3062" max="3062" width="34.28515625" customWidth="1"/>
    <col min="3063" max="3063" width="17.85546875" customWidth="1"/>
    <col min="3064" max="3065" width="19.140625" customWidth="1"/>
    <col min="3066" max="3066" width="16.42578125" customWidth="1"/>
    <col min="3316" max="3316" width="6.85546875" customWidth="1"/>
    <col min="3317" max="3317" width="20.5703125" customWidth="1"/>
    <col min="3318" max="3318" width="34.28515625" customWidth="1"/>
    <col min="3319" max="3319" width="17.85546875" customWidth="1"/>
    <col min="3320" max="3321" width="19.140625" customWidth="1"/>
    <col min="3322" max="3322" width="16.42578125" customWidth="1"/>
    <col min="3572" max="3572" width="6.85546875" customWidth="1"/>
    <col min="3573" max="3573" width="20.5703125" customWidth="1"/>
    <col min="3574" max="3574" width="34.28515625" customWidth="1"/>
    <col min="3575" max="3575" width="17.85546875" customWidth="1"/>
    <col min="3576" max="3577" width="19.140625" customWidth="1"/>
    <col min="3578" max="3578" width="16.42578125" customWidth="1"/>
    <col min="3828" max="3828" width="6.85546875" customWidth="1"/>
    <col min="3829" max="3829" width="20.5703125" customWidth="1"/>
    <col min="3830" max="3830" width="34.28515625" customWidth="1"/>
    <col min="3831" max="3831" width="17.85546875" customWidth="1"/>
    <col min="3832" max="3833" width="19.140625" customWidth="1"/>
    <col min="3834" max="3834" width="16.42578125" customWidth="1"/>
    <col min="4084" max="4084" width="6.85546875" customWidth="1"/>
    <col min="4085" max="4085" width="20.5703125" customWidth="1"/>
    <col min="4086" max="4086" width="34.28515625" customWidth="1"/>
    <col min="4087" max="4087" width="17.85546875" customWidth="1"/>
    <col min="4088" max="4089" width="19.140625" customWidth="1"/>
    <col min="4090" max="4090" width="16.42578125" customWidth="1"/>
    <col min="4340" max="4340" width="6.85546875" customWidth="1"/>
    <col min="4341" max="4341" width="20.5703125" customWidth="1"/>
    <col min="4342" max="4342" width="34.28515625" customWidth="1"/>
    <col min="4343" max="4343" width="17.85546875" customWidth="1"/>
    <col min="4344" max="4345" width="19.140625" customWidth="1"/>
    <col min="4346" max="4346" width="16.42578125" customWidth="1"/>
    <col min="4596" max="4596" width="6.85546875" customWidth="1"/>
    <col min="4597" max="4597" width="20.5703125" customWidth="1"/>
    <col min="4598" max="4598" width="34.28515625" customWidth="1"/>
    <col min="4599" max="4599" width="17.85546875" customWidth="1"/>
    <col min="4600" max="4601" width="19.140625" customWidth="1"/>
    <col min="4602" max="4602" width="16.42578125" customWidth="1"/>
    <col min="4852" max="4852" width="6.85546875" customWidth="1"/>
    <col min="4853" max="4853" width="20.5703125" customWidth="1"/>
    <col min="4854" max="4854" width="34.28515625" customWidth="1"/>
    <col min="4855" max="4855" width="17.85546875" customWidth="1"/>
    <col min="4856" max="4857" width="19.140625" customWidth="1"/>
    <col min="4858" max="4858" width="16.42578125" customWidth="1"/>
    <col min="5108" max="5108" width="6.85546875" customWidth="1"/>
    <col min="5109" max="5109" width="20.5703125" customWidth="1"/>
    <col min="5110" max="5110" width="34.28515625" customWidth="1"/>
    <col min="5111" max="5111" width="17.85546875" customWidth="1"/>
    <col min="5112" max="5113" width="19.140625" customWidth="1"/>
    <col min="5114" max="5114" width="16.42578125" customWidth="1"/>
    <col min="5364" max="5364" width="6.85546875" customWidth="1"/>
    <col min="5365" max="5365" width="20.5703125" customWidth="1"/>
    <col min="5366" max="5366" width="34.28515625" customWidth="1"/>
    <col min="5367" max="5367" width="17.85546875" customWidth="1"/>
    <col min="5368" max="5369" width="19.140625" customWidth="1"/>
    <col min="5370" max="5370" width="16.42578125" customWidth="1"/>
    <col min="5620" max="5620" width="6.85546875" customWidth="1"/>
    <col min="5621" max="5621" width="20.5703125" customWidth="1"/>
    <col min="5622" max="5622" width="34.28515625" customWidth="1"/>
    <col min="5623" max="5623" width="17.85546875" customWidth="1"/>
    <col min="5624" max="5625" width="19.140625" customWidth="1"/>
    <col min="5626" max="5626" width="16.42578125" customWidth="1"/>
    <col min="5876" max="5876" width="6.85546875" customWidth="1"/>
    <col min="5877" max="5877" width="20.5703125" customWidth="1"/>
    <col min="5878" max="5878" width="34.28515625" customWidth="1"/>
    <col min="5879" max="5879" width="17.85546875" customWidth="1"/>
    <col min="5880" max="5881" width="19.140625" customWidth="1"/>
    <col min="5882" max="5882" width="16.42578125" customWidth="1"/>
    <col min="6132" max="6132" width="6.85546875" customWidth="1"/>
    <col min="6133" max="6133" width="20.5703125" customWidth="1"/>
    <col min="6134" max="6134" width="34.28515625" customWidth="1"/>
    <col min="6135" max="6135" width="17.85546875" customWidth="1"/>
    <col min="6136" max="6137" width="19.140625" customWidth="1"/>
    <col min="6138" max="6138" width="16.42578125" customWidth="1"/>
    <col min="6388" max="6388" width="6.85546875" customWidth="1"/>
    <col min="6389" max="6389" width="20.5703125" customWidth="1"/>
    <col min="6390" max="6390" width="34.28515625" customWidth="1"/>
    <col min="6391" max="6391" width="17.85546875" customWidth="1"/>
    <col min="6392" max="6393" width="19.140625" customWidth="1"/>
    <col min="6394" max="6394" width="16.42578125" customWidth="1"/>
    <col min="6644" max="6644" width="6.85546875" customWidth="1"/>
    <col min="6645" max="6645" width="20.5703125" customWidth="1"/>
    <col min="6646" max="6646" width="34.28515625" customWidth="1"/>
    <col min="6647" max="6647" width="17.85546875" customWidth="1"/>
    <col min="6648" max="6649" width="19.140625" customWidth="1"/>
    <col min="6650" max="6650" width="16.42578125" customWidth="1"/>
    <col min="6900" max="6900" width="6.85546875" customWidth="1"/>
    <col min="6901" max="6901" width="20.5703125" customWidth="1"/>
    <col min="6902" max="6902" width="34.28515625" customWidth="1"/>
    <col min="6903" max="6903" width="17.85546875" customWidth="1"/>
    <col min="6904" max="6905" width="19.140625" customWidth="1"/>
    <col min="6906" max="6906" width="16.42578125" customWidth="1"/>
    <col min="7156" max="7156" width="6.85546875" customWidth="1"/>
    <col min="7157" max="7157" width="20.5703125" customWidth="1"/>
    <col min="7158" max="7158" width="34.28515625" customWidth="1"/>
    <col min="7159" max="7159" width="17.85546875" customWidth="1"/>
    <col min="7160" max="7161" width="19.140625" customWidth="1"/>
    <col min="7162" max="7162" width="16.42578125" customWidth="1"/>
    <col min="7412" max="7412" width="6.85546875" customWidth="1"/>
    <col min="7413" max="7413" width="20.5703125" customWidth="1"/>
    <col min="7414" max="7414" width="34.28515625" customWidth="1"/>
    <col min="7415" max="7415" width="17.85546875" customWidth="1"/>
    <col min="7416" max="7417" width="19.140625" customWidth="1"/>
    <col min="7418" max="7418" width="16.42578125" customWidth="1"/>
    <col min="7668" max="7668" width="6.85546875" customWidth="1"/>
    <col min="7669" max="7669" width="20.5703125" customWidth="1"/>
    <col min="7670" max="7670" width="34.28515625" customWidth="1"/>
    <col min="7671" max="7671" width="17.85546875" customWidth="1"/>
    <col min="7672" max="7673" width="19.140625" customWidth="1"/>
    <col min="7674" max="7674" width="16.42578125" customWidth="1"/>
    <col min="7924" max="7924" width="6.85546875" customWidth="1"/>
    <col min="7925" max="7925" width="20.5703125" customWidth="1"/>
    <col min="7926" max="7926" width="34.28515625" customWidth="1"/>
    <col min="7927" max="7927" width="17.85546875" customWidth="1"/>
    <col min="7928" max="7929" width="19.140625" customWidth="1"/>
    <col min="7930" max="7930" width="16.42578125" customWidth="1"/>
    <col min="8180" max="8180" width="6.85546875" customWidth="1"/>
    <col min="8181" max="8181" width="20.5703125" customWidth="1"/>
    <col min="8182" max="8182" width="34.28515625" customWidth="1"/>
    <col min="8183" max="8183" width="17.85546875" customWidth="1"/>
    <col min="8184" max="8185" width="19.140625" customWidth="1"/>
    <col min="8186" max="8186" width="16.42578125" customWidth="1"/>
    <col min="8436" max="8436" width="6.85546875" customWidth="1"/>
    <col min="8437" max="8437" width="20.5703125" customWidth="1"/>
    <col min="8438" max="8438" width="34.28515625" customWidth="1"/>
    <col min="8439" max="8439" width="17.85546875" customWidth="1"/>
    <col min="8440" max="8441" width="19.140625" customWidth="1"/>
    <col min="8442" max="8442" width="16.42578125" customWidth="1"/>
    <col min="8692" max="8692" width="6.85546875" customWidth="1"/>
    <col min="8693" max="8693" width="20.5703125" customWidth="1"/>
    <col min="8694" max="8694" width="34.28515625" customWidth="1"/>
    <col min="8695" max="8695" width="17.85546875" customWidth="1"/>
    <col min="8696" max="8697" width="19.140625" customWidth="1"/>
    <col min="8698" max="8698" width="16.42578125" customWidth="1"/>
    <col min="8948" max="8948" width="6.85546875" customWidth="1"/>
    <col min="8949" max="8949" width="20.5703125" customWidth="1"/>
    <col min="8950" max="8950" width="34.28515625" customWidth="1"/>
    <col min="8951" max="8951" width="17.85546875" customWidth="1"/>
    <col min="8952" max="8953" width="19.140625" customWidth="1"/>
    <col min="8954" max="8954" width="16.42578125" customWidth="1"/>
    <col min="9204" max="9204" width="6.85546875" customWidth="1"/>
    <col min="9205" max="9205" width="20.5703125" customWidth="1"/>
    <col min="9206" max="9206" width="34.28515625" customWidth="1"/>
    <col min="9207" max="9207" width="17.85546875" customWidth="1"/>
    <col min="9208" max="9209" width="19.140625" customWidth="1"/>
    <col min="9210" max="9210" width="16.42578125" customWidth="1"/>
    <col min="9460" max="9460" width="6.85546875" customWidth="1"/>
    <col min="9461" max="9461" width="20.5703125" customWidth="1"/>
    <col min="9462" max="9462" width="34.28515625" customWidth="1"/>
    <col min="9463" max="9463" width="17.85546875" customWidth="1"/>
    <col min="9464" max="9465" width="19.140625" customWidth="1"/>
    <col min="9466" max="9466" width="16.42578125" customWidth="1"/>
    <col min="9716" max="9716" width="6.85546875" customWidth="1"/>
    <col min="9717" max="9717" width="20.5703125" customWidth="1"/>
    <col min="9718" max="9718" width="34.28515625" customWidth="1"/>
    <col min="9719" max="9719" width="17.85546875" customWidth="1"/>
    <col min="9720" max="9721" width="19.140625" customWidth="1"/>
    <col min="9722" max="9722" width="16.42578125" customWidth="1"/>
    <col min="9972" max="9972" width="6.85546875" customWidth="1"/>
    <col min="9973" max="9973" width="20.5703125" customWidth="1"/>
    <col min="9974" max="9974" width="34.28515625" customWidth="1"/>
    <col min="9975" max="9975" width="17.85546875" customWidth="1"/>
    <col min="9976" max="9977" width="19.140625" customWidth="1"/>
    <col min="9978" max="9978" width="16.42578125" customWidth="1"/>
    <col min="10228" max="10228" width="6.85546875" customWidth="1"/>
    <col min="10229" max="10229" width="20.5703125" customWidth="1"/>
    <col min="10230" max="10230" width="34.28515625" customWidth="1"/>
    <col min="10231" max="10231" width="17.85546875" customWidth="1"/>
    <col min="10232" max="10233" width="19.140625" customWidth="1"/>
    <col min="10234" max="10234" width="16.42578125" customWidth="1"/>
    <col min="10484" max="10484" width="6.85546875" customWidth="1"/>
    <col min="10485" max="10485" width="20.5703125" customWidth="1"/>
    <col min="10486" max="10486" width="34.28515625" customWidth="1"/>
    <col min="10487" max="10487" width="17.85546875" customWidth="1"/>
    <col min="10488" max="10489" width="19.140625" customWidth="1"/>
    <col min="10490" max="10490" width="16.42578125" customWidth="1"/>
    <col min="10740" max="10740" width="6.85546875" customWidth="1"/>
    <col min="10741" max="10741" width="20.5703125" customWidth="1"/>
    <col min="10742" max="10742" width="34.28515625" customWidth="1"/>
    <col min="10743" max="10743" width="17.85546875" customWidth="1"/>
    <col min="10744" max="10745" width="19.140625" customWidth="1"/>
    <col min="10746" max="10746" width="16.42578125" customWidth="1"/>
    <col min="10996" max="10996" width="6.85546875" customWidth="1"/>
    <col min="10997" max="10997" width="20.5703125" customWidth="1"/>
    <col min="10998" max="10998" width="34.28515625" customWidth="1"/>
    <col min="10999" max="10999" width="17.85546875" customWidth="1"/>
    <col min="11000" max="11001" width="19.140625" customWidth="1"/>
    <col min="11002" max="11002" width="16.42578125" customWidth="1"/>
    <col min="11252" max="11252" width="6.85546875" customWidth="1"/>
    <col min="11253" max="11253" width="20.5703125" customWidth="1"/>
    <col min="11254" max="11254" width="34.28515625" customWidth="1"/>
    <col min="11255" max="11255" width="17.85546875" customWidth="1"/>
    <col min="11256" max="11257" width="19.140625" customWidth="1"/>
    <col min="11258" max="11258" width="16.42578125" customWidth="1"/>
    <col min="11508" max="11508" width="6.85546875" customWidth="1"/>
    <col min="11509" max="11509" width="20.5703125" customWidth="1"/>
    <col min="11510" max="11510" width="34.28515625" customWidth="1"/>
    <col min="11511" max="11511" width="17.85546875" customWidth="1"/>
    <col min="11512" max="11513" width="19.140625" customWidth="1"/>
    <col min="11514" max="11514" width="16.42578125" customWidth="1"/>
    <col min="11764" max="11764" width="6.85546875" customWidth="1"/>
    <col min="11765" max="11765" width="20.5703125" customWidth="1"/>
    <col min="11766" max="11766" width="34.28515625" customWidth="1"/>
    <col min="11767" max="11767" width="17.85546875" customWidth="1"/>
    <col min="11768" max="11769" width="19.140625" customWidth="1"/>
    <col min="11770" max="11770" width="16.42578125" customWidth="1"/>
    <col min="12020" max="12020" width="6.85546875" customWidth="1"/>
    <col min="12021" max="12021" width="20.5703125" customWidth="1"/>
    <col min="12022" max="12022" width="34.28515625" customWidth="1"/>
    <col min="12023" max="12023" width="17.85546875" customWidth="1"/>
    <col min="12024" max="12025" width="19.140625" customWidth="1"/>
    <col min="12026" max="12026" width="16.42578125" customWidth="1"/>
    <col min="12276" max="12276" width="6.85546875" customWidth="1"/>
    <col min="12277" max="12277" width="20.5703125" customWidth="1"/>
    <col min="12278" max="12278" width="34.28515625" customWidth="1"/>
    <col min="12279" max="12279" width="17.85546875" customWidth="1"/>
    <col min="12280" max="12281" width="19.140625" customWidth="1"/>
    <col min="12282" max="12282" width="16.42578125" customWidth="1"/>
    <col min="12532" max="12532" width="6.85546875" customWidth="1"/>
    <col min="12533" max="12533" width="20.5703125" customWidth="1"/>
    <col min="12534" max="12534" width="34.28515625" customWidth="1"/>
    <col min="12535" max="12535" width="17.85546875" customWidth="1"/>
    <col min="12536" max="12537" width="19.140625" customWidth="1"/>
    <col min="12538" max="12538" width="16.42578125" customWidth="1"/>
    <col min="12788" max="12788" width="6.85546875" customWidth="1"/>
    <col min="12789" max="12789" width="20.5703125" customWidth="1"/>
    <col min="12790" max="12790" width="34.28515625" customWidth="1"/>
    <col min="12791" max="12791" width="17.85546875" customWidth="1"/>
    <col min="12792" max="12793" width="19.140625" customWidth="1"/>
    <col min="12794" max="12794" width="16.42578125" customWidth="1"/>
    <col min="13044" max="13044" width="6.85546875" customWidth="1"/>
    <col min="13045" max="13045" width="20.5703125" customWidth="1"/>
    <col min="13046" max="13046" width="34.28515625" customWidth="1"/>
    <col min="13047" max="13047" width="17.85546875" customWidth="1"/>
    <col min="13048" max="13049" width="19.140625" customWidth="1"/>
    <col min="13050" max="13050" width="16.42578125" customWidth="1"/>
    <col min="13300" max="13300" width="6.85546875" customWidth="1"/>
    <col min="13301" max="13301" width="20.5703125" customWidth="1"/>
    <col min="13302" max="13302" width="34.28515625" customWidth="1"/>
    <col min="13303" max="13303" width="17.85546875" customWidth="1"/>
    <col min="13304" max="13305" width="19.140625" customWidth="1"/>
    <col min="13306" max="13306" width="16.42578125" customWidth="1"/>
    <col min="13556" max="13556" width="6.85546875" customWidth="1"/>
    <col min="13557" max="13557" width="20.5703125" customWidth="1"/>
    <col min="13558" max="13558" width="34.28515625" customWidth="1"/>
    <col min="13559" max="13559" width="17.85546875" customWidth="1"/>
    <col min="13560" max="13561" width="19.140625" customWidth="1"/>
    <col min="13562" max="13562" width="16.42578125" customWidth="1"/>
    <col min="13812" max="13812" width="6.85546875" customWidth="1"/>
    <col min="13813" max="13813" width="20.5703125" customWidth="1"/>
    <col min="13814" max="13814" width="34.28515625" customWidth="1"/>
    <col min="13815" max="13815" width="17.85546875" customWidth="1"/>
    <col min="13816" max="13817" width="19.140625" customWidth="1"/>
    <col min="13818" max="13818" width="16.42578125" customWidth="1"/>
    <col min="14068" max="14068" width="6.85546875" customWidth="1"/>
    <col min="14069" max="14069" width="20.5703125" customWidth="1"/>
    <col min="14070" max="14070" width="34.28515625" customWidth="1"/>
    <col min="14071" max="14071" width="17.85546875" customWidth="1"/>
    <col min="14072" max="14073" width="19.140625" customWidth="1"/>
    <col min="14074" max="14074" width="16.42578125" customWidth="1"/>
    <col min="14324" max="14324" width="6.85546875" customWidth="1"/>
    <col min="14325" max="14325" width="20.5703125" customWidth="1"/>
    <col min="14326" max="14326" width="34.28515625" customWidth="1"/>
    <col min="14327" max="14327" width="17.85546875" customWidth="1"/>
    <col min="14328" max="14329" width="19.140625" customWidth="1"/>
    <col min="14330" max="14330" width="16.42578125" customWidth="1"/>
    <col min="14580" max="14580" width="6.85546875" customWidth="1"/>
    <col min="14581" max="14581" width="20.5703125" customWidth="1"/>
    <col min="14582" max="14582" width="34.28515625" customWidth="1"/>
    <col min="14583" max="14583" width="17.85546875" customWidth="1"/>
    <col min="14584" max="14585" width="19.140625" customWidth="1"/>
    <col min="14586" max="14586" width="16.42578125" customWidth="1"/>
    <col min="14836" max="14836" width="6.85546875" customWidth="1"/>
    <col min="14837" max="14837" width="20.5703125" customWidth="1"/>
    <col min="14838" max="14838" width="34.28515625" customWidth="1"/>
    <col min="14839" max="14839" width="17.85546875" customWidth="1"/>
    <col min="14840" max="14841" width="19.140625" customWidth="1"/>
    <col min="14842" max="14842" width="16.42578125" customWidth="1"/>
    <col min="15092" max="15092" width="6.85546875" customWidth="1"/>
    <col min="15093" max="15093" width="20.5703125" customWidth="1"/>
    <col min="15094" max="15094" width="34.28515625" customWidth="1"/>
    <col min="15095" max="15095" width="17.85546875" customWidth="1"/>
    <col min="15096" max="15097" width="19.140625" customWidth="1"/>
    <col min="15098" max="15098" width="16.42578125" customWidth="1"/>
    <col min="15348" max="15348" width="6.85546875" customWidth="1"/>
    <col min="15349" max="15349" width="20.5703125" customWidth="1"/>
    <col min="15350" max="15350" width="34.28515625" customWidth="1"/>
    <col min="15351" max="15351" width="17.85546875" customWidth="1"/>
    <col min="15352" max="15353" width="19.140625" customWidth="1"/>
    <col min="15354" max="15354" width="16.42578125" customWidth="1"/>
    <col min="15604" max="15604" width="6.85546875" customWidth="1"/>
    <col min="15605" max="15605" width="20.5703125" customWidth="1"/>
    <col min="15606" max="15606" width="34.28515625" customWidth="1"/>
    <col min="15607" max="15607" width="17.85546875" customWidth="1"/>
    <col min="15608" max="15609" width="19.140625" customWidth="1"/>
    <col min="15610" max="15610" width="16.42578125" customWidth="1"/>
    <col min="15860" max="15860" width="6.85546875" customWidth="1"/>
    <col min="15861" max="15861" width="20.5703125" customWidth="1"/>
    <col min="15862" max="15862" width="34.28515625" customWidth="1"/>
    <col min="15863" max="15863" width="17.85546875" customWidth="1"/>
    <col min="15864" max="15865" width="19.140625" customWidth="1"/>
    <col min="15866" max="15866" width="16.42578125" customWidth="1"/>
    <col min="16116" max="16116" width="6.85546875" customWidth="1"/>
    <col min="16117" max="16117" width="20.5703125" customWidth="1"/>
    <col min="16118" max="16118" width="34.28515625" customWidth="1"/>
    <col min="16119" max="16119" width="17.85546875" customWidth="1"/>
    <col min="16120" max="16121" width="19.140625" customWidth="1"/>
    <col min="16122" max="16122" width="16.42578125" customWidth="1"/>
  </cols>
  <sheetData>
    <row r="1" spans="1:17" ht="15" x14ac:dyDescent="0.2">
      <c r="A1" s="246" t="s">
        <v>0</v>
      </c>
      <c r="B1" s="246"/>
      <c r="C1" s="246"/>
      <c r="D1" s="246"/>
      <c r="E1" s="246"/>
      <c r="F1" s="246"/>
      <c r="G1" s="246"/>
      <c r="H1" s="246"/>
      <c r="I1" s="246"/>
    </row>
    <row r="2" spans="1:17" s="87" customFormat="1" ht="15" x14ac:dyDescent="0.2">
      <c r="A2" s="246" t="s">
        <v>1254</v>
      </c>
      <c r="B2" s="247"/>
      <c r="C2" s="247"/>
      <c r="D2" s="247"/>
      <c r="E2" s="247"/>
      <c r="F2" s="247"/>
      <c r="G2" s="247"/>
      <c r="H2" s="247"/>
      <c r="I2" s="247"/>
      <c r="J2" s="69"/>
      <c r="K2" s="223" t="s">
        <v>1238</v>
      </c>
      <c r="L2" s="223"/>
      <c r="M2" s="223"/>
      <c r="N2" s="223"/>
      <c r="O2" s="223"/>
      <c r="P2" s="69"/>
      <c r="Q2" s="69"/>
    </row>
    <row r="3" spans="1:17" ht="15" x14ac:dyDescent="0.2">
      <c r="A3" s="246" t="s">
        <v>1208</v>
      </c>
      <c r="B3" s="246"/>
      <c r="C3" s="246"/>
      <c r="D3" s="246"/>
      <c r="E3" s="246"/>
      <c r="F3" s="246"/>
      <c r="G3" s="246"/>
      <c r="H3" s="246"/>
      <c r="I3" s="246"/>
    </row>
    <row r="4" spans="1:17" s="113" customFormat="1" ht="45" x14ac:dyDescent="0.2">
      <c r="A4" s="111" t="s">
        <v>2</v>
      </c>
      <c r="B4" s="111" t="s">
        <v>3</v>
      </c>
      <c r="C4" s="111" t="s">
        <v>4</v>
      </c>
      <c r="D4" s="111" t="s">
        <v>5</v>
      </c>
      <c r="E4" s="112" t="s">
        <v>6</v>
      </c>
      <c r="F4" s="112" t="s">
        <v>7</v>
      </c>
      <c r="G4" s="112" t="s">
        <v>8</v>
      </c>
      <c r="H4" s="96" t="s">
        <v>1167</v>
      </c>
      <c r="I4" s="110" t="s">
        <v>1200</v>
      </c>
      <c r="J4" s="185"/>
      <c r="K4" s="185"/>
      <c r="L4" s="185"/>
      <c r="M4" s="185"/>
      <c r="N4" s="185"/>
      <c r="O4" s="185"/>
      <c r="P4" s="185"/>
      <c r="Q4" s="185"/>
    </row>
    <row r="5" spans="1:17" x14ac:dyDescent="0.2">
      <c r="A5" s="34"/>
      <c r="B5" s="34"/>
      <c r="C5" s="35" t="s">
        <v>9</v>
      </c>
      <c r="D5" s="34"/>
      <c r="E5" s="34"/>
      <c r="F5" s="34"/>
      <c r="G5" s="34"/>
      <c r="H5" s="101"/>
      <c r="I5" s="73"/>
    </row>
    <row r="6" spans="1:17" ht="25.5" x14ac:dyDescent="0.2">
      <c r="A6" s="34"/>
      <c r="B6" s="34"/>
      <c r="C6" s="35" t="s">
        <v>10</v>
      </c>
      <c r="D6" s="34"/>
      <c r="E6" s="34"/>
      <c r="F6" s="34"/>
      <c r="G6" s="34"/>
      <c r="H6" s="101"/>
      <c r="I6" s="73"/>
    </row>
    <row r="7" spans="1:17" x14ac:dyDescent="0.2">
      <c r="A7" s="36">
        <v>1</v>
      </c>
      <c r="B7" s="37" t="s">
        <v>409</v>
      </c>
      <c r="C7" s="37" t="s">
        <v>410</v>
      </c>
      <c r="D7" s="37" t="s">
        <v>147</v>
      </c>
      <c r="E7" s="38">
        <v>971683</v>
      </c>
      <c r="F7" s="39">
        <v>18342.945832500001</v>
      </c>
      <c r="G7" s="40">
        <v>5.9662816599523043E-2</v>
      </c>
      <c r="H7" s="101"/>
      <c r="I7" s="73"/>
    </row>
    <row r="8" spans="1:17" x14ac:dyDescent="0.2">
      <c r="A8" s="36">
        <v>2</v>
      </c>
      <c r="B8" s="37" t="s">
        <v>23</v>
      </c>
      <c r="C8" s="37" t="s">
        <v>24</v>
      </c>
      <c r="D8" s="37" t="s">
        <v>25</v>
      </c>
      <c r="E8" s="38">
        <v>1967766</v>
      </c>
      <c r="F8" s="39">
        <v>14564.420049</v>
      </c>
      <c r="G8" s="40">
        <v>4.7372670136892163E-2</v>
      </c>
      <c r="H8" s="101"/>
      <c r="I8" s="73"/>
    </row>
    <row r="9" spans="1:17" x14ac:dyDescent="0.2">
      <c r="A9" s="36">
        <v>3</v>
      </c>
      <c r="B9" s="37" t="s">
        <v>411</v>
      </c>
      <c r="C9" s="37" t="s">
        <v>412</v>
      </c>
      <c r="D9" s="37" t="s">
        <v>25</v>
      </c>
      <c r="E9" s="38">
        <v>948655</v>
      </c>
      <c r="F9" s="39">
        <v>14034.40207</v>
      </c>
      <c r="G9" s="40">
        <v>4.5648717737736169E-2</v>
      </c>
      <c r="H9" s="101"/>
      <c r="I9" s="73"/>
    </row>
    <row r="10" spans="1:17" x14ac:dyDescent="0.2">
      <c r="A10" s="36">
        <v>4</v>
      </c>
      <c r="B10" s="37" t="s">
        <v>14</v>
      </c>
      <c r="C10" s="37" t="s">
        <v>15</v>
      </c>
      <c r="D10" s="37" t="s">
        <v>16</v>
      </c>
      <c r="E10" s="38">
        <v>384024</v>
      </c>
      <c r="F10" s="39">
        <v>9094.2643559999997</v>
      </c>
      <c r="G10" s="40">
        <v>2.9580277417504471E-2</v>
      </c>
      <c r="H10" s="101"/>
      <c r="I10" s="73"/>
    </row>
    <row r="11" spans="1:17" x14ac:dyDescent="0.2">
      <c r="A11" s="36">
        <v>5</v>
      </c>
      <c r="B11" s="37" t="s">
        <v>11</v>
      </c>
      <c r="C11" s="37" t="s">
        <v>12</v>
      </c>
      <c r="D11" s="37" t="s">
        <v>13</v>
      </c>
      <c r="E11" s="38">
        <v>459609</v>
      </c>
      <c r="F11" s="39">
        <v>8713.7270310000004</v>
      </c>
      <c r="G11" s="40">
        <v>2.8342530283643273E-2</v>
      </c>
      <c r="H11" s="101"/>
      <c r="I11" s="73"/>
    </row>
    <row r="12" spans="1:17" x14ac:dyDescent="0.2">
      <c r="A12" s="36">
        <v>6</v>
      </c>
      <c r="B12" s="6" t="s">
        <v>417</v>
      </c>
      <c r="C12" s="6" t="s">
        <v>418</v>
      </c>
      <c r="D12" s="6" t="s">
        <v>147</v>
      </c>
      <c r="E12" s="7">
        <v>218284</v>
      </c>
      <c r="F12" s="8">
        <v>8160.2199139999993</v>
      </c>
      <c r="G12" s="9">
        <v>2.6542176408662608E-2</v>
      </c>
      <c r="H12" s="101"/>
      <c r="I12" s="73"/>
    </row>
    <row r="13" spans="1:17" x14ac:dyDescent="0.2">
      <c r="A13" s="36">
        <v>7</v>
      </c>
      <c r="B13" s="37" t="s">
        <v>415</v>
      </c>
      <c r="C13" s="37" t="s">
        <v>416</v>
      </c>
      <c r="D13" s="37" t="s">
        <v>25</v>
      </c>
      <c r="E13" s="38">
        <v>1603865</v>
      </c>
      <c r="F13" s="39">
        <v>7384.9963924999993</v>
      </c>
      <c r="G13" s="40">
        <v>2.4020661096496029E-2</v>
      </c>
      <c r="H13" s="101"/>
      <c r="I13" s="73"/>
    </row>
    <row r="14" spans="1:17" ht="25.5" x14ac:dyDescent="0.2">
      <c r="A14" s="36">
        <v>8</v>
      </c>
      <c r="B14" s="37" t="s">
        <v>413</v>
      </c>
      <c r="C14" s="37" t="s">
        <v>414</v>
      </c>
      <c r="D14" s="37" t="s">
        <v>81</v>
      </c>
      <c r="E14" s="38">
        <v>279750</v>
      </c>
      <c r="F14" s="39">
        <v>7235.5938750000005</v>
      </c>
      <c r="G14" s="40">
        <v>2.3534709980328195E-2</v>
      </c>
      <c r="H14" s="101"/>
      <c r="I14" s="73"/>
      <c r="K14" s="184" t="s">
        <v>1241</v>
      </c>
    </row>
    <row r="15" spans="1:17" x14ac:dyDescent="0.2">
      <c r="A15" s="36">
        <v>9</v>
      </c>
      <c r="B15" s="37" t="s">
        <v>401</v>
      </c>
      <c r="C15" s="37" t="s">
        <v>402</v>
      </c>
      <c r="D15" s="37" t="s">
        <v>19</v>
      </c>
      <c r="E15" s="38">
        <v>244610</v>
      </c>
      <c r="F15" s="39">
        <v>5581.51098</v>
      </c>
      <c r="G15" s="40">
        <v>1.8154590270769915E-2</v>
      </c>
      <c r="H15" s="101"/>
      <c r="I15" s="73"/>
    </row>
    <row r="16" spans="1:17" x14ac:dyDescent="0.2">
      <c r="A16" s="36">
        <v>10</v>
      </c>
      <c r="B16" s="6" t="s">
        <v>20</v>
      </c>
      <c r="C16" s="6" t="s">
        <v>21</v>
      </c>
      <c r="D16" s="6" t="s">
        <v>22</v>
      </c>
      <c r="E16" s="7">
        <v>752230</v>
      </c>
      <c r="F16" s="8">
        <v>5143.74874</v>
      </c>
      <c r="G16" s="9">
        <v>1.6730711659459822E-2</v>
      </c>
      <c r="H16" s="101"/>
      <c r="I16" s="73"/>
    </row>
    <row r="17" spans="1:9" ht="25.5" x14ac:dyDescent="0.2">
      <c r="A17" s="36">
        <v>11</v>
      </c>
      <c r="B17" s="6" t="s">
        <v>622</v>
      </c>
      <c r="C17" s="6" t="s">
        <v>623</v>
      </c>
      <c r="D17" s="6" t="s">
        <v>202</v>
      </c>
      <c r="E17" s="7">
        <v>567883</v>
      </c>
      <c r="F17" s="8">
        <v>5101.0090474999997</v>
      </c>
      <c r="G17" s="9">
        <v>1.6591695251821009E-2</v>
      </c>
      <c r="H17" s="101"/>
      <c r="I17" s="73"/>
    </row>
    <row r="18" spans="1:9" x14ac:dyDescent="0.2">
      <c r="A18" s="36">
        <v>12</v>
      </c>
      <c r="B18" s="37" t="s">
        <v>315</v>
      </c>
      <c r="C18" s="37" t="s">
        <v>316</v>
      </c>
      <c r="D18" s="37" t="s">
        <v>25</v>
      </c>
      <c r="E18" s="38">
        <v>738925</v>
      </c>
      <c r="F18" s="39">
        <v>5013.9755875000001</v>
      </c>
      <c r="G18" s="40">
        <v>1.6308607605517132E-2</v>
      </c>
      <c r="H18" s="101"/>
      <c r="I18" s="73"/>
    </row>
    <row r="19" spans="1:9" x14ac:dyDescent="0.2">
      <c r="A19" s="36">
        <v>13</v>
      </c>
      <c r="B19" s="37" t="s">
        <v>39</v>
      </c>
      <c r="C19" s="37" t="s">
        <v>40</v>
      </c>
      <c r="D19" s="37" t="s">
        <v>16</v>
      </c>
      <c r="E19" s="38">
        <v>1169964</v>
      </c>
      <c r="F19" s="39">
        <v>4509.6262379999998</v>
      </c>
      <c r="G19" s="40">
        <v>1.4668145761706185E-2</v>
      </c>
      <c r="H19" s="101"/>
      <c r="I19" s="73"/>
    </row>
    <row r="20" spans="1:9" x14ac:dyDescent="0.2">
      <c r="A20" s="36">
        <v>14</v>
      </c>
      <c r="B20" s="6" t="s">
        <v>354</v>
      </c>
      <c r="C20" s="6" t="s">
        <v>355</v>
      </c>
      <c r="D20" s="6" t="s">
        <v>356</v>
      </c>
      <c r="E20" s="7">
        <v>142045</v>
      </c>
      <c r="F20" s="8">
        <v>4309.9293900000002</v>
      </c>
      <c r="G20" s="9">
        <v>1.4018605795414798E-2</v>
      </c>
      <c r="H20" s="101"/>
      <c r="I20" s="73"/>
    </row>
    <row r="21" spans="1:9" x14ac:dyDescent="0.2">
      <c r="A21" s="36">
        <v>15</v>
      </c>
      <c r="B21" s="6" t="s">
        <v>381</v>
      </c>
      <c r="C21" s="6" t="s">
        <v>382</v>
      </c>
      <c r="D21" s="6" t="s">
        <v>1183</v>
      </c>
      <c r="E21" s="7">
        <v>26250</v>
      </c>
      <c r="F21" s="8">
        <v>4306.6274999999996</v>
      </c>
      <c r="G21" s="9">
        <v>1.4007865968818745E-2</v>
      </c>
      <c r="H21" s="101"/>
      <c r="I21" s="73"/>
    </row>
    <row r="22" spans="1:9" x14ac:dyDescent="0.2">
      <c r="A22" s="36">
        <v>16</v>
      </c>
      <c r="B22" s="37" t="s">
        <v>301</v>
      </c>
      <c r="C22" s="37" t="s">
        <v>302</v>
      </c>
      <c r="D22" s="37" t="s">
        <v>147</v>
      </c>
      <c r="E22" s="38">
        <v>90073</v>
      </c>
      <c r="F22" s="39">
        <v>4305.4894000000004</v>
      </c>
      <c r="G22" s="40">
        <v>1.4004164150572542E-2</v>
      </c>
      <c r="H22" s="101"/>
      <c r="I22" s="73"/>
    </row>
    <row r="23" spans="1:9" x14ac:dyDescent="0.2">
      <c r="A23" s="36">
        <v>17</v>
      </c>
      <c r="B23" s="37" t="s">
        <v>336</v>
      </c>
      <c r="C23" s="37" t="s">
        <v>337</v>
      </c>
      <c r="D23" s="6" t="s">
        <v>193</v>
      </c>
      <c r="E23" s="38">
        <v>111230</v>
      </c>
      <c r="F23" s="39">
        <v>4298.5389649999997</v>
      </c>
      <c r="G23" s="40">
        <v>1.3981556956914628E-2</v>
      </c>
      <c r="H23" s="101"/>
      <c r="I23" s="73"/>
    </row>
    <row r="24" spans="1:9" x14ac:dyDescent="0.2">
      <c r="A24" s="36">
        <v>18</v>
      </c>
      <c r="B24" s="6" t="s">
        <v>369</v>
      </c>
      <c r="C24" s="6" t="s">
        <v>370</v>
      </c>
      <c r="D24" s="6" t="s">
        <v>147</v>
      </c>
      <c r="E24" s="7">
        <v>307173</v>
      </c>
      <c r="F24" s="8">
        <v>4051.9190429999999</v>
      </c>
      <c r="G24" s="9">
        <v>1.3179393590657265E-2</v>
      </c>
      <c r="H24" s="101"/>
      <c r="I24" s="73"/>
    </row>
    <row r="25" spans="1:9" x14ac:dyDescent="0.2">
      <c r="A25" s="36">
        <v>19</v>
      </c>
      <c r="B25" s="6" t="s">
        <v>203</v>
      </c>
      <c r="C25" s="6" t="s">
        <v>204</v>
      </c>
      <c r="D25" s="6" t="s">
        <v>81</v>
      </c>
      <c r="E25" s="7">
        <v>515226</v>
      </c>
      <c r="F25" s="8">
        <v>3988.879692</v>
      </c>
      <c r="G25" s="9">
        <v>1.2974349904020955E-2</v>
      </c>
      <c r="H25" s="101"/>
      <c r="I25" s="73"/>
    </row>
    <row r="26" spans="1:9" ht="25.5" x14ac:dyDescent="0.2">
      <c r="A26" s="36">
        <v>20</v>
      </c>
      <c r="B26" s="6" t="s">
        <v>28</v>
      </c>
      <c r="C26" s="6" t="s">
        <v>29</v>
      </c>
      <c r="D26" s="6" t="s">
        <v>1185</v>
      </c>
      <c r="E26" s="7">
        <v>50852</v>
      </c>
      <c r="F26" s="8">
        <v>3860.200746</v>
      </c>
      <c r="G26" s="9">
        <v>1.2555804899007898E-2</v>
      </c>
      <c r="H26" s="101"/>
      <c r="I26" s="73"/>
    </row>
    <row r="27" spans="1:9" ht="25.5" x14ac:dyDescent="0.2">
      <c r="A27" s="36">
        <v>21</v>
      </c>
      <c r="B27" s="37" t="s">
        <v>319</v>
      </c>
      <c r="C27" s="37" t="s">
        <v>320</v>
      </c>
      <c r="D27" s="37" t="s">
        <v>202</v>
      </c>
      <c r="E27" s="38">
        <v>418314</v>
      </c>
      <c r="F27" s="39">
        <v>3715.8832620000003</v>
      </c>
      <c r="G27" s="40">
        <v>1.2086393515546212E-2</v>
      </c>
      <c r="H27" s="101"/>
      <c r="I27" s="73"/>
    </row>
    <row r="28" spans="1:9" ht="25.5" x14ac:dyDescent="0.2">
      <c r="A28" s="36">
        <v>22</v>
      </c>
      <c r="B28" s="37" t="s">
        <v>811</v>
      </c>
      <c r="C28" s="37" t="s">
        <v>812</v>
      </c>
      <c r="D28" s="37" t="s">
        <v>202</v>
      </c>
      <c r="E28" s="38">
        <v>22304</v>
      </c>
      <c r="F28" s="39">
        <v>3448.0534240000002</v>
      </c>
      <c r="G28" s="40">
        <v>1.1215242139404571E-2</v>
      </c>
      <c r="H28" s="101"/>
      <c r="I28" s="73"/>
    </row>
    <row r="29" spans="1:9" x14ac:dyDescent="0.2">
      <c r="A29" s="36">
        <v>23</v>
      </c>
      <c r="B29" s="6" t="s">
        <v>375</v>
      </c>
      <c r="C29" s="6" t="s">
        <v>376</v>
      </c>
      <c r="D29" s="6" t="s">
        <v>238</v>
      </c>
      <c r="E29" s="7">
        <v>280554</v>
      </c>
      <c r="F29" s="8">
        <v>3436.3656689999998</v>
      </c>
      <c r="G29" s="9">
        <v>1.1177226196415214E-2</v>
      </c>
      <c r="H29" s="101"/>
      <c r="I29" s="73"/>
    </row>
    <row r="30" spans="1:9" x14ac:dyDescent="0.2">
      <c r="A30" s="36">
        <v>24</v>
      </c>
      <c r="B30" s="37" t="s">
        <v>82</v>
      </c>
      <c r="C30" s="37" t="s">
        <v>83</v>
      </c>
      <c r="D30" s="37" t="s">
        <v>73</v>
      </c>
      <c r="E30" s="38">
        <v>713448</v>
      </c>
      <c r="F30" s="39">
        <v>3356.0593920000001</v>
      </c>
      <c r="G30" s="40">
        <v>1.0916019587608015E-2</v>
      </c>
      <c r="H30" s="101"/>
      <c r="I30" s="73"/>
    </row>
    <row r="31" spans="1:9" x14ac:dyDescent="0.2">
      <c r="A31" s="36">
        <v>25</v>
      </c>
      <c r="B31" s="37" t="s">
        <v>205</v>
      </c>
      <c r="C31" s="37" t="s">
        <v>206</v>
      </c>
      <c r="D31" s="6" t="s">
        <v>1187</v>
      </c>
      <c r="E31" s="38">
        <v>552800</v>
      </c>
      <c r="F31" s="39">
        <v>3108.6707999999999</v>
      </c>
      <c r="G31" s="40">
        <v>1.0111356022219369E-2</v>
      </c>
      <c r="H31" s="101"/>
      <c r="I31" s="73"/>
    </row>
    <row r="32" spans="1:9" x14ac:dyDescent="0.2">
      <c r="A32" s="36">
        <v>26</v>
      </c>
      <c r="B32" s="37" t="s">
        <v>76</v>
      </c>
      <c r="C32" s="37" t="s">
        <v>77</v>
      </c>
      <c r="D32" s="37" t="s">
        <v>78</v>
      </c>
      <c r="E32" s="38">
        <v>2496366</v>
      </c>
      <c r="F32" s="39">
        <v>3056.8001669999999</v>
      </c>
      <c r="G32" s="40">
        <v>9.9426400432353988E-3</v>
      </c>
      <c r="H32" s="101"/>
      <c r="I32" s="73"/>
    </row>
    <row r="33" spans="1:9" x14ac:dyDescent="0.2">
      <c r="A33" s="36">
        <v>27</v>
      </c>
      <c r="B33" s="6" t="s">
        <v>647</v>
      </c>
      <c r="C33" s="6" t="s">
        <v>648</v>
      </c>
      <c r="D33" s="6" t="s">
        <v>25</v>
      </c>
      <c r="E33" s="7">
        <v>1284263</v>
      </c>
      <c r="F33" s="8">
        <v>3021.8708390000002</v>
      </c>
      <c r="G33" s="9">
        <v>9.829027861776727E-3</v>
      </c>
      <c r="H33" s="101"/>
      <c r="I33" s="73"/>
    </row>
    <row r="34" spans="1:9" x14ac:dyDescent="0.2">
      <c r="A34" s="36">
        <v>28</v>
      </c>
      <c r="B34" s="37" t="s">
        <v>444</v>
      </c>
      <c r="C34" s="37" t="s">
        <v>445</v>
      </c>
      <c r="D34" s="37" t="s">
        <v>193</v>
      </c>
      <c r="E34" s="38">
        <v>55996</v>
      </c>
      <c r="F34" s="39">
        <v>2619.6048719999999</v>
      </c>
      <c r="G34" s="40">
        <v>8.5206054942621769E-3</v>
      </c>
      <c r="H34" s="101"/>
      <c r="I34" s="73"/>
    </row>
    <row r="35" spans="1:9" ht="25.5" x14ac:dyDescent="0.2">
      <c r="A35" s="36">
        <v>29</v>
      </c>
      <c r="B35" s="37" t="s">
        <v>395</v>
      </c>
      <c r="C35" s="37" t="s">
        <v>396</v>
      </c>
      <c r="D35" s="37" t="s">
        <v>202</v>
      </c>
      <c r="E35" s="38">
        <v>343773</v>
      </c>
      <c r="F35" s="39">
        <v>2555.7803684999999</v>
      </c>
      <c r="G35" s="40">
        <v>8.3130079970199847E-3</v>
      </c>
      <c r="H35" s="101"/>
      <c r="I35" s="73"/>
    </row>
    <row r="36" spans="1:9" ht="25.5" x14ac:dyDescent="0.2">
      <c r="A36" s="36">
        <v>30</v>
      </c>
      <c r="B36" s="37" t="s">
        <v>425</v>
      </c>
      <c r="C36" s="37" t="s">
        <v>426</v>
      </c>
      <c r="D36" s="37" t="s">
        <v>202</v>
      </c>
      <c r="E36" s="38">
        <v>105070</v>
      </c>
      <c r="F36" s="39">
        <v>2479.8096049999999</v>
      </c>
      <c r="G36" s="40">
        <v>8.0659032096528794E-3</v>
      </c>
      <c r="H36" s="101"/>
      <c r="I36" s="73"/>
    </row>
    <row r="37" spans="1:9" x14ac:dyDescent="0.2">
      <c r="A37" s="36">
        <v>31</v>
      </c>
      <c r="B37" s="6" t="s">
        <v>344</v>
      </c>
      <c r="C37" s="6" t="s">
        <v>345</v>
      </c>
      <c r="D37" s="6" t="s">
        <v>81</v>
      </c>
      <c r="E37" s="7">
        <v>197458</v>
      </c>
      <c r="F37" s="8">
        <v>2403.0638600000002</v>
      </c>
      <c r="G37" s="9">
        <v>7.8162776941800103E-3</v>
      </c>
      <c r="H37" s="101"/>
      <c r="I37" s="73"/>
    </row>
    <row r="38" spans="1:9" x14ac:dyDescent="0.2">
      <c r="A38" s="36">
        <v>32</v>
      </c>
      <c r="B38" s="6" t="s">
        <v>488</v>
      </c>
      <c r="C38" s="6" t="s">
        <v>489</v>
      </c>
      <c r="D38" s="6" t="s">
        <v>78</v>
      </c>
      <c r="E38" s="7">
        <v>29940</v>
      </c>
      <c r="F38" s="8">
        <v>2223.4791300000002</v>
      </c>
      <c r="G38" s="9">
        <v>7.2321550070224821E-3</v>
      </c>
      <c r="H38" s="101"/>
      <c r="I38" s="73"/>
    </row>
    <row r="39" spans="1:9" x14ac:dyDescent="0.2">
      <c r="A39" s="36">
        <v>33</v>
      </c>
      <c r="B39" s="37" t="s">
        <v>468</v>
      </c>
      <c r="C39" s="37" t="s">
        <v>469</v>
      </c>
      <c r="D39" s="37" t="s">
        <v>78</v>
      </c>
      <c r="E39" s="38">
        <v>452471</v>
      </c>
      <c r="F39" s="39">
        <v>2182.720104</v>
      </c>
      <c r="G39" s="40">
        <v>7.0995809747367552E-3</v>
      </c>
      <c r="H39" s="101"/>
      <c r="I39" s="73"/>
    </row>
    <row r="40" spans="1:9" x14ac:dyDescent="0.2">
      <c r="A40" s="36">
        <v>34</v>
      </c>
      <c r="B40" s="37" t="s">
        <v>419</v>
      </c>
      <c r="C40" s="37" t="s">
        <v>420</v>
      </c>
      <c r="D40" s="6" t="s">
        <v>1183</v>
      </c>
      <c r="E40" s="38">
        <v>177663</v>
      </c>
      <c r="F40" s="39">
        <v>2124.8494799999999</v>
      </c>
      <c r="G40" s="40">
        <v>6.911349244798675E-3</v>
      </c>
      <c r="H40" s="101"/>
      <c r="I40" s="73"/>
    </row>
    <row r="41" spans="1:9" x14ac:dyDescent="0.2">
      <c r="A41" s="36">
        <v>35</v>
      </c>
      <c r="B41" s="37" t="s">
        <v>423</v>
      </c>
      <c r="C41" s="37" t="s">
        <v>424</v>
      </c>
      <c r="D41" s="37" t="s">
        <v>193</v>
      </c>
      <c r="E41" s="38">
        <v>232707</v>
      </c>
      <c r="F41" s="39">
        <v>1968.003099</v>
      </c>
      <c r="G41" s="40">
        <v>6.4011859946122417E-3</v>
      </c>
      <c r="H41" s="101"/>
      <c r="I41" s="73"/>
    </row>
    <row r="42" spans="1:9" x14ac:dyDescent="0.2">
      <c r="A42" s="36">
        <v>36</v>
      </c>
      <c r="B42" s="6" t="s">
        <v>359</v>
      </c>
      <c r="C42" s="6" t="s">
        <v>360</v>
      </c>
      <c r="D42" s="6" t="s">
        <v>70</v>
      </c>
      <c r="E42" s="7">
        <v>35451</v>
      </c>
      <c r="F42" s="8">
        <v>1953.1905704999999</v>
      </c>
      <c r="G42" s="9">
        <v>6.3530063194749539E-3</v>
      </c>
      <c r="H42" s="101"/>
      <c r="I42" s="73"/>
    </row>
    <row r="43" spans="1:9" x14ac:dyDescent="0.2">
      <c r="A43" s="36">
        <v>37</v>
      </c>
      <c r="B43" s="6" t="s">
        <v>90</v>
      </c>
      <c r="C43" s="6" t="s">
        <v>91</v>
      </c>
      <c r="D43" s="6" t="s">
        <v>19</v>
      </c>
      <c r="E43" s="7">
        <v>21525</v>
      </c>
      <c r="F43" s="8">
        <v>1890.8421000000001</v>
      </c>
      <c r="G43" s="9">
        <v>6.1502098115055861E-3</v>
      </c>
      <c r="H43" s="101"/>
      <c r="I43" s="73"/>
    </row>
    <row r="44" spans="1:9" x14ac:dyDescent="0.2">
      <c r="A44" s="36">
        <v>38</v>
      </c>
      <c r="B44" s="37" t="s">
        <v>434</v>
      </c>
      <c r="C44" s="37" t="s">
        <v>435</v>
      </c>
      <c r="D44" s="6" t="s">
        <v>238</v>
      </c>
      <c r="E44" s="38">
        <v>246000</v>
      </c>
      <c r="F44" s="39">
        <v>1829.133</v>
      </c>
      <c r="G44" s="40">
        <v>5.9494929392299055E-3</v>
      </c>
      <c r="H44" s="101"/>
      <c r="I44" s="73"/>
    </row>
    <row r="45" spans="1:9" x14ac:dyDescent="0.2">
      <c r="A45" s="36">
        <v>39</v>
      </c>
      <c r="B45" s="37" t="s">
        <v>429</v>
      </c>
      <c r="C45" s="37" t="s">
        <v>430</v>
      </c>
      <c r="D45" s="37" t="s">
        <v>431</v>
      </c>
      <c r="E45" s="38">
        <v>381012</v>
      </c>
      <c r="F45" s="39">
        <v>1811.9025659999998</v>
      </c>
      <c r="G45" s="40">
        <v>5.8934487120343611E-3</v>
      </c>
      <c r="H45" s="101"/>
      <c r="I45" s="73"/>
    </row>
    <row r="46" spans="1:9" x14ac:dyDescent="0.2">
      <c r="A46" s="36">
        <v>40</v>
      </c>
      <c r="B46" s="37" t="s">
        <v>448</v>
      </c>
      <c r="C46" s="37" t="s">
        <v>449</v>
      </c>
      <c r="D46" s="37" t="s">
        <v>70</v>
      </c>
      <c r="E46" s="38">
        <v>70687</v>
      </c>
      <c r="F46" s="39">
        <v>1783.0088879999998</v>
      </c>
      <c r="G46" s="40">
        <v>5.7994682670643224E-3</v>
      </c>
      <c r="H46" s="101"/>
      <c r="I46" s="73"/>
    </row>
    <row r="47" spans="1:9" x14ac:dyDescent="0.2">
      <c r="A47" s="36">
        <v>41</v>
      </c>
      <c r="B47" s="37" t="s">
        <v>440</v>
      </c>
      <c r="C47" s="37" t="s">
        <v>441</v>
      </c>
      <c r="D47" s="37" t="s">
        <v>25</v>
      </c>
      <c r="E47" s="38">
        <v>90523</v>
      </c>
      <c r="F47" s="39">
        <v>1625.883603</v>
      </c>
      <c r="G47" s="40">
        <v>5.28839784534978E-3</v>
      </c>
      <c r="H47" s="101"/>
      <c r="I47" s="73"/>
    </row>
    <row r="48" spans="1:9" ht="25.5" x14ac:dyDescent="0.2">
      <c r="A48" s="36">
        <v>42</v>
      </c>
      <c r="B48" s="37" t="s">
        <v>387</v>
      </c>
      <c r="C48" s="37" t="s">
        <v>388</v>
      </c>
      <c r="D48" s="6" t="s">
        <v>1185</v>
      </c>
      <c r="E48" s="38">
        <v>85529</v>
      </c>
      <c r="F48" s="39">
        <v>1580.490391</v>
      </c>
      <c r="G48" s="40">
        <v>5.1407505204789442E-3</v>
      </c>
      <c r="H48" s="101"/>
      <c r="I48" s="73"/>
    </row>
    <row r="49" spans="1:9" x14ac:dyDescent="0.2">
      <c r="A49" s="36">
        <v>43</v>
      </c>
      <c r="B49" s="6" t="s">
        <v>88</v>
      </c>
      <c r="C49" s="6" t="s">
        <v>89</v>
      </c>
      <c r="D49" s="6" t="s">
        <v>53</v>
      </c>
      <c r="E49" s="7">
        <v>331864</v>
      </c>
      <c r="F49" s="8">
        <v>1575.5243399999999</v>
      </c>
      <c r="G49" s="9">
        <v>5.1245977938262867E-3</v>
      </c>
      <c r="H49" s="101"/>
      <c r="I49" s="73"/>
    </row>
    <row r="50" spans="1:9" x14ac:dyDescent="0.2">
      <c r="A50" s="36">
        <v>44</v>
      </c>
      <c r="B50" s="37" t="s">
        <v>462</v>
      </c>
      <c r="C50" s="37" t="s">
        <v>463</v>
      </c>
      <c r="D50" s="37" t="s">
        <v>81</v>
      </c>
      <c r="E50" s="38">
        <v>21606</v>
      </c>
      <c r="F50" s="39">
        <v>1507.5154379999999</v>
      </c>
      <c r="G50" s="40">
        <v>4.9033899963321845E-3</v>
      </c>
      <c r="H50" s="101"/>
      <c r="I50" s="73"/>
    </row>
    <row r="51" spans="1:9" x14ac:dyDescent="0.2">
      <c r="A51" s="36">
        <v>45</v>
      </c>
      <c r="B51" s="6" t="s">
        <v>181</v>
      </c>
      <c r="C51" s="6" t="s">
        <v>182</v>
      </c>
      <c r="D51" s="6" t="s">
        <v>1189</v>
      </c>
      <c r="E51" s="7">
        <v>171598</v>
      </c>
      <c r="F51" s="8">
        <v>1469.4794730000001</v>
      </c>
      <c r="G51" s="9">
        <v>4.779673074050265E-3</v>
      </c>
      <c r="H51" s="101"/>
      <c r="I51" s="73"/>
    </row>
    <row r="52" spans="1:9" ht="25.5" x14ac:dyDescent="0.2">
      <c r="A52" s="36">
        <v>46</v>
      </c>
      <c r="B52" s="37" t="s">
        <v>472</v>
      </c>
      <c r="C52" s="37" t="s">
        <v>473</v>
      </c>
      <c r="D52" s="37" t="s">
        <v>45</v>
      </c>
      <c r="E52" s="38">
        <v>80000</v>
      </c>
      <c r="F52" s="39">
        <v>1314.48</v>
      </c>
      <c r="G52" s="40">
        <v>4.2755171323019849E-3</v>
      </c>
      <c r="H52" s="101"/>
      <c r="I52" s="73"/>
    </row>
    <row r="53" spans="1:9" x14ac:dyDescent="0.2">
      <c r="A53" s="36">
        <v>47</v>
      </c>
      <c r="B53" s="6" t="s">
        <v>35</v>
      </c>
      <c r="C53" s="6" t="s">
        <v>36</v>
      </c>
      <c r="D53" s="6" t="s">
        <v>19</v>
      </c>
      <c r="E53" s="7">
        <v>52000</v>
      </c>
      <c r="F53" s="8">
        <v>1282.58</v>
      </c>
      <c r="G53" s="9">
        <v>4.1717582340909552E-3</v>
      </c>
      <c r="H53" s="101"/>
      <c r="I53" s="73"/>
    </row>
    <row r="54" spans="1:9" x14ac:dyDescent="0.2">
      <c r="A54" s="36">
        <v>48</v>
      </c>
      <c r="B54" s="37" t="s">
        <v>470</v>
      </c>
      <c r="C54" s="37" t="s">
        <v>471</v>
      </c>
      <c r="D54" s="37" t="s">
        <v>327</v>
      </c>
      <c r="E54" s="38">
        <v>26533</v>
      </c>
      <c r="F54" s="39">
        <v>1239.4758285</v>
      </c>
      <c r="G54" s="40">
        <v>4.0315563111085351E-3</v>
      </c>
      <c r="H54" s="101"/>
      <c r="I54" s="73"/>
    </row>
    <row r="55" spans="1:9" x14ac:dyDescent="0.2">
      <c r="A55" s="36">
        <v>49</v>
      </c>
      <c r="B55" s="37" t="s">
        <v>450</v>
      </c>
      <c r="C55" s="37" t="s">
        <v>451</v>
      </c>
      <c r="D55" s="37" t="s">
        <v>193</v>
      </c>
      <c r="E55" s="38">
        <v>129652</v>
      </c>
      <c r="F55" s="39">
        <v>1224.0445319999999</v>
      </c>
      <c r="G55" s="40">
        <v>3.9813640125879162E-3</v>
      </c>
      <c r="H55" s="101"/>
      <c r="I55" s="73"/>
    </row>
    <row r="56" spans="1:9" x14ac:dyDescent="0.2">
      <c r="A56" s="36">
        <v>50</v>
      </c>
      <c r="B56" s="6" t="s">
        <v>427</v>
      </c>
      <c r="C56" s="6" t="s">
        <v>428</v>
      </c>
      <c r="D56" s="6" t="s">
        <v>147</v>
      </c>
      <c r="E56" s="7">
        <v>68000</v>
      </c>
      <c r="F56" s="8">
        <v>1217.5740000000001</v>
      </c>
      <c r="G56" s="9">
        <v>3.9603177658431143E-3</v>
      </c>
      <c r="H56" s="101"/>
      <c r="I56" s="73"/>
    </row>
    <row r="57" spans="1:9" x14ac:dyDescent="0.2">
      <c r="A57" s="36">
        <v>51</v>
      </c>
      <c r="B57" s="6" t="s">
        <v>303</v>
      </c>
      <c r="C57" s="6" t="s">
        <v>304</v>
      </c>
      <c r="D57" s="6" t="s">
        <v>174</v>
      </c>
      <c r="E57" s="7">
        <v>24177</v>
      </c>
      <c r="F57" s="8">
        <v>1212.0897179999999</v>
      </c>
      <c r="G57" s="9">
        <v>3.9424794254732526E-3</v>
      </c>
      <c r="H57" s="101"/>
      <c r="I57" s="73"/>
    </row>
    <row r="58" spans="1:9" x14ac:dyDescent="0.2">
      <c r="A58" s="36">
        <v>52</v>
      </c>
      <c r="B58" s="6" t="s">
        <v>307</v>
      </c>
      <c r="C58" s="6" t="s">
        <v>308</v>
      </c>
      <c r="D58" s="6" t="s">
        <v>185</v>
      </c>
      <c r="E58" s="7">
        <v>45700</v>
      </c>
      <c r="F58" s="8">
        <v>1105.9857</v>
      </c>
      <c r="G58" s="9">
        <v>3.5973623093778551E-3</v>
      </c>
      <c r="H58" s="101"/>
      <c r="I58" s="73"/>
    </row>
    <row r="59" spans="1:9" x14ac:dyDescent="0.2">
      <c r="A59" s="36">
        <v>53</v>
      </c>
      <c r="B59" s="6" t="s">
        <v>474</v>
      </c>
      <c r="C59" s="6" t="s">
        <v>475</v>
      </c>
      <c r="D59" s="6" t="s">
        <v>25</v>
      </c>
      <c r="E59" s="7">
        <v>530000</v>
      </c>
      <c r="F59" s="8">
        <v>1059.7349999999999</v>
      </c>
      <c r="G59" s="9">
        <v>3.4469258932810264E-3</v>
      </c>
      <c r="H59" s="101"/>
      <c r="I59" s="73"/>
    </row>
    <row r="60" spans="1:9" x14ac:dyDescent="0.2">
      <c r="A60" s="36">
        <v>54</v>
      </c>
      <c r="B60" s="37" t="s">
        <v>516</v>
      </c>
      <c r="C60" s="37" t="s">
        <v>517</v>
      </c>
      <c r="D60" s="37" t="s">
        <v>147</v>
      </c>
      <c r="E60" s="38">
        <v>14000</v>
      </c>
      <c r="F60" s="39">
        <v>1026.48</v>
      </c>
      <c r="G60" s="40">
        <v>3.3387596813685572E-3</v>
      </c>
      <c r="H60" s="101"/>
      <c r="I60" s="73"/>
    </row>
    <row r="61" spans="1:9" x14ac:dyDescent="0.2">
      <c r="A61" s="36">
        <v>55</v>
      </c>
      <c r="B61" s="37" t="s">
        <v>421</v>
      </c>
      <c r="C61" s="37" t="s">
        <v>422</v>
      </c>
      <c r="D61" s="37" t="s">
        <v>147</v>
      </c>
      <c r="E61" s="38">
        <v>140000</v>
      </c>
      <c r="F61" s="39">
        <v>1001.49</v>
      </c>
      <c r="G61" s="40">
        <v>3.2574764567198547E-3</v>
      </c>
      <c r="H61" s="101"/>
      <c r="I61" s="73"/>
    </row>
    <row r="62" spans="1:9" x14ac:dyDescent="0.2">
      <c r="A62" s="36">
        <v>56</v>
      </c>
      <c r="B62" s="6" t="s">
        <v>454</v>
      </c>
      <c r="C62" s="6" t="s">
        <v>455</v>
      </c>
      <c r="D62" s="6" t="s">
        <v>238</v>
      </c>
      <c r="E62" s="7">
        <v>431851</v>
      </c>
      <c r="F62" s="8">
        <v>964.32328299999995</v>
      </c>
      <c r="G62" s="9">
        <v>3.1365868765931737E-3</v>
      </c>
      <c r="H62" s="101"/>
      <c r="I62" s="73"/>
    </row>
    <row r="63" spans="1:9" ht="25.5" x14ac:dyDescent="0.2">
      <c r="A63" s="36">
        <v>57</v>
      </c>
      <c r="B63" s="37" t="s">
        <v>436</v>
      </c>
      <c r="C63" s="37" t="s">
        <v>437</v>
      </c>
      <c r="D63" s="37" t="s">
        <v>202</v>
      </c>
      <c r="E63" s="38">
        <v>435000</v>
      </c>
      <c r="F63" s="39">
        <v>948.51750000000004</v>
      </c>
      <c r="G63" s="40">
        <v>3.0851765120338444E-3</v>
      </c>
      <c r="H63" s="101"/>
      <c r="I63" s="73"/>
    </row>
    <row r="64" spans="1:9" x14ac:dyDescent="0.2">
      <c r="A64" s="36">
        <v>58</v>
      </c>
      <c r="B64" s="37" t="s">
        <v>367</v>
      </c>
      <c r="C64" s="37" t="s">
        <v>368</v>
      </c>
      <c r="D64" s="37" t="s">
        <v>147</v>
      </c>
      <c r="E64" s="38">
        <v>27000</v>
      </c>
      <c r="F64" s="39">
        <v>917.10900000000004</v>
      </c>
      <c r="G64" s="40">
        <v>2.9830162814864745E-3</v>
      </c>
      <c r="H64" s="101"/>
      <c r="I64" s="73"/>
    </row>
    <row r="65" spans="1:17" x14ac:dyDescent="0.2">
      <c r="A65" s="36">
        <v>59</v>
      </c>
      <c r="B65" s="37" t="s">
        <v>676</v>
      </c>
      <c r="C65" s="37" t="s">
        <v>677</v>
      </c>
      <c r="D65" s="37" t="s">
        <v>53</v>
      </c>
      <c r="E65" s="38">
        <v>105000</v>
      </c>
      <c r="F65" s="39">
        <v>904.89</v>
      </c>
      <c r="G65" s="40">
        <v>2.9432723950526011E-3</v>
      </c>
      <c r="H65" s="101"/>
      <c r="I65" s="73"/>
    </row>
    <row r="66" spans="1:17" x14ac:dyDescent="0.2">
      <c r="A66" s="36">
        <v>60</v>
      </c>
      <c r="B66" s="6" t="s">
        <v>528</v>
      </c>
      <c r="C66" s="6" t="s">
        <v>529</v>
      </c>
      <c r="D66" s="6" t="s">
        <v>147</v>
      </c>
      <c r="E66" s="7">
        <v>15200</v>
      </c>
      <c r="F66" s="8">
        <v>895.33320000000003</v>
      </c>
      <c r="G66" s="9">
        <v>2.9121876603057937E-3</v>
      </c>
      <c r="H66" s="101"/>
      <c r="I66" s="73"/>
    </row>
    <row r="67" spans="1:17" x14ac:dyDescent="0.2">
      <c r="A67" s="36">
        <v>61</v>
      </c>
      <c r="B67" s="37" t="s">
        <v>350</v>
      </c>
      <c r="C67" s="37" t="s">
        <v>351</v>
      </c>
      <c r="D67" s="37" t="s">
        <v>25</v>
      </c>
      <c r="E67" s="38">
        <v>1017331</v>
      </c>
      <c r="F67" s="39">
        <v>833.70275449999997</v>
      </c>
      <c r="G67" s="40">
        <v>2.711726622019434E-3</v>
      </c>
      <c r="H67" s="101"/>
      <c r="I67" s="73"/>
    </row>
    <row r="68" spans="1:17" x14ac:dyDescent="0.2">
      <c r="A68" s="36">
        <v>62</v>
      </c>
      <c r="B68" s="6" t="s">
        <v>361</v>
      </c>
      <c r="C68" s="6" t="s">
        <v>362</v>
      </c>
      <c r="D68" s="6" t="s">
        <v>185</v>
      </c>
      <c r="E68" s="7">
        <v>82442</v>
      </c>
      <c r="F68" s="8">
        <v>828.21233199999995</v>
      </c>
      <c r="G68" s="9">
        <v>2.6938683088748245E-3</v>
      </c>
      <c r="H68" s="101"/>
      <c r="I68" s="73"/>
    </row>
    <row r="69" spans="1:17" x14ac:dyDescent="0.2">
      <c r="A69" s="36">
        <v>63</v>
      </c>
      <c r="B69" s="6" t="s">
        <v>522</v>
      </c>
      <c r="C69" s="6" t="s">
        <v>523</v>
      </c>
      <c r="D69" s="6" t="s">
        <v>34</v>
      </c>
      <c r="E69" s="7">
        <v>655000</v>
      </c>
      <c r="F69" s="8">
        <v>814.82</v>
      </c>
      <c r="G69" s="9">
        <v>2.6503080075332476E-3</v>
      </c>
      <c r="H69" s="101"/>
      <c r="I69" s="73"/>
    </row>
    <row r="70" spans="1:17" x14ac:dyDescent="0.2">
      <c r="A70" s="36">
        <v>64</v>
      </c>
      <c r="B70" s="6" t="s">
        <v>61</v>
      </c>
      <c r="C70" s="6" t="s">
        <v>62</v>
      </c>
      <c r="D70" s="6" t="s">
        <v>48</v>
      </c>
      <c r="E70" s="7">
        <v>109708</v>
      </c>
      <c r="F70" s="8">
        <v>801.19752400000004</v>
      </c>
      <c r="G70" s="9">
        <v>2.6059991329042136E-3</v>
      </c>
      <c r="H70" s="101"/>
      <c r="I70" s="73"/>
    </row>
    <row r="71" spans="1:17" x14ac:dyDescent="0.2">
      <c r="A71" s="36">
        <v>65</v>
      </c>
      <c r="B71" s="37" t="s">
        <v>194</v>
      </c>
      <c r="C71" s="37" t="s">
        <v>195</v>
      </c>
      <c r="D71" s="37" t="s">
        <v>53</v>
      </c>
      <c r="E71" s="38">
        <v>79865</v>
      </c>
      <c r="F71" s="39">
        <v>786.94977749999998</v>
      </c>
      <c r="G71" s="40">
        <v>2.5596564846650273E-3</v>
      </c>
      <c r="H71" s="101"/>
      <c r="I71" s="73"/>
    </row>
    <row r="72" spans="1:17" ht="25.5" x14ac:dyDescent="0.2">
      <c r="A72" s="36">
        <v>66</v>
      </c>
      <c r="B72" s="37" t="s">
        <v>317</v>
      </c>
      <c r="C72" s="37" t="s">
        <v>318</v>
      </c>
      <c r="D72" s="37" t="s">
        <v>81</v>
      </c>
      <c r="E72" s="38">
        <v>150000</v>
      </c>
      <c r="F72" s="39">
        <v>780.6</v>
      </c>
      <c r="G72" s="40">
        <v>2.5390030076341439E-3</v>
      </c>
      <c r="H72" s="101"/>
      <c r="I72" s="73"/>
    </row>
    <row r="73" spans="1:17" x14ac:dyDescent="0.2">
      <c r="A73" s="36">
        <v>67</v>
      </c>
      <c r="B73" s="37" t="s">
        <v>550</v>
      </c>
      <c r="C73" s="37" t="s">
        <v>551</v>
      </c>
      <c r="D73" s="6" t="s">
        <v>1186</v>
      </c>
      <c r="E73" s="38">
        <v>57600</v>
      </c>
      <c r="F73" s="39">
        <v>747.82079999999996</v>
      </c>
      <c r="G73" s="40">
        <v>2.4323843970937373E-3</v>
      </c>
      <c r="H73" s="101"/>
      <c r="I73" s="73"/>
    </row>
    <row r="74" spans="1:17" x14ac:dyDescent="0.2">
      <c r="A74" s="36">
        <v>68</v>
      </c>
      <c r="B74" s="6" t="s">
        <v>196</v>
      </c>
      <c r="C74" s="6" t="s">
        <v>197</v>
      </c>
      <c r="D74" s="6" t="s">
        <v>81</v>
      </c>
      <c r="E74" s="7">
        <v>132000</v>
      </c>
      <c r="F74" s="8">
        <v>729.89400000000001</v>
      </c>
      <c r="G74" s="9">
        <v>2.3740751489291774E-3</v>
      </c>
      <c r="H74" s="101"/>
      <c r="I74" s="73"/>
    </row>
    <row r="75" spans="1:17" x14ac:dyDescent="0.2">
      <c r="A75" s="36">
        <v>69</v>
      </c>
      <c r="B75" s="37" t="s">
        <v>438</v>
      </c>
      <c r="C75" s="37" t="s">
        <v>439</v>
      </c>
      <c r="D75" s="37" t="s">
        <v>60</v>
      </c>
      <c r="E75" s="38">
        <v>64778</v>
      </c>
      <c r="F75" s="39">
        <v>719.97508100000005</v>
      </c>
      <c r="G75" s="40">
        <v>2.3418125750456526E-3</v>
      </c>
      <c r="H75" s="101"/>
      <c r="I75" s="73"/>
    </row>
    <row r="76" spans="1:17" ht="25.5" x14ac:dyDescent="0.2">
      <c r="A76" s="36">
        <v>70</v>
      </c>
      <c r="B76" s="37" t="s">
        <v>484</v>
      </c>
      <c r="C76" s="37" t="s">
        <v>485</v>
      </c>
      <c r="D76" s="6" t="s">
        <v>1185</v>
      </c>
      <c r="E76" s="38">
        <v>2620</v>
      </c>
      <c r="F76" s="39">
        <v>707.07119</v>
      </c>
      <c r="G76" s="40">
        <v>2.2998409915724483E-3</v>
      </c>
      <c r="H76" s="101"/>
      <c r="I76" s="73"/>
    </row>
    <row r="77" spans="1:17" x14ac:dyDescent="0.2">
      <c r="A77" s="36">
        <v>71</v>
      </c>
      <c r="B77" s="37" t="s">
        <v>478</v>
      </c>
      <c r="C77" s="37" t="s">
        <v>479</v>
      </c>
      <c r="D77" s="37" t="s">
        <v>185</v>
      </c>
      <c r="E77" s="38">
        <v>7361</v>
      </c>
      <c r="F77" s="39">
        <v>665.36815100000001</v>
      </c>
      <c r="G77" s="40">
        <v>2.1641964342466939E-3</v>
      </c>
      <c r="H77" s="101"/>
      <c r="I77" s="73"/>
      <c r="Q77"/>
    </row>
    <row r="78" spans="1:17" x14ac:dyDescent="0.2">
      <c r="A78" s="36">
        <v>72</v>
      </c>
      <c r="B78" s="37" t="s">
        <v>334</v>
      </c>
      <c r="C78" s="37" t="s">
        <v>335</v>
      </c>
      <c r="D78" s="37" t="s">
        <v>70</v>
      </c>
      <c r="E78" s="38">
        <v>134358</v>
      </c>
      <c r="F78" s="39">
        <v>587.74907099999996</v>
      </c>
      <c r="G78" s="40">
        <v>1.911730283119618E-3</v>
      </c>
      <c r="H78" s="101"/>
      <c r="I78" s="73"/>
    </row>
    <row r="79" spans="1:17" x14ac:dyDescent="0.2">
      <c r="A79" s="36">
        <v>73</v>
      </c>
      <c r="B79" s="6" t="s">
        <v>338</v>
      </c>
      <c r="C79" s="6" t="s">
        <v>339</v>
      </c>
      <c r="D79" s="6" t="s">
        <v>193</v>
      </c>
      <c r="E79" s="7">
        <v>23058</v>
      </c>
      <c r="F79" s="8">
        <v>499.620744</v>
      </c>
      <c r="G79" s="9">
        <v>1.6250814395239669E-3</v>
      </c>
      <c r="H79" s="101"/>
      <c r="I79" s="73"/>
    </row>
    <row r="80" spans="1:17" x14ac:dyDescent="0.2">
      <c r="A80" s="36">
        <v>74</v>
      </c>
      <c r="B80" s="6" t="s">
        <v>597</v>
      </c>
      <c r="C80" s="6" t="s">
        <v>598</v>
      </c>
      <c r="D80" s="6" t="s">
        <v>327</v>
      </c>
      <c r="E80" s="7">
        <v>8957</v>
      </c>
      <c r="F80" s="8">
        <v>499.505019</v>
      </c>
      <c r="G80" s="9">
        <v>1.6247050289128237E-3</v>
      </c>
      <c r="H80" s="101"/>
      <c r="I80" s="73"/>
    </row>
    <row r="81" spans="1:9" x14ac:dyDescent="0.2">
      <c r="A81" s="36">
        <v>75</v>
      </c>
      <c r="B81" s="37" t="s">
        <v>393</v>
      </c>
      <c r="C81" s="37" t="s">
        <v>394</v>
      </c>
      <c r="D81" s="6" t="s">
        <v>70</v>
      </c>
      <c r="E81" s="38">
        <v>96081</v>
      </c>
      <c r="F81" s="39">
        <v>440.24314199999998</v>
      </c>
      <c r="G81" s="40">
        <v>1.4319480676765377E-3</v>
      </c>
      <c r="H81" s="101"/>
      <c r="I81" s="73"/>
    </row>
    <row r="82" spans="1:9" x14ac:dyDescent="0.2">
      <c r="A82" s="36">
        <v>76</v>
      </c>
      <c r="B82" s="37" t="s">
        <v>458</v>
      </c>
      <c r="C82" s="37" t="s">
        <v>459</v>
      </c>
      <c r="D82" s="6" t="s">
        <v>327</v>
      </c>
      <c r="E82" s="38">
        <v>10704</v>
      </c>
      <c r="F82" s="39">
        <v>224.94991200000001</v>
      </c>
      <c r="G82" s="40">
        <v>7.3167884080839864E-4</v>
      </c>
      <c r="H82" s="101"/>
      <c r="I82" s="73"/>
    </row>
    <row r="83" spans="1:9" x14ac:dyDescent="0.2">
      <c r="A83" s="36">
        <v>77</v>
      </c>
      <c r="B83" s="37" t="s">
        <v>442</v>
      </c>
      <c r="C83" s="6" t="s">
        <v>1157</v>
      </c>
      <c r="D83" s="91" t="s">
        <v>22</v>
      </c>
      <c r="E83" s="38">
        <v>53340</v>
      </c>
      <c r="F83" s="39">
        <v>188.10351</v>
      </c>
      <c r="G83" s="40">
        <v>6.1183112687232804E-4</v>
      </c>
      <c r="H83" s="101"/>
      <c r="I83" s="73"/>
    </row>
    <row r="84" spans="1:9" ht="25.5" x14ac:dyDescent="0.2">
      <c r="A84" s="36">
        <v>78</v>
      </c>
      <c r="B84" s="6" t="s">
        <v>502</v>
      </c>
      <c r="C84" s="6" t="s">
        <v>503</v>
      </c>
      <c r="D84" s="6" t="s">
        <v>1188</v>
      </c>
      <c r="E84" s="7">
        <v>15390</v>
      </c>
      <c r="F84" s="8">
        <v>146.25117</v>
      </c>
      <c r="G84" s="9">
        <v>4.7570094862927552E-4</v>
      </c>
      <c r="H84" s="101"/>
      <c r="I84" s="73"/>
    </row>
    <row r="85" spans="1:9" x14ac:dyDescent="0.2">
      <c r="A85" s="34"/>
      <c r="B85" s="34"/>
      <c r="C85" s="35" t="s">
        <v>97</v>
      </c>
      <c r="D85" s="34"/>
      <c r="E85" s="34" t="s">
        <v>98</v>
      </c>
      <c r="F85" s="41">
        <v>228046.15122950001</v>
      </c>
      <c r="G85" s="42">
        <v>0.74174976153099048</v>
      </c>
      <c r="H85" s="101"/>
      <c r="I85" s="73"/>
    </row>
    <row r="86" spans="1:9" x14ac:dyDescent="0.2">
      <c r="A86" s="34"/>
      <c r="B86" s="34"/>
      <c r="C86" s="43"/>
      <c r="D86" s="34"/>
      <c r="E86" s="34"/>
      <c r="F86" s="44"/>
      <c r="G86" s="44"/>
      <c r="H86" s="101"/>
      <c r="I86" s="73"/>
    </row>
    <row r="87" spans="1:9" x14ac:dyDescent="0.2">
      <c r="A87" s="34"/>
      <c r="B87" s="34"/>
      <c r="C87" s="35" t="s">
        <v>99</v>
      </c>
      <c r="D87" s="34"/>
      <c r="E87" s="34"/>
      <c r="F87" s="34"/>
      <c r="G87" s="34"/>
      <c r="H87" s="101"/>
      <c r="I87" s="73"/>
    </row>
    <row r="88" spans="1:9" x14ac:dyDescent="0.2">
      <c r="A88" s="34"/>
      <c r="B88" s="34"/>
      <c r="C88" s="35" t="s">
        <v>97</v>
      </c>
      <c r="D88" s="34"/>
      <c r="E88" s="34" t="s">
        <v>98</v>
      </c>
      <c r="F88" s="45">
        <v>0</v>
      </c>
      <c r="G88" s="46">
        <v>0</v>
      </c>
      <c r="H88" s="101"/>
      <c r="I88" s="73"/>
    </row>
    <row r="89" spans="1:9" x14ac:dyDescent="0.2">
      <c r="A89" s="34"/>
      <c r="B89" s="34"/>
      <c r="C89" s="43"/>
      <c r="D89" s="34"/>
      <c r="E89" s="34"/>
      <c r="F89" s="44"/>
      <c r="G89" s="44"/>
      <c r="H89" s="101"/>
      <c r="I89" s="73"/>
    </row>
    <row r="90" spans="1:9" x14ac:dyDescent="0.2">
      <c r="A90" s="34"/>
      <c r="B90" s="34"/>
      <c r="C90" s="35" t="s">
        <v>100</v>
      </c>
      <c r="D90" s="34"/>
      <c r="E90" s="34"/>
      <c r="F90" s="34"/>
      <c r="G90" s="34"/>
      <c r="H90" s="101"/>
      <c r="I90" s="73"/>
    </row>
    <row r="91" spans="1:9" x14ac:dyDescent="0.2">
      <c r="A91" s="36">
        <v>1</v>
      </c>
      <c r="B91" s="71" t="s">
        <v>678</v>
      </c>
      <c r="C91" s="6" t="s">
        <v>679</v>
      </c>
      <c r="D91" s="6" t="s">
        <v>1187</v>
      </c>
      <c r="E91" s="7">
        <v>30579</v>
      </c>
      <c r="F91" s="8">
        <v>1.9142454</v>
      </c>
      <c r="G91" s="9">
        <v>6.2263320880730519E-6</v>
      </c>
      <c r="H91" s="101"/>
      <c r="I91" s="73"/>
    </row>
    <row r="92" spans="1:9" x14ac:dyDescent="0.2">
      <c r="A92" s="34"/>
      <c r="B92" s="34"/>
      <c r="C92" s="35" t="s">
        <v>97</v>
      </c>
      <c r="D92" s="34"/>
      <c r="E92" s="34" t="s">
        <v>98</v>
      </c>
      <c r="F92" s="45">
        <v>1.9142454</v>
      </c>
      <c r="G92" s="46">
        <v>6.2263320880730519E-6</v>
      </c>
      <c r="H92" s="101"/>
      <c r="I92" s="73"/>
    </row>
    <row r="93" spans="1:9" x14ac:dyDescent="0.2">
      <c r="A93" s="34"/>
      <c r="B93" s="34"/>
      <c r="C93" s="43"/>
      <c r="D93" s="34"/>
      <c r="E93" s="34"/>
      <c r="F93" s="44"/>
      <c r="G93" s="44"/>
      <c r="H93" s="101"/>
      <c r="I93" s="73"/>
    </row>
    <row r="94" spans="1:9" x14ac:dyDescent="0.2">
      <c r="A94" s="34"/>
      <c r="B94" s="34"/>
      <c r="C94" s="35" t="s">
        <v>101</v>
      </c>
      <c r="D94" s="34"/>
      <c r="E94" s="34"/>
      <c r="F94" s="34"/>
      <c r="G94" s="34"/>
      <c r="H94" s="101"/>
      <c r="I94" s="73"/>
    </row>
    <row r="95" spans="1:9" x14ac:dyDescent="0.2">
      <c r="A95" s="34"/>
      <c r="B95" s="34"/>
      <c r="C95" s="35" t="s">
        <v>97</v>
      </c>
      <c r="D95" s="34"/>
      <c r="E95" s="34" t="s">
        <v>98</v>
      </c>
      <c r="F95" s="41">
        <v>0</v>
      </c>
      <c r="G95" s="42">
        <v>0</v>
      </c>
      <c r="H95" s="101"/>
      <c r="I95" s="73"/>
    </row>
    <row r="96" spans="1:9" x14ac:dyDescent="0.2">
      <c r="A96" s="34"/>
      <c r="B96" s="34"/>
      <c r="C96" s="43"/>
      <c r="D96" s="34"/>
      <c r="E96" s="34"/>
      <c r="F96" s="44"/>
      <c r="G96" s="44"/>
      <c r="H96" s="101"/>
      <c r="I96" s="73"/>
    </row>
    <row r="97" spans="1:9" x14ac:dyDescent="0.2">
      <c r="A97" s="34"/>
      <c r="B97" s="34"/>
      <c r="C97" s="35" t="s">
        <v>102</v>
      </c>
      <c r="D97" s="34"/>
      <c r="E97" s="34"/>
      <c r="F97" s="44"/>
      <c r="G97" s="44"/>
      <c r="H97" s="101"/>
      <c r="I97" s="73"/>
    </row>
    <row r="98" spans="1:9" x14ac:dyDescent="0.2">
      <c r="A98" s="34"/>
      <c r="B98" s="34"/>
      <c r="C98" s="35" t="s">
        <v>97</v>
      </c>
      <c r="D98" s="34"/>
      <c r="E98" s="34" t="s">
        <v>98</v>
      </c>
      <c r="F98" s="45">
        <v>0</v>
      </c>
      <c r="G98" s="46">
        <v>0</v>
      </c>
      <c r="H98" s="101"/>
      <c r="I98" s="73"/>
    </row>
    <row r="99" spans="1:9" x14ac:dyDescent="0.2">
      <c r="A99" s="34"/>
      <c r="B99" s="34"/>
      <c r="C99" s="43"/>
      <c r="D99" s="34"/>
      <c r="E99" s="34"/>
      <c r="F99" s="44"/>
      <c r="G99" s="44"/>
      <c r="H99" s="101"/>
      <c r="I99" s="73"/>
    </row>
    <row r="100" spans="1:9" x14ac:dyDescent="0.2">
      <c r="A100" s="34"/>
      <c r="B100" s="34"/>
      <c r="C100" s="35" t="s">
        <v>103</v>
      </c>
      <c r="D100" s="34"/>
      <c r="E100" s="34"/>
      <c r="F100" s="44"/>
      <c r="G100" s="44"/>
      <c r="H100" s="101"/>
      <c r="I100" s="73"/>
    </row>
    <row r="101" spans="1:9" x14ac:dyDescent="0.2">
      <c r="A101" s="34"/>
      <c r="B101" s="34"/>
      <c r="C101" s="35" t="s">
        <v>97</v>
      </c>
      <c r="D101" s="34"/>
      <c r="E101" s="34" t="s">
        <v>98</v>
      </c>
      <c r="F101" s="45">
        <v>0</v>
      </c>
      <c r="G101" s="46">
        <v>0</v>
      </c>
      <c r="H101" s="101"/>
      <c r="I101" s="73"/>
    </row>
    <row r="102" spans="1:9" x14ac:dyDescent="0.2">
      <c r="A102" s="34"/>
      <c r="B102" s="34"/>
      <c r="C102" s="43"/>
      <c r="D102" s="34"/>
      <c r="E102" s="34"/>
      <c r="F102" s="44"/>
      <c r="G102" s="44"/>
      <c r="H102" s="101"/>
      <c r="I102" s="73"/>
    </row>
    <row r="103" spans="1:9" x14ac:dyDescent="0.2">
      <c r="A103" s="34"/>
      <c r="B103" s="34"/>
      <c r="C103" s="35" t="s">
        <v>104</v>
      </c>
      <c r="D103" s="34"/>
      <c r="E103" s="34"/>
      <c r="F103" s="41">
        <v>228048.06547490001</v>
      </c>
      <c r="G103" s="42">
        <v>0.74175598786307895</v>
      </c>
      <c r="H103" s="101"/>
      <c r="I103" s="73"/>
    </row>
    <row r="104" spans="1:9" x14ac:dyDescent="0.2">
      <c r="A104" s="34"/>
      <c r="B104" s="34"/>
      <c r="C104" s="43"/>
      <c r="D104" s="34"/>
      <c r="E104" s="34"/>
      <c r="F104" s="44"/>
      <c r="G104" s="44"/>
      <c r="H104" s="101"/>
      <c r="I104" s="73"/>
    </row>
    <row r="105" spans="1:9" x14ac:dyDescent="0.2">
      <c r="A105" s="34"/>
      <c r="B105" s="34"/>
      <c r="C105" s="35" t="s">
        <v>105</v>
      </c>
      <c r="D105" s="34"/>
      <c r="E105" s="34"/>
      <c r="F105" s="44"/>
      <c r="G105" s="44"/>
      <c r="H105" s="101"/>
      <c r="I105" s="73"/>
    </row>
    <row r="106" spans="1:9" ht="25.5" x14ac:dyDescent="0.2">
      <c r="A106" s="34"/>
      <c r="B106" s="34"/>
      <c r="C106" s="35" t="s">
        <v>10</v>
      </c>
      <c r="D106" s="34"/>
      <c r="E106" s="34"/>
      <c r="F106" s="44"/>
      <c r="G106" s="44"/>
      <c r="H106" s="101"/>
      <c r="I106" s="73"/>
    </row>
    <row r="107" spans="1:9" ht="25.5" x14ac:dyDescent="0.2">
      <c r="A107" s="36">
        <v>1</v>
      </c>
      <c r="B107" s="114" t="s">
        <v>973</v>
      </c>
      <c r="C107" s="37" t="s">
        <v>974</v>
      </c>
      <c r="D107" s="37" t="s">
        <v>526</v>
      </c>
      <c r="E107" s="38">
        <v>250</v>
      </c>
      <c r="F107" s="39">
        <v>2557.0250000000001</v>
      </c>
      <c r="G107" s="40">
        <v>8.3170563228230805E-3</v>
      </c>
      <c r="H107" s="101">
        <v>4.8050000000000006</v>
      </c>
      <c r="I107" s="73"/>
    </row>
    <row r="108" spans="1:9" ht="25.5" x14ac:dyDescent="0.2">
      <c r="A108" s="36">
        <v>2</v>
      </c>
      <c r="B108" s="114" t="s">
        <v>975</v>
      </c>
      <c r="C108" s="37" t="s">
        <v>976</v>
      </c>
      <c r="D108" s="37" t="s">
        <v>526</v>
      </c>
      <c r="E108" s="38">
        <v>250</v>
      </c>
      <c r="F108" s="39">
        <v>2555.7424999999998</v>
      </c>
      <c r="G108" s="40">
        <v>8.3128848247993915E-3</v>
      </c>
      <c r="H108" s="101">
        <v>5</v>
      </c>
      <c r="I108" s="73"/>
    </row>
    <row r="109" spans="1:9" ht="38.25" x14ac:dyDescent="0.2">
      <c r="A109" s="36">
        <v>3</v>
      </c>
      <c r="B109" s="114" t="s">
        <v>977</v>
      </c>
      <c r="C109" s="37" t="s">
        <v>1193</v>
      </c>
      <c r="D109" s="37" t="s">
        <v>978</v>
      </c>
      <c r="E109" s="38">
        <v>250</v>
      </c>
      <c r="F109" s="39">
        <v>2546.4050000000002</v>
      </c>
      <c r="G109" s="40">
        <v>8.2825133918199099E-3</v>
      </c>
      <c r="H109" s="101">
        <v>7.8707476716000011</v>
      </c>
      <c r="I109" s="73">
        <v>4.72</v>
      </c>
    </row>
    <row r="110" spans="1:9" ht="51" x14ac:dyDescent="0.2">
      <c r="A110" s="36">
        <v>4</v>
      </c>
      <c r="B110" s="114" t="s">
        <v>979</v>
      </c>
      <c r="C110" s="6" t="s">
        <v>1313</v>
      </c>
      <c r="D110" s="37" t="s">
        <v>1162</v>
      </c>
      <c r="E110" s="38">
        <v>250</v>
      </c>
      <c r="F110" s="39">
        <v>2526.7925</v>
      </c>
      <c r="G110" s="40">
        <v>8.2187211852003551E-3</v>
      </c>
      <c r="H110" s="101">
        <v>3.5999999999999996</v>
      </c>
      <c r="I110" s="73"/>
    </row>
    <row r="111" spans="1:9" x14ac:dyDescent="0.2">
      <c r="A111" s="36">
        <v>5</v>
      </c>
      <c r="B111" s="114" t="s">
        <v>980</v>
      </c>
      <c r="C111" s="37" t="s">
        <v>981</v>
      </c>
      <c r="D111" s="37" t="s">
        <v>526</v>
      </c>
      <c r="E111" s="38">
        <v>250</v>
      </c>
      <c r="F111" s="39">
        <v>2510.5475000000001</v>
      </c>
      <c r="G111" s="40">
        <v>8.1658822102336423E-3</v>
      </c>
      <c r="H111" s="101">
        <v>5.5250000000000004</v>
      </c>
      <c r="I111" s="73"/>
    </row>
    <row r="112" spans="1:9" ht="25.5" x14ac:dyDescent="0.2">
      <c r="A112" s="36">
        <v>6</v>
      </c>
      <c r="B112" s="114" t="s">
        <v>982</v>
      </c>
      <c r="C112" s="37" t="s">
        <v>983</v>
      </c>
      <c r="D112" s="37" t="s">
        <v>1164</v>
      </c>
      <c r="E112" s="38">
        <v>250</v>
      </c>
      <c r="F112" s="39">
        <v>2501.0149999999999</v>
      </c>
      <c r="G112" s="40">
        <v>8.1348765143967553E-3</v>
      </c>
      <c r="H112" s="101">
        <v>4.4399999999999995</v>
      </c>
      <c r="I112" s="73"/>
    </row>
    <row r="113" spans="1:9" ht="38.25" x14ac:dyDescent="0.2">
      <c r="A113" s="36">
        <v>7</v>
      </c>
      <c r="B113" s="114" t="s">
        <v>984</v>
      </c>
      <c r="C113" s="37" t="s">
        <v>1194</v>
      </c>
      <c r="D113" s="37" t="s">
        <v>978</v>
      </c>
      <c r="E113" s="38">
        <v>230</v>
      </c>
      <c r="F113" s="39">
        <v>2329.7712000000001</v>
      </c>
      <c r="G113" s="40">
        <v>7.5778837867017789E-3</v>
      </c>
      <c r="H113" s="101">
        <v>8.6444544075500005</v>
      </c>
      <c r="I113" s="73">
        <v>4.9000000000000004</v>
      </c>
    </row>
    <row r="114" spans="1:9" ht="38.25" x14ac:dyDescent="0.2">
      <c r="A114" s="36">
        <v>8</v>
      </c>
      <c r="B114" s="114" t="s">
        <v>985</v>
      </c>
      <c r="C114" s="37" t="s">
        <v>1195</v>
      </c>
      <c r="D114" s="37" t="s">
        <v>978</v>
      </c>
      <c r="E114" s="38">
        <v>200</v>
      </c>
      <c r="F114" s="39">
        <v>2011.73</v>
      </c>
      <c r="G114" s="40">
        <v>6.5434134262718881E-3</v>
      </c>
      <c r="H114" s="101">
        <v>8.5044054088000003</v>
      </c>
      <c r="I114" s="73">
        <v>5.79</v>
      </c>
    </row>
    <row r="115" spans="1:9" ht="25.5" x14ac:dyDescent="0.2">
      <c r="A115" s="36">
        <v>9</v>
      </c>
      <c r="B115" s="114" t="s">
        <v>986</v>
      </c>
      <c r="C115" s="37" t="s">
        <v>1196</v>
      </c>
      <c r="D115" s="37" t="s">
        <v>987</v>
      </c>
      <c r="E115" s="38">
        <v>150</v>
      </c>
      <c r="F115" s="39">
        <v>1584.636</v>
      </c>
      <c r="G115" s="40">
        <v>5.1542346528379952E-3</v>
      </c>
      <c r="H115" s="101">
        <v>7.4926969190500001</v>
      </c>
      <c r="I115" s="73">
        <v>5.64</v>
      </c>
    </row>
    <row r="116" spans="1:9" ht="25.5" x14ac:dyDescent="0.2">
      <c r="A116" s="36">
        <v>10</v>
      </c>
      <c r="B116" s="114" t="s">
        <v>988</v>
      </c>
      <c r="C116" s="37" t="s">
        <v>989</v>
      </c>
      <c r="D116" s="37" t="s">
        <v>526</v>
      </c>
      <c r="E116" s="38">
        <v>150</v>
      </c>
      <c r="F116" s="39">
        <v>1566.213</v>
      </c>
      <c r="G116" s="40">
        <v>5.0943114496485977E-3</v>
      </c>
      <c r="H116" s="101">
        <v>5.3949999999999996</v>
      </c>
      <c r="I116" s="73"/>
    </row>
    <row r="117" spans="1:9" ht="25.5" x14ac:dyDescent="0.2">
      <c r="A117" s="36">
        <v>11</v>
      </c>
      <c r="B117" s="71" t="s">
        <v>680</v>
      </c>
      <c r="C117" s="6" t="s">
        <v>681</v>
      </c>
      <c r="D117" s="6" t="s">
        <v>526</v>
      </c>
      <c r="E117" s="7">
        <v>150</v>
      </c>
      <c r="F117" s="8">
        <v>1559.8785</v>
      </c>
      <c r="G117" s="9">
        <v>5.0737076646731188E-3</v>
      </c>
      <c r="H117" s="101">
        <v>5.8999999999999995</v>
      </c>
      <c r="I117" s="73"/>
    </row>
    <row r="118" spans="1:9" ht="38.25" x14ac:dyDescent="0.2">
      <c r="A118" s="36">
        <v>12</v>
      </c>
      <c r="B118" s="114" t="s">
        <v>990</v>
      </c>
      <c r="C118" s="37" t="s">
        <v>1197</v>
      </c>
      <c r="D118" s="37" t="s">
        <v>978</v>
      </c>
      <c r="E118" s="38">
        <v>150</v>
      </c>
      <c r="F118" s="39">
        <v>1522.59</v>
      </c>
      <c r="G118" s="40">
        <v>4.9524219695025245E-3</v>
      </c>
      <c r="H118" s="101">
        <v>8.4158360236999989</v>
      </c>
      <c r="I118" s="73">
        <v>5.89</v>
      </c>
    </row>
    <row r="119" spans="1:9" ht="25.5" x14ac:dyDescent="0.2">
      <c r="A119" s="36">
        <v>13</v>
      </c>
      <c r="B119" s="114" t="s">
        <v>991</v>
      </c>
      <c r="C119" s="37" t="s">
        <v>992</v>
      </c>
      <c r="D119" s="37" t="s">
        <v>698</v>
      </c>
      <c r="E119" s="38">
        <v>150</v>
      </c>
      <c r="F119" s="39">
        <v>1501.731</v>
      </c>
      <c r="G119" s="40">
        <v>4.8845753595406485E-3</v>
      </c>
      <c r="H119" s="101">
        <v>3.9150000000000005</v>
      </c>
      <c r="I119" s="73"/>
    </row>
    <row r="120" spans="1:9" ht="25.5" x14ac:dyDescent="0.2">
      <c r="A120" s="36">
        <v>14</v>
      </c>
      <c r="B120" s="71" t="s">
        <v>682</v>
      </c>
      <c r="C120" s="6" t="s">
        <v>683</v>
      </c>
      <c r="D120" s="6" t="s">
        <v>526</v>
      </c>
      <c r="E120" s="7">
        <v>100</v>
      </c>
      <c r="F120" s="8">
        <v>1057.672</v>
      </c>
      <c r="G120" s="9">
        <v>3.4402157175127085E-3</v>
      </c>
      <c r="H120" s="101">
        <v>6.1949999999999994</v>
      </c>
      <c r="I120" s="73"/>
    </row>
    <row r="121" spans="1:9" ht="25.5" x14ac:dyDescent="0.2">
      <c r="A121" s="36">
        <v>15</v>
      </c>
      <c r="B121" s="114" t="s">
        <v>993</v>
      </c>
      <c r="C121" s="37" t="s">
        <v>994</v>
      </c>
      <c r="D121" s="37" t="s">
        <v>526</v>
      </c>
      <c r="E121" s="38">
        <v>100</v>
      </c>
      <c r="F121" s="39">
        <v>1057.078</v>
      </c>
      <c r="G121" s="40">
        <v>3.4382836552701579E-3</v>
      </c>
      <c r="H121" s="101">
        <v>5.4950000000000001</v>
      </c>
      <c r="I121" s="73"/>
    </row>
    <row r="122" spans="1:9" x14ac:dyDescent="0.2">
      <c r="A122" s="36">
        <v>16</v>
      </c>
      <c r="B122" s="71" t="s">
        <v>684</v>
      </c>
      <c r="C122" s="6" t="s">
        <v>685</v>
      </c>
      <c r="D122" s="6" t="s">
        <v>526</v>
      </c>
      <c r="E122" s="7">
        <v>100</v>
      </c>
      <c r="F122" s="8">
        <v>1056.3810000000001</v>
      </c>
      <c r="G122" s="9">
        <v>3.4360165721336981E-3</v>
      </c>
      <c r="H122" s="101">
        <v>5.7700000000000005</v>
      </c>
      <c r="I122" s="73"/>
    </row>
    <row r="123" spans="1:9" ht="25.5" x14ac:dyDescent="0.2">
      <c r="A123" s="36">
        <v>17</v>
      </c>
      <c r="B123" s="114" t="s">
        <v>995</v>
      </c>
      <c r="C123" s="37" t="s">
        <v>996</v>
      </c>
      <c r="D123" s="37" t="s">
        <v>526</v>
      </c>
      <c r="E123" s="38">
        <v>100</v>
      </c>
      <c r="F123" s="39">
        <v>1048.306</v>
      </c>
      <c r="G123" s="40">
        <v>3.4097515845771444E-3</v>
      </c>
      <c r="H123" s="101">
        <v>5.47</v>
      </c>
      <c r="I123" s="73"/>
    </row>
    <row r="124" spans="1:9" x14ac:dyDescent="0.2">
      <c r="A124" s="36">
        <v>18</v>
      </c>
      <c r="B124" s="114" t="s">
        <v>997</v>
      </c>
      <c r="C124" s="37" t="s">
        <v>998</v>
      </c>
      <c r="D124" s="37" t="s">
        <v>526</v>
      </c>
      <c r="E124" s="38">
        <v>100</v>
      </c>
      <c r="F124" s="39">
        <v>1047.4739999999999</v>
      </c>
      <c r="G124" s="40">
        <v>3.4070453963855585E-3</v>
      </c>
      <c r="H124" s="101">
        <v>6.35</v>
      </c>
      <c r="I124" s="73"/>
    </row>
    <row r="125" spans="1:9" ht="25.5" x14ac:dyDescent="0.2">
      <c r="A125" s="36">
        <v>19</v>
      </c>
      <c r="B125" s="114" t="s">
        <v>999</v>
      </c>
      <c r="C125" s="37" t="s">
        <v>1000</v>
      </c>
      <c r="D125" s="37" t="s">
        <v>526</v>
      </c>
      <c r="E125" s="38">
        <v>100</v>
      </c>
      <c r="F125" s="39">
        <v>1021.6130000000001</v>
      </c>
      <c r="G125" s="40">
        <v>3.32292913097379E-3</v>
      </c>
      <c r="H125" s="101">
        <v>5.2350000000000003</v>
      </c>
      <c r="I125" s="73"/>
    </row>
    <row r="126" spans="1:9" ht="25.5" x14ac:dyDescent="0.2">
      <c r="A126" s="36">
        <v>20</v>
      </c>
      <c r="B126" s="114" t="s">
        <v>1001</v>
      </c>
      <c r="C126" s="37" t="s">
        <v>1198</v>
      </c>
      <c r="D126" s="37" t="s">
        <v>978</v>
      </c>
      <c r="E126" s="38">
        <v>100</v>
      </c>
      <c r="F126" s="39">
        <v>1017.212</v>
      </c>
      <c r="G126" s="40">
        <v>3.3086143061767134E-3</v>
      </c>
      <c r="H126" s="101">
        <v>8.4816190150999997</v>
      </c>
      <c r="I126" s="73">
        <v>4.92</v>
      </c>
    </row>
    <row r="127" spans="1:9" ht="25.5" x14ac:dyDescent="0.2">
      <c r="A127" s="36">
        <v>21</v>
      </c>
      <c r="B127" s="114" t="s">
        <v>1002</v>
      </c>
      <c r="C127" s="37" t="s">
        <v>1199</v>
      </c>
      <c r="D127" s="37" t="s">
        <v>1165</v>
      </c>
      <c r="E127" s="38">
        <v>100</v>
      </c>
      <c r="F127" s="39">
        <v>1010.062</v>
      </c>
      <c r="G127" s="40">
        <v>3.285358001405276E-3</v>
      </c>
      <c r="H127" s="101">
        <v>9.0364667198999999</v>
      </c>
      <c r="I127" s="73">
        <v>3.97</v>
      </c>
    </row>
    <row r="128" spans="1:9" ht="25.5" x14ac:dyDescent="0.2">
      <c r="A128" s="36">
        <v>22</v>
      </c>
      <c r="B128" s="114" t="s">
        <v>1003</v>
      </c>
      <c r="C128" s="37" t="s">
        <v>1004</v>
      </c>
      <c r="D128" s="37" t="s">
        <v>526</v>
      </c>
      <c r="E128" s="38">
        <v>100</v>
      </c>
      <c r="F128" s="39">
        <v>994.66800000000001</v>
      </c>
      <c r="G128" s="40">
        <v>3.235287014600869E-3</v>
      </c>
      <c r="H128" s="101">
        <v>6.2149999999999999</v>
      </c>
      <c r="I128" s="73"/>
    </row>
    <row r="129" spans="1:9" ht="25.5" x14ac:dyDescent="0.2">
      <c r="A129" s="36">
        <v>23</v>
      </c>
      <c r="B129" s="114" t="s">
        <v>1005</v>
      </c>
      <c r="C129" s="37" t="s">
        <v>1006</v>
      </c>
      <c r="D129" s="37" t="s">
        <v>526</v>
      </c>
      <c r="E129" s="38">
        <v>100</v>
      </c>
      <c r="F129" s="39">
        <v>988.17200000000003</v>
      </c>
      <c r="G129" s="40">
        <v>3.2141579298742597E-3</v>
      </c>
      <c r="H129" s="101">
        <v>5.66</v>
      </c>
      <c r="I129" s="73"/>
    </row>
    <row r="130" spans="1:9" x14ac:dyDescent="0.2">
      <c r="A130" s="36">
        <v>24</v>
      </c>
      <c r="B130" s="71" t="s">
        <v>686</v>
      </c>
      <c r="C130" s="6" t="s">
        <v>687</v>
      </c>
      <c r="D130" s="6" t="s">
        <v>526</v>
      </c>
      <c r="E130" s="7">
        <v>55</v>
      </c>
      <c r="F130" s="8">
        <v>563.49149999999997</v>
      </c>
      <c r="G130" s="9">
        <v>1.8328293790369908E-3</v>
      </c>
      <c r="H130" s="101">
        <v>4.665</v>
      </c>
      <c r="I130" s="73"/>
    </row>
    <row r="131" spans="1:9" x14ac:dyDescent="0.2">
      <c r="A131" s="36">
        <v>25</v>
      </c>
      <c r="B131" s="71" t="s">
        <v>688</v>
      </c>
      <c r="C131" s="6" t="s">
        <v>689</v>
      </c>
      <c r="D131" s="6" t="s">
        <v>1164</v>
      </c>
      <c r="E131" s="7">
        <v>50</v>
      </c>
      <c r="F131" s="8">
        <v>519.57150000000001</v>
      </c>
      <c r="G131" s="9">
        <v>1.6899738677696432E-3</v>
      </c>
      <c r="H131" s="101">
        <v>5.2</v>
      </c>
      <c r="I131" s="73"/>
    </row>
    <row r="132" spans="1:9" ht="25.5" x14ac:dyDescent="0.2">
      <c r="A132" s="36">
        <v>26</v>
      </c>
      <c r="B132" s="71" t="s">
        <v>690</v>
      </c>
      <c r="C132" s="6" t="s">
        <v>691</v>
      </c>
      <c r="D132" s="6" t="s">
        <v>1164</v>
      </c>
      <c r="E132" s="7">
        <v>45</v>
      </c>
      <c r="F132" s="8">
        <v>459.40499999999997</v>
      </c>
      <c r="G132" s="9">
        <v>1.4942745025905248E-3</v>
      </c>
      <c r="H132" s="101">
        <v>4.9649999999999999</v>
      </c>
      <c r="I132" s="73"/>
    </row>
    <row r="133" spans="1:9" ht="25.5" x14ac:dyDescent="0.2">
      <c r="A133" s="36">
        <v>27</v>
      </c>
      <c r="B133" s="71" t="s">
        <v>692</v>
      </c>
      <c r="C133" s="6" t="s">
        <v>693</v>
      </c>
      <c r="D133" s="6" t="s">
        <v>526</v>
      </c>
      <c r="E133" s="7">
        <v>40</v>
      </c>
      <c r="F133" s="8">
        <v>415.47199999999998</v>
      </c>
      <c r="G133" s="9">
        <v>1.3513767071326836E-3</v>
      </c>
      <c r="H133" s="101">
        <v>4.7350000000000003</v>
      </c>
      <c r="I133" s="73"/>
    </row>
    <row r="134" spans="1:9" ht="25.5" x14ac:dyDescent="0.2">
      <c r="A134" s="36">
        <v>28</v>
      </c>
      <c r="B134" s="71" t="s">
        <v>694</v>
      </c>
      <c r="C134" s="6" t="s">
        <v>695</v>
      </c>
      <c r="D134" s="6" t="s">
        <v>526</v>
      </c>
      <c r="E134" s="7">
        <v>20</v>
      </c>
      <c r="F134" s="8">
        <v>204.01599999999999</v>
      </c>
      <c r="G134" s="9">
        <v>6.6358856982511841E-4</v>
      </c>
      <c r="H134" s="101">
        <v>4.88</v>
      </c>
      <c r="I134" s="73"/>
    </row>
    <row r="135" spans="1:9" ht="25.5" x14ac:dyDescent="0.2">
      <c r="A135" s="36">
        <v>29</v>
      </c>
      <c r="B135" s="71" t="s">
        <v>696</v>
      </c>
      <c r="C135" s="6" t="s">
        <v>697</v>
      </c>
      <c r="D135" s="6" t="s">
        <v>698</v>
      </c>
      <c r="E135" s="7">
        <v>20</v>
      </c>
      <c r="F135" s="8">
        <v>202.87819999999999</v>
      </c>
      <c r="G135" s="9">
        <v>6.5988772736792376E-4</v>
      </c>
      <c r="H135" s="101">
        <v>4.4050000000000002</v>
      </c>
      <c r="I135" s="73"/>
    </row>
    <row r="136" spans="1:9" ht="25.5" x14ac:dyDescent="0.2">
      <c r="A136" s="36">
        <v>30</v>
      </c>
      <c r="B136" s="71" t="s">
        <v>699</v>
      </c>
      <c r="C136" s="6" t="s">
        <v>700</v>
      </c>
      <c r="D136" s="6" t="s">
        <v>526</v>
      </c>
      <c r="E136" s="7">
        <v>20</v>
      </c>
      <c r="F136" s="8">
        <v>198.76779999999999</v>
      </c>
      <c r="G136" s="9">
        <v>6.4651811685987953E-4</v>
      </c>
      <c r="H136" s="101">
        <v>5.52</v>
      </c>
      <c r="I136" s="73"/>
    </row>
    <row r="137" spans="1:9" ht="25.5" x14ac:dyDescent="0.2">
      <c r="A137" s="36">
        <v>31</v>
      </c>
      <c r="B137" s="114" t="s">
        <v>1007</v>
      </c>
      <c r="C137" s="6" t="s">
        <v>1192</v>
      </c>
      <c r="D137" s="37" t="s">
        <v>1166</v>
      </c>
      <c r="E137" s="38">
        <v>20</v>
      </c>
      <c r="F137" s="39">
        <v>198.364</v>
      </c>
      <c r="G137" s="40">
        <v>6.4520470485054991E-4</v>
      </c>
      <c r="H137" s="101">
        <v>10.792199999999999</v>
      </c>
      <c r="I137" s="73"/>
    </row>
    <row r="138" spans="1:9" x14ac:dyDescent="0.2">
      <c r="A138" s="34"/>
      <c r="B138" s="34"/>
      <c r="C138" s="35" t="s">
        <v>97</v>
      </c>
      <c r="D138" s="34"/>
      <c r="E138" s="34" t="s">
        <v>98</v>
      </c>
      <c r="F138" s="41">
        <v>40334.681199999999</v>
      </c>
      <c r="G138" s="42">
        <v>0.13119379564279313</v>
      </c>
      <c r="H138" s="101"/>
      <c r="I138" s="73"/>
    </row>
    <row r="139" spans="1:9" x14ac:dyDescent="0.2">
      <c r="A139" s="34"/>
      <c r="B139" s="34"/>
      <c r="C139" s="43"/>
      <c r="D139" s="34"/>
      <c r="E139" s="34"/>
      <c r="F139" s="44"/>
      <c r="G139" s="44"/>
      <c r="H139" s="101"/>
      <c r="I139" s="73"/>
    </row>
    <row r="140" spans="1:9" x14ac:dyDescent="0.2">
      <c r="A140" s="34"/>
      <c r="B140" s="34"/>
      <c r="C140" s="35" t="s">
        <v>106</v>
      </c>
      <c r="D140" s="34"/>
      <c r="E140" s="34"/>
      <c r="F140" s="34"/>
      <c r="G140" s="34"/>
      <c r="H140" s="101"/>
      <c r="I140" s="73"/>
    </row>
    <row r="141" spans="1:9" x14ac:dyDescent="0.2">
      <c r="A141" s="36">
        <v>1</v>
      </c>
      <c r="B141" s="37" t="s">
        <v>1008</v>
      </c>
      <c r="C141" s="37" t="s">
        <v>1009</v>
      </c>
      <c r="D141" s="37" t="s">
        <v>526</v>
      </c>
      <c r="E141" s="38">
        <v>50</v>
      </c>
      <c r="F141" s="39">
        <v>532.51599999999996</v>
      </c>
      <c r="G141" s="40">
        <v>1.7320775372960588E-3</v>
      </c>
      <c r="H141" s="101">
        <v>6.3650000000000002</v>
      </c>
      <c r="I141" s="73"/>
    </row>
    <row r="142" spans="1:9" x14ac:dyDescent="0.2">
      <c r="A142" s="34"/>
      <c r="B142" s="34"/>
      <c r="C142" s="35" t="s">
        <v>97</v>
      </c>
      <c r="D142" s="34"/>
      <c r="E142" s="34" t="s">
        <v>98</v>
      </c>
      <c r="F142" s="41">
        <v>532.51599999999996</v>
      </c>
      <c r="G142" s="42">
        <v>1.7320775372960588E-3</v>
      </c>
      <c r="H142" s="101"/>
      <c r="I142" s="73"/>
    </row>
    <row r="143" spans="1:9" x14ac:dyDescent="0.2">
      <c r="A143" s="34"/>
      <c r="B143" s="34"/>
      <c r="C143" s="43"/>
      <c r="D143" s="34"/>
      <c r="E143" s="34"/>
      <c r="F143" s="44"/>
      <c r="G143" s="44"/>
      <c r="H143" s="101"/>
      <c r="I143" s="73"/>
    </row>
    <row r="144" spans="1:9" x14ac:dyDescent="0.2">
      <c r="A144" s="34"/>
      <c r="B144" s="34"/>
      <c r="C144" s="35" t="s">
        <v>107</v>
      </c>
      <c r="D144" s="34"/>
      <c r="E144" s="34"/>
      <c r="F144" s="34"/>
      <c r="G144" s="34"/>
      <c r="H144" s="101"/>
      <c r="I144" s="73"/>
    </row>
    <row r="145" spans="1:17" x14ac:dyDescent="0.2">
      <c r="A145" s="5">
        <v>1</v>
      </c>
      <c r="B145" s="6" t="s">
        <v>703</v>
      </c>
      <c r="C145" s="6" t="s">
        <v>704</v>
      </c>
      <c r="D145" s="6" t="s">
        <v>506</v>
      </c>
      <c r="E145" s="7">
        <v>3000000</v>
      </c>
      <c r="F145" s="8">
        <v>3135.7979999999998</v>
      </c>
      <c r="G145" s="9">
        <v>1.0199590767785207E-2</v>
      </c>
      <c r="H145" s="101">
        <v>4.9935</v>
      </c>
      <c r="I145" s="73"/>
    </row>
    <row r="146" spans="1:17" x14ac:dyDescent="0.2">
      <c r="A146" s="5">
        <v>2</v>
      </c>
      <c r="B146" s="37" t="s">
        <v>1010</v>
      </c>
      <c r="C146" s="37" t="s">
        <v>1011</v>
      </c>
      <c r="D146" s="37" t="s">
        <v>506</v>
      </c>
      <c r="E146" s="38">
        <v>1500000</v>
      </c>
      <c r="F146" s="39">
        <v>1548.1545000000001</v>
      </c>
      <c r="G146" s="40">
        <v>5.0355738301080376E-3</v>
      </c>
      <c r="H146" s="101">
        <v>4.7343500000000001</v>
      </c>
      <c r="I146" s="73"/>
    </row>
    <row r="147" spans="1:17" x14ac:dyDescent="0.2">
      <c r="A147" s="5">
        <v>3</v>
      </c>
      <c r="B147" s="6" t="s">
        <v>707</v>
      </c>
      <c r="C147" s="6" t="s">
        <v>708</v>
      </c>
      <c r="D147" s="6" t="s">
        <v>506</v>
      </c>
      <c r="E147" s="7">
        <v>1500000</v>
      </c>
      <c r="F147" s="8">
        <v>1490.4630000000002</v>
      </c>
      <c r="G147" s="9">
        <v>4.8479247242728786E-3</v>
      </c>
      <c r="H147" s="101">
        <v>5.7972000000000001</v>
      </c>
      <c r="I147" s="73"/>
    </row>
    <row r="148" spans="1:17" x14ac:dyDescent="0.2">
      <c r="A148" s="5">
        <v>4</v>
      </c>
      <c r="B148" s="6" t="s">
        <v>701</v>
      </c>
      <c r="C148" s="6" t="s">
        <v>702</v>
      </c>
      <c r="D148" s="6" t="s">
        <v>506</v>
      </c>
      <c r="E148" s="7">
        <v>1300000</v>
      </c>
      <c r="F148" s="8">
        <v>1286.5111999999999</v>
      </c>
      <c r="G148" s="9">
        <v>4.1845449732961964E-3</v>
      </c>
      <c r="H148" s="101">
        <v>5.5531999999999995</v>
      </c>
      <c r="I148" s="73"/>
    </row>
    <row r="149" spans="1:17" ht="25.5" x14ac:dyDescent="0.2">
      <c r="A149" s="5">
        <v>5</v>
      </c>
      <c r="B149" s="6" t="s">
        <v>705</v>
      </c>
      <c r="C149" s="6" t="s">
        <v>706</v>
      </c>
      <c r="D149" s="6" t="s">
        <v>506</v>
      </c>
      <c r="E149" s="7">
        <v>1000000</v>
      </c>
      <c r="F149" s="8">
        <v>1043.9380000000001</v>
      </c>
      <c r="G149" s="9">
        <v>3.3955440965713207E-3</v>
      </c>
      <c r="H149" s="101">
        <v>6.2816999999999998</v>
      </c>
      <c r="I149" s="73"/>
    </row>
    <row r="150" spans="1:17" ht="25.5" x14ac:dyDescent="0.2">
      <c r="A150" s="5">
        <v>6</v>
      </c>
      <c r="B150" s="6" t="s">
        <v>709</v>
      </c>
      <c r="C150" s="6" t="s">
        <v>710</v>
      </c>
      <c r="D150" s="6" t="s">
        <v>506</v>
      </c>
      <c r="E150" s="7">
        <v>950000</v>
      </c>
      <c r="F150" s="8">
        <v>971.79489999999998</v>
      </c>
      <c r="G150" s="9">
        <v>3.1608892824795311E-3</v>
      </c>
      <c r="H150" s="101">
        <v>5.2963999999999993</v>
      </c>
      <c r="I150" s="73"/>
    </row>
    <row r="151" spans="1:17" ht="25.5" x14ac:dyDescent="0.2">
      <c r="A151" s="5">
        <v>7</v>
      </c>
      <c r="B151" s="6" t="s">
        <v>711</v>
      </c>
      <c r="C151" s="6" t="s">
        <v>712</v>
      </c>
      <c r="D151" s="6" t="s">
        <v>506</v>
      </c>
      <c r="E151" s="7">
        <v>800000</v>
      </c>
      <c r="F151" s="8">
        <v>786.38239999999996</v>
      </c>
      <c r="G151" s="9">
        <v>2.5578110155656626E-3</v>
      </c>
      <c r="H151" s="101">
        <v>5.6453000000000007</v>
      </c>
      <c r="I151" s="73"/>
    </row>
    <row r="152" spans="1:17" s="32" customFormat="1" ht="25.5" x14ac:dyDescent="0.2">
      <c r="A152" s="5">
        <v>8</v>
      </c>
      <c r="B152" s="6" t="s">
        <v>713</v>
      </c>
      <c r="C152" s="6" t="s">
        <v>714</v>
      </c>
      <c r="D152" s="6" t="s">
        <v>506</v>
      </c>
      <c r="E152" s="7">
        <v>700000</v>
      </c>
      <c r="F152" s="8">
        <v>729.30830000000003</v>
      </c>
      <c r="G152" s="9">
        <v>2.3721700835159423E-3</v>
      </c>
      <c r="H152" s="101">
        <v>5.9295999999999998</v>
      </c>
      <c r="I152" s="73"/>
      <c r="J152" s="69"/>
      <c r="K152" s="69"/>
      <c r="L152" s="69"/>
      <c r="M152" s="69"/>
      <c r="N152" s="69"/>
      <c r="O152" s="69"/>
      <c r="P152" s="69"/>
      <c r="Q152" s="69"/>
    </row>
    <row r="153" spans="1:17" ht="25.5" x14ac:dyDescent="0.2">
      <c r="A153" s="5">
        <v>9</v>
      </c>
      <c r="B153" s="6" t="s">
        <v>715</v>
      </c>
      <c r="C153" s="6" t="s">
        <v>716</v>
      </c>
      <c r="D153" s="6" t="s">
        <v>506</v>
      </c>
      <c r="E153" s="7">
        <v>650000</v>
      </c>
      <c r="F153" s="8">
        <v>665.03710000000001</v>
      </c>
      <c r="G153" s="9">
        <v>2.1631196478199958E-3</v>
      </c>
      <c r="H153" s="101">
        <v>4.3674999999999997</v>
      </c>
      <c r="I153" s="73"/>
    </row>
    <row r="154" spans="1:17" x14ac:dyDescent="0.2">
      <c r="A154" s="5">
        <v>10</v>
      </c>
      <c r="B154" s="6" t="s">
        <v>717</v>
      </c>
      <c r="C154" s="6" t="s">
        <v>718</v>
      </c>
      <c r="D154" s="6" t="s">
        <v>506</v>
      </c>
      <c r="E154" s="7">
        <v>500000</v>
      </c>
      <c r="F154" s="8">
        <v>526.68150000000003</v>
      </c>
      <c r="G154" s="9">
        <v>1.7131000673395623E-3</v>
      </c>
      <c r="H154" s="101">
        <v>5.8364000000000003</v>
      </c>
      <c r="I154" s="73"/>
    </row>
    <row r="155" spans="1:17" ht="25.5" x14ac:dyDescent="0.2">
      <c r="A155" s="5">
        <v>11</v>
      </c>
      <c r="B155" s="6" t="s">
        <v>719</v>
      </c>
      <c r="C155" s="6" t="s">
        <v>720</v>
      </c>
      <c r="D155" s="6" t="s">
        <v>506</v>
      </c>
      <c r="E155" s="7">
        <v>500000</v>
      </c>
      <c r="F155" s="8">
        <v>501.88600000000002</v>
      </c>
      <c r="G155" s="9">
        <v>1.6324494792332436E-3</v>
      </c>
      <c r="H155" s="101">
        <v>3.7553000000000001</v>
      </c>
      <c r="I155" s="73"/>
    </row>
    <row r="156" spans="1:17" x14ac:dyDescent="0.2">
      <c r="A156" s="5">
        <v>12</v>
      </c>
      <c r="B156" s="6" t="s">
        <v>721</v>
      </c>
      <c r="C156" s="6" t="s">
        <v>722</v>
      </c>
      <c r="D156" s="6" t="s">
        <v>506</v>
      </c>
      <c r="E156" s="7">
        <v>400000</v>
      </c>
      <c r="F156" s="8">
        <v>431.4932</v>
      </c>
      <c r="G156" s="9">
        <v>1.4034877434969013E-3</v>
      </c>
      <c r="H156" s="101">
        <v>5.6965500000000002</v>
      </c>
      <c r="I156" s="73"/>
    </row>
    <row r="157" spans="1:17" ht="25.5" x14ac:dyDescent="0.2">
      <c r="A157" s="5">
        <v>13</v>
      </c>
      <c r="B157" s="6" t="s">
        <v>723</v>
      </c>
      <c r="C157" s="6" t="s">
        <v>724</v>
      </c>
      <c r="D157" s="6" t="s">
        <v>506</v>
      </c>
      <c r="E157" s="7">
        <v>400000</v>
      </c>
      <c r="F157" s="8">
        <v>428.9332</v>
      </c>
      <c r="G157" s="9">
        <v>1.3951610105997151E-3</v>
      </c>
      <c r="H157" s="101">
        <v>5.5722999999999994</v>
      </c>
      <c r="I157" s="73"/>
    </row>
    <row r="158" spans="1:17" s="32" customFormat="1" ht="25.5" x14ac:dyDescent="0.2">
      <c r="A158" s="5">
        <v>14</v>
      </c>
      <c r="B158" s="6" t="s">
        <v>725</v>
      </c>
      <c r="C158" s="6" t="s">
        <v>726</v>
      </c>
      <c r="D158" s="6" t="s">
        <v>506</v>
      </c>
      <c r="E158" s="7">
        <v>400000</v>
      </c>
      <c r="F158" s="8">
        <v>428.21800000000002</v>
      </c>
      <c r="G158" s="9">
        <v>1.3928347295965638E-3</v>
      </c>
      <c r="H158" s="101">
        <v>5.5562500000000004</v>
      </c>
      <c r="I158" s="73"/>
      <c r="J158" s="69"/>
      <c r="K158" s="69"/>
      <c r="L158" s="69"/>
      <c r="M158" s="69"/>
      <c r="N158" s="69"/>
      <c r="O158" s="69"/>
      <c r="P158" s="69"/>
      <c r="Q158" s="69"/>
    </row>
    <row r="159" spans="1:17" ht="25.5" x14ac:dyDescent="0.2">
      <c r="A159" s="5">
        <v>15</v>
      </c>
      <c r="B159" s="6" t="s">
        <v>727</v>
      </c>
      <c r="C159" s="6" t="s">
        <v>728</v>
      </c>
      <c r="D159" s="6" t="s">
        <v>506</v>
      </c>
      <c r="E159" s="7">
        <v>400000</v>
      </c>
      <c r="F159" s="8">
        <v>412.01240000000001</v>
      </c>
      <c r="G159" s="9">
        <v>1.3401239082533459E-3</v>
      </c>
      <c r="H159" s="101">
        <v>6.1233999999999993</v>
      </c>
      <c r="I159" s="73"/>
    </row>
    <row r="160" spans="1:17" x14ac:dyDescent="0.2">
      <c r="A160" s="5">
        <v>16</v>
      </c>
      <c r="B160" s="6" t="s">
        <v>729</v>
      </c>
      <c r="C160" s="6" t="s">
        <v>730</v>
      </c>
      <c r="D160" s="6" t="s">
        <v>506</v>
      </c>
      <c r="E160" s="7">
        <v>400000</v>
      </c>
      <c r="F160" s="8">
        <v>410.63639999999998</v>
      </c>
      <c r="G160" s="9">
        <v>1.3356482893211083E-3</v>
      </c>
      <c r="H160" s="101">
        <v>4.3352000000000004</v>
      </c>
      <c r="I160" s="73"/>
    </row>
    <row r="161" spans="1:17" ht="25.5" x14ac:dyDescent="0.2">
      <c r="A161" s="5">
        <v>17</v>
      </c>
      <c r="B161" s="6" t="s">
        <v>731</v>
      </c>
      <c r="C161" s="6" t="s">
        <v>732</v>
      </c>
      <c r="D161" s="6" t="s">
        <v>506</v>
      </c>
      <c r="E161" s="7">
        <v>400000</v>
      </c>
      <c r="F161" s="8">
        <v>397.84800000000001</v>
      </c>
      <c r="G161" s="9">
        <v>1.2940523553436189E-3</v>
      </c>
      <c r="H161" s="101">
        <v>5.8666999999999998</v>
      </c>
      <c r="I161" s="73"/>
    </row>
    <row r="162" spans="1:17" ht="25.5" x14ac:dyDescent="0.2">
      <c r="A162" s="5">
        <v>18</v>
      </c>
      <c r="B162" s="6" t="s">
        <v>733</v>
      </c>
      <c r="C162" s="6" t="s">
        <v>734</v>
      </c>
      <c r="D162" s="6" t="s">
        <v>506</v>
      </c>
      <c r="E162" s="7">
        <v>400000</v>
      </c>
      <c r="F162" s="8">
        <v>389.97320000000002</v>
      </c>
      <c r="G162" s="9">
        <v>1.2684385443206656E-3</v>
      </c>
      <c r="H162" s="101">
        <v>6.4559000000000006</v>
      </c>
      <c r="I162" s="73"/>
    </row>
    <row r="163" spans="1:17" x14ac:dyDescent="0.2">
      <c r="A163" s="5">
        <v>19</v>
      </c>
      <c r="B163" s="6" t="s">
        <v>735</v>
      </c>
      <c r="C163" s="6" t="s">
        <v>736</v>
      </c>
      <c r="D163" s="6" t="s">
        <v>506</v>
      </c>
      <c r="E163" s="7">
        <v>150000</v>
      </c>
      <c r="F163" s="8">
        <v>152.43285</v>
      </c>
      <c r="G163" s="9">
        <v>4.9580766668235246E-4</v>
      </c>
      <c r="H163" s="101">
        <v>3.9089</v>
      </c>
      <c r="I163" s="73"/>
    </row>
    <row r="164" spans="1:17" x14ac:dyDescent="0.2">
      <c r="A164" s="34"/>
      <c r="B164" s="34"/>
      <c r="C164" s="35" t="s">
        <v>97</v>
      </c>
      <c r="D164" s="34"/>
      <c r="E164" s="34" t="s">
        <v>98</v>
      </c>
      <c r="F164" s="41">
        <v>15737.502150000004</v>
      </c>
      <c r="G164" s="42">
        <v>5.1188272215601863E-2</v>
      </c>
      <c r="H164" s="101"/>
      <c r="I164" s="73"/>
    </row>
    <row r="165" spans="1:17" x14ac:dyDescent="0.2">
      <c r="A165" s="34"/>
      <c r="B165" s="34"/>
      <c r="C165" s="43"/>
      <c r="D165" s="34"/>
      <c r="E165" s="34"/>
      <c r="F165" s="44"/>
      <c r="G165" s="44"/>
      <c r="H165" s="101"/>
      <c r="I165" s="73"/>
    </row>
    <row r="166" spans="1:17" x14ac:dyDescent="0.2">
      <c r="A166" s="34"/>
      <c r="B166" s="34"/>
      <c r="C166" s="35" t="s">
        <v>108</v>
      </c>
      <c r="D166" s="34"/>
      <c r="E166" s="34"/>
      <c r="F166" s="44"/>
      <c r="G166" s="44"/>
      <c r="H166" s="101"/>
      <c r="I166" s="73"/>
      <c r="J166" s="87"/>
      <c r="K166" s="87"/>
      <c r="L166" s="87"/>
      <c r="M166" s="87"/>
      <c r="N166" s="87"/>
      <c r="O166" s="87"/>
      <c r="P166" s="87"/>
    </row>
    <row r="167" spans="1:17" x14ac:dyDescent="0.2">
      <c r="A167" s="34"/>
      <c r="B167" s="34"/>
      <c r="C167" s="35" t="s">
        <v>97</v>
      </c>
      <c r="D167" s="34"/>
      <c r="E167" s="34" t="s">
        <v>98</v>
      </c>
      <c r="F167" s="45">
        <v>0</v>
      </c>
      <c r="G167" s="46">
        <v>0</v>
      </c>
      <c r="H167" s="101"/>
      <c r="I167" s="73"/>
    </row>
    <row r="168" spans="1:17" x14ac:dyDescent="0.2">
      <c r="A168" s="34"/>
      <c r="B168" s="34"/>
      <c r="C168" s="43"/>
      <c r="D168" s="34"/>
      <c r="E168" s="34"/>
      <c r="F168" s="44"/>
      <c r="G168" s="44"/>
      <c r="H168" s="101"/>
      <c r="I168" s="73"/>
    </row>
    <row r="169" spans="1:17" x14ac:dyDescent="0.2">
      <c r="A169" s="34"/>
      <c r="B169" s="34"/>
      <c r="C169" s="35" t="s">
        <v>109</v>
      </c>
      <c r="D169" s="34"/>
      <c r="E169" s="34"/>
      <c r="F169" s="41">
        <v>56604.699350000003</v>
      </c>
      <c r="G169" s="42">
        <v>0.18411414539569104</v>
      </c>
      <c r="H169" s="101"/>
      <c r="I169" s="73"/>
    </row>
    <row r="170" spans="1:17" x14ac:dyDescent="0.2">
      <c r="A170" s="34"/>
      <c r="B170" s="34"/>
      <c r="C170" s="43"/>
      <c r="D170" s="34"/>
      <c r="E170" s="34"/>
      <c r="F170" s="44"/>
      <c r="G170" s="44"/>
      <c r="H170" s="101"/>
      <c r="I170" s="73"/>
    </row>
    <row r="171" spans="1:17" x14ac:dyDescent="0.2">
      <c r="A171" s="34"/>
      <c r="B171" s="34"/>
      <c r="C171" s="35" t="s">
        <v>110</v>
      </c>
      <c r="D171" s="34"/>
      <c r="E171" s="34"/>
      <c r="F171" s="44"/>
      <c r="G171" s="44"/>
      <c r="H171" s="101"/>
      <c r="I171" s="73"/>
      <c r="Q171" s="87"/>
    </row>
    <row r="172" spans="1:17" x14ac:dyDescent="0.2">
      <c r="A172" s="34"/>
      <c r="B172" s="34"/>
      <c r="C172" s="35" t="s">
        <v>111</v>
      </c>
      <c r="D172" s="34"/>
      <c r="E172" s="34"/>
      <c r="F172" s="44"/>
      <c r="G172" s="44"/>
      <c r="H172" s="101"/>
      <c r="I172" s="73"/>
    </row>
    <row r="173" spans="1:17" x14ac:dyDescent="0.2">
      <c r="A173" s="34"/>
      <c r="B173" s="34"/>
      <c r="C173" s="35" t="s">
        <v>97</v>
      </c>
      <c r="D173" s="34"/>
      <c r="E173" s="34" t="s">
        <v>98</v>
      </c>
      <c r="F173" s="45">
        <v>0</v>
      </c>
      <c r="G173" s="46">
        <v>0</v>
      </c>
      <c r="H173" s="101"/>
      <c r="I173" s="73"/>
    </row>
    <row r="174" spans="1:17" x14ac:dyDescent="0.2">
      <c r="A174" s="34"/>
      <c r="B174" s="34"/>
      <c r="C174" s="43"/>
      <c r="D174" s="34"/>
      <c r="E174" s="34"/>
      <c r="F174" s="44"/>
      <c r="G174" s="44"/>
      <c r="H174" s="101"/>
      <c r="I174" s="73"/>
    </row>
    <row r="175" spans="1:17" x14ac:dyDescent="0.2">
      <c r="A175" s="34"/>
      <c r="B175" s="34"/>
      <c r="C175" s="35" t="s">
        <v>112</v>
      </c>
      <c r="D175" s="34"/>
      <c r="E175" s="34"/>
      <c r="F175" s="44"/>
      <c r="G175" s="44"/>
      <c r="H175" s="101"/>
      <c r="I175" s="73"/>
    </row>
    <row r="176" spans="1:17" x14ac:dyDescent="0.2">
      <c r="A176" s="34"/>
      <c r="B176" s="34"/>
      <c r="C176" s="35" t="s">
        <v>97</v>
      </c>
      <c r="D176" s="34"/>
      <c r="E176" s="34" t="s">
        <v>98</v>
      </c>
      <c r="F176" s="45">
        <v>0</v>
      </c>
      <c r="G176" s="46">
        <v>0</v>
      </c>
      <c r="H176" s="101"/>
      <c r="I176" s="73"/>
    </row>
    <row r="177" spans="1:17" x14ac:dyDescent="0.2">
      <c r="A177" s="34"/>
      <c r="B177" s="34"/>
      <c r="C177" s="43"/>
      <c r="D177" s="34"/>
      <c r="E177" s="34"/>
      <c r="F177" s="44"/>
      <c r="G177" s="44"/>
      <c r="H177" s="101"/>
      <c r="I177" s="73"/>
    </row>
    <row r="178" spans="1:17" x14ac:dyDescent="0.2">
      <c r="A178" s="34"/>
      <c r="B178" s="34"/>
      <c r="C178" s="35" t="s">
        <v>113</v>
      </c>
      <c r="D178" s="34"/>
      <c r="E178" s="34"/>
      <c r="F178" s="44"/>
      <c r="G178" s="44"/>
      <c r="H178" s="101"/>
      <c r="I178" s="73"/>
    </row>
    <row r="179" spans="1:17" x14ac:dyDescent="0.2">
      <c r="A179" s="36">
        <v>1</v>
      </c>
      <c r="B179" s="37" t="s">
        <v>1012</v>
      </c>
      <c r="C179" s="37" t="s">
        <v>1013</v>
      </c>
      <c r="D179" s="37" t="s">
        <v>506</v>
      </c>
      <c r="E179" s="38">
        <v>2500000</v>
      </c>
      <c r="F179" s="39">
        <v>2495.7775000000001</v>
      </c>
      <c r="G179" s="40">
        <v>8.1178408645729248E-3</v>
      </c>
      <c r="H179" s="101">
        <v>3.25</v>
      </c>
      <c r="I179" s="73"/>
    </row>
    <row r="180" spans="1:17" x14ac:dyDescent="0.2">
      <c r="A180" s="36">
        <v>2</v>
      </c>
      <c r="B180" s="37" t="s">
        <v>1014</v>
      </c>
      <c r="C180" s="37" t="s">
        <v>1015</v>
      </c>
      <c r="D180" s="37" t="s">
        <v>506</v>
      </c>
      <c r="E180" s="38">
        <v>2500000</v>
      </c>
      <c r="F180" s="39">
        <v>2494.19</v>
      </c>
      <c r="G180" s="40">
        <v>8.112677314387657E-3</v>
      </c>
      <c r="H180" s="101">
        <v>3.27</v>
      </c>
      <c r="I180" s="73"/>
    </row>
    <row r="181" spans="1:17" x14ac:dyDescent="0.2">
      <c r="A181" s="5">
        <v>3</v>
      </c>
      <c r="B181" s="6" t="s">
        <v>737</v>
      </c>
      <c r="C181" s="6" t="s">
        <v>738</v>
      </c>
      <c r="D181" s="6" t="s">
        <v>506</v>
      </c>
      <c r="E181" s="7">
        <v>500000</v>
      </c>
      <c r="F181" s="8">
        <v>481.41</v>
      </c>
      <c r="G181" s="9">
        <v>1.5658486265759072E-3</v>
      </c>
      <c r="H181" s="101">
        <v>4.22</v>
      </c>
      <c r="I181" s="73"/>
    </row>
    <row r="182" spans="1:17" x14ac:dyDescent="0.2">
      <c r="A182" s="34"/>
      <c r="B182" s="34"/>
      <c r="C182" s="35" t="s">
        <v>97</v>
      </c>
      <c r="D182" s="34"/>
      <c r="E182" s="34" t="s">
        <v>98</v>
      </c>
      <c r="F182" s="41">
        <v>5471.3775000000005</v>
      </c>
      <c r="G182" s="42">
        <v>1.7796366805536489E-2</v>
      </c>
      <c r="H182" s="101"/>
      <c r="I182" s="73"/>
      <c r="J182" s="186"/>
      <c r="K182" s="186"/>
      <c r="L182" s="186"/>
      <c r="M182" s="186"/>
      <c r="N182" s="186"/>
      <c r="O182" s="186"/>
      <c r="P182" s="186"/>
    </row>
    <row r="183" spans="1:17" x14ac:dyDescent="0.2">
      <c r="A183" s="34"/>
      <c r="B183" s="34"/>
      <c r="C183" s="43"/>
      <c r="D183" s="34"/>
      <c r="E183" s="34"/>
      <c r="F183" s="44"/>
      <c r="G183" s="44"/>
      <c r="H183" s="101"/>
      <c r="I183" s="73"/>
    </row>
    <row r="184" spans="1:17" x14ac:dyDescent="0.2">
      <c r="A184" s="34"/>
      <c r="B184" s="34"/>
      <c r="C184" s="35" t="s">
        <v>114</v>
      </c>
      <c r="D184" s="34"/>
      <c r="E184" s="34"/>
      <c r="F184" s="44"/>
      <c r="G184" s="44"/>
      <c r="H184" s="101"/>
      <c r="I184" s="73"/>
    </row>
    <row r="185" spans="1:17" x14ac:dyDescent="0.2">
      <c r="A185" s="36">
        <v>1</v>
      </c>
      <c r="B185" s="37"/>
      <c r="C185" s="37" t="s">
        <v>115</v>
      </c>
      <c r="D185" s="37"/>
      <c r="E185" s="47"/>
      <c r="F185" s="39">
        <v>3859.4850323000001</v>
      </c>
      <c r="G185" s="40">
        <v>1.2553476947128696E-2</v>
      </c>
      <c r="H185" s="8">
        <v>3.4504560529072292</v>
      </c>
      <c r="I185" s="73"/>
    </row>
    <row r="186" spans="1:17" x14ac:dyDescent="0.2">
      <c r="A186" s="36">
        <v>2</v>
      </c>
      <c r="B186" s="37"/>
      <c r="C186" s="37" t="s">
        <v>116</v>
      </c>
      <c r="D186" s="37"/>
      <c r="E186" s="47"/>
      <c r="F186" s="39">
        <v>2082.9928128000001</v>
      </c>
      <c r="G186" s="40">
        <v>6.7752049917749234E-3</v>
      </c>
      <c r="H186" s="8">
        <v>3.5655822479098256</v>
      </c>
      <c r="I186" s="73"/>
      <c r="Q186" s="186"/>
    </row>
    <row r="187" spans="1:17" x14ac:dyDescent="0.2">
      <c r="A187" s="34"/>
      <c r="B187" s="34"/>
      <c r="C187" s="35" t="s">
        <v>97</v>
      </c>
      <c r="D187" s="34"/>
      <c r="E187" s="34" t="s">
        <v>98</v>
      </c>
      <c r="F187" s="41">
        <v>5942.4778451000002</v>
      </c>
      <c r="G187" s="42">
        <v>1.9328681938903618E-2</v>
      </c>
      <c r="H187" s="101"/>
      <c r="I187" s="73"/>
    </row>
    <row r="188" spans="1:17" x14ac:dyDescent="0.2">
      <c r="A188" s="34"/>
      <c r="B188" s="34"/>
      <c r="C188" s="43"/>
      <c r="D188" s="34"/>
      <c r="E188" s="34"/>
      <c r="F188" s="44"/>
      <c r="G188" s="44"/>
      <c r="H188" s="101"/>
      <c r="I188" s="73"/>
    </row>
    <row r="189" spans="1:17" x14ac:dyDescent="0.2">
      <c r="A189" s="34"/>
      <c r="B189" s="34"/>
      <c r="C189" s="35" t="s">
        <v>117</v>
      </c>
      <c r="D189" s="34"/>
      <c r="E189" s="34"/>
      <c r="F189" s="41">
        <v>11413.855345100001</v>
      </c>
      <c r="G189" s="42">
        <v>3.7125048744440108E-2</v>
      </c>
      <c r="H189" s="101"/>
      <c r="I189" s="73"/>
    </row>
    <row r="190" spans="1:17" x14ac:dyDescent="0.2">
      <c r="A190" s="34"/>
      <c r="B190" s="34"/>
      <c r="C190" s="44"/>
      <c r="D190" s="34"/>
      <c r="E190" s="34"/>
      <c r="F190" s="34"/>
      <c r="G190" s="34"/>
      <c r="H190" s="101"/>
      <c r="I190" s="73"/>
    </row>
    <row r="191" spans="1:17" x14ac:dyDescent="0.2">
      <c r="A191" s="34"/>
      <c r="B191" s="34"/>
      <c r="C191" s="35" t="s">
        <v>118</v>
      </c>
      <c r="D191" s="34"/>
      <c r="E191" s="34"/>
      <c r="F191" s="34"/>
      <c r="G191" s="34"/>
      <c r="H191" s="101"/>
      <c r="I191" s="73"/>
    </row>
    <row r="192" spans="1:17" x14ac:dyDescent="0.2">
      <c r="A192" s="34"/>
      <c r="B192" s="34"/>
      <c r="C192" s="35" t="s">
        <v>119</v>
      </c>
      <c r="D192" s="34"/>
      <c r="E192" s="34"/>
      <c r="F192" s="34"/>
      <c r="G192" s="34"/>
      <c r="H192" s="101"/>
      <c r="I192" s="73"/>
    </row>
    <row r="193" spans="1:9" x14ac:dyDescent="0.2">
      <c r="A193" s="34"/>
      <c r="B193" s="34"/>
      <c r="C193" s="35" t="s">
        <v>97</v>
      </c>
      <c r="D193" s="34"/>
      <c r="E193" s="34" t="s">
        <v>98</v>
      </c>
      <c r="F193" s="45">
        <v>0</v>
      </c>
      <c r="G193" s="46">
        <v>0</v>
      </c>
      <c r="H193" s="101"/>
      <c r="I193" s="73"/>
    </row>
    <row r="194" spans="1:9" x14ac:dyDescent="0.2">
      <c r="A194" s="34"/>
      <c r="B194" s="34"/>
      <c r="C194" s="43"/>
      <c r="D194" s="34"/>
      <c r="E194" s="34"/>
      <c r="F194" s="44"/>
      <c r="G194" s="44"/>
      <c r="H194" s="101"/>
      <c r="I194" s="73"/>
    </row>
    <row r="195" spans="1:9" x14ac:dyDescent="0.2">
      <c r="A195" s="34"/>
      <c r="B195" s="34"/>
      <c r="C195" s="35" t="s">
        <v>120</v>
      </c>
      <c r="D195" s="34"/>
      <c r="E195" s="34"/>
      <c r="F195" s="34"/>
      <c r="G195" s="34"/>
      <c r="H195" s="101"/>
      <c r="I195" s="73"/>
    </row>
    <row r="196" spans="1:9" x14ac:dyDescent="0.2">
      <c r="A196" s="34"/>
      <c r="B196" s="34"/>
      <c r="C196" s="35" t="s">
        <v>121</v>
      </c>
      <c r="D196" s="34"/>
      <c r="E196" s="34"/>
      <c r="F196" s="34"/>
      <c r="G196" s="34"/>
      <c r="H196" s="101"/>
      <c r="I196" s="73"/>
    </row>
    <row r="197" spans="1:9" x14ac:dyDescent="0.2">
      <c r="A197" s="34"/>
      <c r="B197" s="34"/>
      <c r="C197" s="35" t="s">
        <v>97</v>
      </c>
      <c r="D197" s="34"/>
      <c r="E197" s="34" t="s">
        <v>98</v>
      </c>
      <c r="F197" s="45">
        <v>0</v>
      </c>
      <c r="G197" s="46">
        <v>0</v>
      </c>
      <c r="H197" s="101"/>
      <c r="I197" s="73"/>
    </row>
    <row r="198" spans="1:9" x14ac:dyDescent="0.2">
      <c r="A198" s="34"/>
      <c r="B198" s="34"/>
      <c r="C198" s="43"/>
      <c r="D198" s="34"/>
      <c r="E198" s="34"/>
      <c r="F198" s="44"/>
      <c r="G198" s="44"/>
      <c r="H198" s="101"/>
      <c r="I198" s="73"/>
    </row>
    <row r="199" spans="1:9" ht="25.5" x14ac:dyDescent="0.2">
      <c r="A199" s="34"/>
      <c r="B199" s="34"/>
      <c r="C199" s="35" t="s">
        <v>122</v>
      </c>
      <c r="D199" s="34"/>
      <c r="E199" s="34"/>
      <c r="F199" s="44"/>
      <c r="G199" s="44"/>
      <c r="H199" s="101"/>
      <c r="I199" s="73"/>
    </row>
    <row r="200" spans="1:9" x14ac:dyDescent="0.2">
      <c r="A200" s="34"/>
      <c r="B200" s="34"/>
      <c r="C200" s="35" t="s">
        <v>97</v>
      </c>
      <c r="D200" s="34"/>
      <c r="E200" s="34" t="s">
        <v>98</v>
      </c>
      <c r="F200" s="45">
        <v>0</v>
      </c>
      <c r="G200" s="46">
        <v>0</v>
      </c>
      <c r="H200" s="101"/>
      <c r="I200" s="73"/>
    </row>
    <row r="201" spans="1:9" x14ac:dyDescent="0.2">
      <c r="A201" s="34"/>
      <c r="B201" s="34"/>
      <c r="C201" s="43"/>
      <c r="D201" s="34"/>
      <c r="E201" s="34"/>
      <c r="F201" s="44"/>
      <c r="G201" s="44"/>
      <c r="H201" s="101"/>
      <c r="I201" s="73"/>
    </row>
    <row r="202" spans="1:9" x14ac:dyDescent="0.2">
      <c r="A202" s="34"/>
      <c r="B202" s="37"/>
      <c r="C202" s="37"/>
      <c r="D202" s="35"/>
      <c r="E202" s="34"/>
      <c r="F202" s="37"/>
      <c r="G202" s="47"/>
      <c r="H202" s="101"/>
      <c r="I202" s="73"/>
    </row>
    <row r="203" spans="1:9" x14ac:dyDescent="0.2">
      <c r="A203" s="47"/>
      <c r="B203" s="37"/>
      <c r="C203" s="37" t="s">
        <v>1016</v>
      </c>
      <c r="D203" s="37"/>
      <c r="E203" s="47"/>
      <c r="F203" s="39">
        <v>11376.89118187</v>
      </c>
      <c r="G203" s="40">
        <v>3.7004817996790028E-2</v>
      </c>
      <c r="H203" s="101"/>
      <c r="I203" s="73"/>
    </row>
    <row r="204" spans="1:9" x14ac:dyDescent="0.2">
      <c r="A204" s="43"/>
      <c r="B204" s="43"/>
      <c r="C204" s="35" t="s">
        <v>124</v>
      </c>
      <c r="D204" s="44"/>
      <c r="E204" s="44"/>
      <c r="F204" s="41">
        <v>307443.51135187002</v>
      </c>
      <c r="G204" s="42">
        <v>1</v>
      </c>
      <c r="H204" s="101"/>
      <c r="I204" s="73"/>
    </row>
    <row r="205" spans="1:9" ht="14.1" customHeight="1" x14ac:dyDescent="0.2">
      <c r="A205" s="48"/>
      <c r="B205" s="48"/>
      <c r="C205" s="48"/>
      <c r="D205" s="49"/>
      <c r="E205" s="49"/>
      <c r="F205" s="49"/>
      <c r="G205" s="49"/>
    </row>
    <row r="206" spans="1:9" ht="17.100000000000001" customHeight="1" x14ac:dyDescent="0.2">
      <c r="A206" s="50"/>
      <c r="B206" s="251" t="s">
        <v>1017</v>
      </c>
      <c r="C206" s="251"/>
      <c r="D206" s="251"/>
      <c r="E206" s="251"/>
      <c r="F206" s="251"/>
      <c r="G206" s="51"/>
    </row>
    <row r="207" spans="1:9" s="69" customFormat="1" ht="17.100000000000001" customHeight="1" x14ac:dyDescent="0.2">
      <c r="A207" s="94"/>
      <c r="B207" s="234" t="s">
        <v>1018</v>
      </c>
      <c r="C207" s="234"/>
      <c r="D207" s="234"/>
      <c r="E207" s="234"/>
      <c r="F207" s="234"/>
      <c r="G207" s="95"/>
      <c r="H207"/>
      <c r="I207"/>
    </row>
    <row r="208" spans="1:9" ht="26.25" customHeight="1" x14ac:dyDescent="0.2">
      <c r="A208" s="20"/>
      <c r="B208" s="252" t="s">
        <v>1163</v>
      </c>
      <c r="C208" s="252"/>
      <c r="D208" s="252"/>
      <c r="E208" s="252"/>
      <c r="F208" s="252"/>
      <c r="G208" s="22"/>
      <c r="I208" s="69"/>
    </row>
    <row r="209" spans="1:7" ht="14.1" customHeight="1" x14ac:dyDescent="0.2">
      <c r="A209" s="50"/>
      <c r="B209" s="50"/>
      <c r="C209" s="50"/>
      <c r="D209" s="51"/>
      <c r="E209" s="51"/>
      <c r="F209" s="51"/>
      <c r="G209" s="51"/>
    </row>
    <row r="210" spans="1:7" ht="14.1" customHeight="1" x14ac:dyDescent="0.2">
      <c r="A210" s="50"/>
      <c r="B210" s="253" t="s">
        <v>126</v>
      </c>
      <c r="C210" s="254"/>
      <c r="D210" s="255"/>
      <c r="E210" s="52"/>
      <c r="F210" s="51"/>
      <c r="G210" s="51"/>
    </row>
    <row r="211" spans="1:7" ht="29.1" customHeight="1" x14ac:dyDescent="0.2">
      <c r="A211" s="50"/>
      <c r="B211" s="239" t="s">
        <v>127</v>
      </c>
      <c r="C211" s="240"/>
      <c r="D211" s="4" t="s">
        <v>1311</v>
      </c>
      <c r="E211" s="52"/>
      <c r="F211" s="51"/>
      <c r="G211" s="51"/>
    </row>
    <row r="212" spans="1:7" ht="17.100000000000001" customHeight="1" x14ac:dyDescent="0.2">
      <c r="A212" s="50"/>
      <c r="B212" s="239" t="s">
        <v>129</v>
      </c>
      <c r="C212" s="240"/>
      <c r="D212" s="35" t="s">
        <v>128</v>
      </c>
      <c r="E212" s="52"/>
      <c r="F212" s="51"/>
      <c r="G212" s="51"/>
    </row>
    <row r="213" spans="1:7" ht="17.100000000000001" customHeight="1" x14ac:dyDescent="0.2">
      <c r="A213" s="20"/>
      <c r="B213" s="248" t="s">
        <v>1055</v>
      </c>
      <c r="C213" s="249"/>
      <c r="D213" s="250"/>
      <c r="E213" s="23"/>
      <c r="F213" s="22"/>
      <c r="G213" s="22"/>
    </row>
    <row r="214" spans="1:7" ht="24" customHeight="1" x14ac:dyDescent="0.2">
      <c r="A214" s="24"/>
      <c r="B214" s="25" t="s">
        <v>98</v>
      </c>
      <c r="C214" s="25" t="s">
        <v>131</v>
      </c>
      <c r="D214" s="25" t="s">
        <v>132</v>
      </c>
      <c r="E214" s="24"/>
      <c r="F214" s="24"/>
      <c r="G214" s="24"/>
    </row>
    <row r="215" spans="1:7" ht="18" customHeight="1" x14ac:dyDescent="0.2">
      <c r="A215" s="24"/>
      <c r="B215" s="25" t="s">
        <v>133</v>
      </c>
      <c r="C215" s="25" t="s">
        <v>134</v>
      </c>
      <c r="D215" s="25" t="s">
        <v>135</v>
      </c>
      <c r="E215" s="24"/>
      <c r="F215" s="24"/>
      <c r="G215" s="24"/>
    </row>
    <row r="216" spans="1:7" x14ac:dyDescent="0.2">
      <c r="A216" s="24"/>
      <c r="B216" s="6" t="s">
        <v>136</v>
      </c>
      <c r="C216" s="86">
        <v>121.12</v>
      </c>
      <c r="D216" s="26">
        <v>123.42149999999999</v>
      </c>
      <c r="E216" s="24"/>
      <c r="F216" s="21"/>
      <c r="G216" s="27"/>
    </row>
    <row r="217" spans="1:7" x14ac:dyDescent="0.2">
      <c r="A217" s="24"/>
      <c r="B217" s="6" t="s">
        <v>1060</v>
      </c>
      <c r="C217" s="86">
        <v>41.04</v>
      </c>
      <c r="D217" s="26">
        <v>41.585900000000002</v>
      </c>
      <c r="E217" s="24"/>
      <c r="F217" s="21"/>
      <c r="G217" s="27"/>
    </row>
    <row r="218" spans="1:7" x14ac:dyDescent="0.2">
      <c r="A218" s="24"/>
      <c r="B218" s="6" t="s">
        <v>137</v>
      </c>
      <c r="C218" s="86">
        <v>110.27</v>
      </c>
      <c r="D218" s="26">
        <v>112.2535</v>
      </c>
      <c r="E218" s="24"/>
      <c r="F218" s="21"/>
      <c r="G218" s="27"/>
    </row>
    <row r="219" spans="1:7" x14ac:dyDescent="0.2">
      <c r="A219" s="24"/>
      <c r="B219" s="6" t="s">
        <v>1061</v>
      </c>
      <c r="C219" s="86">
        <v>28.42</v>
      </c>
      <c r="D219" s="26">
        <v>28.768000000000001</v>
      </c>
      <c r="E219" s="24"/>
      <c r="F219" s="21"/>
      <c r="G219" s="27"/>
    </row>
    <row r="220" spans="1:7" ht="17.100000000000001" customHeight="1" x14ac:dyDescent="0.2">
      <c r="A220" s="50"/>
      <c r="B220" s="256" t="s">
        <v>1056</v>
      </c>
      <c r="C220" s="257"/>
      <c r="D220" s="258"/>
      <c r="E220" s="52"/>
      <c r="F220" s="51"/>
      <c r="G220" s="51"/>
    </row>
    <row r="221" spans="1:7" ht="24" customHeight="1" x14ac:dyDescent="0.2">
      <c r="A221" s="53"/>
      <c r="B221" s="54" t="s">
        <v>98</v>
      </c>
      <c r="C221" s="54" t="s">
        <v>131</v>
      </c>
      <c r="D221" s="54" t="s">
        <v>132</v>
      </c>
      <c r="E221" s="53"/>
      <c r="F221" s="53"/>
      <c r="G221" s="53"/>
    </row>
    <row r="222" spans="1:7" ht="18" customHeight="1" x14ac:dyDescent="0.2">
      <c r="A222" s="53"/>
      <c r="B222" s="55" t="s">
        <v>133</v>
      </c>
      <c r="C222" s="54" t="s">
        <v>134</v>
      </c>
      <c r="D222" s="54" t="s">
        <v>135</v>
      </c>
      <c r="E222" s="53"/>
      <c r="F222" s="53"/>
      <c r="G222" s="53"/>
    </row>
    <row r="223" spans="1:7" x14ac:dyDescent="0.2">
      <c r="A223" s="53"/>
      <c r="B223" s="37" t="s">
        <v>136</v>
      </c>
      <c r="C223" s="56">
        <v>143.60069999999999</v>
      </c>
      <c r="D223" s="56">
        <v>146.339</v>
      </c>
      <c r="E223" s="53"/>
      <c r="F223" s="57"/>
      <c r="G223" s="58"/>
    </row>
    <row r="224" spans="1:7" x14ac:dyDescent="0.2">
      <c r="A224" s="53"/>
      <c r="B224" s="37" t="s">
        <v>1201</v>
      </c>
      <c r="C224" s="56">
        <v>18.438500000000001</v>
      </c>
      <c r="D224" s="56">
        <v>18.614699999999999</v>
      </c>
      <c r="E224" s="53"/>
      <c r="F224" s="57"/>
      <c r="G224" s="58"/>
    </row>
    <row r="225" spans="1:17" x14ac:dyDescent="0.2">
      <c r="A225" s="53"/>
      <c r="B225" s="37" t="s">
        <v>137</v>
      </c>
      <c r="C225" s="56">
        <v>132.75290000000001</v>
      </c>
      <c r="D225" s="56">
        <v>135.13749999999999</v>
      </c>
      <c r="E225" s="53"/>
      <c r="F225" s="57"/>
      <c r="G225" s="58"/>
    </row>
    <row r="226" spans="1:17" x14ac:dyDescent="0.2">
      <c r="A226" s="53"/>
      <c r="B226" s="37" t="s">
        <v>1202</v>
      </c>
      <c r="C226" s="56">
        <v>16.221399999999999</v>
      </c>
      <c r="D226" s="56">
        <v>16.358799999999999</v>
      </c>
      <c r="E226" s="53"/>
      <c r="F226" s="57"/>
      <c r="G226" s="58"/>
    </row>
    <row r="227" spans="1:17" ht="14.1" customHeight="1" x14ac:dyDescent="0.2">
      <c r="A227" s="53"/>
      <c r="B227" s="53"/>
      <c r="C227" s="53"/>
      <c r="D227" s="53"/>
      <c r="E227" s="53"/>
      <c r="F227" s="53"/>
      <c r="G227" s="53"/>
    </row>
    <row r="228" spans="1:17" x14ac:dyDescent="0.2">
      <c r="A228" s="24"/>
      <c r="B228" s="231" t="s">
        <v>1058</v>
      </c>
      <c r="C228" s="232"/>
      <c r="D228" s="4"/>
      <c r="E228" s="24"/>
      <c r="F228" s="24"/>
      <c r="G228" s="24"/>
    </row>
    <row r="229" spans="1:17" ht="18" customHeight="1" x14ac:dyDescent="0.2">
      <c r="A229" s="24"/>
      <c r="B229" s="81" t="s">
        <v>133</v>
      </c>
      <c r="C229" s="82" t="s">
        <v>1019</v>
      </c>
      <c r="D229" s="82" t="s">
        <v>1020</v>
      </c>
      <c r="E229" s="24"/>
      <c r="F229" s="24"/>
      <c r="G229" s="24"/>
    </row>
    <row r="230" spans="1:17" x14ac:dyDescent="0.2">
      <c r="A230" s="24"/>
      <c r="B230" s="6" t="s">
        <v>1060</v>
      </c>
      <c r="C230" s="83">
        <v>0.2311</v>
      </c>
      <c r="D230" s="84">
        <v>0.2311</v>
      </c>
      <c r="E230" s="24"/>
      <c r="F230" s="21"/>
      <c r="G230" s="27"/>
    </row>
    <row r="231" spans="1:17" x14ac:dyDescent="0.2">
      <c r="A231" s="24"/>
      <c r="B231" s="6" t="s">
        <v>1061</v>
      </c>
      <c r="C231" s="83">
        <v>0.16</v>
      </c>
      <c r="D231" s="83">
        <v>0.16</v>
      </c>
      <c r="E231" s="24"/>
      <c r="F231" s="21"/>
      <c r="G231" s="27"/>
    </row>
    <row r="232" spans="1:17" x14ac:dyDescent="0.2">
      <c r="A232" s="24"/>
      <c r="B232" s="231" t="s">
        <v>1057</v>
      </c>
      <c r="C232" s="235"/>
      <c r="D232" s="232"/>
      <c r="E232" s="24"/>
      <c r="F232" s="24"/>
      <c r="G232" s="24"/>
    </row>
    <row r="233" spans="1:17" ht="18" customHeight="1" x14ac:dyDescent="0.2">
      <c r="A233" s="53"/>
      <c r="B233" s="59" t="s">
        <v>133</v>
      </c>
      <c r="C233" s="60" t="s">
        <v>1019</v>
      </c>
      <c r="D233" s="60" t="s">
        <v>1020</v>
      </c>
      <c r="E233" s="53"/>
      <c r="F233" s="53"/>
      <c r="G233" s="53"/>
    </row>
    <row r="234" spans="1:17" x14ac:dyDescent="0.2">
      <c r="A234" s="53"/>
      <c r="B234" s="37" t="s">
        <v>1201</v>
      </c>
      <c r="C234" s="61">
        <v>0.17299999999999999</v>
      </c>
      <c r="D234" s="61">
        <v>0.17299999999999999</v>
      </c>
      <c r="E234" s="53"/>
      <c r="F234" s="57"/>
      <c r="G234" s="58"/>
    </row>
    <row r="235" spans="1:17" x14ac:dyDescent="0.2">
      <c r="A235" s="53"/>
      <c r="B235" s="37" t="s">
        <v>1202</v>
      </c>
      <c r="C235" s="61">
        <v>0.152</v>
      </c>
      <c r="D235" s="61">
        <v>0.152</v>
      </c>
      <c r="E235" s="53"/>
      <c r="F235" s="57"/>
      <c r="G235" s="58"/>
    </row>
    <row r="237" spans="1:17" s="87" customFormat="1" x14ac:dyDescent="0.2">
      <c r="B237" s="233" t="s">
        <v>1207</v>
      </c>
      <c r="C237" s="233"/>
      <c r="D237" s="233"/>
      <c r="E237" s="233"/>
      <c r="F237" s="233"/>
      <c r="I237"/>
      <c r="J237" s="69"/>
      <c r="K237" s="69"/>
      <c r="L237" s="69"/>
      <c r="M237" s="69"/>
      <c r="N237" s="69"/>
      <c r="O237" s="69"/>
      <c r="P237" s="69"/>
      <c r="Q237" s="69"/>
    </row>
    <row r="239" spans="1:17" ht="29.1" customHeight="1" x14ac:dyDescent="0.2">
      <c r="A239" s="53"/>
      <c r="B239" s="239" t="s">
        <v>138</v>
      </c>
      <c r="C239" s="240"/>
      <c r="D239" s="35" t="s">
        <v>128</v>
      </c>
      <c r="E239" s="62"/>
      <c r="F239" s="53"/>
      <c r="G239" s="53"/>
    </row>
    <row r="240" spans="1:17" ht="29.1" customHeight="1" x14ac:dyDescent="0.2">
      <c r="A240" s="53"/>
      <c r="B240" s="239" t="s">
        <v>139</v>
      </c>
      <c r="C240" s="240"/>
      <c r="D240" s="35" t="s">
        <v>128</v>
      </c>
      <c r="E240" s="62"/>
      <c r="F240" s="53"/>
      <c r="G240" s="53"/>
    </row>
    <row r="241" spans="1:8" ht="17.100000000000001" customHeight="1" x14ac:dyDescent="0.2">
      <c r="A241" s="53"/>
      <c r="B241" s="241" t="s">
        <v>1158</v>
      </c>
      <c r="C241" s="242"/>
      <c r="D241" s="63">
        <v>0.56141662099601375</v>
      </c>
      <c r="E241" s="62"/>
      <c r="F241" s="53"/>
      <c r="G241" s="53"/>
    </row>
    <row r="242" spans="1:8" ht="17.100000000000001" customHeight="1" x14ac:dyDescent="0.2">
      <c r="A242" s="53"/>
      <c r="B242" s="241" t="s">
        <v>1159</v>
      </c>
      <c r="C242" s="242"/>
      <c r="D242" s="63">
        <v>0.59560207719351266</v>
      </c>
      <c r="E242" s="62"/>
      <c r="F242" s="53"/>
      <c r="G242" s="53"/>
    </row>
    <row r="243" spans="1:8" ht="17.100000000000001" customHeight="1" x14ac:dyDescent="0.2">
      <c r="A243" s="53"/>
      <c r="B243" s="239" t="s">
        <v>1160</v>
      </c>
      <c r="C243" s="240"/>
      <c r="D243" s="64">
        <v>0.61888407503129961</v>
      </c>
      <c r="E243" s="53"/>
      <c r="F243" s="57"/>
      <c r="G243" s="58"/>
    </row>
    <row r="244" spans="1:8" ht="17.100000000000001" customHeight="1" x14ac:dyDescent="0.2">
      <c r="A244" s="53"/>
      <c r="B244" s="239" t="s">
        <v>1161</v>
      </c>
      <c r="C244" s="240"/>
      <c r="D244" s="35" t="s">
        <v>128</v>
      </c>
      <c r="E244" s="62"/>
      <c r="F244" s="53"/>
      <c r="G244" s="53"/>
    </row>
    <row r="245" spans="1:8" ht="17.100000000000001" customHeight="1" x14ac:dyDescent="0.2">
      <c r="A245" s="53"/>
      <c r="B245" s="57"/>
      <c r="C245" s="57"/>
      <c r="D245" s="222"/>
      <c r="E245" s="53"/>
      <c r="F245" s="53"/>
      <c r="G245" s="53"/>
    </row>
    <row r="246" spans="1:8" x14ac:dyDescent="0.2">
      <c r="B246" s="191" t="s">
        <v>1310</v>
      </c>
    </row>
    <row r="247" spans="1:8" x14ac:dyDescent="0.2">
      <c r="B247" s="191"/>
    </row>
    <row r="248" spans="1:8" ht="38.25" x14ac:dyDescent="0.2">
      <c r="B248" s="199" t="s">
        <v>1285</v>
      </c>
      <c r="C248" s="199" t="s">
        <v>1286</v>
      </c>
      <c r="D248" s="199" t="s">
        <v>1287</v>
      </c>
      <c r="E248" s="199" t="s">
        <v>1288</v>
      </c>
      <c r="F248" s="199" t="s">
        <v>1289</v>
      </c>
    </row>
    <row r="249" spans="1:8" x14ac:dyDescent="0.2">
      <c r="B249" s="213" t="s">
        <v>1308</v>
      </c>
      <c r="C249" s="213" t="s">
        <v>1309</v>
      </c>
      <c r="D249" s="214">
        <v>0</v>
      </c>
      <c r="E249" s="216">
        <v>0</v>
      </c>
      <c r="F249" s="215">
        <v>1000</v>
      </c>
    </row>
    <row r="250" spans="1:8" x14ac:dyDescent="0.2">
      <c r="B250" s="191"/>
    </row>
    <row r="251" spans="1:8" x14ac:dyDescent="0.2">
      <c r="B251" s="217" t="s">
        <v>1168</v>
      </c>
      <c r="C251" s="217" t="s">
        <v>1169</v>
      </c>
      <c r="D251" s="236" t="s">
        <v>1170</v>
      </c>
      <c r="E251" s="236"/>
      <c r="F251" s="236"/>
      <c r="G251" s="237" t="s">
        <v>1171</v>
      </c>
      <c r="H251" s="237"/>
    </row>
    <row r="252" spans="1:8" ht="25.5" x14ac:dyDescent="0.2">
      <c r="B252" s="102" t="s">
        <v>1172</v>
      </c>
      <c r="C252" s="103" t="s">
        <v>1173</v>
      </c>
      <c r="D252" s="238">
        <v>0</v>
      </c>
      <c r="E252" s="238"/>
      <c r="F252" s="238"/>
      <c r="G252" s="238">
        <v>0</v>
      </c>
      <c r="H252" s="238"/>
    </row>
    <row r="253" spans="1:8" x14ac:dyDescent="0.2">
      <c r="B253" s="102"/>
      <c r="C253" s="102"/>
      <c r="D253" s="238"/>
      <c r="E253" s="238"/>
      <c r="F253" s="238"/>
      <c r="G253" s="238"/>
      <c r="H253" s="238"/>
    </row>
    <row r="254" spans="1:8" x14ac:dyDescent="0.2">
      <c r="B254" s="237" t="s">
        <v>1174</v>
      </c>
      <c r="C254" s="237"/>
      <c r="D254" s="237"/>
      <c r="E254" s="237"/>
      <c r="F254" s="237"/>
      <c r="G254" s="237"/>
      <c r="H254" s="237"/>
    </row>
    <row r="255" spans="1:8" x14ac:dyDescent="0.2">
      <c r="B255" s="245" t="s">
        <v>1168</v>
      </c>
      <c r="C255" s="245" t="s">
        <v>1169</v>
      </c>
      <c r="D255" s="245" t="s">
        <v>1175</v>
      </c>
      <c r="E255" s="245"/>
      <c r="F255" s="245"/>
      <c r="G255" s="245"/>
      <c r="H255" s="102"/>
    </row>
    <row r="256" spans="1:8" ht="51" x14ac:dyDescent="0.2">
      <c r="B256" s="245"/>
      <c r="C256" s="245"/>
      <c r="D256" s="218" t="s">
        <v>1176</v>
      </c>
      <c r="E256" s="218" t="s">
        <v>1177</v>
      </c>
      <c r="F256" s="218" t="s">
        <v>1178</v>
      </c>
      <c r="G256" s="218" t="s">
        <v>1179</v>
      </c>
      <c r="H256" s="218" t="s">
        <v>1181</v>
      </c>
    </row>
    <row r="257" spans="2:8" ht="25.5" x14ac:dyDescent="0.2">
      <c r="B257" s="104" t="s">
        <v>1172</v>
      </c>
      <c r="C257" s="105" t="s">
        <v>1173</v>
      </c>
      <c r="D257" s="106">
        <v>700</v>
      </c>
      <c r="E257" s="106">
        <v>24.098357999999998</v>
      </c>
      <c r="F257" s="107">
        <v>0</v>
      </c>
      <c r="G257" s="108">
        <v>724.09835799999996</v>
      </c>
      <c r="H257" s="109">
        <v>2.3999999999999998E-3</v>
      </c>
    </row>
    <row r="258" spans="2:8" x14ac:dyDescent="0.2">
      <c r="B258" s="102"/>
      <c r="C258" s="102"/>
      <c r="D258" s="219"/>
      <c r="E258" s="219"/>
      <c r="F258" s="220"/>
      <c r="G258" s="219"/>
      <c r="H258" s="221"/>
    </row>
    <row r="259" spans="2:8" ht="27.75" customHeight="1" x14ac:dyDescent="0.2">
      <c r="B259" s="243" t="s">
        <v>1180</v>
      </c>
      <c r="C259" s="244"/>
      <c r="D259" s="244"/>
      <c r="E259" s="244"/>
      <c r="F259" s="244"/>
      <c r="G259" s="244"/>
      <c r="H259" s="244"/>
    </row>
  </sheetData>
  <sortState xmlns:xlrd2="http://schemas.microsoft.com/office/spreadsheetml/2017/richdata2" ref="A7:G84">
    <sortCondition descending="1" ref="G7:G84"/>
  </sortState>
  <mergeCells count="32">
    <mergeCell ref="A1:I1"/>
    <mergeCell ref="A2:I2"/>
    <mergeCell ref="A3:I3"/>
    <mergeCell ref="B237:F237"/>
    <mergeCell ref="B213:D213"/>
    <mergeCell ref="B232:D232"/>
    <mergeCell ref="B206:F206"/>
    <mergeCell ref="B207:F207"/>
    <mergeCell ref="B208:F208"/>
    <mergeCell ref="B210:D210"/>
    <mergeCell ref="B211:C211"/>
    <mergeCell ref="B212:C212"/>
    <mergeCell ref="B228:C228"/>
    <mergeCell ref="B220:D220"/>
    <mergeCell ref="B259:H259"/>
    <mergeCell ref="D253:F253"/>
    <mergeCell ref="G253:H253"/>
    <mergeCell ref="B254:H254"/>
    <mergeCell ref="B255:B256"/>
    <mergeCell ref="C255:C256"/>
    <mergeCell ref="D255:G255"/>
    <mergeCell ref="B239:C239"/>
    <mergeCell ref="B244:C244"/>
    <mergeCell ref="B243:C243"/>
    <mergeCell ref="B240:C240"/>
    <mergeCell ref="B241:C241"/>
    <mergeCell ref="B242:C242"/>
    <mergeCell ref="K2:O2"/>
    <mergeCell ref="D251:F251"/>
    <mergeCell ref="G251:H251"/>
    <mergeCell ref="D252:F252"/>
    <mergeCell ref="G252:H252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46">
    <outlinePr summaryBelow="0" summaryRight="0"/>
  </sheetPr>
  <dimension ref="A1:Q165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6" ht="15" x14ac:dyDescent="0.2">
      <c r="A1" s="227" t="s">
        <v>0</v>
      </c>
      <c r="B1" s="227"/>
      <c r="C1" s="227"/>
      <c r="D1" s="227"/>
      <c r="E1" s="227"/>
      <c r="F1" s="227"/>
      <c r="G1" s="227"/>
      <c r="H1" s="227"/>
    </row>
    <row r="2" spans="1:16" s="87" customFormat="1" ht="15" x14ac:dyDescent="0.2">
      <c r="A2" s="228" t="s">
        <v>1255</v>
      </c>
      <c r="B2" s="229"/>
      <c r="C2" s="229"/>
      <c r="D2" s="229"/>
      <c r="E2" s="229"/>
      <c r="F2" s="229"/>
      <c r="G2" s="229"/>
      <c r="H2" s="230"/>
      <c r="I2"/>
      <c r="J2" s="223" t="s">
        <v>1238</v>
      </c>
      <c r="K2" s="223"/>
      <c r="L2" s="223"/>
      <c r="M2" s="223"/>
      <c r="N2" s="223"/>
      <c r="O2"/>
      <c r="P2"/>
    </row>
    <row r="3" spans="1:16" ht="15" x14ac:dyDescent="0.2">
      <c r="A3" s="227" t="s">
        <v>1208</v>
      </c>
      <c r="B3" s="227"/>
      <c r="C3" s="227"/>
      <c r="D3" s="227"/>
      <c r="E3" s="227"/>
      <c r="F3" s="227"/>
      <c r="G3" s="227"/>
      <c r="H3" s="227"/>
    </row>
    <row r="4" spans="1:16" s="113" customFormat="1" ht="30" x14ac:dyDescent="0.2">
      <c r="A4" s="1" t="s">
        <v>2</v>
      </c>
      <c r="B4" s="1" t="s">
        <v>3</v>
      </c>
      <c r="C4" s="1" t="s">
        <v>4</v>
      </c>
      <c r="D4" s="1" t="s">
        <v>5</v>
      </c>
      <c r="E4" s="2" t="s">
        <v>6</v>
      </c>
      <c r="F4" s="2" t="s">
        <v>7</v>
      </c>
      <c r="G4" s="2" t="s">
        <v>8</v>
      </c>
      <c r="H4" s="96" t="s">
        <v>1167</v>
      </c>
      <c r="I4" s="183"/>
      <c r="J4" s="183"/>
      <c r="K4" s="183"/>
      <c r="L4" s="183"/>
      <c r="M4" s="183"/>
      <c r="N4" s="183"/>
      <c r="O4" s="183"/>
      <c r="P4" s="183"/>
    </row>
    <row r="5" spans="1:16" ht="14.1" customHeight="1" x14ac:dyDescent="0.2">
      <c r="A5" s="3"/>
      <c r="B5" s="3"/>
      <c r="C5" s="4" t="s">
        <v>9</v>
      </c>
      <c r="D5" s="3"/>
      <c r="E5" s="3"/>
      <c r="F5" s="3"/>
      <c r="G5" s="3"/>
      <c r="H5" s="101"/>
    </row>
    <row r="6" spans="1:16" ht="24" customHeight="1" x14ac:dyDescent="0.2">
      <c r="A6" s="3"/>
      <c r="B6" s="3"/>
      <c r="C6" s="4" t="s">
        <v>10</v>
      </c>
      <c r="D6" s="3"/>
      <c r="E6" s="3"/>
      <c r="F6" s="3"/>
      <c r="G6" s="3"/>
      <c r="H6" s="101"/>
    </row>
    <row r="7" spans="1:16" x14ac:dyDescent="0.2">
      <c r="A7" s="5">
        <v>1</v>
      </c>
      <c r="B7" s="6" t="s">
        <v>315</v>
      </c>
      <c r="C7" s="6" t="s">
        <v>316</v>
      </c>
      <c r="D7" s="6" t="s">
        <v>25</v>
      </c>
      <c r="E7" s="7">
        <v>122400</v>
      </c>
      <c r="F7" s="8">
        <v>830.54520000000002</v>
      </c>
      <c r="G7" s="9">
        <v>9.3307211678214097E-2</v>
      </c>
      <c r="H7" s="101"/>
    </row>
    <row r="8" spans="1:16" x14ac:dyDescent="0.2">
      <c r="A8" s="5">
        <v>2</v>
      </c>
      <c r="B8" s="6" t="s">
        <v>14</v>
      </c>
      <c r="C8" s="6" t="s">
        <v>15</v>
      </c>
      <c r="D8" s="6" t="s">
        <v>16</v>
      </c>
      <c r="E8" s="7">
        <v>21250</v>
      </c>
      <c r="F8" s="8">
        <v>503.231875</v>
      </c>
      <c r="G8" s="9">
        <v>5.6535349411265721E-2</v>
      </c>
      <c r="H8" s="101"/>
    </row>
    <row r="9" spans="1:16" x14ac:dyDescent="0.2">
      <c r="A9" s="5">
        <v>3</v>
      </c>
      <c r="B9" s="6" t="s">
        <v>332</v>
      </c>
      <c r="C9" s="6" t="s">
        <v>333</v>
      </c>
      <c r="D9" s="6" t="s">
        <v>60</v>
      </c>
      <c r="E9" s="7">
        <v>90000</v>
      </c>
      <c r="F9" s="8">
        <v>339.52499999999998</v>
      </c>
      <c r="G9" s="9">
        <v>3.8143777177985783E-2</v>
      </c>
      <c r="H9" s="101"/>
    </row>
    <row r="10" spans="1:16" x14ac:dyDescent="0.2">
      <c r="A10" s="5">
        <v>4</v>
      </c>
      <c r="B10" s="6" t="s">
        <v>415</v>
      </c>
      <c r="C10" s="6" t="s">
        <v>416</v>
      </c>
      <c r="D10" s="6" t="s">
        <v>25</v>
      </c>
      <c r="E10" s="7">
        <v>67500</v>
      </c>
      <c r="F10" s="8">
        <v>310.80374999999998</v>
      </c>
      <c r="G10" s="9">
        <v>3.4917101792452394E-2</v>
      </c>
      <c r="H10" s="101"/>
    </row>
    <row r="11" spans="1:16" ht="25.5" x14ac:dyDescent="0.2">
      <c r="A11" s="5">
        <v>5</v>
      </c>
      <c r="B11" s="6" t="s">
        <v>425</v>
      </c>
      <c r="C11" s="6" t="s">
        <v>426</v>
      </c>
      <c r="D11" s="6" t="s">
        <v>202</v>
      </c>
      <c r="E11" s="7">
        <v>12300</v>
      </c>
      <c r="F11" s="8">
        <v>290.29845</v>
      </c>
      <c r="G11" s="9">
        <v>3.2613443463411079E-2</v>
      </c>
      <c r="H11" s="101"/>
    </row>
    <row r="12" spans="1:16" ht="25.5" x14ac:dyDescent="0.2">
      <c r="A12" s="5">
        <v>6</v>
      </c>
      <c r="B12" s="6" t="s">
        <v>413</v>
      </c>
      <c r="C12" s="6" t="s">
        <v>414</v>
      </c>
      <c r="D12" s="6" t="s">
        <v>81</v>
      </c>
      <c r="E12" s="7">
        <v>11100</v>
      </c>
      <c r="F12" s="8">
        <v>287.09595000000002</v>
      </c>
      <c r="G12" s="9">
        <v>3.2253660100146228E-2</v>
      </c>
      <c r="H12" s="101"/>
    </row>
    <row r="13" spans="1:16" ht="25.5" x14ac:dyDescent="0.2">
      <c r="A13" s="5">
        <v>7</v>
      </c>
      <c r="B13" s="6" t="s">
        <v>436</v>
      </c>
      <c r="C13" s="6" t="s">
        <v>437</v>
      </c>
      <c r="D13" s="6" t="s">
        <v>202</v>
      </c>
      <c r="E13" s="7">
        <v>131200</v>
      </c>
      <c r="F13" s="8">
        <v>286.08159999999998</v>
      </c>
      <c r="G13" s="9">
        <v>3.2139703424259355E-2</v>
      </c>
      <c r="H13" s="101"/>
    </row>
    <row r="14" spans="1:16" x14ac:dyDescent="0.2">
      <c r="A14" s="5">
        <v>8</v>
      </c>
      <c r="B14" s="6" t="s">
        <v>303</v>
      </c>
      <c r="C14" s="6" t="s">
        <v>304</v>
      </c>
      <c r="D14" s="6" t="s">
        <v>174</v>
      </c>
      <c r="E14" s="7">
        <v>5250</v>
      </c>
      <c r="F14" s="8">
        <v>263.20350000000002</v>
      </c>
      <c r="G14" s="9">
        <v>2.9569473990033082E-2</v>
      </c>
      <c r="H14" s="101"/>
    </row>
    <row r="15" spans="1:16" ht="15" x14ac:dyDescent="0.2">
      <c r="A15" s="5">
        <v>9</v>
      </c>
      <c r="B15" s="6" t="s">
        <v>381</v>
      </c>
      <c r="C15" s="6" t="s">
        <v>382</v>
      </c>
      <c r="D15" s="6" t="s">
        <v>1183</v>
      </c>
      <c r="E15" s="7">
        <v>1350</v>
      </c>
      <c r="F15" s="8">
        <v>221.4837</v>
      </c>
      <c r="G15" s="9">
        <v>2.4882482589959062E-2</v>
      </c>
      <c r="H15" s="101"/>
      <c r="J15" s="184" t="s">
        <v>1247</v>
      </c>
    </row>
    <row r="16" spans="1:16" ht="25.5" x14ac:dyDescent="0.2">
      <c r="A16" s="5">
        <v>10</v>
      </c>
      <c r="B16" s="6" t="s">
        <v>61</v>
      </c>
      <c r="C16" s="6" t="s">
        <v>62</v>
      </c>
      <c r="D16" s="6" t="s">
        <v>48</v>
      </c>
      <c r="E16" s="7">
        <v>30000</v>
      </c>
      <c r="F16" s="8">
        <v>219.09</v>
      </c>
      <c r="G16" s="9">
        <v>2.4613563484058333E-2</v>
      </c>
      <c r="H16" s="101"/>
    </row>
    <row r="17" spans="1:8" x14ac:dyDescent="0.2">
      <c r="A17" s="5">
        <v>11</v>
      </c>
      <c r="B17" s="6" t="s">
        <v>417</v>
      </c>
      <c r="C17" s="6" t="s">
        <v>418</v>
      </c>
      <c r="D17" s="6" t="s">
        <v>147</v>
      </c>
      <c r="E17" s="7">
        <v>5850</v>
      </c>
      <c r="F17" s="8">
        <v>218.69347500000001</v>
      </c>
      <c r="G17" s="9">
        <v>2.4569016068564625E-2</v>
      </c>
      <c r="H17" s="101"/>
    </row>
    <row r="18" spans="1:8" x14ac:dyDescent="0.2">
      <c r="A18" s="5">
        <v>12</v>
      </c>
      <c r="B18" s="6" t="s">
        <v>369</v>
      </c>
      <c r="C18" s="6" t="s">
        <v>370</v>
      </c>
      <c r="D18" s="6" t="s">
        <v>147</v>
      </c>
      <c r="E18" s="7">
        <v>15400</v>
      </c>
      <c r="F18" s="8">
        <v>203.1414</v>
      </c>
      <c r="G18" s="9">
        <v>2.2821825483319583E-2</v>
      </c>
      <c r="H18" s="101"/>
    </row>
    <row r="19" spans="1:8" x14ac:dyDescent="0.2">
      <c r="A19" s="5">
        <v>13</v>
      </c>
      <c r="B19" s="6" t="s">
        <v>377</v>
      </c>
      <c r="C19" s="6" t="s">
        <v>378</v>
      </c>
      <c r="D19" s="6" t="s">
        <v>81</v>
      </c>
      <c r="E19" s="7">
        <v>52000</v>
      </c>
      <c r="F19" s="8">
        <v>192.21799999999999</v>
      </c>
      <c r="G19" s="9">
        <v>2.1594641224057347E-2</v>
      </c>
      <c r="H19" s="101"/>
    </row>
    <row r="20" spans="1:8" x14ac:dyDescent="0.2">
      <c r="A20" s="5">
        <v>14</v>
      </c>
      <c r="B20" s="6" t="s">
        <v>23</v>
      </c>
      <c r="C20" s="6" t="s">
        <v>24</v>
      </c>
      <c r="D20" s="6" t="s">
        <v>25</v>
      </c>
      <c r="E20" s="7">
        <v>23375</v>
      </c>
      <c r="F20" s="8">
        <v>173.0100625</v>
      </c>
      <c r="G20" s="9">
        <v>1.9436734477724451E-2</v>
      </c>
      <c r="H20" s="101"/>
    </row>
    <row r="21" spans="1:8" x14ac:dyDescent="0.2">
      <c r="A21" s="5">
        <v>15</v>
      </c>
      <c r="B21" s="6" t="s">
        <v>438</v>
      </c>
      <c r="C21" s="6" t="s">
        <v>439</v>
      </c>
      <c r="D21" s="6" t="s">
        <v>60</v>
      </c>
      <c r="E21" s="7">
        <v>15300</v>
      </c>
      <c r="F21" s="8">
        <v>170.05185</v>
      </c>
      <c r="G21" s="9">
        <v>1.9104395479285066E-2</v>
      </c>
      <c r="H21" s="101"/>
    </row>
    <row r="22" spans="1:8" x14ac:dyDescent="0.2">
      <c r="A22" s="5">
        <v>16</v>
      </c>
      <c r="B22" s="6" t="s">
        <v>342</v>
      </c>
      <c r="C22" s="6" t="s">
        <v>343</v>
      </c>
      <c r="D22" s="6" t="s">
        <v>19</v>
      </c>
      <c r="E22" s="7">
        <v>24000</v>
      </c>
      <c r="F22" s="8">
        <v>167.48400000000001</v>
      </c>
      <c r="G22" s="9">
        <v>1.8815911573161832E-2</v>
      </c>
      <c r="H22" s="101"/>
    </row>
    <row r="23" spans="1:8" x14ac:dyDescent="0.2">
      <c r="A23" s="5">
        <v>17</v>
      </c>
      <c r="B23" s="6" t="s">
        <v>884</v>
      </c>
      <c r="C23" s="6" t="s">
        <v>885</v>
      </c>
      <c r="D23" s="6" t="s">
        <v>1184</v>
      </c>
      <c r="E23" s="7">
        <v>6800</v>
      </c>
      <c r="F23" s="8">
        <v>166.3348</v>
      </c>
      <c r="G23" s="9">
        <v>1.8686805237154349E-2</v>
      </c>
      <c r="H23" s="101"/>
    </row>
    <row r="24" spans="1:8" x14ac:dyDescent="0.2">
      <c r="A24" s="5">
        <v>18</v>
      </c>
      <c r="B24" s="6" t="s">
        <v>864</v>
      </c>
      <c r="C24" s="6" t="s">
        <v>865</v>
      </c>
      <c r="D24" s="6" t="s">
        <v>1183</v>
      </c>
      <c r="E24" s="7">
        <v>20900</v>
      </c>
      <c r="F24" s="8">
        <v>135.75595000000001</v>
      </c>
      <c r="G24" s="9">
        <v>1.5251438649247566E-2</v>
      </c>
      <c r="H24" s="101"/>
    </row>
    <row r="25" spans="1:8" x14ac:dyDescent="0.2">
      <c r="A25" s="5">
        <v>19</v>
      </c>
      <c r="B25" s="6" t="s">
        <v>429</v>
      </c>
      <c r="C25" s="6" t="s">
        <v>430</v>
      </c>
      <c r="D25" s="6" t="s">
        <v>431</v>
      </c>
      <c r="E25" s="7">
        <v>27950</v>
      </c>
      <c r="F25" s="8">
        <v>132.916225</v>
      </c>
      <c r="G25" s="9">
        <v>1.4932411073526318E-2</v>
      </c>
      <c r="H25" s="101"/>
    </row>
    <row r="26" spans="1:8" x14ac:dyDescent="0.2">
      <c r="A26" s="5">
        <v>20</v>
      </c>
      <c r="B26" s="6" t="s">
        <v>474</v>
      </c>
      <c r="C26" s="6" t="s">
        <v>475</v>
      </c>
      <c r="D26" s="6" t="s">
        <v>25</v>
      </c>
      <c r="E26" s="7">
        <v>64800</v>
      </c>
      <c r="F26" s="8">
        <v>129.5676</v>
      </c>
      <c r="G26" s="9">
        <v>1.455621136554419E-2</v>
      </c>
      <c r="H26" s="101"/>
    </row>
    <row r="27" spans="1:8" x14ac:dyDescent="0.2">
      <c r="A27" s="5">
        <v>21</v>
      </c>
      <c r="B27" s="6" t="s">
        <v>868</v>
      </c>
      <c r="C27" s="6" t="s">
        <v>869</v>
      </c>
      <c r="D27" s="6" t="s">
        <v>81</v>
      </c>
      <c r="E27" s="7">
        <v>13500</v>
      </c>
      <c r="F27" s="8">
        <v>125.30025000000001</v>
      </c>
      <c r="G27" s="9">
        <v>1.40767979275338E-2</v>
      </c>
      <c r="H27" s="101"/>
    </row>
    <row r="28" spans="1:8" x14ac:dyDescent="0.2">
      <c r="A28" s="5">
        <v>22</v>
      </c>
      <c r="B28" s="6" t="s">
        <v>311</v>
      </c>
      <c r="C28" s="6" t="s">
        <v>312</v>
      </c>
      <c r="D28" s="6" t="s">
        <v>284</v>
      </c>
      <c r="E28" s="7">
        <v>300</v>
      </c>
      <c r="F28" s="8">
        <v>121.26465</v>
      </c>
      <c r="G28" s="9">
        <v>1.3623420334780749E-2</v>
      </c>
      <c r="H28" s="101"/>
    </row>
    <row r="29" spans="1:8" x14ac:dyDescent="0.2">
      <c r="A29" s="5">
        <v>23</v>
      </c>
      <c r="B29" s="6" t="s">
        <v>409</v>
      </c>
      <c r="C29" s="6" t="s">
        <v>410</v>
      </c>
      <c r="D29" s="6" t="s">
        <v>147</v>
      </c>
      <c r="E29" s="7">
        <v>6000</v>
      </c>
      <c r="F29" s="8">
        <v>113.265</v>
      </c>
      <c r="G29" s="9">
        <v>1.2724703400528855E-2</v>
      </c>
      <c r="H29" s="101"/>
    </row>
    <row r="30" spans="1:8" x14ac:dyDescent="0.2">
      <c r="A30" s="5">
        <v>24</v>
      </c>
      <c r="B30" s="6" t="s">
        <v>11</v>
      </c>
      <c r="C30" s="6" t="s">
        <v>12</v>
      </c>
      <c r="D30" s="6" t="s">
        <v>13</v>
      </c>
      <c r="E30" s="7">
        <v>5750</v>
      </c>
      <c r="F30" s="8">
        <v>109.01425</v>
      </c>
      <c r="G30" s="9">
        <v>1.2247154881747255E-2</v>
      </c>
      <c r="H30" s="101"/>
    </row>
    <row r="31" spans="1:8" ht="25.5" x14ac:dyDescent="0.2">
      <c r="A31" s="5">
        <v>25</v>
      </c>
      <c r="B31" s="6" t="s">
        <v>839</v>
      </c>
      <c r="C31" s="6" t="s">
        <v>840</v>
      </c>
      <c r="D31" s="6" t="s">
        <v>202</v>
      </c>
      <c r="E31" s="7">
        <v>3150</v>
      </c>
      <c r="F31" s="8">
        <v>106.56292500000001</v>
      </c>
      <c r="G31" s="9">
        <v>1.1971761922198398E-2</v>
      </c>
      <c r="H31" s="101"/>
    </row>
    <row r="32" spans="1:8" x14ac:dyDescent="0.2">
      <c r="A32" s="5">
        <v>26</v>
      </c>
      <c r="B32" s="6" t="s">
        <v>76</v>
      </c>
      <c r="C32" s="6" t="s">
        <v>77</v>
      </c>
      <c r="D32" s="6" t="s">
        <v>78</v>
      </c>
      <c r="E32" s="7">
        <v>54000</v>
      </c>
      <c r="F32" s="8">
        <v>66.123000000000005</v>
      </c>
      <c r="G32" s="9">
        <v>7.4285574798319837E-3</v>
      </c>
      <c r="H32" s="101"/>
    </row>
    <row r="33" spans="1:8" ht="25.5" x14ac:dyDescent="0.2">
      <c r="A33" s="5">
        <v>27</v>
      </c>
      <c r="B33" s="6" t="s">
        <v>860</v>
      </c>
      <c r="C33" s="6" t="s">
        <v>861</v>
      </c>
      <c r="D33" s="6" t="s">
        <v>202</v>
      </c>
      <c r="E33" s="7">
        <v>7500</v>
      </c>
      <c r="F33" s="8">
        <v>43.503749999999997</v>
      </c>
      <c r="G33" s="9">
        <v>4.8874084276763095E-3</v>
      </c>
      <c r="H33" s="101"/>
    </row>
    <row r="34" spans="1:8" x14ac:dyDescent="0.2">
      <c r="A34" s="5">
        <v>28</v>
      </c>
      <c r="B34" s="6" t="s">
        <v>58</v>
      </c>
      <c r="C34" s="6" t="s">
        <v>59</v>
      </c>
      <c r="D34" s="6" t="s">
        <v>60</v>
      </c>
      <c r="E34" s="7">
        <v>4750</v>
      </c>
      <c r="F34" s="8">
        <v>5.0919999999999996</v>
      </c>
      <c r="G34" s="9">
        <v>5.720583562044138E-4</v>
      </c>
      <c r="H34" s="101"/>
    </row>
    <row r="35" spans="1:8" x14ac:dyDescent="0.2">
      <c r="A35" s="3"/>
      <c r="B35" s="3"/>
      <c r="C35" s="4" t="s">
        <v>97</v>
      </c>
      <c r="D35" s="3"/>
      <c r="E35" s="3" t="s">
        <v>98</v>
      </c>
      <c r="F35" s="11">
        <v>5930.6582125000004</v>
      </c>
      <c r="G35" s="12">
        <v>0.66627702047387227</v>
      </c>
      <c r="H35" s="101"/>
    </row>
    <row r="36" spans="1:8" x14ac:dyDescent="0.2">
      <c r="A36" s="3"/>
      <c r="B36" s="3"/>
      <c r="C36" s="13"/>
      <c r="D36" s="3"/>
      <c r="E36" s="3"/>
      <c r="F36" s="14"/>
      <c r="G36" s="14"/>
      <c r="H36" s="101"/>
    </row>
    <row r="37" spans="1:8" x14ac:dyDescent="0.2">
      <c r="A37" s="3"/>
      <c r="B37" s="3"/>
      <c r="C37" s="4" t="s">
        <v>99</v>
      </c>
      <c r="D37" s="3"/>
      <c r="E37" s="3"/>
      <c r="F37" s="3"/>
      <c r="G37" s="3"/>
      <c r="H37" s="101"/>
    </row>
    <row r="38" spans="1:8" x14ac:dyDescent="0.2">
      <c r="A38" s="3"/>
      <c r="B38" s="3"/>
      <c r="C38" s="4" t="s">
        <v>97</v>
      </c>
      <c r="D38" s="3"/>
      <c r="E38" s="3" t="s">
        <v>98</v>
      </c>
      <c r="F38" s="15">
        <v>0</v>
      </c>
      <c r="G38" s="16">
        <v>0</v>
      </c>
      <c r="H38" s="101"/>
    </row>
    <row r="39" spans="1:8" x14ac:dyDescent="0.2">
      <c r="A39" s="3"/>
      <c r="B39" s="3"/>
      <c r="C39" s="13"/>
      <c r="D39" s="3"/>
      <c r="E39" s="3"/>
      <c r="F39" s="14"/>
      <c r="G39" s="14"/>
      <c r="H39" s="101"/>
    </row>
    <row r="40" spans="1:8" x14ac:dyDescent="0.2">
      <c r="A40" s="3"/>
      <c r="B40" s="3"/>
      <c r="C40" s="4" t="s">
        <v>100</v>
      </c>
      <c r="D40" s="3"/>
      <c r="E40" s="3"/>
      <c r="F40" s="3"/>
      <c r="G40" s="3"/>
      <c r="H40" s="101"/>
    </row>
    <row r="41" spans="1:8" x14ac:dyDescent="0.2">
      <c r="A41" s="3"/>
      <c r="B41" s="3"/>
      <c r="C41" s="4" t="s">
        <v>97</v>
      </c>
      <c r="D41" s="3"/>
      <c r="E41" s="3" t="s">
        <v>98</v>
      </c>
      <c r="F41" s="15">
        <v>0</v>
      </c>
      <c r="G41" s="16">
        <v>0</v>
      </c>
      <c r="H41" s="101"/>
    </row>
    <row r="42" spans="1:8" x14ac:dyDescent="0.2">
      <c r="A42" s="3"/>
      <c r="B42" s="3"/>
      <c r="C42" s="13"/>
      <c r="D42" s="3"/>
      <c r="E42" s="3"/>
      <c r="F42" s="14"/>
      <c r="G42" s="14"/>
      <c r="H42" s="101"/>
    </row>
    <row r="43" spans="1:8" x14ac:dyDescent="0.2">
      <c r="A43" s="3"/>
      <c r="B43" s="3"/>
      <c r="C43" s="4" t="s">
        <v>101</v>
      </c>
      <c r="D43" s="3"/>
      <c r="E43" s="3"/>
      <c r="F43" s="3"/>
      <c r="G43" s="3"/>
      <c r="H43" s="101"/>
    </row>
    <row r="44" spans="1:8" x14ac:dyDescent="0.2">
      <c r="A44" s="3"/>
      <c r="B44" s="3"/>
      <c r="C44" s="4" t="s">
        <v>97</v>
      </c>
      <c r="D44" s="3"/>
      <c r="E44" s="3" t="s">
        <v>98</v>
      </c>
      <c r="F44" s="15">
        <v>0</v>
      </c>
      <c r="G44" s="16">
        <v>0</v>
      </c>
      <c r="H44" s="101"/>
    </row>
    <row r="45" spans="1:8" x14ac:dyDescent="0.2">
      <c r="A45" s="3"/>
      <c r="B45" s="3"/>
      <c r="C45" s="13"/>
      <c r="D45" s="3"/>
      <c r="E45" s="3"/>
      <c r="F45" s="14"/>
      <c r="G45" s="14"/>
      <c r="H45" s="101"/>
    </row>
    <row r="46" spans="1:8" x14ac:dyDescent="0.2">
      <c r="A46" s="3"/>
      <c r="B46" s="3"/>
      <c r="C46" s="4" t="s">
        <v>102</v>
      </c>
      <c r="D46" s="3"/>
      <c r="E46" s="3"/>
      <c r="F46" s="14"/>
      <c r="G46" s="14"/>
      <c r="H46" s="101"/>
    </row>
    <row r="47" spans="1:8" x14ac:dyDescent="0.2">
      <c r="A47" s="3"/>
      <c r="B47" s="3"/>
      <c r="C47" s="4" t="s">
        <v>97</v>
      </c>
      <c r="D47" s="3"/>
      <c r="E47" s="3" t="s">
        <v>98</v>
      </c>
      <c r="F47" s="15">
        <v>0</v>
      </c>
      <c r="G47" s="16">
        <v>0</v>
      </c>
      <c r="H47" s="101"/>
    </row>
    <row r="48" spans="1:8" x14ac:dyDescent="0.2">
      <c r="A48" s="3"/>
      <c r="B48" s="3"/>
      <c r="C48" s="13"/>
      <c r="D48" s="3"/>
      <c r="E48" s="3"/>
      <c r="F48" s="14"/>
      <c r="G48" s="14"/>
      <c r="H48" s="101"/>
    </row>
    <row r="49" spans="1:8" x14ac:dyDescent="0.2">
      <c r="A49" s="3"/>
      <c r="B49" s="3"/>
      <c r="C49" s="4" t="s">
        <v>103</v>
      </c>
      <c r="D49" s="3"/>
      <c r="E49" s="3"/>
      <c r="F49" s="14"/>
      <c r="G49" s="14"/>
      <c r="H49" s="101"/>
    </row>
    <row r="50" spans="1:8" x14ac:dyDescent="0.2">
      <c r="A50" s="5">
        <v>1</v>
      </c>
      <c r="B50" s="6"/>
      <c r="C50" s="6" t="s">
        <v>1092</v>
      </c>
      <c r="D50" s="6" t="s">
        <v>906</v>
      </c>
      <c r="E50" s="7">
        <v>-4750</v>
      </c>
      <c r="F50" s="8">
        <v>-5.108625</v>
      </c>
      <c r="G50" s="9">
        <v>-5.7392608404649914E-4</v>
      </c>
      <c r="H50" s="101"/>
    </row>
    <row r="51" spans="1:8" x14ac:dyDescent="0.2">
      <c r="A51" s="5">
        <v>2</v>
      </c>
      <c r="B51" s="6"/>
      <c r="C51" s="6" t="s">
        <v>1093</v>
      </c>
      <c r="D51" s="6" t="s">
        <v>906</v>
      </c>
      <c r="E51" s="7">
        <v>-7500</v>
      </c>
      <c r="F51" s="8">
        <v>-43.59375</v>
      </c>
      <c r="G51" s="9">
        <v>-4.8975194355432372E-3</v>
      </c>
      <c r="H51" s="101"/>
    </row>
    <row r="52" spans="1:8" x14ac:dyDescent="0.2">
      <c r="A52" s="5">
        <v>3</v>
      </c>
      <c r="B52" s="6"/>
      <c r="C52" s="6" t="s">
        <v>1094</v>
      </c>
      <c r="D52" s="6" t="s">
        <v>906</v>
      </c>
      <c r="E52" s="7">
        <v>-54000</v>
      </c>
      <c r="F52" s="8">
        <v>-66.555000000000007</v>
      </c>
      <c r="G52" s="9">
        <v>-7.4770903175932378E-3</v>
      </c>
      <c r="H52" s="101"/>
    </row>
    <row r="53" spans="1:8" x14ac:dyDescent="0.2">
      <c r="A53" s="5">
        <v>4</v>
      </c>
      <c r="B53" s="6"/>
      <c r="C53" s="6" t="s">
        <v>1095</v>
      </c>
      <c r="D53" s="6" t="s">
        <v>906</v>
      </c>
      <c r="E53" s="7">
        <v>-3150</v>
      </c>
      <c r="F53" s="8">
        <v>-107.120475</v>
      </c>
      <c r="G53" s="9">
        <v>-1.2034399615934015E-2</v>
      </c>
      <c r="H53" s="101"/>
    </row>
    <row r="54" spans="1:8" x14ac:dyDescent="0.2">
      <c r="A54" s="5">
        <v>5</v>
      </c>
      <c r="B54" s="6"/>
      <c r="C54" s="6" t="s">
        <v>1096</v>
      </c>
      <c r="D54" s="6" t="s">
        <v>906</v>
      </c>
      <c r="E54" s="7">
        <v>-5750</v>
      </c>
      <c r="F54" s="8">
        <v>-109.638125</v>
      </c>
      <c r="G54" s="9">
        <v>-1.231724382655814E-2</v>
      </c>
      <c r="H54" s="101"/>
    </row>
    <row r="55" spans="1:8" x14ac:dyDescent="0.2">
      <c r="A55" s="5">
        <v>6</v>
      </c>
      <c r="B55" s="6"/>
      <c r="C55" s="6" t="s">
        <v>1097</v>
      </c>
      <c r="D55" s="6" t="s">
        <v>906</v>
      </c>
      <c r="E55" s="7">
        <v>-6000</v>
      </c>
      <c r="F55" s="8">
        <v>-113.931</v>
      </c>
      <c r="G55" s="9">
        <v>-1.2799524858744122E-2</v>
      </c>
      <c r="H55" s="101"/>
    </row>
    <row r="56" spans="1:8" x14ac:dyDescent="0.2">
      <c r="A56" s="5">
        <v>7</v>
      </c>
      <c r="B56" s="6"/>
      <c r="C56" s="6" t="s">
        <v>1098</v>
      </c>
      <c r="D56" s="6" t="s">
        <v>906</v>
      </c>
      <c r="E56" s="7">
        <v>-300</v>
      </c>
      <c r="F56" s="8">
        <v>-121.93395</v>
      </c>
      <c r="G56" s="9">
        <v>-1.3698612529951136E-2</v>
      </c>
      <c r="H56" s="101"/>
    </row>
    <row r="57" spans="1:8" ht="25.5" x14ac:dyDescent="0.2">
      <c r="A57" s="5">
        <v>8</v>
      </c>
      <c r="B57" s="6"/>
      <c r="C57" s="6" t="s">
        <v>1099</v>
      </c>
      <c r="D57" s="6" t="s">
        <v>906</v>
      </c>
      <c r="E57" s="7">
        <v>-13500</v>
      </c>
      <c r="F57" s="8">
        <v>-125.59050000000001</v>
      </c>
      <c r="G57" s="9">
        <v>-1.4109405927904642E-2</v>
      </c>
      <c r="H57" s="101"/>
    </row>
    <row r="58" spans="1:8" x14ac:dyDescent="0.2">
      <c r="A58" s="5">
        <v>9</v>
      </c>
      <c r="B58" s="6"/>
      <c r="C58" s="6" t="s">
        <v>1100</v>
      </c>
      <c r="D58" s="6" t="s">
        <v>906</v>
      </c>
      <c r="E58" s="7">
        <v>-64800</v>
      </c>
      <c r="F58" s="8">
        <v>-130.02119999999999</v>
      </c>
      <c r="G58" s="9">
        <v>-1.4607170845193505E-2</v>
      </c>
      <c r="H58" s="101"/>
    </row>
    <row r="59" spans="1:8" x14ac:dyDescent="0.2">
      <c r="A59" s="5">
        <v>10</v>
      </c>
      <c r="B59" s="6"/>
      <c r="C59" s="6" t="s">
        <v>1101</v>
      </c>
      <c r="D59" s="6" t="s">
        <v>906</v>
      </c>
      <c r="E59" s="7">
        <v>-27950</v>
      </c>
      <c r="F59" s="8">
        <v>-133.335475</v>
      </c>
      <c r="G59" s="9">
        <v>-1.4979511518506426E-2</v>
      </c>
      <c r="H59" s="101"/>
    </row>
    <row r="60" spans="1:8" ht="25.5" x14ac:dyDescent="0.2">
      <c r="A60" s="5">
        <v>11</v>
      </c>
      <c r="B60" s="6"/>
      <c r="C60" s="6" t="s">
        <v>1102</v>
      </c>
      <c r="D60" s="6" t="s">
        <v>906</v>
      </c>
      <c r="E60" s="7">
        <v>-20900</v>
      </c>
      <c r="F60" s="8">
        <v>-136.25755000000001</v>
      </c>
      <c r="G60" s="9">
        <v>-1.5307790666425911E-2</v>
      </c>
      <c r="H60" s="101"/>
    </row>
    <row r="61" spans="1:8" ht="25.5" x14ac:dyDescent="0.2">
      <c r="A61" s="5">
        <v>12</v>
      </c>
      <c r="B61" s="6"/>
      <c r="C61" s="6" t="s">
        <v>1103</v>
      </c>
      <c r="D61" s="6" t="s">
        <v>906</v>
      </c>
      <c r="E61" s="7">
        <v>-6800</v>
      </c>
      <c r="F61" s="8">
        <v>-166.74279999999999</v>
      </c>
      <c r="G61" s="9">
        <v>-1.8732641806151085E-2</v>
      </c>
      <c r="H61" s="101"/>
    </row>
    <row r="62" spans="1:8" x14ac:dyDescent="0.2">
      <c r="A62" s="5">
        <v>13</v>
      </c>
      <c r="B62" s="6"/>
      <c r="C62" s="6" t="s">
        <v>1104</v>
      </c>
      <c r="D62" s="6" t="s">
        <v>906</v>
      </c>
      <c r="E62" s="7">
        <v>-24000</v>
      </c>
      <c r="F62" s="8">
        <v>-168.45599999999999</v>
      </c>
      <c r="G62" s="9">
        <v>-1.8925110458124651E-2</v>
      </c>
      <c r="H62" s="101"/>
    </row>
    <row r="63" spans="1:8" x14ac:dyDescent="0.2">
      <c r="A63" s="5">
        <v>14</v>
      </c>
      <c r="B63" s="6"/>
      <c r="C63" s="6" t="s">
        <v>1105</v>
      </c>
      <c r="D63" s="6" t="s">
        <v>906</v>
      </c>
      <c r="E63" s="7">
        <v>-15300</v>
      </c>
      <c r="F63" s="8">
        <v>-170.8398</v>
      </c>
      <c r="G63" s="9">
        <v>-1.9192917353160019E-2</v>
      </c>
      <c r="H63" s="101"/>
    </row>
    <row r="64" spans="1:8" x14ac:dyDescent="0.2">
      <c r="A64" s="5">
        <v>15</v>
      </c>
      <c r="B64" s="6"/>
      <c r="C64" s="6" t="s">
        <v>1106</v>
      </c>
      <c r="D64" s="6" t="s">
        <v>906</v>
      </c>
      <c r="E64" s="7">
        <v>-23375</v>
      </c>
      <c r="F64" s="8">
        <v>-173.96843749999999</v>
      </c>
      <c r="G64" s="9">
        <v>-1.954440266844075E-2</v>
      </c>
      <c r="H64" s="101"/>
    </row>
    <row r="65" spans="1:8" x14ac:dyDescent="0.2">
      <c r="A65" s="5">
        <v>16</v>
      </c>
      <c r="B65" s="6"/>
      <c r="C65" s="6" t="s">
        <v>1107</v>
      </c>
      <c r="D65" s="6" t="s">
        <v>906</v>
      </c>
      <c r="E65" s="7">
        <v>-52000</v>
      </c>
      <c r="F65" s="8">
        <v>-192.99799999999999</v>
      </c>
      <c r="G65" s="9">
        <v>-2.1682269958904057E-2</v>
      </c>
      <c r="H65" s="101"/>
    </row>
    <row r="66" spans="1:8" x14ac:dyDescent="0.2">
      <c r="A66" s="5">
        <v>17</v>
      </c>
      <c r="B66" s="6"/>
      <c r="C66" s="6" t="s">
        <v>1108</v>
      </c>
      <c r="D66" s="6" t="s">
        <v>906</v>
      </c>
      <c r="E66" s="7">
        <v>-15400</v>
      </c>
      <c r="F66" s="8">
        <v>-202.38679999999999</v>
      </c>
      <c r="G66" s="9">
        <v>-2.2737050299581982E-2</v>
      </c>
      <c r="H66" s="101"/>
    </row>
    <row r="67" spans="1:8" x14ac:dyDescent="0.2">
      <c r="A67" s="5">
        <v>18</v>
      </c>
      <c r="B67" s="6"/>
      <c r="C67" s="6" t="s">
        <v>1109</v>
      </c>
      <c r="D67" s="6" t="s">
        <v>906</v>
      </c>
      <c r="E67" s="7">
        <v>-5850</v>
      </c>
      <c r="F67" s="8">
        <v>-219.04447500000001</v>
      </c>
      <c r="G67" s="9">
        <v>-2.4608448999245646E-2</v>
      </c>
      <c r="H67" s="101"/>
    </row>
    <row r="68" spans="1:8" x14ac:dyDescent="0.2">
      <c r="A68" s="5">
        <v>19</v>
      </c>
      <c r="B68" s="6"/>
      <c r="C68" s="6" t="s">
        <v>1110</v>
      </c>
      <c r="D68" s="6" t="s">
        <v>906</v>
      </c>
      <c r="E68" s="7">
        <v>-30000</v>
      </c>
      <c r="F68" s="8">
        <v>-220.35</v>
      </c>
      <c r="G68" s="9">
        <v>-2.4755117594195325E-2</v>
      </c>
      <c r="H68" s="101"/>
    </row>
    <row r="69" spans="1:8" x14ac:dyDescent="0.2">
      <c r="A69" s="5">
        <v>20</v>
      </c>
      <c r="B69" s="6"/>
      <c r="C69" s="6" t="s">
        <v>1111</v>
      </c>
      <c r="D69" s="6" t="s">
        <v>906</v>
      </c>
      <c r="E69" s="7">
        <v>-1350</v>
      </c>
      <c r="F69" s="8">
        <v>-222.12697499999999</v>
      </c>
      <c r="G69" s="9">
        <v>-2.4954751018687927E-2</v>
      </c>
      <c r="H69" s="101"/>
    </row>
    <row r="70" spans="1:8" ht="25.5" x14ac:dyDescent="0.2">
      <c r="A70" s="5">
        <v>21</v>
      </c>
      <c r="B70" s="6"/>
      <c r="C70" s="6" t="s">
        <v>1112</v>
      </c>
      <c r="D70" s="6" t="s">
        <v>906</v>
      </c>
      <c r="E70" s="7">
        <v>-5250</v>
      </c>
      <c r="F70" s="8">
        <v>-264.681375</v>
      </c>
      <c r="G70" s="9">
        <v>-2.9735505165047926E-2</v>
      </c>
      <c r="H70" s="101"/>
    </row>
    <row r="71" spans="1:8" x14ac:dyDescent="0.2">
      <c r="A71" s="5">
        <v>22</v>
      </c>
      <c r="B71" s="6"/>
      <c r="C71" s="6" t="s">
        <v>1113</v>
      </c>
      <c r="D71" s="6" t="s">
        <v>906</v>
      </c>
      <c r="E71" s="7">
        <v>-131200</v>
      </c>
      <c r="F71" s="8">
        <v>-287.1968</v>
      </c>
      <c r="G71" s="9">
        <v>-3.2264990046183779E-2</v>
      </c>
      <c r="H71" s="101"/>
    </row>
    <row r="72" spans="1:8" ht="25.5" x14ac:dyDescent="0.2">
      <c r="A72" s="5">
        <v>23</v>
      </c>
      <c r="B72" s="6"/>
      <c r="C72" s="6" t="s">
        <v>1114</v>
      </c>
      <c r="D72" s="6" t="s">
        <v>906</v>
      </c>
      <c r="E72" s="7">
        <v>-11100</v>
      </c>
      <c r="F72" s="8">
        <v>-287.86185</v>
      </c>
      <c r="G72" s="9">
        <v>-3.2339704777093782E-2</v>
      </c>
      <c r="H72" s="101"/>
    </row>
    <row r="73" spans="1:8" x14ac:dyDescent="0.2">
      <c r="A73" s="5">
        <v>24</v>
      </c>
      <c r="B73" s="6"/>
      <c r="C73" s="6" t="s">
        <v>1115</v>
      </c>
      <c r="D73" s="6" t="s">
        <v>906</v>
      </c>
      <c r="E73" s="7">
        <v>-12300</v>
      </c>
      <c r="F73" s="8">
        <v>-291.05489999999998</v>
      </c>
      <c r="G73" s="9">
        <v>-3.2698426484532604E-2</v>
      </c>
      <c r="H73" s="101"/>
    </row>
    <row r="74" spans="1:8" x14ac:dyDescent="0.2">
      <c r="A74" s="5">
        <v>25</v>
      </c>
      <c r="B74" s="6"/>
      <c r="C74" s="6" t="s">
        <v>1116</v>
      </c>
      <c r="D74" s="6" t="s">
        <v>906</v>
      </c>
      <c r="E74" s="7">
        <v>-67500</v>
      </c>
      <c r="F74" s="8">
        <v>-311.71499999999997</v>
      </c>
      <c r="G74" s="9">
        <v>-3.5019475747105039E-2</v>
      </c>
      <c r="H74" s="101"/>
    </row>
    <row r="75" spans="1:8" x14ac:dyDescent="0.2">
      <c r="A75" s="5">
        <v>26</v>
      </c>
      <c r="B75" s="6"/>
      <c r="C75" s="6" t="s">
        <v>1117</v>
      </c>
      <c r="D75" s="6" t="s">
        <v>906</v>
      </c>
      <c r="E75" s="7">
        <v>-90000</v>
      </c>
      <c r="F75" s="8">
        <v>-340.875</v>
      </c>
      <c r="G75" s="9">
        <v>-3.8295442295989704E-2</v>
      </c>
      <c r="H75" s="101"/>
    </row>
    <row r="76" spans="1:8" x14ac:dyDescent="0.2">
      <c r="A76" s="5">
        <v>27</v>
      </c>
      <c r="B76" s="6"/>
      <c r="C76" s="6" t="s">
        <v>1118</v>
      </c>
      <c r="D76" s="6" t="s">
        <v>906</v>
      </c>
      <c r="E76" s="7">
        <v>-21250</v>
      </c>
      <c r="F76" s="8">
        <v>-506.06875000000002</v>
      </c>
      <c r="G76" s="9">
        <v>-5.6854056805071183E-2</v>
      </c>
      <c r="H76" s="101"/>
    </row>
    <row r="77" spans="1:8" x14ac:dyDescent="0.2">
      <c r="A77" s="5">
        <v>28</v>
      </c>
      <c r="B77" s="6"/>
      <c r="C77" s="6" t="s">
        <v>1119</v>
      </c>
      <c r="D77" s="6" t="s">
        <v>906</v>
      </c>
      <c r="E77" s="7">
        <v>-122400</v>
      </c>
      <c r="F77" s="8">
        <v>-832.74839999999995</v>
      </c>
      <c r="G77" s="9">
        <v>-9.3554729150796476E-2</v>
      </c>
      <c r="H77" s="101"/>
    </row>
    <row r="78" spans="1:8" x14ac:dyDescent="0.2">
      <c r="A78" s="3"/>
      <c r="B78" s="3"/>
      <c r="C78" s="4" t="s">
        <v>97</v>
      </c>
      <c r="D78" s="3"/>
      <c r="E78" s="3" t="s">
        <v>98</v>
      </c>
      <c r="F78" s="11">
        <v>-5952.2010125000015</v>
      </c>
      <c r="G78" s="12">
        <v>-0.66869723625471267</v>
      </c>
      <c r="H78" s="101"/>
    </row>
    <row r="79" spans="1:8" x14ac:dyDescent="0.2">
      <c r="A79" s="3"/>
      <c r="B79" s="3"/>
      <c r="C79" s="13"/>
      <c r="D79" s="3"/>
      <c r="E79" s="3"/>
      <c r="F79" s="14"/>
      <c r="G79" s="14"/>
      <c r="H79" s="101"/>
    </row>
    <row r="80" spans="1:8" x14ac:dyDescent="0.2">
      <c r="A80" s="3"/>
      <c r="B80" s="3"/>
      <c r="C80" s="4" t="s">
        <v>104</v>
      </c>
      <c r="D80" s="3"/>
      <c r="E80" s="3"/>
      <c r="F80" s="11">
        <v>5930.6582125000004</v>
      </c>
      <c r="G80" s="12">
        <v>0.66627702047387227</v>
      </c>
      <c r="H80" s="101"/>
    </row>
    <row r="81" spans="1:8" x14ac:dyDescent="0.2">
      <c r="A81" s="3"/>
      <c r="B81" s="3"/>
      <c r="C81" s="13"/>
      <c r="D81" s="3"/>
      <c r="E81" s="3"/>
      <c r="F81" s="14"/>
      <c r="G81" s="14"/>
      <c r="H81" s="101"/>
    </row>
    <row r="82" spans="1:8" x14ac:dyDescent="0.2">
      <c r="A82" s="3"/>
      <c r="B82" s="3"/>
      <c r="C82" s="4" t="s">
        <v>105</v>
      </c>
      <c r="D82" s="3"/>
      <c r="E82" s="3"/>
      <c r="F82" s="14"/>
      <c r="G82" s="14"/>
      <c r="H82" s="101"/>
    </row>
    <row r="83" spans="1:8" ht="25.5" x14ac:dyDescent="0.2">
      <c r="A83" s="3"/>
      <c r="B83" s="3"/>
      <c r="C83" s="4" t="s">
        <v>10</v>
      </c>
      <c r="D83" s="3"/>
      <c r="E83" s="3"/>
      <c r="F83" s="14"/>
      <c r="G83" s="14"/>
      <c r="H83" s="101"/>
    </row>
    <row r="84" spans="1:8" x14ac:dyDescent="0.2">
      <c r="A84" s="3"/>
      <c r="B84" s="3"/>
      <c r="C84" s="4" t="s">
        <v>97</v>
      </c>
      <c r="D84" s="3"/>
      <c r="E84" s="3" t="s">
        <v>98</v>
      </c>
      <c r="F84" s="15">
        <v>0</v>
      </c>
      <c r="G84" s="16">
        <v>0</v>
      </c>
      <c r="H84" s="101"/>
    </row>
    <row r="85" spans="1:8" x14ac:dyDescent="0.2">
      <c r="A85" s="3"/>
      <c r="B85" s="3"/>
      <c r="C85" s="13"/>
      <c r="D85" s="3"/>
      <c r="E85" s="3"/>
      <c r="F85" s="14"/>
      <c r="G85" s="14"/>
      <c r="H85" s="101"/>
    </row>
    <row r="86" spans="1:8" x14ac:dyDescent="0.2">
      <c r="A86" s="3"/>
      <c r="B86" s="3"/>
      <c r="C86" s="4" t="s">
        <v>106</v>
      </c>
      <c r="D86" s="3"/>
      <c r="E86" s="3"/>
      <c r="F86" s="3"/>
      <c r="G86" s="3"/>
      <c r="H86" s="101"/>
    </row>
    <row r="87" spans="1:8" x14ac:dyDescent="0.2">
      <c r="A87" s="3"/>
      <c r="B87" s="3"/>
      <c r="C87" s="4" t="s">
        <v>97</v>
      </c>
      <c r="D87" s="3"/>
      <c r="E87" s="3" t="s">
        <v>98</v>
      </c>
      <c r="F87" s="15">
        <v>0</v>
      </c>
      <c r="G87" s="16">
        <v>0</v>
      </c>
      <c r="H87" s="101"/>
    </row>
    <row r="88" spans="1:8" x14ac:dyDescent="0.2">
      <c r="A88" s="3"/>
      <c r="B88" s="3"/>
      <c r="C88" s="13"/>
      <c r="D88" s="3"/>
      <c r="E88" s="3"/>
      <c r="F88" s="14"/>
      <c r="G88" s="14"/>
      <c r="H88" s="101"/>
    </row>
    <row r="89" spans="1:8" x14ac:dyDescent="0.2">
      <c r="A89" s="3"/>
      <c r="B89" s="3"/>
      <c r="C89" s="4" t="s">
        <v>107</v>
      </c>
      <c r="D89" s="3"/>
      <c r="E89" s="3"/>
      <c r="F89" s="3"/>
      <c r="G89" s="3"/>
      <c r="H89" s="101"/>
    </row>
    <row r="90" spans="1:8" x14ac:dyDescent="0.2">
      <c r="A90" s="3"/>
      <c r="B90" s="3"/>
      <c r="C90" s="4" t="s">
        <v>97</v>
      </c>
      <c r="D90" s="3"/>
      <c r="E90" s="3" t="s">
        <v>98</v>
      </c>
      <c r="F90" s="15">
        <v>0</v>
      </c>
      <c r="G90" s="16">
        <v>0</v>
      </c>
      <c r="H90" s="101"/>
    </row>
    <row r="91" spans="1:8" x14ac:dyDescent="0.2">
      <c r="A91" s="3"/>
      <c r="B91" s="3"/>
      <c r="C91" s="13"/>
      <c r="D91" s="3"/>
      <c r="E91" s="3"/>
      <c r="F91" s="14"/>
      <c r="G91" s="14"/>
      <c r="H91" s="101"/>
    </row>
    <row r="92" spans="1:8" x14ac:dyDescent="0.2">
      <c r="A92" s="3"/>
      <c r="B92" s="3"/>
      <c r="C92" s="4" t="s">
        <v>108</v>
      </c>
      <c r="D92" s="3"/>
      <c r="E92" s="3"/>
      <c r="F92" s="14"/>
      <c r="G92" s="14"/>
      <c r="H92" s="101"/>
    </row>
    <row r="93" spans="1:8" x14ac:dyDescent="0.2">
      <c r="A93" s="3"/>
      <c r="B93" s="3"/>
      <c r="C93" s="4" t="s">
        <v>97</v>
      </c>
      <c r="D93" s="3"/>
      <c r="E93" s="3" t="s">
        <v>98</v>
      </c>
      <c r="F93" s="15">
        <v>0</v>
      </c>
      <c r="G93" s="16">
        <v>0</v>
      </c>
      <c r="H93" s="101"/>
    </row>
    <row r="94" spans="1:8" x14ac:dyDescent="0.2">
      <c r="A94" s="3"/>
      <c r="B94" s="3"/>
      <c r="C94" s="13"/>
      <c r="D94" s="3"/>
      <c r="E94" s="3"/>
      <c r="F94" s="14"/>
      <c r="G94" s="14"/>
      <c r="H94" s="101"/>
    </row>
    <row r="95" spans="1:8" x14ac:dyDescent="0.2">
      <c r="A95" s="3"/>
      <c r="B95" s="3"/>
      <c r="C95" s="4" t="s">
        <v>109</v>
      </c>
      <c r="D95" s="3"/>
      <c r="E95" s="3"/>
      <c r="F95" s="11">
        <v>0</v>
      </c>
      <c r="G95" s="12">
        <v>0</v>
      </c>
      <c r="H95" s="101"/>
    </row>
    <row r="96" spans="1:8" x14ac:dyDescent="0.2">
      <c r="A96" s="3"/>
      <c r="B96" s="3"/>
      <c r="C96" s="13"/>
      <c r="D96" s="3"/>
      <c r="E96" s="3"/>
      <c r="F96" s="14"/>
      <c r="G96" s="14"/>
      <c r="H96" s="101"/>
    </row>
    <row r="97" spans="1:8" x14ac:dyDescent="0.2">
      <c r="A97" s="3"/>
      <c r="B97" s="3"/>
      <c r="C97" s="4" t="s">
        <v>110</v>
      </c>
      <c r="D97" s="3"/>
      <c r="E97" s="3"/>
      <c r="F97" s="14"/>
      <c r="G97" s="14"/>
      <c r="H97" s="101"/>
    </row>
    <row r="98" spans="1:8" x14ac:dyDescent="0.2">
      <c r="A98" s="3"/>
      <c r="B98" s="3"/>
      <c r="C98" s="4" t="s">
        <v>111</v>
      </c>
      <c r="D98" s="3"/>
      <c r="E98" s="3"/>
      <c r="F98" s="14"/>
      <c r="G98" s="14"/>
      <c r="H98" s="101"/>
    </row>
    <row r="99" spans="1:8" x14ac:dyDescent="0.2">
      <c r="A99" s="3"/>
      <c r="B99" s="3"/>
      <c r="C99" s="4" t="s">
        <v>97</v>
      </c>
      <c r="D99" s="3"/>
      <c r="E99" s="3" t="s">
        <v>98</v>
      </c>
      <c r="F99" s="15">
        <v>0</v>
      </c>
      <c r="G99" s="16">
        <v>0</v>
      </c>
      <c r="H99" s="101"/>
    </row>
    <row r="100" spans="1:8" x14ac:dyDescent="0.2">
      <c r="A100" s="3"/>
      <c r="B100" s="3"/>
      <c r="C100" s="13"/>
      <c r="D100" s="3"/>
      <c r="E100" s="3"/>
      <c r="F100" s="14"/>
      <c r="G100" s="14"/>
      <c r="H100" s="101"/>
    </row>
    <row r="101" spans="1:8" x14ac:dyDescent="0.2">
      <c r="A101" s="3"/>
      <c r="B101" s="3"/>
      <c r="C101" s="4" t="s">
        <v>112</v>
      </c>
      <c r="D101" s="3"/>
      <c r="E101" s="3"/>
      <c r="F101" s="14"/>
      <c r="G101" s="14"/>
      <c r="H101" s="101"/>
    </row>
    <row r="102" spans="1:8" x14ac:dyDescent="0.2">
      <c r="A102" s="3"/>
      <c r="B102" s="3"/>
      <c r="C102" s="4" t="s">
        <v>97</v>
      </c>
      <c r="D102" s="3"/>
      <c r="E102" s="3" t="s">
        <v>98</v>
      </c>
      <c r="F102" s="15">
        <v>0</v>
      </c>
      <c r="G102" s="16">
        <v>0</v>
      </c>
      <c r="H102" s="101"/>
    </row>
    <row r="103" spans="1:8" x14ac:dyDescent="0.2">
      <c r="A103" s="3"/>
      <c r="B103" s="3"/>
      <c r="C103" s="13"/>
      <c r="D103" s="3"/>
      <c r="E103" s="3"/>
      <c r="F103" s="14"/>
      <c r="G103" s="14"/>
      <c r="H103" s="101"/>
    </row>
    <row r="104" spans="1:8" x14ac:dyDescent="0.2">
      <c r="A104" s="3"/>
      <c r="B104" s="3"/>
      <c r="C104" s="4" t="s">
        <v>113</v>
      </c>
      <c r="D104" s="3"/>
      <c r="E104" s="3"/>
      <c r="F104" s="14"/>
      <c r="G104" s="14"/>
      <c r="H104" s="101"/>
    </row>
    <row r="105" spans="1:8" ht="15" x14ac:dyDescent="0.25">
      <c r="A105" s="5">
        <v>1</v>
      </c>
      <c r="B105" s="6" t="s">
        <v>739</v>
      </c>
      <c r="C105" s="6" t="s">
        <v>740</v>
      </c>
      <c r="D105" s="6" t="s">
        <v>506</v>
      </c>
      <c r="E105" s="7">
        <v>20000</v>
      </c>
      <c r="F105" s="8">
        <v>19.883700000000001</v>
      </c>
      <c r="G105" s="9">
        <v>2.2338249680403975E-3</v>
      </c>
      <c r="H105" s="99">
        <v>3.5000999999999998</v>
      </c>
    </row>
    <row r="106" spans="1:8" ht="15" x14ac:dyDescent="0.25">
      <c r="A106" s="5">
        <v>2</v>
      </c>
      <c r="B106" s="6" t="s">
        <v>504</v>
      </c>
      <c r="C106" s="6" t="s">
        <v>505</v>
      </c>
      <c r="D106" s="6" t="s">
        <v>506</v>
      </c>
      <c r="E106" s="7">
        <v>1000</v>
      </c>
      <c r="F106" s="8">
        <v>0.99955499999999997</v>
      </c>
      <c r="G106" s="9">
        <v>1.122945385380799E-4</v>
      </c>
      <c r="H106" s="88">
        <v>3.25</v>
      </c>
    </row>
    <row r="107" spans="1:8" x14ac:dyDescent="0.2">
      <c r="A107" s="3"/>
      <c r="B107" s="3"/>
      <c r="C107" s="4" t="s">
        <v>97</v>
      </c>
      <c r="D107" s="3"/>
      <c r="E107" s="3" t="s">
        <v>98</v>
      </c>
      <c r="F107" s="15">
        <v>20.883255000000002</v>
      </c>
      <c r="G107" s="16">
        <v>2.3461195065784773E-3</v>
      </c>
      <c r="H107" s="101"/>
    </row>
    <row r="108" spans="1:8" x14ac:dyDescent="0.2">
      <c r="A108" s="3"/>
      <c r="B108" s="3"/>
      <c r="C108" s="13"/>
      <c r="D108" s="3"/>
      <c r="E108" s="3"/>
      <c r="F108" s="14"/>
      <c r="G108" s="14"/>
      <c r="H108" s="101"/>
    </row>
    <row r="109" spans="1:8" x14ac:dyDescent="0.2">
      <c r="A109" s="3"/>
      <c r="B109" s="3"/>
      <c r="C109" s="4" t="s">
        <v>114</v>
      </c>
      <c r="D109" s="3"/>
      <c r="E109" s="3"/>
      <c r="F109" s="14"/>
      <c r="G109" s="14"/>
      <c r="H109" s="101"/>
    </row>
    <row r="110" spans="1:8" x14ac:dyDescent="0.2">
      <c r="A110" s="5">
        <v>1</v>
      </c>
      <c r="B110" s="6"/>
      <c r="C110" s="6" t="s">
        <v>115</v>
      </c>
      <c r="D110" s="6"/>
      <c r="E110" s="10"/>
      <c r="F110" s="8">
        <v>220.70610669999999</v>
      </c>
      <c r="G110" s="9">
        <v>2.4795124234697166E-2</v>
      </c>
      <c r="H110" s="8">
        <v>3.4504560529072292</v>
      </c>
    </row>
    <row r="111" spans="1:8" x14ac:dyDescent="0.2">
      <c r="A111" s="5">
        <v>2</v>
      </c>
      <c r="B111" s="6"/>
      <c r="C111" s="6" t="s">
        <v>116</v>
      </c>
      <c r="D111" s="6"/>
      <c r="E111" s="10"/>
      <c r="F111" s="8">
        <v>119.1167394</v>
      </c>
      <c r="G111" s="9">
        <v>1.3382114323957882E-2</v>
      </c>
      <c r="H111" s="8">
        <v>3.5655822479098256</v>
      </c>
    </row>
    <row r="112" spans="1:8" x14ac:dyDescent="0.2">
      <c r="A112" s="3"/>
      <c r="B112" s="3"/>
      <c r="C112" s="4" t="s">
        <v>97</v>
      </c>
      <c r="D112" s="3"/>
      <c r="E112" s="3" t="s">
        <v>98</v>
      </c>
      <c r="F112" s="11">
        <v>339.82284609999999</v>
      </c>
      <c r="G112" s="12">
        <v>3.8177238558655048E-2</v>
      </c>
      <c r="H112" s="101"/>
    </row>
    <row r="113" spans="1:8" x14ac:dyDescent="0.2">
      <c r="A113" s="3"/>
      <c r="B113" s="3"/>
      <c r="C113" s="13"/>
      <c r="D113" s="3"/>
      <c r="E113" s="3"/>
      <c r="F113" s="14"/>
      <c r="G113" s="14"/>
      <c r="H113" s="101"/>
    </row>
    <row r="114" spans="1:8" x14ac:dyDescent="0.2">
      <c r="A114" s="3"/>
      <c r="B114" s="3"/>
      <c r="C114" s="4" t="s">
        <v>117</v>
      </c>
      <c r="D114" s="3"/>
      <c r="E114" s="3"/>
      <c r="F114" s="11">
        <v>360.70610110000001</v>
      </c>
      <c r="G114" s="12">
        <v>4.0523358065233529E-2</v>
      </c>
      <c r="H114" s="101"/>
    </row>
    <row r="115" spans="1:8" x14ac:dyDescent="0.2">
      <c r="A115" s="3"/>
      <c r="B115" s="3"/>
      <c r="C115" s="14"/>
      <c r="D115" s="3"/>
      <c r="E115" s="3"/>
      <c r="F115" s="3"/>
      <c r="G115" s="3"/>
      <c r="H115" s="101"/>
    </row>
    <row r="116" spans="1:8" x14ac:dyDescent="0.2">
      <c r="A116" s="3"/>
      <c r="B116" s="3"/>
      <c r="C116" s="4" t="s">
        <v>118</v>
      </c>
      <c r="D116" s="3"/>
      <c r="E116" s="3"/>
      <c r="F116" s="3"/>
      <c r="G116" s="3"/>
      <c r="H116" s="101"/>
    </row>
    <row r="117" spans="1:8" x14ac:dyDescent="0.2">
      <c r="A117" s="3"/>
      <c r="B117" s="3"/>
      <c r="C117" s="4" t="s">
        <v>119</v>
      </c>
      <c r="D117" s="3"/>
      <c r="E117" s="3"/>
      <c r="F117" s="3"/>
      <c r="G117" s="3"/>
      <c r="H117" s="101"/>
    </row>
    <row r="118" spans="1:8" x14ac:dyDescent="0.2">
      <c r="A118" s="3"/>
      <c r="B118" s="3"/>
      <c r="C118" s="4" t="s">
        <v>97</v>
      </c>
      <c r="D118" s="3"/>
      <c r="E118" s="3" t="s">
        <v>98</v>
      </c>
      <c r="F118" s="15">
        <v>0</v>
      </c>
      <c r="G118" s="16">
        <v>0</v>
      </c>
      <c r="H118" s="101"/>
    </row>
    <row r="119" spans="1:8" x14ac:dyDescent="0.2">
      <c r="A119" s="3"/>
      <c r="B119" s="3"/>
      <c r="C119" s="13"/>
      <c r="D119" s="3"/>
      <c r="E119" s="3"/>
      <c r="F119" s="14"/>
      <c r="G119" s="14"/>
      <c r="H119" s="101"/>
    </row>
    <row r="120" spans="1:8" x14ac:dyDescent="0.2">
      <c r="A120" s="3"/>
      <c r="B120" s="3"/>
      <c r="C120" s="4" t="s">
        <v>120</v>
      </c>
      <c r="D120" s="3"/>
      <c r="E120" s="3"/>
      <c r="F120" s="3"/>
      <c r="G120" s="3"/>
      <c r="H120" s="101"/>
    </row>
    <row r="121" spans="1:8" x14ac:dyDescent="0.2">
      <c r="A121" s="3"/>
      <c r="B121" s="3"/>
      <c r="C121" s="4" t="s">
        <v>121</v>
      </c>
      <c r="D121" s="3"/>
      <c r="E121" s="3"/>
      <c r="F121" s="3"/>
      <c r="G121" s="3"/>
      <c r="H121" s="101"/>
    </row>
    <row r="122" spans="1:8" x14ac:dyDescent="0.2">
      <c r="A122" s="3"/>
      <c r="B122" s="3"/>
      <c r="C122" s="4" t="s">
        <v>97</v>
      </c>
      <c r="D122" s="3"/>
      <c r="E122" s="3" t="s">
        <v>98</v>
      </c>
      <c r="F122" s="15">
        <v>0</v>
      </c>
      <c r="G122" s="16">
        <v>0</v>
      </c>
      <c r="H122" s="101"/>
    </row>
    <row r="123" spans="1:8" x14ac:dyDescent="0.2">
      <c r="A123" s="3"/>
      <c r="B123" s="3"/>
      <c r="C123" s="13"/>
      <c r="D123" s="3"/>
      <c r="E123" s="3"/>
      <c r="F123" s="14"/>
      <c r="G123" s="14"/>
      <c r="H123" s="101"/>
    </row>
    <row r="124" spans="1:8" x14ac:dyDescent="0.2">
      <c r="A124" s="3"/>
      <c r="B124" s="3"/>
      <c r="C124" s="13"/>
      <c r="D124" s="3"/>
      <c r="E124" s="3"/>
      <c r="F124" s="14"/>
      <c r="G124" s="14"/>
      <c r="H124" s="101"/>
    </row>
    <row r="125" spans="1:8" ht="25.5" x14ac:dyDescent="0.2">
      <c r="A125" s="3"/>
      <c r="B125" s="3"/>
      <c r="C125" s="4" t="s">
        <v>122</v>
      </c>
      <c r="D125" s="3"/>
      <c r="E125" s="3"/>
      <c r="F125" s="14"/>
      <c r="G125" s="14"/>
      <c r="H125" s="101"/>
    </row>
    <row r="126" spans="1:8" x14ac:dyDescent="0.2">
      <c r="A126" s="3"/>
      <c r="B126" s="3"/>
      <c r="C126" s="4" t="s">
        <v>97</v>
      </c>
      <c r="D126" s="3"/>
      <c r="E126" s="3" t="s">
        <v>98</v>
      </c>
      <c r="F126" s="15">
        <v>0</v>
      </c>
      <c r="G126" s="16">
        <v>0</v>
      </c>
      <c r="H126" s="101"/>
    </row>
    <row r="127" spans="1:8" x14ac:dyDescent="0.2">
      <c r="A127" s="3"/>
      <c r="B127" s="3"/>
      <c r="C127" s="13"/>
      <c r="D127" s="3"/>
      <c r="E127" s="3"/>
      <c r="F127" s="14"/>
      <c r="G127" s="14"/>
      <c r="H127" s="101"/>
    </row>
    <row r="128" spans="1:8" x14ac:dyDescent="0.2">
      <c r="A128" s="10"/>
      <c r="B128" s="6"/>
      <c r="C128" s="6" t="s">
        <v>907</v>
      </c>
      <c r="D128" s="6"/>
      <c r="E128" s="10"/>
      <c r="F128" s="8">
        <v>2122.3541034</v>
      </c>
      <c r="G128" s="9">
        <v>0.23843487817649187</v>
      </c>
      <c r="H128" s="101"/>
    </row>
    <row r="129" spans="1:15" x14ac:dyDescent="0.2">
      <c r="A129" s="10"/>
      <c r="B129" s="6"/>
      <c r="C129" s="6" t="s">
        <v>123</v>
      </c>
      <c r="D129" s="6"/>
      <c r="E129" s="10"/>
      <c r="F129" s="8">
        <v>487.47137382000074</v>
      </c>
      <c r="G129" s="9">
        <v>5.4764743284402388E-2</v>
      </c>
      <c r="H129" s="101"/>
    </row>
    <row r="130" spans="1:15" x14ac:dyDescent="0.2">
      <c r="A130" s="13"/>
      <c r="B130" s="13"/>
      <c r="C130" s="4" t="s">
        <v>124</v>
      </c>
      <c r="D130" s="17"/>
      <c r="E130" s="17"/>
      <c r="F130" s="11">
        <v>8901.1897908200008</v>
      </c>
      <c r="G130" s="12">
        <v>1</v>
      </c>
      <c r="H130" s="101"/>
    </row>
    <row r="131" spans="1:15" ht="14.1" customHeight="1" x14ac:dyDescent="0.2">
      <c r="A131" s="18"/>
      <c r="B131" s="18"/>
      <c r="C131" s="18"/>
      <c r="D131" s="19"/>
      <c r="E131" s="19"/>
      <c r="F131" s="19"/>
      <c r="G131" s="19"/>
    </row>
    <row r="132" spans="1:15" ht="14.1" customHeight="1" x14ac:dyDescent="0.2">
      <c r="A132" s="20"/>
      <c r="B132" s="226" t="s">
        <v>98</v>
      </c>
      <c r="C132" s="226"/>
      <c r="D132" s="226"/>
      <c r="E132" s="226"/>
      <c r="F132" s="226"/>
      <c r="G132" s="22"/>
    </row>
    <row r="133" spans="1:15" ht="17.100000000000001" customHeight="1" x14ac:dyDescent="0.2">
      <c r="A133" s="20"/>
      <c r="B133" s="226" t="s">
        <v>125</v>
      </c>
      <c r="C133" s="226"/>
      <c r="D133" s="226"/>
      <c r="E133" s="226"/>
      <c r="F133" s="226"/>
      <c r="G133" s="22"/>
    </row>
    <row r="134" spans="1:15" ht="14.1" customHeight="1" x14ac:dyDescent="0.2">
      <c r="A134" s="20"/>
      <c r="B134" s="20"/>
      <c r="C134" s="20"/>
      <c r="D134" s="22"/>
      <c r="E134" s="22"/>
      <c r="F134" s="22"/>
      <c r="G134" s="22"/>
    </row>
    <row r="135" spans="1:15" ht="14.1" customHeight="1" x14ac:dyDescent="0.2">
      <c r="A135" s="20"/>
      <c r="B135" s="224" t="s">
        <v>126</v>
      </c>
      <c r="C135" s="225"/>
      <c r="D135" s="14" t="s">
        <v>98</v>
      </c>
      <c r="E135" s="23"/>
      <c r="F135" s="22"/>
      <c r="G135" s="22"/>
    </row>
    <row r="136" spans="1:15" ht="29.1" customHeight="1" x14ac:dyDescent="0.2">
      <c r="A136" s="20"/>
      <c r="B136" s="231" t="s">
        <v>127</v>
      </c>
      <c r="C136" s="232"/>
      <c r="D136" s="4" t="s">
        <v>1311</v>
      </c>
      <c r="E136" s="23"/>
      <c r="F136" s="22"/>
      <c r="G136" s="22"/>
    </row>
    <row r="137" spans="1:15" ht="17.100000000000001" customHeight="1" x14ac:dyDescent="0.2">
      <c r="A137" s="20"/>
      <c r="B137" s="231" t="s">
        <v>129</v>
      </c>
      <c r="C137" s="232"/>
      <c r="D137" s="4" t="s">
        <v>128</v>
      </c>
      <c r="E137" s="23"/>
      <c r="F137" s="22"/>
      <c r="G137" s="22"/>
      <c r="I137" s="87"/>
      <c r="J137" s="87"/>
      <c r="K137" s="87"/>
      <c r="L137" s="87"/>
      <c r="M137" s="87"/>
      <c r="N137" s="87"/>
      <c r="O137" s="87"/>
    </row>
    <row r="138" spans="1:15" ht="17.100000000000001" customHeight="1" x14ac:dyDescent="0.2">
      <c r="A138" s="20"/>
      <c r="B138" s="231" t="s">
        <v>1055</v>
      </c>
      <c r="C138" s="235"/>
      <c r="D138" s="232"/>
      <c r="E138" s="23"/>
      <c r="F138" s="22"/>
      <c r="G138" s="22"/>
    </row>
    <row r="139" spans="1:15" ht="24" customHeight="1" x14ac:dyDescent="0.2">
      <c r="A139" s="24"/>
      <c r="B139" s="25" t="s">
        <v>98</v>
      </c>
      <c r="C139" s="25" t="s">
        <v>131</v>
      </c>
      <c r="D139" s="25" t="s">
        <v>132</v>
      </c>
      <c r="E139" s="24"/>
      <c r="F139" s="24"/>
      <c r="G139" s="24"/>
    </row>
    <row r="140" spans="1:15" ht="18" customHeight="1" x14ac:dyDescent="0.2">
      <c r="A140" s="24"/>
      <c r="B140" s="25" t="s">
        <v>133</v>
      </c>
      <c r="C140" s="25" t="s">
        <v>134</v>
      </c>
      <c r="D140" s="25" t="s">
        <v>135</v>
      </c>
      <c r="E140" s="24"/>
      <c r="F140" s="24"/>
      <c r="G140" s="24"/>
    </row>
    <row r="141" spans="1:15" ht="17.100000000000001" customHeight="1" x14ac:dyDescent="0.2">
      <c r="A141" s="24"/>
      <c r="B141" s="6" t="s">
        <v>136</v>
      </c>
      <c r="C141" s="86">
        <v>10.5097</v>
      </c>
      <c r="D141" s="26">
        <v>12.158099999999999</v>
      </c>
      <c r="E141" s="24"/>
      <c r="F141" s="21"/>
      <c r="G141" s="27"/>
    </row>
    <row r="142" spans="1:15" ht="17.100000000000001" customHeight="1" x14ac:dyDescent="0.2">
      <c r="A142" s="24"/>
      <c r="B142" s="6" t="s">
        <v>1060</v>
      </c>
      <c r="C142" s="86">
        <v>12.153</v>
      </c>
      <c r="D142" s="26">
        <v>10.514099999999999</v>
      </c>
      <c r="E142" s="24"/>
      <c r="F142" s="21"/>
      <c r="G142" s="27"/>
    </row>
    <row r="143" spans="1:15" ht="17.100000000000001" customHeight="1" x14ac:dyDescent="0.2">
      <c r="A143" s="24"/>
      <c r="B143" s="6" t="s">
        <v>137</v>
      </c>
      <c r="C143" s="86">
        <v>10.366199999999999</v>
      </c>
      <c r="D143" s="26">
        <v>11.790699999999999</v>
      </c>
      <c r="E143" s="24"/>
      <c r="F143" s="21"/>
      <c r="G143" s="27"/>
    </row>
    <row r="144" spans="1:15" ht="17.100000000000001" customHeight="1" x14ac:dyDescent="0.2">
      <c r="A144" s="24"/>
      <c r="B144" s="6" t="s">
        <v>1061</v>
      </c>
      <c r="C144" s="86">
        <v>11.790100000000001</v>
      </c>
      <c r="D144" s="26">
        <v>10.3668</v>
      </c>
      <c r="E144" s="24"/>
      <c r="F144" s="21"/>
      <c r="G144" s="27"/>
    </row>
    <row r="145" spans="1:17" ht="17.100000000000001" customHeight="1" x14ac:dyDescent="0.2">
      <c r="A145" s="20"/>
      <c r="B145" s="231" t="s">
        <v>1056</v>
      </c>
      <c r="C145" s="235"/>
      <c r="D145" s="232"/>
      <c r="E145" s="23"/>
      <c r="F145" s="22"/>
      <c r="G145" s="22"/>
      <c r="P145" s="69"/>
    </row>
    <row r="146" spans="1:17" ht="24" customHeight="1" x14ac:dyDescent="0.2">
      <c r="A146" s="24"/>
      <c r="B146" s="25" t="s">
        <v>98</v>
      </c>
      <c r="C146" s="25" t="s">
        <v>131</v>
      </c>
      <c r="D146" s="25" t="s">
        <v>132</v>
      </c>
      <c r="E146" s="24"/>
      <c r="F146" s="24"/>
      <c r="G146" s="24"/>
    </row>
    <row r="147" spans="1:17" ht="18" customHeight="1" x14ac:dyDescent="0.2">
      <c r="A147" s="24"/>
      <c r="B147" s="25" t="s">
        <v>133</v>
      </c>
      <c r="C147" s="25" t="s">
        <v>134</v>
      </c>
      <c r="D147" s="25" t="s">
        <v>135</v>
      </c>
      <c r="E147" s="24"/>
      <c r="F147" s="24"/>
      <c r="G147" s="24"/>
    </row>
    <row r="148" spans="1:17" ht="17.100000000000001" customHeight="1" x14ac:dyDescent="0.2">
      <c r="A148" s="24"/>
      <c r="B148" s="6" t="s">
        <v>136</v>
      </c>
      <c r="C148" s="26">
        <v>10.7974</v>
      </c>
      <c r="D148" s="26">
        <v>10.808299999999999</v>
      </c>
      <c r="E148" s="24"/>
      <c r="F148" s="21"/>
      <c r="G148" s="27"/>
    </row>
    <row r="149" spans="1:17" ht="17.100000000000001" customHeight="1" x14ac:dyDescent="0.2">
      <c r="A149" s="24"/>
      <c r="B149" s="6" t="s">
        <v>1201</v>
      </c>
      <c r="C149" s="26">
        <v>10.792899999999999</v>
      </c>
      <c r="D149" s="26">
        <v>10.8035</v>
      </c>
      <c r="E149" s="24"/>
      <c r="F149" s="21"/>
      <c r="G149" s="27"/>
    </row>
    <row r="150" spans="1:17" ht="17.100000000000001" customHeight="1" x14ac:dyDescent="0.2">
      <c r="A150" s="24"/>
      <c r="B150" s="6" t="s">
        <v>137</v>
      </c>
      <c r="C150" s="26">
        <v>10.6586</v>
      </c>
      <c r="D150" s="26">
        <v>10.6622</v>
      </c>
      <c r="E150" s="24"/>
      <c r="F150" s="21"/>
      <c r="G150" s="27"/>
    </row>
    <row r="151" spans="1:17" ht="17.100000000000001" customHeight="1" x14ac:dyDescent="0.2">
      <c r="A151" s="24"/>
      <c r="B151" s="6" t="s">
        <v>1202</v>
      </c>
      <c r="C151" s="26">
        <v>10.6587</v>
      </c>
      <c r="D151" s="26">
        <v>10.6623</v>
      </c>
      <c r="E151" s="24"/>
      <c r="F151" s="21"/>
      <c r="G151" s="27"/>
    </row>
    <row r="152" spans="1:17" ht="14.1" customHeight="1" x14ac:dyDescent="0.2">
      <c r="A152" s="24"/>
      <c r="B152" s="24"/>
      <c r="C152" s="24"/>
      <c r="D152" s="24"/>
      <c r="E152" s="24"/>
      <c r="F152" s="24"/>
      <c r="G152" s="24"/>
    </row>
    <row r="153" spans="1:17" ht="17.100000000000001" customHeight="1" x14ac:dyDescent="0.2">
      <c r="A153" s="24"/>
      <c r="B153" s="231" t="s">
        <v>1203</v>
      </c>
      <c r="C153" s="232"/>
      <c r="D153" s="4" t="s">
        <v>128</v>
      </c>
      <c r="E153" s="24"/>
      <c r="F153" s="24"/>
      <c r="G153" s="24"/>
    </row>
    <row r="154" spans="1:17" ht="18" customHeight="1" x14ac:dyDescent="0.2">
      <c r="A154" s="24"/>
      <c r="B154" s="28"/>
      <c r="C154" s="28"/>
      <c r="D154" s="29"/>
      <c r="E154" s="24"/>
      <c r="F154" s="24"/>
      <c r="G154" s="24"/>
    </row>
    <row r="155" spans="1:17" s="87" customFormat="1" x14ac:dyDescent="0.2">
      <c r="B155" s="233" t="s">
        <v>1207</v>
      </c>
      <c r="C155" s="233"/>
      <c r="D155" s="233"/>
      <c r="E155" s="233"/>
      <c r="F155" s="233"/>
      <c r="I155"/>
      <c r="J155"/>
      <c r="K155"/>
      <c r="L155"/>
      <c r="M155"/>
      <c r="N155"/>
      <c r="O155"/>
      <c r="P155"/>
      <c r="Q155" s="69"/>
    </row>
    <row r="156" spans="1:17" ht="14.1" customHeight="1" x14ac:dyDescent="0.2">
      <c r="A156" s="24"/>
      <c r="B156" s="21"/>
      <c r="C156" s="21"/>
      <c r="D156" s="24"/>
      <c r="E156" s="24"/>
      <c r="F156" s="24"/>
      <c r="G156" s="24"/>
    </row>
    <row r="157" spans="1:17" ht="29.1" customHeight="1" x14ac:dyDescent="0.2">
      <c r="A157" s="24"/>
      <c r="B157" s="231" t="s">
        <v>138</v>
      </c>
      <c r="C157" s="232"/>
      <c r="D157" s="4" t="s">
        <v>1154</v>
      </c>
      <c r="E157" s="24"/>
      <c r="F157" s="24"/>
      <c r="G157" s="24"/>
    </row>
    <row r="158" spans="1:17" ht="29.1" customHeight="1" x14ac:dyDescent="0.2">
      <c r="A158" s="24"/>
      <c r="B158" s="231" t="s">
        <v>139</v>
      </c>
      <c r="C158" s="232"/>
      <c r="D158" s="4" t="s">
        <v>128</v>
      </c>
      <c r="E158" s="24"/>
      <c r="F158" s="24"/>
      <c r="G158" s="24"/>
    </row>
    <row r="159" spans="1:17" ht="17.100000000000001" customHeight="1" x14ac:dyDescent="0.2">
      <c r="A159" s="53"/>
      <c r="B159" s="241" t="s">
        <v>1158</v>
      </c>
      <c r="C159" s="242"/>
      <c r="D159" s="63">
        <v>0</v>
      </c>
      <c r="E159" s="62"/>
      <c r="F159" s="53"/>
      <c r="G159" s="53"/>
    </row>
    <row r="160" spans="1:17" ht="17.100000000000001" customHeight="1" x14ac:dyDescent="0.2">
      <c r="A160" s="53"/>
      <c r="B160" s="241" t="s">
        <v>1159</v>
      </c>
      <c r="C160" s="242"/>
      <c r="D160" s="63">
        <v>0</v>
      </c>
      <c r="E160" s="62"/>
      <c r="F160" s="53"/>
      <c r="G160" s="53"/>
    </row>
    <row r="161" spans="1:7" ht="17.100000000000001" customHeight="1" x14ac:dyDescent="0.2">
      <c r="A161" s="24"/>
      <c r="B161" s="231" t="s">
        <v>1160</v>
      </c>
      <c r="C161" s="232"/>
      <c r="D161" s="30">
        <v>11.079960076066611</v>
      </c>
      <c r="E161" s="24"/>
      <c r="F161" s="21"/>
      <c r="G161" s="27"/>
    </row>
    <row r="162" spans="1:7" ht="17.100000000000001" customHeight="1" x14ac:dyDescent="0.2">
      <c r="A162" s="24"/>
      <c r="B162" s="259" t="s">
        <v>1161</v>
      </c>
      <c r="C162" s="260"/>
      <c r="D162" s="200" t="s">
        <v>128</v>
      </c>
      <c r="E162" s="24"/>
      <c r="F162" s="24"/>
      <c r="G162" s="24"/>
    </row>
    <row r="163" spans="1:7" x14ac:dyDescent="0.2">
      <c r="B163" s="201" t="s">
        <v>1310</v>
      </c>
      <c r="C163" s="201"/>
      <c r="D163" s="201"/>
      <c r="E163" s="205"/>
      <c r="F163" s="206"/>
    </row>
    <row r="164" spans="1:7" ht="38.25" x14ac:dyDescent="0.2">
      <c r="B164" s="199" t="s">
        <v>1285</v>
      </c>
      <c r="C164" s="199" t="s">
        <v>1286</v>
      </c>
      <c r="D164" s="199" t="s">
        <v>1287</v>
      </c>
      <c r="E164" s="199" t="s">
        <v>1288</v>
      </c>
      <c r="F164" s="199" t="s">
        <v>1289</v>
      </c>
    </row>
    <row r="165" spans="1:7" x14ac:dyDescent="0.2">
      <c r="B165" s="213" t="s">
        <v>1308</v>
      </c>
      <c r="C165" s="213" t="s">
        <v>1309</v>
      </c>
      <c r="D165" s="214">
        <v>0</v>
      </c>
      <c r="E165" s="216">
        <v>0</v>
      </c>
      <c r="F165" s="215">
        <v>50</v>
      </c>
    </row>
  </sheetData>
  <mergeCells count="19">
    <mergeCell ref="B161:C161"/>
    <mergeCell ref="B162:C162"/>
    <mergeCell ref="B136:C136"/>
    <mergeCell ref="B137:C137"/>
    <mergeCell ref="B153:C153"/>
    <mergeCell ref="B157:C157"/>
    <mergeCell ref="B158:C158"/>
    <mergeCell ref="B138:D138"/>
    <mergeCell ref="B145:D145"/>
    <mergeCell ref="B159:C159"/>
    <mergeCell ref="B160:C160"/>
    <mergeCell ref="B155:F155"/>
    <mergeCell ref="J2:N2"/>
    <mergeCell ref="B135:C135"/>
    <mergeCell ref="B132:F132"/>
    <mergeCell ref="B133:F133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1FB3D-B85E-4E73-B27D-E6DE041D9139}">
  <sheetPr codeName="Sheet34">
    <outlinePr summaryBelow="0" summaryRight="0"/>
  </sheetPr>
  <dimension ref="A1:Q310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8.140625" customWidth="1"/>
    <col min="3" max="3" width="34.28515625" customWidth="1"/>
    <col min="4" max="4" width="17.85546875" customWidth="1"/>
    <col min="5" max="6" width="19.140625" customWidth="1"/>
    <col min="7" max="7" width="16.42578125" customWidth="1"/>
    <col min="8" max="8" width="11.5703125" bestFit="1" customWidth="1"/>
    <col min="9" max="15" width="9.140625" style="69"/>
    <col min="252" max="252" width="6.85546875" customWidth="1"/>
    <col min="253" max="253" width="20.5703125" customWidth="1"/>
    <col min="254" max="254" width="34.28515625" customWidth="1"/>
    <col min="255" max="255" width="17.85546875" customWidth="1"/>
    <col min="256" max="257" width="19.140625" customWidth="1"/>
    <col min="258" max="258" width="16.42578125" customWidth="1"/>
    <col min="508" max="508" width="6.85546875" customWidth="1"/>
    <col min="509" max="509" width="20.5703125" customWidth="1"/>
    <col min="510" max="510" width="34.28515625" customWidth="1"/>
    <col min="511" max="511" width="17.85546875" customWidth="1"/>
    <col min="512" max="513" width="19.140625" customWidth="1"/>
    <col min="514" max="514" width="16.42578125" customWidth="1"/>
    <col min="764" max="764" width="6.85546875" customWidth="1"/>
    <col min="765" max="765" width="20.5703125" customWidth="1"/>
    <col min="766" max="766" width="34.28515625" customWidth="1"/>
    <col min="767" max="767" width="17.85546875" customWidth="1"/>
    <col min="768" max="769" width="19.140625" customWidth="1"/>
    <col min="770" max="770" width="16.42578125" customWidth="1"/>
    <col min="1020" max="1020" width="6.85546875" customWidth="1"/>
    <col min="1021" max="1021" width="20.5703125" customWidth="1"/>
    <col min="1022" max="1022" width="34.28515625" customWidth="1"/>
    <col min="1023" max="1023" width="17.85546875" customWidth="1"/>
    <col min="1024" max="1025" width="19.140625" customWidth="1"/>
    <col min="1026" max="1026" width="16.42578125" customWidth="1"/>
    <col min="1276" max="1276" width="6.85546875" customWidth="1"/>
    <col min="1277" max="1277" width="20.5703125" customWidth="1"/>
    <col min="1278" max="1278" width="34.28515625" customWidth="1"/>
    <col min="1279" max="1279" width="17.85546875" customWidth="1"/>
    <col min="1280" max="1281" width="19.140625" customWidth="1"/>
    <col min="1282" max="1282" width="16.42578125" customWidth="1"/>
    <col min="1532" max="1532" width="6.85546875" customWidth="1"/>
    <col min="1533" max="1533" width="20.5703125" customWidth="1"/>
    <col min="1534" max="1534" width="34.28515625" customWidth="1"/>
    <col min="1535" max="1535" width="17.85546875" customWidth="1"/>
    <col min="1536" max="1537" width="19.140625" customWidth="1"/>
    <col min="1538" max="1538" width="16.42578125" customWidth="1"/>
    <col min="1788" max="1788" width="6.85546875" customWidth="1"/>
    <col min="1789" max="1789" width="20.5703125" customWidth="1"/>
    <col min="1790" max="1790" width="34.28515625" customWidth="1"/>
    <col min="1791" max="1791" width="17.85546875" customWidth="1"/>
    <col min="1792" max="1793" width="19.140625" customWidth="1"/>
    <col min="1794" max="1794" width="16.42578125" customWidth="1"/>
    <col min="2044" max="2044" width="6.85546875" customWidth="1"/>
    <col min="2045" max="2045" width="20.5703125" customWidth="1"/>
    <col min="2046" max="2046" width="34.28515625" customWidth="1"/>
    <col min="2047" max="2047" width="17.85546875" customWidth="1"/>
    <col min="2048" max="2049" width="19.140625" customWidth="1"/>
    <col min="2050" max="2050" width="16.42578125" customWidth="1"/>
    <col min="2300" max="2300" width="6.85546875" customWidth="1"/>
    <col min="2301" max="2301" width="20.5703125" customWidth="1"/>
    <col min="2302" max="2302" width="34.28515625" customWidth="1"/>
    <col min="2303" max="2303" width="17.85546875" customWidth="1"/>
    <col min="2304" max="2305" width="19.140625" customWidth="1"/>
    <col min="2306" max="2306" width="16.42578125" customWidth="1"/>
    <col min="2556" max="2556" width="6.85546875" customWidth="1"/>
    <col min="2557" max="2557" width="20.5703125" customWidth="1"/>
    <col min="2558" max="2558" width="34.28515625" customWidth="1"/>
    <col min="2559" max="2559" width="17.85546875" customWidth="1"/>
    <col min="2560" max="2561" width="19.140625" customWidth="1"/>
    <col min="2562" max="2562" width="16.42578125" customWidth="1"/>
    <col min="2812" max="2812" width="6.85546875" customWidth="1"/>
    <col min="2813" max="2813" width="20.5703125" customWidth="1"/>
    <col min="2814" max="2814" width="34.28515625" customWidth="1"/>
    <col min="2815" max="2815" width="17.85546875" customWidth="1"/>
    <col min="2816" max="2817" width="19.140625" customWidth="1"/>
    <col min="2818" max="2818" width="16.42578125" customWidth="1"/>
    <col min="3068" max="3068" width="6.85546875" customWidth="1"/>
    <col min="3069" max="3069" width="20.5703125" customWidth="1"/>
    <col min="3070" max="3070" width="34.28515625" customWidth="1"/>
    <col min="3071" max="3071" width="17.85546875" customWidth="1"/>
    <col min="3072" max="3073" width="19.140625" customWidth="1"/>
    <col min="3074" max="3074" width="16.42578125" customWidth="1"/>
    <col min="3324" max="3324" width="6.85546875" customWidth="1"/>
    <col min="3325" max="3325" width="20.5703125" customWidth="1"/>
    <col min="3326" max="3326" width="34.28515625" customWidth="1"/>
    <col min="3327" max="3327" width="17.85546875" customWidth="1"/>
    <col min="3328" max="3329" width="19.140625" customWidth="1"/>
    <col min="3330" max="3330" width="16.42578125" customWidth="1"/>
    <col min="3580" max="3580" width="6.85546875" customWidth="1"/>
    <col min="3581" max="3581" width="20.5703125" customWidth="1"/>
    <col min="3582" max="3582" width="34.28515625" customWidth="1"/>
    <col min="3583" max="3583" width="17.85546875" customWidth="1"/>
    <col min="3584" max="3585" width="19.140625" customWidth="1"/>
    <col min="3586" max="3586" width="16.42578125" customWidth="1"/>
    <col min="3836" max="3836" width="6.85546875" customWidth="1"/>
    <col min="3837" max="3837" width="20.5703125" customWidth="1"/>
    <col min="3838" max="3838" width="34.28515625" customWidth="1"/>
    <col min="3839" max="3839" width="17.85546875" customWidth="1"/>
    <col min="3840" max="3841" width="19.140625" customWidth="1"/>
    <col min="3842" max="3842" width="16.42578125" customWidth="1"/>
    <col min="4092" max="4092" width="6.85546875" customWidth="1"/>
    <col min="4093" max="4093" width="20.5703125" customWidth="1"/>
    <col min="4094" max="4094" width="34.28515625" customWidth="1"/>
    <col min="4095" max="4095" width="17.85546875" customWidth="1"/>
    <col min="4096" max="4097" width="19.140625" customWidth="1"/>
    <col min="4098" max="4098" width="16.42578125" customWidth="1"/>
    <col min="4348" max="4348" width="6.85546875" customWidth="1"/>
    <col min="4349" max="4349" width="20.5703125" customWidth="1"/>
    <col min="4350" max="4350" width="34.28515625" customWidth="1"/>
    <col min="4351" max="4351" width="17.85546875" customWidth="1"/>
    <col min="4352" max="4353" width="19.140625" customWidth="1"/>
    <col min="4354" max="4354" width="16.42578125" customWidth="1"/>
    <col min="4604" max="4604" width="6.85546875" customWidth="1"/>
    <col min="4605" max="4605" width="20.5703125" customWidth="1"/>
    <col min="4606" max="4606" width="34.28515625" customWidth="1"/>
    <col min="4607" max="4607" width="17.85546875" customWidth="1"/>
    <col min="4608" max="4609" width="19.140625" customWidth="1"/>
    <col min="4610" max="4610" width="16.42578125" customWidth="1"/>
    <col min="4860" max="4860" width="6.85546875" customWidth="1"/>
    <col min="4861" max="4861" width="20.5703125" customWidth="1"/>
    <col min="4862" max="4862" width="34.28515625" customWidth="1"/>
    <col min="4863" max="4863" width="17.85546875" customWidth="1"/>
    <col min="4864" max="4865" width="19.140625" customWidth="1"/>
    <col min="4866" max="4866" width="16.42578125" customWidth="1"/>
    <col min="5116" max="5116" width="6.85546875" customWidth="1"/>
    <col min="5117" max="5117" width="20.5703125" customWidth="1"/>
    <col min="5118" max="5118" width="34.28515625" customWidth="1"/>
    <col min="5119" max="5119" width="17.85546875" customWidth="1"/>
    <col min="5120" max="5121" width="19.140625" customWidth="1"/>
    <col min="5122" max="5122" width="16.42578125" customWidth="1"/>
    <col min="5372" max="5372" width="6.85546875" customWidth="1"/>
    <col min="5373" max="5373" width="20.5703125" customWidth="1"/>
    <col min="5374" max="5374" width="34.28515625" customWidth="1"/>
    <col min="5375" max="5375" width="17.85546875" customWidth="1"/>
    <col min="5376" max="5377" width="19.140625" customWidth="1"/>
    <col min="5378" max="5378" width="16.42578125" customWidth="1"/>
    <col min="5628" max="5628" width="6.85546875" customWidth="1"/>
    <col min="5629" max="5629" width="20.5703125" customWidth="1"/>
    <col min="5630" max="5630" width="34.28515625" customWidth="1"/>
    <col min="5631" max="5631" width="17.85546875" customWidth="1"/>
    <col min="5632" max="5633" width="19.140625" customWidth="1"/>
    <col min="5634" max="5634" width="16.42578125" customWidth="1"/>
    <col min="5884" max="5884" width="6.85546875" customWidth="1"/>
    <col min="5885" max="5885" width="20.5703125" customWidth="1"/>
    <col min="5886" max="5886" width="34.28515625" customWidth="1"/>
    <col min="5887" max="5887" width="17.85546875" customWidth="1"/>
    <col min="5888" max="5889" width="19.140625" customWidth="1"/>
    <col min="5890" max="5890" width="16.42578125" customWidth="1"/>
    <col min="6140" max="6140" width="6.85546875" customWidth="1"/>
    <col min="6141" max="6141" width="20.5703125" customWidth="1"/>
    <col min="6142" max="6142" width="34.28515625" customWidth="1"/>
    <col min="6143" max="6143" width="17.85546875" customWidth="1"/>
    <col min="6144" max="6145" width="19.140625" customWidth="1"/>
    <col min="6146" max="6146" width="16.42578125" customWidth="1"/>
    <col min="6396" max="6396" width="6.85546875" customWidth="1"/>
    <col min="6397" max="6397" width="20.5703125" customWidth="1"/>
    <col min="6398" max="6398" width="34.28515625" customWidth="1"/>
    <col min="6399" max="6399" width="17.85546875" customWidth="1"/>
    <col min="6400" max="6401" width="19.140625" customWidth="1"/>
    <col min="6402" max="6402" width="16.42578125" customWidth="1"/>
    <col min="6652" max="6652" width="6.85546875" customWidth="1"/>
    <col min="6653" max="6653" width="20.5703125" customWidth="1"/>
    <col min="6654" max="6654" width="34.28515625" customWidth="1"/>
    <col min="6655" max="6655" width="17.85546875" customWidth="1"/>
    <col min="6656" max="6657" width="19.140625" customWidth="1"/>
    <col min="6658" max="6658" width="16.42578125" customWidth="1"/>
    <col min="6908" max="6908" width="6.85546875" customWidth="1"/>
    <col min="6909" max="6909" width="20.5703125" customWidth="1"/>
    <col min="6910" max="6910" width="34.28515625" customWidth="1"/>
    <col min="6911" max="6911" width="17.85546875" customWidth="1"/>
    <col min="6912" max="6913" width="19.140625" customWidth="1"/>
    <col min="6914" max="6914" width="16.42578125" customWidth="1"/>
    <col min="7164" max="7164" width="6.85546875" customWidth="1"/>
    <col min="7165" max="7165" width="20.5703125" customWidth="1"/>
    <col min="7166" max="7166" width="34.28515625" customWidth="1"/>
    <col min="7167" max="7167" width="17.85546875" customWidth="1"/>
    <col min="7168" max="7169" width="19.140625" customWidth="1"/>
    <col min="7170" max="7170" width="16.42578125" customWidth="1"/>
    <col min="7420" max="7420" width="6.85546875" customWidth="1"/>
    <col min="7421" max="7421" width="20.5703125" customWidth="1"/>
    <col min="7422" max="7422" width="34.28515625" customWidth="1"/>
    <col min="7423" max="7423" width="17.85546875" customWidth="1"/>
    <col min="7424" max="7425" width="19.140625" customWidth="1"/>
    <col min="7426" max="7426" width="16.42578125" customWidth="1"/>
    <col min="7676" max="7676" width="6.85546875" customWidth="1"/>
    <col min="7677" max="7677" width="20.5703125" customWidth="1"/>
    <col min="7678" max="7678" width="34.28515625" customWidth="1"/>
    <col min="7679" max="7679" width="17.85546875" customWidth="1"/>
    <col min="7680" max="7681" width="19.140625" customWidth="1"/>
    <col min="7682" max="7682" width="16.42578125" customWidth="1"/>
    <col min="7932" max="7932" width="6.85546875" customWidth="1"/>
    <col min="7933" max="7933" width="20.5703125" customWidth="1"/>
    <col min="7934" max="7934" width="34.28515625" customWidth="1"/>
    <col min="7935" max="7935" width="17.85546875" customWidth="1"/>
    <col min="7936" max="7937" width="19.140625" customWidth="1"/>
    <col min="7938" max="7938" width="16.42578125" customWidth="1"/>
    <col min="8188" max="8188" width="6.85546875" customWidth="1"/>
    <col min="8189" max="8189" width="20.5703125" customWidth="1"/>
    <col min="8190" max="8190" width="34.28515625" customWidth="1"/>
    <col min="8191" max="8191" width="17.85546875" customWidth="1"/>
    <col min="8192" max="8193" width="19.140625" customWidth="1"/>
    <col min="8194" max="8194" width="16.42578125" customWidth="1"/>
    <col min="8444" max="8444" width="6.85546875" customWidth="1"/>
    <col min="8445" max="8445" width="20.5703125" customWidth="1"/>
    <col min="8446" max="8446" width="34.28515625" customWidth="1"/>
    <col min="8447" max="8447" width="17.85546875" customWidth="1"/>
    <col min="8448" max="8449" width="19.140625" customWidth="1"/>
    <col min="8450" max="8450" width="16.42578125" customWidth="1"/>
    <col min="8700" max="8700" width="6.85546875" customWidth="1"/>
    <col min="8701" max="8701" width="20.5703125" customWidth="1"/>
    <col min="8702" max="8702" width="34.28515625" customWidth="1"/>
    <col min="8703" max="8703" width="17.85546875" customWidth="1"/>
    <col min="8704" max="8705" width="19.140625" customWidth="1"/>
    <col min="8706" max="8706" width="16.42578125" customWidth="1"/>
    <col min="8956" max="8956" width="6.85546875" customWidth="1"/>
    <col min="8957" max="8957" width="20.5703125" customWidth="1"/>
    <col min="8958" max="8958" width="34.28515625" customWidth="1"/>
    <col min="8959" max="8959" width="17.85546875" customWidth="1"/>
    <col min="8960" max="8961" width="19.140625" customWidth="1"/>
    <col min="8962" max="8962" width="16.42578125" customWidth="1"/>
    <col min="9212" max="9212" width="6.85546875" customWidth="1"/>
    <col min="9213" max="9213" width="20.5703125" customWidth="1"/>
    <col min="9214" max="9214" width="34.28515625" customWidth="1"/>
    <col min="9215" max="9215" width="17.85546875" customWidth="1"/>
    <col min="9216" max="9217" width="19.140625" customWidth="1"/>
    <col min="9218" max="9218" width="16.42578125" customWidth="1"/>
    <col min="9468" max="9468" width="6.85546875" customWidth="1"/>
    <col min="9469" max="9469" width="20.5703125" customWidth="1"/>
    <col min="9470" max="9470" width="34.28515625" customWidth="1"/>
    <col min="9471" max="9471" width="17.85546875" customWidth="1"/>
    <col min="9472" max="9473" width="19.140625" customWidth="1"/>
    <col min="9474" max="9474" width="16.42578125" customWidth="1"/>
    <col min="9724" max="9724" width="6.85546875" customWidth="1"/>
    <col min="9725" max="9725" width="20.5703125" customWidth="1"/>
    <col min="9726" max="9726" width="34.28515625" customWidth="1"/>
    <col min="9727" max="9727" width="17.85546875" customWidth="1"/>
    <col min="9728" max="9729" width="19.140625" customWidth="1"/>
    <col min="9730" max="9730" width="16.42578125" customWidth="1"/>
    <col min="9980" max="9980" width="6.85546875" customWidth="1"/>
    <col min="9981" max="9981" width="20.5703125" customWidth="1"/>
    <col min="9982" max="9982" width="34.28515625" customWidth="1"/>
    <col min="9983" max="9983" width="17.85546875" customWidth="1"/>
    <col min="9984" max="9985" width="19.140625" customWidth="1"/>
    <col min="9986" max="9986" width="16.42578125" customWidth="1"/>
    <col min="10236" max="10236" width="6.85546875" customWidth="1"/>
    <col min="10237" max="10237" width="20.5703125" customWidth="1"/>
    <col min="10238" max="10238" width="34.28515625" customWidth="1"/>
    <col min="10239" max="10239" width="17.85546875" customWidth="1"/>
    <col min="10240" max="10241" width="19.140625" customWidth="1"/>
    <col min="10242" max="10242" width="16.42578125" customWidth="1"/>
    <col min="10492" max="10492" width="6.85546875" customWidth="1"/>
    <col min="10493" max="10493" width="20.5703125" customWidth="1"/>
    <col min="10494" max="10494" width="34.28515625" customWidth="1"/>
    <col min="10495" max="10495" width="17.85546875" customWidth="1"/>
    <col min="10496" max="10497" width="19.140625" customWidth="1"/>
    <col min="10498" max="10498" width="16.42578125" customWidth="1"/>
    <col min="10748" max="10748" width="6.85546875" customWidth="1"/>
    <col min="10749" max="10749" width="20.5703125" customWidth="1"/>
    <col min="10750" max="10750" width="34.28515625" customWidth="1"/>
    <col min="10751" max="10751" width="17.85546875" customWidth="1"/>
    <col min="10752" max="10753" width="19.140625" customWidth="1"/>
    <col min="10754" max="10754" width="16.42578125" customWidth="1"/>
    <col min="11004" max="11004" width="6.85546875" customWidth="1"/>
    <col min="11005" max="11005" width="20.5703125" customWidth="1"/>
    <col min="11006" max="11006" width="34.28515625" customWidth="1"/>
    <col min="11007" max="11007" width="17.85546875" customWidth="1"/>
    <col min="11008" max="11009" width="19.140625" customWidth="1"/>
    <col min="11010" max="11010" width="16.42578125" customWidth="1"/>
    <col min="11260" max="11260" width="6.85546875" customWidth="1"/>
    <col min="11261" max="11261" width="20.5703125" customWidth="1"/>
    <col min="11262" max="11262" width="34.28515625" customWidth="1"/>
    <col min="11263" max="11263" width="17.85546875" customWidth="1"/>
    <col min="11264" max="11265" width="19.140625" customWidth="1"/>
    <col min="11266" max="11266" width="16.42578125" customWidth="1"/>
    <col min="11516" max="11516" width="6.85546875" customWidth="1"/>
    <col min="11517" max="11517" width="20.5703125" customWidth="1"/>
    <col min="11518" max="11518" width="34.28515625" customWidth="1"/>
    <col min="11519" max="11519" width="17.85546875" customWidth="1"/>
    <col min="11520" max="11521" width="19.140625" customWidth="1"/>
    <col min="11522" max="11522" width="16.42578125" customWidth="1"/>
    <col min="11772" max="11772" width="6.85546875" customWidth="1"/>
    <col min="11773" max="11773" width="20.5703125" customWidth="1"/>
    <col min="11774" max="11774" width="34.28515625" customWidth="1"/>
    <col min="11775" max="11775" width="17.85546875" customWidth="1"/>
    <col min="11776" max="11777" width="19.140625" customWidth="1"/>
    <col min="11778" max="11778" width="16.42578125" customWidth="1"/>
    <col min="12028" max="12028" width="6.85546875" customWidth="1"/>
    <col min="12029" max="12029" width="20.5703125" customWidth="1"/>
    <col min="12030" max="12030" width="34.28515625" customWidth="1"/>
    <col min="12031" max="12031" width="17.85546875" customWidth="1"/>
    <col min="12032" max="12033" width="19.140625" customWidth="1"/>
    <col min="12034" max="12034" width="16.42578125" customWidth="1"/>
    <col min="12284" max="12284" width="6.85546875" customWidth="1"/>
    <col min="12285" max="12285" width="20.5703125" customWidth="1"/>
    <col min="12286" max="12286" width="34.28515625" customWidth="1"/>
    <col min="12287" max="12287" width="17.85546875" customWidth="1"/>
    <col min="12288" max="12289" width="19.140625" customWidth="1"/>
    <col min="12290" max="12290" width="16.42578125" customWidth="1"/>
    <col min="12540" max="12540" width="6.85546875" customWidth="1"/>
    <col min="12541" max="12541" width="20.5703125" customWidth="1"/>
    <col min="12542" max="12542" width="34.28515625" customWidth="1"/>
    <col min="12543" max="12543" width="17.85546875" customWidth="1"/>
    <col min="12544" max="12545" width="19.140625" customWidth="1"/>
    <col min="12546" max="12546" width="16.42578125" customWidth="1"/>
    <col min="12796" max="12796" width="6.85546875" customWidth="1"/>
    <col min="12797" max="12797" width="20.5703125" customWidth="1"/>
    <col min="12798" max="12798" width="34.28515625" customWidth="1"/>
    <col min="12799" max="12799" width="17.85546875" customWidth="1"/>
    <col min="12800" max="12801" width="19.140625" customWidth="1"/>
    <col min="12802" max="12802" width="16.42578125" customWidth="1"/>
    <col min="13052" max="13052" width="6.85546875" customWidth="1"/>
    <col min="13053" max="13053" width="20.5703125" customWidth="1"/>
    <col min="13054" max="13054" width="34.28515625" customWidth="1"/>
    <col min="13055" max="13055" width="17.85546875" customWidth="1"/>
    <col min="13056" max="13057" width="19.140625" customWidth="1"/>
    <col min="13058" max="13058" width="16.42578125" customWidth="1"/>
    <col min="13308" max="13308" width="6.85546875" customWidth="1"/>
    <col min="13309" max="13309" width="20.5703125" customWidth="1"/>
    <col min="13310" max="13310" width="34.28515625" customWidth="1"/>
    <col min="13311" max="13311" width="17.85546875" customWidth="1"/>
    <col min="13312" max="13313" width="19.140625" customWidth="1"/>
    <col min="13314" max="13314" width="16.42578125" customWidth="1"/>
    <col min="13564" max="13564" width="6.85546875" customWidth="1"/>
    <col min="13565" max="13565" width="20.5703125" customWidth="1"/>
    <col min="13566" max="13566" width="34.28515625" customWidth="1"/>
    <col min="13567" max="13567" width="17.85546875" customWidth="1"/>
    <col min="13568" max="13569" width="19.140625" customWidth="1"/>
    <col min="13570" max="13570" width="16.42578125" customWidth="1"/>
    <col min="13820" max="13820" width="6.85546875" customWidth="1"/>
    <col min="13821" max="13821" width="20.5703125" customWidth="1"/>
    <col min="13822" max="13822" width="34.28515625" customWidth="1"/>
    <col min="13823" max="13823" width="17.85546875" customWidth="1"/>
    <col min="13824" max="13825" width="19.140625" customWidth="1"/>
    <col min="13826" max="13826" width="16.42578125" customWidth="1"/>
    <col min="14076" max="14076" width="6.85546875" customWidth="1"/>
    <col min="14077" max="14077" width="20.5703125" customWidth="1"/>
    <col min="14078" max="14078" width="34.28515625" customWidth="1"/>
    <col min="14079" max="14079" width="17.85546875" customWidth="1"/>
    <col min="14080" max="14081" width="19.140625" customWidth="1"/>
    <col min="14082" max="14082" width="16.42578125" customWidth="1"/>
    <col min="14332" max="14332" width="6.85546875" customWidth="1"/>
    <col min="14333" max="14333" width="20.5703125" customWidth="1"/>
    <col min="14334" max="14334" width="34.28515625" customWidth="1"/>
    <col min="14335" max="14335" width="17.85546875" customWidth="1"/>
    <col min="14336" max="14337" width="19.140625" customWidth="1"/>
    <col min="14338" max="14338" width="16.42578125" customWidth="1"/>
    <col min="14588" max="14588" width="6.85546875" customWidth="1"/>
    <col min="14589" max="14589" width="20.5703125" customWidth="1"/>
    <col min="14590" max="14590" width="34.28515625" customWidth="1"/>
    <col min="14591" max="14591" width="17.85546875" customWidth="1"/>
    <col min="14592" max="14593" width="19.140625" customWidth="1"/>
    <col min="14594" max="14594" width="16.42578125" customWidth="1"/>
    <col min="14844" max="14844" width="6.85546875" customWidth="1"/>
    <col min="14845" max="14845" width="20.5703125" customWidth="1"/>
    <col min="14846" max="14846" width="34.28515625" customWidth="1"/>
    <col min="14847" max="14847" width="17.85546875" customWidth="1"/>
    <col min="14848" max="14849" width="19.140625" customWidth="1"/>
    <col min="14850" max="14850" width="16.42578125" customWidth="1"/>
    <col min="15100" max="15100" width="6.85546875" customWidth="1"/>
    <col min="15101" max="15101" width="20.5703125" customWidth="1"/>
    <col min="15102" max="15102" width="34.28515625" customWidth="1"/>
    <col min="15103" max="15103" width="17.85546875" customWidth="1"/>
    <col min="15104" max="15105" width="19.140625" customWidth="1"/>
    <col min="15106" max="15106" width="16.42578125" customWidth="1"/>
    <col min="15356" max="15356" width="6.85546875" customWidth="1"/>
    <col min="15357" max="15357" width="20.5703125" customWidth="1"/>
    <col min="15358" max="15358" width="34.28515625" customWidth="1"/>
    <col min="15359" max="15359" width="17.85546875" customWidth="1"/>
    <col min="15360" max="15361" width="19.140625" customWidth="1"/>
    <col min="15362" max="15362" width="16.42578125" customWidth="1"/>
    <col min="15612" max="15612" width="6.85546875" customWidth="1"/>
    <col min="15613" max="15613" width="20.5703125" customWidth="1"/>
    <col min="15614" max="15614" width="34.28515625" customWidth="1"/>
    <col min="15615" max="15615" width="17.85546875" customWidth="1"/>
    <col min="15616" max="15617" width="19.140625" customWidth="1"/>
    <col min="15618" max="15618" width="16.42578125" customWidth="1"/>
    <col min="15868" max="15868" width="6.85546875" customWidth="1"/>
    <col min="15869" max="15869" width="20.5703125" customWidth="1"/>
    <col min="15870" max="15870" width="34.28515625" customWidth="1"/>
    <col min="15871" max="15871" width="17.85546875" customWidth="1"/>
    <col min="15872" max="15873" width="19.140625" customWidth="1"/>
    <col min="15874" max="15874" width="16.42578125" customWidth="1"/>
    <col min="16124" max="16124" width="6.85546875" customWidth="1"/>
    <col min="16125" max="16125" width="20.5703125" customWidth="1"/>
    <col min="16126" max="16126" width="34.28515625" customWidth="1"/>
    <col min="16127" max="16127" width="17.85546875" customWidth="1"/>
    <col min="16128" max="16129" width="19.140625" customWidth="1"/>
    <col min="16130" max="16130" width="16.42578125" customWidth="1"/>
  </cols>
  <sheetData>
    <row r="1" spans="1:15" ht="15" x14ac:dyDescent="0.2">
      <c r="A1" s="227" t="s">
        <v>0</v>
      </c>
      <c r="B1" s="227"/>
      <c r="C1" s="227"/>
      <c r="D1" s="227"/>
      <c r="E1" s="227"/>
      <c r="F1" s="227"/>
      <c r="G1" s="227"/>
      <c r="H1" s="227"/>
    </row>
    <row r="2" spans="1:15" s="87" customFormat="1" ht="15" x14ac:dyDescent="0.2">
      <c r="A2" s="228" t="s">
        <v>1256</v>
      </c>
      <c r="B2" s="229"/>
      <c r="C2" s="229"/>
      <c r="D2" s="229"/>
      <c r="E2" s="229"/>
      <c r="F2" s="229"/>
      <c r="G2" s="229"/>
      <c r="H2" s="230"/>
      <c r="I2" s="69"/>
      <c r="J2" s="223" t="s">
        <v>1238</v>
      </c>
      <c r="K2" s="223"/>
      <c r="L2" s="223"/>
      <c r="M2" s="223"/>
      <c r="N2" s="223"/>
      <c r="O2" s="69"/>
    </row>
    <row r="3" spans="1:15" ht="15" x14ac:dyDescent="0.2">
      <c r="A3" s="227" t="s">
        <v>1208</v>
      </c>
      <c r="B3" s="227"/>
      <c r="C3" s="227"/>
      <c r="D3" s="227"/>
      <c r="E3" s="227"/>
      <c r="F3" s="227"/>
      <c r="G3" s="227"/>
      <c r="H3" s="227"/>
    </row>
    <row r="4" spans="1:15" s="113" customFormat="1" ht="30" x14ac:dyDescent="0.2">
      <c r="A4" s="111" t="s">
        <v>2</v>
      </c>
      <c r="B4" s="111" t="s">
        <v>3</v>
      </c>
      <c r="C4" s="111" t="s">
        <v>4</v>
      </c>
      <c r="D4" s="111" t="s">
        <v>5</v>
      </c>
      <c r="E4" s="112" t="s">
        <v>6</v>
      </c>
      <c r="F4" s="112" t="s">
        <v>7</v>
      </c>
      <c r="G4" s="112" t="s">
        <v>8</v>
      </c>
      <c r="H4" s="96" t="s">
        <v>1167</v>
      </c>
      <c r="I4" s="185"/>
      <c r="J4" s="185"/>
      <c r="K4" s="185"/>
      <c r="L4" s="185"/>
      <c r="M4" s="185"/>
      <c r="N4" s="185"/>
      <c r="O4" s="185"/>
    </row>
    <row r="5" spans="1:15" ht="14.1" customHeight="1" x14ac:dyDescent="0.2">
      <c r="A5" s="34"/>
      <c r="B5" s="34"/>
      <c r="C5" s="35" t="s">
        <v>9</v>
      </c>
      <c r="D5" s="34"/>
      <c r="E5" s="34"/>
      <c r="F5" s="34"/>
      <c r="G5" s="34"/>
      <c r="H5" s="101"/>
    </row>
    <row r="6" spans="1:15" ht="24" customHeight="1" x14ac:dyDescent="0.2">
      <c r="A6" s="34"/>
      <c r="B6" s="34"/>
      <c r="C6" s="35" t="s">
        <v>10</v>
      </c>
      <c r="D6" s="34"/>
      <c r="E6" s="34"/>
      <c r="F6" s="34"/>
      <c r="G6" s="34"/>
      <c r="H6" s="101"/>
    </row>
    <row r="7" spans="1:15" x14ac:dyDescent="0.2">
      <c r="A7" s="36">
        <v>1</v>
      </c>
      <c r="B7" s="37" t="s">
        <v>14</v>
      </c>
      <c r="C7" s="37" t="s">
        <v>15</v>
      </c>
      <c r="D7" s="37" t="s">
        <v>16</v>
      </c>
      <c r="E7" s="38">
        <v>347418</v>
      </c>
      <c r="F7" s="39">
        <v>8227.3793669999995</v>
      </c>
      <c r="G7" s="40">
        <v>5.0802295803919109E-2</v>
      </c>
      <c r="H7" s="101"/>
    </row>
    <row r="8" spans="1:15" x14ac:dyDescent="0.2">
      <c r="A8" s="36">
        <v>2</v>
      </c>
      <c r="B8" s="37" t="s">
        <v>23</v>
      </c>
      <c r="C8" s="37" t="s">
        <v>24</v>
      </c>
      <c r="D8" s="37" t="s">
        <v>25</v>
      </c>
      <c r="E8" s="38">
        <v>909499</v>
      </c>
      <c r="F8" s="39">
        <v>6731.6568485000007</v>
      </c>
      <c r="G8" s="40">
        <v>4.1566531359872684E-2</v>
      </c>
      <c r="H8" s="101"/>
    </row>
    <row r="9" spans="1:15" x14ac:dyDescent="0.2">
      <c r="A9" s="36">
        <v>3</v>
      </c>
      <c r="B9" s="37" t="s">
        <v>409</v>
      </c>
      <c r="C9" s="37" t="s">
        <v>410</v>
      </c>
      <c r="D9" s="37" t="s">
        <v>147</v>
      </c>
      <c r="E9" s="38">
        <v>316563</v>
      </c>
      <c r="F9" s="39">
        <v>5975.9180324999998</v>
      </c>
      <c r="G9" s="40">
        <v>3.6900006921370312E-2</v>
      </c>
      <c r="H9" s="101"/>
    </row>
    <row r="10" spans="1:15" x14ac:dyDescent="0.2">
      <c r="A10" s="36">
        <v>4</v>
      </c>
      <c r="B10" s="37" t="s">
        <v>415</v>
      </c>
      <c r="C10" s="37" t="s">
        <v>416</v>
      </c>
      <c r="D10" s="37" t="s">
        <v>25</v>
      </c>
      <c r="E10" s="38">
        <v>1187795</v>
      </c>
      <c r="F10" s="39">
        <v>5469.2020775000001</v>
      </c>
      <c r="G10" s="40">
        <v>3.3771145021829395E-2</v>
      </c>
      <c r="H10" s="101"/>
    </row>
    <row r="11" spans="1:15" ht="25.5" x14ac:dyDescent="0.2">
      <c r="A11" s="36">
        <v>5</v>
      </c>
      <c r="B11" s="37" t="s">
        <v>413</v>
      </c>
      <c r="C11" s="37" t="s">
        <v>414</v>
      </c>
      <c r="D11" s="37" t="s">
        <v>81</v>
      </c>
      <c r="E11" s="38">
        <v>203821</v>
      </c>
      <c r="F11" s="39">
        <v>5271.7282545000007</v>
      </c>
      <c r="G11" s="40">
        <v>3.2551786691300051E-2</v>
      </c>
      <c r="H11" s="101"/>
      <c r="I11" s="32"/>
      <c r="J11" s="32"/>
      <c r="K11" s="32"/>
      <c r="L11" s="32"/>
      <c r="M11" s="32"/>
      <c r="N11" s="32"/>
      <c r="O11" s="32"/>
    </row>
    <row r="12" spans="1:15" x14ac:dyDescent="0.2">
      <c r="A12" s="36">
        <v>6</v>
      </c>
      <c r="B12" s="6" t="s">
        <v>427</v>
      </c>
      <c r="C12" s="6" t="s">
        <v>428</v>
      </c>
      <c r="D12" s="6" t="s">
        <v>147</v>
      </c>
      <c r="E12" s="7">
        <v>232050</v>
      </c>
      <c r="F12" s="8">
        <v>4154.9712749999999</v>
      </c>
      <c r="G12" s="9">
        <v>2.5656052839375158E-2</v>
      </c>
      <c r="H12" s="101"/>
    </row>
    <row r="13" spans="1:15" x14ac:dyDescent="0.2">
      <c r="A13" s="36">
        <v>7</v>
      </c>
      <c r="B13" s="37" t="s">
        <v>315</v>
      </c>
      <c r="C13" s="37" t="s">
        <v>316</v>
      </c>
      <c r="D13" s="37" t="s">
        <v>25</v>
      </c>
      <c r="E13" s="38">
        <v>597962</v>
      </c>
      <c r="F13" s="39">
        <v>4057.4711510000002</v>
      </c>
      <c r="G13" s="40">
        <v>2.5054010570577614E-2</v>
      </c>
      <c r="H13" s="101"/>
    </row>
    <row r="14" spans="1:15" x14ac:dyDescent="0.2">
      <c r="A14" s="36">
        <v>8</v>
      </c>
      <c r="B14" s="6" t="s">
        <v>417</v>
      </c>
      <c r="C14" s="6" t="s">
        <v>418</v>
      </c>
      <c r="D14" s="6" t="s">
        <v>147</v>
      </c>
      <c r="E14" s="7">
        <v>102862</v>
      </c>
      <c r="F14" s="8">
        <v>3845.3415770000001</v>
      </c>
      <c r="G14" s="9">
        <v>2.3744156133776929E-2</v>
      </c>
      <c r="H14" s="101"/>
    </row>
    <row r="15" spans="1:15" ht="15" x14ac:dyDescent="0.2">
      <c r="A15" s="36">
        <v>9</v>
      </c>
      <c r="B15" s="37" t="s">
        <v>20</v>
      </c>
      <c r="C15" s="37" t="s">
        <v>21</v>
      </c>
      <c r="D15" s="37" t="s">
        <v>22</v>
      </c>
      <c r="E15" s="38">
        <v>560205</v>
      </c>
      <c r="F15" s="39">
        <v>3830.6817899999996</v>
      </c>
      <c r="G15" s="40">
        <v>2.3653635106074759E-2</v>
      </c>
      <c r="H15" s="101"/>
      <c r="J15" s="184" t="s">
        <v>1267</v>
      </c>
    </row>
    <row r="16" spans="1:15" x14ac:dyDescent="0.2">
      <c r="A16" s="36">
        <v>10</v>
      </c>
      <c r="B16" s="37" t="s">
        <v>1052</v>
      </c>
      <c r="C16" s="37" t="s">
        <v>1053</v>
      </c>
      <c r="D16" s="37" t="s">
        <v>53</v>
      </c>
      <c r="E16" s="38">
        <v>1100000</v>
      </c>
      <c r="F16" s="39">
        <v>3735.93</v>
      </c>
      <c r="G16" s="40">
        <v>2.3068563207866422E-2</v>
      </c>
      <c r="H16" s="101"/>
    </row>
    <row r="17" spans="1:15" x14ac:dyDescent="0.2">
      <c r="A17" s="36">
        <v>11</v>
      </c>
      <c r="B17" s="37" t="s">
        <v>11</v>
      </c>
      <c r="C17" s="37" t="s">
        <v>12</v>
      </c>
      <c r="D17" s="37" t="s">
        <v>13</v>
      </c>
      <c r="E17" s="38">
        <v>182118</v>
      </c>
      <c r="F17" s="39">
        <v>3452.7751619999999</v>
      </c>
      <c r="G17" s="40">
        <v>2.1320143061339003E-2</v>
      </c>
      <c r="H17" s="101"/>
    </row>
    <row r="18" spans="1:15" ht="25.5" x14ac:dyDescent="0.2">
      <c r="A18" s="36">
        <v>12</v>
      </c>
      <c r="B18" s="6" t="s">
        <v>622</v>
      </c>
      <c r="C18" s="6" t="s">
        <v>623</v>
      </c>
      <c r="D18" s="6" t="s">
        <v>202</v>
      </c>
      <c r="E18" s="7">
        <v>350000</v>
      </c>
      <c r="F18" s="8">
        <v>3143.875</v>
      </c>
      <c r="G18" s="9">
        <v>1.9412751083433322E-2</v>
      </c>
      <c r="H18" s="101"/>
    </row>
    <row r="19" spans="1:15" x14ac:dyDescent="0.2">
      <c r="A19" s="36">
        <v>13</v>
      </c>
      <c r="B19" s="37" t="s">
        <v>411</v>
      </c>
      <c r="C19" s="37" t="s">
        <v>412</v>
      </c>
      <c r="D19" s="37" t="s">
        <v>25</v>
      </c>
      <c r="E19" s="38">
        <v>203500</v>
      </c>
      <c r="F19" s="39">
        <v>3010.5790000000002</v>
      </c>
      <c r="G19" s="40">
        <v>1.8589676989069732E-2</v>
      </c>
      <c r="H19" s="101"/>
    </row>
    <row r="20" spans="1:15" x14ac:dyDescent="0.2">
      <c r="A20" s="36">
        <v>14</v>
      </c>
      <c r="B20" s="6" t="s">
        <v>17</v>
      </c>
      <c r="C20" s="6" t="s">
        <v>18</v>
      </c>
      <c r="D20" s="6" t="s">
        <v>19</v>
      </c>
      <c r="E20" s="7">
        <v>140000</v>
      </c>
      <c r="F20" s="8">
        <v>2683.8</v>
      </c>
      <c r="G20" s="9">
        <v>1.6571887036767794E-2</v>
      </c>
      <c r="H20" s="101"/>
      <c r="I20" s="32"/>
      <c r="J20" s="32"/>
      <c r="K20" s="32"/>
      <c r="L20" s="32"/>
      <c r="M20" s="32"/>
      <c r="N20" s="32"/>
      <c r="O20" s="32"/>
    </row>
    <row r="21" spans="1:15" x14ac:dyDescent="0.2">
      <c r="A21" s="36">
        <v>15</v>
      </c>
      <c r="B21" s="37" t="s">
        <v>434</v>
      </c>
      <c r="C21" s="37" t="s">
        <v>435</v>
      </c>
      <c r="D21" s="37" t="s">
        <v>238</v>
      </c>
      <c r="E21" s="38">
        <v>309502</v>
      </c>
      <c r="F21" s="39">
        <v>2301.3021210000002</v>
      </c>
      <c r="G21" s="40">
        <v>1.4210045005844746E-2</v>
      </c>
      <c r="H21" s="101"/>
    </row>
    <row r="22" spans="1:15" ht="25.5" x14ac:dyDescent="0.2">
      <c r="A22" s="36">
        <v>16</v>
      </c>
      <c r="B22" s="37" t="s">
        <v>425</v>
      </c>
      <c r="C22" s="37" t="s">
        <v>426</v>
      </c>
      <c r="D22" s="37" t="s">
        <v>202</v>
      </c>
      <c r="E22" s="38">
        <v>82257</v>
      </c>
      <c r="F22" s="39">
        <v>1941.3885854999999</v>
      </c>
      <c r="G22" s="40">
        <v>1.1987656432437741E-2</v>
      </c>
      <c r="H22" s="101"/>
    </row>
    <row r="23" spans="1:15" ht="25.5" x14ac:dyDescent="0.2">
      <c r="A23" s="36">
        <v>17</v>
      </c>
      <c r="B23" s="37" t="s">
        <v>1050</v>
      </c>
      <c r="C23" s="37" t="s">
        <v>1051</v>
      </c>
      <c r="D23" s="37" t="s">
        <v>34</v>
      </c>
      <c r="E23" s="38">
        <v>1575000</v>
      </c>
      <c r="F23" s="39">
        <v>1905.1200000000001</v>
      </c>
      <c r="G23" s="40">
        <v>1.1763705727508407E-2</v>
      </c>
      <c r="H23" s="101"/>
    </row>
    <row r="24" spans="1:15" x14ac:dyDescent="0.2">
      <c r="A24" s="36">
        <v>18</v>
      </c>
      <c r="B24" s="37" t="s">
        <v>429</v>
      </c>
      <c r="C24" s="37" t="s">
        <v>430</v>
      </c>
      <c r="D24" s="37" t="s">
        <v>431</v>
      </c>
      <c r="E24" s="38">
        <v>397637</v>
      </c>
      <c r="F24" s="39">
        <v>1890.9627535</v>
      </c>
      <c r="G24" s="40">
        <v>1.1676287779170349E-2</v>
      </c>
      <c r="H24" s="101"/>
    </row>
    <row r="25" spans="1:15" x14ac:dyDescent="0.2">
      <c r="A25" s="36">
        <v>19</v>
      </c>
      <c r="B25" s="6" t="s">
        <v>90</v>
      </c>
      <c r="C25" s="6" t="s">
        <v>91</v>
      </c>
      <c r="D25" s="6" t="s">
        <v>19</v>
      </c>
      <c r="E25" s="7">
        <v>20000</v>
      </c>
      <c r="F25" s="8">
        <v>1756.88</v>
      </c>
      <c r="G25" s="9">
        <v>1.084835565137365E-2</v>
      </c>
      <c r="H25" s="101"/>
    </row>
    <row r="26" spans="1:15" x14ac:dyDescent="0.2">
      <c r="A26" s="36">
        <v>20</v>
      </c>
      <c r="B26" s="6" t="s">
        <v>381</v>
      </c>
      <c r="C26" s="6" t="s">
        <v>382</v>
      </c>
      <c r="D26" s="37" t="s">
        <v>1183</v>
      </c>
      <c r="E26" s="7">
        <v>10088</v>
      </c>
      <c r="F26" s="8">
        <v>1655.057456</v>
      </c>
      <c r="G26" s="9">
        <v>1.0219623369920368E-2</v>
      </c>
      <c r="H26" s="101"/>
    </row>
    <row r="27" spans="1:15" x14ac:dyDescent="0.2">
      <c r="A27" s="36">
        <v>21</v>
      </c>
      <c r="B27" s="37" t="s">
        <v>274</v>
      </c>
      <c r="C27" s="37" t="s">
        <v>275</v>
      </c>
      <c r="D27" s="37" t="s">
        <v>185</v>
      </c>
      <c r="E27" s="38">
        <v>39082</v>
      </c>
      <c r="F27" s="39">
        <v>1636.94957</v>
      </c>
      <c r="G27" s="40">
        <v>1.0107811073450188E-2</v>
      </c>
      <c r="H27" s="101"/>
    </row>
    <row r="28" spans="1:15" x14ac:dyDescent="0.2">
      <c r="A28" s="36">
        <v>22</v>
      </c>
      <c r="B28" s="37" t="s">
        <v>438</v>
      </c>
      <c r="C28" s="37" t="s">
        <v>439</v>
      </c>
      <c r="D28" s="37" t="s">
        <v>60</v>
      </c>
      <c r="E28" s="38">
        <v>141173</v>
      </c>
      <c r="F28" s="39">
        <v>1569.0673085000001</v>
      </c>
      <c r="G28" s="40">
        <v>9.6886527273072828E-3</v>
      </c>
      <c r="H28" s="101"/>
    </row>
    <row r="29" spans="1:15" x14ac:dyDescent="0.2">
      <c r="A29" s="36">
        <v>23</v>
      </c>
      <c r="B29" s="6" t="s">
        <v>280</v>
      </c>
      <c r="C29" s="6" t="s">
        <v>281</v>
      </c>
      <c r="D29" s="6" t="s">
        <v>238</v>
      </c>
      <c r="E29" s="7">
        <v>87470</v>
      </c>
      <c r="F29" s="8">
        <v>1534.92356</v>
      </c>
      <c r="G29" s="9">
        <v>9.4778224332638314E-3</v>
      </c>
      <c r="H29" s="101"/>
    </row>
    <row r="30" spans="1:15" x14ac:dyDescent="0.2">
      <c r="A30" s="36">
        <v>24</v>
      </c>
      <c r="B30" s="6" t="s">
        <v>311</v>
      </c>
      <c r="C30" s="6" t="s">
        <v>312</v>
      </c>
      <c r="D30" s="6" t="s">
        <v>284</v>
      </c>
      <c r="E30" s="7">
        <v>3529</v>
      </c>
      <c r="F30" s="8">
        <v>1426.4764994999998</v>
      </c>
      <c r="G30" s="9">
        <v>8.8081851890297134E-3</v>
      </c>
      <c r="H30" s="101"/>
    </row>
    <row r="31" spans="1:15" x14ac:dyDescent="0.2">
      <c r="A31" s="36">
        <v>25</v>
      </c>
      <c r="B31" s="37" t="s">
        <v>423</v>
      </c>
      <c r="C31" s="37" t="s">
        <v>424</v>
      </c>
      <c r="D31" s="37" t="s">
        <v>193</v>
      </c>
      <c r="E31" s="38">
        <v>153000</v>
      </c>
      <c r="F31" s="39">
        <v>1293.921</v>
      </c>
      <c r="G31" s="40">
        <v>7.9896835257849391E-3</v>
      </c>
      <c r="H31" s="101"/>
    </row>
    <row r="32" spans="1:15" x14ac:dyDescent="0.2">
      <c r="A32" s="36">
        <v>26</v>
      </c>
      <c r="B32" s="37" t="s">
        <v>419</v>
      </c>
      <c r="C32" s="37" t="s">
        <v>420</v>
      </c>
      <c r="D32" s="37" t="s">
        <v>1183</v>
      </c>
      <c r="E32" s="38">
        <v>106750</v>
      </c>
      <c r="F32" s="39">
        <v>1276.73</v>
      </c>
      <c r="G32" s="40">
        <v>7.883532802911002E-3</v>
      </c>
      <c r="H32" s="101"/>
    </row>
    <row r="33" spans="1:8" x14ac:dyDescent="0.2">
      <c r="A33" s="36">
        <v>27</v>
      </c>
      <c r="B33" s="6" t="s">
        <v>243</v>
      </c>
      <c r="C33" s="6" t="s">
        <v>244</v>
      </c>
      <c r="D33" s="37" t="s">
        <v>185</v>
      </c>
      <c r="E33" s="7">
        <v>230000</v>
      </c>
      <c r="F33" s="8">
        <v>1270.75</v>
      </c>
      <c r="G33" s="9">
        <v>7.8466075907193799E-3</v>
      </c>
      <c r="H33" s="101"/>
    </row>
    <row r="34" spans="1:8" ht="25.5" x14ac:dyDescent="0.2">
      <c r="A34" s="36">
        <v>28</v>
      </c>
      <c r="B34" s="6" t="s">
        <v>28</v>
      </c>
      <c r="C34" s="6" t="s">
        <v>29</v>
      </c>
      <c r="D34" s="37" t="s">
        <v>1185</v>
      </c>
      <c r="E34" s="7">
        <v>16380</v>
      </c>
      <c r="F34" s="8">
        <v>1243.41399</v>
      </c>
      <c r="G34" s="9">
        <v>7.6778136158494369E-3</v>
      </c>
      <c r="H34" s="101"/>
    </row>
    <row r="35" spans="1:8" x14ac:dyDescent="0.2">
      <c r="A35" s="36">
        <v>29</v>
      </c>
      <c r="B35" s="37" t="s">
        <v>444</v>
      </c>
      <c r="C35" s="37" t="s">
        <v>445</v>
      </c>
      <c r="D35" s="37" t="s">
        <v>193</v>
      </c>
      <c r="E35" s="38">
        <v>25859</v>
      </c>
      <c r="F35" s="39">
        <v>1209.7357380000001</v>
      </c>
      <c r="G35" s="40">
        <v>7.4698576624476192E-3</v>
      </c>
      <c r="H35" s="101"/>
    </row>
    <row r="36" spans="1:8" x14ac:dyDescent="0.2">
      <c r="A36" s="36">
        <v>30</v>
      </c>
      <c r="B36" s="6" t="s">
        <v>369</v>
      </c>
      <c r="C36" s="6" t="s">
        <v>370</v>
      </c>
      <c r="D36" s="6" t="s">
        <v>147</v>
      </c>
      <c r="E36" s="7">
        <v>89426</v>
      </c>
      <c r="F36" s="8">
        <v>1179.6183660000002</v>
      </c>
      <c r="G36" s="9">
        <v>7.2838893762011362E-3</v>
      </c>
      <c r="H36" s="101"/>
    </row>
    <row r="37" spans="1:8" ht="25.5" x14ac:dyDescent="0.2">
      <c r="A37" s="36">
        <v>31</v>
      </c>
      <c r="B37" s="37" t="s">
        <v>319</v>
      </c>
      <c r="C37" s="37" t="s">
        <v>320</v>
      </c>
      <c r="D37" s="37" t="s">
        <v>202</v>
      </c>
      <c r="E37" s="38">
        <v>126719</v>
      </c>
      <c r="F37" s="39">
        <v>1125.644877</v>
      </c>
      <c r="G37" s="40">
        <v>6.9506147049558003E-3</v>
      </c>
      <c r="H37" s="101"/>
    </row>
    <row r="38" spans="1:8" x14ac:dyDescent="0.2">
      <c r="A38" s="36">
        <v>32</v>
      </c>
      <c r="B38" s="37" t="s">
        <v>440</v>
      </c>
      <c r="C38" s="37" t="s">
        <v>441</v>
      </c>
      <c r="D38" s="37" t="s">
        <v>25</v>
      </c>
      <c r="E38" s="38">
        <v>62200</v>
      </c>
      <c r="F38" s="39">
        <v>1117.1741999999999</v>
      </c>
      <c r="G38" s="40">
        <v>6.8983100986628769E-3</v>
      </c>
      <c r="H38" s="101"/>
    </row>
    <row r="39" spans="1:8" x14ac:dyDescent="0.2">
      <c r="A39" s="36">
        <v>33</v>
      </c>
      <c r="B39" s="37" t="s">
        <v>468</v>
      </c>
      <c r="C39" s="37" t="s">
        <v>469</v>
      </c>
      <c r="D39" s="37" t="s">
        <v>78</v>
      </c>
      <c r="E39" s="38">
        <v>230862</v>
      </c>
      <c r="F39" s="39">
        <v>1113.6782880000001</v>
      </c>
      <c r="G39" s="40">
        <v>6.8767235949165175E-3</v>
      </c>
      <c r="H39" s="101"/>
    </row>
    <row r="40" spans="1:8" x14ac:dyDescent="0.2">
      <c r="A40" s="36">
        <v>34</v>
      </c>
      <c r="B40" s="37" t="s">
        <v>305</v>
      </c>
      <c r="C40" s="37" t="s">
        <v>306</v>
      </c>
      <c r="D40" s="37" t="s">
        <v>1183</v>
      </c>
      <c r="E40" s="38">
        <v>104401</v>
      </c>
      <c r="F40" s="39">
        <v>1023.4952035</v>
      </c>
      <c r="G40" s="40">
        <v>6.3198624692881976E-3</v>
      </c>
      <c r="H40" s="101"/>
    </row>
    <row r="41" spans="1:8" x14ac:dyDescent="0.2">
      <c r="A41" s="36">
        <v>35</v>
      </c>
      <c r="B41" s="37" t="s">
        <v>825</v>
      </c>
      <c r="C41" s="37" t="s">
        <v>826</v>
      </c>
      <c r="D41" s="37" t="s">
        <v>185</v>
      </c>
      <c r="E41" s="38">
        <v>41000</v>
      </c>
      <c r="F41" s="39">
        <v>1009.748</v>
      </c>
      <c r="G41" s="40">
        <v>6.234976448171327E-3</v>
      </c>
      <c r="H41" s="101"/>
    </row>
    <row r="42" spans="1:8" x14ac:dyDescent="0.2">
      <c r="A42" s="36">
        <v>36</v>
      </c>
      <c r="B42" s="6" t="s">
        <v>864</v>
      </c>
      <c r="C42" s="6" t="s">
        <v>865</v>
      </c>
      <c r="D42" s="37" t="s">
        <v>1183</v>
      </c>
      <c r="E42" s="7">
        <v>143000</v>
      </c>
      <c r="F42" s="8">
        <v>928.85649999999998</v>
      </c>
      <c r="G42" s="9">
        <v>5.7354888558638888E-3</v>
      </c>
      <c r="H42" s="101"/>
    </row>
    <row r="43" spans="1:8" x14ac:dyDescent="0.2">
      <c r="A43" s="36">
        <v>37</v>
      </c>
      <c r="B43" s="37" t="s">
        <v>336</v>
      </c>
      <c r="C43" s="37" t="s">
        <v>337</v>
      </c>
      <c r="D43" s="37" t="s">
        <v>193</v>
      </c>
      <c r="E43" s="38">
        <v>23000</v>
      </c>
      <c r="F43" s="39">
        <v>888.84649999999999</v>
      </c>
      <c r="G43" s="40">
        <v>5.4884357221202862E-3</v>
      </c>
      <c r="H43" s="101"/>
    </row>
    <row r="44" spans="1:8" ht="25.5" x14ac:dyDescent="0.2">
      <c r="A44" s="36">
        <v>38</v>
      </c>
      <c r="B44" s="37" t="s">
        <v>436</v>
      </c>
      <c r="C44" s="37" t="s">
        <v>437</v>
      </c>
      <c r="D44" s="37" t="s">
        <v>202</v>
      </c>
      <c r="E44" s="38">
        <v>380600</v>
      </c>
      <c r="F44" s="39">
        <v>829.89829999999995</v>
      </c>
      <c r="G44" s="40">
        <v>5.1244432817667595E-3</v>
      </c>
      <c r="H44" s="101"/>
    </row>
    <row r="45" spans="1:8" x14ac:dyDescent="0.2">
      <c r="A45" s="36">
        <v>39</v>
      </c>
      <c r="B45" s="37" t="s">
        <v>576</v>
      </c>
      <c r="C45" s="37" t="s">
        <v>577</v>
      </c>
      <c r="D45" s="37" t="s">
        <v>70</v>
      </c>
      <c r="E45" s="38">
        <v>200000</v>
      </c>
      <c r="F45" s="39">
        <v>751.5</v>
      </c>
      <c r="G45" s="40">
        <v>4.6403506625422898E-3</v>
      </c>
      <c r="H45" s="101"/>
    </row>
    <row r="46" spans="1:8" x14ac:dyDescent="0.2">
      <c r="A46" s="36">
        <v>40</v>
      </c>
      <c r="B46" s="37" t="s">
        <v>175</v>
      </c>
      <c r="C46" s="37" t="s">
        <v>176</v>
      </c>
      <c r="D46" s="37" t="s">
        <v>16</v>
      </c>
      <c r="E46" s="38">
        <v>255000</v>
      </c>
      <c r="F46" s="39">
        <v>745.49249999999995</v>
      </c>
      <c r="G46" s="40">
        <v>4.6032556437728646E-3</v>
      </c>
      <c r="H46" s="101"/>
    </row>
    <row r="47" spans="1:8" x14ac:dyDescent="0.2">
      <c r="A47" s="36">
        <v>41</v>
      </c>
      <c r="B47" s="6" t="s">
        <v>181</v>
      </c>
      <c r="C47" s="6" t="s">
        <v>182</v>
      </c>
      <c r="D47" s="37" t="s">
        <v>1189</v>
      </c>
      <c r="E47" s="7">
        <v>86000</v>
      </c>
      <c r="F47" s="8">
        <v>736.46100000000001</v>
      </c>
      <c r="G47" s="9">
        <v>4.5474880762296169E-3</v>
      </c>
      <c r="H47" s="101"/>
    </row>
    <row r="48" spans="1:8" x14ac:dyDescent="0.2">
      <c r="A48" s="36">
        <v>42</v>
      </c>
      <c r="B48" s="37" t="s">
        <v>371</v>
      </c>
      <c r="C48" s="37" t="s">
        <v>372</v>
      </c>
      <c r="D48" s="37" t="s">
        <v>70</v>
      </c>
      <c r="E48" s="38">
        <v>1070000</v>
      </c>
      <c r="F48" s="39">
        <v>732.41499999999996</v>
      </c>
      <c r="G48" s="40">
        <v>4.5225048975461226E-3</v>
      </c>
      <c r="H48" s="101"/>
    </row>
    <row r="49" spans="1:8" x14ac:dyDescent="0.2">
      <c r="A49" s="36">
        <v>43</v>
      </c>
      <c r="B49" s="37" t="s">
        <v>92</v>
      </c>
      <c r="C49" s="37" t="s">
        <v>93</v>
      </c>
      <c r="D49" s="37" t="s">
        <v>53</v>
      </c>
      <c r="E49" s="38">
        <v>839014</v>
      </c>
      <c r="F49" s="39">
        <v>721.97154699999999</v>
      </c>
      <c r="G49" s="40">
        <v>4.4580188242955843E-3</v>
      </c>
      <c r="H49" s="101"/>
    </row>
    <row r="50" spans="1:8" x14ac:dyDescent="0.2">
      <c r="A50" s="36">
        <v>44</v>
      </c>
      <c r="B50" s="37" t="s">
        <v>39</v>
      </c>
      <c r="C50" s="37" t="s">
        <v>40</v>
      </c>
      <c r="D50" s="37" t="s">
        <v>16</v>
      </c>
      <c r="E50" s="38">
        <v>184400</v>
      </c>
      <c r="F50" s="39">
        <v>710.76980000000003</v>
      </c>
      <c r="G50" s="40">
        <v>4.3888504488956096E-3</v>
      </c>
      <c r="H50" s="101"/>
    </row>
    <row r="51" spans="1:8" ht="25.5" x14ac:dyDescent="0.2">
      <c r="A51" s="36">
        <v>45</v>
      </c>
      <c r="B51" s="37" t="s">
        <v>395</v>
      </c>
      <c r="C51" s="37" t="s">
        <v>396</v>
      </c>
      <c r="D51" s="37" t="s">
        <v>202</v>
      </c>
      <c r="E51" s="38">
        <v>90645</v>
      </c>
      <c r="F51" s="39">
        <v>673.90025250000008</v>
      </c>
      <c r="G51" s="40">
        <v>4.1611889330349858E-3</v>
      </c>
      <c r="H51" s="101"/>
    </row>
    <row r="52" spans="1:8" x14ac:dyDescent="0.2">
      <c r="A52" s="36">
        <v>46</v>
      </c>
      <c r="B52" s="6" t="s">
        <v>488</v>
      </c>
      <c r="C52" s="6" t="s">
        <v>489</v>
      </c>
      <c r="D52" s="6" t="s">
        <v>78</v>
      </c>
      <c r="E52" s="7">
        <v>8444</v>
      </c>
      <c r="F52" s="8">
        <v>627.08943799999997</v>
      </c>
      <c r="G52" s="9">
        <v>3.8721422343267757E-3</v>
      </c>
      <c r="H52" s="101"/>
    </row>
    <row r="53" spans="1:8" x14ac:dyDescent="0.2">
      <c r="A53" s="36">
        <v>47</v>
      </c>
      <c r="B53" s="37" t="s">
        <v>350</v>
      </c>
      <c r="C53" s="37" t="s">
        <v>351</v>
      </c>
      <c r="D53" s="37" t="s">
        <v>25</v>
      </c>
      <c r="E53" s="38">
        <v>752691</v>
      </c>
      <c r="F53" s="39">
        <v>616.83027449999997</v>
      </c>
      <c r="G53" s="40">
        <v>3.8087941090515199E-3</v>
      </c>
      <c r="H53" s="101"/>
    </row>
    <row r="54" spans="1:8" x14ac:dyDescent="0.2">
      <c r="A54" s="36">
        <v>48</v>
      </c>
      <c r="B54" s="37" t="s">
        <v>432</v>
      </c>
      <c r="C54" s="37" t="s">
        <v>433</v>
      </c>
      <c r="D54" s="37" t="s">
        <v>78</v>
      </c>
      <c r="E54" s="38">
        <v>68000</v>
      </c>
      <c r="F54" s="39">
        <v>569.26199999999994</v>
      </c>
      <c r="G54" s="40">
        <v>3.5150702579642697E-3</v>
      </c>
      <c r="H54" s="101"/>
    </row>
    <row r="55" spans="1:8" ht="25.5" x14ac:dyDescent="0.2">
      <c r="A55" s="36">
        <v>49</v>
      </c>
      <c r="B55" s="37" t="s">
        <v>334</v>
      </c>
      <c r="C55" s="37" t="s">
        <v>335</v>
      </c>
      <c r="D55" s="37" t="s">
        <v>70</v>
      </c>
      <c r="E55" s="38">
        <v>130000</v>
      </c>
      <c r="F55" s="39">
        <v>568.68499999999995</v>
      </c>
      <c r="G55" s="40">
        <v>3.5115074072227036E-3</v>
      </c>
      <c r="H55" s="101"/>
    </row>
    <row r="56" spans="1:8" x14ac:dyDescent="0.2">
      <c r="A56" s="36">
        <v>50</v>
      </c>
      <c r="B56" s="37" t="s">
        <v>313</v>
      </c>
      <c r="C56" s="37" t="s">
        <v>314</v>
      </c>
      <c r="D56" s="37" t="s">
        <v>147</v>
      </c>
      <c r="E56" s="38">
        <v>10000</v>
      </c>
      <c r="F56" s="39">
        <v>559.89499999999998</v>
      </c>
      <c r="G56" s="40">
        <v>3.4572310501718101E-3</v>
      </c>
      <c r="H56" s="101"/>
    </row>
    <row r="57" spans="1:8" x14ac:dyDescent="0.2">
      <c r="A57" s="36">
        <v>51</v>
      </c>
      <c r="B57" s="37" t="s">
        <v>309</v>
      </c>
      <c r="C57" s="37" t="s">
        <v>310</v>
      </c>
      <c r="D57" s="37" t="s">
        <v>70</v>
      </c>
      <c r="E57" s="38">
        <v>45000</v>
      </c>
      <c r="F57" s="39">
        <v>548.61749999999995</v>
      </c>
      <c r="G57" s="40">
        <v>3.3875949163104384E-3</v>
      </c>
      <c r="H57" s="101"/>
    </row>
    <row r="58" spans="1:8" x14ac:dyDescent="0.2">
      <c r="A58" s="36">
        <v>52</v>
      </c>
      <c r="B58" s="37" t="s">
        <v>172</v>
      </c>
      <c r="C58" s="37" t="s">
        <v>173</v>
      </c>
      <c r="D58" s="37" t="s">
        <v>174</v>
      </c>
      <c r="E58" s="38">
        <v>225000</v>
      </c>
      <c r="F58" s="39">
        <v>537.86249999999995</v>
      </c>
      <c r="G58" s="40">
        <v>3.3211851074273482E-3</v>
      </c>
      <c r="H58" s="101"/>
    </row>
    <row r="59" spans="1:8" x14ac:dyDescent="0.2">
      <c r="A59" s="36">
        <v>53</v>
      </c>
      <c r="B59" s="6" t="s">
        <v>344</v>
      </c>
      <c r="C59" s="6" t="s">
        <v>345</v>
      </c>
      <c r="D59" s="6" t="s">
        <v>81</v>
      </c>
      <c r="E59" s="7">
        <v>42000</v>
      </c>
      <c r="F59" s="8">
        <v>511.14</v>
      </c>
      <c r="G59" s="9">
        <v>3.1561794246864482E-3</v>
      </c>
      <c r="H59" s="101"/>
    </row>
    <row r="60" spans="1:8" x14ac:dyDescent="0.2">
      <c r="A60" s="36">
        <v>54</v>
      </c>
      <c r="B60" s="37" t="s">
        <v>421</v>
      </c>
      <c r="C60" s="37" t="s">
        <v>422</v>
      </c>
      <c r="D60" s="37" t="s">
        <v>147</v>
      </c>
      <c r="E60" s="38">
        <v>70583</v>
      </c>
      <c r="F60" s="39">
        <v>504.91549049999998</v>
      </c>
      <c r="G60" s="40">
        <v>3.1177444189880773E-3</v>
      </c>
      <c r="H60" s="101"/>
    </row>
    <row r="61" spans="1:8" ht="25.5" x14ac:dyDescent="0.2">
      <c r="A61" s="36">
        <v>55</v>
      </c>
      <c r="B61" s="37" t="s">
        <v>143</v>
      </c>
      <c r="C61" s="37" t="s">
        <v>144</v>
      </c>
      <c r="D61" s="37" t="s">
        <v>45</v>
      </c>
      <c r="E61" s="38">
        <v>250000</v>
      </c>
      <c r="F61" s="39">
        <v>486.375</v>
      </c>
      <c r="G61" s="40">
        <v>3.0032608828928892E-3</v>
      </c>
      <c r="H61" s="101"/>
    </row>
    <row r="62" spans="1:8" x14ac:dyDescent="0.2">
      <c r="A62" s="36">
        <v>56</v>
      </c>
      <c r="B62" s="37" t="s">
        <v>393</v>
      </c>
      <c r="C62" s="37" t="s">
        <v>394</v>
      </c>
      <c r="D62" s="37" t="s">
        <v>70</v>
      </c>
      <c r="E62" s="38">
        <v>96692</v>
      </c>
      <c r="F62" s="39">
        <v>443.04274400000003</v>
      </c>
      <c r="G62" s="40">
        <v>2.7356935338056607E-3</v>
      </c>
      <c r="H62" s="101"/>
    </row>
    <row r="63" spans="1:8" x14ac:dyDescent="0.2">
      <c r="A63" s="36">
        <v>57</v>
      </c>
      <c r="B63" s="37" t="s">
        <v>357</v>
      </c>
      <c r="C63" s="37" t="s">
        <v>358</v>
      </c>
      <c r="D63" s="37" t="s">
        <v>48</v>
      </c>
      <c r="E63" s="38">
        <v>70000</v>
      </c>
      <c r="F63" s="39">
        <v>430.185</v>
      </c>
      <c r="G63" s="40">
        <v>2.6562997335538986E-3</v>
      </c>
      <c r="H63" s="101"/>
    </row>
    <row r="64" spans="1:8" ht="25.5" x14ac:dyDescent="0.2">
      <c r="A64" s="36">
        <v>58</v>
      </c>
      <c r="B64" s="6" t="s">
        <v>61</v>
      </c>
      <c r="C64" s="6" t="s">
        <v>62</v>
      </c>
      <c r="D64" s="6" t="s">
        <v>48</v>
      </c>
      <c r="E64" s="7">
        <v>58750</v>
      </c>
      <c r="F64" s="8">
        <v>429.05124999999998</v>
      </c>
      <c r="G64" s="9">
        <v>2.649299071459877E-3</v>
      </c>
      <c r="H64" s="101"/>
    </row>
    <row r="65" spans="1:8" x14ac:dyDescent="0.2">
      <c r="A65" s="36">
        <v>59</v>
      </c>
      <c r="B65" s="37" t="s">
        <v>32</v>
      </c>
      <c r="C65" s="37" t="s">
        <v>33</v>
      </c>
      <c r="D65" s="37" t="s">
        <v>34</v>
      </c>
      <c r="E65" s="38">
        <v>192311</v>
      </c>
      <c r="F65" s="39">
        <v>424.91115450000001</v>
      </c>
      <c r="G65" s="40">
        <v>2.6237348733275903E-3</v>
      </c>
      <c r="H65" s="101"/>
    </row>
    <row r="66" spans="1:8" x14ac:dyDescent="0.2">
      <c r="A66" s="36">
        <v>60</v>
      </c>
      <c r="B66" s="6" t="s">
        <v>332</v>
      </c>
      <c r="C66" s="6" t="s">
        <v>333</v>
      </c>
      <c r="D66" s="6" t="s">
        <v>60</v>
      </c>
      <c r="E66" s="7">
        <v>110000</v>
      </c>
      <c r="F66" s="8">
        <v>414.97500000000002</v>
      </c>
      <c r="G66" s="9">
        <v>2.5623812590665159E-3</v>
      </c>
      <c r="H66" s="101"/>
    </row>
    <row r="67" spans="1:8" x14ac:dyDescent="0.2">
      <c r="A67" s="36">
        <v>61</v>
      </c>
      <c r="B67" s="6" t="s">
        <v>776</v>
      </c>
      <c r="C67" s="6" t="s">
        <v>777</v>
      </c>
      <c r="D67" s="6" t="s">
        <v>78</v>
      </c>
      <c r="E67" s="7">
        <v>12500</v>
      </c>
      <c r="F67" s="8">
        <v>406.15625</v>
      </c>
      <c r="G67" s="9">
        <v>2.5079273769570082E-3</v>
      </c>
      <c r="H67" s="101"/>
    </row>
    <row r="68" spans="1:8" ht="25.5" x14ac:dyDescent="0.2">
      <c r="A68" s="36">
        <v>62</v>
      </c>
      <c r="B68" s="37" t="s">
        <v>26</v>
      </c>
      <c r="C68" s="37" t="s">
        <v>27</v>
      </c>
      <c r="D68" s="37" t="s">
        <v>1185</v>
      </c>
      <c r="E68" s="38">
        <v>40000</v>
      </c>
      <c r="F68" s="39">
        <v>401.64</v>
      </c>
      <c r="G68" s="40">
        <v>2.4800405057930608E-3</v>
      </c>
      <c r="H68" s="101"/>
    </row>
    <row r="69" spans="1:8" x14ac:dyDescent="0.2">
      <c r="A69" s="36">
        <v>63</v>
      </c>
      <c r="B69" s="6" t="s">
        <v>338</v>
      </c>
      <c r="C69" s="6" t="s">
        <v>339</v>
      </c>
      <c r="D69" s="6" t="s">
        <v>193</v>
      </c>
      <c r="E69" s="7">
        <v>17947</v>
      </c>
      <c r="F69" s="8">
        <v>388.87559599999997</v>
      </c>
      <c r="G69" s="9">
        <v>2.4012230599402898E-3</v>
      </c>
      <c r="H69" s="101"/>
    </row>
    <row r="70" spans="1:8" x14ac:dyDescent="0.2">
      <c r="A70" s="36">
        <v>64</v>
      </c>
      <c r="B70" s="37" t="s">
        <v>470</v>
      </c>
      <c r="C70" s="37" t="s">
        <v>471</v>
      </c>
      <c r="D70" s="37" t="s">
        <v>327</v>
      </c>
      <c r="E70" s="38">
        <v>8137</v>
      </c>
      <c r="F70" s="39">
        <v>380.11588649999999</v>
      </c>
      <c r="G70" s="40">
        <v>2.3471337402037589E-3</v>
      </c>
      <c r="H70" s="101"/>
    </row>
    <row r="71" spans="1:8" x14ac:dyDescent="0.2">
      <c r="A71" s="36">
        <v>65</v>
      </c>
      <c r="B71" s="37" t="s">
        <v>829</v>
      </c>
      <c r="C71" s="37" t="s">
        <v>830</v>
      </c>
      <c r="D71" s="37" t="s">
        <v>193</v>
      </c>
      <c r="E71" s="38">
        <v>39950</v>
      </c>
      <c r="F71" s="39">
        <v>379.82462500000003</v>
      </c>
      <c r="G71" s="40">
        <v>2.345335263165172E-3</v>
      </c>
      <c r="H71" s="101"/>
    </row>
    <row r="72" spans="1:8" x14ac:dyDescent="0.2">
      <c r="A72" s="36">
        <v>66</v>
      </c>
      <c r="B72" s="37" t="s">
        <v>843</v>
      </c>
      <c r="C72" s="37" t="s">
        <v>844</v>
      </c>
      <c r="D72" s="37" t="s">
        <v>25</v>
      </c>
      <c r="E72" s="38">
        <v>992000</v>
      </c>
      <c r="F72" s="39">
        <v>370.01600000000002</v>
      </c>
      <c r="G72" s="40">
        <v>2.2847691161027917E-3</v>
      </c>
      <c r="H72" s="101"/>
    </row>
    <row r="73" spans="1:8" x14ac:dyDescent="0.2">
      <c r="A73" s="36">
        <v>67</v>
      </c>
      <c r="B73" s="6" t="s">
        <v>359</v>
      </c>
      <c r="C73" s="6" t="s">
        <v>360</v>
      </c>
      <c r="D73" s="37" t="s">
        <v>70</v>
      </c>
      <c r="E73" s="7">
        <v>6379</v>
      </c>
      <c r="F73" s="8">
        <v>351.45419450000003</v>
      </c>
      <c r="G73" s="9">
        <v>2.1701539644728434E-3</v>
      </c>
      <c r="H73" s="101"/>
    </row>
    <row r="74" spans="1:8" ht="25.5" x14ac:dyDescent="0.2">
      <c r="A74" s="36">
        <v>68</v>
      </c>
      <c r="B74" s="37" t="s">
        <v>484</v>
      </c>
      <c r="C74" s="37" t="s">
        <v>485</v>
      </c>
      <c r="D74" s="37" t="s">
        <v>1185</v>
      </c>
      <c r="E74" s="38">
        <v>1277</v>
      </c>
      <c r="F74" s="39">
        <v>344.62973649999998</v>
      </c>
      <c r="G74" s="40">
        <v>2.1280144059874248E-3</v>
      </c>
      <c r="H74" s="101"/>
    </row>
    <row r="75" spans="1:8" ht="25.5" x14ac:dyDescent="0.2">
      <c r="A75" s="36">
        <v>69</v>
      </c>
      <c r="B75" s="37" t="s">
        <v>472</v>
      </c>
      <c r="C75" s="37" t="s">
        <v>473</v>
      </c>
      <c r="D75" s="37" t="s">
        <v>45</v>
      </c>
      <c r="E75" s="38">
        <v>20670</v>
      </c>
      <c r="F75" s="39">
        <v>339.62876999999997</v>
      </c>
      <c r="G75" s="40">
        <v>2.0971345148209221E-3</v>
      </c>
      <c r="H75" s="101"/>
    </row>
    <row r="76" spans="1:8" x14ac:dyDescent="0.2">
      <c r="A76" s="36">
        <v>70</v>
      </c>
      <c r="B76" s="37" t="s">
        <v>462</v>
      </c>
      <c r="C76" s="37" t="s">
        <v>463</v>
      </c>
      <c r="D76" s="37" t="s">
        <v>81</v>
      </c>
      <c r="E76" s="38">
        <v>4864</v>
      </c>
      <c r="F76" s="39">
        <v>339.37587200000002</v>
      </c>
      <c r="G76" s="40">
        <v>2.0955729241331567E-3</v>
      </c>
      <c r="H76" s="101"/>
    </row>
    <row r="77" spans="1:8" ht="25.5" x14ac:dyDescent="0.2">
      <c r="A77" s="36">
        <v>71</v>
      </c>
      <c r="B77" s="37" t="s">
        <v>841</v>
      </c>
      <c r="C77" s="37" t="s">
        <v>842</v>
      </c>
      <c r="D77" s="37" t="s">
        <v>1185</v>
      </c>
      <c r="E77" s="38">
        <v>20900</v>
      </c>
      <c r="F77" s="39">
        <v>339.05025000000001</v>
      </c>
      <c r="G77" s="40">
        <v>2.093562278406692E-3</v>
      </c>
      <c r="H77" s="101"/>
    </row>
    <row r="78" spans="1:8" ht="25.5" x14ac:dyDescent="0.2">
      <c r="A78" s="36">
        <v>72</v>
      </c>
      <c r="B78" s="6" t="s">
        <v>207</v>
      </c>
      <c r="C78" s="6" t="s">
        <v>208</v>
      </c>
      <c r="D78" s="6" t="s">
        <v>45</v>
      </c>
      <c r="E78" s="7">
        <v>151829</v>
      </c>
      <c r="F78" s="8">
        <v>337.51586700000001</v>
      </c>
      <c r="G78" s="9">
        <v>2.0840877938150173E-3</v>
      </c>
      <c r="H78" s="101"/>
    </row>
    <row r="79" spans="1:8" x14ac:dyDescent="0.2">
      <c r="A79" s="36">
        <v>73</v>
      </c>
      <c r="B79" s="37" t="s">
        <v>76</v>
      </c>
      <c r="C79" s="37" t="s">
        <v>77</v>
      </c>
      <c r="D79" s="37" t="s">
        <v>78</v>
      </c>
      <c r="E79" s="38">
        <v>250146</v>
      </c>
      <c r="F79" s="39">
        <v>306.30377700000003</v>
      </c>
      <c r="G79" s="40">
        <v>1.89135985966887E-3</v>
      </c>
      <c r="H79" s="101"/>
    </row>
    <row r="80" spans="1:8" x14ac:dyDescent="0.2">
      <c r="A80" s="36">
        <v>74</v>
      </c>
      <c r="B80" s="37" t="s">
        <v>1022</v>
      </c>
      <c r="C80" s="37" t="s">
        <v>1023</v>
      </c>
      <c r="D80" s="37" t="s">
        <v>185</v>
      </c>
      <c r="E80" s="38">
        <v>26000</v>
      </c>
      <c r="F80" s="39">
        <v>232.49199999999999</v>
      </c>
      <c r="G80" s="40">
        <v>1.4355880322498762E-3</v>
      </c>
      <c r="H80" s="101"/>
    </row>
    <row r="81" spans="1:15" x14ac:dyDescent="0.2">
      <c r="A81" s="36">
        <v>75</v>
      </c>
      <c r="B81" s="37" t="s">
        <v>448</v>
      </c>
      <c r="C81" s="37" t="s">
        <v>449</v>
      </c>
      <c r="D81" s="37" t="s">
        <v>70</v>
      </c>
      <c r="E81" s="38">
        <v>8625</v>
      </c>
      <c r="F81" s="39">
        <v>217.55699999999999</v>
      </c>
      <c r="G81" s="40">
        <v>1.3433676235405361E-3</v>
      </c>
      <c r="H81" s="101"/>
    </row>
    <row r="82" spans="1:15" s="32" customFormat="1" x14ac:dyDescent="0.2">
      <c r="A82" s="36">
        <v>76</v>
      </c>
      <c r="B82" s="37" t="s">
        <v>367</v>
      </c>
      <c r="C82" s="37" t="s">
        <v>368</v>
      </c>
      <c r="D82" s="37" t="s">
        <v>147</v>
      </c>
      <c r="E82" s="38">
        <v>6074</v>
      </c>
      <c r="F82" s="39">
        <v>206.31555800000001</v>
      </c>
      <c r="G82" s="74">
        <v>1.2739541400639816E-3</v>
      </c>
      <c r="H82" s="101"/>
      <c r="I82" s="69"/>
      <c r="J82" s="69"/>
      <c r="K82" s="69"/>
      <c r="L82" s="69"/>
      <c r="M82" s="69"/>
      <c r="N82" s="69"/>
      <c r="O82" s="69"/>
    </row>
    <row r="83" spans="1:15" s="32" customFormat="1" x14ac:dyDescent="0.2">
      <c r="A83" s="36">
        <v>77</v>
      </c>
      <c r="B83" s="6" t="s">
        <v>474</v>
      </c>
      <c r="C83" s="6" t="s">
        <v>475</v>
      </c>
      <c r="D83" s="6" t="s">
        <v>25</v>
      </c>
      <c r="E83" s="7">
        <v>99206</v>
      </c>
      <c r="F83" s="8">
        <v>198.36239699999999</v>
      </c>
      <c r="G83" s="68">
        <v>1.2248450836226568E-3</v>
      </c>
      <c r="H83" s="101"/>
      <c r="I83" s="69"/>
      <c r="J83" s="69"/>
      <c r="K83" s="69"/>
      <c r="L83" s="69"/>
      <c r="M83" s="69"/>
      <c r="N83" s="69"/>
      <c r="O83" s="69"/>
    </row>
    <row r="84" spans="1:15" x14ac:dyDescent="0.2">
      <c r="A84" s="36">
        <v>78</v>
      </c>
      <c r="B84" s="6" t="s">
        <v>466</v>
      </c>
      <c r="C84" s="6" t="s">
        <v>467</v>
      </c>
      <c r="D84" s="6" t="s">
        <v>48</v>
      </c>
      <c r="E84" s="7">
        <v>7425</v>
      </c>
      <c r="F84" s="8">
        <v>164.33009999999999</v>
      </c>
      <c r="G84" s="9">
        <v>1.0147029785903402E-3</v>
      </c>
      <c r="H84" s="101"/>
    </row>
    <row r="85" spans="1:15" x14ac:dyDescent="0.2">
      <c r="A85" s="36">
        <v>79</v>
      </c>
      <c r="B85" s="37" t="s">
        <v>916</v>
      </c>
      <c r="C85" s="37" t="s">
        <v>917</v>
      </c>
      <c r="D85" s="37" t="s">
        <v>81</v>
      </c>
      <c r="E85" s="38">
        <v>120000</v>
      </c>
      <c r="F85" s="39">
        <v>160.56</v>
      </c>
      <c r="G85" s="40">
        <v>9.9142342299107116E-4</v>
      </c>
      <c r="H85" s="101"/>
    </row>
    <row r="86" spans="1:15" x14ac:dyDescent="0.2">
      <c r="A86" s="36">
        <v>80</v>
      </c>
      <c r="B86" s="37" t="s">
        <v>35</v>
      </c>
      <c r="C86" s="37" t="s">
        <v>36</v>
      </c>
      <c r="D86" s="37" t="s">
        <v>19</v>
      </c>
      <c r="E86" s="38">
        <v>6506</v>
      </c>
      <c r="F86" s="39">
        <v>160.47049000000001</v>
      </c>
      <c r="G86" s="40">
        <v>9.9087071801728E-4</v>
      </c>
      <c r="H86" s="101"/>
    </row>
    <row r="87" spans="1:15" x14ac:dyDescent="0.2">
      <c r="A87" s="36">
        <v>81</v>
      </c>
      <c r="B87" s="37" t="s">
        <v>401</v>
      </c>
      <c r="C87" s="37" t="s">
        <v>402</v>
      </c>
      <c r="D87" s="37" t="s">
        <v>19</v>
      </c>
      <c r="E87" s="38">
        <v>6522</v>
      </c>
      <c r="F87" s="39">
        <v>148.818996</v>
      </c>
      <c r="G87" s="40">
        <v>9.1892525174647817E-4</v>
      </c>
      <c r="H87" s="101"/>
    </row>
    <row r="88" spans="1:15" x14ac:dyDescent="0.2">
      <c r="A88" s="36">
        <v>82</v>
      </c>
      <c r="B88" s="6" t="s">
        <v>307</v>
      </c>
      <c r="C88" s="6" t="s">
        <v>308</v>
      </c>
      <c r="D88" s="37" t="s">
        <v>185</v>
      </c>
      <c r="E88" s="7">
        <v>6115</v>
      </c>
      <c r="F88" s="8">
        <v>147.989115</v>
      </c>
      <c r="G88" s="9">
        <v>9.1380091528848583E-4</v>
      </c>
      <c r="H88" s="101"/>
    </row>
    <row r="89" spans="1:15" x14ac:dyDescent="0.2">
      <c r="A89" s="36">
        <v>83</v>
      </c>
      <c r="B89" s="37" t="s">
        <v>866</v>
      </c>
      <c r="C89" s="37" t="s">
        <v>867</v>
      </c>
      <c r="D89" s="37" t="s">
        <v>78</v>
      </c>
      <c r="E89" s="38">
        <v>5600</v>
      </c>
      <c r="F89" s="39">
        <v>145.1464</v>
      </c>
      <c r="G89" s="40">
        <v>8.9624776234947193E-4</v>
      </c>
      <c r="H89" s="101"/>
    </row>
    <row r="90" spans="1:15" x14ac:dyDescent="0.2">
      <c r="A90" s="36">
        <v>84</v>
      </c>
      <c r="B90" s="37" t="s">
        <v>476</v>
      </c>
      <c r="C90" s="37" t="s">
        <v>477</v>
      </c>
      <c r="D90" s="37" t="s">
        <v>174</v>
      </c>
      <c r="E90" s="38">
        <v>48014</v>
      </c>
      <c r="F90" s="39">
        <v>142.745622</v>
      </c>
      <c r="G90" s="40">
        <v>8.8142347521318856E-4</v>
      </c>
      <c r="H90" s="101"/>
    </row>
    <row r="91" spans="1:15" x14ac:dyDescent="0.2">
      <c r="A91" s="36">
        <v>85</v>
      </c>
      <c r="B91" s="37" t="s">
        <v>884</v>
      </c>
      <c r="C91" s="37" t="s">
        <v>885</v>
      </c>
      <c r="D91" s="37" t="s">
        <v>1184</v>
      </c>
      <c r="E91" s="38">
        <v>5600</v>
      </c>
      <c r="F91" s="39">
        <v>136.98159999999999</v>
      </c>
      <c r="G91" s="40">
        <v>8.4583188066015018E-4</v>
      </c>
      <c r="H91" s="101"/>
    </row>
    <row r="92" spans="1:15" x14ac:dyDescent="0.2">
      <c r="A92" s="36">
        <v>86</v>
      </c>
      <c r="B92" s="6" t="s">
        <v>464</v>
      </c>
      <c r="C92" s="6" t="s">
        <v>465</v>
      </c>
      <c r="D92" s="6" t="s">
        <v>19</v>
      </c>
      <c r="E92" s="7">
        <v>16622</v>
      </c>
      <c r="F92" s="8">
        <v>133.93176500000001</v>
      </c>
      <c r="G92" s="9">
        <v>8.2699980632496115E-4</v>
      </c>
      <c r="H92" s="101"/>
    </row>
    <row r="93" spans="1:15" x14ac:dyDescent="0.2">
      <c r="A93" s="36">
        <v>87</v>
      </c>
      <c r="B93" s="37" t="s">
        <v>478</v>
      </c>
      <c r="C93" s="37" t="s">
        <v>479</v>
      </c>
      <c r="D93" s="37" t="s">
        <v>185</v>
      </c>
      <c r="E93" s="38">
        <v>1404</v>
      </c>
      <c r="F93" s="39">
        <v>126.908964</v>
      </c>
      <c r="G93" s="40">
        <v>7.8363552252821761E-4</v>
      </c>
      <c r="H93" s="101"/>
    </row>
    <row r="94" spans="1:15" x14ac:dyDescent="0.2">
      <c r="A94" s="36">
        <v>88</v>
      </c>
      <c r="B94" s="6" t="s">
        <v>486</v>
      </c>
      <c r="C94" s="6" t="s">
        <v>487</v>
      </c>
      <c r="D94" s="6" t="s">
        <v>73</v>
      </c>
      <c r="E94" s="7">
        <v>19434</v>
      </c>
      <c r="F94" s="8">
        <v>123.376749</v>
      </c>
      <c r="G94" s="9">
        <v>7.6182485557480212E-4</v>
      </c>
      <c r="H94" s="101"/>
    </row>
    <row r="95" spans="1:15" ht="25.5" x14ac:dyDescent="0.2">
      <c r="A95" s="36">
        <v>89</v>
      </c>
      <c r="B95" s="37" t="s">
        <v>442</v>
      </c>
      <c r="C95" s="6" t="s">
        <v>1157</v>
      </c>
      <c r="D95" s="91" t="s">
        <v>22</v>
      </c>
      <c r="E95" s="38">
        <v>32620</v>
      </c>
      <c r="F95" s="39">
        <v>115.03443</v>
      </c>
      <c r="G95" s="40">
        <v>7.1031283228965359E-4</v>
      </c>
      <c r="H95" s="101"/>
    </row>
    <row r="96" spans="1:15" x14ac:dyDescent="0.2">
      <c r="A96" s="36">
        <v>90</v>
      </c>
      <c r="B96" s="6" t="s">
        <v>383</v>
      </c>
      <c r="C96" s="6" t="s">
        <v>384</v>
      </c>
      <c r="D96" s="6" t="s">
        <v>53</v>
      </c>
      <c r="E96" s="7">
        <v>6080</v>
      </c>
      <c r="F96" s="8">
        <v>113.80544</v>
      </c>
      <c r="G96" s="9">
        <v>7.0272408370581079E-4</v>
      </c>
      <c r="H96" s="101"/>
    </row>
    <row r="97" spans="1:8" x14ac:dyDescent="0.2">
      <c r="A97" s="36">
        <v>91</v>
      </c>
      <c r="B97" s="6" t="s">
        <v>323</v>
      </c>
      <c r="C97" s="6" t="s">
        <v>324</v>
      </c>
      <c r="D97" s="37" t="s">
        <v>1187</v>
      </c>
      <c r="E97" s="7">
        <v>2993</v>
      </c>
      <c r="F97" s="8">
        <v>107.481623</v>
      </c>
      <c r="G97" s="9">
        <v>6.636758755810653E-4</v>
      </c>
      <c r="H97" s="101"/>
    </row>
    <row r="98" spans="1:8" x14ac:dyDescent="0.2">
      <c r="A98" s="36">
        <v>92</v>
      </c>
      <c r="B98" s="6" t="s">
        <v>490</v>
      </c>
      <c r="C98" s="6" t="s">
        <v>491</v>
      </c>
      <c r="D98" s="6" t="s">
        <v>25</v>
      </c>
      <c r="E98" s="7">
        <v>74880</v>
      </c>
      <c r="F98" s="8">
        <v>104.53248000000001</v>
      </c>
      <c r="G98" s="9">
        <v>6.45465552661595E-4</v>
      </c>
      <c r="H98" s="101"/>
    </row>
    <row r="99" spans="1:8" x14ac:dyDescent="0.2">
      <c r="A99" s="36">
        <v>93</v>
      </c>
      <c r="B99" s="6" t="s">
        <v>742</v>
      </c>
      <c r="C99" s="6" t="s">
        <v>743</v>
      </c>
      <c r="D99" s="6" t="s">
        <v>185</v>
      </c>
      <c r="E99" s="7">
        <v>2771</v>
      </c>
      <c r="F99" s="8">
        <v>102.91216900000001</v>
      </c>
      <c r="G99" s="9">
        <v>6.3546048117473603E-4</v>
      </c>
      <c r="H99" s="101"/>
    </row>
    <row r="100" spans="1:8" x14ac:dyDescent="0.2">
      <c r="A100" s="36">
        <v>94</v>
      </c>
      <c r="B100" s="37" t="s">
        <v>86</v>
      </c>
      <c r="C100" s="37" t="s">
        <v>87</v>
      </c>
      <c r="D100" s="37" t="s">
        <v>73</v>
      </c>
      <c r="E100" s="38">
        <v>34620</v>
      </c>
      <c r="F100" s="39">
        <v>102.18093</v>
      </c>
      <c r="G100" s="40">
        <v>6.3094523782393529E-4</v>
      </c>
      <c r="H100" s="101"/>
    </row>
    <row r="101" spans="1:8" x14ac:dyDescent="0.2">
      <c r="A101" s="36">
        <v>95</v>
      </c>
      <c r="B101" s="6" t="s">
        <v>454</v>
      </c>
      <c r="C101" s="6" t="s">
        <v>455</v>
      </c>
      <c r="D101" s="6" t="s">
        <v>238</v>
      </c>
      <c r="E101" s="7">
        <v>45513</v>
      </c>
      <c r="F101" s="8">
        <v>101.630529</v>
      </c>
      <c r="G101" s="9">
        <v>6.2754663017920611E-4</v>
      </c>
      <c r="H101" s="101"/>
    </row>
    <row r="102" spans="1:8" ht="25.5" x14ac:dyDescent="0.2">
      <c r="A102" s="36">
        <v>96</v>
      </c>
      <c r="B102" s="37" t="s">
        <v>839</v>
      </c>
      <c r="C102" s="37" t="s">
        <v>840</v>
      </c>
      <c r="D102" s="37" t="s">
        <v>202</v>
      </c>
      <c r="E102" s="38">
        <v>3000</v>
      </c>
      <c r="F102" s="39">
        <v>101.4885</v>
      </c>
      <c r="G102" s="40">
        <v>6.2666963169051657E-4</v>
      </c>
      <c r="H102" s="101"/>
    </row>
    <row r="103" spans="1:8" x14ac:dyDescent="0.2">
      <c r="A103" s="36">
        <v>97</v>
      </c>
      <c r="B103" s="37" t="s">
        <v>520</v>
      </c>
      <c r="C103" s="37" t="s">
        <v>521</v>
      </c>
      <c r="D103" s="37" t="s">
        <v>193</v>
      </c>
      <c r="E103" s="38">
        <v>13500</v>
      </c>
      <c r="F103" s="39">
        <v>99.137249999999995</v>
      </c>
      <c r="G103" s="40">
        <v>6.1215116928825097E-4</v>
      </c>
      <c r="H103" s="101"/>
    </row>
    <row r="104" spans="1:8" x14ac:dyDescent="0.2">
      <c r="A104" s="36">
        <v>98</v>
      </c>
      <c r="B104" s="37" t="s">
        <v>480</v>
      </c>
      <c r="C104" s="37" t="s">
        <v>481</v>
      </c>
      <c r="D104" s="37" t="s">
        <v>70</v>
      </c>
      <c r="E104" s="38">
        <v>7492</v>
      </c>
      <c r="F104" s="39">
        <v>98.399928000000003</v>
      </c>
      <c r="G104" s="40">
        <v>6.0759836472243996E-4</v>
      </c>
      <c r="H104" s="101"/>
    </row>
    <row r="105" spans="1:8" x14ac:dyDescent="0.2">
      <c r="A105" s="36">
        <v>99</v>
      </c>
      <c r="B105" s="6" t="s">
        <v>330</v>
      </c>
      <c r="C105" s="6" t="s">
        <v>331</v>
      </c>
      <c r="D105" s="6" t="s">
        <v>193</v>
      </c>
      <c r="E105" s="7">
        <v>10821</v>
      </c>
      <c r="F105" s="8">
        <v>97.892176500000005</v>
      </c>
      <c r="G105" s="9">
        <v>6.0446310855553128E-4</v>
      </c>
      <c r="H105" s="101"/>
    </row>
    <row r="106" spans="1:8" x14ac:dyDescent="0.2">
      <c r="A106" s="36">
        <v>100</v>
      </c>
      <c r="B106" s="37" t="s">
        <v>375</v>
      </c>
      <c r="C106" s="37" t="s">
        <v>376</v>
      </c>
      <c r="D106" s="37" t="s">
        <v>238</v>
      </c>
      <c r="E106" s="38">
        <v>7481</v>
      </c>
      <c r="F106" s="39">
        <v>91.631028499999999</v>
      </c>
      <c r="G106" s="40">
        <v>5.6580186800985551E-4</v>
      </c>
      <c r="H106" s="101"/>
    </row>
    <row r="107" spans="1:8" x14ac:dyDescent="0.2">
      <c r="A107" s="36">
        <v>101</v>
      </c>
      <c r="B107" s="6" t="s">
        <v>209</v>
      </c>
      <c r="C107" s="6" t="s">
        <v>210</v>
      </c>
      <c r="D107" s="37" t="s">
        <v>193</v>
      </c>
      <c r="E107" s="7">
        <v>16829</v>
      </c>
      <c r="F107" s="8">
        <v>90.691480999999996</v>
      </c>
      <c r="G107" s="9">
        <v>5.6000036453132597E-4</v>
      </c>
      <c r="H107" s="101"/>
    </row>
    <row r="108" spans="1:8" x14ac:dyDescent="0.2">
      <c r="A108" s="36">
        <v>102</v>
      </c>
      <c r="B108" s="6" t="s">
        <v>849</v>
      </c>
      <c r="C108" s="6" t="s">
        <v>850</v>
      </c>
      <c r="D108" s="6" t="s">
        <v>851</v>
      </c>
      <c r="E108" s="7">
        <v>67000</v>
      </c>
      <c r="F108" s="8">
        <v>89.311000000000007</v>
      </c>
      <c r="G108" s="9">
        <v>5.5147619164645973E-4</v>
      </c>
      <c r="H108" s="101"/>
    </row>
    <row r="109" spans="1:8" x14ac:dyDescent="0.2">
      <c r="A109" s="36">
        <v>103</v>
      </c>
      <c r="B109" s="6" t="s">
        <v>494</v>
      </c>
      <c r="C109" s="6" t="s">
        <v>495</v>
      </c>
      <c r="D109" s="6" t="s">
        <v>81</v>
      </c>
      <c r="E109" s="7">
        <v>109100</v>
      </c>
      <c r="F109" s="8">
        <v>84.770700000000005</v>
      </c>
      <c r="G109" s="9">
        <v>5.2344081691174139E-4</v>
      </c>
      <c r="H109" s="101"/>
    </row>
    <row r="110" spans="1:8" x14ac:dyDescent="0.2">
      <c r="A110" s="36">
        <v>104</v>
      </c>
      <c r="B110" s="6" t="s">
        <v>482</v>
      </c>
      <c r="C110" s="6" t="s">
        <v>483</v>
      </c>
      <c r="D110" s="6" t="s">
        <v>19</v>
      </c>
      <c r="E110" s="7">
        <v>2055</v>
      </c>
      <c r="F110" s="8">
        <v>76.883714999999995</v>
      </c>
      <c r="G110" s="9">
        <v>4.7474038301924493E-4</v>
      </c>
      <c r="H110" s="101"/>
    </row>
    <row r="111" spans="1:8" x14ac:dyDescent="0.2">
      <c r="A111" s="36">
        <v>105</v>
      </c>
      <c r="B111" s="37" t="s">
        <v>71</v>
      </c>
      <c r="C111" s="37" t="s">
        <v>72</v>
      </c>
      <c r="D111" s="37" t="s">
        <v>73</v>
      </c>
      <c r="E111" s="38">
        <v>54900</v>
      </c>
      <c r="F111" s="39">
        <v>70.930800000000005</v>
      </c>
      <c r="G111" s="40">
        <v>4.3798241486979993E-4</v>
      </c>
      <c r="H111" s="101"/>
    </row>
    <row r="112" spans="1:8" x14ac:dyDescent="0.2">
      <c r="A112" s="36">
        <v>106</v>
      </c>
      <c r="B112" s="37" t="s">
        <v>405</v>
      </c>
      <c r="C112" s="37" t="s">
        <v>406</v>
      </c>
      <c r="D112" s="37" t="s">
        <v>70</v>
      </c>
      <c r="E112" s="38">
        <v>5385</v>
      </c>
      <c r="F112" s="39">
        <v>69.463807500000001</v>
      </c>
      <c r="G112" s="40">
        <v>4.2892405210290762E-4</v>
      </c>
      <c r="H112" s="101"/>
    </row>
    <row r="113" spans="1:8" x14ac:dyDescent="0.2">
      <c r="A113" s="36">
        <v>107</v>
      </c>
      <c r="B113" s="37" t="s">
        <v>183</v>
      </c>
      <c r="C113" s="37" t="s">
        <v>184</v>
      </c>
      <c r="D113" s="37" t="s">
        <v>185</v>
      </c>
      <c r="E113" s="38">
        <v>5101</v>
      </c>
      <c r="F113" s="39">
        <v>65.468784499999998</v>
      </c>
      <c r="G113" s="40">
        <v>4.0425564541638506E-4</v>
      </c>
      <c r="H113" s="101"/>
    </row>
    <row r="114" spans="1:8" x14ac:dyDescent="0.2">
      <c r="A114" s="36">
        <v>108</v>
      </c>
      <c r="B114" s="37" t="s">
        <v>82</v>
      </c>
      <c r="C114" s="37" t="s">
        <v>83</v>
      </c>
      <c r="D114" s="37" t="s">
        <v>73</v>
      </c>
      <c r="E114" s="38">
        <v>10161</v>
      </c>
      <c r="F114" s="39">
        <v>47.797344000000002</v>
      </c>
      <c r="G114" s="40">
        <v>2.9513830591904424E-4</v>
      </c>
      <c r="H114" s="101"/>
    </row>
    <row r="115" spans="1:8" x14ac:dyDescent="0.2">
      <c r="A115" s="36">
        <v>109</v>
      </c>
      <c r="B115" s="6" t="s">
        <v>496</v>
      </c>
      <c r="C115" s="6" t="s">
        <v>497</v>
      </c>
      <c r="D115" s="6" t="s">
        <v>238</v>
      </c>
      <c r="E115" s="7">
        <v>1996</v>
      </c>
      <c r="F115" s="8">
        <v>46.375064000000002</v>
      </c>
      <c r="G115" s="9">
        <v>2.8635603321070007E-4</v>
      </c>
      <c r="H115" s="101"/>
    </row>
    <row r="116" spans="1:8" x14ac:dyDescent="0.2">
      <c r="A116" s="36">
        <v>110</v>
      </c>
      <c r="B116" s="6" t="s">
        <v>874</v>
      </c>
      <c r="C116" s="6" t="s">
        <v>875</v>
      </c>
      <c r="D116" s="6" t="s">
        <v>851</v>
      </c>
      <c r="E116" s="7">
        <v>25200</v>
      </c>
      <c r="F116" s="8">
        <v>36.804600000000001</v>
      </c>
      <c r="G116" s="9">
        <v>2.272604790347358E-4</v>
      </c>
      <c r="H116" s="101"/>
    </row>
    <row r="117" spans="1:8" x14ac:dyDescent="0.2">
      <c r="A117" s="36">
        <v>111</v>
      </c>
      <c r="B117" s="6" t="s">
        <v>546</v>
      </c>
      <c r="C117" s="6" t="s">
        <v>547</v>
      </c>
      <c r="D117" s="6" t="s">
        <v>238</v>
      </c>
      <c r="E117" s="7">
        <v>3020</v>
      </c>
      <c r="F117" s="8">
        <v>36.70055</v>
      </c>
      <c r="G117" s="9">
        <v>2.266179926921709E-4</v>
      </c>
      <c r="H117" s="101"/>
    </row>
    <row r="118" spans="1:8" x14ac:dyDescent="0.2">
      <c r="A118" s="36">
        <v>112</v>
      </c>
      <c r="B118" s="6" t="s">
        <v>354</v>
      </c>
      <c r="C118" s="6" t="s">
        <v>355</v>
      </c>
      <c r="D118" s="6" t="s">
        <v>356</v>
      </c>
      <c r="E118" s="7">
        <v>686</v>
      </c>
      <c r="F118" s="8">
        <v>20.814612</v>
      </c>
      <c r="G118" s="9">
        <v>1.2852574661977471E-4</v>
      </c>
      <c r="H118" s="101"/>
    </row>
    <row r="119" spans="1:8" x14ac:dyDescent="0.2">
      <c r="A119" s="36">
        <v>113</v>
      </c>
      <c r="B119" s="37" t="s">
        <v>744</v>
      </c>
      <c r="C119" s="37" t="s">
        <v>745</v>
      </c>
      <c r="D119" s="37" t="s">
        <v>185</v>
      </c>
      <c r="E119" s="38">
        <v>456</v>
      </c>
      <c r="F119" s="39">
        <v>11.369676</v>
      </c>
      <c r="G119" s="40">
        <v>7.0205300811032831E-5</v>
      </c>
      <c r="H119" s="101"/>
    </row>
    <row r="120" spans="1:8" x14ac:dyDescent="0.2">
      <c r="A120" s="36">
        <v>114</v>
      </c>
      <c r="B120" s="37" t="s">
        <v>291</v>
      </c>
      <c r="C120" s="37" t="s">
        <v>292</v>
      </c>
      <c r="D120" s="37" t="s">
        <v>147</v>
      </c>
      <c r="E120" s="38">
        <v>602</v>
      </c>
      <c r="F120" s="39">
        <v>10.091025</v>
      </c>
      <c r="G120" s="40">
        <v>6.2309906246814113E-5</v>
      </c>
      <c r="H120" s="101"/>
    </row>
    <row r="121" spans="1:8" x14ac:dyDescent="0.2">
      <c r="A121" s="36">
        <v>115</v>
      </c>
      <c r="B121" s="37" t="s">
        <v>276</v>
      </c>
      <c r="C121" s="37" t="s">
        <v>277</v>
      </c>
      <c r="D121" s="37" t="s">
        <v>53</v>
      </c>
      <c r="E121" s="38">
        <v>449</v>
      </c>
      <c r="F121" s="39">
        <v>7.818886</v>
      </c>
      <c r="G121" s="9" t="s">
        <v>96</v>
      </c>
      <c r="H121" s="101"/>
    </row>
    <row r="122" spans="1:8" x14ac:dyDescent="0.2">
      <c r="A122" s="34"/>
      <c r="B122" s="34"/>
      <c r="C122" s="35" t="s">
        <v>97</v>
      </c>
      <c r="D122" s="34"/>
      <c r="E122" s="34" t="s">
        <v>98</v>
      </c>
      <c r="F122" s="41">
        <v>118598.28791199999</v>
      </c>
      <c r="G122" s="42">
        <v>0.73231888741028639</v>
      </c>
      <c r="H122" s="101"/>
    </row>
    <row r="123" spans="1:8" x14ac:dyDescent="0.2">
      <c r="A123" s="34"/>
      <c r="B123" s="34"/>
      <c r="C123" s="43"/>
      <c r="D123" s="34"/>
      <c r="E123" s="34"/>
      <c r="F123" s="44"/>
      <c r="G123" s="44"/>
      <c r="H123" s="101"/>
    </row>
    <row r="124" spans="1:8" x14ac:dyDescent="0.2">
      <c r="A124" s="34"/>
      <c r="B124" s="34"/>
      <c r="C124" s="35" t="s">
        <v>99</v>
      </c>
      <c r="D124" s="34"/>
      <c r="E124" s="34"/>
      <c r="F124" s="34"/>
      <c r="G124" s="34"/>
      <c r="H124" s="101"/>
    </row>
    <row r="125" spans="1:8" x14ac:dyDescent="0.2">
      <c r="A125" s="34"/>
      <c r="B125" s="34"/>
      <c r="C125" s="35" t="s">
        <v>97</v>
      </c>
      <c r="D125" s="34"/>
      <c r="E125" s="34" t="s">
        <v>98</v>
      </c>
      <c r="F125" s="45">
        <v>0</v>
      </c>
      <c r="G125" s="46">
        <v>0</v>
      </c>
      <c r="H125" s="101"/>
    </row>
    <row r="126" spans="1:8" x14ac:dyDescent="0.2">
      <c r="A126" s="34"/>
      <c r="B126" s="34"/>
      <c r="C126" s="43"/>
      <c r="D126" s="34"/>
      <c r="E126" s="34"/>
      <c r="F126" s="44"/>
      <c r="G126" s="44"/>
      <c r="H126" s="101"/>
    </row>
    <row r="127" spans="1:8" x14ac:dyDescent="0.2">
      <c r="A127" s="34"/>
      <c r="B127" s="34"/>
      <c r="C127" s="35" t="s">
        <v>100</v>
      </c>
      <c r="D127" s="34"/>
      <c r="E127" s="34"/>
      <c r="F127" s="34"/>
      <c r="G127" s="34"/>
      <c r="H127" s="101"/>
    </row>
    <row r="128" spans="1:8" x14ac:dyDescent="0.2">
      <c r="A128" s="34"/>
      <c r="B128" s="34"/>
      <c r="C128" s="35" t="s">
        <v>97</v>
      </c>
      <c r="D128" s="34"/>
      <c r="E128" s="34" t="s">
        <v>98</v>
      </c>
      <c r="F128" s="45">
        <v>0</v>
      </c>
      <c r="G128" s="46">
        <v>0</v>
      </c>
      <c r="H128" s="101"/>
    </row>
    <row r="129" spans="1:8" x14ac:dyDescent="0.2">
      <c r="A129" s="34"/>
      <c r="B129" s="34"/>
      <c r="C129" s="43"/>
      <c r="D129" s="34"/>
      <c r="E129" s="34"/>
      <c r="F129" s="44"/>
      <c r="G129" s="44"/>
      <c r="H129" s="101"/>
    </row>
    <row r="130" spans="1:8" x14ac:dyDescent="0.2">
      <c r="A130" s="34"/>
      <c r="B130" s="34"/>
      <c r="C130" s="35" t="s">
        <v>101</v>
      </c>
      <c r="D130" s="34"/>
      <c r="E130" s="34"/>
      <c r="F130" s="34"/>
      <c r="G130" s="34"/>
      <c r="H130" s="101"/>
    </row>
    <row r="131" spans="1:8" x14ac:dyDescent="0.2">
      <c r="A131" s="34"/>
      <c r="B131" s="34"/>
      <c r="C131" s="35" t="s">
        <v>97</v>
      </c>
      <c r="D131" s="34"/>
      <c r="E131" s="34" t="s">
        <v>98</v>
      </c>
      <c r="F131" s="41">
        <v>0</v>
      </c>
      <c r="G131" s="42">
        <v>0</v>
      </c>
      <c r="H131" s="101"/>
    </row>
    <row r="132" spans="1:8" x14ac:dyDescent="0.2">
      <c r="A132" s="34"/>
      <c r="B132" s="34"/>
      <c r="C132" s="43"/>
      <c r="D132" s="34"/>
      <c r="E132" s="34"/>
      <c r="F132" s="44"/>
      <c r="G132" s="44"/>
      <c r="H132" s="101"/>
    </row>
    <row r="133" spans="1:8" x14ac:dyDescent="0.2">
      <c r="A133" s="34"/>
      <c r="B133" s="34"/>
      <c r="C133" s="35" t="s">
        <v>102</v>
      </c>
      <c r="D133" s="34"/>
      <c r="E133" s="34"/>
      <c r="F133" s="44"/>
      <c r="G133" s="44"/>
      <c r="H133" s="101"/>
    </row>
    <row r="134" spans="1:8" s="69" customFormat="1" ht="25.5" x14ac:dyDescent="0.2">
      <c r="A134" s="70">
        <v>1</v>
      </c>
      <c r="B134" s="71" t="s">
        <v>971</v>
      </c>
      <c r="C134" s="71" t="s">
        <v>1054</v>
      </c>
      <c r="D134" s="71" t="s">
        <v>81</v>
      </c>
      <c r="E134" s="72">
        <v>14400</v>
      </c>
      <c r="F134" s="73">
        <v>112.32</v>
      </c>
      <c r="G134" s="40">
        <v>6.9355181159913494E-4</v>
      </c>
      <c r="H134" s="101"/>
    </row>
    <row r="135" spans="1:8" x14ac:dyDescent="0.2">
      <c r="A135" s="34"/>
      <c r="B135" s="34"/>
      <c r="C135" s="35" t="s">
        <v>97</v>
      </c>
      <c r="D135" s="34"/>
      <c r="E135" s="34" t="s">
        <v>98</v>
      </c>
      <c r="F135" s="45">
        <v>112.32</v>
      </c>
      <c r="G135" s="46">
        <v>6.9355181159913494E-4</v>
      </c>
      <c r="H135" s="101"/>
    </row>
    <row r="136" spans="1:8" x14ac:dyDescent="0.2">
      <c r="A136" s="34"/>
      <c r="B136" s="34"/>
      <c r="C136" s="43"/>
      <c r="D136" s="34"/>
      <c r="E136" s="34"/>
      <c r="F136" s="44"/>
      <c r="G136" s="44"/>
      <c r="H136" s="101"/>
    </row>
    <row r="137" spans="1:8" x14ac:dyDescent="0.2">
      <c r="A137" s="34"/>
      <c r="B137" s="34"/>
      <c r="C137" s="35" t="s">
        <v>103</v>
      </c>
      <c r="D137" s="34"/>
      <c r="E137" s="34"/>
      <c r="F137" s="44"/>
      <c r="G137" s="44"/>
      <c r="H137" s="101"/>
    </row>
    <row r="138" spans="1:8" x14ac:dyDescent="0.2">
      <c r="A138" s="36">
        <v>1</v>
      </c>
      <c r="B138" s="37"/>
      <c r="C138" s="37" t="s">
        <v>1120</v>
      </c>
      <c r="D138" s="37" t="s">
        <v>906</v>
      </c>
      <c r="E138" s="38">
        <v>-25200</v>
      </c>
      <c r="F138" s="39">
        <v>-37.031399999999998</v>
      </c>
      <c r="G138" s="93">
        <v>-2.2866092019277251E-4</v>
      </c>
      <c r="H138" s="101"/>
    </row>
    <row r="139" spans="1:8" x14ac:dyDescent="0.2">
      <c r="A139" s="36">
        <v>2</v>
      </c>
      <c r="B139" s="37"/>
      <c r="C139" s="37" t="s">
        <v>1121</v>
      </c>
      <c r="D139" s="37" t="s">
        <v>906</v>
      </c>
      <c r="E139" s="38">
        <v>-6300</v>
      </c>
      <c r="F139" s="39">
        <v>-52.9452</v>
      </c>
      <c r="G139" s="93">
        <v>-3.2692520811501534E-4</v>
      </c>
      <c r="H139" s="101"/>
    </row>
    <row r="140" spans="1:8" x14ac:dyDescent="0.2">
      <c r="A140" s="36">
        <v>3</v>
      </c>
      <c r="B140" s="37"/>
      <c r="C140" s="37" t="s">
        <v>1122</v>
      </c>
      <c r="D140" s="37" t="s">
        <v>906</v>
      </c>
      <c r="E140" s="38">
        <v>-54900</v>
      </c>
      <c r="F140" s="39">
        <v>-71.37</v>
      </c>
      <c r="G140" s="93">
        <v>-4.4069438028695041E-4</v>
      </c>
      <c r="H140" s="101"/>
    </row>
    <row r="141" spans="1:8" x14ac:dyDescent="0.2">
      <c r="A141" s="36">
        <v>4</v>
      </c>
      <c r="B141" s="37"/>
      <c r="C141" s="37" t="s">
        <v>1123</v>
      </c>
      <c r="D141" s="37" t="s">
        <v>906</v>
      </c>
      <c r="E141" s="38">
        <v>-67000</v>
      </c>
      <c r="F141" s="39">
        <v>-89.813500000000005</v>
      </c>
      <c r="G141" s="93">
        <v>-5.5457902093179235E-4</v>
      </c>
      <c r="H141" s="101"/>
    </row>
    <row r="142" spans="1:8" x14ac:dyDescent="0.2">
      <c r="A142" s="36">
        <v>5</v>
      </c>
      <c r="B142" s="37"/>
      <c r="C142" s="37" t="s">
        <v>1124</v>
      </c>
      <c r="D142" s="37" t="s">
        <v>906</v>
      </c>
      <c r="E142" s="38">
        <v>-13500</v>
      </c>
      <c r="F142" s="39">
        <v>-99.677250000000001</v>
      </c>
      <c r="G142" s="93">
        <v>-6.1548555299786216E-4</v>
      </c>
      <c r="H142" s="101"/>
    </row>
    <row r="143" spans="1:8" x14ac:dyDescent="0.2">
      <c r="A143" s="36">
        <v>6</v>
      </c>
      <c r="B143" s="37"/>
      <c r="C143" s="37" t="s">
        <v>1095</v>
      </c>
      <c r="D143" s="37" t="s">
        <v>906</v>
      </c>
      <c r="E143" s="38">
        <v>-3000</v>
      </c>
      <c r="F143" s="39">
        <v>-102.01949999999999</v>
      </c>
      <c r="G143" s="93">
        <v>-6.2994844233830083E-4</v>
      </c>
      <c r="H143" s="101"/>
    </row>
    <row r="144" spans="1:8" x14ac:dyDescent="0.2">
      <c r="A144" s="36">
        <v>7</v>
      </c>
      <c r="B144" s="37"/>
      <c r="C144" s="37" t="s">
        <v>1125</v>
      </c>
      <c r="D144" s="37" t="s">
        <v>906</v>
      </c>
      <c r="E144" s="38">
        <v>-1750</v>
      </c>
      <c r="F144" s="39">
        <v>-122.689875</v>
      </c>
      <c r="G144" s="93">
        <v>-7.5758355654488455E-4</v>
      </c>
      <c r="H144" s="101"/>
    </row>
    <row r="145" spans="1:8" x14ac:dyDescent="0.2">
      <c r="A145" s="36">
        <v>8</v>
      </c>
      <c r="B145" s="37"/>
      <c r="C145" s="37" t="s">
        <v>1097</v>
      </c>
      <c r="D145" s="37" t="s">
        <v>906</v>
      </c>
      <c r="E145" s="38">
        <v>-6600</v>
      </c>
      <c r="F145" s="39">
        <v>-125.3241</v>
      </c>
      <c r="G145" s="93">
        <v>-7.7384932863275606E-4</v>
      </c>
      <c r="H145" s="101"/>
    </row>
    <row r="146" spans="1:8" ht="25.5" x14ac:dyDescent="0.2">
      <c r="A146" s="36">
        <v>9</v>
      </c>
      <c r="B146" s="37"/>
      <c r="C146" s="37" t="s">
        <v>1103</v>
      </c>
      <c r="D146" s="37" t="s">
        <v>906</v>
      </c>
      <c r="E146" s="38">
        <v>-5600</v>
      </c>
      <c r="F146" s="39">
        <v>-137.3176</v>
      </c>
      <c r="G146" s="93">
        <v>-8.4790660830168609E-4</v>
      </c>
      <c r="H146" s="101"/>
    </row>
    <row r="147" spans="1:8" x14ac:dyDescent="0.2">
      <c r="A147" s="36">
        <v>10</v>
      </c>
      <c r="B147" s="37"/>
      <c r="C147" s="37" t="s">
        <v>1126</v>
      </c>
      <c r="D147" s="37" t="s">
        <v>906</v>
      </c>
      <c r="E147" s="38">
        <v>-5600</v>
      </c>
      <c r="F147" s="39">
        <v>-145.72880000000001</v>
      </c>
      <c r="G147" s="93">
        <v>-8.9984395692813417E-4</v>
      </c>
      <c r="H147" s="101"/>
    </row>
    <row r="148" spans="1:8" x14ac:dyDescent="0.2">
      <c r="A148" s="36">
        <v>11</v>
      </c>
      <c r="B148" s="37"/>
      <c r="C148" s="37" t="s">
        <v>1127</v>
      </c>
      <c r="D148" s="37" t="s">
        <v>906</v>
      </c>
      <c r="E148" s="38">
        <v>-120000</v>
      </c>
      <c r="F148" s="39">
        <v>-161.28</v>
      </c>
      <c r="G148" s="93">
        <v>-9.9586926793721942E-4</v>
      </c>
      <c r="H148" s="101"/>
    </row>
    <row r="149" spans="1:8" x14ac:dyDescent="0.2">
      <c r="A149" s="36">
        <v>12</v>
      </c>
      <c r="B149" s="37"/>
      <c r="C149" s="37" t="s">
        <v>1128</v>
      </c>
      <c r="D149" s="37" t="s">
        <v>906</v>
      </c>
      <c r="E149" s="38">
        <v>-22275</v>
      </c>
      <c r="F149" s="39">
        <v>-166.060125</v>
      </c>
      <c r="G149" s="93">
        <v>-1.0253855104000072E-3</v>
      </c>
      <c r="H149" s="101"/>
    </row>
    <row r="150" spans="1:8" x14ac:dyDescent="0.2">
      <c r="A150" s="36">
        <v>13</v>
      </c>
      <c r="B150" s="37"/>
      <c r="C150" s="37" t="s">
        <v>1129</v>
      </c>
      <c r="D150" s="37" t="s">
        <v>906</v>
      </c>
      <c r="E150" s="38">
        <v>-8625</v>
      </c>
      <c r="F150" s="39">
        <v>-218.21250000000001</v>
      </c>
      <c r="G150" s="93">
        <v>-1.3474151948769254E-3</v>
      </c>
      <c r="H150" s="101"/>
    </row>
    <row r="151" spans="1:8" x14ac:dyDescent="0.2">
      <c r="A151" s="36">
        <v>14</v>
      </c>
      <c r="B151" s="37"/>
      <c r="C151" s="37" t="s">
        <v>1113</v>
      </c>
      <c r="D151" s="37" t="s">
        <v>906</v>
      </c>
      <c r="E151" s="38">
        <v>-105600</v>
      </c>
      <c r="F151" s="39">
        <v>-231.1584</v>
      </c>
      <c r="G151" s="93">
        <v>-1.4273533394440661E-3</v>
      </c>
      <c r="H151" s="101"/>
    </row>
    <row r="152" spans="1:8" x14ac:dyDescent="0.2">
      <c r="A152" s="36">
        <v>15</v>
      </c>
      <c r="B152" s="37"/>
      <c r="C152" s="37" t="s">
        <v>1130</v>
      </c>
      <c r="D152" s="37" t="s">
        <v>906</v>
      </c>
      <c r="E152" s="38">
        <v>-26000</v>
      </c>
      <c r="F152" s="39">
        <v>-233.649</v>
      </c>
      <c r="G152" s="93">
        <v>-1.4427322580869506E-3</v>
      </c>
      <c r="H152" s="101"/>
    </row>
    <row r="153" spans="1:8" x14ac:dyDescent="0.2">
      <c r="A153" s="36">
        <v>16</v>
      </c>
      <c r="B153" s="37"/>
      <c r="C153" s="37" t="s">
        <v>1131</v>
      </c>
      <c r="D153" s="37" t="s">
        <v>906</v>
      </c>
      <c r="E153" s="38">
        <v>-21750</v>
      </c>
      <c r="F153" s="39">
        <v>-260.74987499999997</v>
      </c>
      <c r="G153" s="93">
        <v>-1.6100743249688211E-3</v>
      </c>
      <c r="H153" s="101"/>
    </row>
    <row r="154" spans="1:8" ht="25.5" x14ac:dyDescent="0.2">
      <c r="A154" s="36">
        <v>17</v>
      </c>
      <c r="B154" s="37"/>
      <c r="C154" s="37" t="s">
        <v>1132</v>
      </c>
      <c r="D154" s="37" t="s">
        <v>906</v>
      </c>
      <c r="E154" s="38">
        <v>-35000</v>
      </c>
      <c r="F154" s="39">
        <v>-297.23750000000001</v>
      </c>
      <c r="G154" s="93">
        <v>-1.8353775516399386E-3</v>
      </c>
      <c r="H154" s="101"/>
    </row>
    <row r="155" spans="1:8" x14ac:dyDescent="0.2">
      <c r="A155" s="36">
        <v>18</v>
      </c>
      <c r="B155" s="37"/>
      <c r="C155" s="37" t="s">
        <v>1133</v>
      </c>
      <c r="D155" s="37" t="s">
        <v>906</v>
      </c>
      <c r="E155" s="38">
        <v>-135000</v>
      </c>
      <c r="F155" s="39">
        <v>-300.03750000000002</v>
      </c>
      <c r="G155" s="93">
        <v>-1.8526669486527375E-3</v>
      </c>
      <c r="H155" s="101"/>
    </row>
    <row r="156" spans="1:8" x14ac:dyDescent="0.2">
      <c r="A156" s="36">
        <v>19</v>
      </c>
      <c r="B156" s="37"/>
      <c r="C156" s="37" t="s">
        <v>1134</v>
      </c>
      <c r="D156" s="37" t="s">
        <v>906</v>
      </c>
      <c r="E156" s="38">
        <v>-17200</v>
      </c>
      <c r="F156" s="39">
        <v>-309.66019999999997</v>
      </c>
      <c r="G156" s="93">
        <v>-1.9120850488795447E-3</v>
      </c>
      <c r="H156" s="101"/>
    </row>
    <row r="157" spans="1:8" x14ac:dyDescent="0.2">
      <c r="A157" s="36">
        <v>20</v>
      </c>
      <c r="B157" s="37"/>
      <c r="C157" s="37" t="s">
        <v>1135</v>
      </c>
      <c r="D157" s="37" t="s">
        <v>906</v>
      </c>
      <c r="E157" s="38">
        <v>-20900</v>
      </c>
      <c r="F157" s="39">
        <v>-341.03575000000001</v>
      </c>
      <c r="G157" s="93">
        <v>-2.1058223133241607E-3</v>
      </c>
      <c r="H157" s="101"/>
    </row>
    <row r="158" spans="1:8" x14ac:dyDescent="0.2">
      <c r="A158" s="36">
        <v>21</v>
      </c>
      <c r="B158" s="37"/>
      <c r="C158" s="37" t="s">
        <v>1136</v>
      </c>
      <c r="D158" s="37" t="s">
        <v>906</v>
      </c>
      <c r="E158" s="38">
        <v>-992000</v>
      </c>
      <c r="F158" s="39">
        <v>-372</v>
      </c>
      <c r="G158" s="93">
        <v>-2.2970198888432889E-3</v>
      </c>
      <c r="H158" s="101"/>
    </row>
    <row r="159" spans="1:8" x14ac:dyDescent="0.2">
      <c r="A159" s="36">
        <v>22</v>
      </c>
      <c r="B159" s="37"/>
      <c r="C159" s="37" t="s">
        <v>1137</v>
      </c>
      <c r="D159" s="37" t="s">
        <v>906</v>
      </c>
      <c r="E159" s="38">
        <v>-39950</v>
      </c>
      <c r="F159" s="39">
        <v>-381.302775</v>
      </c>
      <c r="G159" s="93">
        <v>-2.3544625210917677E-3</v>
      </c>
      <c r="H159" s="101"/>
    </row>
    <row r="160" spans="1:8" x14ac:dyDescent="0.2">
      <c r="A160" s="36">
        <v>23</v>
      </c>
      <c r="B160" s="37"/>
      <c r="C160" s="37" t="s">
        <v>1138</v>
      </c>
      <c r="D160" s="37" t="s">
        <v>918</v>
      </c>
      <c r="E160" s="38">
        <v>-12500</v>
      </c>
      <c r="F160" s="39">
        <v>-407.75625000000002</v>
      </c>
      <c r="G160" s="93">
        <v>-2.5178070323928939E-3</v>
      </c>
      <c r="H160" s="101"/>
    </row>
    <row r="161" spans="1:8" x14ac:dyDescent="0.2">
      <c r="A161" s="36">
        <v>24</v>
      </c>
      <c r="B161" s="37"/>
      <c r="C161" s="37" t="s">
        <v>1139</v>
      </c>
      <c r="D161" s="37" t="s">
        <v>906</v>
      </c>
      <c r="E161" s="38">
        <v>-88350</v>
      </c>
      <c r="F161" s="39">
        <v>-428.541675</v>
      </c>
      <c r="G161" s="93">
        <v>-2.6461525555731636E-3</v>
      </c>
      <c r="H161" s="101"/>
    </row>
    <row r="162" spans="1:8" x14ac:dyDescent="0.2">
      <c r="A162" s="36">
        <v>25</v>
      </c>
      <c r="B162" s="37"/>
      <c r="C162" s="37" t="s">
        <v>1110</v>
      </c>
      <c r="D162" s="37" t="s">
        <v>906</v>
      </c>
      <c r="E162" s="38">
        <v>-58750</v>
      </c>
      <c r="F162" s="39">
        <v>-431.51875000000001</v>
      </c>
      <c r="G162" s="93">
        <v>-2.6645353525774061E-3</v>
      </c>
      <c r="H162" s="101"/>
    </row>
    <row r="163" spans="1:8" x14ac:dyDescent="0.2">
      <c r="A163" s="36">
        <v>26</v>
      </c>
      <c r="B163" s="37"/>
      <c r="C163" s="37" t="s">
        <v>1101</v>
      </c>
      <c r="D163" s="37" t="s">
        <v>906</v>
      </c>
      <c r="E163" s="38">
        <v>-172000</v>
      </c>
      <c r="F163" s="39">
        <v>-820.52599999999995</v>
      </c>
      <c r="G163" s="93">
        <v>-5.0665713476156678E-3</v>
      </c>
      <c r="H163" s="101"/>
    </row>
    <row r="164" spans="1:8" ht="25.5" x14ac:dyDescent="0.2">
      <c r="A164" s="36">
        <v>27</v>
      </c>
      <c r="B164" s="37"/>
      <c r="C164" s="37" t="s">
        <v>1102</v>
      </c>
      <c r="D164" s="37" t="s">
        <v>906</v>
      </c>
      <c r="E164" s="38">
        <v>-143000</v>
      </c>
      <c r="F164" s="39">
        <v>-932.2885</v>
      </c>
      <c r="G164" s="93">
        <v>-5.7566807167738617E-3</v>
      </c>
      <c r="H164" s="101"/>
    </row>
    <row r="165" spans="1:8" x14ac:dyDescent="0.2">
      <c r="A165" s="36">
        <v>28</v>
      </c>
      <c r="B165" s="37"/>
      <c r="C165" s="37" t="s">
        <v>1140</v>
      </c>
      <c r="D165" s="37" t="s">
        <v>906</v>
      </c>
      <c r="E165" s="38">
        <v>-21600</v>
      </c>
      <c r="F165" s="39">
        <v>-1012.9212</v>
      </c>
      <c r="G165" s="93">
        <v>-6.2545702748145453E-3</v>
      </c>
      <c r="H165" s="101"/>
    </row>
    <row r="166" spans="1:8" x14ac:dyDescent="0.2">
      <c r="A166" s="36">
        <v>29</v>
      </c>
      <c r="B166" s="37"/>
      <c r="C166" s="37" t="s">
        <v>1141</v>
      </c>
      <c r="D166" s="37" t="s">
        <v>906</v>
      </c>
      <c r="E166" s="38">
        <v>-41000</v>
      </c>
      <c r="F166" s="39">
        <v>-1015.857</v>
      </c>
      <c r="G166" s="93">
        <v>-6.2726982075824653E-3</v>
      </c>
      <c r="H166" s="101"/>
    </row>
    <row r="167" spans="1:8" x14ac:dyDescent="0.2">
      <c r="A167" s="36">
        <v>30</v>
      </c>
      <c r="B167" s="37"/>
      <c r="C167" s="37" t="s">
        <v>1109</v>
      </c>
      <c r="D167" s="37" t="s">
        <v>906</v>
      </c>
      <c r="E167" s="38">
        <v>-31200</v>
      </c>
      <c r="F167" s="39">
        <v>-1168.2372</v>
      </c>
      <c r="G167" s="93">
        <v>-7.2136131271145036E-3</v>
      </c>
      <c r="H167" s="101"/>
    </row>
    <row r="168" spans="1:8" x14ac:dyDescent="0.2">
      <c r="A168" s="36">
        <v>31</v>
      </c>
      <c r="B168" s="37"/>
      <c r="C168" s="37" t="s">
        <v>1096</v>
      </c>
      <c r="D168" s="37" t="s">
        <v>906</v>
      </c>
      <c r="E168" s="38">
        <v>-68425</v>
      </c>
      <c r="F168" s="39">
        <v>-1304.6936874999999</v>
      </c>
      <c r="G168" s="93">
        <v>-8.0562025511714801E-3</v>
      </c>
      <c r="H168" s="101"/>
    </row>
    <row r="169" spans="1:8" x14ac:dyDescent="0.2">
      <c r="A169" s="36">
        <v>32</v>
      </c>
      <c r="B169" s="37"/>
      <c r="C169" s="37" t="s">
        <v>1105</v>
      </c>
      <c r="D169" s="37" t="s">
        <v>906</v>
      </c>
      <c r="E169" s="38">
        <v>-131750</v>
      </c>
      <c r="F169" s="39">
        <v>-1471.1205</v>
      </c>
      <c r="G169" s="93">
        <v>-9.0838522779168925E-3</v>
      </c>
      <c r="H169" s="101"/>
    </row>
    <row r="170" spans="1:8" x14ac:dyDescent="0.2">
      <c r="A170" s="36">
        <v>33</v>
      </c>
      <c r="B170" s="37"/>
      <c r="C170" s="37" t="s">
        <v>1119</v>
      </c>
      <c r="D170" s="37" t="s">
        <v>906</v>
      </c>
      <c r="E170" s="38">
        <v>-231600</v>
      </c>
      <c r="F170" s="39">
        <v>-1575.6905999999999</v>
      </c>
      <c r="G170" s="93">
        <v>-9.7295501259769233E-3</v>
      </c>
      <c r="H170" s="101"/>
    </row>
    <row r="171" spans="1:8" x14ac:dyDescent="0.2">
      <c r="A171" s="36">
        <v>34</v>
      </c>
      <c r="B171" s="37"/>
      <c r="C171" s="37" t="s">
        <v>1118</v>
      </c>
      <c r="D171" s="37" t="s">
        <v>906</v>
      </c>
      <c r="E171" s="38">
        <v>-77500</v>
      </c>
      <c r="F171" s="39">
        <v>-1845.6624999999999</v>
      </c>
      <c r="G171" s="93">
        <v>-1.1396568469333943E-2</v>
      </c>
      <c r="H171" s="101"/>
    </row>
    <row r="172" spans="1:8" x14ac:dyDescent="0.2">
      <c r="A172" s="36">
        <v>35</v>
      </c>
      <c r="B172" s="37"/>
      <c r="C172" s="37" t="s">
        <v>1142</v>
      </c>
      <c r="D172" s="37" t="s">
        <v>906</v>
      </c>
      <c r="E172" s="38">
        <v>-120000</v>
      </c>
      <c r="F172" s="39">
        <v>-2160.96</v>
      </c>
      <c r="G172" s="93">
        <v>-1.3343462631706436E-2</v>
      </c>
      <c r="H172" s="101"/>
    </row>
    <row r="173" spans="1:8" x14ac:dyDescent="0.2">
      <c r="A173" s="36">
        <v>36</v>
      </c>
      <c r="B173" s="37"/>
      <c r="C173" s="37" t="s">
        <v>1106</v>
      </c>
      <c r="D173" s="37" t="s">
        <v>906</v>
      </c>
      <c r="E173" s="38">
        <v>-324500</v>
      </c>
      <c r="F173" s="39">
        <v>-2415.0912499999999</v>
      </c>
      <c r="G173" s="93">
        <v>-1.4912668372638173E-2</v>
      </c>
      <c r="H173" s="101"/>
    </row>
    <row r="174" spans="1:8" x14ac:dyDescent="0.2">
      <c r="A174" s="36">
        <v>37</v>
      </c>
      <c r="B174" s="37"/>
      <c r="C174" s="37" t="s">
        <v>1143</v>
      </c>
      <c r="D174" s="37" t="s">
        <v>906</v>
      </c>
      <c r="E174" s="38">
        <v>-354350</v>
      </c>
      <c r="F174" s="39">
        <v>-2435.6247250000001</v>
      </c>
      <c r="G174" s="93">
        <v>-1.5039458158826523E-2</v>
      </c>
      <c r="H174" s="101"/>
    </row>
    <row r="175" spans="1:8" ht="25.5" x14ac:dyDescent="0.2">
      <c r="A175" s="36">
        <v>38</v>
      </c>
      <c r="B175" s="37"/>
      <c r="C175" s="37" t="s">
        <v>1114</v>
      </c>
      <c r="D175" s="37" t="s">
        <v>906</v>
      </c>
      <c r="E175" s="38">
        <v>-99000</v>
      </c>
      <c r="F175" s="39">
        <v>-2567.4164999999998</v>
      </c>
      <c r="G175" s="93">
        <v>-1.5853243987753833E-2</v>
      </c>
      <c r="H175" s="101"/>
    </row>
    <row r="176" spans="1:8" x14ac:dyDescent="0.2">
      <c r="A176" s="36">
        <v>39</v>
      </c>
      <c r="B176" s="37"/>
      <c r="C176" s="37" t="s">
        <v>1144</v>
      </c>
      <c r="D176" s="37" t="s">
        <v>906</v>
      </c>
      <c r="E176" s="38">
        <v>-300000</v>
      </c>
      <c r="F176" s="39">
        <v>-2709.75</v>
      </c>
      <c r="G176" s="93">
        <v>-1.6732122698368556E-2</v>
      </c>
      <c r="H176" s="101"/>
    </row>
    <row r="177" spans="1:8" x14ac:dyDescent="0.2">
      <c r="A177" s="36">
        <v>40</v>
      </c>
      <c r="B177" s="37"/>
      <c r="C177" s="37" t="s">
        <v>1116</v>
      </c>
      <c r="D177" s="37" t="s">
        <v>906</v>
      </c>
      <c r="E177" s="38">
        <v>-699000</v>
      </c>
      <c r="F177" s="39">
        <v>-3227.982</v>
      </c>
      <c r="G177" s="93">
        <v>-1.9932093695774564E-2</v>
      </c>
      <c r="H177" s="101"/>
    </row>
    <row r="178" spans="1:8" x14ac:dyDescent="0.2">
      <c r="A178" s="36">
        <v>41</v>
      </c>
      <c r="B178" s="37"/>
      <c r="C178" s="37" t="s">
        <v>1145</v>
      </c>
      <c r="D178" s="37" t="s">
        <v>918</v>
      </c>
      <c r="E178" s="38">
        <v>-28500</v>
      </c>
      <c r="F178" s="39">
        <v>-4961.8357500000002</v>
      </c>
      <c r="G178" s="93">
        <v>-3.0638267212160373E-2</v>
      </c>
      <c r="H178" s="101"/>
    </row>
    <row r="179" spans="1:8" x14ac:dyDescent="0.2">
      <c r="A179" s="34"/>
      <c r="B179" s="34"/>
      <c r="C179" s="35" t="s">
        <v>97</v>
      </c>
      <c r="D179" s="34"/>
      <c r="E179" s="34" t="s">
        <v>98</v>
      </c>
      <c r="F179" s="41">
        <v>-37149.774937499998</v>
      </c>
      <c r="G179" s="42">
        <v>-0.22939185993948777</v>
      </c>
      <c r="H179" s="101"/>
    </row>
    <row r="180" spans="1:8" x14ac:dyDescent="0.2">
      <c r="A180" s="34"/>
      <c r="B180" s="34"/>
      <c r="C180" s="43"/>
      <c r="D180" s="34"/>
      <c r="E180" s="34"/>
      <c r="F180" s="44"/>
      <c r="G180" s="44"/>
      <c r="H180" s="101"/>
    </row>
    <row r="181" spans="1:8" x14ac:dyDescent="0.2">
      <c r="A181" s="34"/>
      <c r="B181" s="34"/>
      <c r="C181" s="35" t="s">
        <v>104</v>
      </c>
      <c r="D181" s="34"/>
      <c r="E181" s="34"/>
      <c r="F181" s="41">
        <v>118710.60791200002</v>
      </c>
      <c r="G181" s="42">
        <v>0.7330124392218853</v>
      </c>
      <c r="H181" s="101"/>
    </row>
    <row r="182" spans="1:8" x14ac:dyDescent="0.2">
      <c r="A182" s="34"/>
      <c r="B182" s="34"/>
      <c r="C182" s="43"/>
      <c r="D182" s="34"/>
      <c r="E182" s="34"/>
      <c r="F182" s="44"/>
      <c r="G182" s="44"/>
      <c r="H182" s="101"/>
    </row>
    <row r="183" spans="1:8" x14ac:dyDescent="0.2">
      <c r="A183" s="34"/>
      <c r="B183" s="34"/>
      <c r="C183" s="35" t="s">
        <v>105</v>
      </c>
      <c r="D183" s="34"/>
      <c r="E183" s="34"/>
      <c r="F183" s="44"/>
      <c r="G183" s="44"/>
      <c r="H183" s="101"/>
    </row>
    <row r="184" spans="1:8" ht="25.5" x14ac:dyDescent="0.2">
      <c r="A184" s="34"/>
      <c r="B184" s="34"/>
      <c r="C184" s="35" t="s">
        <v>10</v>
      </c>
      <c r="D184" s="34"/>
      <c r="E184" s="34"/>
      <c r="F184" s="44"/>
      <c r="G184" s="44"/>
      <c r="H184" s="101"/>
    </row>
    <row r="185" spans="1:8" ht="25.5" x14ac:dyDescent="0.2">
      <c r="A185" s="36">
        <v>1</v>
      </c>
      <c r="B185" s="37" t="s">
        <v>1024</v>
      </c>
      <c r="C185" s="37" t="s">
        <v>1025</v>
      </c>
      <c r="D185" s="37" t="s">
        <v>526</v>
      </c>
      <c r="E185" s="38">
        <v>250</v>
      </c>
      <c r="F185" s="39">
        <v>2539.1875</v>
      </c>
      <c r="G185" s="40">
        <v>1.5678935991941582E-2</v>
      </c>
      <c r="H185" s="101">
        <v>4.4249999999999998</v>
      </c>
    </row>
    <row r="186" spans="1:8" ht="25.5" x14ac:dyDescent="0.2">
      <c r="A186" s="36">
        <v>2</v>
      </c>
      <c r="B186" s="37" t="s">
        <v>1026</v>
      </c>
      <c r="C186" s="37" t="s">
        <v>1027</v>
      </c>
      <c r="D186" s="37" t="s">
        <v>526</v>
      </c>
      <c r="E186" s="38">
        <v>250</v>
      </c>
      <c r="F186" s="39">
        <v>2490.0500000000002</v>
      </c>
      <c r="G186" s="40">
        <v>1.5375522511328581E-2</v>
      </c>
      <c r="H186" s="101">
        <v>5.0149999999999997</v>
      </c>
    </row>
    <row r="187" spans="1:8" ht="25.5" x14ac:dyDescent="0.2">
      <c r="A187" s="36">
        <v>3</v>
      </c>
      <c r="B187" s="37" t="s">
        <v>690</v>
      </c>
      <c r="C187" s="37" t="s">
        <v>691</v>
      </c>
      <c r="D187" s="37" t="s">
        <v>1164</v>
      </c>
      <c r="E187" s="38">
        <v>150</v>
      </c>
      <c r="F187" s="39">
        <v>1531.35</v>
      </c>
      <c r="G187" s="40">
        <v>9.4557564698391685E-3</v>
      </c>
      <c r="H187" s="101">
        <v>4.9649999999999999</v>
      </c>
    </row>
    <row r="188" spans="1:8" x14ac:dyDescent="0.2">
      <c r="A188" s="36">
        <v>4</v>
      </c>
      <c r="B188" s="37" t="s">
        <v>1028</v>
      </c>
      <c r="C188" s="37" t="s">
        <v>1029</v>
      </c>
      <c r="D188" s="37" t="s">
        <v>526</v>
      </c>
      <c r="E188" s="38">
        <v>100</v>
      </c>
      <c r="F188" s="39">
        <v>1025.0550000000001</v>
      </c>
      <c r="G188" s="40">
        <v>6.3294938767695106E-3</v>
      </c>
      <c r="H188" s="101">
        <v>5.0250000000000004</v>
      </c>
    </row>
    <row r="189" spans="1:8" ht="25.5" x14ac:dyDescent="0.2">
      <c r="A189" s="36">
        <v>5</v>
      </c>
      <c r="B189" s="37" t="s">
        <v>1030</v>
      </c>
      <c r="C189" s="37" t="s">
        <v>1031</v>
      </c>
      <c r="D189" s="37" t="s">
        <v>526</v>
      </c>
      <c r="E189" s="38">
        <v>100</v>
      </c>
      <c r="F189" s="39">
        <v>1022.952</v>
      </c>
      <c r="G189" s="40">
        <v>6.3165083046559682E-3</v>
      </c>
      <c r="H189" s="101">
        <v>4.87</v>
      </c>
    </row>
    <row r="190" spans="1:8" ht="25.5" x14ac:dyDescent="0.2">
      <c r="A190" s="36">
        <v>6</v>
      </c>
      <c r="B190" s="37" t="s">
        <v>1032</v>
      </c>
      <c r="C190" s="37" t="s">
        <v>1033</v>
      </c>
      <c r="D190" s="37" t="s">
        <v>1164</v>
      </c>
      <c r="E190" s="38">
        <v>100</v>
      </c>
      <c r="F190" s="39">
        <v>1021.896</v>
      </c>
      <c r="G190" s="40">
        <v>6.309987732068284E-3</v>
      </c>
      <c r="H190" s="101">
        <v>4.8899999999999997</v>
      </c>
    </row>
    <row r="191" spans="1:8" ht="25.5" x14ac:dyDescent="0.2">
      <c r="A191" s="36">
        <v>7</v>
      </c>
      <c r="B191" s="37" t="s">
        <v>1034</v>
      </c>
      <c r="C191" s="37" t="s">
        <v>1035</v>
      </c>
      <c r="D191" s="37" t="s">
        <v>526</v>
      </c>
      <c r="E191" s="38">
        <v>100</v>
      </c>
      <c r="F191" s="39">
        <v>1019.644</v>
      </c>
      <c r="G191" s="40">
        <v>6.2960821170422758E-3</v>
      </c>
      <c r="H191" s="101">
        <v>5.12</v>
      </c>
    </row>
    <row r="192" spans="1:8" x14ac:dyDescent="0.2">
      <c r="A192" s="36">
        <v>8</v>
      </c>
      <c r="B192" s="37" t="s">
        <v>1036</v>
      </c>
      <c r="C192" s="37" t="s">
        <v>1037</v>
      </c>
      <c r="D192" s="37" t="s">
        <v>526</v>
      </c>
      <c r="E192" s="38">
        <v>100</v>
      </c>
      <c r="F192" s="39">
        <v>1008.364</v>
      </c>
      <c r="G192" s="40">
        <v>6.2264305462192858E-3</v>
      </c>
      <c r="H192" s="101">
        <v>5.16</v>
      </c>
    </row>
    <row r="193" spans="1:15" ht="25.5" x14ac:dyDescent="0.2">
      <c r="A193" s="36">
        <v>9</v>
      </c>
      <c r="B193" s="37" t="s">
        <v>1038</v>
      </c>
      <c r="C193" s="37" t="s">
        <v>1039</v>
      </c>
      <c r="D193" s="37" t="s">
        <v>526</v>
      </c>
      <c r="E193" s="38">
        <v>100</v>
      </c>
      <c r="F193" s="39">
        <v>1001.351</v>
      </c>
      <c r="G193" s="40">
        <v>6.1831267814868723E-3</v>
      </c>
      <c r="H193" s="101">
        <v>4.6749999999999998</v>
      </c>
    </row>
    <row r="194" spans="1:15" ht="25.5" x14ac:dyDescent="0.2">
      <c r="A194" s="36">
        <v>10</v>
      </c>
      <c r="B194" s="37" t="s">
        <v>1040</v>
      </c>
      <c r="C194" s="37" t="s">
        <v>1041</v>
      </c>
      <c r="D194" s="37" t="s">
        <v>526</v>
      </c>
      <c r="E194" s="38">
        <v>50</v>
      </c>
      <c r="F194" s="39">
        <v>514.95799999999997</v>
      </c>
      <c r="G194" s="40">
        <v>3.179754752470329E-3</v>
      </c>
      <c r="H194" s="101">
        <v>4.7600000000000007</v>
      </c>
    </row>
    <row r="195" spans="1:15" ht="25.5" x14ac:dyDescent="0.2">
      <c r="A195" s="36">
        <v>11</v>
      </c>
      <c r="B195" s="37" t="s">
        <v>1042</v>
      </c>
      <c r="C195" s="37" t="s">
        <v>1043</v>
      </c>
      <c r="D195" s="37" t="s">
        <v>526</v>
      </c>
      <c r="E195" s="38">
        <v>50</v>
      </c>
      <c r="F195" s="39">
        <v>512.51350000000002</v>
      </c>
      <c r="G195" s="40">
        <v>3.164660491399691E-3</v>
      </c>
      <c r="H195" s="101">
        <v>5</v>
      </c>
    </row>
    <row r="196" spans="1:15" x14ac:dyDescent="0.2">
      <c r="A196" s="36">
        <v>12</v>
      </c>
      <c r="B196" s="37" t="s">
        <v>1044</v>
      </c>
      <c r="C196" s="37" t="s">
        <v>1045</v>
      </c>
      <c r="D196" s="37" t="s">
        <v>526</v>
      </c>
      <c r="E196" s="38">
        <v>50</v>
      </c>
      <c r="F196" s="39">
        <v>510.92899999999997</v>
      </c>
      <c r="G196" s="40">
        <v>3.1548765451258408E-3</v>
      </c>
      <c r="H196" s="101">
        <v>4.665</v>
      </c>
    </row>
    <row r="197" spans="1:15" ht="25.5" x14ac:dyDescent="0.2">
      <c r="A197" s="36">
        <v>13</v>
      </c>
      <c r="B197" s="37" t="s">
        <v>1046</v>
      </c>
      <c r="C197" s="37" t="s">
        <v>1047</v>
      </c>
      <c r="D197" s="37" t="s">
        <v>526</v>
      </c>
      <c r="E197" s="38">
        <v>50</v>
      </c>
      <c r="F197" s="39">
        <v>510.43650000000002</v>
      </c>
      <c r="G197" s="40">
        <v>3.1518354636869829E-3</v>
      </c>
      <c r="H197" s="101">
        <v>4.88</v>
      </c>
    </row>
    <row r="198" spans="1:15" x14ac:dyDescent="0.2">
      <c r="A198" s="36">
        <v>14</v>
      </c>
      <c r="B198" s="6" t="s">
        <v>746</v>
      </c>
      <c r="C198" s="6" t="s">
        <v>747</v>
      </c>
      <c r="D198" s="6" t="s">
        <v>526</v>
      </c>
      <c r="E198" s="7">
        <v>30</v>
      </c>
      <c r="F198" s="8">
        <v>304.9896</v>
      </c>
      <c r="G198" s="9">
        <v>1.8832450997052666E-3</v>
      </c>
      <c r="H198" s="101">
        <v>4.1000000000000005</v>
      </c>
    </row>
    <row r="199" spans="1:15" ht="25.5" x14ac:dyDescent="0.2">
      <c r="A199" s="36">
        <v>15</v>
      </c>
      <c r="B199" s="6" t="s">
        <v>699</v>
      </c>
      <c r="C199" s="6" t="s">
        <v>700</v>
      </c>
      <c r="D199" s="6" t="s">
        <v>526</v>
      </c>
      <c r="E199" s="7">
        <v>30</v>
      </c>
      <c r="F199" s="8">
        <v>298.15170000000001</v>
      </c>
      <c r="G199" s="9">
        <v>1.8410225397646174E-3</v>
      </c>
      <c r="H199" s="101">
        <v>5.52</v>
      </c>
    </row>
    <row r="200" spans="1:15" ht="25.5" x14ac:dyDescent="0.2">
      <c r="A200" s="36">
        <v>16</v>
      </c>
      <c r="B200" s="6" t="s">
        <v>748</v>
      </c>
      <c r="C200" s="6" t="s">
        <v>749</v>
      </c>
      <c r="D200" s="6" t="s">
        <v>526</v>
      </c>
      <c r="E200" s="7">
        <v>20</v>
      </c>
      <c r="F200" s="8">
        <v>201.70859999999999</v>
      </c>
      <c r="G200" s="9">
        <v>1.2455071665342351E-3</v>
      </c>
      <c r="H200" s="101">
        <v>4.375</v>
      </c>
    </row>
    <row r="201" spans="1:15" x14ac:dyDescent="0.2">
      <c r="A201" s="36">
        <v>17</v>
      </c>
      <c r="B201" s="6" t="s">
        <v>758</v>
      </c>
      <c r="C201" s="6" t="s">
        <v>759</v>
      </c>
      <c r="D201" s="6" t="s">
        <v>526</v>
      </c>
      <c r="E201" s="7">
        <v>20</v>
      </c>
      <c r="F201" s="8">
        <v>200.36519999999999</v>
      </c>
      <c r="G201" s="9">
        <v>1.23721196083888E-3</v>
      </c>
      <c r="H201" s="101">
        <v>3.9012499999999997</v>
      </c>
    </row>
    <row r="202" spans="1:15" ht="25.5" x14ac:dyDescent="0.2">
      <c r="A202" s="36">
        <v>18</v>
      </c>
      <c r="B202" s="6" t="s">
        <v>750</v>
      </c>
      <c r="C202" s="6" t="s">
        <v>751</v>
      </c>
      <c r="D202" s="6" t="s">
        <v>526</v>
      </c>
      <c r="E202" s="7">
        <v>10</v>
      </c>
      <c r="F202" s="8">
        <v>106.1726</v>
      </c>
      <c r="G202" s="9">
        <v>6.5559294045753496E-4</v>
      </c>
      <c r="H202" s="101">
        <v>5.16</v>
      </c>
    </row>
    <row r="203" spans="1:15" x14ac:dyDescent="0.2">
      <c r="A203" s="36">
        <v>19</v>
      </c>
      <c r="B203" s="6" t="s">
        <v>752</v>
      </c>
      <c r="C203" s="6" t="s">
        <v>753</v>
      </c>
      <c r="D203" s="6" t="s">
        <v>526</v>
      </c>
      <c r="E203" s="7">
        <v>10</v>
      </c>
      <c r="F203" s="8">
        <v>104.72799999999999</v>
      </c>
      <c r="G203" s="9">
        <v>6.4667284655586007E-4</v>
      </c>
      <c r="H203" s="101">
        <v>4.7949999999999999</v>
      </c>
      <c r="I203" s="87"/>
      <c r="J203" s="87"/>
      <c r="K203" s="87"/>
      <c r="L203" s="87"/>
      <c r="M203" s="87"/>
      <c r="N203" s="87"/>
      <c r="O203" s="87"/>
    </row>
    <row r="204" spans="1:15" ht="25.5" x14ac:dyDescent="0.2">
      <c r="A204" s="36">
        <v>20</v>
      </c>
      <c r="B204" s="6" t="s">
        <v>696</v>
      </c>
      <c r="C204" s="6" t="s">
        <v>697</v>
      </c>
      <c r="D204" s="6" t="s">
        <v>698</v>
      </c>
      <c r="E204" s="7">
        <v>10</v>
      </c>
      <c r="F204" s="8">
        <v>101.4391</v>
      </c>
      <c r="G204" s="9">
        <v>6.2636459732893352E-4</v>
      </c>
      <c r="H204" s="101">
        <v>4.4050000000000002</v>
      </c>
    </row>
    <row r="205" spans="1:15" ht="25.5" x14ac:dyDescent="0.2">
      <c r="A205" s="36">
        <v>21</v>
      </c>
      <c r="B205" s="6" t="s">
        <v>754</v>
      </c>
      <c r="C205" s="6" t="s">
        <v>755</v>
      </c>
      <c r="D205" s="6" t="s">
        <v>526</v>
      </c>
      <c r="E205" s="7">
        <v>10</v>
      </c>
      <c r="F205" s="8">
        <v>101.0155</v>
      </c>
      <c r="G205" s="9">
        <v>6.2374895855228304E-4</v>
      </c>
      <c r="H205" s="101">
        <v>4.1349499999999999</v>
      </c>
    </row>
    <row r="206" spans="1:15" ht="25.5" x14ac:dyDescent="0.2">
      <c r="A206" s="36">
        <v>22</v>
      </c>
      <c r="B206" s="6" t="s">
        <v>756</v>
      </c>
      <c r="C206" s="6" t="s">
        <v>757</v>
      </c>
      <c r="D206" s="6" t="s">
        <v>526</v>
      </c>
      <c r="E206" s="7">
        <v>10</v>
      </c>
      <c r="F206" s="8">
        <v>100.3874</v>
      </c>
      <c r="G206" s="9">
        <v>6.1987057631523329E-4</v>
      </c>
      <c r="H206" s="101">
        <v>4.5999999999999996</v>
      </c>
    </row>
    <row r="207" spans="1:15" x14ac:dyDescent="0.2">
      <c r="A207" s="34"/>
      <c r="B207" s="34"/>
      <c r="C207" s="35" t="s">
        <v>97</v>
      </c>
      <c r="D207" s="34"/>
      <c r="E207" s="34" t="s">
        <v>98</v>
      </c>
      <c r="F207" s="41">
        <v>16227.644199999999</v>
      </c>
      <c r="G207" s="42">
        <v>0.1002022082700872</v>
      </c>
      <c r="H207" s="101"/>
    </row>
    <row r="208" spans="1:15" x14ac:dyDescent="0.2">
      <c r="A208" s="34"/>
      <c r="B208" s="34"/>
      <c r="C208" s="43"/>
      <c r="D208" s="34"/>
      <c r="E208" s="34"/>
      <c r="F208" s="44"/>
      <c r="G208" s="44"/>
      <c r="H208" s="101"/>
    </row>
    <row r="209" spans="1:8" x14ac:dyDescent="0.2">
      <c r="A209" s="34"/>
      <c r="B209" s="34"/>
      <c r="C209" s="35" t="s">
        <v>106</v>
      </c>
      <c r="D209" s="34"/>
      <c r="E209" s="34"/>
      <c r="F209" s="34"/>
      <c r="G209" s="34"/>
      <c r="H209" s="101"/>
    </row>
    <row r="210" spans="1:8" x14ac:dyDescent="0.2">
      <c r="A210" s="34"/>
      <c r="B210" s="34"/>
      <c r="C210" s="35" t="s">
        <v>97</v>
      </c>
      <c r="D210" s="34"/>
      <c r="E210" s="34" t="s">
        <v>98</v>
      </c>
      <c r="F210" s="45">
        <v>0</v>
      </c>
      <c r="G210" s="46">
        <v>0</v>
      </c>
      <c r="H210" s="101"/>
    </row>
    <row r="211" spans="1:8" x14ac:dyDescent="0.2">
      <c r="A211" s="34"/>
      <c r="B211" s="34"/>
      <c r="C211" s="43"/>
      <c r="D211" s="34"/>
      <c r="E211" s="34"/>
      <c r="F211" s="44"/>
      <c r="G211" s="44"/>
      <c r="H211" s="101"/>
    </row>
    <row r="212" spans="1:8" x14ac:dyDescent="0.2">
      <c r="A212" s="34"/>
      <c r="B212" s="34"/>
      <c r="C212" s="35" t="s">
        <v>107</v>
      </c>
      <c r="D212" s="34"/>
      <c r="E212" s="34"/>
      <c r="F212" s="34"/>
      <c r="G212" s="34"/>
      <c r="H212" s="101"/>
    </row>
    <row r="213" spans="1:8" x14ac:dyDescent="0.2">
      <c r="A213" s="36">
        <v>1</v>
      </c>
      <c r="B213" s="37" t="s">
        <v>703</v>
      </c>
      <c r="C213" s="37" t="s">
        <v>704</v>
      </c>
      <c r="D213" s="37" t="s">
        <v>506</v>
      </c>
      <c r="E213" s="38">
        <v>1200000</v>
      </c>
      <c r="F213" s="39">
        <v>1254.3192000000001</v>
      </c>
      <c r="G213" s="40">
        <v>7.7451509391344179E-3</v>
      </c>
      <c r="H213" s="101">
        <v>4.9935</v>
      </c>
    </row>
    <row r="214" spans="1:8" x14ac:dyDescent="0.2">
      <c r="A214" s="36">
        <v>2</v>
      </c>
      <c r="B214" s="37" t="s">
        <v>701</v>
      </c>
      <c r="C214" s="37" t="s">
        <v>702</v>
      </c>
      <c r="D214" s="37" t="s">
        <v>506</v>
      </c>
      <c r="E214" s="38">
        <v>1200000</v>
      </c>
      <c r="F214" s="39">
        <v>1187.5488</v>
      </c>
      <c r="G214" s="40">
        <v>7.3328580983117782E-3</v>
      </c>
      <c r="H214" s="101">
        <v>5.5531999999999995</v>
      </c>
    </row>
    <row r="215" spans="1:8" x14ac:dyDescent="0.2">
      <c r="A215" s="36">
        <v>3</v>
      </c>
      <c r="B215" s="6" t="s">
        <v>760</v>
      </c>
      <c r="C215" s="6" t="s">
        <v>761</v>
      </c>
      <c r="D215" s="6" t="s">
        <v>506</v>
      </c>
      <c r="E215" s="7">
        <v>500000</v>
      </c>
      <c r="F215" s="8">
        <v>502.79250000000002</v>
      </c>
      <c r="G215" s="9">
        <v>3.1046354098420415E-3</v>
      </c>
      <c r="H215" s="101">
        <v>3.4721000000000002</v>
      </c>
    </row>
    <row r="216" spans="1:8" x14ac:dyDescent="0.2">
      <c r="A216" s="36">
        <v>4</v>
      </c>
      <c r="B216" s="6" t="s">
        <v>762</v>
      </c>
      <c r="C216" s="6" t="s">
        <v>763</v>
      </c>
      <c r="D216" s="6" t="s">
        <v>506</v>
      </c>
      <c r="E216" s="7">
        <v>500000</v>
      </c>
      <c r="F216" s="8">
        <v>497.29700000000003</v>
      </c>
      <c r="G216" s="9">
        <v>3.0707018808120998E-3</v>
      </c>
      <c r="H216" s="101">
        <v>4.6662500000000007</v>
      </c>
    </row>
    <row r="217" spans="1:8" x14ac:dyDescent="0.2">
      <c r="A217" s="36">
        <v>5</v>
      </c>
      <c r="B217" s="6" t="s">
        <v>707</v>
      </c>
      <c r="C217" s="6" t="s">
        <v>708</v>
      </c>
      <c r="D217" s="6" t="s">
        <v>506</v>
      </c>
      <c r="E217" s="7">
        <v>500000</v>
      </c>
      <c r="F217" s="8">
        <v>496.82100000000003</v>
      </c>
      <c r="G217" s="9">
        <v>3.067762683319924E-3</v>
      </c>
      <c r="H217" s="101">
        <v>5.7972000000000001</v>
      </c>
    </row>
    <row r="218" spans="1:8" ht="25.5" x14ac:dyDescent="0.2">
      <c r="A218" s="36">
        <v>6</v>
      </c>
      <c r="B218" s="6" t="s">
        <v>713</v>
      </c>
      <c r="C218" s="6" t="s">
        <v>714</v>
      </c>
      <c r="D218" s="6" t="s">
        <v>506</v>
      </c>
      <c r="E218" s="7">
        <v>300000</v>
      </c>
      <c r="F218" s="8">
        <v>312.5607</v>
      </c>
      <c r="G218" s="9">
        <v>1.9299950117494104E-3</v>
      </c>
      <c r="H218" s="101">
        <v>5.9295999999999998</v>
      </c>
    </row>
    <row r="219" spans="1:8" x14ac:dyDescent="0.2">
      <c r="A219" s="36">
        <v>7</v>
      </c>
      <c r="B219" s="6" t="s">
        <v>729</v>
      </c>
      <c r="C219" s="6" t="s">
        <v>730</v>
      </c>
      <c r="D219" s="6" t="s">
        <v>506</v>
      </c>
      <c r="E219" s="7">
        <v>200000</v>
      </c>
      <c r="F219" s="8">
        <v>205.31819999999999</v>
      </c>
      <c r="G219" s="9">
        <v>1.2677956691975918E-3</v>
      </c>
      <c r="H219" s="101">
        <v>4.3352000000000004</v>
      </c>
    </row>
    <row r="220" spans="1:8" ht="25.5" x14ac:dyDescent="0.2">
      <c r="A220" s="36">
        <v>8</v>
      </c>
      <c r="B220" s="6" t="s">
        <v>715</v>
      </c>
      <c r="C220" s="6" t="s">
        <v>716</v>
      </c>
      <c r="D220" s="6" t="s">
        <v>506</v>
      </c>
      <c r="E220" s="7">
        <v>200000</v>
      </c>
      <c r="F220" s="8">
        <v>204.6268</v>
      </c>
      <c r="G220" s="9">
        <v>1.26352642309236E-3</v>
      </c>
      <c r="H220" s="101">
        <v>4.3674999999999997</v>
      </c>
    </row>
    <row r="221" spans="1:8" ht="25.5" x14ac:dyDescent="0.2">
      <c r="A221" s="36">
        <v>9</v>
      </c>
      <c r="B221" s="6" t="s">
        <v>711</v>
      </c>
      <c r="C221" s="6" t="s">
        <v>712</v>
      </c>
      <c r="D221" s="6" t="s">
        <v>506</v>
      </c>
      <c r="E221" s="7">
        <v>200000</v>
      </c>
      <c r="F221" s="8">
        <v>196.59559999999999</v>
      </c>
      <c r="G221" s="9">
        <v>1.2139354926319348E-3</v>
      </c>
      <c r="H221" s="101">
        <v>5.6453000000000007</v>
      </c>
    </row>
    <row r="222" spans="1:8" x14ac:dyDescent="0.2">
      <c r="A222" s="36">
        <v>10</v>
      </c>
      <c r="B222" s="6" t="s">
        <v>721</v>
      </c>
      <c r="C222" s="6" t="s">
        <v>722</v>
      </c>
      <c r="D222" s="6" t="s">
        <v>506</v>
      </c>
      <c r="E222" s="7">
        <v>100000</v>
      </c>
      <c r="F222" s="8">
        <v>107.8733</v>
      </c>
      <c r="G222" s="9">
        <v>6.6609439670741605E-4</v>
      </c>
      <c r="H222" s="101">
        <v>5.6965500000000002</v>
      </c>
    </row>
    <row r="223" spans="1:8" ht="25.5" x14ac:dyDescent="0.2">
      <c r="A223" s="36">
        <v>11</v>
      </c>
      <c r="B223" s="6" t="s">
        <v>723</v>
      </c>
      <c r="C223" s="6" t="s">
        <v>724</v>
      </c>
      <c r="D223" s="6" t="s">
        <v>506</v>
      </c>
      <c r="E223" s="7">
        <v>100000</v>
      </c>
      <c r="F223" s="8">
        <v>107.2333</v>
      </c>
      <c r="G223" s="9">
        <v>6.6214253453306202E-4</v>
      </c>
      <c r="H223" s="101">
        <v>5.5722999999999994</v>
      </c>
    </row>
    <row r="224" spans="1:8" ht="25.5" x14ac:dyDescent="0.2">
      <c r="A224" s="36">
        <v>12</v>
      </c>
      <c r="B224" s="6" t="s">
        <v>725</v>
      </c>
      <c r="C224" s="6" t="s">
        <v>726</v>
      </c>
      <c r="D224" s="6" t="s">
        <v>506</v>
      </c>
      <c r="E224" s="7">
        <v>100000</v>
      </c>
      <c r="F224" s="8">
        <v>107.0545</v>
      </c>
      <c r="G224" s="9">
        <v>6.6103848303810189E-4</v>
      </c>
      <c r="H224" s="101">
        <v>5.5562500000000004</v>
      </c>
    </row>
    <row r="225" spans="1:8" ht="25.5" x14ac:dyDescent="0.2">
      <c r="A225" s="36">
        <v>13</v>
      </c>
      <c r="B225" s="6" t="s">
        <v>727</v>
      </c>
      <c r="C225" s="6" t="s">
        <v>728</v>
      </c>
      <c r="D225" s="6" t="s">
        <v>506</v>
      </c>
      <c r="E225" s="7">
        <v>100000</v>
      </c>
      <c r="F225" s="8">
        <v>103.0031</v>
      </c>
      <c r="G225" s="9">
        <v>6.360219605175113E-4</v>
      </c>
      <c r="H225" s="101">
        <v>6.1233999999999993</v>
      </c>
    </row>
    <row r="226" spans="1:8" ht="25.5" x14ac:dyDescent="0.2">
      <c r="A226" s="36">
        <v>14</v>
      </c>
      <c r="B226" s="6" t="s">
        <v>764</v>
      </c>
      <c r="C226" s="6" t="s">
        <v>765</v>
      </c>
      <c r="D226" s="6" t="s">
        <v>506</v>
      </c>
      <c r="E226" s="7">
        <v>100000</v>
      </c>
      <c r="F226" s="8">
        <v>101.8387</v>
      </c>
      <c r="G226" s="9">
        <v>6.2883204127404588E-4</v>
      </c>
      <c r="H226" s="101">
        <v>4.4493999999999998</v>
      </c>
    </row>
    <row r="227" spans="1:8" x14ac:dyDescent="0.2">
      <c r="A227" s="36">
        <v>15</v>
      </c>
      <c r="B227" s="6" t="s">
        <v>766</v>
      </c>
      <c r="C227" s="6" t="s">
        <v>767</v>
      </c>
      <c r="D227" s="6" t="s">
        <v>506</v>
      </c>
      <c r="E227" s="7">
        <v>100000</v>
      </c>
      <c r="F227" s="8">
        <v>101.8177</v>
      </c>
      <c r="G227" s="9">
        <v>6.2870237079644994E-4</v>
      </c>
      <c r="H227" s="101">
        <v>4.0000999999999998</v>
      </c>
    </row>
    <row r="228" spans="1:8" ht="25.5" x14ac:dyDescent="0.2">
      <c r="A228" s="36">
        <v>16</v>
      </c>
      <c r="B228" s="6" t="s">
        <v>731</v>
      </c>
      <c r="C228" s="6" t="s">
        <v>732</v>
      </c>
      <c r="D228" s="6" t="s">
        <v>506</v>
      </c>
      <c r="E228" s="7">
        <v>100000</v>
      </c>
      <c r="F228" s="8">
        <v>99.462000000000003</v>
      </c>
      <c r="G228" s="9">
        <v>6.1415643060250334E-4</v>
      </c>
      <c r="H228" s="101">
        <v>5.8666999999999998</v>
      </c>
    </row>
    <row r="229" spans="1:8" ht="25.5" x14ac:dyDescent="0.2">
      <c r="A229" s="36">
        <v>17</v>
      </c>
      <c r="B229" s="6" t="s">
        <v>733</v>
      </c>
      <c r="C229" s="6" t="s">
        <v>734</v>
      </c>
      <c r="D229" s="6" t="s">
        <v>506</v>
      </c>
      <c r="E229" s="7">
        <v>100000</v>
      </c>
      <c r="F229" s="8">
        <v>97.493300000000005</v>
      </c>
      <c r="G229" s="9">
        <v>6.0200013206711137E-4</v>
      </c>
      <c r="H229" s="101">
        <v>6.4559000000000006</v>
      </c>
    </row>
    <row r="230" spans="1:8" x14ac:dyDescent="0.2">
      <c r="A230" s="36">
        <v>18</v>
      </c>
      <c r="B230" s="6" t="s">
        <v>735</v>
      </c>
      <c r="C230" s="6" t="s">
        <v>736</v>
      </c>
      <c r="D230" s="6" t="s">
        <v>506</v>
      </c>
      <c r="E230" s="7">
        <v>50000</v>
      </c>
      <c r="F230" s="8">
        <v>50.810949999999998</v>
      </c>
      <c r="G230" s="9">
        <v>3.1374667398124169E-4</v>
      </c>
      <c r="H230" s="101">
        <v>3.9089</v>
      </c>
    </row>
    <row r="231" spans="1:8" x14ac:dyDescent="0.2">
      <c r="A231" s="34"/>
      <c r="B231" s="34"/>
      <c r="C231" s="35" t="s">
        <v>97</v>
      </c>
      <c r="D231" s="34"/>
      <c r="E231" s="34" t="s">
        <v>98</v>
      </c>
      <c r="F231" s="41">
        <v>5734.4666500000003</v>
      </c>
      <c r="G231" s="42">
        <v>3.5409096631609002E-2</v>
      </c>
      <c r="H231" s="101"/>
    </row>
    <row r="232" spans="1:8" x14ac:dyDescent="0.2">
      <c r="A232" s="34"/>
      <c r="B232" s="34"/>
      <c r="C232" s="43"/>
      <c r="D232" s="34"/>
      <c r="E232" s="34"/>
      <c r="F232" s="44"/>
      <c r="G232" s="44"/>
      <c r="H232" s="101"/>
    </row>
    <row r="233" spans="1:8" x14ac:dyDescent="0.2">
      <c r="A233" s="34"/>
      <c r="B233" s="34"/>
      <c r="C233" s="35" t="s">
        <v>108</v>
      </c>
      <c r="D233" s="34"/>
      <c r="E233" s="34"/>
      <c r="F233" s="44"/>
      <c r="G233" s="44"/>
      <c r="H233" s="101"/>
    </row>
    <row r="234" spans="1:8" x14ac:dyDescent="0.2">
      <c r="A234" s="34"/>
      <c r="B234" s="34"/>
      <c r="C234" s="35" t="s">
        <v>97</v>
      </c>
      <c r="D234" s="34"/>
      <c r="E234" s="34" t="s">
        <v>98</v>
      </c>
      <c r="F234" s="45">
        <v>0</v>
      </c>
      <c r="G234" s="46">
        <v>0</v>
      </c>
      <c r="H234" s="101"/>
    </row>
    <row r="235" spans="1:8" x14ac:dyDescent="0.2">
      <c r="A235" s="34"/>
      <c r="B235" s="34"/>
      <c r="C235" s="43"/>
      <c r="D235" s="34"/>
      <c r="E235" s="34"/>
      <c r="F235" s="44"/>
      <c r="G235" s="44"/>
      <c r="H235" s="101"/>
    </row>
    <row r="236" spans="1:8" x14ac:dyDescent="0.2">
      <c r="A236" s="34"/>
      <c r="B236" s="34"/>
      <c r="C236" s="35" t="s">
        <v>109</v>
      </c>
      <c r="D236" s="34"/>
      <c r="E236" s="34"/>
      <c r="F236" s="41">
        <v>21962.110849999997</v>
      </c>
      <c r="G236" s="42">
        <v>0.13561130490169621</v>
      </c>
      <c r="H236" s="101"/>
    </row>
    <row r="237" spans="1:8" x14ac:dyDescent="0.2">
      <c r="A237" s="34"/>
      <c r="B237" s="34"/>
      <c r="C237" s="43"/>
      <c r="D237" s="34"/>
      <c r="E237" s="34"/>
      <c r="F237" s="44"/>
      <c r="G237" s="44"/>
      <c r="H237" s="101"/>
    </row>
    <row r="238" spans="1:8" x14ac:dyDescent="0.2">
      <c r="A238" s="34"/>
      <c r="B238" s="34"/>
      <c r="C238" s="35" t="s">
        <v>110</v>
      </c>
      <c r="D238" s="34"/>
      <c r="E238" s="34"/>
      <c r="F238" s="44"/>
      <c r="G238" s="44"/>
      <c r="H238" s="101"/>
    </row>
    <row r="239" spans="1:8" x14ac:dyDescent="0.2">
      <c r="A239" s="34"/>
      <c r="B239" s="34"/>
      <c r="C239" s="35" t="s">
        <v>111</v>
      </c>
      <c r="D239" s="34"/>
      <c r="E239" s="34"/>
      <c r="F239" s="44"/>
      <c r="G239" s="44"/>
      <c r="H239" s="101"/>
    </row>
    <row r="240" spans="1:8" x14ac:dyDescent="0.2">
      <c r="A240" s="34"/>
      <c r="B240" s="34"/>
      <c r="C240" s="35" t="s">
        <v>97</v>
      </c>
      <c r="D240" s="34"/>
      <c r="E240" s="34" t="s">
        <v>98</v>
      </c>
      <c r="F240" s="45">
        <v>0</v>
      </c>
      <c r="G240" s="46">
        <v>0</v>
      </c>
      <c r="H240" s="101"/>
    </row>
    <row r="241" spans="1:8" x14ac:dyDescent="0.2">
      <c r="A241" s="34"/>
      <c r="B241" s="34"/>
      <c r="C241" s="43"/>
      <c r="D241" s="34"/>
      <c r="E241" s="34"/>
      <c r="F241" s="44"/>
      <c r="G241" s="44"/>
      <c r="H241" s="101"/>
    </row>
    <row r="242" spans="1:8" x14ac:dyDescent="0.2">
      <c r="A242" s="34"/>
      <c r="B242" s="34"/>
      <c r="C242" s="35" t="s">
        <v>112</v>
      </c>
      <c r="D242" s="34"/>
      <c r="E242" s="34"/>
      <c r="F242" s="44"/>
      <c r="G242" s="44"/>
      <c r="H242" s="101"/>
    </row>
    <row r="243" spans="1:8" x14ac:dyDescent="0.2">
      <c r="A243" s="36">
        <v>1</v>
      </c>
      <c r="B243" s="37" t="s">
        <v>1048</v>
      </c>
      <c r="C243" s="37" t="s">
        <v>1049</v>
      </c>
      <c r="D243" s="37" t="s">
        <v>770</v>
      </c>
      <c r="E243" s="38">
        <v>300</v>
      </c>
      <c r="F243" s="39">
        <v>1493.385</v>
      </c>
      <c r="G243" s="40">
        <v>9.2213307706995578E-3</v>
      </c>
      <c r="H243" s="101">
        <v>3.6749999999999998</v>
      </c>
    </row>
    <row r="244" spans="1:8" x14ac:dyDescent="0.2">
      <c r="A244" s="5">
        <v>2</v>
      </c>
      <c r="B244" s="6" t="s">
        <v>768</v>
      </c>
      <c r="C244" s="6" t="s">
        <v>769</v>
      </c>
      <c r="D244" s="6" t="s">
        <v>770</v>
      </c>
      <c r="E244" s="7">
        <v>20</v>
      </c>
      <c r="F244" s="8">
        <v>99.901499999999999</v>
      </c>
      <c r="G244" s="9">
        <v>6.1687024845504793E-4</v>
      </c>
      <c r="H244" s="101">
        <v>3.5999999999999996</v>
      </c>
    </row>
    <row r="245" spans="1:8" x14ac:dyDescent="0.2">
      <c r="A245" s="34"/>
      <c r="B245" s="34"/>
      <c r="C245" s="35" t="s">
        <v>97</v>
      </c>
      <c r="D245" s="34"/>
      <c r="E245" s="34" t="s">
        <v>98</v>
      </c>
      <c r="F245" s="41">
        <v>1593.2864999999999</v>
      </c>
      <c r="G245" s="42">
        <v>9.8382010191546063E-3</v>
      </c>
      <c r="H245" s="101"/>
    </row>
    <row r="246" spans="1:8" x14ac:dyDescent="0.2">
      <c r="A246" s="34"/>
      <c r="B246" s="34"/>
      <c r="C246" s="43"/>
      <c r="D246" s="34"/>
      <c r="E246" s="34"/>
      <c r="F246" s="44"/>
      <c r="G246" s="44"/>
      <c r="H246" s="101"/>
    </row>
    <row r="247" spans="1:8" x14ac:dyDescent="0.2">
      <c r="A247" s="34"/>
      <c r="B247" s="34"/>
      <c r="C247" s="35" t="s">
        <v>113</v>
      </c>
      <c r="D247" s="34"/>
      <c r="E247" s="34"/>
      <c r="F247" s="44"/>
      <c r="G247" s="44"/>
      <c r="H247" s="101"/>
    </row>
    <row r="248" spans="1:8" ht="15" x14ac:dyDescent="0.25">
      <c r="A248" s="5">
        <v>1</v>
      </c>
      <c r="B248" s="6" t="s">
        <v>504</v>
      </c>
      <c r="C248" s="6" t="s">
        <v>505</v>
      </c>
      <c r="D248" s="6" t="s">
        <v>506</v>
      </c>
      <c r="E248" s="7">
        <v>62000</v>
      </c>
      <c r="F248" s="8">
        <v>61.972410000000004</v>
      </c>
      <c r="G248" s="9">
        <v>3.8266628583212564E-4</v>
      </c>
      <c r="H248" s="88">
        <v>3.25</v>
      </c>
    </row>
    <row r="249" spans="1:8" x14ac:dyDescent="0.2">
      <c r="A249" s="3"/>
      <c r="B249" s="3"/>
      <c r="C249" s="4" t="s">
        <v>97</v>
      </c>
      <c r="D249" s="3"/>
      <c r="E249" s="3" t="s">
        <v>98</v>
      </c>
      <c r="F249" s="11">
        <v>61.972410000000004</v>
      </c>
      <c r="G249" s="12">
        <v>3.8266628583212564E-4</v>
      </c>
      <c r="H249" s="101"/>
    </row>
    <row r="250" spans="1:8" x14ac:dyDescent="0.2">
      <c r="A250" s="3"/>
      <c r="B250" s="3"/>
      <c r="C250" s="4"/>
      <c r="D250" s="3"/>
      <c r="E250" s="3"/>
      <c r="F250" s="11"/>
      <c r="G250" s="12"/>
      <c r="H250" s="101"/>
    </row>
    <row r="251" spans="1:8" x14ac:dyDescent="0.2">
      <c r="A251" s="34"/>
      <c r="B251" s="34"/>
      <c r="C251" s="35" t="s">
        <v>114</v>
      </c>
      <c r="D251" s="34"/>
      <c r="E251" s="34"/>
      <c r="F251" s="44"/>
      <c r="G251" s="44"/>
      <c r="H251" s="101"/>
    </row>
    <row r="252" spans="1:8" x14ac:dyDescent="0.2">
      <c r="A252" s="36">
        <v>1</v>
      </c>
      <c r="B252" s="37"/>
      <c r="C252" s="37" t="s">
        <v>115</v>
      </c>
      <c r="D252" s="37"/>
      <c r="E252" s="47"/>
      <c r="F252" s="39">
        <v>1763.7461934999999</v>
      </c>
      <c r="G252" s="40">
        <v>1.0890752917583721E-2</v>
      </c>
      <c r="H252" s="8">
        <v>3.4504560529072292</v>
      </c>
    </row>
    <row r="253" spans="1:8" x14ac:dyDescent="0.2">
      <c r="A253" s="36">
        <v>2</v>
      </c>
      <c r="B253" s="37"/>
      <c r="C253" s="37" t="s">
        <v>116</v>
      </c>
      <c r="D253" s="37"/>
      <c r="E253" s="47"/>
      <c r="F253" s="39">
        <v>951.90683230000002</v>
      </c>
      <c r="G253" s="40">
        <v>5.8778196938680466E-3</v>
      </c>
      <c r="H253" s="8">
        <v>3.5655822479098256</v>
      </c>
    </row>
    <row r="254" spans="1:8" x14ac:dyDescent="0.2">
      <c r="A254" s="34"/>
      <c r="B254" s="34"/>
      <c r="C254" s="35" t="s">
        <v>97</v>
      </c>
      <c r="D254" s="34"/>
      <c r="E254" s="34" t="s">
        <v>98</v>
      </c>
      <c r="F254" s="41">
        <v>2715.6530257999998</v>
      </c>
      <c r="G254" s="42">
        <v>1.6768572611451767E-2</v>
      </c>
      <c r="H254" s="101"/>
    </row>
    <row r="255" spans="1:8" x14ac:dyDescent="0.2">
      <c r="A255" s="34"/>
      <c r="B255" s="34"/>
      <c r="C255" s="43"/>
      <c r="D255" s="34"/>
      <c r="E255" s="34"/>
      <c r="F255" s="44"/>
      <c r="G255" s="44"/>
      <c r="H255" s="101"/>
    </row>
    <row r="256" spans="1:8" x14ac:dyDescent="0.2">
      <c r="A256" s="34"/>
      <c r="B256" s="34"/>
      <c r="C256" s="35" t="s">
        <v>117</v>
      </c>
      <c r="D256" s="34"/>
      <c r="E256" s="34"/>
      <c r="F256" s="41">
        <v>4370.9119357999998</v>
      </c>
      <c r="G256" s="42">
        <v>2.6989439916438498E-2</v>
      </c>
      <c r="H256" s="101"/>
    </row>
    <row r="257" spans="1:8" x14ac:dyDescent="0.2">
      <c r="A257" s="34"/>
      <c r="B257" s="34"/>
      <c r="C257" s="44"/>
      <c r="D257" s="34"/>
      <c r="E257" s="34"/>
      <c r="F257" s="34"/>
      <c r="G257" s="34"/>
      <c r="H257" s="101"/>
    </row>
    <row r="258" spans="1:8" x14ac:dyDescent="0.2">
      <c r="A258" s="34"/>
      <c r="B258" s="34"/>
      <c r="C258" s="35" t="s">
        <v>118</v>
      </c>
      <c r="D258" s="34"/>
      <c r="E258" s="34"/>
      <c r="F258" s="34"/>
      <c r="G258" s="34"/>
      <c r="H258" s="101"/>
    </row>
    <row r="259" spans="1:8" x14ac:dyDescent="0.2">
      <c r="A259" s="34"/>
      <c r="B259" s="34"/>
      <c r="C259" s="35" t="s">
        <v>119</v>
      </c>
      <c r="D259" s="34"/>
      <c r="E259" s="34"/>
      <c r="F259" s="34"/>
      <c r="G259" s="34"/>
      <c r="H259" s="101"/>
    </row>
    <row r="260" spans="1:8" x14ac:dyDescent="0.2">
      <c r="A260" s="34"/>
      <c r="B260" s="34"/>
      <c r="C260" s="35" t="s">
        <v>97</v>
      </c>
      <c r="D260" s="34"/>
      <c r="E260" s="34" t="s">
        <v>98</v>
      </c>
      <c r="F260" s="45">
        <v>0</v>
      </c>
      <c r="G260" s="46">
        <v>0</v>
      </c>
      <c r="H260" s="101"/>
    </row>
    <row r="261" spans="1:8" x14ac:dyDescent="0.2">
      <c r="A261" s="34"/>
      <c r="B261" s="34"/>
      <c r="C261" s="43"/>
      <c r="D261" s="34"/>
      <c r="E261" s="34"/>
      <c r="F261" s="44"/>
      <c r="G261" s="44"/>
      <c r="H261" s="101"/>
    </row>
    <row r="262" spans="1:8" x14ac:dyDescent="0.2">
      <c r="A262" s="34"/>
      <c r="B262" s="34"/>
      <c r="C262" s="35" t="s">
        <v>120</v>
      </c>
      <c r="D262" s="34"/>
      <c r="E262" s="34"/>
      <c r="F262" s="34"/>
      <c r="G262" s="34"/>
      <c r="H262" s="101"/>
    </row>
    <row r="263" spans="1:8" x14ac:dyDescent="0.2">
      <c r="A263" s="34"/>
      <c r="B263" s="34"/>
      <c r="C263" s="35" t="s">
        <v>121</v>
      </c>
      <c r="D263" s="34"/>
      <c r="E263" s="34"/>
      <c r="F263" s="34"/>
      <c r="G263" s="34"/>
      <c r="H263" s="101"/>
    </row>
    <row r="264" spans="1:8" x14ac:dyDescent="0.2">
      <c r="A264" s="34"/>
      <c r="B264" s="34"/>
      <c r="C264" s="35" t="s">
        <v>97</v>
      </c>
      <c r="D264" s="34"/>
      <c r="E264" s="34" t="s">
        <v>98</v>
      </c>
      <c r="F264" s="45">
        <v>0</v>
      </c>
      <c r="G264" s="46">
        <v>0</v>
      </c>
      <c r="H264" s="101"/>
    </row>
    <row r="265" spans="1:8" x14ac:dyDescent="0.2">
      <c r="A265" s="34"/>
      <c r="B265" s="34"/>
      <c r="C265" s="43"/>
      <c r="D265" s="34"/>
      <c r="E265" s="34"/>
      <c r="F265" s="44"/>
      <c r="G265" s="44"/>
      <c r="H265" s="101"/>
    </row>
    <row r="266" spans="1:8" ht="25.5" x14ac:dyDescent="0.2">
      <c r="A266" s="34"/>
      <c r="B266" s="34"/>
      <c r="C266" s="35" t="s">
        <v>122</v>
      </c>
      <c r="D266" s="34"/>
      <c r="E266" s="34"/>
      <c r="F266" s="44"/>
      <c r="G266" s="44"/>
      <c r="H266" s="101"/>
    </row>
    <row r="267" spans="1:8" x14ac:dyDescent="0.2">
      <c r="A267" s="34"/>
      <c r="B267" s="34"/>
      <c r="C267" s="35" t="s">
        <v>97</v>
      </c>
      <c r="D267" s="34"/>
      <c r="E267" s="34" t="s">
        <v>98</v>
      </c>
      <c r="F267" s="45">
        <v>0</v>
      </c>
      <c r="G267" s="46">
        <v>0</v>
      </c>
      <c r="H267" s="101"/>
    </row>
    <row r="268" spans="1:8" x14ac:dyDescent="0.2">
      <c r="A268" s="34"/>
      <c r="B268" s="34"/>
      <c r="C268" s="43"/>
      <c r="D268" s="34"/>
      <c r="E268" s="34"/>
      <c r="F268" s="44"/>
      <c r="G268" s="44"/>
      <c r="H268" s="101"/>
    </row>
    <row r="269" spans="1:8" x14ac:dyDescent="0.2">
      <c r="A269" s="47"/>
      <c r="B269" s="37"/>
      <c r="C269" s="37" t="s">
        <v>907</v>
      </c>
      <c r="D269" s="37"/>
      <c r="E269" s="47"/>
      <c r="F269" s="39">
        <v>10406.120271900001</v>
      </c>
      <c r="G269" s="40">
        <v>6.4255551694219454E-2</v>
      </c>
      <c r="H269" s="101"/>
    </row>
    <row r="270" spans="1:8" x14ac:dyDescent="0.2">
      <c r="A270" s="47"/>
      <c r="B270" s="37"/>
      <c r="C270" s="37" t="s">
        <v>1016</v>
      </c>
      <c r="D270" s="37"/>
      <c r="E270" s="47"/>
      <c r="F270" s="39">
        <v>6499.21682410004</v>
      </c>
      <c r="G270" s="40">
        <v>4.0131264265759969E-2</v>
      </c>
      <c r="H270" s="101"/>
    </row>
    <row r="271" spans="1:8" x14ac:dyDescent="0.2">
      <c r="A271" s="43"/>
      <c r="B271" s="43"/>
      <c r="C271" s="35" t="s">
        <v>124</v>
      </c>
      <c r="D271" s="44"/>
      <c r="E271" s="44"/>
      <c r="F271" s="41">
        <v>161948.96779380005</v>
      </c>
      <c r="G271" s="42">
        <v>0.99999999999999944</v>
      </c>
      <c r="H271" s="101"/>
    </row>
    <row r="272" spans="1:8" ht="14.1" customHeight="1" x14ac:dyDescent="0.2">
      <c r="A272" s="48"/>
      <c r="B272" s="48"/>
      <c r="C272" s="48"/>
      <c r="D272" s="49"/>
      <c r="E272" s="49"/>
      <c r="F272" s="49"/>
      <c r="G272" s="67"/>
    </row>
    <row r="273" spans="1:7" ht="17.100000000000001" customHeight="1" x14ac:dyDescent="0.2">
      <c r="A273" s="50"/>
      <c r="B273" s="251" t="s">
        <v>1017</v>
      </c>
      <c r="C273" s="251"/>
      <c r="D273" s="251"/>
      <c r="E273" s="251"/>
      <c r="F273" s="251"/>
    </row>
    <row r="274" spans="1:7" ht="17.100000000000001" customHeight="1" x14ac:dyDescent="0.2">
      <c r="A274" s="50"/>
      <c r="B274" s="251" t="s">
        <v>1018</v>
      </c>
      <c r="C274" s="251"/>
      <c r="D274" s="251"/>
      <c r="E274" s="251"/>
      <c r="F274" s="251"/>
      <c r="G274" s="51"/>
    </row>
    <row r="275" spans="1:7" ht="14.1" customHeight="1" x14ac:dyDescent="0.2">
      <c r="A275" s="50"/>
      <c r="B275" s="50"/>
      <c r="C275" s="50"/>
      <c r="D275" s="51"/>
      <c r="E275" s="51"/>
      <c r="F275" s="51"/>
      <c r="G275" s="51"/>
    </row>
    <row r="276" spans="1:7" ht="14.1" customHeight="1" x14ac:dyDescent="0.2">
      <c r="A276" s="50"/>
      <c r="B276" s="253" t="s">
        <v>126</v>
      </c>
      <c r="C276" s="254"/>
      <c r="D276" s="255"/>
      <c r="E276" s="52"/>
      <c r="F276" s="51"/>
      <c r="G276" s="51"/>
    </row>
    <row r="277" spans="1:7" ht="29.1" customHeight="1" x14ac:dyDescent="0.2">
      <c r="A277" s="50"/>
      <c r="B277" s="239" t="s">
        <v>127</v>
      </c>
      <c r="C277" s="240"/>
      <c r="D277" s="35" t="s">
        <v>128</v>
      </c>
      <c r="E277" s="52"/>
      <c r="F277" s="51"/>
      <c r="G277" s="51"/>
    </row>
    <row r="278" spans="1:7" ht="17.100000000000001" customHeight="1" x14ac:dyDescent="0.2">
      <c r="A278" s="50"/>
      <c r="B278" s="239" t="s">
        <v>129</v>
      </c>
      <c r="C278" s="240"/>
      <c r="D278" s="35" t="s">
        <v>128</v>
      </c>
      <c r="E278" s="52"/>
      <c r="F278" s="51"/>
      <c r="G278" s="51"/>
    </row>
    <row r="279" spans="1:7" ht="17.100000000000001" customHeight="1" x14ac:dyDescent="0.2">
      <c r="A279" s="20"/>
      <c r="B279" s="231" t="s">
        <v>1055</v>
      </c>
      <c r="C279" s="235"/>
      <c r="D279" s="232"/>
      <c r="E279" s="23"/>
      <c r="F279" s="22"/>
      <c r="G279" s="22"/>
    </row>
    <row r="280" spans="1:7" ht="24" customHeight="1" x14ac:dyDescent="0.2">
      <c r="A280" s="24"/>
      <c r="B280" s="25" t="s">
        <v>98</v>
      </c>
      <c r="C280" s="25" t="s">
        <v>131</v>
      </c>
      <c r="D280" s="25" t="s">
        <v>132</v>
      </c>
      <c r="E280" s="24"/>
      <c r="F280" s="24"/>
      <c r="G280" s="24"/>
    </row>
    <row r="281" spans="1:7" ht="18" customHeight="1" x14ac:dyDescent="0.2">
      <c r="A281" s="24"/>
      <c r="B281" s="25" t="s">
        <v>133</v>
      </c>
      <c r="C281" s="25" t="s">
        <v>134</v>
      </c>
      <c r="D281" s="25" t="s">
        <v>135</v>
      </c>
      <c r="E281" s="24"/>
      <c r="F281" s="24"/>
      <c r="G281" s="24"/>
    </row>
    <row r="282" spans="1:7" x14ac:dyDescent="0.2">
      <c r="A282" s="24"/>
      <c r="B282" s="6" t="s">
        <v>136</v>
      </c>
      <c r="C282" s="86">
        <v>27.76</v>
      </c>
      <c r="D282" s="26">
        <v>28.036100000000001</v>
      </c>
      <c r="E282" s="24"/>
      <c r="F282" s="21"/>
      <c r="G282" s="27"/>
    </row>
    <row r="283" spans="1:7" x14ac:dyDescent="0.2">
      <c r="A283" s="24"/>
      <c r="B283" s="6" t="s">
        <v>1060</v>
      </c>
      <c r="C283" s="86">
        <v>16.68</v>
      </c>
      <c r="D283" s="26">
        <v>16.7774</v>
      </c>
      <c r="E283" s="24"/>
      <c r="F283" s="21"/>
      <c r="G283" s="27"/>
    </row>
    <row r="284" spans="1:7" x14ac:dyDescent="0.2">
      <c r="A284" s="24"/>
      <c r="B284" s="6" t="s">
        <v>137</v>
      </c>
      <c r="C284" s="86">
        <v>24.99</v>
      </c>
      <c r="D284" s="26">
        <v>25.200500000000002</v>
      </c>
      <c r="E284" s="24"/>
      <c r="F284" s="21"/>
      <c r="G284" s="27"/>
    </row>
    <row r="285" spans="1:7" x14ac:dyDescent="0.2">
      <c r="A285" s="24"/>
      <c r="B285" s="6" t="s">
        <v>1061</v>
      </c>
      <c r="C285" s="86">
        <v>14.4</v>
      </c>
      <c r="D285" s="26">
        <v>14.470499999999999</v>
      </c>
      <c r="E285" s="24"/>
      <c r="F285" s="21"/>
      <c r="G285" s="27"/>
    </row>
    <row r="286" spans="1:7" ht="17.100000000000001" customHeight="1" x14ac:dyDescent="0.2">
      <c r="A286" s="20"/>
      <c r="B286" s="231" t="s">
        <v>1056</v>
      </c>
      <c r="C286" s="235"/>
      <c r="D286" s="232"/>
      <c r="E286" s="23"/>
      <c r="F286" s="22"/>
      <c r="G286" s="22"/>
    </row>
    <row r="287" spans="1:7" ht="24" customHeight="1" x14ac:dyDescent="0.2">
      <c r="A287" s="53"/>
      <c r="B287" s="54" t="s">
        <v>98</v>
      </c>
      <c r="C287" s="54" t="s">
        <v>131</v>
      </c>
      <c r="D287" s="54" t="s">
        <v>132</v>
      </c>
      <c r="E287" s="53"/>
      <c r="F287" s="53"/>
      <c r="G287" s="53"/>
    </row>
    <row r="288" spans="1:7" ht="18" customHeight="1" x14ac:dyDescent="0.2">
      <c r="A288" s="53"/>
      <c r="B288" s="55" t="s">
        <v>133</v>
      </c>
      <c r="C288" s="54" t="s">
        <v>134</v>
      </c>
      <c r="D288" s="54" t="s">
        <v>135</v>
      </c>
      <c r="E288" s="53"/>
      <c r="F288" s="53"/>
      <c r="G288" s="53"/>
    </row>
    <row r="289" spans="1:17" ht="17.100000000000001" customHeight="1" x14ac:dyDescent="0.2">
      <c r="A289" s="53"/>
      <c r="B289" s="37" t="s">
        <v>136</v>
      </c>
      <c r="C289" s="56">
        <v>14.9842</v>
      </c>
      <c r="D289" s="56">
        <v>15.1454</v>
      </c>
      <c r="E289" s="53"/>
      <c r="F289" s="57"/>
      <c r="G289" s="58"/>
    </row>
    <row r="290" spans="1:17" ht="17.100000000000001" customHeight="1" x14ac:dyDescent="0.2">
      <c r="A290" s="53"/>
      <c r="B290" s="37" t="s">
        <v>1201</v>
      </c>
      <c r="C290" s="56">
        <v>13.945600000000001</v>
      </c>
      <c r="D290" s="56">
        <v>14.095599999999999</v>
      </c>
      <c r="E290" s="53"/>
      <c r="F290" s="57"/>
      <c r="G290" s="58"/>
    </row>
    <row r="291" spans="1:17" ht="17.100000000000001" customHeight="1" x14ac:dyDescent="0.2">
      <c r="A291" s="53"/>
      <c r="B291" s="37" t="s">
        <v>137</v>
      </c>
      <c r="C291" s="56">
        <v>14.4963</v>
      </c>
      <c r="D291" s="56">
        <v>14.6302</v>
      </c>
      <c r="E291" s="53"/>
      <c r="F291" s="57"/>
      <c r="G291" s="58"/>
    </row>
    <row r="292" spans="1:17" ht="17.100000000000001" customHeight="1" x14ac:dyDescent="0.2">
      <c r="A292" s="53"/>
      <c r="B292" s="37" t="s">
        <v>1202</v>
      </c>
      <c r="C292" s="56">
        <v>13.490399999999999</v>
      </c>
      <c r="D292" s="56">
        <v>13.615</v>
      </c>
      <c r="E292" s="53"/>
      <c r="F292" s="57"/>
      <c r="G292" s="58"/>
    </row>
    <row r="293" spans="1:17" ht="14.1" customHeight="1" x14ac:dyDescent="0.2">
      <c r="A293" s="53"/>
      <c r="B293" s="53"/>
      <c r="C293" s="53"/>
      <c r="D293" s="53"/>
      <c r="E293" s="53"/>
      <c r="F293" s="53"/>
      <c r="G293" s="53"/>
    </row>
    <row r="294" spans="1:17" x14ac:dyDescent="0.2">
      <c r="A294" s="24"/>
      <c r="B294" s="261" t="s">
        <v>1058</v>
      </c>
      <c r="C294" s="262"/>
      <c r="D294" s="263"/>
      <c r="E294" s="24"/>
      <c r="F294" s="24"/>
      <c r="G294" s="24"/>
    </row>
    <row r="295" spans="1:17" x14ac:dyDescent="0.2">
      <c r="A295" s="24"/>
      <c r="B295" s="81" t="s">
        <v>133</v>
      </c>
      <c r="C295" s="82" t="s">
        <v>1019</v>
      </c>
      <c r="D295" s="82" t="s">
        <v>1020</v>
      </c>
      <c r="E295" s="24"/>
      <c r="F295" s="24"/>
      <c r="G295" s="24"/>
    </row>
    <row r="296" spans="1:17" x14ac:dyDescent="0.2">
      <c r="A296" s="24"/>
      <c r="B296" s="6" t="s">
        <v>1060</v>
      </c>
      <c r="C296" s="83">
        <v>6.5799999999999997E-2</v>
      </c>
      <c r="D296" s="84">
        <v>6.5799999999999997E-2</v>
      </c>
      <c r="E296" s="24"/>
      <c r="F296" s="21"/>
      <c r="G296" s="27"/>
    </row>
    <row r="297" spans="1:17" x14ac:dyDescent="0.2">
      <c r="A297" s="24"/>
      <c r="B297" s="6" t="s">
        <v>1061</v>
      </c>
      <c r="C297" s="83">
        <v>5.67E-2</v>
      </c>
      <c r="D297" s="83">
        <v>5.67E-2</v>
      </c>
      <c r="E297" s="24"/>
      <c r="F297" s="21"/>
      <c r="G297" s="27"/>
    </row>
    <row r="298" spans="1:17" x14ac:dyDescent="0.2">
      <c r="A298" s="24"/>
      <c r="B298" s="65"/>
      <c r="C298" s="80"/>
      <c r="D298" s="66"/>
      <c r="E298" s="24"/>
      <c r="F298" s="24"/>
      <c r="G298" s="24"/>
    </row>
    <row r="299" spans="1:17" x14ac:dyDescent="0.2">
      <c r="A299" s="24"/>
      <c r="B299" s="231" t="s">
        <v>1057</v>
      </c>
      <c r="C299" s="232"/>
      <c r="D299" s="4" t="s">
        <v>1059</v>
      </c>
      <c r="E299" s="24"/>
      <c r="F299" s="24"/>
      <c r="G299" s="24"/>
    </row>
    <row r="300" spans="1:17" ht="17.100000000000001" customHeight="1" x14ac:dyDescent="0.2">
      <c r="A300" s="53"/>
      <c r="B300" s="239" t="s">
        <v>1203</v>
      </c>
      <c r="C300" s="240"/>
      <c r="D300" s="35" t="s">
        <v>98</v>
      </c>
      <c r="E300" s="53"/>
      <c r="F300" s="53"/>
      <c r="G300" s="53"/>
    </row>
    <row r="301" spans="1:17" ht="18" customHeight="1" x14ac:dyDescent="0.2">
      <c r="A301" s="53"/>
      <c r="B301" s="28"/>
      <c r="C301" s="28"/>
      <c r="D301" s="28"/>
      <c r="E301" s="53"/>
      <c r="F301" s="53"/>
      <c r="G301" s="53"/>
    </row>
    <row r="302" spans="1:17" s="87" customFormat="1" x14ac:dyDescent="0.2">
      <c r="B302" s="233" t="s">
        <v>1207</v>
      </c>
      <c r="C302" s="233"/>
      <c r="D302" s="233"/>
      <c r="E302" s="233"/>
      <c r="F302" s="233"/>
      <c r="I302" s="69"/>
      <c r="J302" s="69"/>
      <c r="K302" s="69"/>
      <c r="L302" s="69"/>
      <c r="M302" s="69"/>
      <c r="N302" s="69"/>
      <c r="O302" s="69"/>
      <c r="P302" s="69"/>
      <c r="Q302" s="69"/>
    </row>
    <row r="303" spans="1:17" ht="14.1" customHeight="1" x14ac:dyDescent="0.2">
      <c r="A303" s="53"/>
      <c r="B303" s="57"/>
      <c r="C303" s="57"/>
      <c r="D303" s="53"/>
      <c r="E303" s="53"/>
      <c r="F303" s="53"/>
      <c r="G303" s="53"/>
    </row>
    <row r="304" spans="1:17" ht="29.1" customHeight="1" x14ac:dyDescent="0.2">
      <c r="A304" s="53"/>
      <c r="B304" s="239" t="s">
        <v>138</v>
      </c>
      <c r="C304" s="240"/>
      <c r="D304" s="35" t="s">
        <v>1154</v>
      </c>
      <c r="E304" s="62"/>
      <c r="F304" s="53"/>
      <c r="G304" s="53"/>
    </row>
    <row r="305" spans="1:7" ht="29.1" customHeight="1" x14ac:dyDescent="0.2">
      <c r="A305" s="53"/>
      <c r="B305" s="239" t="s">
        <v>139</v>
      </c>
      <c r="C305" s="240"/>
      <c r="D305" s="35" t="s">
        <v>128</v>
      </c>
      <c r="E305" s="62"/>
      <c r="F305" s="53"/>
      <c r="G305" s="53"/>
    </row>
    <row r="306" spans="1:7" ht="17.100000000000001" customHeight="1" x14ac:dyDescent="0.2">
      <c r="A306" s="53"/>
      <c r="B306" s="239" t="s">
        <v>1182</v>
      </c>
      <c r="C306" s="240"/>
      <c r="D306" s="63">
        <v>0.1966651362468754</v>
      </c>
      <c r="E306" s="62"/>
      <c r="F306" s="53"/>
      <c r="G306" s="53"/>
    </row>
    <row r="307" spans="1:7" ht="17.100000000000001" customHeight="1" x14ac:dyDescent="0.2">
      <c r="A307" s="53"/>
      <c r="B307" s="239" t="s">
        <v>1021</v>
      </c>
      <c r="C307" s="240"/>
      <c r="D307" s="63">
        <v>0.20449999801622457</v>
      </c>
      <c r="E307" s="62"/>
      <c r="F307" s="53"/>
      <c r="G307" s="53"/>
    </row>
    <row r="308" spans="1:7" ht="17.100000000000001" customHeight="1" x14ac:dyDescent="0.2">
      <c r="A308" s="53"/>
      <c r="B308" s="239" t="s">
        <v>1160</v>
      </c>
      <c r="C308" s="240"/>
      <c r="D308" s="64">
        <v>4.0873094582269269</v>
      </c>
      <c r="E308" s="53"/>
      <c r="F308" s="57"/>
      <c r="G308" s="58"/>
    </row>
    <row r="309" spans="1:7" ht="17.100000000000001" customHeight="1" x14ac:dyDescent="0.2">
      <c r="A309" s="53"/>
      <c r="B309" s="239" t="s">
        <v>1161</v>
      </c>
      <c r="C309" s="240"/>
      <c r="D309" s="35" t="s">
        <v>128</v>
      </c>
      <c r="E309" s="62"/>
      <c r="F309" s="53"/>
      <c r="G309" s="53"/>
    </row>
    <row r="310" spans="1:7" ht="11.1" customHeight="1" x14ac:dyDescent="0.2">
      <c r="A310" s="28"/>
      <c r="B310" s="28"/>
      <c r="C310" s="28"/>
      <c r="D310" s="28"/>
      <c r="E310" s="28"/>
      <c r="F310" s="28"/>
      <c r="G310" s="28"/>
    </row>
  </sheetData>
  <sortState xmlns:xlrd2="http://schemas.microsoft.com/office/spreadsheetml/2017/richdata2" ref="A213:G230">
    <sortCondition descending="1" ref="G213:G230"/>
  </sortState>
  <mergeCells count="21">
    <mergeCell ref="A1:H1"/>
    <mergeCell ref="A2:H2"/>
    <mergeCell ref="A3:H3"/>
    <mergeCell ref="B305:C305"/>
    <mergeCell ref="B306:C306"/>
    <mergeCell ref="J2:N2"/>
    <mergeCell ref="B307:C307"/>
    <mergeCell ref="B309:C309"/>
    <mergeCell ref="B308:C308"/>
    <mergeCell ref="B304:C304"/>
    <mergeCell ref="B273:F273"/>
    <mergeCell ref="B274:F274"/>
    <mergeCell ref="B279:D279"/>
    <mergeCell ref="B286:D286"/>
    <mergeCell ref="B294:D294"/>
    <mergeCell ref="B299:C299"/>
    <mergeCell ref="B276:D276"/>
    <mergeCell ref="B277:C277"/>
    <mergeCell ref="B278:C278"/>
    <mergeCell ref="B300:C300"/>
    <mergeCell ref="B302:F302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5">
    <outlinePr summaryBelow="0" summaryRight="0"/>
  </sheetPr>
  <dimension ref="A1:Q146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5" ht="15" x14ac:dyDescent="0.2">
      <c r="A1" s="227" t="s">
        <v>0</v>
      </c>
      <c r="B1" s="227"/>
      <c r="C1" s="227"/>
      <c r="D1" s="227"/>
      <c r="E1" s="227"/>
      <c r="F1" s="227"/>
      <c r="G1" s="227"/>
      <c r="H1" s="227"/>
    </row>
    <row r="2" spans="1:15" s="87" customFormat="1" ht="15" x14ac:dyDescent="0.2">
      <c r="A2" s="228" t="s">
        <v>1257</v>
      </c>
      <c r="B2" s="229"/>
      <c r="C2" s="229"/>
      <c r="D2" s="229"/>
      <c r="E2" s="229"/>
      <c r="F2" s="229"/>
      <c r="G2" s="229"/>
      <c r="H2" s="230"/>
      <c r="I2"/>
      <c r="J2" s="223" t="s">
        <v>1238</v>
      </c>
      <c r="K2" s="223"/>
      <c r="L2" s="223"/>
      <c r="M2" s="223"/>
      <c r="N2" s="223"/>
      <c r="O2"/>
    </row>
    <row r="3" spans="1:15" ht="15" x14ac:dyDescent="0.2">
      <c r="A3" s="227" t="s">
        <v>1208</v>
      </c>
      <c r="B3" s="227"/>
      <c r="C3" s="227"/>
      <c r="D3" s="227"/>
      <c r="E3" s="227"/>
      <c r="F3" s="227"/>
      <c r="G3" s="227"/>
      <c r="H3" s="227"/>
    </row>
    <row r="4" spans="1:15" s="113" customFormat="1" ht="30" x14ac:dyDescent="0.2">
      <c r="A4" s="1" t="s">
        <v>2</v>
      </c>
      <c r="B4" s="1" t="s">
        <v>3</v>
      </c>
      <c r="C4" s="1" t="s">
        <v>4</v>
      </c>
      <c r="D4" s="1" t="s">
        <v>5</v>
      </c>
      <c r="E4" s="2" t="s">
        <v>6</v>
      </c>
      <c r="F4" s="2" t="s">
        <v>7</v>
      </c>
      <c r="G4" s="2" t="s">
        <v>8</v>
      </c>
      <c r="H4" s="96" t="s">
        <v>1167</v>
      </c>
      <c r="I4" s="183"/>
      <c r="J4" s="183"/>
      <c r="K4" s="183"/>
      <c r="L4" s="183"/>
      <c r="M4" s="183"/>
      <c r="N4" s="183"/>
      <c r="O4" s="183"/>
    </row>
    <row r="5" spans="1:15" ht="14.1" customHeight="1" x14ac:dyDescent="0.2">
      <c r="A5" s="3"/>
      <c r="B5" s="3"/>
      <c r="C5" s="4" t="s">
        <v>9</v>
      </c>
      <c r="D5" s="3"/>
      <c r="E5" s="3"/>
      <c r="F5" s="3"/>
      <c r="G5" s="3"/>
      <c r="H5" s="97"/>
    </row>
    <row r="6" spans="1:15" ht="24" customHeight="1" x14ac:dyDescent="0.2">
      <c r="A6" s="3"/>
      <c r="B6" s="3"/>
      <c r="C6" s="4" t="s">
        <v>10</v>
      </c>
      <c r="D6" s="3"/>
      <c r="E6" s="3"/>
      <c r="F6" s="3"/>
      <c r="G6" s="3"/>
      <c r="H6" s="97"/>
    </row>
    <row r="7" spans="1:15" x14ac:dyDescent="0.2">
      <c r="A7" s="5">
        <v>1</v>
      </c>
      <c r="B7" s="6" t="s">
        <v>409</v>
      </c>
      <c r="C7" s="6" t="s">
        <v>410</v>
      </c>
      <c r="D7" s="6" t="s">
        <v>147</v>
      </c>
      <c r="E7" s="7">
        <v>108000</v>
      </c>
      <c r="F7" s="8">
        <v>2038.77</v>
      </c>
      <c r="G7" s="9">
        <v>8.2952401999999995E-2</v>
      </c>
      <c r="H7" s="97"/>
    </row>
    <row r="8" spans="1:15" x14ac:dyDescent="0.2">
      <c r="A8" s="5">
        <v>2</v>
      </c>
      <c r="B8" s="6" t="s">
        <v>417</v>
      </c>
      <c r="C8" s="6" t="s">
        <v>418</v>
      </c>
      <c r="D8" s="6" t="s">
        <v>147</v>
      </c>
      <c r="E8" s="7">
        <v>45772</v>
      </c>
      <c r="F8" s="8">
        <v>1711.1175619999999</v>
      </c>
      <c r="G8" s="9">
        <v>6.9621052000000003E-2</v>
      </c>
      <c r="H8" s="97"/>
    </row>
    <row r="9" spans="1:15" x14ac:dyDescent="0.2">
      <c r="A9" s="5">
        <v>3</v>
      </c>
      <c r="B9" s="6" t="s">
        <v>14</v>
      </c>
      <c r="C9" s="6" t="s">
        <v>15</v>
      </c>
      <c r="D9" s="6" t="s">
        <v>16</v>
      </c>
      <c r="E9" s="7">
        <v>61536</v>
      </c>
      <c r="F9" s="8">
        <v>1457.264784</v>
      </c>
      <c r="G9" s="9">
        <v>5.9292422999999997E-2</v>
      </c>
      <c r="H9" s="97"/>
    </row>
    <row r="10" spans="1:15" ht="25.5" x14ac:dyDescent="0.2">
      <c r="A10" s="5">
        <v>4</v>
      </c>
      <c r="B10" s="6" t="s">
        <v>28</v>
      </c>
      <c r="C10" s="6" t="s">
        <v>29</v>
      </c>
      <c r="D10" s="6" t="s">
        <v>1185</v>
      </c>
      <c r="E10" s="7">
        <v>16800</v>
      </c>
      <c r="F10" s="8">
        <v>1275.2963999999999</v>
      </c>
      <c r="G10" s="9">
        <v>5.1888589999999998E-2</v>
      </c>
      <c r="H10" s="97"/>
    </row>
    <row r="11" spans="1:15" x14ac:dyDescent="0.2">
      <c r="A11" s="5">
        <v>5</v>
      </c>
      <c r="B11" s="6" t="s">
        <v>23</v>
      </c>
      <c r="C11" s="6" t="s">
        <v>24</v>
      </c>
      <c r="D11" s="6" t="s">
        <v>25</v>
      </c>
      <c r="E11" s="7">
        <v>169100</v>
      </c>
      <c r="F11" s="8">
        <v>1251.59365</v>
      </c>
      <c r="G11" s="9">
        <v>5.0924183999999997E-2</v>
      </c>
      <c r="H11" s="97"/>
    </row>
    <row r="12" spans="1:15" x14ac:dyDescent="0.2">
      <c r="A12" s="5">
        <v>6</v>
      </c>
      <c r="B12" s="6" t="s">
        <v>274</v>
      </c>
      <c r="C12" s="6" t="s">
        <v>275</v>
      </c>
      <c r="D12" s="6" t="s">
        <v>185</v>
      </c>
      <c r="E12" s="7">
        <v>28061</v>
      </c>
      <c r="F12" s="8">
        <v>1175.334985</v>
      </c>
      <c r="G12" s="9">
        <v>4.7821412000000001E-2</v>
      </c>
      <c r="H12" s="97"/>
    </row>
    <row r="13" spans="1:15" x14ac:dyDescent="0.2">
      <c r="A13" s="5">
        <v>7</v>
      </c>
      <c r="B13" s="6" t="s">
        <v>486</v>
      </c>
      <c r="C13" s="6" t="s">
        <v>487</v>
      </c>
      <c r="D13" s="6" t="s">
        <v>73</v>
      </c>
      <c r="E13" s="7">
        <v>179928</v>
      </c>
      <c r="F13" s="8">
        <v>1142.2729079999999</v>
      </c>
      <c r="G13" s="9">
        <v>4.6476200000000002E-2</v>
      </c>
      <c r="H13" s="97"/>
    </row>
    <row r="14" spans="1:15" x14ac:dyDescent="0.2">
      <c r="A14" s="5">
        <v>8</v>
      </c>
      <c r="B14" s="6" t="s">
        <v>438</v>
      </c>
      <c r="C14" s="6" t="s">
        <v>439</v>
      </c>
      <c r="D14" s="6" t="s">
        <v>60</v>
      </c>
      <c r="E14" s="7">
        <v>90000</v>
      </c>
      <c r="F14" s="8">
        <v>1000.3049999999999</v>
      </c>
      <c r="G14" s="9">
        <v>4.0699883999999999E-2</v>
      </c>
      <c r="H14" s="97"/>
    </row>
    <row r="15" spans="1:15" ht="25.5" x14ac:dyDescent="0.2">
      <c r="A15" s="5">
        <v>9</v>
      </c>
      <c r="B15" s="6" t="s">
        <v>425</v>
      </c>
      <c r="C15" s="6" t="s">
        <v>426</v>
      </c>
      <c r="D15" s="6" t="s">
        <v>202</v>
      </c>
      <c r="E15" s="7">
        <v>39500</v>
      </c>
      <c r="F15" s="8">
        <v>932.25924999999995</v>
      </c>
      <c r="G15" s="9">
        <v>3.7931274000000001E-2</v>
      </c>
      <c r="H15" s="97"/>
      <c r="J15" s="184" t="s">
        <v>1269</v>
      </c>
    </row>
    <row r="16" spans="1:15" ht="25.5" x14ac:dyDescent="0.2">
      <c r="A16" s="5">
        <v>10</v>
      </c>
      <c r="B16" s="6" t="s">
        <v>436</v>
      </c>
      <c r="C16" s="6" t="s">
        <v>437</v>
      </c>
      <c r="D16" s="6" t="s">
        <v>202</v>
      </c>
      <c r="E16" s="7">
        <v>405400</v>
      </c>
      <c r="F16" s="8">
        <v>883.97469999999998</v>
      </c>
      <c r="G16" s="9">
        <v>3.5966697999999998E-2</v>
      </c>
      <c r="H16" s="97"/>
    </row>
    <row r="17" spans="1:10" x14ac:dyDescent="0.2">
      <c r="A17" s="5">
        <v>11</v>
      </c>
      <c r="B17" s="6" t="s">
        <v>427</v>
      </c>
      <c r="C17" s="6" t="s">
        <v>428</v>
      </c>
      <c r="D17" s="6" t="s">
        <v>147</v>
      </c>
      <c r="E17" s="7">
        <v>47116</v>
      </c>
      <c r="F17" s="8">
        <v>843.635538</v>
      </c>
      <c r="G17" s="9">
        <v>3.4325398999999999E-2</v>
      </c>
      <c r="H17" s="97"/>
    </row>
    <row r="18" spans="1:10" x14ac:dyDescent="0.2">
      <c r="A18" s="5">
        <v>12</v>
      </c>
      <c r="B18" s="6" t="s">
        <v>307</v>
      </c>
      <c r="C18" s="6" t="s">
        <v>308</v>
      </c>
      <c r="D18" s="6" t="s">
        <v>185</v>
      </c>
      <c r="E18" s="7">
        <v>34500</v>
      </c>
      <c r="F18" s="8">
        <v>834.93449999999996</v>
      </c>
      <c r="G18" s="9">
        <v>3.3971375999999998E-2</v>
      </c>
      <c r="H18" s="97"/>
    </row>
    <row r="19" spans="1:10" x14ac:dyDescent="0.2">
      <c r="A19" s="5">
        <v>13</v>
      </c>
      <c r="B19" s="6" t="s">
        <v>411</v>
      </c>
      <c r="C19" s="6" t="s">
        <v>412</v>
      </c>
      <c r="D19" s="6" t="s">
        <v>25</v>
      </c>
      <c r="E19" s="7">
        <v>53800</v>
      </c>
      <c r="F19" s="8">
        <v>795.91719999999998</v>
      </c>
      <c r="G19" s="9">
        <v>3.2383861E-2</v>
      </c>
      <c r="H19" s="97"/>
    </row>
    <row r="20" spans="1:10" x14ac:dyDescent="0.2">
      <c r="A20" s="5">
        <v>14</v>
      </c>
      <c r="B20" s="6" t="s">
        <v>361</v>
      </c>
      <c r="C20" s="6" t="s">
        <v>362</v>
      </c>
      <c r="D20" s="6" t="s">
        <v>185</v>
      </c>
      <c r="E20" s="7">
        <v>72000</v>
      </c>
      <c r="F20" s="8">
        <v>723.31200000000001</v>
      </c>
      <c r="G20" s="9">
        <v>2.9429738E-2</v>
      </c>
      <c r="H20" s="97"/>
    </row>
    <row r="21" spans="1:10" x14ac:dyDescent="0.2">
      <c r="A21" s="5">
        <v>15</v>
      </c>
      <c r="B21" s="6" t="s">
        <v>20</v>
      </c>
      <c r="C21" s="6" t="s">
        <v>21</v>
      </c>
      <c r="D21" s="6" t="s">
        <v>22</v>
      </c>
      <c r="E21" s="7">
        <v>89738</v>
      </c>
      <c r="F21" s="8">
        <v>613.62844399999994</v>
      </c>
      <c r="G21" s="9">
        <v>2.4966992E-2</v>
      </c>
      <c r="H21" s="97"/>
    </row>
    <row r="22" spans="1:10" x14ac:dyDescent="0.2">
      <c r="A22" s="5">
        <v>16</v>
      </c>
      <c r="B22" s="6" t="s">
        <v>415</v>
      </c>
      <c r="C22" s="6" t="s">
        <v>416</v>
      </c>
      <c r="D22" s="6" t="s">
        <v>25</v>
      </c>
      <c r="E22" s="7">
        <v>115000</v>
      </c>
      <c r="F22" s="8">
        <v>529.51750000000004</v>
      </c>
      <c r="G22" s="9">
        <v>2.1544730000000002E-2</v>
      </c>
      <c r="H22" s="97"/>
    </row>
    <row r="23" spans="1:10" x14ac:dyDescent="0.2">
      <c r="A23" s="5">
        <v>17</v>
      </c>
      <c r="B23" s="6" t="s">
        <v>381</v>
      </c>
      <c r="C23" s="6" t="s">
        <v>382</v>
      </c>
      <c r="D23" s="6" t="s">
        <v>1183</v>
      </c>
      <c r="E23" s="7">
        <v>3000</v>
      </c>
      <c r="F23" s="8">
        <v>492.18599999999998</v>
      </c>
      <c r="G23" s="9">
        <v>2.0025805000000001E-2</v>
      </c>
      <c r="H23" s="97"/>
    </row>
    <row r="24" spans="1:10" x14ac:dyDescent="0.2">
      <c r="A24" s="5">
        <v>18</v>
      </c>
      <c r="B24" s="6" t="s">
        <v>369</v>
      </c>
      <c r="C24" s="6" t="s">
        <v>370</v>
      </c>
      <c r="D24" s="6" t="s">
        <v>147</v>
      </c>
      <c r="E24" s="7">
        <v>33900</v>
      </c>
      <c r="F24" s="8">
        <v>447.17489999999998</v>
      </c>
      <c r="G24" s="9">
        <v>1.8194417000000001E-2</v>
      </c>
      <c r="H24" s="97"/>
    </row>
    <row r="25" spans="1:10" x14ac:dyDescent="0.2">
      <c r="A25" s="5">
        <v>19</v>
      </c>
      <c r="B25" s="6" t="s">
        <v>772</v>
      </c>
      <c r="C25" s="6" t="s">
        <v>773</v>
      </c>
      <c r="D25" s="6" t="s">
        <v>70</v>
      </c>
      <c r="E25" s="7">
        <v>13500</v>
      </c>
      <c r="F25" s="8">
        <v>435.86775</v>
      </c>
      <c r="G25" s="9">
        <v>1.7734357999999999E-2</v>
      </c>
      <c r="H25" s="97"/>
    </row>
    <row r="26" spans="1:10" x14ac:dyDescent="0.2">
      <c r="A26" s="5">
        <v>20</v>
      </c>
      <c r="B26" s="6" t="s">
        <v>498</v>
      </c>
      <c r="C26" s="6" t="s">
        <v>499</v>
      </c>
      <c r="D26" s="6" t="s">
        <v>19</v>
      </c>
      <c r="E26" s="7">
        <v>21900</v>
      </c>
      <c r="F26" s="8">
        <v>410.06655000000001</v>
      </c>
      <c r="G26" s="9">
        <v>1.6684572000000002E-2</v>
      </c>
      <c r="H26" s="97"/>
    </row>
    <row r="27" spans="1:10" x14ac:dyDescent="0.2">
      <c r="A27" s="5">
        <v>21</v>
      </c>
      <c r="B27" s="6" t="s">
        <v>175</v>
      </c>
      <c r="C27" s="6" t="s">
        <v>176</v>
      </c>
      <c r="D27" s="6" t="s">
        <v>16</v>
      </c>
      <c r="E27" s="7">
        <v>137300</v>
      </c>
      <c r="F27" s="8">
        <v>401.39654999999999</v>
      </c>
      <c r="G27" s="9">
        <v>1.6331812000000001E-2</v>
      </c>
      <c r="H27" s="97"/>
    </row>
    <row r="28" spans="1:10" x14ac:dyDescent="0.2">
      <c r="A28" s="5">
        <v>22</v>
      </c>
      <c r="B28" s="6" t="s">
        <v>76</v>
      </c>
      <c r="C28" s="6" t="s">
        <v>77</v>
      </c>
      <c r="D28" s="6" t="s">
        <v>78</v>
      </c>
      <c r="E28" s="7">
        <v>324000</v>
      </c>
      <c r="F28" s="8">
        <v>396.738</v>
      </c>
      <c r="G28" s="9">
        <v>1.6142266999999998E-2</v>
      </c>
      <c r="H28" s="97"/>
    </row>
    <row r="29" spans="1:10" x14ac:dyDescent="0.2">
      <c r="A29" s="5">
        <v>23</v>
      </c>
      <c r="B29" s="6" t="s">
        <v>774</v>
      </c>
      <c r="C29" s="6" t="s">
        <v>775</v>
      </c>
      <c r="D29" s="6" t="s">
        <v>431</v>
      </c>
      <c r="E29" s="7">
        <v>111500</v>
      </c>
      <c r="F29" s="8">
        <v>353.23200000000003</v>
      </c>
      <c r="G29" s="9">
        <v>1.4372118E-2</v>
      </c>
      <c r="H29" s="97"/>
    </row>
    <row r="30" spans="1:10" ht="15" x14ac:dyDescent="0.2">
      <c r="A30" s="5">
        <v>24</v>
      </c>
      <c r="B30" s="6" t="s">
        <v>776</v>
      </c>
      <c r="C30" s="6" t="s">
        <v>777</v>
      </c>
      <c r="D30" s="6" t="s">
        <v>78</v>
      </c>
      <c r="E30" s="7">
        <v>10805</v>
      </c>
      <c r="F30" s="8">
        <v>351.08146249999999</v>
      </c>
      <c r="G30" s="9">
        <v>1.4284618000000001E-2</v>
      </c>
      <c r="H30" s="97"/>
      <c r="J30" s="184" t="s">
        <v>1268</v>
      </c>
    </row>
    <row r="31" spans="1:10" ht="25.5" x14ac:dyDescent="0.2">
      <c r="A31" s="5">
        <v>25</v>
      </c>
      <c r="B31" s="6" t="s">
        <v>778</v>
      </c>
      <c r="C31" s="6" t="s">
        <v>779</v>
      </c>
      <c r="D31" s="6" t="s">
        <v>202</v>
      </c>
      <c r="E31" s="7">
        <v>10800</v>
      </c>
      <c r="F31" s="8">
        <v>342.3492</v>
      </c>
      <c r="G31" s="9">
        <v>1.3929324E-2</v>
      </c>
      <c r="H31" s="97"/>
    </row>
    <row r="32" spans="1:10" ht="25.5" x14ac:dyDescent="0.2">
      <c r="A32" s="5">
        <v>26</v>
      </c>
      <c r="B32" s="6" t="s">
        <v>780</v>
      </c>
      <c r="C32" s="6" t="s">
        <v>781</v>
      </c>
      <c r="D32" s="6" t="s">
        <v>202</v>
      </c>
      <c r="E32" s="7">
        <v>11500</v>
      </c>
      <c r="F32" s="8">
        <v>307.55599999999998</v>
      </c>
      <c r="G32" s="9">
        <v>1.2513677000000001E-2</v>
      </c>
      <c r="H32" s="97"/>
    </row>
    <row r="33" spans="1:8" x14ac:dyDescent="0.2">
      <c r="A33" s="5">
        <v>27</v>
      </c>
      <c r="B33" s="6" t="s">
        <v>11</v>
      </c>
      <c r="C33" s="6" t="s">
        <v>12</v>
      </c>
      <c r="D33" s="6" t="s">
        <v>13</v>
      </c>
      <c r="E33" s="7">
        <v>15750</v>
      </c>
      <c r="F33" s="8">
        <v>298.60424999999998</v>
      </c>
      <c r="G33" s="9">
        <v>1.2149452999999999E-2</v>
      </c>
      <c r="H33" s="97"/>
    </row>
    <row r="34" spans="1:8" x14ac:dyDescent="0.2">
      <c r="A34" s="5">
        <v>28</v>
      </c>
      <c r="B34" s="6" t="s">
        <v>488</v>
      </c>
      <c r="C34" s="6" t="s">
        <v>489</v>
      </c>
      <c r="D34" s="6" t="s">
        <v>78</v>
      </c>
      <c r="E34" s="7">
        <v>3990</v>
      </c>
      <c r="F34" s="8">
        <v>296.31535500000001</v>
      </c>
      <c r="G34" s="9">
        <v>1.2056323000000001E-2</v>
      </c>
      <c r="H34" s="97"/>
    </row>
    <row r="35" spans="1:8" x14ac:dyDescent="0.2">
      <c r="A35" s="5">
        <v>29</v>
      </c>
      <c r="B35" s="6" t="s">
        <v>440</v>
      </c>
      <c r="C35" s="6" t="s">
        <v>441</v>
      </c>
      <c r="D35" s="6" t="s">
        <v>25</v>
      </c>
      <c r="E35" s="7">
        <v>15000</v>
      </c>
      <c r="F35" s="8">
        <v>269.41500000000002</v>
      </c>
      <c r="G35" s="9">
        <v>1.0961815999999999E-2</v>
      </c>
      <c r="H35" s="97"/>
    </row>
    <row r="36" spans="1:8" x14ac:dyDescent="0.2">
      <c r="A36" s="5">
        <v>30</v>
      </c>
      <c r="B36" s="6" t="s">
        <v>183</v>
      </c>
      <c r="C36" s="6" t="s">
        <v>184</v>
      </c>
      <c r="D36" s="6" t="s">
        <v>185</v>
      </c>
      <c r="E36" s="7">
        <v>20742</v>
      </c>
      <c r="F36" s="8">
        <v>266.21319899999997</v>
      </c>
      <c r="G36" s="9">
        <v>1.0831543000000001E-2</v>
      </c>
      <c r="H36" s="97"/>
    </row>
    <row r="37" spans="1:8" x14ac:dyDescent="0.2">
      <c r="A37" s="5">
        <v>31</v>
      </c>
      <c r="B37" s="6" t="s">
        <v>546</v>
      </c>
      <c r="C37" s="6" t="s">
        <v>547</v>
      </c>
      <c r="D37" s="6" t="s">
        <v>238</v>
      </c>
      <c r="E37" s="7">
        <v>20962</v>
      </c>
      <c r="F37" s="8">
        <v>254.74070499999999</v>
      </c>
      <c r="G37" s="9">
        <v>1.0364755999999999E-2</v>
      </c>
      <c r="H37" s="97"/>
    </row>
    <row r="38" spans="1:8" x14ac:dyDescent="0.2">
      <c r="A38" s="5">
        <v>32</v>
      </c>
      <c r="B38" s="6" t="s">
        <v>576</v>
      </c>
      <c r="C38" s="6" t="s">
        <v>577</v>
      </c>
      <c r="D38" s="6" t="s">
        <v>70</v>
      </c>
      <c r="E38" s="7">
        <v>57000</v>
      </c>
      <c r="F38" s="8">
        <v>214.17750000000001</v>
      </c>
      <c r="G38" s="9">
        <v>8.7143419999999999E-3</v>
      </c>
      <c r="H38" s="97"/>
    </row>
    <row r="39" spans="1:8" x14ac:dyDescent="0.2">
      <c r="A39" s="5">
        <v>33</v>
      </c>
      <c r="B39" s="6" t="s">
        <v>782</v>
      </c>
      <c r="C39" s="6" t="s">
        <v>783</v>
      </c>
      <c r="D39" s="6" t="s">
        <v>238</v>
      </c>
      <c r="E39" s="7">
        <v>103800</v>
      </c>
      <c r="F39" s="8">
        <v>174.7473</v>
      </c>
      <c r="G39" s="9">
        <v>7.1100260000000002E-3</v>
      </c>
      <c r="H39" s="97"/>
    </row>
    <row r="40" spans="1:8" x14ac:dyDescent="0.2">
      <c r="A40" s="5">
        <v>34</v>
      </c>
      <c r="B40" s="6" t="s">
        <v>578</v>
      </c>
      <c r="C40" s="6" t="s">
        <v>579</v>
      </c>
      <c r="D40" s="6" t="s">
        <v>70</v>
      </c>
      <c r="E40" s="7">
        <v>16000</v>
      </c>
      <c r="F40" s="8">
        <v>161.89599999999999</v>
      </c>
      <c r="G40" s="9">
        <v>6.5871389999999997E-3</v>
      </c>
      <c r="H40" s="97"/>
    </row>
    <row r="41" spans="1:8" ht="25.5" x14ac:dyDescent="0.2">
      <c r="A41" s="5">
        <v>35</v>
      </c>
      <c r="B41" s="6" t="s">
        <v>518</v>
      </c>
      <c r="C41" s="6" t="s">
        <v>519</v>
      </c>
      <c r="D41" s="6" t="s">
        <v>202</v>
      </c>
      <c r="E41" s="7">
        <v>4200</v>
      </c>
      <c r="F41" s="8">
        <v>151.452</v>
      </c>
      <c r="G41" s="9">
        <v>6.1621990000000001E-3</v>
      </c>
      <c r="H41" s="97"/>
    </row>
    <row r="42" spans="1:8" x14ac:dyDescent="0.2">
      <c r="A42" s="5">
        <v>36</v>
      </c>
      <c r="B42" s="6" t="s">
        <v>496</v>
      </c>
      <c r="C42" s="6" t="s">
        <v>497</v>
      </c>
      <c r="D42" s="6" t="s">
        <v>238</v>
      </c>
      <c r="E42" s="7">
        <v>5809</v>
      </c>
      <c r="F42" s="8">
        <v>134.966306</v>
      </c>
      <c r="G42" s="9">
        <v>5.4914380000000004E-3</v>
      </c>
      <c r="H42" s="97"/>
    </row>
    <row r="43" spans="1:8" x14ac:dyDescent="0.2">
      <c r="A43" s="5">
        <v>37</v>
      </c>
      <c r="B43" s="6" t="s">
        <v>522</v>
      </c>
      <c r="C43" s="6" t="s">
        <v>523</v>
      </c>
      <c r="D43" s="6" t="s">
        <v>34</v>
      </c>
      <c r="E43" s="7">
        <v>95394</v>
      </c>
      <c r="F43" s="8">
        <v>118.670136</v>
      </c>
      <c r="G43" s="9">
        <v>4.8283880000000003E-3</v>
      </c>
      <c r="H43" s="97"/>
    </row>
    <row r="44" spans="1:8" ht="25.5" x14ac:dyDescent="0.2">
      <c r="A44" s="5">
        <v>38</v>
      </c>
      <c r="B44" s="6" t="s">
        <v>442</v>
      </c>
      <c r="C44" s="6" t="s">
        <v>1157</v>
      </c>
      <c r="D44" s="91" t="s">
        <v>22</v>
      </c>
      <c r="E44" s="7">
        <v>6409</v>
      </c>
      <c r="F44" s="8">
        <v>22.601338500000001</v>
      </c>
      <c r="G44" s="9">
        <v>9.1959099999999998E-4</v>
      </c>
      <c r="H44" s="97"/>
    </row>
    <row r="45" spans="1:8" x14ac:dyDescent="0.2">
      <c r="A45" s="5">
        <v>39</v>
      </c>
      <c r="B45" s="6" t="s">
        <v>789</v>
      </c>
      <c r="C45" s="6" t="s">
        <v>1297</v>
      </c>
      <c r="D45" s="6" t="s">
        <v>238</v>
      </c>
      <c r="E45" s="7">
        <v>16500</v>
      </c>
      <c r="F45" s="8">
        <v>0</v>
      </c>
      <c r="G45" s="10" t="s">
        <v>96</v>
      </c>
      <c r="H45" s="97"/>
    </row>
    <row r="46" spans="1:8" x14ac:dyDescent="0.2">
      <c r="A46" s="3"/>
      <c r="B46" s="3"/>
      <c r="C46" s="4" t="s">
        <v>97</v>
      </c>
      <c r="D46" s="3"/>
      <c r="E46" s="3" t="s">
        <v>98</v>
      </c>
      <c r="F46" s="11">
        <v>23510.581923000009</v>
      </c>
      <c r="G46" s="12">
        <v>0.95658619700000003</v>
      </c>
      <c r="H46" s="97"/>
    </row>
    <row r="47" spans="1:8" x14ac:dyDescent="0.2">
      <c r="A47" s="3"/>
      <c r="B47" s="3"/>
      <c r="C47" s="13"/>
      <c r="D47" s="3"/>
      <c r="E47" s="3"/>
      <c r="F47" s="14"/>
      <c r="G47" s="14"/>
      <c r="H47" s="97"/>
    </row>
    <row r="48" spans="1:8" x14ac:dyDescent="0.2">
      <c r="A48" s="3"/>
      <c r="B48" s="3"/>
      <c r="C48" s="4" t="s">
        <v>99</v>
      </c>
      <c r="D48" s="3"/>
      <c r="E48" s="3"/>
      <c r="F48" s="3"/>
      <c r="G48" s="3"/>
      <c r="H48" s="97"/>
    </row>
    <row r="49" spans="1:8" x14ac:dyDescent="0.2">
      <c r="A49" s="3"/>
      <c r="B49" s="3"/>
      <c r="C49" s="4" t="s">
        <v>97</v>
      </c>
      <c r="D49" s="3"/>
      <c r="E49" s="3" t="s">
        <v>98</v>
      </c>
      <c r="F49" s="15">
        <v>0</v>
      </c>
      <c r="G49" s="16">
        <v>0</v>
      </c>
      <c r="H49" s="97"/>
    </row>
    <row r="50" spans="1:8" x14ac:dyDescent="0.2">
      <c r="A50" s="3"/>
      <c r="B50" s="3"/>
      <c r="C50" s="13"/>
      <c r="D50" s="3"/>
      <c r="E50" s="3"/>
      <c r="F50" s="14"/>
      <c r="G50" s="14"/>
      <c r="H50" s="97"/>
    </row>
    <row r="51" spans="1:8" x14ac:dyDescent="0.2">
      <c r="A51" s="3"/>
      <c r="B51" s="3"/>
      <c r="C51" s="4" t="s">
        <v>100</v>
      </c>
      <c r="D51" s="3"/>
      <c r="E51" s="3"/>
      <c r="F51" s="3"/>
      <c r="G51" s="3"/>
      <c r="H51" s="97"/>
    </row>
    <row r="52" spans="1:8" x14ac:dyDescent="0.2">
      <c r="A52" s="5">
        <v>1</v>
      </c>
      <c r="B52" s="6" t="s">
        <v>784</v>
      </c>
      <c r="C52" s="6" t="s">
        <v>1148</v>
      </c>
      <c r="D52" s="6"/>
      <c r="E52" s="7">
        <v>200000</v>
      </c>
      <c r="F52" s="8">
        <v>1.9999999999999999E-6</v>
      </c>
      <c r="G52" s="10" t="s">
        <v>96</v>
      </c>
      <c r="H52" s="97"/>
    </row>
    <row r="53" spans="1:8" x14ac:dyDescent="0.2">
      <c r="A53" s="5">
        <v>2</v>
      </c>
      <c r="B53" s="6" t="s">
        <v>787</v>
      </c>
      <c r="C53" s="6" t="s">
        <v>1091</v>
      </c>
      <c r="D53" s="6"/>
      <c r="E53" s="7">
        <v>50000</v>
      </c>
      <c r="F53" s="8">
        <v>4.9999999999999998E-7</v>
      </c>
      <c r="G53" s="10" t="s">
        <v>96</v>
      </c>
      <c r="H53" s="97"/>
    </row>
    <row r="54" spans="1:8" x14ac:dyDescent="0.2">
      <c r="A54" s="5">
        <v>3</v>
      </c>
      <c r="B54" s="6" t="s">
        <v>785</v>
      </c>
      <c r="C54" s="6" t="s">
        <v>1088</v>
      </c>
      <c r="D54" s="6"/>
      <c r="E54" s="7">
        <v>50000</v>
      </c>
      <c r="F54" s="8">
        <v>4.9999999999999998E-7</v>
      </c>
      <c r="G54" s="10" t="s">
        <v>96</v>
      </c>
      <c r="H54" s="97"/>
    </row>
    <row r="55" spans="1:8" x14ac:dyDescent="0.2">
      <c r="A55" s="5">
        <v>4</v>
      </c>
      <c r="B55" s="6" t="s">
        <v>788</v>
      </c>
      <c r="C55" s="6" t="s">
        <v>1089</v>
      </c>
      <c r="D55" s="6"/>
      <c r="E55" s="7">
        <v>900</v>
      </c>
      <c r="F55" s="8">
        <v>8.9999999999999995E-9</v>
      </c>
      <c r="G55" s="10" t="s">
        <v>96</v>
      </c>
      <c r="H55" s="97"/>
    </row>
    <row r="56" spans="1:8" x14ac:dyDescent="0.2">
      <c r="A56" s="5">
        <v>5</v>
      </c>
      <c r="B56" s="6" t="s">
        <v>786</v>
      </c>
      <c r="C56" s="6" t="s">
        <v>1090</v>
      </c>
      <c r="D56" s="6"/>
      <c r="E56" s="7">
        <v>20</v>
      </c>
      <c r="F56" s="8">
        <v>0</v>
      </c>
      <c r="G56" s="10" t="s">
        <v>96</v>
      </c>
      <c r="H56" s="97"/>
    </row>
    <row r="57" spans="1:8" x14ac:dyDescent="0.2">
      <c r="A57" s="3"/>
      <c r="B57" s="3"/>
      <c r="C57" s="4" t="s">
        <v>97</v>
      </c>
      <c r="D57" s="3"/>
      <c r="E57" s="3" t="s">
        <v>98</v>
      </c>
      <c r="F57" s="11">
        <v>3.0089999999999995E-6</v>
      </c>
      <c r="G57" s="12" t="s">
        <v>96</v>
      </c>
      <c r="H57" s="97"/>
    </row>
    <row r="58" spans="1:8" x14ac:dyDescent="0.2">
      <c r="A58" s="3"/>
      <c r="B58" s="3"/>
      <c r="C58" s="13"/>
      <c r="D58" s="3"/>
      <c r="E58" s="3"/>
      <c r="F58" s="14"/>
      <c r="G58" s="14"/>
      <c r="H58" s="97"/>
    </row>
    <row r="59" spans="1:8" x14ac:dyDescent="0.2">
      <c r="A59" s="3"/>
      <c r="B59" s="3"/>
      <c r="C59" s="4" t="s">
        <v>101</v>
      </c>
      <c r="D59" s="3"/>
      <c r="E59" s="3"/>
      <c r="F59" s="3"/>
      <c r="G59" s="3"/>
      <c r="H59" s="97"/>
    </row>
    <row r="60" spans="1:8" x14ac:dyDescent="0.2">
      <c r="A60" s="3"/>
      <c r="B60" s="3"/>
      <c r="C60" s="4" t="s">
        <v>97</v>
      </c>
      <c r="D60" s="3"/>
      <c r="E60" s="3" t="s">
        <v>98</v>
      </c>
      <c r="F60" s="11">
        <v>0</v>
      </c>
      <c r="G60" s="12">
        <v>0</v>
      </c>
      <c r="H60" s="97"/>
    </row>
    <row r="61" spans="1:8" x14ac:dyDescent="0.2">
      <c r="A61" s="3"/>
      <c r="B61" s="3"/>
      <c r="C61" s="13"/>
      <c r="D61" s="3"/>
      <c r="E61" s="3"/>
      <c r="F61" s="14"/>
      <c r="G61" s="14"/>
      <c r="H61" s="97"/>
    </row>
    <row r="62" spans="1:8" x14ac:dyDescent="0.2">
      <c r="A62" s="3"/>
      <c r="B62" s="3"/>
      <c r="C62" s="4" t="s">
        <v>102</v>
      </c>
      <c r="D62" s="3"/>
      <c r="E62" s="3"/>
      <c r="F62" s="14"/>
      <c r="G62" s="14"/>
      <c r="H62" s="97"/>
    </row>
    <row r="63" spans="1:8" x14ac:dyDescent="0.2">
      <c r="A63" s="3"/>
      <c r="B63" s="3"/>
      <c r="C63" s="4" t="s">
        <v>97</v>
      </c>
      <c r="D63" s="3"/>
      <c r="E63" s="3" t="s">
        <v>98</v>
      </c>
      <c r="F63" s="15">
        <v>0</v>
      </c>
      <c r="G63" s="16">
        <v>0</v>
      </c>
      <c r="H63" s="97"/>
    </row>
    <row r="64" spans="1:8" x14ac:dyDescent="0.2">
      <c r="A64" s="3"/>
      <c r="B64" s="3"/>
      <c r="C64" s="13"/>
      <c r="D64" s="3"/>
      <c r="E64" s="3"/>
      <c r="F64" s="14"/>
      <c r="G64" s="14"/>
      <c r="H64" s="97"/>
    </row>
    <row r="65" spans="1:15" x14ac:dyDescent="0.2">
      <c r="A65" s="3"/>
      <c r="B65" s="3"/>
      <c r="C65" s="4" t="s">
        <v>103</v>
      </c>
      <c r="D65" s="3"/>
      <c r="E65" s="3"/>
      <c r="F65" s="14"/>
      <c r="G65" s="14"/>
      <c r="H65" s="97"/>
    </row>
    <row r="66" spans="1:15" x14ac:dyDescent="0.2">
      <c r="A66" s="3"/>
      <c r="B66" s="3"/>
      <c r="C66" s="4" t="s">
        <v>97</v>
      </c>
      <c r="D66" s="3"/>
      <c r="E66" s="3" t="s">
        <v>98</v>
      </c>
      <c r="F66" s="15">
        <v>0</v>
      </c>
      <c r="G66" s="16">
        <v>0</v>
      </c>
      <c r="H66" s="97"/>
    </row>
    <row r="67" spans="1:15" x14ac:dyDescent="0.2">
      <c r="A67" s="3"/>
      <c r="B67" s="3"/>
      <c r="C67" s="13"/>
      <c r="D67" s="3"/>
      <c r="E67" s="3"/>
      <c r="F67" s="14"/>
      <c r="G67" s="14"/>
      <c r="H67" s="97"/>
    </row>
    <row r="68" spans="1:15" x14ac:dyDescent="0.2">
      <c r="A68" s="3"/>
      <c r="B68" s="3"/>
      <c r="C68" s="4" t="s">
        <v>104</v>
      </c>
      <c r="D68" s="3"/>
      <c r="E68" s="3"/>
      <c r="F68" s="11">
        <v>23510.581926174</v>
      </c>
      <c r="G68" s="12">
        <v>0.95658619700000003</v>
      </c>
      <c r="H68" s="97"/>
    </row>
    <row r="69" spans="1:15" x14ac:dyDescent="0.2">
      <c r="A69" s="3"/>
      <c r="B69" s="3"/>
      <c r="C69" s="13"/>
      <c r="D69" s="3"/>
      <c r="E69" s="3"/>
      <c r="F69" s="14"/>
      <c r="G69" s="14"/>
      <c r="H69" s="97"/>
      <c r="I69" s="69"/>
      <c r="J69" s="69"/>
      <c r="K69" s="69"/>
      <c r="L69" s="69"/>
      <c r="M69" s="69"/>
      <c r="N69" s="69"/>
      <c r="O69" s="69"/>
    </row>
    <row r="70" spans="1:15" x14ac:dyDescent="0.2">
      <c r="A70" s="3"/>
      <c r="B70" s="3"/>
      <c r="C70" s="4" t="s">
        <v>105</v>
      </c>
      <c r="D70" s="3"/>
      <c r="E70" s="3"/>
      <c r="F70" s="14"/>
      <c r="G70" s="14"/>
      <c r="H70" s="97"/>
    </row>
    <row r="71" spans="1:15" ht="25.5" x14ac:dyDescent="0.2">
      <c r="A71" s="3"/>
      <c r="B71" s="3"/>
      <c r="C71" s="4" t="s">
        <v>10</v>
      </c>
      <c r="D71" s="3"/>
      <c r="E71" s="3"/>
      <c r="F71" s="14"/>
      <c r="G71" s="14"/>
      <c r="H71" s="97"/>
    </row>
    <row r="72" spans="1:15" ht="25.5" x14ac:dyDescent="0.2">
      <c r="A72" s="5">
        <v>1</v>
      </c>
      <c r="B72" s="6" t="s">
        <v>524</v>
      </c>
      <c r="C72" s="6" t="s">
        <v>525</v>
      </c>
      <c r="D72" s="6" t="s">
        <v>526</v>
      </c>
      <c r="E72" s="7">
        <v>4200</v>
      </c>
      <c r="F72" s="8">
        <v>1.2132624000000001</v>
      </c>
      <c r="G72" s="9">
        <v>4.9364582727939243E-5</v>
      </c>
      <c r="H72" s="8">
        <v>5.66</v>
      </c>
    </row>
    <row r="73" spans="1:15" x14ac:dyDescent="0.2">
      <c r="A73" s="3"/>
      <c r="B73" s="3"/>
      <c r="C73" s="4" t="s">
        <v>97</v>
      </c>
      <c r="D73" s="3"/>
      <c r="E73" s="3" t="s">
        <v>98</v>
      </c>
      <c r="F73" s="11">
        <v>1.2132624000000001</v>
      </c>
      <c r="G73" s="12">
        <v>4.9364582727939243E-5</v>
      </c>
      <c r="H73" s="97"/>
    </row>
    <row r="74" spans="1:15" x14ac:dyDescent="0.2">
      <c r="A74" s="3"/>
      <c r="B74" s="3"/>
      <c r="C74" s="13"/>
      <c r="D74" s="3"/>
      <c r="E74" s="3"/>
      <c r="F74" s="14"/>
      <c r="G74" s="14"/>
      <c r="H74" s="97"/>
    </row>
    <row r="75" spans="1:15" x14ac:dyDescent="0.2">
      <c r="A75" s="3"/>
      <c r="B75" s="3"/>
      <c r="C75" s="4" t="s">
        <v>106</v>
      </c>
      <c r="D75" s="3"/>
      <c r="E75" s="3"/>
      <c r="F75" s="3"/>
      <c r="G75" s="3"/>
      <c r="H75" s="97"/>
    </row>
    <row r="76" spans="1:15" x14ac:dyDescent="0.2">
      <c r="A76" s="3"/>
      <c r="B76" s="3"/>
      <c r="C76" s="4" t="s">
        <v>97</v>
      </c>
      <c r="D76" s="3"/>
      <c r="E76" s="3" t="s">
        <v>98</v>
      </c>
      <c r="F76" s="15">
        <v>0</v>
      </c>
      <c r="G76" s="16">
        <v>0</v>
      </c>
      <c r="H76" s="97"/>
    </row>
    <row r="77" spans="1:15" x14ac:dyDescent="0.2">
      <c r="A77" s="3"/>
      <c r="B77" s="3"/>
      <c r="C77" s="13"/>
      <c r="D77" s="3"/>
      <c r="E77" s="3"/>
      <c r="F77" s="14"/>
      <c r="G77" s="14"/>
      <c r="H77" s="97"/>
    </row>
    <row r="78" spans="1:15" x14ac:dyDescent="0.2">
      <c r="A78" s="3"/>
      <c r="B78" s="3"/>
      <c r="C78" s="4" t="s">
        <v>107</v>
      </c>
      <c r="D78" s="3"/>
      <c r="E78" s="3"/>
      <c r="F78" s="3"/>
      <c r="G78" s="3"/>
      <c r="H78" s="97"/>
    </row>
    <row r="79" spans="1:15" x14ac:dyDescent="0.2">
      <c r="A79" s="3"/>
      <c r="B79" s="3"/>
      <c r="C79" s="4" t="s">
        <v>97</v>
      </c>
      <c r="D79" s="3"/>
      <c r="E79" s="3" t="s">
        <v>98</v>
      </c>
      <c r="F79" s="15">
        <v>0</v>
      </c>
      <c r="G79" s="16">
        <v>0</v>
      </c>
      <c r="H79" s="97"/>
    </row>
    <row r="80" spans="1:15" x14ac:dyDescent="0.2">
      <c r="A80" s="3"/>
      <c r="B80" s="3"/>
      <c r="C80" s="13"/>
      <c r="D80" s="3"/>
      <c r="E80" s="3"/>
      <c r="F80" s="14"/>
      <c r="G80" s="14"/>
      <c r="H80" s="97"/>
    </row>
    <row r="81" spans="1:8" x14ac:dyDescent="0.2">
      <c r="A81" s="3"/>
      <c r="B81" s="3"/>
      <c r="C81" s="4" t="s">
        <v>108</v>
      </c>
      <c r="D81" s="3"/>
      <c r="E81" s="3"/>
      <c r="F81" s="14"/>
      <c r="G81" s="14"/>
      <c r="H81" s="97"/>
    </row>
    <row r="82" spans="1:8" x14ac:dyDescent="0.2">
      <c r="A82" s="3"/>
      <c r="B82" s="3"/>
      <c r="C82" s="4" t="s">
        <v>97</v>
      </c>
      <c r="D82" s="3"/>
      <c r="E82" s="3" t="s">
        <v>98</v>
      </c>
      <c r="F82" s="15">
        <v>0</v>
      </c>
      <c r="G82" s="16">
        <v>0</v>
      </c>
      <c r="H82" s="97"/>
    </row>
    <row r="83" spans="1:8" x14ac:dyDescent="0.2">
      <c r="A83" s="3"/>
      <c r="B83" s="3"/>
      <c r="C83" s="13"/>
      <c r="D83" s="3"/>
      <c r="E83" s="3"/>
      <c r="F83" s="14"/>
      <c r="G83" s="14"/>
      <c r="H83" s="97"/>
    </row>
    <row r="84" spans="1:8" x14ac:dyDescent="0.2">
      <c r="A84" s="3"/>
      <c r="B84" s="3"/>
      <c r="C84" s="4" t="s">
        <v>109</v>
      </c>
      <c r="D84" s="3"/>
      <c r="E84" s="3"/>
      <c r="F84" s="11">
        <v>1.2132624000000001</v>
      </c>
      <c r="G84" s="12">
        <v>4.9364999999999999E-5</v>
      </c>
      <c r="H84" s="97"/>
    </row>
    <row r="85" spans="1:8" x14ac:dyDescent="0.2">
      <c r="A85" s="3"/>
      <c r="B85" s="3"/>
      <c r="C85" s="13"/>
      <c r="D85" s="3"/>
      <c r="E85" s="3"/>
      <c r="F85" s="14"/>
      <c r="G85" s="14"/>
      <c r="H85" s="97"/>
    </row>
    <row r="86" spans="1:8" x14ac:dyDescent="0.2">
      <c r="A86" s="3"/>
      <c r="B86" s="3"/>
      <c r="C86" s="4" t="s">
        <v>110</v>
      </c>
      <c r="D86" s="3"/>
      <c r="E86" s="3"/>
      <c r="F86" s="14"/>
      <c r="G86" s="14"/>
      <c r="H86" s="97"/>
    </row>
    <row r="87" spans="1:8" x14ac:dyDescent="0.2">
      <c r="A87" s="3"/>
      <c r="B87" s="3"/>
      <c r="C87" s="4" t="s">
        <v>111</v>
      </c>
      <c r="D87" s="3"/>
      <c r="E87" s="3"/>
      <c r="F87" s="14"/>
      <c r="G87" s="14"/>
      <c r="H87" s="97"/>
    </row>
    <row r="88" spans="1:8" x14ac:dyDescent="0.2">
      <c r="A88" s="3"/>
      <c r="B88" s="3"/>
      <c r="C88" s="4" t="s">
        <v>97</v>
      </c>
      <c r="D88" s="3"/>
      <c r="E88" s="3" t="s">
        <v>98</v>
      </c>
      <c r="F88" s="15">
        <v>0</v>
      </c>
      <c r="G88" s="16">
        <v>0</v>
      </c>
      <c r="H88" s="97"/>
    </row>
    <row r="89" spans="1:8" x14ac:dyDescent="0.2">
      <c r="A89" s="3"/>
      <c r="B89" s="3"/>
      <c r="C89" s="13"/>
      <c r="D89" s="3"/>
      <c r="E89" s="3"/>
      <c r="F89" s="14"/>
      <c r="G89" s="14"/>
      <c r="H89" s="97"/>
    </row>
    <row r="90" spans="1:8" x14ac:dyDescent="0.2">
      <c r="A90" s="3"/>
      <c r="B90" s="3"/>
      <c r="C90" s="4" t="s">
        <v>112</v>
      </c>
      <c r="D90" s="3"/>
      <c r="E90" s="3"/>
      <c r="F90" s="14"/>
      <c r="G90" s="14"/>
      <c r="H90" s="97"/>
    </row>
    <row r="91" spans="1:8" x14ac:dyDescent="0.2">
      <c r="A91" s="3"/>
      <c r="B91" s="3"/>
      <c r="C91" s="4" t="s">
        <v>97</v>
      </c>
      <c r="D91" s="3"/>
      <c r="E91" s="3" t="s">
        <v>98</v>
      </c>
      <c r="F91" s="15">
        <v>0</v>
      </c>
      <c r="G91" s="16">
        <v>0</v>
      </c>
      <c r="H91" s="97"/>
    </row>
    <row r="92" spans="1:8" x14ac:dyDescent="0.2">
      <c r="A92" s="3"/>
      <c r="B92" s="3"/>
      <c r="C92" s="13"/>
      <c r="D92" s="3"/>
      <c r="E92" s="3"/>
      <c r="F92" s="14"/>
      <c r="G92" s="14"/>
      <c r="H92" s="97"/>
    </row>
    <row r="93" spans="1:8" x14ac:dyDescent="0.2">
      <c r="A93" s="3"/>
      <c r="B93" s="3"/>
      <c r="C93" s="4" t="s">
        <v>113</v>
      </c>
      <c r="D93" s="3"/>
      <c r="E93" s="3"/>
      <c r="F93" s="14"/>
      <c r="G93" s="14"/>
      <c r="H93" s="97"/>
    </row>
    <row r="94" spans="1:8" x14ac:dyDescent="0.2">
      <c r="A94" s="5">
        <v>1</v>
      </c>
      <c r="B94" s="6" t="s">
        <v>504</v>
      </c>
      <c r="C94" s="6" t="s">
        <v>505</v>
      </c>
      <c r="D94" s="6" t="s">
        <v>506</v>
      </c>
      <c r="E94" s="7">
        <v>5000</v>
      </c>
      <c r="F94" s="8">
        <v>4.9977749999999999</v>
      </c>
      <c r="G94" s="9">
        <v>2.0334699999999999E-4</v>
      </c>
      <c r="H94" s="98">
        <v>3.25</v>
      </c>
    </row>
    <row r="95" spans="1:8" x14ac:dyDescent="0.2">
      <c r="A95" s="3"/>
      <c r="B95" s="3"/>
      <c r="C95" s="4" t="s">
        <v>97</v>
      </c>
      <c r="D95" s="3"/>
      <c r="E95" s="3" t="s">
        <v>98</v>
      </c>
      <c r="F95" s="11">
        <v>4.9977749999999999</v>
      </c>
      <c r="G95" s="12">
        <v>2.0334699999999999E-4</v>
      </c>
      <c r="H95" s="97"/>
    </row>
    <row r="96" spans="1:8" x14ac:dyDescent="0.2">
      <c r="A96" s="3"/>
      <c r="B96" s="3"/>
      <c r="C96" s="13"/>
      <c r="D96" s="3"/>
      <c r="E96" s="3"/>
      <c r="F96" s="14"/>
      <c r="G96" s="14"/>
      <c r="H96" s="97"/>
    </row>
    <row r="97" spans="1:8" x14ac:dyDescent="0.2">
      <c r="A97" s="3"/>
      <c r="B97" s="3"/>
      <c r="C97" s="4" t="s">
        <v>114</v>
      </c>
      <c r="D97" s="3"/>
      <c r="E97" s="3"/>
      <c r="F97" s="14"/>
      <c r="G97" s="14"/>
      <c r="H97" s="97"/>
    </row>
    <row r="98" spans="1:8" x14ac:dyDescent="0.2">
      <c r="A98" s="3"/>
      <c r="B98" s="3"/>
      <c r="C98" s="4" t="s">
        <v>97</v>
      </c>
      <c r="D98" s="3"/>
      <c r="E98" s="3" t="s">
        <v>98</v>
      </c>
      <c r="F98" s="15">
        <v>0</v>
      </c>
      <c r="G98" s="16">
        <v>0</v>
      </c>
      <c r="H98" s="97"/>
    </row>
    <row r="99" spans="1:8" x14ac:dyDescent="0.2">
      <c r="A99" s="3"/>
      <c r="B99" s="3"/>
      <c r="C99" s="13"/>
      <c r="D99" s="3"/>
      <c r="E99" s="3"/>
      <c r="F99" s="14"/>
      <c r="G99" s="14"/>
      <c r="H99" s="97"/>
    </row>
    <row r="100" spans="1:8" x14ac:dyDescent="0.2">
      <c r="A100" s="3"/>
      <c r="B100" s="3"/>
      <c r="C100" s="4" t="s">
        <v>117</v>
      </c>
      <c r="D100" s="3"/>
      <c r="E100" s="3"/>
      <c r="F100" s="11">
        <v>4.9977749999999999</v>
      </c>
      <c r="G100" s="12">
        <v>2.0334699999999999E-4</v>
      </c>
      <c r="H100" s="97"/>
    </row>
    <row r="101" spans="1:8" x14ac:dyDescent="0.2">
      <c r="A101" s="3"/>
      <c r="B101" s="3"/>
      <c r="C101" s="14"/>
      <c r="D101" s="3"/>
      <c r="E101" s="3"/>
      <c r="F101" s="3"/>
      <c r="G101" s="3"/>
      <c r="H101" s="97"/>
    </row>
    <row r="102" spans="1:8" x14ac:dyDescent="0.2">
      <c r="A102" s="3"/>
      <c r="B102" s="3"/>
      <c r="C102" s="4" t="s">
        <v>118</v>
      </c>
      <c r="D102" s="3"/>
      <c r="E102" s="3"/>
      <c r="F102" s="3"/>
      <c r="G102" s="3"/>
      <c r="H102" s="97"/>
    </row>
    <row r="103" spans="1:8" x14ac:dyDescent="0.2">
      <c r="A103" s="3"/>
      <c r="B103" s="3"/>
      <c r="C103" s="4" t="s">
        <v>119</v>
      </c>
      <c r="D103" s="3"/>
      <c r="E103" s="3"/>
      <c r="F103" s="3"/>
      <c r="G103" s="3"/>
      <c r="H103" s="97"/>
    </row>
    <row r="104" spans="1:8" x14ac:dyDescent="0.2">
      <c r="A104" s="3"/>
      <c r="B104" s="3"/>
      <c r="C104" s="4" t="s">
        <v>97</v>
      </c>
      <c r="D104" s="3"/>
      <c r="E104" s="3" t="s">
        <v>98</v>
      </c>
      <c r="F104" s="15">
        <v>0</v>
      </c>
      <c r="G104" s="16">
        <v>0</v>
      </c>
      <c r="H104" s="97"/>
    </row>
    <row r="105" spans="1:8" x14ac:dyDescent="0.2">
      <c r="A105" s="3"/>
      <c r="B105" s="3"/>
      <c r="C105" s="13"/>
      <c r="D105" s="3"/>
      <c r="E105" s="3"/>
      <c r="F105" s="14"/>
      <c r="G105" s="14"/>
      <c r="H105" s="97"/>
    </row>
    <row r="106" spans="1:8" x14ac:dyDescent="0.2">
      <c r="A106" s="3"/>
      <c r="B106" s="3"/>
      <c r="C106" s="4" t="s">
        <v>120</v>
      </c>
      <c r="D106" s="3"/>
      <c r="E106" s="3"/>
      <c r="F106" s="3"/>
      <c r="G106" s="3"/>
      <c r="H106" s="97"/>
    </row>
    <row r="107" spans="1:8" x14ac:dyDescent="0.2">
      <c r="A107" s="3"/>
      <c r="B107" s="3"/>
      <c r="C107" s="4" t="s">
        <v>121</v>
      </c>
      <c r="D107" s="3"/>
      <c r="E107" s="3"/>
      <c r="F107" s="3"/>
      <c r="G107" s="3"/>
      <c r="H107" s="97"/>
    </row>
    <row r="108" spans="1:8" x14ac:dyDescent="0.2">
      <c r="A108" s="3"/>
      <c r="B108" s="3"/>
      <c r="C108" s="4" t="s">
        <v>97</v>
      </c>
      <c r="D108" s="3"/>
      <c r="E108" s="3" t="s">
        <v>98</v>
      </c>
      <c r="F108" s="15">
        <v>0</v>
      </c>
      <c r="G108" s="16">
        <v>0</v>
      </c>
      <c r="H108" s="97"/>
    </row>
    <row r="109" spans="1:8" x14ac:dyDescent="0.2">
      <c r="A109" s="3"/>
      <c r="B109" s="3"/>
      <c r="C109" s="13"/>
      <c r="D109" s="3"/>
      <c r="E109" s="3"/>
      <c r="F109" s="14"/>
      <c r="G109" s="14"/>
      <c r="H109" s="97"/>
    </row>
    <row r="110" spans="1:8" x14ac:dyDescent="0.2">
      <c r="A110" s="3"/>
      <c r="B110" s="3"/>
      <c r="C110" s="13"/>
      <c r="D110" s="3"/>
      <c r="E110" s="3"/>
      <c r="F110" s="14"/>
      <c r="G110" s="14"/>
      <c r="H110" s="97"/>
    </row>
    <row r="111" spans="1:8" ht="25.5" x14ac:dyDescent="0.2">
      <c r="A111" s="3"/>
      <c r="B111" s="3"/>
      <c r="C111" s="4" t="s">
        <v>122</v>
      </c>
      <c r="D111" s="3"/>
      <c r="E111" s="3"/>
      <c r="F111" s="14"/>
      <c r="G111" s="14"/>
      <c r="H111" s="97"/>
    </row>
    <row r="112" spans="1:8" x14ac:dyDescent="0.2">
      <c r="A112" s="3"/>
      <c r="B112" s="3"/>
      <c r="C112" s="4" t="s">
        <v>97</v>
      </c>
      <c r="D112" s="3"/>
      <c r="E112" s="3" t="s">
        <v>98</v>
      </c>
      <c r="F112" s="15">
        <v>0</v>
      </c>
      <c r="G112" s="16">
        <v>0</v>
      </c>
      <c r="H112" s="97"/>
    </row>
    <row r="113" spans="1:15" x14ac:dyDescent="0.2">
      <c r="A113" s="3"/>
      <c r="B113" s="3"/>
      <c r="C113" s="13"/>
      <c r="D113" s="3"/>
      <c r="E113" s="3"/>
      <c r="F113" s="14"/>
      <c r="G113" s="14"/>
      <c r="H113" s="97"/>
    </row>
    <row r="114" spans="1:15" x14ac:dyDescent="0.2">
      <c r="A114" s="3"/>
      <c r="B114" s="6"/>
      <c r="C114" s="6"/>
      <c r="D114" s="4"/>
      <c r="E114" s="3"/>
      <c r="F114" s="6"/>
      <c r="G114" s="10"/>
      <c r="H114" s="97"/>
    </row>
    <row r="115" spans="1:15" x14ac:dyDescent="0.2">
      <c r="A115" s="10"/>
      <c r="B115" s="6"/>
      <c r="C115" s="6" t="s">
        <v>1016</v>
      </c>
      <c r="D115" s="6"/>
      <c r="E115" s="10"/>
      <c r="F115" s="8">
        <v>1060.795521</v>
      </c>
      <c r="G115" s="9">
        <v>4.3161090999999999E-2</v>
      </c>
      <c r="H115" s="97"/>
    </row>
    <row r="116" spans="1:15" x14ac:dyDescent="0.2">
      <c r="A116" s="13"/>
      <c r="B116" s="13"/>
      <c r="C116" s="4" t="s">
        <v>124</v>
      </c>
      <c r="D116" s="17"/>
      <c r="E116" s="17"/>
      <c r="F116" s="11">
        <v>24577.588484574</v>
      </c>
      <c r="G116" s="12">
        <v>1</v>
      </c>
      <c r="H116" s="97"/>
    </row>
    <row r="117" spans="1:15" ht="14.1" customHeight="1" x14ac:dyDescent="0.2">
      <c r="A117" s="18"/>
      <c r="B117" s="18"/>
      <c r="C117" s="18"/>
      <c r="D117" s="19"/>
      <c r="E117" s="19"/>
      <c r="F117" s="19"/>
      <c r="G117" s="19"/>
    </row>
    <row r="118" spans="1:15" ht="17.100000000000001" customHeight="1" x14ac:dyDescent="0.2">
      <c r="A118" s="20"/>
      <c r="B118" s="226" t="s">
        <v>527</v>
      </c>
      <c r="C118" s="226"/>
      <c r="D118" s="226"/>
      <c r="E118" s="226"/>
      <c r="F118" s="226"/>
      <c r="G118" s="22"/>
    </row>
    <row r="119" spans="1:15" ht="25.5" customHeight="1" x14ac:dyDescent="0.2">
      <c r="A119" s="20"/>
      <c r="B119" s="226" t="s">
        <v>1300</v>
      </c>
      <c r="C119" s="226"/>
      <c r="D119" s="226"/>
      <c r="E119" s="226"/>
      <c r="F119" s="226"/>
      <c r="G119" s="22"/>
    </row>
    <row r="120" spans="1:15" s="69" customFormat="1" ht="17.100000000000001" customHeight="1" x14ac:dyDescent="0.2">
      <c r="A120" s="94"/>
      <c r="B120" s="234" t="s">
        <v>1018</v>
      </c>
      <c r="C120" s="234"/>
      <c r="D120" s="234"/>
      <c r="E120" s="234"/>
      <c r="F120" s="234"/>
      <c r="G120" s="95"/>
      <c r="H120"/>
      <c r="I120"/>
      <c r="J120"/>
      <c r="K120"/>
      <c r="L120"/>
      <c r="M120"/>
      <c r="N120"/>
      <c r="O120"/>
    </row>
    <row r="121" spans="1:15" ht="14.1" customHeight="1" x14ac:dyDescent="0.2">
      <c r="A121" s="20"/>
      <c r="B121" s="20"/>
      <c r="C121" s="20"/>
      <c r="D121" s="22"/>
      <c r="E121" s="22"/>
      <c r="F121" s="22"/>
      <c r="G121" s="22"/>
    </row>
    <row r="122" spans="1:15" ht="14.1" customHeight="1" x14ac:dyDescent="0.2">
      <c r="A122" s="20"/>
      <c r="B122" s="224" t="s">
        <v>126</v>
      </c>
      <c r="C122" s="225"/>
      <c r="D122" s="14" t="s">
        <v>98</v>
      </c>
      <c r="E122" s="23"/>
      <c r="F122" s="22"/>
      <c r="G122" s="22"/>
    </row>
    <row r="123" spans="1:15" ht="29.1" customHeight="1" x14ac:dyDescent="0.2">
      <c r="A123" s="20"/>
      <c r="B123" s="231" t="s">
        <v>127</v>
      </c>
      <c r="C123" s="232"/>
      <c r="D123" s="4" t="s">
        <v>1293</v>
      </c>
      <c r="E123" s="23"/>
      <c r="F123" s="22"/>
      <c r="G123" s="22"/>
    </row>
    <row r="124" spans="1:15" ht="17.100000000000001" customHeight="1" x14ac:dyDescent="0.2">
      <c r="A124" s="20"/>
      <c r="B124" s="231" t="s">
        <v>1084</v>
      </c>
      <c r="C124" s="232"/>
      <c r="D124" s="90" t="s">
        <v>1085</v>
      </c>
      <c r="E124" s="23"/>
      <c r="F124" s="22"/>
      <c r="G124" s="22"/>
    </row>
    <row r="125" spans="1:15" ht="17.100000000000001" customHeight="1" x14ac:dyDescent="0.2">
      <c r="A125" s="20"/>
      <c r="B125" s="231" t="s">
        <v>130</v>
      </c>
      <c r="C125" s="232"/>
      <c r="D125" s="14" t="s">
        <v>98</v>
      </c>
      <c r="E125" s="23"/>
      <c r="F125" s="22"/>
      <c r="G125" s="22"/>
    </row>
    <row r="126" spans="1:15" ht="24" customHeight="1" x14ac:dyDescent="0.2">
      <c r="A126" s="24"/>
      <c r="B126" s="25" t="s">
        <v>98</v>
      </c>
      <c r="C126" s="25" t="s">
        <v>131</v>
      </c>
      <c r="D126" s="25" t="s">
        <v>132</v>
      </c>
      <c r="E126" s="24"/>
      <c r="F126" s="24"/>
      <c r="G126" s="24"/>
    </row>
    <row r="127" spans="1:15" ht="18" customHeight="1" x14ac:dyDescent="0.2">
      <c r="A127" s="24"/>
      <c r="B127" s="25" t="s">
        <v>133</v>
      </c>
      <c r="C127" s="25" t="s">
        <v>134</v>
      </c>
      <c r="D127" s="25" t="s">
        <v>135</v>
      </c>
      <c r="E127" s="24"/>
      <c r="F127" s="24"/>
      <c r="G127" s="24"/>
    </row>
    <row r="128" spans="1:15" ht="17.100000000000001" customHeight="1" x14ac:dyDescent="0.2">
      <c r="A128" s="24"/>
      <c r="B128" s="6" t="s">
        <v>136</v>
      </c>
      <c r="C128" s="86">
        <v>87.36</v>
      </c>
      <c r="D128" s="26">
        <v>90.324799999999996</v>
      </c>
      <c r="E128" s="24"/>
      <c r="F128" s="21"/>
      <c r="G128" s="27"/>
    </row>
    <row r="129" spans="1:17" ht="29.1" customHeight="1" x14ac:dyDescent="0.2">
      <c r="A129" s="24"/>
      <c r="B129" s="6" t="s">
        <v>1205</v>
      </c>
      <c r="C129" s="86">
        <v>48.45</v>
      </c>
      <c r="D129" s="26">
        <v>50.0916</v>
      </c>
      <c r="E129" s="24"/>
      <c r="F129" s="21"/>
      <c r="G129" s="27"/>
    </row>
    <row r="130" spans="1:17" ht="17.100000000000001" customHeight="1" x14ac:dyDescent="0.2">
      <c r="A130" s="24"/>
      <c r="B130" s="6" t="s">
        <v>137</v>
      </c>
      <c r="C130" s="86">
        <v>83.44</v>
      </c>
      <c r="D130" s="26">
        <v>86.234099999999998</v>
      </c>
      <c r="E130" s="24"/>
      <c r="F130" s="21"/>
      <c r="G130" s="27"/>
    </row>
    <row r="131" spans="1:17" ht="29.1" customHeight="1" x14ac:dyDescent="0.2">
      <c r="A131" s="24"/>
      <c r="B131" s="6" t="s">
        <v>1206</v>
      </c>
      <c r="C131" s="86">
        <v>32.380000000000003</v>
      </c>
      <c r="D131" s="26">
        <v>32.243600000000001</v>
      </c>
      <c r="E131" s="24"/>
      <c r="F131" s="21"/>
      <c r="G131" s="27"/>
    </row>
    <row r="132" spans="1:17" ht="14.1" customHeight="1" x14ac:dyDescent="0.2">
      <c r="A132" s="24"/>
      <c r="B132" s="24"/>
      <c r="C132" s="24"/>
      <c r="D132" s="24"/>
      <c r="E132" s="24"/>
      <c r="F132" s="24"/>
      <c r="G132" s="24"/>
    </row>
    <row r="133" spans="1:17" ht="17.100000000000001" customHeight="1" x14ac:dyDescent="0.2">
      <c r="A133" s="24"/>
      <c r="B133" s="231" t="s">
        <v>1203</v>
      </c>
      <c r="C133" s="232"/>
      <c r="D133" s="4" t="s">
        <v>98</v>
      </c>
      <c r="E133" s="24"/>
      <c r="F133" s="24"/>
      <c r="G133" s="24"/>
    </row>
    <row r="134" spans="1:17" x14ac:dyDescent="0.2">
      <c r="A134" s="24"/>
      <c r="B134" s="81" t="s">
        <v>133</v>
      </c>
      <c r="C134" s="82" t="s">
        <v>1019</v>
      </c>
      <c r="D134" s="82" t="s">
        <v>1020</v>
      </c>
      <c r="E134" s="24"/>
      <c r="F134" s="24"/>
      <c r="G134" s="24"/>
    </row>
    <row r="135" spans="1:17" ht="25.5" x14ac:dyDescent="0.2">
      <c r="A135" s="24"/>
      <c r="B135" s="6" t="s">
        <v>1063</v>
      </c>
      <c r="C135" s="83">
        <v>1.1624000000000001</v>
      </c>
      <c r="D135" s="84">
        <v>1.1624000000000001</v>
      </c>
      <c r="E135" s="24"/>
      <c r="F135" s="21"/>
      <c r="G135" s="27"/>
    </row>
    <row r="136" spans="1:17" ht="18" customHeight="1" x14ac:dyDescent="0.2">
      <c r="A136" s="24"/>
      <c r="B136" s="28"/>
      <c r="C136" s="28"/>
      <c r="D136" s="29"/>
      <c r="E136" s="24"/>
      <c r="F136" s="24"/>
      <c r="G136" s="24"/>
    </row>
    <row r="137" spans="1:17" s="87" customFormat="1" x14ac:dyDescent="0.2">
      <c r="B137" s="233" t="s">
        <v>1207</v>
      </c>
      <c r="C137" s="233"/>
      <c r="D137" s="233"/>
      <c r="E137" s="233"/>
      <c r="F137" s="233"/>
      <c r="I137"/>
      <c r="J137"/>
      <c r="K137"/>
      <c r="L137"/>
      <c r="M137"/>
      <c r="N137"/>
      <c r="O137"/>
      <c r="P137" s="69"/>
      <c r="Q137" s="69"/>
    </row>
    <row r="138" spans="1:17" ht="14.1" customHeight="1" x14ac:dyDescent="0.2">
      <c r="A138" s="24"/>
      <c r="B138" s="21"/>
      <c r="C138" s="21"/>
      <c r="D138" s="24"/>
      <c r="E138" s="24"/>
      <c r="F138" s="24"/>
      <c r="G138" s="24"/>
    </row>
    <row r="139" spans="1:17" ht="29.1" customHeight="1" x14ac:dyDescent="0.2">
      <c r="A139" s="24"/>
      <c r="B139" s="231" t="s">
        <v>138</v>
      </c>
      <c r="C139" s="232"/>
      <c r="D139" s="4" t="s">
        <v>128</v>
      </c>
      <c r="E139" s="24"/>
      <c r="F139" s="24"/>
      <c r="G139" s="24"/>
      <c r="I139" s="69"/>
      <c r="J139" s="69"/>
      <c r="K139" s="69"/>
      <c r="L139" s="69"/>
      <c r="M139" s="69"/>
      <c r="N139" s="69"/>
      <c r="O139" s="69"/>
    </row>
    <row r="140" spans="1:17" ht="29.1" customHeight="1" x14ac:dyDescent="0.2">
      <c r="A140" s="24"/>
      <c r="B140" s="231" t="s">
        <v>139</v>
      </c>
      <c r="C140" s="232"/>
      <c r="D140" s="4" t="s">
        <v>128</v>
      </c>
      <c r="E140" s="24"/>
      <c r="F140" s="24"/>
      <c r="G140" s="24"/>
    </row>
    <row r="141" spans="1:17" x14ac:dyDescent="0.2">
      <c r="A141" s="24"/>
      <c r="B141" s="231" t="s">
        <v>140</v>
      </c>
      <c r="C141" s="232"/>
      <c r="D141" s="30">
        <v>2.8229700920969023E-3</v>
      </c>
      <c r="E141" s="24"/>
      <c r="F141" s="21"/>
      <c r="G141" s="27"/>
      <c r="I141" s="87"/>
      <c r="J141" s="87"/>
      <c r="K141" s="87"/>
      <c r="L141" s="87"/>
      <c r="M141" s="87"/>
      <c r="N141" s="87"/>
      <c r="O141" s="87"/>
    </row>
    <row r="142" spans="1:17" ht="17.100000000000001" customHeight="1" x14ac:dyDescent="0.2">
      <c r="A142" s="24"/>
      <c r="B142" s="259" t="s">
        <v>141</v>
      </c>
      <c r="C142" s="232"/>
      <c r="D142" s="4" t="s">
        <v>128</v>
      </c>
      <c r="E142" s="24"/>
      <c r="F142" s="24"/>
      <c r="G142" s="24"/>
    </row>
    <row r="143" spans="1:17" x14ac:dyDescent="0.2">
      <c r="B143" s="201" t="s">
        <v>1292</v>
      </c>
      <c r="C143" s="191"/>
      <c r="D143" s="191"/>
      <c r="E143" s="205"/>
      <c r="F143" s="206"/>
    </row>
    <row r="144" spans="1:17" ht="38.25" x14ac:dyDescent="0.2">
      <c r="B144" s="207" t="s">
        <v>1285</v>
      </c>
      <c r="C144" s="208" t="s">
        <v>1286</v>
      </c>
      <c r="D144" s="208" t="s">
        <v>1287</v>
      </c>
      <c r="E144" s="208" t="s">
        <v>1288</v>
      </c>
      <c r="F144" s="208" t="s">
        <v>1289</v>
      </c>
    </row>
    <row r="145" spans="2:6" x14ac:dyDescent="0.2">
      <c r="B145" s="194" t="s">
        <v>1301</v>
      </c>
      <c r="C145" s="195" t="s">
        <v>1291</v>
      </c>
      <c r="D145" s="196">
        <v>0</v>
      </c>
      <c r="E145" s="197">
        <v>0</v>
      </c>
      <c r="F145" s="198">
        <v>241.97234</v>
      </c>
    </row>
    <row r="146" spans="2:6" x14ac:dyDescent="0.2">
      <c r="B146" s="194" t="s">
        <v>1302</v>
      </c>
      <c r="C146" s="195" t="s">
        <v>1291</v>
      </c>
      <c r="D146" s="196">
        <v>0</v>
      </c>
      <c r="E146" s="197">
        <v>0</v>
      </c>
      <c r="F146" s="198">
        <v>23.186299999999999</v>
      </c>
    </row>
  </sheetData>
  <sortState xmlns:xlrd2="http://schemas.microsoft.com/office/spreadsheetml/2017/richdata2" ref="A54:G56">
    <sortCondition descending="1" ref="E54:E56"/>
  </sortState>
  <mergeCells count="17">
    <mergeCell ref="A1:H1"/>
    <mergeCell ref="A2:H2"/>
    <mergeCell ref="A3:H3"/>
    <mergeCell ref="B141:C141"/>
    <mergeCell ref="B142:C142"/>
    <mergeCell ref="B123:C123"/>
    <mergeCell ref="B124:C124"/>
    <mergeCell ref="B125:C125"/>
    <mergeCell ref="B133:C133"/>
    <mergeCell ref="B139:C139"/>
    <mergeCell ref="B140:C140"/>
    <mergeCell ref="B137:F137"/>
    <mergeCell ref="J2:N2"/>
    <mergeCell ref="B122:C122"/>
    <mergeCell ref="B118:F118"/>
    <mergeCell ref="B119:F119"/>
    <mergeCell ref="B120:F120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heet51">
    <outlinePr summaryBelow="0" summaryRight="0"/>
  </sheetPr>
  <dimension ref="A1:Q236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9.28515625" customWidth="1"/>
    <col min="3" max="3" width="34.7109375" customWidth="1"/>
    <col min="4" max="4" width="17.85546875" customWidth="1"/>
    <col min="5" max="6" width="19.140625" customWidth="1"/>
    <col min="7" max="7" width="16.42578125" customWidth="1"/>
  </cols>
  <sheetData>
    <row r="1" spans="1:15" ht="15" x14ac:dyDescent="0.2">
      <c r="A1" s="227" t="s">
        <v>0</v>
      </c>
      <c r="B1" s="227"/>
      <c r="C1" s="227"/>
      <c r="D1" s="227"/>
      <c r="E1" s="227"/>
      <c r="F1" s="227"/>
      <c r="G1" s="227"/>
      <c r="H1" s="227"/>
    </row>
    <row r="2" spans="1:15" s="87" customFormat="1" ht="15" x14ac:dyDescent="0.2">
      <c r="A2" s="228" t="s">
        <v>1258</v>
      </c>
      <c r="B2" s="229"/>
      <c r="C2" s="229"/>
      <c r="D2" s="229"/>
      <c r="E2" s="229"/>
      <c r="F2" s="229"/>
      <c r="G2" s="229"/>
      <c r="H2" s="230"/>
      <c r="I2"/>
      <c r="J2" s="223" t="s">
        <v>1238</v>
      </c>
      <c r="K2" s="223"/>
      <c r="L2" s="223"/>
      <c r="M2" s="223"/>
      <c r="N2" s="223"/>
      <c r="O2"/>
    </row>
    <row r="3" spans="1:15" ht="15" x14ac:dyDescent="0.2">
      <c r="A3" s="227" t="s">
        <v>1208</v>
      </c>
      <c r="B3" s="227"/>
      <c r="C3" s="227"/>
      <c r="D3" s="227"/>
      <c r="E3" s="227"/>
      <c r="F3" s="227"/>
      <c r="G3" s="227"/>
      <c r="H3" s="227"/>
    </row>
    <row r="4" spans="1:15" s="113" customFormat="1" ht="30" x14ac:dyDescent="0.2">
      <c r="A4" s="1" t="s">
        <v>2</v>
      </c>
      <c r="B4" s="1" t="s">
        <v>3</v>
      </c>
      <c r="C4" s="1" t="s">
        <v>4</v>
      </c>
      <c r="D4" s="1" t="s">
        <v>5</v>
      </c>
      <c r="E4" s="2" t="s">
        <v>6</v>
      </c>
      <c r="F4" s="2" t="s">
        <v>7</v>
      </c>
      <c r="G4" s="2" t="s">
        <v>8</v>
      </c>
      <c r="H4" s="96" t="s">
        <v>1167</v>
      </c>
      <c r="I4" s="183"/>
      <c r="J4" s="183"/>
      <c r="K4" s="183"/>
      <c r="L4" s="183"/>
      <c r="M4" s="183"/>
      <c r="N4" s="183"/>
      <c r="O4" s="183"/>
    </row>
    <row r="5" spans="1:15" ht="14.1" customHeight="1" x14ac:dyDescent="0.2">
      <c r="A5" s="3"/>
      <c r="B5" s="3"/>
      <c r="C5" s="4" t="s">
        <v>9</v>
      </c>
      <c r="D5" s="3"/>
      <c r="E5" s="3"/>
      <c r="F5" s="3"/>
      <c r="G5" s="3"/>
      <c r="H5" s="101"/>
    </row>
    <row r="6" spans="1:15" ht="24" customHeight="1" x14ac:dyDescent="0.2">
      <c r="A6" s="3"/>
      <c r="B6" s="3"/>
      <c r="C6" s="4" t="s">
        <v>10</v>
      </c>
      <c r="D6" s="3"/>
      <c r="E6" s="3"/>
      <c r="F6" s="3"/>
      <c r="G6" s="3"/>
      <c r="H6" s="101"/>
    </row>
    <row r="7" spans="1:15" x14ac:dyDescent="0.2">
      <c r="A7" s="5">
        <v>1</v>
      </c>
      <c r="B7" s="6" t="s">
        <v>23</v>
      </c>
      <c r="C7" s="6" t="s">
        <v>24</v>
      </c>
      <c r="D7" s="6" t="s">
        <v>25</v>
      </c>
      <c r="E7" s="78">
        <v>175558</v>
      </c>
      <c r="F7" s="8">
        <v>1299.3925369999999</v>
      </c>
      <c r="G7" s="9">
        <v>4.31534622745516E-2</v>
      </c>
      <c r="H7" s="101"/>
    </row>
    <row r="8" spans="1:15" ht="25.5" x14ac:dyDescent="0.2">
      <c r="A8" s="5">
        <v>2</v>
      </c>
      <c r="B8" s="6" t="s">
        <v>425</v>
      </c>
      <c r="C8" s="6" t="s">
        <v>426</v>
      </c>
      <c r="D8" s="6" t="s">
        <v>202</v>
      </c>
      <c r="E8" s="78">
        <v>48458</v>
      </c>
      <c r="F8" s="8">
        <v>1143.6814870000001</v>
      </c>
      <c r="G8" s="9">
        <v>3.7982222075327789E-2</v>
      </c>
      <c r="H8" s="101"/>
    </row>
    <row r="9" spans="1:15" x14ac:dyDescent="0.2">
      <c r="A9" s="5">
        <v>3</v>
      </c>
      <c r="B9" s="6" t="s">
        <v>14</v>
      </c>
      <c r="C9" s="6" t="s">
        <v>15</v>
      </c>
      <c r="D9" s="6" t="s">
        <v>16</v>
      </c>
      <c r="E9" s="78">
        <v>39000</v>
      </c>
      <c r="F9" s="8">
        <v>923.57849999999996</v>
      </c>
      <c r="G9" s="9">
        <v>3.0672494125104366E-2</v>
      </c>
      <c r="H9" s="101"/>
    </row>
    <row r="10" spans="1:15" ht="25.5" x14ac:dyDescent="0.2">
      <c r="A10" s="5">
        <v>4</v>
      </c>
      <c r="B10" s="6" t="s">
        <v>413</v>
      </c>
      <c r="C10" s="6" t="s">
        <v>414</v>
      </c>
      <c r="D10" s="6" t="s">
        <v>81</v>
      </c>
      <c r="E10" s="78">
        <v>34750</v>
      </c>
      <c r="F10" s="8">
        <v>898.79137500000002</v>
      </c>
      <c r="G10" s="9">
        <v>2.9849301569256945E-2</v>
      </c>
      <c r="H10" s="101"/>
    </row>
    <row r="11" spans="1:15" x14ac:dyDescent="0.2">
      <c r="A11" s="5">
        <v>5</v>
      </c>
      <c r="B11" s="6" t="s">
        <v>409</v>
      </c>
      <c r="C11" s="6" t="s">
        <v>410</v>
      </c>
      <c r="D11" s="6" t="s">
        <v>147</v>
      </c>
      <c r="E11" s="78">
        <v>47310</v>
      </c>
      <c r="F11" s="8">
        <v>893.09452499999998</v>
      </c>
      <c r="G11" s="9">
        <v>2.9660106391850148E-2</v>
      </c>
      <c r="H11" s="101"/>
    </row>
    <row r="12" spans="1:15" x14ac:dyDescent="0.2">
      <c r="A12" s="5">
        <v>6</v>
      </c>
      <c r="B12" s="6" t="s">
        <v>427</v>
      </c>
      <c r="C12" s="6" t="s">
        <v>428</v>
      </c>
      <c r="D12" s="6" t="s">
        <v>147</v>
      </c>
      <c r="E12" s="7">
        <v>45000</v>
      </c>
      <c r="F12" s="8">
        <v>805.74749999999995</v>
      </c>
      <c r="G12" s="9">
        <v>2.6759268930651295E-2</v>
      </c>
      <c r="H12" s="101"/>
    </row>
    <row r="13" spans="1:15" x14ac:dyDescent="0.2">
      <c r="A13" s="5">
        <v>7</v>
      </c>
      <c r="B13" s="6" t="s">
        <v>411</v>
      </c>
      <c r="C13" s="6" t="s">
        <v>412</v>
      </c>
      <c r="D13" s="6" t="s">
        <v>25</v>
      </c>
      <c r="E13" s="78">
        <v>52223</v>
      </c>
      <c r="F13" s="8">
        <v>772.58706200000006</v>
      </c>
      <c r="G13" s="9">
        <v>2.5657994550898105E-2</v>
      </c>
      <c r="H13" s="101"/>
    </row>
    <row r="14" spans="1:15" x14ac:dyDescent="0.2">
      <c r="A14" s="5">
        <v>8</v>
      </c>
      <c r="B14" s="6" t="s">
        <v>315</v>
      </c>
      <c r="C14" s="6" t="s">
        <v>316</v>
      </c>
      <c r="D14" s="6" t="s">
        <v>25</v>
      </c>
      <c r="E14" s="78">
        <v>101365</v>
      </c>
      <c r="F14" s="8">
        <v>687.8122075</v>
      </c>
      <c r="G14" s="9">
        <v>2.2842580131216584E-2</v>
      </c>
      <c r="H14" s="101"/>
    </row>
    <row r="15" spans="1:15" ht="25.5" x14ac:dyDescent="0.2">
      <c r="A15" s="5">
        <v>9</v>
      </c>
      <c r="B15" s="6" t="s">
        <v>436</v>
      </c>
      <c r="C15" s="6" t="s">
        <v>437</v>
      </c>
      <c r="D15" s="6" t="s">
        <v>202</v>
      </c>
      <c r="E15" s="78">
        <v>194000</v>
      </c>
      <c r="F15" s="8">
        <v>423.017</v>
      </c>
      <c r="G15" s="9">
        <v>1.4048601659002753E-2</v>
      </c>
      <c r="H15" s="101"/>
      <c r="J15" s="184" t="s">
        <v>1248</v>
      </c>
    </row>
    <row r="16" spans="1:15" ht="25.5" x14ac:dyDescent="0.2">
      <c r="A16" s="5">
        <v>10</v>
      </c>
      <c r="B16" s="6" t="s">
        <v>622</v>
      </c>
      <c r="C16" s="6" t="s">
        <v>623</v>
      </c>
      <c r="D16" s="6" t="s">
        <v>202</v>
      </c>
      <c r="E16" s="7">
        <v>47000</v>
      </c>
      <c r="F16" s="8">
        <v>422.17750000000001</v>
      </c>
      <c r="G16" s="9">
        <v>1.4020721453023483E-2</v>
      </c>
      <c r="H16" s="101"/>
      <c r="I16" s="77"/>
      <c r="J16" s="77"/>
      <c r="K16" s="77"/>
      <c r="L16" s="77"/>
      <c r="M16" s="77"/>
      <c r="N16" s="77"/>
      <c r="O16" s="77"/>
    </row>
    <row r="17" spans="1:15" x14ac:dyDescent="0.2">
      <c r="A17" s="5">
        <v>11</v>
      </c>
      <c r="B17" s="6" t="s">
        <v>415</v>
      </c>
      <c r="C17" s="6" t="s">
        <v>416</v>
      </c>
      <c r="D17" s="6" t="s">
        <v>25</v>
      </c>
      <c r="E17" s="78">
        <v>91513</v>
      </c>
      <c r="F17" s="8">
        <v>421.37160849999998</v>
      </c>
      <c r="G17" s="9">
        <v>1.3993957401782334E-2</v>
      </c>
      <c r="H17" s="101"/>
    </row>
    <row r="18" spans="1:15" x14ac:dyDescent="0.2">
      <c r="A18" s="5">
        <v>12</v>
      </c>
      <c r="B18" s="6" t="s">
        <v>11</v>
      </c>
      <c r="C18" s="6" t="s">
        <v>12</v>
      </c>
      <c r="D18" s="6" t="s">
        <v>13</v>
      </c>
      <c r="E18" s="78">
        <v>22000</v>
      </c>
      <c r="F18" s="8">
        <v>417.09800000000001</v>
      </c>
      <c r="G18" s="9">
        <v>1.3852028771341885E-2</v>
      </c>
      <c r="H18" s="101"/>
    </row>
    <row r="19" spans="1:15" x14ac:dyDescent="0.2">
      <c r="A19" s="5">
        <v>13</v>
      </c>
      <c r="B19" s="6" t="s">
        <v>1052</v>
      </c>
      <c r="C19" s="6" t="s">
        <v>1053</v>
      </c>
      <c r="D19" s="6" t="s">
        <v>53</v>
      </c>
      <c r="E19" s="78">
        <v>121320</v>
      </c>
      <c r="F19" s="8">
        <v>412.03911599999998</v>
      </c>
      <c r="G19" s="9">
        <v>1.3684020757112898E-2</v>
      </c>
      <c r="H19" s="101"/>
    </row>
    <row r="20" spans="1:15" x14ac:dyDescent="0.2">
      <c r="A20" s="5">
        <v>14</v>
      </c>
      <c r="B20" s="6" t="s">
        <v>35</v>
      </c>
      <c r="C20" s="6" t="s">
        <v>36</v>
      </c>
      <c r="D20" s="6" t="s">
        <v>19</v>
      </c>
      <c r="E20" s="7">
        <v>16161</v>
      </c>
      <c r="F20" s="8">
        <v>398.611065</v>
      </c>
      <c r="G20" s="9">
        <v>1.3238068609667824E-2</v>
      </c>
      <c r="H20" s="101"/>
    </row>
    <row r="21" spans="1:15" x14ac:dyDescent="0.2">
      <c r="A21" s="5">
        <v>15</v>
      </c>
      <c r="B21" s="6" t="s">
        <v>20</v>
      </c>
      <c r="C21" s="6" t="s">
        <v>21</v>
      </c>
      <c r="D21" s="6" t="s">
        <v>22</v>
      </c>
      <c r="E21" s="7">
        <v>52515</v>
      </c>
      <c r="F21" s="8">
        <v>359.09757000000002</v>
      </c>
      <c r="G21" s="9">
        <v>1.1925806096790099E-2</v>
      </c>
      <c r="H21" s="101"/>
    </row>
    <row r="22" spans="1:15" x14ac:dyDescent="0.2">
      <c r="A22" s="5">
        <v>16</v>
      </c>
      <c r="B22" s="6" t="s">
        <v>417</v>
      </c>
      <c r="C22" s="6" t="s">
        <v>418</v>
      </c>
      <c r="D22" s="6" t="s">
        <v>147</v>
      </c>
      <c r="E22" s="7">
        <v>8814</v>
      </c>
      <c r="F22" s="8">
        <v>329.49816900000002</v>
      </c>
      <c r="G22" s="9">
        <v>1.0942795499121239E-2</v>
      </c>
      <c r="H22" s="101"/>
    </row>
    <row r="23" spans="1:15" x14ac:dyDescent="0.2">
      <c r="A23" s="5">
        <v>17</v>
      </c>
      <c r="B23" s="6" t="s">
        <v>76</v>
      </c>
      <c r="C23" s="6" t="s">
        <v>77</v>
      </c>
      <c r="D23" s="6" t="s">
        <v>78</v>
      </c>
      <c r="E23" s="78">
        <v>268795</v>
      </c>
      <c r="F23" s="8">
        <v>329.1394775</v>
      </c>
      <c r="G23" s="9">
        <v>1.0930883178807941E-2</v>
      </c>
      <c r="H23" s="101"/>
    </row>
    <row r="24" spans="1:15" x14ac:dyDescent="0.2">
      <c r="A24" s="5">
        <v>18</v>
      </c>
      <c r="B24" s="6" t="s">
        <v>332</v>
      </c>
      <c r="C24" s="6" t="s">
        <v>333</v>
      </c>
      <c r="D24" s="6" t="s">
        <v>60</v>
      </c>
      <c r="E24" s="7">
        <v>84500</v>
      </c>
      <c r="F24" s="8">
        <v>318.77625</v>
      </c>
      <c r="G24" s="9">
        <v>1.0586715320189677E-2</v>
      </c>
      <c r="H24" s="101"/>
    </row>
    <row r="25" spans="1:15" ht="25.5" x14ac:dyDescent="0.2">
      <c r="A25" s="5">
        <v>19</v>
      </c>
      <c r="B25" s="6" t="s">
        <v>395</v>
      </c>
      <c r="C25" s="6" t="s">
        <v>396</v>
      </c>
      <c r="D25" s="6" t="s">
        <v>202</v>
      </c>
      <c r="E25" s="78">
        <v>41725</v>
      </c>
      <c r="F25" s="8">
        <v>310.20451250000002</v>
      </c>
      <c r="G25" s="9">
        <v>1.0302043721499704E-2</v>
      </c>
      <c r="H25" s="101"/>
    </row>
    <row r="26" spans="1:15" x14ac:dyDescent="0.2">
      <c r="A26" s="5">
        <v>20</v>
      </c>
      <c r="B26" s="6" t="s">
        <v>438</v>
      </c>
      <c r="C26" s="6" t="s">
        <v>439</v>
      </c>
      <c r="D26" s="6" t="s">
        <v>60</v>
      </c>
      <c r="E26" s="78">
        <v>26775</v>
      </c>
      <c r="F26" s="8">
        <v>297.59073749999999</v>
      </c>
      <c r="G26" s="9">
        <v>9.883134078645427E-3</v>
      </c>
      <c r="H26" s="101"/>
    </row>
    <row r="27" spans="1:15" ht="25.5" x14ac:dyDescent="0.2">
      <c r="A27" s="5">
        <v>21</v>
      </c>
      <c r="B27" s="6" t="s">
        <v>472</v>
      </c>
      <c r="C27" s="6" t="s">
        <v>473</v>
      </c>
      <c r="D27" s="6" t="s">
        <v>45</v>
      </c>
      <c r="E27" s="78">
        <v>13590</v>
      </c>
      <c r="F27" s="8">
        <v>223.29729</v>
      </c>
      <c r="G27" s="9">
        <v>7.415812316632236E-3</v>
      </c>
      <c r="H27" s="101"/>
    </row>
    <row r="28" spans="1:15" ht="25.5" x14ac:dyDescent="0.2">
      <c r="A28" s="5">
        <v>22</v>
      </c>
      <c r="B28" s="6" t="s">
        <v>1050</v>
      </c>
      <c r="C28" s="6" t="s">
        <v>1051</v>
      </c>
      <c r="D28" s="6" t="s">
        <v>34</v>
      </c>
      <c r="E28" s="78">
        <v>175000</v>
      </c>
      <c r="F28" s="8">
        <v>211.68</v>
      </c>
      <c r="G28" s="9">
        <v>7.0299964284596195E-3</v>
      </c>
      <c r="H28" s="101"/>
    </row>
    <row r="29" spans="1:15" x14ac:dyDescent="0.2">
      <c r="A29" s="5">
        <v>23</v>
      </c>
      <c r="B29" s="6" t="s">
        <v>440</v>
      </c>
      <c r="C29" s="6" t="s">
        <v>441</v>
      </c>
      <c r="D29" s="6" t="s">
        <v>25</v>
      </c>
      <c r="E29" s="78">
        <v>11113</v>
      </c>
      <c r="F29" s="8">
        <v>199.600593</v>
      </c>
      <c r="G29" s="9">
        <v>6.6288334084864987E-3</v>
      </c>
      <c r="H29" s="101"/>
    </row>
    <row r="30" spans="1:15" x14ac:dyDescent="0.2">
      <c r="A30" s="5">
        <v>24</v>
      </c>
      <c r="B30" s="6" t="s">
        <v>442</v>
      </c>
      <c r="C30" s="6" t="s">
        <v>1157</v>
      </c>
      <c r="D30" s="91" t="s">
        <v>22</v>
      </c>
      <c r="E30" s="78">
        <v>56299</v>
      </c>
      <c r="F30" s="8">
        <v>198.53842350000002</v>
      </c>
      <c r="G30" s="9">
        <v>6.5935582394038329E-3</v>
      </c>
      <c r="H30" s="101"/>
    </row>
    <row r="31" spans="1:15" x14ac:dyDescent="0.2">
      <c r="A31" s="5">
        <v>25</v>
      </c>
      <c r="B31" s="6" t="s">
        <v>552</v>
      </c>
      <c r="C31" s="6" t="s">
        <v>553</v>
      </c>
      <c r="D31" s="6" t="s">
        <v>78</v>
      </c>
      <c r="E31" s="7">
        <v>14930</v>
      </c>
      <c r="F31" s="8">
        <v>186.76683499999999</v>
      </c>
      <c r="G31" s="9">
        <v>6.2026180225090086E-3</v>
      </c>
      <c r="H31" s="101"/>
      <c r="I31" s="77"/>
      <c r="J31" s="77"/>
      <c r="K31" s="77"/>
      <c r="L31" s="77"/>
      <c r="M31" s="77"/>
      <c r="N31" s="77"/>
      <c r="O31" s="77"/>
    </row>
    <row r="32" spans="1:15" x14ac:dyDescent="0.2">
      <c r="A32" s="5">
        <v>26</v>
      </c>
      <c r="B32" s="6" t="s">
        <v>389</v>
      </c>
      <c r="C32" s="6" t="s">
        <v>390</v>
      </c>
      <c r="D32" s="6" t="s">
        <v>1186</v>
      </c>
      <c r="E32" s="78">
        <v>57825</v>
      </c>
      <c r="F32" s="8">
        <v>185.5026</v>
      </c>
      <c r="G32" s="9">
        <v>6.1606321592496847E-3</v>
      </c>
      <c r="H32" s="101"/>
    </row>
    <row r="33" spans="1:8" x14ac:dyDescent="0.2">
      <c r="A33" s="5">
        <v>27</v>
      </c>
      <c r="B33" s="6" t="s">
        <v>369</v>
      </c>
      <c r="C33" s="6" t="s">
        <v>370</v>
      </c>
      <c r="D33" s="6" t="s">
        <v>147</v>
      </c>
      <c r="E33" s="7">
        <v>12880</v>
      </c>
      <c r="F33" s="8">
        <v>169.90008</v>
      </c>
      <c r="G33" s="9">
        <v>5.642464831798014E-3</v>
      </c>
      <c r="H33" s="101"/>
    </row>
    <row r="34" spans="1:8" x14ac:dyDescent="0.2">
      <c r="A34" s="5">
        <v>28</v>
      </c>
      <c r="B34" s="6" t="s">
        <v>829</v>
      </c>
      <c r="C34" s="6" t="s">
        <v>830</v>
      </c>
      <c r="D34" s="6" t="s">
        <v>193</v>
      </c>
      <c r="E34" s="78">
        <v>17850</v>
      </c>
      <c r="F34" s="8">
        <v>169.70887500000001</v>
      </c>
      <c r="G34" s="9">
        <v>5.6361148201431403E-3</v>
      </c>
      <c r="H34" s="101"/>
    </row>
    <row r="35" spans="1:8" x14ac:dyDescent="0.2">
      <c r="A35" s="5">
        <v>29</v>
      </c>
      <c r="B35" s="6" t="s">
        <v>474</v>
      </c>
      <c r="C35" s="6" t="s">
        <v>475</v>
      </c>
      <c r="D35" s="6" t="s">
        <v>25</v>
      </c>
      <c r="E35" s="7">
        <v>82805</v>
      </c>
      <c r="F35" s="8">
        <v>165.56859750000001</v>
      </c>
      <c r="G35" s="9">
        <v>5.4986141774852051E-3</v>
      </c>
      <c r="H35" s="101"/>
    </row>
    <row r="36" spans="1:8" x14ac:dyDescent="0.2">
      <c r="A36" s="5">
        <v>30</v>
      </c>
      <c r="B36" s="6" t="s">
        <v>381</v>
      </c>
      <c r="C36" s="6" t="s">
        <v>382</v>
      </c>
      <c r="D36" s="6" t="s">
        <v>1183</v>
      </c>
      <c r="E36" s="7">
        <v>1000</v>
      </c>
      <c r="F36" s="8">
        <v>164.06200000000001</v>
      </c>
      <c r="G36" s="9">
        <v>5.4485793369517298E-3</v>
      </c>
      <c r="H36" s="101"/>
    </row>
    <row r="37" spans="1:8" x14ac:dyDescent="0.2">
      <c r="A37" s="5">
        <v>31</v>
      </c>
      <c r="B37" s="6" t="s">
        <v>534</v>
      </c>
      <c r="C37" s="6" t="s">
        <v>535</v>
      </c>
      <c r="D37" s="6" t="s">
        <v>1184</v>
      </c>
      <c r="E37" s="7">
        <v>4722</v>
      </c>
      <c r="F37" s="8">
        <v>160.23398700000001</v>
      </c>
      <c r="G37" s="9">
        <v>5.3214491512086409E-3</v>
      </c>
      <c r="H37" s="101"/>
    </row>
    <row r="38" spans="1:8" x14ac:dyDescent="0.2">
      <c r="A38" s="5">
        <v>32</v>
      </c>
      <c r="B38" s="6" t="s">
        <v>490</v>
      </c>
      <c r="C38" s="6" t="s">
        <v>491</v>
      </c>
      <c r="D38" s="6" t="s">
        <v>25</v>
      </c>
      <c r="E38" s="7">
        <v>114046</v>
      </c>
      <c r="F38" s="8">
        <v>159.20821599999999</v>
      </c>
      <c r="G38" s="9">
        <v>5.2873827941299486E-3</v>
      </c>
      <c r="H38" s="101"/>
    </row>
    <row r="39" spans="1:8" x14ac:dyDescent="0.2">
      <c r="A39" s="5">
        <v>33</v>
      </c>
      <c r="B39" s="6" t="s">
        <v>377</v>
      </c>
      <c r="C39" s="6" t="s">
        <v>378</v>
      </c>
      <c r="D39" s="6" t="s">
        <v>81</v>
      </c>
      <c r="E39" s="78">
        <v>40000</v>
      </c>
      <c r="F39" s="8">
        <v>147.86000000000001</v>
      </c>
      <c r="G39" s="9">
        <v>4.9105029852231641E-3</v>
      </c>
      <c r="H39" s="101"/>
    </row>
    <row r="40" spans="1:8" x14ac:dyDescent="0.2">
      <c r="A40" s="5">
        <v>34</v>
      </c>
      <c r="B40" s="6" t="s">
        <v>488</v>
      </c>
      <c r="C40" s="6" t="s">
        <v>489</v>
      </c>
      <c r="D40" s="6" t="s">
        <v>78</v>
      </c>
      <c r="E40" s="7">
        <v>1977</v>
      </c>
      <c r="F40" s="8">
        <v>146.82091650000001</v>
      </c>
      <c r="G40" s="9">
        <v>4.8759945135023056E-3</v>
      </c>
      <c r="H40" s="101"/>
    </row>
    <row r="41" spans="1:8" x14ac:dyDescent="0.2">
      <c r="A41" s="5">
        <v>35</v>
      </c>
      <c r="B41" s="6" t="s">
        <v>429</v>
      </c>
      <c r="C41" s="6" t="s">
        <v>430</v>
      </c>
      <c r="D41" s="6" t="s">
        <v>431</v>
      </c>
      <c r="E41" s="78">
        <v>30750</v>
      </c>
      <c r="F41" s="8">
        <v>146.23162500000001</v>
      </c>
      <c r="G41" s="9">
        <v>4.8564238542982158E-3</v>
      </c>
      <c r="H41" s="101"/>
    </row>
    <row r="42" spans="1:8" ht="25.5" x14ac:dyDescent="0.2">
      <c r="A42" s="5">
        <v>36</v>
      </c>
      <c r="B42" s="6" t="s">
        <v>536</v>
      </c>
      <c r="C42" s="6" t="s">
        <v>537</v>
      </c>
      <c r="D42" s="6" t="s">
        <v>202</v>
      </c>
      <c r="E42" s="7">
        <v>7505</v>
      </c>
      <c r="F42" s="8">
        <v>141.431725</v>
      </c>
      <c r="G42" s="9">
        <v>4.6970168254954793E-3</v>
      </c>
      <c r="H42" s="101"/>
    </row>
    <row r="43" spans="1:8" x14ac:dyDescent="0.2">
      <c r="A43" s="5">
        <v>37</v>
      </c>
      <c r="B43" s="6" t="s">
        <v>39</v>
      </c>
      <c r="C43" s="6" t="s">
        <v>40</v>
      </c>
      <c r="D43" s="6" t="s">
        <v>16</v>
      </c>
      <c r="E43" s="78">
        <v>35895</v>
      </c>
      <c r="F43" s="8">
        <v>138.35727750000001</v>
      </c>
      <c r="G43" s="9">
        <v>4.5949129189172171E-3</v>
      </c>
      <c r="H43" s="101"/>
    </row>
    <row r="44" spans="1:8" x14ac:dyDescent="0.2">
      <c r="A44" s="5">
        <v>38</v>
      </c>
      <c r="B44" s="6" t="s">
        <v>375</v>
      </c>
      <c r="C44" s="6" t="s">
        <v>376</v>
      </c>
      <c r="D44" s="6" t="s">
        <v>238</v>
      </c>
      <c r="E44" s="7">
        <v>10973</v>
      </c>
      <c r="F44" s="8">
        <v>134.40279050000001</v>
      </c>
      <c r="G44" s="9">
        <v>4.4635824697184731E-3</v>
      </c>
      <c r="H44" s="101"/>
    </row>
    <row r="45" spans="1:8" x14ac:dyDescent="0.2">
      <c r="A45" s="5">
        <v>39</v>
      </c>
      <c r="B45" s="6" t="s">
        <v>507</v>
      </c>
      <c r="C45" s="6" t="s">
        <v>1156</v>
      </c>
      <c r="D45" s="6" t="s">
        <v>78</v>
      </c>
      <c r="E45" s="78">
        <v>56000</v>
      </c>
      <c r="F45" s="8">
        <v>134.036</v>
      </c>
      <c r="G45" s="9">
        <v>4.4514011776502901E-3</v>
      </c>
      <c r="H45" s="101"/>
    </row>
    <row r="46" spans="1:8" x14ac:dyDescent="0.2">
      <c r="A46" s="5">
        <v>40</v>
      </c>
      <c r="B46" s="6" t="s">
        <v>311</v>
      </c>
      <c r="C46" s="6" t="s">
        <v>312</v>
      </c>
      <c r="D46" s="6" t="s">
        <v>284</v>
      </c>
      <c r="E46" s="7">
        <v>325</v>
      </c>
      <c r="F46" s="8">
        <v>131.3700375</v>
      </c>
      <c r="G46" s="9">
        <v>4.3628632578968547E-3</v>
      </c>
      <c r="H46" s="101"/>
    </row>
    <row r="47" spans="1:8" x14ac:dyDescent="0.2">
      <c r="A47" s="5">
        <v>41</v>
      </c>
      <c r="B47" s="6" t="s">
        <v>530</v>
      </c>
      <c r="C47" s="6" t="s">
        <v>531</v>
      </c>
      <c r="D47" s="6" t="s">
        <v>238</v>
      </c>
      <c r="E47" s="78">
        <v>34800</v>
      </c>
      <c r="F47" s="8">
        <v>130.7784</v>
      </c>
      <c r="G47" s="9">
        <v>4.3432146868842758E-3</v>
      </c>
      <c r="H47" s="101"/>
    </row>
    <row r="48" spans="1:8" ht="25.5" x14ac:dyDescent="0.2">
      <c r="A48" s="5">
        <v>42</v>
      </c>
      <c r="B48" s="6" t="s">
        <v>500</v>
      </c>
      <c r="C48" s="6" t="s">
        <v>501</v>
      </c>
      <c r="D48" s="6" t="s">
        <v>45</v>
      </c>
      <c r="E48" s="78">
        <v>5785</v>
      </c>
      <c r="F48" s="8">
        <v>129.21376000000001</v>
      </c>
      <c r="G48" s="9">
        <v>4.2912522265109521E-3</v>
      </c>
      <c r="H48" s="101"/>
    </row>
    <row r="49" spans="1:15" ht="25.5" x14ac:dyDescent="0.2">
      <c r="A49" s="5">
        <v>43</v>
      </c>
      <c r="B49" s="6" t="s">
        <v>28</v>
      </c>
      <c r="C49" s="6" t="s">
        <v>29</v>
      </c>
      <c r="D49" s="6" t="s">
        <v>1185</v>
      </c>
      <c r="E49" s="7">
        <v>1700</v>
      </c>
      <c r="F49" s="8">
        <v>129.04785000000001</v>
      </c>
      <c r="G49" s="9">
        <v>4.2857422741893079E-3</v>
      </c>
      <c r="H49" s="101"/>
    </row>
    <row r="50" spans="1:15" x14ac:dyDescent="0.2">
      <c r="A50" s="5">
        <v>44</v>
      </c>
      <c r="B50" s="6" t="s">
        <v>434</v>
      </c>
      <c r="C50" s="6" t="s">
        <v>435</v>
      </c>
      <c r="D50" s="6" t="s">
        <v>238</v>
      </c>
      <c r="E50" s="78">
        <v>17332</v>
      </c>
      <c r="F50" s="8">
        <v>128.872086</v>
      </c>
      <c r="G50" s="9">
        <v>4.2799050657036132E-3</v>
      </c>
      <c r="H50" s="101"/>
    </row>
    <row r="51" spans="1:15" x14ac:dyDescent="0.2">
      <c r="A51" s="5">
        <v>45</v>
      </c>
      <c r="B51" s="6" t="s">
        <v>350</v>
      </c>
      <c r="C51" s="6" t="s">
        <v>351</v>
      </c>
      <c r="D51" s="6" t="s">
        <v>25</v>
      </c>
      <c r="E51" s="78">
        <v>151980</v>
      </c>
      <c r="F51" s="8">
        <v>124.54760999999999</v>
      </c>
      <c r="G51" s="9">
        <v>4.1362871006858535E-3</v>
      </c>
      <c r="H51" s="101"/>
    </row>
    <row r="52" spans="1:15" x14ac:dyDescent="0.2">
      <c r="A52" s="5">
        <v>46</v>
      </c>
      <c r="B52" s="6" t="s">
        <v>328</v>
      </c>
      <c r="C52" s="6" t="s">
        <v>329</v>
      </c>
      <c r="D52" s="6" t="s">
        <v>25</v>
      </c>
      <c r="E52" s="78">
        <v>150000</v>
      </c>
      <c r="F52" s="8">
        <v>124.5</v>
      </c>
      <c r="G52" s="9">
        <v>4.1347059492782626E-3</v>
      </c>
      <c r="H52" s="101"/>
    </row>
    <row r="53" spans="1:15" s="77" customFormat="1" x14ac:dyDescent="0.2">
      <c r="A53" s="5">
        <v>47</v>
      </c>
      <c r="B53" s="6" t="s">
        <v>550</v>
      </c>
      <c r="C53" s="6" t="s">
        <v>551</v>
      </c>
      <c r="D53" s="6" t="s">
        <v>1186</v>
      </c>
      <c r="E53" s="78">
        <v>8910</v>
      </c>
      <c r="F53" s="75">
        <v>115.67852999999999</v>
      </c>
      <c r="G53" s="76">
        <v>3.841740612006136E-3</v>
      </c>
      <c r="H53" s="101"/>
      <c r="I53"/>
      <c r="J53"/>
      <c r="K53"/>
      <c r="L53"/>
      <c r="M53"/>
      <c r="N53"/>
      <c r="O53"/>
    </row>
    <row r="54" spans="1:15" s="77" customFormat="1" x14ac:dyDescent="0.2">
      <c r="A54" s="5">
        <v>48</v>
      </c>
      <c r="B54" s="6" t="s">
        <v>301</v>
      </c>
      <c r="C54" s="6" t="s">
        <v>302</v>
      </c>
      <c r="D54" s="6" t="s">
        <v>147</v>
      </c>
      <c r="E54" s="78">
        <v>2405</v>
      </c>
      <c r="F54" s="8">
        <v>114.959</v>
      </c>
      <c r="G54" s="9">
        <v>3.8178446684584721E-3</v>
      </c>
      <c r="H54" s="101"/>
      <c r="I54"/>
      <c r="J54"/>
      <c r="K54"/>
      <c r="L54"/>
      <c r="M54"/>
      <c r="N54"/>
      <c r="O54"/>
    </row>
    <row r="55" spans="1:15" x14ac:dyDescent="0.2">
      <c r="A55" s="5">
        <v>49</v>
      </c>
      <c r="B55" s="6" t="s">
        <v>454</v>
      </c>
      <c r="C55" s="6" t="s">
        <v>455</v>
      </c>
      <c r="D55" s="6" t="s">
        <v>238</v>
      </c>
      <c r="E55" s="7">
        <v>51230</v>
      </c>
      <c r="F55" s="8">
        <v>114.39659</v>
      </c>
      <c r="G55" s="9">
        <v>3.7991667570292866E-3</v>
      </c>
      <c r="H55" s="101"/>
    </row>
    <row r="56" spans="1:15" x14ac:dyDescent="0.2">
      <c r="A56" s="5">
        <v>50</v>
      </c>
      <c r="B56" s="6" t="s">
        <v>423</v>
      </c>
      <c r="C56" s="6" t="s">
        <v>424</v>
      </c>
      <c r="D56" s="6" t="s">
        <v>193</v>
      </c>
      <c r="E56" s="78">
        <v>13500</v>
      </c>
      <c r="F56" s="8">
        <v>114.1695</v>
      </c>
      <c r="G56" s="9">
        <v>3.7916249869568239E-3</v>
      </c>
      <c r="H56" s="101"/>
    </row>
    <row r="57" spans="1:15" x14ac:dyDescent="0.2">
      <c r="A57" s="5">
        <v>51</v>
      </c>
      <c r="B57" s="6" t="s">
        <v>305</v>
      </c>
      <c r="C57" s="6" t="s">
        <v>306</v>
      </c>
      <c r="D57" s="6" t="s">
        <v>1183</v>
      </c>
      <c r="E57" s="78">
        <v>11564</v>
      </c>
      <c r="F57" s="8">
        <v>113.36767399999999</v>
      </c>
      <c r="G57" s="9">
        <v>3.7649959529609521E-3</v>
      </c>
      <c r="H57" s="101"/>
    </row>
    <row r="58" spans="1:15" x14ac:dyDescent="0.2">
      <c r="A58" s="5">
        <v>52</v>
      </c>
      <c r="B58" s="6" t="s">
        <v>191</v>
      </c>
      <c r="C58" s="6" t="s">
        <v>192</v>
      </c>
      <c r="D58" s="6" t="s">
        <v>193</v>
      </c>
      <c r="E58" s="7">
        <v>24500</v>
      </c>
      <c r="F58" s="8">
        <v>111.3035</v>
      </c>
      <c r="G58" s="9">
        <v>3.6964437238995425E-3</v>
      </c>
      <c r="H58" s="101"/>
    </row>
    <row r="59" spans="1:15" x14ac:dyDescent="0.2">
      <c r="A59" s="5">
        <v>53</v>
      </c>
      <c r="B59" s="6" t="s">
        <v>90</v>
      </c>
      <c r="C59" s="6" t="s">
        <v>91</v>
      </c>
      <c r="D59" s="6" t="s">
        <v>19</v>
      </c>
      <c r="E59" s="7">
        <v>1250</v>
      </c>
      <c r="F59" s="8">
        <v>109.80500000000001</v>
      </c>
      <c r="G59" s="9">
        <v>3.646677805305218E-3</v>
      </c>
      <c r="H59" s="101"/>
    </row>
    <row r="60" spans="1:15" ht="25.5" x14ac:dyDescent="0.2">
      <c r="A60" s="5">
        <v>54</v>
      </c>
      <c r="B60" s="6" t="s">
        <v>839</v>
      </c>
      <c r="C60" s="6" t="s">
        <v>840</v>
      </c>
      <c r="D60" s="6" t="s">
        <v>202</v>
      </c>
      <c r="E60" s="78">
        <v>3150</v>
      </c>
      <c r="F60" s="8">
        <v>106.56292500000001</v>
      </c>
      <c r="G60" s="9">
        <v>3.5390069073895042E-3</v>
      </c>
      <c r="H60" s="101"/>
    </row>
    <row r="61" spans="1:15" x14ac:dyDescent="0.2">
      <c r="A61" s="5">
        <v>55</v>
      </c>
      <c r="B61" s="6" t="s">
        <v>776</v>
      </c>
      <c r="C61" s="6" t="s">
        <v>777</v>
      </c>
      <c r="D61" s="6" t="s">
        <v>78</v>
      </c>
      <c r="E61" s="7">
        <v>3250</v>
      </c>
      <c r="F61" s="8">
        <v>105.60062499999999</v>
      </c>
      <c r="G61" s="9">
        <v>3.5070484532931951E-3</v>
      </c>
      <c r="H61" s="101"/>
    </row>
    <row r="62" spans="1:15" x14ac:dyDescent="0.2">
      <c r="A62" s="5">
        <v>56</v>
      </c>
      <c r="B62" s="6" t="s">
        <v>84</v>
      </c>
      <c r="C62" s="6" t="s">
        <v>85</v>
      </c>
      <c r="D62" s="6" t="s">
        <v>53</v>
      </c>
      <c r="E62" s="7">
        <v>20700</v>
      </c>
      <c r="F62" s="8">
        <v>101.49209999999999</v>
      </c>
      <c r="G62" s="9">
        <v>3.3706023267047734E-3</v>
      </c>
      <c r="H62" s="101"/>
    </row>
    <row r="63" spans="1:15" x14ac:dyDescent="0.2">
      <c r="A63" s="5">
        <v>57</v>
      </c>
      <c r="B63" s="6" t="s">
        <v>336</v>
      </c>
      <c r="C63" s="6" t="s">
        <v>337</v>
      </c>
      <c r="D63" s="6" t="s">
        <v>193</v>
      </c>
      <c r="E63" s="78">
        <v>2500</v>
      </c>
      <c r="F63" s="8">
        <v>96.613749999999996</v>
      </c>
      <c r="G63" s="9">
        <v>3.2085899349966482E-3</v>
      </c>
      <c r="H63" s="101"/>
    </row>
    <row r="64" spans="1:15" x14ac:dyDescent="0.2">
      <c r="A64" s="5">
        <v>58</v>
      </c>
      <c r="B64" s="6" t="s">
        <v>916</v>
      </c>
      <c r="C64" s="6" t="s">
        <v>917</v>
      </c>
      <c r="D64" s="6" t="s">
        <v>81</v>
      </c>
      <c r="E64" s="78">
        <v>72000</v>
      </c>
      <c r="F64" s="8">
        <v>96.335999999999999</v>
      </c>
      <c r="G64" s="9">
        <v>3.1993657215234591E-3</v>
      </c>
      <c r="H64" s="101"/>
    </row>
    <row r="65" spans="1:8" x14ac:dyDescent="0.2">
      <c r="A65" s="5">
        <v>59</v>
      </c>
      <c r="B65" s="6" t="s">
        <v>432</v>
      </c>
      <c r="C65" s="6" t="s">
        <v>433</v>
      </c>
      <c r="D65" s="6" t="s">
        <v>78</v>
      </c>
      <c r="E65" s="78">
        <v>10500</v>
      </c>
      <c r="F65" s="8">
        <v>87.900750000000002</v>
      </c>
      <c r="G65" s="9">
        <v>2.9192269395262749E-3</v>
      </c>
      <c r="H65" s="101"/>
    </row>
    <row r="66" spans="1:8" ht="25.5" x14ac:dyDescent="0.2">
      <c r="A66" s="5">
        <v>60</v>
      </c>
      <c r="B66" s="6" t="s">
        <v>317</v>
      </c>
      <c r="C66" s="6" t="s">
        <v>318</v>
      </c>
      <c r="D66" s="6" t="s">
        <v>81</v>
      </c>
      <c r="E66" s="78">
        <v>16445</v>
      </c>
      <c r="F66" s="8">
        <v>85.57978</v>
      </c>
      <c r="G66" s="9">
        <v>2.8421463895897578E-3</v>
      </c>
      <c r="H66" s="101"/>
    </row>
    <row r="67" spans="1:8" x14ac:dyDescent="0.2">
      <c r="A67" s="5">
        <v>61</v>
      </c>
      <c r="B67" s="6" t="s">
        <v>421</v>
      </c>
      <c r="C67" s="6" t="s">
        <v>422</v>
      </c>
      <c r="D67" s="6" t="s">
        <v>147</v>
      </c>
      <c r="E67" s="78">
        <v>11000</v>
      </c>
      <c r="F67" s="8">
        <v>78.688500000000005</v>
      </c>
      <c r="G67" s="9">
        <v>2.6132836071468477E-3</v>
      </c>
      <c r="H67" s="101"/>
    </row>
    <row r="68" spans="1:8" x14ac:dyDescent="0.2">
      <c r="A68" s="5">
        <v>62</v>
      </c>
      <c r="B68" s="6" t="s">
        <v>864</v>
      </c>
      <c r="C68" s="6" t="s">
        <v>865</v>
      </c>
      <c r="D68" s="6" t="s">
        <v>1183</v>
      </c>
      <c r="E68" s="7">
        <v>12100</v>
      </c>
      <c r="F68" s="8">
        <v>78.595550000000003</v>
      </c>
      <c r="G68" s="9">
        <v>2.6101966921429488E-3</v>
      </c>
      <c r="H68" s="101"/>
    </row>
    <row r="69" spans="1:8" x14ac:dyDescent="0.2">
      <c r="A69" s="5">
        <v>63</v>
      </c>
      <c r="B69" s="6" t="s">
        <v>572</v>
      </c>
      <c r="C69" s="6" t="s">
        <v>573</v>
      </c>
      <c r="D69" s="6" t="s">
        <v>238</v>
      </c>
      <c r="E69" s="78">
        <v>3441</v>
      </c>
      <c r="F69" s="8">
        <v>77.7992895</v>
      </c>
      <c r="G69" s="9">
        <v>2.5837524911266813E-3</v>
      </c>
      <c r="H69" s="101"/>
    </row>
    <row r="70" spans="1:8" x14ac:dyDescent="0.2">
      <c r="A70" s="5">
        <v>64</v>
      </c>
      <c r="B70" s="6" t="s">
        <v>791</v>
      </c>
      <c r="C70" s="6" t="s">
        <v>792</v>
      </c>
      <c r="D70" s="6" t="s">
        <v>147</v>
      </c>
      <c r="E70" s="7">
        <v>2929</v>
      </c>
      <c r="F70" s="8">
        <v>76.506944500000003</v>
      </c>
      <c r="G70" s="9">
        <v>2.5408330810060388E-3</v>
      </c>
      <c r="H70" s="101"/>
    </row>
    <row r="71" spans="1:8" x14ac:dyDescent="0.2">
      <c r="A71" s="5">
        <v>65</v>
      </c>
      <c r="B71" s="6" t="s">
        <v>338</v>
      </c>
      <c r="C71" s="6" t="s">
        <v>339</v>
      </c>
      <c r="D71" s="6" t="s">
        <v>193</v>
      </c>
      <c r="E71" s="7">
        <v>3530</v>
      </c>
      <c r="F71" s="8">
        <v>76.488039999999998</v>
      </c>
      <c r="G71" s="9">
        <v>2.5402052533062946E-3</v>
      </c>
      <c r="H71" s="101"/>
    </row>
    <row r="72" spans="1:8" x14ac:dyDescent="0.2">
      <c r="A72" s="5">
        <v>66</v>
      </c>
      <c r="B72" s="6" t="s">
        <v>444</v>
      </c>
      <c r="C72" s="6" t="s">
        <v>445</v>
      </c>
      <c r="D72" s="6" t="s">
        <v>193</v>
      </c>
      <c r="E72" s="7">
        <v>1600</v>
      </c>
      <c r="F72" s="8">
        <v>74.851200000000006</v>
      </c>
      <c r="G72" s="9">
        <v>2.4858449955872859E-3</v>
      </c>
      <c r="H72" s="101"/>
    </row>
    <row r="73" spans="1:8" x14ac:dyDescent="0.2">
      <c r="A73" s="5">
        <v>67</v>
      </c>
      <c r="B73" s="6" t="s">
        <v>342</v>
      </c>
      <c r="C73" s="6" t="s">
        <v>343</v>
      </c>
      <c r="D73" s="6" t="s">
        <v>19</v>
      </c>
      <c r="E73" s="7">
        <v>10570</v>
      </c>
      <c r="F73" s="8">
        <v>73.762744999999995</v>
      </c>
      <c r="G73" s="9">
        <v>2.4496968721814888E-3</v>
      </c>
      <c r="H73" s="101"/>
    </row>
    <row r="74" spans="1:8" x14ac:dyDescent="0.2">
      <c r="A74" s="5">
        <v>68</v>
      </c>
      <c r="B74" s="6" t="s">
        <v>419</v>
      </c>
      <c r="C74" s="6" t="s">
        <v>420</v>
      </c>
      <c r="D74" s="6" t="s">
        <v>1183</v>
      </c>
      <c r="E74" s="78">
        <v>6000</v>
      </c>
      <c r="F74" s="8">
        <v>71.760000000000005</v>
      </c>
      <c r="G74" s="9">
        <v>2.383184730282796E-3</v>
      </c>
      <c r="H74" s="101"/>
    </row>
    <row r="75" spans="1:8" x14ac:dyDescent="0.2">
      <c r="A75" s="5">
        <v>69</v>
      </c>
      <c r="B75" s="6" t="s">
        <v>274</v>
      </c>
      <c r="C75" s="6" t="s">
        <v>275</v>
      </c>
      <c r="D75" s="6" t="s">
        <v>185</v>
      </c>
      <c r="E75" s="78">
        <v>1700</v>
      </c>
      <c r="F75" s="8">
        <v>71.204499999999996</v>
      </c>
      <c r="G75" s="9">
        <v>2.3647363033364177E-3</v>
      </c>
      <c r="H75" s="101"/>
    </row>
    <row r="76" spans="1:8" x14ac:dyDescent="0.2">
      <c r="A76" s="5">
        <v>70</v>
      </c>
      <c r="B76" s="6" t="s">
        <v>393</v>
      </c>
      <c r="C76" s="6" t="s">
        <v>394</v>
      </c>
      <c r="D76" s="6" t="s">
        <v>70</v>
      </c>
      <c r="E76" s="78">
        <v>15532</v>
      </c>
      <c r="F76" s="8">
        <v>71.167624000000004</v>
      </c>
      <c r="G76" s="9">
        <v>2.3635116333236826E-3</v>
      </c>
      <c r="H76" s="101"/>
    </row>
    <row r="77" spans="1:8" ht="25.5" x14ac:dyDescent="0.2">
      <c r="A77" s="5">
        <v>71</v>
      </c>
      <c r="B77" s="6" t="s">
        <v>26</v>
      </c>
      <c r="C77" s="6" t="s">
        <v>27</v>
      </c>
      <c r="D77" s="6" t="s">
        <v>1185</v>
      </c>
      <c r="E77" s="7">
        <v>7000</v>
      </c>
      <c r="F77" s="8">
        <v>70.287000000000006</v>
      </c>
      <c r="G77" s="9">
        <v>2.3342656791720583E-3</v>
      </c>
      <c r="H77" s="101"/>
    </row>
    <row r="78" spans="1:8" x14ac:dyDescent="0.2">
      <c r="A78" s="5">
        <v>72</v>
      </c>
      <c r="B78" s="6" t="s">
        <v>175</v>
      </c>
      <c r="C78" s="6" t="s">
        <v>176</v>
      </c>
      <c r="D78" s="6" t="s">
        <v>16</v>
      </c>
      <c r="E78" s="78">
        <v>20000</v>
      </c>
      <c r="F78" s="8">
        <v>58.47</v>
      </c>
      <c r="G78" s="9">
        <v>1.9418173241309237E-3</v>
      </c>
      <c r="H78" s="101"/>
    </row>
    <row r="79" spans="1:8" x14ac:dyDescent="0.2">
      <c r="A79" s="5">
        <v>73</v>
      </c>
      <c r="B79" s="6" t="s">
        <v>344</v>
      </c>
      <c r="C79" s="6" t="s">
        <v>345</v>
      </c>
      <c r="D79" s="6" t="s">
        <v>81</v>
      </c>
      <c r="E79" s="7">
        <v>4500</v>
      </c>
      <c r="F79" s="8">
        <v>54.765000000000001</v>
      </c>
      <c r="G79" s="9">
        <v>1.8187724603391489E-3</v>
      </c>
      <c r="H79" s="101"/>
    </row>
    <row r="80" spans="1:8" x14ac:dyDescent="0.2">
      <c r="A80" s="5">
        <v>74</v>
      </c>
      <c r="B80" s="6" t="s">
        <v>468</v>
      </c>
      <c r="C80" s="6" t="s">
        <v>469</v>
      </c>
      <c r="D80" s="6" t="s">
        <v>78</v>
      </c>
      <c r="E80" s="78">
        <v>11300</v>
      </c>
      <c r="F80" s="8">
        <v>54.511200000000002</v>
      </c>
      <c r="G80" s="9">
        <v>1.8103436380907407E-3</v>
      </c>
      <c r="H80" s="101"/>
    </row>
    <row r="81" spans="1:8" x14ac:dyDescent="0.2">
      <c r="A81" s="5">
        <v>75</v>
      </c>
      <c r="B81" s="6" t="s">
        <v>528</v>
      </c>
      <c r="C81" s="6" t="s">
        <v>529</v>
      </c>
      <c r="D81" s="6" t="s">
        <v>147</v>
      </c>
      <c r="E81" s="7">
        <v>891</v>
      </c>
      <c r="F81" s="8">
        <v>52.4830185</v>
      </c>
      <c r="G81" s="9">
        <v>1.742986737574547E-3</v>
      </c>
      <c r="H81" s="101"/>
    </row>
    <row r="82" spans="1:8" x14ac:dyDescent="0.2">
      <c r="A82" s="5">
        <v>76</v>
      </c>
      <c r="B82" s="6" t="s">
        <v>880</v>
      </c>
      <c r="C82" s="6" t="s">
        <v>881</v>
      </c>
      <c r="D82" s="6" t="s">
        <v>78</v>
      </c>
      <c r="E82" s="78">
        <v>2100</v>
      </c>
      <c r="F82" s="8">
        <v>51.704099999999997</v>
      </c>
      <c r="G82" s="9">
        <v>1.7171184728680979E-3</v>
      </c>
      <c r="H82" s="101"/>
    </row>
    <row r="83" spans="1:8" x14ac:dyDescent="0.2">
      <c r="A83" s="5">
        <v>77</v>
      </c>
      <c r="B83" s="6" t="s">
        <v>71</v>
      </c>
      <c r="C83" s="6" t="s">
        <v>72</v>
      </c>
      <c r="D83" s="6" t="s">
        <v>73</v>
      </c>
      <c r="E83" s="78">
        <v>33000</v>
      </c>
      <c r="F83" s="8">
        <v>42.636000000000003</v>
      </c>
      <c r="G83" s="9">
        <v>1.4159624325576546E-3</v>
      </c>
      <c r="H83" s="101"/>
    </row>
    <row r="84" spans="1:8" x14ac:dyDescent="0.2">
      <c r="A84" s="5">
        <v>78</v>
      </c>
      <c r="B84" s="6" t="s">
        <v>357</v>
      </c>
      <c r="C84" s="6" t="s">
        <v>358</v>
      </c>
      <c r="D84" s="6" t="s">
        <v>48</v>
      </c>
      <c r="E84" s="78">
        <v>5000</v>
      </c>
      <c r="F84" s="8">
        <v>30.727499999999999</v>
      </c>
      <c r="G84" s="9">
        <v>1.0204753177224723E-3</v>
      </c>
      <c r="H84" s="101"/>
    </row>
    <row r="85" spans="1:8" ht="25.5" x14ac:dyDescent="0.2">
      <c r="A85" s="5">
        <v>79</v>
      </c>
      <c r="B85" s="6" t="s">
        <v>510</v>
      </c>
      <c r="C85" s="6" t="s">
        <v>511</v>
      </c>
      <c r="D85" s="6" t="s">
        <v>202</v>
      </c>
      <c r="E85" s="78">
        <v>2717</v>
      </c>
      <c r="F85" s="8">
        <v>26.310069500000001</v>
      </c>
      <c r="G85" s="9">
        <v>8.7377028825361093E-4</v>
      </c>
      <c r="H85" s="101"/>
    </row>
    <row r="86" spans="1:8" x14ac:dyDescent="0.2">
      <c r="A86" s="3"/>
      <c r="B86" s="3"/>
      <c r="C86" s="4" t="s">
        <v>97</v>
      </c>
      <c r="D86" s="3"/>
      <c r="E86" s="79" t="s">
        <v>98</v>
      </c>
      <c r="F86" s="11">
        <v>18611.327779500003</v>
      </c>
      <c r="G86" s="12">
        <v>0.61809130677804358</v>
      </c>
      <c r="H86" s="101"/>
    </row>
    <row r="87" spans="1:8" x14ac:dyDescent="0.2">
      <c r="A87" s="3"/>
      <c r="B87" s="3"/>
      <c r="C87" s="13"/>
      <c r="D87" s="3"/>
      <c r="E87" s="3"/>
      <c r="F87" s="14"/>
      <c r="G87" s="14"/>
      <c r="H87" s="101"/>
    </row>
    <row r="88" spans="1:8" x14ac:dyDescent="0.2">
      <c r="A88" s="3"/>
      <c r="B88" s="3"/>
      <c r="C88" s="4" t="s">
        <v>99</v>
      </c>
      <c r="D88" s="3"/>
      <c r="E88" s="3"/>
      <c r="F88" s="3"/>
      <c r="G88" s="3"/>
      <c r="H88" s="101"/>
    </row>
    <row r="89" spans="1:8" x14ac:dyDescent="0.2">
      <c r="A89" s="3"/>
      <c r="B89" s="3"/>
      <c r="C89" s="4" t="s">
        <v>97</v>
      </c>
      <c r="D89" s="3"/>
      <c r="E89" s="3" t="s">
        <v>98</v>
      </c>
      <c r="F89" s="15">
        <v>0</v>
      </c>
      <c r="G89" s="16">
        <v>0</v>
      </c>
      <c r="H89" s="101"/>
    </row>
    <row r="90" spans="1:8" x14ac:dyDescent="0.2">
      <c r="A90" s="3"/>
      <c r="B90" s="3"/>
      <c r="C90" s="13"/>
      <c r="D90" s="3"/>
      <c r="E90" s="3"/>
      <c r="F90" s="14"/>
      <c r="G90" s="14"/>
      <c r="H90" s="101"/>
    </row>
    <row r="91" spans="1:8" x14ac:dyDescent="0.2">
      <c r="A91" s="3"/>
      <c r="B91" s="3"/>
      <c r="C91" s="4" t="s">
        <v>100</v>
      </c>
      <c r="D91" s="3"/>
      <c r="E91" s="3"/>
      <c r="F91" s="3"/>
      <c r="G91" s="3"/>
      <c r="H91" s="101"/>
    </row>
    <row r="92" spans="1:8" x14ac:dyDescent="0.2">
      <c r="A92" s="3"/>
      <c r="B92" s="3"/>
      <c r="C92" s="4" t="s">
        <v>97</v>
      </c>
      <c r="D92" s="3"/>
      <c r="E92" s="3" t="s">
        <v>98</v>
      </c>
      <c r="F92" s="15">
        <v>0</v>
      </c>
      <c r="G92" s="16">
        <v>0</v>
      </c>
      <c r="H92" s="101"/>
    </row>
    <row r="93" spans="1:8" x14ac:dyDescent="0.2">
      <c r="A93" s="3"/>
      <c r="B93" s="3"/>
      <c r="C93" s="13"/>
      <c r="D93" s="3"/>
      <c r="E93" s="3"/>
      <c r="F93" s="14"/>
      <c r="G93" s="14"/>
      <c r="H93" s="101"/>
    </row>
    <row r="94" spans="1:8" x14ac:dyDescent="0.2">
      <c r="A94" s="3"/>
      <c r="B94" s="3"/>
      <c r="C94" s="4" t="s">
        <v>101</v>
      </c>
      <c r="D94" s="3"/>
      <c r="E94" s="3"/>
      <c r="F94" s="3"/>
      <c r="G94" s="3"/>
      <c r="H94" s="101"/>
    </row>
    <row r="95" spans="1:8" x14ac:dyDescent="0.2">
      <c r="A95" s="3"/>
      <c r="B95" s="3"/>
      <c r="C95" s="4" t="s">
        <v>97</v>
      </c>
      <c r="D95" s="3"/>
      <c r="E95" s="3" t="s">
        <v>98</v>
      </c>
      <c r="F95" s="11">
        <v>0</v>
      </c>
      <c r="G95" s="12">
        <v>0</v>
      </c>
      <c r="H95" s="101"/>
    </row>
    <row r="96" spans="1:8" x14ac:dyDescent="0.2">
      <c r="A96" s="3"/>
      <c r="B96" s="3"/>
      <c r="C96" s="13"/>
      <c r="D96" s="3"/>
      <c r="E96" s="3"/>
      <c r="F96" s="14"/>
      <c r="G96" s="14"/>
      <c r="H96" s="101"/>
    </row>
    <row r="97" spans="1:8" x14ac:dyDescent="0.2">
      <c r="A97" s="3"/>
      <c r="B97" s="3"/>
      <c r="C97" s="4" t="s">
        <v>102</v>
      </c>
      <c r="D97" s="3"/>
      <c r="E97" s="3"/>
      <c r="F97" s="14"/>
      <c r="G97" s="14"/>
      <c r="H97" s="101"/>
    </row>
    <row r="98" spans="1:8" ht="25.5" x14ac:dyDescent="0.2">
      <c r="A98" s="5">
        <v>1</v>
      </c>
      <c r="B98" s="6" t="s">
        <v>971</v>
      </c>
      <c r="C98" s="6" t="s">
        <v>1054</v>
      </c>
      <c r="D98" s="6" t="s">
        <v>81</v>
      </c>
      <c r="E98" s="7">
        <v>12600</v>
      </c>
      <c r="F98" s="8">
        <v>98.28</v>
      </c>
      <c r="G98" s="9">
        <v>3.2639269132133946E-3</v>
      </c>
      <c r="H98" s="101"/>
    </row>
    <row r="99" spans="1:8" x14ac:dyDescent="0.2">
      <c r="A99" s="3"/>
      <c r="B99" s="3"/>
      <c r="C99" s="4" t="s">
        <v>97</v>
      </c>
      <c r="D99" s="3"/>
      <c r="E99" s="3" t="s">
        <v>98</v>
      </c>
      <c r="F99" s="15">
        <v>98.28</v>
      </c>
      <c r="G99" s="16">
        <v>3.2639269132133946E-3</v>
      </c>
      <c r="H99" s="101"/>
    </row>
    <row r="100" spans="1:8" x14ac:dyDescent="0.2">
      <c r="A100" s="3"/>
      <c r="B100" s="3"/>
      <c r="C100" s="13"/>
      <c r="D100" s="3"/>
      <c r="E100" s="3"/>
      <c r="F100" s="14"/>
      <c r="G100" s="14"/>
      <c r="H100" s="101"/>
    </row>
    <row r="101" spans="1:8" x14ac:dyDescent="0.2">
      <c r="A101" s="3"/>
      <c r="B101" s="3"/>
      <c r="C101" s="4" t="s">
        <v>103</v>
      </c>
      <c r="D101" s="3"/>
      <c r="E101" s="3"/>
      <c r="F101" s="14"/>
      <c r="G101" s="14"/>
      <c r="H101" s="101"/>
    </row>
    <row r="102" spans="1:8" x14ac:dyDescent="0.2">
      <c r="A102" s="5">
        <v>1</v>
      </c>
      <c r="B102" s="6"/>
      <c r="C102" s="6" t="s">
        <v>1134</v>
      </c>
      <c r="D102" s="6" t="s">
        <v>906</v>
      </c>
      <c r="E102" s="7">
        <v>-1600</v>
      </c>
      <c r="F102" s="8">
        <v>-28.805599999999998</v>
      </c>
      <c r="G102" s="9">
        <v>-9.5664807785164586E-4</v>
      </c>
      <c r="H102" s="101"/>
    </row>
    <row r="103" spans="1:8" x14ac:dyDescent="0.2">
      <c r="A103" s="5">
        <v>2</v>
      </c>
      <c r="B103" s="6"/>
      <c r="C103" s="6" t="s">
        <v>1101</v>
      </c>
      <c r="D103" s="6" t="s">
        <v>906</v>
      </c>
      <c r="E103" s="7">
        <v>-10750</v>
      </c>
      <c r="F103" s="8">
        <v>-51.282874999999997</v>
      </c>
      <c r="G103" s="9">
        <v>-1.7031293844063731E-3</v>
      </c>
      <c r="H103" s="101"/>
    </row>
    <row r="104" spans="1:8" x14ac:dyDescent="0.2">
      <c r="A104" s="5">
        <v>3</v>
      </c>
      <c r="B104" s="6"/>
      <c r="C104" s="6" t="s">
        <v>1146</v>
      </c>
      <c r="D104" s="6" t="s">
        <v>906</v>
      </c>
      <c r="E104" s="7">
        <v>-2100</v>
      </c>
      <c r="F104" s="8">
        <v>-51.951900000000002</v>
      </c>
      <c r="G104" s="9">
        <v>-1.7253480321791916E-3</v>
      </c>
      <c r="H104" s="101"/>
    </row>
    <row r="105" spans="1:8" x14ac:dyDescent="0.2">
      <c r="A105" s="5">
        <v>4</v>
      </c>
      <c r="B105" s="6"/>
      <c r="C105" s="6" t="s">
        <v>1138</v>
      </c>
      <c r="D105" s="6" t="s">
        <v>918</v>
      </c>
      <c r="E105" s="7">
        <v>-2000</v>
      </c>
      <c r="F105" s="8">
        <v>-65.241</v>
      </c>
      <c r="G105" s="9">
        <v>-2.1666855488904667E-3</v>
      </c>
      <c r="H105" s="101"/>
    </row>
    <row r="106" spans="1:8" x14ac:dyDescent="0.2">
      <c r="A106" s="5">
        <v>5</v>
      </c>
      <c r="B106" s="6"/>
      <c r="C106" s="6" t="s">
        <v>1140</v>
      </c>
      <c r="D106" s="6" t="s">
        <v>906</v>
      </c>
      <c r="E106" s="7">
        <v>-1600</v>
      </c>
      <c r="F106" s="8">
        <v>-75.031199999999998</v>
      </c>
      <c r="G106" s="9">
        <v>-2.491822883706724E-3</v>
      </c>
      <c r="H106" s="101"/>
    </row>
    <row r="107" spans="1:8" ht="25.5" x14ac:dyDescent="0.2">
      <c r="A107" s="5">
        <v>6</v>
      </c>
      <c r="B107" s="6"/>
      <c r="C107" s="6" t="s">
        <v>1102</v>
      </c>
      <c r="D107" s="6" t="s">
        <v>906</v>
      </c>
      <c r="E107" s="7">
        <v>-12100</v>
      </c>
      <c r="F107" s="8">
        <v>-78.885949999999994</v>
      </c>
      <c r="G107" s="9">
        <v>-2.6198410183089758E-3</v>
      </c>
      <c r="H107" s="101"/>
    </row>
    <row r="108" spans="1:8" x14ac:dyDescent="0.2">
      <c r="A108" s="5">
        <v>7</v>
      </c>
      <c r="B108" s="6"/>
      <c r="C108" s="6" t="s">
        <v>1127</v>
      </c>
      <c r="D108" s="6" t="s">
        <v>906</v>
      </c>
      <c r="E108" s="7">
        <v>-72000</v>
      </c>
      <c r="F108" s="8">
        <v>-96.768000000000001</v>
      </c>
      <c r="G108" s="9">
        <v>-3.2137126530101113E-3</v>
      </c>
      <c r="H108" s="101"/>
    </row>
    <row r="109" spans="1:8" x14ac:dyDescent="0.2">
      <c r="A109" s="5">
        <v>8</v>
      </c>
      <c r="B109" s="6"/>
      <c r="C109" s="6" t="s">
        <v>1095</v>
      </c>
      <c r="D109" s="6" t="s">
        <v>906</v>
      </c>
      <c r="E109" s="7">
        <v>-3150</v>
      </c>
      <c r="F109" s="8">
        <v>-107.120475</v>
      </c>
      <c r="G109" s="9">
        <v>-3.5575234158394648E-3</v>
      </c>
      <c r="H109" s="101"/>
    </row>
    <row r="110" spans="1:8" x14ac:dyDescent="0.2">
      <c r="A110" s="5">
        <v>9</v>
      </c>
      <c r="B110" s="6"/>
      <c r="C110" s="6" t="s">
        <v>1147</v>
      </c>
      <c r="D110" s="6" t="s">
        <v>906</v>
      </c>
      <c r="E110" s="7">
        <v>-150000</v>
      </c>
      <c r="F110" s="8">
        <v>-124.8</v>
      </c>
      <c r="G110" s="9">
        <v>-4.1446690961439931E-3</v>
      </c>
      <c r="H110" s="101"/>
    </row>
    <row r="111" spans="1:8" x14ac:dyDescent="0.2">
      <c r="A111" s="5">
        <v>10</v>
      </c>
      <c r="B111" s="6"/>
      <c r="C111" s="6" t="s">
        <v>1107</v>
      </c>
      <c r="D111" s="6" t="s">
        <v>906</v>
      </c>
      <c r="E111" s="7">
        <v>-40000</v>
      </c>
      <c r="F111" s="8">
        <v>-148.46</v>
      </c>
      <c r="G111" s="9">
        <v>-4.9304292789546251E-3</v>
      </c>
      <c r="H111" s="101"/>
    </row>
    <row r="112" spans="1:8" x14ac:dyDescent="0.2">
      <c r="A112" s="5">
        <v>11</v>
      </c>
      <c r="B112" s="6"/>
      <c r="C112" s="6" t="s">
        <v>1096</v>
      </c>
      <c r="D112" s="6" t="s">
        <v>906</v>
      </c>
      <c r="E112" s="7">
        <v>-8050</v>
      </c>
      <c r="F112" s="8">
        <v>-153.49337499999999</v>
      </c>
      <c r="G112" s="9">
        <v>-5.0975901268056163E-3</v>
      </c>
      <c r="H112" s="101"/>
    </row>
    <row r="113" spans="1:8" x14ac:dyDescent="0.2">
      <c r="A113" s="5">
        <v>12</v>
      </c>
      <c r="B113" s="6"/>
      <c r="C113" s="6" t="s">
        <v>1137</v>
      </c>
      <c r="D113" s="6" t="s">
        <v>906</v>
      </c>
      <c r="E113" s="7">
        <v>-17850</v>
      </c>
      <c r="F113" s="8">
        <v>-170.369325</v>
      </c>
      <c r="G113" s="9">
        <v>-5.6580486879680468E-3</v>
      </c>
      <c r="H113" s="101"/>
    </row>
    <row r="114" spans="1:8" x14ac:dyDescent="0.2">
      <c r="A114" s="5">
        <v>13</v>
      </c>
      <c r="B114" s="6"/>
      <c r="C114" s="6" t="s">
        <v>1117</v>
      </c>
      <c r="D114" s="6" t="s">
        <v>906</v>
      </c>
      <c r="E114" s="7">
        <v>-60000</v>
      </c>
      <c r="F114" s="8">
        <v>-227.25</v>
      </c>
      <c r="G114" s="9">
        <v>-7.5470837507910452E-3</v>
      </c>
      <c r="H114" s="101"/>
    </row>
    <row r="115" spans="1:8" x14ac:dyDescent="0.2">
      <c r="A115" s="5">
        <v>14</v>
      </c>
      <c r="B115" s="6"/>
      <c r="C115" s="6" t="s">
        <v>1143</v>
      </c>
      <c r="D115" s="6" t="s">
        <v>906</v>
      </c>
      <c r="E115" s="7">
        <v>-33250</v>
      </c>
      <c r="F115" s="8">
        <v>-228.54387500000001</v>
      </c>
      <c r="G115" s="9">
        <v>-7.5900539729607036E-3</v>
      </c>
      <c r="H115" s="101"/>
    </row>
    <row r="116" spans="1:8" x14ac:dyDescent="0.2">
      <c r="A116" s="5">
        <v>15</v>
      </c>
      <c r="B116" s="6"/>
      <c r="C116" s="6" t="s">
        <v>1128</v>
      </c>
      <c r="D116" s="6" t="s">
        <v>906</v>
      </c>
      <c r="E116" s="7">
        <v>-31725</v>
      </c>
      <c r="F116" s="8">
        <v>-236.50987499999999</v>
      </c>
      <c r="G116" s="9">
        <v>-7.8546087327354061E-3</v>
      </c>
      <c r="H116" s="101"/>
    </row>
    <row r="117" spans="1:8" x14ac:dyDescent="0.2">
      <c r="A117" s="5">
        <v>16</v>
      </c>
      <c r="B117" s="6"/>
      <c r="C117" s="6" t="s">
        <v>1119</v>
      </c>
      <c r="D117" s="6" t="s">
        <v>906</v>
      </c>
      <c r="E117" s="7">
        <v>-34800</v>
      </c>
      <c r="F117" s="8">
        <v>-236.76179999999999</v>
      </c>
      <c r="G117" s="9">
        <v>-7.8629752853159041E-3</v>
      </c>
      <c r="H117" s="101"/>
    </row>
    <row r="118" spans="1:8" x14ac:dyDescent="0.2">
      <c r="A118" s="5">
        <v>17</v>
      </c>
      <c r="B118" s="6"/>
      <c r="C118" s="6" t="s">
        <v>1118</v>
      </c>
      <c r="D118" s="6" t="s">
        <v>906</v>
      </c>
      <c r="E118" s="7">
        <v>-10000</v>
      </c>
      <c r="F118" s="8">
        <v>-238.15</v>
      </c>
      <c r="G118" s="9">
        <v>-7.9090780869125951E-3</v>
      </c>
      <c r="H118" s="101"/>
    </row>
    <row r="119" spans="1:8" x14ac:dyDescent="0.2">
      <c r="A119" s="5">
        <v>18</v>
      </c>
      <c r="B119" s="6"/>
      <c r="C119" s="6" t="s">
        <v>1113</v>
      </c>
      <c r="D119" s="6" t="s">
        <v>906</v>
      </c>
      <c r="E119" s="7">
        <v>-128000</v>
      </c>
      <c r="F119" s="8">
        <v>-280.19200000000001</v>
      </c>
      <c r="G119" s="9">
        <v>-9.3053134886761039E-3</v>
      </c>
      <c r="H119" s="101"/>
    </row>
    <row r="120" spans="1:8" x14ac:dyDescent="0.2">
      <c r="A120" s="5">
        <v>19</v>
      </c>
      <c r="B120" s="6"/>
      <c r="C120" s="6" t="s">
        <v>1105</v>
      </c>
      <c r="D120" s="6" t="s">
        <v>906</v>
      </c>
      <c r="E120" s="7">
        <v>-26775</v>
      </c>
      <c r="F120" s="8">
        <v>-298.96965</v>
      </c>
      <c r="G120" s="9">
        <v>-9.9289284378203998E-3</v>
      </c>
      <c r="H120" s="101"/>
    </row>
    <row r="121" spans="1:8" x14ac:dyDescent="0.2">
      <c r="A121" s="5">
        <v>20</v>
      </c>
      <c r="B121" s="6"/>
      <c r="C121" s="6" t="s">
        <v>1106</v>
      </c>
      <c r="D121" s="6" t="s">
        <v>906</v>
      </c>
      <c r="E121" s="7">
        <v>-46750</v>
      </c>
      <c r="F121" s="8">
        <v>-347.93687499999999</v>
      </c>
      <c r="G121" s="9">
        <v>-1.1555153952094674E-2</v>
      </c>
      <c r="H121" s="101"/>
    </row>
    <row r="122" spans="1:8" x14ac:dyDescent="0.2">
      <c r="A122" s="5">
        <v>21</v>
      </c>
      <c r="B122" s="6"/>
      <c r="C122" s="6" t="s">
        <v>1144</v>
      </c>
      <c r="D122" s="6" t="s">
        <v>906</v>
      </c>
      <c r="E122" s="7">
        <v>-40000</v>
      </c>
      <c r="F122" s="8">
        <v>-361.3</v>
      </c>
      <c r="G122" s="9">
        <v>-1.1998949875295069E-2</v>
      </c>
      <c r="H122" s="101"/>
    </row>
    <row r="123" spans="1:8" ht="25.5" x14ac:dyDescent="0.2">
      <c r="A123" s="5">
        <v>22</v>
      </c>
      <c r="B123" s="6"/>
      <c r="C123" s="6" t="s">
        <v>1114</v>
      </c>
      <c r="D123" s="6" t="s">
        <v>906</v>
      </c>
      <c r="E123" s="7">
        <v>-21000</v>
      </c>
      <c r="F123" s="8">
        <v>-544.60350000000005</v>
      </c>
      <c r="G123" s="9">
        <v>-1.8086548846969995E-2</v>
      </c>
      <c r="H123" s="101"/>
    </row>
    <row r="124" spans="1:8" x14ac:dyDescent="0.2">
      <c r="A124" s="5">
        <v>23</v>
      </c>
      <c r="B124" s="6"/>
      <c r="C124" s="6" t="s">
        <v>1142</v>
      </c>
      <c r="D124" s="6" t="s">
        <v>906</v>
      </c>
      <c r="E124" s="7">
        <v>-34200</v>
      </c>
      <c r="F124" s="8">
        <v>-615.87360000000001</v>
      </c>
      <c r="G124" s="9">
        <v>-2.045346375842105E-2</v>
      </c>
      <c r="H124" s="101"/>
    </row>
    <row r="125" spans="1:8" x14ac:dyDescent="0.2">
      <c r="A125" s="5">
        <v>24</v>
      </c>
      <c r="B125" s="6"/>
      <c r="C125" s="6" t="s">
        <v>1115</v>
      </c>
      <c r="D125" s="6" t="s">
        <v>906</v>
      </c>
      <c r="E125" s="7">
        <v>-42600</v>
      </c>
      <c r="F125" s="8">
        <v>-1008.0438</v>
      </c>
      <c r="G125" s="9">
        <v>-3.3477628088297726E-2</v>
      </c>
      <c r="H125" s="101"/>
    </row>
    <row r="126" spans="1:8" x14ac:dyDescent="0.2">
      <c r="A126" s="3"/>
      <c r="B126" s="3"/>
      <c r="C126" s="4" t="s">
        <v>97</v>
      </c>
      <c r="D126" s="3"/>
      <c r="E126" s="3" t="s">
        <v>98</v>
      </c>
      <c r="F126" s="11">
        <v>-5776.3446750000003</v>
      </c>
      <c r="G126" s="12">
        <v>-0.19183523448035589</v>
      </c>
      <c r="H126" s="101"/>
    </row>
    <row r="127" spans="1:8" x14ac:dyDescent="0.2">
      <c r="A127" s="3"/>
      <c r="B127" s="3"/>
      <c r="C127" s="13"/>
      <c r="D127" s="3"/>
      <c r="E127" s="3"/>
      <c r="F127" s="14"/>
      <c r="G127" s="14"/>
      <c r="H127" s="101"/>
    </row>
    <row r="128" spans="1:8" x14ac:dyDescent="0.2">
      <c r="A128" s="3"/>
      <c r="B128" s="3"/>
      <c r="C128" s="4" t="s">
        <v>104</v>
      </c>
      <c r="D128" s="3"/>
      <c r="E128" s="3"/>
      <c r="F128" s="11">
        <v>18709.607779500002</v>
      </c>
      <c r="G128" s="12">
        <v>0.621355233691257</v>
      </c>
      <c r="H128" s="101"/>
    </row>
    <row r="129" spans="1:15" x14ac:dyDescent="0.2">
      <c r="A129" s="3"/>
      <c r="B129" s="3"/>
      <c r="C129" s="13"/>
      <c r="D129" s="3"/>
      <c r="E129" s="3"/>
      <c r="F129" s="14"/>
      <c r="G129" s="14"/>
      <c r="H129" s="101"/>
    </row>
    <row r="130" spans="1:15" x14ac:dyDescent="0.2">
      <c r="A130" s="3"/>
      <c r="B130" s="3"/>
      <c r="C130" s="4" t="s">
        <v>105</v>
      </c>
      <c r="D130" s="3"/>
      <c r="E130" s="3"/>
      <c r="F130" s="14"/>
      <c r="G130" s="14"/>
      <c r="H130" s="101"/>
    </row>
    <row r="131" spans="1:15" ht="25.5" x14ac:dyDescent="0.2">
      <c r="A131" s="3"/>
      <c r="B131" s="3"/>
      <c r="C131" s="4" t="s">
        <v>10</v>
      </c>
      <c r="D131" s="3"/>
      <c r="E131" s="3"/>
      <c r="F131" s="14"/>
      <c r="G131" s="14"/>
      <c r="H131" s="101"/>
    </row>
    <row r="132" spans="1:15" x14ac:dyDescent="0.2">
      <c r="A132" s="5">
        <v>1</v>
      </c>
      <c r="B132" s="6" t="s">
        <v>919</v>
      </c>
      <c r="C132" s="6" t="s">
        <v>920</v>
      </c>
      <c r="D132" s="6" t="s">
        <v>526</v>
      </c>
      <c r="E132" s="7">
        <v>50</v>
      </c>
      <c r="F132" s="8">
        <v>505.04750000000001</v>
      </c>
      <c r="G132" s="9">
        <v>1.6772874722233842E-2</v>
      </c>
      <c r="H132" s="101">
        <v>3.7199999999999998</v>
      </c>
    </row>
    <row r="133" spans="1:15" ht="25.5" x14ac:dyDescent="0.2">
      <c r="A133" s="5">
        <v>2</v>
      </c>
      <c r="B133" s="6" t="s">
        <v>921</v>
      </c>
      <c r="C133" s="6" t="s">
        <v>922</v>
      </c>
      <c r="D133" s="6" t="s">
        <v>526</v>
      </c>
      <c r="E133" s="7">
        <v>30</v>
      </c>
      <c r="F133" s="8">
        <v>302.75909999999999</v>
      </c>
      <c r="G133" s="9">
        <v>1.0054777927454878E-2</v>
      </c>
      <c r="H133" s="101">
        <v>3.8650000000000002</v>
      </c>
    </row>
    <row r="134" spans="1:15" x14ac:dyDescent="0.2">
      <c r="A134" s="5">
        <v>3</v>
      </c>
      <c r="B134" s="6" t="s">
        <v>923</v>
      </c>
      <c r="C134" s="6" t="s">
        <v>924</v>
      </c>
      <c r="D134" s="6" t="s">
        <v>526</v>
      </c>
      <c r="E134" s="7">
        <v>20</v>
      </c>
      <c r="F134" s="8">
        <v>206.74359999999999</v>
      </c>
      <c r="G134" s="9">
        <v>6.8660561678329738E-3</v>
      </c>
      <c r="H134" s="101">
        <v>4.87</v>
      </c>
    </row>
    <row r="135" spans="1:15" ht="25.5" x14ac:dyDescent="0.2">
      <c r="A135" s="5">
        <v>4</v>
      </c>
      <c r="B135" s="6" t="s">
        <v>750</v>
      </c>
      <c r="C135" s="6" t="s">
        <v>751</v>
      </c>
      <c r="D135" s="6" t="s">
        <v>526</v>
      </c>
      <c r="E135" s="7">
        <v>5</v>
      </c>
      <c r="F135" s="8">
        <v>53.086300000000001</v>
      </c>
      <c r="G135" s="9">
        <v>1.7630220115274749E-3</v>
      </c>
      <c r="H135" s="101">
        <v>5.16</v>
      </c>
    </row>
    <row r="136" spans="1:15" x14ac:dyDescent="0.2">
      <c r="A136" s="5">
        <v>5</v>
      </c>
      <c r="B136" s="6" t="s">
        <v>752</v>
      </c>
      <c r="C136" s="6" t="s">
        <v>753</v>
      </c>
      <c r="D136" s="6" t="s">
        <v>526</v>
      </c>
      <c r="E136" s="7">
        <v>5</v>
      </c>
      <c r="F136" s="8">
        <v>52.363999999999997</v>
      </c>
      <c r="G136" s="9">
        <v>1.7390340749237503E-3</v>
      </c>
      <c r="H136" s="101">
        <v>4.7949999999999999</v>
      </c>
    </row>
    <row r="137" spans="1:15" x14ac:dyDescent="0.2">
      <c r="A137" s="5">
        <v>6</v>
      </c>
      <c r="B137" s="6" t="s">
        <v>686</v>
      </c>
      <c r="C137" s="6" t="s">
        <v>687</v>
      </c>
      <c r="D137" s="6" t="s">
        <v>526</v>
      </c>
      <c r="E137" s="7">
        <v>5</v>
      </c>
      <c r="F137" s="8">
        <v>51.226500000000001</v>
      </c>
      <c r="G137" s="9">
        <v>1.7012571430578547E-3</v>
      </c>
      <c r="H137" s="101">
        <v>4.665</v>
      </c>
    </row>
    <row r="138" spans="1:15" ht="25.5" x14ac:dyDescent="0.2">
      <c r="A138" s="5">
        <v>7</v>
      </c>
      <c r="B138" s="6" t="s">
        <v>690</v>
      </c>
      <c r="C138" s="6" t="s">
        <v>691</v>
      </c>
      <c r="D138" s="6" t="s">
        <v>1164</v>
      </c>
      <c r="E138" s="7">
        <v>5</v>
      </c>
      <c r="F138" s="8">
        <v>51.045000000000002</v>
      </c>
      <c r="G138" s="9">
        <v>1.6952294392040875E-3</v>
      </c>
      <c r="H138" s="101">
        <v>4.9649999999999999</v>
      </c>
    </row>
    <row r="139" spans="1:15" ht="25.5" x14ac:dyDescent="0.2">
      <c r="A139" s="5">
        <v>8</v>
      </c>
      <c r="B139" s="6" t="s">
        <v>524</v>
      </c>
      <c r="C139" s="6" t="s">
        <v>525</v>
      </c>
      <c r="D139" s="6" t="s">
        <v>526</v>
      </c>
      <c r="E139" s="7">
        <v>1640</v>
      </c>
      <c r="F139" s="8">
        <v>0.47375008000000002</v>
      </c>
      <c r="G139" s="9">
        <v>1.5733472082305644E-5</v>
      </c>
      <c r="H139" s="101"/>
      <c r="I139" s="69"/>
      <c r="J139" s="69"/>
      <c r="K139" s="69"/>
      <c r="L139" s="69"/>
      <c r="M139" s="69"/>
      <c r="N139" s="69"/>
      <c r="O139" s="69"/>
    </row>
    <row r="140" spans="1:15" x14ac:dyDescent="0.2">
      <c r="A140" s="3"/>
      <c r="B140" s="3"/>
      <c r="C140" s="4" t="s">
        <v>97</v>
      </c>
      <c r="D140" s="3"/>
      <c r="E140" s="3" t="s">
        <v>98</v>
      </c>
      <c r="F140" s="11">
        <v>1222.7457500800001</v>
      </c>
      <c r="G140" s="12">
        <v>4.0607984958317168E-2</v>
      </c>
      <c r="H140" s="101"/>
    </row>
    <row r="141" spans="1:15" x14ac:dyDescent="0.2">
      <c r="A141" s="3"/>
      <c r="B141" s="3"/>
      <c r="C141" s="13"/>
      <c r="D141" s="3"/>
      <c r="E141" s="3"/>
      <c r="F141" s="14"/>
      <c r="G141" s="14"/>
      <c r="H141" s="101"/>
    </row>
    <row r="142" spans="1:15" x14ac:dyDescent="0.2">
      <c r="A142" s="3"/>
      <c r="B142" s="3"/>
      <c r="C142" s="4" t="s">
        <v>106</v>
      </c>
      <c r="D142" s="3"/>
      <c r="E142" s="3"/>
      <c r="F142" s="3"/>
      <c r="G142" s="3"/>
      <c r="H142" s="101"/>
    </row>
    <row r="143" spans="1:15" x14ac:dyDescent="0.2">
      <c r="A143" s="3"/>
      <c r="B143" s="3"/>
      <c r="C143" s="4" t="s">
        <v>97</v>
      </c>
      <c r="D143" s="3"/>
      <c r="E143" s="3" t="s">
        <v>98</v>
      </c>
      <c r="F143" s="15">
        <v>0</v>
      </c>
      <c r="G143" s="16">
        <v>0</v>
      </c>
      <c r="H143" s="101"/>
    </row>
    <row r="144" spans="1:15" x14ac:dyDescent="0.2">
      <c r="A144" s="3"/>
      <c r="B144" s="3"/>
      <c r="C144" s="13"/>
      <c r="D144" s="3"/>
      <c r="E144" s="3"/>
      <c r="F144" s="14"/>
      <c r="G144" s="14"/>
      <c r="H144" s="101"/>
    </row>
    <row r="145" spans="1:15" x14ac:dyDescent="0.2">
      <c r="A145" s="3"/>
      <c r="B145" s="3"/>
      <c r="C145" s="4" t="s">
        <v>107</v>
      </c>
      <c r="D145" s="3"/>
      <c r="E145" s="3"/>
      <c r="F145" s="3"/>
      <c r="G145" s="3"/>
      <c r="H145" s="101"/>
    </row>
    <row r="146" spans="1:15" x14ac:dyDescent="0.2">
      <c r="A146" s="5">
        <v>1</v>
      </c>
      <c r="B146" s="6" t="s">
        <v>701</v>
      </c>
      <c r="C146" s="6" t="s">
        <v>702</v>
      </c>
      <c r="D146" s="6" t="s">
        <v>506</v>
      </c>
      <c r="E146" s="7">
        <v>1000000</v>
      </c>
      <c r="F146" s="8">
        <v>989.62400000000002</v>
      </c>
      <c r="G146" s="9">
        <v>3.2865897512839769E-2</v>
      </c>
      <c r="H146" s="101">
        <v>5.5531999999999995</v>
      </c>
    </row>
    <row r="147" spans="1:15" x14ac:dyDescent="0.2">
      <c r="A147" s="5">
        <v>2</v>
      </c>
      <c r="B147" s="6" t="s">
        <v>707</v>
      </c>
      <c r="C147" s="6" t="s">
        <v>708</v>
      </c>
      <c r="D147" s="6" t="s">
        <v>506</v>
      </c>
      <c r="E147" s="7">
        <v>550000</v>
      </c>
      <c r="F147" s="8">
        <v>546.50310000000002</v>
      </c>
      <c r="G147" s="9">
        <v>1.81496354929238E-2</v>
      </c>
      <c r="H147" s="101">
        <v>5.7972000000000001</v>
      </c>
    </row>
    <row r="148" spans="1:15" ht="25.5" x14ac:dyDescent="0.2">
      <c r="A148" s="5">
        <v>3</v>
      </c>
      <c r="B148" s="6" t="s">
        <v>705</v>
      </c>
      <c r="C148" s="6" t="s">
        <v>706</v>
      </c>
      <c r="D148" s="6" t="s">
        <v>506</v>
      </c>
      <c r="E148" s="7">
        <v>500000</v>
      </c>
      <c r="F148" s="8">
        <v>521.96900000000005</v>
      </c>
      <c r="G148" s="9">
        <v>1.7334846021195387E-2</v>
      </c>
      <c r="H148" s="101">
        <v>6.2816999999999998</v>
      </c>
    </row>
    <row r="149" spans="1:15" ht="25.5" x14ac:dyDescent="0.2">
      <c r="A149" s="5">
        <v>4</v>
      </c>
      <c r="B149" s="6" t="s">
        <v>711</v>
      </c>
      <c r="C149" s="6" t="s">
        <v>712</v>
      </c>
      <c r="D149" s="6" t="s">
        <v>506</v>
      </c>
      <c r="E149" s="7">
        <v>500000</v>
      </c>
      <c r="F149" s="8">
        <v>491.48899999999998</v>
      </c>
      <c r="G149" s="9">
        <v>1.6322590299637139E-2</v>
      </c>
      <c r="H149" s="101">
        <v>5.6453000000000007</v>
      </c>
    </row>
    <row r="150" spans="1:15" x14ac:dyDescent="0.2">
      <c r="A150" s="5">
        <v>5</v>
      </c>
      <c r="B150" s="6" t="s">
        <v>701</v>
      </c>
      <c r="C150" s="6" t="s">
        <v>702</v>
      </c>
      <c r="D150" s="6" t="s">
        <v>506</v>
      </c>
      <c r="E150" s="7">
        <v>350000</v>
      </c>
      <c r="F150" s="8">
        <v>346.36840000000001</v>
      </c>
      <c r="G150" s="9">
        <v>1.1503064129493919E-2</v>
      </c>
      <c r="H150" s="101">
        <v>5.5531999999999995</v>
      </c>
    </row>
    <row r="151" spans="1:15" ht="25.5" x14ac:dyDescent="0.2">
      <c r="A151" s="5">
        <v>6</v>
      </c>
      <c r="B151" s="6" t="s">
        <v>713</v>
      </c>
      <c r="C151" s="6" t="s">
        <v>714</v>
      </c>
      <c r="D151" s="6" t="s">
        <v>506</v>
      </c>
      <c r="E151" s="7">
        <v>250000</v>
      </c>
      <c r="F151" s="8">
        <v>260.46724999999998</v>
      </c>
      <c r="G151" s="9">
        <v>8.6502448848766941E-3</v>
      </c>
      <c r="H151" s="101">
        <v>5.9295999999999998</v>
      </c>
    </row>
    <row r="152" spans="1:15" x14ac:dyDescent="0.2">
      <c r="A152" s="5">
        <v>7</v>
      </c>
      <c r="B152" s="6" t="s">
        <v>703</v>
      </c>
      <c r="C152" s="6" t="s">
        <v>704</v>
      </c>
      <c r="D152" s="6" t="s">
        <v>506</v>
      </c>
      <c r="E152" s="7">
        <v>200000</v>
      </c>
      <c r="F152" s="8">
        <v>209.0532</v>
      </c>
      <c r="G152" s="9">
        <v>6.9427591145032807E-3</v>
      </c>
      <c r="H152" s="101">
        <v>4.9935</v>
      </c>
    </row>
    <row r="153" spans="1:15" x14ac:dyDescent="0.2">
      <c r="A153" s="5">
        <v>8</v>
      </c>
      <c r="B153" s="6" t="s">
        <v>793</v>
      </c>
      <c r="C153" s="6" t="s">
        <v>794</v>
      </c>
      <c r="D153" s="6" t="s">
        <v>506</v>
      </c>
      <c r="E153" s="7">
        <v>100000</v>
      </c>
      <c r="F153" s="8">
        <v>107.4593</v>
      </c>
      <c r="G153" s="9">
        <v>3.5687759599620688E-3</v>
      </c>
      <c r="H153" s="101">
        <v>5.6965500000000002</v>
      </c>
    </row>
    <row r="154" spans="1:15" ht="25.5" x14ac:dyDescent="0.2">
      <c r="A154" s="5">
        <v>9</v>
      </c>
      <c r="B154" s="6" t="s">
        <v>709</v>
      </c>
      <c r="C154" s="6" t="s">
        <v>710</v>
      </c>
      <c r="D154" s="6" t="s">
        <v>506</v>
      </c>
      <c r="E154" s="7">
        <v>50000</v>
      </c>
      <c r="F154" s="8">
        <v>51.147100000000002</v>
      </c>
      <c r="G154" s="9">
        <v>1.6986202301873914E-3</v>
      </c>
      <c r="H154" s="101">
        <v>5.2963999999999993</v>
      </c>
      <c r="I154" s="87"/>
      <c r="J154" s="87"/>
      <c r="K154" s="87"/>
      <c r="L154" s="87"/>
      <c r="M154" s="87"/>
      <c r="N154" s="87"/>
      <c r="O154" s="87"/>
    </row>
    <row r="155" spans="1:15" x14ac:dyDescent="0.2">
      <c r="A155" s="3"/>
      <c r="B155" s="3"/>
      <c r="C155" s="4" t="s">
        <v>97</v>
      </c>
      <c r="D155" s="3"/>
      <c r="E155" s="3" t="s">
        <v>98</v>
      </c>
      <c r="F155" s="11">
        <v>3524.0803500000002</v>
      </c>
      <c r="G155" s="12">
        <v>0.11703643364561947</v>
      </c>
      <c r="H155" s="101"/>
    </row>
    <row r="156" spans="1:15" x14ac:dyDescent="0.2">
      <c r="A156" s="3"/>
      <c r="B156" s="3"/>
      <c r="C156" s="13"/>
      <c r="D156" s="3"/>
      <c r="E156" s="3"/>
      <c r="F156" s="14"/>
      <c r="G156" s="14"/>
      <c r="H156" s="101"/>
    </row>
    <row r="157" spans="1:15" x14ac:dyDescent="0.2">
      <c r="A157" s="3"/>
      <c r="B157" s="3"/>
      <c r="C157" s="4" t="s">
        <v>108</v>
      </c>
      <c r="D157" s="3"/>
      <c r="E157" s="3"/>
      <c r="F157" s="14"/>
      <c r="G157" s="14"/>
      <c r="H157" s="101"/>
    </row>
    <row r="158" spans="1:15" x14ac:dyDescent="0.2">
      <c r="A158" s="3"/>
      <c r="B158" s="3"/>
      <c r="C158" s="4" t="s">
        <v>97</v>
      </c>
      <c r="D158" s="3"/>
      <c r="E158" s="3" t="s">
        <v>98</v>
      </c>
      <c r="F158" s="15">
        <v>0</v>
      </c>
      <c r="G158" s="16">
        <v>0</v>
      </c>
      <c r="H158" s="101"/>
    </row>
    <row r="159" spans="1:15" x14ac:dyDescent="0.2">
      <c r="A159" s="3"/>
      <c r="B159" s="3"/>
      <c r="C159" s="13"/>
      <c r="D159" s="3"/>
      <c r="E159" s="3"/>
      <c r="F159" s="14"/>
      <c r="G159" s="14"/>
      <c r="H159" s="101"/>
    </row>
    <row r="160" spans="1:15" x14ac:dyDescent="0.2">
      <c r="A160" s="3"/>
      <c r="B160" s="3"/>
      <c r="C160" s="4" t="s">
        <v>109</v>
      </c>
      <c r="D160" s="3"/>
      <c r="E160" s="3"/>
      <c r="F160" s="11">
        <v>4746.8261000800003</v>
      </c>
      <c r="G160" s="12">
        <v>0.15764441860393663</v>
      </c>
      <c r="H160" s="101"/>
    </row>
    <row r="161" spans="1:8" x14ac:dyDescent="0.2">
      <c r="A161" s="3"/>
      <c r="B161" s="3"/>
      <c r="C161" s="13"/>
      <c r="D161" s="3"/>
      <c r="E161" s="3"/>
      <c r="F161" s="14"/>
      <c r="G161" s="14"/>
      <c r="H161" s="101"/>
    </row>
    <row r="162" spans="1:8" x14ac:dyDescent="0.2">
      <c r="A162" s="3"/>
      <c r="B162" s="3"/>
      <c r="C162" s="4" t="s">
        <v>110</v>
      </c>
      <c r="D162" s="3"/>
      <c r="E162" s="3"/>
      <c r="F162" s="14"/>
      <c r="G162" s="14"/>
      <c r="H162" s="101"/>
    </row>
    <row r="163" spans="1:8" x14ac:dyDescent="0.2">
      <c r="A163" s="3"/>
      <c r="B163" s="3"/>
      <c r="C163" s="4" t="s">
        <v>111</v>
      </c>
      <c r="D163" s="3"/>
      <c r="E163" s="3"/>
      <c r="F163" s="14"/>
      <c r="G163" s="14"/>
      <c r="H163" s="101"/>
    </row>
    <row r="164" spans="1:8" x14ac:dyDescent="0.2">
      <c r="A164" s="3"/>
      <c r="B164" s="3"/>
      <c r="C164" s="4" t="s">
        <v>97</v>
      </c>
      <c r="D164" s="3"/>
      <c r="E164" s="3" t="s">
        <v>98</v>
      </c>
      <c r="F164" s="15">
        <v>0</v>
      </c>
      <c r="G164" s="16">
        <v>0</v>
      </c>
      <c r="H164" s="101"/>
    </row>
    <row r="165" spans="1:8" x14ac:dyDescent="0.2">
      <c r="A165" s="3"/>
      <c r="B165" s="3"/>
      <c r="C165" s="13"/>
      <c r="D165" s="3"/>
      <c r="E165" s="3"/>
      <c r="F165" s="14"/>
      <c r="G165" s="14"/>
      <c r="H165" s="101"/>
    </row>
    <row r="166" spans="1:8" x14ac:dyDescent="0.2">
      <c r="A166" s="3"/>
      <c r="B166" s="3"/>
      <c r="C166" s="4" t="s">
        <v>112</v>
      </c>
      <c r="D166" s="3"/>
      <c r="E166" s="3"/>
      <c r="F166" s="14"/>
      <c r="G166" s="14"/>
      <c r="H166" s="101"/>
    </row>
    <row r="167" spans="1:8" x14ac:dyDescent="0.2">
      <c r="A167" s="3"/>
      <c r="B167" s="3"/>
      <c r="C167" s="4" t="s">
        <v>97</v>
      </c>
      <c r="D167" s="3"/>
      <c r="E167" s="3" t="s">
        <v>98</v>
      </c>
      <c r="F167" s="15">
        <v>0</v>
      </c>
      <c r="G167" s="16">
        <v>0</v>
      </c>
      <c r="H167" s="101"/>
    </row>
    <row r="168" spans="1:8" x14ac:dyDescent="0.2">
      <c r="A168" s="3"/>
      <c r="B168" s="3"/>
      <c r="C168" s="13"/>
      <c r="D168" s="3"/>
      <c r="E168" s="3"/>
      <c r="F168" s="14"/>
      <c r="G168" s="14"/>
      <c r="H168" s="101"/>
    </row>
    <row r="169" spans="1:8" x14ac:dyDescent="0.2">
      <c r="A169" s="3"/>
      <c r="B169" s="3"/>
      <c r="C169" s="4" t="s">
        <v>113</v>
      </c>
      <c r="D169" s="3"/>
      <c r="E169" s="3"/>
      <c r="F169" s="14"/>
      <c r="G169" s="14"/>
      <c r="H169" s="101"/>
    </row>
    <row r="170" spans="1:8" ht="15" x14ac:dyDescent="0.25">
      <c r="A170" s="5">
        <v>1</v>
      </c>
      <c r="B170" s="6" t="s">
        <v>504</v>
      </c>
      <c r="C170" s="6" t="s">
        <v>505</v>
      </c>
      <c r="D170" s="6" t="s">
        <v>506</v>
      </c>
      <c r="E170" s="7">
        <v>20000</v>
      </c>
      <c r="F170" s="8">
        <v>19.991099999999999</v>
      </c>
      <c r="G170" s="9">
        <v>6.639142176917001E-4</v>
      </c>
      <c r="H170" s="88">
        <v>3.25</v>
      </c>
    </row>
    <row r="171" spans="1:8" x14ac:dyDescent="0.2">
      <c r="A171" s="3"/>
      <c r="B171" s="3"/>
      <c r="C171" s="4" t="s">
        <v>97</v>
      </c>
      <c r="D171" s="3"/>
      <c r="E171" s="3" t="s">
        <v>98</v>
      </c>
      <c r="F171" s="15">
        <v>19.991099999999999</v>
      </c>
      <c r="G171" s="16">
        <v>6.639142176917001E-4</v>
      </c>
      <c r="H171" s="101"/>
    </row>
    <row r="172" spans="1:8" x14ac:dyDescent="0.2">
      <c r="A172" s="3"/>
      <c r="B172" s="3"/>
      <c r="C172" s="13"/>
      <c r="D172" s="3"/>
      <c r="E172" s="3"/>
      <c r="F172" s="14"/>
      <c r="G172" s="14"/>
      <c r="H172" s="101"/>
    </row>
    <row r="173" spans="1:8" x14ac:dyDescent="0.2">
      <c r="A173" s="3"/>
      <c r="B173" s="3"/>
      <c r="C173" s="4" t="s">
        <v>114</v>
      </c>
      <c r="D173" s="3"/>
      <c r="E173" s="3"/>
      <c r="F173" s="14"/>
      <c r="G173" s="14"/>
      <c r="H173" s="101"/>
    </row>
    <row r="174" spans="1:8" x14ac:dyDescent="0.2">
      <c r="A174" s="5">
        <v>1</v>
      </c>
      <c r="B174" s="6"/>
      <c r="C174" s="6" t="s">
        <v>115</v>
      </c>
      <c r="D174" s="6"/>
      <c r="E174" s="10"/>
      <c r="F174" s="8">
        <v>267.41406009999997</v>
      </c>
      <c r="G174" s="9">
        <v>8.8809518491254989E-3</v>
      </c>
      <c r="H174" s="8">
        <v>3.4504560529072292</v>
      </c>
    </row>
    <row r="175" spans="1:8" x14ac:dyDescent="0.2">
      <c r="A175" s="5">
        <v>2</v>
      </c>
      <c r="B175" s="6"/>
      <c r="C175" s="6" t="s">
        <v>116</v>
      </c>
      <c r="D175" s="6"/>
      <c r="E175" s="10"/>
      <c r="F175" s="8">
        <v>144.32539120000001</v>
      </c>
      <c r="G175" s="9">
        <v>4.7931168965988161E-3</v>
      </c>
      <c r="H175" s="8">
        <v>3.5655822479098256</v>
      </c>
    </row>
    <row r="176" spans="1:8" x14ac:dyDescent="0.2">
      <c r="A176" s="3"/>
      <c r="B176" s="3"/>
      <c r="C176" s="4" t="s">
        <v>97</v>
      </c>
      <c r="D176" s="3"/>
      <c r="E176" s="3" t="s">
        <v>98</v>
      </c>
      <c r="F176" s="11">
        <v>411.73945129999998</v>
      </c>
      <c r="G176" s="12">
        <v>1.3674068745724315E-2</v>
      </c>
      <c r="H176" s="101"/>
    </row>
    <row r="177" spans="1:8" x14ac:dyDescent="0.2">
      <c r="A177" s="3"/>
      <c r="B177" s="3"/>
      <c r="C177" s="13"/>
      <c r="D177" s="3"/>
      <c r="E177" s="3"/>
      <c r="F177" s="14"/>
      <c r="G177" s="14"/>
      <c r="H177" s="101"/>
    </row>
    <row r="178" spans="1:8" x14ac:dyDescent="0.2">
      <c r="A178" s="3"/>
      <c r="B178" s="3"/>
      <c r="C178" s="4" t="s">
        <v>117</v>
      </c>
      <c r="D178" s="3"/>
      <c r="E178" s="3"/>
      <c r="F178" s="11">
        <v>431.7305513</v>
      </c>
      <c r="G178" s="12">
        <v>1.4337982963416014E-2</v>
      </c>
      <c r="H178" s="101"/>
    </row>
    <row r="179" spans="1:8" x14ac:dyDescent="0.2">
      <c r="A179" s="3"/>
      <c r="B179" s="3"/>
      <c r="C179" s="14"/>
      <c r="D179" s="3"/>
      <c r="E179" s="3"/>
      <c r="F179" s="3"/>
      <c r="G179" s="3"/>
      <c r="H179" s="101"/>
    </row>
    <row r="180" spans="1:8" x14ac:dyDescent="0.2">
      <c r="A180" s="3"/>
      <c r="B180" s="3"/>
      <c r="C180" s="4" t="s">
        <v>118</v>
      </c>
      <c r="D180" s="3"/>
      <c r="E180" s="3"/>
      <c r="F180" s="3"/>
      <c r="G180" s="3"/>
      <c r="H180" s="101"/>
    </row>
    <row r="181" spans="1:8" x14ac:dyDescent="0.2">
      <c r="A181" s="3"/>
      <c r="B181" s="3"/>
      <c r="C181" s="4" t="s">
        <v>119</v>
      </c>
      <c r="D181" s="3"/>
      <c r="E181" s="3"/>
      <c r="F181" s="3"/>
      <c r="G181" s="3"/>
      <c r="H181" s="101"/>
    </row>
    <row r="182" spans="1:8" x14ac:dyDescent="0.2">
      <c r="A182" s="3"/>
      <c r="B182" s="3"/>
      <c r="C182" s="4" t="s">
        <v>97</v>
      </c>
      <c r="D182" s="3"/>
      <c r="E182" s="3" t="s">
        <v>98</v>
      </c>
      <c r="F182" s="15">
        <v>0</v>
      </c>
      <c r="G182" s="16">
        <v>0</v>
      </c>
      <c r="H182" s="101"/>
    </row>
    <row r="183" spans="1:8" x14ac:dyDescent="0.2">
      <c r="A183" s="3"/>
      <c r="B183" s="3"/>
      <c r="C183" s="13"/>
      <c r="D183" s="3"/>
      <c r="E183" s="3"/>
      <c r="F183" s="14"/>
      <c r="G183" s="14"/>
      <c r="H183" s="101"/>
    </row>
    <row r="184" spans="1:8" x14ac:dyDescent="0.2">
      <c r="A184" s="3"/>
      <c r="B184" s="3"/>
      <c r="C184" s="4" t="s">
        <v>120</v>
      </c>
      <c r="D184" s="3"/>
      <c r="E184" s="3"/>
      <c r="F184" s="3"/>
      <c r="G184" s="3"/>
      <c r="H184" s="101"/>
    </row>
    <row r="185" spans="1:8" x14ac:dyDescent="0.2">
      <c r="A185" s="3"/>
      <c r="B185" s="3"/>
      <c r="C185" s="4" t="s">
        <v>121</v>
      </c>
      <c r="D185" s="3"/>
      <c r="E185" s="3"/>
      <c r="F185" s="3"/>
      <c r="G185" s="3"/>
      <c r="H185" s="101"/>
    </row>
    <row r="186" spans="1:8" x14ac:dyDescent="0.2">
      <c r="A186" s="3"/>
      <c r="B186" s="3"/>
      <c r="C186" s="4" t="s">
        <v>97</v>
      </c>
      <c r="D186" s="3"/>
      <c r="E186" s="3" t="s">
        <v>98</v>
      </c>
      <c r="F186" s="15">
        <v>0</v>
      </c>
      <c r="G186" s="16">
        <v>0</v>
      </c>
      <c r="H186" s="101"/>
    </row>
    <row r="187" spans="1:8" x14ac:dyDescent="0.2">
      <c r="A187" s="3"/>
      <c r="B187" s="3"/>
      <c r="C187" s="13"/>
      <c r="D187" s="3"/>
      <c r="E187" s="3"/>
      <c r="F187" s="14"/>
      <c r="G187" s="14"/>
      <c r="H187" s="101"/>
    </row>
    <row r="188" spans="1:8" x14ac:dyDescent="0.2">
      <c r="A188" s="3"/>
      <c r="B188" s="3"/>
      <c r="C188" s="13"/>
      <c r="D188" s="3"/>
      <c r="E188" s="3"/>
      <c r="F188" s="14"/>
      <c r="G188" s="14"/>
      <c r="H188" s="101"/>
    </row>
    <row r="189" spans="1:8" ht="25.5" x14ac:dyDescent="0.2">
      <c r="A189" s="3"/>
      <c r="B189" s="3"/>
      <c r="C189" s="4" t="s">
        <v>122</v>
      </c>
      <c r="D189" s="3"/>
      <c r="E189" s="3"/>
      <c r="F189" s="14"/>
      <c r="G189" s="14"/>
      <c r="H189" s="101"/>
    </row>
    <row r="190" spans="1:8" x14ac:dyDescent="0.2">
      <c r="A190" s="3"/>
      <c r="B190" s="3"/>
      <c r="C190" s="4" t="s">
        <v>97</v>
      </c>
      <c r="D190" s="3"/>
      <c r="E190" s="3" t="s">
        <v>98</v>
      </c>
      <c r="F190" s="15">
        <v>0</v>
      </c>
      <c r="G190" s="16">
        <v>0</v>
      </c>
      <c r="H190" s="101"/>
    </row>
    <row r="191" spans="1:8" x14ac:dyDescent="0.2">
      <c r="A191" s="3"/>
      <c r="B191" s="3"/>
      <c r="C191" s="13"/>
      <c r="D191" s="3"/>
      <c r="E191" s="3"/>
      <c r="F191" s="14"/>
      <c r="G191" s="14"/>
      <c r="H191" s="101"/>
    </row>
    <row r="192" spans="1:8" x14ac:dyDescent="0.2">
      <c r="A192" s="10"/>
      <c r="B192" s="6"/>
      <c r="C192" s="6" t="s">
        <v>907</v>
      </c>
      <c r="D192" s="6"/>
      <c r="E192" s="10"/>
      <c r="F192" s="8">
        <v>1735.8551268000001</v>
      </c>
      <c r="G192" s="9">
        <v>5.7648598553133597E-2</v>
      </c>
      <c r="H192" s="101"/>
    </row>
    <row r="193" spans="1:15" x14ac:dyDescent="0.2">
      <c r="A193" s="10"/>
      <c r="B193" s="6"/>
      <c r="C193" s="6" t="s">
        <v>1016</v>
      </c>
      <c r="D193" s="6"/>
      <c r="E193" s="10"/>
      <c r="F193" s="8">
        <v>4486.9487982999972</v>
      </c>
      <c r="G193" s="9">
        <v>0.1490137661882566</v>
      </c>
      <c r="H193" s="101"/>
    </row>
    <row r="194" spans="1:15" x14ac:dyDescent="0.2">
      <c r="A194" s="13"/>
      <c r="B194" s="13"/>
      <c r="C194" s="4" t="s">
        <v>124</v>
      </c>
      <c r="D194" s="17"/>
      <c r="E194" s="17"/>
      <c r="F194" s="11">
        <v>30110.96835598</v>
      </c>
      <c r="G194" s="12">
        <v>0.99999999999999978</v>
      </c>
      <c r="H194" s="101"/>
    </row>
    <row r="195" spans="1:15" ht="14.1" customHeight="1" x14ac:dyDescent="0.2">
      <c r="A195" s="18"/>
      <c r="B195" s="18"/>
      <c r="C195" s="18"/>
      <c r="D195" s="19"/>
      <c r="E195" s="19"/>
      <c r="F195" s="19"/>
      <c r="G195" s="19"/>
    </row>
    <row r="196" spans="1:15" ht="17.100000000000001" customHeight="1" x14ac:dyDescent="0.2">
      <c r="A196" s="20"/>
      <c r="B196" s="226" t="s">
        <v>527</v>
      </c>
      <c r="C196" s="226"/>
      <c r="D196" s="226"/>
      <c r="E196" s="226"/>
      <c r="F196" s="226"/>
      <c r="G196" s="22"/>
    </row>
    <row r="197" spans="1:15" ht="17.100000000000001" customHeight="1" x14ac:dyDescent="0.2">
      <c r="A197" s="20"/>
      <c r="B197" s="226" t="s">
        <v>125</v>
      </c>
      <c r="C197" s="226"/>
      <c r="D197" s="226"/>
      <c r="E197" s="226"/>
      <c r="F197" s="226"/>
      <c r="G197" s="22"/>
    </row>
    <row r="198" spans="1:15" s="69" customFormat="1" ht="17.100000000000001" customHeight="1" x14ac:dyDescent="0.2">
      <c r="A198" s="94"/>
      <c r="B198" s="234" t="s">
        <v>1018</v>
      </c>
      <c r="C198" s="234"/>
      <c r="D198" s="234"/>
      <c r="E198" s="234"/>
      <c r="F198" s="234"/>
      <c r="G198" s="95"/>
      <c r="H198"/>
      <c r="I198"/>
      <c r="J198"/>
      <c r="K198"/>
      <c r="L198"/>
      <c r="M198"/>
      <c r="N198"/>
      <c r="O198"/>
    </row>
    <row r="199" spans="1:15" ht="14.1" customHeight="1" x14ac:dyDescent="0.2">
      <c r="A199" s="20"/>
      <c r="B199" s="20"/>
      <c r="C199" s="20"/>
      <c r="D199" s="22"/>
      <c r="E199" s="22"/>
      <c r="F199" s="22"/>
      <c r="G199" s="22"/>
    </row>
    <row r="200" spans="1:15" ht="14.1" customHeight="1" x14ac:dyDescent="0.2">
      <c r="A200" s="20"/>
      <c r="B200" s="224" t="s">
        <v>126</v>
      </c>
      <c r="C200" s="225"/>
      <c r="D200" s="14" t="s">
        <v>98</v>
      </c>
      <c r="E200" s="23"/>
      <c r="F200" s="22"/>
      <c r="G200" s="22"/>
    </row>
    <row r="201" spans="1:15" ht="29.1" customHeight="1" x14ac:dyDescent="0.2">
      <c r="A201" s="20"/>
      <c r="B201" s="231" t="s">
        <v>127</v>
      </c>
      <c r="C201" s="232"/>
      <c r="D201" s="4" t="s">
        <v>128</v>
      </c>
      <c r="E201" s="23"/>
      <c r="F201" s="22"/>
      <c r="G201" s="22"/>
    </row>
    <row r="202" spans="1:15" ht="17.100000000000001" customHeight="1" x14ac:dyDescent="0.2">
      <c r="A202" s="20"/>
      <c r="B202" s="231" t="s">
        <v>129</v>
      </c>
      <c r="C202" s="232"/>
      <c r="D202" s="4" t="s">
        <v>128</v>
      </c>
      <c r="E202" s="23"/>
      <c r="F202" s="22"/>
      <c r="G202" s="22"/>
    </row>
    <row r="203" spans="1:15" ht="17.100000000000001" customHeight="1" x14ac:dyDescent="0.2">
      <c r="A203" s="20"/>
      <c r="B203" s="231" t="s">
        <v>1055</v>
      </c>
      <c r="C203" s="232"/>
      <c r="D203" s="14" t="s">
        <v>98</v>
      </c>
      <c r="E203" s="23"/>
      <c r="F203" s="22"/>
      <c r="G203" s="22"/>
    </row>
    <row r="204" spans="1:15" ht="24" customHeight="1" x14ac:dyDescent="0.2">
      <c r="A204" s="24"/>
      <c r="B204" s="25" t="s">
        <v>98</v>
      </c>
      <c r="C204" s="25" t="s">
        <v>131</v>
      </c>
      <c r="D204" s="25" t="s">
        <v>132</v>
      </c>
      <c r="E204" s="24"/>
      <c r="F204" s="24"/>
      <c r="G204" s="24"/>
    </row>
    <row r="205" spans="1:15" ht="18" customHeight="1" x14ac:dyDescent="0.2">
      <c r="A205" s="24"/>
      <c r="B205" s="25" t="s">
        <v>133</v>
      </c>
      <c r="C205" s="25" t="s">
        <v>134</v>
      </c>
      <c r="D205" s="25" t="s">
        <v>135</v>
      </c>
      <c r="E205" s="24"/>
      <c r="F205" s="24"/>
      <c r="G205" s="24"/>
    </row>
    <row r="206" spans="1:15" x14ac:dyDescent="0.2">
      <c r="A206" s="24"/>
      <c r="B206" s="6" t="s">
        <v>136</v>
      </c>
      <c r="C206" s="10">
        <v>54.289900000000003</v>
      </c>
      <c r="D206" s="26">
        <v>54.819099999999999</v>
      </c>
      <c r="E206" s="24"/>
      <c r="F206" s="21"/>
      <c r="G206" s="27"/>
    </row>
    <row r="207" spans="1:15" x14ac:dyDescent="0.2">
      <c r="A207" s="24"/>
      <c r="B207" s="6" t="s">
        <v>1062</v>
      </c>
      <c r="C207" s="10">
        <v>14.918799999999999</v>
      </c>
      <c r="D207" s="26">
        <v>14.521000000000001</v>
      </c>
      <c r="E207" s="24"/>
      <c r="F207" s="21"/>
      <c r="G207" s="27"/>
    </row>
    <row r="208" spans="1:15" x14ac:dyDescent="0.2">
      <c r="A208" s="24"/>
      <c r="B208" s="6" t="s">
        <v>1064</v>
      </c>
      <c r="C208" s="10">
        <v>20.944299999999998</v>
      </c>
      <c r="D208" s="26">
        <v>20.7911</v>
      </c>
      <c r="E208" s="24"/>
      <c r="F208" s="21"/>
      <c r="G208" s="27"/>
    </row>
    <row r="209" spans="1:7" x14ac:dyDescent="0.2">
      <c r="A209" s="24"/>
      <c r="B209" s="6" t="s">
        <v>137</v>
      </c>
      <c r="C209" s="10">
        <v>49.672400000000003</v>
      </c>
      <c r="D209" s="26">
        <v>50.0869</v>
      </c>
      <c r="E209" s="24"/>
      <c r="F209" s="21"/>
      <c r="G209" s="27"/>
    </row>
    <row r="210" spans="1:7" x14ac:dyDescent="0.2">
      <c r="A210" s="24"/>
      <c r="B210" s="6" t="s">
        <v>1063</v>
      </c>
      <c r="C210" s="10">
        <v>14.7723</v>
      </c>
      <c r="D210" s="26">
        <v>14.3581</v>
      </c>
      <c r="E210" s="24"/>
      <c r="F210" s="21"/>
      <c r="G210" s="27"/>
    </row>
    <row r="211" spans="1:7" x14ac:dyDescent="0.2">
      <c r="A211" s="24"/>
      <c r="B211" s="6" t="s">
        <v>1065</v>
      </c>
      <c r="C211" s="10">
        <v>15.318099999999999</v>
      </c>
      <c r="D211" s="26">
        <v>15.184699999999999</v>
      </c>
      <c r="E211" s="24"/>
      <c r="F211" s="21"/>
      <c r="G211" s="27"/>
    </row>
    <row r="212" spans="1:7" ht="17.100000000000001" customHeight="1" x14ac:dyDescent="0.2">
      <c r="A212" s="20"/>
      <c r="B212" s="231" t="s">
        <v>1056</v>
      </c>
      <c r="C212" s="235"/>
      <c r="D212" s="232"/>
      <c r="E212" s="23"/>
      <c r="F212" s="22"/>
      <c r="G212" s="22"/>
    </row>
    <row r="213" spans="1:7" ht="24" customHeight="1" x14ac:dyDescent="0.2">
      <c r="A213" s="24"/>
      <c r="B213" s="25" t="s">
        <v>98</v>
      </c>
      <c r="C213" s="25" t="s">
        <v>131</v>
      </c>
      <c r="D213" s="25" t="s">
        <v>132</v>
      </c>
      <c r="E213" s="24"/>
      <c r="F213" s="24"/>
      <c r="G213" s="24"/>
    </row>
    <row r="214" spans="1:7" ht="18" customHeight="1" x14ac:dyDescent="0.2">
      <c r="A214" s="24"/>
      <c r="B214" s="25" t="s">
        <v>133</v>
      </c>
      <c r="C214" s="25" t="s">
        <v>134</v>
      </c>
      <c r="D214" s="25" t="s">
        <v>135</v>
      </c>
      <c r="E214" s="24"/>
      <c r="F214" s="24"/>
      <c r="G214" s="24"/>
    </row>
    <row r="215" spans="1:7" x14ac:dyDescent="0.2">
      <c r="A215" s="24"/>
      <c r="B215" s="6" t="s">
        <v>136</v>
      </c>
      <c r="C215" s="26">
        <v>13.0929</v>
      </c>
      <c r="D215" s="26">
        <v>13.182700000000001</v>
      </c>
      <c r="E215" s="24"/>
      <c r="F215" s="21"/>
      <c r="G215" s="27"/>
    </row>
    <row r="216" spans="1:7" x14ac:dyDescent="0.2">
      <c r="A216" s="24"/>
      <c r="B216" s="6" t="s">
        <v>1201</v>
      </c>
      <c r="C216" s="26">
        <v>13.0928</v>
      </c>
      <c r="D216" s="26">
        <v>13.182600000000001</v>
      </c>
      <c r="E216" s="24"/>
      <c r="F216" s="21"/>
      <c r="G216" s="27"/>
    </row>
    <row r="217" spans="1:7" x14ac:dyDescent="0.2">
      <c r="A217" s="24"/>
      <c r="B217" s="6" t="s">
        <v>137</v>
      </c>
      <c r="C217" s="26">
        <v>12.431699999999999</v>
      </c>
      <c r="D217" s="26">
        <v>12.4984</v>
      </c>
      <c r="E217" s="24"/>
      <c r="F217" s="21"/>
      <c r="G217" s="27"/>
    </row>
    <row r="218" spans="1:7" x14ac:dyDescent="0.2">
      <c r="A218" s="24"/>
      <c r="B218" s="6" t="s">
        <v>1202</v>
      </c>
      <c r="C218" s="26">
        <v>12.4315</v>
      </c>
      <c r="D218" s="26">
        <v>12.498200000000001</v>
      </c>
      <c r="E218" s="24"/>
      <c r="F218" s="21"/>
      <c r="G218" s="27"/>
    </row>
    <row r="219" spans="1:7" ht="14.1" customHeight="1" x14ac:dyDescent="0.2">
      <c r="A219" s="24"/>
      <c r="B219" s="24"/>
      <c r="C219" s="24"/>
      <c r="D219" s="24"/>
      <c r="E219" s="24"/>
      <c r="F219" s="24"/>
      <c r="G219" s="24"/>
    </row>
    <row r="220" spans="1:7" ht="20.25" customHeight="1" x14ac:dyDescent="0.2">
      <c r="A220" s="24"/>
      <c r="B220" s="231" t="s">
        <v>1058</v>
      </c>
      <c r="C220" s="232"/>
      <c r="D220" s="4"/>
      <c r="E220" s="24"/>
      <c r="F220" s="24"/>
      <c r="G220" s="24"/>
    </row>
    <row r="221" spans="1:7" ht="18" customHeight="1" x14ac:dyDescent="0.2">
      <c r="A221" s="24"/>
      <c r="B221" s="81" t="s">
        <v>133</v>
      </c>
      <c r="C221" s="82" t="s">
        <v>1019</v>
      </c>
      <c r="D221" s="82" t="s">
        <v>1020</v>
      </c>
      <c r="E221" s="24"/>
      <c r="F221" s="24"/>
      <c r="G221" s="24"/>
    </row>
    <row r="222" spans="1:7" x14ac:dyDescent="0.2">
      <c r="A222" s="24"/>
      <c r="B222" s="6" t="s">
        <v>1062</v>
      </c>
      <c r="C222" s="83">
        <v>0.53139999999999998</v>
      </c>
      <c r="D222" s="84">
        <v>0.53139999999999998</v>
      </c>
      <c r="E222" s="24"/>
      <c r="F222" s="21"/>
      <c r="G222" s="27"/>
    </row>
    <row r="223" spans="1:7" x14ac:dyDescent="0.2">
      <c r="A223" s="24"/>
      <c r="B223" s="6" t="s">
        <v>1064</v>
      </c>
      <c r="C223" s="83">
        <v>0.34960000000000002</v>
      </c>
      <c r="D223" s="84">
        <v>0.34960000000000002</v>
      </c>
      <c r="E223" s="24"/>
      <c r="F223" s="21"/>
      <c r="G223" s="27"/>
    </row>
    <row r="224" spans="1:7" x14ac:dyDescent="0.2">
      <c r="A224" s="24"/>
      <c r="B224" s="6" t="s">
        <v>1063</v>
      </c>
      <c r="C224" s="83">
        <v>0.52600000000000002</v>
      </c>
      <c r="D224" s="83">
        <v>0.52600000000000002</v>
      </c>
      <c r="E224" s="24"/>
      <c r="F224" s="21"/>
      <c r="G224" s="27"/>
    </row>
    <row r="225" spans="1:17" x14ac:dyDescent="0.2">
      <c r="A225" s="24"/>
      <c r="B225" s="6" t="s">
        <v>1065</v>
      </c>
      <c r="C225" s="83">
        <v>0.25559999999999999</v>
      </c>
      <c r="D225" s="83">
        <v>0.25559999999999999</v>
      </c>
      <c r="E225" s="24"/>
      <c r="F225" s="21"/>
      <c r="G225" s="27"/>
    </row>
    <row r="226" spans="1:17" x14ac:dyDescent="0.2">
      <c r="A226" s="24"/>
      <c r="B226" s="231"/>
      <c r="C226" s="235"/>
      <c r="D226" s="232"/>
      <c r="E226" s="24"/>
      <c r="F226" s="24"/>
      <c r="G226" s="24"/>
    </row>
    <row r="227" spans="1:17" ht="20.25" customHeight="1" x14ac:dyDescent="0.2">
      <c r="A227" s="24"/>
      <c r="B227" s="231" t="s">
        <v>1057</v>
      </c>
      <c r="C227" s="232"/>
      <c r="D227" s="4" t="s">
        <v>128</v>
      </c>
      <c r="E227" s="24"/>
      <c r="F227" s="24"/>
      <c r="G227" s="24"/>
    </row>
    <row r="228" spans="1:17" ht="18" customHeight="1" x14ac:dyDescent="0.2">
      <c r="A228" s="24"/>
      <c r="B228" s="28"/>
      <c r="C228" s="28"/>
      <c r="D228" s="29"/>
      <c r="E228" s="24"/>
      <c r="F228" s="24"/>
      <c r="G228" s="24"/>
    </row>
    <row r="229" spans="1:17" s="87" customFormat="1" x14ac:dyDescent="0.2">
      <c r="B229" s="233" t="s">
        <v>1207</v>
      </c>
      <c r="C229" s="233"/>
      <c r="D229" s="233"/>
      <c r="E229" s="233"/>
      <c r="F229" s="233"/>
      <c r="I229"/>
      <c r="J229"/>
      <c r="K229"/>
      <c r="L229"/>
      <c r="M229"/>
      <c r="N229"/>
      <c r="O229"/>
      <c r="P229" s="69"/>
      <c r="Q229" s="69"/>
    </row>
    <row r="230" spans="1:17" ht="14.1" customHeight="1" x14ac:dyDescent="0.2">
      <c r="A230" s="24"/>
      <c r="B230" s="21"/>
      <c r="C230" s="21"/>
      <c r="D230" s="24"/>
      <c r="E230" s="24"/>
      <c r="F230" s="24"/>
      <c r="G230" s="24"/>
    </row>
    <row r="231" spans="1:17" ht="29.1" customHeight="1" x14ac:dyDescent="0.2">
      <c r="A231" s="24"/>
      <c r="B231" s="231" t="s">
        <v>138</v>
      </c>
      <c r="C231" s="232"/>
      <c r="D231" s="4" t="s">
        <v>1154</v>
      </c>
      <c r="E231" s="24"/>
      <c r="F231" s="24"/>
      <c r="G231" s="24"/>
    </row>
    <row r="232" spans="1:17" ht="29.1" customHeight="1" x14ac:dyDescent="0.2">
      <c r="A232" s="24"/>
      <c r="B232" s="231" t="s">
        <v>139</v>
      </c>
      <c r="C232" s="232"/>
      <c r="D232" s="4" t="s">
        <v>128</v>
      </c>
      <c r="E232" s="24"/>
      <c r="F232" s="24"/>
      <c r="G232" s="24"/>
    </row>
    <row r="233" spans="1:17" s="87" customFormat="1" x14ac:dyDescent="0.2">
      <c r="B233" s="241" t="s">
        <v>1158</v>
      </c>
      <c r="C233" s="242"/>
      <c r="D233" s="92">
        <v>0.43288926410821804</v>
      </c>
      <c r="I233"/>
      <c r="J233"/>
      <c r="K233"/>
      <c r="L233"/>
      <c r="M233"/>
      <c r="N233"/>
      <c r="O233"/>
    </row>
    <row r="234" spans="1:17" s="87" customFormat="1" x14ac:dyDescent="0.2">
      <c r="B234" s="241" t="s">
        <v>1159</v>
      </c>
      <c r="C234" s="242"/>
      <c r="D234" s="92">
        <v>0.44571177631366721</v>
      </c>
      <c r="I234"/>
      <c r="J234"/>
      <c r="K234"/>
      <c r="L234"/>
      <c r="M234"/>
      <c r="N234"/>
      <c r="O234"/>
    </row>
    <row r="235" spans="1:17" ht="17.100000000000001" customHeight="1" x14ac:dyDescent="0.2">
      <c r="A235" s="24"/>
      <c r="B235" s="231" t="s">
        <v>1160</v>
      </c>
      <c r="C235" s="232"/>
      <c r="D235" s="30">
        <v>4.0235104529040022</v>
      </c>
      <c r="E235" s="24"/>
      <c r="F235" s="21"/>
      <c r="G235" s="27"/>
    </row>
    <row r="236" spans="1:17" ht="17.100000000000001" customHeight="1" x14ac:dyDescent="0.2">
      <c r="A236" s="24"/>
      <c r="B236" s="231" t="s">
        <v>1161</v>
      </c>
      <c r="C236" s="232"/>
      <c r="D236" s="4" t="s">
        <v>128</v>
      </c>
      <c r="E236" s="24"/>
      <c r="F236" s="24"/>
      <c r="G236" s="24"/>
    </row>
  </sheetData>
  <sortState xmlns:xlrd2="http://schemas.microsoft.com/office/spreadsheetml/2017/richdata2" ref="A7:G85">
    <sortCondition descending="1" ref="G7:G85"/>
  </sortState>
  <mergeCells count="22">
    <mergeCell ref="A1:H1"/>
    <mergeCell ref="A2:H2"/>
    <mergeCell ref="A3:H3"/>
    <mergeCell ref="B235:C235"/>
    <mergeCell ref="B236:C236"/>
    <mergeCell ref="B201:C201"/>
    <mergeCell ref="B202:C202"/>
    <mergeCell ref="B231:C231"/>
    <mergeCell ref="B232:C232"/>
    <mergeCell ref="B203:C203"/>
    <mergeCell ref="B212:D212"/>
    <mergeCell ref="B220:C220"/>
    <mergeCell ref="B226:D226"/>
    <mergeCell ref="B227:C227"/>
    <mergeCell ref="B233:C233"/>
    <mergeCell ref="B234:C234"/>
    <mergeCell ref="B229:F229"/>
    <mergeCell ref="J2:N2"/>
    <mergeCell ref="B200:C200"/>
    <mergeCell ref="B196:F196"/>
    <mergeCell ref="B197:F197"/>
    <mergeCell ref="B198:F198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37">
    <outlinePr summaryBelow="0" summaryRight="0"/>
  </sheetPr>
  <dimension ref="A1:O125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5" ht="15" x14ac:dyDescent="0.2">
      <c r="A1" s="227" t="s">
        <v>0</v>
      </c>
      <c r="B1" s="227"/>
      <c r="C1" s="227"/>
      <c r="D1" s="227"/>
      <c r="E1" s="227"/>
      <c r="F1" s="227"/>
      <c r="G1" s="227"/>
      <c r="H1" s="227"/>
    </row>
    <row r="2" spans="1:15" s="87" customFormat="1" ht="15" x14ac:dyDescent="0.2">
      <c r="A2" s="228" t="s">
        <v>1259</v>
      </c>
      <c r="B2" s="229"/>
      <c r="C2" s="229"/>
      <c r="D2" s="229"/>
      <c r="E2" s="229"/>
      <c r="F2" s="229"/>
      <c r="G2" s="229"/>
      <c r="H2" s="230"/>
      <c r="I2"/>
      <c r="J2" s="223" t="s">
        <v>1238</v>
      </c>
      <c r="K2" s="223"/>
      <c r="L2" s="223"/>
      <c r="M2" s="223"/>
      <c r="N2" s="223"/>
      <c r="O2"/>
    </row>
    <row r="3" spans="1:15" ht="15" x14ac:dyDescent="0.2">
      <c r="A3" s="227" t="s">
        <v>1208</v>
      </c>
      <c r="B3" s="227"/>
      <c r="C3" s="227"/>
      <c r="D3" s="227"/>
      <c r="E3" s="227"/>
      <c r="F3" s="227"/>
      <c r="G3" s="227"/>
      <c r="H3" s="227"/>
    </row>
    <row r="4" spans="1:15" s="113" customFormat="1" ht="30" x14ac:dyDescent="0.2">
      <c r="A4" s="1" t="s">
        <v>2</v>
      </c>
      <c r="B4" s="1" t="s">
        <v>3</v>
      </c>
      <c r="C4" s="1" t="s">
        <v>4</v>
      </c>
      <c r="D4" s="1" t="s">
        <v>5</v>
      </c>
      <c r="E4" s="2" t="s">
        <v>6</v>
      </c>
      <c r="F4" s="2" t="s">
        <v>7</v>
      </c>
      <c r="G4" s="2" t="s">
        <v>8</v>
      </c>
      <c r="H4" s="96" t="s">
        <v>1167</v>
      </c>
      <c r="I4" s="183"/>
      <c r="J4" s="183"/>
      <c r="K4" s="183"/>
      <c r="L4" s="183"/>
      <c r="M4" s="183"/>
      <c r="N4" s="183"/>
      <c r="O4" s="183"/>
    </row>
    <row r="5" spans="1:15" ht="14.1" customHeight="1" x14ac:dyDescent="0.2">
      <c r="A5" s="3"/>
      <c r="B5" s="3"/>
      <c r="C5" s="4" t="s">
        <v>9</v>
      </c>
      <c r="D5" s="3"/>
      <c r="E5" s="3"/>
      <c r="F5" s="3"/>
      <c r="G5" s="3"/>
      <c r="H5" s="97"/>
    </row>
    <row r="6" spans="1:15" ht="24" customHeight="1" x14ac:dyDescent="0.2">
      <c r="A6" s="3"/>
      <c r="B6" s="3"/>
      <c r="C6" s="4" t="s">
        <v>10</v>
      </c>
      <c r="D6" s="3"/>
      <c r="E6" s="3"/>
      <c r="F6" s="3"/>
      <c r="G6" s="3"/>
      <c r="H6" s="97"/>
    </row>
    <row r="7" spans="1:15" x14ac:dyDescent="0.2">
      <c r="A7" s="5">
        <v>1</v>
      </c>
      <c r="B7" s="6" t="s">
        <v>409</v>
      </c>
      <c r="C7" s="6" t="s">
        <v>410</v>
      </c>
      <c r="D7" s="6" t="s">
        <v>147</v>
      </c>
      <c r="E7" s="7">
        <v>311470</v>
      </c>
      <c r="F7" s="8">
        <v>5879.7749249999997</v>
      </c>
      <c r="G7" s="9">
        <v>8.4509869000000001E-2</v>
      </c>
      <c r="H7" s="97"/>
    </row>
    <row r="8" spans="1:15" x14ac:dyDescent="0.2">
      <c r="A8" s="5">
        <v>2</v>
      </c>
      <c r="B8" s="6" t="s">
        <v>23</v>
      </c>
      <c r="C8" s="6" t="s">
        <v>24</v>
      </c>
      <c r="D8" s="6" t="s">
        <v>25</v>
      </c>
      <c r="E8" s="7">
        <v>649133</v>
      </c>
      <c r="F8" s="8">
        <v>4804.5578994999996</v>
      </c>
      <c r="G8" s="9">
        <v>6.9055800000000001E-2</v>
      </c>
      <c r="H8" s="97"/>
    </row>
    <row r="9" spans="1:15" x14ac:dyDescent="0.2">
      <c r="A9" s="5">
        <v>3</v>
      </c>
      <c r="B9" s="6" t="s">
        <v>14</v>
      </c>
      <c r="C9" s="6" t="s">
        <v>15</v>
      </c>
      <c r="D9" s="6" t="s">
        <v>16</v>
      </c>
      <c r="E9" s="7">
        <v>169781</v>
      </c>
      <c r="F9" s="8">
        <v>4020.6687514999999</v>
      </c>
      <c r="G9" s="9">
        <v>5.7788978999999997E-2</v>
      </c>
      <c r="H9" s="97"/>
    </row>
    <row r="10" spans="1:15" x14ac:dyDescent="0.2">
      <c r="A10" s="5">
        <v>4</v>
      </c>
      <c r="B10" s="6" t="s">
        <v>411</v>
      </c>
      <c r="C10" s="6" t="s">
        <v>412</v>
      </c>
      <c r="D10" s="6" t="s">
        <v>25</v>
      </c>
      <c r="E10" s="7">
        <v>252831</v>
      </c>
      <c r="F10" s="8">
        <v>3740.3818139999998</v>
      </c>
      <c r="G10" s="9">
        <v>5.3760421000000003E-2</v>
      </c>
      <c r="H10" s="97"/>
    </row>
    <row r="11" spans="1:15" ht="25.5" x14ac:dyDescent="0.2">
      <c r="A11" s="5">
        <v>5</v>
      </c>
      <c r="B11" s="6" t="s">
        <v>413</v>
      </c>
      <c r="C11" s="6" t="s">
        <v>414</v>
      </c>
      <c r="D11" s="6" t="s">
        <v>81</v>
      </c>
      <c r="E11" s="7">
        <v>117412</v>
      </c>
      <c r="F11" s="8">
        <v>3036.802674</v>
      </c>
      <c r="G11" s="9">
        <v>4.3647894999999999E-2</v>
      </c>
      <c r="H11" s="97"/>
    </row>
    <row r="12" spans="1:15" x14ac:dyDescent="0.2">
      <c r="A12" s="5">
        <v>6</v>
      </c>
      <c r="B12" s="6" t="s">
        <v>470</v>
      </c>
      <c r="C12" s="6" t="s">
        <v>471</v>
      </c>
      <c r="D12" s="6" t="s">
        <v>327</v>
      </c>
      <c r="E12" s="7">
        <v>64955</v>
      </c>
      <c r="F12" s="8">
        <v>3034.3403475</v>
      </c>
      <c r="G12" s="9">
        <v>4.3612504000000003E-2</v>
      </c>
      <c r="H12" s="97"/>
    </row>
    <row r="13" spans="1:15" x14ac:dyDescent="0.2">
      <c r="A13" s="5">
        <v>7</v>
      </c>
      <c r="B13" s="6" t="s">
        <v>381</v>
      </c>
      <c r="C13" s="6" t="s">
        <v>382</v>
      </c>
      <c r="D13" s="6" t="s">
        <v>1183</v>
      </c>
      <c r="E13" s="7">
        <v>17122</v>
      </c>
      <c r="F13" s="8">
        <v>2809.0695639999999</v>
      </c>
      <c r="G13" s="9">
        <v>4.0374691999999997E-2</v>
      </c>
      <c r="H13" s="97"/>
    </row>
    <row r="14" spans="1:15" x14ac:dyDescent="0.2">
      <c r="A14" s="5">
        <v>8</v>
      </c>
      <c r="B14" s="6" t="s">
        <v>415</v>
      </c>
      <c r="C14" s="6" t="s">
        <v>416</v>
      </c>
      <c r="D14" s="6" t="s">
        <v>25</v>
      </c>
      <c r="E14" s="7">
        <v>595460</v>
      </c>
      <c r="F14" s="8">
        <v>2741.7955700000002</v>
      </c>
      <c r="G14" s="9">
        <v>3.9407763999999998E-2</v>
      </c>
      <c r="H14" s="97"/>
    </row>
    <row r="15" spans="1:15" x14ac:dyDescent="0.2">
      <c r="A15" s="5">
        <v>9</v>
      </c>
      <c r="B15" s="6" t="s">
        <v>11</v>
      </c>
      <c r="C15" s="6" t="s">
        <v>12</v>
      </c>
      <c r="D15" s="6" t="s">
        <v>13</v>
      </c>
      <c r="E15" s="7">
        <v>140450</v>
      </c>
      <c r="F15" s="8">
        <v>2662.7915499999999</v>
      </c>
      <c r="G15" s="9">
        <v>3.8272240999999999E-2</v>
      </c>
      <c r="H15" s="97"/>
    </row>
    <row r="16" spans="1:15" ht="15" x14ac:dyDescent="0.2">
      <c r="A16" s="5">
        <v>10</v>
      </c>
      <c r="B16" s="6" t="s">
        <v>474</v>
      </c>
      <c r="C16" s="6" t="s">
        <v>475</v>
      </c>
      <c r="D16" s="6" t="s">
        <v>25</v>
      </c>
      <c r="E16" s="7">
        <v>1213820</v>
      </c>
      <c r="F16" s="8">
        <v>2427.0330899999999</v>
      </c>
      <c r="G16" s="9">
        <v>3.4883690000000002E-2</v>
      </c>
      <c r="H16" s="97"/>
      <c r="J16" s="184" t="s">
        <v>1270</v>
      </c>
    </row>
    <row r="17" spans="1:10" ht="25.5" x14ac:dyDescent="0.2">
      <c r="A17" s="5">
        <v>11</v>
      </c>
      <c r="B17" s="6" t="s">
        <v>442</v>
      </c>
      <c r="C17" s="6" t="s">
        <v>1157</v>
      </c>
      <c r="D17" s="91" t="s">
        <v>22</v>
      </c>
      <c r="E17" s="7">
        <v>677624</v>
      </c>
      <c r="F17" s="8">
        <v>2389.641036</v>
      </c>
      <c r="G17" s="9">
        <v>3.4346254999999999E-2</v>
      </c>
      <c r="H17" s="97"/>
    </row>
    <row r="18" spans="1:10" ht="25.5" x14ac:dyDescent="0.2">
      <c r="A18" s="5">
        <v>12</v>
      </c>
      <c r="B18" s="6" t="s">
        <v>472</v>
      </c>
      <c r="C18" s="6" t="s">
        <v>473</v>
      </c>
      <c r="D18" s="6" t="s">
        <v>45</v>
      </c>
      <c r="E18" s="7">
        <v>127025</v>
      </c>
      <c r="F18" s="8">
        <v>2087.1477749999999</v>
      </c>
      <c r="G18" s="9">
        <v>2.9998527000000001E-2</v>
      </c>
      <c r="H18" s="97"/>
    </row>
    <row r="19" spans="1:10" x14ac:dyDescent="0.2">
      <c r="A19" s="5">
        <v>13</v>
      </c>
      <c r="B19" s="6" t="s">
        <v>476</v>
      </c>
      <c r="C19" s="6" t="s">
        <v>477</v>
      </c>
      <c r="D19" s="6" t="s">
        <v>174</v>
      </c>
      <c r="E19" s="7">
        <v>609355</v>
      </c>
      <c r="F19" s="8">
        <v>1811.6124150000001</v>
      </c>
      <c r="G19" s="9">
        <v>2.6038262999999999E-2</v>
      </c>
      <c r="H19" s="97"/>
    </row>
    <row r="20" spans="1:10" x14ac:dyDescent="0.2">
      <c r="A20" s="5">
        <v>14</v>
      </c>
      <c r="B20" s="6" t="s">
        <v>359</v>
      </c>
      <c r="C20" s="6" t="s">
        <v>360</v>
      </c>
      <c r="D20" s="6" t="s">
        <v>70</v>
      </c>
      <c r="E20" s="7">
        <v>32050</v>
      </c>
      <c r="F20" s="8">
        <v>1765.8107749999999</v>
      </c>
      <c r="G20" s="9">
        <v>2.5379957000000002E-2</v>
      </c>
      <c r="H20" s="97"/>
    </row>
    <row r="21" spans="1:10" x14ac:dyDescent="0.2">
      <c r="A21" s="5">
        <v>15</v>
      </c>
      <c r="B21" s="6" t="s">
        <v>39</v>
      </c>
      <c r="C21" s="6" t="s">
        <v>40</v>
      </c>
      <c r="D21" s="6" t="s">
        <v>16</v>
      </c>
      <c r="E21" s="7">
        <v>453180</v>
      </c>
      <c r="F21" s="8">
        <v>1746.7823100000001</v>
      </c>
      <c r="G21" s="9">
        <v>2.5106462E-2</v>
      </c>
      <c r="H21" s="97"/>
    </row>
    <row r="22" spans="1:10" x14ac:dyDescent="0.2">
      <c r="A22" s="5">
        <v>16</v>
      </c>
      <c r="B22" s="6" t="s">
        <v>274</v>
      </c>
      <c r="C22" s="6" t="s">
        <v>275</v>
      </c>
      <c r="D22" s="6" t="s">
        <v>185</v>
      </c>
      <c r="E22" s="7">
        <v>40584</v>
      </c>
      <c r="F22" s="8">
        <v>1699.8608400000001</v>
      </c>
      <c r="G22" s="9">
        <v>2.4432061000000001E-2</v>
      </c>
      <c r="H22" s="97"/>
    </row>
    <row r="23" spans="1:10" x14ac:dyDescent="0.2">
      <c r="A23" s="5">
        <v>17</v>
      </c>
      <c r="B23" s="6" t="s">
        <v>76</v>
      </c>
      <c r="C23" s="6" t="s">
        <v>77</v>
      </c>
      <c r="D23" s="6" t="s">
        <v>78</v>
      </c>
      <c r="E23" s="7">
        <v>1382495</v>
      </c>
      <c r="F23" s="8">
        <v>1692.8651275</v>
      </c>
      <c r="G23" s="9">
        <v>2.4331511E-2</v>
      </c>
      <c r="H23" s="97"/>
    </row>
    <row r="24" spans="1:10" ht="25.5" x14ac:dyDescent="0.2">
      <c r="A24" s="5">
        <v>18</v>
      </c>
      <c r="B24" s="6" t="s">
        <v>484</v>
      </c>
      <c r="C24" s="6" t="s">
        <v>485</v>
      </c>
      <c r="D24" s="6" t="s">
        <v>1185</v>
      </c>
      <c r="E24" s="7">
        <v>6125</v>
      </c>
      <c r="F24" s="8">
        <v>1652.9813125000001</v>
      </c>
      <c r="G24" s="9">
        <v>2.3758261999999999E-2</v>
      </c>
      <c r="H24" s="97"/>
    </row>
    <row r="25" spans="1:10" x14ac:dyDescent="0.2">
      <c r="A25" s="5">
        <v>19</v>
      </c>
      <c r="B25" s="6" t="s">
        <v>340</v>
      </c>
      <c r="C25" s="6" t="s">
        <v>341</v>
      </c>
      <c r="D25" s="6" t="s">
        <v>1190</v>
      </c>
      <c r="E25" s="7">
        <v>744800</v>
      </c>
      <c r="F25" s="8">
        <v>1563.7076</v>
      </c>
      <c r="G25" s="9">
        <v>2.2475133000000001E-2</v>
      </c>
      <c r="H25" s="97"/>
    </row>
    <row r="26" spans="1:10" x14ac:dyDescent="0.2">
      <c r="A26" s="5">
        <v>20</v>
      </c>
      <c r="B26" s="6" t="s">
        <v>468</v>
      </c>
      <c r="C26" s="6" t="s">
        <v>469</v>
      </c>
      <c r="D26" s="6" t="s">
        <v>78</v>
      </c>
      <c r="E26" s="7">
        <v>278000</v>
      </c>
      <c r="F26" s="8">
        <v>1341.0719999999999</v>
      </c>
      <c r="G26" s="9">
        <v>1.9275197000000001E-2</v>
      </c>
      <c r="H26" s="97"/>
    </row>
    <row r="27" spans="1:10" x14ac:dyDescent="0.2">
      <c r="A27" s="5">
        <v>21</v>
      </c>
      <c r="B27" s="6" t="s">
        <v>454</v>
      </c>
      <c r="C27" s="6" t="s">
        <v>455</v>
      </c>
      <c r="D27" s="6" t="s">
        <v>238</v>
      </c>
      <c r="E27" s="7">
        <v>586520</v>
      </c>
      <c r="F27" s="8">
        <v>1309.6991599999999</v>
      </c>
      <c r="G27" s="9">
        <v>1.8824276000000001E-2</v>
      </c>
      <c r="H27" s="97"/>
    </row>
    <row r="28" spans="1:10" x14ac:dyDescent="0.2">
      <c r="A28" s="5">
        <v>22</v>
      </c>
      <c r="B28" s="6" t="s">
        <v>429</v>
      </c>
      <c r="C28" s="6" t="s">
        <v>430</v>
      </c>
      <c r="D28" s="6" t="s">
        <v>431</v>
      </c>
      <c r="E28" s="7">
        <v>272500</v>
      </c>
      <c r="F28" s="8">
        <v>1295.87375</v>
      </c>
      <c r="G28" s="9">
        <v>1.8625563000000001E-2</v>
      </c>
      <c r="H28" s="97"/>
    </row>
    <row r="29" spans="1:10" ht="15" x14ac:dyDescent="0.2">
      <c r="A29" s="5">
        <v>23</v>
      </c>
      <c r="B29" s="6" t="s">
        <v>32</v>
      </c>
      <c r="C29" s="6" t="s">
        <v>33</v>
      </c>
      <c r="D29" s="6" t="s">
        <v>34</v>
      </c>
      <c r="E29" s="7">
        <v>562885</v>
      </c>
      <c r="F29" s="8">
        <v>1243.6944074999999</v>
      </c>
      <c r="G29" s="9">
        <v>1.7875591E-2</v>
      </c>
      <c r="H29" s="97"/>
      <c r="J29" s="184" t="s">
        <v>1312</v>
      </c>
    </row>
    <row r="30" spans="1:10" x14ac:dyDescent="0.2">
      <c r="A30" s="5">
        <v>24</v>
      </c>
      <c r="B30" s="6" t="s">
        <v>676</v>
      </c>
      <c r="C30" s="6" t="s">
        <v>677</v>
      </c>
      <c r="D30" s="6" t="s">
        <v>53</v>
      </c>
      <c r="E30" s="7">
        <v>144030</v>
      </c>
      <c r="F30" s="8">
        <v>1241.25054</v>
      </c>
      <c r="G30" s="9">
        <v>1.7840465E-2</v>
      </c>
      <c r="H30" s="97"/>
    </row>
    <row r="31" spans="1:10" x14ac:dyDescent="0.2">
      <c r="A31" s="5">
        <v>25</v>
      </c>
      <c r="B31" s="6" t="s">
        <v>209</v>
      </c>
      <c r="C31" s="6" t="s">
        <v>210</v>
      </c>
      <c r="D31" s="6" t="s">
        <v>193</v>
      </c>
      <c r="E31" s="7">
        <v>222800</v>
      </c>
      <c r="F31" s="8">
        <v>1200.6692</v>
      </c>
      <c r="G31" s="9">
        <v>1.7257191000000002E-2</v>
      </c>
      <c r="H31" s="97"/>
    </row>
    <row r="32" spans="1:10" x14ac:dyDescent="0.2">
      <c r="A32" s="5">
        <v>26</v>
      </c>
      <c r="B32" s="6" t="s">
        <v>434</v>
      </c>
      <c r="C32" s="6" t="s">
        <v>435</v>
      </c>
      <c r="D32" s="6" t="s">
        <v>238</v>
      </c>
      <c r="E32" s="7">
        <v>159940</v>
      </c>
      <c r="F32" s="8">
        <v>1189.23387</v>
      </c>
      <c r="G32" s="9">
        <v>1.7092830999999999E-2</v>
      </c>
      <c r="H32" s="97"/>
    </row>
    <row r="33" spans="1:8" x14ac:dyDescent="0.2">
      <c r="A33" s="5">
        <v>27</v>
      </c>
      <c r="B33" s="6" t="s">
        <v>480</v>
      </c>
      <c r="C33" s="6" t="s">
        <v>481</v>
      </c>
      <c r="D33" s="6" t="s">
        <v>70</v>
      </c>
      <c r="E33" s="7">
        <v>86708</v>
      </c>
      <c r="F33" s="8">
        <v>1138.822872</v>
      </c>
      <c r="G33" s="9">
        <v>1.6368275000000002E-2</v>
      </c>
      <c r="H33" s="97"/>
    </row>
    <row r="34" spans="1:8" x14ac:dyDescent="0.2">
      <c r="A34" s="5">
        <v>28</v>
      </c>
      <c r="B34" s="6" t="s">
        <v>421</v>
      </c>
      <c r="C34" s="6" t="s">
        <v>422</v>
      </c>
      <c r="D34" s="6" t="s">
        <v>147</v>
      </c>
      <c r="E34" s="7">
        <v>146732</v>
      </c>
      <c r="F34" s="8">
        <v>1049.6473619999999</v>
      </c>
      <c r="G34" s="9">
        <v>1.5086557E-2</v>
      </c>
      <c r="H34" s="97"/>
    </row>
    <row r="35" spans="1:8" x14ac:dyDescent="0.2">
      <c r="A35" s="5">
        <v>29</v>
      </c>
      <c r="B35" s="6" t="s">
        <v>548</v>
      </c>
      <c r="C35" s="6" t="s">
        <v>549</v>
      </c>
      <c r="D35" s="6" t="s">
        <v>174</v>
      </c>
      <c r="E35" s="7">
        <v>133845</v>
      </c>
      <c r="F35" s="8">
        <v>829.70515499999999</v>
      </c>
      <c r="G35" s="9">
        <v>1.1925333E-2</v>
      </c>
      <c r="H35" s="97"/>
    </row>
    <row r="36" spans="1:8" x14ac:dyDescent="0.2">
      <c r="A36" s="3"/>
      <c r="B36" s="3"/>
      <c r="C36" s="4" t="s">
        <v>97</v>
      </c>
      <c r="D36" s="3"/>
      <c r="E36" s="3" t="s">
        <v>98</v>
      </c>
      <c r="F36" s="11">
        <v>63407.293693000007</v>
      </c>
      <c r="G36" s="12">
        <v>0.91135156500000014</v>
      </c>
      <c r="H36" s="97"/>
    </row>
    <row r="37" spans="1:8" x14ac:dyDescent="0.2">
      <c r="A37" s="3"/>
      <c r="B37" s="3"/>
      <c r="C37" s="13"/>
      <c r="D37" s="3"/>
      <c r="E37" s="3"/>
      <c r="F37" s="14"/>
      <c r="G37" s="14"/>
      <c r="H37" s="97"/>
    </row>
    <row r="38" spans="1:8" x14ac:dyDescent="0.2">
      <c r="A38" s="3"/>
      <c r="B38" s="3"/>
      <c r="C38" s="4" t="s">
        <v>99</v>
      </c>
      <c r="D38" s="3"/>
      <c r="E38" s="3"/>
      <c r="F38" s="3"/>
      <c r="G38" s="3"/>
      <c r="H38" s="97"/>
    </row>
    <row r="39" spans="1:8" x14ac:dyDescent="0.2">
      <c r="A39" s="3"/>
      <c r="B39" s="3"/>
      <c r="C39" s="4" t="s">
        <v>97</v>
      </c>
      <c r="D39" s="3"/>
      <c r="E39" s="3" t="s">
        <v>98</v>
      </c>
      <c r="F39" s="15">
        <v>0</v>
      </c>
      <c r="G39" s="16">
        <v>0</v>
      </c>
      <c r="H39" s="97"/>
    </row>
    <row r="40" spans="1:8" x14ac:dyDescent="0.2">
      <c r="A40" s="3"/>
      <c r="B40" s="3"/>
      <c r="C40" s="13"/>
      <c r="D40" s="3"/>
      <c r="E40" s="3"/>
      <c r="F40" s="14"/>
      <c r="G40" s="14"/>
      <c r="H40" s="97"/>
    </row>
    <row r="41" spans="1:8" x14ac:dyDescent="0.2">
      <c r="A41" s="3"/>
      <c r="B41" s="3"/>
      <c r="C41" s="4" t="s">
        <v>100</v>
      </c>
      <c r="D41" s="3"/>
      <c r="E41" s="3"/>
      <c r="F41" s="3"/>
      <c r="G41" s="3"/>
      <c r="H41" s="97"/>
    </row>
    <row r="42" spans="1:8" x14ac:dyDescent="0.2">
      <c r="A42" s="3"/>
      <c r="B42" s="3"/>
      <c r="C42" s="4" t="s">
        <v>97</v>
      </c>
      <c r="D42" s="3"/>
      <c r="E42" s="3" t="s">
        <v>98</v>
      </c>
      <c r="F42" s="15">
        <v>0</v>
      </c>
      <c r="G42" s="16">
        <v>0</v>
      </c>
      <c r="H42" s="97"/>
    </row>
    <row r="43" spans="1:8" x14ac:dyDescent="0.2">
      <c r="A43" s="3"/>
      <c r="B43" s="3"/>
      <c r="C43" s="13"/>
      <c r="D43" s="3"/>
      <c r="E43" s="3"/>
      <c r="F43" s="14"/>
      <c r="G43" s="14"/>
      <c r="H43" s="97"/>
    </row>
    <row r="44" spans="1:8" x14ac:dyDescent="0.2">
      <c r="A44" s="3"/>
      <c r="B44" s="3"/>
      <c r="C44" s="4" t="s">
        <v>101</v>
      </c>
      <c r="D44" s="3"/>
      <c r="E44" s="3"/>
      <c r="F44" s="3"/>
      <c r="G44" s="3"/>
      <c r="H44" s="97"/>
    </row>
    <row r="45" spans="1:8" x14ac:dyDescent="0.2">
      <c r="A45" s="3"/>
      <c r="B45" s="3"/>
      <c r="C45" s="4" t="s">
        <v>97</v>
      </c>
      <c r="D45" s="3"/>
      <c r="E45" s="3" t="s">
        <v>98</v>
      </c>
      <c r="F45" s="11">
        <v>0</v>
      </c>
      <c r="G45" s="12">
        <v>0</v>
      </c>
      <c r="H45" s="97"/>
    </row>
    <row r="46" spans="1:8" x14ac:dyDescent="0.2">
      <c r="A46" s="3"/>
      <c r="B46" s="3"/>
      <c r="C46" s="13"/>
      <c r="D46" s="3"/>
      <c r="E46" s="3"/>
      <c r="F46" s="14"/>
      <c r="G46" s="14"/>
      <c r="H46" s="97"/>
    </row>
    <row r="47" spans="1:8" x14ac:dyDescent="0.2">
      <c r="A47" s="3"/>
      <c r="B47" s="3"/>
      <c r="C47" s="4" t="s">
        <v>102</v>
      </c>
      <c r="D47" s="3"/>
      <c r="E47" s="3"/>
      <c r="F47" s="14"/>
      <c r="G47" s="14"/>
      <c r="H47" s="97"/>
    </row>
    <row r="48" spans="1:8" x14ac:dyDescent="0.2">
      <c r="A48" s="3"/>
      <c r="B48" s="3"/>
      <c r="C48" s="4" t="s">
        <v>97</v>
      </c>
      <c r="D48" s="3"/>
      <c r="E48" s="3" t="s">
        <v>98</v>
      </c>
      <c r="F48" s="15">
        <v>0</v>
      </c>
      <c r="G48" s="16">
        <v>0</v>
      </c>
      <c r="H48" s="97"/>
    </row>
    <row r="49" spans="1:8" x14ac:dyDescent="0.2">
      <c r="A49" s="3"/>
      <c r="B49" s="3"/>
      <c r="C49" s="13"/>
      <c r="D49" s="3"/>
      <c r="E49" s="3"/>
      <c r="F49" s="14"/>
      <c r="G49" s="14"/>
      <c r="H49" s="97"/>
    </row>
    <row r="50" spans="1:8" x14ac:dyDescent="0.2">
      <c r="A50" s="3"/>
      <c r="B50" s="3"/>
      <c r="C50" s="4" t="s">
        <v>103</v>
      </c>
      <c r="D50" s="3"/>
      <c r="E50" s="3"/>
      <c r="F50" s="14"/>
      <c r="G50" s="14"/>
      <c r="H50" s="97"/>
    </row>
    <row r="51" spans="1:8" x14ac:dyDescent="0.2">
      <c r="A51" s="3"/>
      <c r="B51" s="3"/>
      <c r="C51" s="4" t="s">
        <v>97</v>
      </c>
      <c r="D51" s="3"/>
      <c r="E51" s="3" t="s">
        <v>98</v>
      </c>
      <c r="F51" s="15">
        <v>0</v>
      </c>
      <c r="G51" s="16">
        <v>0</v>
      </c>
      <c r="H51" s="97"/>
    </row>
    <row r="52" spans="1:8" x14ac:dyDescent="0.2">
      <c r="A52" s="3"/>
      <c r="B52" s="3"/>
      <c r="C52" s="13"/>
      <c r="D52" s="3"/>
      <c r="E52" s="3"/>
      <c r="F52" s="14"/>
      <c r="G52" s="14"/>
      <c r="H52" s="97"/>
    </row>
    <row r="53" spans="1:8" x14ac:dyDescent="0.2">
      <c r="A53" s="3"/>
      <c r="B53" s="3"/>
      <c r="C53" s="4" t="s">
        <v>104</v>
      </c>
      <c r="D53" s="3"/>
      <c r="E53" s="3"/>
      <c r="F53" s="11">
        <v>63407.293693</v>
      </c>
      <c r="G53" s="12">
        <v>0.91135156500000003</v>
      </c>
      <c r="H53" s="97"/>
    </row>
    <row r="54" spans="1:8" x14ac:dyDescent="0.2">
      <c r="A54" s="3"/>
      <c r="B54" s="3"/>
      <c r="C54" s="13"/>
      <c r="D54" s="3"/>
      <c r="E54" s="3"/>
      <c r="F54" s="14"/>
      <c r="G54" s="14"/>
      <c r="H54" s="97"/>
    </row>
    <row r="55" spans="1:8" x14ac:dyDescent="0.2">
      <c r="A55" s="3"/>
      <c r="B55" s="3"/>
      <c r="C55" s="4" t="s">
        <v>105</v>
      </c>
      <c r="D55" s="3"/>
      <c r="E55" s="3"/>
      <c r="F55" s="14"/>
      <c r="G55" s="14"/>
      <c r="H55" s="97"/>
    </row>
    <row r="56" spans="1:8" ht="25.5" x14ac:dyDescent="0.2">
      <c r="A56" s="3"/>
      <c r="B56" s="3"/>
      <c r="C56" s="4" t="s">
        <v>10</v>
      </c>
      <c r="D56" s="3"/>
      <c r="E56" s="3"/>
      <c r="F56" s="14"/>
      <c r="G56" s="14"/>
      <c r="H56" s="97"/>
    </row>
    <row r="57" spans="1:8" x14ac:dyDescent="0.2">
      <c r="A57" s="3"/>
      <c r="B57" s="3"/>
      <c r="C57" s="4" t="s">
        <v>97</v>
      </c>
      <c r="D57" s="3"/>
      <c r="E57" s="3" t="s">
        <v>98</v>
      </c>
      <c r="F57" s="15">
        <v>0</v>
      </c>
      <c r="G57" s="16">
        <v>0</v>
      </c>
      <c r="H57" s="97"/>
    </row>
    <row r="58" spans="1:8" x14ac:dyDescent="0.2">
      <c r="A58" s="3"/>
      <c r="B58" s="3"/>
      <c r="C58" s="13"/>
      <c r="D58" s="3"/>
      <c r="E58" s="3"/>
      <c r="F58" s="14"/>
      <c r="G58" s="14"/>
      <c r="H58" s="97"/>
    </row>
    <row r="59" spans="1:8" x14ac:dyDescent="0.2">
      <c r="A59" s="3"/>
      <c r="B59" s="3"/>
      <c r="C59" s="4" t="s">
        <v>106</v>
      </c>
      <c r="D59" s="3"/>
      <c r="E59" s="3"/>
      <c r="F59" s="3"/>
      <c r="G59" s="3"/>
      <c r="H59" s="97"/>
    </row>
    <row r="60" spans="1:8" x14ac:dyDescent="0.2">
      <c r="A60" s="3"/>
      <c r="B60" s="3"/>
      <c r="C60" s="4" t="s">
        <v>97</v>
      </c>
      <c r="D60" s="3"/>
      <c r="E60" s="3" t="s">
        <v>98</v>
      </c>
      <c r="F60" s="15">
        <v>0</v>
      </c>
      <c r="G60" s="16">
        <v>0</v>
      </c>
      <c r="H60" s="97"/>
    </row>
    <row r="61" spans="1:8" x14ac:dyDescent="0.2">
      <c r="A61" s="3"/>
      <c r="B61" s="3"/>
      <c r="C61" s="13"/>
      <c r="D61" s="3"/>
      <c r="E61" s="3"/>
      <c r="F61" s="14"/>
      <c r="G61" s="14"/>
      <c r="H61" s="97"/>
    </row>
    <row r="62" spans="1:8" x14ac:dyDescent="0.2">
      <c r="A62" s="3"/>
      <c r="B62" s="3"/>
      <c r="C62" s="4" t="s">
        <v>107</v>
      </c>
      <c r="D62" s="3"/>
      <c r="E62" s="3"/>
      <c r="F62" s="3"/>
      <c r="G62" s="3"/>
      <c r="H62" s="97"/>
    </row>
    <row r="63" spans="1:8" x14ac:dyDescent="0.2">
      <c r="A63" s="3"/>
      <c r="B63" s="3"/>
      <c r="C63" s="4" t="s">
        <v>97</v>
      </c>
      <c r="D63" s="3"/>
      <c r="E63" s="3" t="s">
        <v>98</v>
      </c>
      <c r="F63" s="15">
        <v>0</v>
      </c>
      <c r="G63" s="16">
        <v>0</v>
      </c>
      <c r="H63" s="97"/>
    </row>
    <row r="64" spans="1:8" x14ac:dyDescent="0.2">
      <c r="A64" s="3"/>
      <c r="B64" s="3"/>
      <c r="C64" s="13"/>
      <c r="D64" s="3"/>
      <c r="E64" s="3"/>
      <c r="F64" s="14"/>
      <c r="G64" s="14"/>
      <c r="H64" s="97"/>
    </row>
    <row r="65" spans="1:8" x14ac:dyDescent="0.2">
      <c r="A65" s="3"/>
      <c r="B65" s="3"/>
      <c r="C65" s="4" t="s">
        <v>108</v>
      </c>
      <c r="D65" s="3"/>
      <c r="E65" s="3"/>
      <c r="F65" s="14"/>
      <c r="G65" s="14"/>
      <c r="H65" s="97"/>
    </row>
    <row r="66" spans="1:8" x14ac:dyDescent="0.2">
      <c r="A66" s="3"/>
      <c r="B66" s="3"/>
      <c r="C66" s="4" t="s">
        <v>97</v>
      </c>
      <c r="D66" s="3"/>
      <c r="E66" s="3" t="s">
        <v>98</v>
      </c>
      <c r="F66" s="15">
        <v>0</v>
      </c>
      <c r="G66" s="16">
        <v>0</v>
      </c>
      <c r="H66" s="97"/>
    </row>
    <row r="67" spans="1:8" x14ac:dyDescent="0.2">
      <c r="A67" s="3"/>
      <c r="B67" s="3"/>
      <c r="C67" s="13"/>
      <c r="D67" s="3"/>
      <c r="E67" s="3"/>
      <c r="F67" s="14"/>
      <c r="G67" s="14"/>
      <c r="H67" s="97"/>
    </row>
    <row r="68" spans="1:8" x14ac:dyDescent="0.2">
      <c r="A68" s="3"/>
      <c r="B68" s="3"/>
      <c r="C68" s="4" t="s">
        <v>109</v>
      </c>
      <c r="D68" s="3"/>
      <c r="E68" s="3"/>
      <c r="F68" s="11">
        <v>0</v>
      </c>
      <c r="G68" s="12">
        <v>0</v>
      </c>
      <c r="H68" s="97"/>
    </row>
    <row r="69" spans="1:8" x14ac:dyDescent="0.2">
      <c r="A69" s="3"/>
      <c r="B69" s="3"/>
      <c r="C69" s="13"/>
      <c r="D69" s="3"/>
      <c r="E69" s="3"/>
      <c r="F69" s="14"/>
      <c r="G69" s="14"/>
      <c r="H69" s="97"/>
    </row>
    <row r="70" spans="1:8" x14ac:dyDescent="0.2">
      <c r="A70" s="3"/>
      <c r="B70" s="3"/>
      <c r="C70" s="4" t="s">
        <v>110</v>
      </c>
      <c r="D70" s="3"/>
      <c r="E70" s="3"/>
      <c r="F70" s="14"/>
      <c r="G70" s="14"/>
      <c r="H70" s="97"/>
    </row>
    <row r="71" spans="1:8" x14ac:dyDescent="0.2">
      <c r="A71" s="3"/>
      <c r="B71" s="3"/>
      <c r="C71" s="4" t="s">
        <v>111</v>
      </c>
      <c r="D71" s="3"/>
      <c r="E71" s="3"/>
      <c r="F71" s="14"/>
      <c r="G71" s="14"/>
      <c r="H71" s="97"/>
    </row>
    <row r="72" spans="1:8" x14ac:dyDescent="0.2">
      <c r="A72" s="3"/>
      <c r="B72" s="3"/>
      <c r="C72" s="4" t="s">
        <v>97</v>
      </c>
      <c r="D72" s="3"/>
      <c r="E72" s="3" t="s">
        <v>98</v>
      </c>
      <c r="F72" s="15">
        <v>0</v>
      </c>
      <c r="G72" s="16">
        <v>0</v>
      </c>
      <c r="H72" s="97"/>
    </row>
    <row r="73" spans="1:8" x14ac:dyDescent="0.2">
      <c r="A73" s="3"/>
      <c r="B73" s="3"/>
      <c r="C73" s="13"/>
      <c r="D73" s="3"/>
      <c r="E73" s="3"/>
      <c r="F73" s="14"/>
      <c r="G73" s="14"/>
      <c r="H73" s="97"/>
    </row>
    <row r="74" spans="1:8" x14ac:dyDescent="0.2">
      <c r="A74" s="3"/>
      <c r="B74" s="3"/>
      <c r="C74" s="4" t="s">
        <v>112</v>
      </c>
      <c r="D74" s="3"/>
      <c r="E74" s="3"/>
      <c r="F74" s="14"/>
      <c r="G74" s="14"/>
      <c r="H74" s="97"/>
    </row>
    <row r="75" spans="1:8" x14ac:dyDescent="0.2">
      <c r="A75" s="3"/>
      <c r="B75" s="3"/>
      <c r="C75" s="4" t="s">
        <v>97</v>
      </c>
      <c r="D75" s="3"/>
      <c r="E75" s="3" t="s">
        <v>98</v>
      </c>
      <c r="F75" s="15">
        <v>0</v>
      </c>
      <c r="G75" s="16">
        <v>0</v>
      </c>
      <c r="H75" s="97"/>
    </row>
    <row r="76" spans="1:8" x14ac:dyDescent="0.2">
      <c r="A76" s="3"/>
      <c r="B76" s="3"/>
      <c r="C76" s="13"/>
      <c r="D76" s="3"/>
      <c r="E76" s="3"/>
      <c r="F76" s="14"/>
      <c r="G76" s="14"/>
      <c r="H76" s="97"/>
    </row>
    <row r="77" spans="1:8" x14ac:dyDescent="0.2">
      <c r="A77" s="3"/>
      <c r="B77" s="3"/>
      <c r="C77" s="4" t="s">
        <v>113</v>
      </c>
      <c r="D77" s="3"/>
      <c r="E77" s="3"/>
      <c r="F77" s="14"/>
      <c r="G77" s="14"/>
      <c r="H77" s="97"/>
    </row>
    <row r="78" spans="1:8" ht="15" x14ac:dyDescent="0.25">
      <c r="A78" s="5">
        <v>1</v>
      </c>
      <c r="B78" s="6" t="s">
        <v>504</v>
      </c>
      <c r="C78" s="6" t="s">
        <v>505</v>
      </c>
      <c r="D78" s="6" t="s">
        <v>506</v>
      </c>
      <c r="E78" s="7">
        <v>30000</v>
      </c>
      <c r="F78" s="8">
        <v>29.986650000000001</v>
      </c>
      <c r="G78" s="9">
        <v>4.3099700000000002E-4</v>
      </c>
      <c r="H78" s="88">
        <v>3.25</v>
      </c>
    </row>
    <row r="79" spans="1:8" x14ac:dyDescent="0.2">
      <c r="A79" s="3"/>
      <c r="B79" s="3"/>
      <c r="C79" s="4" t="s">
        <v>97</v>
      </c>
      <c r="D79" s="3"/>
      <c r="E79" s="3" t="s">
        <v>98</v>
      </c>
      <c r="F79" s="11">
        <v>29.986650000000001</v>
      </c>
      <c r="G79" s="12">
        <v>4.3099700000000002E-4</v>
      </c>
      <c r="H79" s="97"/>
    </row>
    <row r="80" spans="1:8" x14ac:dyDescent="0.2">
      <c r="A80" s="3"/>
      <c r="B80" s="3"/>
      <c r="C80" s="13"/>
      <c r="D80" s="3"/>
      <c r="E80" s="3"/>
      <c r="F80" s="14"/>
      <c r="G80" s="14"/>
      <c r="H80" s="97"/>
    </row>
    <row r="81" spans="1:8" x14ac:dyDescent="0.2">
      <c r="A81" s="3"/>
      <c r="B81" s="3"/>
      <c r="C81" s="4" t="s">
        <v>114</v>
      </c>
      <c r="D81" s="3"/>
      <c r="E81" s="3"/>
      <c r="F81" s="14"/>
      <c r="G81" s="14"/>
      <c r="H81" s="97"/>
    </row>
    <row r="82" spans="1:8" x14ac:dyDescent="0.2">
      <c r="A82" s="3"/>
      <c r="B82" s="3"/>
      <c r="C82" s="4" t="s">
        <v>97</v>
      </c>
      <c r="D82" s="3"/>
      <c r="E82" s="3" t="s">
        <v>98</v>
      </c>
      <c r="F82" s="15">
        <v>0</v>
      </c>
      <c r="G82" s="16">
        <v>0</v>
      </c>
      <c r="H82" s="97"/>
    </row>
    <row r="83" spans="1:8" x14ac:dyDescent="0.2">
      <c r="A83" s="3"/>
      <c r="B83" s="3"/>
      <c r="C83" s="13"/>
      <c r="D83" s="3"/>
      <c r="E83" s="3"/>
      <c r="F83" s="14"/>
      <c r="G83" s="14"/>
      <c r="H83" s="97"/>
    </row>
    <row r="84" spans="1:8" x14ac:dyDescent="0.2">
      <c r="A84" s="3"/>
      <c r="B84" s="3"/>
      <c r="C84" s="4" t="s">
        <v>117</v>
      </c>
      <c r="D84" s="3"/>
      <c r="E84" s="3"/>
      <c r="F84" s="11">
        <v>29.986650000000001</v>
      </c>
      <c r="G84" s="12">
        <v>4.3099700000000002E-4</v>
      </c>
      <c r="H84" s="97"/>
    </row>
    <row r="85" spans="1:8" x14ac:dyDescent="0.2">
      <c r="A85" s="3"/>
      <c r="B85" s="3"/>
      <c r="C85" s="14"/>
      <c r="D85" s="3"/>
      <c r="E85" s="3"/>
      <c r="F85" s="3"/>
      <c r="G85" s="3"/>
      <c r="H85" s="97"/>
    </row>
    <row r="86" spans="1:8" x14ac:dyDescent="0.2">
      <c r="A86" s="3"/>
      <c r="B86" s="3"/>
      <c r="C86" s="4" t="s">
        <v>118</v>
      </c>
      <c r="D86" s="3"/>
      <c r="E86" s="3"/>
      <c r="F86" s="3"/>
      <c r="G86" s="3"/>
      <c r="H86" s="97"/>
    </row>
    <row r="87" spans="1:8" x14ac:dyDescent="0.2">
      <c r="A87" s="3"/>
      <c r="B87" s="3"/>
      <c r="C87" s="4" t="s">
        <v>119</v>
      </c>
      <c r="D87" s="3"/>
      <c r="E87" s="3"/>
      <c r="F87" s="3"/>
      <c r="G87" s="3"/>
      <c r="H87" s="97"/>
    </row>
    <row r="88" spans="1:8" x14ac:dyDescent="0.2">
      <c r="A88" s="3"/>
      <c r="B88" s="3"/>
      <c r="C88" s="4" t="s">
        <v>97</v>
      </c>
      <c r="D88" s="3"/>
      <c r="E88" s="3" t="s">
        <v>98</v>
      </c>
      <c r="F88" s="15">
        <v>0</v>
      </c>
      <c r="G88" s="16">
        <v>0</v>
      </c>
      <c r="H88" s="97"/>
    </row>
    <row r="89" spans="1:8" x14ac:dyDescent="0.2">
      <c r="A89" s="3"/>
      <c r="B89" s="3"/>
      <c r="C89" s="13"/>
      <c r="D89" s="3"/>
      <c r="E89" s="3"/>
      <c r="F89" s="14"/>
      <c r="G89" s="14"/>
      <c r="H89" s="97"/>
    </row>
    <row r="90" spans="1:8" x14ac:dyDescent="0.2">
      <c r="A90" s="3"/>
      <c r="B90" s="3"/>
      <c r="C90" s="4" t="s">
        <v>120</v>
      </c>
      <c r="D90" s="3"/>
      <c r="E90" s="3"/>
      <c r="F90" s="3"/>
      <c r="G90" s="3"/>
      <c r="H90" s="97"/>
    </row>
    <row r="91" spans="1:8" x14ac:dyDescent="0.2">
      <c r="A91" s="3"/>
      <c r="B91" s="3"/>
      <c r="C91" s="4" t="s">
        <v>121</v>
      </c>
      <c r="D91" s="3"/>
      <c r="E91" s="3"/>
      <c r="F91" s="3"/>
      <c r="G91" s="3"/>
      <c r="H91" s="97"/>
    </row>
    <row r="92" spans="1:8" x14ac:dyDescent="0.2">
      <c r="A92" s="3"/>
      <c r="B92" s="3"/>
      <c r="C92" s="4" t="s">
        <v>97</v>
      </c>
      <c r="D92" s="3"/>
      <c r="E92" s="3" t="s">
        <v>98</v>
      </c>
      <c r="F92" s="15">
        <v>0</v>
      </c>
      <c r="G92" s="16">
        <v>0</v>
      </c>
      <c r="H92" s="97"/>
    </row>
    <row r="93" spans="1:8" x14ac:dyDescent="0.2">
      <c r="A93" s="3"/>
      <c r="B93" s="3"/>
      <c r="C93" s="13"/>
      <c r="D93" s="3"/>
      <c r="E93" s="3"/>
      <c r="F93" s="14"/>
      <c r="G93" s="14"/>
      <c r="H93" s="97"/>
    </row>
    <row r="94" spans="1:8" x14ac:dyDescent="0.2">
      <c r="A94" s="3"/>
      <c r="B94" s="3"/>
      <c r="C94" s="13"/>
      <c r="D94" s="3"/>
      <c r="E94" s="3"/>
      <c r="F94" s="14"/>
      <c r="G94" s="14"/>
      <c r="H94" s="97"/>
    </row>
    <row r="95" spans="1:8" ht="25.5" x14ac:dyDescent="0.2">
      <c r="A95" s="3"/>
      <c r="B95" s="3"/>
      <c r="C95" s="4" t="s">
        <v>122</v>
      </c>
      <c r="D95" s="3"/>
      <c r="E95" s="3"/>
      <c r="F95" s="14"/>
      <c r="G95" s="14"/>
      <c r="H95" s="97"/>
    </row>
    <row r="96" spans="1:8" x14ac:dyDescent="0.2">
      <c r="A96" s="3"/>
      <c r="B96" s="3"/>
      <c r="C96" s="4" t="s">
        <v>97</v>
      </c>
      <c r="D96" s="3"/>
      <c r="E96" s="3" t="s">
        <v>98</v>
      </c>
      <c r="F96" s="15">
        <v>0</v>
      </c>
      <c r="G96" s="16">
        <v>0</v>
      </c>
      <c r="H96" s="97"/>
    </row>
    <row r="97" spans="1:15" x14ac:dyDescent="0.2">
      <c r="A97" s="3"/>
      <c r="B97" s="3"/>
      <c r="C97" s="13"/>
      <c r="D97" s="3"/>
      <c r="E97" s="3"/>
      <c r="F97" s="14"/>
      <c r="G97" s="14"/>
      <c r="H97" s="97"/>
    </row>
    <row r="98" spans="1:15" x14ac:dyDescent="0.2">
      <c r="A98" s="3"/>
      <c r="B98" s="6"/>
      <c r="C98" s="6"/>
      <c r="D98" s="4"/>
      <c r="E98" s="3"/>
      <c r="F98" s="6"/>
      <c r="G98" s="10"/>
      <c r="H98" s="97"/>
    </row>
    <row r="99" spans="1:15" x14ac:dyDescent="0.2">
      <c r="A99" s="10"/>
      <c r="B99" s="6"/>
      <c r="C99" s="6" t="s">
        <v>1016</v>
      </c>
      <c r="D99" s="6"/>
      <c r="E99" s="10"/>
      <c r="F99" s="8">
        <v>6137.7290544899997</v>
      </c>
      <c r="G99" s="9">
        <v>8.8217437999999995E-2</v>
      </c>
      <c r="H99" s="97"/>
    </row>
    <row r="100" spans="1:15" x14ac:dyDescent="0.2">
      <c r="A100" s="13"/>
      <c r="B100" s="13"/>
      <c r="C100" s="4" t="s">
        <v>124</v>
      </c>
      <c r="D100" s="17"/>
      <c r="E100" s="17"/>
      <c r="F100" s="11">
        <v>69575.009397489994</v>
      </c>
      <c r="G100" s="12">
        <v>1</v>
      </c>
      <c r="H100" s="97"/>
    </row>
    <row r="101" spans="1:15" ht="14.1" customHeight="1" x14ac:dyDescent="0.2">
      <c r="A101" s="18"/>
      <c r="B101" s="18"/>
      <c r="C101" s="18"/>
      <c r="D101" s="19"/>
      <c r="E101" s="19"/>
      <c r="F101" s="19"/>
      <c r="G101" s="19"/>
    </row>
    <row r="102" spans="1:15" s="69" customFormat="1" ht="17.100000000000001" customHeight="1" x14ac:dyDescent="0.2">
      <c r="A102" s="94"/>
      <c r="B102" s="234" t="s">
        <v>1018</v>
      </c>
      <c r="C102" s="234"/>
      <c r="D102" s="234"/>
      <c r="E102" s="234"/>
      <c r="F102" s="234"/>
      <c r="G102" s="95"/>
      <c r="H102"/>
      <c r="I102"/>
      <c r="J102"/>
      <c r="K102"/>
      <c r="L102"/>
      <c r="M102"/>
      <c r="N102"/>
      <c r="O102"/>
    </row>
    <row r="103" spans="1:15" ht="14.1" customHeight="1" x14ac:dyDescent="0.2">
      <c r="A103" s="20"/>
      <c r="B103" s="20"/>
      <c r="C103" s="20"/>
      <c r="D103" s="22"/>
      <c r="E103" s="22"/>
      <c r="F103" s="22"/>
      <c r="G103" s="22"/>
    </row>
    <row r="104" spans="1:15" ht="14.1" customHeight="1" x14ac:dyDescent="0.2">
      <c r="A104" s="20"/>
      <c r="B104" s="224" t="s">
        <v>126</v>
      </c>
      <c r="C104" s="225"/>
      <c r="D104" s="14" t="s">
        <v>98</v>
      </c>
      <c r="E104" s="23"/>
      <c r="F104" s="22"/>
      <c r="G104" s="22"/>
    </row>
    <row r="105" spans="1:15" ht="29.1" customHeight="1" x14ac:dyDescent="0.2">
      <c r="A105" s="20"/>
      <c r="B105" s="231" t="s">
        <v>127</v>
      </c>
      <c r="C105" s="232"/>
      <c r="D105" s="4" t="s">
        <v>128</v>
      </c>
      <c r="E105" s="23"/>
      <c r="F105" s="22"/>
      <c r="G105" s="22"/>
    </row>
    <row r="106" spans="1:15" ht="17.100000000000001" customHeight="1" x14ac:dyDescent="0.2">
      <c r="A106" s="20"/>
      <c r="B106" s="231" t="s">
        <v>129</v>
      </c>
      <c r="C106" s="232"/>
      <c r="D106" s="4" t="s">
        <v>128</v>
      </c>
      <c r="E106" s="23"/>
      <c r="F106" s="22"/>
      <c r="G106" s="22"/>
    </row>
    <row r="107" spans="1:15" ht="17.100000000000001" customHeight="1" x14ac:dyDescent="0.2">
      <c r="A107" s="20"/>
      <c r="B107" s="231" t="s">
        <v>130</v>
      </c>
      <c r="C107" s="232"/>
      <c r="D107" s="14" t="s">
        <v>98</v>
      </c>
      <c r="E107" s="23"/>
      <c r="F107" s="22"/>
      <c r="G107" s="22"/>
    </row>
    <row r="108" spans="1:15" ht="24" customHeight="1" x14ac:dyDescent="0.2">
      <c r="A108" s="24"/>
      <c r="B108" s="25" t="s">
        <v>98</v>
      </c>
      <c r="C108" s="25" t="s">
        <v>131</v>
      </c>
      <c r="D108" s="25" t="s">
        <v>132</v>
      </c>
      <c r="E108" s="24"/>
      <c r="F108" s="24"/>
      <c r="G108" s="24"/>
    </row>
    <row r="109" spans="1:15" ht="18" customHeight="1" x14ac:dyDescent="0.2">
      <c r="A109" s="24"/>
      <c r="B109" s="25" t="s">
        <v>133</v>
      </c>
      <c r="C109" s="25" t="s">
        <v>134</v>
      </c>
      <c r="D109" s="25" t="s">
        <v>135</v>
      </c>
      <c r="E109" s="24"/>
      <c r="F109" s="24"/>
      <c r="G109" s="24"/>
    </row>
    <row r="110" spans="1:15" ht="17.100000000000001" customHeight="1" x14ac:dyDescent="0.2">
      <c r="A110" s="24"/>
      <c r="B110" s="6" t="s">
        <v>136</v>
      </c>
      <c r="C110" s="86">
        <v>115.73</v>
      </c>
      <c r="D110" s="26">
        <v>117.76260000000001</v>
      </c>
      <c r="E110" s="24"/>
      <c r="F110" s="21"/>
      <c r="G110" s="27"/>
    </row>
    <row r="111" spans="1:15" ht="29.1" customHeight="1" x14ac:dyDescent="0.2">
      <c r="A111" s="24"/>
      <c r="B111" s="6" t="s">
        <v>1205</v>
      </c>
      <c r="C111" s="86">
        <v>39.42</v>
      </c>
      <c r="D111" s="26">
        <v>38.6265</v>
      </c>
      <c r="E111" s="24"/>
      <c r="F111" s="21"/>
      <c r="G111" s="27"/>
    </row>
    <row r="112" spans="1:15" ht="17.100000000000001" customHeight="1" x14ac:dyDescent="0.2">
      <c r="A112" s="24"/>
      <c r="B112" s="6" t="s">
        <v>137</v>
      </c>
      <c r="C112" s="86">
        <v>108.51</v>
      </c>
      <c r="D112" s="26">
        <v>110.328</v>
      </c>
      <c r="E112" s="24"/>
      <c r="F112" s="21"/>
      <c r="G112" s="27"/>
    </row>
    <row r="113" spans="1:15" ht="29.1" customHeight="1" x14ac:dyDescent="0.2">
      <c r="A113" s="24"/>
      <c r="B113" s="6" t="s">
        <v>1206</v>
      </c>
      <c r="C113" s="86">
        <v>37.64</v>
      </c>
      <c r="D113" s="26">
        <v>36.848500000000001</v>
      </c>
      <c r="E113" s="24"/>
      <c r="F113" s="21"/>
      <c r="G113" s="27"/>
    </row>
    <row r="114" spans="1:15" ht="14.1" customHeight="1" x14ac:dyDescent="0.2">
      <c r="A114" s="24"/>
      <c r="B114" s="24"/>
      <c r="C114" s="24"/>
      <c r="D114" s="24"/>
      <c r="E114" s="24"/>
      <c r="F114" s="24"/>
      <c r="G114" s="24"/>
    </row>
    <row r="115" spans="1:15" ht="17.100000000000001" customHeight="1" x14ac:dyDescent="0.2">
      <c r="A115" s="24"/>
      <c r="B115" s="231" t="s">
        <v>1203</v>
      </c>
      <c r="C115" s="232"/>
      <c r="D115" s="4" t="s">
        <v>98</v>
      </c>
      <c r="E115" s="24"/>
      <c r="F115" s="24"/>
      <c r="G115" s="24"/>
    </row>
    <row r="116" spans="1:15" ht="18" customHeight="1" x14ac:dyDescent="0.2">
      <c r="A116" s="24"/>
      <c r="B116" s="59" t="s">
        <v>133</v>
      </c>
      <c r="C116" s="60" t="s">
        <v>1019</v>
      </c>
      <c r="D116" s="60" t="s">
        <v>1020</v>
      </c>
      <c r="E116" s="24"/>
      <c r="F116" s="24"/>
      <c r="G116" s="24"/>
    </row>
    <row r="117" spans="1:15" ht="25.5" x14ac:dyDescent="0.2">
      <c r="A117" s="24"/>
      <c r="B117" s="6" t="s">
        <v>1062</v>
      </c>
      <c r="C117" s="85">
        <v>1.4262999999999999</v>
      </c>
      <c r="D117" s="85">
        <v>1.4262999999999999</v>
      </c>
      <c r="E117" s="24"/>
      <c r="F117" s="21"/>
      <c r="G117" s="27"/>
    </row>
    <row r="118" spans="1:15" ht="25.5" x14ac:dyDescent="0.2">
      <c r="A118" s="24"/>
      <c r="B118" s="6" t="s">
        <v>1063</v>
      </c>
      <c r="C118" s="85">
        <v>1.3614999999999999</v>
      </c>
      <c r="D118" s="85">
        <v>1.3614999999999999</v>
      </c>
      <c r="E118" s="24"/>
      <c r="F118" s="21"/>
      <c r="G118" s="27"/>
    </row>
    <row r="119" spans="1:15" ht="18" customHeight="1" x14ac:dyDescent="0.2">
      <c r="A119" s="24"/>
      <c r="B119" s="28"/>
      <c r="C119" s="28"/>
      <c r="D119" s="29"/>
      <c r="E119" s="24"/>
      <c r="F119" s="24"/>
      <c r="G119" s="24"/>
    </row>
    <row r="120" spans="1:15" s="87" customFormat="1" x14ac:dyDescent="0.2">
      <c r="B120" s="233" t="s">
        <v>1207</v>
      </c>
      <c r="C120" s="233"/>
      <c r="D120" s="233"/>
      <c r="E120" s="233"/>
      <c r="F120" s="233"/>
      <c r="I120"/>
      <c r="J120"/>
      <c r="K120"/>
      <c r="L120"/>
      <c r="M120"/>
      <c r="N120"/>
      <c r="O120"/>
    </row>
    <row r="121" spans="1:15" ht="14.1" customHeight="1" x14ac:dyDescent="0.2">
      <c r="A121" s="24"/>
      <c r="B121" s="21"/>
      <c r="C121" s="21"/>
      <c r="D121" s="24"/>
      <c r="E121" s="24"/>
      <c r="F121" s="24"/>
      <c r="G121" s="24"/>
      <c r="I121" s="87"/>
      <c r="J121" s="87"/>
      <c r="K121" s="87"/>
      <c r="L121" s="87"/>
      <c r="M121" s="87"/>
      <c r="N121" s="87"/>
      <c r="O121" s="87"/>
    </row>
    <row r="122" spans="1:15" ht="29.1" customHeight="1" x14ac:dyDescent="0.2">
      <c r="A122" s="24"/>
      <c r="B122" s="231" t="s">
        <v>138</v>
      </c>
      <c r="C122" s="232"/>
      <c r="D122" s="4" t="s">
        <v>128</v>
      </c>
      <c r="E122" s="24"/>
      <c r="F122" s="24"/>
      <c r="G122" s="24"/>
    </row>
    <row r="123" spans="1:15" ht="29.1" customHeight="1" x14ac:dyDescent="0.2">
      <c r="A123" s="24"/>
      <c r="B123" s="231" t="s">
        <v>139</v>
      </c>
      <c r="C123" s="232"/>
      <c r="D123" s="4" t="s">
        <v>128</v>
      </c>
      <c r="E123" s="24"/>
      <c r="F123" s="24"/>
      <c r="G123" s="24"/>
    </row>
    <row r="124" spans="1:15" ht="17.100000000000001" customHeight="1" x14ac:dyDescent="0.2">
      <c r="A124" s="24"/>
      <c r="B124" s="231" t="s">
        <v>140</v>
      </c>
      <c r="C124" s="232"/>
      <c r="D124" s="30">
        <v>0.47151855749989829</v>
      </c>
      <c r="E124" s="24"/>
      <c r="F124" s="21"/>
      <c r="G124" s="27"/>
    </row>
    <row r="125" spans="1:15" ht="17.100000000000001" customHeight="1" x14ac:dyDescent="0.2">
      <c r="A125" s="24"/>
      <c r="B125" s="231" t="s">
        <v>141</v>
      </c>
      <c r="C125" s="232"/>
      <c r="D125" s="4" t="s">
        <v>128</v>
      </c>
      <c r="E125" s="24"/>
      <c r="F125" s="24"/>
      <c r="G125" s="24"/>
    </row>
  </sheetData>
  <mergeCells count="15">
    <mergeCell ref="B124:C124"/>
    <mergeCell ref="B125:C125"/>
    <mergeCell ref="B105:C105"/>
    <mergeCell ref="B106:C106"/>
    <mergeCell ref="B107:C107"/>
    <mergeCell ref="B115:C115"/>
    <mergeCell ref="B122:C122"/>
    <mergeCell ref="B123:C123"/>
    <mergeCell ref="B120:F120"/>
    <mergeCell ref="J2:N2"/>
    <mergeCell ref="B104:C104"/>
    <mergeCell ref="B102:F102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heet50">
    <outlinePr summaryBelow="0" summaryRight="0"/>
  </sheetPr>
  <dimension ref="A1:Q224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5" ht="15" x14ac:dyDescent="0.2">
      <c r="A1" s="227" t="s">
        <v>0</v>
      </c>
      <c r="B1" s="227"/>
      <c r="C1" s="227"/>
      <c r="D1" s="227"/>
      <c r="E1" s="227"/>
      <c r="F1" s="227"/>
      <c r="G1" s="227"/>
      <c r="H1" s="227"/>
    </row>
    <row r="2" spans="1:15" s="87" customFormat="1" ht="15" x14ac:dyDescent="0.2">
      <c r="A2" s="228" t="s">
        <v>1260</v>
      </c>
      <c r="B2" s="229"/>
      <c r="C2" s="229"/>
      <c r="D2" s="229"/>
      <c r="E2" s="229"/>
      <c r="F2" s="229"/>
      <c r="G2" s="229"/>
      <c r="H2" s="230"/>
      <c r="I2"/>
      <c r="J2" s="223" t="s">
        <v>1238</v>
      </c>
      <c r="K2" s="223"/>
      <c r="L2" s="223"/>
      <c r="M2" s="223"/>
      <c r="N2" s="223"/>
      <c r="O2"/>
    </row>
    <row r="3" spans="1:15" ht="15" x14ac:dyDescent="0.2">
      <c r="A3" s="227" t="s">
        <v>1208</v>
      </c>
      <c r="B3" s="227"/>
      <c r="C3" s="227"/>
      <c r="D3" s="227"/>
      <c r="E3" s="227"/>
      <c r="F3" s="227"/>
      <c r="G3" s="227"/>
      <c r="H3" s="227"/>
    </row>
    <row r="4" spans="1:15" s="113" customFormat="1" ht="30" x14ac:dyDescent="0.2">
      <c r="A4" s="1" t="s">
        <v>2</v>
      </c>
      <c r="B4" s="1" t="s">
        <v>3</v>
      </c>
      <c r="C4" s="1" t="s">
        <v>4</v>
      </c>
      <c r="D4" s="1" t="s">
        <v>5</v>
      </c>
      <c r="E4" s="2" t="s">
        <v>6</v>
      </c>
      <c r="F4" s="2" t="s">
        <v>7</v>
      </c>
      <c r="G4" s="2" t="s">
        <v>8</v>
      </c>
      <c r="H4" s="96" t="s">
        <v>1167</v>
      </c>
      <c r="I4" s="183"/>
      <c r="J4" s="183"/>
      <c r="K4" s="183"/>
      <c r="L4" s="183"/>
      <c r="M4" s="183"/>
      <c r="N4" s="183"/>
      <c r="O4" s="183"/>
    </row>
    <row r="5" spans="1:15" x14ac:dyDescent="0.2">
      <c r="A5" s="3"/>
      <c r="B5" s="3"/>
      <c r="C5" s="4" t="s">
        <v>9</v>
      </c>
      <c r="D5" s="3"/>
      <c r="E5" s="3"/>
      <c r="F5" s="3"/>
      <c r="G5" s="3"/>
      <c r="H5" s="97"/>
    </row>
    <row r="6" spans="1:15" ht="25.5" x14ac:dyDescent="0.2">
      <c r="A6" s="3"/>
      <c r="B6" s="3"/>
      <c r="C6" s="4" t="s">
        <v>10</v>
      </c>
      <c r="D6" s="3"/>
      <c r="E6" s="3"/>
      <c r="F6" s="3"/>
      <c r="G6" s="3"/>
      <c r="H6" s="97"/>
    </row>
    <row r="7" spans="1:15" x14ac:dyDescent="0.2">
      <c r="A7" s="5">
        <v>1</v>
      </c>
      <c r="B7" s="6" t="s">
        <v>409</v>
      </c>
      <c r="C7" s="6" t="s">
        <v>410</v>
      </c>
      <c r="D7" s="6" t="s">
        <v>147</v>
      </c>
      <c r="E7" s="7">
        <v>411812</v>
      </c>
      <c r="F7" s="8">
        <v>7773.9810300000008</v>
      </c>
      <c r="G7" s="9">
        <v>4.4324428746041609E-2</v>
      </c>
      <c r="H7" s="97"/>
    </row>
    <row r="8" spans="1:15" x14ac:dyDescent="0.2">
      <c r="A8" s="5">
        <v>2</v>
      </c>
      <c r="B8" s="6" t="s">
        <v>23</v>
      </c>
      <c r="C8" s="6" t="s">
        <v>24</v>
      </c>
      <c r="D8" s="6" t="s">
        <v>25</v>
      </c>
      <c r="E8" s="7">
        <v>993969</v>
      </c>
      <c r="F8" s="8">
        <v>7356.8615535000008</v>
      </c>
      <c r="G8" s="9">
        <v>4.1946164322271794E-2</v>
      </c>
      <c r="H8" s="97"/>
    </row>
    <row r="9" spans="1:15" x14ac:dyDescent="0.2">
      <c r="A9" s="5">
        <v>3</v>
      </c>
      <c r="B9" s="6" t="s">
        <v>411</v>
      </c>
      <c r="C9" s="6" t="s">
        <v>412</v>
      </c>
      <c r="D9" s="6" t="s">
        <v>25</v>
      </c>
      <c r="E9" s="7">
        <v>438083</v>
      </c>
      <c r="F9" s="8">
        <v>6480.9999019999996</v>
      </c>
      <c r="G9" s="9">
        <v>3.6952317898735806E-2</v>
      </c>
      <c r="H9" s="97"/>
    </row>
    <row r="10" spans="1:15" x14ac:dyDescent="0.2">
      <c r="A10" s="5">
        <v>4</v>
      </c>
      <c r="B10" s="6" t="s">
        <v>14</v>
      </c>
      <c r="C10" s="6" t="s">
        <v>15</v>
      </c>
      <c r="D10" s="6" t="s">
        <v>16</v>
      </c>
      <c r="E10" s="7">
        <v>253356</v>
      </c>
      <c r="F10" s="8">
        <v>5999.8501139999998</v>
      </c>
      <c r="G10" s="9">
        <v>3.4208975792281111E-2</v>
      </c>
      <c r="H10" s="97"/>
    </row>
    <row r="11" spans="1:15" ht="25.5" x14ac:dyDescent="0.2">
      <c r="A11" s="5">
        <v>5</v>
      </c>
      <c r="B11" s="6" t="s">
        <v>413</v>
      </c>
      <c r="C11" s="6" t="s">
        <v>414</v>
      </c>
      <c r="D11" s="6" t="s">
        <v>81</v>
      </c>
      <c r="E11" s="7">
        <v>170060</v>
      </c>
      <c r="F11" s="8">
        <v>4398.5168699999995</v>
      </c>
      <c r="G11" s="9">
        <v>2.5078752680282385E-2</v>
      </c>
      <c r="H11" s="97"/>
    </row>
    <row r="12" spans="1:15" x14ac:dyDescent="0.2">
      <c r="A12" s="5">
        <v>6</v>
      </c>
      <c r="B12" s="6" t="s">
        <v>415</v>
      </c>
      <c r="C12" s="6" t="s">
        <v>416</v>
      </c>
      <c r="D12" s="6" t="s">
        <v>25</v>
      </c>
      <c r="E12" s="7">
        <v>816045</v>
      </c>
      <c r="F12" s="8">
        <v>3757.4792024999997</v>
      </c>
      <c r="G12" s="9">
        <v>2.1423787700694259E-2</v>
      </c>
      <c r="H12" s="97"/>
    </row>
    <row r="13" spans="1:15" x14ac:dyDescent="0.2">
      <c r="A13" s="5">
        <v>7</v>
      </c>
      <c r="B13" s="6" t="s">
        <v>263</v>
      </c>
      <c r="C13" s="6" t="s">
        <v>264</v>
      </c>
      <c r="D13" s="6" t="s">
        <v>147</v>
      </c>
      <c r="E13" s="7">
        <v>566505</v>
      </c>
      <c r="F13" s="8">
        <v>3472.3923974999998</v>
      </c>
      <c r="G13" s="9">
        <v>1.9798325826540553E-2</v>
      </c>
      <c r="H13" s="97"/>
    </row>
    <row r="14" spans="1:15" x14ac:dyDescent="0.2">
      <c r="A14" s="5">
        <v>8</v>
      </c>
      <c r="B14" s="6" t="s">
        <v>315</v>
      </c>
      <c r="C14" s="6" t="s">
        <v>316</v>
      </c>
      <c r="D14" s="6" t="s">
        <v>25</v>
      </c>
      <c r="E14" s="7">
        <v>495033</v>
      </c>
      <c r="F14" s="8">
        <v>3359.0464215000002</v>
      </c>
      <c r="G14" s="9">
        <v>1.9152068057519147E-2</v>
      </c>
      <c r="H14" s="97"/>
    </row>
    <row r="15" spans="1:15" ht="15" x14ac:dyDescent="0.2">
      <c r="A15" s="5">
        <v>9</v>
      </c>
      <c r="B15" s="6" t="s">
        <v>417</v>
      </c>
      <c r="C15" s="6" t="s">
        <v>418</v>
      </c>
      <c r="D15" s="6" t="s">
        <v>147</v>
      </c>
      <c r="E15" s="7">
        <v>84597</v>
      </c>
      <c r="F15" s="8">
        <v>3162.5319495000003</v>
      </c>
      <c r="G15" s="9">
        <v>1.8031613598199481E-2</v>
      </c>
      <c r="H15" s="97"/>
      <c r="J15" s="184" t="s">
        <v>1271</v>
      </c>
    </row>
    <row r="16" spans="1:15" x14ac:dyDescent="0.2">
      <c r="A16" s="5">
        <v>10</v>
      </c>
      <c r="B16" s="6" t="s">
        <v>307</v>
      </c>
      <c r="C16" s="6" t="s">
        <v>308</v>
      </c>
      <c r="D16" s="6" t="s">
        <v>185</v>
      </c>
      <c r="E16" s="7">
        <v>127085</v>
      </c>
      <c r="F16" s="8">
        <v>3075.584085</v>
      </c>
      <c r="G16" s="9">
        <v>1.7535868315341395E-2</v>
      </c>
      <c r="H16" s="97"/>
    </row>
    <row r="17" spans="1:10" x14ac:dyDescent="0.2">
      <c r="A17" s="5">
        <v>11</v>
      </c>
      <c r="B17" s="6" t="s">
        <v>11</v>
      </c>
      <c r="C17" s="6" t="s">
        <v>12</v>
      </c>
      <c r="D17" s="6" t="s">
        <v>13</v>
      </c>
      <c r="E17" s="7">
        <v>159697</v>
      </c>
      <c r="F17" s="8">
        <v>3027.6954230000001</v>
      </c>
      <c r="G17" s="9">
        <v>1.7262824481252922E-2</v>
      </c>
      <c r="H17" s="97"/>
    </row>
    <row r="18" spans="1:10" x14ac:dyDescent="0.2">
      <c r="A18" s="5">
        <v>12</v>
      </c>
      <c r="B18" s="6" t="s">
        <v>20</v>
      </c>
      <c r="C18" s="6" t="s">
        <v>21</v>
      </c>
      <c r="D18" s="6" t="s">
        <v>22</v>
      </c>
      <c r="E18" s="7">
        <v>431528</v>
      </c>
      <c r="F18" s="8">
        <v>2950.7884639999997</v>
      </c>
      <c r="G18" s="9">
        <v>1.6824328810744416E-2</v>
      </c>
      <c r="H18" s="97"/>
    </row>
    <row r="19" spans="1:10" x14ac:dyDescent="0.2">
      <c r="A19" s="5">
        <v>13</v>
      </c>
      <c r="B19" s="6" t="s">
        <v>359</v>
      </c>
      <c r="C19" s="6" t="s">
        <v>360</v>
      </c>
      <c r="D19" s="6" t="s">
        <v>70</v>
      </c>
      <c r="E19" s="7">
        <v>52863</v>
      </c>
      <c r="F19" s="8">
        <v>2912.5134164999999</v>
      </c>
      <c r="G19" s="9">
        <v>1.6606098330232799E-2</v>
      </c>
      <c r="H19" s="97"/>
    </row>
    <row r="20" spans="1:10" x14ac:dyDescent="0.2">
      <c r="A20" s="5">
        <v>14</v>
      </c>
      <c r="B20" s="6" t="s">
        <v>301</v>
      </c>
      <c r="C20" s="6" t="s">
        <v>302</v>
      </c>
      <c r="D20" s="6" t="s">
        <v>147</v>
      </c>
      <c r="E20" s="7">
        <v>59873</v>
      </c>
      <c r="F20" s="8">
        <v>2861.9294</v>
      </c>
      <c r="G20" s="9">
        <v>1.6317686559430878E-2</v>
      </c>
      <c r="H20" s="97"/>
    </row>
    <row r="21" spans="1:10" x14ac:dyDescent="0.2">
      <c r="A21" s="5">
        <v>15</v>
      </c>
      <c r="B21" s="6" t="s">
        <v>381</v>
      </c>
      <c r="C21" s="6" t="s">
        <v>382</v>
      </c>
      <c r="D21" s="6" t="s">
        <v>1183</v>
      </c>
      <c r="E21" s="7">
        <v>15833</v>
      </c>
      <c r="F21" s="8">
        <v>2597.5936460000003</v>
      </c>
      <c r="G21" s="9">
        <v>1.4810539674457815E-2</v>
      </c>
      <c r="H21" s="97"/>
    </row>
    <row r="22" spans="1:10" x14ac:dyDescent="0.2">
      <c r="A22" s="5">
        <v>16</v>
      </c>
      <c r="B22" s="6" t="s">
        <v>164</v>
      </c>
      <c r="C22" s="6" t="s">
        <v>165</v>
      </c>
      <c r="D22" s="6" t="s">
        <v>19</v>
      </c>
      <c r="E22" s="7">
        <v>219522</v>
      </c>
      <c r="F22" s="8">
        <v>2564.1267210000001</v>
      </c>
      <c r="G22" s="9">
        <v>1.4619723369814527E-2</v>
      </c>
      <c r="H22" s="97"/>
    </row>
    <row r="23" spans="1:10" x14ac:dyDescent="0.2">
      <c r="A23" s="5">
        <v>17</v>
      </c>
      <c r="B23" s="6" t="s">
        <v>35</v>
      </c>
      <c r="C23" s="6" t="s">
        <v>36</v>
      </c>
      <c r="D23" s="6" t="s">
        <v>19</v>
      </c>
      <c r="E23" s="7">
        <v>99783</v>
      </c>
      <c r="F23" s="8">
        <v>2461.1476950000001</v>
      </c>
      <c r="G23" s="9">
        <v>1.4032574200983359E-2</v>
      </c>
      <c r="H23" s="97"/>
    </row>
    <row r="24" spans="1:10" x14ac:dyDescent="0.2">
      <c r="A24" s="5">
        <v>18</v>
      </c>
      <c r="B24" s="6" t="s">
        <v>462</v>
      </c>
      <c r="C24" s="6" t="s">
        <v>463</v>
      </c>
      <c r="D24" s="6" t="s">
        <v>81</v>
      </c>
      <c r="E24" s="7">
        <v>35258</v>
      </c>
      <c r="F24" s="8">
        <v>2460.0564340000001</v>
      </c>
      <c r="G24" s="9">
        <v>1.402635222536351E-2</v>
      </c>
      <c r="H24" s="97"/>
    </row>
    <row r="25" spans="1:10" x14ac:dyDescent="0.2">
      <c r="A25" s="5">
        <v>19</v>
      </c>
      <c r="B25" s="6" t="s">
        <v>274</v>
      </c>
      <c r="C25" s="6" t="s">
        <v>275</v>
      </c>
      <c r="D25" s="6" t="s">
        <v>185</v>
      </c>
      <c r="E25" s="7">
        <v>58563</v>
      </c>
      <c r="F25" s="8">
        <v>2452.911255</v>
      </c>
      <c r="G25" s="9">
        <v>1.3985612998416462E-2</v>
      </c>
      <c r="H25" s="97"/>
    </row>
    <row r="26" spans="1:10" x14ac:dyDescent="0.2">
      <c r="A26" s="5">
        <v>20</v>
      </c>
      <c r="B26" s="6" t="s">
        <v>429</v>
      </c>
      <c r="C26" s="6" t="s">
        <v>430</v>
      </c>
      <c r="D26" s="6" t="s">
        <v>431</v>
      </c>
      <c r="E26" s="7">
        <v>462383</v>
      </c>
      <c r="F26" s="8">
        <v>2198.8623564999998</v>
      </c>
      <c r="G26" s="9">
        <v>1.2537118043756968E-2</v>
      </c>
      <c r="H26" s="97"/>
    </row>
    <row r="27" spans="1:10" x14ac:dyDescent="0.2">
      <c r="A27" s="5">
        <v>21</v>
      </c>
      <c r="B27" s="6" t="s">
        <v>84</v>
      </c>
      <c r="C27" s="6" t="s">
        <v>85</v>
      </c>
      <c r="D27" s="6" t="s">
        <v>53</v>
      </c>
      <c r="E27" s="7">
        <v>445720</v>
      </c>
      <c r="F27" s="8">
        <v>2185.3651599999998</v>
      </c>
      <c r="G27" s="9">
        <v>1.2460161909927095E-2</v>
      </c>
      <c r="H27" s="97"/>
    </row>
    <row r="28" spans="1:10" x14ac:dyDescent="0.2">
      <c r="A28" s="5">
        <v>22</v>
      </c>
      <c r="B28" s="6" t="s">
        <v>576</v>
      </c>
      <c r="C28" s="6" t="s">
        <v>577</v>
      </c>
      <c r="D28" s="6" t="s">
        <v>70</v>
      </c>
      <c r="E28" s="7">
        <v>573819</v>
      </c>
      <c r="F28" s="8">
        <v>2156.1248925</v>
      </c>
      <c r="G28" s="9">
        <v>1.2293444477981041E-2</v>
      </c>
      <c r="H28" s="97"/>
    </row>
    <row r="29" spans="1:10" x14ac:dyDescent="0.2">
      <c r="A29" s="5">
        <v>23</v>
      </c>
      <c r="B29" s="6" t="s">
        <v>350</v>
      </c>
      <c r="C29" s="6" t="s">
        <v>351</v>
      </c>
      <c r="D29" s="6" t="s">
        <v>25</v>
      </c>
      <c r="E29" s="7">
        <v>2591290</v>
      </c>
      <c r="F29" s="8">
        <v>2123.5621550000001</v>
      </c>
      <c r="G29" s="9">
        <v>1.2107783523506754E-2</v>
      </c>
      <c r="H29" s="97"/>
    </row>
    <row r="30" spans="1:10" x14ac:dyDescent="0.2">
      <c r="A30" s="5">
        <v>24</v>
      </c>
      <c r="B30" s="6" t="s">
        <v>468</v>
      </c>
      <c r="C30" s="6" t="s">
        <v>469</v>
      </c>
      <c r="D30" s="6" t="s">
        <v>78</v>
      </c>
      <c r="E30" s="7">
        <v>423291</v>
      </c>
      <c r="F30" s="8">
        <v>2041.955784</v>
      </c>
      <c r="G30" s="9">
        <v>1.1642493505090985E-2</v>
      </c>
      <c r="H30" s="97"/>
    </row>
    <row r="31" spans="1:10" ht="25.5" x14ac:dyDescent="0.2">
      <c r="A31" s="5">
        <v>25</v>
      </c>
      <c r="B31" s="6" t="s">
        <v>37</v>
      </c>
      <c r="C31" s="6" t="s">
        <v>38</v>
      </c>
      <c r="D31" s="6" t="s">
        <v>1185</v>
      </c>
      <c r="E31" s="7">
        <v>58907</v>
      </c>
      <c r="F31" s="8">
        <v>2002.1605695000001</v>
      </c>
      <c r="G31" s="9">
        <v>1.1415595582040781E-2</v>
      </c>
      <c r="H31" s="97"/>
      <c r="J31" s="184" t="s">
        <v>1272</v>
      </c>
    </row>
    <row r="32" spans="1:10" x14ac:dyDescent="0.2">
      <c r="A32" s="5">
        <v>26</v>
      </c>
      <c r="B32" s="6" t="s">
        <v>17</v>
      </c>
      <c r="C32" s="6" t="s">
        <v>18</v>
      </c>
      <c r="D32" s="6" t="s">
        <v>19</v>
      </c>
      <c r="E32" s="7">
        <v>100996</v>
      </c>
      <c r="F32" s="8">
        <v>1936.0933199999999</v>
      </c>
      <c r="G32" s="9">
        <v>1.1038904015440739E-2</v>
      </c>
      <c r="H32" s="97"/>
    </row>
    <row r="33" spans="1:8" x14ac:dyDescent="0.2">
      <c r="A33" s="5">
        <v>27</v>
      </c>
      <c r="B33" s="6" t="s">
        <v>434</v>
      </c>
      <c r="C33" s="6" t="s">
        <v>435</v>
      </c>
      <c r="D33" s="6" t="s">
        <v>238</v>
      </c>
      <c r="E33" s="7">
        <v>254420</v>
      </c>
      <c r="F33" s="8">
        <v>1891.73991</v>
      </c>
      <c r="G33" s="9">
        <v>1.0786016909902102E-2</v>
      </c>
      <c r="H33" s="97"/>
    </row>
    <row r="34" spans="1:8" x14ac:dyDescent="0.2">
      <c r="A34" s="5">
        <v>28</v>
      </c>
      <c r="B34" s="6" t="s">
        <v>791</v>
      </c>
      <c r="C34" s="6" t="s">
        <v>792</v>
      </c>
      <c r="D34" s="6" t="s">
        <v>147</v>
      </c>
      <c r="E34" s="7">
        <v>72056</v>
      </c>
      <c r="F34" s="8">
        <v>1882.1387480000001</v>
      </c>
      <c r="G34" s="9">
        <v>1.0731274555977399E-2</v>
      </c>
      <c r="H34" s="97"/>
    </row>
    <row r="35" spans="1:8" ht="25.5" x14ac:dyDescent="0.2">
      <c r="A35" s="5">
        <v>29</v>
      </c>
      <c r="B35" s="6" t="s">
        <v>566</v>
      </c>
      <c r="C35" s="6" t="s">
        <v>567</v>
      </c>
      <c r="D35" s="6" t="s">
        <v>1185</v>
      </c>
      <c r="E35" s="7">
        <v>130798</v>
      </c>
      <c r="F35" s="8">
        <v>1859.489767</v>
      </c>
      <c r="G35" s="9">
        <v>1.0602138256232021E-2</v>
      </c>
      <c r="H35" s="97"/>
    </row>
    <row r="36" spans="1:8" x14ac:dyDescent="0.2">
      <c r="A36" s="5">
        <v>30</v>
      </c>
      <c r="B36" s="6" t="s">
        <v>466</v>
      </c>
      <c r="C36" s="6" t="s">
        <v>467</v>
      </c>
      <c r="D36" s="6" t="s">
        <v>48</v>
      </c>
      <c r="E36" s="7">
        <v>81602</v>
      </c>
      <c r="F36" s="8">
        <v>1806.0154640000001</v>
      </c>
      <c r="G36" s="9">
        <v>1.0297247116940453E-2</v>
      </c>
      <c r="H36" s="97"/>
    </row>
    <row r="37" spans="1:8" x14ac:dyDescent="0.2">
      <c r="A37" s="5">
        <v>31</v>
      </c>
      <c r="B37" s="6" t="s">
        <v>181</v>
      </c>
      <c r="C37" s="6" t="s">
        <v>182</v>
      </c>
      <c r="D37" s="6" t="s">
        <v>1189</v>
      </c>
      <c r="E37" s="7">
        <v>210048</v>
      </c>
      <c r="F37" s="8">
        <v>1798.746048</v>
      </c>
      <c r="G37" s="9">
        <v>1.0255799535543751E-2</v>
      </c>
      <c r="H37" s="97"/>
    </row>
    <row r="38" spans="1:8" ht="25.5" x14ac:dyDescent="0.2">
      <c r="A38" s="5">
        <v>32</v>
      </c>
      <c r="B38" s="6" t="s">
        <v>365</v>
      </c>
      <c r="C38" s="6" t="s">
        <v>366</v>
      </c>
      <c r="D38" s="6" t="s">
        <v>202</v>
      </c>
      <c r="E38" s="7">
        <v>345770</v>
      </c>
      <c r="F38" s="8">
        <v>1794.5463</v>
      </c>
      <c r="G38" s="9">
        <v>1.0231854091084991E-2</v>
      </c>
      <c r="H38" s="97"/>
    </row>
    <row r="39" spans="1:8" x14ac:dyDescent="0.2">
      <c r="A39" s="5">
        <v>33</v>
      </c>
      <c r="B39" s="6" t="s">
        <v>446</v>
      </c>
      <c r="C39" s="6" t="s">
        <v>447</v>
      </c>
      <c r="D39" s="6" t="s">
        <v>81</v>
      </c>
      <c r="E39" s="7">
        <v>265000</v>
      </c>
      <c r="F39" s="8">
        <v>1728.1975</v>
      </c>
      <c r="G39" s="9">
        <v>9.8535572253431701E-3</v>
      </c>
      <c r="H39" s="97"/>
    </row>
    <row r="40" spans="1:8" x14ac:dyDescent="0.2">
      <c r="A40" s="5">
        <v>34</v>
      </c>
      <c r="B40" s="6" t="s">
        <v>82</v>
      </c>
      <c r="C40" s="6" t="s">
        <v>83</v>
      </c>
      <c r="D40" s="6" t="s">
        <v>73</v>
      </c>
      <c r="E40" s="7">
        <v>354595</v>
      </c>
      <c r="F40" s="8">
        <v>1668.0148799999999</v>
      </c>
      <c r="G40" s="9">
        <v>9.5104176882583845E-3</v>
      </c>
      <c r="H40" s="97"/>
    </row>
    <row r="41" spans="1:8" x14ac:dyDescent="0.2">
      <c r="A41" s="5">
        <v>35</v>
      </c>
      <c r="B41" s="6" t="s">
        <v>76</v>
      </c>
      <c r="C41" s="6" t="s">
        <v>77</v>
      </c>
      <c r="D41" s="6" t="s">
        <v>78</v>
      </c>
      <c r="E41" s="7">
        <v>1337312</v>
      </c>
      <c r="F41" s="8">
        <v>1637.538544</v>
      </c>
      <c r="G41" s="9">
        <v>9.3366526406901615E-3</v>
      </c>
      <c r="H41" s="97"/>
    </row>
    <row r="42" spans="1:8" x14ac:dyDescent="0.2">
      <c r="A42" s="5">
        <v>36</v>
      </c>
      <c r="B42" s="6" t="s">
        <v>191</v>
      </c>
      <c r="C42" s="6" t="s">
        <v>192</v>
      </c>
      <c r="D42" s="6" t="s">
        <v>193</v>
      </c>
      <c r="E42" s="7">
        <v>355400</v>
      </c>
      <c r="F42" s="8">
        <v>1614.5822000000001</v>
      </c>
      <c r="G42" s="9">
        <v>9.205763868261857E-3</v>
      </c>
      <c r="H42" s="97"/>
    </row>
    <row r="43" spans="1:8" x14ac:dyDescent="0.2">
      <c r="A43" s="5">
        <v>37</v>
      </c>
      <c r="B43" s="6" t="s">
        <v>470</v>
      </c>
      <c r="C43" s="6" t="s">
        <v>471</v>
      </c>
      <c r="D43" s="6" t="s">
        <v>327</v>
      </c>
      <c r="E43" s="7">
        <v>33024</v>
      </c>
      <c r="F43" s="8">
        <v>1542.699648</v>
      </c>
      <c r="G43" s="9">
        <v>8.795915549631779E-3</v>
      </c>
      <c r="H43" s="97"/>
    </row>
    <row r="44" spans="1:8" x14ac:dyDescent="0.2">
      <c r="A44" s="5">
        <v>38</v>
      </c>
      <c r="B44" s="6" t="s">
        <v>528</v>
      </c>
      <c r="C44" s="6" t="s">
        <v>529</v>
      </c>
      <c r="D44" s="6" t="s">
        <v>147</v>
      </c>
      <c r="E44" s="7">
        <v>26080</v>
      </c>
      <c r="F44" s="8">
        <v>1536.2032799999999</v>
      </c>
      <c r="G44" s="9">
        <v>8.758875608395382E-3</v>
      </c>
      <c r="H44" s="97"/>
    </row>
    <row r="45" spans="1:8" x14ac:dyDescent="0.2">
      <c r="A45" s="5">
        <v>39</v>
      </c>
      <c r="B45" s="6" t="s">
        <v>311</v>
      </c>
      <c r="C45" s="6" t="s">
        <v>312</v>
      </c>
      <c r="D45" s="6" t="s">
        <v>284</v>
      </c>
      <c r="E45" s="7">
        <v>3790</v>
      </c>
      <c r="F45" s="8">
        <v>1531.9767449999999</v>
      </c>
      <c r="G45" s="9">
        <v>8.7347774341488514E-3</v>
      </c>
      <c r="H45" s="97"/>
    </row>
    <row r="46" spans="1:8" ht="25.5" x14ac:dyDescent="0.2">
      <c r="A46" s="5">
        <v>40</v>
      </c>
      <c r="B46" s="6" t="s">
        <v>645</v>
      </c>
      <c r="C46" s="6" t="s">
        <v>646</v>
      </c>
      <c r="D46" s="6" t="s">
        <v>202</v>
      </c>
      <c r="E46" s="7">
        <v>406199</v>
      </c>
      <c r="F46" s="8">
        <v>1492.7813249999999</v>
      </c>
      <c r="G46" s="9">
        <v>8.5112993224507622E-3</v>
      </c>
      <c r="H46" s="97"/>
    </row>
    <row r="47" spans="1:8" ht="25.5" x14ac:dyDescent="0.2">
      <c r="A47" s="5">
        <v>41</v>
      </c>
      <c r="B47" s="6" t="s">
        <v>28</v>
      </c>
      <c r="C47" s="6" t="s">
        <v>29</v>
      </c>
      <c r="D47" s="6" t="s">
        <v>1185</v>
      </c>
      <c r="E47" s="7">
        <v>18940</v>
      </c>
      <c r="F47" s="8">
        <v>1437.74487</v>
      </c>
      <c r="G47" s="9">
        <v>8.1975013573324668E-3</v>
      </c>
      <c r="H47" s="97"/>
    </row>
    <row r="48" spans="1:8" x14ac:dyDescent="0.2">
      <c r="A48" s="5">
        <v>42</v>
      </c>
      <c r="B48" s="6" t="s">
        <v>371</v>
      </c>
      <c r="C48" s="6" t="s">
        <v>372</v>
      </c>
      <c r="D48" s="6" t="s">
        <v>70</v>
      </c>
      <c r="E48" s="7">
        <v>2094345</v>
      </c>
      <c r="F48" s="8">
        <v>1433.5791525</v>
      </c>
      <c r="G48" s="9">
        <v>8.1737499424792085E-3</v>
      </c>
      <c r="H48" s="97"/>
    </row>
    <row r="49" spans="1:8" ht="25.5" x14ac:dyDescent="0.2">
      <c r="A49" s="5">
        <v>43</v>
      </c>
      <c r="B49" s="6" t="s">
        <v>472</v>
      </c>
      <c r="C49" s="6" t="s">
        <v>473</v>
      </c>
      <c r="D49" s="6" t="s">
        <v>45</v>
      </c>
      <c r="E49" s="7">
        <v>86845</v>
      </c>
      <c r="F49" s="8">
        <v>1426.9501949999999</v>
      </c>
      <c r="G49" s="9">
        <v>8.1359540238584386E-3</v>
      </c>
      <c r="H49" s="97"/>
    </row>
    <row r="50" spans="1:8" x14ac:dyDescent="0.2">
      <c r="A50" s="5">
        <v>44</v>
      </c>
      <c r="B50" s="6" t="s">
        <v>216</v>
      </c>
      <c r="C50" s="6" t="s">
        <v>217</v>
      </c>
      <c r="D50" s="6" t="s">
        <v>1184</v>
      </c>
      <c r="E50" s="7">
        <v>88413</v>
      </c>
      <c r="F50" s="8">
        <v>1399.4009639999999</v>
      </c>
      <c r="G50" s="9">
        <v>7.9788782705532187E-3</v>
      </c>
      <c r="H50" s="97"/>
    </row>
    <row r="51" spans="1:8" x14ac:dyDescent="0.2">
      <c r="A51" s="5">
        <v>45</v>
      </c>
      <c r="B51" s="6" t="s">
        <v>591</v>
      </c>
      <c r="C51" s="6" t="s">
        <v>592</v>
      </c>
      <c r="D51" s="6" t="s">
        <v>53</v>
      </c>
      <c r="E51" s="7">
        <v>458712</v>
      </c>
      <c r="F51" s="8">
        <v>1375.447932</v>
      </c>
      <c r="G51" s="9">
        <v>7.8423067435532817E-3</v>
      </c>
      <c r="H51" s="97"/>
    </row>
    <row r="52" spans="1:8" x14ac:dyDescent="0.2">
      <c r="A52" s="5">
        <v>46</v>
      </c>
      <c r="B52" s="6" t="s">
        <v>589</v>
      </c>
      <c r="C52" s="6" t="s">
        <v>590</v>
      </c>
      <c r="D52" s="6" t="s">
        <v>53</v>
      </c>
      <c r="E52" s="7">
        <v>522185</v>
      </c>
      <c r="F52" s="8">
        <v>1375.1741975</v>
      </c>
      <c r="G52" s="9">
        <v>7.8407460084172209E-3</v>
      </c>
      <c r="H52" s="97"/>
    </row>
    <row r="53" spans="1:8" x14ac:dyDescent="0.2">
      <c r="A53" s="5">
        <v>47</v>
      </c>
      <c r="B53" s="6" t="s">
        <v>160</v>
      </c>
      <c r="C53" s="6" t="s">
        <v>161</v>
      </c>
      <c r="D53" s="6" t="s">
        <v>147</v>
      </c>
      <c r="E53" s="7">
        <v>125501</v>
      </c>
      <c r="F53" s="8">
        <v>1283.8752300000001</v>
      </c>
      <c r="G53" s="9">
        <v>7.3201923096206456E-3</v>
      </c>
      <c r="H53" s="97"/>
    </row>
    <row r="54" spans="1:8" x14ac:dyDescent="0.2">
      <c r="A54" s="5">
        <v>48</v>
      </c>
      <c r="B54" s="6" t="s">
        <v>90</v>
      </c>
      <c r="C54" s="6" t="s">
        <v>91</v>
      </c>
      <c r="D54" s="6" t="s">
        <v>19</v>
      </c>
      <c r="E54" s="7">
        <v>14578</v>
      </c>
      <c r="F54" s="8">
        <v>1280.5898319999999</v>
      </c>
      <c r="G54" s="9">
        <v>7.3014601582311019E-3</v>
      </c>
      <c r="H54" s="97"/>
    </row>
    <row r="55" spans="1:8" x14ac:dyDescent="0.2">
      <c r="A55" s="5">
        <v>49</v>
      </c>
      <c r="B55" s="6" t="s">
        <v>432</v>
      </c>
      <c r="C55" s="6" t="s">
        <v>433</v>
      </c>
      <c r="D55" s="6" t="s">
        <v>78</v>
      </c>
      <c r="E55" s="7">
        <v>149037</v>
      </c>
      <c r="F55" s="8">
        <v>1247.6632454999999</v>
      </c>
      <c r="G55" s="9">
        <v>7.1137246683273371E-3</v>
      </c>
      <c r="H55" s="97"/>
    </row>
    <row r="56" spans="1:8" x14ac:dyDescent="0.2">
      <c r="A56" s="5">
        <v>50</v>
      </c>
      <c r="B56" s="6" t="s">
        <v>175</v>
      </c>
      <c r="C56" s="6" t="s">
        <v>176</v>
      </c>
      <c r="D56" s="6" t="s">
        <v>16</v>
      </c>
      <c r="E56" s="7">
        <v>422965</v>
      </c>
      <c r="F56" s="8">
        <v>1236.5381775000001</v>
      </c>
      <c r="G56" s="9">
        <v>7.0502935534380775E-3</v>
      </c>
      <c r="H56" s="97"/>
    </row>
    <row r="57" spans="1:8" x14ac:dyDescent="0.2">
      <c r="A57" s="5">
        <v>51</v>
      </c>
      <c r="B57" s="6" t="s">
        <v>218</v>
      </c>
      <c r="C57" s="6" t="s">
        <v>219</v>
      </c>
      <c r="D57" s="6" t="s">
        <v>193</v>
      </c>
      <c r="E57" s="7">
        <v>69458</v>
      </c>
      <c r="F57" s="8">
        <v>1236.1440259999999</v>
      </c>
      <c r="G57" s="9">
        <v>7.0480462441110435E-3</v>
      </c>
      <c r="H57" s="97"/>
    </row>
    <row r="58" spans="1:8" x14ac:dyDescent="0.2">
      <c r="A58" s="5">
        <v>52</v>
      </c>
      <c r="B58" s="6" t="s">
        <v>336</v>
      </c>
      <c r="C58" s="6" t="s">
        <v>337</v>
      </c>
      <c r="D58" s="6" t="s">
        <v>193</v>
      </c>
      <c r="E58" s="7">
        <v>31426</v>
      </c>
      <c r="F58" s="8">
        <v>1214.473483</v>
      </c>
      <c r="G58" s="9">
        <v>6.9244886440365389E-3</v>
      </c>
      <c r="H58" s="97"/>
    </row>
    <row r="59" spans="1:8" x14ac:dyDescent="0.2">
      <c r="A59" s="5">
        <v>53</v>
      </c>
      <c r="B59" s="6" t="s">
        <v>480</v>
      </c>
      <c r="C59" s="6" t="s">
        <v>481</v>
      </c>
      <c r="D59" s="6" t="s">
        <v>70</v>
      </c>
      <c r="E59" s="7">
        <v>91831</v>
      </c>
      <c r="F59" s="8">
        <v>1206.108354</v>
      </c>
      <c r="G59" s="9">
        <v>6.8767937033258394E-3</v>
      </c>
      <c r="H59" s="97"/>
    </row>
    <row r="60" spans="1:8" x14ac:dyDescent="0.2">
      <c r="A60" s="5">
        <v>54</v>
      </c>
      <c r="B60" s="6" t="s">
        <v>373</v>
      </c>
      <c r="C60" s="6" t="s">
        <v>374</v>
      </c>
      <c r="D60" s="6" t="s">
        <v>213</v>
      </c>
      <c r="E60" s="7">
        <v>158937</v>
      </c>
      <c r="F60" s="8">
        <v>1201.6431885</v>
      </c>
      <c r="G60" s="9">
        <v>6.8513349442575746E-3</v>
      </c>
      <c r="H60" s="97"/>
    </row>
    <row r="61" spans="1:8" x14ac:dyDescent="0.2">
      <c r="A61" s="5">
        <v>55</v>
      </c>
      <c r="B61" s="6" t="s">
        <v>419</v>
      </c>
      <c r="C61" s="6" t="s">
        <v>420</v>
      </c>
      <c r="D61" s="6" t="s">
        <v>1183</v>
      </c>
      <c r="E61" s="7">
        <v>100100</v>
      </c>
      <c r="F61" s="8">
        <v>1197.1959999999999</v>
      </c>
      <c r="G61" s="9">
        <v>6.82597868354279E-3</v>
      </c>
      <c r="H61" s="97"/>
    </row>
    <row r="62" spans="1:8" x14ac:dyDescent="0.2">
      <c r="A62" s="5">
        <v>56</v>
      </c>
      <c r="B62" s="6" t="s">
        <v>230</v>
      </c>
      <c r="C62" s="6" t="s">
        <v>231</v>
      </c>
      <c r="D62" s="6" t="s">
        <v>60</v>
      </c>
      <c r="E62" s="7">
        <v>141941</v>
      </c>
      <c r="F62" s="8">
        <v>1190.6011080000001</v>
      </c>
      <c r="G62" s="9">
        <v>6.7883769940848687E-3</v>
      </c>
      <c r="H62" s="97"/>
    </row>
    <row r="63" spans="1:8" x14ac:dyDescent="0.2">
      <c r="A63" s="5">
        <v>57</v>
      </c>
      <c r="B63" s="6" t="s">
        <v>68</v>
      </c>
      <c r="C63" s="6" t="s">
        <v>69</v>
      </c>
      <c r="D63" s="6" t="s">
        <v>70</v>
      </c>
      <c r="E63" s="7">
        <v>35850</v>
      </c>
      <c r="F63" s="8">
        <v>1188.8577</v>
      </c>
      <c r="G63" s="9">
        <v>6.7784367120886724E-3</v>
      </c>
      <c r="H63" s="97"/>
    </row>
    <row r="64" spans="1:8" x14ac:dyDescent="0.2">
      <c r="A64" s="5">
        <v>58</v>
      </c>
      <c r="B64" s="6" t="s">
        <v>186</v>
      </c>
      <c r="C64" s="6" t="s">
        <v>187</v>
      </c>
      <c r="D64" s="6" t="s">
        <v>19</v>
      </c>
      <c r="E64" s="7">
        <v>59539</v>
      </c>
      <c r="F64" s="8">
        <v>1183.7246285000001</v>
      </c>
      <c r="G64" s="9">
        <v>6.749169794524547E-3</v>
      </c>
      <c r="H64" s="97"/>
    </row>
    <row r="65" spans="1:8" x14ac:dyDescent="0.2">
      <c r="A65" s="5">
        <v>59</v>
      </c>
      <c r="B65" s="6" t="s">
        <v>427</v>
      </c>
      <c r="C65" s="6" t="s">
        <v>428</v>
      </c>
      <c r="D65" s="6" t="s">
        <v>147</v>
      </c>
      <c r="E65" s="7">
        <v>65425</v>
      </c>
      <c r="F65" s="8">
        <v>1171.4673375</v>
      </c>
      <c r="G65" s="9">
        <v>6.6792831535033761E-3</v>
      </c>
      <c r="H65" s="97"/>
    </row>
    <row r="66" spans="1:8" ht="25.5" x14ac:dyDescent="0.2">
      <c r="A66" s="5">
        <v>60</v>
      </c>
      <c r="B66" s="6" t="s">
        <v>908</v>
      </c>
      <c r="C66" s="6" t="s">
        <v>909</v>
      </c>
      <c r="D66" s="6" t="s">
        <v>202</v>
      </c>
      <c r="E66" s="7">
        <v>94061</v>
      </c>
      <c r="F66" s="8">
        <v>1162.7350515000001</v>
      </c>
      <c r="G66" s="9">
        <v>6.6294948163433797E-3</v>
      </c>
      <c r="H66" s="97"/>
    </row>
    <row r="67" spans="1:8" x14ac:dyDescent="0.2">
      <c r="A67" s="5">
        <v>61</v>
      </c>
      <c r="B67" s="6" t="s">
        <v>196</v>
      </c>
      <c r="C67" s="6" t="s">
        <v>197</v>
      </c>
      <c r="D67" s="6" t="s">
        <v>81</v>
      </c>
      <c r="E67" s="7">
        <v>204020</v>
      </c>
      <c r="F67" s="8">
        <v>1128.12859</v>
      </c>
      <c r="G67" s="9">
        <v>6.4321812866357598E-3</v>
      </c>
      <c r="H67" s="97"/>
    </row>
    <row r="68" spans="1:8" x14ac:dyDescent="0.2">
      <c r="A68" s="5">
        <v>62</v>
      </c>
      <c r="B68" s="6" t="s">
        <v>474</v>
      </c>
      <c r="C68" s="6" t="s">
        <v>475</v>
      </c>
      <c r="D68" s="6" t="s">
        <v>25</v>
      </c>
      <c r="E68" s="7">
        <v>557744</v>
      </c>
      <c r="F68" s="8">
        <v>1115.209128</v>
      </c>
      <c r="G68" s="9">
        <v>6.3585191860149413E-3</v>
      </c>
      <c r="H68" s="97"/>
    </row>
    <row r="69" spans="1:8" x14ac:dyDescent="0.2">
      <c r="A69" s="5">
        <v>63</v>
      </c>
      <c r="B69" s="6" t="s">
        <v>209</v>
      </c>
      <c r="C69" s="6" t="s">
        <v>210</v>
      </c>
      <c r="D69" s="6" t="s">
        <v>193</v>
      </c>
      <c r="E69" s="7">
        <v>201775</v>
      </c>
      <c r="F69" s="8">
        <v>1087.3654750000001</v>
      </c>
      <c r="G69" s="9">
        <v>6.1997647449293031E-3</v>
      </c>
      <c r="H69" s="97"/>
    </row>
    <row r="70" spans="1:8" x14ac:dyDescent="0.2">
      <c r="A70" s="5">
        <v>64</v>
      </c>
      <c r="B70" s="6" t="s">
        <v>676</v>
      </c>
      <c r="C70" s="6" t="s">
        <v>677</v>
      </c>
      <c r="D70" s="6" t="s">
        <v>53</v>
      </c>
      <c r="E70" s="7">
        <v>124146</v>
      </c>
      <c r="F70" s="8">
        <v>1069.890228</v>
      </c>
      <c r="G70" s="9">
        <v>6.1001272056194107E-3</v>
      </c>
      <c r="H70" s="97"/>
    </row>
    <row r="71" spans="1:8" x14ac:dyDescent="0.2">
      <c r="A71" s="5">
        <v>65</v>
      </c>
      <c r="B71" s="6" t="s">
        <v>375</v>
      </c>
      <c r="C71" s="6" t="s">
        <v>376</v>
      </c>
      <c r="D71" s="6" t="s">
        <v>238</v>
      </c>
      <c r="E71" s="7">
        <v>85300</v>
      </c>
      <c r="F71" s="8">
        <v>1044.7970499999999</v>
      </c>
      <c r="G71" s="9">
        <v>5.9570549784065353E-3</v>
      </c>
      <c r="H71" s="97"/>
    </row>
    <row r="72" spans="1:8" x14ac:dyDescent="0.2">
      <c r="A72" s="5">
        <v>66</v>
      </c>
      <c r="B72" s="6" t="s">
        <v>305</v>
      </c>
      <c r="C72" s="6" t="s">
        <v>306</v>
      </c>
      <c r="D72" s="6" t="s">
        <v>1183</v>
      </c>
      <c r="E72" s="7">
        <v>105368</v>
      </c>
      <c r="F72" s="8">
        <v>1032.9751879999999</v>
      </c>
      <c r="G72" s="9">
        <v>5.8896509960913715E-3</v>
      </c>
      <c r="H72" s="97"/>
    </row>
    <row r="73" spans="1:8" x14ac:dyDescent="0.2">
      <c r="A73" s="5">
        <v>67</v>
      </c>
      <c r="B73" s="6" t="s">
        <v>542</v>
      </c>
      <c r="C73" s="6" t="s">
        <v>543</v>
      </c>
      <c r="D73" s="6" t="s">
        <v>70</v>
      </c>
      <c r="E73" s="7">
        <v>187368</v>
      </c>
      <c r="F73" s="8">
        <v>1009.351416</v>
      </c>
      <c r="G73" s="9">
        <v>5.7549567905503625E-3</v>
      </c>
      <c r="H73" s="97"/>
    </row>
    <row r="74" spans="1:8" x14ac:dyDescent="0.2">
      <c r="A74" s="5">
        <v>68</v>
      </c>
      <c r="B74" s="6" t="s">
        <v>552</v>
      </c>
      <c r="C74" s="6" t="s">
        <v>553</v>
      </c>
      <c r="D74" s="6" t="s">
        <v>78</v>
      </c>
      <c r="E74" s="7">
        <v>80400</v>
      </c>
      <c r="F74" s="8">
        <v>1005.7637999999999</v>
      </c>
      <c r="G74" s="9">
        <v>5.7345015014074506E-3</v>
      </c>
      <c r="H74" s="97"/>
    </row>
    <row r="75" spans="1:8" x14ac:dyDescent="0.2">
      <c r="A75" s="5">
        <v>69</v>
      </c>
      <c r="B75" s="6" t="s">
        <v>377</v>
      </c>
      <c r="C75" s="6" t="s">
        <v>378</v>
      </c>
      <c r="D75" s="6" t="s">
        <v>81</v>
      </c>
      <c r="E75" s="7">
        <v>269702</v>
      </c>
      <c r="F75" s="8">
        <v>996.95344299999999</v>
      </c>
      <c r="G75" s="9">
        <v>5.6842680316360836E-3</v>
      </c>
      <c r="H75" s="97"/>
    </row>
    <row r="76" spans="1:8" x14ac:dyDescent="0.2">
      <c r="A76" s="5">
        <v>70</v>
      </c>
      <c r="B76" s="6" t="s">
        <v>39</v>
      </c>
      <c r="C76" s="6" t="s">
        <v>40</v>
      </c>
      <c r="D76" s="6" t="s">
        <v>16</v>
      </c>
      <c r="E76" s="7">
        <v>256895</v>
      </c>
      <c r="F76" s="8">
        <v>990.20177750000005</v>
      </c>
      <c r="G76" s="9">
        <v>5.6457724763707712E-3</v>
      </c>
      <c r="H76" s="97"/>
    </row>
    <row r="77" spans="1:8" x14ac:dyDescent="0.2">
      <c r="A77" s="5">
        <v>71</v>
      </c>
      <c r="B77" s="6" t="s">
        <v>488</v>
      </c>
      <c r="C77" s="6" t="s">
        <v>489</v>
      </c>
      <c r="D77" s="6" t="s">
        <v>78</v>
      </c>
      <c r="E77" s="7">
        <v>13191</v>
      </c>
      <c r="F77" s="8">
        <v>979.62301950000005</v>
      </c>
      <c r="G77" s="9">
        <v>5.5854562235547259E-3</v>
      </c>
      <c r="H77" s="97"/>
    </row>
    <row r="78" spans="1:8" ht="25.5" x14ac:dyDescent="0.2">
      <c r="A78" s="5">
        <v>72</v>
      </c>
      <c r="B78" s="6" t="s">
        <v>425</v>
      </c>
      <c r="C78" s="6" t="s">
        <v>426</v>
      </c>
      <c r="D78" s="6" t="s">
        <v>202</v>
      </c>
      <c r="E78" s="7">
        <v>40280</v>
      </c>
      <c r="F78" s="8">
        <v>950.66841999999997</v>
      </c>
      <c r="G78" s="9">
        <v>5.4203675672465533E-3</v>
      </c>
      <c r="H78" s="97"/>
    </row>
    <row r="79" spans="1:8" x14ac:dyDescent="0.2">
      <c r="A79" s="5">
        <v>73</v>
      </c>
      <c r="B79" s="6" t="s">
        <v>548</v>
      </c>
      <c r="C79" s="6" t="s">
        <v>549</v>
      </c>
      <c r="D79" s="6" t="s">
        <v>174</v>
      </c>
      <c r="E79" s="7">
        <v>150644</v>
      </c>
      <c r="F79" s="8">
        <v>933.84215600000005</v>
      </c>
      <c r="G79" s="9">
        <v>5.3244302943291173E-3</v>
      </c>
      <c r="H79" s="97"/>
    </row>
    <row r="80" spans="1:8" x14ac:dyDescent="0.2">
      <c r="A80" s="5">
        <v>74</v>
      </c>
      <c r="B80" s="6" t="s">
        <v>647</v>
      </c>
      <c r="C80" s="6" t="s">
        <v>648</v>
      </c>
      <c r="D80" s="6" t="s">
        <v>25</v>
      </c>
      <c r="E80" s="7">
        <v>394065</v>
      </c>
      <c r="F80" s="8">
        <v>927.23494500000004</v>
      </c>
      <c r="G80" s="9">
        <v>5.2867583663877699E-3</v>
      </c>
      <c r="H80" s="97"/>
    </row>
    <row r="81" spans="1:8" x14ac:dyDescent="0.2">
      <c r="A81" s="5">
        <v>75</v>
      </c>
      <c r="B81" s="6" t="s">
        <v>346</v>
      </c>
      <c r="C81" s="6" t="s">
        <v>347</v>
      </c>
      <c r="D81" s="6" t="s">
        <v>1184</v>
      </c>
      <c r="E81" s="7">
        <v>117000</v>
      </c>
      <c r="F81" s="8">
        <v>926.34749999999997</v>
      </c>
      <c r="G81" s="9">
        <v>5.2816984758996483E-3</v>
      </c>
      <c r="H81" s="97"/>
    </row>
    <row r="82" spans="1:8" x14ac:dyDescent="0.2">
      <c r="A82" s="5">
        <v>76</v>
      </c>
      <c r="B82" s="6" t="s">
        <v>478</v>
      </c>
      <c r="C82" s="6" t="s">
        <v>479</v>
      </c>
      <c r="D82" s="6" t="s">
        <v>185</v>
      </c>
      <c r="E82" s="7">
        <v>10111</v>
      </c>
      <c r="F82" s="8">
        <v>913.94340099999999</v>
      </c>
      <c r="G82" s="9">
        <v>5.2109747887485432E-3</v>
      </c>
      <c r="H82" s="97"/>
    </row>
    <row r="83" spans="1:8" x14ac:dyDescent="0.2">
      <c r="A83" s="5">
        <v>77</v>
      </c>
      <c r="B83" s="6" t="s">
        <v>401</v>
      </c>
      <c r="C83" s="6" t="s">
        <v>402</v>
      </c>
      <c r="D83" s="6" t="s">
        <v>19</v>
      </c>
      <c r="E83" s="7">
        <v>39763</v>
      </c>
      <c r="F83" s="8">
        <v>907.31213400000001</v>
      </c>
      <c r="G83" s="9">
        <v>5.1731657021938928E-3</v>
      </c>
      <c r="H83" s="97"/>
    </row>
    <row r="84" spans="1:8" x14ac:dyDescent="0.2">
      <c r="A84" s="5">
        <v>78</v>
      </c>
      <c r="B84" s="6" t="s">
        <v>357</v>
      </c>
      <c r="C84" s="6" t="s">
        <v>358</v>
      </c>
      <c r="D84" s="6" t="s">
        <v>48</v>
      </c>
      <c r="E84" s="7">
        <v>147000</v>
      </c>
      <c r="F84" s="8">
        <v>903.38850000000002</v>
      </c>
      <c r="G84" s="9">
        <v>5.1507945599197592E-3</v>
      </c>
      <c r="H84" s="97"/>
    </row>
    <row r="85" spans="1:8" x14ac:dyDescent="0.2">
      <c r="A85" s="5">
        <v>79</v>
      </c>
      <c r="B85" s="6" t="s">
        <v>643</v>
      </c>
      <c r="C85" s="6" t="s">
        <v>644</v>
      </c>
      <c r="D85" s="6" t="s">
        <v>193</v>
      </c>
      <c r="E85" s="7">
        <v>96183</v>
      </c>
      <c r="F85" s="8">
        <v>900.75379499999997</v>
      </c>
      <c r="G85" s="9">
        <v>5.1357724247243332E-3</v>
      </c>
      <c r="H85" s="97"/>
    </row>
    <row r="86" spans="1:8" x14ac:dyDescent="0.2">
      <c r="A86" s="5">
        <v>80</v>
      </c>
      <c r="B86" s="6" t="s">
        <v>194</v>
      </c>
      <c r="C86" s="6" t="s">
        <v>195</v>
      </c>
      <c r="D86" s="6" t="s">
        <v>53</v>
      </c>
      <c r="E86" s="7">
        <v>89500</v>
      </c>
      <c r="F86" s="8">
        <v>881.88824999999997</v>
      </c>
      <c r="G86" s="9">
        <v>5.0282079089529665E-3</v>
      </c>
      <c r="H86" s="97"/>
    </row>
    <row r="87" spans="1:8" x14ac:dyDescent="0.2">
      <c r="A87" s="5">
        <v>81</v>
      </c>
      <c r="B87" s="6" t="s">
        <v>546</v>
      </c>
      <c r="C87" s="6" t="s">
        <v>547</v>
      </c>
      <c r="D87" s="6" t="s">
        <v>238</v>
      </c>
      <c r="E87" s="7">
        <v>70460</v>
      </c>
      <c r="F87" s="8">
        <v>856.26514999999995</v>
      </c>
      <c r="G87" s="9">
        <v>4.8821142581169418E-3</v>
      </c>
      <c r="H87" s="97"/>
    </row>
    <row r="88" spans="1:8" x14ac:dyDescent="0.2">
      <c r="A88" s="5">
        <v>82</v>
      </c>
      <c r="B88" s="6" t="s">
        <v>910</v>
      </c>
      <c r="C88" s="6" t="s">
        <v>911</v>
      </c>
      <c r="D88" s="6" t="s">
        <v>238</v>
      </c>
      <c r="E88" s="7">
        <v>10000</v>
      </c>
      <c r="F88" s="8">
        <v>849.57</v>
      </c>
      <c r="G88" s="9">
        <v>4.843940933796512E-3</v>
      </c>
      <c r="H88" s="97"/>
    </row>
    <row r="89" spans="1:8" ht="25.5" x14ac:dyDescent="0.2">
      <c r="A89" s="5">
        <v>83</v>
      </c>
      <c r="B89" s="6" t="s">
        <v>26</v>
      </c>
      <c r="C89" s="6" t="s">
        <v>27</v>
      </c>
      <c r="D89" s="6" t="s">
        <v>1185</v>
      </c>
      <c r="E89" s="7">
        <v>84095</v>
      </c>
      <c r="F89" s="8">
        <v>844.39789499999995</v>
      </c>
      <c r="G89" s="9">
        <v>4.8144514613299768E-3</v>
      </c>
      <c r="H89" s="97"/>
    </row>
    <row r="90" spans="1:8" x14ac:dyDescent="0.2">
      <c r="A90" s="5">
        <v>84</v>
      </c>
      <c r="B90" s="6" t="s">
        <v>530</v>
      </c>
      <c r="C90" s="6" t="s">
        <v>531</v>
      </c>
      <c r="D90" s="6" t="s">
        <v>238</v>
      </c>
      <c r="E90" s="7">
        <v>219442</v>
      </c>
      <c r="F90" s="8">
        <v>824.66303600000003</v>
      </c>
      <c r="G90" s="9">
        <v>4.7019304314762835E-3</v>
      </c>
      <c r="H90" s="97"/>
    </row>
    <row r="91" spans="1:8" ht="25.5" x14ac:dyDescent="0.2">
      <c r="A91" s="5">
        <v>85</v>
      </c>
      <c r="B91" s="6" t="s">
        <v>912</v>
      </c>
      <c r="C91" s="6" t="s">
        <v>913</v>
      </c>
      <c r="D91" s="6" t="s">
        <v>202</v>
      </c>
      <c r="E91" s="7">
        <v>3189</v>
      </c>
      <c r="F91" s="8">
        <v>808.75591199999997</v>
      </c>
      <c r="G91" s="9">
        <v>4.6112337624759931E-3</v>
      </c>
      <c r="H91" s="97"/>
    </row>
    <row r="92" spans="1:8" x14ac:dyDescent="0.2">
      <c r="A92" s="5">
        <v>86</v>
      </c>
      <c r="B92" s="6" t="s">
        <v>444</v>
      </c>
      <c r="C92" s="6" t="s">
        <v>445</v>
      </c>
      <c r="D92" s="6" t="s">
        <v>193</v>
      </c>
      <c r="E92" s="7">
        <v>17025</v>
      </c>
      <c r="F92" s="8">
        <v>796.46355000000005</v>
      </c>
      <c r="G92" s="9">
        <v>4.5411471592945668E-3</v>
      </c>
      <c r="H92" s="97"/>
    </row>
    <row r="93" spans="1:8" ht="25.5" x14ac:dyDescent="0.2">
      <c r="A93" s="5">
        <v>87</v>
      </c>
      <c r="B93" s="6" t="s">
        <v>914</v>
      </c>
      <c r="C93" s="6" t="s">
        <v>915</v>
      </c>
      <c r="D93" s="6" t="s">
        <v>45</v>
      </c>
      <c r="E93" s="7">
        <v>9000</v>
      </c>
      <c r="F93" s="8">
        <v>771.82650000000001</v>
      </c>
      <c r="G93" s="9">
        <v>4.4006756090008989E-3</v>
      </c>
      <c r="H93" s="97"/>
    </row>
    <row r="94" spans="1:8" x14ac:dyDescent="0.2">
      <c r="A94" s="5">
        <v>88</v>
      </c>
      <c r="B94" s="6" t="s">
        <v>183</v>
      </c>
      <c r="C94" s="6" t="s">
        <v>184</v>
      </c>
      <c r="D94" s="6" t="s">
        <v>185</v>
      </c>
      <c r="E94" s="7">
        <v>59532</v>
      </c>
      <c r="F94" s="8">
        <v>764.06345399999998</v>
      </c>
      <c r="G94" s="9">
        <v>4.3564135278417885E-3</v>
      </c>
      <c r="H94" s="97"/>
    </row>
    <row r="95" spans="1:8" x14ac:dyDescent="0.2">
      <c r="A95" s="5">
        <v>89</v>
      </c>
      <c r="B95" s="6" t="s">
        <v>490</v>
      </c>
      <c r="C95" s="6" t="s">
        <v>491</v>
      </c>
      <c r="D95" s="6" t="s">
        <v>25</v>
      </c>
      <c r="E95" s="7">
        <v>533186</v>
      </c>
      <c r="F95" s="8">
        <v>744.32765600000005</v>
      </c>
      <c r="G95" s="9">
        <v>4.2438871441496393E-3</v>
      </c>
      <c r="H95" s="97"/>
    </row>
    <row r="96" spans="1:8" x14ac:dyDescent="0.2">
      <c r="A96" s="5">
        <v>90</v>
      </c>
      <c r="B96" s="6" t="s">
        <v>88</v>
      </c>
      <c r="C96" s="6" t="s">
        <v>89</v>
      </c>
      <c r="D96" s="6" t="s">
        <v>53</v>
      </c>
      <c r="E96" s="7">
        <v>152274</v>
      </c>
      <c r="F96" s="8">
        <v>722.92081499999995</v>
      </c>
      <c r="G96" s="9">
        <v>4.1218330775239648E-3</v>
      </c>
      <c r="H96" s="97"/>
    </row>
    <row r="97" spans="1:8" x14ac:dyDescent="0.2">
      <c r="A97" s="5">
        <v>91</v>
      </c>
      <c r="B97" s="6" t="s">
        <v>369</v>
      </c>
      <c r="C97" s="6" t="s">
        <v>370</v>
      </c>
      <c r="D97" s="6" t="s">
        <v>147</v>
      </c>
      <c r="E97" s="7">
        <v>54604</v>
      </c>
      <c r="F97" s="8">
        <v>720.28136400000005</v>
      </c>
      <c r="G97" s="9">
        <v>4.1067838823527023E-3</v>
      </c>
      <c r="H97" s="97"/>
    </row>
    <row r="98" spans="1:8" x14ac:dyDescent="0.2">
      <c r="A98" s="5">
        <v>92</v>
      </c>
      <c r="B98" s="6" t="s">
        <v>361</v>
      </c>
      <c r="C98" s="6" t="s">
        <v>362</v>
      </c>
      <c r="D98" s="6" t="s">
        <v>185</v>
      </c>
      <c r="E98" s="7">
        <v>69047</v>
      </c>
      <c r="F98" s="8">
        <v>693.646162</v>
      </c>
      <c r="G98" s="9">
        <v>3.9549195918907763E-3</v>
      </c>
      <c r="H98" s="97"/>
    </row>
    <row r="99" spans="1:8" x14ac:dyDescent="0.2">
      <c r="A99" s="5">
        <v>93</v>
      </c>
      <c r="B99" s="6" t="s">
        <v>405</v>
      </c>
      <c r="C99" s="6" t="s">
        <v>406</v>
      </c>
      <c r="D99" s="6" t="s">
        <v>70</v>
      </c>
      <c r="E99" s="7">
        <v>53083</v>
      </c>
      <c r="F99" s="8">
        <v>684.74415850000003</v>
      </c>
      <c r="G99" s="9">
        <v>3.9041635869159655E-3</v>
      </c>
      <c r="H99" s="97"/>
    </row>
    <row r="100" spans="1:8" x14ac:dyDescent="0.2">
      <c r="A100" s="5">
        <v>94</v>
      </c>
      <c r="B100" s="6" t="s">
        <v>494</v>
      </c>
      <c r="C100" s="6" t="s">
        <v>495</v>
      </c>
      <c r="D100" s="6" t="s">
        <v>81</v>
      </c>
      <c r="E100" s="7">
        <v>834885</v>
      </c>
      <c r="F100" s="8">
        <v>648.705645</v>
      </c>
      <c r="G100" s="9">
        <v>3.6986850145371993E-3</v>
      </c>
      <c r="H100" s="97"/>
    </row>
    <row r="101" spans="1:8" x14ac:dyDescent="0.2">
      <c r="A101" s="5">
        <v>95</v>
      </c>
      <c r="B101" s="6" t="s">
        <v>438</v>
      </c>
      <c r="C101" s="6" t="s">
        <v>439</v>
      </c>
      <c r="D101" s="6" t="s">
        <v>60</v>
      </c>
      <c r="E101" s="7">
        <v>55578</v>
      </c>
      <c r="F101" s="8">
        <v>617.72168099999999</v>
      </c>
      <c r="G101" s="9">
        <v>3.5220256556722706E-3</v>
      </c>
      <c r="H101" s="97"/>
    </row>
    <row r="102" spans="1:8" x14ac:dyDescent="0.2">
      <c r="A102" s="5">
        <v>96</v>
      </c>
      <c r="B102" s="6" t="s">
        <v>454</v>
      </c>
      <c r="C102" s="6" t="s">
        <v>455</v>
      </c>
      <c r="D102" s="6" t="s">
        <v>238</v>
      </c>
      <c r="E102" s="7">
        <v>275000</v>
      </c>
      <c r="F102" s="8">
        <v>614.07500000000005</v>
      </c>
      <c r="G102" s="9">
        <v>3.501233599257381E-3</v>
      </c>
      <c r="H102" s="97"/>
    </row>
    <row r="103" spans="1:8" x14ac:dyDescent="0.2">
      <c r="A103" s="5">
        <v>97</v>
      </c>
      <c r="B103" s="6" t="s">
        <v>354</v>
      </c>
      <c r="C103" s="6" t="s">
        <v>355</v>
      </c>
      <c r="D103" s="6" t="s">
        <v>356</v>
      </c>
      <c r="E103" s="7">
        <v>16464</v>
      </c>
      <c r="F103" s="8">
        <v>499.55068799999998</v>
      </c>
      <c r="G103" s="9">
        <v>2.8482573844526167E-3</v>
      </c>
      <c r="H103" s="97"/>
    </row>
    <row r="104" spans="1:8" x14ac:dyDescent="0.2">
      <c r="A104" s="5">
        <v>98</v>
      </c>
      <c r="B104" s="6" t="s">
        <v>572</v>
      </c>
      <c r="C104" s="6" t="s">
        <v>573</v>
      </c>
      <c r="D104" s="6" t="s">
        <v>238</v>
      </c>
      <c r="E104" s="7">
        <v>21294</v>
      </c>
      <c r="F104" s="8">
        <v>481.44669299999998</v>
      </c>
      <c r="G104" s="9">
        <v>2.7450349514032539E-3</v>
      </c>
      <c r="H104" s="97"/>
    </row>
    <row r="105" spans="1:8" x14ac:dyDescent="0.2">
      <c r="A105" s="5">
        <v>99</v>
      </c>
      <c r="B105" s="6" t="s">
        <v>393</v>
      </c>
      <c r="C105" s="6" t="s">
        <v>394</v>
      </c>
      <c r="D105" s="6" t="s">
        <v>70</v>
      </c>
      <c r="E105" s="7">
        <v>104690</v>
      </c>
      <c r="F105" s="8">
        <v>479.68957999999998</v>
      </c>
      <c r="G105" s="9">
        <v>2.735016528452813E-3</v>
      </c>
      <c r="H105" s="97"/>
    </row>
    <row r="106" spans="1:8" ht="25.5" x14ac:dyDescent="0.2">
      <c r="A106" s="5">
        <v>100</v>
      </c>
      <c r="B106" s="6" t="s">
        <v>795</v>
      </c>
      <c r="C106" s="6" t="s">
        <v>796</v>
      </c>
      <c r="D106" s="6" t="s">
        <v>1185</v>
      </c>
      <c r="E106" s="7">
        <v>80966</v>
      </c>
      <c r="F106" s="8">
        <v>404.303721</v>
      </c>
      <c r="G106" s="9">
        <v>2.3051936201115204E-3</v>
      </c>
      <c r="H106" s="97"/>
    </row>
    <row r="107" spans="1:8" ht="25.5" x14ac:dyDescent="0.2">
      <c r="A107" s="5">
        <v>101</v>
      </c>
      <c r="B107" s="6" t="s">
        <v>502</v>
      </c>
      <c r="C107" s="6" t="s">
        <v>503</v>
      </c>
      <c r="D107" s="6" t="s">
        <v>1188</v>
      </c>
      <c r="E107" s="7">
        <v>39660</v>
      </c>
      <c r="F107" s="8">
        <v>376.88898</v>
      </c>
      <c r="G107" s="9">
        <v>2.1488846801544486E-3</v>
      </c>
      <c r="H107" s="97"/>
    </row>
    <row r="108" spans="1:8" x14ac:dyDescent="0.2">
      <c r="A108" s="5">
        <v>102</v>
      </c>
      <c r="B108" s="6" t="s">
        <v>51</v>
      </c>
      <c r="C108" s="6" t="s">
        <v>52</v>
      </c>
      <c r="D108" s="6" t="s">
        <v>53</v>
      </c>
      <c r="E108" s="7">
        <v>135712</v>
      </c>
      <c r="F108" s="8">
        <v>235.188896</v>
      </c>
      <c r="G108" s="9">
        <v>1.3409620402189469E-3</v>
      </c>
      <c r="H108" s="97"/>
    </row>
    <row r="109" spans="1:8" x14ac:dyDescent="0.2">
      <c r="A109" s="5">
        <v>103</v>
      </c>
      <c r="B109" s="6" t="s">
        <v>458</v>
      </c>
      <c r="C109" s="6" t="s">
        <v>459</v>
      </c>
      <c r="D109" s="6" t="s">
        <v>327</v>
      </c>
      <c r="E109" s="7">
        <v>11028</v>
      </c>
      <c r="F109" s="8">
        <v>231.75893400000001</v>
      </c>
      <c r="G109" s="9">
        <v>1.3214056371760351E-3</v>
      </c>
      <c r="H109" s="97"/>
    </row>
    <row r="110" spans="1:8" ht="25.5" x14ac:dyDescent="0.2">
      <c r="A110" s="5">
        <v>104</v>
      </c>
      <c r="B110" s="6" t="s">
        <v>442</v>
      </c>
      <c r="C110" s="6" t="s">
        <v>1157</v>
      </c>
      <c r="D110" s="91" t="s">
        <v>22</v>
      </c>
      <c r="E110" s="7">
        <v>30823</v>
      </c>
      <c r="F110" s="8">
        <v>108.69730950000002</v>
      </c>
      <c r="G110" s="9">
        <v>6.1975275360546926E-4</v>
      </c>
      <c r="H110" s="97"/>
    </row>
    <row r="111" spans="1:8" x14ac:dyDescent="0.2">
      <c r="A111" s="5">
        <v>105</v>
      </c>
      <c r="B111" s="6" t="s">
        <v>798</v>
      </c>
      <c r="C111" s="6" t="s">
        <v>1282</v>
      </c>
      <c r="D111" s="6" t="s">
        <v>19</v>
      </c>
      <c r="E111" s="7">
        <v>100000</v>
      </c>
      <c r="F111" s="8">
        <v>6.3</v>
      </c>
      <c r="G111" s="89" t="s">
        <v>96</v>
      </c>
      <c r="H111" s="97"/>
    </row>
    <row r="112" spans="1:8" x14ac:dyDescent="0.2">
      <c r="A112" s="3"/>
      <c r="B112" s="3"/>
      <c r="C112" s="4" t="s">
        <v>97</v>
      </c>
      <c r="D112" s="3"/>
      <c r="E112" s="3" t="s">
        <v>98</v>
      </c>
      <c r="F112" s="11">
        <v>171496.60624550001</v>
      </c>
      <c r="G112" s="12">
        <v>0.97781163529757409</v>
      </c>
      <c r="H112" s="97"/>
    </row>
    <row r="113" spans="1:8" x14ac:dyDescent="0.2">
      <c r="A113" s="3"/>
      <c r="B113" s="3"/>
      <c r="C113" s="13"/>
      <c r="D113" s="3"/>
      <c r="E113" s="3"/>
      <c r="F113" s="14"/>
      <c r="G113" s="14"/>
      <c r="H113" s="97"/>
    </row>
    <row r="114" spans="1:8" x14ac:dyDescent="0.2">
      <c r="A114" s="3"/>
      <c r="B114" s="3"/>
      <c r="C114" s="4" t="s">
        <v>99</v>
      </c>
      <c r="D114" s="3"/>
      <c r="E114" s="3"/>
      <c r="F114" s="3"/>
      <c r="G114" s="3"/>
      <c r="H114" s="97"/>
    </row>
    <row r="115" spans="1:8" x14ac:dyDescent="0.2">
      <c r="A115" s="3"/>
      <c r="B115" s="3"/>
      <c r="C115" s="4" t="s">
        <v>97</v>
      </c>
      <c r="D115" s="3"/>
      <c r="E115" s="3" t="s">
        <v>98</v>
      </c>
      <c r="F115" s="15">
        <v>0</v>
      </c>
      <c r="G115" s="16">
        <v>0</v>
      </c>
      <c r="H115" s="97"/>
    </row>
    <row r="116" spans="1:8" x14ac:dyDescent="0.2">
      <c r="A116" s="3"/>
      <c r="B116" s="3"/>
      <c r="C116" s="13"/>
      <c r="D116" s="3"/>
      <c r="E116" s="3"/>
      <c r="F116" s="14"/>
      <c r="G116" s="14"/>
      <c r="H116" s="97"/>
    </row>
    <row r="117" spans="1:8" x14ac:dyDescent="0.2">
      <c r="A117" s="3"/>
      <c r="B117" s="3"/>
      <c r="C117" s="4" t="s">
        <v>100</v>
      </c>
      <c r="D117" s="3"/>
      <c r="E117" s="3"/>
      <c r="F117" s="3"/>
      <c r="G117" s="3"/>
      <c r="H117" s="97"/>
    </row>
    <row r="118" spans="1:8" x14ac:dyDescent="0.2">
      <c r="A118" s="5">
        <v>1</v>
      </c>
      <c r="B118" s="71" t="s">
        <v>678</v>
      </c>
      <c r="C118" s="6" t="s">
        <v>1283</v>
      </c>
      <c r="D118" s="6" t="s">
        <v>1187</v>
      </c>
      <c r="E118" s="7">
        <v>511578</v>
      </c>
      <c r="F118" s="8">
        <v>32.024782799999997</v>
      </c>
      <c r="G118" s="9">
        <v>1.8259373130037837E-4</v>
      </c>
      <c r="H118" s="97"/>
    </row>
    <row r="119" spans="1:8" x14ac:dyDescent="0.2">
      <c r="A119" s="5">
        <v>2</v>
      </c>
      <c r="B119" s="6" t="s">
        <v>797</v>
      </c>
      <c r="C119" s="6" t="s">
        <v>1284</v>
      </c>
      <c r="D119" s="6" t="s">
        <v>1184</v>
      </c>
      <c r="E119" s="7">
        <v>39500</v>
      </c>
      <c r="F119" s="8">
        <v>21.859300000000001</v>
      </c>
      <c r="G119" s="9">
        <v>1.2463382423359828E-4</v>
      </c>
      <c r="H119" s="97"/>
    </row>
    <row r="120" spans="1:8" x14ac:dyDescent="0.2">
      <c r="A120" s="5">
        <v>3</v>
      </c>
      <c r="B120" s="6" t="s">
        <v>799</v>
      </c>
      <c r="C120" s="6" t="s">
        <v>1149</v>
      </c>
      <c r="D120" s="6"/>
      <c r="E120" s="7">
        <v>200000</v>
      </c>
      <c r="F120" s="8">
        <v>1.9999999999999999E-6</v>
      </c>
      <c r="G120" s="89" t="s">
        <v>96</v>
      </c>
      <c r="H120" s="97"/>
    </row>
    <row r="121" spans="1:8" x14ac:dyDescent="0.2">
      <c r="A121" s="5">
        <v>4</v>
      </c>
      <c r="B121" s="6" t="s">
        <v>801</v>
      </c>
      <c r="C121" s="6" t="s">
        <v>1150</v>
      </c>
      <c r="D121" s="6"/>
      <c r="E121" s="7">
        <v>176305</v>
      </c>
      <c r="F121" s="8">
        <v>1.7630000000000001E-6</v>
      </c>
      <c r="G121" s="89" t="s">
        <v>96</v>
      </c>
      <c r="H121" s="97"/>
    </row>
    <row r="122" spans="1:8" x14ac:dyDescent="0.2">
      <c r="A122" s="5">
        <v>5</v>
      </c>
      <c r="B122" s="6" t="s">
        <v>800</v>
      </c>
      <c r="C122" s="6" t="s">
        <v>1151</v>
      </c>
      <c r="D122" s="6"/>
      <c r="E122" s="7">
        <v>50800</v>
      </c>
      <c r="F122" s="8">
        <v>5.0800000000000005E-7</v>
      </c>
      <c r="G122" s="89" t="s">
        <v>96</v>
      </c>
      <c r="H122" s="97"/>
    </row>
    <row r="123" spans="1:8" x14ac:dyDescent="0.2">
      <c r="A123" s="5">
        <v>6</v>
      </c>
      <c r="B123" s="6" t="s">
        <v>802</v>
      </c>
      <c r="C123" s="6" t="s">
        <v>1152</v>
      </c>
      <c r="D123" s="6"/>
      <c r="E123" s="7">
        <v>200</v>
      </c>
      <c r="F123" s="8">
        <v>2.0000000000000001E-9</v>
      </c>
      <c r="G123" s="89" t="s">
        <v>96</v>
      </c>
      <c r="H123" s="97"/>
    </row>
    <row r="124" spans="1:8" x14ac:dyDescent="0.2">
      <c r="A124" s="5">
        <v>7</v>
      </c>
      <c r="B124" s="6" t="s">
        <v>804</v>
      </c>
      <c r="C124" s="6" t="s">
        <v>1086</v>
      </c>
      <c r="D124" s="6"/>
      <c r="E124" s="7">
        <v>54000</v>
      </c>
      <c r="F124" s="8">
        <v>0</v>
      </c>
      <c r="G124" s="89" t="s">
        <v>96</v>
      </c>
      <c r="H124" s="97"/>
    </row>
    <row r="125" spans="1:8" x14ac:dyDescent="0.2">
      <c r="A125" s="5">
        <v>8</v>
      </c>
      <c r="B125" s="6" t="s">
        <v>803</v>
      </c>
      <c r="C125" s="6" t="s">
        <v>1087</v>
      </c>
      <c r="D125" s="6"/>
      <c r="E125" s="7">
        <v>93200</v>
      </c>
      <c r="F125" s="8">
        <v>0</v>
      </c>
      <c r="G125" s="89" t="s">
        <v>96</v>
      </c>
      <c r="H125" s="97"/>
    </row>
    <row r="126" spans="1:8" x14ac:dyDescent="0.2">
      <c r="A126" s="3"/>
      <c r="B126" s="3"/>
      <c r="C126" s="4" t="s">
        <v>97</v>
      </c>
      <c r="D126" s="3"/>
      <c r="E126" s="3" t="s">
        <v>98</v>
      </c>
      <c r="F126" s="11">
        <v>53.884087073000003</v>
      </c>
      <c r="G126" s="16">
        <v>3.4314790180453429E-4</v>
      </c>
      <c r="H126" s="97"/>
    </row>
    <row r="127" spans="1:8" x14ac:dyDescent="0.2">
      <c r="A127" s="3"/>
      <c r="B127" s="3"/>
      <c r="C127" s="13"/>
      <c r="D127" s="3"/>
      <c r="E127" s="3"/>
      <c r="F127" s="14"/>
      <c r="G127" s="14"/>
      <c r="H127" s="97"/>
    </row>
    <row r="128" spans="1:8" x14ac:dyDescent="0.2">
      <c r="A128" s="3"/>
      <c r="B128" s="3"/>
      <c r="C128" s="4" t="s">
        <v>101</v>
      </c>
      <c r="D128" s="3"/>
      <c r="E128" s="3"/>
      <c r="F128" s="3"/>
      <c r="G128" s="3"/>
      <c r="H128" s="97"/>
    </row>
    <row r="129" spans="1:8" x14ac:dyDescent="0.2">
      <c r="A129" s="3"/>
      <c r="B129" s="3"/>
      <c r="C129" s="4" t="s">
        <v>97</v>
      </c>
      <c r="D129" s="3"/>
      <c r="E129" s="3" t="s">
        <v>98</v>
      </c>
      <c r="F129" s="11">
        <v>0</v>
      </c>
      <c r="G129" s="12">
        <v>0</v>
      </c>
      <c r="H129" s="97"/>
    </row>
    <row r="130" spans="1:8" x14ac:dyDescent="0.2">
      <c r="A130" s="3"/>
      <c r="B130" s="3"/>
      <c r="C130" s="13"/>
      <c r="D130" s="3"/>
      <c r="E130" s="3"/>
      <c r="F130" s="14"/>
      <c r="G130" s="14"/>
      <c r="H130" s="97"/>
    </row>
    <row r="131" spans="1:8" x14ac:dyDescent="0.2">
      <c r="A131" s="3"/>
      <c r="B131" s="3"/>
      <c r="C131" s="4" t="s">
        <v>102</v>
      </c>
      <c r="D131" s="3"/>
      <c r="E131" s="3"/>
      <c r="F131" s="14"/>
      <c r="G131" s="14"/>
      <c r="H131" s="97"/>
    </row>
    <row r="132" spans="1:8" x14ac:dyDescent="0.2">
      <c r="A132" s="3"/>
      <c r="B132" s="3"/>
      <c r="C132" s="4" t="s">
        <v>97</v>
      </c>
      <c r="D132" s="3"/>
      <c r="E132" s="3" t="s">
        <v>98</v>
      </c>
      <c r="F132" s="15">
        <v>0</v>
      </c>
      <c r="G132" s="16">
        <v>0</v>
      </c>
      <c r="H132" s="97"/>
    </row>
    <row r="133" spans="1:8" x14ac:dyDescent="0.2">
      <c r="A133" s="3"/>
      <c r="B133" s="3"/>
      <c r="C133" s="13"/>
      <c r="D133" s="3"/>
      <c r="E133" s="3"/>
      <c r="F133" s="14"/>
      <c r="G133" s="14"/>
      <c r="H133" s="97"/>
    </row>
    <row r="134" spans="1:8" x14ac:dyDescent="0.2">
      <c r="A134" s="3"/>
      <c r="B134" s="3"/>
      <c r="C134" s="4" t="s">
        <v>103</v>
      </c>
      <c r="D134" s="3"/>
      <c r="E134" s="3"/>
      <c r="F134" s="14"/>
      <c r="G134" s="14"/>
      <c r="H134" s="97"/>
    </row>
    <row r="135" spans="1:8" x14ac:dyDescent="0.2">
      <c r="A135" s="3"/>
      <c r="B135" s="3"/>
      <c r="C135" s="4" t="s">
        <v>97</v>
      </c>
      <c r="D135" s="3"/>
      <c r="E135" s="3" t="s">
        <v>98</v>
      </c>
      <c r="F135" s="15">
        <v>0</v>
      </c>
      <c r="G135" s="16">
        <v>0</v>
      </c>
      <c r="H135" s="97"/>
    </row>
    <row r="136" spans="1:8" x14ac:dyDescent="0.2">
      <c r="A136" s="3"/>
      <c r="B136" s="3"/>
      <c r="C136" s="13"/>
      <c r="D136" s="3"/>
      <c r="E136" s="3"/>
      <c r="F136" s="14"/>
      <c r="G136" s="14"/>
      <c r="H136" s="97"/>
    </row>
    <row r="137" spans="1:8" x14ac:dyDescent="0.2">
      <c r="A137" s="3"/>
      <c r="B137" s="3"/>
      <c r="C137" s="4" t="s">
        <v>104</v>
      </c>
      <c r="D137" s="3"/>
      <c r="E137" s="3"/>
      <c r="F137" s="11">
        <v>171550.49033257301</v>
      </c>
      <c r="G137" s="12">
        <v>0.97815478319937865</v>
      </c>
      <c r="H137" s="97"/>
    </row>
    <row r="138" spans="1:8" x14ac:dyDescent="0.2">
      <c r="A138" s="3"/>
      <c r="B138" s="3"/>
      <c r="C138" s="13"/>
      <c r="D138" s="3"/>
      <c r="E138" s="3"/>
      <c r="F138" s="14"/>
      <c r="G138" s="14"/>
      <c r="H138" s="97"/>
    </row>
    <row r="139" spans="1:8" x14ac:dyDescent="0.2">
      <c r="A139" s="3"/>
      <c r="B139" s="3"/>
      <c r="C139" s="4" t="s">
        <v>105</v>
      </c>
      <c r="D139" s="3"/>
      <c r="E139" s="3"/>
      <c r="F139" s="14"/>
      <c r="G139" s="14"/>
      <c r="H139" s="97"/>
    </row>
    <row r="140" spans="1:8" ht="25.5" x14ac:dyDescent="0.2">
      <c r="A140" s="3"/>
      <c r="B140" s="3"/>
      <c r="C140" s="4" t="s">
        <v>10</v>
      </c>
      <c r="D140" s="3"/>
      <c r="E140" s="3"/>
      <c r="F140" s="14"/>
      <c r="G140" s="14"/>
      <c r="H140" s="97"/>
    </row>
    <row r="141" spans="1:8" x14ac:dyDescent="0.2">
      <c r="A141" s="3"/>
      <c r="B141" s="3"/>
      <c r="C141" s="4" t="s">
        <v>97</v>
      </c>
      <c r="D141" s="3"/>
      <c r="E141" s="3" t="s">
        <v>98</v>
      </c>
      <c r="F141" s="15">
        <v>0</v>
      </c>
      <c r="G141" s="16">
        <v>0</v>
      </c>
      <c r="H141" s="97"/>
    </row>
    <row r="142" spans="1:8" x14ac:dyDescent="0.2">
      <c r="A142" s="3"/>
      <c r="B142" s="3"/>
      <c r="C142" s="13"/>
      <c r="D142" s="3"/>
      <c r="E142" s="3"/>
      <c r="F142" s="14"/>
      <c r="G142" s="14"/>
      <c r="H142" s="97"/>
    </row>
    <row r="143" spans="1:8" x14ac:dyDescent="0.2">
      <c r="A143" s="3"/>
      <c r="B143" s="3"/>
      <c r="C143" s="4" t="s">
        <v>106</v>
      </c>
      <c r="D143" s="3"/>
      <c r="E143" s="3"/>
      <c r="F143" s="3"/>
      <c r="G143" s="3"/>
      <c r="H143" s="97"/>
    </row>
    <row r="144" spans="1:8" x14ac:dyDescent="0.2">
      <c r="A144" s="3"/>
      <c r="B144" s="3"/>
      <c r="C144" s="4" t="s">
        <v>97</v>
      </c>
      <c r="D144" s="3"/>
      <c r="E144" s="3" t="s">
        <v>98</v>
      </c>
      <c r="F144" s="15">
        <v>0</v>
      </c>
      <c r="G144" s="16">
        <v>0</v>
      </c>
      <c r="H144" s="97"/>
    </row>
    <row r="145" spans="1:15" x14ac:dyDescent="0.2">
      <c r="A145" s="3"/>
      <c r="B145" s="3"/>
      <c r="C145" s="13"/>
      <c r="D145" s="3"/>
      <c r="E145" s="3"/>
      <c r="F145" s="14"/>
      <c r="G145" s="14"/>
      <c r="H145" s="97"/>
    </row>
    <row r="146" spans="1:15" x14ac:dyDescent="0.2">
      <c r="A146" s="3"/>
      <c r="B146" s="3"/>
      <c r="C146" s="4" t="s">
        <v>107</v>
      </c>
      <c r="D146" s="3"/>
      <c r="E146" s="3"/>
      <c r="F146" s="3"/>
      <c r="G146" s="3"/>
      <c r="H146" s="97"/>
    </row>
    <row r="147" spans="1:15" x14ac:dyDescent="0.2">
      <c r="A147" s="3"/>
      <c r="B147" s="3"/>
      <c r="C147" s="4" t="s">
        <v>97</v>
      </c>
      <c r="D147" s="3"/>
      <c r="E147" s="3" t="s">
        <v>98</v>
      </c>
      <c r="F147" s="15">
        <v>0</v>
      </c>
      <c r="G147" s="16">
        <v>0</v>
      </c>
      <c r="H147" s="97"/>
    </row>
    <row r="148" spans="1:15" x14ac:dyDescent="0.2">
      <c r="A148" s="3"/>
      <c r="B148" s="3"/>
      <c r="C148" s="13"/>
      <c r="D148" s="3"/>
      <c r="E148" s="3"/>
      <c r="F148" s="14"/>
      <c r="G148" s="14"/>
      <c r="H148" s="97"/>
    </row>
    <row r="149" spans="1:15" x14ac:dyDescent="0.2">
      <c r="A149" s="3"/>
      <c r="B149" s="3"/>
      <c r="C149" s="4" t="s">
        <v>108</v>
      </c>
      <c r="D149" s="3"/>
      <c r="E149" s="3"/>
      <c r="F149" s="14"/>
      <c r="G149" s="14"/>
      <c r="H149" s="97"/>
    </row>
    <row r="150" spans="1:15" x14ac:dyDescent="0.2">
      <c r="A150" s="3"/>
      <c r="B150" s="3"/>
      <c r="C150" s="4" t="s">
        <v>97</v>
      </c>
      <c r="D150" s="3"/>
      <c r="E150" s="3" t="s">
        <v>98</v>
      </c>
      <c r="F150" s="15">
        <v>0</v>
      </c>
      <c r="G150" s="16">
        <v>0</v>
      </c>
      <c r="H150" s="97"/>
    </row>
    <row r="151" spans="1:15" x14ac:dyDescent="0.2">
      <c r="A151" s="3"/>
      <c r="B151" s="3"/>
      <c r="C151" s="13"/>
      <c r="D151" s="3"/>
      <c r="E151" s="3"/>
      <c r="F151" s="14"/>
      <c r="G151" s="14"/>
      <c r="H151" s="97"/>
    </row>
    <row r="152" spans="1:15" x14ac:dyDescent="0.2">
      <c r="A152" s="3"/>
      <c r="B152" s="3"/>
      <c r="C152" s="4" t="s">
        <v>109</v>
      </c>
      <c r="D152" s="3"/>
      <c r="E152" s="3"/>
      <c r="F152" s="11">
        <v>0</v>
      </c>
      <c r="G152" s="12">
        <v>0</v>
      </c>
      <c r="H152" s="97"/>
      <c r="I152" s="87"/>
      <c r="J152" s="87"/>
      <c r="K152" s="87"/>
      <c r="L152" s="87"/>
      <c r="M152" s="87"/>
      <c r="N152" s="87"/>
      <c r="O152" s="87"/>
    </row>
    <row r="153" spans="1:15" x14ac:dyDescent="0.2">
      <c r="A153" s="3"/>
      <c r="B153" s="3"/>
      <c r="C153" s="13"/>
      <c r="D153" s="3"/>
      <c r="E153" s="3"/>
      <c r="F153" s="14"/>
      <c r="G153" s="14"/>
      <c r="H153" s="97"/>
    </row>
    <row r="154" spans="1:15" x14ac:dyDescent="0.2">
      <c r="A154" s="3"/>
      <c r="B154" s="3"/>
      <c r="C154" s="4" t="s">
        <v>110</v>
      </c>
      <c r="D154" s="3"/>
      <c r="E154" s="3"/>
      <c r="F154" s="14"/>
      <c r="G154" s="14"/>
      <c r="H154" s="97"/>
    </row>
    <row r="155" spans="1:15" x14ac:dyDescent="0.2">
      <c r="A155" s="3"/>
      <c r="B155" s="3"/>
      <c r="C155" s="4" t="s">
        <v>111</v>
      </c>
      <c r="D155" s="3"/>
      <c r="E155" s="3"/>
      <c r="F155" s="14"/>
      <c r="G155" s="14"/>
      <c r="H155" s="97"/>
    </row>
    <row r="156" spans="1:15" x14ac:dyDescent="0.2">
      <c r="A156" s="3"/>
      <c r="B156" s="3"/>
      <c r="C156" s="4" t="s">
        <v>97</v>
      </c>
      <c r="D156" s="3"/>
      <c r="E156" s="3" t="s">
        <v>98</v>
      </c>
      <c r="F156" s="15">
        <v>0</v>
      </c>
      <c r="G156" s="16">
        <v>0</v>
      </c>
      <c r="H156" s="97"/>
    </row>
    <row r="157" spans="1:15" x14ac:dyDescent="0.2">
      <c r="A157" s="3"/>
      <c r="B157" s="3"/>
      <c r="C157" s="13"/>
      <c r="D157" s="3"/>
      <c r="E157" s="3"/>
      <c r="F157" s="14"/>
      <c r="G157" s="14"/>
      <c r="H157" s="97"/>
    </row>
    <row r="158" spans="1:15" x14ac:dyDescent="0.2">
      <c r="A158" s="3"/>
      <c r="B158" s="3"/>
      <c r="C158" s="4" t="s">
        <v>112</v>
      </c>
      <c r="D158" s="3"/>
      <c r="E158" s="3"/>
      <c r="F158" s="14"/>
      <c r="G158" s="14"/>
      <c r="H158" s="97"/>
    </row>
    <row r="159" spans="1:15" x14ac:dyDescent="0.2">
      <c r="A159" s="3"/>
      <c r="B159" s="3"/>
      <c r="C159" s="4" t="s">
        <v>97</v>
      </c>
      <c r="D159" s="3"/>
      <c r="E159" s="3" t="s">
        <v>98</v>
      </c>
      <c r="F159" s="15">
        <v>0</v>
      </c>
      <c r="G159" s="16">
        <v>0</v>
      </c>
      <c r="H159" s="97"/>
    </row>
    <row r="160" spans="1:15" x14ac:dyDescent="0.2">
      <c r="A160" s="3"/>
      <c r="B160" s="3"/>
      <c r="C160" s="13"/>
      <c r="D160" s="3"/>
      <c r="E160" s="3"/>
      <c r="F160" s="14"/>
      <c r="G160" s="14"/>
      <c r="H160" s="97"/>
    </row>
    <row r="161" spans="1:8" x14ac:dyDescent="0.2">
      <c r="A161" s="3"/>
      <c r="B161" s="3"/>
      <c r="C161" s="4" t="s">
        <v>113</v>
      </c>
      <c r="D161" s="3"/>
      <c r="E161" s="3"/>
      <c r="F161" s="14"/>
      <c r="G161" s="14"/>
      <c r="H161" s="97"/>
    </row>
    <row r="162" spans="1:8" ht="15" x14ac:dyDescent="0.25">
      <c r="A162" s="5">
        <v>1</v>
      </c>
      <c r="B162" s="6" t="s">
        <v>504</v>
      </c>
      <c r="C162" s="6" t="s">
        <v>505</v>
      </c>
      <c r="D162" s="6" t="s">
        <v>506</v>
      </c>
      <c r="E162" s="7">
        <v>18000</v>
      </c>
      <c r="F162" s="8">
        <v>17.991990000000001</v>
      </c>
      <c r="G162" s="9">
        <v>1.0258382104059408E-4</v>
      </c>
      <c r="H162" s="88">
        <v>3.25</v>
      </c>
    </row>
    <row r="163" spans="1:8" x14ac:dyDescent="0.2">
      <c r="A163" s="3"/>
      <c r="B163" s="3"/>
      <c r="C163" s="4" t="s">
        <v>97</v>
      </c>
      <c r="D163" s="3"/>
      <c r="E163" s="3" t="s">
        <v>98</v>
      </c>
      <c r="F163" s="15">
        <v>17.991990000000001</v>
      </c>
      <c r="G163" s="16">
        <v>1.0258382104059408E-4</v>
      </c>
      <c r="H163" s="97"/>
    </row>
    <row r="164" spans="1:8" x14ac:dyDescent="0.2">
      <c r="A164" s="3"/>
      <c r="B164" s="3"/>
      <c r="C164" s="13"/>
      <c r="D164" s="3"/>
      <c r="E164" s="3"/>
      <c r="F164" s="14"/>
      <c r="G164" s="14"/>
      <c r="H164" s="97"/>
    </row>
    <row r="165" spans="1:8" x14ac:dyDescent="0.2">
      <c r="A165" s="3"/>
      <c r="B165" s="3"/>
      <c r="C165" s="4" t="s">
        <v>114</v>
      </c>
      <c r="D165" s="3"/>
      <c r="E165" s="3"/>
      <c r="F165" s="14"/>
      <c r="G165" s="14"/>
      <c r="H165" s="97"/>
    </row>
    <row r="166" spans="1:8" x14ac:dyDescent="0.2">
      <c r="A166" s="5">
        <v>1</v>
      </c>
      <c r="B166" s="6"/>
      <c r="C166" s="6" t="s">
        <v>115</v>
      </c>
      <c r="D166" s="6"/>
      <c r="E166" s="10"/>
      <c r="F166" s="8">
        <v>1348.4007875</v>
      </c>
      <c r="G166" s="9">
        <v>7.6880937059155829E-3</v>
      </c>
      <c r="H166" s="8">
        <v>3.4504560529072292</v>
      </c>
    </row>
    <row r="167" spans="1:8" x14ac:dyDescent="0.2">
      <c r="A167" s="5">
        <v>2</v>
      </c>
      <c r="B167" s="6"/>
      <c r="C167" s="6" t="s">
        <v>116</v>
      </c>
      <c r="D167" s="6"/>
      <c r="E167" s="10"/>
      <c r="F167" s="8">
        <v>727.74205400000005</v>
      </c>
      <c r="G167" s="9">
        <v>4.1493220389323439E-3</v>
      </c>
      <c r="H167" s="8">
        <v>3.5655822479098256</v>
      </c>
    </row>
    <row r="168" spans="1:8" x14ac:dyDescent="0.2">
      <c r="A168" s="3"/>
      <c r="B168" s="3"/>
      <c r="C168" s="4" t="s">
        <v>97</v>
      </c>
      <c r="D168" s="3"/>
      <c r="E168" s="3" t="s">
        <v>98</v>
      </c>
      <c r="F168" s="11">
        <v>2076.1428415</v>
      </c>
      <c r="G168" s="12">
        <v>1.1837415744847927E-2</v>
      </c>
      <c r="H168" s="97"/>
    </row>
    <row r="169" spans="1:8" x14ac:dyDescent="0.2">
      <c r="A169" s="3"/>
      <c r="B169" s="3"/>
      <c r="C169" s="13"/>
      <c r="D169" s="3"/>
      <c r="E169" s="3"/>
      <c r="F169" s="14"/>
      <c r="G169" s="14"/>
      <c r="H169" s="97"/>
    </row>
    <row r="170" spans="1:8" x14ac:dyDescent="0.2">
      <c r="A170" s="3"/>
      <c r="B170" s="3"/>
      <c r="C170" s="4" t="s">
        <v>117</v>
      </c>
      <c r="D170" s="3"/>
      <c r="E170" s="3"/>
      <c r="F170" s="11">
        <v>2076.1428415</v>
      </c>
      <c r="G170" s="12">
        <v>1.1939999565888522E-2</v>
      </c>
      <c r="H170" s="97"/>
    </row>
    <row r="171" spans="1:8" x14ac:dyDescent="0.2">
      <c r="A171" s="3"/>
      <c r="B171" s="3"/>
      <c r="C171" s="14"/>
      <c r="D171" s="3"/>
      <c r="E171" s="3"/>
      <c r="F171" s="3"/>
      <c r="G171" s="3"/>
      <c r="H171" s="97"/>
    </row>
    <row r="172" spans="1:8" x14ac:dyDescent="0.2">
      <c r="A172" s="3"/>
      <c r="B172" s="3"/>
      <c r="C172" s="4" t="s">
        <v>118</v>
      </c>
      <c r="D172" s="3"/>
      <c r="E172" s="3"/>
      <c r="F172" s="3"/>
      <c r="G172" s="3"/>
      <c r="H172" s="97"/>
    </row>
    <row r="173" spans="1:8" x14ac:dyDescent="0.2">
      <c r="A173" s="3"/>
      <c r="B173" s="3"/>
      <c r="C173" s="4" t="s">
        <v>119</v>
      </c>
      <c r="D173" s="3"/>
      <c r="E173" s="3"/>
      <c r="F173" s="3"/>
      <c r="G173" s="3"/>
      <c r="H173" s="97"/>
    </row>
    <row r="174" spans="1:8" x14ac:dyDescent="0.2">
      <c r="A174" s="3"/>
      <c r="B174" s="3"/>
      <c r="C174" s="4" t="s">
        <v>97</v>
      </c>
      <c r="D174" s="3"/>
      <c r="E174" s="3" t="s">
        <v>98</v>
      </c>
      <c r="F174" s="15">
        <v>0</v>
      </c>
      <c r="G174" s="16">
        <v>0</v>
      </c>
      <c r="H174" s="97"/>
    </row>
    <row r="175" spans="1:8" x14ac:dyDescent="0.2">
      <c r="A175" s="3"/>
      <c r="B175" s="3"/>
      <c r="C175" s="13"/>
      <c r="D175" s="3"/>
      <c r="E175" s="3"/>
      <c r="F175" s="14"/>
      <c r="G175" s="14"/>
      <c r="H175" s="97"/>
    </row>
    <row r="176" spans="1:8" x14ac:dyDescent="0.2">
      <c r="A176" s="3"/>
      <c r="B176" s="3"/>
      <c r="C176" s="4" t="s">
        <v>120</v>
      </c>
      <c r="D176" s="3"/>
      <c r="E176" s="3"/>
      <c r="F176" s="3"/>
      <c r="G176" s="3"/>
      <c r="H176" s="97"/>
    </row>
    <row r="177" spans="1:15" x14ac:dyDescent="0.2">
      <c r="A177" s="3"/>
      <c r="B177" s="3"/>
      <c r="C177" s="4" t="s">
        <v>121</v>
      </c>
      <c r="D177" s="3"/>
      <c r="E177" s="3"/>
      <c r="F177" s="3"/>
      <c r="G177" s="3"/>
      <c r="H177" s="97"/>
    </row>
    <row r="178" spans="1:15" x14ac:dyDescent="0.2">
      <c r="A178" s="3"/>
      <c r="B178" s="3"/>
      <c r="C178" s="4" t="s">
        <v>97</v>
      </c>
      <c r="D178" s="3"/>
      <c r="E178" s="3" t="s">
        <v>98</v>
      </c>
      <c r="F178" s="15">
        <v>0</v>
      </c>
      <c r="G178" s="16">
        <v>0</v>
      </c>
      <c r="H178" s="97"/>
    </row>
    <row r="179" spans="1:15" x14ac:dyDescent="0.2">
      <c r="A179" s="3"/>
      <c r="B179" s="3"/>
      <c r="C179" s="13"/>
      <c r="D179" s="3"/>
      <c r="E179" s="3"/>
      <c r="F179" s="14"/>
      <c r="G179" s="14"/>
      <c r="H179" s="97"/>
    </row>
    <row r="180" spans="1:15" x14ac:dyDescent="0.2">
      <c r="A180" s="3"/>
      <c r="B180" s="3"/>
      <c r="C180" s="13"/>
      <c r="D180" s="3"/>
      <c r="E180" s="3"/>
      <c r="F180" s="14"/>
      <c r="G180" s="14"/>
      <c r="H180" s="97"/>
    </row>
    <row r="181" spans="1:15" ht="25.5" x14ac:dyDescent="0.2">
      <c r="A181" s="3"/>
      <c r="B181" s="3"/>
      <c r="C181" s="4" t="s">
        <v>122</v>
      </c>
      <c r="D181" s="3"/>
      <c r="E181" s="3"/>
      <c r="F181" s="14"/>
      <c r="G181" s="14"/>
      <c r="H181" s="97"/>
    </row>
    <row r="182" spans="1:15" x14ac:dyDescent="0.2">
      <c r="A182" s="3"/>
      <c r="B182" s="3"/>
      <c r="C182" s="4" t="s">
        <v>97</v>
      </c>
      <c r="D182" s="3"/>
      <c r="E182" s="3" t="s">
        <v>98</v>
      </c>
      <c r="F182" s="15">
        <v>0</v>
      </c>
      <c r="G182" s="16">
        <v>0</v>
      </c>
      <c r="H182" s="97"/>
    </row>
    <row r="183" spans="1:15" x14ac:dyDescent="0.2">
      <c r="A183" s="3"/>
      <c r="B183" s="3"/>
      <c r="C183" s="13"/>
      <c r="D183" s="3"/>
      <c r="E183" s="3"/>
      <c r="F183" s="14"/>
      <c r="G183" s="14"/>
      <c r="H183" s="97"/>
    </row>
    <row r="184" spans="1:15" x14ac:dyDescent="0.2">
      <c r="A184" s="3"/>
      <c r="B184" s="6"/>
      <c r="C184" s="6"/>
      <c r="D184" s="4"/>
      <c r="E184" s="3"/>
      <c r="F184" s="6"/>
      <c r="G184" s="10"/>
      <c r="H184" s="97"/>
    </row>
    <row r="185" spans="1:15" x14ac:dyDescent="0.2">
      <c r="A185" s="10"/>
      <c r="B185" s="6"/>
      <c r="C185" s="6" t="s">
        <v>1016</v>
      </c>
      <c r="D185" s="6"/>
      <c r="E185" s="10"/>
      <c r="F185" s="8">
        <v>1743.5580537199999</v>
      </c>
      <c r="G185" s="9">
        <v>9.9411375482478023E-3</v>
      </c>
      <c r="H185" s="97"/>
    </row>
    <row r="186" spans="1:15" x14ac:dyDescent="0.2">
      <c r="A186" s="13"/>
      <c r="B186" s="13"/>
      <c r="C186" s="4" t="s">
        <v>124</v>
      </c>
      <c r="D186" s="17"/>
      <c r="E186" s="17"/>
      <c r="F186" s="11">
        <v>175388.18321926496</v>
      </c>
      <c r="G186" s="12">
        <v>1</v>
      </c>
      <c r="H186" s="97"/>
    </row>
    <row r="187" spans="1:15" ht="14.1" customHeight="1" x14ac:dyDescent="0.2">
      <c r="A187" s="18"/>
      <c r="B187" s="18"/>
      <c r="C187" s="18"/>
      <c r="D187" s="19"/>
      <c r="E187" s="19"/>
      <c r="F187" s="19"/>
      <c r="G187" s="19"/>
    </row>
    <row r="188" spans="1:15" s="69" customFormat="1" ht="17.100000000000001" customHeight="1" x14ac:dyDescent="0.2">
      <c r="A188" s="94"/>
      <c r="B188" s="234" t="s">
        <v>1018</v>
      </c>
      <c r="C188" s="234"/>
      <c r="D188" s="234"/>
      <c r="E188" s="234"/>
      <c r="F188" s="234"/>
      <c r="G188" s="95"/>
      <c r="H188"/>
      <c r="I188"/>
      <c r="J188"/>
      <c r="K188"/>
      <c r="L188"/>
      <c r="M188"/>
      <c r="N188"/>
      <c r="O188"/>
    </row>
    <row r="189" spans="1:15" ht="14.1" customHeight="1" x14ac:dyDescent="0.2">
      <c r="A189" s="20"/>
      <c r="B189" s="226" t="s">
        <v>1298</v>
      </c>
      <c r="C189" s="226"/>
      <c r="D189" s="226"/>
      <c r="E189" s="226"/>
      <c r="F189" s="226"/>
      <c r="G189" s="22"/>
    </row>
    <row r="190" spans="1:15" ht="14.1" customHeight="1" x14ac:dyDescent="0.2">
      <c r="A190" s="20"/>
      <c r="B190" s="20"/>
      <c r="C190" s="20"/>
      <c r="D190" s="22"/>
      <c r="E190" s="22"/>
      <c r="F190" s="22"/>
      <c r="G190" s="22"/>
    </row>
    <row r="191" spans="1:15" ht="14.1" customHeight="1" x14ac:dyDescent="0.2">
      <c r="A191" s="20"/>
      <c r="B191" s="224" t="s">
        <v>126</v>
      </c>
      <c r="C191" s="225"/>
      <c r="D191" s="14" t="s">
        <v>98</v>
      </c>
      <c r="E191" s="23"/>
      <c r="F191" s="22"/>
      <c r="G191" s="22"/>
    </row>
    <row r="192" spans="1:15" ht="29.1" customHeight="1" x14ac:dyDescent="0.2">
      <c r="A192" s="20"/>
      <c r="B192" s="231" t="s">
        <v>127</v>
      </c>
      <c r="C192" s="232"/>
      <c r="D192" s="4" t="s">
        <v>1293</v>
      </c>
      <c r="E192" s="23"/>
      <c r="F192" s="22"/>
      <c r="G192" s="22"/>
    </row>
    <row r="193" spans="1:7" ht="17.100000000000001" customHeight="1" x14ac:dyDescent="0.2">
      <c r="A193" s="20"/>
      <c r="B193" s="231" t="s">
        <v>1084</v>
      </c>
      <c r="C193" s="232"/>
      <c r="D193" s="90" t="s">
        <v>1281</v>
      </c>
      <c r="E193" s="23"/>
      <c r="F193" s="22"/>
      <c r="G193" s="22"/>
    </row>
    <row r="194" spans="1:7" ht="17.100000000000001" customHeight="1" x14ac:dyDescent="0.2">
      <c r="A194" s="20"/>
      <c r="B194" s="231" t="s">
        <v>1055</v>
      </c>
      <c r="C194" s="235"/>
      <c r="D194" s="232"/>
      <c r="E194" s="23"/>
      <c r="F194" s="22"/>
      <c r="G194" s="22"/>
    </row>
    <row r="195" spans="1:7" ht="24" customHeight="1" x14ac:dyDescent="0.2">
      <c r="A195" s="24"/>
      <c r="B195" s="25" t="s">
        <v>98</v>
      </c>
      <c r="C195" s="25" t="s">
        <v>131</v>
      </c>
      <c r="D195" s="25" t="s">
        <v>132</v>
      </c>
      <c r="E195" s="24"/>
      <c r="F195" s="24"/>
      <c r="G195" s="24"/>
    </row>
    <row r="196" spans="1:7" ht="18" customHeight="1" x14ac:dyDescent="0.2">
      <c r="A196" s="24"/>
      <c r="B196" s="25" t="s">
        <v>133</v>
      </c>
      <c r="C196" s="25" t="s">
        <v>134</v>
      </c>
      <c r="D196" s="25" t="s">
        <v>135</v>
      </c>
      <c r="E196" s="24"/>
      <c r="F196" s="24"/>
      <c r="G196" s="24"/>
    </row>
    <row r="197" spans="1:7" x14ac:dyDescent="0.2">
      <c r="A197" s="24"/>
      <c r="B197" s="6" t="s">
        <v>136</v>
      </c>
      <c r="C197" s="86">
        <v>250.47</v>
      </c>
      <c r="D197" s="26">
        <v>259.03190000000001</v>
      </c>
      <c r="E197" s="24"/>
      <c r="F197" s="21"/>
      <c r="G197" s="27"/>
    </row>
    <row r="198" spans="1:7" ht="25.5" x14ac:dyDescent="0.2">
      <c r="A198" s="24"/>
      <c r="B198" s="6" t="s">
        <v>1205</v>
      </c>
      <c r="C198" s="86">
        <v>69.180000000000007</v>
      </c>
      <c r="D198" s="26">
        <v>68.886200000000002</v>
      </c>
      <c r="E198" s="24"/>
      <c r="F198" s="21"/>
      <c r="G198" s="27"/>
    </row>
    <row r="199" spans="1:7" x14ac:dyDescent="0.2">
      <c r="A199" s="24"/>
      <c r="B199" s="6" t="s">
        <v>137</v>
      </c>
      <c r="C199" s="86">
        <v>234.28</v>
      </c>
      <c r="D199" s="26">
        <v>242.13730000000001</v>
      </c>
      <c r="E199" s="24"/>
      <c r="F199" s="21"/>
      <c r="G199" s="27"/>
    </row>
    <row r="200" spans="1:7" ht="25.5" x14ac:dyDescent="0.2">
      <c r="A200" s="24"/>
      <c r="B200" s="6" t="s">
        <v>1206</v>
      </c>
      <c r="C200" s="86">
        <v>53.41</v>
      </c>
      <c r="D200" s="26">
        <v>53.158299999999997</v>
      </c>
      <c r="E200" s="24"/>
      <c r="F200" s="21"/>
      <c r="G200" s="27"/>
    </row>
    <row r="201" spans="1:7" ht="17.100000000000001" customHeight="1" x14ac:dyDescent="0.2">
      <c r="A201" s="20"/>
      <c r="B201" s="231" t="s">
        <v>1056</v>
      </c>
      <c r="C201" s="235"/>
      <c r="D201" s="232"/>
      <c r="E201" s="23"/>
      <c r="F201" s="22"/>
      <c r="G201" s="22"/>
    </row>
    <row r="202" spans="1:7" ht="24" customHeight="1" x14ac:dyDescent="0.2">
      <c r="A202" s="24"/>
      <c r="B202" s="25" t="s">
        <v>98</v>
      </c>
      <c r="C202" s="25" t="s">
        <v>131</v>
      </c>
      <c r="D202" s="25" t="s">
        <v>132</v>
      </c>
      <c r="E202" s="24"/>
      <c r="F202" s="24"/>
      <c r="G202" s="24"/>
    </row>
    <row r="203" spans="1:7" ht="18" customHeight="1" x14ac:dyDescent="0.2">
      <c r="A203" s="24"/>
      <c r="B203" s="25" t="s">
        <v>133</v>
      </c>
      <c r="C203" s="25" t="s">
        <v>134</v>
      </c>
      <c r="D203" s="25" t="s">
        <v>135</v>
      </c>
      <c r="E203" s="24"/>
      <c r="F203" s="24"/>
      <c r="G203" s="24"/>
    </row>
    <row r="204" spans="1:7" ht="17.100000000000001" customHeight="1" x14ac:dyDescent="0.2">
      <c r="A204" s="24"/>
      <c r="B204" s="6" t="s">
        <v>136</v>
      </c>
      <c r="C204" s="26">
        <v>16.7882</v>
      </c>
      <c r="D204" s="26">
        <v>17.325399999999998</v>
      </c>
      <c r="E204" s="24"/>
      <c r="F204" s="21"/>
      <c r="G204" s="27"/>
    </row>
    <row r="205" spans="1:7" ht="17.100000000000001" customHeight="1" x14ac:dyDescent="0.2">
      <c r="A205" s="24"/>
      <c r="B205" s="6" t="s">
        <v>1201</v>
      </c>
      <c r="C205" s="26">
        <v>15.622400000000001</v>
      </c>
      <c r="D205" s="26">
        <v>16.122399999999999</v>
      </c>
      <c r="E205" s="24"/>
      <c r="F205" s="21"/>
      <c r="G205" s="27"/>
    </row>
    <row r="206" spans="1:7" ht="17.100000000000001" customHeight="1" x14ac:dyDescent="0.2">
      <c r="A206" s="24"/>
      <c r="B206" s="6" t="s">
        <v>137</v>
      </c>
      <c r="C206" s="26">
        <v>16.104600000000001</v>
      </c>
      <c r="D206" s="26">
        <v>16.5962</v>
      </c>
      <c r="E206" s="24"/>
      <c r="F206" s="21"/>
      <c r="G206" s="27"/>
    </row>
    <row r="207" spans="1:7" ht="17.100000000000001" customHeight="1" x14ac:dyDescent="0.2">
      <c r="A207" s="24"/>
      <c r="B207" s="6" t="s">
        <v>1202</v>
      </c>
      <c r="C207" s="26">
        <v>15.0001</v>
      </c>
      <c r="D207" s="26">
        <v>15.457800000000001</v>
      </c>
      <c r="E207" s="24"/>
      <c r="F207" s="21"/>
      <c r="G207" s="27"/>
    </row>
    <row r="208" spans="1:7" ht="14.1" customHeight="1" x14ac:dyDescent="0.2">
      <c r="A208" s="24"/>
      <c r="B208" s="24"/>
      <c r="C208" s="24"/>
      <c r="D208" s="24"/>
      <c r="E208" s="24"/>
      <c r="F208" s="24"/>
      <c r="G208" s="24"/>
    </row>
    <row r="209" spans="1:17" ht="22.5" customHeight="1" x14ac:dyDescent="0.2">
      <c r="A209" s="24"/>
      <c r="B209" s="231" t="s">
        <v>1058</v>
      </c>
      <c r="C209" s="232"/>
      <c r="D209" s="4"/>
      <c r="E209" s="24"/>
      <c r="F209" s="24"/>
      <c r="G209" s="24"/>
    </row>
    <row r="210" spans="1:17" ht="18" customHeight="1" x14ac:dyDescent="0.2">
      <c r="A210" s="24"/>
      <c r="B210" s="81" t="s">
        <v>133</v>
      </c>
      <c r="C210" s="82" t="s">
        <v>1019</v>
      </c>
      <c r="D210" s="82" t="s">
        <v>1020</v>
      </c>
      <c r="E210" s="24"/>
      <c r="F210" s="24"/>
      <c r="G210" s="24"/>
    </row>
    <row r="211" spans="1:17" ht="25.5" x14ac:dyDescent="0.2">
      <c r="A211" s="24"/>
      <c r="B211" s="6" t="s">
        <v>1062</v>
      </c>
      <c r="C211" s="83">
        <v>2.4990000000000001</v>
      </c>
      <c r="D211" s="83">
        <v>2.4990000000000001</v>
      </c>
      <c r="E211" s="24"/>
      <c r="F211" s="21"/>
      <c r="G211" s="27"/>
    </row>
    <row r="212" spans="1:17" ht="25.5" x14ac:dyDescent="0.2">
      <c r="A212" s="24"/>
      <c r="B212" s="6" t="s">
        <v>1063</v>
      </c>
      <c r="C212" s="83">
        <v>1.9296</v>
      </c>
      <c r="D212" s="83">
        <v>1.9296</v>
      </c>
      <c r="E212" s="24"/>
      <c r="F212" s="21"/>
      <c r="G212" s="27"/>
    </row>
    <row r="213" spans="1:17" x14ac:dyDescent="0.2">
      <c r="A213" s="24"/>
      <c r="B213" s="231"/>
      <c r="C213" s="235"/>
      <c r="D213" s="232"/>
      <c r="E213" s="24"/>
      <c r="F213" s="24"/>
      <c r="G213" s="24"/>
    </row>
    <row r="214" spans="1:17" ht="25.5" customHeight="1" x14ac:dyDescent="0.2">
      <c r="A214" s="24"/>
      <c r="B214" s="231" t="s">
        <v>1057</v>
      </c>
      <c r="C214" s="232"/>
      <c r="D214" s="4" t="s">
        <v>128</v>
      </c>
      <c r="E214" s="24"/>
      <c r="F214" s="24"/>
      <c r="G214" s="24"/>
    </row>
    <row r="215" spans="1:17" ht="18" customHeight="1" x14ac:dyDescent="0.2">
      <c r="A215" s="24"/>
      <c r="B215" s="28"/>
      <c r="C215" s="28"/>
      <c r="D215" s="29"/>
      <c r="E215" s="24"/>
      <c r="F215" s="24"/>
      <c r="G215" s="24"/>
    </row>
    <row r="216" spans="1:17" s="87" customFormat="1" x14ac:dyDescent="0.2">
      <c r="B216" s="233" t="s">
        <v>1207</v>
      </c>
      <c r="C216" s="233"/>
      <c r="D216" s="233"/>
      <c r="E216" s="233"/>
      <c r="F216" s="233"/>
      <c r="I216"/>
      <c r="J216"/>
      <c r="K216"/>
      <c r="L216"/>
      <c r="M216"/>
      <c r="N216"/>
      <c r="O216"/>
      <c r="P216" s="69"/>
      <c r="Q216" s="69"/>
    </row>
    <row r="217" spans="1:17" ht="14.1" customHeight="1" x14ac:dyDescent="0.2">
      <c r="A217" s="24"/>
      <c r="B217" s="21"/>
      <c r="C217" s="21"/>
      <c r="D217" s="24"/>
      <c r="E217" s="24"/>
      <c r="F217" s="24"/>
      <c r="G217" s="24"/>
    </row>
    <row r="218" spans="1:17" ht="29.1" customHeight="1" x14ac:dyDescent="0.2">
      <c r="A218" s="24"/>
      <c r="B218" s="231" t="s">
        <v>138</v>
      </c>
      <c r="C218" s="232"/>
      <c r="D218" s="4" t="s">
        <v>128</v>
      </c>
      <c r="E218" s="24"/>
      <c r="F218" s="24"/>
      <c r="G218" s="24"/>
    </row>
    <row r="219" spans="1:17" ht="29.1" customHeight="1" x14ac:dyDescent="0.2">
      <c r="A219" s="24"/>
      <c r="B219" s="231" t="s">
        <v>139</v>
      </c>
      <c r="C219" s="232"/>
      <c r="D219" s="4" t="s">
        <v>128</v>
      </c>
      <c r="E219" s="24"/>
      <c r="F219" s="24"/>
      <c r="G219" s="24"/>
    </row>
    <row r="220" spans="1:17" ht="17.100000000000001" customHeight="1" x14ac:dyDescent="0.2">
      <c r="A220" s="24"/>
      <c r="B220" s="231" t="s">
        <v>140</v>
      </c>
      <c r="C220" s="232"/>
      <c r="D220" s="30">
        <v>0.54909797076541667</v>
      </c>
      <c r="E220" s="24"/>
      <c r="F220" s="21"/>
      <c r="G220" s="27"/>
    </row>
    <row r="221" spans="1:17" ht="17.100000000000001" customHeight="1" x14ac:dyDescent="0.2">
      <c r="A221" s="24"/>
      <c r="B221" s="259" t="s">
        <v>141</v>
      </c>
      <c r="C221" s="260"/>
      <c r="D221" s="200" t="s">
        <v>128</v>
      </c>
      <c r="E221" s="24"/>
      <c r="F221" s="24"/>
      <c r="G221" s="24"/>
    </row>
    <row r="222" spans="1:17" x14ac:dyDescent="0.2">
      <c r="B222" s="201" t="s">
        <v>1292</v>
      </c>
      <c r="C222" s="201"/>
      <c r="D222" s="201"/>
      <c r="E222" s="192"/>
      <c r="F222" s="193"/>
    </row>
    <row r="223" spans="1:17" ht="38.25" x14ac:dyDescent="0.2">
      <c r="B223" s="199" t="s">
        <v>1285</v>
      </c>
      <c r="C223" s="199" t="s">
        <v>1286</v>
      </c>
      <c r="D223" s="199" t="s">
        <v>1287</v>
      </c>
      <c r="E223" s="199" t="s">
        <v>1288</v>
      </c>
      <c r="F223" s="199" t="s">
        <v>1289</v>
      </c>
    </row>
    <row r="224" spans="1:17" x14ac:dyDescent="0.2">
      <c r="B224" s="194" t="s">
        <v>1290</v>
      </c>
      <c r="C224" s="195" t="s">
        <v>1291</v>
      </c>
      <c r="D224" s="196">
        <v>0</v>
      </c>
      <c r="E224" s="197">
        <v>0</v>
      </c>
      <c r="F224" s="198">
        <v>29.407129999999999</v>
      </c>
    </row>
  </sheetData>
  <sortState xmlns:xlrd2="http://schemas.microsoft.com/office/spreadsheetml/2017/richdata2" ref="A7:G110">
    <sortCondition descending="1" ref="G7:G110"/>
  </sortState>
  <mergeCells count="19">
    <mergeCell ref="B220:C220"/>
    <mergeCell ref="B221:C221"/>
    <mergeCell ref="B192:C192"/>
    <mergeCell ref="B193:C193"/>
    <mergeCell ref="B218:C218"/>
    <mergeCell ref="B219:C219"/>
    <mergeCell ref="B194:D194"/>
    <mergeCell ref="B201:D201"/>
    <mergeCell ref="B209:C209"/>
    <mergeCell ref="B213:D213"/>
    <mergeCell ref="B214:C214"/>
    <mergeCell ref="B216:F216"/>
    <mergeCell ref="J2:N2"/>
    <mergeCell ref="B191:C191"/>
    <mergeCell ref="B188:F188"/>
    <mergeCell ref="B189:F189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44">
    <outlinePr summaryBelow="0" summaryRight="0"/>
  </sheetPr>
  <dimension ref="A1:Q207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5" ht="15" x14ac:dyDescent="0.2">
      <c r="A1" s="227" t="s">
        <v>0</v>
      </c>
      <c r="B1" s="227"/>
      <c r="C1" s="227"/>
      <c r="D1" s="227"/>
      <c r="E1" s="227"/>
      <c r="F1" s="227"/>
      <c r="G1" s="227"/>
      <c r="H1" s="227"/>
    </row>
    <row r="2" spans="1:15" s="87" customFormat="1" ht="15" x14ac:dyDescent="0.2">
      <c r="A2" s="228" t="s">
        <v>1261</v>
      </c>
      <c r="B2" s="229"/>
      <c r="C2" s="229"/>
      <c r="D2" s="229"/>
      <c r="E2" s="229"/>
      <c r="F2" s="229"/>
      <c r="G2" s="229"/>
      <c r="H2" s="230"/>
      <c r="I2"/>
      <c r="J2" s="223" t="s">
        <v>1238</v>
      </c>
      <c r="K2" s="223"/>
      <c r="L2" s="223"/>
      <c r="M2" s="223"/>
      <c r="N2" s="223"/>
      <c r="O2"/>
    </row>
    <row r="3" spans="1:15" ht="15" x14ac:dyDescent="0.2">
      <c r="A3" s="227" t="s">
        <v>1208</v>
      </c>
      <c r="B3" s="227"/>
      <c r="C3" s="227"/>
      <c r="D3" s="227"/>
      <c r="E3" s="227"/>
      <c r="F3" s="227"/>
      <c r="G3" s="227"/>
      <c r="H3" s="227"/>
    </row>
    <row r="4" spans="1:15" s="113" customFormat="1" ht="30" x14ac:dyDescent="0.2">
      <c r="A4" s="1" t="s">
        <v>2</v>
      </c>
      <c r="B4" s="1" t="s">
        <v>3</v>
      </c>
      <c r="C4" s="1" t="s">
        <v>4</v>
      </c>
      <c r="D4" s="1" t="s">
        <v>5</v>
      </c>
      <c r="E4" s="2" t="s">
        <v>6</v>
      </c>
      <c r="F4" s="2" t="s">
        <v>7</v>
      </c>
      <c r="G4" s="2" t="s">
        <v>8</v>
      </c>
      <c r="H4" s="96" t="s">
        <v>1167</v>
      </c>
      <c r="I4" s="183"/>
      <c r="J4" s="183"/>
      <c r="K4" s="183"/>
      <c r="L4" s="183"/>
      <c r="M4" s="183"/>
      <c r="N4" s="183"/>
      <c r="O4" s="183"/>
    </row>
    <row r="5" spans="1:15" ht="14.1" customHeight="1" x14ac:dyDescent="0.2">
      <c r="A5" s="3"/>
      <c r="B5" s="3"/>
      <c r="C5" s="4" t="s">
        <v>9</v>
      </c>
      <c r="D5" s="3"/>
      <c r="E5" s="3"/>
      <c r="F5" s="3"/>
      <c r="G5" s="3"/>
      <c r="H5" s="97"/>
    </row>
    <row r="6" spans="1:15" ht="24" customHeight="1" x14ac:dyDescent="0.2">
      <c r="A6" s="3"/>
      <c r="B6" s="3"/>
      <c r="C6" s="4" t="s">
        <v>10</v>
      </c>
      <c r="D6" s="3"/>
      <c r="E6" s="3"/>
      <c r="F6" s="3"/>
      <c r="G6" s="3"/>
      <c r="H6" s="97"/>
    </row>
    <row r="7" spans="1:15" x14ac:dyDescent="0.2">
      <c r="A7" s="5">
        <v>1</v>
      </c>
      <c r="B7" s="6" t="s">
        <v>468</v>
      </c>
      <c r="C7" s="6" t="s">
        <v>469</v>
      </c>
      <c r="D7" s="6" t="s">
        <v>78</v>
      </c>
      <c r="E7" s="7">
        <v>16605</v>
      </c>
      <c r="F7" s="8">
        <v>80.102519999999998</v>
      </c>
      <c r="G7" s="9">
        <v>1.4273020492158523E-2</v>
      </c>
      <c r="H7" s="97"/>
    </row>
    <row r="8" spans="1:15" x14ac:dyDescent="0.2">
      <c r="A8" s="5">
        <v>2</v>
      </c>
      <c r="B8" s="6" t="s">
        <v>516</v>
      </c>
      <c r="C8" s="6" t="s">
        <v>517</v>
      </c>
      <c r="D8" s="6" t="s">
        <v>147</v>
      </c>
      <c r="E8" s="7">
        <v>926</v>
      </c>
      <c r="F8" s="8">
        <v>67.894319999999993</v>
      </c>
      <c r="G8" s="9">
        <v>1.2097709543484627E-2</v>
      </c>
      <c r="H8" s="97"/>
    </row>
    <row r="9" spans="1:15" x14ac:dyDescent="0.2">
      <c r="A9" s="5">
        <v>3</v>
      </c>
      <c r="B9" s="6" t="s">
        <v>427</v>
      </c>
      <c r="C9" s="6" t="s">
        <v>428</v>
      </c>
      <c r="D9" s="6" t="s">
        <v>147</v>
      </c>
      <c r="E9" s="7">
        <v>3774</v>
      </c>
      <c r="F9" s="8">
        <v>67.575356999999997</v>
      </c>
      <c r="G9" s="9">
        <v>1.2040875308616106E-2</v>
      </c>
      <c r="H9" s="97"/>
    </row>
    <row r="10" spans="1:15" x14ac:dyDescent="0.2">
      <c r="A10" s="5">
        <v>4</v>
      </c>
      <c r="B10" s="6" t="s">
        <v>448</v>
      </c>
      <c r="C10" s="6" t="s">
        <v>449</v>
      </c>
      <c r="D10" s="6" t="s">
        <v>70</v>
      </c>
      <c r="E10" s="7">
        <v>2647</v>
      </c>
      <c r="F10" s="8">
        <v>66.767927999999998</v>
      </c>
      <c r="G10" s="9">
        <v>1.1897004046351661E-2</v>
      </c>
      <c r="H10" s="97"/>
    </row>
    <row r="11" spans="1:15" x14ac:dyDescent="0.2">
      <c r="A11" s="5">
        <v>5</v>
      </c>
      <c r="B11" s="6" t="s">
        <v>805</v>
      </c>
      <c r="C11" s="6" t="s">
        <v>806</v>
      </c>
      <c r="D11" s="6" t="s">
        <v>431</v>
      </c>
      <c r="E11" s="7">
        <v>19063</v>
      </c>
      <c r="F11" s="8">
        <v>65.042956000000004</v>
      </c>
      <c r="G11" s="9">
        <v>1.1589640923388742E-2</v>
      </c>
      <c r="H11" s="97"/>
    </row>
    <row r="12" spans="1:15" x14ac:dyDescent="0.2">
      <c r="A12" s="5">
        <v>6</v>
      </c>
      <c r="B12" s="6" t="s">
        <v>807</v>
      </c>
      <c r="C12" s="6" t="s">
        <v>808</v>
      </c>
      <c r="D12" s="6" t="s">
        <v>34</v>
      </c>
      <c r="E12" s="7">
        <v>31225</v>
      </c>
      <c r="F12" s="8">
        <v>63.823899999999995</v>
      </c>
      <c r="G12" s="9">
        <v>1.1372424145825578E-2</v>
      </c>
      <c r="H12" s="97"/>
    </row>
    <row r="13" spans="1:15" x14ac:dyDescent="0.2">
      <c r="A13" s="5">
        <v>7</v>
      </c>
      <c r="B13" s="6" t="s">
        <v>809</v>
      </c>
      <c r="C13" s="6" t="s">
        <v>810</v>
      </c>
      <c r="D13" s="6" t="s">
        <v>34</v>
      </c>
      <c r="E13" s="7">
        <v>4765</v>
      </c>
      <c r="F13" s="8">
        <v>63.386412499999999</v>
      </c>
      <c r="G13" s="9">
        <v>1.1294470692518951E-2</v>
      </c>
      <c r="H13" s="97"/>
    </row>
    <row r="14" spans="1:15" x14ac:dyDescent="0.2">
      <c r="A14" s="5">
        <v>8</v>
      </c>
      <c r="B14" s="6" t="s">
        <v>815</v>
      </c>
      <c r="C14" s="6" t="s">
        <v>816</v>
      </c>
      <c r="D14" s="6" t="s">
        <v>851</v>
      </c>
      <c r="E14" s="7">
        <v>3629</v>
      </c>
      <c r="F14" s="8">
        <v>62.035940500000002</v>
      </c>
      <c r="G14" s="9">
        <v>1.1053837632159724E-2</v>
      </c>
      <c r="H14" s="97"/>
    </row>
    <row r="15" spans="1:15" ht="25.5" x14ac:dyDescent="0.2">
      <c r="A15" s="5">
        <v>9</v>
      </c>
      <c r="B15" s="6" t="s">
        <v>813</v>
      </c>
      <c r="C15" s="6" t="s">
        <v>814</v>
      </c>
      <c r="D15" s="6" t="s">
        <v>45</v>
      </c>
      <c r="E15" s="7">
        <v>2627</v>
      </c>
      <c r="F15" s="8">
        <v>62.032664499999996</v>
      </c>
      <c r="G15" s="9">
        <v>1.1053253900023301E-2</v>
      </c>
      <c r="H15" s="97"/>
      <c r="J15" s="184" t="s">
        <v>1273</v>
      </c>
    </row>
    <row r="16" spans="1:15" ht="25.5" x14ac:dyDescent="0.2">
      <c r="A16" s="5">
        <v>10</v>
      </c>
      <c r="B16" s="6" t="s">
        <v>811</v>
      </c>
      <c r="C16" s="6" t="s">
        <v>812</v>
      </c>
      <c r="D16" s="6" t="s">
        <v>202</v>
      </c>
      <c r="E16" s="7">
        <v>398</v>
      </c>
      <c r="F16" s="8">
        <v>61.528212999999994</v>
      </c>
      <c r="G16" s="9">
        <v>1.096336850569613E-2</v>
      </c>
      <c r="H16" s="97"/>
    </row>
    <row r="17" spans="1:8" x14ac:dyDescent="0.2">
      <c r="A17" s="5">
        <v>11</v>
      </c>
      <c r="B17" s="6" t="s">
        <v>423</v>
      </c>
      <c r="C17" s="6" t="s">
        <v>424</v>
      </c>
      <c r="D17" s="6" t="s">
        <v>193</v>
      </c>
      <c r="E17" s="7">
        <v>7203</v>
      </c>
      <c r="F17" s="8">
        <v>60.915770999999999</v>
      </c>
      <c r="G17" s="9">
        <v>1.0854240887535572E-2</v>
      </c>
      <c r="H17" s="97"/>
    </row>
    <row r="18" spans="1:8" x14ac:dyDescent="0.2">
      <c r="A18" s="5">
        <v>12</v>
      </c>
      <c r="B18" s="6" t="s">
        <v>817</v>
      </c>
      <c r="C18" s="6" t="s">
        <v>818</v>
      </c>
      <c r="D18" s="6" t="s">
        <v>34</v>
      </c>
      <c r="E18" s="7">
        <v>3491</v>
      </c>
      <c r="F18" s="8">
        <v>60.773073499999995</v>
      </c>
      <c r="G18" s="9">
        <v>1.0828814417286198E-2</v>
      </c>
      <c r="H18" s="97"/>
    </row>
    <row r="19" spans="1:8" x14ac:dyDescent="0.2">
      <c r="A19" s="5">
        <v>13</v>
      </c>
      <c r="B19" s="6" t="s">
        <v>409</v>
      </c>
      <c r="C19" s="6" t="s">
        <v>410</v>
      </c>
      <c r="D19" s="6" t="s">
        <v>147</v>
      </c>
      <c r="E19" s="7">
        <v>3209</v>
      </c>
      <c r="F19" s="8">
        <v>60.577897499999999</v>
      </c>
      <c r="G19" s="9">
        <v>1.0794037096328287E-2</v>
      </c>
      <c r="H19" s="97"/>
    </row>
    <row r="20" spans="1:8" ht="25.5" x14ac:dyDescent="0.2">
      <c r="A20" s="5">
        <v>14</v>
      </c>
      <c r="B20" s="6" t="s">
        <v>622</v>
      </c>
      <c r="C20" s="6" t="s">
        <v>623</v>
      </c>
      <c r="D20" s="6" t="s">
        <v>202</v>
      </c>
      <c r="E20" s="7">
        <v>6737</v>
      </c>
      <c r="F20" s="8">
        <v>60.515102499999998</v>
      </c>
      <c r="G20" s="9">
        <v>1.0782848006124819E-2</v>
      </c>
      <c r="H20" s="97"/>
    </row>
    <row r="21" spans="1:8" x14ac:dyDescent="0.2">
      <c r="A21" s="5">
        <v>15</v>
      </c>
      <c r="B21" s="6" t="s">
        <v>303</v>
      </c>
      <c r="C21" s="6" t="s">
        <v>304</v>
      </c>
      <c r="D21" s="6" t="s">
        <v>174</v>
      </c>
      <c r="E21" s="7">
        <v>1205</v>
      </c>
      <c r="F21" s="8">
        <v>60.411470000000001</v>
      </c>
      <c r="G21" s="9">
        <v>1.0764382309962532E-2</v>
      </c>
      <c r="H21" s="97"/>
    </row>
    <row r="22" spans="1:8" x14ac:dyDescent="0.2">
      <c r="A22" s="5">
        <v>16</v>
      </c>
      <c r="B22" s="6" t="s">
        <v>421</v>
      </c>
      <c r="C22" s="6" t="s">
        <v>422</v>
      </c>
      <c r="D22" s="6" t="s">
        <v>147</v>
      </c>
      <c r="E22" s="7">
        <v>8445</v>
      </c>
      <c r="F22" s="8">
        <v>60.411307499999999</v>
      </c>
      <c r="G22" s="9">
        <v>1.0764353354995447E-2</v>
      </c>
      <c r="H22" s="97"/>
    </row>
    <row r="23" spans="1:8" x14ac:dyDescent="0.2">
      <c r="A23" s="5">
        <v>17</v>
      </c>
      <c r="B23" s="6" t="s">
        <v>508</v>
      </c>
      <c r="C23" s="6" t="s">
        <v>509</v>
      </c>
      <c r="D23" s="6" t="s">
        <v>238</v>
      </c>
      <c r="E23" s="7">
        <v>348</v>
      </c>
      <c r="F23" s="8">
        <v>60.274470000000001</v>
      </c>
      <c r="G23" s="9">
        <v>1.073997104540524E-2</v>
      </c>
      <c r="H23" s="97"/>
    </row>
    <row r="24" spans="1:8" x14ac:dyDescent="0.2">
      <c r="A24" s="5">
        <v>18</v>
      </c>
      <c r="B24" s="6" t="s">
        <v>11</v>
      </c>
      <c r="C24" s="6" t="s">
        <v>12</v>
      </c>
      <c r="D24" s="6" t="s">
        <v>13</v>
      </c>
      <c r="E24" s="7">
        <v>3164</v>
      </c>
      <c r="F24" s="8">
        <v>59.986275999999997</v>
      </c>
      <c r="G24" s="9">
        <v>1.0688619366734991E-2</v>
      </c>
      <c r="H24" s="97"/>
    </row>
    <row r="25" spans="1:8" x14ac:dyDescent="0.2">
      <c r="A25" s="5">
        <v>19</v>
      </c>
      <c r="B25" s="6" t="s">
        <v>819</v>
      </c>
      <c r="C25" s="6" t="s">
        <v>820</v>
      </c>
      <c r="D25" s="6" t="s">
        <v>81</v>
      </c>
      <c r="E25" s="7">
        <v>1095</v>
      </c>
      <c r="F25" s="8">
        <v>59.480947499999999</v>
      </c>
      <c r="G25" s="9">
        <v>1.0598577704677771E-2</v>
      </c>
      <c r="H25" s="97"/>
    </row>
    <row r="26" spans="1:8" x14ac:dyDescent="0.2">
      <c r="A26" s="5">
        <v>20</v>
      </c>
      <c r="B26" s="6" t="s">
        <v>470</v>
      </c>
      <c r="C26" s="6" t="s">
        <v>471</v>
      </c>
      <c r="D26" s="6" t="s">
        <v>327</v>
      </c>
      <c r="E26" s="7">
        <v>1263</v>
      </c>
      <c r="F26" s="8">
        <v>59.000413500000001</v>
      </c>
      <c r="G26" s="9">
        <v>1.0512954036044389E-2</v>
      </c>
      <c r="H26" s="97"/>
    </row>
    <row r="27" spans="1:8" x14ac:dyDescent="0.2">
      <c r="A27" s="5">
        <v>21</v>
      </c>
      <c r="B27" s="6" t="s">
        <v>821</v>
      </c>
      <c r="C27" s="6" t="s">
        <v>822</v>
      </c>
      <c r="D27" s="6" t="s">
        <v>193</v>
      </c>
      <c r="E27" s="7">
        <v>1795</v>
      </c>
      <c r="F27" s="8">
        <v>58.848177499999998</v>
      </c>
      <c r="G27" s="9">
        <v>1.0485827953773267E-2</v>
      </c>
      <c r="H27" s="97"/>
    </row>
    <row r="28" spans="1:8" x14ac:dyDescent="0.2">
      <c r="A28" s="5">
        <v>22</v>
      </c>
      <c r="B28" s="6" t="s">
        <v>823</v>
      </c>
      <c r="C28" s="6" t="s">
        <v>824</v>
      </c>
      <c r="D28" s="6" t="s">
        <v>25</v>
      </c>
      <c r="E28" s="7">
        <v>426161</v>
      </c>
      <c r="F28" s="8">
        <v>58.384056999999999</v>
      </c>
      <c r="G28" s="9">
        <v>1.0403128914999818E-2</v>
      </c>
      <c r="H28" s="97"/>
    </row>
    <row r="29" spans="1:8" x14ac:dyDescent="0.2">
      <c r="A29" s="5">
        <v>23</v>
      </c>
      <c r="B29" s="6" t="s">
        <v>332</v>
      </c>
      <c r="C29" s="6" t="s">
        <v>333</v>
      </c>
      <c r="D29" s="6" t="s">
        <v>60</v>
      </c>
      <c r="E29" s="7">
        <v>15437</v>
      </c>
      <c r="F29" s="8">
        <v>58.236082500000002</v>
      </c>
      <c r="G29" s="9">
        <v>1.0376762165603959E-2</v>
      </c>
      <c r="H29" s="97"/>
    </row>
    <row r="30" spans="1:8" x14ac:dyDescent="0.2">
      <c r="A30" s="5">
        <v>24</v>
      </c>
      <c r="B30" s="6" t="s">
        <v>350</v>
      </c>
      <c r="C30" s="6" t="s">
        <v>351</v>
      </c>
      <c r="D30" s="6" t="s">
        <v>25</v>
      </c>
      <c r="E30" s="7">
        <v>70836</v>
      </c>
      <c r="F30" s="8">
        <v>58.050101999999995</v>
      </c>
      <c r="G30" s="9">
        <v>1.0343623339414196E-2</v>
      </c>
      <c r="H30" s="97"/>
    </row>
    <row r="31" spans="1:8" x14ac:dyDescent="0.2">
      <c r="A31" s="5">
        <v>25</v>
      </c>
      <c r="B31" s="6" t="s">
        <v>175</v>
      </c>
      <c r="C31" s="6" t="s">
        <v>176</v>
      </c>
      <c r="D31" s="6" t="s">
        <v>16</v>
      </c>
      <c r="E31" s="7">
        <v>19701</v>
      </c>
      <c r="F31" s="8">
        <v>57.595873500000003</v>
      </c>
      <c r="G31" s="9">
        <v>1.0262686900852434E-2</v>
      </c>
      <c r="H31" s="97"/>
    </row>
    <row r="32" spans="1:8" x14ac:dyDescent="0.2">
      <c r="A32" s="5">
        <v>26</v>
      </c>
      <c r="B32" s="6" t="s">
        <v>514</v>
      </c>
      <c r="C32" s="6" t="s">
        <v>515</v>
      </c>
      <c r="D32" s="6" t="s">
        <v>356</v>
      </c>
      <c r="E32" s="7">
        <v>7603</v>
      </c>
      <c r="F32" s="8">
        <v>56.802013000000002</v>
      </c>
      <c r="G32" s="9">
        <v>1.0121233333793429E-2</v>
      </c>
      <c r="H32" s="97"/>
    </row>
    <row r="33" spans="1:8" x14ac:dyDescent="0.2">
      <c r="A33" s="5">
        <v>27</v>
      </c>
      <c r="B33" s="6" t="s">
        <v>432</v>
      </c>
      <c r="C33" s="6" t="s">
        <v>433</v>
      </c>
      <c r="D33" s="6" t="s">
        <v>78</v>
      </c>
      <c r="E33" s="7">
        <v>6768</v>
      </c>
      <c r="F33" s="8">
        <v>56.658311999999995</v>
      </c>
      <c r="G33" s="9">
        <v>1.0095628055485783E-2</v>
      </c>
      <c r="H33" s="97"/>
    </row>
    <row r="34" spans="1:8" x14ac:dyDescent="0.2">
      <c r="A34" s="5">
        <v>28</v>
      </c>
      <c r="B34" s="6" t="s">
        <v>415</v>
      </c>
      <c r="C34" s="6" t="s">
        <v>416</v>
      </c>
      <c r="D34" s="6" t="s">
        <v>25</v>
      </c>
      <c r="E34" s="7">
        <v>12301</v>
      </c>
      <c r="F34" s="8">
        <v>56.639954500000002</v>
      </c>
      <c r="G34" s="9">
        <v>1.0092357035127314E-2</v>
      </c>
      <c r="H34" s="97"/>
    </row>
    <row r="35" spans="1:8" x14ac:dyDescent="0.2">
      <c r="A35" s="5">
        <v>29</v>
      </c>
      <c r="B35" s="6" t="s">
        <v>369</v>
      </c>
      <c r="C35" s="6" t="s">
        <v>370</v>
      </c>
      <c r="D35" s="6" t="s">
        <v>147</v>
      </c>
      <c r="E35" s="7">
        <v>4280</v>
      </c>
      <c r="F35" s="8">
        <v>56.457479999999997</v>
      </c>
      <c r="G35" s="9">
        <v>1.0059842923488924E-2</v>
      </c>
      <c r="H35" s="97"/>
    </row>
    <row r="36" spans="1:8" x14ac:dyDescent="0.2">
      <c r="A36" s="5">
        <v>30</v>
      </c>
      <c r="B36" s="6" t="s">
        <v>825</v>
      </c>
      <c r="C36" s="6" t="s">
        <v>826</v>
      </c>
      <c r="D36" s="6" t="s">
        <v>185</v>
      </c>
      <c r="E36" s="7">
        <v>2289</v>
      </c>
      <c r="F36" s="8">
        <v>56.373491999999999</v>
      </c>
      <c r="G36" s="9">
        <v>1.0044877571024414E-2</v>
      </c>
      <c r="H36" s="97"/>
    </row>
    <row r="37" spans="1:8" x14ac:dyDescent="0.2">
      <c r="A37" s="5">
        <v>31</v>
      </c>
      <c r="B37" s="6" t="s">
        <v>512</v>
      </c>
      <c r="C37" s="6" t="s">
        <v>513</v>
      </c>
      <c r="D37" s="6" t="s">
        <v>193</v>
      </c>
      <c r="E37" s="7">
        <v>1147</v>
      </c>
      <c r="F37" s="8">
        <v>56.283290000000008</v>
      </c>
      <c r="G37" s="9">
        <v>1.0028804980618601E-2</v>
      </c>
      <c r="H37" s="97"/>
    </row>
    <row r="38" spans="1:8" x14ac:dyDescent="0.2">
      <c r="A38" s="5">
        <v>32</v>
      </c>
      <c r="B38" s="6" t="s">
        <v>827</v>
      </c>
      <c r="C38" s="6" t="s">
        <v>828</v>
      </c>
      <c r="D38" s="6" t="s">
        <v>193</v>
      </c>
      <c r="E38" s="7">
        <v>15396</v>
      </c>
      <c r="F38" s="8">
        <v>56.141514000000001</v>
      </c>
      <c r="G38" s="9">
        <v>1.0003542707305645E-2</v>
      </c>
      <c r="H38" s="97"/>
    </row>
    <row r="39" spans="1:8" x14ac:dyDescent="0.2">
      <c r="A39" s="5">
        <v>33</v>
      </c>
      <c r="B39" s="6" t="s">
        <v>835</v>
      </c>
      <c r="C39" s="6" t="s">
        <v>836</v>
      </c>
      <c r="D39" s="6" t="s">
        <v>70</v>
      </c>
      <c r="E39" s="7">
        <v>4018</v>
      </c>
      <c r="F39" s="8">
        <v>56.131460000000004</v>
      </c>
      <c r="G39" s="9">
        <v>1.0001751241219084E-2</v>
      </c>
      <c r="H39" s="97"/>
    </row>
    <row r="40" spans="1:8" x14ac:dyDescent="0.2">
      <c r="A40" s="5">
        <v>34</v>
      </c>
      <c r="B40" s="6" t="s">
        <v>520</v>
      </c>
      <c r="C40" s="6" t="s">
        <v>521</v>
      </c>
      <c r="D40" s="6" t="s">
        <v>193</v>
      </c>
      <c r="E40" s="7">
        <v>7627</v>
      </c>
      <c r="F40" s="8">
        <v>56.008874500000005</v>
      </c>
      <c r="G40" s="9">
        <v>9.9799084158804872E-3</v>
      </c>
      <c r="H40" s="97"/>
    </row>
    <row r="41" spans="1:8" x14ac:dyDescent="0.2">
      <c r="A41" s="5">
        <v>35</v>
      </c>
      <c r="B41" s="6" t="s">
        <v>829</v>
      </c>
      <c r="C41" s="6" t="s">
        <v>830</v>
      </c>
      <c r="D41" s="6" t="s">
        <v>193</v>
      </c>
      <c r="E41" s="7">
        <v>5875</v>
      </c>
      <c r="F41" s="8">
        <v>55.856562499999995</v>
      </c>
      <c r="G41" s="9">
        <v>9.9527687915939873E-3</v>
      </c>
      <c r="H41" s="97"/>
    </row>
    <row r="42" spans="1:8" x14ac:dyDescent="0.2">
      <c r="A42" s="5">
        <v>36</v>
      </c>
      <c r="B42" s="6" t="s">
        <v>23</v>
      </c>
      <c r="C42" s="6" t="s">
        <v>24</v>
      </c>
      <c r="D42" s="6" t="s">
        <v>25</v>
      </c>
      <c r="E42" s="7">
        <v>7545</v>
      </c>
      <c r="F42" s="8">
        <v>55.844317500000002</v>
      </c>
      <c r="G42" s="9">
        <v>9.950586923458923E-3</v>
      </c>
      <c r="H42" s="97"/>
    </row>
    <row r="43" spans="1:8" x14ac:dyDescent="0.2">
      <c r="A43" s="5">
        <v>37</v>
      </c>
      <c r="B43" s="6" t="s">
        <v>831</v>
      </c>
      <c r="C43" s="6" t="s">
        <v>832</v>
      </c>
      <c r="D43" s="6" t="s">
        <v>60</v>
      </c>
      <c r="E43" s="7">
        <v>8487</v>
      </c>
      <c r="F43" s="8">
        <v>55.670476500000007</v>
      </c>
      <c r="G43" s="9">
        <v>9.9196111669486754E-3</v>
      </c>
      <c r="H43" s="97"/>
    </row>
    <row r="44" spans="1:8" x14ac:dyDescent="0.2">
      <c r="A44" s="5">
        <v>38</v>
      </c>
      <c r="B44" s="6" t="s">
        <v>63</v>
      </c>
      <c r="C44" s="6" t="s">
        <v>64</v>
      </c>
      <c r="D44" s="6" t="s">
        <v>65</v>
      </c>
      <c r="E44" s="7">
        <v>38857</v>
      </c>
      <c r="F44" s="8">
        <v>55.332368000000002</v>
      </c>
      <c r="G44" s="9">
        <v>9.8593655024043752E-3</v>
      </c>
      <c r="H44" s="97"/>
    </row>
    <row r="45" spans="1:8" x14ac:dyDescent="0.2">
      <c r="A45" s="5">
        <v>39</v>
      </c>
      <c r="B45" s="6" t="s">
        <v>336</v>
      </c>
      <c r="C45" s="6" t="s">
        <v>337</v>
      </c>
      <c r="D45" s="6" t="s">
        <v>193</v>
      </c>
      <c r="E45" s="7">
        <v>1431</v>
      </c>
      <c r="F45" s="8">
        <v>55.301710499999999</v>
      </c>
      <c r="G45" s="9">
        <v>9.8539028137681339E-3</v>
      </c>
      <c r="H45" s="97"/>
    </row>
    <row r="46" spans="1:8" x14ac:dyDescent="0.2">
      <c r="A46" s="5">
        <v>40</v>
      </c>
      <c r="B46" s="6" t="s">
        <v>837</v>
      </c>
      <c r="C46" s="6" t="s">
        <v>838</v>
      </c>
      <c r="D46" s="6" t="s">
        <v>81</v>
      </c>
      <c r="E46" s="7">
        <v>3684</v>
      </c>
      <c r="F46" s="8">
        <v>55.099745999999996</v>
      </c>
      <c r="G46" s="9">
        <v>9.8179158879237449E-3</v>
      </c>
      <c r="H46" s="97"/>
    </row>
    <row r="47" spans="1:8" x14ac:dyDescent="0.2">
      <c r="A47" s="5">
        <v>41</v>
      </c>
      <c r="B47" s="6" t="s">
        <v>488</v>
      </c>
      <c r="C47" s="6" t="s">
        <v>489</v>
      </c>
      <c r="D47" s="6" t="s">
        <v>78</v>
      </c>
      <c r="E47" s="7">
        <v>741</v>
      </c>
      <c r="F47" s="8">
        <v>55.029994500000001</v>
      </c>
      <c r="G47" s="9">
        <v>9.8054872578524476E-3</v>
      </c>
      <c r="H47" s="97"/>
    </row>
    <row r="48" spans="1:8" ht="25.5" x14ac:dyDescent="0.2">
      <c r="A48" s="5">
        <v>42</v>
      </c>
      <c r="B48" s="6" t="s">
        <v>28</v>
      </c>
      <c r="C48" s="6" t="s">
        <v>29</v>
      </c>
      <c r="D48" s="6" t="s">
        <v>1185</v>
      </c>
      <c r="E48" s="7">
        <v>720</v>
      </c>
      <c r="F48" s="8">
        <v>54.655560000000001</v>
      </c>
      <c r="G48" s="9">
        <v>9.7387688663277978E-3</v>
      </c>
      <c r="H48" s="97"/>
    </row>
    <row r="49" spans="1:8" ht="25.5" x14ac:dyDescent="0.2">
      <c r="A49" s="5">
        <v>43</v>
      </c>
      <c r="B49" s="6" t="s">
        <v>833</v>
      </c>
      <c r="C49" s="6" t="s">
        <v>834</v>
      </c>
      <c r="D49" s="6" t="s">
        <v>202</v>
      </c>
      <c r="E49" s="7">
        <v>277</v>
      </c>
      <c r="F49" s="8">
        <v>54.584789000000001</v>
      </c>
      <c r="G49" s="9">
        <v>9.7261585772476216E-3</v>
      </c>
      <c r="H49" s="97"/>
    </row>
    <row r="50" spans="1:8" x14ac:dyDescent="0.2">
      <c r="A50" s="5">
        <v>44</v>
      </c>
      <c r="B50" s="6" t="s">
        <v>429</v>
      </c>
      <c r="C50" s="6" t="s">
        <v>430</v>
      </c>
      <c r="D50" s="6" t="s">
        <v>431</v>
      </c>
      <c r="E50" s="7">
        <v>11457</v>
      </c>
      <c r="F50" s="8">
        <v>54.483763499999995</v>
      </c>
      <c r="G50" s="9">
        <v>9.7081574078495721E-3</v>
      </c>
      <c r="H50" s="97"/>
    </row>
    <row r="51" spans="1:8" ht="25.5" x14ac:dyDescent="0.2">
      <c r="A51" s="5">
        <v>45</v>
      </c>
      <c r="B51" s="6" t="s">
        <v>839</v>
      </c>
      <c r="C51" s="6" t="s">
        <v>840</v>
      </c>
      <c r="D51" s="6" t="s">
        <v>202</v>
      </c>
      <c r="E51" s="7">
        <v>1609</v>
      </c>
      <c r="F51" s="8">
        <v>54.431665500000001</v>
      </c>
      <c r="G51" s="9">
        <v>9.6988743563101148E-3</v>
      </c>
      <c r="H51" s="97"/>
    </row>
    <row r="52" spans="1:8" x14ac:dyDescent="0.2">
      <c r="A52" s="5">
        <v>46</v>
      </c>
      <c r="B52" s="6" t="s">
        <v>450</v>
      </c>
      <c r="C52" s="6" t="s">
        <v>451</v>
      </c>
      <c r="D52" s="6" t="s">
        <v>193</v>
      </c>
      <c r="E52" s="7">
        <v>5745</v>
      </c>
      <c r="F52" s="8">
        <v>54.238544999999995</v>
      </c>
      <c r="G52" s="9">
        <v>9.6644632934127679E-3</v>
      </c>
      <c r="H52" s="97"/>
    </row>
    <row r="53" spans="1:8" x14ac:dyDescent="0.2">
      <c r="A53" s="5">
        <v>47</v>
      </c>
      <c r="B53" s="6" t="s">
        <v>58</v>
      </c>
      <c r="C53" s="6" t="s">
        <v>59</v>
      </c>
      <c r="D53" s="6" t="s">
        <v>60</v>
      </c>
      <c r="E53" s="7">
        <v>50573</v>
      </c>
      <c r="F53" s="8">
        <v>54.214256000000006</v>
      </c>
      <c r="G53" s="9">
        <v>9.6601353722096175E-3</v>
      </c>
      <c r="H53" s="97"/>
    </row>
    <row r="54" spans="1:8" x14ac:dyDescent="0.2">
      <c r="A54" s="5">
        <v>48</v>
      </c>
      <c r="B54" s="6" t="s">
        <v>419</v>
      </c>
      <c r="C54" s="6" t="s">
        <v>420</v>
      </c>
      <c r="D54" s="6" t="s">
        <v>1183</v>
      </c>
      <c r="E54" s="7">
        <v>4524</v>
      </c>
      <c r="F54" s="8">
        <v>54.107039999999998</v>
      </c>
      <c r="G54" s="9">
        <v>9.6410311522039608E-3</v>
      </c>
      <c r="H54" s="97"/>
    </row>
    <row r="55" spans="1:8" x14ac:dyDescent="0.2">
      <c r="A55" s="5">
        <v>49</v>
      </c>
      <c r="B55" s="6" t="s">
        <v>417</v>
      </c>
      <c r="C55" s="6" t="s">
        <v>418</v>
      </c>
      <c r="D55" s="6" t="s">
        <v>147</v>
      </c>
      <c r="E55" s="7">
        <v>1447</v>
      </c>
      <c r="F55" s="8">
        <v>54.0939245</v>
      </c>
      <c r="G55" s="9">
        <v>9.63869417453753E-3</v>
      </c>
      <c r="H55" s="97"/>
    </row>
    <row r="56" spans="1:8" ht="25.5" x14ac:dyDescent="0.2">
      <c r="A56" s="5">
        <v>50</v>
      </c>
      <c r="B56" s="6" t="s">
        <v>841</v>
      </c>
      <c r="C56" s="6" t="s">
        <v>842</v>
      </c>
      <c r="D56" s="6" t="s">
        <v>1185</v>
      </c>
      <c r="E56" s="7">
        <v>3330</v>
      </c>
      <c r="F56" s="8">
        <v>54.020924999999998</v>
      </c>
      <c r="G56" s="9">
        <v>9.6256868014933696E-3</v>
      </c>
      <c r="H56" s="97"/>
    </row>
    <row r="57" spans="1:8" x14ac:dyDescent="0.2">
      <c r="A57" s="5">
        <v>51</v>
      </c>
      <c r="B57" s="6" t="s">
        <v>845</v>
      </c>
      <c r="C57" s="6" t="s">
        <v>846</v>
      </c>
      <c r="D57" s="6" t="s">
        <v>48</v>
      </c>
      <c r="E57" s="7">
        <v>2672</v>
      </c>
      <c r="F57" s="8">
        <v>53.908936000000004</v>
      </c>
      <c r="G57" s="9">
        <v>9.605732107285294E-3</v>
      </c>
      <c r="H57" s="97"/>
    </row>
    <row r="58" spans="1:8" ht="25.5" x14ac:dyDescent="0.2">
      <c r="A58" s="5">
        <v>52</v>
      </c>
      <c r="B58" s="6" t="s">
        <v>61</v>
      </c>
      <c r="C58" s="6" t="s">
        <v>62</v>
      </c>
      <c r="D58" s="6" t="s">
        <v>48</v>
      </c>
      <c r="E58" s="7">
        <v>7378</v>
      </c>
      <c r="F58" s="8">
        <v>53.881533999999995</v>
      </c>
      <c r="G58" s="9">
        <v>9.6008494980050086E-3</v>
      </c>
      <c r="H58" s="97"/>
    </row>
    <row r="59" spans="1:8" x14ac:dyDescent="0.2">
      <c r="A59" s="5">
        <v>53</v>
      </c>
      <c r="B59" s="6" t="s">
        <v>522</v>
      </c>
      <c r="C59" s="6" t="s">
        <v>523</v>
      </c>
      <c r="D59" s="6" t="s">
        <v>34</v>
      </c>
      <c r="E59" s="7">
        <v>43307</v>
      </c>
      <c r="F59" s="8">
        <v>53.873908</v>
      </c>
      <c r="G59" s="9">
        <v>9.5994906636727908E-3</v>
      </c>
      <c r="H59" s="97"/>
    </row>
    <row r="60" spans="1:8" x14ac:dyDescent="0.2">
      <c r="A60" s="5">
        <v>54</v>
      </c>
      <c r="B60" s="6" t="s">
        <v>843</v>
      </c>
      <c r="C60" s="6" t="s">
        <v>844</v>
      </c>
      <c r="D60" s="6" t="s">
        <v>25</v>
      </c>
      <c r="E60" s="7">
        <v>142942</v>
      </c>
      <c r="F60" s="8">
        <v>53.317365999999993</v>
      </c>
      <c r="G60" s="9">
        <v>9.5003235541892567E-3</v>
      </c>
      <c r="H60" s="97"/>
    </row>
    <row r="61" spans="1:8" x14ac:dyDescent="0.2">
      <c r="A61" s="5">
        <v>55</v>
      </c>
      <c r="B61" s="6" t="s">
        <v>354</v>
      </c>
      <c r="C61" s="6" t="s">
        <v>355</v>
      </c>
      <c r="D61" s="6" t="s">
        <v>356</v>
      </c>
      <c r="E61" s="7">
        <v>1751</v>
      </c>
      <c r="F61" s="8">
        <v>53.128841999999999</v>
      </c>
      <c r="G61" s="9">
        <v>9.4667315159454712E-3</v>
      </c>
      <c r="H61" s="97"/>
    </row>
    <row r="62" spans="1:8" x14ac:dyDescent="0.2">
      <c r="A62" s="5">
        <v>56</v>
      </c>
      <c r="B62" s="6" t="s">
        <v>847</v>
      </c>
      <c r="C62" s="6" t="s">
        <v>848</v>
      </c>
      <c r="D62" s="6" t="s">
        <v>81</v>
      </c>
      <c r="E62" s="7">
        <v>1998</v>
      </c>
      <c r="F62" s="8">
        <v>52.825122</v>
      </c>
      <c r="G62" s="9">
        <v>9.4126133460816722E-3</v>
      </c>
      <c r="H62" s="97"/>
    </row>
    <row r="63" spans="1:8" ht="25.5" x14ac:dyDescent="0.2">
      <c r="A63" s="5">
        <v>57</v>
      </c>
      <c r="B63" s="6" t="s">
        <v>852</v>
      </c>
      <c r="C63" s="6" t="s">
        <v>853</v>
      </c>
      <c r="D63" s="6" t="s">
        <v>1185</v>
      </c>
      <c r="E63" s="7">
        <v>2361</v>
      </c>
      <c r="F63" s="8">
        <v>52.313857499999997</v>
      </c>
      <c r="G63" s="9">
        <v>9.3215139813499111E-3</v>
      </c>
      <c r="H63" s="97"/>
    </row>
    <row r="64" spans="1:8" x14ac:dyDescent="0.2">
      <c r="A64" s="5">
        <v>58</v>
      </c>
      <c r="B64" s="6" t="s">
        <v>20</v>
      </c>
      <c r="C64" s="6" t="s">
        <v>21</v>
      </c>
      <c r="D64" s="6" t="s">
        <v>22</v>
      </c>
      <c r="E64" s="7">
        <v>7629</v>
      </c>
      <c r="F64" s="8">
        <v>52.167102</v>
      </c>
      <c r="G64" s="9">
        <v>9.2953644387532858E-3</v>
      </c>
      <c r="H64" s="97"/>
    </row>
    <row r="65" spans="1:8" x14ac:dyDescent="0.2">
      <c r="A65" s="5">
        <v>59</v>
      </c>
      <c r="B65" s="6" t="s">
        <v>444</v>
      </c>
      <c r="C65" s="6" t="s">
        <v>445</v>
      </c>
      <c r="D65" s="6" t="s">
        <v>193</v>
      </c>
      <c r="E65" s="7">
        <v>1113</v>
      </c>
      <c r="F65" s="8">
        <v>52.068365999999997</v>
      </c>
      <c r="G65" s="9">
        <v>9.2777712225684053E-3</v>
      </c>
      <c r="H65" s="97"/>
    </row>
    <row r="66" spans="1:8" ht="25.5" x14ac:dyDescent="0.2">
      <c r="A66" s="5">
        <v>60</v>
      </c>
      <c r="B66" s="6" t="s">
        <v>854</v>
      </c>
      <c r="C66" s="6" t="s">
        <v>855</v>
      </c>
      <c r="D66" s="6" t="s">
        <v>202</v>
      </c>
      <c r="E66" s="7">
        <v>10149</v>
      </c>
      <c r="F66" s="8">
        <v>52.028848500000002</v>
      </c>
      <c r="G66" s="9">
        <v>9.2707298200345161E-3</v>
      </c>
      <c r="H66" s="97"/>
    </row>
    <row r="67" spans="1:8" ht="25.5" x14ac:dyDescent="0.2">
      <c r="A67" s="5">
        <v>61</v>
      </c>
      <c r="B67" s="6" t="s">
        <v>510</v>
      </c>
      <c r="C67" s="6" t="s">
        <v>511</v>
      </c>
      <c r="D67" s="6" t="s">
        <v>202</v>
      </c>
      <c r="E67" s="7">
        <v>5372</v>
      </c>
      <c r="F67" s="8">
        <v>52.019762</v>
      </c>
      <c r="G67" s="9">
        <v>9.2691107473673647E-3</v>
      </c>
      <c r="H67" s="97"/>
    </row>
    <row r="68" spans="1:8" x14ac:dyDescent="0.2">
      <c r="A68" s="5">
        <v>62</v>
      </c>
      <c r="B68" s="6" t="s">
        <v>849</v>
      </c>
      <c r="C68" s="6" t="s">
        <v>850</v>
      </c>
      <c r="D68" s="6" t="s">
        <v>851</v>
      </c>
      <c r="E68" s="7">
        <v>39021</v>
      </c>
      <c r="F68" s="8">
        <v>52.014992999999997</v>
      </c>
      <c r="G68" s="9">
        <v>9.2682609859025926E-3</v>
      </c>
      <c r="H68" s="97"/>
    </row>
    <row r="69" spans="1:8" x14ac:dyDescent="0.2">
      <c r="A69" s="5">
        <v>63</v>
      </c>
      <c r="B69" s="6" t="s">
        <v>14</v>
      </c>
      <c r="C69" s="6" t="s">
        <v>15</v>
      </c>
      <c r="D69" s="6" t="s">
        <v>16</v>
      </c>
      <c r="E69" s="7">
        <v>2179</v>
      </c>
      <c r="F69" s="8">
        <v>51.601988499999997</v>
      </c>
      <c r="G69" s="9">
        <v>9.1946700215752072E-3</v>
      </c>
      <c r="H69" s="97"/>
    </row>
    <row r="70" spans="1:8" ht="25.5" x14ac:dyDescent="0.2">
      <c r="A70" s="5">
        <v>64</v>
      </c>
      <c r="B70" s="6" t="s">
        <v>858</v>
      </c>
      <c r="C70" s="6" t="s">
        <v>859</v>
      </c>
      <c r="D70" s="6" t="s">
        <v>202</v>
      </c>
      <c r="E70" s="7">
        <v>6650</v>
      </c>
      <c r="F70" s="8">
        <v>51.321375000000003</v>
      </c>
      <c r="G70" s="9">
        <v>9.1446690698463937E-3</v>
      </c>
      <c r="H70" s="97"/>
    </row>
    <row r="71" spans="1:8" x14ac:dyDescent="0.2">
      <c r="A71" s="5">
        <v>65</v>
      </c>
      <c r="B71" s="6" t="s">
        <v>49</v>
      </c>
      <c r="C71" s="6" t="s">
        <v>50</v>
      </c>
      <c r="D71" s="6" t="s">
        <v>16</v>
      </c>
      <c r="E71" s="7">
        <v>45722</v>
      </c>
      <c r="F71" s="8">
        <v>50.980029999999999</v>
      </c>
      <c r="G71" s="9">
        <v>9.0838467114499801E-3</v>
      </c>
      <c r="H71" s="97"/>
    </row>
    <row r="72" spans="1:8" x14ac:dyDescent="0.2">
      <c r="A72" s="5">
        <v>66</v>
      </c>
      <c r="B72" s="6" t="s">
        <v>856</v>
      </c>
      <c r="C72" s="6" t="s">
        <v>857</v>
      </c>
      <c r="D72" s="6" t="s">
        <v>53</v>
      </c>
      <c r="E72" s="7">
        <v>13056</v>
      </c>
      <c r="F72" s="8">
        <v>50.977151999999997</v>
      </c>
      <c r="G72" s="9">
        <v>9.0833338967098633E-3</v>
      </c>
      <c r="H72" s="97"/>
    </row>
    <row r="73" spans="1:8" ht="25.5" x14ac:dyDescent="0.2">
      <c r="A73" s="5">
        <v>67</v>
      </c>
      <c r="B73" s="6" t="s">
        <v>860</v>
      </c>
      <c r="C73" s="6" t="s">
        <v>861</v>
      </c>
      <c r="D73" s="6" t="s">
        <v>202</v>
      </c>
      <c r="E73" s="7">
        <v>8771</v>
      </c>
      <c r="F73" s="8">
        <v>50.876185499999998</v>
      </c>
      <c r="G73" s="9">
        <v>9.0653432401921717E-3</v>
      </c>
      <c r="H73" s="97"/>
    </row>
    <row r="74" spans="1:8" ht="25.5" x14ac:dyDescent="0.2">
      <c r="A74" s="5">
        <v>68</v>
      </c>
      <c r="B74" s="6" t="s">
        <v>436</v>
      </c>
      <c r="C74" s="6" t="s">
        <v>437</v>
      </c>
      <c r="D74" s="6" t="s">
        <v>202</v>
      </c>
      <c r="E74" s="7">
        <v>23143</v>
      </c>
      <c r="F74" s="8">
        <v>50.463311500000003</v>
      </c>
      <c r="G74" s="9">
        <v>8.9917755289306619E-3</v>
      </c>
      <c r="H74" s="97"/>
    </row>
    <row r="75" spans="1:8" x14ac:dyDescent="0.2">
      <c r="A75" s="5">
        <v>69</v>
      </c>
      <c r="B75" s="6" t="s">
        <v>39</v>
      </c>
      <c r="C75" s="6" t="s">
        <v>40</v>
      </c>
      <c r="D75" s="6" t="s">
        <v>16</v>
      </c>
      <c r="E75" s="7">
        <v>13071</v>
      </c>
      <c r="F75" s="8">
        <v>50.382169500000003</v>
      </c>
      <c r="G75" s="9">
        <v>8.9773172893050576E-3</v>
      </c>
      <c r="H75" s="97"/>
    </row>
    <row r="76" spans="1:8" x14ac:dyDescent="0.2">
      <c r="A76" s="5">
        <v>70</v>
      </c>
      <c r="B76" s="6" t="s">
        <v>411</v>
      </c>
      <c r="C76" s="6" t="s">
        <v>412</v>
      </c>
      <c r="D76" s="6" t="s">
        <v>25</v>
      </c>
      <c r="E76" s="7">
        <v>3401</v>
      </c>
      <c r="F76" s="8">
        <v>50.314394</v>
      </c>
      <c r="G76" s="9">
        <v>8.9652407516335048E-3</v>
      </c>
      <c r="H76" s="97"/>
    </row>
    <row r="77" spans="1:8" ht="25.5" x14ac:dyDescent="0.2">
      <c r="A77" s="5">
        <v>71</v>
      </c>
      <c r="B77" s="6" t="s">
        <v>413</v>
      </c>
      <c r="C77" s="6" t="s">
        <v>414</v>
      </c>
      <c r="D77" s="6" t="s">
        <v>81</v>
      </c>
      <c r="E77" s="7">
        <v>1943</v>
      </c>
      <c r="F77" s="8">
        <v>50.254723499999997</v>
      </c>
      <c r="G77" s="9">
        <v>8.9546083986279147E-3</v>
      </c>
      <c r="H77" s="97"/>
    </row>
    <row r="78" spans="1:8" ht="25.5" x14ac:dyDescent="0.2">
      <c r="A78" s="5">
        <v>72</v>
      </c>
      <c r="B78" s="6" t="s">
        <v>317</v>
      </c>
      <c r="C78" s="6" t="s">
        <v>318</v>
      </c>
      <c r="D78" s="6" t="s">
        <v>81</v>
      </c>
      <c r="E78" s="7">
        <v>9651</v>
      </c>
      <c r="F78" s="8">
        <v>50.223804000000001</v>
      </c>
      <c r="G78" s="9">
        <v>8.9490990256755124E-3</v>
      </c>
      <c r="H78" s="97"/>
    </row>
    <row r="79" spans="1:8" x14ac:dyDescent="0.2">
      <c r="A79" s="5">
        <v>73</v>
      </c>
      <c r="B79" s="6" t="s">
        <v>381</v>
      </c>
      <c r="C79" s="6" t="s">
        <v>382</v>
      </c>
      <c r="D79" s="6" t="s">
        <v>1183</v>
      </c>
      <c r="E79" s="7">
        <v>305</v>
      </c>
      <c r="F79" s="8">
        <v>50.038910000000001</v>
      </c>
      <c r="G79" s="9">
        <v>8.9161537968502867E-3</v>
      </c>
      <c r="H79" s="97"/>
    </row>
    <row r="80" spans="1:8" x14ac:dyDescent="0.2">
      <c r="A80" s="5">
        <v>74</v>
      </c>
      <c r="B80" s="6" t="s">
        <v>864</v>
      </c>
      <c r="C80" s="6" t="s">
        <v>865</v>
      </c>
      <c r="D80" s="6" t="s">
        <v>1183</v>
      </c>
      <c r="E80" s="7">
        <v>7688</v>
      </c>
      <c r="F80" s="8">
        <v>49.937404000000001</v>
      </c>
      <c r="G80" s="9">
        <v>8.8980670098418747E-3</v>
      </c>
      <c r="H80" s="97"/>
    </row>
    <row r="81" spans="1:8" ht="25.5" x14ac:dyDescent="0.2">
      <c r="A81" s="5">
        <v>75</v>
      </c>
      <c r="B81" s="6" t="s">
        <v>460</v>
      </c>
      <c r="C81" s="6" t="s">
        <v>461</v>
      </c>
      <c r="D81" s="6" t="s">
        <v>1183</v>
      </c>
      <c r="E81" s="7">
        <v>3560</v>
      </c>
      <c r="F81" s="8">
        <v>49.884500000000003</v>
      </c>
      <c r="G81" s="9">
        <v>8.8886403416656799E-3</v>
      </c>
      <c r="H81" s="97"/>
    </row>
    <row r="82" spans="1:8" ht="25.5" x14ac:dyDescent="0.2">
      <c r="A82" s="5">
        <v>76</v>
      </c>
      <c r="B82" s="6" t="s">
        <v>862</v>
      </c>
      <c r="C82" s="6" t="s">
        <v>863</v>
      </c>
      <c r="D82" s="6" t="s">
        <v>1185</v>
      </c>
      <c r="E82" s="7">
        <v>13169</v>
      </c>
      <c r="F82" s="8">
        <v>49.712975</v>
      </c>
      <c r="G82" s="9">
        <v>8.8580772602555365E-3</v>
      </c>
      <c r="H82" s="97"/>
    </row>
    <row r="83" spans="1:8" x14ac:dyDescent="0.2">
      <c r="A83" s="5">
        <v>77</v>
      </c>
      <c r="B83" s="6" t="s">
        <v>866</v>
      </c>
      <c r="C83" s="6" t="s">
        <v>867</v>
      </c>
      <c r="D83" s="6" t="s">
        <v>78</v>
      </c>
      <c r="E83" s="7">
        <v>1918</v>
      </c>
      <c r="F83" s="8">
        <v>49.712642000000002</v>
      </c>
      <c r="G83" s="9">
        <v>8.8580179248460671E-3</v>
      </c>
      <c r="H83" s="97"/>
    </row>
    <row r="84" spans="1:8" ht="25.5" x14ac:dyDescent="0.2">
      <c r="A84" s="5">
        <v>78</v>
      </c>
      <c r="B84" s="6" t="s">
        <v>518</v>
      </c>
      <c r="C84" s="6" t="s">
        <v>519</v>
      </c>
      <c r="D84" s="6" t="s">
        <v>202</v>
      </c>
      <c r="E84" s="7">
        <v>1378</v>
      </c>
      <c r="F84" s="8">
        <v>49.69068</v>
      </c>
      <c r="G84" s="9">
        <v>8.8541046387715597E-3</v>
      </c>
      <c r="H84" s="97"/>
    </row>
    <row r="85" spans="1:8" x14ac:dyDescent="0.2">
      <c r="A85" s="5">
        <v>79</v>
      </c>
      <c r="B85" s="6" t="s">
        <v>82</v>
      </c>
      <c r="C85" s="6" t="s">
        <v>83</v>
      </c>
      <c r="D85" s="6" t="s">
        <v>73</v>
      </c>
      <c r="E85" s="7">
        <v>10528</v>
      </c>
      <c r="F85" s="8">
        <v>49.523712000000003</v>
      </c>
      <c r="G85" s="9">
        <v>8.8243535437306717E-3</v>
      </c>
      <c r="H85" s="97"/>
    </row>
    <row r="86" spans="1:8" ht="25.5" x14ac:dyDescent="0.2">
      <c r="A86" s="5">
        <v>80</v>
      </c>
      <c r="B86" s="6" t="s">
        <v>395</v>
      </c>
      <c r="C86" s="6" t="s">
        <v>396</v>
      </c>
      <c r="D86" s="6" t="s">
        <v>202</v>
      </c>
      <c r="E86" s="7">
        <v>6658</v>
      </c>
      <c r="F86" s="8">
        <v>49.498901000000004</v>
      </c>
      <c r="G86" s="9">
        <v>8.8199326102640224E-3</v>
      </c>
      <c r="H86" s="97"/>
    </row>
    <row r="87" spans="1:8" ht="25.5" x14ac:dyDescent="0.2">
      <c r="A87" s="5">
        <v>81</v>
      </c>
      <c r="B87" s="6" t="s">
        <v>484</v>
      </c>
      <c r="C87" s="6" t="s">
        <v>485</v>
      </c>
      <c r="D87" s="6" t="s">
        <v>1185</v>
      </c>
      <c r="E87" s="7">
        <v>183</v>
      </c>
      <c r="F87" s="8">
        <v>49.387033500000001</v>
      </c>
      <c r="G87" s="9">
        <v>8.7999995654621035E-3</v>
      </c>
      <c r="H87" s="97"/>
    </row>
    <row r="88" spans="1:8" x14ac:dyDescent="0.2">
      <c r="A88" s="5">
        <v>82</v>
      </c>
      <c r="B88" s="6" t="s">
        <v>868</v>
      </c>
      <c r="C88" s="6" t="s">
        <v>869</v>
      </c>
      <c r="D88" s="6" t="s">
        <v>81</v>
      </c>
      <c r="E88" s="7">
        <v>5317</v>
      </c>
      <c r="F88" s="8">
        <v>49.349735500000001</v>
      </c>
      <c r="G88" s="9">
        <v>8.7933536432324849E-3</v>
      </c>
      <c r="H88" s="97"/>
    </row>
    <row r="89" spans="1:8" x14ac:dyDescent="0.2">
      <c r="A89" s="5">
        <v>83</v>
      </c>
      <c r="B89" s="6" t="s">
        <v>462</v>
      </c>
      <c r="C89" s="6" t="s">
        <v>463</v>
      </c>
      <c r="D89" s="6" t="s">
        <v>81</v>
      </c>
      <c r="E89" s="7">
        <v>705</v>
      </c>
      <c r="F89" s="8">
        <v>49.189965000000001</v>
      </c>
      <c r="G89" s="9">
        <v>8.7648850305029179E-3</v>
      </c>
      <c r="H89" s="97"/>
    </row>
    <row r="90" spans="1:8" ht="25.5" x14ac:dyDescent="0.2">
      <c r="A90" s="5">
        <v>84</v>
      </c>
      <c r="B90" s="6" t="s">
        <v>872</v>
      </c>
      <c r="C90" s="6" t="s">
        <v>873</v>
      </c>
      <c r="D90" s="6" t="s">
        <v>202</v>
      </c>
      <c r="E90" s="7">
        <v>3293</v>
      </c>
      <c r="F90" s="8">
        <v>48.779209000000002</v>
      </c>
      <c r="G90" s="9">
        <v>8.6916947138277727E-3</v>
      </c>
      <c r="H90" s="97"/>
    </row>
    <row r="91" spans="1:8" x14ac:dyDescent="0.2">
      <c r="A91" s="5">
        <v>85</v>
      </c>
      <c r="B91" s="6" t="s">
        <v>440</v>
      </c>
      <c r="C91" s="6" t="s">
        <v>441</v>
      </c>
      <c r="D91" s="6" t="s">
        <v>25</v>
      </c>
      <c r="E91" s="7">
        <v>2706</v>
      </c>
      <c r="F91" s="8">
        <v>48.602466</v>
      </c>
      <c r="G91" s="9">
        <v>8.6602018661515005E-3</v>
      </c>
      <c r="H91" s="97"/>
    </row>
    <row r="92" spans="1:8" x14ac:dyDescent="0.2">
      <c r="A92" s="5">
        <v>86</v>
      </c>
      <c r="B92" s="6" t="s">
        <v>870</v>
      </c>
      <c r="C92" s="6" t="s">
        <v>871</v>
      </c>
      <c r="D92" s="6" t="s">
        <v>25</v>
      </c>
      <c r="E92" s="7">
        <v>19194</v>
      </c>
      <c r="F92" s="8">
        <v>48.503237999999996</v>
      </c>
      <c r="G92" s="9">
        <v>8.6425209832355077E-3</v>
      </c>
      <c r="H92" s="97"/>
    </row>
    <row r="93" spans="1:8" x14ac:dyDescent="0.2">
      <c r="A93" s="5">
        <v>87</v>
      </c>
      <c r="B93" s="6" t="s">
        <v>323</v>
      </c>
      <c r="C93" s="6" t="s">
        <v>324</v>
      </c>
      <c r="D93" s="6" t="s">
        <v>1187</v>
      </c>
      <c r="E93" s="7">
        <v>1348</v>
      </c>
      <c r="F93" s="8">
        <v>48.408028000000002</v>
      </c>
      <c r="G93" s="9">
        <v>8.6255560452902554E-3</v>
      </c>
      <c r="H93" s="97"/>
    </row>
    <row r="94" spans="1:8" ht="25.5" x14ac:dyDescent="0.2">
      <c r="A94" s="5">
        <v>88</v>
      </c>
      <c r="B94" s="6" t="s">
        <v>425</v>
      </c>
      <c r="C94" s="6" t="s">
        <v>426</v>
      </c>
      <c r="D94" s="6" t="s">
        <v>202</v>
      </c>
      <c r="E94" s="7">
        <v>2043</v>
      </c>
      <c r="F94" s="8">
        <v>48.217864499999997</v>
      </c>
      <c r="G94" s="9">
        <v>8.5916718737016375E-3</v>
      </c>
      <c r="H94" s="97"/>
    </row>
    <row r="95" spans="1:8" x14ac:dyDescent="0.2">
      <c r="A95" s="5">
        <v>89</v>
      </c>
      <c r="B95" s="6" t="s">
        <v>438</v>
      </c>
      <c r="C95" s="6" t="s">
        <v>439</v>
      </c>
      <c r="D95" s="6" t="s">
        <v>60</v>
      </c>
      <c r="E95" s="7">
        <v>4321</v>
      </c>
      <c r="F95" s="8">
        <v>48.025754500000005</v>
      </c>
      <c r="G95" s="9">
        <v>8.5574408661534557E-3</v>
      </c>
      <c r="H95" s="97"/>
    </row>
    <row r="96" spans="1:8" x14ac:dyDescent="0.2">
      <c r="A96" s="5">
        <v>90</v>
      </c>
      <c r="B96" s="6" t="s">
        <v>876</v>
      </c>
      <c r="C96" s="6" t="s">
        <v>877</v>
      </c>
      <c r="D96" s="6" t="s">
        <v>193</v>
      </c>
      <c r="E96" s="7">
        <v>9929</v>
      </c>
      <c r="F96" s="8">
        <v>47.971963500000001</v>
      </c>
      <c r="G96" s="9">
        <v>8.547856148403081E-3</v>
      </c>
      <c r="H96" s="97"/>
    </row>
    <row r="97" spans="1:8" x14ac:dyDescent="0.2">
      <c r="A97" s="5">
        <v>91</v>
      </c>
      <c r="B97" s="6" t="s">
        <v>874</v>
      </c>
      <c r="C97" s="6" t="s">
        <v>875</v>
      </c>
      <c r="D97" s="6" t="s">
        <v>851</v>
      </c>
      <c r="E97" s="7">
        <v>32507</v>
      </c>
      <c r="F97" s="8">
        <v>47.476473499999997</v>
      </c>
      <c r="G97" s="9">
        <v>8.4595675536914584E-3</v>
      </c>
      <c r="H97" s="97"/>
    </row>
    <row r="98" spans="1:8" ht="25.5" x14ac:dyDescent="0.2">
      <c r="A98" s="5">
        <v>92</v>
      </c>
      <c r="B98" s="6" t="s">
        <v>878</v>
      </c>
      <c r="C98" s="6" t="s">
        <v>879</v>
      </c>
      <c r="D98" s="6" t="s">
        <v>1183</v>
      </c>
      <c r="E98" s="7">
        <v>8373</v>
      </c>
      <c r="F98" s="8">
        <v>46.955783999999994</v>
      </c>
      <c r="G98" s="9">
        <v>8.3667888008688018E-3</v>
      </c>
      <c r="H98" s="97"/>
    </row>
    <row r="99" spans="1:8" x14ac:dyDescent="0.2">
      <c r="A99" s="5">
        <v>93</v>
      </c>
      <c r="B99" s="6" t="s">
        <v>315</v>
      </c>
      <c r="C99" s="6" t="s">
        <v>316</v>
      </c>
      <c r="D99" s="6" t="s">
        <v>25</v>
      </c>
      <c r="E99" s="7">
        <v>6894</v>
      </c>
      <c r="F99" s="8">
        <v>46.779237000000002</v>
      </c>
      <c r="G99" s="9">
        <v>8.3353308773374442E-3</v>
      </c>
      <c r="H99" s="97"/>
    </row>
    <row r="100" spans="1:8" x14ac:dyDescent="0.2">
      <c r="A100" s="5">
        <v>94</v>
      </c>
      <c r="B100" s="6" t="s">
        <v>880</v>
      </c>
      <c r="C100" s="6" t="s">
        <v>881</v>
      </c>
      <c r="D100" s="6" t="s">
        <v>78</v>
      </c>
      <c r="E100" s="7">
        <v>1889</v>
      </c>
      <c r="F100" s="8">
        <v>46.509068999999997</v>
      </c>
      <c r="G100" s="9">
        <v>8.2871911508928149E-3</v>
      </c>
      <c r="H100" s="97"/>
    </row>
    <row r="101" spans="1:8" x14ac:dyDescent="0.2">
      <c r="A101" s="5">
        <v>95</v>
      </c>
      <c r="B101" s="6" t="s">
        <v>597</v>
      </c>
      <c r="C101" s="6" t="s">
        <v>598</v>
      </c>
      <c r="D101" s="6" t="s">
        <v>327</v>
      </c>
      <c r="E101" s="7">
        <v>820</v>
      </c>
      <c r="F101" s="8">
        <v>45.728939999999994</v>
      </c>
      <c r="G101" s="9">
        <v>8.1481843230985437E-3</v>
      </c>
      <c r="H101" s="97"/>
    </row>
    <row r="102" spans="1:8" x14ac:dyDescent="0.2">
      <c r="A102" s="5">
        <v>96</v>
      </c>
      <c r="B102" s="6" t="s">
        <v>776</v>
      </c>
      <c r="C102" s="6" t="s">
        <v>777</v>
      </c>
      <c r="D102" s="6" t="s">
        <v>78</v>
      </c>
      <c r="E102" s="7">
        <v>1404</v>
      </c>
      <c r="F102" s="8">
        <v>45.619470000000007</v>
      </c>
      <c r="G102" s="9">
        <v>8.1286784754263791E-3</v>
      </c>
      <c r="H102" s="97"/>
    </row>
    <row r="103" spans="1:8" x14ac:dyDescent="0.2">
      <c r="A103" s="5">
        <v>97</v>
      </c>
      <c r="B103" s="6" t="s">
        <v>71</v>
      </c>
      <c r="C103" s="6" t="s">
        <v>72</v>
      </c>
      <c r="D103" s="6" t="s">
        <v>73</v>
      </c>
      <c r="E103" s="7">
        <v>34786</v>
      </c>
      <c r="F103" s="8">
        <v>44.943511999999998</v>
      </c>
      <c r="G103" s="9">
        <v>8.008233296100703E-3</v>
      </c>
      <c r="H103" s="97"/>
    </row>
    <row r="104" spans="1:8" x14ac:dyDescent="0.2">
      <c r="A104" s="5">
        <v>98</v>
      </c>
      <c r="B104" s="6" t="s">
        <v>882</v>
      </c>
      <c r="C104" s="6" t="s">
        <v>883</v>
      </c>
      <c r="D104" s="6" t="s">
        <v>22</v>
      </c>
      <c r="E104" s="7">
        <v>17744</v>
      </c>
      <c r="F104" s="8">
        <v>44.058351999999999</v>
      </c>
      <c r="G104" s="9">
        <v>7.8505115812428049E-3</v>
      </c>
      <c r="H104" s="97"/>
    </row>
    <row r="105" spans="1:8" x14ac:dyDescent="0.2">
      <c r="A105" s="5">
        <v>99</v>
      </c>
      <c r="B105" s="6" t="s">
        <v>884</v>
      </c>
      <c r="C105" s="6" t="s">
        <v>885</v>
      </c>
      <c r="D105" s="6" t="s">
        <v>1184</v>
      </c>
      <c r="E105" s="7">
        <v>1737</v>
      </c>
      <c r="F105" s="8">
        <v>42.488757</v>
      </c>
      <c r="G105" s="9">
        <v>7.570834217791699E-3</v>
      </c>
      <c r="H105" s="97"/>
    </row>
    <row r="106" spans="1:8" x14ac:dyDescent="0.2">
      <c r="A106" s="5">
        <v>100</v>
      </c>
      <c r="B106" s="6" t="s">
        <v>886</v>
      </c>
      <c r="C106" s="6" t="s">
        <v>887</v>
      </c>
      <c r="D106" s="6" t="s">
        <v>25</v>
      </c>
      <c r="E106" s="7">
        <v>4768</v>
      </c>
      <c r="F106" s="8">
        <v>42.346992</v>
      </c>
      <c r="G106" s="9">
        <v>7.5455739045072875E-3</v>
      </c>
      <c r="H106" s="97"/>
    </row>
    <row r="107" spans="1:8" ht="25.5" x14ac:dyDescent="0.2">
      <c r="A107" s="5">
        <v>101</v>
      </c>
      <c r="B107" s="6" t="s">
        <v>442</v>
      </c>
      <c r="C107" s="6" t="s">
        <v>1157</v>
      </c>
      <c r="D107" s="91" t="s">
        <v>22</v>
      </c>
      <c r="E107" s="7">
        <v>425</v>
      </c>
      <c r="F107" s="8">
        <v>1.4987625</v>
      </c>
      <c r="G107" s="9">
        <v>2.6705611602954236E-4</v>
      </c>
      <c r="H107" s="97"/>
    </row>
    <row r="108" spans="1:8" x14ac:dyDescent="0.2">
      <c r="A108" s="3"/>
      <c r="B108" s="3"/>
      <c r="C108" s="4" t="s">
        <v>97</v>
      </c>
      <c r="D108" s="3"/>
      <c r="E108" s="3" t="s">
        <v>98</v>
      </c>
      <c r="F108" s="11">
        <v>5417.8973680000008</v>
      </c>
      <c r="G108" s="12">
        <v>0.96538486127372469</v>
      </c>
      <c r="H108" s="97"/>
    </row>
    <row r="109" spans="1:8" x14ac:dyDescent="0.2">
      <c r="A109" s="3"/>
      <c r="B109" s="3"/>
      <c r="C109" s="13"/>
      <c r="D109" s="3"/>
      <c r="E109" s="3"/>
      <c r="F109" s="14"/>
      <c r="G109" s="14"/>
      <c r="H109" s="97"/>
    </row>
    <row r="110" spans="1:8" x14ac:dyDescent="0.2">
      <c r="A110" s="3"/>
      <c r="B110" s="3"/>
      <c r="C110" s="4" t="s">
        <v>99</v>
      </c>
      <c r="D110" s="3"/>
      <c r="E110" s="3"/>
      <c r="F110" s="3"/>
      <c r="G110" s="3"/>
      <c r="H110" s="97"/>
    </row>
    <row r="111" spans="1:8" x14ac:dyDescent="0.2">
      <c r="A111" s="3"/>
      <c r="B111" s="3"/>
      <c r="C111" s="4" t="s">
        <v>97</v>
      </c>
      <c r="D111" s="3"/>
      <c r="E111" s="3" t="s">
        <v>98</v>
      </c>
      <c r="F111" s="15">
        <v>0</v>
      </c>
      <c r="G111" s="16">
        <v>0</v>
      </c>
      <c r="H111" s="97"/>
    </row>
    <row r="112" spans="1:8" x14ac:dyDescent="0.2">
      <c r="A112" s="3"/>
      <c r="B112" s="3"/>
      <c r="C112" s="13"/>
      <c r="D112" s="3"/>
      <c r="E112" s="3"/>
      <c r="F112" s="14"/>
      <c r="G112" s="14"/>
      <c r="H112" s="97"/>
    </row>
    <row r="113" spans="1:8" x14ac:dyDescent="0.2">
      <c r="A113" s="3"/>
      <c r="B113" s="3"/>
      <c r="C113" s="4" t="s">
        <v>1296</v>
      </c>
      <c r="D113" s="3"/>
      <c r="E113" s="3"/>
      <c r="F113" s="3"/>
      <c r="G113" s="3"/>
      <c r="H113" s="97"/>
    </row>
    <row r="114" spans="1:8" x14ac:dyDescent="0.2">
      <c r="A114" s="70">
        <v>1</v>
      </c>
      <c r="B114" s="71" t="s">
        <v>888</v>
      </c>
      <c r="C114" s="71" t="s">
        <v>1295</v>
      </c>
      <c r="D114" s="71" t="s">
        <v>25</v>
      </c>
      <c r="E114" s="72">
        <v>26586</v>
      </c>
      <c r="F114" s="73">
        <v>2.6600000000000003E-7</v>
      </c>
      <c r="G114" s="204" t="s">
        <v>96</v>
      </c>
      <c r="H114" s="97"/>
    </row>
    <row r="115" spans="1:8" x14ac:dyDescent="0.2">
      <c r="A115" s="3"/>
      <c r="B115" s="3"/>
      <c r="C115" s="4" t="s">
        <v>97</v>
      </c>
      <c r="D115" s="3"/>
      <c r="E115" s="3" t="s">
        <v>98</v>
      </c>
      <c r="F115" s="11">
        <v>2.6600000000000003E-7</v>
      </c>
      <c r="G115" s="12" t="s">
        <v>96</v>
      </c>
      <c r="H115" s="97"/>
    </row>
    <row r="116" spans="1:8" x14ac:dyDescent="0.2">
      <c r="A116" s="3"/>
      <c r="B116" s="3"/>
      <c r="C116" s="13"/>
      <c r="D116" s="3"/>
      <c r="E116" s="3"/>
      <c r="F116" s="14"/>
      <c r="G116" s="14"/>
      <c r="H116" s="97"/>
    </row>
    <row r="117" spans="1:8" x14ac:dyDescent="0.2">
      <c r="A117" s="3"/>
      <c r="B117" s="3"/>
      <c r="C117" s="4" t="s">
        <v>101</v>
      </c>
      <c r="D117" s="3"/>
      <c r="E117" s="3"/>
      <c r="F117" s="3"/>
      <c r="G117" s="3"/>
      <c r="H117" s="97"/>
    </row>
    <row r="118" spans="1:8" x14ac:dyDescent="0.2">
      <c r="A118" s="3"/>
      <c r="B118" s="3"/>
      <c r="C118" s="4" t="s">
        <v>97</v>
      </c>
      <c r="D118" s="3"/>
      <c r="E118" s="3" t="s">
        <v>98</v>
      </c>
      <c r="F118" s="11">
        <v>0</v>
      </c>
      <c r="G118" s="12">
        <v>0</v>
      </c>
      <c r="H118" s="97"/>
    </row>
    <row r="119" spans="1:8" x14ac:dyDescent="0.2">
      <c r="A119" s="3"/>
      <c r="B119" s="3"/>
      <c r="C119" s="13"/>
      <c r="D119" s="3"/>
      <c r="E119" s="3"/>
      <c r="F119" s="14"/>
      <c r="G119" s="14"/>
      <c r="H119" s="97"/>
    </row>
    <row r="120" spans="1:8" x14ac:dyDescent="0.2">
      <c r="A120" s="3"/>
      <c r="B120" s="3"/>
      <c r="C120" s="4" t="s">
        <v>102</v>
      </c>
      <c r="D120" s="3"/>
      <c r="E120" s="3"/>
      <c r="F120" s="14"/>
      <c r="G120" s="14"/>
      <c r="H120" s="97"/>
    </row>
    <row r="121" spans="1:8" x14ac:dyDescent="0.2">
      <c r="A121" s="3"/>
      <c r="B121" s="3"/>
      <c r="C121" s="4" t="s">
        <v>97</v>
      </c>
      <c r="D121" s="3"/>
      <c r="E121" s="3" t="s">
        <v>98</v>
      </c>
      <c r="F121" s="15">
        <v>0</v>
      </c>
      <c r="G121" s="16">
        <v>0</v>
      </c>
      <c r="H121" s="97"/>
    </row>
    <row r="122" spans="1:8" x14ac:dyDescent="0.2">
      <c r="A122" s="3"/>
      <c r="B122" s="3"/>
      <c r="C122" s="13"/>
      <c r="D122" s="3"/>
      <c r="E122" s="3"/>
      <c r="F122" s="14"/>
      <c r="G122" s="14"/>
      <c r="H122" s="97"/>
    </row>
    <row r="123" spans="1:8" x14ac:dyDescent="0.2">
      <c r="A123" s="3"/>
      <c r="B123" s="3"/>
      <c r="C123" s="4" t="s">
        <v>103</v>
      </c>
      <c r="D123" s="3"/>
      <c r="E123" s="3"/>
      <c r="F123" s="14"/>
      <c r="G123" s="14"/>
      <c r="H123" s="97"/>
    </row>
    <row r="124" spans="1:8" x14ac:dyDescent="0.2">
      <c r="A124" s="3"/>
      <c r="B124" s="3"/>
      <c r="C124" s="4" t="s">
        <v>97</v>
      </c>
      <c r="D124" s="3"/>
      <c r="E124" s="3" t="s">
        <v>98</v>
      </c>
      <c r="F124" s="15">
        <v>0</v>
      </c>
      <c r="G124" s="16">
        <v>0</v>
      </c>
      <c r="H124" s="97"/>
    </row>
    <row r="125" spans="1:8" x14ac:dyDescent="0.2">
      <c r="A125" s="3"/>
      <c r="B125" s="3"/>
      <c r="C125" s="13"/>
      <c r="D125" s="3"/>
      <c r="E125" s="3"/>
      <c r="F125" s="14"/>
      <c r="G125" s="14"/>
      <c r="H125" s="97"/>
    </row>
    <row r="126" spans="1:8" x14ac:dyDescent="0.2">
      <c r="A126" s="3"/>
      <c r="B126" s="3"/>
      <c r="C126" s="4" t="s">
        <v>104</v>
      </c>
      <c r="D126" s="3"/>
      <c r="E126" s="3"/>
      <c r="F126" s="11">
        <v>5417.897368265998</v>
      </c>
      <c r="G126" s="12">
        <v>0.96538486127372458</v>
      </c>
      <c r="H126" s="97"/>
    </row>
    <row r="127" spans="1:8" x14ac:dyDescent="0.2">
      <c r="A127" s="3"/>
      <c r="B127" s="3"/>
      <c r="C127" s="13"/>
      <c r="D127" s="3"/>
      <c r="E127" s="3"/>
      <c r="F127" s="14"/>
      <c r="G127" s="14"/>
      <c r="H127" s="97"/>
    </row>
    <row r="128" spans="1:8" x14ac:dyDescent="0.2">
      <c r="A128" s="3"/>
      <c r="B128" s="3"/>
      <c r="C128" s="4" t="s">
        <v>105</v>
      </c>
      <c r="D128" s="3"/>
      <c r="E128" s="3"/>
      <c r="F128" s="14"/>
      <c r="G128" s="14"/>
      <c r="H128" s="97"/>
    </row>
    <row r="129" spans="1:8" ht="25.5" x14ac:dyDescent="0.2">
      <c r="A129" s="3"/>
      <c r="B129" s="3"/>
      <c r="C129" s="4" t="s">
        <v>10</v>
      </c>
      <c r="D129" s="3"/>
      <c r="E129" s="3"/>
      <c r="F129" s="14"/>
      <c r="G129" s="14"/>
      <c r="H129" s="97"/>
    </row>
    <row r="130" spans="1:8" ht="25.5" x14ac:dyDescent="0.2">
      <c r="A130" s="5">
        <v>1</v>
      </c>
      <c r="B130" s="6" t="s">
        <v>524</v>
      </c>
      <c r="C130" s="6" t="s">
        <v>525</v>
      </c>
      <c r="D130" s="6" t="s">
        <v>526</v>
      </c>
      <c r="E130" s="7">
        <v>828</v>
      </c>
      <c r="F130" s="8">
        <v>0.239186016</v>
      </c>
      <c r="G130" s="9" t="s">
        <v>96</v>
      </c>
      <c r="H130" s="100">
        <v>5.66</v>
      </c>
    </row>
    <row r="131" spans="1:8" x14ac:dyDescent="0.2">
      <c r="A131" s="3"/>
      <c r="B131" s="3"/>
      <c r="C131" s="4" t="s">
        <v>97</v>
      </c>
      <c r="D131" s="3"/>
      <c r="E131" s="3" t="s">
        <v>98</v>
      </c>
      <c r="F131" s="11">
        <v>0.239186016</v>
      </c>
      <c r="G131" s="12" t="s">
        <v>96</v>
      </c>
      <c r="H131" s="97"/>
    </row>
    <row r="132" spans="1:8" x14ac:dyDescent="0.2">
      <c r="A132" s="3"/>
      <c r="B132" s="3"/>
      <c r="C132" s="13"/>
      <c r="D132" s="3"/>
      <c r="E132" s="3"/>
      <c r="F132" s="14"/>
      <c r="G132" s="14"/>
      <c r="H132" s="97"/>
    </row>
    <row r="133" spans="1:8" x14ac:dyDescent="0.2">
      <c r="A133" s="3"/>
      <c r="B133" s="3"/>
      <c r="C133" s="4" t="s">
        <v>106</v>
      </c>
      <c r="D133" s="3"/>
      <c r="E133" s="3"/>
      <c r="F133" s="3"/>
      <c r="G133" s="3"/>
      <c r="H133" s="97"/>
    </row>
    <row r="134" spans="1:8" x14ac:dyDescent="0.2">
      <c r="A134" s="3"/>
      <c r="B134" s="3"/>
      <c r="C134" s="4" t="s">
        <v>97</v>
      </c>
      <c r="D134" s="3"/>
      <c r="E134" s="3" t="s">
        <v>98</v>
      </c>
      <c r="F134" s="15">
        <v>0</v>
      </c>
      <c r="G134" s="16">
        <v>0</v>
      </c>
      <c r="H134" s="97"/>
    </row>
    <row r="135" spans="1:8" x14ac:dyDescent="0.2">
      <c r="A135" s="3"/>
      <c r="B135" s="3"/>
      <c r="C135" s="13"/>
      <c r="D135" s="3"/>
      <c r="E135" s="3"/>
      <c r="F135" s="14"/>
      <c r="G135" s="14"/>
      <c r="H135" s="97"/>
    </row>
    <row r="136" spans="1:8" x14ac:dyDescent="0.2">
      <c r="A136" s="3"/>
      <c r="B136" s="3"/>
      <c r="C136" s="4" t="s">
        <v>107</v>
      </c>
      <c r="D136" s="3"/>
      <c r="E136" s="3"/>
      <c r="F136" s="3"/>
      <c r="G136" s="3"/>
      <c r="H136" s="97"/>
    </row>
    <row r="137" spans="1:8" x14ac:dyDescent="0.2">
      <c r="A137" s="3"/>
      <c r="B137" s="3"/>
      <c r="C137" s="4" t="s">
        <v>97</v>
      </c>
      <c r="D137" s="3"/>
      <c r="E137" s="3" t="s">
        <v>98</v>
      </c>
      <c r="F137" s="15">
        <v>0</v>
      </c>
      <c r="G137" s="16">
        <v>0</v>
      </c>
      <c r="H137" s="97"/>
    </row>
    <row r="138" spans="1:8" x14ac:dyDescent="0.2">
      <c r="A138" s="3"/>
      <c r="B138" s="3"/>
      <c r="C138" s="13"/>
      <c r="D138" s="3"/>
      <c r="E138" s="3"/>
      <c r="F138" s="14"/>
      <c r="G138" s="14"/>
      <c r="H138" s="97"/>
    </row>
    <row r="139" spans="1:8" x14ac:dyDescent="0.2">
      <c r="A139" s="3"/>
      <c r="B139" s="3"/>
      <c r="C139" s="4" t="s">
        <v>108</v>
      </c>
      <c r="D139" s="3"/>
      <c r="E139" s="3"/>
      <c r="F139" s="14"/>
      <c r="G139" s="14"/>
      <c r="H139" s="97"/>
    </row>
    <row r="140" spans="1:8" x14ac:dyDescent="0.2">
      <c r="A140" s="3"/>
      <c r="B140" s="3"/>
      <c r="C140" s="4" t="s">
        <v>97</v>
      </c>
      <c r="D140" s="3"/>
      <c r="E140" s="3" t="s">
        <v>98</v>
      </c>
      <c r="F140" s="15">
        <v>0</v>
      </c>
      <c r="G140" s="16">
        <v>0</v>
      </c>
      <c r="H140" s="97"/>
    </row>
    <row r="141" spans="1:8" x14ac:dyDescent="0.2">
      <c r="A141" s="3"/>
      <c r="B141" s="3"/>
      <c r="C141" s="13"/>
      <c r="D141" s="3"/>
      <c r="E141" s="3"/>
      <c r="F141" s="14"/>
      <c r="G141" s="14"/>
      <c r="H141" s="97"/>
    </row>
    <row r="142" spans="1:8" x14ac:dyDescent="0.2">
      <c r="A142" s="3"/>
      <c r="B142" s="3"/>
      <c r="C142" s="4" t="s">
        <v>109</v>
      </c>
      <c r="D142" s="3"/>
      <c r="E142" s="3"/>
      <c r="F142" s="11">
        <v>0.239186016</v>
      </c>
      <c r="G142" s="12">
        <v>4.2619219817375992E-5</v>
      </c>
      <c r="H142" s="97"/>
    </row>
    <row r="143" spans="1:8" x14ac:dyDescent="0.2">
      <c r="A143" s="3"/>
      <c r="B143" s="3"/>
      <c r="C143" s="13"/>
      <c r="D143" s="3"/>
      <c r="E143" s="3"/>
      <c r="F143" s="14"/>
      <c r="G143" s="14"/>
      <c r="H143" s="97"/>
    </row>
    <row r="144" spans="1:8" x14ac:dyDescent="0.2">
      <c r="A144" s="3"/>
      <c r="B144" s="3"/>
      <c r="C144" s="4" t="s">
        <v>110</v>
      </c>
      <c r="D144" s="3"/>
      <c r="E144" s="3"/>
      <c r="F144" s="14"/>
      <c r="G144" s="14"/>
      <c r="H144" s="97"/>
    </row>
    <row r="145" spans="1:8" x14ac:dyDescent="0.2">
      <c r="A145" s="3"/>
      <c r="B145" s="3"/>
      <c r="C145" s="4" t="s">
        <v>111</v>
      </c>
      <c r="D145" s="3"/>
      <c r="E145" s="3"/>
      <c r="F145" s="14"/>
      <c r="G145" s="14"/>
      <c r="H145" s="97"/>
    </row>
    <row r="146" spans="1:8" x14ac:dyDescent="0.2">
      <c r="A146" s="3"/>
      <c r="B146" s="3"/>
      <c r="C146" s="4" t="s">
        <v>97</v>
      </c>
      <c r="D146" s="3"/>
      <c r="E146" s="3" t="s">
        <v>98</v>
      </c>
      <c r="F146" s="15">
        <v>0</v>
      </c>
      <c r="G146" s="16">
        <v>0</v>
      </c>
      <c r="H146" s="97"/>
    </row>
    <row r="147" spans="1:8" x14ac:dyDescent="0.2">
      <c r="A147" s="3"/>
      <c r="B147" s="3"/>
      <c r="C147" s="13"/>
      <c r="D147" s="3"/>
      <c r="E147" s="3"/>
      <c r="F147" s="14"/>
      <c r="G147" s="14"/>
      <c r="H147" s="97"/>
    </row>
    <row r="148" spans="1:8" x14ac:dyDescent="0.2">
      <c r="A148" s="3"/>
      <c r="B148" s="3"/>
      <c r="C148" s="4" t="s">
        <v>112</v>
      </c>
      <c r="D148" s="3"/>
      <c r="E148" s="3"/>
      <c r="F148" s="14"/>
      <c r="G148" s="14"/>
      <c r="H148" s="97"/>
    </row>
    <row r="149" spans="1:8" x14ac:dyDescent="0.2">
      <c r="A149" s="3"/>
      <c r="B149" s="3"/>
      <c r="C149" s="4" t="s">
        <v>97</v>
      </c>
      <c r="D149" s="3"/>
      <c r="E149" s="3" t="s">
        <v>98</v>
      </c>
      <c r="F149" s="15">
        <v>0</v>
      </c>
      <c r="G149" s="16">
        <v>0</v>
      </c>
      <c r="H149" s="97"/>
    </row>
    <row r="150" spans="1:8" x14ac:dyDescent="0.2">
      <c r="A150" s="3"/>
      <c r="B150" s="3"/>
      <c r="C150" s="13"/>
      <c r="D150" s="3"/>
      <c r="E150" s="3"/>
      <c r="F150" s="14"/>
      <c r="G150" s="14"/>
      <c r="H150" s="97"/>
    </row>
    <row r="151" spans="1:8" x14ac:dyDescent="0.2">
      <c r="A151" s="3"/>
      <c r="B151" s="3"/>
      <c r="C151" s="4" t="s">
        <v>113</v>
      </c>
      <c r="D151" s="3"/>
      <c r="E151" s="3"/>
      <c r="F151" s="14"/>
      <c r="G151" s="14"/>
      <c r="H151" s="97"/>
    </row>
    <row r="152" spans="1:8" x14ac:dyDescent="0.2">
      <c r="A152" s="5">
        <v>1</v>
      </c>
      <c r="B152" s="6" t="s">
        <v>504</v>
      </c>
      <c r="C152" s="6" t="s">
        <v>505</v>
      </c>
      <c r="D152" s="6" t="s">
        <v>506</v>
      </c>
      <c r="E152" s="7">
        <v>1000</v>
      </c>
      <c r="F152" s="8">
        <v>0.99955499999999997</v>
      </c>
      <c r="G152" s="9">
        <v>1.7810512076323583E-4</v>
      </c>
      <c r="H152" s="98">
        <v>3.25</v>
      </c>
    </row>
    <row r="153" spans="1:8" x14ac:dyDescent="0.2">
      <c r="A153" s="3"/>
      <c r="B153" s="3"/>
      <c r="C153" s="4" t="s">
        <v>97</v>
      </c>
      <c r="D153" s="3"/>
      <c r="E153" s="3" t="s">
        <v>98</v>
      </c>
      <c r="F153" s="15">
        <v>0.99955499999999997</v>
      </c>
      <c r="G153" s="16">
        <v>1.7810512076323583E-4</v>
      </c>
      <c r="H153" s="97"/>
    </row>
    <row r="154" spans="1:8" x14ac:dyDescent="0.2">
      <c r="A154" s="3"/>
      <c r="B154" s="3"/>
      <c r="C154" s="13"/>
      <c r="D154" s="3"/>
      <c r="E154" s="3"/>
      <c r="F154" s="14"/>
      <c r="G154" s="14"/>
      <c r="H154" s="97"/>
    </row>
    <row r="155" spans="1:8" x14ac:dyDescent="0.2">
      <c r="A155" s="3"/>
      <c r="B155" s="3"/>
      <c r="C155" s="4" t="s">
        <v>114</v>
      </c>
      <c r="D155" s="3"/>
      <c r="E155" s="3"/>
      <c r="F155" s="14"/>
      <c r="G155" s="14"/>
      <c r="H155" s="97"/>
    </row>
    <row r="156" spans="1:8" x14ac:dyDescent="0.2">
      <c r="A156" s="5">
        <v>1</v>
      </c>
      <c r="B156" s="6"/>
      <c r="C156" s="6" t="s">
        <v>115</v>
      </c>
      <c r="D156" s="6"/>
      <c r="E156" s="10"/>
      <c r="F156" s="8">
        <v>39.1108081</v>
      </c>
      <c r="G156" s="9">
        <v>6.9689363764857777E-3</v>
      </c>
      <c r="H156" s="8">
        <v>3.4504560529072292</v>
      </c>
    </row>
    <row r="157" spans="1:8" x14ac:dyDescent="0.2">
      <c r="A157" s="5">
        <v>2</v>
      </c>
      <c r="B157" s="6"/>
      <c r="C157" s="6" t="s">
        <v>116</v>
      </c>
      <c r="D157" s="6"/>
      <c r="E157" s="10"/>
      <c r="F157" s="8">
        <v>21.108417800000002</v>
      </c>
      <c r="G157" s="9">
        <v>3.7611910313988094E-3</v>
      </c>
      <c r="H157" s="8">
        <v>3.5655822479098256</v>
      </c>
    </row>
    <row r="158" spans="1:8" x14ac:dyDescent="0.2">
      <c r="A158" s="3"/>
      <c r="B158" s="3"/>
      <c r="C158" s="4" t="s">
        <v>97</v>
      </c>
      <c r="D158" s="3"/>
      <c r="E158" s="3" t="s">
        <v>98</v>
      </c>
      <c r="F158" s="11">
        <v>60.219225899999998</v>
      </c>
      <c r="G158" s="12">
        <v>1.0730127407884586E-2</v>
      </c>
      <c r="H158" s="97"/>
    </row>
    <row r="159" spans="1:8" x14ac:dyDescent="0.2">
      <c r="A159" s="3"/>
      <c r="B159" s="3"/>
      <c r="C159" s="13"/>
      <c r="D159" s="3"/>
      <c r="E159" s="3"/>
      <c r="F159" s="14"/>
      <c r="G159" s="14"/>
      <c r="H159" s="97"/>
    </row>
    <row r="160" spans="1:8" x14ac:dyDescent="0.2">
      <c r="A160" s="3"/>
      <c r="B160" s="3"/>
      <c r="C160" s="4" t="s">
        <v>117</v>
      </c>
      <c r="D160" s="3"/>
      <c r="E160" s="3"/>
      <c r="F160" s="11">
        <v>61.218780899999999</v>
      </c>
      <c r="G160" s="12">
        <v>1.0908232528647822E-2</v>
      </c>
      <c r="H160" s="97"/>
    </row>
    <row r="161" spans="1:15" x14ac:dyDescent="0.2">
      <c r="A161" s="3"/>
      <c r="B161" s="3"/>
      <c r="C161" s="14"/>
      <c r="D161" s="3"/>
      <c r="E161" s="3"/>
      <c r="F161" s="3"/>
      <c r="G161" s="3"/>
      <c r="H161" s="97"/>
    </row>
    <row r="162" spans="1:15" x14ac:dyDescent="0.2">
      <c r="A162" s="3"/>
      <c r="B162" s="3"/>
      <c r="C162" s="4" t="s">
        <v>118</v>
      </c>
      <c r="D162" s="3"/>
      <c r="E162" s="3"/>
      <c r="F162" s="3"/>
      <c r="G162" s="3"/>
      <c r="H162" s="97"/>
    </row>
    <row r="163" spans="1:15" x14ac:dyDescent="0.2">
      <c r="A163" s="3"/>
      <c r="B163" s="3"/>
      <c r="C163" s="4" t="s">
        <v>119</v>
      </c>
      <c r="D163" s="3"/>
      <c r="E163" s="3"/>
      <c r="F163" s="3"/>
      <c r="G163" s="3"/>
      <c r="H163" s="97"/>
    </row>
    <row r="164" spans="1:15" x14ac:dyDescent="0.2">
      <c r="A164" s="3"/>
      <c r="B164" s="3"/>
      <c r="C164" s="4" t="s">
        <v>97</v>
      </c>
      <c r="D164" s="3"/>
      <c r="E164" s="3" t="s">
        <v>98</v>
      </c>
      <c r="F164" s="15">
        <v>0</v>
      </c>
      <c r="G164" s="16">
        <v>0</v>
      </c>
      <c r="H164" s="97"/>
    </row>
    <row r="165" spans="1:15" x14ac:dyDescent="0.2">
      <c r="A165" s="3"/>
      <c r="B165" s="3"/>
      <c r="C165" s="13"/>
      <c r="D165" s="3"/>
      <c r="E165" s="3"/>
      <c r="F165" s="14"/>
      <c r="G165" s="14"/>
      <c r="H165" s="97"/>
    </row>
    <row r="166" spans="1:15" x14ac:dyDescent="0.2">
      <c r="A166" s="3"/>
      <c r="B166" s="3"/>
      <c r="C166" s="4" t="s">
        <v>120</v>
      </c>
      <c r="D166" s="3"/>
      <c r="E166" s="3"/>
      <c r="F166" s="3"/>
      <c r="G166" s="3"/>
      <c r="H166" s="97"/>
    </row>
    <row r="167" spans="1:15" x14ac:dyDescent="0.2">
      <c r="A167" s="3"/>
      <c r="B167" s="3"/>
      <c r="C167" s="4" t="s">
        <v>121</v>
      </c>
      <c r="D167" s="3"/>
      <c r="E167" s="3"/>
      <c r="F167" s="3"/>
      <c r="G167" s="3"/>
      <c r="H167" s="97"/>
    </row>
    <row r="168" spans="1:15" x14ac:dyDescent="0.2">
      <c r="A168" s="3"/>
      <c r="B168" s="3"/>
      <c r="C168" s="4" t="s">
        <v>97</v>
      </c>
      <c r="D168" s="3"/>
      <c r="E168" s="3" t="s">
        <v>98</v>
      </c>
      <c r="F168" s="15">
        <v>0</v>
      </c>
      <c r="G168" s="16">
        <v>0</v>
      </c>
      <c r="H168" s="97"/>
    </row>
    <row r="169" spans="1:15" x14ac:dyDescent="0.2">
      <c r="A169" s="3"/>
      <c r="B169" s="3"/>
      <c r="C169" s="13"/>
      <c r="D169" s="3"/>
      <c r="E169" s="3"/>
      <c r="F169" s="14"/>
      <c r="G169" s="14"/>
      <c r="H169" s="97"/>
    </row>
    <row r="170" spans="1:15" x14ac:dyDescent="0.2">
      <c r="A170" s="3"/>
      <c r="B170" s="3"/>
      <c r="C170" s="13"/>
      <c r="D170" s="3"/>
      <c r="E170" s="3"/>
      <c r="F170" s="14"/>
      <c r="G170" s="14"/>
      <c r="H170" s="97"/>
    </row>
    <row r="171" spans="1:15" ht="25.5" x14ac:dyDescent="0.2">
      <c r="A171" s="3"/>
      <c r="B171" s="3"/>
      <c r="C171" s="4" t="s">
        <v>122</v>
      </c>
      <c r="D171" s="3"/>
      <c r="E171" s="3"/>
      <c r="F171" s="14"/>
      <c r="G171" s="14"/>
      <c r="H171" s="97"/>
    </row>
    <row r="172" spans="1:15" x14ac:dyDescent="0.2">
      <c r="A172" s="3"/>
      <c r="B172" s="3"/>
      <c r="C172" s="4" t="s">
        <v>97</v>
      </c>
      <c r="D172" s="3"/>
      <c r="E172" s="3" t="s">
        <v>98</v>
      </c>
      <c r="F172" s="15">
        <v>0</v>
      </c>
      <c r="G172" s="16">
        <v>0</v>
      </c>
      <c r="H172" s="97"/>
    </row>
    <row r="173" spans="1:15" x14ac:dyDescent="0.2">
      <c r="A173" s="3"/>
      <c r="B173" s="3"/>
      <c r="C173" s="13"/>
      <c r="D173" s="3"/>
      <c r="E173" s="3"/>
      <c r="F173" s="14"/>
      <c r="G173" s="14"/>
      <c r="H173" s="97"/>
    </row>
    <row r="174" spans="1:15" x14ac:dyDescent="0.2">
      <c r="A174" s="3"/>
      <c r="B174" s="6"/>
      <c r="C174" s="6"/>
      <c r="D174" s="4"/>
      <c r="E174" s="3"/>
      <c r="F174" s="6"/>
      <c r="G174" s="10"/>
      <c r="H174" s="97"/>
    </row>
    <row r="175" spans="1:15" x14ac:dyDescent="0.2">
      <c r="A175" s="10"/>
      <c r="B175" s="6"/>
      <c r="C175" s="6" t="s">
        <v>1016</v>
      </c>
      <c r="D175" s="6"/>
      <c r="E175" s="10"/>
      <c r="F175" s="8">
        <v>132.80783966999999</v>
      </c>
      <c r="G175" s="9">
        <v>2.3664286930413843E-2</v>
      </c>
      <c r="H175" s="97"/>
    </row>
    <row r="176" spans="1:15" x14ac:dyDescent="0.2">
      <c r="A176" s="13"/>
      <c r="B176" s="13"/>
      <c r="C176" s="4" t="s">
        <v>124</v>
      </c>
      <c r="D176" s="17"/>
      <c r="E176" s="17"/>
      <c r="F176" s="11">
        <v>5612.1631748519976</v>
      </c>
      <c r="G176" s="12">
        <v>0.99999999995260358</v>
      </c>
      <c r="H176" s="97"/>
      <c r="I176" s="69"/>
      <c r="J176" s="69"/>
      <c r="K176" s="69"/>
      <c r="L176" s="69"/>
      <c r="M176" s="69"/>
      <c r="N176" s="69"/>
      <c r="O176" s="69"/>
    </row>
    <row r="177" spans="1:15" ht="14.1" customHeight="1" x14ac:dyDescent="0.2">
      <c r="A177" s="18"/>
      <c r="B177" s="18"/>
      <c r="C177" s="18"/>
      <c r="D177" s="19"/>
      <c r="E177" s="19"/>
      <c r="F177" s="19"/>
      <c r="G177" s="19"/>
    </row>
    <row r="178" spans="1:15" ht="17.100000000000001" customHeight="1" x14ac:dyDescent="0.2">
      <c r="A178" s="20"/>
      <c r="B178" s="226" t="s">
        <v>1299</v>
      </c>
      <c r="C178" s="226"/>
      <c r="D178" s="226"/>
      <c r="E178" s="226"/>
      <c r="F178" s="226"/>
      <c r="G178" s="22"/>
    </row>
    <row r="179" spans="1:15" s="69" customFormat="1" ht="17.100000000000001" customHeight="1" x14ac:dyDescent="0.2">
      <c r="A179" s="94"/>
      <c r="B179" s="234" t="s">
        <v>1018</v>
      </c>
      <c r="C179" s="234"/>
      <c r="D179" s="234"/>
      <c r="E179" s="234"/>
      <c r="F179" s="234"/>
      <c r="G179" s="95"/>
      <c r="H179"/>
      <c r="I179"/>
      <c r="J179"/>
      <c r="K179"/>
      <c r="L179"/>
      <c r="M179"/>
      <c r="N179"/>
      <c r="O179"/>
    </row>
    <row r="180" spans="1:15" ht="14.1" customHeight="1" x14ac:dyDescent="0.2">
      <c r="A180" s="20"/>
      <c r="B180" s="203" t="s">
        <v>1294</v>
      </c>
      <c r="C180" s="20"/>
      <c r="D180" s="22"/>
      <c r="E180" s="22"/>
      <c r="F180" s="22"/>
      <c r="G180" s="22"/>
    </row>
    <row r="181" spans="1:15" ht="14.1" customHeight="1" x14ac:dyDescent="0.2">
      <c r="A181" s="20"/>
      <c r="B181" s="202"/>
      <c r="C181" s="20"/>
      <c r="D181" s="22"/>
      <c r="E181" s="22"/>
      <c r="F181" s="22"/>
      <c r="G181" s="22"/>
    </row>
    <row r="182" spans="1:15" ht="14.1" customHeight="1" x14ac:dyDescent="0.2">
      <c r="A182" s="20"/>
      <c r="B182" s="224" t="s">
        <v>126</v>
      </c>
      <c r="C182" s="225"/>
      <c r="D182" s="14" t="s">
        <v>98</v>
      </c>
      <c r="E182" s="23"/>
      <c r="F182" s="22"/>
      <c r="G182" s="22"/>
    </row>
    <row r="183" spans="1:15" ht="29.1" customHeight="1" x14ac:dyDescent="0.2">
      <c r="A183" s="20"/>
      <c r="B183" s="231" t="s">
        <v>127</v>
      </c>
      <c r="C183" s="232"/>
      <c r="D183" s="4" t="s">
        <v>128</v>
      </c>
      <c r="E183" s="23"/>
      <c r="F183" s="22"/>
      <c r="G183" s="22"/>
    </row>
    <row r="184" spans="1:15" ht="17.100000000000001" customHeight="1" x14ac:dyDescent="0.2">
      <c r="A184" s="20"/>
      <c r="B184" s="231" t="s">
        <v>129</v>
      </c>
      <c r="C184" s="232"/>
      <c r="D184" s="4" t="s">
        <v>128</v>
      </c>
      <c r="E184" s="23"/>
      <c r="F184" s="22"/>
      <c r="G184" s="22"/>
    </row>
    <row r="185" spans="1:15" ht="17.100000000000001" customHeight="1" x14ac:dyDescent="0.2">
      <c r="A185" s="20"/>
      <c r="B185" s="231" t="s">
        <v>1055</v>
      </c>
      <c r="C185" s="235"/>
      <c r="D185" s="232"/>
      <c r="E185" s="23"/>
      <c r="F185" s="22"/>
      <c r="G185" s="22"/>
    </row>
    <row r="186" spans="1:15" ht="24" customHeight="1" x14ac:dyDescent="0.2">
      <c r="A186" s="24"/>
      <c r="B186" s="25" t="s">
        <v>98</v>
      </c>
      <c r="C186" s="25" t="s">
        <v>131</v>
      </c>
      <c r="D186" s="25" t="s">
        <v>132</v>
      </c>
      <c r="E186" s="24"/>
      <c r="F186" s="24"/>
      <c r="G186" s="24"/>
    </row>
    <row r="187" spans="1:15" ht="18" customHeight="1" x14ac:dyDescent="0.2">
      <c r="A187" s="24"/>
      <c r="B187" s="25" t="s">
        <v>133</v>
      </c>
      <c r="C187" s="25" t="s">
        <v>134</v>
      </c>
      <c r="D187" s="25" t="s">
        <v>135</v>
      </c>
      <c r="E187" s="24"/>
      <c r="F187" s="24"/>
      <c r="G187" s="24"/>
    </row>
    <row r="188" spans="1:15" x14ac:dyDescent="0.2">
      <c r="A188" s="24"/>
      <c r="B188" s="6" t="s">
        <v>136</v>
      </c>
      <c r="C188" s="10">
        <v>110.6446</v>
      </c>
      <c r="D188" s="26">
        <v>113.1968</v>
      </c>
      <c r="E188" s="24"/>
      <c r="F188" s="21"/>
      <c r="G188" s="27"/>
    </row>
    <row r="189" spans="1:15" x14ac:dyDescent="0.2">
      <c r="A189" s="24"/>
      <c r="B189" s="6" t="s">
        <v>1201</v>
      </c>
      <c r="C189" s="10">
        <v>65.024199999999993</v>
      </c>
      <c r="D189" s="26">
        <v>66.524199999999993</v>
      </c>
      <c r="E189" s="24"/>
      <c r="F189" s="21"/>
      <c r="G189" s="27"/>
    </row>
    <row r="190" spans="1:15" x14ac:dyDescent="0.2">
      <c r="A190" s="24"/>
      <c r="B190" s="6" t="s">
        <v>137</v>
      </c>
      <c r="C190" s="10">
        <v>106.812</v>
      </c>
      <c r="D190" s="26">
        <v>109.2473</v>
      </c>
      <c r="E190" s="24"/>
      <c r="F190" s="21"/>
      <c r="G190" s="27"/>
    </row>
    <row r="191" spans="1:15" x14ac:dyDescent="0.2">
      <c r="A191" s="24"/>
      <c r="B191" s="6" t="s">
        <v>1202</v>
      </c>
      <c r="C191" s="10">
        <v>62.775399999999998</v>
      </c>
      <c r="D191" s="26">
        <v>64.206699999999998</v>
      </c>
      <c r="E191" s="24"/>
      <c r="F191" s="21"/>
      <c r="G191" s="27"/>
    </row>
    <row r="192" spans="1:15" ht="17.100000000000001" customHeight="1" x14ac:dyDescent="0.2">
      <c r="A192" s="20"/>
      <c r="B192" s="231" t="s">
        <v>1056</v>
      </c>
      <c r="C192" s="235"/>
      <c r="D192" s="232"/>
      <c r="E192" s="23"/>
      <c r="F192" s="22"/>
      <c r="G192" s="22"/>
    </row>
    <row r="193" spans="1:17" ht="25.5" x14ac:dyDescent="0.2">
      <c r="A193" s="24"/>
      <c r="B193" s="25" t="s">
        <v>98</v>
      </c>
      <c r="C193" s="25" t="s">
        <v>131</v>
      </c>
      <c r="D193" s="25" t="s">
        <v>132</v>
      </c>
      <c r="E193" s="24"/>
      <c r="F193" s="24"/>
      <c r="G193" s="24"/>
      <c r="I193" s="87"/>
      <c r="J193" s="87"/>
      <c r="K193" s="87"/>
      <c r="L193" s="87"/>
      <c r="M193" s="87"/>
      <c r="N193" s="87"/>
      <c r="O193" s="87"/>
    </row>
    <row r="194" spans="1:17" ht="18" customHeight="1" x14ac:dyDescent="0.2">
      <c r="A194" s="24"/>
      <c r="B194" s="25" t="s">
        <v>133</v>
      </c>
      <c r="C194" s="25" t="s">
        <v>134</v>
      </c>
      <c r="D194" s="25" t="s">
        <v>135</v>
      </c>
      <c r="E194" s="24"/>
      <c r="F194" s="24"/>
      <c r="G194" s="24"/>
    </row>
    <row r="195" spans="1:17" x14ac:dyDescent="0.2">
      <c r="A195" s="24"/>
      <c r="B195" s="6" t="s">
        <v>136</v>
      </c>
      <c r="C195" s="26">
        <v>18.203399999999998</v>
      </c>
      <c r="D195" s="26">
        <v>18.621400000000001</v>
      </c>
      <c r="E195" s="24"/>
      <c r="F195" s="21"/>
      <c r="G195" s="27"/>
    </row>
    <row r="196" spans="1:17" x14ac:dyDescent="0.2">
      <c r="A196" s="24"/>
      <c r="B196" s="6" t="s">
        <v>1201</v>
      </c>
      <c r="C196" s="26">
        <v>16.198399999999999</v>
      </c>
      <c r="D196" s="26">
        <v>16.5703</v>
      </c>
      <c r="E196" s="24"/>
      <c r="F196" s="21"/>
      <c r="G196" s="27"/>
    </row>
    <row r="197" spans="1:17" x14ac:dyDescent="0.2">
      <c r="A197" s="24"/>
      <c r="B197" s="6" t="s">
        <v>137</v>
      </c>
      <c r="C197" s="26">
        <v>17.631</v>
      </c>
      <c r="D197" s="26">
        <v>18.028500000000001</v>
      </c>
      <c r="E197" s="24"/>
      <c r="F197" s="21"/>
      <c r="G197" s="27"/>
      <c r="I197" s="69"/>
      <c r="J197" s="69"/>
      <c r="K197" s="69"/>
      <c r="L197" s="69"/>
      <c r="M197" s="69"/>
      <c r="N197" s="69"/>
      <c r="O197" s="69"/>
    </row>
    <row r="198" spans="1:17" x14ac:dyDescent="0.2">
      <c r="A198" s="24"/>
      <c r="B198" s="6" t="s">
        <v>1202</v>
      </c>
      <c r="C198" s="26">
        <v>15.682</v>
      </c>
      <c r="D198" s="26">
        <v>16.035499999999999</v>
      </c>
      <c r="E198" s="24"/>
      <c r="F198" s="21"/>
      <c r="G198" s="27"/>
      <c r="I198" s="69"/>
      <c r="J198" s="69"/>
      <c r="K198" s="69"/>
      <c r="L198" s="69"/>
      <c r="M198" s="69"/>
      <c r="N198" s="69"/>
      <c r="O198" s="69"/>
    </row>
    <row r="199" spans="1:17" ht="14.1" customHeight="1" x14ac:dyDescent="0.2">
      <c r="A199" s="24"/>
      <c r="B199" s="24"/>
      <c r="C199" s="24"/>
      <c r="D199" s="24"/>
      <c r="E199" s="24"/>
      <c r="F199" s="24"/>
      <c r="G199" s="24"/>
    </row>
    <row r="200" spans="1:17" ht="17.100000000000001" customHeight="1" x14ac:dyDescent="0.2">
      <c r="A200" s="24"/>
      <c r="B200" s="231" t="s">
        <v>1203</v>
      </c>
      <c r="C200" s="232"/>
      <c r="D200" s="4" t="s">
        <v>128</v>
      </c>
      <c r="E200" s="24"/>
      <c r="F200" s="24"/>
      <c r="G200" s="24"/>
    </row>
    <row r="201" spans="1:17" ht="18" customHeight="1" x14ac:dyDescent="0.2">
      <c r="A201" s="24"/>
      <c r="B201" s="28"/>
      <c r="C201" s="28"/>
      <c r="D201" s="29"/>
      <c r="E201" s="24"/>
      <c r="F201" s="24"/>
      <c r="G201" s="24"/>
    </row>
    <row r="202" spans="1:17" s="87" customFormat="1" x14ac:dyDescent="0.2">
      <c r="B202" s="233" t="s">
        <v>1207</v>
      </c>
      <c r="C202" s="233"/>
      <c r="D202" s="233"/>
      <c r="E202" s="233"/>
      <c r="F202" s="233"/>
      <c r="I202"/>
      <c r="J202"/>
      <c r="K202"/>
      <c r="L202"/>
      <c r="M202"/>
      <c r="N202"/>
      <c r="O202"/>
      <c r="P202" s="69"/>
      <c r="Q202" s="69"/>
    </row>
    <row r="203" spans="1:17" ht="14.1" customHeight="1" x14ac:dyDescent="0.2">
      <c r="A203" s="24"/>
      <c r="B203" s="21"/>
      <c r="C203" s="21"/>
      <c r="D203" s="24"/>
      <c r="E203" s="24"/>
      <c r="F203" s="24"/>
      <c r="G203" s="24"/>
    </row>
    <row r="204" spans="1:17" ht="29.1" customHeight="1" x14ac:dyDescent="0.2">
      <c r="A204" s="24"/>
      <c r="B204" s="231" t="s">
        <v>138</v>
      </c>
      <c r="C204" s="232"/>
      <c r="D204" s="4" t="s">
        <v>128</v>
      </c>
      <c r="E204" s="24"/>
      <c r="F204" s="24"/>
      <c r="G204" s="24"/>
    </row>
    <row r="205" spans="1:17" ht="29.1" customHeight="1" x14ac:dyDescent="0.2">
      <c r="A205" s="24"/>
      <c r="B205" s="231" t="s">
        <v>139</v>
      </c>
      <c r="C205" s="232"/>
      <c r="D205" s="4" t="s">
        <v>128</v>
      </c>
      <c r="E205" s="24"/>
      <c r="F205" s="24"/>
      <c r="G205" s="24"/>
    </row>
    <row r="206" spans="1:17" ht="17.100000000000001" customHeight="1" x14ac:dyDescent="0.2">
      <c r="A206" s="24"/>
      <c r="B206" s="231" t="s">
        <v>140</v>
      </c>
      <c r="C206" s="232"/>
      <c r="D206" s="30">
        <v>0.59981135656671469</v>
      </c>
      <c r="E206" s="24"/>
      <c r="F206" s="21"/>
      <c r="G206" s="27"/>
    </row>
    <row r="207" spans="1:17" ht="17.100000000000001" customHeight="1" x14ac:dyDescent="0.2">
      <c r="A207" s="24"/>
      <c r="B207" s="231" t="s">
        <v>141</v>
      </c>
      <c r="C207" s="232"/>
      <c r="D207" s="4" t="s">
        <v>128</v>
      </c>
      <c r="E207" s="24"/>
      <c r="F207" s="24"/>
      <c r="G207" s="24"/>
    </row>
  </sheetData>
  <sortState xmlns:xlrd2="http://schemas.microsoft.com/office/spreadsheetml/2017/richdata2" ref="A7:G107">
    <sortCondition descending="1" ref="G7:G107"/>
  </sortState>
  <mergeCells count="17">
    <mergeCell ref="B206:C206"/>
    <mergeCell ref="B207:C207"/>
    <mergeCell ref="B183:C183"/>
    <mergeCell ref="B184:C184"/>
    <mergeCell ref="B200:C200"/>
    <mergeCell ref="B204:C204"/>
    <mergeCell ref="B205:C205"/>
    <mergeCell ref="B192:D192"/>
    <mergeCell ref="B185:D185"/>
    <mergeCell ref="B202:F202"/>
    <mergeCell ref="J2:N2"/>
    <mergeCell ref="B182:C182"/>
    <mergeCell ref="B178:F178"/>
    <mergeCell ref="B179:F179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41">
    <outlinePr summaryBelow="0" summaryRight="0"/>
  </sheetPr>
  <dimension ref="A1:Q161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5" ht="15" x14ac:dyDescent="0.2">
      <c r="A1" s="227" t="s">
        <v>0</v>
      </c>
      <c r="B1" s="227"/>
      <c r="C1" s="227"/>
      <c r="D1" s="227"/>
      <c r="E1" s="227"/>
      <c r="F1" s="227"/>
      <c r="G1" s="227"/>
      <c r="H1" s="227"/>
    </row>
    <row r="2" spans="1:15" s="87" customFormat="1" ht="15" x14ac:dyDescent="0.2">
      <c r="A2" s="228" t="s">
        <v>1279</v>
      </c>
      <c r="B2" s="229"/>
      <c r="C2" s="229"/>
      <c r="D2" s="229"/>
      <c r="E2" s="229"/>
      <c r="F2" s="229"/>
      <c r="G2" s="229"/>
      <c r="H2" s="230"/>
      <c r="I2"/>
      <c r="J2" s="223" t="s">
        <v>1238</v>
      </c>
      <c r="K2" s="223"/>
      <c r="L2" s="223"/>
      <c r="M2" s="223"/>
      <c r="N2" s="223"/>
      <c r="O2"/>
    </row>
    <row r="3" spans="1:15" ht="15" x14ac:dyDescent="0.2">
      <c r="A3" s="227" t="s">
        <v>1208</v>
      </c>
      <c r="B3" s="227"/>
      <c r="C3" s="227"/>
      <c r="D3" s="227"/>
      <c r="E3" s="227"/>
      <c r="F3" s="227"/>
      <c r="G3" s="227"/>
      <c r="H3" s="227"/>
    </row>
    <row r="4" spans="1:15" s="113" customFormat="1" ht="30" x14ac:dyDescent="0.2">
      <c r="A4" s="1" t="s">
        <v>2</v>
      </c>
      <c r="B4" s="1" t="s">
        <v>3</v>
      </c>
      <c r="C4" s="1" t="s">
        <v>4</v>
      </c>
      <c r="D4" s="1" t="s">
        <v>5</v>
      </c>
      <c r="E4" s="2" t="s">
        <v>6</v>
      </c>
      <c r="F4" s="2" t="s">
        <v>7</v>
      </c>
      <c r="G4" s="2" t="s">
        <v>8</v>
      </c>
      <c r="H4" s="96" t="s">
        <v>1167</v>
      </c>
      <c r="I4" s="183"/>
      <c r="J4" s="183"/>
      <c r="K4" s="183"/>
      <c r="L4" s="183"/>
      <c r="M4" s="183"/>
      <c r="N4" s="183"/>
      <c r="O4" s="183"/>
    </row>
    <row r="5" spans="1:15" ht="14.1" customHeight="1" x14ac:dyDescent="0.2">
      <c r="A5" s="3"/>
      <c r="B5" s="3"/>
      <c r="C5" s="4" t="s">
        <v>9</v>
      </c>
      <c r="D5" s="3"/>
      <c r="E5" s="3"/>
      <c r="F5" s="3"/>
      <c r="G5" s="3"/>
      <c r="H5" s="97"/>
    </row>
    <row r="6" spans="1:15" ht="24" customHeight="1" x14ac:dyDescent="0.2">
      <c r="A6" s="3"/>
      <c r="B6" s="3"/>
      <c r="C6" s="4" t="s">
        <v>10</v>
      </c>
      <c r="D6" s="3"/>
      <c r="E6" s="3"/>
      <c r="F6" s="3"/>
      <c r="G6" s="3"/>
      <c r="H6" s="97"/>
    </row>
    <row r="7" spans="1:15" x14ac:dyDescent="0.2">
      <c r="A7" s="5">
        <v>1</v>
      </c>
      <c r="B7" s="6" t="s">
        <v>23</v>
      </c>
      <c r="C7" s="6" t="s">
        <v>24</v>
      </c>
      <c r="D7" s="6" t="s">
        <v>25</v>
      </c>
      <c r="E7" s="7">
        <v>1044215</v>
      </c>
      <c r="F7" s="8">
        <v>7728.7573224999996</v>
      </c>
      <c r="G7" s="9">
        <v>8.2756507000000007E-2</v>
      </c>
      <c r="H7" s="97"/>
    </row>
    <row r="8" spans="1:15" x14ac:dyDescent="0.2">
      <c r="A8" s="5">
        <v>2</v>
      </c>
      <c r="B8" s="6" t="s">
        <v>409</v>
      </c>
      <c r="C8" s="6" t="s">
        <v>410</v>
      </c>
      <c r="D8" s="6" t="s">
        <v>147</v>
      </c>
      <c r="E8" s="7">
        <v>366446</v>
      </c>
      <c r="F8" s="8">
        <v>6917.5843649999997</v>
      </c>
      <c r="G8" s="9">
        <v>7.4070785E-2</v>
      </c>
      <c r="H8" s="97"/>
    </row>
    <row r="9" spans="1:15" x14ac:dyDescent="0.2">
      <c r="A9" s="5">
        <v>3</v>
      </c>
      <c r="B9" s="6" t="s">
        <v>411</v>
      </c>
      <c r="C9" s="6" t="s">
        <v>412</v>
      </c>
      <c r="D9" s="6" t="s">
        <v>25</v>
      </c>
      <c r="E9" s="7">
        <v>335117</v>
      </c>
      <c r="F9" s="8">
        <v>4957.7208979999996</v>
      </c>
      <c r="G9" s="9">
        <v>5.3085333999999998E-2</v>
      </c>
      <c r="H9" s="97"/>
    </row>
    <row r="10" spans="1:15" x14ac:dyDescent="0.2">
      <c r="A10" s="5">
        <v>4</v>
      </c>
      <c r="B10" s="6" t="s">
        <v>35</v>
      </c>
      <c r="C10" s="6" t="s">
        <v>36</v>
      </c>
      <c r="D10" s="6" t="s">
        <v>19</v>
      </c>
      <c r="E10" s="7">
        <v>172375</v>
      </c>
      <c r="F10" s="8">
        <v>4251.6293750000004</v>
      </c>
      <c r="G10" s="9">
        <v>4.5524782999999999E-2</v>
      </c>
      <c r="H10" s="97"/>
    </row>
    <row r="11" spans="1:15" x14ac:dyDescent="0.2">
      <c r="A11" s="5">
        <v>5</v>
      </c>
      <c r="B11" s="6" t="s">
        <v>14</v>
      </c>
      <c r="C11" s="6" t="s">
        <v>15</v>
      </c>
      <c r="D11" s="6" t="s">
        <v>16</v>
      </c>
      <c r="E11" s="7">
        <v>137512</v>
      </c>
      <c r="F11" s="8">
        <v>3256.4904280000001</v>
      </c>
      <c r="G11" s="9">
        <v>3.4869223999999997E-2</v>
      </c>
      <c r="H11" s="97"/>
    </row>
    <row r="12" spans="1:15" x14ac:dyDescent="0.2">
      <c r="A12" s="5">
        <v>6</v>
      </c>
      <c r="B12" s="6" t="s">
        <v>417</v>
      </c>
      <c r="C12" s="6" t="s">
        <v>418</v>
      </c>
      <c r="D12" s="6" t="s">
        <v>147</v>
      </c>
      <c r="E12" s="7">
        <v>83894</v>
      </c>
      <c r="F12" s="8">
        <v>3136.2513490000001</v>
      </c>
      <c r="G12" s="9">
        <v>3.3581751E-2</v>
      </c>
      <c r="H12" s="97"/>
    </row>
    <row r="13" spans="1:15" x14ac:dyDescent="0.2">
      <c r="A13" s="5">
        <v>7</v>
      </c>
      <c r="B13" s="6" t="s">
        <v>415</v>
      </c>
      <c r="C13" s="6" t="s">
        <v>416</v>
      </c>
      <c r="D13" s="6" t="s">
        <v>25</v>
      </c>
      <c r="E13" s="7">
        <v>619702</v>
      </c>
      <c r="F13" s="8">
        <v>2853.4178590000001</v>
      </c>
      <c r="G13" s="9">
        <v>3.0553281000000002E-2</v>
      </c>
      <c r="H13" s="97"/>
    </row>
    <row r="14" spans="1:15" x14ac:dyDescent="0.2">
      <c r="A14" s="5">
        <v>8</v>
      </c>
      <c r="B14" s="6" t="s">
        <v>76</v>
      </c>
      <c r="C14" s="6" t="s">
        <v>77</v>
      </c>
      <c r="D14" s="6" t="s">
        <v>78</v>
      </c>
      <c r="E14" s="7">
        <v>2240795</v>
      </c>
      <c r="F14" s="8">
        <v>2743.8534774999998</v>
      </c>
      <c r="G14" s="9">
        <v>2.9380109000000001E-2</v>
      </c>
      <c r="H14" s="97"/>
    </row>
    <row r="15" spans="1:15" ht="15" x14ac:dyDescent="0.2">
      <c r="A15" s="5">
        <v>9</v>
      </c>
      <c r="B15" s="6" t="s">
        <v>315</v>
      </c>
      <c r="C15" s="6" t="s">
        <v>316</v>
      </c>
      <c r="D15" s="6" t="s">
        <v>25</v>
      </c>
      <c r="E15" s="7">
        <v>380005</v>
      </c>
      <c r="F15" s="8">
        <v>2578.5239274999999</v>
      </c>
      <c r="G15" s="9">
        <v>2.7609825000000001E-2</v>
      </c>
      <c r="H15" s="97"/>
      <c r="J15" s="184" t="s">
        <v>1269</v>
      </c>
    </row>
    <row r="16" spans="1:15" x14ac:dyDescent="0.2">
      <c r="A16" s="5">
        <v>10</v>
      </c>
      <c r="B16" s="6" t="s">
        <v>488</v>
      </c>
      <c r="C16" s="6" t="s">
        <v>489</v>
      </c>
      <c r="D16" s="6" t="s">
        <v>78</v>
      </c>
      <c r="E16" s="7">
        <v>31194</v>
      </c>
      <c r="F16" s="8">
        <v>2316.6068129999999</v>
      </c>
      <c r="G16" s="9">
        <v>2.4805318999999999E-2</v>
      </c>
      <c r="H16" s="97"/>
    </row>
    <row r="17" spans="1:10" x14ac:dyDescent="0.2">
      <c r="A17" s="5">
        <v>11</v>
      </c>
      <c r="B17" s="6" t="s">
        <v>468</v>
      </c>
      <c r="C17" s="6" t="s">
        <v>469</v>
      </c>
      <c r="D17" s="6" t="s">
        <v>78</v>
      </c>
      <c r="E17" s="7">
        <v>403269</v>
      </c>
      <c r="F17" s="8">
        <v>1945.3696560000001</v>
      </c>
      <c r="G17" s="9">
        <v>2.0830257000000001E-2</v>
      </c>
      <c r="H17" s="97"/>
    </row>
    <row r="18" spans="1:10" x14ac:dyDescent="0.2">
      <c r="A18" s="5">
        <v>12</v>
      </c>
      <c r="B18" s="6" t="s">
        <v>440</v>
      </c>
      <c r="C18" s="6" t="s">
        <v>441</v>
      </c>
      <c r="D18" s="6" t="s">
        <v>25</v>
      </c>
      <c r="E18" s="7">
        <v>104177</v>
      </c>
      <c r="F18" s="8">
        <v>1871.1230969999999</v>
      </c>
      <c r="G18" s="9">
        <v>2.0035253999999999E-2</v>
      </c>
      <c r="H18" s="97"/>
    </row>
    <row r="19" spans="1:10" ht="25.5" x14ac:dyDescent="0.2">
      <c r="A19" s="5">
        <v>13</v>
      </c>
      <c r="B19" s="6" t="s">
        <v>442</v>
      </c>
      <c r="C19" s="6" t="s">
        <v>1157</v>
      </c>
      <c r="D19" s="91" t="s">
        <v>22</v>
      </c>
      <c r="E19" s="7">
        <v>493578</v>
      </c>
      <c r="F19" s="8">
        <v>1740.602817</v>
      </c>
      <c r="G19" s="9">
        <v>1.8637693E-2</v>
      </c>
      <c r="H19" s="97"/>
    </row>
    <row r="20" spans="1:10" ht="25.5" x14ac:dyDescent="0.2">
      <c r="A20" s="5">
        <v>14</v>
      </c>
      <c r="B20" s="6" t="s">
        <v>413</v>
      </c>
      <c r="C20" s="6" t="s">
        <v>414</v>
      </c>
      <c r="D20" s="6" t="s">
        <v>81</v>
      </c>
      <c r="E20" s="7">
        <v>66786</v>
      </c>
      <c r="F20" s="8">
        <v>1727.386497</v>
      </c>
      <c r="G20" s="9">
        <v>1.8496177999999999E-2</v>
      </c>
      <c r="H20" s="97"/>
    </row>
    <row r="21" spans="1:10" ht="25.5" x14ac:dyDescent="0.2">
      <c r="A21" s="5">
        <v>15</v>
      </c>
      <c r="B21" s="6" t="s">
        <v>472</v>
      </c>
      <c r="C21" s="6" t="s">
        <v>473</v>
      </c>
      <c r="D21" s="6" t="s">
        <v>45</v>
      </c>
      <c r="E21" s="7">
        <v>98510</v>
      </c>
      <c r="F21" s="8">
        <v>1618.61781</v>
      </c>
      <c r="G21" s="9">
        <v>1.7331526E-2</v>
      </c>
      <c r="H21" s="97"/>
    </row>
    <row r="22" spans="1:10" x14ac:dyDescent="0.2">
      <c r="A22" s="5">
        <v>16</v>
      </c>
      <c r="B22" s="6" t="s">
        <v>389</v>
      </c>
      <c r="C22" s="6" t="s">
        <v>390</v>
      </c>
      <c r="D22" s="6" t="s">
        <v>1186</v>
      </c>
      <c r="E22" s="7">
        <v>500120</v>
      </c>
      <c r="F22" s="8">
        <v>1604.3849600000001</v>
      </c>
      <c r="G22" s="9">
        <v>1.7179125999999999E-2</v>
      </c>
      <c r="H22" s="97"/>
    </row>
    <row r="23" spans="1:10" x14ac:dyDescent="0.2">
      <c r="A23" s="5">
        <v>17</v>
      </c>
      <c r="B23" s="6" t="s">
        <v>423</v>
      </c>
      <c r="C23" s="6" t="s">
        <v>424</v>
      </c>
      <c r="D23" s="6" t="s">
        <v>193</v>
      </c>
      <c r="E23" s="7">
        <v>185514</v>
      </c>
      <c r="F23" s="8">
        <v>1568.8918980000001</v>
      </c>
      <c r="G23" s="9">
        <v>1.6799080000000001E-2</v>
      </c>
      <c r="H23" s="97"/>
    </row>
    <row r="24" spans="1:10" x14ac:dyDescent="0.2">
      <c r="A24" s="5">
        <v>18</v>
      </c>
      <c r="B24" s="6" t="s">
        <v>350</v>
      </c>
      <c r="C24" s="6" t="s">
        <v>351</v>
      </c>
      <c r="D24" s="6" t="s">
        <v>25</v>
      </c>
      <c r="E24" s="7">
        <v>1894661</v>
      </c>
      <c r="F24" s="8">
        <v>1552.6746895000001</v>
      </c>
      <c r="G24" s="9">
        <v>1.6625432999999998E-2</v>
      </c>
      <c r="H24" s="97"/>
    </row>
    <row r="25" spans="1:10" ht="25.5" x14ac:dyDescent="0.2">
      <c r="A25" s="5">
        <v>19</v>
      </c>
      <c r="B25" s="6" t="s">
        <v>425</v>
      </c>
      <c r="C25" s="6" t="s">
        <v>426</v>
      </c>
      <c r="D25" s="6" t="s">
        <v>202</v>
      </c>
      <c r="E25" s="7">
        <v>63396</v>
      </c>
      <c r="F25" s="8">
        <v>1496.2406940000001</v>
      </c>
      <c r="G25" s="9">
        <v>1.602116E-2</v>
      </c>
      <c r="H25" s="97"/>
    </row>
    <row r="26" spans="1:10" ht="15" x14ac:dyDescent="0.2">
      <c r="A26" s="5">
        <v>20</v>
      </c>
      <c r="B26" s="6" t="s">
        <v>528</v>
      </c>
      <c r="C26" s="6" t="s">
        <v>529</v>
      </c>
      <c r="D26" s="6" t="s">
        <v>147</v>
      </c>
      <c r="E26" s="7">
        <v>24755</v>
      </c>
      <c r="F26" s="8">
        <v>1458.1561425</v>
      </c>
      <c r="G26" s="9">
        <v>1.5613365000000001E-2</v>
      </c>
      <c r="H26" s="97"/>
      <c r="J26" s="184" t="s">
        <v>1268</v>
      </c>
    </row>
    <row r="27" spans="1:10" x14ac:dyDescent="0.2">
      <c r="A27" s="5">
        <v>21</v>
      </c>
      <c r="B27" s="6" t="s">
        <v>438</v>
      </c>
      <c r="C27" s="6" t="s">
        <v>439</v>
      </c>
      <c r="D27" s="6" t="s">
        <v>60</v>
      </c>
      <c r="E27" s="7">
        <v>127773</v>
      </c>
      <c r="F27" s="8">
        <v>1420.1330085</v>
      </c>
      <c r="G27" s="9">
        <v>1.5206228E-2</v>
      </c>
      <c r="H27" s="97"/>
    </row>
    <row r="28" spans="1:10" x14ac:dyDescent="0.2">
      <c r="A28" s="5">
        <v>22</v>
      </c>
      <c r="B28" s="6" t="s">
        <v>90</v>
      </c>
      <c r="C28" s="6" t="s">
        <v>91</v>
      </c>
      <c r="D28" s="6" t="s">
        <v>19</v>
      </c>
      <c r="E28" s="7">
        <v>15870</v>
      </c>
      <c r="F28" s="8">
        <v>1394.08428</v>
      </c>
      <c r="G28" s="9">
        <v>1.4927309E-2</v>
      </c>
      <c r="H28" s="97"/>
    </row>
    <row r="29" spans="1:10" ht="25.5" x14ac:dyDescent="0.2">
      <c r="A29" s="5">
        <v>23</v>
      </c>
      <c r="B29" s="6" t="s">
        <v>500</v>
      </c>
      <c r="C29" s="6" t="s">
        <v>501</v>
      </c>
      <c r="D29" s="6" t="s">
        <v>45</v>
      </c>
      <c r="E29" s="7">
        <v>60212</v>
      </c>
      <c r="F29" s="8">
        <v>1344.8952320000001</v>
      </c>
      <c r="G29" s="9">
        <v>1.4400612E-2</v>
      </c>
      <c r="H29" s="97"/>
    </row>
    <row r="30" spans="1:10" x14ac:dyDescent="0.2">
      <c r="A30" s="5">
        <v>24</v>
      </c>
      <c r="B30" s="6" t="s">
        <v>11</v>
      </c>
      <c r="C30" s="6" t="s">
        <v>12</v>
      </c>
      <c r="D30" s="6" t="s">
        <v>13</v>
      </c>
      <c r="E30" s="7">
        <v>70588</v>
      </c>
      <c r="F30" s="8">
        <v>1338.2778920000001</v>
      </c>
      <c r="G30" s="9">
        <v>1.4329756000000001E-2</v>
      </c>
      <c r="H30" s="97"/>
    </row>
    <row r="31" spans="1:10" x14ac:dyDescent="0.2">
      <c r="A31" s="5">
        <v>25</v>
      </c>
      <c r="B31" s="6" t="s">
        <v>328</v>
      </c>
      <c r="C31" s="6" t="s">
        <v>329</v>
      </c>
      <c r="D31" s="6" t="s">
        <v>25</v>
      </c>
      <c r="E31" s="7">
        <v>1579421</v>
      </c>
      <c r="F31" s="8">
        <v>1310.9194299999999</v>
      </c>
      <c r="G31" s="9">
        <v>1.4036811999999999E-2</v>
      </c>
      <c r="H31" s="97"/>
    </row>
    <row r="32" spans="1:10" x14ac:dyDescent="0.2">
      <c r="A32" s="5">
        <v>26</v>
      </c>
      <c r="B32" s="6" t="s">
        <v>274</v>
      </c>
      <c r="C32" s="6" t="s">
        <v>275</v>
      </c>
      <c r="D32" s="6" t="s">
        <v>185</v>
      </c>
      <c r="E32" s="7">
        <v>28290</v>
      </c>
      <c r="F32" s="8">
        <v>1184.9266500000001</v>
      </c>
      <c r="G32" s="9">
        <v>1.2687731000000001E-2</v>
      </c>
      <c r="H32" s="97"/>
    </row>
    <row r="33" spans="1:8" x14ac:dyDescent="0.2">
      <c r="A33" s="5">
        <v>27</v>
      </c>
      <c r="B33" s="6" t="s">
        <v>474</v>
      </c>
      <c r="C33" s="6" t="s">
        <v>475</v>
      </c>
      <c r="D33" s="6" t="s">
        <v>25</v>
      </c>
      <c r="E33" s="7">
        <v>563635</v>
      </c>
      <c r="F33" s="8">
        <v>1126.9881825</v>
      </c>
      <c r="G33" s="9">
        <v>1.2067348E-2</v>
      </c>
      <c r="H33" s="97"/>
    </row>
    <row r="34" spans="1:8" x14ac:dyDescent="0.2">
      <c r="A34" s="5">
        <v>28</v>
      </c>
      <c r="B34" s="6" t="s">
        <v>542</v>
      </c>
      <c r="C34" s="6" t="s">
        <v>543</v>
      </c>
      <c r="D34" s="6" t="s">
        <v>70</v>
      </c>
      <c r="E34" s="7">
        <v>206497</v>
      </c>
      <c r="F34" s="8">
        <v>1112.3993390000001</v>
      </c>
      <c r="G34" s="9">
        <v>1.1911137E-2</v>
      </c>
      <c r="H34" s="97"/>
    </row>
    <row r="35" spans="1:8" x14ac:dyDescent="0.2">
      <c r="A35" s="5">
        <v>29</v>
      </c>
      <c r="B35" s="6" t="s">
        <v>301</v>
      </c>
      <c r="C35" s="6" t="s">
        <v>302</v>
      </c>
      <c r="D35" s="6" t="s">
        <v>147</v>
      </c>
      <c r="E35" s="7">
        <v>23151</v>
      </c>
      <c r="F35" s="8">
        <v>1106.6178</v>
      </c>
      <c r="G35" s="9">
        <v>1.1849230000000001E-2</v>
      </c>
      <c r="H35" s="97"/>
    </row>
    <row r="36" spans="1:8" x14ac:dyDescent="0.2">
      <c r="A36" s="5">
        <v>30</v>
      </c>
      <c r="B36" s="6" t="s">
        <v>421</v>
      </c>
      <c r="C36" s="6" t="s">
        <v>422</v>
      </c>
      <c r="D36" s="6" t="s">
        <v>147</v>
      </c>
      <c r="E36" s="7">
        <v>153850</v>
      </c>
      <c r="F36" s="8">
        <v>1100.565975</v>
      </c>
      <c r="G36" s="9">
        <v>1.178443E-2</v>
      </c>
      <c r="H36" s="97"/>
    </row>
    <row r="37" spans="1:8" ht="25.5" x14ac:dyDescent="0.2">
      <c r="A37" s="5">
        <v>31</v>
      </c>
      <c r="B37" s="6" t="s">
        <v>536</v>
      </c>
      <c r="C37" s="6" t="s">
        <v>537</v>
      </c>
      <c r="D37" s="6" t="s">
        <v>202</v>
      </c>
      <c r="E37" s="7">
        <v>56776</v>
      </c>
      <c r="F37" s="8">
        <v>1069.94372</v>
      </c>
      <c r="G37" s="9">
        <v>1.1456538E-2</v>
      </c>
      <c r="H37" s="97"/>
    </row>
    <row r="38" spans="1:8" x14ac:dyDescent="0.2">
      <c r="A38" s="5">
        <v>32</v>
      </c>
      <c r="B38" s="6" t="s">
        <v>530</v>
      </c>
      <c r="C38" s="6" t="s">
        <v>531</v>
      </c>
      <c r="D38" s="6" t="s">
        <v>238</v>
      </c>
      <c r="E38" s="7">
        <v>278622</v>
      </c>
      <c r="F38" s="8">
        <v>1047.0614760000001</v>
      </c>
      <c r="G38" s="9">
        <v>1.1211524E-2</v>
      </c>
      <c r="H38" s="97"/>
    </row>
    <row r="39" spans="1:8" x14ac:dyDescent="0.2">
      <c r="A39" s="5">
        <v>33</v>
      </c>
      <c r="B39" s="6" t="s">
        <v>434</v>
      </c>
      <c r="C39" s="6" t="s">
        <v>435</v>
      </c>
      <c r="D39" s="6" t="s">
        <v>238</v>
      </c>
      <c r="E39" s="7">
        <v>139672</v>
      </c>
      <c r="F39" s="8">
        <v>1038.531156</v>
      </c>
      <c r="G39" s="9">
        <v>1.1120184999999999E-2</v>
      </c>
      <c r="H39" s="97"/>
    </row>
    <row r="40" spans="1:8" x14ac:dyDescent="0.2">
      <c r="A40" s="5">
        <v>34</v>
      </c>
      <c r="B40" s="6" t="s">
        <v>490</v>
      </c>
      <c r="C40" s="6" t="s">
        <v>491</v>
      </c>
      <c r="D40" s="6" t="s">
        <v>25</v>
      </c>
      <c r="E40" s="7">
        <v>740179</v>
      </c>
      <c r="F40" s="8">
        <v>1033.289884</v>
      </c>
      <c r="G40" s="9">
        <v>1.1064064E-2</v>
      </c>
      <c r="H40" s="97"/>
    </row>
    <row r="41" spans="1:8" x14ac:dyDescent="0.2">
      <c r="A41" s="5">
        <v>35</v>
      </c>
      <c r="B41" s="6" t="s">
        <v>375</v>
      </c>
      <c r="C41" s="6" t="s">
        <v>376</v>
      </c>
      <c r="D41" s="6" t="s">
        <v>238</v>
      </c>
      <c r="E41" s="7">
        <v>80545</v>
      </c>
      <c r="F41" s="8">
        <v>986.55543250000005</v>
      </c>
      <c r="G41" s="9">
        <v>1.0563649E-2</v>
      </c>
      <c r="H41" s="97"/>
    </row>
    <row r="42" spans="1:8" ht="25.5" x14ac:dyDescent="0.2">
      <c r="A42" s="5">
        <v>36</v>
      </c>
      <c r="B42" s="6" t="s">
        <v>317</v>
      </c>
      <c r="C42" s="6" t="s">
        <v>318</v>
      </c>
      <c r="D42" s="6" t="s">
        <v>81</v>
      </c>
      <c r="E42" s="7">
        <v>182404</v>
      </c>
      <c r="F42" s="8">
        <v>949.23041599999999</v>
      </c>
      <c r="G42" s="9">
        <v>1.0163988000000001E-2</v>
      </c>
      <c r="H42" s="97"/>
    </row>
    <row r="43" spans="1:8" ht="25.5" x14ac:dyDescent="0.2">
      <c r="A43" s="5">
        <v>37</v>
      </c>
      <c r="B43" s="6" t="s">
        <v>334</v>
      </c>
      <c r="C43" s="6" t="s">
        <v>335</v>
      </c>
      <c r="D43" s="6" t="s">
        <v>70</v>
      </c>
      <c r="E43" s="7">
        <v>214805</v>
      </c>
      <c r="F43" s="8">
        <v>939.66447249999999</v>
      </c>
      <c r="G43" s="9">
        <v>1.0061558999999999E-2</v>
      </c>
      <c r="H43" s="97"/>
    </row>
    <row r="44" spans="1:8" x14ac:dyDescent="0.2">
      <c r="A44" s="5">
        <v>38</v>
      </c>
      <c r="B44" s="6" t="s">
        <v>512</v>
      </c>
      <c r="C44" s="6" t="s">
        <v>513</v>
      </c>
      <c r="D44" s="6" t="s">
        <v>193</v>
      </c>
      <c r="E44" s="7">
        <v>19135</v>
      </c>
      <c r="F44" s="8">
        <v>938.95444999999995</v>
      </c>
      <c r="G44" s="9">
        <v>1.0053957000000001E-2</v>
      </c>
      <c r="H44" s="97"/>
    </row>
    <row r="45" spans="1:8" x14ac:dyDescent="0.2">
      <c r="A45" s="5">
        <v>39</v>
      </c>
      <c r="B45" s="6" t="s">
        <v>401</v>
      </c>
      <c r="C45" s="6" t="s">
        <v>402</v>
      </c>
      <c r="D45" s="6" t="s">
        <v>19</v>
      </c>
      <c r="E45" s="7">
        <v>39083</v>
      </c>
      <c r="F45" s="8">
        <v>891.79589399999998</v>
      </c>
      <c r="G45" s="9">
        <v>9.5490009999999997E-3</v>
      </c>
      <c r="H45" s="97"/>
    </row>
    <row r="46" spans="1:8" x14ac:dyDescent="0.2">
      <c r="A46" s="5">
        <v>40</v>
      </c>
      <c r="B46" s="6" t="s">
        <v>534</v>
      </c>
      <c r="C46" s="6" t="s">
        <v>535</v>
      </c>
      <c r="D46" s="6" t="s">
        <v>1184</v>
      </c>
      <c r="E46" s="7">
        <v>26183</v>
      </c>
      <c r="F46" s="8">
        <v>888.48083050000002</v>
      </c>
      <c r="G46" s="9">
        <v>9.5135050000000002E-3</v>
      </c>
      <c r="H46" s="97"/>
    </row>
    <row r="47" spans="1:8" x14ac:dyDescent="0.2">
      <c r="A47" s="5">
        <v>41</v>
      </c>
      <c r="B47" s="6" t="s">
        <v>338</v>
      </c>
      <c r="C47" s="6" t="s">
        <v>339</v>
      </c>
      <c r="D47" s="6" t="s">
        <v>193</v>
      </c>
      <c r="E47" s="7">
        <v>39940</v>
      </c>
      <c r="F47" s="8">
        <v>865.41992000000005</v>
      </c>
      <c r="G47" s="9">
        <v>9.2665779999999993E-3</v>
      </c>
      <c r="H47" s="97"/>
    </row>
    <row r="48" spans="1:8" ht="25.5" x14ac:dyDescent="0.2">
      <c r="A48" s="5">
        <v>42</v>
      </c>
      <c r="B48" s="6" t="s">
        <v>460</v>
      </c>
      <c r="C48" s="6" t="s">
        <v>461</v>
      </c>
      <c r="D48" s="6" t="s">
        <v>1183</v>
      </c>
      <c r="E48" s="7">
        <v>61375</v>
      </c>
      <c r="F48" s="8">
        <v>860.01718749999998</v>
      </c>
      <c r="G48" s="9">
        <v>9.2087269999999999E-3</v>
      </c>
      <c r="H48" s="97"/>
    </row>
    <row r="49" spans="1:8" x14ac:dyDescent="0.2">
      <c r="A49" s="5">
        <v>43</v>
      </c>
      <c r="B49" s="6" t="s">
        <v>550</v>
      </c>
      <c r="C49" s="6" t="s">
        <v>551</v>
      </c>
      <c r="D49" s="6" t="s">
        <v>1186</v>
      </c>
      <c r="E49" s="7">
        <v>62335</v>
      </c>
      <c r="F49" s="8">
        <v>809.29530499999998</v>
      </c>
      <c r="G49" s="9">
        <v>8.6656170000000005E-3</v>
      </c>
      <c r="H49" s="97"/>
    </row>
    <row r="50" spans="1:8" x14ac:dyDescent="0.2">
      <c r="A50" s="5">
        <v>44</v>
      </c>
      <c r="B50" s="6" t="s">
        <v>419</v>
      </c>
      <c r="C50" s="6" t="s">
        <v>420</v>
      </c>
      <c r="D50" s="6" t="s">
        <v>1183</v>
      </c>
      <c r="E50" s="7">
        <v>66146</v>
      </c>
      <c r="F50" s="8">
        <v>791.10616000000005</v>
      </c>
      <c r="G50" s="9">
        <v>8.4708549999999994E-3</v>
      </c>
      <c r="H50" s="97"/>
    </row>
    <row r="51" spans="1:8" ht="25.5" x14ac:dyDescent="0.2">
      <c r="A51" s="5">
        <v>45</v>
      </c>
      <c r="B51" s="6" t="s">
        <v>28</v>
      </c>
      <c r="C51" s="6" t="s">
        <v>29</v>
      </c>
      <c r="D51" s="6" t="s">
        <v>1185</v>
      </c>
      <c r="E51" s="7">
        <v>10029</v>
      </c>
      <c r="F51" s="8">
        <v>761.30640449999999</v>
      </c>
      <c r="G51" s="9">
        <v>8.1517710000000004E-3</v>
      </c>
      <c r="H51" s="97"/>
    </row>
    <row r="52" spans="1:8" x14ac:dyDescent="0.2">
      <c r="A52" s="5">
        <v>46</v>
      </c>
      <c r="B52" s="6" t="s">
        <v>552</v>
      </c>
      <c r="C52" s="6" t="s">
        <v>553</v>
      </c>
      <c r="D52" s="6" t="s">
        <v>78</v>
      </c>
      <c r="E52" s="7">
        <v>57520</v>
      </c>
      <c r="F52" s="8">
        <v>719.54643999999996</v>
      </c>
      <c r="G52" s="9">
        <v>7.7046220000000004E-3</v>
      </c>
      <c r="H52" s="97"/>
    </row>
    <row r="53" spans="1:8" x14ac:dyDescent="0.2">
      <c r="A53" s="5">
        <v>47</v>
      </c>
      <c r="B53" s="6" t="s">
        <v>305</v>
      </c>
      <c r="C53" s="6" t="s">
        <v>306</v>
      </c>
      <c r="D53" s="6" t="s">
        <v>1183</v>
      </c>
      <c r="E53" s="7">
        <v>72214</v>
      </c>
      <c r="F53" s="8">
        <v>707.94994899999995</v>
      </c>
      <c r="G53" s="9">
        <v>7.5804510000000002E-3</v>
      </c>
      <c r="H53" s="97"/>
    </row>
    <row r="54" spans="1:8" x14ac:dyDescent="0.2">
      <c r="A54" s="5">
        <v>48</v>
      </c>
      <c r="B54" s="6" t="s">
        <v>216</v>
      </c>
      <c r="C54" s="6" t="s">
        <v>217</v>
      </c>
      <c r="D54" s="6" t="s">
        <v>1184</v>
      </c>
      <c r="E54" s="7">
        <v>44590</v>
      </c>
      <c r="F54" s="8">
        <v>705.77052000000003</v>
      </c>
      <c r="G54" s="9">
        <v>7.5571140000000002E-3</v>
      </c>
      <c r="H54" s="97"/>
    </row>
    <row r="55" spans="1:8" x14ac:dyDescent="0.2">
      <c r="A55" s="5">
        <v>49</v>
      </c>
      <c r="B55" s="6" t="s">
        <v>444</v>
      </c>
      <c r="C55" s="6" t="s">
        <v>445</v>
      </c>
      <c r="D55" s="6" t="s">
        <v>193</v>
      </c>
      <c r="E55" s="7">
        <v>14839</v>
      </c>
      <c r="F55" s="8">
        <v>694.19809799999996</v>
      </c>
      <c r="G55" s="9">
        <v>7.4332010000000004E-3</v>
      </c>
      <c r="H55" s="97"/>
    </row>
    <row r="56" spans="1:8" x14ac:dyDescent="0.2">
      <c r="A56" s="5">
        <v>50</v>
      </c>
      <c r="B56" s="6" t="s">
        <v>39</v>
      </c>
      <c r="C56" s="6" t="s">
        <v>40</v>
      </c>
      <c r="D56" s="6" t="s">
        <v>16</v>
      </c>
      <c r="E56" s="7">
        <v>178610</v>
      </c>
      <c r="F56" s="8">
        <v>688.45224499999995</v>
      </c>
      <c r="G56" s="9">
        <v>7.3716770000000001E-3</v>
      </c>
      <c r="H56" s="97"/>
    </row>
    <row r="57" spans="1:8" ht="25.5" x14ac:dyDescent="0.2">
      <c r="A57" s="5">
        <v>51</v>
      </c>
      <c r="B57" s="6" t="s">
        <v>436</v>
      </c>
      <c r="C57" s="6" t="s">
        <v>437</v>
      </c>
      <c r="D57" s="6" t="s">
        <v>202</v>
      </c>
      <c r="E57" s="7">
        <v>280619</v>
      </c>
      <c r="F57" s="8">
        <v>611.88972950000004</v>
      </c>
      <c r="G57" s="9">
        <v>6.5518759999999999E-3</v>
      </c>
      <c r="H57" s="97"/>
    </row>
    <row r="58" spans="1:8" x14ac:dyDescent="0.2">
      <c r="A58" s="5">
        <v>52</v>
      </c>
      <c r="B58" s="6" t="s">
        <v>593</v>
      </c>
      <c r="C58" s="6" t="s">
        <v>594</v>
      </c>
      <c r="D58" s="6" t="s">
        <v>1184</v>
      </c>
      <c r="E58" s="7">
        <v>22145</v>
      </c>
      <c r="F58" s="8">
        <v>590.40784499999995</v>
      </c>
      <c r="G58" s="9">
        <v>6.3218559999999998E-3</v>
      </c>
      <c r="H58" s="97"/>
    </row>
    <row r="59" spans="1:8" x14ac:dyDescent="0.2">
      <c r="A59" s="5">
        <v>53</v>
      </c>
      <c r="B59" s="6" t="s">
        <v>342</v>
      </c>
      <c r="C59" s="6" t="s">
        <v>343</v>
      </c>
      <c r="D59" s="6" t="s">
        <v>19</v>
      </c>
      <c r="E59" s="7">
        <v>83280</v>
      </c>
      <c r="F59" s="8">
        <v>581.16948000000002</v>
      </c>
      <c r="G59" s="9">
        <v>6.2229349999999998E-3</v>
      </c>
      <c r="H59" s="97"/>
    </row>
    <row r="60" spans="1:8" x14ac:dyDescent="0.2">
      <c r="A60" s="5">
        <v>54</v>
      </c>
      <c r="B60" s="6" t="s">
        <v>540</v>
      </c>
      <c r="C60" s="6" t="s">
        <v>541</v>
      </c>
      <c r="D60" s="6" t="s">
        <v>1184</v>
      </c>
      <c r="E60" s="7">
        <v>55010</v>
      </c>
      <c r="F60" s="8">
        <v>579.33781499999998</v>
      </c>
      <c r="G60" s="9">
        <v>6.2033219999999998E-3</v>
      </c>
      <c r="H60" s="97"/>
    </row>
    <row r="61" spans="1:8" x14ac:dyDescent="0.2">
      <c r="A61" s="5">
        <v>55</v>
      </c>
      <c r="B61" s="6" t="s">
        <v>399</v>
      </c>
      <c r="C61" s="6" t="s">
        <v>400</v>
      </c>
      <c r="D61" s="6" t="s">
        <v>327</v>
      </c>
      <c r="E61" s="7">
        <v>370890</v>
      </c>
      <c r="F61" s="8">
        <v>509.60286000000002</v>
      </c>
      <c r="G61" s="9">
        <v>5.4566279999999998E-3</v>
      </c>
      <c r="H61" s="97"/>
    </row>
    <row r="62" spans="1:8" x14ac:dyDescent="0.2">
      <c r="A62" s="5">
        <v>56</v>
      </c>
      <c r="B62" s="6" t="s">
        <v>450</v>
      </c>
      <c r="C62" s="6" t="s">
        <v>451</v>
      </c>
      <c r="D62" s="6" t="s">
        <v>193</v>
      </c>
      <c r="E62" s="7">
        <v>52091</v>
      </c>
      <c r="F62" s="8">
        <v>491.79113100000001</v>
      </c>
      <c r="G62" s="9">
        <v>5.2659070000000002E-3</v>
      </c>
      <c r="H62" s="97"/>
    </row>
    <row r="63" spans="1:8" x14ac:dyDescent="0.2">
      <c r="A63" s="5">
        <v>57</v>
      </c>
      <c r="B63" s="6" t="s">
        <v>354</v>
      </c>
      <c r="C63" s="6" t="s">
        <v>355</v>
      </c>
      <c r="D63" s="6" t="s">
        <v>356</v>
      </c>
      <c r="E63" s="7">
        <v>12498</v>
      </c>
      <c r="F63" s="8">
        <v>379.214316</v>
      </c>
      <c r="G63" s="9">
        <v>4.0604780000000002E-3</v>
      </c>
      <c r="H63" s="97"/>
    </row>
    <row r="64" spans="1:8" x14ac:dyDescent="0.2">
      <c r="A64" s="5">
        <v>58</v>
      </c>
      <c r="B64" s="6" t="s">
        <v>520</v>
      </c>
      <c r="C64" s="6" t="s">
        <v>521</v>
      </c>
      <c r="D64" s="6" t="s">
        <v>193</v>
      </c>
      <c r="E64" s="7">
        <v>50764</v>
      </c>
      <c r="F64" s="8">
        <v>372.78543400000001</v>
      </c>
      <c r="G64" s="9">
        <v>3.9916400000000003E-3</v>
      </c>
      <c r="H64" s="97"/>
    </row>
    <row r="65" spans="1:15" ht="25.5" x14ac:dyDescent="0.2">
      <c r="A65" s="5">
        <v>59</v>
      </c>
      <c r="B65" s="6" t="s">
        <v>518</v>
      </c>
      <c r="C65" s="6" t="s">
        <v>519</v>
      </c>
      <c r="D65" s="6" t="s">
        <v>202</v>
      </c>
      <c r="E65" s="7">
        <v>8951</v>
      </c>
      <c r="F65" s="8">
        <v>322.77305999999999</v>
      </c>
      <c r="G65" s="9">
        <v>3.4561280000000002E-3</v>
      </c>
      <c r="H65" s="97"/>
    </row>
    <row r="66" spans="1:15" x14ac:dyDescent="0.2">
      <c r="A66" s="5">
        <v>60</v>
      </c>
      <c r="B66" s="6" t="s">
        <v>458</v>
      </c>
      <c r="C66" s="6" t="s">
        <v>459</v>
      </c>
      <c r="D66" s="6" t="s">
        <v>327</v>
      </c>
      <c r="E66" s="7">
        <v>12360</v>
      </c>
      <c r="F66" s="8">
        <v>259.75157999999999</v>
      </c>
      <c r="G66" s="9">
        <v>2.7813180000000001E-3</v>
      </c>
      <c r="H66" s="97"/>
    </row>
    <row r="67" spans="1:15" ht="25.5" x14ac:dyDescent="0.2">
      <c r="A67" s="5">
        <v>61</v>
      </c>
      <c r="B67" s="6" t="s">
        <v>502</v>
      </c>
      <c r="C67" s="6" t="s">
        <v>503</v>
      </c>
      <c r="D67" s="6" t="s">
        <v>1188</v>
      </c>
      <c r="E67" s="7">
        <v>17850</v>
      </c>
      <c r="F67" s="8">
        <v>169.62854999999999</v>
      </c>
      <c r="G67" s="9">
        <v>1.8163159999999999E-3</v>
      </c>
      <c r="H67" s="97"/>
    </row>
    <row r="68" spans="1:15" x14ac:dyDescent="0.2">
      <c r="A68" s="5">
        <v>62</v>
      </c>
      <c r="B68" s="6" t="s">
        <v>789</v>
      </c>
      <c r="C68" s="6" t="s">
        <v>1297</v>
      </c>
      <c r="D68" s="6" t="s">
        <v>238</v>
      </c>
      <c r="E68" s="7">
        <v>2500</v>
      </c>
      <c r="F68" s="8">
        <v>0</v>
      </c>
      <c r="G68" s="10" t="s">
        <v>96</v>
      </c>
      <c r="H68" s="97"/>
    </row>
    <row r="69" spans="1:15" x14ac:dyDescent="0.2">
      <c r="A69" s="3"/>
      <c r="B69" s="3"/>
      <c r="C69" s="4" t="s">
        <v>97</v>
      </c>
      <c r="D69" s="3"/>
      <c r="E69" s="3" t="s">
        <v>98</v>
      </c>
      <c r="F69" s="11">
        <v>92042.426152786022</v>
      </c>
      <c r="G69" s="12">
        <v>0.98555426199999974</v>
      </c>
      <c r="H69" s="97"/>
      <c r="I69" s="69"/>
      <c r="J69" s="69"/>
      <c r="K69" s="69"/>
      <c r="L69" s="69"/>
      <c r="M69" s="69"/>
      <c r="N69" s="69"/>
      <c r="O69" s="69"/>
    </row>
    <row r="70" spans="1:15" x14ac:dyDescent="0.2">
      <c r="A70" s="3"/>
      <c r="B70" s="3"/>
      <c r="C70" s="13"/>
      <c r="D70" s="3"/>
      <c r="E70" s="3"/>
      <c r="F70" s="14"/>
      <c r="G70" s="14"/>
      <c r="H70" s="97"/>
    </row>
    <row r="71" spans="1:15" x14ac:dyDescent="0.2">
      <c r="A71" s="3"/>
      <c r="B71" s="3"/>
      <c r="C71" s="4" t="s">
        <v>99</v>
      </c>
      <c r="D71" s="3"/>
      <c r="E71" s="3"/>
      <c r="F71" s="3"/>
      <c r="G71" s="3"/>
      <c r="H71" s="97"/>
    </row>
    <row r="72" spans="1:15" x14ac:dyDescent="0.2">
      <c r="A72" s="3"/>
      <c r="B72" s="3"/>
      <c r="C72" s="4" t="s">
        <v>97</v>
      </c>
      <c r="D72" s="3"/>
      <c r="E72" s="3" t="s">
        <v>98</v>
      </c>
      <c r="F72" s="15">
        <v>0</v>
      </c>
      <c r="G72" s="16">
        <v>0</v>
      </c>
      <c r="H72" s="97"/>
    </row>
    <row r="73" spans="1:15" x14ac:dyDescent="0.2">
      <c r="A73" s="3"/>
      <c r="B73" s="3"/>
      <c r="C73" s="13"/>
      <c r="D73" s="3"/>
      <c r="E73" s="3"/>
      <c r="F73" s="14"/>
      <c r="G73" s="14"/>
      <c r="H73" s="97"/>
    </row>
    <row r="74" spans="1:15" x14ac:dyDescent="0.2">
      <c r="A74" s="3"/>
      <c r="B74" s="3"/>
      <c r="C74" s="4" t="s">
        <v>100</v>
      </c>
      <c r="D74" s="3"/>
      <c r="E74" s="3"/>
      <c r="F74" s="3"/>
      <c r="G74" s="3"/>
      <c r="H74" s="97"/>
    </row>
    <row r="75" spans="1:15" x14ac:dyDescent="0.2">
      <c r="A75" s="5">
        <v>1</v>
      </c>
      <c r="B75" s="71" t="s">
        <v>678</v>
      </c>
      <c r="C75" s="6" t="s">
        <v>1283</v>
      </c>
      <c r="D75" s="6" t="s">
        <v>1187</v>
      </c>
      <c r="E75" s="7">
        <v>374002</v>
      </c>
      <c r="F75" s="8">
        <v>23.412525200000001</v>
      </c>
      <c r="G75" s="9">
        <v>2.50692E-4</v>
      </c>
      <c r="H75" s="97"/>
    </row>
    <row r="76" spans="1:15" x14ac:dyDescent="0.2">
      <c r="A76" s="5">
        <v>2</v>
      </c>
      <c r="B76" s="71" t="s">
        <v>801</v>
      </c>
      <c r="C76" s="6" t="s">
        <v>1150</v>
      </c>
      <c r="D76" s="6"/>
      <c r="E76" s="7">
        <v>200000</v>
      </c>
      <c r="F76" s="8">
        <v>1.9999999999999999E-6</v>
      </c>
      <c r="G76" s="10" t="s">
        <v>96</v>
      </c>
      <c r="H76" s="97"/>
    </row>
    <row r="77" spans="1:15" x14ac:dyDescent="0.2">
      <c r="A77" s="5">
        <v>3</v>
      </c>
      <c r="B77" s="71" t="s">
        <v>889</v>
      </c>
      <c r="C77" s="6" t="s">
        <v>1153</v>
      </c>
      <c r="D77" s="6"/>
      <c r="E77" s="7">
        <v>8600</v>
      </c>
      <c r="F77" s="8">
        <v>8.6000000000000002E-8</v>
      </c>
      <c r="G77" s="10" t="s">
        <v>96</v>
      </c>
      <c r="H77" s="97"/>
    </row>
    <row r="78" spans="1:15" x14ac:dyDescent="0.2">
      <c r="A78" s="3"/>
      <c r="B78" s="3"/>
      <c r="C78" s="4" t="s">
        <v>97</v>
      </c>
      <c r="D78" s="3"/>
      <c r="E78" s="3" t="s">
        <v>98</v>
      </c>
      <c r="F78" s="11">
        <v>23.412527286</v>
      </c>
      <c r="G78" s="12">
        <v>2.50692E-4</v>
      </c>
      <c r="H78" s="97"/>
    </row>
    <row r="79" spans="1:15" x14ac:dyDescent="0.2">
      <c r="A79" s="3"/>
      <c r="B79" s="3"/>
      <c r="C79" s="13"/>
      <c r="D79" s="3"/>
      <c r="E79" s="3"/>
      <c r="F79" s="14"/>
      <c r="G79" s="14"/>
      <c r="H79" s="97"/>
    </row>
    <row r="80" spans="1:15" x14ac:dyDescent="0.2">
      <c r="A80" s="3"/>
      <c r="B80" s="3"/>
      <c r="C80" s="4" t="s">
        <v>101</v>
      </c>
      <c r="D80" s="3"/>
      <c r="E80" s="3"/>
      <c r="F80" s="3"/>
      <c r="G80" s="3"/>
      <c r="H80" s="97"/>
    </row>
    <row r="81" spans="1:8" x14ac:dyDescent="0.2">
      <c r="A81" s="3"/>
      <c r="B81" s="3"/>
      <c r="C81" s="4" t="s">
        <v>97</v>
      </c>
      <c r="D81" s="3"/>
      <c r="E81" s="3" t="s">
        <v>98</v>
      </c>
      <c r="F81" s="11">
        <v>0</v>
      </c>
      <c r="G81" s="12">
        <v>0</v>
      </c>
      <c r="H81" s="97"/>
    </row>
    <row r="82" spans="1:8" x14ac:dyDescent="0.2">
      <c r="A82" s="3"/>
      <c r="B82" s="3"/>
      <c r="C82" s="13"/>
      <c r="D82" s="3"/>
      <c r="E82" s="3"/>
      <c r="F82" s="14"/>
      <c r="G82" s="14"/>
      <c r="H82" s="97"/>
    </row>
    <row r="83" spans="1:8" x14ac:dyDescent="0.2">
      <c r="A83" s="3"/>
      <c r="B83" s="3"/>
      <c r="C83" s="4" t="s">
        <v>102</v>
      </c>
      <c r="D83" s="3"/>
      <c r="E83" s="3"/>
      <c r="F83" s="14"/>
      <c r="G83" s="14"/>
      <c r="H83" s="97"/>
    </row>
    <row r="84" spans="1:8" x14ac:dyDescent="0.2">
      <c r="A84" s="3"/>
      <c r="B84" s="3"/>
      <c r="C84" s="4" t="s">
        <v>97</v>
      </c>
      <c r="D84" s="3"/>
      <c r="E84" s="3" t="s">
        <v>98</v>
      </c>
      <c r="F84" s="15">
        <v>0</v>
      </c>
      <c r="G84" s="16">
        <v>0</v>
      </c>
      <c r="H84" s="97"/>
    </row>
    <row r="85" spans="1:8" x14ac:dyDescent="0.2">
      <c r="A85" s="3"/>
      <c r="B85" s="3"/>
      <c r="C85" s="13"/>
      <c r="D85" s="3"/>
      <c r="E85" s="3"/>
      <c r="F85" s="14"/>
      <c r="G85" s="14"/>
      <c r="H85" s="97"/>
    </row>
    <row r="86" spans="1:8" x14ac:dyDescent="0.2">
      <c r="A86" s="3"/>
      <c r="B86" s="3"/>
      <c r="C86" s="4" t="s">
        <v>103</v>
      </c>
      <c r="D86" s="3"/>
      <c r="E86" s="3"/>
      <c r="F86" s="14"/>
      <c r="G86" s="14"/>
      <c r="H86" s="97"/>
    </row>
    <row r="87" spans="1:8" x14ac:dyDescent="0.2">
      <c r="A87" s="3"/>
      <c r="B87" s="3"/>
      <c r="C87" s="4" t="s">
        <v>97</v>
      </c>
      <c r="D87" s="3"/>
      <c r="E87" s="3" t="s">
        <v>98</v>
      </c>
      <c r="F87" s="15">
        <v>0</v>
      </c>
      <c r="G87" s="16">
        <v>0</v>
      </c>
      <c r="H87" s="97"/>
    </row>
    <row r="88" spans="1:8" x14ac:dyDescent="0.2">
      <c r="A88" s="3"/>
      <c r="B88" s="3"/>
      <c r="C88" s="13"/>
      <c r="D88" s="3"/>
      <c r="E88" s="3"/>
      <c r="F88" s="14"/>
      <c r="G88" s="14"/>
      <c r="H88" s="97"/>
    </row>
    <row r="89" spans="1:8" x14ac:dyDescent="0.2">
      <c r="A89" s="3"/>
      <c r="B89" s="3"/>
      <c r="C89" s="4" t="s">
        <v>104</v>
      </c>
      <c r="D89" s="3"/>
      <c r="E89" s="3"/>
      <c r="F89" s="11">
        <v>92042.426152786007</v>
      </c>
      <c r="G89" s="12">
        <v>0.98555426199999996</v>
      </c>
      <c r="H89" s="97"/>
    </row>
    <row r="90" spans="1:8" x14ac:dyDescent="0.2">
      <c r="A90" s="3"/>
      <c r="B90" s="3"/>
      <c r="C90" s="13"/>
      <c r="D90" s="3"/>
      <c r="E90" s="3"/>
      <c r="F90" s="14"/>
      <c r="G90" s="14"/>
      <c r="H90" s="97"/>
    </row>
    <row r="91" spans="1:8" x14ac:dyDescent="0.2">
      <c r="A91" s="3"/>
      <c r="B91" s="3"/>
      <c r="C91" s="4" t="s">
        <v>105</v>
      </c>
      <c r="D91" s="3"/>
      <c r="E91" s="3"/>
      <c r="F91" s="14"/>
      <c r="G91" s="14"/>
      <c r="H91" s="97"/>
    </row>
    <row r="92" spans="1:8" ht="25.5" x14ac:dyDescent="0.2">
      <c r="A92" s="3"/>
      <c r="B92" s="3"/>
      <c r="C92" s="4" t="s">
        <v>10</v>
      </c>
      <c r="D92" s="3"/>
      <c r="E92" s="3"/>
      <c r="F92" s="14"/>
      <c r="G92" s="14"/>
      <c r="H92" s="97"/>
    </row>
    <row r="93" spans="1:8" x14ac:dyDescent="0.2">
      <c r="A93" s="3"/>
      <c r="B93" s="3"/>
      <c r="C93" s="4" t="s">
        <v>97</v>
      </c>
      <c r="D93" s="3"/>
      <c r="E93" s="3" t="s">
        <v>98</v>
      </c>
      <c r="F93" s="15">
        <v>0</v>
      </c>
      <c r="G93" s="16">
        <v>0</v>
      </c>
      <c r="H93" s="97"/>
    </row>
    <row r="94" spans="1:8" x14ac:dyDescent="0.2">
      <c r="A94" s="3"/>
      <c r="B94" s="3"/>
      <c r="C94" s="13"/>
      <c r="D94" s="3"/>
      <c r="E94" s="3"/>
      <c r="F94" s="14"/>
      <c r="G94" s="14"/>
      <c r="H94" s="97"/>
    </row>
    <row r="95" spans="1:8" x14ac:dyDescent="0.2">
      <c r="A95" s="3"/>
      <c r="B95" s="3"/>
      <c r="C95" s="4" t="s">
        <v>106</v>
      </c>
      <c r="D95" s="3"/>
      <c r="E95" s="3"/>
      <c r="F95" s="3"/>
      <c r="G95" s="3"/>
      <c r="H95" s="97"/>
    </row>
    <row r="96" spans="1:8" x14ac:dyDescent="0.2">
      <c r="A96" s="3"/>
      <c r="B96" s="3"/>
      <c r="C96" s="4" t="s">
        <v>97</v>
      </c>
      <c r="D96" s="3"/>
      <c r="E96" s="3" t="s">
        <v>98</v>
      </c>
      <c r="F96" s="15">
        <v>0</v>
      </c>
      <c r="G96" s="16">
        <v>0</v>
      </c>
      <c r="H96" s="97"/>
    </row>
    <row r="97" spans="1:8" x14ac:dyDescent="0.2">
      <c r="A97" s="3"/>
      <c r="B97" s="3"/>
      <c r="C97" s="13"/>
      <c r="D97" s="3"/>
      <c r="E97" s="3"/>
      <c r="F97" s="14"/>
      <c r="G97" s="14"/>
      <c r="H97" s="97"/>
    </row>
    <row r="98" spans="1:8" x14ac:dyDescent="0.2">
      <c r="A98" s="3"/>
      <c r="B98" s="3"/>
      <c r="C98" s="4" t="s">
        <v>107</v>
      </c>
      <c r="D98" s="3"/>
      <c r="E98" s="3"/>
      <c r="F98" s="3"/>
      <c r="G98" s="3"/>
      <c r="H98" s="97"/>
    </row>
    <row r="99" spans="1:8" x14ac:dyDescent="0.2">
      <c r="A99" s="3"/>
      <c r="B99" s="3"/>
      <c r="C99" s="4" t="s">
        <v>97</v>
      </c>
      <c r="D99" s="3"/>
      <c r="E99" s="3" t="s">
        <v>98</v>
      </c>
      <c r="F99" s="15">
        <v>0</v>
      </c>
      <c r="G99" s="16">
        <v>0</v>
      </c>
      <c r="H99" s="97"/>
    </row>
    <row r="100" spans="1:8" x14ac:dyDescent="0.2">
      <c r="A100" s="3"/>
      <c r="B100" s="3"/>
      <c r="C100" s="13"/>
      <c r="D100" s="3"/>
      <c r="E100" s="3"/>
      <c r="F100" s="14"/>
      <c r="G100" s="14"/>
      <c r="H100" s="97"/>
    </row>
    <row r="101" spans="1:8" x14ac:dyDescent="0.2">
      <c r="A101" s="3"/>
      <c r="B101" s="3"/>
      <c r="C101" s="4" t="s">
        <v>108</v>
      </c>
      <c r="D101" s="3"/>
      <c r="E101" s="3"/>
      <c r="F101" s="14"/>
      <c r="G101" s="14"/>
      <c r="H101" s="97"/>
    </row>
    <row r="102" spans="1:8" x14ac:dyDescent="0.2">
      <c r="A102" s="3"/>
      <c r="B102" s="3"/>
      <c r="C102" s="4" t="s">
        <v>97</v>
      </c>
      <c r="D102" s="3"/>
      <c r="E102" s="3" t="s">
        <v>98</v>
      </c>
      <c r="F102" s="15">
        <v>0</v>
      </c>
      <c r="G102" s="16">
        <v>0</v>
      </c>
      <c r="H102" s="97"/>
    </row>
    <row r="103" spans="1:8" x14ac:dyDescent="0.2">
      <c r="A103" s="3"/>
      <c r="B103" s="3"/>
      <c r="C103" s="13"/>
      <c r="D103" s="3"/>
      <c r="E103" s="3"/>
      <c r="F103" s="14"/>
      <c r="G103" s="14"/>
      <c r="H103" s="97"/>
    </row>
    <row r="104" spans="1:8" x14ac:dyDescent="0.2">
      <c r="A104" s="3"/>
      <c r="B104" s="3"/>
      <c r="C104" s="4" t="s">
        <v>109</v>
      </c>
      <c r="D104" s="3"/>
      <c r="E104" s="3"/>
      <c r="F104" s="11">
        <v>0</v>
      </c>
      <c r="G104" s="12">
        <v>0</v>
      </c>
      <c r="H104" s="97"/>
    </row>
    <row r="105" spans="1:8" x14ac:dyDescent="0.2">
      <c r="A105" s="3"/>
      <c r="B105" s="3"/>
      <c r="C105" s="13"/>
      <c r="D105" s="3"/>
      <c r="E105" s="3"/>
      <c r="F105" s="14"/>
      <c r="G105" s="14"/>
      <c r="H105" s="97"/>
    </row>
    <row r="106" spans="1:8" x14ac:dyDescent="0.2">
      <c r="A106" s="3"/>
      <c r="B106" s="3"/>
      <c r="C106" s="4" t="s">
        <v>110</v>
      </c>
      <c r="D106" s="3"/>
      <c r="E106" s="3"/>
      <c r="F106" s="14"/>
      <c r="G106" s="14"/>
      <c r="H106" s="97"/>
    </row>
    <row r="107" spans="1:8" x14ac:dyDescent="0.2">
      <c r="A107" s="3"/>
      <c r="B107" s="3"/>
      <c r="C107" s="4" t="s">
        <v>111</v>
      </c>
      <c r="D107" s="3"/>
      <c r="E107" s="3"/>
      <c r="F107" s="14"/>
      <c r="G107" s="14"/>
      <c r="H107" s="97"/>
    </row>
    <row r="108" spans="1:8" x14ac:dyDescent="0.2">
      <c r="A108" s="3"/>
      <c r="B108" s="3"/>
      <c r="C108" s="4" t="s">
        <v>97</v>
      </c>
      <c r="D108" s="3"/>
      <c r="E108" s="3" t="s">
        <v>98</v>
      </c>
      <c r="F108" s="15">
        <v>0</v>
      </c>
      <c r="G108" s="16">
        <v>0</v>
      </c>
      <c r="H108" s="97"/>
    </row>
    <row r="109" spans="1:8" x14ac:dyDescent="0.2">
      <c r="A109" s="3"/>
      <c r="B109" s="3"/>
      <c r="C109" s="13"/>
      <c r="D109" s="3"/>
      <c r="E109" s="3"/>
      <c r="F109" s="14"/>
      <c r="G109" s="14"/>
      <c r="H109" s="97"/>
    </row>
    <row r="110" spans="1:8" x14ac:dyDescent="0.2">
      <c r="A110" s="3"/>
      <c r="B110" s="3"/>
      <c r="C110" s="4" t="s">
        <v>112</v>
      </c>
      <c r="D110" s="3"/>
      <c r="E110" s="3"/>
      <c r="F110" s="14"/>
      <c r="G110" s="14"/>
      <c r="H110" s="97"/>
    </row>
    <row r="111" spans="1:8" x14ac:dyDescent="0.2">
      <c r="A111" s="3"/>
      <c r="B111" s="3"/>
      <c r="C111" s="4" t="s">
        <v>97</v>
      </c>
      <c r="D111" s="3"/>
      <c r="E111" s="3" t="s">
        <v>98</v>
      </c>
      <c r="F111" s="15">
        <v>0</v>
      </c>
      <c r="G111" s="16">
        <v>0</v>
      </c>
      <c r="H111" s="97"/>
    </row>
    <row r="112" spans="1:8" x14ac:dyDescent="0.2">
      <c r="A112" s="3"/>
      <c r="B112" s="3"/>
      <c r="C112" s="13"/>
      <c r="D112" s="3"/>
      <c r="E112" s="3"/>
      <c r="F112" s="14"/>
      <c r="G112" s="14"/>
      <c r="H112" s="97"/>
    </row>
    <row r="113" spans="1:8" x14ac:dyDescent="0.2">
      <c r="A113" s="3"/>
      <c r="B113" s="3"/>
      <c r="C113" s="4" t="s">
        <v>113</v>
      </c>
      <c r="D113" s="3"/>
      <c r="E113" s="3"/>
      <c r="F113" s="14"/>
      <c r="G113" s="14"/>
      <c r="H113" s="97"/>
    </row>
    <row r="114" spans="1:8" x14ac:dyDescent="0.2">
      <c r="A114" s="3"/>
      <c r="B114" s="3"/>
      <c r="C114" s="4" t="s">
        <v>97</v>
      </c>
      <c r="D114" s="3"/>
      <c r="E114" s="3" t="s">
        <v>98</v>
      </c>
      <c r="F114" s="15">
        <v>0</v>
      </c>
      <c r="G114" s="16">
        <v>0</v>
      </c>
      <c r="H114" s="97"/>
    </row>
    <row r="115" spans="1:8" x14ac:dyDescent="0.2">
      <c r="A115" s="3"/>
      <c r="B115" s="3"/>
      <c r="C115" s="13"/>
      <c r="D115" s="3"/>
      <c r="E115" s="3"/>
      <c r="F115" s="14"/>
      <c r="G115" s="14"/>
      <c r="H115" s="97"/>
    </row>
    <row r="116" spans="1:8" x14ac:dyDescent="0.2">
      <c r="A116" s="3"/>
      <c r="B116" s="3"/>
      <c r="C116" s="4" t="s">
        <v>114</v>
      </c>
      <c r="D116" s="3"/>
      <c r="E116" s="3"/>
      <c r="F116" s="14"/>
      <c r="G116" s="14"/>
      <c r="H116" s="97"/>
    </row>
    <row r="117" spans="1:8" x14ac:dyDescent="0.2">
      <c r="A117" s="3"/>
      <c r="B117" s="3"/>
      <c r="C117" s="4" t="s">
        <v>97</v>
      </c>
      <c r="D117" s="3"/>
      <c r="E117" s="3" t="s">
        <v>98</v>
      </c>
      <c r="F117" s="15">
        <v>0</v>
      </c>
      <c r="G117" s="16">
        <v>0</v>
      </c>
      <c r="H117" s="97"/>
    </row>
    <row r="118" spans="1:8" x14ac:dyDescent="0.2">
      <c r="A118" s="3"/>
      <c r="B118" s="3"/>
      <c r="C118" s="13"/>
      <c r="D118" s="3"/>
      <c r="E118" s="3"/>
      <c r="F118" s="14"/>
      <c r="G118" s="14"/>
      <c r="H118" s="97"/>
    </row>
    <row r="119" spans="1:8" x14ac:dyDescent="0.2">
      <c r="A119" s="3"/>
      <c r="B119" s="3"/>
      <c r="C119" s="4" t="s">
        <v>117</v>
      </c>
      <c r="D119" s="3"/>
      <c r="E119" s="3"/>
      <c r="F119" s="11">
        <v>0</v>
      </c>
      <c r="G119" s="12">
        <v>0</v>
      </c>
      <c r="H119" s="97"/>
    </row>
    <row r="120" spans="1:8" x14ac:dyDescent="0.2">
      <c r="A120" s="3"/>
      <c r="B120" s="3"/>
      <c r="C120" s="14"/>
      <c r="D120" s="3"/>
      <c r="E120" s="3"/>
      <c r="F120" s="3"/>
      <c r="G120" s="3"/>
      <c r="H120" s="97"/>
    </row>
    <row r="121" spans="1:8" x14ac:dyDescent="0.2">
      <c r="A121" s="3"/>
      <c r="B121" s="3"/>
      <c r="C121" s="4" t="s">
        <v>118</v>
      </c>
      <c r="D121" s="3"/>
      <c r="E121" s="3"/>
      <c r="F121" s="3"/>
      <c r="G121" s="3"/>
      <c r="H121" s="97"/>
    </row>
    <row r="122" spans="1:8" x14ac:dyDescent="0.2">
      <c r="A122" s="3"/>
      <c r="B122" s="3"/>
      <c r="C122" s="4" t="s">
        <v>119</v>
      </c>
      <c r="D122" s="3"/>
      <c r="E122" s="3"/>
      <c r="F122" s="3"/>
      <c r="G122" s="3"/>
      <c r="H122" s="97"/>
    </row>
    <row r="123" spans="1:8" x14ac:dyDescent="0.2">
      <c r="A123" s="3"/>
      <c r="B123" s="3"/>
      <c r="C123" s="4" t="s">
        <v>97</v>
      </c>
      <c r="D123" s="3"/>
      <c r="E123" s="3" t="s">
        <v>98</v>
      </c>
      <c r="F123" s="15">
        <v>0</v>
      </c>
      <c r="G123" s="16">
        <v>0</v>
      </c>
      <c r="H123" s="97"/>
    </row>
    <row r="124" spans="1:8" x14ac:dyDescent="0.2">
      <c r="A124" s="3"/>
      <c r="B124" s="3"/>
      <c r="C124" s="13"/>
      <c r="D124" s="3"/>
      <c r="E124" s="3"/>
      <c r="F124" s="14"/>
      <c r="G124" s="14"/>
      <c r="H124" s="97"/>
    </row>
    <row r="125" spans="1:8" x14ac:dyDescent="0.2">
      <c r="A125" s="3"/>
      <c r="B125" s="3"/>
      <c r="C125" s="4" t="s">
        <v>120</v>
      </c>
      <c r="D125" s="3"/>
      <c r="E125" s="3"/>
      <c r="F125" s="3"/>
      <c r="G125" s="3"/>
      <c r="H125" s="97"/>
    </row>
    <row r="126" spans="1:8" x14ac:dyDescent="0.2">
      <c r="A126" s="3"/>
      <c r="B126" s="3"/>
      <c r="C126" s="4" t="s">
        <v>121</v>
      </c>
      <c r="D126" s="3"/>
      <c r="E126" s="3"/>
      <c r="F126" s="3"/>
      <c r="G126" s="3"/>
      <c r="H126" s="97"/>
    </row>
    <row r="127" spans="1:8" x14ac:dyDescent="0.2">
      <c r="A127" s="3"/>
      <c r="B127" s="3"/>
      <c r="C127" s="4" t="s">
        <v>97</v>
      </c>
      <c r="D127" s="3"/>
      <c r="E127" s="3" t="s">
        <v>98</v>
      </c>
      <c r="F127" s="15">
        <v>0</v>
      </c>
      <c r="G127" s="16">
        <v>0</v>
      </c>
      <c r="H127" s="97"/>
    </row>
    <row r="128" spans="1:8" x14ac:dyDescent="0.2">
      <c r="A128" s="3"/>
      <c r="B128" s="3"/>
      <c r="C128" s="13"/>
      <c r="D128" s="3"/>
      <c r="E128" s="3"/>
      <c r="F128" s="14"/>
      <c r="G128" s="14"/>
      <c r="H128" s="97"/>
    </row>
    <row r="129" spans="1:15" x14ac:dyDescent="0.2">
      <c r="A129" s="3"/>
      <c r="B129" s="3"/>
      <c r="C129" s="13"/>
      <c r="D129" s="3"/>
      <c r="E129" s="3"/>
      <c r="F129" s="14"/>
      <c r="G129" s="14"/>
      <c r="H129" s="97"/>
    </row>
    <row r="130" spans="1:15" ht="25.5" x14ac:dyDescent="0.2">
      <c r="A130" s="3"/>
      <c r="B130" s="3"/>
      <c r="C130" s="4" t="s">
        <v>122</v>
      </c>
      <c r="D130" s="3"/>
      <c r="E130" s="3"/>
      <c r="F130" s="14"/>
      <c r="G130" s="14"/>
      <c r="H130" s="97"/>
    </row>
    <row r="131" spans="1:15" x14ac:dyDescent="0.2">
      <c r="A131" s="3"/>
      <c r="B131" s="3"/>
      <c r="C131" s="4" t="s">
        <v>97</v>
      </c>
      <c r="D131" s="3"/>
      <c r="E131" s="3" t="s">
        <v>98</v>
      </c>
      <c r="F131" s="15">
        <v>0</v>
      </c>
      <c r="G131" s="16">
        <v>0</v>
      </c>
      <c r="H131" s="97"/>
    </row>
    <row r="132" spans="1:15" x14ac:dyDescent="0.2">
      <c r="A132" s="3"/>
      <c r="B132" s="3"/>
      <c r="C132" s="13"/>
      <c r="D132" s="3"/>
      <c r="E132" s="3"/>
      <c r="F132" s="14"/>
      <c r="G132" s="14"/>
      <c r="H132" s="97"/>
    </row>
    <row r="133" spans="1:15" x14ac:dyDescent="0.2">
      <c r="A133" s="3"/>
      <c r="B133" s="6"/>
      <c r="C133" s="6"/>
      <c r="D133" s="4"/>
      <c r="E133" s="3"/>
      <c r="F133" s="6"/>
      <c r="G133" s="10"/>
      <c r="H133" s="97"/>
    </row>
    <row r="134" spans="1:15" x14ac:dyDescent="0.2">
      <c r="A134" s="10"/>
      <c r="B134" s="6"/>
      <c r="C134" s="6" t="s">
        <v>123</v>
      </c>
      <c r="D134" s="6"/>
      <c r="E134" s="10"/>
      <c r="F134" s="8">
        <v>1349.1097111900001</v>
      </c>
      <c r="G134" s="9">
        <v>1.4445739000000001E-2</v>
      </c>
      <c r="H134" s="97"/>
    </row>
    <row r="135" spans="1:15" x14ac:dyDescent="0.2">
      <c r="A135" s="13"/>
      <c r="B135" s="13"/>
      <c r="C135" s="4" t="s">
        <v>124</v>
      </c>
      <c r="D135" s="17"/>
      <c r="E135" s="17"/>
      <c r="F135" s="11">
        <v>93391.535863975994</v>
      </c>
      <c r="G135" s="12">
        <v>1.0000000010000001</v>
      </c>
      <c r="H135" s="97"/>
    </row>
    <row r="136" spans="1:15" ht="14.1" customHeight="1" x14ac:dyDescent="0.2">
      <c r="A136" s="18"/>
      <c r="B136" s="18"/>
      <c r="C136" s="18"/>
      <c r="D136" s="19"/>
      <c r="E136" s="19"/>
      <c r="F136" s="19"/>
      <c r="G136" s="19"/>
    </row>
    <row r="137" spans="1:15" ht="17.100000000000001" customHeight="1" x14ac:dyDescent="0.2">
      <c r="A137" s="20"/>
      <c r="B137" s="226" t="s">
        <v>125</v>
      </c>
      <c r="C137" s="226"/>
      <c r="D137" s="226"/>
      <c r="E137" s="226"/>
      <c r="F137" s="226"/>
      <c r="G137" s="22"/>
    </row>
    <row r="138" spans="1:15" ht="17.100000000000001" customHeight="1" x14ac:dyDescent="0.2">
      <c r="A138" s="20"/>
      <c r="B138" s="209" t="s">
        <v>1304</v>
      </c>
      <c r="C138" s="21"/>
      <c r="D138" s="21"/>
      <c r="E138" s="21"/>
      <c r="F138" s="21"/>
      <c r="G138" s="22"/>
    </row>
    <row r="139" spans="1:15" ht="14.1" customHeight="1" x14ac:dyDescent="0.2">
      <c r="A139" s="20"/>
      <c r="B139" s="20"/>
      <c r="C139" s="20"/>
      <c r="D139" s="22"/>
      <c r="E139" s="22"/>
      <c r="F139" s="22"/>
      <c r="G139" s="22"/>
    </row>
    <row r="140" spans="1:15" ht="14.1" customHeight="1" x14ac:dyDescent="0.2">
      <c r="A140" s="20"/>
      <c r="B140" s="224" t="s">
        <v>126</v>
      </c>
      <c r="C140" s="225"/>
      <c r="D140" s="14" t="s">
        <v>98</v>
      </c>
      <c r="E140" s="23"/>
      <c r="F140" s="22"/>
      <c r="G140" s="22"/>
      <c r="I140" s="69"/>
      <c r="J140" s="69"/>
      <c r="K140" s="69"/>
      <c r="L140" s="69"/>
      <c r="M140" s="69"/>
      <c r="N140" s="69"/>
      <c r="O140" s="69"/>
    </row>
    <row r="141" spans="1:15" ht="29.1" customHeight="1" x14ac:dyDescent="0.2">
      <c r="A141" s="20"/>
      <c r="B141" s="231" t="s">
        <v>127</v>
      </c>
      <c r="C141" s="232"/>
      <c r="D141" s="4" t="s">
        <v>1293</v>
      </c>
      <c r="E141" s="23"/>
      <c r="F141" s="22"/>
      <c r="G141" s="22"/>
    </row>
    <row r="142" spans="1:15" ht="17.100000000000001" customHeight="1" x14ac:dyDescent="0.2">
      <c r="A142" s="20"/>
      <c r="B142" s="231" t="s">
        <v>1084</v>
      </c>
      <c r="C142" s="232"/>
      <c r="D142" s="90" t="s">
        <v>1305</v>
      </c>
      <c r="E142" s="23"/>
      <c r="F142" s="22"/>
      <c r="G142" s="22"/>
    </row>
    <row r="143" spans="1:15" ht="17.100000000000001" customHeight="1" x14ac:dyDescent="0.2">
      <c r="A143" s="20"/>
      <c r="B143" s="231" t="s">
        <v>130</v>
      </c>
      <c r="C143" s="232"/>
      <c r="D143" s="14" t="s">
        <v>98</v>
      </c>
      <c r="E143" s="23"/>
      <c r="F143" s="22"/>
      <c r="G143" s="22"/>
    </row>
    <row r="144" spans="1:15" ht="24" customHeight="1" x14ac:dyDescent="0.2">
      <c r="A144" s="24"/>
      <c r="B144" s="25" t="s">
        <v>98</v>
      </c>
      <c r="C144" s="25" t="s">
        <v>131</v>
      </c>
      <c r="D144" s="25" t="s">
        <v>132</v>
      </c>
      <c r="E144" s="24"/>
      <c r="F144" s="24"/>
      <c r="G144" s="24"/>
      <c r="I144" s="87"/>
      <c r="J144" s="87"/>
      <c r="K144" s="87"/>
      <c r="L144" s="87"/>
      <c r="M144" s="87"/>
      <c r="N144" s="87"/>
      <c r="O144" s="87"/>
    </row>
    <row r="145" spans="1:17" ht="18" customHeight="1" x14ac:dyDescent="0.2">
      <c r="A145" s="24"/>
      <c r="B145" s="25" t="s">
        <v>133</v>
      </c>
      <c r="C145" s="25" t="s">
        <v>134</v>
      </c>
      <c r="D145" s="25" t="s">
        <v>135</v>
      </c>
      <c r="E145" s="24"/>
      <c r="F145" s="24"/>
      <c r="G145" s="24"/>
    </row>
    <row r="146" spans="1:17" ht="17.100000000000001" customHeight="1" x14ac:dyDescent="0.2">
      <c r="A146" s="24"/>
      <c r="B146" s="6" t="s">
        <v>136</v>
      </c>
      <c r="C146" s="86">
        <v>335.91</v>
      </c>
      <c r="D146" s="26">
        <v>341.86579999999998</v>
      </c>
      <c r="E146" s="24"/>
      <c r="F146" s="21"/>
      <c r="G146" s="27"/>
    </row>
    <row r="147" spans="1:17" ht="29.1" customHeight="1" x14ac:dyDescent="0.2">
      <c r="A147" s="24"/>
      <c r="B147" s="6" t="s">
        <v>1205</v>
      </c>
      <c r="C147" s="86">
        <v>335.91</v>
      </c>
      <c r="D147" s="26">
        <v>341.86579999999998</v>
      </c>
      <c r="E147" s="24"/>
      <c r="F147" s="21"/>
      <c r="G147" s="27"/>
    </row>
    <row r="148" spans="1:17" ht="17.100000000000001" customHeight="1" x14ac:dyDescent="0.2">
      <c r="A148" s="24"/>
      <c r="B148" s="6" t="s">
        <v>137</v>
      </c>
      <c r="C148" s="86">
        <v>320.72000000000003</v>
      </c>
      <c r="D148" s="26">
        <v>326.25900000000001</v>
      </c>
      <c r="E148" s="24"/>
      <c r="F148" s="21"/>
      <c r="G148" s="27"/>
    </row>
    <row r="149" spans="1:17" ht="29.1" customHeight="1" x14ac:dyDescent="0.2">
      <c r="A149" s="24"/>
      <c r="B149" s="6" t="s">
        <v>1206</v>
      </c>
      <c r="C149" s="86">
        <v>320.72000000000003</v>
      </c>
      <c r="D149" s="26">
        <v>326.25900000000001</v>
      </c>
      <c r="E149" s="24"/>
      <c r="F149" s="21"/>
      <c r="G149" s="27"/>
    </row>
    <row r="150" spans="1:17" ht="14.1" customHeight="1" x14ac:dyDescent="0.2">
      <c r="A150" s="24"/>
      <c r="B150" s="24"/>
      <c r="C150" s="24"/>
      <c r="D150" s="24"/>
      <c r="E150" s="24"/>
      <c r="F150" s="24"/>
      <c r="G150" s="24"/>
    </row>
    <row r="151" spans="1:17" ht="17.100000000000001" customHeight="1" x14ac:dyDescent="0.2">
      <c r="A151" s="24"/>
      <c r="B151" s="231" t="s">
        <v>1203</v>
      </c>
      <c r="C151" s="232"/>
      <c r="D151" s="4" t="s">
        <v>128</v>
      </c>
      <c r="E151" s="24"/>
      <c r="F151" s="24"/>
      <c r="G151" s="24"/>
    </row>
    <row r="152" spans="1:17" ht="18" customHeight="1" x14ac:dyDescent="0.2">
      <c r="A152" s="24"/>
      <c r="B152" s="28"/>
      <c r="C152" s="28"/>
      <c r="D152" s="29"/>
      <c r="E152" s="24"/>
      <c r="F152" s="24"/>
      <c r="G152" s="24"/>
    </row>
    <row r="153" spans="1:17" s="87" customFormat="1" x14ac:dyDescent="0.2">
      <c r="B153" s="233" t="s">
        <v>1207</v>
      </c>
      <c r="C153" s="233"/>
      <c r="D153" s="233"/>
      <c r="E153" s="233"/>
      <c r="F153" s="233"/>
      <c r="I153"/>
      <c r="J153"/>
      <c r="K153"/>
      <c r="L153"/>
      <c r="M153"/>
      <c r="N153"/>
      <c r="O153"/>
      <c r="P153" s="69"/>
      <c r="Q153" s="69"/>
    </row>
    <row r="154" spans="1:17" ht="14.1" customHeight="1" x14ac:dyDescent="0.2">
      <c r="A154" s="24"/>
      <c r="B154" s="21"/>
      <c r="C154" s="21"/>
      <c r="D154" s="24"/>
      <c r="E154" s="24"/>
      <c r="F154" s="24"/>
      <c r="G154" s="24"/>
    </row>
    <row r="155" spans="1:17" ht="29.1" customHeight="1" x14ac:dyDescent="0.2">
      <c r="A155" s="24"/>
      <c r="B155" s="231" t="s">
        <v>138</v>
      </c>
      <c r="C155" s="232"/>
      <c r="D155" s="4" t="s">
        <v>128</v>
      </c>
      <c r="E155" s="24"/>
      <c r="F155" s="24"/>
      <c r="G155" s="24"/>
    </row>
    <row r="156" spans="1:17" ht="29.1" customHeight="1" x14ac:dyDescent="0.2">
      <c r="A156" s="24"/>
      <c r="B156" s="231" t="s">
        <v>139</v>
      </c>
      <c r="C156" s="232"/>
      <c r="D156" s="4" t="s">
        <v>128</v>
      </c>
      <c r="E156" s="24"/>
      <c r="F156" s="24"/>
      <c r="G156" s="24"/>
    </row>
    <row r="157" spans="1:17" ht="17.100000000000001" customHeight="1" x14ac:dyDescent="0.2">
      <c r="A157" s="24"/>
      <c r="B157" s="231" t="s">
        <v>140</v>
      </c>
      <c r="C157" s="232"/>
      <c r="D157" s="30">
        <v>0.62470163111674626</v>
      </c>
      <c r="E157" s="24"/>
      <c r="F157" s="21"/>
      <c r="G157" s="27"/>
    </row>
    <row r="158" spans="1:17" ht="17.100000000000001" customHeight="1" x14ac:dyDescent="0.2">
      <c r="A158" s="24"/>
      <c r="B158" s="259" t="s">
        <v>141</v>
      </c>
      <c r="C158" s="260"/>
      <c r="D158" s="200" t="s">
        <v>128</v>
      </c>
      <c r="E158" s="24"/>
      <c r="F158" s="24"/>
      <c r="G158" s="24"/>
    </row>
    <row r="159" spans="1:17" x14ac:dyDescent="0.2">
      <c r="B159" s="201" t="s">
        <v>1307</v>
      </c>
      <c r="C159" s="201"/>
      <c r="D159" s="201"/>
      <c r="E159" s="205"/>
      <c r="F159" s="206"/>
    </row>
    <row r="160" spans="1:17" ht="38.25" x14ac:dyDescent="0.2">
      <c r="B160" s="208" t="s">
        <v>1285</v>
      </c>
      <c r="C160" s="208" t="s">
        <v>1286</v>
      </c>
      <c r="D160" s="208" t="s">
        <v>1287</v>
      </c>
      <c r="E160" s="208" t="s">
        <v>1288</v>
      </c>
      <c r="F160" s="208" t="s">
        <v>1289</v>
      </c>
    </row>
    <row r="161" spans="2:6" x14ac:dyDescent="0.2">
      <c r="B161" s="194" t="s">
        <v>1306</v>
      </c>
      <c r="C161" s="195" t="s">
        <v>1291</v>
      </c>
      <c r="D161" s="210">
        <v>0</v>
      </c>
      <c r="E161" s="211">
        <v>0</v>
      </c>
      <c r="F161" s="212">
        <v>0.54925000000000002</v>
      </c>
    </row>
  </sheetData>
  <mergeCells count="15">
    <mergeCell ref="B157:C157"/>
    <mergeCell ref="B158:C158"/>
    <mergeCell ref="B141:C141"/>
    <mergeCell ref="B142:C142"/>
    <mergeCell ref="B143:C143"/>
    <mergeCell ref="B151:C151"/>
    <mergeCell ref="B155:C155"/>
    <mergeCell ref="B156:C156"/>
    <mergeCell ref="B153:F153"/>
    <mergeCell ref="J2:N2"/>
    <mergeCell ref="B140:C140"/>
    <mergeCell ref="B137:F137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42">
    <outlinePr summaryBelow="0" summaryRight="0"/>
  </sheetPr>
  <dimension ref="A1:Q132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7" ht="15" x14ac:dyDescent="0.2">
      <c r="A1" s="227" t="s">
        <v>0</v>
      </c>
      <c r="B1" s="227"/>
      <c r="C1" s="227"/>
      <c r="D1" s="227"/>
      <c r="E1" s="227"/>
      <c r="F1" s="227"/>
      <c r="G1" s="227"/>
      <c r="H1" s="227"/>
    </row>
    <row r="2" spans="1:17" s="87" customFormat="1" ht="15" x14ac:dyDescent="0.2">
      <c r="A2" s="228" t="s">
        <v>890</v>
      </c>
      <c r="B2" s="229"/>
      <c r="C2" s="229"/>
      <c r="D2" s="229"/>
      <c r="E2" s="229"/>
      <c r="F2" s="229"/>
      <c r="G2" s="229"/>
      <c r="H2" s="230"/>
      <c r="I2"/>
      <c r="J2" s="223" t="s">
        <v>1238</v>
      </c>
      <c r="K2" s="223"/>
      <c r="L2" s="223"/>
      <c r="M2" s="223"/>
      <c r="N2" s="223"/>
      <c r="O2"/>
      <c r="P2"/>
      <c r="Q2"/>
    </row>
    <row r="3" spans="1:17" ht="15" x14ac:dyDescent="0.2">
      <c r="A3" s="227" t="s">
        <v>1208</v>
      </c>
      <c r="B3" s="227"/>
      <c r="C3" s="227"/>
      <c r="D3" s="227"/>
      <c r="E3" s="227"/>
      <c r="F3" s="227"/>
      <c r="G3" s="227"/>
      <c r="H3" s="227"/>
    </row>
    <row r="4" spans="1:17" s="113" customFormat="1" ht="30" x14ac:dyDescent="0.2">
      <c r="A4" s="1" t="s">
        <v>2</v>
      </c>
      <c r="B4" s="1" t="s">
        <v>3</v>
      </c>
      <c r="C4" s="1" t="s">
        <v>4</v>
      </c>
      <c r="D4" s="1" t="s">
        <v>5</v>
      </c>
      <c r="E4" s="2" t="s">
        <v>6</v>
      </c>
      <c r="F4" s="2" t="s">
        <v>7</v>
      </c>
      <c r="G4" s="2" t="s">
        <v>8</v>
      </c>
      <c r="H4" s="96" t="s">
        <v>1167</v>
      </c>
      <c r="I4" s="183"/>
      <c r="J4" s="183"/>
      <c r="K4" s="183"/>
      <c r="L4" s="183"/>
      <c r="M4" s="183"/>
      <c r="N4" s="183"/>
      <c r="O4" s="183"/>
      <c r="P4" s="183"/>
      <c r="Q4" s="183"/>
    </row>
    <row r="5" spans="1:17" ht="14.1" customHeight="1" x14ac:dyDescent="0.2">
      <c r="A5" s="3"/>
      <c r="B5" s="3"/>
      <c r="C5" s="4" t="s">
        <v>9</v>
      </c>
      <c r="D5" s="3"/>
      <c r="E5" s="3"/>
      <c r="F5" s="3"/>
      <c r="G5" s="3"/>
      <c r="H5" s="97"/>
    </row>
    <row r="6" spans="1:17" ht="24" customHeight="1" x14ac:dyDescent="0.2">
      <c r="A6" s="3"/>
      <c r="B6" s="3"/>
      <c r="C6" s="4" t="s">
        <v>10</v>
      </c>
      <c r="D6" s="3"/>
      <c r="E6" s="3"/>
      <c r="F6" s="3"/>
      <c r="G6" s="3"/>
      <c r="H6" s="97"/>
    </row>
    <row r="7" spans="1:17" ht="25.5" x14ac:dyDescent="0.2">
      <c r="A7" s="5">
        <v>1</v>
      </c>
      <c r="B7" s="6" t="s">
        <v>319</v>
      </c>
      <c r="C7" s="6" t="s">
        <v>320</v>
      </c>
      <c r="D7" s="6" t="s">
        <v>202</v>
      </c>
      <c r="E7" s="7">
        <v>910000</v>
      </c>
      <c r="F7" s="8">
        <v>8083.53</v>
      </c>
      <c r="G7" s="9">
        <v>6.6274819999999998E-2</v>
      </c>
      <c r="H7" s="97"/>
    </row>
    <row r="8" spans="1:17" ht="25.5" x14ac:dyDescent="0.2">
      <c r="A8" s="5">
        <v>2</v>
      </c>
      <c r="B8" s="6" t="s">
        <v>425</v>
      </c>
      <c r="C8" s="6" t="s">
        <v>426</v>
      </c>
      <c r="D8" s="6" t="s">
        <v>202</v>
      </c>
      <c r="E8" s="7">
        <v>325000</v>
      </c>
      <c r="F8" s="8">
        <v>7670.4875000000002</v>
      </c>
      <c r="G8" s="9">
        <v>6.2888389000000003E-2</v>
      </c>
      <c r="H8" s="97"/>
    </row>
    <row r="9" spans="1:17" ht="25.5" x14ac:dyDescent="0.2">
      <c r="A9" s="5">
        <v>3</v>
      </c>
      <c r="B9" s="6" t="s">
        <v>839</v>
      </c>
      <c r="C9" s="6" t="s">
        <v>840</v>
      </c>
      <c r="D9" s="6" t="s">
        <v>202</v>
      </c>
      <c r="E9" s="7">
        <v>210000</v>
      </c>
      <c r="F9" s="8">
        <v>7104.1949999999997</v>
      </c>
      <c r="G9" s="9">
        <v>5.8245499999999999E-2</v>
      </c>
      <c r="H9" s="97"/>
    </row>
    <row r="10" spans="1:17" x14ac:dyDescent="0.2">
      <c r="A10" s="5">
        <v>4</v>
      </c>
      <c r="B10" s="6" t="s">
        <v>23</v>
      </c>
      <c r="C10" s="6" t="s">
        <v>24</v>
      </c>
      <c r="D10" s="6" t="s">
        <v>25</v>
      </c>
      <c r="E10" s="7">
        <v>900000</v>
      </c>
      <c r="F10" s="8">
        <v>6661.35</v>
      </c>
      <c r="G10" s="9">
        <v>5.4614726000000002E-2</v>
      </c>
      <c r="H10" s="97"/>
    </row>
    <row r="11" spans="1:17" ht="25.5" x14ac:dyDescent="0.2">
      <c r="A11" s="5">
        <v>5</v>
      </c>
      <c r="B11" s="6" t="s">
        <v>436</v>
      </c>
      <c r="C11" s="6" t="s">
        <v>437</v>
      </c>
      <c r="D11" s="6" t="s">
        <v>202</v>
      </c>
      <c r="E11" s="7">
        <v>3000000</v>
      </c>
      <c r="F11" s="8">
        <v>6541.5</v>
      </c>
      <c r="G11" s="9">
        <v>5.3632105999999999E-2</v>
      </c>
      <c r="H11" s="97"/>
    </row>
    <row r="12" spans="1:17" ht="15" x14ac:dyDescent="0.2">
      <c r="A12" s="5">
        <v>6</v>
      </c>
      <c r="B12" s="6" t="s">
        <v>432</v>
      </c>
      <c r="C12" s="6" t="s">
        <v>433</v>
      </c>
      <c r="D12" s="6" t="s">
        <v>78</v>
      </c>
      <c r="E12" s="7">
        <v>650000</v>
      </c>
      <c r="F12" s="8">
        <v>5441.4750000000004</v>
      </c>
      <c r="G12" s="9">
        <v>4.4613278999999999E-2</v>
      </c>
      <c r="H12" s="97"/>
      <c r="J12" s="184"/>
    </row>
    <row r="13" spans="1:17" ht="25.5" x14ac:dyDescent="0.2">
      <c r="A13" s="5">
        <v>7</v>
      </c>
      <c r="B13" s="6" t="s">
        <v>334</v>
      </c>
      <c r="C13" s="6" t="s">
        <v>335</v>
      </c>
      <c r="D13" s="6" t="s">
        <v>70</v>
      </c>
      <c r="E13" s="7">
        <v>1220000</v>
      </c>
      <c r="F13" s="8">
        <v>5336.89</v>
      </c>
      <c r="G13" s="9">
        <v>4.3755812999999998E-2</v>
      </c>
      <c r="H13" s="97"/>
      <c r="J13" s="184" t="s">
        <v>1242</v>
      </c>
    </row>
    <row r="14" spans="1:17" x14ac:dyDescent="0.2">
      <c r="A14" s="5">
        <v>8</v>
      </c>
      <c r="B14" s="6" t="s">
        <v>309</v>
      </c>
      <c r="C14" s="6" t="s">
        <v>310</v>
      </c>
      <c r="D14" s="6" t="s">
        <v>70</v>
      </c>
      <c r="E14" s="7">
        <v>420000</v>
      </c>
      <c r="F14" s="8">
        <v>5120.43</v>
      </c>
      <c r="G14" s="9">
        <v>4.1981112000000001E-2</v>
      </c>
      <c r="H14" s="97"/>
    </row>
    <row r="15" spans="1:17" x14ac:dyDescent="0.2">
      <c r="A15" s="5">
        <v>9</v>
      </c>
      <c r="B15" s="6" t="s">
        <v>311</v>
      </c>
      <c r="C15" s="6" t="s">
        <v>312</v>
      </c>
      <c r="D15" s="6" t="s">
        <v>284</v>
      </c>
      <c r="E15" s="7">
        <v>12350</v>
      </c>
      <c r="F15" s="8">
        <v>4992.0614249999999</v>
      </c>
      <c r="G15" s="9">
        <v>4.0928649999999997E-2</v>
      </c>
      <c r="H15" s="97"/>
    </row>
    <row r="16" spans="1:17" ht="25.5" x14ac:dyDescent="0.2">
      <c r="A16" s="5">
        <v>10</v>
      </c>
      <c r="B16" s="6" t="s">
        <v>395</v>
      </c>
      <c r="C16" s="6" t="s">
        <v>396</v>
      </c>
      <c r="D16" s="6" t="s">
        <v>202</v>
      </c>
      <c r="E16" s="7">
        <v>650000</v>
      </c>
      <c r="F16" s="8">
        <v>4832.4250000000002</v>
      </c>
      <c r="G16" s="9">
        <v>3.9619832000000001E-2</v>
      </c>
      <c r="H16" s="97"/>
    </row>
    <row r="17" spans="1:8" x14ac:dyDescent="0.2">
      <c r="A17" s="5">
        <v>11</v>
      </c>
      <c r="B17" s="6" t="s">
        <v>488</v>
      </c>
      <c r="C17" s="6" t="s">
        <v>489</v>
      </c>
      <c r="D17" s="6" t="s">
        <v>78</v>
      </c>
      <c r="E17" s="7">
        <v>65000</v>
      </c>
      <c r="F17" s="8">
        <v>4827.1925000000001</v>
      </c>
      <c r="G17" s="9">
        <v>3.9576932000000002E-2</v>
      </c>
      <c r="H17" s="97"/>
    </row>
    <row r="18" spans="1:8" ht="25.5" x14ac:dyDescent="0.2">
      <c r="A18" s="5">
        <v>12</v>
      </c>
      <c r="B18" s="6" t="s">
        <v>26</v>
      </c>
      <c r="C18" s="6" t="s">
        <v>27</v>
      </c>
      <c r="D18" s="6" t="s">
        <v>1185</v>
      </c>
      <c r="E18" s="7">
        <v>450000</v>
      </c>
      <c r="F18" s="8">
        <v>4518.45</v>
      </c>
      <c r="G18" s="9">
        <v>3.7045630000000003E-2</v>
      </c>
      <c r="H18" s="97"/>
    </row>
    <row r="19" spans="1:8" x14ac:dyDescent="0.2">
      <c r="A19" s="5">
        <v>13</v>
      </c>
      <c r="B19" s="6" t="s">
        <v>411</v>
      </c>
      <c r="C19" s="6" t="s">
        <v>412</v>
      </c>
      <c r="D19" s="6" t="s">
        <v>25</v>
      </c>
      <c r="E19" s="7">
        <v>300000</v>
      </c>
      <c r="F19" s="8">
        <v>4438.2</v>
      </c>
      <c r="G19" s="9">
        <v>3.6387679999999999E-2</v>
      </c>
      <c r="H19" s="97"/>
    </row>
    <row r="20" spans="1:8" x14ac:dyDescent="0.2">
      <c r="A20" s="5">
        <v>14</v>
      </c>
      <c r="B20" s="6" t="s">
        <v>661</v>
      </c>
      <c r="C20" s="6" t="s">
        <v>662</v>
      </c>
      <c r="D20" s="6" t="s">
        <v>70</v>
      </c>
      <c r="E20" s="7">
        <v>400000</v>
      </c>
      <c r="F20" s="8">
        <v>3946.8</v>
      </c>
      <c r="G20" s="9">
        <v>3.2358815999999999E-2</v>
      </c>
      <c r="H20" s="97"/>
    </row>
    <row r="21" spans="1:8" x14ac:dyDescent="0.2">
      <c r="A21" s="5">
        <v>15</v>
      </c>
      <c r="B21" s="6" t="s">
        <v>448</v>
      </c>
      <c r="C21" s="6" t="s">
        <v>449</v>
      </c>
      <c r="D21" s="6" t="s">
        <v>70</v>
      </c>
      <c r="E21" s="7">
        <v>140000</v>
      </c>
      <c r="F21" s="8">
        <v>3531.36</v>
      </c>
      <c r="G21" s="9">
        <v>2.8952728E-2</v>
      </c>
      <c r="H21" s="97"/>
    </row>
    <row r="22" spans="1:8" x14ac:dyDescent="0.2">
      <c r="A22" s="5">
        <v>16</v>
      </c>
      <c r="B22" s="6" t="s">
        <v>462</v>
      </c>
      <c r="C22" s="6" t="s">
        <v>463</v>
      </c>
      <c r="D22" s="6" t="s">
        <v>81</v>
      </c>
      <c r="E22" s="7">
        <v>42500</v>
      </c>
      <c r="F22" s="8">
        <v>2965.3525</v>
      </c>
      <c r="G22" s="9">
        <v>2.4312176000000001E-2</v>
      </c>
      <c r="H22" s="97"/>
    </row>
    <row r="23" spans="1:8" ht="25.5" x14ac:dyDescent="0.2">
      <c r="A23" s="5">
        <v>17</v>
      </c>
      <c r="B23" s="6" t="s">
        <v>622</v>
      </c>
      <c r="C23" s="6" t="s">
        <v>623</v>
      </c>
      <c r="D23" s="6" t="s">
        <v>202</v>
      </c>
      <c r="E23" s="7">
        <v>325000</v>
      </c>
      <c r="F23" s="8">
        <v>2919.3125</v>
      </c>
      <c r="G23" s="9">
        <v>2.3934706E-2</v>
      </c>
      <c r="H23" s="97"/>
    </row>
    <row r="24" spans="1:8" x14ac:dyDescent="0.2">
      <c r="A24" s="5">
        <v>18</v>
      </c>
      <c r="B24" s="6" t="s">
        <v>635</v>
      </c>
      <c r="C24" s="6" t="s">
        <v>636</v>
      </c>
      <c r="D24" s="6" t="s">
        <v>327</v>
      </c>
      <c r="E24" s="7">
        <v>1000000</v>
      </c>
      <c r="F24" s="8">
        <v>2722.5</v>
      </c>
      <c r="G24" s="9">
        <v>2.2321089999999998E-2</v>
      </c>
      <c r="H24" s="97"/>
    </row>
    <row r="25" spans="1:8" x14ac:dyDescent="0.2">
      <c r="A25" s="5">
        <v>19</v>
      </c>
      <c r="B25" s="6" t="s">
        <v>373</v>
      </c>
      <c r="C25" s="6" t="s">
        <v>374</v>
      </c>
      <c r="D25" s="6" t="s">
        <v>213</v>
      </c>
      <c r="E25" s="7">
        <v>340000</v>
      </c>
      <c r="F25" s="8">
        <v>2570.5700000000002</v>
      </c>
      <c r="G25" s="9">
        <v>2.1075454E-2</v>
      </c>
      <c r="H25" s="97"/>
    </row>
    <row r="26" spans="1:8" ht="25.5" x14ac:dyDescent="0.2">
      <c r="A26" s="5">
        <v>20</v>
      </c>
      <c r="B26" s="6" t="s">
        <v>811</v>
      </c>
      <c r="C26" s="6" t="s">
        <v>812</v>
      </c>
      <c r="D26" s="6" t="s">
        <v>202</v>
      </c>
      <c r="E26" s="7">
        <v>15500</v>
      </c>
      <c r="F26" s="8">
        <v>2396.1992500000001</v>
      </c>
      <c r="G26" s="9">
        <v>1.9645831999999998E-2</v>
      </c>
      <c r="H26" s="97"/>
    </row>
    <row r="27" spans="1:8" x14ac:dyDescent="0.2">
      <c r="A27" s="5">
        <v>21</v>
      </c>
      <c r="B27" s="6" t="s">
        <v>419</v>
      </c>
      <c r="C27" s="6" t="s">
        <v>420</v>
      </c>
      <c r="D27" s="6" t="s">
        <v>1183</v>
      </c>
      <c r="E27" s="7">
        <v>200000</v>
      </c>
      <c r="F27" s="8">
        <v>2392</v>
      </c>
      <c r="G27" s="9">
        <v>1.9611403999999999E-2</v>
      </c>
      <c r="H27" s="97"/>
    </row>
    <row r="28" spans="1:8" ht="25.5" x14ac:dyDescent="0.2">
      <c r="A28" s="5">
        <v>22</v>
      </c>
      <c r="B28" s="6" t="s">
        <v>833</v>
      </c>
      <c r="C28" s="6" t="s">
        <v>834</v>
      </c>
      <c r="D28" s="6" t="s">
        <v>202</v>
      </c>
      <c r="E28" s="7">
        <v>10000</v>
      </c>
      <c r="F28" s="8">
        <v>1970.57</v>
      </c>
      <c r="G28" s="9">
        <v>1.6156205999999999E-2</v>
      </c>
      <c r="H28" s="97"/>
    </row>
    <row r="29" spans="1:8" x14ac:dyDescent="0.2">
      <c r="A29" s="5">
        <v>23</v>
      </c>
      <c r="B29" s="6" t="s">
        <v>371</v>
      </c>
      <c r="C29" s="6" t="s">
        <v>372</v>
      </c>
      <c r="D29" s="6" t="s">
        <v>70</v>
      </c>
      <c r="E29" s="7">
        <v>2700040</v>
      </c>
      <c r="F29" s="8">
        <v>1848.1773800000001</v>
      </c>
      <c r="G29" s="9">
        <v>1.5152739E-2</v>
      </c>
      <c r="H29" s="97"/>
    </row>
    <row r="30" spans="1:8" x14ac:dyDescent="0.2">
      <c r="A30" s="5">
        <v>24</v>
      </c>
      <c r="B30" s="6" t="s">
        <v>205</v>
      </c>
      <c r="C30" s="6" t="s">
        <v>206</v>
      </c>
      <c r="D30" s="6" t="s">
        <v>1187</v>
      </c>
      <c r="E30" s="7">
        <v>310000</v>
      </c>
      <c r="F30" s="8">
        <v>1743.2850000000001</v>
      </c>
      <c r="G30" s="9">
        <v>1.4292753E-2</v>
      </c>
      <c r="H30" s="97"/>
    </row>
    <row r="31" spans="1:8" x14ac:dyDescent="0.2">
      <c r="A31" s="5">
        <v>25</v>
      </c>
      <c r="B31" s="6" t="s">
        <v>391</v>
      </c>
      <c r="C31" s="6" t="s">
        <v>392</v>
      </c>
      <c r="D31" s="6" t="s">
        <v>70</v>
      </c>
      <c r="E31" s="7">
        <v>88000</v>
      </c>
      <c r="F31" s="8">
        <v>1647.0519999999999</v>
      </c>
      <c r="G31" s="9">
        <v>1.3503763E-2</v>
      </c>
      <c r="H31" s="97"/>
    </row>
    <row r="32" spans="1:8" ht="25.5" x14ac:dyDescent="0.2">
      <c r="A32" s="5">
        <v>26</v>
      </c>
      <c r="B32" s="6" t="s">
        <v>200</v>
      </c>
      <c r="C32" s="6" t="s">
        <v>201</v>
      </c>
      <c r="D32" s="6" t="s">
        <v>202</v>
      </c>
      <c r="E32" s="7">
        <v>400000</v>
      </c>
      <c r="F32" s="8">
        <v>1631.6</v>
      </c>
      <c r="G32" s="9">
        <v>1.3377076E-2</v>
      </c>
      <c r="H32" s="97"/>
    </row>
    <row r="33" spans="1:8" x14ac:dyDescent="0.2">
      <c r="A33" s="5">
        <v>27</v>
      </c>
      <c r="B33" s="6" t="s">
        <v>194</v>
      </c>
      <c r="C33" s="6" t="s">
        <v>195</v>
      </c>
      <c r="D33" s="6" t="s">
        <v>53</v>
      </c>
      <c r="E33" s="7">
        <v>150000</v>
      </c>
      <c r="F33" s="8">
        <v>1478.0250000000001</v>
      </c>
      <c r="G33" s="9">
        <v>1.2117954E-2</v>
      </c>
      <c r="H33" s="97"/>
    </row>
    <row r="34" spans="1:8" x14ac:dyDescent="0.2">
      <c r="A34" s="5">
        <v>28</v>
      </c>
      <c r="B34" s="6" t="s">
        <v>403</v>
      </c>
      <c r="C34" s="6" t="s">
        <v>404</v>
      </c>
      <c r="D34" s="6" t="s">
        <v>70</v>
      </c>
      <c r="E34" s="7">
        <v>80000</v>
      </c>
      <c r="F34" s="8">
        <v>1409.4</v>
      </c>
      <c r="G34" s="9">
        <v>1.1555314000000001E-2</v>
      </c>
      <c r="H34" s="97"/>
    </row>
    <row r="35" spans="1:8" ht="25.5" x14ac:dyDescent="0.2">
      <c r="A35" s="5">
        <v>29</v>
      </c>
      <c r="B35" s="6" t="s">
        <v>854</v>
      </c>
      <c r="C35" s="6" t="s">
        <v>855</v>
      </c>
      <c r="D35" s="6" t="s">
        <v>202</v>
      </c>
      <c r="E35" s="7">
        <v>250000</v>
      </c>
      <c r="F35" s="8">
        <v>1281.625</v>
      </c>
      <c r="G35" s="9">
        <v>1.050772E-2</v>
      </c>
      <c r="H35" s="97"/>
    </row>
    <row r="36" spans="1:8" x14ac:dyDescent="0.2">
      <c r="A36" s="5">
        <v>30</v>
      </c>
      <c r="B36" s="6" t="s">
        <v>576</v>
      </c>
      <c r="C36" s="6" t="s">
        <v>577</v>
      </c>
      <c r="D36" s="6" t="s">
        <v>70</v>
      </c>
      <c r="E36" s="7">
        <v>324319</v>
      </c>
      <c r="F36" s="8">
        <v>1218.6286425000001</v>
      </c>
      <c r="G36" s="9">
        <v>9.9912279999999996E-3</v>
      </c>
      <c r="H36" s="97"/>
    </row>
    <row r="37" spans="1:8" x14ac:dyDescent="0.2">
      <c r="A37" s="5">
        <v>31</v>
      </c>
      <c r="B37" s="6" t="s">
        <v>659</v>
      </c>
      <c r="C37" s="6" t="s">
        <v>660</v>
      </c>
      <c r="D37" s="6" t="s">
        <v>1187</v>
      </c>
      <c r="E37" s="7">
        <v>2400000</v>
      </c>
      <c r="F37" s="8">
        <v>1118.4000000000001</v>
      </c>
      <c r="G37" s="9">
        <v>9.1694789999999995E-3</v>
      </c>
      <c r="H37" s="97"/>
    </row>
    <row r="38" spans="1:8" x14ac:dyDescent="0.2">
      <c r="A38" s="5">
        <v>32</v>
      </c>
      <c r="B38" s="6" t="s">
        <v>891</v>
      </c>
      <c r="C38" s="6" t="s">
        <v>892</v>
      </c>
      <c r="D38" s="6" t="s">
        <v>70</v>
      </c>
      <c r="E38" s="7">
        <v>500000</v>
      </c>
      <c r="F38" s="8">
        <v>1108.25</v>
      </c>
      <c r="G38" s="9">
        <v>9.0862619999999995E-3</v>
      </c>
      <c r="H38" s="97"/>
    </row>
    <row r="39" spans="1:8" x14ac:dyDescent="0.2">
      <c r="A39" s="5">
        <v>33</v>
      </c>
      <c r="B39" s="6" t="s">
        <v>776</v>
      </c>
      <c r="C39" s="6" t="s">
        <v>777</v>
      </c>
      <c r="D39" s="6" t="s">
        <v>78</v>
      </c>
      <c r="E39" s="7">
        <v>30000</v>
      </c>
      <c r="F39" s="8">
        <v>974.77499999999998</v>
      </c>
      <c r="G39" s="9">
        <v>7.9919339999999991E-3</v>
      </c>
      <c r="H39" s="97"/>
    </row>
    <row r="40" spans="1:8" x14ac:dyDescent="0.2">
      <c r="A40" s="5">
        <v>34</v>
      </c>
      <c r="B40" s="6" t="s">
        <v>399</v>
      </c>
      <c r="C40" s="6" t="s">
        <v>400</v>
      </c>
      <c r="D40" s="6" t="s">
        <v>327</v>
      </c>
      <c r="E40" s="7">
        <v>700000</v>
      </c>
      <c r="F40" s="8">
        <v>961.8</v>
      </c>
      <c r="G40" s="9">
        <v>7.8855550000000007E-3</v>
      </c>
      <c r="H40" s="97"/>
    </row>
    <row r="41" spans="1:8" x14ac:dyDescent="0.2">
      <c r="A41" s="5">
        <v>35</v>
      </c>
      <c r="B41" s="6" t="s">
        <v>542</v>
      </c>
      <c r="C41" s="6" t="s">
        <v>543</v>
      </c>
      <c r="D41" s="6" t="s">
        <v>70</v>
      </c>
      <c r="E41" s="7">
        <v>170000</v>
      </c>
      <c r="F41" s="8">
        <v>915.79</v>
      </c>
      <c r="G41" s="9">
        <v>7.508331E-3</v>
      </c>
      <c r="H41" s="97"/>
    </row>
    <row r="42" spans="1:8" x14ac:dyDescent="0.2">
      <c r="A42" s="5">
        <v>36</v>
      </c>
      <c r="B42" s="6" t="s">
        <v>893</v>
      </c>
      <c r="C42" s="6" t="s">
        <v>894</v>
      </c>
      <c r="D42" s="6" t="s">
        <v>1187</v>
      </c>
      <c r="E42" s="7">
        <v>550000</v>
      </c>
      <c r="F42" s="8">
        <v>907.77499999999998</v>
      </c>
      <c r="G42" s="9">
        <v>7.4426179999999998E-3</v>
      </c>
      <c r="H42" s="97"/>
    </row>
    <row r="43" spans="1:8" x14ac:dyDescent="0.2">
      <c r="A43" s="5">
        <v>37</v>
      </c>
      <c r="B43" s="6" t="s">
        <v>458</v>
      </c>
      <c r="C43" s="6" t="s">
        <v>459</v>
      </c>
      <c r="D43" s="6" t="s">
        <v>327</v>
      </c>
      <c r="E43" s="7">
        <v>18612</v>
      </c>
      <c r="F43" s="8">
        <v>391.14048600000001</v>
      </c>
      <c r="G43" s="9">
        <v>3.206862E-3</v>
      </c>
      <c r="H43" s="97"/>
    </row>
    <row r="44" spans="1:8" x14ac:dyDescent="0.2">
      <c r="A44" s="5">
        <v>38</v>
      </c>
      <c r="B44" s="6" t="s">
        <v>470</v>
      </c>
      <c r="C44" s="6" t="s">
        <v>471</v>
      </c>
      <c r="D44" s="6" t="s">
        <v>327</v>
      </c>
      <c r="E44" s="7">
        <v>3974</v>
      </c>
      <c r="F44" s="8">
        <v>185.64342300000001</v>
      </c>
      <c r="G44" s="9">
        <v>1.522044E-3</v>
      </c>
      <c r="H44" s="97"/>
    </row>
    <row r="45" spans="1:8" x14ac:dyDescent="0.2">
      <c r="A45" s="5">
        <v>39</v>
      </c>
      <c r="B45" s="6" t="s">
        <v>282</v>
      </c>
      <c r="C45" s="6" t="s">
        <v>283</v>
      </c>
      <c r="D45" s="6" t="s">
        <v>284</v>
      </c>
      <c r="E45" s="7">
        <v>50000</v>
      </c>
      <c r="F45" s="8">
        <v>125.72499999999999</v>
      </c>
      <c r="G45" s="9">
        <v>1.0307879999999999E-3</v>
      </c>
      <c r="H45" s="97"/>
    </row>
    <row r="46" spans="1:8" x14ac:dyDescent="0.2">
      <c r="A46" s="3"/>
      <c r="B46" s="3"/>
      <c r="C46" s="4" t="s">
        <v>97</v>
      </c>
      <c r="D46" s="3"/>
      <c r="E46" s="3" t="s">
        <v>98</v>
      </c>
      <c r="F46" s="11">
        <v>119929.9426065</v>
      </c>
      <c r="G46" s="12">
        <v>0.98327530100000005</v>
      </c>
      <c r="H46" s="97"/>
    </row>
    <row r="47" spans="1:8" x14ac:dyDescent="0.2">
      <c r="A47" s="3"/>
      <c r="B47" s="3"/>
      <c r="C47" s="13"/>
      <c r="D47" s="3"/>
      <c r="E47" s="3"/>
      <c r="F47" s="14"/>
      <c r="G47" s="14"/>
      <c r="H47" s="97"/>
    </row>
    <row r="48" spans="1:8" x14ac:dyDescent="0.2">
      <c r="A48" s="3"/>
      <c r="B48" s="3"/>
      <c r="C48" s="4" t="s">
        <v>99</v>
      </c>
      <c r="D48" s="3"/>
      <c r="E48" s="3"/>
      <c r="F48" s="3"/>
      <c r="G48" s="3"/>
      <c r="H48" s="97"/>
    </row>
    <row r="49" spans="1:8" x14ac:dyDescent="0.2">
      <c r="A49" s="3"/>
      <c r="B49" s="3"/>
      <c r="C49" s="4" t="s">
        <v>97</v>
      </c>
      <c r="D49" s="3"/>
      <c r="E49" s="3" t="s">
        <v>98</v>
      </c>
      <c r="F49" s="15">
        <v>0</v>
      </c>
      <c r="G49" s="16">
        <v>0</v>
      </c>
      <c r="H49" s="97"/>
    </row>
    <row r="50" spans="1:8" x14ac:dyDescent="0.2">
      <c r="A50" s="3"/>
      <c r="B50" s="3"/>
      <c r="C50" s="13"/>
      <c r="D50" s="3"/>
      <c r="E50" s="3"/>
      <c r="F50" s="14"/>
      <c r="G50" s="14"/>
      <c r="H50" s="97"/>
    </row>
    <row r="51" spans="1:8" x14ac:dyDescent="0.2">
      <c r="A51" s="3"/>
      <c r="B51" s="3"/>
      <c r="C51" s="4" t="s">
        <v>100</v>
      </c>
      <c r="D51" s="3"/>
      <c r="E51" s="3"/>
      <c r="F51" s="3"/>
      <c r="G51" s="3"/>
      <c r="H51" s="97"/>
    </row>
    <row r="52" spans="1:8" x14ac:dyDescent="0.2">
      <c r="A52" s="3"/>
      <c r="B52" s="3"/>
      <c r="C52" s="4" t="s">
        <v>97</v>
      </c>
      <c r="D52" s="3"/>
      <c r="E52" s="3" t="s">
        <v>98</v>
      </c>
      <c r="F52" s="15">
        <v>0</v>
      </c>
      <c r="G52" s="16">
        <v>0</v>
      </c>
      <c r="H52" s="97"/>
    </row>
    <row r="53" spans="1:8" x14ac:dyDescent="0.2">
      <c r="A53" s="3"/>
      <c r="B53" s="3"/>
      <c r="C53" s="13"/>
      <c r="D53" s="3"/>
      <c r="E53" s="3"/>
      <c r="F53" s="14"/>
      <c r="G53" s="14"/>
      <c r="H53" s="97"/>
    </row>
    <row r="54" spans="1:8" x14ac:dyDescent="0.2">
      <c r="A54" s="3"/>
      <c r="B54" s="3"/>
      <c r="C54" s="4" t="s">
        <v>101</v>
      </c>
      <c r="D54" s="3"/>
      <c r="E54" s="3"/>
      <c r="F54" s="3"/>
      <c r="G54" s="3"/>
      <c r="H54" s="97"/>
    </row>
    <row r="55" spans="1:8" x14ac:dyDescent="0.2">
      <c r="A55" s="3"/>
      <c r="B55" s="3"/>
      <c r="C55" s="4" t="s">
        <v>97</v>
      </c>
      <c r="D55" s="3"/>
      <c r="E55" s="3" t="s">
        <v>98</v>
      </c>
      <c r="F55" s="15">
        <v>0</v>
      </c>
      <c r="G55" s="16">
        <v>0</v>
      </c>
      <c r="H55" s="97"/>
    </row>
    <row r="56" spans="1:8" x14ac:dyDescent="0.2">
      <c r="A56" s="3"/>
      <c r="B56" s="3"/>
      <c r="C56" s="13"/>
      <c r="D56" s="3"/>
      <c r="E56" s="3"/>
      <c r="F56" s="14"/>
      <c r="G56" s="14"/>
      <c r="H56" s="97"/>
    </row>
    <row r="57" spans="1:8" x14ac:dyDescent="0.2">
      <c r="A57" s="3"/>
      <c r="B57" s="3"/>
      <c r="C57" s="4" t="s">
        <v>102</v>
      </c>
      <c r="D57" s="3"/>
      <c r="E57" s="3"/>
      <c r="F57" s="14"/>
      <c r="G57" s="14"/>
      <c r="H57" s="97"/>
    </row>
    <row r="58" spans="1:8" x14ac:dyDescent="0.2">
      <c r="A58" s="3"/>
      <c r="B58" s="3"/>
      <c r="C58" s="4" t="s">
        <v>97</v>
      </c>
      <c r="D58" s="3"/>
      <c r="E58" s="3" t="s">
        <v>98</v>
      </c>
      <c r="F58" s="15">
        <v>0</v>
      </c>
      <c r="G58" s="16">
        <v>0</v>
      </c>
      <c r="H58" s="97"/>
    </row>
    <row r="59" spans="1:8" x14ac:dyDescent="0.2">
      <c r="A59" s="3"/>
      <c r="B59" s="3"/>
      <c r="C59" s="13"/>
      <c r="D59" s="3"/>
      <c r="E59" s="3"/>
      <c r="F59" s="14"/>
      <c r="G59" s="14"/>
      <c r="H59" s="97"/>
    </row>
    <row r="60" spans="1:8" x14ac:dyDescent="0.2">
      <c r="A60" s="3"/>
      <c r="B60" s="3"/>
      <c r="C60" s="4" t="s">
        <v>103</v>
      </c>
      <c r="D60" s="3"/>
      <c r="E60" s="3"/>
      <c r="F60" s="14"/>
      <c r="G60" s="14"/>
      <c r="H60" s="97"/>
    </row>
    <row r="61" spans="1:8" x14ac:dyDescent="0.2">
      <c r="A61" s="3"/>
      <c r="B61" s="3"/>
      <c r="C61" s="4" t="s">
        <v>97</v>
      </c>
      <c r="D61" s="3"/>
      <c r="E61" s="3" t="s">
        <v>98</v>
      </c>
      <c r="F61" s="15">
        <v>0</v>
      </c>
      <c r="G61" s="16">
        <v>0</v>
      </c>
      <c r="H61" s="97"/>
    </row>
    <row r="62" spans="1:8" x14ac:dyDescent="0.2">
      <c r="A62" s="3"/>
      <c r="B62" s="3"/>
      <c r="C62" s="13"/>
      <c r="D62" s="3"/>
      <c r="E62" s="3"/>
      <c r="F62" s="14"/>
      <c r="G62" s="14"/>
      <c r="H62" s="97"/>
    </row>
    <row r="63" spans="1:8" x14ac:dyDescent="0.2">
      <c r="A63" s="3"/>
      <c r="B63" s="3"/>
      <c r="C63" s="4" t="s">
        <v>104</v>
      </c>
      <c r="D63" s="3"/>
      <c r="E63" s="3"/>
      <c r="F63" s="11">
        <v>119929.9426065</v>
      </c>
      <c r="G63" s="12">
        <v>0.98327530100000005</v>
      </c>
      <c r="H63" s="97"/>
    </row>
    <row r="64" spans="1:8" x14ac:dyDescent="0.2">
      <c r="A64" s="3"/>
      <c r="B64" s="3"/>
      <c r="C64" s="13"/>
      <c r="D64" s="3"/>
      <c r="E64" s="3"/>
      <c r="F64" s="14"/>
      <c r="G64" s="14"/>
      <c r="H64" s="97"/>
    </row>
    <row r="65" spans="1:8" x14ac:dyDescent="0.2">
      <c r="A65" s="3"/>
      <c r="B65" s="3"/>
      <c r="C65" s="4" t="s">
        <v>105</v>
      </c>
      <c r="D65" s="3"/>
      <c r="E65" s="3"/>
      <c r="F65" s="14"/>
      <c r="G65" s="14"/>
      <c r="H65" s="97"/>
    </row>
    <row r="66" spans="1:8" ht="25.5" x14ac:dyDescent="0.2">
      <c r="A66" s="3"/>
      <c r="B66" s="3"/>
      <c r="C66" s="4" t="s">
        <v>10</v>
      </c>
      <c r="D66" s="3"/>
      <c r="E66" s="3"/>
      <c r="F66" s="14"/>
      <c r="G66" s="14"/>
      <c r="H66" s="97"/>
    </row>
    <row r="67" spans="1:8" x14ac:dyDescent="0.2">
      <c r="A67" s="3"/>
      <c r="B67" s="3"/>
      <c r="C67" s="4" t="s">
        <v>97</v>
      </c>
      <c r="D67" s="3"/>
      <c r="E67" s="3" t="s">
        <v>98</v>
      </c>
      <c r="F67" s="15">
        <v>0</v>
      </c>
      <c r="G67" s="16">
        <v>0</v>
      </c>
      <c r="H67" s="97"/>
    </row>
    <row r="68" spans="1:8" x14ac:dyDescent="0.2">
      <c r="A68" s="3"/>
      <c r="B68" s="3"/>
      <c r="C68" s="13"/>
      <c r="D68" s="3"/>
      <c r="E68" s="3"/>
      <c r="F68" s="14"/>
      <c r="G68" s="14"/>
      <c r="H68" s="97"/>
    </row>
    <row r="69" spans="1:8" x14ac:dyDescent="0.2">
      <c r="A69" s="3"/>
      <c r="B69" s="3"/>
      <c r="C69" s="4" t="s">
        <v>106</v>
      </c>
      <c r="D69" s="3"/>
      <c r="E69" s="3"/>
      <c r="F69" s="3"/>
      <c r="G69" s="3"/>
      <c r="H69" s="97"/>
    </row>
    <row r="70" spans="1:8" x14ac:dyDescent="0.2">
      <c r="A70" s="3"/>
      <c r="B70" s="3"/>
      <c r="C70" s="4" t="s">
        <v>97</v>
      </c>
      <c r="D70" s="3"/>
      <c r="E70" s="3" t="s">
        <v>98</v>
      </c>
      <c r="F70" s="15">
        <v>0</v>
      </c>
      <c r="G70" s="16">
        <v>0</v>
      </c>
      <c r="H70" s="97"/>
    </row>
    <row r="71" spans="1:8" x14ac:dyDescent="0.2">
      <c r="A71" s="3"/>
      <c r="B71" s="3"/>
      <c r="C71" s="13"/>
      <c r="D71" s="3"/>
      <c r="E71" s="3"/>
      <c r="F71" s="14"/>
      <c r="G71" s="14"/>
      <c r="H71" s="97"/>
    </row>
    <row r="72" spans="1:8" x14ac:dyDescent="0.2">
      <c r="A72" s="3"/>
      <c r="B72" s="3"/>
      <c r="C72" s="4" t="s">
        <v>107</v>
      </c>
      <c r="D72" s="3"/>
      <c r="E72" s="3"/>
      <c r="F72" s="3"/>
      <c r="G72" s="3"/>
      <c r="H72" s="97"/>
    </row>
    <row r="73" spans="1:8" x14ac:dyDescent="0.2">
      <c r="A73" s="3"/>
      <c r="B73" s="3"/>
      <c r="C73" s="4" t="s">
        <v>97</v>
      </c>
      <c r="D73" s="3"/>
      <c r="E73" s="3" t="s">
        <v>98</v>
      </c>
      <c r="F73" s="15">
        <v>0</v>
      </c>
      <c r="G73" s="16">
        <v>0</v>
      </c>
      <c r="H73" s="97"/>
    </row>
    <row r="74" spans="1:8" x14ac:dyDescent="0.2">
      <c r="A74" s="3"/>
      <c r="B74" s="3"/>
      <c r="C74" s="13"/>
      <c r="D74" s="3"/>
      <c r="E74" s="3"/>
      <c r="F74" s="14"/>
      <c r="G74" s="14"/>
      <c r="H74" s="97"/>
    </row>
    <row r="75" spans="1:8" x14ac:dyDescent="0.2">
      <c r="A75" s="3"/>
      <c r="B75" s="3"/>
      <c r="C75" s="4" t="s">
        <v>108</v>
      </c>
      <c r="D75" s="3"/>
      <c r="E75" s="3"/>
      <c r="F75" s="14"/>
      <c r="G75" s="14"/>
      <c r="H75" s="97"/>
    </row>
    <row r="76" spans="1:8" x14ac:dyDescent="0.2">
      <c r="A76" s="3"/>
      <c r="B76" s="3"/>
      <c r="C76" s="4" t="s">
        <v>97</v>
      </c>
      <c r="D76" s="3"/>
      <c r="E76" s="3" t="s">
        <v>98</v>
      </c>
      <c r="F76" s="15">
        <v>0</v>
      </c>
      <c r="G76" s="16">
        <v>0</v>
      </c>
      <c r="H76" s="97"/>
    </row>
    <row r="77" spans="1:8" x14ac:dyDescent="0.2">
      <c r="A77" s="3"/>
      <c r="B77" s="3"/>
      <c r="C77" s="13"/>
      <c r="D77" s="3"/>
      <c r="E77" s="3"/>
      <c r="F77" s="14"/>
      <c r="G77" s="14"/>
      <c r="H77" s="97"/>
    </row>
    <row r="78" spans="1:8" x14ac:dyDescent="0.2">
      <c r="A78" s="3"/>
      <c r="B78" s="3"/>
      <c r="C78" s="4" t="s">
        <v>109</v>
      </c>
      <c r="D78" s="3"/>
      <c r="E78" s="3"/>
      <c r="F78" s="11">
        <v>0</v>
      </c>
      <c r="G78" s="12">
        <v>0</v>
      </c>
      <c r="H78" s="97"/>
    </row>
    <row r="79" spans="1:8" x14ac:dyDescent="0.2">
      <c r="A79" s="3"/>
      <c r="B79" s="3"/>
      <c r="C79" s="13"/>
      <c r="D79" s="3"/>
      <c r="E79" s="3"/>
      <c r="F79" s="14"/>
      <c r="G79" s="14"/>
      <c r="H79" s="97"/>
    </row>
    <row r="80" spans="1:8" x14ac:dyDescent="0.2">
      <c r="A80" s="3"/>
      <c r="B80" s="3"/>
      <c r="C80" s="4" t="s">
        <v>110</v>
      </c>
      <c r="D80" s="3"/>
      <c r="E80" s="3"/>
      <c r="F80" s="14"/>
      <c r="G80" s="14"/>
      <c r="H80" s="97"/>
    </row>
    <row r="81" spans="1:8" x14ac:dyDescent="0.2">
      <c r="A81" s="3"/>
      <c r="B81" s="3"/>
      <c r="C81" s="4" t="s">
        <v>111</v>
      </c>
      <c r="D81" s="3"/>
      <c r="E81" s="3"/>
      <c r="F81" s="14"/>
      <c r="G81" s="14"/>
      <c r="H81" s="97"/>
    </row>
    <row r="82" spans="1:8" x14ac:dyDescent="0.2">
      <c r="A82" s="3"/>
      <c r="B82" s="3"/>
      <c r="C82" s="4" t="s">
        <v>97</v>
      </c>
      <c r="D82" s="3"/>
      <c r="E82" s="3" t="s">
        <v>98</v>
      </c>
      <c r="F82" s="15">
        <v>0</v>
      </c>
      <c r="G82" s="16">
        <v>0</v>
      </c>
      <c r="H82" s="97"/>
    </row>
    <row r="83" spans="1:8" x14ac:dyDescent="0.2">
      <c r="A83" s="3"/>
      <c r="B83" s="3"/>
      <c r="C83" s="13"/>
      <c r="D83" s="3"/>
      <c r="E83" s="3"/>
      <c r="F83" s="14"/>
      <c r="G83" s="14"/>
      <c r="H83" s="97"/>
    </row>
    <row r="84" spans="1:8" x14ac:dyDescent="0.2">
      <c r="A84" s="3"/>
      <c r="B84" s="3"/>
      <c r="C84" s="4" t="s">
        <v>112</v>
      </c>
      <c r="D84" s="3"/>
      <c r="E84" s="3"/>
      <c r="F84" s="14"/>
      <c r="G84" s="14"/>
      <c r="H84" s="97"/>
    </row>
    <row r="85" spans="1:8" x14ac:dyDescent="0.2">
      <c r="A85" s="3"/>
      <c r="B85" s="3"/>
      <c r="C85" s="4" t="s">
        <v>97</v>
      </c>
      <c r="D85" s="3"/>
      <c r="E85" s="3" t="s">
        <v>98</v>
      </c>
      <c r="F85" s="15">
        <v>0</v>
      </c>
      <c r="G85" s="16">
        <v>0</v>
      </c>
      <c r="H85" s="97"/>
    </row>
    <row r="86" spans="1:8" x14ac:dyDescent="0.2">
      <c r="A86" s="3"/>
      <c r="B86" s="3"/>
      <c r="C86" s="13"/>
      <c r="D86" s="3"/>
      <c r="E86" s="3"/>
      <c r="F86" s="14"/>
      <c r="G86" s="14"/>
      <c r="H86" s="97"/>
    </row>
    <row r="87" spans="1:8" x14ac:dyDescent="0.2">
      <c r="A87" s="3"/>
      <c r="B87" s="3"/>
      <c r="C87" s="4" t="s">
        <v>113</v>
      </c>
      <c r="D87" s="3"/>
      <c r="E87" s="3"/>
      <c r="F87" s="14"/>
      <c r="G87" s="14"/>
      <c r="H87" s="97"/>
    </row>
    <row r="88" spans="1:8" x14ac:dyDescent="0.2">
      <c r="A88" s="3"/>
      <c r="B88" s="3"/>
      <c r="C88" s="4" t="s">
        <v>97</v>
      </c>
      <c r="D88" s="3"/>
      <c r="E88" s="3" t="s">
        <v>98</v>
      </c>
      <c r="F88" s="15">
        <v>0</v>
      </c>
      <c r="G88" s="16">
        <v>0</v>
      </c>
      <c r="H88" s="97"/>
    </row>
    <row r="89" spans="1:8" x14ac:dyDescent="0.2">
      <c r="A89" s="3"/>
      <c r="B89" s="3"/>
      <c r="C89" s="13"/>
      <c r="D89" s="3"/>
      <c r="E89" s="3"/>
      <c r="F89" s="14"/>
      <c r="G89" s="14"/>
      <c r="H89" s="97"/>
    </row>
    <row r="90" spans="1:8" x14ac:dyDescent="0.2">
      <c r="A90" s="3"/>
      <c r="B90" s="3"/>
      <c r="C90" s="4" t="s">
        <v>114</v>
      </c>
      <c r="D90" s="3"/>
      <c r="E90" s="3"/>
      <c r="F90" s="14"/>
      <c r="G90" s="14"/>
      <c r="H90" s="97"/>
    </row>
    <row r="91" spans="1:8" x14ac:dyDescent="0.2">
      <c r="A91" s="5">
        <v>1</v>
      </c>
      <c r="B91" s="6"/>
      <c r="C91" s="6" t="s">
        <v>115</v>
      </c>
      <c r="D91" s="6"/>
      <c r="E91" s="10"/>
      <c r="F91" s="8">
        <v>756.44406890000005</v>
      </c>
      <c r="G91" s="9">
        <v>6.2018940000000003E-3</v>
      </c>
      <c r="H91" s="8">
        <v>3.4504560529072292</v>
      </c>
    </row>
    <row r="92" spans="1:8" x14ac:dyDescent="0.2">
      <c r="A92" s="5">
        <v>2</v>
      </c>
      <c r="B92" s="6"/>
      <c r="C92" s="6" t="s">
        <v>116</v>
      </c>
      <c r="D92" s="6"/>
      <c r="E92" s="10"/>
      <c r="F92" s="8">
        <v>408.25850889999998</v>
      </c>
      <c r="G92" s="9">
        <v>3.347208E-3</v>
      </c>
      <c r="H92" s="8">
        <v>3.5655822479098256</v>
      </c>
    </row>
    <row r="93" spans="1:8" x14ac:dyDescent="0.2">
      <c r="A93" s="3"/>
      <c r="B93" s="3"/>
      <c r="C93" s="4" t="s">
        <v>97</v>
      </c>
      <c r="D93" s="3"/>
      <c r="E93" s="3" t="s">
        <v>98</v>
      </c>
      <c r="F93" s="11">
        <v>1164.7025778</v>
      </c>
      <c r="G93" s="12">
        <v>9.5491020000000003E-3</v>
      </c>
      <c r="H93" s="97"/>
    </row>
    <row r="94" spans="1:8" x14ac:dyDescent="0.2">
      <c r="A94" s="3"/>
      <c r="B94" s="3"/>
      <c r="C94" s="13"/>
      <c r="D94" s="3"/>
      <c r="E94" s="3"/>
      <c r="F94" s="14"/>
      <c r="G94" s="14"/>
      <c r="H94" s="97"/>
    </row>
    <row r="95" spans="1:8" x14ac:dyDescent="0.2">
      <c r="A95" s="3"/>
      <c r="B95" s="3"/>
      <c r="C95" s="4" t="s">
        <v>117</v>
      </c>
      <c r="D95" s="3"/>
      <c r="E95" s="3"/>
      <c r="F95" s="11">
        <v>1164.7025778</v>
      </c>
      <c r="G95" s="12">
        <v>9.5491020000000003E-3</v>
      </c>
      <c r="H95" s="97"/>
    </row>
    <row r="96" spans="1:8" x14ac:dyDescent="0.2">
      <c r="A96" s="3"/>
      <c r="B96" s="3"/>
      <c r="C96" s="14"/>
      <c r="D96" s="3"/>
      <c r="E96" s="3"/>
      <c r="F96" s="3"/>
      <c r="G96" s="3"/>
      <c r="H96" s="97"/>
    </row>
    <row r="97" spans="1:8" x14ac:dyDescent="0.2">
      <c r="A97" s="3"/>
      <c r="B97" s="3"/>
      <c r="C97" s="4" t="s">
        <v>118</v>
      </c>
      <c r="D97" s="3"/>
      <c r="E97" s="3"/>
      <c r="F97" s="3"/>
      <c r="G97" s="3"/>
      <c r="H97" s="97"/>
    </row>
    <row r="98" spans="1:8" x14ac:dyDescent="0.2">
      <c r="A98" s="3"/>
      <c r="B98" s="3"/>
      <c r="C98" s="4" t="s">
        <v>119</v>
      </c>
      <c r="D98" s="3"/>
      <c r="E98" s="3"/>
      <c r="F98" s="3"/>
      <c r="G98" s="3"/>
      <c r="H98" s="97"/>
    </row>
    <row r="99" spans="1:8" x14ac:dyDescent="0.2">
      <c r="A99" s="3"/>
      <c r="B99" s="3"/>
      <c r="C99" s="4" t="s">
        <v>97</v>
      </c>
      <c r="D99" s="3"/>
      <c r="E99" s="3" t="s">
        <v>98</v>
      </c>
      <c r="F99" s="15">
        <v>0</v>
      </c>
      <c r="G99" s="16">
        <v>0</v>
      </c>
      <c r="H99" s="97"/>
    </row>
    <row r="100" spans="1:8" x14ac:dyDescent="0.2">
      <c r="A100" s="3"/>
      <c r="B100" s="3"/>
      <c r="C100" s="13"/>
      <c r="D100" s="3"/>
      <c r="E100" s="3"/>
      <c r="F100" s="14"/>
      <c r="G100" s="14"/>
      <c r="H100" s="97"/>
    </row>
    <row r="101" spans="1:8" x14ac:dyDescent="0.2">
      <c r="A101" s="3"/>
      <c r="B101" s="3"/>
      <c r="C101" s="4" t="s">
        <v>120</v>
      </c>
      <c r="D101" s="3"/>
      <c r="E101" s="3"/>
      <c r="F101" s="3"/>
      <c r="G101" s="3"/>
      <c r="H101" s="97"/>
    </row>
    <row r="102" spans="1:8" x14ac:dyDescent="0.2">
      <c r="A102" s="3"/>
      <c r="B102" s="3"/>
      <c r="C102" s="4" t="s">
        <v>121</v>
      </c>
      <c r="D102" s="3"/>
      <c r="E102" s="3"/>
      <c r="F102" s="3"/>
      <c r="G102" s="3"/>
      <c r="H102" s="97"/>
    </row>
    <row r="103" spans="1:8" x14ac:dyDescent="0.2">
      <c r="A103" s="3"/>
      <c r="B103" s="3"/>
      <c r="C103" s="4" t="s">
        <v>97</v>
      </c>
      <c r="D103" s="3"/>
      <c r="E103" s="3" t="s">
        <v>98</v>
      </c>
      <c r="F103" s="15">
        <v>0</v>
      </c>
      <c r="G103" s="16">
        <v>0</v>
      </c>
      <c r="H103" s="97"/>
    </row>
    <row r="104" spans="1:8" x14ac:dyDescent="0.2">
      <c r="A104" s="3"/>
      <c r="B104" s="3"/>
      <c r="C104" s="13"/>
      <c r="D104" s="3"/>
      <c r="E104" s="3"/>
      <c r="F104" s="14"/>
      <c r="G104" s="14"/>
      <c r="H104" s="97"/>
    </row>
    <row r="105" spans="1:8" x14ac:dyDescent="0.2">
      <c r="A105" s="3"/>
      <c r="B105" s="3"/>
      <c r="C105" s="13"/>
      <c r="D105" s="3"/>
      <c r="E105" s="3"/>
      <c r="F105" s="14"/>
      <c r="G105" s="14"/>
      <c r="H105" s="97"/>
    </row>
    <row r="106" spans="1:8" ht="25.5" x14ac:dyDescent="0.2">
      <c r="A106" s="3"/>
      <c r="B106" s="3"/>
      <c r="C106" s="4" t="s">
        <v>122</v>
      </c>
      <c r="D106" s="3"/>
      <c r="E106" s="3"/>
      <c r="F106" s="14"/>
      <c r="G106" s="14"/>
      <c r="H106" s="97"/>
    </row>
    <row r="107" spans="1:8" x14ac:dyDescent="0.2">
      <c r="A107" s="3"/>
      <c r="B107" s="3"/>
      <c r="C107" s="4" t="s">
        <v>97</v>
      </c>
      <c r="D107" s="3"/>
      <c r="E107" s="3" t="s">
        <v>98</v>
      </c>
      <c r="F107" s="15">
        <v>0</v>
      </c>
      <c r="G107" s="16">
        <v>0</v>
      </c>
      <c r="H107" s="97"/>
    </row>
    <row r="108" spans="1:8" x14ac:dyDescent="0.2">
      <c r="A108" s="3"/>
      <c r="B108" s="3"/>
      <c r="C108" s="13"/>
      <c r="D108" s="3"/>
      <c r="E108" s="3"/>
      <c r="F108" s="14"/>
      <c r="G108" s="14"/>
      <c r="H108" s="97"/>
    </row>
    <row r="109" spans="1:8" x14ac:dyDescent="0.2">
      <c r="A109" s="3"/>
      <c r="B109" s="6"/>
      <c r="C109" s="6"/>
      <c r="D109" s="4"/>
      <c r="E109" s="3"/>
      <c r="F109" s="6"/>
      <c r="G109" s="10"/>
      <c r="H109" s="97"/>
    </row>
    <row r="110" spans="1:8" x14ac:dyDescent="0.2">
      <c r="A110" s="10"/>
      <c r="B110" s="6"/>
      <c r="C110" s="6" t="s">
        <v>123</v>
      </c>
      <c r="D110" s="6"/>
      <c r="E110" s="10"/>
      <c r="F110" s="8">
        <v>875.20704180999996</v>
      </c>
      <c r="G110" s="9">
        <v>7.1756010000000002E-3</v>
      </c>
      <c r="H110" s="97"/>
    </row>
    <row r="111" spans="1:8" x14ac:dyDescent="0.2">
      <c r="A111" s="13"/>
      <c r="B111" s="13"/>
      <c r="C111" s="4" t="s">
        <v>124</v>
      </c>
      <c r="D111" s="17"/>
      <c r="E111" s="17"/>
      <c r="F111" s="11">
        <v>121969.85222611</v>
      </c>
      <c r="G111" s="12">
        <v>1.0000000040000001</v>
      </c>
      <c r="H111" s="97"/>
    </row>
    <row r="112" spans="1:8" ht="14.1" customHeight="1" x14ac:dyDescent="0.2">
      <c r="A112" s="20"/>
      <c r="B112" s="226" t="s">
        <v>98</v>
      </c>
      <c r="C112" s="226"/>
      <c r="D112" s="226"/>
      <c r="E112" s="226"/>
      <c r="F112" s="226"/>
      <c r="G112" s="22"/>
    </row>
    <row r="113" spans="1:17" ht="14.1" customHeight="1" x14ac:dyDescent="0.2">
      <c r="A113" s="20"/>
      <c r="B113" s="20"/>
      <c r="C113" s="20"/>
      <c r="D113" s="22"/>
      <c r="E113" s="22"/>
      <c r="F113" s="22"/>
      <c r="G113" s="22"/>
    </row>
    <row r="114" spans="1:17" ht="14.1" customHeight="1" x14ac:dyDescent="0.2">
      <c r="A114" s="20"/>
      <c r="B114" s="224" t="s">
        <v>126</v>
      </c>
      <c r="C114" s="225"/>
      <c r="D114" s="14" t="s">
        <v>98</v>
      </c>
      <c r="E114" s="23"/>
      <c r="F114" s="22"/>
      <c r="G114" s="22"/>
    </row>
    <row r="115" spans="1:17" ht="29.1" customHeight="1" x14ac:dyDescent="0.2">
      <c r="A115" s="20"/>
      <c r="B115" s="231" t="s">
        <v>127</v>
      </c>
      <c r="C115" s="232"/>
      <c r="D115" s="4" t="s">
        <v>128</v>
      </c>
      <c r="E115" s="23"/>
      <c r="F115" s="22"/>
      <c r="G115" s="22"/>
    </row>
    <row r="116" spans="1:17" ht="17.100000000000001" customHeight="1" x14ac:dyDescent="0.2">
      <c r="A116" s="20"/>
      <c r="B116" s="231" t="s">
        <v>129</v>
      </c>
      <c r="C116" s="232"/>
      <c r="D116" s="4" t="s">
        <v>128</v>
      </c>
      <c r="E116" s="23"/>
      <c r="F116" s="22"/>
      <c r="G116" s="22"/>
    </row>
    <row r="117" spans="1:17" ht="17.100000000000001" customHeight="1" x14ac:dyDescent="0.2">
      <c r="A117" s="20"/>
      <c r="B117" s="231" t="s">
        <v>130</v>
      </c>
      <c r="C117" s="232"/>
      <c r="D117" s="14" t="s">
        <v>98</v>
      </c>
      <c r="E117" s="23"/>
      <c r="F117" s="22"/>
      <c r="G117" s="22"/>
    </row>
    <row r="118" spans="1:17" ht="24" customHeight="1" x14ac:dyDescent="0.2">
      <c r="A118" s="24"/>
      <c r="B118" s="25" t="s">
        <v>98</v>
      </c>
      <c r="C118" s="25" t="s">
        <v>131</v>
      </c>
      <c r="D118" s="25" t="s">
        <v>132</v>
      </c>
      <c r="E118" s="24"/>
      <c r="F118" s="24"/>
      <c r="G118" s="24"/>
    </row>
    <row r="119" spans="1:17" ht="18" customHeight="1" x14ac:dyDescent="0.2">
      <c r="A119" s="24"/>
      <c r="B119" s="25" t="s">
        <v>133</v>
      </c>
      <c r="C119" s="25" t="s">
        <v>134</v>
      </c>
      <c r="D119" s="25" t="s">
        <v>135</v>
      </c>
      <c r="E119" s="24"/>
      <c r="F119" s="24"/>
      <c r="G119" s="24"/>
    </row>
    <row r="120" spans="1:17" ht="17.100000000000001" customHeight="1" x14ac:dyDescent="0.2">
      <c r="A120" s="24"/>
      <c r="B120" s="6" t="s">
        <v>136</v>
      </c>
      <c r="C120" s="26">
        <v>60.206600000000002</v>
      </c>
      <c r="D120" s="26">
        <v>60.885399999999997</v>
      </c>
      <c r="E120" s="24"/>
      <c r="F120" s="21"/>
      <c r="G120" s="27"/>
    </row>
    <row r="121" spans="1:17" ht="17.100000000000001" customHeight="1" x14ac:dyDescent="0.2">
      <c r="A121" s="24"/>
      <c r="B121" s="6" t="s">
        <v>1201</v>
      </c>
      <c r="C121" s="26">
        <v>23.1892</v>
      </c>
      <c r="D121" s="26">
        <v>23.450700000000001</v>
      </c>
      <c r="E121" s="24"/>
      <c r="F121" s="21"/>
      <c r="G121" s="27"/>
    </row>
    <row r="122" spans="1:17" ht="17.100000000000001" customHeight="1" x14ac:dyDescent="0.2">
      <c r="A122" s="24"/>
      <c r="B122" s="6" t="s">
        <v>137</v>
      </c>
      <c r="C122" s="26">
        <v>56.723599999999998</v>
      </c>
      <c r="D122" s="26">
        <v>57.314900000000002</v>
      </c>
      <c r="E122" s="24"/>
      <c r="F122" s="21"/>
      <c r="G122" s="27"/>
    </row>
    <row r="123" spans="1:17" ht="17.100000000000001" customHeight="1" x14ac:dyDescent="0.2">
      <c r="A123" s="24"/>
      <c r="B123" s="6" t="s">
        <v>1202</v>
      </c>
      <c r="C123" s="26">
        <v>21.4878</v>
      </c>
      <c r="D123" s="26">
        <v>21.7118</v>
      </c>
      <c r="E123" s="24"/>
      <c r="F123" s="21"/>
      <c r="G123" s="27"/>
    </row>
    <row r="124" spans="1:17" ht="14.1" customHeight="1" x14ac:dyDescent="0.2">
      <c r="A124" s="24"/>
      <c r="B124" s="24"/>
      <c r="C124" s="24"/>
      <c r="D124" s="24"/>
      <c r="E124" s="24"/>
      <c r="F124" s="24"/>
      <c r="G124" s="24"/>
    </row>
    <row r="125" spans="1:17" ht="17.100000000000001" customHeight="1" x14ac:dyDescent="0.2">
      <c r="A125" s="24"/>
      <c r="B125" s="231" t="s">
        <v>1203</v>
      </c>
      <c r="C125" s="232"/>
      <c r="D125" s="4" t="s">
        <v>128</v>
      </c>
      <c r="E125" s="24"/>
      <c r="F125" s="24"/>
      <c r="G125" s="24"/>
    </row>
    <row r="126" spans="1:17" ht="18" customHeight="1" x14ac:dyDescent="0.2">
      <c r="A126" s="24"/>
      <c r="B126" s="28"/>
      <c r="C126" s="28"/>
      <c r="D126" s="29"/>
      <c r="E126" s="24"/>
      <c r="F126" s="24"/>
      <c r="G126" s="24"/>
      <c r="I126" s="87"/>
      <c r="J126" s="87"/>
      <c r="K126" s="87"/>
      <c r="L126" s="87"/>
      <c r="M126" s="87"/>
      <c r="N126" s="87"/>
      <c r="O126" s="87"/>
    </row>
    <row r="127" spans="1:17" s="87" customFormat="1" x14ac:dyDescent="0.2">
      <c r="B127" s="233" t="s">
        <v>1207</v>
      </c>
      <c r="C127" s="233"/>
      <c r="D127" s="233"/>
      <c r="E127" s="233"/>
      <c r="F127" s="233"/>
      <c r="I127"/>
      <c r="J127"/>
      <c r="K127"/>
      <c r="L127"/>
      <c r="M127"/>
      <c r="N127"/>
      <c r="O127"/>
      <c r="P127"/>
      <c r="Q127"/>
    </row>
    <row r="128" spans="1:17" ht="14.1" customHeight="1" x14ac:dyDescent="0.2">
      <c r="A128" s="24"/>
      <c r="B128" s="21"/>
      <c r="C128" s="21"/>
      <c r="D128" s="24"/>
      <c r="E128" s="24"/>
      <c r="F128" s="24"/>
      <c r="G128" s="24"/>
    </row>
    <row r="129" spans="1:17" ht="29.1" customHeight="1" x14ac:dyDescent="0.2">
      <c r="A129" s="24"/>
      <c r="B129" s="231" t="s">
        <v>138</v>
      </c>
      <c r="C129" s="232"/>
      <c r="D129" s="4" t="s">
        <v>128</v>
      </c>
      <c r="E129" s="24"/>
      <c r="F129" s="24"/>
      <c r="G129" s="24"/>
      <c r="P129" s="69"/>
      <c r="Q129" s="87"/>
    </row>
    <row r="130" spans="1:17" ht="29.1" customHeight="1" x14ac:dyDescent="0.2">
      <c r="A130" s="24"/>
      <c r="B130" s="231" t="s">
        <v>139</v>
      </c>
      <c r="C130" s="232"/>
      <c r="D130" s="4" t="s">
        <v>128</v>
      </c>
      <c r="E130" s="24"/>
      <c r="F130" s="24"/>
      <c r="G130" s="24"/>
    </row>
    <row r="131" spans="1:17" ht="17.100000000000001" customHeight="1" x14ac:dyDescent="0.2">
      <c r="A131" s="24"/>
      <c r="B131" s="231" t="s">
        <v>140</v>
      </c>
      <c r="C131" s="232"/>
      <c r="D131" s="30">
        <v>0.17521614754533288</v>
      </c>
      <c r="E131" s="24"/>
      <c r="F131" s="21"/>
      <c r="G131" s="27"/>
    </row>
    <row r="132" spans="1:17" ht="17.100000000000001" customHeight="1" x14ac:dyDescent="0.2">
      <c r="A132" s="24"/>
      <c r="B132" s="231" t="s">
        <v>141</v>
      </c>
      <c r="C132" s="232"/>
      <c r="D132" s="4" t="s">
        <v>128</v>
      </c>
      <c r="E132" s="24"/>
      <c r="F132" s="24"/>
      <c r="G132" s="24"/>
    </row>
  </sheetData>
  <mergeCells count="15">
    <mergeCell ref="B131:C131"/>
    <mergeCell ref="B132:C132"/>
    <mergeCell ref="B115:C115"/>
    <mergeCell ref="B116:C116"/>
    <mergeCell ref="B117:C117"/>
    <mergeCell ref="B125:C125"/>
    <mergeCell ref="B129:C129"/>
    <mergeCell ref="B130:C130"/>
    <mergeCell ref="B127:F127"/>
    <mergeCell ref="J2:N2"/>
    <mergeCell ref="B114:C114"/>
    <mergeCell ref="B112:F112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43">
    <outlinePr summaryBelow="0" summaryRight="0"/>
  </sheetPr>
  <dimension ref="A1:Q146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6" ht="15" x14ac:dyDescent="0.2">
      <c r="A1" s="227" t="s">
        <v>0</v>
      </c>
      <c r="B1" s="227"/>
      <c r="C1" s="227"/>
      <c r="D1" s="227"/>
      <c r="E1" s="227"/>
      <c r="F1" s="227"/>
      <c r="G1" s="227"/>
      <c r="H1" s="227"/>
    </row>
    <row r="2" spans="1:16" s="87" customFormat="1" ht="15" x14ac:dyDescent="0.2">
      <c r="A2" s="228" t="s">
        <v>895</v>
      </c>
      <c r="B2" s="229"/>
      <c r="C2" s="229"/>
      <c r="D2" s="229"/>
      <c r="E2" s="229"/>
      <c r="F2" s="229"/>
      <c r="G2" s="229"/>
      <c r="H2" s="230"/>
      <c r="I2"/>
      <c r="J2" s="223" t="s">
        <v>1238</v>
      </c>
      <c r="K2" s="223"/>
      <c r="L2" s="223"/>
      <c r="M2" s="223"/>
      <c r="N2" s="223"/>
      <c r="O2"/>
      <c r="P2"/>
    </row>
    <row r="3" spans="1:16" ht="15" x14ac:dyDescent="0.2">
      <c r="A3" s="227" t="s">
        <v>1208</v>
      </c>
      <c r="B3" s="227"/>
      <c r="C3" s="227"/>
      <c r="D3" s="227"/>
      <c r="E3" s="227"/>
      <c r="F3" s="227"/>
      <c r="G3" s="227"/>
      <c r="H3" s="227"/>
    </row>
    <row r="4" spans="1:16" s="113" customFormat="1" ht="30" x14ac:dyDescent="0.2">
      <c r="A4" s="1" t="s">
        <v>2</v>
      </c>
      <c r="B4" s="1" t="s">
        <v>3</v>
      </c>
      <c r="C4" s="1" t="s">
        <v>4</v>
      </c>
      <c r="D4" s="1" t="s">
        <v>5</v>
      </c>
      <c r="E4" s="2" t="s">
        <v>6</v>
      </c>
      <c r="F4" s="2" t="s">
        <v>7</v>
      </c>
      <c r="G4" s="2" t="s">
        <v>8</v>
      </c>
      <c r="H4" s="96" t="s">
        <v>1167</v>
      </c>
      <c r="I4" s="183"/>
      <c r="J4" s="183"/>
      <c r="K4" s="183"/>
      <c r="L4" s="183"/>
      <c r="M4" s="183"/>
      <c r="N4" s="183"/>
      <c r="O4" s="183"/>
      <c r="P4" s="183"/>
    </row>
    <row r="5" spans="1:16" ht="14.1" customHeight="1" x14ac:dyDescent="0.2">
      <c r="A5" s="3"/>
      <c r="B5" s="3"/>
      <c r="C5" s="4" t="s">
        <v>9</v>
      </c>
      <c r="D5" s="3"/>
      <c r="E5" s="3"/>
      <c r="F5" s="3"/>
      <c r="G5" s="3"/>
      <c r="H5" s="97"/>
    </row>
    <row r="6" spans="1:16" ht="24" customHeight="1" x14ac:dyDescent="0.2">
      <c r="A6" s="3"/>
      <c r="B6" s="3"/>
      <c r="C6" s="4" t="s">
        <v>10</v>
      </c>
      <c r="D6" s="3"/>
      <c r="E6" s="3"/>
      <c r="F6" s="3"/>
      <c r="G6" s="3"/>
      <c r="H6" s="97"/>
    </row>
    <row r="7" spans="1:16" x14ac:dyDescent="0.2">
      <c r="A7" s="5">
        <v>1</v>
      </c>
      <c r="B7" s="6" t="s">
        <v>23</v>
      </c>
      <c r="C7" s="6" t="s">
        <v>24</v>
      </c>
      <c r="D7" s="6" t="s">
        <v>25</v>
      </c>
      <c r="E7" s="7">
        <v>2018224</v>
      </c>
      <c r="F7" s="8">
        <v>14937.884936</v>
      </c>
      <c r="G7" s="9">
        <v>7.4651292999999994E-2</v>
      </c>
      <c r="H7" s="97"/>
    </row>
    <row r="8" spans="1:16" x14ac:dyDescent="0.2">
      <c r="A8" s="5">
        <v>2</v>
      </c>
      <c r="B8" s="6" t="s">
        <v>301</v>
      </c>
      <c r="C8" s="6" t="s">
        <v>302</v>
      </c>
      <c r="D8" s="6" t="s">
        <v>147</v>
      </c>
      <c r="E8" s="7">
        <v>279273</v>
      </c>
      <c r="F8" s="8">
        <v>13349.249400000001</v>
      </c>
      <c r="G8" s="9">
        <v>6.6712171000000001E-2</v>
      </c>
      <c r="H8" s="97"/>
    </row>
    <row r="9" spans="1:16" x14ac:dyDescent="0.2">
      <c r="A9" s="5">
        <v>3</v>
      </c>
      <c r="B9" s="6" t="s">
        <v>411</v>
      </c>
      <c r="C9" s="6" t="s">
        <v>412</v>
      </c>
      <c r="D9" s="6" t="s">
        <v>25</v>
      </c>
      <c r="E9" s="7">
        <v>870509</v>
      </c>
      <c r="F9" s="8">
        <v>12878.310146</v>
      </c>
      <c r="G9" s="9">
        <v>6.4358677000000003E-2</v>
      </c>
      <c r="H9" s="97"/>
    </row>
    <row r="10" spans="1:16" x14ac:dyDescent="0.2">
      <c r="A10" s="5">
        <v>4</v>
      </c>
      <c r="B10" s="6" t="s">
        <v>14</v>
      </c>
      <c r="C10" s="6" t="s">
        <v>15</v>
      </c>
      <c r="D10" s="6" t="s">
        <v>16</v>
      </c>
      <c r="E10" s="7">
        <v>412424</v>
      </c>
      <c r="F10" s="8">
        <v>9766.8189559999992</v>
      </c>
      <c r="G10" s="9">
        <v>4.8809163000000003E-2</v>
      </c>
      <c r="H10" s="97"/>
    </row>
    <row r="11" spans="1:16" x14ac:dyDescent="0.2">
      <c r="A11" s="5">
        <v>5</v>
      </c>
      <c r="B11" s="6" t="s">
        <v>20</v>
      </c>
      <c r="C11" s="6" t="s">
        <v>21</v>
      </c>
      <c r="D11" s="6" t="s">
        <v>22</v>
      </c>
      <c r="E11" s="7">
        <v>1404065</v>
      </c>
      <c r="F11" s="8">
        <v>9600.99647</v>
      </c>
      <c r="G11" s="9">
        <v>4.7980474000000002E-2</v>
      </c>
      <c r="H11" s="97"/>
    </row>
    <row r="12" spans="1:16" ht="25.5" x14ac:dyDescent="0.2">
      <c r="A12" s="5">
        <v>6</v>
      </c>
      <c r="B12" s="6" t="s">
        <v>413</v>
      </c>
      <c r="C12" s="6" t="s">
        <v>414</v>
      </c>
      <c r="D12" s="6" t="s">
        <v>81</v>
      </c>
      <c r="E12" s="7">
        <v>305220</v>
      </c>
      <c r="F12" s="8">
        <v>7894.3626899999999</v>
      </c>
      <c r="G12" s="9">
        <v>3.9451661999999998E-2</v>
      </c>
      <c r="H12" s="97"/>
    </row>
    <row r="13" spans="1:16" x14ac:dyDescent="0.2">
      <c r="A13" s="5">
        <v>7</v>
      </c>
      <c r="B13" s="6" t="s">
        <v>315</v>
      </c>
      <c r="C13" s="6" t="s">
        <v>316</v>
      </c>
      <c r="D13" s="6" t="s">
        <v>25</v>
      </c>
      <c r="E13" s="7">
        <v>785346</v>
      </c>
      <c r="F13" s="8">
        <v>5328.9652830000005</v>
      </c>
      <c r="G13" s="9">
        <v>2.6631222999999999E-2</v>
      </c>
      <c r="H13" s="97"/>
    </row>
    <row r="14" spans="1:16" x14ac:dyDescent="0.2">
      <c r="A14" s="5">
        <v>8</v>
      </c>
      <c r="B14" s="6" t="s">
        <v>303</v>
      </c>
      <c r="C14" s="6" t="s">
        <v>304</v>
      </c>
      <c r="D14" s="6" t="s">
        <v>174</v>
      </c>
      <c r="E14" s="7">
        <v>95620</v>
      </c>
      <c r="F14" s="8">
        <v>4793.8130799999999</v>
      </c>
      <c r="G14" s="9">
        <v>2.3956827999999999E-2</v>
      </c>
      <c r="H14" s="97"/>
    </row>
    <row r="15" spans="1:16" ht="15" x14ac:dyDescent="0.2">
      <c r="A15" s="5">
        <v>9</v>
      </c>
      <c r="B15" s="6" t="s">
        <v>357</v>
      </c>
      <c r="C15" s="6" t="s">
        <v>358</v>
      </c>
      <c r="D15" s="6" t="s">
        <v>48</v>
      </c>
      <c r="E15" s="7">
        <v>774290</v>
      </c>
      <c r="F15" s="8">
        <v>4758.399195</v>
      </c>
      <c r="G15" s="9">
        <v>2.3779848999999999E-2</v>
      </c>
      <c r="H15" s="97"/>
      <c r="J15" s="184" t="s">
        <v>1274</v>
      </c>
    </row>
    <row r="16" spans="1:16" x14ac:dyDescent="0.2">
      <c r="A16" s="5">
        <v>10</v>
      </c>
      <c r="B16" s="6" t="s">
        <v>203</v>
      </c>
      <c r="C16" s="6" t="s">
        <v>204</v>
      </c>
      <c r="D16" s="6" t="s">
        <v>81</v>
      </c>
      <c r="E16" s="7">
        <v>609563</v>
      </c>
      <c r="F16" s="8">
        <v>4719.2367459999996</v>
      </c>
      <c r="G16" s="9">
        <v>2.3584137000000002E-2</v>
      </c>
      <c r="H16" s="97"/>
    </row>
    <row r="17" spans="1:10" x14ac:dyDescent="0.2">
      <c r="A17" s="5">
        <v>11</v>
      </c>
      <c r="B17" s="6" t="s">
        <v>82</v>
      </c>
      <c r="C17" s="6" t="s">
        <v>83</v>
      </c>
      <c r="D17" s="6" t="s">
        <v>73</v>
      </c>
      <c r="E17" s="7">
        <v>974973</v>
      </c>
      <c r="F17" s="8">
        <v>4586.2729920000002</v>
      </c>
      <c r="G17" s="9">
        <v>2.2919657999999999E-2</v>
      </c>
      <c r="H17" s="97"/>
    </row>
    <row r="18" spans="1:10" x14ac:dyDescent="0.2">
      <c r="A18" s="5">
        <v>12</v>
      </c>
      <c r="B18" s="6" t="s">
        <v>440</v>
      </c>
      <c r="C18" s="6" t="s">
        <v>441</v>
      </c>
      <c r="D18" s="6" t="s">
        <v>25</v>
      </c>
      <c r="E18" s="7">
        <v>254049</v>
      </c>
      <c r="F18" s="8">
        <v>4562.9740890000003</v>
      </c>
      <c r="G18" s="9">
        <v>2.2803223000000001E-2</v>
      </c>
      <c r="H18" s="97"/>
    </row>
    <row r="19" spans="1:10" x14ac:dyDescent="0.2">
      <c r="A19" s="5">
        <v>13</v>
      </c>
      <c r="B19" s="6" t="s">
        <v>381</v>
      </c>
      <c r="C19" s="6" t="s">
        <v>382</v>
      </c>
      <c r="D19" s="6" t="s">
        <v>1183</v>
      </c>
      <c r="E19" s="7">
        <v>25000</v>
      </c>
      <c r="F19" s="8">
        <v>4101.55</v>
      </c>
      <c r="G19" s="9">
        <v>2.049728E-2</v>
      </c>
      <c r="H19" s="97"/>
    </row>
    <row r="20" spans="1:10" x14ac:dyDescent="0.2">
      <c r="A20" s="5">
        <v>14</v>
      </c>
      <c r="B20" s="6" t="s">
        <v>154</v>
      </c>
      <c r="C20" s="6" t="s">
        <v>155</v>
      </c>
      <c r="D20" s="6" t="s">
        <v>147</v>
      </c>
      <c r="E20" s="7">
        <v>360865</v>
      </c>
      <c r="F20" s="8">
        <v>4068.5724424999999</v>
      </c>
      <c r="G20" s="9">
        <v>2.0332477000000002E-2</v>
      </c>
      <c r="H20" s="97"/>
    </row>
    <row r="21" spans="1:10" x14ac:dyDescent="0.2">
      <c r="A21" s="5">
        <v>15</v>
      </c>
      <c r="B21" s="6" t="s">
        <v>205</v>
      </c>
      <c r="C21" s="6" t="s">
        <v>206</v>
      </c>
      <c r="D21" s="6" t="s">
        <v>1187</v>
      </c>
      <c r="E21" s="7">
        <v>667345</v>
      </c>
      <c r="F21" s="8">
        <v>3752.8146075</v>
      </c>
      <c r="G21" s="9">
        <v>1.8754493000000001E-2</v>
      </c>
      <c r="H21" s="97"/>
    </row>
    <row r="22" spans="1:10" x14ac:dyDescent="0.2">
      <c r="A22" s="5">
        <v>16</v>
      </c>
      <c r="B22" s="6" t="s">
        <v>556</v>
      </c>
      <c r="C22" s="6" t="s">
        <v>557</v>
      </c>
      <c r="D22" s="6" t="s">
        <v>48</v>
      </c>
      <c r="E22" s="7">
        <v>450000</v>
      </c>
      <c r="F22" s="8">
        <v>3359.9250000000002</v>
      </c>
      <c r="G22" s="9">
        <v>1.6791047999999999E-2</v>
      </c>
      <c r="H22" s="97"/>
    </row>
    <row r="23" spans="1:10" x14ac:dyDescent="0.2">
      <c r="A23" s="5">
        <v>17</v>
      </c>
      <c r="B23" s="6" t="s">
        <v>389</v>
      </c>
      <c r="C23" s="6" t="s">
        <v>390</v>
      </c>
      <c r="D23" s="6" t="s">
        <v>1186</v>
      </c>
      <c r="E23" s="7">
        <v>1010000</v>
      </c>
      <c r="F23" s="8">
        <v>3240.08</v>
      </c>
      <c r="G23" s="9">
        <v>1.6192129E-2</v>
      </c>
      <c r="H23" s="97"/>
    </row>
    <row r="24" spans="1:10" x14ac:dyDescent="0.2">
      <c r="A24" s="5">
        <v>18</v>
      </c>
      <c r="B24" s="6" t="s">
        <v>311</v>
      </c>
      <c r="C24" s="6" t="s">
        <v>312</v>
      </c>
      <c r="D24" s="6" t="s">
        <v>284</v>
      </c>
      <c r="E24" s="7">
        <v>7154</v>
      </c>
      <c r="F24" s="8">
        <v>2891.7576869999998</v>
      </c>
      <c r="G24" s="9">
        <v>1.4451406999999999E-2</v>
      </c>
      <c r="H24" s="97"/>
    </row>
    <row r="25" spans="1:10" x14ac:dyDescent="0.2">
      <c r="A25" s="5">
        <v>19</v>
      </c>
      <c r="B25" s="6" t="s">
        <v>419</v>
      </c>
      <c r="C25" s="6" t="s">
        <v>420</v>
      </c>
      <c r="D25" s="6" t="s">
        <v>1183</v>
      </c>
      <c r="E25" s="7">
        <v>232605</v>
      </c>
      <c r="F25" s="8">
        <v>2781.9558000000002</v>
      </c>
      <c r="G25" s="9">
        <v>1.3902678E-2</v>
      </c>
      <c r="H25" s="97"/>
    </row>
    <row r="26" spans="1:10" x14ac:dyDescent="0.2">
      <c r="A26" s="5">
        <v>20</v>
      </c>
      <c r="B26" s="6" t="s">
        <v>462</v>
      </c>
      <c r="C26" s="6" t="s">
        <v>463</v>
      </c>
      <c r="D26" s="6" t="s">
        <v>81</v>
      </c>
      <c r="E26" s="7">
        <v>39471</v>
      </c>
      <c r="F26" s="8">
        <v>2754.0100830000001</v>
      </c>
      <c r="G26" s="9">
        <v>1.3763020000000001E-2</v>
      </c>
      <c r="H26" s="97"/>
    </row>
    <row r="27" spans="1:10" x14ac:dyDescent="0.2">
      <c r="A27" s="5">
        <v>21</v>
      </c>
      <c r="B27" s="6" t="s">
        <v>152</v>
      </c>
      <c r="C27" s="6" t="s">
        <v>153</v>
      </c>
      <c r="D27" s="6" t="s">
        <v>1184</v>
      </c>
      <c r="E27" s="7">
        <v>226032</v>
      </c>
      <c r="F27" s="8">
        <v>2671.811256</v>
      </c>
      <c r="G27" s="9">
        <v>1.3352236E-2</v>
      </c>
      <c r="H27" s="97"/>
    </row>
    <row r="28" spans="1:10" x14ac:dyDescent="0.2">
      <c r="A28" s="5">
        <v>22</v>
      </c>
      <c r="B28" s="6" t="s">
        <v>181</v>
      </c>
      <c r="C28" s="6" t="s">
        <v>182</v>
      </c>
      <c r="D28" s="6" t="s">
        <v>1189</v>
      </c>
      <c r="E28" s="7">
        <v>308429</v>
      </c>
      <c r="F28" s="8">
        <v>2641.2317415000002</v>
      </c>
      <c r="G28" s="9">
        <v>1.3199417E-2</v>
      </c>
      <c r="H28" s="97"/>
    </row>
    <row r="29" spans="1:10" x14ac:dyDescent="0.2">
      <c r="A29" s="5">
        <v>23</v>
      </c>
      <c r="B29" s="6" t="s">
        <v>568</v>
      </c>
      <c r="C29" s="6" t="s">
        <v>569</v>
      </c>
      <c r="D29" s="6" t="s">
        <v>147</v>
      </c>
      <c r="E29" s="7">
        <v>45000</v>
      </c>
      <c r="F29" s="8">
        <v>2640.6</v>
      </c>
      <c r="G29" s="9">
        <v>1.3196259E-2</v>
      </c>
      <c r="H29" s="97"/>
    </row>
    <row r="30" spans="1:10" ht="15" x14ac:dyDescent="0.2">
      <c r="A30" s="5">
        <v>24</v>
      </c>
      <c r="B30" s="6" t="s">
        <v>448</v>
      </c>
      <c r="C30" s="6" t="s">
        <v>449</v>
      </c>
      <c r="D30" s="6" t="s">
        <v>70</v>
      </c>
      <c r="E30" s="7">
        <v>102611</v>
      </c>
      <c r="F30" s="8">
        <v>2588.2598640000001</v>
      </c>
      <c r="G30" s="9">
        <v>1.2934691999999999E-2</v>
      </c>
      <c r="H30" s="97"/>
      <c r="J30" s="184" t="s">
        <v>1275</v>
      </c>
    </row>
    <row r="31" spans="1:10" x14ac:dyDescent="0.2">
      <c r="A31" s="5">
        <v>25</v>
      </c>
      <c r="B31" s="6" t="s">
        <v>194</v>
      </c>
      <c r="C31" s="6" t="s">
        <v>195</v>
      </c>
      <c r="D31" s="6" t="s">
        <v>53</v>
      </c>
      <c r="E31" s="7">
        <v>237112</v>
      </c>
      <c r="F31" s="8">
        <v>2336.383092</v>
      </c>
      <c r="G31" s="9">
        <v>1.1675951E-2</v>
      </c>
      <c r="H31" s="97"/>
    </row>
    <row r="32" spans="1:10" x14ac:dyDescent="0.2">
      <c r="A32" s="5">
        <v>26</v>
      </c>
      <c r="B32" s="6" t="s">
        <v>313</v>
      </c>
      <c r="C32" s="6" t="s">
        <v>314</v>
      </c>
      <c r="D32" s="6" t="s">
        <v>147</v>
      </c>
      <c r="E32" s="7">
        <v>39442</v>
      </c>
      <c r="F32" s="8">
        <v>2208.3378590000002</v>
      </c>
      <c r="G32" s="9">
        <v>1.1036051999999999E-2</v>
      </c>
      <c r="H32" s="97"/>
    </row>
    <row r="33" spans="1:8" x14ac:dyDescent="0.2">
      <c r="A33" s="5">
        <v>27</v>
      </c>
      <c r="B33" s="6" t="s">
        <v>46</v>
      </c>
      <c r="C33" s="6" t="s">
        <v>47</v>
      </c>
      <c r="D33" s="6" t="s">
        <v>48</v>
      </c>
      <c r="E33" s="7">
        <v>298141</v>
      </c>
      <c r="F33" s="8">
        <v>2029.7439280000001</v>
      </c>
      <c r="G33" s="9">
        <v>1.0143538000000001E-2</v>
      </c>
      <c r="H33" s="97"/>
    </row>
    <row r="34" spans="1:8" x14ac:dyDescent="0.2">
      <c r="A34" s="5">
        <v>28</v>
      </c>
      <c r="B34" s="6" t="s">
        <v>216</v>
      </c>
      <c r="C34" s="6" t="s">
        <v>217</v>
      </c>
      <c r="D34" s="6" t="s">
        <v>1184</v>
      </c>
      <c r="E34" s="7">
        <v>122830</v>
      </c>
      <c r="F34" s="8">
        <v>1944.1532400000001</v>
      </c>
      <c r="G34" s="9">
        <v>9.7158030000000003E-3</v>
      </c>
      <c r="H34" s="97"/>
    </row>
    <row r="35" spans="1:8" x14ac:dyDescent="0.2">
      <c r="A35" s="5">
        <v>29</v>
      </c>
      <c r="B35" s="6" t="s">
        <v>896</v>
      </c>
      <c r="C35" s="6" t="s">
        <v>897</v>
      </c>
      <c r="D35" s="6" t="s">
        <v>1187</v>
      </c>
      <c r="E35" s="7">
        <v>1358497</v>
      </c>
      <c r="F35" s="8">
        <v>1922.9525034999999</v>
      </c>
      <c r="G35" s="9">
        <v>9.6098539999999993E-3</v>
      </c>
      <c r="H35" s="97"/>
    </row>
    <row r="36" spans="1:8" x14ac:dyDescent="0.2">
      <c r="A36" s="5">
        <v>30</v>
      </c>
      <c r="B36" s="6" t="s">
        <v>287</v>
      </c>
      <c r="C36" s="6" t="s">
        <v>288</v>
      </c>
      <c r="D36" s="6" t="s">
        <v>147</v>
      </c>
      <c r="E36" s="7">
        <v>139876</v>
      </c>
      <c r="F36" s="8">
        <v>1813.632216</v>
      </c>
      <c r="G36" s="9">
        <v>9.0635319999999991E-3</v>
      </c>
      <c r="H36" s="97"/>
    </row>
    <row r="37" spans="1:8" x14ac:dyDescent="0.2">
      <c r="A37" s="5">
        <v>31</v>
      </c>
      <c r="B37" s="6" t="s">
        <v>158</v>
      </c>
      <c r="C37" s="6" t="s">
        <v>159</v>
      </c>
      <c r="D37" s="6" t="s">
        <v>1187</v>
      </c>
      <c r="E37" s="7">
        <v>148635</v>
      </c>
      <c r="F37" s="8">
        <v>1812.0836025000001</v>
      </c>
      <c r="G37" s="9">
        <v>9.055792E-3</v>
      </c>
      <c r="H37" s="97"/>
    </row>
    <row r="38" spans="1:8" x14ac:dyDescent="0.2">
      <c r="A38" s="5">
        <v>32</v>
      </c>
      <c r="B38" s="6" t="s">
        <v>540</v>
      </c>
      <c r="C38" s="6" t="s">
        <v>541</v>
      </c>
      <c r="D38" s="6" t="s">
        <v>1184</v>
      </c>
      <c r="E38" s="7">
        <v>168338</v>
      </c>
      <c r="F38" s="8">
        <v>1772.851647</v>
      </c>
      <c r="G38" s="9">
        <v>8.8597329999999998E-3</v>
      </c>
      <c r="H38" s="97"/>
    </row>
    <row r="39" spans="1:8" x14ac:dyDescent="0.2">
      <c r="A39" s="5">
        <v>33</v>
      </c>
      <c r="B39" s="6" t="s">
        <v>325</v>
      </c>
      <c r="C39" s="6" t="s">
        <v>326</v>
      </c>
      <c r="D39" s="6" t="s">
        <v>327</v>
      </c>
      <c r="E39" s="7">
        <v>166156</v>
      </c>
      <c r="F39" s="8">
        <v>1769.5614</v>
      </c>
      <c r="G39" s="9">
        <v>8.8432900000000002E-3</v>
      </c>
      <c r="H39" s="97"/>
    </row>
    <row r="40" spans="1:8" x14ac:dyDescent="0.2">
      <c r="A40" s="5">
        <v>34</v>
      </c>
      <c r="B40" s="6" t="s">
        <v>145</v>
      </c>
      <c r="C40" s="6" t="s">
        <v>146</v>
      </c>
      <c r="D40" s="6" t="s">
        <v>147</v>
      </c>
      <c r="E40" s="7">
        <v>35993</v>
      </c>
      <c r="F40" s="8">
        <v>1765.2226955000001</v>
      </c>
      <c r="G40" s="9">
        <v>8.8216070000000004E-3</v>
      </c>
      <c r="H40" s="97"/>
    </row>
    <row r="41" spans="1:8" x14ac:dyDescent="0.2">
      <c r="A41" s="5">
        <v>35</v>
      </c>
      <c r="B41" s="6" t="s">
        <v>188</v>
      </c>
      <c r="C41" s="6" t="s">
        <v>189</v>
      </c>
      <c r="D41" s="6" t="s">
        <v>190</v>
      </c>
      <c r="E41" s="7">
        <v>380798</v>
      </c>
      <c r="F41" s="8">
        <v>1751.480401</v>
      </c>
      <c r="G41" s="9">
        <v>8.7529310000000003E-3</v>
      </c>
      <c r="H41" s="97"/>
    </row>
    <row r="42" spans="1:8" x14ac:dyDescent="0.2">
      <c r="A42" s="5">
        <v>36</v>
      </c>
      <c r="B42" s="6" t="s">
        <v>172</v>
      </c>
      <c r="C42" s="6" t="s">
        <v>173</v>
      </c>
      <c r="D42" s="6" t="s">
        <v>174</v>
      </c>
      <c r="E42" s="7">
        <v>652856</v>
      </c>
      <c r="F42" s="8">
        <v>1560.652268</v>
      </c>
      <c r="G42" s="9">
        <v>7.7992779999999998E-3</v>
      </c>
      <c r="H42" s="97"/>
    </row>
    <row r="43" spans="1:8" x14ac:dyDescent="0.2">
      <c r="A43" s="5">
        <v>37</v>
      </c>
      <c r="B43" s="6" t="s">
        <v>166</v>
      </c>
      <c r="C43" s="6" t="s">
        <v>167</v>
      </c>
      <c r="D43" s="6" t="s">
        <v>1186</v>
      </c>
      <c r="E43" s="7">
        <v>404089</v>
      </c>
      <c r="F43" s="8">
        <v>1427.8484814999999</v>
      </c>
      <c r="G43" s="9">
        <v>7.1355979999999999E-3</v>
      </c>
      <c r="H43" s="97"/>
    </row>
    <row r="44" spans="1:8" ht="25.5" x14ac:dyDescent="0.2">
      <c r="A44" s="5">
        <v>38</v>
      </c>
      <c r="B44" s="6" t="s">
        <v>460</v>
      </c>
      <c r="C44" s="6" t="s">
        <v>461</v>
      </c>
      <c r="D44" s="6" t="s">
        <v>1183</v>
      </c>
      <c r="E44" s="7">
        <v>92987</v>
      </c>
      <c r="F44" s="8">
        <v>1302.9803374999999</v>
      </c>
      <c r="G44" s="9">
        <v>6.5115759999999998E-3</v>
      </c>
      <c r="H44" s="97"/>
    </row>
    <row r="45" spans="1:8" x14ac:dyDescent="0.2">
      <c r="A45" s="5">
        <v>39</v>
      </c>
      <c r="B45" s="6" t="s">
        <v>597</v>
      </c>
      <c r="C45" s="6" t="s">
        <v>598</v>
      </c>
      <c r="D45" s="6" t="s">
        <v>327</v>
      </c>
      <c r="E45" s="7">
        <v>22186</v>
      </c>
      <c r="F45" s="8">
        <v>1237.246662</v>
      </c>
      <c r="G45" s="9">
        <v>6.1830749999999997E-3</v>
      </c>
      <c r="H45" s="97"/>
    </row>
    <row r="46" spans="1:8" x14ac:dyDescent="0.2">
      <c r="A46" s="5">
        <v>40</v>
      </c>
      <c r="B46" s="6" t="s">
        <v>864</v>
      </c>
      <c r="C46" s="6" t="s">
        <v>865</v>
      </c>
      <c r="D46" s="6" t="s">
        <v>1183</v>
      </c>
      <c r="E46" s="7">
        <v>165838</v>
      </c>
      <c r="F46" s="8">
        <v>1077.2007289999999</v>
      </c>
      <c r="G46" s="9">
        <v>5.3832539999999996E-3</v>
      </c>
      <c r="H46" s="97"/>
    </row>
    <row r="47" spans="1:8" x14ac:dyDescent="0.2">
      <c r="A47" s="5">
        <v>41</v>
      </c>
      <c r="B47" s="6" t="s">
        <v>456</v>
      </c>
      <c r="C47" s="6" t="s">
        <v>457</v>
      </c>
      <c r="D47" s="6" t="s">
        <v>174</v>
      </c>
      <c r="E47" s="7">
        <v>30137</v>
      </c>
      <c r="F47" s="8">
        <v>1036.984033</v>
      </c>
      <c r="G47" s="9">
        <v>5.1822730000000003E-3</v>
      </c>
      <c r="H47" s="97"/>
    </row>
    <row r="48" spans="1:8" x14ac:dyDescent="0.2">
      <c r="A48" s="5">
        <v>42</v>
      </c>
      <c r="B48" s="6" t="s">
        <v>659</v>
      </c>
      <c r="C48" s="6" t="s">
        <v>660</v>
      </c>
      <c r="D48" s="6" t="s">
        <v>1187</v>
      </c>
      <c r="E48" s="7">
        <v>2164038</v>
      </c>
      <c r="F48" s="8">
        <v>1008.4417079999999</v>
      </c>
      <c r="G48" s="9">
        <v>5.0396340000000003E-3</v>
      </c>
      <c r="H48" s="97"/>
    </row>
    <row r="49" spans="1:8" x14ac:dyDescent="0.2">
      <c r="A49" s="5">
        <v>43</v>
      </c>
      <c r="B49" s="6" t="s">
        <v>399</v>
      </c>
      <c r="C49" s="6" t="s">
        <v>400</v>
      </c>
      <c r="D49" s="6" t="s">
        <v>327</v>
      </c>
      <c r="E49" s="7">
        <v>689908</v>
      </c>
      <c r="F49" s="8">
        <v>947.93359199999998</v>
      </c>
      <c r="G49" s="9">
        <v>4.7372480000000003E-3</v>
      </c>
      <c r="H49" s="97"/>
    </row>
    <row r="50" spans="1:8" x14ac:dyDescent="0.2">
      <c r="A50" s="5">
        <v>44</v>
      </c>
      <c r="B50" s="6" t="s">
        <v>298</v>
      </c>
      <c r="C50" s="6" t="s">
        <v>299</v>
      </c>
      <c r="D50" s="6" t="s">
        <v>1187</v>
      </c>
      <c r="E50" s="7">
        <v>2402077</v>
      </c>
      <c r="F50" s="8">
        <v>936.81002999999998</v>
      </c>
      <c r="G50" s="9">
        <v>4.6816590000000003E-3</v>
      </c>
      <c r="H50" s="97"/>
    </row>
    <row r="51" spans="1:8" x14ac:dyDescent="0.2">
      <c r="A51" s="5">
        <v>45</v>
      </c>
      <c r="B51" s="6" t="s">
        <v>898</v>
      </c>
      <c r="C51" s="6" t="s">
        <v>899</v>
      </c>
      <c r="D51" s="6" t="s">
        <v>327</v>
      </c>
      <c r="E51" s="7">
        <v>12431</v>
      </c>
      <c r="F51" s="8">
        <v>805.08128399999998</v>
      </c>
      <c r="G51" s="9">
        <v>4.0233509999999997E-3</v>
      </c>
      <c r="H51" s="97"/>
    </row>
    <row r="52" spans="1:8" x14ac:dyDescent="0.2">
      <c r="A52" s="5">
        <v>46</v>
      </c>
      <c r="B52" s="6" t="s">
        <v>291</v>
      </c>
      <c r="C52" s="6" t="s">
        <v>292</v>
      </c>
      <c r="D52" s="6" t="s">
        <v>147</v>
      </c>
      <c r="E52" s="7">
        <v>43850</v>
      </c>
      <c r="F52" s="8">
        <v>735.03562499999998</v>
      </c>
      <c r="G52" s="9">
        <v>3.6733019999999998E-3</v>
      </c>
      <c r="H52" s="97"/>
    </row>
    <row r="53" spans="1:8" x14ac:dyDescent="0.2">
      <c r="A53" s="5">
        <v>47</v>
      </c>
      <c r="B53" s="6" t="s">
        <v>470</v>
      </c>
      <c r="C53" s="6" t="s">
        <v>471</v>
      </c>
      <c r="D53" s="6" t="s">
        <v>327</v>
      </c>
      <c r="E53" s="7">
        <v>14214</v>
      </c>
      <c r="F53" s="8">
        <v>663.99990300000002</v>
      </c>
      <c r="G53" s="9">
        <v>3.3183050000000001E-3</v>
      </c>
      <c r="H53" s="97"/>
    </row>
    <row r="54" spans="1:8" x14ac:dyDescent="0.2">
      <c r="A54" s="5">
        <v>48</v>
      </c>
      <c r="B54" s="6" t="s">
        <v>265</v>
      </c>
      <c r="C54" s="6" t="s">
        <v>266</v>
      </c>
      <c r="D54" s="6" t="s">
        <v>147</v>
      </c>
      <c r="E54" s="7">
        <v>117635</v>
      </c>
      <c r="F54" s="8">
        <v>438.01392249999998</v>
      </c>
      <c r="G54" s="9">
        <v>2.1889520000000001E-3</v>
      </c>
      <c r="H54" s="97"/>
    </row>
    <row r="55" spans="1:8" x14ac:dyDescent="0.2">
      <c r="A55" s="5">
        <v>49</v>
      </c>
      <c r="B55" s="6" t="s">
        <v>458</v>
      </c>
      <c r="C55" s="6" t="s">
        <v>459</v>
      </c>
      <c r="D55" s="6" t="s">
        <v>327</v>
      </c>
      <c r="E55" s="7">
        <v>16840</v>
      </c>
      <c r="F55" s="8">
        <v>353.90102000000002</v>
      </c>
      <c r="G55" s="9">
        <v>1.768602E-3</v>
      </c>
      <c r="H55" s="97"/>
    </row>
    <row r="56" spans="1:8" ht="25.5" x14ac:dyDescent="0.2">
      <c r="A56" s="5">
        <v>50</v>
      </c>
      <c r="B56" s="6" t="s">
        <v>442</v>
      </c>
      <c r="C56" s="6" t="s">
        <v>1157</v>
      </c>
      <c r="D56" s="91" t="s">
        <v>22</v>
      </c>
      <c r="E56" s="7">
        <v>92315</v>
      </c>
      <c r="F56" s="8">
        <v>325.54884750000002</v>
      </c>
      <c r="G56" s="9">
        <v>1.626913E-3</v>
      </c>
      <c r="H56" s="97"/>
    </row>
    <row r="57" spans="1:8" ht="25.5" x14ac:dyDescent="0.2">
      <c r="A57" s="5">
        <v>51</v>
      </c>
      <c r="B57" s="6" t="s">
        <v>502</v>
      </c>
      <c r="C57" s="6" t="s">
        <v>503</v>
      </c>
      <c r="D57" s="6" t="s">
        <v>1188</v>
      </c>
      <c r="E57" s="7">
        <v>23520</v>
      </c>
      <c r="F57" s="8">
        <v>223.51056</v>
      </c>
      <c r="G57" s="9">
        <v>1.1169820000000001E-3</v>
      </c>
      <c r="H57" s="97"/>
    </row>
    <row r="58" spans="1:8" x14ac:dyDescent="0.2">
      <c r="A58" s="5">
        <v>52</v>
      </c>
      <c r="B58" s="6" t="s">
        <v>900</v>
      </c>
      <c r="C58" s="6" t="s">
        <v>901</v>
      </c>
      <c r="D58" s="6" t="s">
        <v>327</v>
      </c>
      <c r="E58" s="7">
        <v>11117</v>
      </c>
      <c r="F58" s="8">
        <v>115.3221995</v>
      </c>
      <c r="G58" s="9">
        <v>5.7631700000000002E-4</v>
      </c>
      <c r="H58" s="97"/>
    </row>
    <row r="59" spans="1:8" x14ac:dyDescent="0.2">
      <c r="A59" s="3"/>
      <c r="B59" s="3"/>
      <c r="C59" s="4" t="s">
        <v>97</v>
      </c>
      <c r="D59" s="3"/>
      <c r="E59" s="3" t="s">
        <v>98</v>
      </c>
      <c r="F59" s="11">
        <v>169992.76625149997</v>
      </c>
      <c r="G59" s="12">
        <v>0.8495298959999994</v>
      </c>
      <c r="H59" s="97"/>
    </row>
    <row r="60" spans="1:8" x14ac:dyDescent="0.2">
      <c r="A60" s="3"/>
      <c r="B60" s="3"/>
      <c r="C60" s="13"/>
      <c r="D60" s="3"/>
      <c r="E60" s="3"/>
      <c r="F60" s="14"/>
      <c r="G60" s="14"/>
      <c r="H60" s="97"/>
    </row>
    <row r="61" spans="1:8" x14ac:dyDescent="0.2">
      <c r="A61" s="3"/>
      <c r="B61" s="3"/>
      <c r="C61" s="4" t="s">
        <v>99</v>
      </c>
      <c r="D61" s="3"/>
      <c r="E61" s="3"/>
      <c r="F61" s="3"/>
      <c r="G61" s="3"/>
      <c r="H61" s="97"/>
    </row>
    <row r="62" spans="1:8" x14ac:dyDescent="0.2">
      <c r="A62" s="5">
        <v>1</v>
      </c>
      <c r="B62" s="6" t="s">
        <v>902</v>
      </c>
      <c r="C62" s="6" t="s">
        <v>903</v>
      </c>
      <c r="D62" s="6"/>
      <c r="E62" s="7">
        <v>37829</v>
      </c>
      <c r="F62" s="8">
        <v>799.10739017200001</v>
      </c>
      <c r="G62" s="9">
        <v>3.9934970000000004E-3</v>
      </c>
      <c r="H62" s="97"/>
    </row>
    <row r="63" spans="1:8" x14ac:dyDescent="0.2">
      <c r="A63" s="3"/>
      <c r="B63" s="3"/>
      <c r="C63" s="4" t="s">
        <v>97</v>
      </c>
      <c r="D63" s="3"/>
      <c r="E63" s="3" t="s">
        <v>98</v>
      </c>
      <c r="F63" s="11">
        <v>799.10739017200001</v>
      </c>
      <c r="G63" s="12">
        <v>3.9934970000000004E-3</v>
      </c>
      <c r="H63" s="97"/>
    </row>
    <row r="64" spans="1:8" x14ac:dyDescent="0.2">
      <c r="A64" s="3"/>
      <c r="B64" s="3"/>
      <c r="C64" s="13"/>
      <c r="D64" s="3"/>
      <c r="E64" s="3"/>
      <c r="F64" s="14"/>
      <c r="G64" s="14"/>
      <c r="H64" s="97"/>
    </row>
    <row r="65" spans="1:8" x14ac:dyDescent="0.2">
      <c r="A65" s="3"/>
      <c r="B65" s="3"/>
      <c r="C65" s="4" t="s">
        <v>100</v>
      </c>
      <c r="D65" s="3"/>
      <c r="E65" s="3"/>
      <c r="F65" s="3"/>
      <c r="G65" s="3"/>
      <c r="H65" s="97"/>
    </row>
    <row r="66" spans="1:8" x14ac:dyDescent="0.2">
      <c r="A66" s="3"/>
      <c r="B66" s="3"/>
      <c r="C66" s="4" t="s">
        <v>97</v>
      </c>
      <c r="D66" s="3"/>
      <c r="E66" s="3" t="s">
        <v>98</v>
      </c>
      <c r="F66" s="15">
        <v>0</v>
      </c>
      <c r="G66" s="16">
        <v>0</v>
      </c>
      <c r="H66" s="97"/>
    </row>
    <row r="67" spans="1:8" x14ac:dyDescent="0.2">
      <c r="A67" s="3"/>
      <c r="B67" s="3"/>
      <c r="C67" s="13"/>
      <c r="D67" s="3"/>
      <c r="E67" s="3"/>
      <c r="F67" s="14"/>
      <c r="G67" s="14"/>
      <c r="H67" s="97"/>
    </row>
    <row r="68" spans="1:8" x14ac:dyDescent="0.2">
      <c r="A68" s="3"/>
      <c r="B68" s="3"/>
      <c r="C68" s="4" t="s">
        <v>101</v>
      </c>
      <c r="D68" s="3"/>
      <c r="E68" s="3"/>
      <c r="F68" s="3"/>
      <c r="G68" s="3"/>
      <c r="H68" s="97"/>
    </row>
    <row r="69" spans="1:8" x14ac:dyDescent="0.2">
      <c r="A69" s="3"/>
      <c r="B69" s="3"/>
      <c r="C69" s="4" t="s">
        <v>97</v>
      </c>
      <c r="D69" s="3"/>
      <c r="E69" s="3" t="s">
        <v>98</v>
      </c>
      <c r="F69" s="11">
        <v>0</v>
      </c>
      <c r="G69" s="12">
        <v>0</v>
      </c>
      <c r="H69" s="97"/>
    </row>
    <row r="70" spans="1:8" x14ac:dyDescent="0.2">
      <c r="A70" s="3"/>
      <c r="B70" s="3"/>
      <c r="C70" s="13"/>
      <c r="D70" s="3"/>
      <c r="E70" s="3"/>
      <c r="F70" s="14"/>
      <c r="G70" s="14"/>
      <c r="H70" s="97"/>
    </row>
    <row r="71" spans="1:8" x14ac:dyDescent="0.2">
      <c r="A71" s="3"/>
      <c r="B71" s="3"/>
      <c r="C71" s="4" t="s">
        <v>102</v>
      </c>
      <c r="D71" s="3"/>
      <c r="E71" s="3"/>
      <c r="F71" s="14"/>
      <c r="G71" s="14"/>
      <c r="H71" s="97"/>
    </row>
    <row r="72" spans="1:8" x14ac:dyDescent="0.2">
      <c r="A72" s="3"/>
      <c r="B72" s="3"/>
      <c r="C72" s="4" t="s">
        <v>97</v>
      </c>
      <c r="D72" s="3"/>
      <c r="E72" s="3" t="s">
        <v>98</v>
      </c>
      <c r="F72" s="15">
        <v>0</v>
      </c>
      <c r="G72" s="16">
        <v>0</v>
      </c>
      <c r="H72" s="97"/>
    </row>
    <row r="73" spans="1:8" x14ac:dyDescent="0.2">
      <c r="A73" s="3"/>
      <c r="B73" s="3"/>
      <c r="C73" s="13"/>
      <c r="D73" s="3"/>
      <c r="E73" s="3"/>
      <c r="F73" s="14"/>
      <c r="G73" s="14"/>
      <c r="H73" s="97"/>
    </row>
    <row r="74" spans="1:8" x14ac:dyDescent="0.2">
      <c r="A74" s="3"/>
      <c r="B74" s="3"/>
      <c r="C74" s="4" t="s">
        <v>103</v>
      </c>
      <c r="D74" s="3"/>
      <c r="E74" s="3"/>
      <c r="F74" s="14"/>
      <c r="G74" s="14"/>
      <c r="H74" s="97"/>
    </row>
    <row r="75" spans="1:8" x14ac:dyDescent="0.2">
      <c r="A75" s="3"/>
      <c r="B75" s="3"/>
      <c r="C75" s="4" t="s">
        <v>97</v>
      </c>
      <c r="D75" s="3"/>
      <c r="E75" s="3" t="s">
        <v>98</v>
      </c>
      <c r="F75" s="15">
        <v>0</v>
      </c>
      <c r="G75" s="16">
        <v>0</v>
      </c>
      <c r="H75" s="97"/>
    </row>
    <row r="76" spans="1:8" x14ac:dyDescent="0.2">
      <c r="A76" s="3"/>
      <c r="B76" s="3"/>
      <c r="C76" s="13"/>
      <c r="D76" s="3"/>
      <c r="E76" s="3"/>
      <c r="F76" s="14"/>
      <c r="G76" s="14"/>
      <c r="H76" s="97"/>
    </row>
    <row r="77" spans="1:8" x14ac:dyDescent="0.2">
      <c r="A77" s="3"/>
      <c r="B77" s="3"/>
      <c r="C77" s="4" t="s">
        <v>104</v>
      </c>
      <c r="D77" s="3"/>
      <c r="E77" s="3"/>
      <c r="F77" s="11">
        <v>170791.87364167199</v>
      </c>
      <c r="G77" s="12">
        <v>0.85352339300000002</v>
      </c>
      <c r="H77" s="97"/>
    </row>
    <row r="78" spans="1:8" x14ac:dyDescent="0.2">
      <c r="A78" s="3"/>
      <c r="B78" s="3"/>
      <c r="C78" s="13"/>
      <c r="D78" s="3"/>
      <c r="E78" s="3"/>
      <c r="F78" s="14"/>
      <c r="G78" s="14"/>
      <c r="H78" s="97"/>
    </row>
    <row r="79" spans="1:8" x14ac:dyDescent="0.2">
      <c r="A79" s="3"/>
      <c r="B79" s="3"/>
      <c r="C79" s="4" t="s">
        <v>105</v>
      </c>
      <c r="D79" s="3"/>
      <c r="E79" s="3"/>
      <c r="F79" s="14"/>
      <c r="G79" s="14"/>
      <c r="H79" s="97"/>
    </row>
    <row r="80" spans="1:8" ht="25.5" x14ac:dyDescent="0.2">
      <c r="A80" s="3"/>
      <c r="B80" s="3"/>
      <c r="C80" s="4" t="s">
        <v>10</v>
      </c>
      <c r="D80" s="3"/>
      <c r="E80" s="3"/>
      <c r="F80" s="14"/>
      <c r="G80" s="14"/>
      <c r="H80" s="97"/>
    </row>
    <row r="81" spans="1:8" x14ac:dyDescent="0.2">
      <c r="A81" s="3"/>
      <c r="B81" s="3"/>
      <c r="C81" s="4" t="s">
        <v>97</v>
      </c>
      <c r="D81" s="3"/>
      <c r="E81" s="3" t="s">
        <v>98</v>
      </c>
      <c r="F81" s="15">
        <v>0</v>
      </c>
      <c r="G81" s="16">
        <v>0</v>
      </c>
      <c r="H81" s="97"/>
    </row>
    <row r="82" spans="1:8" x14ac:dyDescent="0.2">
      <c r="A82" s="3"/>
      <c r="B82" s="3"/>
      <c r="C82" s="13"/>
      <c r="D82" s="3"/>
      <c r="E82" s="3"/>
      <c r="F82" s="14"/>
      <c r="G82" s="14"/>
      <c r="H82" s="97"/>
    </row>
    <row r="83" spans="1:8" x14ac:dyDescent="0.2">
      <c r="A83" s="3"/>
      <c r="B83" s="3"/>
      <c r="C83" s="4" t="s">
        <v>106</v>
      </c>
      <c r="D83" s="3"/>
      <c r="E83" s="3"/>
      <c r="F83" s="3"/>
      <c r="G83" s="3"/>
      <c r="H83" s="97"/>
    </row>
    <row r="84" spans="1:8" x14ac:dyDescent="0.2">
      <c r="A84" s="3"/>
      <c r="B84" s="3"/>
      <c r="C84" s="4" t="s">
        <v>97</v>
      </c>
      <c r="D84" s="3"/>
      <c r="E84" s="3" t="s">
        <v>98</v>
      </c>
      <c r="F84" s="15">
        <v>0</v>
      </c>
      <c r="G84" s="16">
        <v>0</v>
      </c>
      <c r="H84" s="97"/>
    </row>
    <row r="85" spans="1:8" x14ac:dyDescent="0.2">
      <c r="A85" s="3"/>
      <c r="B85" s="3"/>
      <c r="C85" s="13"/>
      <c r="D85" s="3"/>
      <c r="E85" s="3"/>
      <c r="F85" s="14"/>
      <c r="G85" s="14"/>
      <c r="H85" s="97"/>
    </row>
    <row r="86" spans="1:8" x14ac:dyDescent="0.2">
      <c r="A86" s="3"/>
      <c r="B86" s="3"/>
      <c r="C86" s="4" t="s">
        <v>107</v>
      </c>
      <c r="D86" s="3"/>
      <c r="E86" s="3"/>
      <c r="F86" s="3"/>
      <c r="G86" s="3"/>
      <c r="H86" s="97"/>
    </row>
    <row r="87" spans="1:8" x14ac:dyDescent="0.2">
      <c r="A87" s="3"/>
      <c r="B87" s="3"/>
      <c r="C87" s="4" t="s">
        <v>97</v>
      </c>
      <c r="D87" s="3"/>
      <c r="E87" s="3" t="s">
        <v>98</v>
      </c>
      <c r="F87" s="15">
        <v>0</v>
      </c>
      <c r="G87" s="16">
        <v>0</v>
      </c>
      <c r="H87" s="97"/>
    </row>
    <row r="88" spans="1:8" x14ac:dyDescent="0.2">
      <c r="A88" s="3"/>
      <c r="B88" s="3"/>
      <c r="C88" s="13"/>
      <c r="D88" s="3"/>
      <c r="E88" s="3"/>
      <c r="F88" s="14"/>
      <c r="G88" s="14"/>
      <c r="H88" s="97"/>
    </row>
    <row r="89" spans="1:8" x14ac:dyDescent="0.2">
      <c r="A89" s="3"/>
      <c r="B89" s="3"/>
      <c r="C89" s="4" t="s">
        <v>108</v>
      </c>
      <c r="D89" s="3"/>
      <c r="E89" s="3"/>
      <c r="F89" s="14"/>
      <c r="G89" s="14"/>
      <c r="H89" s="97"/>
    </row>
    <row r="90" spans="1:8" x14ac:dyDescent="0.2">
      <c r="A90" s="3"/>
      <c r="B90" s="3"/>
      <c r="C90" s="4" t="s">
        <v>97</v>
      </c>
      <c r="D90" s="3"/>
      <c r="E90" s="3" t="s">
        <v>98</v>
      </c>
      <c r="F90" s="15">
        <v>0</v>
      </c>
      <c r="G90" s="16">
        <v>0</v>
      </c>
      <c r="H90" s="97"/>
    </row>
    <row r="91" spans="1:8" x14ac:dyDescent="0.2">
      <c r="A91" s="3"/>
      <c r="B91" s="3"/>
      <c r="C91" s="13"/>
      <c r="D91" s="3"/>
      <c r="E91" s="3"/>
      <c r="F91" s="14"/>
      <c r="G91" s="14"/>
      <c r="H91" s="97"/>
    </row>
    <row r="92" spans="1:8" x14ac:dyDescent="0.2">
      <c r="A92" s="3"/>
      <c r="B92" s="3"/>
      <c r="C92" s="4" t="s">
        <v>109</v>
      </c>
      <c r="D92" s="3"/>
      <c r="E92" s="3"/>
      <c r="F92" s="11">
        <v>0</v>
      </c>
      <c r="G92" s="12">
        <v>0</v>
      </c>
      <c r="H92" s="97"/>
    </row>
    <row r="93" spans="1:8" x14ac:dyDescent="0.2">
      <c r="A93" s="3"/>
      <c r="B93" s="3"/>
      <c r="C93" s="13"/>
      <c r="D93" s="3"/>
      <c r="E93" s="3"/>
      <c r="F93" s="14"/>
      <c r="G93" s="14"/>
      <c r="H93" s="97"/>
    </row>
    <row r="94" spans="1:8" x14ac:dyDescent="0.2">
      <c r="A94" s="3"/>
      <c r="B94" s="3"/>
      <c r="C94" s="4" t="s">
        <v>110</v>
      </c>
      <c r="D94" s="3"/>
      <c r="E94" s="3"/>
      <c r="F94" s="14"/>
      <c r="G94" s="14"/>
      <c r="H94" s="97"/>
    </row>
    <row r="95" spans="1:8" x14ac:dyDescent="0.2">
      <c r="A95" s="3"/>
      <c r="B95" s="3"/>
      <c r="C95" s="4" t="s">
        <v>111</v>
      </c>
      <c r="D95" s="3"/>
      <c r="E95" s="3"/>
      <c r="F95" s="14"/>
      <c r="G95" s="14"/>
      <c r="H95" s="97"/>
    </row>
    <row r="96" spans="1:8" x14ac:dyDescent="0.2">
      <c r="A96" s="3"/>
      <c r="B96" s="3"/>
      <c r="C96" s="4" t="s">
        <v>97</v>
      </c>
      <c r="D96" s="3"/>
      <c r="E96" s="3" t="s">
        <v>98</v>
      </c>
      <c r="F96" s="15">
        <v>0</v>
      </c>
      <c r="G96" s="16">
        <v>0</v>
      </c>
      <c r="H96" s="97"/>
    </row>
    <row r="97" spans="1:8" x14ac:dyDescent="0.2">
      <c r="A97" s="3"/>
      <c r="B97" s="3"/>
      <c r="C97" s="13"/>
      <c r="D97" s="3"/>
      <c r="E97" s="3"/>
      <c r="F97" s="14"/>
      <c r="G97" s="14"/>
      <c r="H97" s="97"/>
    </row>
    <row r="98" spans="1:8" x14ac:dyDescent="0.2">
      <c r="A98" s="3"/>
      <c r="B98" s="3"/>
      <c r="C98" s="4" t="s">
        <v>112</v>
      </c>
      <c r="D98" s="3"/>
      <c r="E98" s="3"/>
      <c r="F98" s="14"/>
      <c r="G98" s="14"/>
      <c r="H98" s="97"/>
    </row>
    <row r="99" spans="1:8" x14ac:dyDescent="0.2">
      <c r="A99" s="3"/>
      <c r="B99" s="3"/>
      <c r="C99" s="4" t="s">
        <v>97</v>
      </c>
      <c r="D99" s="3"/>
      <c r="E99" s="3" t="s">
        <v>98</v>
      </c>
      <c r="F99" s="15">
        <v>0</v>
      </c>
      <c r="G99" s="16">
        <v>0</v>
      </c>
      <c r="H99" s="97"/>
    </row>
    <row r="100" spans="1:8" x14ac:dyDescent="0.2">
      <c r="A100" s="3"/>
      <c r="B100" s="3"/>
      <c r="C100" s="13"/>
      <c r="D100" s="3"/>
      <c r="E100" s="3"/>
      <c r="F100" s="14"/>
      <c r="G100" s="14"/>
      <c r="H100" s="97"/>
    </row>
    <row r="101" spans="1:8" x14ac:dyDescent="0.2">
      <c r="A101" s="3"/>
      <c r="B101" s="3"/>
      <c r="C101" s="4" t="s">
        <v>113</v>
      </c>
      <c r="D101" s="3"/>
      <c r="E101" s="3"/>
      <c r="F101" s="14"/>
      <c r="G101" s="14"/>
      <c r="H101" s="97"/>
    </row>
    <row r="102" spans="1:8" x14ac:dyDescent="0.2">
      <c r="A102" s="3"/>
      <c r="B102" s="3"/>
      <c r="C102" s="4" t="s">
        <v>97</v>
      </c>
      <c r="D102" s="3"/>
      <c r="E102" s="3" t="s">
        <v>98</v>
      </c>
      <c r="F102" s="15">
        <v>0</v>
      </c>
      <c r="G102" s="16">
        <v>0</v>
      </c>
      <c r="H102" s="97"/>
    </row>
    <row r="103" spans="1:8" x14ac:dyDescent="0.2">
      <c r="A103" s="3"/>
      <c r="B103" s="3"/>
      <c r="C103" s="13"/>
      <c r="D103" s="3"/>
      <c r="E103" s="3"/>
      <c r="F103" s="14"/>
      <c r="G103" s="14"/>
      <c r="H103" s="97"/>
    </row>
    <row r="104" spans="1:8" x14ac:dyDescent="0.2">
      <c r="A104" s="3"/>
      <c r="B104" s="3"/>
      <c r="C104" s="4" t="s">
        <v>114</v>
      </c>
      <c r="D104" s="3"/>
      <c r="E104" s="3"/>
      <c r="F104" s="14"/>
      <c r="G104" s="14"/>
      <c r="H104" s="97"/>
    </row>
    <row r="105" spans="1:8" x14ac:dyDescent="0.2">
      <c r="A105" s="5">
        <v>1</v>
      </c>
      <c r="B105" s="6"/>
      <c r="C105" s="6" t="s">
        <v>115</v>
      </c>
      <c r="D105" s="6"/>
      <c r="E105" s="10"/>
      <c r="F105" s="8">
        <v>18364.312297500001</v>
      </c>
      <c r="G105" s="9">
        <v>9.1774683999999995E-2</v>
      </c>
      <c r="H105" s="8">
        <v>3.4504560529072292</v>
      </c>
    </row>
    <row r="106" spans="1:8" x14ac:dyDescent="0.2">
      <c r="A106" s="5">
        <v>2</v>
      </c>
      <c r="B106" s="6"/>
      <c r="C106" s="6" t="s">
        <v>116</v>
      </c>
      <c r="D106" s="6"/>
      <c r="E106" s="10"/>
      <c r="F106" s="8">
        <v>9911.3564009000002</v>
      </c>
      <c r="G106" s="9">
        <v>4.9531482000000002E-2</v>
      </c>
      <c r="H106" s="8">
        <v>3.5655822479098256</v>
      </c>
    </row>
    <row r="107" spans="1:8" x14ac:dyDescent="0.2">
      <c r="A107" s="3"/>
      <c r="B107" s="3"/>
      <c r="C107" s="4" t="s">
        <v>97</v>
      </c>
      <c r="D107" s="3"/>
      <c r="E107" s="3" t="s">
        <v>98</v>
      </c>
      <c r="F107" s="11">
        <v>28275.668698400001</v>
      </c>
      <c r="G107" s="12">
        <v>0.14130616600000001</v>
      </c>
      <c r="H107" s="97"/>
    </row>
    <row r="108" spans="1:8" x14ac:dyDescent="0.2">
      <c r="A108" s="3"/>
      <c r="B108" s="3"/>
      <c r="C108" s="13"/>
      <c r="D108" s="3"/>
      <c r="E108" s="3"/>
      <c r="F108" s="14"/>
      <c r="G108" s="14"/>
      <c r="H108" s="97"/>
    </row>
    <row r="109" spans="1:8" x14ac:dyDescent="0.2">
      <c r="A109" s="3"/>
      <c r="B109" s="3"/>
      <c r="C109" s="4" t="s">
        <v>117</v>
      </c>
      <c r="D109" s="3"/>
      <c r="E109" s="3"/>
      <c r="F109" s="11">
        <v>28275.668698400001</v>
      </c>
      <c r="G109" s="12">
        <v>0.14130616600000001</v>
      </c>
      <c r="H109" s="97"/>
    </row>
    <row r="110" spans="1:8" x14ac:dyDescent="0.2">
      <c r="A110" s="3"/>
      <c r="B110" s="3"/>
      <c r="C110" s="14"/>
      <c r="D110" s="3"/>
      <c r="E110" s="3"/>
      <c r="F110" s="3"/>
      <c r="G110" s="3"/>
      <c r="H110" s="97"/>
    </row>
    <row r="111" spans="1:8" x14ac:dyDescent="0.2">
      <c r="A111" s="3"/>
      <c r="B111" s="3"/>
      <c r="C111" s="4" t="s">
        <v>118</v>
      </c>
      <c r="D111" s="3"/>
      <c r="E111" s="3"/>
      <c r="F111" s="3"/>
      <c r="G111" s="3"/>
      <c r="H111" s="97"/>
    </row>
    <row r="112" spans="1:8" x14ac:dyDescent="0.2">
      <c r="A112" s="3"/>
      <c r="B112" s="3"/>
      <c r="C112" s="4" t="s">
        <v>119</v>
      </c>
      <c r="D112" s="3"/>
      <c r="E112" s="3"/>
      <c r="F112" s="3"/>
      <c r="G112" s="3"/>
      <c r="H112" s="97"/>
    </row>
    <row r="113" spans="1:8" x14ac:dyDescent="0.2">
      <c r="A113" s="3"/>
      <c r="B113" s="3"/>
      <c r="C113" s="4" t="s">
        <v>97</v>
      </c>
      <c r="D113" s="3"/>
      <c r="E113" s="3" t="s">
        <v>98</v>
      </c>
      <c r="F113" s="15">
        <v>0</v>
      </c>
      <c r="G113" s="16">
        <v>0</v>
      </c>
      <c r="H113" s="97"/>
    </row>
    <row r="114" spans="1:8" x14ac:dyDescent="0.2">
      <c r="A114" s="3"/>
      <c r="B114" s="3"/>
      <c r="C114" s="13"/>
      <c r="D114" s="3"/>
      <c r="E114" s="3"/>
      <c r="F114" s="14"/>
      <c r="G114" s="14"/>
      <c r="H114" s="97"/>
    </row>
    <row r="115" spans="1:8" x14ac:dyDescent="0.2">
      <c r="A115" s="3"/>
      <c r="B115" s="3"/>
      <c r="C115" s="4" t="s">
        <v>120</v>
      </c>
      <c r="D115" s="3"/>
      <c r="E115" s="3"/>
      <c r="F115" s="3"/>
      <c r="G115" s="3"/>
      <c r="H115" s="97"/>
    </row>
    <row r="116" spans="1:8" x14ac:dyDescent="0.2">
      <c r="A116" s="3"/>
      <c r="B116" s="3"/>
      <c r="C116" s="4" t="s">
        <v>121</v>
      </c>
      <c r="D116" s="3"/>
      <c r="E116" s="3"/>
      <c r="F116" s="3"/>
      <c r="G116" s="3"/>
      <c r="H116" s="97"/>
    </row>
    <row r="117" spans="1:8" x14ac:dyDescent="0.2">
      <c r="A117" s="3"/>
      <c r="B117" s="3"/>
      <c r="C117" s="4" t="s">
        <v>97</v>
      </c>
      <c r="D117" s="3"/>
      <c r="E117" s="3" t="s">
        <v>98</v>
      </c>
      <c r="F117" s="15">
        <v>0</v>
      </c>
      <c r="G117" s="16">
        <v>0</v>
      </c>
      <c r="H117" s="97"/>
    </row>
    <row r="118" spans="1:8" x14ac:dyDescent="0.2">
      <c r="A118" s="3"/>
      <c r="B118" s="3"/>
      <c r="C118" s="13"/>
      <c r="D118" s="3"/>
      <c r="E118" s="3"/>
      <c r="F118" s="14"/>
      <c r="G118" s="14"/>
      <c r="H118" s="97"/>
    </row>
    <row r="119" spans="1:8" x14ac:dyDescent="0.2">
      <c r="A119" s="3"/>
      <c r="B119" s="3"/>
      <c r="C119" s="13"/>
      <c r="D119" s="3"/>
      <c r="E119" s="3"/>
      <c r="F119" s="14"/>
      <c r="G119" s="14"/>
      <c r="H119" s="97"/>
    </row>
    <row r="120" spans="1:8" ht="25.5" x14ac:dyDescent="0.2">
      <c r="A120" s="3"/>
      <c r="B120" s="3"/>
      <c r="C120" s="4" t="s">
        <v>122</v>
      </c>
      <c r="D120" s="3"/>
      <c r="E120" s="3"/>
      <c r="F120" s="14"/>
      <c r="G120" s="14"/>
      <c r="H120" s="97"/>
    </row>
    <row r="121" spans="1:8" x14ac:dyDescent="0.2">
      <c r="A121" s="3"/>
      <c r="B121" s="3"/>
      <c r="C121" s="4" t="s">
        <v>97</v>
      </c>
      <c r="D121" s="3"/>
      <c r="E121" s="3" t="s">
        <v>98</v>
      </c>
      <c r="F121" s="15">
        <v>0</v>
      </c>
      <c r="G121" s="16">
        <v>0</v>
      </c>
      <c r="H121" s="97"/>
    </row>
    <row r="122" spans="1:8" x14ac:dyDescent="0.2">
      <c r="A122" s="3"/>
      <c r="B122" s="3"/>
      <c r="C122" s="13"/>
      <c r="D122" s="3"/>
      <c r="E122" s="3"/>
      <c r="F122" s="14"/>
      <c r="G122" s="14"/>
      <c r="H122" s="97"/>
    </row>
    <row r="123" spans="1:8" x14ac:dyDescent="0.2">
      <c r="A123" s="3"/>
      <c r="B123" s="6"/>
      <c r="C123" s="6"/>
      <c r="D123" s="4"/>
      <c r="E123" s="3"/>
      <c r="F123" s="6"/>
      <c r="G123" s="10"/>
      <c r="H123" s="97"/>
    </row>
    <row r="124" spans="1:8" x14ac:dyDescent="0.2">
      <c r="A124" s="10"/>
      <c r="B124" s="6"/>
      <c r="C124" s="6" t="s">
        <v>123</v>
      </c>
      <c r="D124" s="6"/>
      <c r="E124" s="10"/>
      <c r="F124" s="8">
        <v>1034.6160521899999</v>
      </c>
      <c r="G124" s="9">
        <v>5.1704389999999998E-3</v>
      </c>
      <c r="H124" s="97"/>
    </row>
    <row r="125" spans="1:8" x14ac:dyDescent="0.2">
      <c r="A125" s="13"/>
      <c r="B125" s="13"/>
      <c r="C125" s="4" t="s">
        <v>124</v>
      </c>
      <c r="D125" s="17"/>
      <c r="E125" s="17"/>
      <c r="F125" s="11">
        <v>200102.158392262</v>
      </c>
      <c r="G125" s="12">
        <v>0.99999999800000006</v>
      </c>
      <c r="H125" s="97"/>
    </row>
    <row r="126" spans="1:8" ht="14.1" customHeight="1" x14ac:dyDescent="0.2">
      <c r="A126" s="20"/>
      <c r="B126" s="226" t="s">
        <v>98</v>
      </c>
      <c r="C126" s="226"/>
      <c r="D126" s="226"/>
      <c r="E126" s="226"/>
      <c r="F126" s="226"/>
      <c r="G126" s="22"/>
    </row>
    <row r="127" spans="1:8" ht="14.1" customHeight="1" x14ac:dyDescent="0.2">
      <c r="A127" s="20"/>
      <c r="B127" s="20"/>
      <c r="C127" s="20"/>
      <c r="D127" s="22"/>
      <c r="E127" s="22"/>
      <c r="F127" s="22"/>
      <c r="G127" s="22"/>
    </row>
    <row r="128" spans="1:8" ht="14.1" customHeight="1" x14ac:dyDescent="0.2">
      <c r="A128" s="20"/>
      <c r="B128" s="224" t="s">
        <v>126</v>
      </c>
      <c r="C128" s="225"/>
      <c r="D128" s="14" t="s">
        <v>98</v>
      </c>
      <c r="E128" s="23"/>
      <c r="F128" s="22"/>
      <c r="G128" s="22"/>
    </row>
    <row r="129" spans="1:17" ht="29.1" customHeight="1" x14ac:dyDescent="0.2">
      <c r="A129" s="20"/>
      <c r="B129" s="231" t="s">
        <v>127</v>
      </c>
      <c r="C129" s="232"/>
      <c r="D129" s="4" t="s">
        <v>128</v>
      </c>
      <c r="E129" s="23"/>
      <c r="F129" s="22"/>
      <c r="G129" s="22"/>
    </row>
    <row r="130" spans="1:17" ht="17.100000000000001" customHeight="1" x14ac:dyDescent="0.2">
      <c r="A130" s="20"/>
      <c r="B130" s="231" t="s">
        <v>129</v>
      </c>
      <c r="C130" s="232"/>
      <c r="D130" s="4" t="s">
        <v>128</v>
      </c>
      <c r="E130" s="23"/>
      <c r="F130" s="22"/>
      <c r="G130" s="22"/>
    </row>
    <row r="131" spans="1:17" ht="17.100000000000001" customHeight="1" x14ac:dyDescent="0.2">
      <c r="A131" s="20"/>
      <c r="B131" s="231" t="s">
        <v>130</v>
      </c>
      <c r="C131" s="232"/>
      <c r="D131" s="14" t="s">
        <v>98</v>
      </c>
      <c r="E131" s="23"/>
      <c r="F131" s="22"/>
      <c r="G131" s="22"/>
    </row>
    <row r="132" spans="1:17" ht="24" customHeight="1" x14ac:dyDescent="0.2">
      <c r="A132" s="24"/>
      <c r="B132" s="25" t="s">
        <v>98</v>
      </c>
      <c r="C132" s="25" t="s">
        <v>131</v>
      </c>
      <c r="D132" s="25" t="s">
        <v>132</v>
      </c>
      <c r="E132" s="24"/>
      <c r="F132" s="24"/>
      <c r="G132" s="24"/>
    </row>
    <row r="133" spans="1:17" ht="18" customHeight="1" x14ac:dyDescent="0.2">
      <c r="A133" s="24"/>
      <c r="B133" s="25" t="s">
        <v>133</v>
      </c>
      <c r="C133" s="25" t="s">
        <v>134</v>
      </c>
      <c r="D133" s="25" t="s">
        <v>135</v>
      </c>
      <c r="E133" s="24"/>
      <c r="F133" s="24"/>
      <c r="G133" s="24"/>
    </row>
    <row r="134" spans="1:17" ht="17.100000000000001" customHeight="1" x14ac:dyDescent="0.2">
      <c r="A134" s="24"/>
      <c r="B134" s="6" t="s">
        <v>136</v>
      </c>
      <c r="C134" s="26">
        <v>21.722999999999999</v>
      </c>
      <c r="D134" s="26">
        <v>21.7563</v>
      </c>
      <c r="E134" s="24"/>
      <c r="F134" s="21"/>
      <c r="G134" s="27"/>
    </row>
    <row r="135" spans="1:17" ht="17.100000000000001" customHeight="1" x14ac:dyDescent="0.2">
      <c r="A135" s="24"/>
      <c r="B135" s="6" t="s">
        <v>1201</v>
      </c>
      <c r="C135" s="26">
        <v>18.513200000000001</v>
      </c>
      <c r="D135" s="26">
        <v>18.541599999999999</v>
      </c>
      <c r="E135" s="24"/>
      <c r="F135" s="21"/>
      <c r="G135" s="27"/>
    </row>
    <row r="136" spans="1:17" ht="17.100000000000001" customHeight="1" x14ac:dyDescent="0.2">
      <c r="A136" s="24"/>
      <c r="B136" s="6" t="s">
        <v>137</v>
      </c>
      <c r="C136" s="26">
        <v>20.997199999999999</v>
      </c>
      <c r="D136" s="26">
        <v>21.002199999999998</v>
      </c>
      <c r="E136" s="24"/>
      <c r="F136" s="21"/>
      <c r="G136" s="27"/>
    </row>
    <row r="137" spans="1:17" ht="17.100000000000001" customHeight="1" x14ac:dyDescent="0.2">
      <c r="A137" s="24"/>
      <c r="B137" s="6" t="s">
        <v>1202</v>
      </c>
      <c r="C137" s="26">
        <v>17.878299999999999</v>
      </c>
      <c r="D137" s="26">
        <v>17.8826</v>
      </c>
      <c r="E137" s="24"/>
      <c r="F137" s="21"/>
      <c r="G137" s="27"/>
    </row>
    <row r="138" spans="1:17" ht="14.1" customHeight="1" x14ac:dyDescent="0.2">
      <c r="A138" s="24"/>
      <c r="B138" s="24"/>
      <c r="C138" s="24"/>
      <c r="D138" s="24"/>
      <c r="E138" s="24"/>
      <c r="F138" s="24"/>
      <c r="G138" s="24"/>
      <c r="I138" s="87"/>
      <c r="J138" s="87"/>
      <c r="K138" s="87"/>
      <c r="L138" s="87"/>
      <c r="M138" s="87"/>
      <c r="N138" s="87"/>
      <c r="O138" s="87"/>
    </row>
    <row r="139" spans="1:17" ht="17.100000000000001" customHeight="1" x14ac:dyDescent="0.2">
      <c r="A139" s="24"/>
      <c r="B139" s="231" t="s">
        <v>1203</v>
      </c>
      <c r="C139" s="232"/>
      <c r="D139" s="4" t="s">
        <v>128</v>
      </c>
      <c r="E139" s="24"/>
      <c r="F139" s="24"/>
      <c r="G139" s="24"/>
    </row>
    <row r="140" spans="1:17" ht="18" customHeight="1" x14ac:dyDescent="0.2">
      <c r="A140" s="24"/>
      <c r="B140" s="28"/>
      <c r="C140" s="28"/>
      <c r="D140" s="29"/>
      <c r="E140" s="24"/>
      <c r="F140" s="24"/>
      <c r="G140" s="24"/>
    </row>
    <row r="141" spans="1:17" s="87" customFormat="1" x14ac:dyDescent="0.2">
      <c r="B141" s="233" t="s">
        <v>1207</v>
      </c>
      <c r="C141" s="233"/>
      <c r="D141" s="233"/>
      <c r="E141" s="233"/>
      <c r="F141" s="233"/>
      <c r="I141"/>
      <c r="J141"/>
      <c r="K141"/>
      <c r="L141"/>
      <c r="M141"/>
      <c r="N141"/>
      <c r="O141"/>
      <c r="P141" s="69"/>
      <c r="Q141" s="69"/>
    </row>
    <row r="142" spans="1:17" ht="14.1" customHeight="1" x14ac:dyDescent="0.2">
      <c r="A142" s="24"/>
      <c r="B142" s="21"/>
      <c r="C142" s="21"/>
      <c r="D142" s="24"/>
      <c r="E142" s="24"/>
      <c r="F142" s="24"/>
      <c r="G142" s="24"/>
    </row>
    <row r="143" spans="1:17" ht="29.1" customHeight="1" x14ac:dyDescent="0.2">
      <c r="A143" s="24"/>
      <c r="B143" s="231" t="s">
        <v>138</v>
      </c>
      <c r="C143" s="232"/>
      <c r="D143" s="4" t="s">
        <v>128</v>
      </c>
      <c r="E143" s="24"/>
      <c r="F143" s="24"/>
      <c r="G143" s="24"/>
    </row>
    <row r="144" spans="1:17" ht="29.1" customHeight="1" x14ac:dyDescent="0.2">
      <c r="A144" s="24"/>
      <c r="B144" s="231" t="s">
        <v>139</v>
      </c>
      <c r="C144" s="232"/>
      <c r="D144" s="4" t="s">
        <v>1155</v>
      </c>
      <c r="E144" s="24"/>
      <c r="F144" s="24"/>
      <c r="G144" s="24"/>
    </row>
    <row r="145" spans="1:7" ht="17.100000000000001" customHeight="1" x14ac:dyDescent="0.2">
      <c r="A145" s="24"/>
      <c r="B145" s="231" t="s">
        <v>140</v>
      </c>
      <c r="C145" s="232"/>
      <c r="D145" s="30">
        <v>0.47234315730031118</v>
      </c>
      <c r="E145" s="24"/>
      <c r="F145" s="21"/>
      <c r="G145" s="27"/>
    </row>
    <row r="146" spans="1:7" ht="17.100000000000001" customHeight="1" x14ac:dyDescent="0.2">
      <c r="A146" s="24"/>
      <c r="B146" s="231" t="s">
        <v>141</v>
      </c>
      <c r="C146" s="232"/>
      <c r="D146" s="4" t="s">
        <v>128</v>
      </c>
      <c r="E146" s="24"/>
      <c r="F146" s="24"/>
      <c r="G146" s="24"/>
    </row>
  </sheetData>
  <mergeCells count="15">
    <mergeCell ref="B145:C145"/>
    <mergeCell ref="B146:C146"/>
    <mergeCell ref="B129:C129"/>
    <mergeCell ref="B130:C130"/>
    <mergeCell ref="B131:C131"/>
    <mergeCell ref="B139:C139"/>
    <mergeCell ref="B143:C143"/>
    <mergeCell ref="B144:C144"/>
    <mergeCell ref="B141:F141"/>
    <mergeCell ref="J2:N2"/>
    <mergeCell ref="B128:C128"/>
    <mergeCell ref="B126:F126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45">
    <outlinePr summaryBelow="0" summaryRight="0"/>
  </sheetPr>
  <dimension ref="A1:Q143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5" ht="15" x14ac:dyDescent="0.2">
      <c r="A1" s="227" t="s">
        <v>0</v>
      </c>
      <c r="B1" s="227"/>
      <c r="C1" s="227"/>
      <c r="D1" s="227"/>
      <c r="E1" s="227"/>
      <c r="F1" s="227"/>
      <c r="G1" s="227"/>
      <c r="H1" s="227"/>
    </row>
    <row r="2" spans="1:15" s="87" customFormat="1" ht="15" x14ac:dyDescent="0.2">
      <c r="A2" s="228" t="s">
        <v>904</v>
      </c>
      <c r="B2" s="229"/>
      <c r="C2" s="229"/>
      <c r="D2" s="229"/>
      <c r="E2" s="229"/>
      <c r="F2" s="229"/>
      <c r="G2" s="229"/>
      <c r="H2" s="230"/>
      <c r="I2"/>
      <c r="J2" s="223" t="s">
        <v>1238</v>
      </c>
      <c r="K2" s="223"/>
      <c r="L2" s="223"/>
      <c r="M2" s="223"/>
      <c r="N2" s="223"/>
      <c r="O2"/>
    </row>
    <row r="3" spans="1:15" ht="15" x14ac:dyDescent="0.2">
      <c r="A3" s="227" t="s">
        <v>1208</v>
      </c>
      <c r="B3" s="227"/>
      <c r="C3" s="227"/>
      <c r="D3" s="227"/>
      <c r="E3" s="227"/>
      <c r="F3" s="227"/>
      <c r="G3" s="227"/>
      <c r="H3" s="227"/>
    </row>
    <row r="4" spans="1:15" s="113" customFormat="1" ht="30" x14ac:dyDescent="0.2">
      <c r="A4" s="1" t="s">
        <v>2</v>
      </c>
      <c r="B4" s="1" t="s">
        <v>3</v>
      </c>
      <c r="C4" s="1" t="s">
        <v>4</v>
      </c>
      <c r="D4" s="1" t="s">
        <v>5</v>
      </c>
      <c r="E4" s="2" t="s">
        <v>6</v>
      </c>
      <c r="F4" s="2" t="s">
        <v>7</v>
      </c>
      <c r="G4" s="2" t="s">
        <v>8</v>
      </c>
      <c r="H4" s="96" t="s">
        <v>1167</v>
      </c>
      <c r="I4" s="183"/>
      <c r="J4" s="183"/>
      <c r="K4" s="183"/>
      <c r="L4" s="183"/>
      <c r="M4" s="183"/>
      <c r="N4" s="183"/>
      <c r="O4" s="183"/>
    </row>
    <row r="5" spans="1:15" ht="14.1" customHeight="1" x14ac:dyDescent="0.2">
      <c r="A5" s="3"/>
      <c r="B5" s="3"/>
      <c r="C5" s="4" t="s">
        <v>9</v>
      </c>
      <c r="D5" s="3"/>
      <c r="E5" s="3"/>
      <c r="F5" s="3"/>
      <c r="G5" s="3"/>
      <c r="H5" s="97"/>
    </row>
    <row r="6" spans="1:15" ht="24" customHeight="1" x14ac:dyDescent="0.2">
      <c r="A6" s="3"/>
      <c r="B6" s="3"/>
      <c r="C6" s="4" t="s">
        <v>10</v>
      </c>
      <c r="D6" s="3"/>
      <c r="E6" s="3"/>
      <c r="F6" s="3"/>
      <c r="G6" s="3"/>
      <c r="H6" s="97"/>
    </row>
    <row r="7" spans="1:15" x14ac:dyDescent="0.2">
      <c r="A7" s="5">
        <v>1</v>
      </c>
      <c r="B7" s="6" t="s">
        <v>409</v>
      </c>
      <c r="C7" s="6" t="s">
        <v>410</v>
      </c>
      <c r="D7" s="6" t="s">
        <v>147</v>
      </c>
      <c r="E7" s="7">
        <v>950000</v>
      </c>
      <c r="F7" s="8">
        <v>17933.625</v>
      </c>
      <c r="G7" s="9">
        <v>8.6622704999999994E-2</v>
      </c>
      <c r="H7" s="97"/>
    </row>
    <row r="8" spans="1:15" x14ac:dyDescent="0.2">
      <c r="A8" s="5">
        <v>2</v>
      </c>
      <c r="B8" s="6" t="s">
        <v>23</v>
      </c>
      <c r="C8" s="6" t="s">
        <v>24</v>
      </c>
      <c r="D8" s="6" t="s">
        <v>25</v>
      </c>
      <c r="E8" s="7">
        <v>2200000</v>
      </c>
      <c r="F8" s="8">
        <v>16283.3</v>
      </c>
      <c r="G8" s="9">
        <v>7.8651332000000004E-2</v>
      </c>
      <c r="H8" s="97"/>
    </row>
    <row r="9" spans="1:15" x14ac:dyDescent="0.2">
      <c r="A9" s="5">
        <v>3</v>
      </c>
      <c r="B9" s="6" t="s">
        <v>14</v>
      </c>
      <c r="C9" s="6" t="s">
        <v>15</v>
      </c>
      <c r="D9" s="6" t="s">
        <v>16</v>
      </c>
      <c r="E9" s="7">
        <v>680000</v>
      </c>
      <c r="F9" s="8">
        <v>16103.42</v>
      </c>
      <c r="G9" s="9">
        <v>7.7782478000000002E-2</v>
      </c>
      <c r="H9" s="97"/>
    </row>
    <row r="10" spans="1:15" x14ac:dyDescent="0.2">
      <c r="A10" s="5">
        <v>4</v>
      </c>
      <c r="B10" s="6" t="s">
        <v>411</v>
      </c>
      <c r="C10" s="6" t="s">
        <v>412</v>
      </c>
      <c r="D10" s="6" t="s">
        <v>25</v>
      </c>
      <c r="E10" s="7">
        <v>810000</v>
      </c>
      <c r="F10" s="8">
        <v>11983.14</v>
      </c>
      <c r="G10" s="9">
        <v>5.7880768999999999E-2</v>
      </c>
      <c r="H10" s="97"/>
    </row>
    <row r="11" spans="1:15" x14ac:dyDescent="0.2">
      <c r="A11" s="5">
        <v>5</v>
      </c>
      <c r="B11" s="6" t="s">
        <v>17</v>
      </c>
      <c r="C11" s="6" t="s">
        <v>18</v>
      </c>
      <c r="D11" s="6" t="s">
        <v>19</v>
      </c>
      <c r="E11" s="7">
        <v>470000</v>
      </c>
      <c r="F11" s="8">
        <v>9009.9</v>
      </c>
      <c r="G11" s="9">
        <v>4.3519473000000003E-2</v>
      </c>
      <c r="H11" s="97"/>
    </row>
    <row r="12" spans="1:15" ht="25.5" x14ac:dyDescent="0.2">
      <c r="A12" s="5">
        <v>6</v>
      </c>
      <c r="B12" s="6" t="s">
        <v>413</v>
      </c>
      <c r="C12" s="6" t="s">
        <v>414</v>
      </c>
      <c r="D12" s="6" t="s">
        <v>81</v>
      </c>
      <c r="E12" s="7">
        <v>325000</v>
      </c>
      <c r="F12" s="8">
        <v>8405.9624999999996</v>
      </c>
      <c r="G12" s="9">
        <v>4.0602343999999999E-2</v>
      </c>
      <c r="H12" s="97"/>
    </row>
    <row r="13" spans="1:15" x14ac:dyDescent="0.2">
      <c r="A13" s="5">
        <v>7</v>
      </c>
      <c r="B13" s="6" t="s">
        <v>315</v>
      </c>
      <c r="C13" s="6" t="s">
        <v>316</v>
      </c>
      <c r="D13" s="6" t="s">
        <v>25</v>
      </c>
      <c r="E13" s="7">
        <v>1170000</v>
      </c>
      <c r="F13" s="8">
        <v>7939.0349999999999</v>
      </c>
      <c r="G13" s="9">
        <v>3.8346998E-2</v>
      </c>
      <c r="H13" s="97"/>
    </row>
    <row r="14" spans="1:15" x14ac:dyDescent="0.2">
      <c r="A14" s="5">
        <v>8</v>
      </c>
      <c r="B14" s="6" t="s">
        <v>415</v>
      </c>
      <c r="C14" s="6" t="s">
        <v>416</v>
      </c>
      <c r="D14" s="6" t="s">
        <v>25</v>
      </c>
      <c r="E14" s="7">
        <v>1675000</v>
      </c>
      <c r="F14" s="8">
        <v>7712.5375000000004</v>
      </c>
      <c r="G14" s="9">
        <v>3.7252974000000001E-2</v>
      </c>
      <c r="H14" s="97"/>
    </row>
    <row r="15" spans="1:15" ht="15" x14ac:dyDescent="0.2">
      <c r="A15" s="5">
        <v>9</v>
      </c>
      <c r="B15" s="6" t="s">
        <v>417</v>
      </c>
      <c r="C15" s="6" t="s">
        <v>418</v>
      </c>
      <c r="D15" s="6" t="s">
        <v>147</v>
      </c>
      <c r="E15" s="7">
        <v>177500</v>
      </c>
      <c r="F15" s="8">
        <v>6635.57125</v>
      </c>
      <c r="G15" s="9">
        <v>3.2051029000000002E-2</v>
      </c>
      <c r="H15" s="97"/>
      <c r="J15" s="184" t="s">
        <v>1276</v>
      </c>
    </row>
    <row r="16" spans="1:15" x14ac:dyDescent="0.2">
      <c r="A16" s="5">
        <v>10</v>
      </c>
      <c r="B16" s="6" t="s">
        <v>369</v>
      </c>
      <c r="C16" s="6" t="s">
        <v>370</v>
      </c>
      <c r="D16" s="6" t="s">
        <v>147</v>
      </c>
      <c r="E16" s="7">
        <v>500000</v>
      </c>
      <c r="F16" s="8">
        <v>6595.5</v>
      </c>
      <c r="G16" s="9">
        <v>3.1857477000000002E-2</v>
      </c>
      <c r="H16" s="97"/>
    </row>
    <row r="17" spans="1:10" ht="25.5" x14ac:dyDescent="0.2">
      <c r="A17" s="5">
        <v>11</v>
      </c>
      <c r="B17" s="6" t="s">
        <v>319</v>
      </c>
      <c r="C17" s="6" t="s">
        <v>320</v>
      </c>
      <c r="D17" s="6" t="s">
        <v>202</v>
      </c>
      <c r="E17" s="7">
        <v>720000</v>
      </c>
      <c r="F17" s="8">
        <v>6395.76</v>
      </c>
      <c r="G17" s="9">
        <v>3.0892696000000001E-2</v>
      </c>
      <c r="H17" s="97"/>
    </row>
    <row r="18" spans="1:10" x14ac:dyDescent="0.2">
      <c r="A18" s="5">
        <v>12</v>
      </c>
      <c r="B18" s="6" t="s">
        <v>11</v>
      </c>
      <c r="C18" s="6" t="s">
        <v>12</v>
      </c>
      <c r="D18" s="6" t="s">
        <v>13</v>
      </c>
      <c r="E18" s="7">
        <v>330000</v>
      </c>
      <c r="F18" s="8">
        <v>6256.47</v>
      </c>
      <c r="G18" s="9">
        <v>3.0219900000000001E-2</v>
      </c>
      <c r="H18" s="97"/>
    </row>
    <row r="19" spans="1:10" x14ac:dyDescent="0.2">
      <c r="A19" s="5">
        <v>13</v>
      </c>
      <c r="B19" s="6" t="s">
        <v>274</v>
      </c>
      <c r="C19" s="6" t="s">
        <v>275</v>
      </c>
      <c r="D19" s="6" t="s">
        <v>185</v>
      </c>
      <c r="E19" s="7">
        <v>140000</v>
      </c>
      <c r="F19" s="8">
        <v>5863.9</v>
      </c>
      <c r="G19" s="9">
        <v>2.8323714999999999E-2</v>
      </c>
      <c r="H19" s="97"/>
    </row>
    <row r="20" spans="1:10" x14ac:dyDescent="0.2">
      <c r="A20" s="5">
        <v>14</v>
      </c>
      <c r="B20" s="6" t="s">
        <v>90</v>
      </c>
      <c r="C20" s="6" t="s">
        <v>91</v>
      </c>
      <c r="D20" s="6" t="s">
        <v>19</v>
      </c>
      <c r="E20" s="7">
        <v>58500</v>
      </c>
      <c r="F20" s="8">
        <v>5138.8739999999998</v>
      </c>
      <c r="G20" s="9">
        <v>2.4821705999999999E-2</v>
      </c>
      <c r="H20" s="97"/>
    </row>
    <row r="21" spans="1:10" x14ac:dyDescent="0.2">
      <c r="A21" s="5">
        <v>15</v>
      </c>
      <c r="B21" s="6" t="s">
        <v>181</v>
      </c>
      <c r="C21" s="6" t="s">
        <v>182</v>
      </c>
      <c r="D21" s="6" t="s">
        <v>1189</v>
      </c>
      <c r="E21" s="7">
        <v>600000</v>
      </c>
      <c r="F21" s="8">
        <v>5138.1000000000004</v>
      </c>
      <c r="G21" s="9">
        <v>2.4817967E-2</v>
      </c>
      <c r="H21" s="97"/>
    </row>
    <row r="22" spans="1:10" x14ac:dyDescent="0.2">
      <c r="A22" s="5">
        <v>16</v>
      </c>
      <c r="B22" s="6" t="s">
        <v>20</v>
      </c>
      <c r="C22" s="6" t="s">
        <v>21</v>
      </c>
      <c r="D22" s="6" t="s">
        <v>22</v>
      </c>
      <c r="E22" s="7">
        <v>750000</v>
      </c>
      <c r="F22" s="8">
        <v>5128.5</v>
      </c>
      <c r="G22" s="9">
        <v>2.4771597999999999E-2</v>
      </c>
      <c r="H22" s="97"/>
    </row>
    <row r="23" spans="1:10" x14ac:dyDescent="0.2">
      <c r="A23" s="5">
        <v>17</v>
      </c>
      <c r="B23" s="6" t="s">
        <v>419</v>
      </c>
      <c r="C23" s="6" t="s">
        <v>420</v>
      </c>
      <c r="D23" s="6" t="s">
        <v>1183</v>
      </c>
      <c r="E23" s="7">
        <v>350000</v>
      </c>
      <c r="F23" s="8">
        <v>4186</v>
      </c>
      <c r="G23" s="9">
        <v>2.0219148999999999E-2</v>
      </c>
      <c r="H23" s="97"/>
    </row>
    <row r="24" spans="1:10" x14ac:dyDescent="0.2">
      <c r="A24" s="5">
        <v>18</v>
      </c>
      <c r="B24" s="6" t="s">
        <v>434</v>
      </c>
      <c r="C24" s="6" t="s">
        <v>435</v>
      </c>
      <c r="D24" s="6" t="s">
        <v>238</v>
      </c>
      <c r="E24" s="7">
        <v>550000</v>
      </c>
      <c r="F24" s="8">
        <v>4089.5250000000001</v>
      </c>
      <c r="G24" s="9">
        <v>1.9753157E-2</v>
      </c>
      <c r="H24" s="97"/>
    </row>
    <row r="25" spans="1:10" x14ac:dyDescent="0.2">
      <c r="A25" s="5">
        <v>19</v>
      </c>
      <c r="B25" s="6" t="s">
        <v>323</v>
      </c>
      <c r="C25" s="6" t="s">
        <v>324</v>
      </c>
      <c r="D25" s="6" t="s">
        <v>1187</v>
      </c>
      <c r="E25" s="7">
        <v>112500</v>
      </c>
      <c r="F25" s="8">
        <v>4039.9875000000002</v>
      </c>
      <c r="G25" s="9">
        <v>1.9513882E-2</v>
      </c>
      <c r="H25" s="97"/>
    </row>
    <row r="26" spans="1:10" ht="25.5" x14ac:dyDescent="0.2">
      <c r="A26" s="5">
        <v>20</v>
      </c>
      <c r="B26" s="6" t="s">
        <v>26</v>
      </c>
      <c r="C26" s="6" t="s">
        <v>27</v>
      </c>
      <c r="D26" s="6" t="s">
        <v>1185</v>
      </c>
      <c r="E26" s="7">
        <v>400000</v>
      </c>
      <c r="F26" s="8">
        <v>4016.4</v>
      </c>
      <c r="G26" s="9">
        <v>1.9399949999999999E-2</v>
      </c>
      <c r="H26" s="97"/>
    </row>
    <row r="27" spans="1:10" ht="25.5" x14ac:dyDescent="0.2">
      <c r="A27" s="5">
        <v>21</v>
      </c>
      <c r="B27" s="6" t="s">
        <v>334</v>
      </c>
      <c r="C27" s="6" t="s">
        <v>335</v>
      </c>
      <c r="D27" s="6" t="s">
        <v>70</v>
      </c>
      <c r="E27" s="7">
        <v>800000</v>
      </c>
      <c r="F27" s="8">
        <v>3499.6</v>
      </c>
      <c r="G27" s="9">
        <v>1.6903710999999998E-2</v>
      </c>
      <c r="H27" s="97"/>
    </row>
    <row r="28" spans="1:10" ht="15" x14ac:dyDescent="0.2">
      <c r="A28" s="5">
        <v>22</v>
      </c>
      <c r="B28" s="6" t="s">
        <v>381</v>
      </c>
      <c r="C28" s="6" t="s">
        <v>382</v>
      </c>
      <c r="D28" s="6" t="s">
        <v>1183</v>
      </c>
      <c r="E28" s="7">
        <v>21000</v>
      </c>
      <c r="F28" s="8">
        <v>3445.3020000000001</v>
      </c>
      <c r="G28" s="9">
        <v>1.6641441999999999E-2</v>
      </c>
      <c r="H28" s="97"/>
      <c r="J28" s="184" t="s">
        <v>1253</v>
      </c>
    </row>
    <row r="29" spans="1:10" x14ac:dyDescent="0.2">
      <c r="A29" s="5">
        <v>23</v>
      </c>
      <c r="B29" s="6" t="s">
        <v>429</v>
      </c>
      <c r="C29" s="6" t="s">
        <v>430</v>
      </c>
      <c r="D29" s="6" t="s">
        <v>431</v>
      </c>
      <c r="E29" s="7">
        <v>650000</v>
      </c>
      <c r="F29" s="8">
        <v>3091.0749999999998</v>
      </c>
      <c r="G29" s="9">
        <v>1.493046E-2</v>
      </c>
      <c r="H29" s="97"/>
    </row>
    <row r="30" spans="1:10" ht="25.5" x14ac:dyDescent="0.2">
      <c r="A30" s="5">
        <v>24</v>
      </c>
      <c r="B30" s="6" t="s">
        <v>425</v>
      </c>
      <c r="C30" s="6" t="s">
        <v>426</v>
      </c>
      <c r="D30" s="6" t="s">
        <v>202</v>
      </c>
      <c r="E30" s="7">
        <v>130000</v>
      </c>
      <c r="F30" s="8">
        <v>3068.1950000000002</v>
      </c>
      <c r="G30" s="9">
        <v>1.4819946000000001E-2</v>
      </c>
      <c r="H30" s="97"/>
    </row>
    <row r="31" spans="1:10" ht="25.5" x14ac:dyDescent="0.2">
      <c r="A31" s="5">
        <v>25</v>
      </c>
      <c r="B31" s="6" t="s">
        <v>28</v>
      </c>
      <c r="C31" s="6" t="s">
        <v>29</v>
      </c>
      <c r="D31" s="6" t="s">
        <v>1185</v>
      </c>
      <c r="E31" s="7">
        <v>38000</v>
      </c>
      <c r="F31" s="8">
        <v>2884.5990000000002</v>
      </c>
      <c r="G31" s="9">
        <v>1.3933143E-2</v>
      </c>
      <c r="H31" s="97"/>
    </row>
    <row r="32" spans="1:10" x14ac:dyDescent="0.2">
      <c r="A32" s="5">
        <v>26</v>
      </c>
      <c r="B32" s="6" t="s">
        <v>332</v>
      </c>
      <c r="C32" s="6" t="s">
        <v>333</v>
      </c>
      <c r="D32" s="6" t="s">
        <v>60</v>
      </c>
      <c r="E32" s="7">
        <v>740000</v>
      </c>
      <c r="F32" s="8">
        <v>2791.65</v>
      </c>
      <c r="G32" s="9">
        <v>1.3484183E-2</v>
      </c>
      <c r="H32" s="97"/>
    </row>
    <row r="33" spans="1:8" x14ac:dyDescent="0.2">
      <c r="A33" s="5">
        <v>27</v>
      </c>
      <c r="B33" s="6" t="s">
        <v>336</v>
      </c>
      <c r="C33" s="6" t="s">
        <v>337</v>
      </c>
      <c r="D33" s="6" t="s">
        <v>193</v>
      </c>
      <c r="E33" s="7">
        <v>71000</v>
      </c>
      <c r="F33" s="8">
        <v>2743.8305</v>
      </c>
      <c r="G33" s="9">
        <v>1.3253206E-2</v>
      </c>
      <c r="H33" s="97"/>
    </row>
    <row r="34" spans="1:8" x14ac:dyDescent="0.2">
      <c r="A34" s="5">
        <v>28</v>
      </c>
      <c r="B34" s="6" t="s">
        <v>427</v>
      </c>
      <c r="C34" s="6" t="s">
        <v>428</v>
      </c>
      <c r="D34" s="6" t="s">
        <v>147</v>
      </c>
      <c r="E34" s="7">
        <v>145000</v>
      </c>
      <c r="F34" s="8">
        <v>2596.2975000000001</v>
      </c>
      <c r="G34" s="9">
        <v>1.2540594E-2</v>
      </c>
      <c r="H34" s="97"/>
    </row>
    <row r="35" spans="1:8" x14ac:dyDescent="0.2">
      <c r="A35" s="5">
        <v>29</v>
      </c>
      <c r="B35" s="6" t="s">
        <v>148</v>
      </c>
      <c r="C35" s="6" t="s">
        <v>149</v>
      </c>
      <c r="D35" s="6" t="s">
        <v>70</v>
      </c>
      <c r="E35" s="7">
        <v>400000</v>
      </c>
      <c r="F35" s="8">
        <v>2391.6</v>
      </c>
      <c r="G35" s="9">
        <v>1.1551868E-2</v>
      </c>
      <c r="H35" s="97"/>
    </row>
    <row r="36" spans="1:8" x14ac:dyDescent="0.2">
      <c r="A36" s="5">
        <v>30</v>
      </c>
      <c r="B36" s="6" t="s">
        <v>423</v>
      </c>
      <c r="C36" s="6" t="s">
        <v>424</v>
      </c>
      <c r="D36" s="6" t="s">
        <v>193</v>
      </c>
      <c r="E36" s="7">
        <v>270000</v>
      </c>
      <c r="F36" s="8">
        <v>2283.39</v>
      </c>
      <c r="G36" s="9">
        <v>1.1029193E-2</v>
      </c>
      <c r="H36" s="97"/>
    </row>
    <row r="37" spans="1:8" x14ac:dyDescent="0.2">
      <c r="A37" s="5">
        <v>31</v>
      </c>
      <c r="B37" s="6" t="s">
        <v>39</v>
      </c>
      <c r="C37" s="6" t="s">
        <v>40</v>
      </c>
      <c r="D37" s="6" t="s">
        <v>16</v>
      </c>
      <c r="E37" s="7">
        <v>575000</v>
      </c>
      <c r="F37" s="8">
        <v>2216.3375000000001</v>
      </c>
      <c r="G37" s="9">
        <v>1.0705317000000001E-2</v>
      </c>
      <c r="H37" s="97"/>
    </row>
    <row r="38" spans="1:8" x14ac:dyDescent="0.2">
      <c r="A38" s="5">
        <v>32</v>
      </c>
      <c r="B38" s="6" t="s">
        <v>432</v>
      </c>
      <c r="C38" s="6" t="s">
        <v>433</v>
      </c>
      <c r="D38" s="6" t="s">
        <v>78</v>
      </c>
      <c r="E38" s="7">
        <v>220000</v>
      </c>
      <c r="F38" s="8">
        <v>1841.73</v>
      </c>
      <c r="G38" s="9">
        <v>8.8958939999999997E-3</v>
      </c>
      <c r="H38" s="97"/>
    </row>
    <row r="39" spans="1:8" ht="25.5" x14ac:dyDescent="0.2">
      <c r="A39" s="5">
        <v>33</v>
      </c>
      <c r="B39" s="6" t="s">
        <v>436</v>
      </c>
      <c r="C39" s="6" t="s">
        <v>437</v>
      </c>
      <c r="D39" s="6" t="s">
        <v>202</v>
      </c>
      <c r="E39" s="7">
        <v>750000</v>
      </c>
      <c r="F39" s="8">
        <v>1635.375</v>
      </c>
      <c r="G39" s="9">
        <v>7.8991619999999995E-3</v>
      </c>
      <c r="H39" s="97"/>
    </row>
    <row r="40" spans="1:8" x14ac:dyDescent="0.2">
      <c r="A40" s="5">
        <v>34</v>
      </c>
      <c r="B40" s="6" t="s">
        <v>243</v>
      </c>
      <c r="C40" s="6" t="s">
        <v>244</v>
      </c>
      <c r="D40" s="6" t="s">
        <v>185</v>
      </c>
      <c r="E40" s="7">
        <v>290000</v>
      </c>
      <c r="F40" s="8">
        <v>1602.25</v>
      </c>
      <c r="G40" s="9">
        <v>7.739162E-3</v>
      </c>
      <c r="H40" s="97"/>
    </row>
    <row r="41" spans="1:8" x14ac:dyDescent="0.2">
      <c r="A41" s="5">
        <v>35</v>
      </c>
      <c r="B41" s="6" t="s">
        <v>440</v>
      </c>
      <c r="C41" s="6" t="s">
        <v>441</v>
      </c>
      <c r="D41" s="6" t="s">
        <v>25</v>
      </c>
      <c r="E41" s="7">
        <v>86000</v>
      </c>
      <c r="F41" s="8">
        <v>1544.646</v>
      </c>
      <c r="G41" s="9">
        <v>7.4609239999999999E-3</v>
      </c>
      <c r="H41" s="97"/>
    </row>
    <row r="42" spans="1:8" x14ac:dyDescent="0.2">
      <c r="A42" s="5">
        <v>36</v>
      </c>
      <c r="B42" s="6" t="s">
        <v>311</v>
      </c>
      <c r="C42" s="6" t="s">
        <v>312</v>
      </c>
      <c r="D42" s="6" t="s">
        <v>284</v>
      </c>
      <c r="E42" s="7">
        <v>3750</v>
      </c>
      <c r="F42" s="8">
        <v>1515.808125</v>
      </c>
      <c r="G42" s="9">
        <v>7.3216319999999998E-3</v>
      </c>
      <c r="H42" s="97"/>
    </row>
    <row r="43" spans="1:8" x14ac:dyDescent="0.2">
      <c r="A43" s="5">
        <v>37</v>
      </c>
      <c r="B43" s="6" t="s">
        <v>357</v>
      </c>
      <c r="C43" s="6" t="s">
        <v>358</v>
      </c>
      <c r="D43" s="6" t="s">
        <v>48</v>
      </c>
      <c r="E43" s="7">
        <v>235000</v>
      </c>
      <c r="F43" s="8">
        <v>1444.1925000000001</v>
      </c>
      <c r="G43" s="9">
        <v>6.9757150000000004E-3</v>
      </c>
      <c r="H43" s="97"/>
    </row>
    <row r="44" spans="1:8" x14ac:dyDescent="0.2">
      <c r="A44" s="5">
        <v>38</v>
      </c>
      <c r="B44" s="6" t="s">
        <v>344</v>
      </c>
      <c r="C44" s="6" t="s">
        <v>345</v>
      </c>
      <c r="D44" s="6" t="s">
        <v>81</v>
      </c>
      <c r="E44" s="7">
        <v>110000</v>
      </c>
      <c r="F44" s="8">
        <v>1338.7</v>
      </c>
      <c r="G44" s="9">
        <v>6.4661670000000001E-3</v>
      </c>
      <c r="H44" s="97"/>
    </row>
    <row r="45" spans="1:8" x14ac:dyDescent="0.2">
      <c r="A45" s="5">
        <v>39</v>
      </c>
      <c r="B45" s="6" t="s">
        <v>175</v>
      </c>
      <c r="C45" s="6" t="s">
        <v>176</v>
      </c>
      <c r="D45" s="6" t="s">
        <v>16</v>
      </c>
      <c r="E45" s="7">
        <v>425000</v>
      </c>
      <c r="F45" s="8">
        <v>1242.4875</v>
      </c>
      <c r="G45" s="9">
        <v>6.0014430000000004E-3</v>
      </c>
      <c r="H45" s="97"/>
    </row>
    <row r="46" spans="1:8" x14ac:dyDescent="0.2">
      <c r="A46" s="5">
        <v>40</v>
      </c>
      <c r="B46" s="6" t="s">
        <v>280</v>
      </c>
      <c r="C46" s="6" t="s">
        <v>281</v>
      </c>
      <c r="D46" s="6" t="s">
        <v>238</v>
      </c>
      <c r="E46" s="7">
        <v>55000</v>
      </c>
      <c r="F46" s="8">
        <v>965.14</v>
      </c>
      <c r="G46" s="9">
        <v>4.6618040000000003E-3</v>
      </c>
      <c r="H46" s="97"/>
    </row>
    <row r="47" spans="1:8" x14ac:dyDescent="0.2">
      <c r="A47" s="5">
        <v>41</v>
      </c>
      <c r="B47" s="6" t="s">
        <v>371</v>
      </c>
      <c r="C47" s="6" t="s">
        <v>372</v>
      </c>
      <c r="D47" s="6" t="s">
        <v>70</v>
      </c>
      <c r="E47" s="7">
        <v>1332873</v>
      </c>
      <c r="F47" s="8">
        <v>912.35156849999998</v>
      </c>
      <c r="G47" s="9">
        <v>4.406826E-3</v>
      </c>
      <c r="H47" s="97"/>
    </row>
    <row r="48" spans="1:8" x14ac:dyDescent="0.2">
      <c r="A48" s="5">
        <v>42</v>
      </c>
      <c r="B48" s="6" t="s">
        <v>350</v>
      </c>
      <c r="C48" s="6" t="s">
        <v>351</v>
      </c>
      <c r="D48" s="6" t="s">
        <v>25</v>
      </c>
      <c r="E48" s="7">
        <v>1000000</v>
      </c>
      <c r="F48" s="8">
        <v>819.5</v>
      </c>
      <c r="G48" s="9">
        <v>3.9583359999999998E-3</v>
      </c>
      <c r="H48" s="97"/>
    </row>
    <row r="49" spans="1:8" x14ac:dyDescent="0.2">
      <c r="A49" s="5">
        <v>43</v>
      </c>
      <c r="B49" s="6" t="s">
        <v>303</v>
      </c>
      <c r="C49" s="6" t="s">
        <v>304</v>
      </c>
      <c r="D49" s="6" t="s">
        <v>174</v>
      </c>
      <c r="E49" s="7">
        <v>14000</v>
      </c>
      <c r="F49" s="8">
        <v>701.87599999999998</v>
      </c>
      <c r="G49" s="9">
        <v>3.39019E-3</v>
      </c>
      <c r="H49" s="97"/>
    </row>
    <row r="50" spans="1:8" x14ac:dyDescent="0.2">
      <c r="A50" s="5">
        <v>44</v>
      </c>
      <c r="B50" s="6" t="s">
        <v>328</v>
      </c>
      <c r="C50" s="6" t="s">
        <v>329</v>
      </c>
      <c r="D50" s="6" t="s">
        <v>25</v>
      </c>
      <c r="E50" s="7">
        <v>699500</v>
      </c>
      <c r="F50" s="8">
        <v>580.58500000000004</v>
      </c>
      <c r="G50" s="9">
        <v>2.8043320000000001E-3</v>
      </c>
      <c r="H50" s="97"/>
    </row>
    <row r="51" spans="1:8" x14ac:dyDescent="0.2">
      <c r="A51" s="5">
        <v>45</v>
      </c>
      <c r="B51" s="6" t="s">
        <v>92</v>
      </c>
      <c r="C51" s="6" t="s">
        <v>93</v>
      </c>
      <c r="D51" s="6" t="s">
        <v>53</v>
      </c>
      <c r="E51" s="7">
        <v>263729</v>
      </c>
      <c r="F51" s="8">
        <v>226.9388045</v>
      </c>
      <c r="G51" s="9">
        <v>1.096156E-3</v>
      </c>
      <c r="H51" s="97"/>
    </row>
    <row r="52" spans="1:8" x14ac:dyDescent="0.2">
      <c r="A52" s="3"/>
      <c r="B52" s="3"/>
      <c r="C52" s="4" t="s">
        <v>97</v>
      </c>
      <c r="D52" s="3"/>
      <c r="E52" s="3" t="s">
        <v>98</v>
      </c>
      <c r="F52" s="11">
        <v>206238.964748</v>
      </c>
      <c r="G52" s="12">
        <v>0.99617210499999997</v>
      </c>
      <c r="H52" s="97"/>
    </row>
    <row r="53" spans="1:8" x14ac:dyDescent="0.2">
      <c r="A53" s="3"/>
      <c r="B53" s="3"/>
      <c r="C53" s="13"/>
      <c r="D53" s="3"/>
      <c r="E53" s="3"/>
      <c r="F53" s="14"/>
      <c r="G53" s="14"/>
      <c r="H53" s="97"/>
    </row>
    <row r="54" spans="1:8" x14ac:dyDescent="0.2">
      <c r="A54" s="3"/>
      <c r="B54" s="3"/>
      <c r="C54" s="4" t="s">
        <v>99</v>
      </c>
      <c r="D54" s="3"/>
      <c r="E54" s="3"/>
      <c r="F54" s="3"/>
      <c r="G54" s="3"/>
      <c r="H54" s="97"/>
    </row>
    <row r="55" spans="1:8" x14ac:dyDescent="0.2">
      <c r="A55" s="3"/>
      <c r="B55" s="3"/>
      <c r="C55" s="4" t="s">
        <v>97</v>
      </c>
      <c r="D55" s="3"/>
      <c r="E55" s="3" t="s">
        <v>98</v>
      </c>
      <c r="F55" s="15">
        <v>0</v>
      </c>
      <c r="G55" s="16">
        <v>0</v>
      </c>
      <c r="H55" s="97"/>
    </row>
    <row r="56" spans="1:8" x14ac:dyDescent="0.2">
      <c r="A56" s="3"/>
      <c r="B56" s="3"/>
      <c r="C56" s="13"/>
      <c r="D56" s="3"/>
      <c r="E56" s="3"/>
      <c r="F56" s="14"/>
      <c r="G56" s="14"/>
      <c r="H56" s="97"/>
    </row>
    <row r="57" spans="1:8" x14ac:dyDescent="0.2">
      <c r="A57" s="3"/>
      <c r="B57" s="3"/>
      <c r="C57" s="4" t="s">
        <v>100</v>
      </c>
      <c r="D57" s="3"/>
      <c r="E57" s="3"/>
      <c r="F57" s="3"/>
      <c r="G57" s="3"/>
      <c r="H57" s="97"/>
    </row>
    <row r="58" spans="1:8" x14ac:dyDescent="0.2">
      <c r="A58" s="3"/>
      <c r="B58" s="3"/>
      <c r="C58" s="4" t="s">
        <v>97</v>
      </c>
      <c r="D58" s="3"/>
      <c r="E58" s="3" t="s">
        <v>98</v>
      </c>
      <c r="F58" s="15">
        <v>0</v>
      </c>
      <c r="G58" s="16">
        <v>0</v>
      </c>
      <c r="H58" s="97"/>
    </row>
    <row r="59" spans="1:8" x14ac:dyDescent="0.2">
      <c r="A59" s="3"/>
      <c r="B59" s="3"/>
      <c r="C59" s="13"/>
      <c r="D59" s="3"/>
      <c r="E59" s="3"/>
      <c r="F59" s="14"/>
      <c r="G59" s="14"/>
      <c r="H59" s="97"/>
    </row>
    <row r="60" spans="1:8" x14ac:dyDescent="0.2">
      <c r="A60" s="3"/>
      <c r="B60" s="3"/>
      <c r="C60" s="4" t="s">
        <v>101</v>
      </c>
      <c r="D60" s="3"/>
      <c r="E60" s="3"/>
      <c r="F60" s="3"/>
      <c r="G60" s="3"/>
      <c r="H60" s="97"/>
    </row>
    <row r="61" spans="1:8" x14ac:dyDescent="0.2">
      <c r="A61" s="3"/>
      <c r="B61" s="3"/>
      <c r="C61" s="4" t="s">
        <v>97</v>
      </c>
      <c r="D61" s="3"/>
      <c r="E61" s="3" t="s">
        <v>98</v>
      </c>
      <c r="F61" s="15">
        <v>0</v>
      </c>
      <c r="G61" s="16">
        <v>0</v>
      </c>
      <c r="H61" s="97"/>
    </row>
    <row r="62" spans="1:8" x14ac:dyDescent="0.2">
      <c r="A62" s="3"/>
      <c r="B62" s="3"/>
      <c r="C62" s="13"/>
      <c r="D62" s="3"/>
      <c r="E62" s="3"/>
      <c r="F62" s="14"/>
      <c r="G62" s="14"/>
      <c r="H62" s="97"/>
    </row>
    <row r="63" spans="1:8" x14ac:dyDescent="0.2">
      <c r="A63" s="3"/>
      <c r="B63" s="3"/>
      <c r="C63" s="4" t="s">
        <v>102</v>
      </c>
      <c r="D63" s="3"/>
      <c r="E63" s="3"/>
      <c r="F63" s="14"/>
      <c r="G63" s="14"/>
      <c r="H63" s="97"/>
    </row>
    <row r="64" spans="1:8" x14ac:dyDescent="0.2">
      <c r="A64" s="3"/>
      <c r="B64" s="3"/>
      <c r="C64" s="4" t="s">
        <v>97</v>
      </c>
      <c r="D64" s="3"/>
      <c r="E64" s="3" t="s">
        <v>98</v>
      </c>
      <c r="F64" s="15">
        <v>0</v>
      </c>
      <c r="G64" s="16">
        <v>0</v>
      </c>
      <c r="H64" s="97"/>
    </row>
    <row r="65" spans="1:15" x14ac:dyDescent="0.2">
      <c r="A65" s="3"/>
      <c r="B65" s="3"/>
      <c r="C65" s="13"/>
      <c r="D65" s="3"/>
      <c r="E65" s="3"/>
      <c r="F65" s="14"/>
      <c r="G65" s="14"/>
      <c r="H65" s="97"/>
    </row>
    <row r="66" spans="1:15" x14ac:dyDescent="0.2">
      <c r="A66" s="3"/>
      <c r="B66" s="3"/>
      <c r="C66" s="4" t="s">
        <v>103</v>
      </c>
      <c r="D66" s="3"/>
      <c r="E66" s="3"/>
      <c r="F66" s="14"/>
      <c r="G66" s="14"/>
      <c r="H66" s="97"/>
    </row>
    <row r="67" spans="1:15" x14ac:dyDescent="0.2">
      <c r="A67" s="3"/>
      <c r="B67" s="3"/>
      <c r="C67" s="4" t="s">
        <v>97</v>
      </c>
      <c r="D67" s="3"/>
      <c r="E67" s="3" t="s">
        <v>98</v>
      </c>
      <c r="F67" s="15">
        <v>0</v>
      </c>
      <c r="G67" s="16">
        <v>0</v>
      </c>
      <c r="H67" s="97"/>
    </row>
    <row r="68" spans="1:15" x14ac:dyDescent="0.2">
      <c r="A68" s="3"/>
      <c r="B68" s="3"/>
      <c r="C68" s="13"/>
      <c r="D68" s="3"/>
      <c r="E68" s="3"/>
      <c r="F68" s="14"/>
      <c r="G68" s="14"/>
      <c r="H68" s="97"/>
    </row>
    <row r="69" spans="1:15" x14ac:dyDescent="0.2">
      <c r="A69" s="3"/>
      <c r="B69" s="3"/>
      <c r="C69" s="4" t="s">
        <v>104</v>
      </c>
      <c r="D69" s="3"/>
      <c r="E69" s="3"/>
      <c r="F69" s="11">
        <v>206238.964748</v>
      </c>
      <c r="G69" s="12">
        <v>0.99617210499999997</v>
      </c>
      <c r="H69" s="97"/>
      <c r="I69" s="69"/>
      <c r="J69" s="69"/>
      <c r="K69" s="69"/>
      <c r="L69" s="69"/>
      <c r="M69" s="69"/>
      <c r="N69" s="69"/>
      <c r="O69" s="69"/>
    </row>
    <row r="70" spans="1:15" x14ac:dyDescent="0.2">
      <c r="A70" s="3"/>
      <c r="B70" s="3"/>
      <c r="C70" s="13"/>
      <c r="D70" s="3"/>
      <c r="E70" s="3"/>
      <c r="F70" s="14"/>
      <c r="G70" s="14"/>
      <c r="H70" s="97"/>
    </row>
    <row r="71" spans="1:15" x14ac:dyDescent="0.2">
      <c r="A71" s="3"/>
      <c r="B71" s="3"/>
      <c r="C71" s="4" t="s">
        <v>105</v>
      </c>
      <c r="D71" s="3"/>
      <c r="E71" s="3"/>
      <c r="F71" s="14"/>
      <c r="G71" s="14"/>
      <c r="H71" s="97"/>
    </row>
    <row r="72" spans="1:15" ht="25.5" x14ac:dyDescent="0.2">
      <c r="A72" s="3"/>
      <c r="B72" s="3"/>
      <c r="C72" s="4" t="s">
        <v>10</v>
      </c>
      <c r="D72" s="3"/>
      <c r="E72" s="3"/>
      <c r="F72" s="14"/>
      <c r="G72" s="14"/>
      <c r="H72" s="97"/>
    </row>
    <row r="73" spans="1:15" x14ac:dyDescent="0.2">
      <c r="A73" s="3"/>
      <c r="B73" s="3"/>
      <c r="C73" s="4" t="s">
        <v>97</v>
      </c>
      <c r="D73" s="3"/>
      <c r="E73" s="3" t="s">
        <v>98</v>
      </c>
      <c r="F73" s="15">
        <v>0</v>
      </c>
      <c r="G73" s="16">
        <v>0</v>
      </c>
      <c r="H73" s="97"/>
    </row>
    <row r="74" spans="1:15" x14ac:dyDescent="0.2">
      <c r="A74" s="3"/>
      <c r="B74" s="3"/>
      <c r="C74" s="13"/>
      <c r="D74" s="3"/>
      <c r="E74" s="3"/>
      <c r="F74" s="14"/>
      <c r="G74" s="14"/>
      <c r="H74" s="97"/>
    </row>
    <row r="75" spans="1:15" x14ac:dyDescent="0.2">
      <c r="A75" s="3"/>
      <c r="B75" s="3"/>
      <c r="C75" s="4" t="s">
        <v>106</v>
      </c>
      <c r="D75" s="3"/>
      <c r="E75" s="3"/>
      <c r="F75" s="3"/>
      <c r="G75" s="3"/>
      <c r="H75" s="97"/>
    </row>
    <row r="76" spans="1:15" x14ac:dyDescent="0.2">
      <c r="A76" s="3"/>
      <c r="B76" s="3"/>
      <c r="C76" s="4" t="s">
        <v>97</v>
      </c>
      <c r="D76" s="3"/>
      <c r="E76" s="3" t="s">
        <v>98</v>
      </c>
      <c r="F76" s="15">
        <v>0</v>
      </c>
      <c r="G76" s="16">
        <v>0</v>
      </c>
      <c r="H76" s="97"/>
    </row>
    <row r="77" spans="1:15" x14ac:dyDescent="0.2">
      <c r="A77" s="3"/>
      <c r="B77" s="3"/>
      <c r="C77" s="13"/>
      <c r="D77" s="3"/>
      <c r="E77" s="3"/>
      <c r="F77" s="14"/>
      <c r="G77" s="14"/>
      <c r="H77" s="97"/>
    </row>
    <row r="78" spans="1:15" x14ac:dyDescent="0.2">
      <c r="A78" s="3"/>
      <c r="B78" s="3"/>
      <c r="C78" s="4" t="s">
        <v>107</v>
      </c>
      <c r="D78" s="3"/>
      <c r="E78" s="3"/>
      <c r="F78" s="3"/>
      <c r="G78" s="3"/>
      <c r="H78" s="97"/>
    </row>
    <row r="79" spans="1:15" x14ac:dyDescent="0.2">
      <c r="A79" s="3"/>
      <c r="B79" s="3"/>
      <c r="C79" s="4" t="s">
        <v>97</v>
      </c>
      <c r="D79" s="3"/>
      <c r="E79" s="3" t="s">
        <v>98</v>
      </c>
      <c r="F79" s="15">
        <v>0</v>
      </c>
      <c r="G79" s="16">
        <v>0</v>
      </c>
      <c r="H79" s="97"/>
    </row>
    <row r="80" spans="1:15" x14ac:dyDescent="0.2">
      <c r="A80" s="3"/>
      <c r="B80" s="3"/>
      <c r="C80" s="13"/>
      <c r="D80" s="3"/>
      <c r="E80" s="3"/>
      <c r="F80" s="14"/>
      <c r="G80" s="14"/>
      <c r="H80" s="97"/>
    </row>
    <row r="81" spans="1:8" x14ac:dyDescent="0.2">
      <c r="A81" s="3"/>
      <c r="B81" s="3"/>
      <c r="C81" s="4" t="s">
        <v>108</v>
      </c>
      <c r="D81" s="3"/>
      <c r="E81" s="3"/>
      <c r="F81" s="14"/>
      <c r="G81" s="14"/>
      <c r="H81" s="97"/>
    </row>
    <row r="82" spans="1:8" x14ac:dyDescent="0.2">
      <c r="A82" s="3"/>
      <c r="B82" s="3"/>
      <c r="C82" s="4" t="s">
        <v>97</v>
      </c>
      <c r="D82" s="3"/>
      <c r="E82" s="3" t="s">
        <v>98</v>
      </c>
      <c r="F82" s="15">
        <v>0</v>
      </c>
      <c r="G82" s="16">
        <v>0</v>
      </c>
      <c r="H82" s="97"/>
    </row>
    <row r="83" spans="1:8" x14ac:dyDescent="0.2">
      <c r="A83" s="3"/>
      <c r="B83" s="3"/>
      <c r="C83" s="13"/>
      <c r="D83" s="3"/>
      <c r="E83" s="3"/>
      <c r="F83" s="14"/>
      <c r="G83" s="14"/>
      <c r="H83" s="97"/>
    </row>
    <row r="84" spans="1:8" x14ac:dyDescent="0.2">
      <c r="A84" s="3"/>
      <c r="B84" s="3"/>
      <c r="C84" s="4" t="s">
        <v>109</v>
      </c>
      <c r="D84" s="3"/>
      <c r="E84" s="3"/>
      <c r="F84" s="11">
        <v>0</v>
      </c>
      <c r="G84" s="12">
        <v>0</v>
      </c>
      <c r="H84" s="97"/>
    </row>
    <row r="85" spans="1:8" x14ac:dyDescent="0.2">
      <c r="A85" s="3"/>
      <c r="B85" s="3"/>
      <c r="C85" s="13"/>
      <c r="D85" s="3"/>
      <c r="E85" s="3"/>
      <c r="F85" s="14"/>
      <c r="G85" s="14"/>
      <c r="H85" s="97"/>
    </row>
    <row r="86" spans="1:8" x14ac:dyDescent="0.2">
      <c r="A86" s="3"/>
      <c r="B86" s="3"/>
      <c r="C86" s="4" t="s">
        <v>110</v>
      </c>
      <c r="D86" s="3"/>
      <c r="E86" s="3"/>
      <c r="F86" s="14"/>
      <c r="G86" s="14"/>
      <c r="H86" s="97"/>
    </row>
    <row r="87" spans="1:8" x14ac:dyDescent="0.2">
      <c r="A87" s="3"/>
      <c r="B87" s="3"/>
      <c r="C87" s="4" t="s">
        <v>111</v>
      </c>
      <c r="D87" s="3"/>
      <c r="E87" s="3"/>
      <c r="F87" s="14"/>
      <c r="G87" s="14"/>
      <c r="H87" s="97"/>
    </row>
    <row r="88" spans="1:8" x14ac:dyDescent="0.2">
      <c r="A88" s="3"/>
      <c r="B88" s="3"/>
      <c r="C88" s="4" t="s">
        <v>97</v>
      </c>
      <c r="D88" s="3"/>
      <c r="E88" s="3" t="s">
        <v>98</v>
      </c>
      <c r="F88" s="15">
        <v>0</v>
      </c>
      <c r="G88" s="16">
        <v>0</v>
      </c>
      <c r="H88" s="97"/>
    </row>
    <row r="89" spans="1:8" x14ac:dyDescent="0.2">
      <c r="A89" s="3"/>
      <c r="B89" s="3"/>
      <c r="C89" s="13"/>
      <c r="D89" s="3"/>
      <c r="E89" s="3"/>
      <c r="F89" s="14"/>
      <c r="G89" s="14"/>
      <c r="H89" s="97"/>
    </row>
    <row r="90" spans="1:8" x14ac:dyDescent="0.2">
      <c r="A90" s="3"/>
      <c r="B90" s="3"/>
      <c r="C90" s="4" t="s">
        <v>112</v>
      </c>
      <c r="D90" s="3"/>
      <c r="E90" s="3"/>
      <c r="F90" s="14"/>
      <c r="G90" s="14"/>
      <c r="H90" s="97"/>
    </row>
    <row r="91" spans="1:8" x14ac:dyDescent="0.2">
      <c r="A91" s="3"/>
      <c r="B91" s="3"/>
      <c r="C91" s="4" t="s">
        <v>97</v>
      </c>
      <c r="D91" s="3"/>
      <c r="E91" s="3" t="s">
        <v>98</v>
      </c>
      <c r="F91" s="15">
        <v>0</v>
      </c>
      <c r="G91" s="16">
        <v>0</v>
      </c>
      <c r="H91" s="97"/>
    </row>
    <row r="92" spans="1:8" x14ac:dyDescent="0.2">
      <c r="A92" s="3"/>
      <c r="B92" s="3"/>
      <c r="C92" s="13"/>
      <c r="D92" s="3"/>
      <c r="E92" s="3"/>
      <c r="F92" s="14"/>
      <c r="G92" s="14"/>
      <c r="H92" s="97"/>
    </row>
    <row r="93" spans="1:8" x14ac:dyDescent="0.2">
      <c r="A93" s="3"/>
      <c r="B93" s="3"/>
      <c r="C93" s="4" t="s">
        <v>113</v>
      </c>
      <c r="D93" s="3"/>
      <c r="E93" s="3"/>
      <c r="F93" s="14"/>
      <c r="G93" s="14"/>
      <c r="H93" s="97"/>
    </row>
    <row r="94" spans="1:8" x14ac:dyDescent="0.2">
      <c r="A94" s="3"/>
      <c r="B94" s="3"/>
      <c r="C94" s="4" t="s">
        <v>97</v>
      </c>
      <c r="D94" s="3"/>
      <c r="E94" s="3" t="s">
        <v>98</v>
      </c>
      <c r="F94" s="15">
        <v>0</v>
      </c>
      <c r="G94" s="16">
        <v>0</v>
      </c>
      <c r="H94" s="97"/>
    </row>
    <row r="95" spans="1:8" x14ac:dyDescent="0.2">
      <c r="A95" s="3"/>
      <c r="B95" s="3"/>
      <c r="C95" s="13"/>
      <c r="D95" s="3"/>
      <c r="E95" s="3"/>
      <c r="F95" s="14"/>
      <c r="G95" s="14"/>
      <c r="H95" s="97"/>
    </row>
    <row r="96" spans="1:8" x14ac:dyDescent="0.2">
      <c r="A96" s="3"/>
      <c r="B96" s="3"/>
      <c r="C96" s="4" t="s">
        <v>114</v>
      </c>
      <c r="D96" s="3"/>
      <c r="E96" s="3"/>
      <c r="F96" s="14"/>
      <c r="G96" s="14"/>
      <c r="H96" s="97"/>
    </row>
    <row r="97" spans="1:8" x14ac:dyDescent="0.2">
      <c r="A97" s="5">
        <v>1</v>
      </c>
      <c r="B97" s="6"/>
      <c r="C97" s="6" t="s">
        <v>115</v>
      </c>
      <c r="D97" s="6"/>
      <c r="E97" s="10"/>
      <c r="F97" s="8">
        <v>1218.1962142</v>
      </c>
      <c r="G97" s="9">
        <v>5.8841120000000004E-3</v>
      </c>
      <c r="H97" s="8">
        <v>3.4504560529072292</v>
      </c>
    </row>
    <row r="98" spans="1:8" x14ac:dyDescent="0.2">
      <c r="A98" s="5">
        <v>2</v>
      </c>
      <c r="B98" s="6"/>
      <c r="C98" s="6" t="s">
        <v>116</v>
      </c>
      <c r="D98" s="6"/>
      <c r="E98" s="10"/>
      <c r="F98" s="8">
        <v>657.46957889999999</v>
      </c>
      <c r="G98" s="9">
        <v>3.1756990000000001E-3</v>
      </c>
      <c r="H98" s="8">
        <v>3.5655822479098256</v>
      </c>
    </row>
    <row r="99" spans="1:8" x14ac:dyDescent="0.2">
      <c r="A99" s="3"/>
      <c r="B99" s="3"/>
      <c r="C99" s="4" t="s">
        <v>97</v>
      </c>
      <c r="D99" s="3"/>
      <c r="E99" s="3" t="s">
        <v>98</v>
      </c>
      <c r="F99" s="11">
        <v>1875.6657931</v>
      </c>
      <c r="G99" s="12">
        <v>9.0598109999999992E-3</v>
      </c>
      <c r="H99" s="97"/>
    </row>
    <row r="100" spans="1:8" x14ac:dyDescent="0.2">
      <c r="A100" s="3"/>
      <c r="B100" s="3"/>
      <c r="C100" s="13"/>
      <c r="D100" s="3"/>
      <c r="E100" s="3"/>
      <c r="F100" s="14"/>
      <c r="G100" s="14"/>
      <c r="H100" s="97"/>
    </row>
    <row r="101" spans="1:8" x14ac:dyDescent="0.2">
      <c r="A101" s="3"/>
      <c r="B101" s="3"/>
      <c r="C101" s="4" t="s">
        <v>117</v>
      </c>
      <c r="D101" s="3"/>
      <c r="E101" s="3"/>
      <c r="F101" s="11">
        <v>1875.6657931</v>
      </c>
      <c r="G101" s="12">
        <v>9.0598109999999992E-3</v>
      </c>
      <c r="H101" s="97"/>
    </row>
    <row r="102" spans="1:8" x14ac:dyDescent="0.2">
      <c r="A102" s="3"/>
      <c r="B102" s="3"/>
      <c r="C102" s="14"/>
      <c r="D102" s="3"/>
      <c r="E102" s="3"/>
      <c r="F102" s="3"/>
      <c r="G102" s="3"/>
      <c r="H102" s="97"/>
    </row>
    <row r="103" spans="1:8" x14ac:dyDescent="0.2">
      <c r="A103" s="3"/>
      <c r="B103" s="3"/>
      <c r="C103" s="4" t="s">
        <v>118</v>
      </c>
      <c r="D103" s="3"/>
      <c r="E103" s="3"/>
      <c r="F103" s="3"/>
      <c r="G103" s="3"/>
      <c r="H103" s="97"/>
    </row>
    <row r="104" spans="1:8" x14ac:dyDescent="0.2">
      <c r="A104" s="3"/>
      <c r="B104" s="3"/>
      <c r="C104" s="4" t="s">
        <v>119</v>
      </c>
      <c r="D104" s="3"/>
      <c r="E104" s="3"/>
      <c r="F104" s="3"/>
      <c r="G104" s="3"/>
      <c r="H104" s="97"/>
    </row>
    <row r="105" spans="1:8" x14ac:dyDescent="0.2">
      <c r="A105" s="3"/>
      <c r="B105" s="3"/>
      <c r="C105" s="4" t="s">
        <v>97</v>
      </c>
      <c r="D105" s="3"/>
      <c r="E105" s="3" t="s">
        <v>98</v>
      </c>
      <c r="F105" s="15">
        <v>0</v>
      </c>
      <c r="G105" s="16">
        <v>0</v>
      </c>
      <c r="H105" s="97"/>
    </row>
    <row r="106" spans="1:8" x14ac:dyDescent="0.2">
      <c r="A106" s="3"/>
      <c r="B106" s="3"/>
      <c r="C106" s="13"/>
      <c r="D106" s="3"/>
      <c r="E106" s="3"/>
      <c r="F106" s="14"/>
      <c r="G106" s="14"/>
      <c r="H106" s="97"/>
    </row>
    <row r="107" spans="1:8" x14ac:dyDescent="0.2">
      <c r="A107" s="3"/>
      <c r="B107" s="3"/>
      <c r="C107" s="4" t="s">
        <v>120</v>
      </c>
      <c r="D107" s="3"/>
      <c r="E107" s="3"/>
      <c r="F107" s="3"/>
      <c r="G107" s="3"/>
      <c r="H107" s="97"/>
    </row>
    <row r="108" spans="1:8" x14ac:dyDescent="0.2">
      <c r="A108" s="3"/>
      <c r="B108" s="3"/>
      <c r="C108" s="4" t="s">
        <v>121</v>
      </c>
      <c r="D108" s="3"/>
      <c r="E108" s="3"/>
      <c r="F108" s="3"/>
      <c r="G108" s="3"/>
      <c r="H108" s="97"/>
    </row>
    <row r="109" spans="1:8" x14ac:dyDescent="0.2">
      <c r="A109" s="3"/>
      <c r="B109" s="3"/>
      <c r="C109" s="4" t="s">
        <v>97</v>
      </c>
      <c r="D109" s="3"/>
      <c r="E109" s="3" t="s">
        <v>98</v>
      </c>
      <c r="F109" s="15">
        <v>0</v>
      </c>
      <c r="G109" s="16">
        <v>0</v>
      </c>
      <c r="H109" s="97"/>
    </row>
    <row r="110" spans="1:8" x14ac:dyDescent="0.2">
      <c r="A110" s="3"/>
      <c r="B110" s="3"/>
      <c r="C110" s="13"/>
      <c r="D110" s="3"/>
      <c r="E110" s="3"/>
      <c r="F110" s="14"/>
      <c r="G110" s="14"/>
      <c r="H110" s="97"/>
    </row>
    <row r="111" spans="1:8" x14ac:dyDescent="0.2">
      <c r="A111" s="3"/>
      <c r="B111" s="3"/>
      <c r="C111" s="13"/>
      <c r="D111" s="3"/>
      <c r="E111" s="3"/>
      <c r="F111" s="14"/>
      <c r="G111" s="14"/>
      <c r="H111" s="97"/>
    </row>
    <row r="112" spans="1:8" ht="25.5" x14ac:dyDescent="0.2">
      <c r="A112" s="3"/>
      <c r="B112" s="3"/>
      <c r="C112" s="4" t="s">
        <v>122</v>
      </c>
      <c r="D112" s="3"/>
      <c r="E112" s="3"/>
      <c r="F112" s="14"/>
      <c r="G112" s="14"/>
      <c r="H112" s="97"/>
    </row>
    <row r="113" spans="1:8" x14ac:dyDescent="0.2">
      <c r="A113" s="3"/>
      <c r="B113" s="3"/>
      <c r="C113" s="4" t="s">
        <v>97</v>
      </c>
      <c r="D113" s="3"/>
      <c r="E113" s="3" t="s">
        <v>98</v>
      </c>
      <c r="F113" s="15">
        <v>0</v>
      </c>
      <c r="G113" s="16">
        <v>0</v>
      </c>
      <c r="H113" s="97"/>
    </row>
    <row r="114" spans="1:8" x14ac:dyDescent="0.2">
      <c r="A114" s="3"/>
      <c r="B114" s="3"/>
      <c r="C114" s="13"/>
      <c r="D114" s="3"/>
      <c r="E114" s="3"/>
      <c r="F114" s="14"/>
      <c r="G114" s="14"/>
      <c r="H114" s="97"/>
    </row>
    <row r="115" spans="1:8" x14ac:dyDescent="0.2">
      <c r="A115" s="3"/>
      <c r="B115" s="6"/>
      <c r="C115" s="6"/>
      <c r="D115" s="4"/>
      <c r="E115" s="3"/>
      <c r="F115" s="6"/>
      <c r="G115" s="10"/>
      <c r="H115" s="97"/>
    </row>
    <row r="116" spans="1:8" x14ac:dyDescent="0.2">
      <c r="A116" s="10"/>
      <c r="B116" s="6"/>
      <c r="C116" s="6" t="s">
        <v>123</v>
      </c>
      <c r="D116" s="6"/>
      <c r="E116" s="10"/>
      <c r="F116" s="8">
        <v>-1083.1713166</v>
      </c>
      <c r="G116" s="9">
        <v>-5.231917E-3</v>
      </c>
      <c r="H116" s="97"/>
    </row>
    <row r="117" spans="1:8" x14ac:dyDescent="0.2">
      <c r="A117" s="13"/>
      <c r="B117" s="13"/>
      <c r="C117" s="4" t="s">
        <v>124</v>
      </c>
      <c r="D117" s="17"/>
      <c r="E117" s="17"/>
      <c r="F117" s="11">
        <v>207031.45922449999</v>
      </c>
      <c r="G117" s="12">
        <v>0.99999999900000003</v>
      </c>
      <c r="H117" s="97"/>
    </row>
    <row r="118" spans="1:8" ht="14.1" customHeight="1" x14ac:dyDescent="0.2">
      <c r="A118" s="18"/>
      <c r="B118" s="18"/>
      <c r="C118" s="18"/>
      <c r="D118" s="19"/>
      <c r="E118" s="19"/>
      <c r="F118" s="19"/>
      <c r="G118" s="19"/>
    </row>
    <row r="119" spans="1:8" ht="14.1" customHeight="1" x14ac:dyDescent="0.2">
      <c r="A119" s="20"/>
      <c r="B119" s="20"/>
      <c r="C119" s="20"/>
      <c r="D119" s="22"/>
      <c r="E119" s="22"/>
      <c r="F119" s="22"/>
      <c r="G119" s="22"/>
    </row>
    <row r="120" spans="1:8" ht="14.1" customHeight="1" x14ac:dyDescent="0.2">
      <c r="A120" s="20"/>
      <c r="B120" s="224" t="s">
        <v>126</v>
      </c>
      <c r="C120" s="225"/>
      <c r="D120" s="14" t="s">
        <v>98</v>
      </c>
      <c r="E120" s="23"/>
      <c r="F120" s="22"/>
      <c r="G120" s="22"/>
    </row>
    <row r="121" spans="1:8" ht="29.1" customHeight="1" x14ac:dyDescent="0.2">
      <c r="A121" s="20"/>
      <c r="B121" s="231" t="s">
        <v>127</v>
      </c>
      <c r="C121" s="232"/>
      <c r="D121" s="4" t="s">
        <v>128</v>
      </c>
      <c r="E121" s="23"/>
      <c r="F121" s="22"/>
      <c r="G121" s="22"/>
    </row>
    <row r="122" spans="1:8" ht="17.100000000000001" customHeight="1" x14ac:dyDescent="0.2">
      <c r="A122" s="20"/>
      <c r="B122" s="231" t="s">
        <v>129</v>
      </c>
      <c r="C122" s="232"/>
      <c r="D122" s="4" t="s">
        <v>128</v>
      </c>
      <c r="E122" s="23"/>
      <c r="F122" s="22"/>
      <c r="G122" s="22"/>
    </row>
    <row r="123" spans="1:8" ht="17.100000000000001" customHeight="1" x14ac:dyDescent="0.2">
      <c r="A123" s="20"/>
      <c r="B123" s="231" t="s">
        <v>130</v>
      </c>
      <c r="C123" s="232"/>
      <c r="D123" s="14" t="s">
        <v>98</v>
      </c>
      <c r="E123" s="23"/>
      <c r="F123" s="22"/>
      <c r="G123" s="22"/>
    </row>
    <row r="124" spans="1:8" ht="24" customHeight="1" x14ac:dyDescent="0.2">
      <c r="A124" s="24"/>
      <c r="B124" s="25" t="s">
        <v>98</v>
      </c>
      <c r="C124" s="25" t="s">
        <v>131</v>
      </c>
      <c r="D124" s="25" t="s">
        <v>132</v>
      </c>
      <c r="E124" s="24"/>
      <c r="F124" s="24"/>
      <c r="G124" s="24"/>
    </row>
    <row r="125" spans="1:8" ht="18" customHeight="1" x14ac:dyDescent="0.2">
      <c r="A125" s="24"/>
      <c r="B125" s="25" t="s">
        <v>133</v>
      </c>
      <c r="C125" s="25" t="s">
        <v>134</v>
      </c>
      <c r="D125" s="25" t="s">
        <v>135</v>
      </c>
      <c r="E125" s="24"/>
      <c r="F125" s="24"/>
      <c r="G125" s="24"/>
    </row>
    <row r="126" spans="1:8" ht="17.100000000000001" customHeight="1" x14ac:dyDescent="0.2">
      <c r="A126" s="24"/>
      <c r="B126" s="6" t="s">
        <v>136</v>
      </c>
      <c r="C126" s="26">
        <v>149.21799999999999</v>
      </c>
      <c r="D126" s="26">
        <v>153.8956</v>
      </c>
      <c r="E126" s="24"/>
      <c r="F126" s="21"/>
      <c r="G126" s="27"/>
    </row>
    <row r="127" spans="1:8" ht="17.100000000000001" customHeight="1" x14ac:dyDescent="0.2">
      <c r="A127" s="24"/>
      <c r="B127" s="6" t="s">
        <v>1201</v>
      </c>
      <c r="C127" s="26">
        <v>16.586500000000001</v>
      </c>
      <c r="D127" s="26">
        <v>16.624600000000001</v>
      </c>
      <c r="E127" s="24"/>
      <c r="F127" s="21"/>
      <c r="G127" s="27"/>
    </row>
    <row r="128" spans="1:8" ht="17.100000000000001" customHeight="1" x14ac:dyDescent="0.2">
      <c r="A128" s="24"/>
      <c r="B128" s="6" t="s">
        <v>137</v>
      </c>
      <c r="C128" s="26">
        <v>143.83619999999999</v>
      </c>
      <c r="D128" s="26">
        <v>148.2766</v>
      </c>
      <c r="E128" s="24"/>
      <c r="F128" s="21"/>
      <c r="G128" s="27"/>
    </row>
    <row r="129" spans="1:17" ht="17.100000000000001" customHeight="1" x14ac:dyDescent="0.2">
      <c r="A129" s="24"/>
      <c r="B129" s="6" t="s">
        <v>1202</v>
      </c>
      <c r="C129" s="26">
        <v>13.940300000000001</v>
      </c>
      <c r="D129" s="26">
        <v>13.9655</v>
      </c>
      <c r="E129" s="24"/>
      <c r="F129" s="21"/>
      <c r="G129" s="27"/>
    </row>
    <row r="130" spans="1:17" ht="14.1" customHeight="1" x14ac:dyDescent="0.2">
      <c r="A130" s="24"/>
      <c r="B130" s="24"/>
      <c r="C130" s="24"/>
      <c r="D130" s="24"/>
      <c r="E130" s="24"/>
      <c r="F130" s="24"/>
      <c r="G130" s="24"/>
    </row>
    <row r="131" spans="1:17" ht="17.100000000000001" customHeight="1" x14ac:dyDescent="0.2">
      <c r="A131" s="24"/>
      <c r="B131" s="231" t="s">
        <v>1203</v>
      </c>
      <c r="C131" s="232"/>
      <c r="D131" s="4" t="s">
        <v>98</v>
      </c>
      <c r="E131" s="24"/>
      <c r="F131" s="24"/>
      <c r="G131" s="24"/>
    </row>
    <row r="132" spans="1:17" x14ac:dyDescent="0.2">
      <c r="A132" s="24"/>
      <c r="B132" s="81" t="s">
        <v>133</v>
      </c>
      <c r="C132" s="82" t="s">
        <v>905</v>
      </c>
      <c r="D132" s="82"/>
      <c r="E132" s="24"/>
      <c r="F132" s="24"/>
      <c r="G132" s="24"/>
    </row>
    <row r="133" spans="1:17" x14ac:dyDescent="0.2">
      <c r="A133" s="24"/>
      <c r="B133" s="6" t="s">
        <v>1201</v>
      </c>
      <c r="C133" s="83">
        <v>0.47099999999999997</v>
      </c>
      <c r="D133" s="84">
        <v>0</v>
      </c>
      <c r="E133" s="24"/>
      <c r="F133" s="21"/>
      <c r="G133" s="27"/>
    </row>
    <row r="134" spans="1:17" x14ac:dyDescent="0.2">
      <c r="A134" s="24"/>
      <c r="B134" s="6" t="s">
        <v>1202</v>
      </c>
      <c r="C134" s="83">
        <v>0.39600000000000002</v>
      </c>
      <c r="D134" s="83">
        <v>0.39600000000000002</v>
      </c>
      <c r="E134" s="24"/>
      <c r="F134" s="21"/>
      <c r="G134" s="27"/>
    </row>
    <row r="135" spans="1:17" x14ac:dyDescent="0.2">
      <c r="A135" s="24"/>
      <c r="B135" s="21"/>
      <c r="C135" s="115"/>
      <c r="D135" s="115"/>
      <c r="E135" s="24"/>
      <c r="F135" s="21"/>
      <c r="G135" s="27"/>
    </row>
    <row r="136" spans="1:17" s="87" customFormat="1" x14ac:dyDescent="0.2">
      <c r="B136" s="233" t="s">
        <v>1207</v>
      </c>
      <c r="C136" s="233"/>
      <c r="D136" s="233"/>
      <c r="E136" s="233"/>
      <c r="F136" s="233"/>
      <c r="I136"/>
      <c r="J136"/>
      <c r="K136"/>
      <c r="L136"/>
      <c r="M136"/>
      <c r="N136"/>
      <c r="O136"/>
      <c r="P136" s="69"/>
      <c r="Q136" s="69"/>
    </row>
    <row r="137" spans="1:17" ht="14.1" customHeight="1" x14ac:dyDescent="0.2">
      <c r="A137" s="24"/>
      <c r="B137" s="21"/>
      <c r="C137" s="21"/>
      <c r="D137" s="24"/>
      <c r="E137" s="24"/>
      <c r="F137" s="24"/>
      <c r="G137" s="24"/>
    </row>
    <row r="138" spans="1:17" ht="29.1" customHeight="1" x14ac:dyDescent="0.2">
      <c r="A138" s="24"/>
      <c r="B138" s="231" t="s">
        <v>138</v>
      </c>
      <c r="C138" s="232"/>
      <c r="D138" s="4" t="s">
        <v>128</v>
      </c>
      <c r="E138" s="24"/>
      <c r="F138" s="24"/>
      <c r="G138" s="24"/>
    </row>
    <row r="139" spans="1:17" ht="29.1" customHeight="1" x14ac:dyDescent="0.2">
      <c r="A139" s="24"/>
      <c r="B139" s="231" t="s">
        <v>139</v>
      </c>
      <c r="C139" s="232"/>
      <c r="D139" s="4" t="s">
        <v>128</v>
      </c>
      <c r="E139" s="24"/>
      <c r="F139" s="24"/>
      <c r="G139" s="24"/>
      <c r="I139" s="69"/>
      <c r="J139" s="69"/>
      <c r="K139" s="69"/>
      <c r="L139" s="69"/>
      <c r="M139" s="69"/>
      <c r="N139" s="69"/>
      <c r="O139" s="69"/>
    </row>
    <row r="140" spans="1:17" ht="17.100000000000001" customHeight="1" x14ac:dyDescent="0.2">
      <c r="A140" s="24"/>
      <c r="B140" s="231" t="s">
        <v>140</v>
      </c>
      <c r="C140" s="232"/>
      <c r="D140" s="30">
        <v>0.25766032603333838</v>
      </c>
      <c r="E140" s="24"/>
      <c r="F140" s="21"/>
      <c r="G140" s="27"/>
    </row>
    <row r="141" spans="1:17" ht="17.100000000000001" customHeight="1" x14ac:dyDescent="0.2">
      <c r="A141" s="24"/>
      <c r="B141" s="231" t="s">
        <v>141</v>
      </c>
      <c r="C141" s="232"/>
      <c r="D141" s="4" t="s">
        <v>128</v>
      </c>
      <c r="E141" s="24"/>
      <c r="F141" s="24"/>
      <c r="G141" s="24"/>
    </row>
    <row r="143" spans="1:17" x14ac:dyDescent="0.2">
      <c r="I143" s="87"/>
      <c r="J143" s="87"/>
      <c r="K143" s="87"/>
      <c r="L143" s="87"/>
      <c r="M143" s="87"/>
      <c r="N143" s="87"/>
      <c r="O143" s="87"/>
    </row>
  </sheetData>
  <mergeCells count="14">
    <mergeCell ref="B140:C140"/>
    <mergeCell ref="B141:C141"/>
    <mergeCell ref="B121:C121"/>
    <mergeCell ref="B122:C122"/>
    <mergeCell ref="B123:C123"/>
    <mergeCell ref="B131:C131"/>
    <mergeCell ref="B138:C138"/>
    <mergeCell ref="B139:C139"/>
    <mergeCell ref="B136:F136"/>
    <mergeCell ref="J2:N2"/>
    <mergeCell ref="B120:C120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48">
    <outlinePr summaryBelow="0" summaryRight="0"/>
  </sheetPr>
  <dimension ref="A1:Q170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  <col min="8" max="8" width="17.42578125" bestFit="1" customWidth="1"/>
  </cols>
  <sheetData>
    <row r="1" spans="1:15" ht="15" x14ac:dyDescent="0.2">
      <c r="A1" s="227" t="s">
        <v>0</v>
      </c>
      <c r="B1" s="227"/>
      <c r="C1" s="227"/>
      <c r="D1" s="227"/>
      <c r="E1" s="227"/>
      <c r="F1" s="227"/>
      <c r="G1" s="227"/>
      <c r="H1" s="227"/>
    </row>
    <row r="2" spans="1:15" s="87" customFormat="1" ht="15" x14ac:dyDescent="0.2">
      <c r="A2" s="228" t="s">
        <v>1262</v>
      </c>
      <c r="B2" s="229"/>
      <c r="C2" s="229"/>
      <c r="D2" s="229"/>
      <c r="E2" s="229"/>
      <c r="F2" s="229"/>
      <c r="G2" s="229"/>
      <c r="H2" s="230"/>
      <c r="I2"/>
      <c r="J2" s="223" t="s">
        <v>1238</v>
      </c>
      <c r="K2" s="223"/>
      <c r="L2" s="223"/>
      <c r="M2" s="223"/>
      <c r="N2" s="223"/>
      <c r="O2"/>
    </row>
    <row r="3" spans="1:15" ht="15" x14ac:dyDescent="0.2">
      <c r="A3" s="227" t="s">
        <v>1208</v>
      </c>
      <c r="B3" s="227"/>
      <c r="C3" s="227"/>
      <c r="D3" s="227"/>
      <c r="E3" s="227"/>
      <c r="F3" s="227"/>
      <c r="G3" s="227"/>
      <c r="H3" s="227"/>
    </row>
    <row r="4" spans="1:15" s="113" customFormat="1" ht="30" x14ac:dyDescent="0.2">
      <c r="A4" s="1" t="s">
        <v>2</v>
      </c>
      <c r="B4" s="1" t="s">
        <v>3</v>
      </c>
      <c r="C4" s="1" t="s">
        <v>4</v>
      </c>
      <c r="D4" s="1" t="s">
        <v>5</v>
      </c>
      <c r="E4" s="2" t="s">
        <v>6</v>
      </c>
      <c r="F4" s="2" t="s">
        <v>7</v>
      </c>
      <c r="G4" s="2" t="s">
        <v>8</v>
      </c>
      <c r="H4" s="96" t="s">
        <v>1167</v>
      </c>
      <c r="I4" s="183"/>
      <c r="J4" s="183"/>
      <c r="K4" s="183"/>
      <c r="L4" s="183"/>
      <c r="M4" s="183"/>
      <c r="N4" s="183"/>
      <c r="O4" s="183"/>
    </row>
    <row r="5" spans="1:15" ht="14.1" customHeight="1" x14ac:dyDescent="0.2">
      <c r="A5" s="3"/>
      <c r="B5" s="3"/>
      <c r="C5" s="4" t="s">
        <v>9</v>
      </c>
      <c r="D5" s="3"/>
      <c r="E5" s="3"/>
      <c r="F5" s="3"/>
      <c r="G5" s="3"/>
      <c r="H5" s="97"/>
    </row>
    <row r="6" spans="1:15" ht="24" customHeight="1" x14ac:dyDescent="0.2">
      <c r="A6" s="3"/>
      <c r="B6" s="3"/>
      <c r="C6" s="4" t="s">
        <v>10</v>
      </c>
      <c r="D6" s="3"/>
      <c r="E6" s="3"/>
      <c r="F6" s="3"/>
      <c r="G6" s="3"/>
      <c r="H6" s="97"/>
    </row>
    <row r="7" spans="1:15" x14ac:dyDescent="0.2">
      <c r="A7" s="5">
        <v>1</v>
      </c>
      <c r="B7" s="6" t="s">
        <v>409</v>
      </c>
      <c r="C7" s="6" t="s">
        <v>410</v>
      </c>
      <c r="D7" s="6" t="s">
        <v>147</v>
      </c>
      <c r="E7" s="7">
        <v>1570488</v>
      </c>
      <c r="F7" s="8">
        <v>29646.887220000001</v>
      </c>
      <c r="G7" s="9">
        <v>9.3648811284942096E-2</v>
      </c>
      <c r="H7" s="97"/>
    </row>
    <row r="8" spans="1:15" x14ac:dyDescent="0.2">
      <c r="A8" s="5">
        <v>2</v>
      </c>
      <c r="B8" s="6" t="s">
        <v>23</v>
      </c>
      <c r="C8" s="6" t="s">
        <v>24</v>
      </c>
      <c r="D8" s="6" t="s">
        <v>25</v>
      </c>
      <c r="E8" s="7">
        <v>3518854</v>
      </c>
      <c r="F8" s="8">
        <v>26044.797880999999</v>
      </c>
      <c r="G8" s="9">
        <v>8.2270504272934891E-2</v>
      </c>
      <c r="H8" s="97"/>
    </row>
    <row r="9" spans="1:15" x14ac:dyDescent="0.2">
      <c r="A9" s="5">
        <v>3</v>
      </c>
      <c r="B9" s="6" t="s">
        <v>411</v>
      </c>
      <c r="C9" s="6" t="s">
        <v>412</v>
      </c>
      <c r="D9" s="6" t="s">
        <v>25</v>
      </c>
      <c r="E9" s="7">
        <v>1572569</v>
      </c>
      <c r="F9" s="8">
        <v>23264.585786</v>
      </c>
      <c r="G9" s="9">
        <v>7.3488349307231596E-2</v>
      </c>
      <c r="H9" s="97"/>
    </row>
    <row r="10" spans="1:15" x14ac:dyDescent="0.2">
      <c r="A10" s="5">
        <v>4</v>
      </c>
      <c r="B10" s="6" t="s">
        <v>417</v>
      </c>
      <c r="C10" s="6" t="s">
        <v>418</v>
      </c>
      <c r="D10" s="6" t="s">
        <v>147</v>
      </c>
      <c r="E10" s="7">
        <v>515380</v>
      </c>
      <c r="F10" s="8">
        <v>19266.70823</v>
      </c>
      <c r="G10" s="9">
        <v>6.0859823485823306E-2</v>
      </c>
      <c r="H10" s="97"/>
    </row>
    <row r="11" spans="1:15" x14ac:dyDescent="0.2">
      <c r="A11" s="5">
        <v>5</v>
      </c>
      <c r="B11" s="6" t="s">
        <v>14</v>
      </c>
      <c r="C11" s="6" t="s">
        <v>15</v>
      </c>
      <c r="D11" s="6" t="s">
        <v>16</v>
      </c>
      <c r="E11" s="7">
        <v>774196</v>
      </c>
      <c r="F11" s="8">
        <v>18334.122574000001</v>
      </c>
      <c r="G11" s="9">
        <v>5.7913964871470339E-2</v>
      </c>
      <c r="H11" s="97"/>
    </row>
    <row r="12" spans="1:15" x14ac:dyDescent="0.2">
      <c r="A12" s="5">
        <v>6</v>
      </c>
      <c r="B12" s="6" t="s">
        <v>11</v>
      </c>
      <c r="C12" s="6" t="s">
        <v>12</v>
      </c>
      <c r="D12" s="6" t="s">
        <v>13</v>
      </c>
      <c r="E12" s="7">
        <v>800306</v>
      </c>
      <c r="F12" s="8">
        <v>15173.001454000001</v>
      </c>
      <c r="G12" s="9">
        <v>4.7928591600443854E-2</v>
      </c>
      <c r="H12" s="97"/>
    </row>
    <row r="13" spans="1:15" x14ac:dyDescent="0.2">
      <c r="A13" s="5">
        <v>7</v>
      </c>
      <c r="B13" s="6" t="s">
        <v>415</v>
      </c>
      <c r="C13" s="6" t="s">
        <v>416</v>
      </c>
      <c r="D13" s="6" t="s">
        <v>25</v>
      </c>
      <c r="E13" s="7">
        <v>3194065</v>
      </c>
      <c r="F13" s="8">
        <v>14707.072292500001</v>
      </c>
      <c r="G13" s="9">
        <v>4.6456811045754484E-2</v>
      </c>
      <c r="H13" s="97"/>
    </row>
    <row r="14" spans="1:15" x14ac:dyDescent="0.2">
      <c r="A14" s="5">
        <v>8</v>
      </c>
      <c r="B14" s="6" t="s">
        <v>315</v>
      </c>
      <c r="C14" s="6" t="s">
        <v>316</v>
      </c>
      <c r="D14" s="6" t="s">
        <v>25</v>
      </c>
      <c r="E14" s="7">
        <v>1755360</v>
      </c>
      <c r="F14" s="8">
        <v>11910.995279999999</v>
      </c>
      <c r="G14" s="9">
        <v>3.7624541858818326E-2</v>
      </c>
      <c r="H14" s="97"/>
    </row>
    <row r="15" spans="1:15" ht="15" x14ac:dyDescent="0.2">
      <c r="A15" s="5">
        <v>9</v>
      </c>
      <c r="B15" s="6" t="s">
        <v>369</v>
      </c>
      <c r="C15" s="6" t="s">
        <v>370</v>
      </c>
      <c r="D15" s="6" t="s">
        <v>147</v>
      </c>
      <c r="E15" s="7">
        <v>887254</v>
      </c>
      <c r="F15" s="8">
        <v>11703.767513999999</v>
      </c>
      <c r="G15" s="9">
        <v>3.6969949226306052E-2</v>
      </c>
      <c r="H15" s="97"/>
      <c r="J15" s="184" t="s">
        <v>1277</v>
      </c>
    </row>
    <row r="16" spans="1:15" ht="25.5" x14ac:dyDescent="0.2">
      <c r="A16" s="5">
        <v>10</v>
      </c>
      <c r="B16" s="6" t="s">
        <v>413</v>
      </c>
      <c r="C16" s="6" t="s">
        <v>414</v>
      </c>
      <c r="D16" s="6" t="s">
        <v>81</v>
      </c>
      <c r="E16" s="7">
        <v>451982</v>
      </c>
      <c r="F16" s="8">
        <v>11690.288439</v>
      </c>
      <c r="G16" s="9">
        <v>3.6927371422383393E-2</v>
      </c>
      <c r="H16" s="97"/>
    </row>
    <row r="17" spans="1:10" x14ac:dyDescent="0.2">
      <c r="A17" s="5">
        <v>11</v>
      </c>
      <c r="B17" s="6" t="s">
        <v>20</v>
      </c>
      <c r="C17" s="6" t="s">
        <v>21</v>
      </c>
      <c r="D17" s="6" t="s">
        <v>22</v>
      </c>
      <c r="E17" s="7">
        <v>1122627</v>
      </c>
      <c r="F17" s="8">
        <v>7676.5234259999997</v>
      </c>
      <c r="G17" s="9">
        <v>2.424866018179939E-2</v>
      </c>
      <c r="H17" s="97"/>
    </row>
    <row r="18" spans="1:10" x14ac:dyDescent="0.2">
      <c r="A18" s="5">
        <v>12</v>
      </c>
      <c r="B18" s="6" t="s">
        <v>381</v>
      </c>
      <c r="C18" s="6" t="s">
        <v>382</v>
      </c>
      <c r="D18" s="6" t="s">
        <v>1183</v>
      </c>
      <c r="E18" s="7">
        <v>39898</v>
      </c>
      <c r="F18" s="8">
        <v>6545.7456760000005</v>
      </c>
      <c r="G18" s="9">
        <v>2.0676750883897678E-2</v>
      </c>
      <c r="H18" s="97"/>
    </row>
    <row r="19" spans="1:10" ht="25.5" x14ac:dyDescent="0.2">
      <c r="A19" s="5">
        <v>13</v>
      </c>
      <c r="B19" s="6" t="s">
        <v>319</v>
      </c>
      <c r="C19" s="6" t="s">
        <v>320</v>
      </c>
      <c r="D19" s="6" t="s">
        <v>202</v>
      </c>
      <c r="E19" s="7">
        <v>646291</v>
      </c>
      <c r="F19" s="8">
        <v>5741.0029530000002</v>
      </c>
      <c r="G19" s="9">
        <v>1.8134723491952231E-2</v>
      </c>
      <c r="H19" s="97"/>
    </row>
    <row r="20" spans="1:10" x14ac:dyDescent="0.2">
      <c r="A20" s="5">
        <v>14</v>
      </c>
      <c r="B20" s="6" t="s">
        <v>301</v>
      </c>
      <c r="C20" s="6" t="s">
        <v>302</v>
      </c>
      <c r="D20" s="6" t="s">
        <v>147</v>
      </c>
      <c r="E20" s="7">
        <v>119202</v>
      </c>
      <c r="F20" s="8">
        <v>5697.8555999999999</v>
      </c>
      <c r="G20" s="9">
        <v>1.7998429307387185E-2</v>
      </c>
      <c r="H20" s="97"/>
    </row>
    <row r="21" spans="1:10" x14ac:dyDescent="0.2">
      <c r="A21" s="5">
        <v>15</v>
      </c>
      <c r="B21" s="6" t="s">
        <v>344</v>
      </c>
      <c r="C21" s="6" t="s">
        <v>345</v>
      </c>
      <c r="D21" s="6" t="s">
        <v>81</v>
      </c>
      <c r="E21" s="7">
        <v>434037</v>
      </c>
      <c r="F21" s="8">
        <v>5282.2302900000004</v>
      </c>
      <c r="G21" s="9">
        <v>1.6685548938780461E-2</v>
      </c>
      <c r="H21" s="97"/>
    </row>
    <row r="22" spans="1:10" ht="25.5" x14ac:dyDescent="0.2">
      <c r="A22" s="5">
        <v>16</v>
      </c>
      <c r="B22" s="6" t="s">
        <v>425</v>
      </c>
      <c r="C22" s="6" t="s">
        <v>426</v>
      </c>
      <c r="D22" s="6" t="s">
        <v>202</v>
      </c>
      <c r="E22" s="7">
        <v>221934</v>
      </c>
      <c r="F22" s="8">
        <v>5237.9753010000004</v>
      </c>
      <c r="G22" s="9">
        <v>1.6545755945252212E-2</v>
      </c>
      <c r="H22" s="97"/>
    </row>
    <row r="23" spans="1:10" x14ac:dyDescent="0.2">
      <c r="A23" s="5">
        <v>17</v>
      </c>
      <c r="B23" s="6" t="s">
        <v>440</v>
      </c>
      <c r="C23" s="6" t="s">
        <v>441</v>
      </c>
      <c r="D23" s="6" t="s">
        <v>25</v>
      </c>
      <c r="E23" s="7">
        <v>264003</v>
      </c>
      <c r="F23" s="8">
        <v>4741.7578830000002</v>
      </c>
      <c r="G23" s="9">
        <v>1.4978300617151726E-2</v>
      </c>
      <c r="H23" s="97"/>
    </row>
    <row r="24" spans="1:10" x14ac:dyDescent="0.2">
      <c r="A24" s="5">
        <v>18</v>
      </c>
      <c r="B24" s="6" t="s">
        <v>76</v>
      </c>
      <c r="C24" s="6" t="s">
        <v>77</v>
      </c>
      <c r="D24" s="6" t="s">
        <v>78</v>
      </c>
      <c r="E24" s="7">
        <v>3807694</v>
      </c>
      <c r="F24" s="8">
        <v>4662.5213030000004</v>
      </c>
      <c r="G24" s="9">
        <v>1.472800750974319E-2</v>
      </c>
      <c r="H24" s="97"/>
    </row>
    <row r="25" spans="1:10" ht="25.5" x14ac:dyDescent="0.2">
      <c r="A25" s="5">
        <v>19</v>
      </c>
      <c r="B25" s="6" t="s">
        <v>28</v>
      </c>
      <c r="C25" s="6" t="s">
        <v>29</v>
      </c>
      <c r="D25" s="6" t="s">
        <v>1185</v>
      </c>
      <c r="E25" s="7">
        <v>53469</v>
      </c>
      <c r="F25" s="8">
        <v>4058.8585244999999</v>
      </c>
      <c r="G25" s="9">
        <v>1.2821152965318935E-2</v>
      </c>
      <c r="H25" s="97"/>
    </row>
    <row r="26" spans="1:10" x14ac:dyDescent="0.2">
      <c r="A26" s="5">
        <v>20</v>
      </c>
      <c r="B26" s="6" t="s">
        <v>423</v>
      </c>
      <c r="C26" s="6" t="s">
        <v>424</v>
      </c>
      <c r="D26" s="6" t="s">
        <v>193</v>
      </c>
      <c r="E26" s="7">
        <v>431255</v>
      </c>
      <c r="F26" s="8">
        <v>3647.1235349999997</v>
      </c>
      <c r="G26" s="9">
        <v>1.1520561370492706E-2</v>
      </c>
      <c r="H26" s="97"/>
    </row>
    <row r="27" spans="1:10" x14ac:dyDescent="0.2">
      <c r="A27" s="5">
        <v>21</v>
      </c>
      <c r="B27" s="6" t="s">
        <v>336</v>
      </c>
      <c r="C27" s="6" t="s">
        <v>337</v>
      </c>
      <c r="D27" s="6" t="s">
        <v>193</v>
      </c>
      <c r="E27" s="7">
        <v>88727</v>
      </c>
      <c r="F27" s="8">
        <v>3428.8992785</v>
      </c>
      <c r="G27" s="9">
        <v>1.0831232940728292E-2</v>
      </c>
      <c r="H27" s="97"/>
    </row>
    <row r="28" spans="1:10" ht="25.5" x14ac:dyDescent="0.2">
      <c r="A28" s="5">
        <v>22</v>
      </c>
      <c r="B28" s="6" t="s">
        <v>395</v>
      </c>
      <c r="C28" s="6" t="s">
        <v>396</v>
      </c>
      <c r="D28" s="6" t="s">
        <v>202</v>
      </c>
      <c r="E28" s="7">
        <v>459148</v>
      </c>
      <c r="F28" s="8">
        <v>3413.5358060000003</v>
      </c>
      <c r="G28" s="9">
        <v>1.0782702687749043E-2</v>
      </c>
      <c r="H28" s="97"/>
      <c r="J28" s="184" t="s">
        <v>1278</v>
      </c>
    </row>
    <row r="29" spans="1:10" x14ac:dyDescent="0.2">
      <c r="A29" s="5">
        <v>23</v>
      </c>
      <c r="B29" s="6" t="s">
        <v>39</v>
      </c>
      <c r="C29" s="6" t="s">
        <v>40</v>
      </c>
      <c r="D29" s="6" t="s">
        <v>16</v>
      </c>
      <c r="E29" s="7">
        <v>870401</v>
      </c>
      <c r="F29" s="8">
        <v>3354.9606544999997</v>
      </c>
      <c r="G29" s="9">
        <v>1.0597675056750066E-2</v>
      </c>
      <c r="H29" s="97"/>
    </row>
    <row r="30" spans="1:10" x14ac:dyDescent="0.2">
      <c r="A30" s="5">
        <v>24</v>
      </c>
      <c r="B30" s="6" t="s">
        <v>82</v>
      </c>
      <c r="C30" s="6" t="s">
        <v>83</v>
      </c>
      <c r="D30" s="6" t="s">
        <v>73</v>
      </c>
      <c r="E30" s="7">
        <v>713190</v>
      </c>
      <c r="F30" s="8">
        <v>3354.8457600000002</v>
      </c>
      <c r="G30" s="9">
        <v>1.0597312127135624E-2</v>
      </c>
      <c r="H30" s="97"/>
    </row>
    <row r="31" spans="1:10" x14ac:dyDescent="0.2">
      <c r="A31" s="5">
        <v>25</v>
      </c>
      <c r="B31" s="6" t="s">
        <v>488</v>
      </c>
      <c r="C31" s="6" t="s">
        <v>489</v>
      </c>
      <c r="D31" s="6" t="s">
        <v>78</v>
      </c>
      <c r="E31" s="7">
        <v>43978</v>
      </c>
      <c r="F31" s="8">
        <v>3266.0041810000002</v>
      </c>
      <c r="G31" s="9">
        <v>1.0316678676335617E-2</v>
      </c>
      <c r="H31" s="97"/>
    </row>
    <row r="32" spans="1:10" ht="25.5" x14ac:dyDescent="0.2">
      <c r="A32" s="5">
        <v>26</v>
      </c>
      <c r="B32" s="6" t="s">
        <v>811</v>
      </c>
      <c r="C32" s="6" t="s">
        <v>812</v>
      </c>
      <c r="D32" s="6" t="s">
        <v>202</v>
      </c>
      <c r="E32" s="7">
        <v>16757</v>
      </c>
      <c r="F32" s="8">
        <v>2590.5232795000002</v>
      </c>
      <c r="G32" s="9">
        <v>8.1829645025089017E-3</v>
      </c>
      <c r="H32" s="97"/>
    </row>
    <row r="33" spans="1:8" x14ac:dyDescent="0.2">
      <c r="A33" s="5">
        <v>27</v>
      </c>
      <c r="B33" s="6" t="s">
        <v>354</v>
      </c>
      <c r="C33" s="6" t="s">
        <v>355</v>
      </c>
      <c r="D33" s="6" t="s">
        <v>356</v>
      </c>
      <c r="E33" s="7">
        <v>82013</v>
      </c>
      <c r="F33" s="8">
        <v>2488.4384460000001</v>
      </c>
      <c r="G33" s="9">
        <v>7.8604981593628706E-3</v>
      </c>
      <c r="H33" s="97"/>
    </row>
    <row r="34" spans="1:8" x14ac:dyDescent="0.2">
      <c r="A34" s="5">
        <v>28</v>
      </c>
      <c r="B34" s="6" t="s">
        <v>454</v>
      </c>
      <c r="C34" s="6" t="s">
        <v>455</v>
      </c>
      <c r="D34" s="6" t="s">
        <v>238</v>
      </c>
      <c r="E34" s="7">
        <v>1065426</v>
      </c>
      <c r="F34" s="8">
        <v>2379.096258</v>
      </c>
      <c r="G34" s="9">
        <v>7.5151072300046317E-3</v>
      </c>
      <c r="H34" s="97"/>
    </row>
    <row r="35" spans="1:8" x14ac:dyDescent="0.2">
      <c r="A35" s="5">
        <v>29</v>
      </c>
      <c r="B35" s="6" t="s">
        <v>444</v>
      </c>
      <c r="C35" s="6" t="s">
        <v>445</v>
      </c>
      <c r="D35" s="6" t="s">
        <v>193</v>
      </c>
      <c r="E35" s="7">
        <v>47517</v>
      </c>
      <c r="F35" s="8">
        <v>2222.940294</v>
      </c>
      <c r="G35" s="9">
        <v>7.0218405914150373E-3</v>
      </c>
      <c r="H35" s="97"/>
    </row>
    <row r="36" spans="1:8" x14ac:dyDescent="0.2">
      <c r="A36" s="5">
        <v>30</v>
      </c>
      <c r="B36" s="6" t="s">
        <v>450</v>
      </c>
      <c r="C36" s="6" t="s">
        <v>451</v>
      </c>
      <c r="D36" s="6" t="s">
        <v>193</v>
      </c>
      <c r="E36" s="7">
        <v>234570</v>
      </c>
      <c r="F36" s="8">
        <v>2214.57537</v>
      </c>
      <c r="G36" s="9">
        <v>6.9954174063003314E-3</v>
      </c>
      <c r="H36" s="97"/>
    </row>
    <row r="37" spans="1:8" x14ac:dyDescent="0.2">
      <c r="A37" s="5">
        <v>31</v>
      </c>
      <c r="B37" s="6" t="s">
        <v>401</v>
      </c>
      <c r="C37" s="6" t="s">
        <v>402</v>
      </c>
      <c r="D37" s="6" t="s">
        <v>19</v>
      </c>
      <c r="E37" s="7">
        <v>93108</v>
      </c>
      <c r="F37" s="8">
        <v>2124.5383440000001</v>
      </c>
      <c r="G37" s="9">
        <v>6.7110077684870489E-3</v>
      </c>
      <c r="H37" s="97"/>
    </row>
    <row r="38" spans="1:8" ht="25.5" x14ac:dyDescent="0.2">
      <c r="A38" s="5">
        <v>32</v>
      </c>
      <c r="B38" s="6" t="s">
        <v>862</v>
      </c>
      <c r="C38" s="6" t="s">
        <v>863</v>
      </c>
      <c r="D38" s="6" t="s">
        <v>1185</v>
      </c>
      <c r="E38" s="7">
        <v>511927</v>
      </c>
      <c r="F38" s="8">
        <v>1932.5244250000001</v>
      </c>
      <c r="G38" s="9">
        <v>6.1044727507944506E-3</v>
      </c>
      <c r="H38" s="97"/>
    </row>
    <row r="39" spans="1:8" x14ac:dyDescent="0.2">
      <c r="A39" s="5">
        <v>33</v>
      </c>
      <c r="B39" s="6" t="s">
        <v>419</v>
      </c>
      <c r="C39" s="6" t="s">
        <v>420</v>
      </c>
      <c r="D39" s="6" t="s">
        <v>1183</v>
      </c>
      <c r="E39" s="7">
        <v>161043</v>
      </c>
      <c r="F39" s="8">
        <v>1926.07428</v>
      </c>
      <c r="G39" s="9">
        <v>6.0840979840480107E-3</v>
      </c>
      <c r="H39" s="97"/>
    </row>
    <row r="40" spans="1:8" x14ac:dyDescent="0.2">
      <c r="A40" s="5">
        <v>34</v>
      </c>
      <c r="B40" s="6" t="s">
        <v>303</v>
      </c>
      <c r="C40" s="6" t="s">
        <v>304</v>
      </c>
      <c r="D40" s="6" t="s">
        <v>174</v>
      </c>
      <c r="E40" s="7">
        <v>36866</v>
      </c>
      <c r="F40" s="8">
        <v>1848.2400439999999</v>
      </c>
      <c r="G40" s="9">
        <v>5.8382346114591206E-3</v>
      </c>
      <c r="H40" s="97"/>
    </row>
    <row r="41" spans="1:8" ht="25.5" x14ac:dyDescent="0.2">
      <c r="A41" s="5">
        <v>35</v>
      </c>
      <c r="B41" s="6" t="s">
        <v>622</v>
      </c>
      <c r="C41" s="6" t="s">
        <v>623</v>
      </c>
      <c r="D41" s="6" t="s">
        <v>202</v>
      </c>
      <c r="E41" s="7">
        <v>197658</v>
      </c>
      <c r="F41" s="8">
        <v>1775.4629849999999</v>
      </c>
      <c r="G41" s="9">
        <v>5.6083458877766454E-3</v>
      </c>
      <c r="H41" s="97"/>
    </row>
    <row r="42" spans="1:8" x14ac:dyDescent="0.2">
      <c r="A42" s="5">
        <v>36</v>
      </c>
      <c r="B42" s="6" t="s">
        <v>468</v>
      </c>
      <c r="C42" s="6" t="s">
        <v>469</v>
      </c>
      <c r="D42" s="6" t="s">
        <v>78</v>
      </c>
      <c r="E42" s="7">
        <v>343791</v>
      </c>
      <c r="F42" s="8">
        <v>1658.447784</v>
      </c>
      <c r="G42" s="9">
        <v>5.2387173869967727E-3</v>
      </c>
      <c r="H42" s="97"/>
    </row>
    <row r="43" spans="1:8" x14ac:dyDescent="0.2">
      <c r="A43" s="5">
        <v>37</v>
      </c>
      <c r="B43" s="6" t="s">
        <v>462</v>
      </c>
      <c r="C43" s="6" t="s">
        <v>463</v>
      </c>
      <c r="D43" s="6" t="s">
        <v>81</v>
      </c>
      <c r="E43" s="7">
        <v>23230</v>
      </c>
      <c r="F43" s="8">
        <v>1620.8267900000001</v>
      </c>
      <c r="G43" s="9">
        <v>5.1198799069836539E-3</v>
      </c>
      <c r="H43" s="97"/>
    </row>
    <row r="44" spans="1:8" x14ac:dyDescent="0.2">
      <c r="A44" s="5">
        <v>38</v>
      </c>
      <c r="B44" s="6" t="s">
        <v>307</v>
      </c>
      <c r="C44" s="6" t="s">
        <v>308</v>
      </c>
      <c r="D44" s="6" t="s">
        <v>185</v>
      </c>
      <c r="E44" s="7">
        <v>60342</v>
      </c>
      <c r="F44" s="8">
        <v>1460.336742</v>
      </c>
      <c r="G44" s="9">
        <v>4.6129227311178462E-3</v>
      </c>
      <c r="H44" s="97"/>
    </row>
    <row r="45" spans="1:8" x14ac:dyDescent="0.2">
      <c r="A45" s="5">
        <v>39</v>
      </c>
      <c r="B45" s="6" t="s">
        <v>448</v>
      </c>
      <c r="C45" s="6" t="s">
        <v>449</v>
      </c>
      <c r="D45" s="6" t="s">
        <v>70</v>
      </c>
      <c r="E45" s="7">
        <v>49150</v>
      </c>
      <c r="F45" s="8">
        <v>1239.7595999999999</v>
      </c>
      <c r="G45" s="9">
        <v>3.9161619888637769E-3</v>
      </c>
      <c r="H45" s="97"/>
    </row>
    <row r="46" spans="1:8" x14ac:dyDescent="0.2">
      <c r="A46" s="5">
        <v>40</v>
      </c>
      <c r="B46" s="6" t="s">
        <v>507</v>
      </c>
      <c r="C46" s="6" t="s">
        <v>1156</v>
      </c>
      <c r="D46" s="6" t="s">
        <v>78</v>
      </c>
      <c r="E46" s="7">
        <v>480575</v>
      </c>
      <c r="F46" s="8">
        <v>1150.2562625</v>
      </c>
      <c r="G46" s="9">
        <v>3.6334381703154511E-3</v>
      </c>
      <c r="H46" s="97"/>
    </row>
    <row r="47" spans="1:8" ht="25.5" x14ac:dyDescent="0.2">
      <c r="A47" s="5">
        <v>41</v>
      </c>
      <c r="B47" s="6" t="s">
        <v>460</v>
      </c>
      <c r="C47" s="6" t="s">
        <v>461</v>
      </c>
      <c r="D47" s="6" t="s">
        <v>1183</v>
      </c>
      <c r="E47" s="7">
        <v>79207</v>
      </c>
      <c r="F47" s="8">
        <v>1109.8880875</v>
      </c>
      <c r="G47" s="9">
        <v>3.5059228742090115E-3</v>
      </c>
      <c r="H47" s="97"/>
    </row>
    <row r="48" spans="1:8" ht="25.5" x14ac:dyDescent="0.2">
      <c r="A48" s="5">
        <v>42</v>
      </c>
      <c r="B48" s="6" t="s">
        <v>442</v>
      </c>
      <c r="C48" s="6" t="s">
        <v>1157</v>
      </c>
      <c r="D48" s="91" t="s">
        <v>22</v>
      </c>
      <c r="E48" s="7">
        <v>312079</v>
      </c>
      <c r="F48" s="8">
        <v>1100.5465935</v>
      </c>
      <c r="G48" s="9">
        <v>3.4764148924018939E-3</v>
      </c>
      <c r="H48" s="97"/>
    </row>
    <row r="49" spans="1:8" x14ac:dyDescent="0.2">
      <c r="A49" s="5">
        <v>43</v>
      </c>
      <c r="B49" s="6" t="s">
        <v>421</v>
      </c>
      <c r="C49" s="6" t="s">
        <v>422</v>
      </c>
      <c r="D49" s="6" t="s">
        <v>147</v>
      </c>
      <c r="E49" s="7">
        <v>151200</v>
      </c>
      <c r="F49" s="8">
        <v>1081.6092000000001</v>
      </c>
      <c r="G49" s="9">
        <v>3.4165953107726365E-3</v>
      </c>
      <c r="H49" s="97"/>
    </row>
    <row r="50" spans="1:8" ht="25.5" x14ac:dyDescent="0.2">
      <c r="A50" s="5">
        <v>44</v>
      </c>
      <c r="B50" s="6" t="s">
        <v>860</v>
      </c>
      <c r="C50" s="6" t="s">
        <v>861</v>
      </c>
      <c r="D50" s="6" t="s">
        <v>202</v>
      </c>
      <c r="E50" s="7">
        <v>186369</v>
      </c>
      <c r="F50" s="8">
        <v>1081.0333845</v>
      </c>
      <c r="G50" s="9">
        <v>3.4147764204218792E-3</v>
      </c>
      <c r="H50" s="97"/>
    </row>
    <row r="51" spans="1:8" ht="25.5" x14ac:dyDescent="0.2">
      <c r="A51" s="5">
        <v>45</v>
      </c>
      <c r="B51" s="6" t="s">
        <v>61</v>
      </c>
      <c r="C51" s="6" t="s">
        <v>62</v>
      </c>
      <c r="D51" s="6" t="s">
        <v>48</v>
      </c>
      <c r="E51" s="7">
        <v>139388</v>
      </c>
      <c r="F51" s="8">
        <v>1017.950564</v>
      </c>
      <c r="G51" s="9">
        <v>3.2155099305375364E-3</v>
      </c>
      <c r="H51" s="97"/>
    </row>
    <row r="52" spans="1:8" x14ac:dyDescent="0.2">
      <c r="A52" s="5">
        <v>46</v>
      </c>
      <c r="B52" s="6" t="s">
        <v>438</v>
      </c>
      <c r="C52" s="6" t="s">
        <v>439</v>
      </c>
      <c r="D52" s="6" t="s">
        <v>60</v>
      </c>
      <c r="E52" s="7">
        <v>77214</v>
      </c>
      <c r="F52" s="8">
        <v>858.19500300000004</v>
      </c>
      <c r="G52" s="9">
        <v>2.7108728577551937E-3</v>
      </c>
      <c r="H52" s="97"/>
    </row>
    <row r="53" spans="1:8" x14ac:dyDescent="0.2">
      <c r="A53" s="5">
        <v>47</v>
      </c>
      <c r="B53" s="6" t="s">
        <v>508</v>
      </c>
      <c r="C53" s="6" t="s">
        <v>509</v>
      </c>
      <c r="D53" s="6" t="s">
        <v>238</v>
      </c>
      <c r="E53" s="7">
        <v>4540</v>
      </c>
      <c r="F53" s="8">
        <v>786.33934999999997</v>
      </c>
      <c r="G53" s="9">
        <v>2.4838946783052535E-3</v>
      </c>
      <c r="H53" s="97"/>
    </row>
    <row r="54" spans="1:8" x14ac:dyDescent="0.2">
      <c r="A54" s="5">
        <v>48</v>
      </c>
      <c r="B54" s="6" t="s">
        <v>429</v>
      </c>
      <c r="C54" s="6" t="s">
        <v>430</v>
      </c>
      <c r="D54" s="6" t="s">
        <v>431</v>
      </c>
      <c r="E54" s="7">
        <v>162567</v>
      </c>
      <c r="F54" s="8">
        <v>773.08736850000003</v>
      </c>
      <c r="G54" s="9">
        <v>2.4420342190457117E-3</v>
      </c>
      <c r="H54" s="97"/>
    </row>
    <row r="55" spans="1:8" ht="25.5" x14ac:dyDescent="0.2">
      <c r="A55" s="5">
        <v>49</v>
      </c>
      <c r="B55" s="6" t="s">
        <v>510</v>
      </c>
      <c r="C55" s="6" t="s">
        <v>511</v>
      </c>
      <c r="D55" s="6" t="s">
        <v>202</v>
      </c>
      <c r="E55" s="7">
        <v>75175</v>
      </c>
      <c r="F55" s="8">
        <v>727.95711249999999</v>
      </c>
      <c r="G55" s="9">
        <v>2.2994764255066325E-3</v>
      </c>
      <c r="H55" s="97"/>
    </row>
    <row r="56" spans="1:8" x14ac:dyDescent="0.2">
      <c r="A56" s="5">
        <v>50</v>
      </c>
      <c r="B56" s="6" t="s">
        <v>399</v>
      </c>
      <c r="C56" s="6" t="s">
        <v>400</v>
      </c>
      <c r="D56" s="6" t="s">
        <v>327</v>
      </c>
      <c r="E56" s="7">
        <v>526305</v>
      </c>
      <c r="F56" s="8">
        <v>723.14306999999997</v>
      </c>
      <c r="G56" s="9">
        <v>2.2842697916953076E-3</v>
      </c>
      <c r="H56" s="97"/>
    </row>
    <row r="57" spans="1:8" ht="25.5" x14ac:dyDescent="0.2">
      <c r="A57" s="5">
        <v>51</v>
      </c>
      <c r="B57" s="6" t="s">
        <v>839</v>
      </c>
      <c r="C57" s="6" t="s">
        <v>840</v>
      </c>
      <c r="D57" s="6" t="s">
        <v>202</v>
      </c>
      <c r="E57" s="7">
        <v>21084</v>
      </c>
      <c r="F57" s="8">
        <v>713.26117799999997</v>
      </c>
      <c r="G57" s="9">
        <v>2.2530547966039551E-3</v>
      </c>
      <c r="H57" s="97"/>
    </row>
    <row r="58" spans="1:8" x14ac:dyDescent="0.2">
      <c r="A58" s="5">
        <v>52</v>
      </c>
      <c r="B58" s="6" t="s">
        <v>512</v>
      </c>
      <c r="C58" s="6" t="s">
        <v>513</v>
      </c>
      <c r="D58" s="6" t="s">
        <v>193</v>
      </c>
      <c r="E58" s="7">
        <v>14315</v>
      </c>
      <c r="F58" s="8">
        <v>702.43705</v>
      </c>
      <c r="G58" s="9">
        <v>2.2188634593187299E-3</v>
      </c>
      <c r="H58" s="97"/>
    </row>
    <row r="59" spans="1:8" x14ac:dyDescent="0.2">
      <c r="A59" s="5">
        <v>53</v>
      </c>
      <c r="B59" s="6" t="s">
        <v>514</v>
      </c>
      <c r="C59" s="6" t="s">
        <v>515</v>
      </c>
      <c r="D59" s="6" t="s">
        <v>356</v>
      </c>
      <c r="E59" s="7">
        <v>85700</v>
      </c>
      <c r="F59" s="8">
        <v>640.26469999999995</v>
      </c>
      <c r="G59" s="9">
        <v>2.0224729705269227E-3</v>
      </c>
      <c r="H59" s="97"/>
    </row>
    <row r="60" spans="1:8" x14ac:dyDescent="0.2">
      <c r="A60" s="5">
        <v>54</v>
      </c>
      <c r="B60" s="6" t="s">
        <v>389</v>
      </c>
      <c r="C60" s="6" t="s">
        <v>390</v>
      </c>
      <c r="D60" s="6" t="s">
        <v>1186</v>
      </c>
      <c r="E60" s="7">
        <v>191820</v>
      </c>
      <c r="F60" s="8">
        <v>615.35856000000001</v>
      </c>
      <c r="G60" s="9">
        <v>1.9437992673692142E-3</v>
      </c>
      <c r="H60" s="97"/>
    </row>
    <row r="61" spans="1:8" ht="25.5" x14ac:dyDescent="0.2">
      <c r="A61" s="5">
        <v>55</v>
      </c>
      <c r="B61" s="6" t="s">
        <v>436</v>
      </c>
      <c r="C61" s="6" t="s">
        <v>437</v>
      </c>
      <c r="D61" s="6" t="s">
        <v>202</v>
      </c>
      <c r="E61" s="7">
        <v>273782</v>
      </c>
      <c r="F61" s="8">
        <v>596.98165100000006</v>
      </c>
      <c r="G61" s="9">
        <v>1.885750148412113E-3</v>
      </c>
      <c r="H61" s="97"/>
    </row>
    <row r="62" spans="1:8" ht="25.5" x14ac:dyDescent="0.2">
      <c r="A62" s="5">
        <v>56</v>
      </c>
      <c r="B62" s="6" t="s">
        <v>317</v>
      </c>
      <c r="C62" s="6" t="s">
        <v>318</v>
      </c>
      <c r="D62" s="6" t="s">
        <v>81</v>
      </c>
      <c r="E62" s="7">
        <v>112700</v>
      </c>
      <c r="F62" s="8">
        <v>586.49080000000004</v>
      </c>
      <c r="G62" s="9">
        <v>1.8526115690318575E-3</v>
      </c>
      <c r="H62" s="97"/>
    </row>
    <row r="63" spans="1:8" x14ac:dyDescent="0.2">
      <c r="A63" s="5">
        <v>57</v>
      </c>
      <c r="B63" s="6" t="s">
        <v>516</v>
      </c>
      <c r="C63" s="6" t="s">
        <v>517</v>
      </c>
      <c r="D63" s="6" t="s">
        <v>147</v>
      </c>
      <c r="E63" s="7">
        <v>7440</v>
      </c>
      <c r="F63" s="8">
        <v>545.50080000000003</v>
      </c>
      <c r="G63" s="9">
        <v>1.7231320474185331E-3</v>
      </c>
      <c r="H63" s="97"/>
    </row>
    <row r="64" spans="1:8" x14ac:dyDescent="0.2">
      <c r="A64" s="5">
        <v>58</v>
      </c>
      <c r="B64" s="6" t="s">
        <v>427</v>
      </c>
      <c r="C64" s="6" t="s">
        <v>428</v>
      </c>
      <c r="D64" s="6" t="s">
        <v>147</v>
      </c>
      <c r="E64" s="7">
        <v>26205</v>
      </c>
      <c r="F64" s="8">
        <v>469.21362749999997</v>
      </c>
      <c r="G64" s="9">
        <v>1.4821555506990126E-3</v>
      </c>
      <c r="H64" s="97"/>
    </row>
    <row r="65" spans="1:8" ht="25.5" x14ac:dyDescent="0.2">
      <c r="A65" s="5">
        <v>59</v>
      </c>
      <c r="B65" s="6" t="s">
        <v>518</v>
      </c>
      <c r="C65" s="6" t="s">
        <v>519</v>
      </c>
      <c r="D65" s="6" t="s">
        <v>202</v>
      </c>
      <c r="E65" s="7">
        <v>12595</v>
      </c>
      <c r="F65" s="8">
        <v>454.17570000000001</v>
      </c>
      <c r="G65" s="9">
        <v>1.4346536317247297E-3</v>
      </c>
      <c r="H65" s="97"/>
    </row>
    <row r="66" spans="1:8" x14ac:dyDescent="0.2">
      <c r="A66" s="5">
        <v>60</v>
      </c>
      <c r="B66" s="6" t="s">
        <v>458</v>
      </c>
      <c r="C66" s="6" t="s">
        <v>459</v>
      </c>
      <c r="D66" s="6" t="s">
        <v>327</v>
      </c>
      <c r="E66" s="7">
        <v>21175</v>
      </c>
      <c r="F66" s="8">
        <v>445.00321250000002</v>
      </c>
      <c r="G66" s="9">
        <v>1.4056795089263841E-3</v>
      </c>
      <c r="H66" s="97"/>
    </row>
    <row r="67" spans="1:8" x14ac:dyDescent="0.2">
      <c r="A67" s="5">
        <v>61</v>
      </c>
      <c r="B67" s="6" t="s">
        <v>323</v>
      </c>
      <c r="C67" s="6" t="s">
        <v>324</v>
      </c>
      <c r="D67" s="6" t="s">
        <v>1187</v>
      </c>
      <c r="E67" s="7">
        <v>10949</v>
      </c>
      <c r="F67" s="8">
        <v>393.18953900000002</v>
      </c>
      <c r="G67" s="9">
        <v>1.2420100857058673E-3</v>
      </c>
      <c r="H67" s="97"/>
    </row>
    <row r="68" spans="1:8" x14ac:dyDescent="0.2">
      <c r="A68" s="5">
        <v>62</v>
      </c>
      <c r="B68" s="6" t="s">
        <v>864</v>
      </c>
      <c r="C68" s="6" t="s">
        <v>865</v>
      </c>
      <c r="D68" s="6" t="s">
        <v>1183</v>
      </c>
      <c r="E68" s="7">
        <v>44670</v>
      </c>
      <c r="F68" s="8">
        <v>290.15398499999998</v>
      </c>
      <c r="G68" s="9">
        <v>9.1654059946327544E-4</v>
      </c>
      <c r="H68" s="97"/>
    </row>
    <row r="69" spans="1:8" ht="25.5" x14ac:dyDescent="0.2">
      <c r="A69" s="5">
        <v>63</v>
      </c>
      <c r="B69" s="6" t="s">
        <v>502</v>
      </c>
      <c r="C69" s="6" t="s">
        <v>503</v>
      </c>
      <c r="D69" s="6" t="s">
        <v>1188</v>
      </c>
      <c r="E69" s="7">
        <v>28700</v>
      </c>
      <c r="F69" s="8">
        <v>272.73610000000002</v>
      </c>
      <c r="G69" s="9">
        <v>8.6152085276125316E-4</v>
      </c>
      <c r="H69" s="97"/>
    </row>
    <row r="70" spans="1:8" x14ac:dyDescent="0.2">
      <c r="A70" s="5">
        <v>64</v>
      </c>
      <c r="B70" s="6" t="s">
        <v>520</v>
      </c>
      <c r="C70" s="6" t="s">
        <v>521</v>
      </c>
      <c r="D70" s="6" t="s">
        <v>193</v>
      </c>
      <c r="E70" s="7">
        <v>32010</v>
      </c>
      <c r="F70" s="8">
        <v>235.06543500000001</v>
      </c>
      <c r="G70" s="9">
        <v>7.4252647161815E-4</v>
      </c>
      <c r="H70" s="97"/>
    </row>
    <row r="71" spans="1:8" x14ac:dyDescent="0.2">
      <c r="A71" s="5">
        <v>65</v>
      </c>
      <c r="B71" s="6" t="s">
        <v>522</v>
      </c>
      <c r="C71" s="6" t="s">
        <v>523</v>
      </c>
      <c r="D71" s="6" t="s">
        <v>34</v>
      </c>
      <c r="E71" s="7">
        <v>150978</v>
      </c>
      <c r="F71" s="8">
        <v>187.816632</v>
      </c>
      <c r="G71" s="9">
        <v>5.9327659581326592E-4</v>
      </c>
      <c r="H71" s="97"/>
    </row>
    <row r="72" spans="1:8" x14ac:dyDescent="0.2">
      <c r="A72" s="5">
        <v>66</v>
      </c>
      <c r="B72" s="6" t="s">
        <v>470</v>
      </c>
      <c r="C72" s="6" t="s">
        <v>471</v>
      </c>
      <c r="D72" s="6" t="s">
        <v>327</v>
      </c>
      <c r="E72" s="7">
        <v>3780</v>
      </c>
      <c r="F72" s="8">
        <v>176.58081000000001</v>
      </c>
      <c r="G72" s="9">
        <v>5.577847964111565E-4</v>
      </c>
      <c r="H72" s="97"/>
    </row>
    <row r="73" spans="1:8" x14ac:dyDescent="0.2">
      <c r="A73" s="3"/>
      <c r="B73" s="3"/>
      <c r="C73" s="4" t="s">
        <v>97</v>
      </c>
      <c r="D73" s="3"/>
      <c r="E73" s="3" t="s">
        <v>98</v>
      </c>
      <c r="F73" s="11">
        <v>297068.08725950005</v>
      </c>
      <c r="G73" s="12">
        <v>0.93838091790547273</v>
      </c>
      <c r="H73" s="97"/>
    </row>
    <row r="74" spans="1:8" x14ac:dyDescent="0.2">
      <c r="A74" s="3"/>
      <c r="B74" s="3"/>
      <c r="C74" s="13"/>
      <c r="D74" s="3"/>
      <c r="E74" s="3"/>
      <c r="F74" s="14"/>
      <c r="G74" s="14"/>
      <c r="H74" s="97"/>
    </row>
    <row r="75" spans="1:8" x14ac:dyDescent="0.2">
      <c r="A75" s="3"/>
      <c r="B75" s="3"/>
      <c r="C75" s="4" t="s">
        <v>99</v>
      </c>
      <c r="D75" s="3"/>
      <c r="E75" s="3"/>
      <c r="F75" s="3"/>
      <c r="G75" s="3"/>
      <c r="H75" s="97"/>
    </row>
    <row r="76" spans="1:8" x14ac:dyDescent="0.2">
      <c r="A76" s="3"/>
      <c r="B76" s="3"/>
      <c r="C76" s="4" t="s">
        <v>97</v>
      </c>
      <c r="D76" s="3"/>
      <c r="E76" s="3" t="s">
        <v>98</v>
      </c>
      <c r="F76" s="15">
        <v>0</v>
      </c>
      <c r="G76" s="16">
        <v>0</v>
      </c>
      <c r="H76" s="97"/>
    </row>
    <row r="77" spans="1:8" x14ac:dyDescent="0.2">
      <c r="A77" s="3"/>
      <c r="B77" s="3"/>
      <c r="C77" s="13"/>
      <c r="D77" s="3"/>
      <c r="E77" s="3"/>
      <c r="F77" s="14"/>
      <c r="G77" s="14"/>
      <c r="H77" s="97"/>
    </row>
    <row r="78" spans="1:8" x14ac:dyDescent="0.2">
      <c r="A78" s="3"/>
      <c r="B78" s="3"/>
      <c r="C78" s="4" t="s">
        <v>100</v>
      </c>
      <c r="D78" s="3"/>
      <c r="E78" s="3"/>
      <c r="F78" s="3"/>
      <c r="G78" s="3"/>
      <c r="H78" s="97"/>
    </row>
    <row r="79" spans="1:8" x14ac:dyDescent="0.2">
      <c r="A79" s="3"/>
      <c r="B79" s="3"/>
      <c r="C79" s="4" t="s">
        <v>97</v>
      </c>
      <c r="D79" s="3"/>
      <c r="E79" s="3" t="s">
        <v>98</v>
      </c>
      <c r="F79" s="15">
        <v>0</v>
      </c>
      <c r="G79" s="16">
        <v>0</v>
      </c>
      <c r="H79" s="97"/>
    </row>
    <row r="80" spans="1:8" x14ac:dyDescent="0.2">
      <c r="A80" s="3"/>
      <c r="B80" s="3"/>
      <c r="C80" s="13"/>
      <c r="D80" s="3"/>
      <c r="E80" s="3"/>
      <c r="F80" s="14"/>
      <c r="G80" s="14"/>
      <c r="H80" s="97"/>
    </row>
    <row r="81" spans="1:8" x14ac:dyDescent="0.2">
      <c r="A81" s="3"/>
      <c r="B81" s="3"/>
      <c r="C81" s="4" t="s">
        <v>101</v>
      </c>
      <c r="D81" s="3"/>
      <c r="E81" s="3"/>
      <c r="F81" s="3"/>
      <c r="G81" s="3"/>
      <c r="H81" s="97"/>
    </row>
    <row r="82" spans="1:8" x14ac:dyDescent="0.2">
      <c r="A82" s="3"/>
      <c r="B82" s="3"/>
      <c r="C82" s="4" t="s">
        <v>97</v>
      </c>
      <c r="D82" s="3"/>
      <c r="E82" s="3" t="s">
        <v>98</v>
      </c>
      <c r="F82" s="11">
        <v>0</v>
      </c>
      <c r="G82" s="12">
        <v>0</v>
      </c>
      <c r="H82" s="97"/>
    </row>
    <row r="83" spans="1:8" x14ac:dyDescent="0.2">
      <c r="A83" s="3"/>
      <c r="B83" s="3"/>
      <c r="C83" s="13"/>
      <c r="D83" s="3"/>
      <c r="E83" s="3"/>
      <c r="F83" s="14"/>
      <c r="G83" s="14"/>
      <c r="H83" s="97"/>
    </row>
    <row r="84" spans="1:8" x14ac:dyDescent="0.2">
      <c r="A84" s="3"/>
      <c r="B84" s="3"/>
      <c r="C84" s="4" t="s">
        <v>102</v>
      </c>
      <c r="D84" s="3"/>
      <c r="E84" s="3"/>
      <c r="F84" s="14"/>
      <c r="G84" s="14"/>
      <c r="H84" s="97"/>
    </row>
    <row r="85" spans="1:8" ht="25.5" x14ac:dyDescent="0.2">
      <c r="A85" s="5">
        <v>1</v>
      </c>
      <c r="B85" s="6" t="s">
        <v>971</v>
      </c>
      <c r="C85" s="6" t="s">
        <v>972</v>
      </c>
      <c r="D85" s="6"/>
      <c r="E85" s="7">
        <v>90000</v>
      </c>
      <c r="F85" s="8">
        <v>702</v>
      </c>
      <c r="G85" s="9">
        <v>2.2174829024775222E-3</v>
      </c>
      <c r="H85" s="97"/>
    </row>
    <row r="86" spans="1:8" x14ac:dyDescent="0.2">
      <c r="A86" s="3"/>
      <c r="B86" s="3"/>
      <c r="C86" s="4" t="s">
        <v>97</v>
      </c>
      <c r="D86" s="3"/>
      <c r="E86" s="3" t="s">
        <v>98</v>
      </c>
      <c r="F86" s="15">
        <v>702</v>
      </c>
      <c r="G86" s="16">
        <v>2.2174829024775222E-3</v>
      </c>
      <c r="H86" s="97"/>
    </row>
    <row r="87" spans="1:8" x14ac:dyDescent="0.2">
      <c r="A87" s="3"/>
      <c r="B87" s="3"/>
      <c r="C87" s="13"/>
      <c r="D87" s="3"/>
      <c r="E87" s="3"/>
      <c r="F87" s="14"/>
      <c r="G87" s="14"/>
      <c r="H87" s="97"/>
    </row>
    <row r="88" spans="1:8" x14ac:dyDescent="0.2">
      <c r="A88" s="3"/>
      <c r="B88" s="3"/>
      <c r="C88" s="4" t="s">
        <v>103</v>
      </c>
      <c r="D88" s="3"/>
      <c r="E88" s="3"/>
      <c r="F88" s="14"/>
      <c r="G88" s="14"/>
      <c r="H88" s="97"/>
    </row>
    <row r="89" spans="1:8" x14ac:dyDescent="0.2">
      <c r="A89" s="3"/>
      <c r="B89" s="3"/>
      <c r="C89" s="4" t="s">
        <v>97</v>
      </c>
      <c r="D89" s="3"/>
      <c r="E89" s="3" t="s">
        <v>98</v>
      </c>
      <c r="F89" s="15">
        <v>0</v>
      </c>
      <c r="G89" s="16">
        <v>0</v>
      </c>
      <c r="H89" s="97"/>
    </row>
    <row r="90" spans="1:8" x14ac:dyDescent="0.2">
      <c r="A90" s="3"/>
      <c r="B90" s="3"/>
      <c r="C90" s="13"/>
      <c r="D90" s="3"/>
      <c r="E90" s="3"/>
      <c r="F90" s="14"/>
      <c r="G90" s="14"/>
      <c r="H90" s="97"/>
    </row>
    <row r="91" spans="1:8" x14ac:dyDescent="0.2">
      <c r="A91" s="3"/>
      <c r="B91" s="3"/>
      <c r="C91" s="4" t="s">
        <v>104</v>
      </c>
      <c r="D91" s="3"/>
      <c r="E91" s="3"/>
      <c r="F91" s="11">
        <v>297770.0872595</v>
      </c>
      <c r="G91" s="12">
        <v>0.94059840080795021</v>
      </c>
      <c r="H91" s="97"/>
    </row>
    <row r="92" spans="1:8" x14ac:dyDescent="0.2">
      <c r="A92" s="3"/>
      <c r="B92" s="3"/>
      <c r="C92" s="13"/>
      <c r="D92" s="3"/>
      <c r="E92" s="3"/>
      <c r="F92" s="14"/>
      <c r="G92" s="14"/>
      <c r="H92" s="97"/>
    </row>
    <row r="93" spans="1:8" x14ac:dyDescent="0.2">
      <c r="A93" s="3"/>
      <c r="B93" s="3"/>
      <c r="C93" s="4" t="s">
        <v>105</v>
      </c>
      <c r="D93" s="3"/>
      <c r="E93" s="3"/>
      <c r="F93" s="14"/>
      <c r="G93" s="14"/>
      <c r="H93" s="97"/>
    </row>
    <row r="94" spans="1:8" ht="25.5" x14ac:dyDescent="0.2">
      <c r="A94" s="3"/>
      <c r="B94" s="3"/>
      <c r="C94" s="4" t="s">
        <v>10</v>
      </c>
      <c r="D94" s="3"/>
      <c r="E94" s="3"/>
      <c r="F94" s="14"/>
      <c r="G94" s="14"/>
      <c r="H94" s="97"/>
    </row>
    <row r="95" spans="1:8" ht="25.5" x14ac:dyDescent="0.2">
      <c r="A95" s="5">
        <v>1</v>
      </c>
      <c r="B95" s="6" t="s">
        <v>524</v>
      </c>
      <c r="C95" s="6" t="s">
        <v>525</v>
      </c>
      <c r="D95" s="6" t="s">
        <v>526</v>
      </c>
      <c r="E95" s="7">
        <v>28980</v>
      </c>
      <c r="F95" s="8">
        <v>8.3715105600000008</v>
      </c>
      <c r="G95" s="9">
        <v>2.6443990790185224E-5</v>
      </c>
      <c r="H95" s="100">
        <v>5.66</v>
      </c>
    </row>
    <row r="96" spans="1:8" x14ac:dyDescent="0.2">
      <c r="A96" s="3"/>
      <c r="B96" s="3"/>
      <c r="C96" s="4" t="s">
        <v>97</v>
      </c>
      <c r="D96" s="3"/>
      <c r="E96" s="3" t="s">
        <v>98</v>
      </c>
      <c r="F96" s="15">
        <v>8.3715105600000008</v>
      </c>
      <c r="G96" s="16">
        <v>2.6443990790185224E-5</v>
      </c>
      <c r="H96" s="97"/>
    </row>
    <row r="97" spans="1:8" x14ac:dyDescent="0.2">
      <c r="A97" s="3"/>
      <c r="B97" s="3"/>
      <c r="C97" s="13"/>
      <c r="D97" s="3"/>
      <c r="E97" s="3"/>
      <c r="F97" s="14"/>
      <c r="G97" s="14"/>
      <c r="H97" s="97"/>
    </row>
    <row r="98" spans="1:8" x14ac:dyDescent="0.2">
      <c r="A98" s="3"/>
      <c r="B98" s="3"/>
      <c r="C98" s="4" t="s">
        <v>106</v>
      </c>
      <c r="D98" s="3"/>
      <c r="E98" s="3"/>
      <c r="F98" s="3"/>
      <c r="G98" s="3"/>
      <c r="H98" s="97"/>
    </row>
    <row r="99" spans="1:8" x14ac:dyDescent="0.2">
      <c r="A99" s="3"/>
      <c r="B99" s="3"/>
      <c r="C99" s="4" t="s">
        <v>97</v>
      </c>
      <c r="D99" s="3"/>
      <c r="E99" s="3" t="s">
        <v>98</v>
      </c>
      <c r="F99" s="15">
        <v>0</v>
      </c>
      <c r="G99" s="16">
        <v>0</v>
      </c>
      <c r="H99" s="97"/>
    </row>
    <row r="100" spans="1:8" x14ac:dyDescent="0.2">
      <c r="A100" s="3"/>
      <c r="B100" s="3"/>
      <c r="C100" s="13"/>
      <c r="D100" s="3"/>
      <c r="E100" s="3"/>
      <c r="F100" s="14"/>
      <c r="G100" s="14"/>
      <c r="H100" s="97"/>
    </row>
    <row r="101" spans="1:8" x14ac:dyDescent="0.2">
      <c r="A101" s="3"/>
      <c r="B101" s="3"/>
      <c r="C101" s="4" t="s">
        <v>107</v>
      </c>
      <c r="D101" s="3"/>
      <c r="E101" s="3"/>
      <c r="F101" s="3"/>
      <c r="G101" s="3"/>
      <c r="H101" s="97"/>
    </row>
    <row r="102" spans="1:8" x14ac:dyDescent="0.2">
      <c r="A102" s="3"/>
      <c r="B102" s="3"/>
      <c r="C102" s="4" t="s">
        <v>97</v>
      </c>
      <c r="D102" s="3"/>
      <c r="E102" s="3" t="s">
        <v>98</v>
      </c>
      <c r="F102" s="15">
        <v>0</v>
      </c>
      <c r="G102" s="16">
        <v>0</v>
      </c>
      <c r="H102" s="97"/>
    </row>
    <row r="103" spans="1:8" x14ac:dyDescent="0.2">
      <c r="A103" s="3"/>
      <c r="B103" s="3"/>
      <c r="C103" s="13"/>
      <c r="D103" s="3"/>
      <c r="E103" s="3"/>
      <c r="F103" s="14"/>
      <c r="G103" s="14"/>
      <c r="H103" s="97"/>
    </row>
    <row r="104" spans="1:8" x14ac:dyDescent="0.2">
      <c r="A104" s="3"/>
      <c r="B104" s="3"/>
      <c r="C104" s="4" t="s">
        <v>108</v>
      </c>
      <c r="D104" s="3"/>
      <c r="E104" s="3"/>
      <c r="F104" s="14"/>
      <c r="G104" s="14"/>
      <c r="H104" s="97"/>
    </row>
    <row r="105" spans="1:8" x14ac:dyDescent="0.2">
      <c r="A105" s="3"/>
      <c r="B105" s="3"/>
      <c r="C105" s="4" t="s">
        <v>97</v>
      </c>
      <c r="D105" s="3"/>
      <c r="E105" s="3" t="s">
        <v>98</v>
      </c>
      <c r="F105" s="15">
        <v>0</v>
      </c>
      <c r="G105" s="16">
        <v>0</v>
      </c>
      <c r="H105" s="97"/>
    </row>
    <row r="106" spans="1:8" x14ac:dyDescent="0.2">
      <c r="A106" s="3"/>
      <c r="B106" s="3"/>
      <c r="C106" s="13"/>
      <c r="D106" s="3"/>
      <c r="E106" s="3"/>
      <c r="F106" s="14"/>
      <c r="G106" s="14"/>
      <c r="H106" s="97"/>
    </row>
    <row r="107" spans="1:8" x14ac:dyDescent="0.2">
      <c r="A107" s="3"/>
      <c r="B107" s="3"/>
      <c r="C107" s="4" t="s">
        <v>109</v>
      </c>
      <c r="D107" s="3"/>
      <c r="E107" s="3"/>
      <c r="F107" s="11">
        <v>8.3715105600000008</v>
      </c>
      <c r="G107" s="12">
        <v>2.6443990790185224E-5</v>
      </c>
      <c r="H107" s="97"/>
    </row>
    <row r="108" spans="1:8" x14ac:dyDescent="0.2">
      <c r="A108" s="3"/>
      <c r="B108" s="3"/>
      <c r="C108" s="13"/>
      <c r="D108" s="3"/>
      <c r="E108" s="3"/>
      <c r="F108" s="14"/>
      <c r="G108" s="14"/>
      <c r="H108" s="97"/>
    </row>
    <row r="109" spans="1:8" x14ac:dyDescent="0.2">
      <c r="A109" s="3"/>
      <c r="B109" s="3"/>
      <c r="C109" s="4" t="s">
        <v>110</v>
      </c>
      <c r="D109" s="3"/>
      <c r="E109" s="3"/>
      <c r="F109" s="14"/>
      <c r="G109" s="14"/>
      <c r="H109" s="97"/>
    </row>
    <row r="110" spans="1:8" x14ac:dyDescent="0.2">
      <c r="A110" s="3"/>
      <c r="B110" s="3"/>
      <c r="C110" s="4" t="s">
        <v>111</v>
      </c>
      <c r="D110" s="3"/>
      <c r="E110" s="3"/>
      <c r="F110" s="14"/>
      <c r="G110" s="14"/>
      <c r="H110" s="97"/>
    </row>
    <row r="111" spans="1:8" x14ac:dyDescent="0.2">
      <c r="A111" s="3"/>
      <c r="B111" s="3"/>
      <c r="C111" s="4" t="s">
        <v>97</v>
      </c>
      <c r="D111" s="3"/>
      <c r="E111" s="3" t="s">
        <v>98</v>
      </c>
      <c r="F111" s="15">
        <v>0</v>
      </c>
      <c r="G111" s="16">
        <v>0</v>
      </c>
      <c r="H111" s="97"/>
    </row>
    <row r="112" spans="1:8" x14ac:dyDescent="0.2">
      <c r="A112" s="3"/>
      <c r="B112" s="3"/>
      <c r="C112" s="13"/>
      <c r="D112" s="3"/>
      <c r="E112" s="3"/>
      <c r="F112" s="14"/>
      <c r="G112" s="14"/>
      <c r="H112" s="97"/>
    </row>
    <row r="113" spans="1:8" x14ac:dyDescent="0.2">
      <c r="A113" s="3"/>
      <c r="B113" s="3"/>
      <c r="C113" s="4" t="s">
        <v>112</v>
      </c>
      <c r="D113" s="3"/>
      <c r="E113" s="3"/>
      <c r="F113" s="14"/>
      <c r="G113" s="14"/>
      <c r="H113" s="97"/>
    </row>
    <row r="114" spans="1:8" x14ac:dyDescent="0.2">
      <c r="A114" s="3"/>
      <c r="B114" s="3"/>
      <c r="C114" s="4" t="s">
        <v>97</v>
      </c>
      <c r="D114" s="3"/>
      <c r="E114" s="3" t="s">
        <v>98</v>
      </c>
      <c r="F114" s="15">
        <v>0</v>
      </c>
      <c r="G114" s="16">
        <v>0</v>
      </c>
      <c r="H114" s="97"/>
    </row>
    <row r="115" spans="1:8" x14ac:dyDescent="0.2">
      <c r="A115" s="3"/>
      <c r="B115" s="3"/>
      <c r="C115" s="13"/>
      <c r="D115" s="3"/>
      <c r="E115" s="3"/>
      <c r="F115" s="14"/>
      <c r="G115" s="14"/>
      <c r="H115" s="97"/>
    </row>
    <row r="116" spans="1:8" x14ac:dyDescent="0.2">
      <c r="A116" s="3"/>
      <c r="B116" s="3"/>
      <c r="C116" s="4" t="s">
        <v>113</v>
      </c>
      <c r="D116" s="3"/>
      <c r="E116" s="3"/>
      <c r="F116" s="14"/>
      <c r="G116" s="14"/>
      <c r="H116" s="97"/>
    </row>
    <row r="117" spans="1:8" ht="15" x14ac:dyDescent="0.25">
      <c r="A117" s="5">
        <v>1</v>
      </c>
      <c r="B117" s="6" t="s">
        <v>504</v>
      </c>
      <c r="C117" s="6" t="s">
        <v>505</v>
      </c>
      <c r="D117" s="6" t="s">
        <v>506</v>
      </c>
      <c r="E117" s="7">
        <v>12000</v>
      </c>
      <c r="F117" s="8">
        <v>11.99466</v>
      </c>
      <c r="G117" s="9">
        <v>3.7888822608306315E-5</v>
      </c>
      <c r="H117" s="88">
        <v>3.25</v>
      </c>
    </row>
    <row r="118" spans="1:8" x14ac:dyDescent="0.2">
      <c r="A118" s="3"/>
      <c r="B118" s="3"/>
      <c r="C118" s="4" t="s">
        <v>97</v>
      </c>
      <c r="D118" s="3"/>
      <c r="E118" s="3" t="s">
        <v>98</v>
      </c>
      <c r="F118" s="11">
        <v>11.99466</v>
      </c>
      <c r="G118" s="12">
        <v>3.7888822608306315E-5</v>
      </c>
      <c r="H118" s="97"/>
    </row>
    <row r="119" spans="1:8" x14ac:dyDescent="0.2">
      <c r="A119" s="3"/>
      <c r="B119" s="3"/>
      <c r="C119" s="13"/>
      <c r="D119" s="3"/>
      <c r="E119" s="3"/>
      <c r="F119" s="14"/>
      <c r="G119" s="14"/>
      <c r="H119" s="97"/>
    </row>
    <row r="120" spans="1:8" x14ac:dyDescent="0.2">
      <c r="A120" s="3"/>
      <c r="B120" s="3"/>
      <c r="C120" s="4" t="s">
        <v>114</v>
      </c>
      <c r="D120" s="3"/>
      <c r="E120" s="3"/>
      <c r="F120" s="14"/>
      <c r="G120" s="14"/>
      <c r="H120" s="97"/>
    </row>
    <row r="121" spans="1:8" x14ac:dyDescent="0.2">
      <c r="A121" s="5">
        <v>1</v>
      </c>
      <c r="B121" s="6"/>
      <c r="C121" s="6" t="s">
        <v>115</v>
      </c>
      <c r="D121" s="6"/>
      <c r="E121" s="10"/>
      <c r="F121" s="8">
        <v>4685.1530690999998</v>
      </c>
      <c r="G121" s="9">
        <v>1.4799496903446351E-2</v>
      </c>
      <c r="H121" s="8">
        <v>3.4504560529072292</v>
      </c>
    </row>
    <row r="122" spans="1:8" x14ac:dyDescent="0.2">
      <c r="A122" s="5">
        <v>2</v>
      </c>
      <c r="B122" s="6"/>
      <c r="C122" s="6" t="s">
        <v>116</v>
      </c>
      <c r="D122" s="6"/>
      <c r="E122" s="10"/>
      <c r="F122" s="8">
        <v>2528.6120689999998</v>
      </c>
      <c r="G122" s="9">
        <v>7.9873989031421823E-3</v>
      </c>
      <c r="H122" s="8">
        <v>3.5655822479098256</v>
      </c>
    </row>
    <row r="123" spans="1:8" x14ac:dyDescent="0.2">
      <c r="A123" s="3"/>
      <c r="B123" s="3"/>
      <c r="C123" s="4" t="s">
        <v>97</v>
      </c>
      <c r="D123" s="3"/>
      <c r="E123" s="3" t="s">
        <v>98</v>
      </c>
      <c r="F123" s="11">
        <v>7213.7651380999996</v>
      </c>
      <c r="G123" s="12">
        <v>2.2786895806588534E-2</v>
      </c>
      <c r="H123" s="97"/>
    </row>
    <row r="124" spans="1:8" x14ac:dyDescent="0.2">
      <c r="A124" s="3"/>
      <c r="B124" s="3"/>
      <c r="C124" s="13"/>
      <c r="D124" s="3"/>
      <c r="E124" s="3"/>
      <c r="F124" s="14"/>
      <c r="G124" s="14"/>
      <c r="H124" s="97"/>
    </row>
    <row r="125" spans="1:8" x14ac:dyDescent="0.2">
      <c r="A125" s="3"/>
      <c r="B125" s="3"/>
      <c r="C125" s="4" t="s">
        <v>117</v>
      </c>
      <c r="D125" s="3"/>
      <c r="E125" s="3"/>
      <c r="F125" s="11">
        <v>7225.7597980999999</v>
      </c>
      <c r="G125" s="12">
        <v>2.2824784629196841E-2</v>
      </c>
      <c r="H125" s="97"/>
    </row>
    <row r="126" spans="1:8" x14ac:dyDescent="0.2">
      <c r="A126" s="3"/>
      <c r="B126" s="3"/>
      <c r="C126" s="14"/>
      <c r="D126" s="3"/>
      <c r="E126" s="3"/>
      <c r="F126" s="3"/>
      <c r="G126" s="3"/>
      <c r="H126" s="97"/>
    </row>
    <row r="127" spans="1:8" x14ac:dyDescent="0.2">
      <c r="A127" s="3"/>
      <c r="B127" s="3"/>
      <c r="C127" s="4" t="s">
        <v>118</v>
      </c>
      <c r="D127" s="3"/>
      <c r="E127" s="3"/>
      <c r="F127" s="3"/>
      <c r="G127" s="3"/>
      <c r="H127" s="97"/>
    </row>
    <row r="128" spans="1:8" x14ac:dyDescent="0.2">
      <c r="A128" s="3"/>
      <c r="B128" s="3"/>
      <c r="C128" s="4" t="s">
        <v>119</v>
      </c>
      <c r="D128" s="3"/>
      <c r="E128" s="3"/>
      <c r="F128" s="3"/>
      <c r="G128" s="3"/>
      <c r="H128" s="97"/>
    </row>
    <row r="129" spans="1:15" x14ac:dyDescent="0.2">
      <c r="A129" s="3"/>
      <c r="B129" s="3"/>
      <c r="C129" s="4" t="s">
        <v>97</v>
      </c>
      <c r="D129" s="3"/>
      <c r="E129" s="3" t="s">
        <v>98</v>
      </c>
      <c r="F129" s="15">
        <v>0</v>
      </c>
      <c r="G129" s="16">
        <v>0</v>
      </c>
      <c r="H129" s="97"/>
    </row>
    <row r="130" spans="1:15" x14ac:dyDescent="0.2">
      <c r="A130" s="3"/>
      <c r="B130" s="3"/>
      <c r="C130" s="13"/>
      <c r="D130" s="3"/>
      <c r="E130" s="3"/>
      <c r="F130" s="14"/>
      <c r="G130" s="14"/>
      <c r="H130" s="97"/>
    </row>
    <row r="131" spans="1:15" x14ac:dyDescent="0.2">
      <c r="A131" s="3"/>
      <c r="B131" s="3"/>
      <c r="C131" s="4" t="s">
        <v>120</v>
      </c>
      <c r="D131" s="3"/>
      <c r="E131" s="3"/>
      <c r="F131" s="3"/>
      <c r="G131" s="3"/>
      <c r="H131" s="97"/>
    </row>
    <row r="132" spans="1:15" x14ac:dyDescent="0.2">
      <c r="A132" s="3"/>
      <c r="B132" s="3"/>
      <c r="C132" s="4" t="s">
        <v>121</v>
      </c>
      <c r="D132" s="3"/>
      <c r="E132" s="3"/>
      <c r="F132" s="3"/>
      <c r="G132" s="3"/>
      <c r="H132" s="97"/>
    </row>
    <row r="133" spans="1:15" x14ac:dyDescent="0.2">
      <c r="A133" s="3"/>
      <c r="B133" s="3"/>
      <c r="C133" s="4" t="s">
        <v>97</v>
      </c>
      <c r="D133" s="3"/>
      <c r="E133" s="3" t="s">
        <v>98</v>
      </c>
      <c r="F133" s="15">
        <v>0</v>
      </c>
      <c r="G133" s="16">
        <v>0</v>
      </c>
      <c r="H133" s="97"/>
    </row>
    <row r="134" spans="1:15" x14ac:dyDescent="0.2">
      <c r="A134" s="3"/>
      <c r="B134" s="3"/>
      <c r="C134" s="13"/>
      <c r="D134" s="3"/>
      <c r="E134" s="3"/>
      <c r="F134" s="14"/>
      <c r="G134" s="14"/>
      <c r="H134" s="97"/>
    </row>
    <row r="135" spans="1:15" x14ac:dyDescent="0.2">
      <c r="A135" s="3"/>
      <c r="B135" s="3"/>
      <c r="C135" s="13"/>
      <c r="D135" s="3"/>
      <c r="E135" s="3"/>
      <c r="F135" s="14"/>
      <c r="G135" s="14"/>
      <c r="H135" s="97"/>
    </row>
    <row r="136" spans="1:15" ht="25.5" x14ac:dyDescent="0.2">
      <c r="A136" s="3"/>
      <c r="B136" s="3"/>
      <c r="C136" s="4" t="s">
        <v>122</v>
      </c>
      <c r="D136" s="3"/>
      <c r="E136" s="3"/>
      <c r="F136" s="14"/>
      <c r="G136" s="14"/>
      <c r="H136" s="97"/>
    </row>
    <row r="137" spans="1:15" x14ac:dyDescent="0.2">
      <c r="A137" s="3"/>
      <c r="B137" s="3"/>
      <c r="C137" s="4" t="s">
        <v>97</v>
      </c>
      <c r="D137" s="3"/>
      <c r="E137" s="3" t="s">
        <v>98</v>
      </c>
      <c r="F137" s="15">
        <v>0</v>
      </c>
      <c r="G137" s="16">
        <v>0</v>
      </c>
      <c r="H137" s="97"/>
      <c r="I137" s="87"/>
      <c r="J137" s="87"/>
      <c r="K137" s="87"/>
      <c r="L137" s="87"/>
      <c r="M137" s="87"/>
      <c r="N137" s="87"/>
      <c r="O137" s="87"/>
    </row>
    <row r="138" spans="1:15" x14ac:dyDescent="0.2">
      <c r="A138" s="3"/>
      <c r="B138" s="3"/>
      <c r="C138" s="13"/>
      <c r="D138" s="3"/>
      <c r="E138" s="3"/>
      <c r="F138" s="14"/>
      <c r="G138" s="14"/>
      <c r="H138" s="97"/>
    </row>
    <row r="139" spans="1:15" x14ac:dyDescent="0.2">
      <c r="A139" s="3"/>
      <c r="B139" s="6"/>
      <c r="C139" s="6"/>
      <c r="D139" s="4"/>
      <c r="E139" s="3"/>
      <c r="F139" s="6"/>
      <c r="G139" s="10"/>
      <c r="H139" s="97"/>
    </row>
    <row r="140" spans="1:15" x14ac:dyDescent="0.2">
      <c r="A140" s="10"/>
      <c r="B140" s="6"/>
      <c r="C140" s="6" t="s">
        <v>1016</v>
      </c>
      <c r="D140" s="6"/>
      <c r="E140" s="10"/>
      <c r="F140" s="8">
        <v>11570.93933528</v>
      </c>
      <c r="G140" s="9">
        <v>3.6550370572062708E-2</v>
      </c>
      <c r="H140" s="97"/>
    </row>
    <row r="141" spans="1:15" x14ac:dyDescent="0.2">
      <c r="A141" s="13"/>
      <c r="B141" s="13"/>
      <c r="C141" s="4" t="s">
        <v>124</v>
      </c>
      <c r="D141" s="17"/>
      <c r="E141" s="17"/>
      <c r="F141" s="11">
        <v>316575.15790344001</v>
      </c>
      <c r="G141" s="12">
        <v>1</v>
      </c>
      <c r="H141" s="97"/>
    </row>
    <row r="142" spans="1:15" ht="14.1" customHeight="1" x14ac:dyDescent="0.2">
      <c r="A142" s="18"/>
      <c r="B142" s="18"/>
      <c r="C142" s="18"/>
      <c r="D142" s="19"/>
      <c r="E142" s="19"/>
      <c r="F142" s="19"/>
      <c r="G142" s="19"/>
    </row>
    <row r="143" spans="1:15" s="69" customFormat="1" ht="17.100000000000001" customHeight="1" x14ac:dyDescent="0.2">
      <c r="A143" s="94"/>
      <c r="B143" s="234" t="s">
        <v>1018</v>
      </c>
      <c r="C143" s="234"/>
      <c r="D143" s="234"/>
      <c r="E143" s="234"/>
      <c r="F143" s="234"/>
      <c r="G143" s="95"/>
      <c r="H143"/>
      <c r="I143"/>
      <c r="J143"/>
      <c r="K143"/>
      <c r="L143"/>
      <c r="M143"/>
      <c r="N143"/>
      <c r="O143"/>
    </row>
    <row r="144" spans="1:15" ht="14.1" customHeight="1" x14ac:dyDescent="0.2">
      <c r="A144" s="20"/>
      <c r="B144" s="20"/>
      <c r="C144" s="20"/>
      <c r="D144" s="22"/>
      <c r="E144" s="22"/>
      <c r="F144" s="22"/>
      <c r="G144" s="22"/>
    </row>
    <row r="145" spans="1:7" ht="14.1" customHeight="1" x14ac:dyDescent="0.2">
      <c r="A145" s="20"/>
      <c r="B145" s="224" t="s">
        <v>126</v>
      </c>
      <c r="C145" s="225"/>
      <c r="D145" s="14" t="s">
        <v>98</v>
      </c>
      <c r="E145" s="23"/>
      <c r="F145" s="22"/>
      <c r="G145" s="22"/>
    </row>
    <row r="146" spans="1:7" ht="29.1" customHeight="1" x14ac:dyDescent="0.2">
      <c r="A146" s="20"/>
      <c r="B146" s="231" t="s">
        <v>127</v>
      </c>
      <c r="C146" s="232"/>
      <c r="D146" s="4" t="s">
        <v>128</v>
      </c>
      <c r="E146" s="23"/>
      <c r="F146" s="22"/>
      <c r="G146" s="22"/>
    </row>
    <row r="147" spans="1:7" ht="17.100000000000001" customHeight="1" x14ac:dyDescent="0.2">
      <c r="A147" s="20"/>
      <c r="B147" s="231" t="s">
        <v>129</v>
      </c>
      <c r="C147" s="232"/>
      <c r="D147" s="4" t="s">
        <v>128</v>
      </c>
      <c r="E147" s="23"/>
      <c r="F147" s="22"/>
      <c r="G147" s="22"/>
    </row>
    <row r="148" spans="1:7" ht="17.100000000000001" customHeight="1" x14ac:dyDescent="0.2">
      <c r="A148" s="20"/>
      <c r="B148" s="231" t="s">
        <v>1055</v>
      </c>
      <c r="C148" s="235"/>
      <c r="D148" s="232"/>
      <c r="E148" s="23"/>
      <c r="F148" s="22"/>
      <c r="G148" s="22"/>
    </row>
    <row r="149" spans="1:7" ht="24" customHeight="1" x14ac:dyDescent="0.2">
      <c r="A149" s="24"/>
      <c r="B149" s="25" t="s">
        <v>98</v>
      </c>
      <c r="C149" s="25" t="s">
        <v>131</v>
      </c>
      <c r="D149" s="25" t="s">
        <v>132</v>
      </c>
      <c r="E149" s="24"/>
      <c r="F149" s="24"/>
      <c r="G149" s="24"/>
    </row>
    <row r="150" spans="1:7" ht="18" customHeight="1" x14ac:dyDescent="0.2">
      <c r="A150" s="24"/>
      <c r="B150" s="25" t="s">
        <v>133</v>
      </c>
      <c r="C150" s="25" t="s">
        <v>134</v>
      </c>
      <c r="D150" s="25" t="s">
        <v>135</v>
      </c>
      <c r="E150" s="24"/>
      <c r="F150" s="24"/>
      <c r="G150" s="24"/>
    </row>
    <row r="151" spans="1:7" ht="17.100000000000001" customHeight="1" x14ac:dyDescent="0.2">
      <c r="A151" s="24"/>
      <c r="B151" s="6" t="s">
        <v>136</v>
      </c>
      <c r="C151" s="26">
        <v>14.830299999999999</v>
      </c>
      <c r="D151" s="26">
        <v>15.1637</v>
      </c>
      <c r="E151" s="24"/>
      <c r="F151" s="21"/>
      <c r="G151" s="27"/>
    </row>
    <row r="152" spans="1:7" ht="17.100000000000001" customHeight="1" x14ac:dyDescent="0.2">
      <c r="A152" s="24"/>
      <c r="B152" s="6" t="s">
        <v>1201</v>
      </c>
      <c r="C152" s="26">
        <v>14.315799999999999</v>
      </c>
      <c r="D152" s="26">
        <v>14.637600000000001</v>
      </c>
      <c r="E152" s="24"/>
      <c r="F152" s="21"/>
      <c r="G152" s="27"/>
    </row>
    <row r="153" spans="1:7" ht="17.100000000000001" customHeight="1" x14ac:dyDescent="0.2">
      <c r="A153" s="24"/>
      <c r="B153" s="6" t="s">
        <v>137</v>
      </c>
      <c r="C153" s="26">
        <v>14.4992</v>
      </c>
      <c r="D153" s="26">
        <v>14.802099999999999</v>
      </c>
      <c r="E153" s="24"/>
      <c r="F153" s="21"/>
      <c r="G153" s="27"/>
    </row>
    <row r="154" spans="1:7" ht="17.100000000000001" customHeight="1" x14ac:dyDescent="0.2">
      <c r="A154" s="24"/>
      <c r="B154" s="6" t="s">
        <v>1202</v>
      </c>
      <c r="C154" s="26">
        <v>13.997999999999999</v>
      </c>
      <c r="D154" s="26">
        <v>14.2903</v>
      </c>
      <c r="E154" s="24"/>
      <c r="F154" s="21"/>
      <c r="G154" s="27"/>
    </row>
    <row r="155" spans="1:7" ht="17.100000000000001" customHeight="1" x14ac:dyDescent="0.2">
      <c r="A155" s="20"/>
      <c r="B155" s="231" t="s">
        <v>1056</v>
      </c>
      <c r="C155" s="235"/>
      <c r="D155" s="232"/>
      <c r="E155" s="23"/>
      <c r="F155" s="22"/>
      <c r="G155" s="22"/>
    </row>
    <row r="156" spans="1:7" ht="24" customHeight="1" x14ac:dyDescent="0.2">
      <c r="A156" s="24"/>
      <c r="B156" s="25" t="s">
        <v>98</v>
      </c>
      <c r="C156" s="25" t="s">
        <v>131</v>
      </c>
      <c r="D156" s="25" t="s">
        <v>132</v>
      </c>
      <c r="E156" s="24"/>
      <c r="F156" s="24"/>
      <c r="G156" s="24"/>
    </row>
    <row r="157" spans="1:7" ht="18" customHeight="1" x14ac:dyDescent="0.2">
      <c r="A157" s="24"/>
      <c r="B157" s="25" t="s">
        <v>133</v>
      </c>
      <c r="C157" s="25" t="s">
        <v>134</v>
      </c>
      <c r="D157" s="25" t="s">
        <v>135</v>
      </c>
      <c r="E157" s="24"/>
      <c r="F157" s="24"/>
      <c r="G157" s="24"/>
    </row>
    <row r="158" spans="1:7" ht="17.100000000000001" customHeight="1" x14ac:dyDescent="0.2">
      <c r="A158" s="24"/>
      <c r="B158" s="6" t="s">
        <v>136</v>
      </c>
      <c r="C158" s="86">
        <v>14.76</v>
      </c>
      <c r="D158" s="26">
        <v>14.9491</v>
      </c>
      <c r="E158" s="24"/>
      <c r="F158" s="21"/>
      <c r="G158" s="27"/>
    </row>
    <row r="159" spans="1:7" ht="17.100000000000001" customHeight="1" x14ac:dyDescent="0.2">
      <c r="A159" s="24"/>
      <c r="B159" s="6" t="s">
        <v>1201</v>
      </c>
      <c r="C159" s="86">
        <v>14.76</v>
      </c>
      <c r="D159" s="26">
        <v>14.9491</v>
      </c>
      <c r="E159" s="24"/>
      <c r="F159" s="21"/>
      <c r="G159" s="27"/>
    </row>
    <row r="160" spans="1:7" ht="17.100000000000001" customHeight="1" x14ac:dyDescent="0.2">
      <c r="A160" s="24"/>
      <c r="B160" s="6" t="s">
        <v>137</v>
      </c>
      <c r="C160" s="86">
        <v>14.43</v>
      </c>
      <c r="D160" s="26">
        <v>14.5886</v>
      </c>
      <c r="E160" s="24"/>
      <c r="F160" s="21"/>
      <c r="G160" s="27"/>
    </row>
    <row r="161" spans="1:17" ht="17.100000000000001" customHeight="1" x14ac:dyDescent="0.2">
      <c r="A161" s="24"/>
      <c r="B161" s="6" t="s">
        <v>1202</v>
      </c>
      <c r="C161" s="86">
        <v>14.43</v>
      </c>
      <c r="D161" s="26">
        <v>14.5886</v>
      </c>
      <c r="E161" s="24"/>
      <c r="F161" s="21"/>
      <c r="G161" s="27"/>
    </row>
    <row r="162" spans="1:17" ht="14.1" customHeight="1" x14ac:dyDescent="0.2">
      <c r="A162" s="24"/>
      <c r="B162" s="24"/>
      <c r="C162" s="24"/>
      <c r="D162" s="24"/>
      <c r="E162" s="24"/>
      <c r="F162" s="24"/>
      <c r="G162" s="24"/>
    </row>
    <row r="163" spans="1:17" ht="17.100000000000001" customHeight="1" x14ac:dyDescent="0.2">
      <c r="A163" s="24"/>
      <c r="B163" s="231" t="s">
        <v>1203</v>
      </c>
      <c r="C163" s="232"/>
      <c r="D163" s="4" t="s">
        <v>128</v>
      </c>
      <c r="E163" s="24"/>
      <c r="F163" s="24"/>
      <c r="G163" s="24"/>
    </row>
    <row r="164" spans="1:17" ht="18" customHeight="1" x14ac:dyDescent="0.2">
      <c r="A164" s="24"/>
      <c r="B164" s="28"/>
      <c r="C164" s="28"/>
      <c r="D164" s="29"/>
      <c r="E164" s="24"/>
      <c r="F164" s="24"/>
      <c r="G164" s="24"/>
    </row>
    <row r="165" spans="1:17" s="87" customFormat="1" x14ac:dyDescent="0.2">
      <c r="B165" s="233" t="s">
        <v>1207</v>
      </c>
      <c r="C165" s="233"/>
      <c r="D165" s="233"/>
      <c r="E165" s="233"/>
      <c r="F165" s="233"/>
      <c r="I165"/>
      <c r="J165"/>
      <c r="K165"/>
      <c r="L165"/>
      <c r="M165"/>
      <c r="N165"/>
      <c r="O165"/>
      <c r="P165" s="69"/>
      <c r="Q165" s="69"/>
    </row>
    <row r="166" spans="1:17" ht="14.1" customHeight="1" x14ac:dyDescent="0.2">
      <c r="A166" s="24"/>
      <c r="B166" s="21"/>
      <c r="C166" s="21"/>
      <c r="D166" s="24"/>
      <c r="E166" s="24"/>
      <c r="F166" s="24"/>
      <c r="G166" s="24"/>
    </row>
    <row r="167" spans="1:17" ht="29.1" customHeight="1" x14ac:dyDescent="0.2">
      <c r="A167" s="24"/>
      <c r="B167" s="231" t="s">
        <v>138</v>
      </c>
      <c r="C167" s="232"/>
      <c r="D167" s="4" t="s">
        <v>128</v>
      </c>
      <c r="E167" s="24"/>
      <c r="F167" s="24"/>
      <c r="G167" s="24"/>
    </row>
    <row r="168" spans="1:17" ht="29.1" customHeight="1" x14ac:dyDescent="0.2">
      <c r="A168" s="24"/>
      <c r="B168" s="231" t="s">
        <v>139</v>
      </c>
      <c r="C168" s="232"/>
      <c r="D168" s="4" t="s">
        <v>128</v>
      </c>
      <c r="E168" s="24"/>
      <c r="F168" s="24"/>
      <c r="G168" s="24"/>
    </row>
    <row r="169" spans="1:17" ht="17.100000000000001" customHeight="1" x14ac:dyDescent="0.2">
      <c r="A169" s="24"/>
      <c r="B169" s="231" t="s">
        <v>140</v>
      </c>
      <c r="C169" s="232"/>
      <c r="D169" s="30">
        <v>0.56567559685751712</v>
      </c>
      <c r="E169" s="24"/>
      <c r="F169" s="21"/>
      <c r="G169" s="27"/>
    </row>
    <row r="170" spans="1:17" ht="17.100000000000001" customHeight="1" x14ac:dyDescent="0.2">
      <c r="A170" s="24"/>
      <c r="B170" s="231" t="s">
        <v>141</v>
      </c>
      <c r="C170" s="232"/>
      <c r="D170" s="4" t="s">
        <v>128</v>
      </c>
      <c r="E170" s="24"/>
      <c r="F170" s="24"/>
      <c r="G170" s="24"/>
    </row>
  </sheetData>
  <sortState xmlns:xlrd2="http://schemas.microsoft.com/office/spreadsheetml/2017/richdata2" ref="A7:G72">
    <sortCondition descending="1" ref="G7:G72"/>
  </sortState>
  <mergeCells count="16">
    <mergeCell ref="B169:C169"/>
    <mergeCell ref="B170:C170"/>
    <mergeCell ref="B146:C146"/>
    <mergeCell ref="B147:C147"/>
    <mergeCell ref="B163:C163"/>
    <mergeCell ref="B167:C167"/>
    <mergeCell ref="B168:C168"/>
    <mergeCell ref="B148:D148"/>
    <mergeCell ref="B155:D155"/>
    <mergeCell ref="B165:F165"/>
    <mergeCell ref="J2:N2"/>
    <mergeCell ref="B145:C145"/>
    <mergeCell ref="B143:F143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heet52">
    <outlinePr summaryBelow="0" summaryRight="0"/>
  </sheetPr>
  <dimension ref="A1:Q121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8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6" ht="15" x14ac:dyDescent="0.2">
      <c r="A1" s="227" t="s">
        <v>0</v>
      </c>
      <c r="B1" s="227"/>
      <c r="C1" s="227"/>
      <c r="D1" s="227"/>
      <c r="E1" s="227"/>
      <c r="F1" s="227"/>
      <c r="G1" s="227"/>
      <c r="H1" s="227"/>
    </row>
    <row r="2" spans="1:16" s="87" customFormat="1" ht="15" x14ac:dyDescent="0.2">
      <c r="A2" s="228" t="s">
        <v>925</v>
      </c>
      <c r="B2" s="229"/>
      <c r="C2" s="229"/>
      <c r="D2" s="229"/>
      <c r="E2" s="229"/>
      <c r="F2" s="229"/>
      <c r="G2" s="229"/>
      <c r="H2" s="230"/>
      <c r="I2"/>
      <c r="J2" s="223" t="s">
        <v>1238</v>
      </c>
      <c r="K2" s="223"/>
      <c r="L2" s="223"/>
      <c r="M2" s="223"/>
      <c r="N2" s="223"/>
      <c r="O2"/>
      <c r="P2"/>
    </row>
    <row r="3" spans="1:16" ht="15" x14ac:dyDescent="0.2">
      <c r="A3" s="227" t="s">
        <v>1208</v>
      </c>
      <c r="B3" s="227"/>
      <c r="C3" s="227"/>
      <c r="D3" s="227"/>
      <c r="E3" s="227"/>
      <c r="F3" s="227"/>
      <c r="G3" s="227"/>
      <c r="H3" s="227"/>
    </row>
    <row r="4" spans="1:16" s="113" customFormat="1" ht="30" x14ac:dyDescent="0.2">
      <c r="A4" s="1" t="s">
        <v>2</v>
      </c>
      <c r="B4" s="1" t="s">
        <v>3</v>
      </c>
      <c r="C4" s="1" t="s">
        <v>4</v>
      </c>
      <c r="D4" s="1" t="s">
        <v>5</v>
      </c>
      <c r="E4" s="2" t="s">
        <v>6</v>
      </c>
      <c r="F4" s="2" t="s">
        <v>7</v>
      </c>
      <c r="G4" s="2" t="s">
        <v>8</v>
      </c>
      <c r="H4" s="96" t="s">
        <v>1167</v>
      </c>
      <c r="I4" s="183"/>
      <c r="J4" s="183"/>
      <c r="K4" s="183"/>
      <c r="L4" s="183"/>
      <c r="M4" s="183"/>
      <c r="N4" s="183"/>
      <c r="O4" s="183"/>
      <c r="P4" s="183"/>
    </row>
    <row r="5" spans="1:16" x14ac:dyDescent="0.2">
      <c r="A5" s="3"/>
      <c r="B5" s="3"/>
      <c r="C5" s="4" t="s">
        <v>9</v>
      </c>
      <c r="D5" s="3"/>
      <c r="E5" s="3"/>
      <c r="F5" s="3"/>
      <c r="G5" s="3"/>
      <c r="H5" s="97"/>
    </row>
    <row r="6" spans="1:16" ht="25.5" x14ac:dyDescent="0.2">
      <c r="A6" s="3"/>
      <c r="B6" s="3"/>
      <c r="C6" s="4" t="s">
        <v>10</v>
      </c>
      <c r="D6" s="3"/>
      <c r="E6" s="3"/>
      <c r="F6" s="3"/>
      <c r="G6" s="3"/>
      <c r="H6" s="97"/>
    </row>
    <row r="7" spans="1:16" x14ac:dyDescent="0.2">
      <c r="A7" s="5">
        <v>1</v>
      </c>
      <c r="B7" s="6" t="s">
        <v>411</v>
      </c>
      <c r="C7" s="6" t="s">
        <v>412</v>
      </c>
      <c r="D7" s="6" t="s">
        <v>25</v>
      </c>
      <c r="E7" s="7">
        <v>619930</v>
      </c>
      <c r="F7" s="8">
        <v>9171.2444200000009</v>
      </c>
      <c r="G7" s="9">
        <v>0.193153886</v>
      </c>
      <c r="H7" s="97"/>
    </row>
    <row r="8" spans="1:16" x14ac:dyDescent="0.2">
      <c r="A8" s="5">
        <v>2</v>
      </c>
      <c r="B8" s="6" t="s">
        <v>23</v>
      </c>
      <c r="C8" s="6" t="s">
        <v>24</v>
      </c>
      <c r="D8" s="6" t="s">
        <v>25</v>
      </c>
      <c r="E8" s="7">
        <v>1125934</v>
      </c>
      <c r="F8" s="8">
        <v>8333.6005010000008</v>
      </c>
      <c r="G8" s="9">
        <v>0.175512422</v>
      </c>
      <c r="H8" s="97"/>
    </row>
    <row r="9" spans="1:16" x14ac:dyDescent="0.2">
      <c r="A9" s="5">
        <v>3</v>
      </c>
      <c r="B9" s="6" t="s">
        <v>315</v>
      </c>
      <c r="C9" s="6" t="s">
        <v>316</v>
      </c>
      <c r="D9" s="6" t="s">
        <v>25</v>
      </c>
      <c r="E9" s="7">
        <v>652115</v>
      </c>
      <c r="F9" s="8">
        <v>4424.9263325000002</v>
      </c>
      <c r="G9" s="9">
        <v>9.3192556999999995E-2</v>
      </c>
      <c r="H9" s="97"/>
    </row>
    <row r="10" spans="1:16" ht="25.5" x14ac:dyDescent="0.2">
      <c r="A10" s="5">
        <v>4</v>
      </c>
      <c r="B10" s="6" t="s">
        <v>413</v>
      </c>
      <c r="C10" s="6" t="s">
        <v>414</v>
      </c>
      <c r="D10" s="6" t="s">
        <v>81</v>
      </c>
      <c r="E10" s="7">
        <v>161518</v>
      </c>
      <c r="F10" s="8">
        <v>4177.5823110000001</v>
      </c>
      <c r="G10" s="9">
        <v>8.7983290000000006E-2</v>
      </c>
      <c r="H10" s="97"/>
    </row>
    <row r="11" spans="1:16" x14ac:dyDescent="0.2">
      <c r="A11" s="5">
        <v>5</v>
      </c>
      <c r="B11" s="6" t="s">
        <v>415</v>
      </c>
      <c r="C11" s="6" t="s">
        <v>416</v>
      </c>
      <c r="D11" s="6" t="s">
        <v>25</v>
      </c>
      <c r="E11" s="7">
        <v>782092</v>
      </c>
      <c r="F11" s="8">
        <v>3601.1426139999999</v>
      </c>
      <c r="G11" s="9">
        <v>7.5842999999999994E-2</v>
      </c>
      <c r="H11" s="97"/>
    </row>
    <row r="12" spans="1:16" x14ac:dyDescent="0.2">
      <c r="A12" s="5">
        <v>6</v>
      </c>
      <c r="B12" s="6" t="s">
        <v>381</v>
      </c>
      <c r="C12" s="6" t="s">
        <v>382</v>
      </c>
      <c r="D12" s="6" t="s">
        <v>1183</v>
      </c>
      <c r="E12" s="7">
        <v>17895</v>
      </c>
      <c r="F12" s="8">
        <v>2935.88949</v>
      </c>
      <c r="G12" s="9">
        <v>6.1832226999999997E-2</v>
      </c>
      <c r="H12" s="97"/>
    </row>
    <row r="13" spans="1:16" x14ac:dyDescent="0.2">
      <c r="A13" s="5">
        <v>7</v>
      </c>
      <c r="B13" s="6" t="s">
        <v>440</v>
      </c>
      <c r="C13" s="6" t="s">
        <v>441</v>
      </c>
      <c r="D13" s="6" t="s">
        <v>25</v>
      </c>
      <c r="E13" s="7">
        <v>146084</v>
      </c>
      <c r="F13" s="8">
        <v>2623.8147239999998</v>
      </c>
      <c r="G13" s="9">
        <v>5.5259678E-2</v>
      </c>
      <c r="H13" s="97"/>
    </row>
    <row r="14" spans="1:16" x14ac:dyDescent="0.2">
      <c r="A14" s="5">
        <v>8</v>
      </c>
      <c r="B14" s="6" t="s">
        <v>203</v>
      </c>
      <c r="C14" s="6" t="s">
        <v>204</v>
      </c>
      <c r="D14" s="6" t="s">
        <v>81</v>
      </c>
      <c r="E14" s="7">
        <v>198851</v>
      </c>
      <c r="F14" s="8">
        <v>1539.5044419999999</v>
      </c>
      <c r="G14" s="9">
        <v>3.2423219000000003E-2</v>
      </c>
      <c r="H14" s="97"/>
    </row>
    <row r="15" spans="1:16" ht="15" x14ac:dyDescent="0.2">
      <c r="A15" s="5">
        <v>9</v>
      </c>
      <c r="B15" s="6" t="s">
        <v>647</v>
      </c>
      <c r="C15" s="6" t="s">
        <v>648</v>
      </c>
      <c r="D15" s="6" t="s">
        <v>25</v>
      </c>
      <c r="E15" s="7">
        <v>569695</v>
      </c>
      <c r="F15" s="8">
        <v>1340.4923349999999</v>
      </c>
      <c r="G15" s="9">
        <v>2.8231862E-2</v>
      </c>
      <c r="H15" s="97"/>
      <c r="J15" s="184" t="s">
        <v>1249</v>
      </c>
    </row>
    <row r="16" spans="1:16" x14ac:dyDescent="0.2">
      <c r="A16" s="5">
        <v>10</v>
      </c>
      <c r="B16" s="6" t="s">
        <v>419</v>
      </c>
      <c r="C16" s="6" t="s">
        <v>420</v>
      </c>
      <c r="D16" s="6" t="s">
        <v>1183</v>
      </c>
      <c r="E16" s="7">
        <v>79336</v>
      </c>
      <c r="F16" s="8">
        <v>948.85856000000001</v>
      </c>
      <c r="G16" s="9">
        <v>1.9983734999999999E-2</v>
      </c>
      <c r="H16" s="97"/>
    </row>
    <row r="17" spans="1:8" x14ac:dyDescent="0.2">
      <c r="A17" s="5">
        <v>11</v>
      </c>
      <c r="B17" s="6" t="s">
        <v>344</v>
      </c>
      <c r="C17" s="6" t="s">
        <v>345</v>
      </c>
      <c r="D17" s="6" t="s">
        <v>81</v>
      </c>
      <c r="E17" s="7">
        <v>67563</v>
      </c>
      <c r="F17" s="8">
        <v>822.24171000000001</v>
      </c>
      <c r="G17" s="9">
        <v>1.7317081000000002E-2</v>
      </c>
      <c r="H17" s="97"/>
    </row>
    <row r="18" spans="1:8" x14ac:dyDescent="0.2">
      <c r="A18" s="5">
        <v>12</v>
      </c>
      <c r="B18" s="6" t="s">
        <v>886</v>
      </c>
      <c r="C18" s="6" t="s">
        <v>887</v>
      </c>
      <c r="D18" s="6" t="s">
        <v>25</v>
      </c>
      <c r="E18" s="7">
        <v>83704</v>
      </c>
      <c r="F18" s="8">
        <v>743.41707599999995</v>
      </c>
      <c r="G18" s="9">
        <v>1.5656969999999999E-2</v>
      </c>
      <c r="H18" s="97"/>
    </row>
    <row r="19" spans="1:8" ht="25.5" x14ac:dyDescent="0.2">
      <c r="A19" s="5">
        <v>13</v>
      </c>
      <c r="B19" s="6" t="s">
        <v>317</v>
      </c>
      <c r="C19" s="6" t="s">
        <v>318</v>
      </c>
      <c r="D19" s="6" t="s">
        <v>81</v>
      </c>
      <c r="E19" s="7">
        <v>141241</v>
      </c>
      <c r="F19" s="8">
        <v>735.01816399999996</v>
      </c>
      <c r="G19" s="9">
        <v>1.5480081999999999E-2</v>
      </c>
      <c r="H19" s="97"/>
    </row>
    <row r="20" spans="1:8" x14ac:dyDescent="0.2">
      <c r="A20" s="5">
        <v>14</v>
      </c>
      <c r="B20" s="6" t="s">
        <v>79</v>
      </c>
      <c r="C20" s="6" t="s">
        <v>80</v>
      </c>
      <c r="D20" s="6" t="s">
        <v>81</v>
      </c>
      <c r="E20" s="7">
        <v>260000</v>
      </c>
      <c r="F20" s="8">
        <v>623.74</v>
      </c>
      <c r="G20" s="9">
        <v>1.3136472999999999E-2</v>
      </c>
      <c r="H20" s="97"/>
    </row>
    <row r="21" spans="1:8" x14ac:dyDescent="0.2">
      <c r="A21" s="5">
        <v>15</v>
      </c>
      <c r="B21" s="6" t="s">
        <v>348</v>
      </c>
      <c r="C21" s="6" t="s">
        <v>349</v>
      </c>
      <c r="D21" s="6" t="s">
        <v>25</v>
      </c>
      <c r="E21" s="7">
        <v>51843</v>
      </c>
      <c r="F21" s="8">
        <v>537.35269500000004</v>
      </c>
      <c r="G21" s="9">
        <v>1.1317086000000001E-2</v>
      </c>
      <c r="H21" s="97"/>
    </row>
    <row r="22" spans="1:8" x14ac:dyDescent="0.2">
      <c r="A22" s="5">
        <v>16</v>
      </c>
      <c r="B22" s="6" t="s">
        <v>926</v>
      </c>
      <c r="C22" s="6" t="s">
        <v>927</v>
      </c>
      <c r="D22" s="6" t="s">
        <v>81</v>
      </c>
      <c r="E22" s="7">
        <v>414772</v>
      </c>
      <c r="F22" s="8">
        <v>513.90250800000001</v>
      </c>
      <c r="G22" s="9">
        <v>1.0823206E-2</v>
      </c>
      <c r="H22" s="97"/>
    </row>
    <row r="23" spans="1:8" x14ac:dyDescent="0.2">
      <c r="A23" s="5">
        <v>17</v>
      </c>
      <c r="B23" s="6" t="s">
        <v>462</v>
      </c>
      <c r="C23" s="6" t="s">
        <v>463</v>
      </c>
      <c r="D23" s="6" t="s">
        <v>81</v>
      </c>
      <c r="E23" s="7">
        <v>7202</v>
      </c>
      <c r="F23" s="8">
        <v>502.50514600000002</v>
      </c>
      <c r="G23" s="9">
        <v>1.0583168E-2</v>
      </c>
      <c r="H23" s="97"/>
    </row>
    <row r="24" spans="1:8" x14ac:dyDescent="0.2">
      <c r="A24" s="5">
        <v>18</v>
      </c>
      <c r="B24" s="6" t="s">
        <v>328</v>
      </c>
      <c r="C24" s="6" t="s">
        <v>329</v>
      </c>
      <c r="D24" s="6" t="s">
        <v>25</v>
      </c>
      <c r="E24" s="7">
        <v>498429</v>
      </c>
      <c r="F24" s="8">
        <v>413.69607000000002</v>
      </c>
      <c r="G24" s="9">
        <v>8.7127769999999997E-3</v>
      </c>
      <c r="H24" s="97"/>
    </row>
    <row r="25" spans="1:8" x14ac:dyDescent="0.2">
      <c r="A25" s="5">
        <v>19</v>
      </c>
      <c r="B25" s="6" t="s">
        <v>305</v>
      </c>
      <c r="C25" s="6" t="s">
        <v>306</v>
      </c>
      <c r="D25" s="6" t="s">
        <v>1183</v>
      </c>
      <c r="E25" s="7">
        <v>31042</v>
      </c>
      <c r="F25" s="8">
        <v>304.32024699999999</v>
      </c>
      <c r="G25" s="9">
        <v>6.4092330000000003E-3</v>
      </c>
      <c r="H25" s="97"/>
    </row>
    <row r="26" spans="1:8" ht="25.5" x14ac:dyDescent="0.2">
      <c r="A26" s="5">
        <v>20</v>
      </c>
      <c r="B26" s="6" t="s">
        <v>460</v>
      </c>
      <c r="C26" s="6" t="s">
        <v>461</v>
      </c>
      <c r="D26" s="6" t="s">
        <v>1183</v>
      </c>
      <c r="E26" s="7">
        <v>19277</v>
      </c>
      <c r="F26" s="8">
        <v>270.11896250000001</v>
      </c>
      <c r="G26" s="9">
        <v>5.6889260000000004E-3</v>
      </c>
      <c r="H26" s="97"/>
    </row>
    <row r="27" spans="1:8" x14ac:dyDescent="0.2">
      <c r="A27" s="5">
        <v>21</v>
      </c>
      <c r="B27" s="6" t="s">
        <v>864</v>
      </c>
      <c r="C27" s="6" t="s">
        <v>865</v>
      </c>
      <c r="D27" s="6" t="s">
        <v>1183</v>
      </c>
      <c r="E27" s="7">
        <v>39000</v>
      </c>
      <c r="F27" s="8">
        <v>253.3245</v>
      </c>
      <c r="G27" s="9">
        <v>5.3352210000000002E-3</v>
      </c>
      <c r="H27" s="97"/>
    </row>
    <row r="28" spans="1:8" x14ac:dyDescent="0.2">
      <c r="A28" s="5">
        <v>22</v>
      </c>
      <c r="B28" s="6" t="s">
        <v>377</v>
      </c>
      <c r="C28" s="6" t="s">
        <v>378</v>
      </c>
      <c r="D28" s="6" t="s">
        <v>81</v>
      </c>
      <c r="E28" s="7">
        <v>59054</v>
      </c>
      <c r="F28" s="8">
        <v>218.29311100000001</v>
      </c>
      <c r="G28" s="9">
        <v>4.5974309999999999E-3</v>
      </c>
      <c r="H28" s="97"/>
    </row>
    <row r="29" spans="1:8" x14ac:dyDescent="0.2">
      <c r="A29" s="5">
        <v>23</v>
      </c>
      <c r="B29" s="6" t="s">
        <v>540</v>
      </c>
      <c r="C29" s="6" t="s">
        <v>541</v>
      </c>
      <c r="D29" s="6" t="s">
        <v>1184</v>
      </c>
      <c r="E29" s="7">
        <v>16200</v>
      </c>
      <c r="F29" s="8">
        <v>170.6103</v>
      </c>
      <c r="G29" s="9">
        <v>3.5931919999999998E-3</v>
      </c>
      <c r="H29" s="97"/>
    </row>
    <row r="30" spans="1:8" x14ac:dyDescent="0.2">
      <c r="A30" s="5">
        <v>24</v>
      </c>
      <c r="B30" s="6" t="s">
        <v>928</v>
      </c>
      <c r="C30" s="6" t="s">
        <v>929</v>
      </c>
      <c r="D30" s="6" t="s">
        <v>81</v>
      </c>
      <c r="E30" s="7">
        <v>184713</v>
      </c>
      <c r="F30" s="8">
        <v>137.42647199999999</v>
      </c>
      <c r="G30" s="9">
        <v>2.8943139999999998E-3</v>
      </c>
      <c r="H30" s="97"/>
    </row>
    <row r="31" spans="1:8" x14ac:dyDescent="0.2">
      <c r="A31" s="5">
        <v>25</v>
      </c>
      <c r="B31" s="6" t="s">
        <v>346</v>
      </c>
      <c r="C31" s="6" t="s">
        <v>347</v>
      </c>
      <c r="D31" s="6" t="s">
        <v>1184</v>
      </c>
      <c r="E31" s="7">
        <v>15113</v>
      </c>
      <c r="F31" s="8">
        <v>119.6571775</v>
      </c>
      <c r="G31" s="9">
        <v>2.5200779999999998E-3</v>
      </c>
      <c r="H31" s="97"/>
    </row>
    <row r="32" spans="1:8" ht="25.5" x14ac:dyDescent="0.2">
      <c r="A32" s="5">
        <v>26</v>
      </c>
      <c r="B32" s="6" t="s">
        <v>930</v>
      </c>
      <c r="C32" s="6" t="s">
        <v>931</v>
      </c>
      <c r="D32" s="6" t="s">
        <v>81</v>
      </c>
      <c r="E32" s="7">
        <v>31804</v>
      </c>
      <c r="F32" s="8">
        <v>47.372058000000003</v>
      </c>
      <c r="G32" s="9">
        <v>9.9769399999999992E-4</v>
      </c>
      <c r="H32" s="97"/>
    </row>
    <row r="33" spans="1:8" x14ac:dyDescent="0.2">
      <c r="A33" s="3"/>
      <c r="B33" s="3"/>
      <c r="C33" s="4" t="s">
        <v>97</v>
      </c>
      <c r="D33" s="3"/>
      <c r="E33" s="3" t="s">
        <v>98</v>
      </c>
      <c r="F33" s="11">
        <v>45510.051926499997</v>
      </c>
      <c r="G33" s="12">
        <v>0.95847880799999996</v>
      </c>
      <c r="H33" s="97"/>
    </row>
    <row r="34" spans="1:8" x14ac:dyDescent="0.2">
      <c r="A34" s="3"/>
      <c r="B34" s="3"/>
      <c r="C34" s="13"/>
      <c r="D34" s="3"/>
      <c r="E34" s="3"/>
      <c r="F34" s="14"/>
      <c r="G34" s="14"/>
      <c r="H34" s="97"/>
    </row>
    <row r="35" spans="1:8" x14ac:dyDescent="0.2">
      <c r="A35" s="3"/>
      <c r="B35" s="3"/>
      <c r="C35" s="4" t="s">
        <v>99</v>
      </c>
      <c r="D35" s="3"/>
      <c r="E35" s="3"/>
      <c r="F35" s="3"/>
      <c r="G35" s="3"/>
      <c r="H35" s="97"/>
    </row>
    <row r="36" spans="1:8" x14ac:dyDescent="0.2">
      <c r="A36" s="3"/>
      <c r="B36" s="3"/>
      <c r="C36" s="4" t="s">
        <v>97</v>
      </c>
      <c r="D36" s="3"/>
      <c r="E36" s="3" t="s">
        <v>98</v>
      </c>
      <c r="F36" s="15">
        <v>0</v>
      </c>
      <c r="G36" s="16">
        <v>0</v>
      </c>
      <c r="H36" s="97"/>
    </row>
    <row r="37" spans="1:8" x14ac:dyDescent="0.2">
      <c r="A37" s="3"/>
      <c r="B37" s="3"/>
      <c r="C37" s="13"/>
      <c r="D37" s="3"/>
      <c r="E37" s="3"/>
      <c r="F37" s="14"/>
      <c r="G37" s="14"/>
      <c r="H37" s="97"/>
    </row>
    <row r="38" spans="1:8" x14ac:dyDescent="0.2">
      <c r="A38" s="3"/>
      <c r="B38" s="3"/>
      <c r="C38" s="4" t="s">
        <v>100</v>
      </c>
      <c r="D38" s="3"/>
      <c r="E38" s="3"/>
      <c r="F38" s="3"/>
      <c r="G38" s="3"/>
      <c r="H38" s="97"/>
    </row>
    <row r="39" spans="1:8" x14ac:dyDescent="0.2">
      <c r="A39" s="3"/>
      <c r="B39" s="3"/>
      <c r="C39" s="4" t="s">
        <v>97</v>
      </c>
      <c r="D39" s="3"/>
      <c r="E39" s="3" t="s">
        <v>98</v>
      </c>
      <c r="F39" s="15">
        <v>0</v>
      </c>
      <c r="G39" s="16">
        <v>0</v>
      </c>
      <c r="H39" s="97"/>
    </row>
    <row r="40" spans="1:8" x14ac:dyDescent="0.2">
      <c r="A40" s="3"/>
      <c r="B40" s="3"/>
      <c r="C40" s="13"/>
      <c r="D40" s="3"/>
      <c r="E40" s="3"/>
      <c r="F40" s="14"/>
      <c r="G40" s="14"/>
      <c r="H40" s="97"/>
    </row>
    <row r="41" spans="1:8" x14ac:dyDescent="0.2">
      <c r="A41" s="3"/>
      <c r="B41" s="3"/>
      <c r="C41" s="4" t="s">
        <v>101</v>
      </c>
      <c r="D41" s="3"/>
      <c r="E41" s="3"/>
      <c r="F41" s="3"/>
      <c r="G41" s="3"/>
      <c r="H41" s="97"/>
    </row>
    <row r="42" spans="1:8" x14ac:dyDescent="0.2">
      <c r="A42" s="3"/>
      <c r="B42" s="3"/>
      <c r="C42" s="4" t="s">
        <v>97</v>
      </c>
      <c r="D42" s="3"/>
      <c r="E42" s="3" t="s">
        <v>98</v>
      </c>
      <c r="F42" s="15">
        <v>0</v>
      </c>
      <c r="G42" s="16">
        <v>0</v>
      </c>
      <c r="H42" s="97"/>
    </row>
    <row r="43" spans="1:8" x14ac:dyDescent="0.2">
      <c r="A43" s="3"/>
      <c r="B43" s="3"/>
      <c r="C43" s="13"/>
      <c r="D43" s="3"/>
      <c r="E43" s="3"/>
      <c r="F43" s="14"/>
      <c r="G43" s="14"/>
      <c r="H43" s="97"/>
    </row>
    <row r="44" spans="1:8" x14ac:dyDescent="0.2">
      <c r="A44" s="3"/>
      <c r="B44" s="3"/>
      <c r="C44" s="4" t="s">
        <v>102</v>
      </c>
      <c r="D44" s="3"/>
      <c r="E44" s="3"/>
      <c r="F44" s="14"/>
      <c r="G44" s="14"/>
      <c r="H44" s="97"/>
    </row>
    <row r="45" spans="1:8" x14ac:dyDescent="0.2">
      <c r="A45" s="3"/>
      <c r="B45" s="3"/>
      <c r="C45" s="4" t="s">
        <v>97</v>
      </c>
      <c r="D45" s="3"/>
      <c r="E45" s="3" t="s">
        <v>98</v>
      </c>
      <c r="F45" s="15">
        <v>0</v>
      </c>
      <c r="G45" s="16">
        <v>0</v>
      </c>
      <c r="H45" s="97"/>
    </row>
    <row r="46" spans="1:8" x14ac:dyDescent="0.2">
      <c r="A46" s="3"/>
      <c r="B46" s="3"/>
      <c r="C46" s="13"/>
      <c r="D46" s="3"/>
      <c r="E46" s="3"/>
      <c r="F46" s="14"/>
      <c r="G46" s="14"/>
      <c r="H46" s="97"/>
    </row>
    <row r="47" spans="1:8" x14ac:dyDescent="0.2">
      <c r="A47" s="3"/>
      <c r="B47" s="3"/>
      <c r="C47" s="4" t="s">
        <v>103</v>
      </c>
      <c r="D47" s="3"/>
      <c r="E47" s="3"/>
      <c r="F47" s="14"/>
      <c r="G47" s="14"/>
      <c r="H47" s="97"/>
    </row>
    <row r="48" spans="1:8" x14ac:dyDescent="0.2">
      <c r="A48" s="3"/>
      <c r="B48" s="3"/>
      <c r="C48" s="4" t="s">
        <v>97</v>
      </c>
      <c r="D48" s="3"/>
      <c r="E48" s="3" t="s">
        <v>98</v>
      </c>
      <c r="F48" s="15">
        <v>0</v>
      </c>
      <c r="G48" s="16">
        <v>0</v>
      </c>
      <c r="H48" s="97"/>
    </row>
    <row r="49" spans="1:8" x14ac:dyDescent="0.2">
      <c r="A49" s="3"/>
      <c r="B49" s="3"/>
      <c r="C49" s="13"/>
      <c r="D49" s="3"/>
      <c r="E49" s="3"/>
      <c r="F49" s="14"/>
      <c r="G49" s="14"/>
      <c r="H49" s="97"/>
    </row>
    <row r="50" spans="1:8" x14ac:dyDescent="0.2">
      <c r="A50" s="3"/>
      <c r="B50" s="3"/>
      <c r="C50" s="4" t="s">
        <v>104</v>
      </c>
      <c r="D50" s="3"/>
      <c r="E50" s="3"/>
      <c r="F50" s="11">
        <v>45510.051926499997</v>
      </c>
      <c r="G50" s="12">
        <v>0.95847880799999996</v>
      </c>
      <c r="H50" s="97"/>
    </row>
    <row r="51" spans="1:8" x14ac:dyDescent="0.2">
      <c r="A51" s="3"/>
      <c r="B51" s="3"/>
      <c r="C51" s="13"/>
      <c r="D51" s="3"/>
      <c r="E51" s="3"/>
      <c r="F51" s="14"/>
      <c r="G51" s="14"/>
      <c r="H51" s="97"/>
    </row>
    <row r="52" spans="1:8" x14ac:dyDescent="0.2">
      <c r="A52" s="3"/>
      <c r="B52" s="3"/>
      <c r="C52" s="4" t="s">
        <v>105</v>
      </c>
      <c r="D52" s="3"/>
      <c r="E52" s="3"/>
      <c r="F52" s="14"/>
      <c r="G52" s="14"/>
      <c r="H52" s="97"/>
    </row>
    <row r="53" spans="1:8" ht="25.5" x14ac:dyDescent="0.2">
      <c r="A53" s="3"/>
      <c r="B53" s="3"/>
      <c r="C53" s="4" t="s">
        <v>10</v>
      </c>
      <c r="D53" s="3"/>
      <c r="E53" s="3"/>
      <c r="F53" s="14"/>
      <c r="G53" s="14"/>
      <c r="H53" s="97"/>
    </row>
    <row r="54" spans="1:8" x14ac:dyDescent="0.2">
      <c r="A54" s="3"/>
      <c r="B54" s="3"/>
      <c r="C54" s="4" t="s">
        <v>97</v>
      </c>
      <c r="D54" s="3"/>
      <c r="E54" s="3" t="s">
        <v>98</v>
      </c>
      <c r="F54" s="15">
        <v>0</v>
      </c>
      <c r="G54" s="16">
        <v>0</v>
      </c>
      <c r="H54" s="97"/>
    </row>
    <row r="55" spans="1:8" x14ac:dyDescent="0.2">
      <c r="A55" s="3"/>
      <c r="B55" s="3"/>
      <c r="C55" s="13"/>
      <c r="D55" s="3"/>
      <c r="E55" s="3"/>
      <c r="F55" s="14"/>
      <c r="G55" s="14"/>
      <c r="H55" s="97"/>
    </row>
    <row r="56" spans="1:8" x14ac:dyDescent="0.2">
      <c r="A56" s="3"/>
      <c r="B56" s="3"/>
      <c r="C56" s="4" t="s">
        <v>106</v>
      </c>
      <c r="D56" s="3"/>
      <c r="E56" s="3"/>
      <c r="F56" s="3"/>
      <c r="G56" s="3"/>
      <c r="H56" s="97"/>
    </row>
    <row r="57" spans="1:8" x14ac:dyDescent="0.2">
      <c r="A57" s="3"/>
      <c r="B57" s="3"/>
      <c r="C57" s="4" t="s">
        <v>97</v>
      </c>
      <c r="D57" s="3"/>
      <c r="E57" s="3" t="s">
        <v>98</v>
      </c>
      <c r="F57" s="15">
        <v>0</v>
      </c>
      <c r="G57" s="16">
        <v>0</v>
      </c>
      <c r="H57" s="97"/>
    </row>
    <row r="58" spans="1:8" x14ac:dyDescent="0.2">
      <c r="A58" s="3"/>
      <c r="B58" s="3"/>
      <c r="C58" s="13"/>
      <c r="D58" s="3"/>
      <c r="E58" s="3"/>
      <c r="F58" s="14"/>
      <c r="G58" s="14"/>
      <c r="H58" s="97"/>
    </row>
    <row r="59" spans="1:8" x14ac:dyDescent="0.2">
      <c r="A59" s="3"/>
      <c r="B59" s="3"/>
      <c r="C59" s="4" t="s">
        <v>107</v>
      </c>
      <c r="D59" s="3"/>
      <c r="E59" s="3"/>
      <c r="F59" s="3"/>
      <c r="G59" s="3"/>
      <c r="H59" s="97"/>
    </row>
    <row r="60" spans="1:8" x14ac:dyDescent="0.2">
      <c r="A60" s="3"/>
      <c r="B60" s="3"/>
      <c r="C60" s="4" t="s">
        <v>97</v>
      </c>
      <c r="D60" s="3"/>
      <c r="E60" s="3" t="s">
        <v>98</v>
      </c>
      <c r="F60" s="15">
        <v>0</v>
      </c>
      <c r="G60" s="16">
        <v>0</v>
      </c>
      <c r="H60" s="97"/>
    </row>
    <row r="61" spans="1:8" x14ac:dyDescent="0.2">
      <c r="A61" s="3"/>
      <c r="B61" s="3"/>
      <c r="C61" s="13"/>
      <c r="D61" s="3"/>
      <c r="E61" s="3"/>
      <c r="F61" s="14"/>
      <c r="G61" s="14"/>
      <c r="H61" s="97"/>
    </row>
    <row r="62" spans="1:8" x14ac:dyDescent="0.2">
      <c r="A62" s="3"/>
      <c r="B62" s="3"/>
      <c r="C62" s="4" t="s">
        <v>108</v>
      </c>
      <c r="D62" s="3"/>
      <c r="E62" s="3"/>
      <c r="F62" s="14"/>
      <c r="G62" s="14"/>
      <c r="H62" s="97"/>
    </row>
    <row r="63" spans="1:8" x14ac:dyDescent="0.2">
      <c r="A63" s="3"/>
      <c r="B63" s="3"/>
      <c r="C63" s="4" t="s">
        <v>97</v>
      </c>
      <c r="D63" s="3"/>
      <c r="E63" s="3" t="s">
        <v>98</v>
      </c>
      <c r="F63" s="15">
        <v>0</v>
      </c>
      <c r="G63" s="16">
        <v>0</v>
      </c>
      <c r="H63" s="97"/>
    </row>
    <row r="64" spans="1:8" x14ac:dyDescent="0.2">
      <c r="A64" s="3"/>
      <c r="B64" s="3"/>
      <c r="C64" s="13"/>
      <c r="D64" s="3"/>
      <c r="E64" s="3"/>
      <c r="F64" s="14"/>
      <c r="G64" s="14"/>
      <c r="H64" s="97"/>
    </row>
    <row r="65" spans="1:8" x14ac:dyDescent="0.2">
      <c r="A65" s="3"/>
      <c r="B65" s="3"/>
      <c r="C65" s="4" t="s">
        <v>109</v>
      </c>
      <c r="D65" s="3"/>
      <c r="E65" s="3"/>
      <c r="F65" s="11">
        <v>0</v>
      </c>
      <c r="G65" s="12">
        <v>0</v>
      </c>
      <c r="H65" s="97"/>
    </row>
    <row r="66" spans="1:8" x14ac:dyDescent="0.2">
      <c r="A66" s="3"/>
      <c r="B66" s="3"/>
      <c r="C66" s="13"/>
      <c r="D66" s="3"/>
      <c r="E66" s="3"/>
      <c r="F66" s="14"/>
      <c r="G66" s="14"/>
      <c r="H66" s="97"/>
    </row>
    <row r="67" spans="1:8" x14ac:dyDescent="0.2">
      <c r="A67" s="3"/>
      <c r="B67" s="3"/>
      <c r="C67" s="4" t="s">
        <v>110</v>
      </c>
      <c r="D67" s="3"/>
      <c r="E67" s="3"/>
      <c r="F67" s="14"/>
      <c r="G67" s="14"/>
      <c r="H67" s="97"/>
    </row>
    <row r="68" spans="1:8" x14ac:dyDescent="0.2">
      <c r="A68" s="3"/>
      <c r="B68" s="3"/>
      <c r="C68" s="4" t="s">
        <v>111</v>
      </c>
      <c r="D68" s="3"/>
      <c r="E68" s="3"/>
      <c r="F68" s="14"/>
      <c r="G68" s="14"/>
      <c r="H68" s="97"/>
    </row>
    <row r="69" spans="1:8" x14ac:dyDescent="0.2">
      <c r="A69" s="3"/>
      <c r="B69" s="3"/>
      <c r="C69" s="4" t="s">
        <v>97</v>
      </c>
      <c r="D69" s="3"/>
      <c r="E69" s="3" t="s">
        <v>98</v>
      </c>
      <c r="F69" s="15">
        <v>0</v>
      </c>
      <c r="G69" s="16">
        <v>0</v>
      </c>
      <c r="H69" s="97"/>
    </row>
    <row r="70" spans="1:8" x14ac:dyDescent="0.2">
      <c r="A70" s="3"/>
      <c r="B70" s="3"/>
      <c r="C70" s="13"/>
      <c r="D70" s="3"/>
      <c r="E70" s="3"/>
      <c r="F70" s="14"/>
      <c r="G70" s="14"/>
      <c r="H70" s="97"/>
    </row>
    <row r="71" spans="1:8" x14ac:dyDescent="0.2">
      <c r="A71" s="3"/>
      <c r="B71" s="3"/>
      <c r="C71" s="4" t="s">
        <v>112</v>
      </c>
      <c r="D71" s="3"/>
      <c r="E71" s="3"/>
      <c r="F71" s="14"/>
      <c r="G71" s="14"/>
      <c r="H71" s="97"/>
    </row>
    <row r="72" spans="1:8" x14ac:dyDescent="0.2">
      <c r="A72" s="3"/>
      <c r="B72" s="3"/>
      <c r="C72" s="4" t="s">
        <v>97</v>
      </c>
      <c r="D72" s="3"/>
      <c r="E72" s="3" t="s">
        <v>98</v>
      </c>
      <c r="F72" s="15">
        <v>0</v>
      </c>
      <c r="G72" s="16">
        <v>0</v>
      </c>
      <c r="H72" s="97"/>
    </row>
    <row r="73" spans="1:8" x14ac:dyDescent="0.2">
      <c r="A73" s="3"/>
      <c r="B73" s="3"/>
      <c r="C73" s="13"/>
      <c r="D73" s="3"/>
      <c r="E73" s="3"/>
      <c r="F73" s="14"/>
      <c r="G73" s="14"/>
      <c r="H73" s="97"/>
    </row>
    <row r="74" spans="1:8" x14ac:dyDescent="0.2">
      <c r="A74" s="3"/>
      <c r="B74" s="3"/>
      <c r="C74" s="4" t="s">
        <v>113</v>
      </c>
      <c r="D74" s="3"/>
      <c r="E74" s="3"/>
      <c r="F74" s="14"/>
      <c r="G74" s="14"/>
      <c r="H74" s="97"/>
    </row>
    <row r="75" spans="1:8" x14ac:dyDescent="0.2">
      <c r="A75" s="3"/>
      <c r="B75" s="3"/>
      <c r="C75" s="4" t="s">
        <v>97</v>
      </c>
      <c r="D75" s="3"/>
      <c r="E75" s="3" t="s">
        <v>98</v>
      </c>
      <c r="F75" s="15">
        <v>0</v>
      </c>
      <c r="G75" s="16">
        <v>0</v>
      </c>
      <c r="H75" s="97"/>
    </row>
    <row r="76" spans="1:8" x14ac:dyDescent="0.2">
      <c r="A76" s="3"/>
      <c r="B76" s="3"/>
      <c r="C76" s="13"/>
      <c r="D76" s="3"/>
      <c r="E76" s="3"/>
      <c r="F76" s="14"/>
      <c r="G76" s="14"/>
      <c r="H76" s="97"/>
    </row>
    <row r="77" spans="1:8" x14ac:dyDescent="0.2">
      <c r="A77" s="3"/>
      <c r="B77" s="3"/>
      <c r="C77" s="4" t="s">
        <v>114</v>
      </c>
      <c r="D77" s="3"/>
      <c r="E77" s="3"/>
      <c r="F77" s="14"/>
      <c r="G77" s="14"/>
      <c r="H77" s="97"/>
    </row>
    <row r="78" spans="1:8" x14ac:dyDescent="0.2">
      <c r="A78" s="5">
        <v>1</v>
      </c>
      <c r="B78" s="6"/>
      <c r="C78" s="6" t="s">
        <v>115</v>
      </c>
      <c r="D78" s="6"/>
      <c r="E78" s="10"/>
      <c r="F78" s="8">
        <v>1065.5865948000001</v>
      </c>
      <c r="G78" s="9">
        <v>2.2442123000000001E-2</v>
      </c>
      <c r="H78" s="8">
        <v>3.4504560529072292</v>
      </c>
    </row>
    <row r="79" spans="1:8" x14ac:dyDescent="0.2">
      <c r="A79" s="5">
        <v>2</v>
      </c>
      <c r="B79" s="6"/>
      <c r="C79" s="6" t="s">
        <v>116</v>
      </c>
      <c r="D79" s="6"/>
      <c r="E79" s="10"/>
      <c r="F79" s="8">
        <v>575.10496009999997</v>
      </c>
      <c r="G79" s="9">
        <v>1.2112179000000001E-2</v>
      </c>
      <c r="H79" s="8">
        <v>3.5655822479098256</v>
      </c>
    </row>
    <row r="80" spans="1:8" x14ac:dyDescent="0.2">
      <c r="A80" s="3"/>
      <c r="B80" s="3"/>
      <c r="C80" s="4" t="s">
        <v>97</v>
      </c>
      <c r="D80" s="3"/>
      <c r="E80" s="3" t="s">
        <v>98</v>
      </c>
      <c r="F80" s="11">
        <v>1640.6915549</v>
      </c>
      <c r="G80" s="12">
        <v>3.4554302000000002E-2</v>
      </c>
      <c r="H80" s="97"/>
    </row>
    <row r="81" spans="1:8" x14ac:dyDescent="0.2">
      <c r="A81" s="3"/>
      <c r="B81" s="3"/>
      <c r="C81" s="13"/>
      <c r="D81" s="3"/>
      <c r="E81" s="3"/>
      <c r="F81" s="14"/>
      <c r="G81" s="14"/>
      <c r="H81" s="97"/>
    </row>
    <row r="82" spans="1:8" x14ac:dyDescent="0.2">
      <c r="A82" s="3"/>
      <c r="B82" s="3"/>
      <c r="C82" s="4" t="s">
        <v>117</v>
      </c>
      <c r="D82" s="3"/>
      <c r="E82" s="3"/>
      <c r="F82" s="11">
        <v>1640.6915549</v>
      </c>
      <c r="G82" s="12">
        <v>3.4554302000000002E-2</v>
      </c>
      <c r="H82" s="97"/>
    </row>
    <row r="83" spans="1:8" x14ac:dyDescent="0.2">
      <c r="A83" s="3"/>
      <c r="B83" s="3"/>
      <c r="C83" s="14"/>
      <c r="D83" s="3"/>
      <c r="E83" s="3"/>
      <c r="F83" s="3"/>
      <c r="G83" s="3"/>
      <c r="H83" s="97"/>
    </row>
    <row r="84" spans="1:8" x14ac:dyDescent="0.2">
      <c r="A84" s="3"/>
      <c r="B84" s="3"/>
      <c r="C84" s="4" t="s">
        <v>118</v>
      </c>
      <c r="D84" s="3"/>
      <c r="E84" s="3"/>
      <c r="F84" s="3"/>
      <c r="G84" s="3"/>
      <c r="H84" s="97"/>
    </row>
    <row r="85" spans="1:8" x14ac:dyDescent="0.2">
      <c r="A85" s="3"/>
      <c r="B85" s="3"/>
      <c r="C85" s="4" t="s">
        <v>119</v>
      </c>
      <c r="D85" s="3"/>
      <c r="E85" s="3"/>
      <c r="F85" s="3"/>
      <c r="G85" s="3"/>
      <c r="H85" s="97"/>
    </row>
    <row r="86" spans="1:8" x14ac:dyDescent="0.2">
      <c r="A86" s="3"/>
      <c r="B86" s="3"/>
      <c r="C86" s="4" t="s">
        <v>97</v>
      </c>
      <c r="D86" s="3"/>
      <c r="E86" s="3" t="s">
        <v>98</v>
      </c>
      <c r="F86" s="15">
        <v>0</v>
      </c>
      <c r="G86" s="16">
        <v>0</v>
      </c>
      <c r="H86" s="97"/>
    </row>
    <row r="87" spans="1:8" x14ac:dyDescent="0.2">
      <c r="A87" s="3"/>
      <c r="B87" s="3"/>
      <c r="C87" s="13"/>
      <c r="D87" s="3"/>
      <c r="E87" s="3"/>
      <c r="F87" s="14"/>
      <c r="G87" s="14"/>
      <c r="H87" s="97"/>
    </row>
    <row r="88" spans="1:8" x14ac:dyDescent="0.2">
      <c r="A88" s="3"/>
      <c r="B88" s="3"/>
      <c r="C88" s="4" t="s">
        <v>120</v>
      </c>
      <c r="D88" s="3"/>
      <c r="E88" s="3"/>
      <c r="F88" s="3"/>
      <c r="G88" s="3"/>
      <c r="H88" s="97"/>
    </row>
    <row r="89" spans="1:8" x14ac:dyDescent="0.2">
      <c r="A89" s="3"/>
      <c r="B89" s="3"/>
      <c r="C89" s="4" t="s">
        <v>121</v>
      </c>
      <c r="D89" s="3"/>
      <c r="E89" s="3"/>
      <c r="F89" s="3"/>
      <c r="G89" s="3"/>
      <c r="H89" s="97"/>
    </row>
    <row r="90" spans="1:8" x14ac:dyDescent="0.2">
      <c r="A90" s="3"/>
      <c r="B90" s="3"/>
      <c r="C90" s="4" t="s">
        <v>97</v>
      </c>
      <c r="D90" s="3"/>
      <c r="E90" s="3" t="s">
        <v>98</v>
      </c>
      <c r="F90" s="15">
        <v>0</v>
      </c>
      <c r="G90" s="16">
        <v>0</v>
      </c>
      <c r="H90" s="97"/>
    </row>
    <row r="91" spans="1:8" x14ac:dyDescent="0.2">
      <c r="A91" s="3"/>
      <c r="B91" s="3"/>
      <c r="C91" s="13"/>
      <c r="D91" s="3"/>
      <c r="E91" s="3"/>
      <c r="F91" s="14"/>
      <c r="G91" s="14"/>
      <c r="H91" s="97"/>
    </row>
    <row r="92" spans="1:8" x14ac:dyDescent="0.2">
      <c r="A92" s="3"/>
      <c r="B92" s="3"/>
      <c r="C92" s="13"/>
      <c r="D92" s="3"/>
      <c r="E92" s="3"/>
      <c r="F92" s="14"/>
      <c r="G92" s="14"/>
      <c r="H92" s="97"/>
    </row>
    <row r="93" spans="1:8" ht="25.5" x14ac:dyDescent="0.2">
      <c r="A93" s="3"/>
      <c r="B93" s="3"/>
      <c r="C93" s="4" t="s">
        <v>122</v>
      </c>
      <c r="D93" s="3"/>
      <c r="E93" s="3"/>
      <c r="F93" s="14"/>
      <c r="G93" s="14"/>
      <c r="H93" s="97"/>
    </row>
    <row r="94" spans="1:8" x14ac:dyDescent="0.2">
      <c r="A94" s="3"/>
      <c r="B94" s="3"/>
      <c r="C94" s="4" t="s">
        <v>97</v>
      </c>
      <c r="D94" s="3"/>
      <c r="E94" s="3" t="s">
        <v>98</v>
      </c>
      <c r="F94" s="15">
        <v>0</v>
      </c>
      <c r="G94" s="16">
        <v>0</v>
      </c>
      <c r="H94" s="97"/>
    </row>
    <row r="95" spans="1:8" x14ac:dyDescent="0.2">
      <c r="A95" s="3"/>
      <c r="B95" s="3"/>
      <c r="C95" s="13"/>
      <c r="D95" s="3"/>
      <c r="E95" s="3"/>
      <c r="F95" s="14"/>
      <c r="G95" s="14"/>
      <c r="H95" s="97"/>
    </row>
    <row r="96" spans="1:8" x14ac:dyDescent="0.2">
      <c r="A96" s="3"/>
      <c r="B96" s="6"/>
      <c r="C96" s="6"/>
      <c r="D96" s="4"/>
      <c r="E96" s="3"/>
      <c r="F96" s="6"/>
      <c r="G96" s="10"/>
      <c r="H96" s="97"/>
    </row>
    <row r="97" spans="1:8" x14ac:dyDescent="0.2">
      <c r="A97" s="10"/>
      <c r="B97" s="6"/>
      <c r="C97" s="6" t="s">
        <v>123</v>
      </c>
      <c r="D97" s="6"/>
      <c r="E97" s="10"/>
      <c r="F97" s="8">
        <v>330.79898517999999</v>
      </c>
      <c r="G97" s="9">
        <v>6.9668960000000002E-3</v>
      </c>
      <c r="H97" s="97"/>
    </row>
    <row r="98" spans="1:8" x14ac:dyDescent="0.2">
      <c r="A98" s="13"/>
      <c r="B98" s="13"/>
      <c r="C98" s="4" t="s">
        <v>124</v>
      </c>
      <c r="D98" s="17"/>
      <c r="E98" s="17"/>
      <c r="F98" s="11">
        <v>47481.542466579995</v>
      </c>
      <c r="G98" s="12">
        <v>1.0000000060000001</v>
      </c>
      <c r="H98" s="97"/>
    </row>
    <row r="99" spans="1:8" ht="14.1" customHeight="1" x14ac:dyDescent="0.2">
      <c r="A99" s="18"/>
      <c r="B99" s="18"/>
      <c r="C99" s="18"/>
      <c r="D99" s="19"/>
      <c r="E99" s="19"/>
      <c r="F99" s="19"/>
      <c r="G99" s="19"/>
    </row>
    <row r="100" spans="1:8" ht="14.1" customHeight="1" x14ac:dyDescent="0.2">
      <c r="A100" s="20"/>
      <c r="B100" s="20"/>
      <c r="C100" s="20"/>
      <c r="D100" s="22"/>
      <c r="E100" s="22"/>
      <c r="F100" s="22"/>
      <c r="G100" s="22"/>
    </row>
    <row r="101" spans="1:8" ht="14.1" customHeight="1" x14ac:dyDescent="0.2">
      <c r="A101" s="20"/>
      <c r="B101" s="224" t="s">
        <v>126</v>
      </c>
      <c r="C101" s="225"/>
      <c r="D101" s="14" t="s">
        <v>98</v>
      </c>
      <c r="E101" s="23"/>
      <c r="F101" s="22"/>
      <c r="G101" s="22"/>
    </row>
    <row r="102" spans="1:8" ht="29.1" customHeight="1" x14ac:dyDescent="0.2">
      <c r="A102" s="20"/>
      <c r="B102" s="231" t="s">
        <v>127</v>
      </c>
      <c r="C102" s="232"/>
      <c r="D102" s="4" t="s">
        <v>128</v>
      </c>
      <c r="E102" s="23"/>
      <c r="F102" s="22"/>
      <c r="G102" s="22"/>
    </row>
    <row r="103" spans="1:8" ht="17.100000000000001" customHeight="1" x14ac:dyDescent="0.2">
      <c r="A103" s="20"/>
      <c r="B103" s="231" t="s">
        <v>129</v>
      </c>
      <c r="C103" s="232"/>
      <c r="D103" s="4" t="s">
        <v>128</v>
      </c>
      <c r="E103" s="23"/>
      <c r="F103" s="22"/>
      <c r="G103" s="22"/>
    </row>
    <row r="104" spans="1:8" ht="17.100000000000001" customHeight="1" x14ac:dyDescent="0.2">
      <c r="A104" s="20"/>
      <c r="B104" s="231" t="s">
        <v>130</v>
      </c>
      <c r="C104" s="232"/>
      <c r="D104" s="14" t="s">
        <v>98</v>
      </c>
      <c r="E104" s="23"/>
      <c r="F104" s="22"/>
      <c r="G104" s="22"/>
    </row>
    <row r="105" spans="1:8" ht="24" customHeight="1" x14ac:dyDescent="0.2">
      <c r="A105" s="24"/>
      <c r="B105" s="25" t="s">
        <v>98</v>
      </c>
      <c r="C105" s="25" t="s">
        <v>131</v>
      </c>
      <c r="D105" s="25" t="s">
        <v>132</v>
      </c>
      <c r="E105" s="24"/>
      <c r="F105" s="24"/>
      <c r="G105" s="24"/>
    </row>
    <row r="106" spans="1:8" ht="18" customHeight="1" x14ac:dyDescent="0.2">
      <c r="A106" s="24"/>
      <c r="B106" s="25" t="s">
        <v>133</v>
      </c>
      <c r="C106" s="25" t="s">
        <v>134</v>
      </c>
      <c r="D106" s="25" t="s">
        <v>135</v>
      </c>
      <c r="E106" s="24"/>
      <c r="F106" s="24"/>
      <c r="G106" s="24"/>
    </row>
    <row r="107" spans="1:8" x14ac:dyDescent="0.2">
      <c r="A107" s="24"/>
      <c r="B107" s="6" t="s">
        <v>136</v>
      </c>
      <c r="C107" s="26">
        <v>62.4666</v>
      </c>
      <c r="D107" s="26">
        <v>61.532899999999998</v>
      </c>
      <c r="E107" s="24"/>
      <c r="F107" s="21"/>
      <c r="G107" s="27"/>
    </row>
    <row r="108" spans="1:8" x14ac:dyDescent="0.2">
      <c r="A108" s="24"/>
      <c r="B108" s="6" t="s">
        <v>1201</v>
      </c>
      <c r="C108" s="26">
        <v>24.533000000000001</v>
      </c>
      <c r="D108" s="26">
        <v>24.1663</v>
      </c>
      <c r="E108" s="24"/>
      <c r="F108" s="21"/>
      <c r="G108" s="27"/>
    </row>
    <row r="109" spans="1:8" x14ac:dyDescent="0.2">
      <c r="A109" s="24"/>
      <c r="B109" s="6" t="s">
        <v>407</v>
      </c>
      <c r="C109" s="26">
        <v>64.227099999999993</v>
      </c>
      <c r="D109" s="26">
        <v>63.267099999999999</v>
      </c>
      <c r="E109" s="24"/>
      <c r="F109" s="21"/>
      <c r="G109" s="27"/>
    </row>
    <row r="110" spans="1:8" x14ac:dyDescent="0.2">
      <c r="A110" s="24"/>
      <c r="B110" s="6" t="s">
        <v>1204</v>
      </c>
      <c r="C110" s="26">
        <v>24.965800000000002</v>
      </c>
      <c r="D110" s="26">
        <v>24.592600000000001</v>
      </c>
      <c r="E110" s="24"/>
      <c r="F110" s="21"/>
      <c r="G110" s="27"/>
    </row>
    <row r="111" spans="1:8" x14ac:dyDescent="0.2">
      <c r="A111" s="24"/>
      <c r="B111" s="6" t="s">
        <v>137</v>
      </c>
      <c r="C111" s="26">
        <v>58.305199999999999</v>
      </c>
      <c r="D111" s="26">
        <v>57.359099999999998</v>
      </c>
      <c r="E111" s="24"/>
      <c r="F111" s="21"/>
      <c r="G111" s="27"/>
    </row>
    <row r="112" spans="1:8" x14ac:dyDescent="0.2">
      <c r="A112" s="24"/>
      <c r="B112" s="6" t="s">
        <v>1202</v>
      </c>
      <c r="C112" s="26">
        <v>22.526399999999999</v>
      </c>
      <c r="D112" s="26">
        <v>22.160900000000002</v>
      </c>
      <c r="E112" s="24"/>
      <c r="F112" s="21"/>
      <c r="G112" s="27"/>
    </row>
    <row r="113" spans="1:17" ht="14.1" customHeight="1" x14ac:dyDescent="0.2">
      <c r="A113" s="24"/>
      <c r="B113" s="24"/>
      <c r="C113" s="24"/>
      <c r="D113" s="24"/>
      <c r="E113" s="24"/>
      <c r="F113" s="24"/>
      <c r="G113" s="24"/>
    </row>
    <row r="114" spans="1:17" ht="17.100000000000001" customHeight="1" x14ac:dyDescent="0.2">
      <c r="A114" s="24"/>
      <c r="B114" s="231" t="s">
        <v>1203</v>
      </c>
      <c r="C114" s="232"/>
      <c r="D114" s="4" t="s">
        <v>98</v>
      </c>
      <c r="E114" s="24"/>
      <c r="F114" s="24"/>
      <c r="G114" s="24"/>
    </row>
    <row r="115" spans="1:17" ht="18" customHeight="1" x14ac:dyDescent="0.2">
      <c r="A115" s="24"/>
      <c r="B115" s="28"/>
      <c r="C115" s="28"/>
      <c r="D115" s="29"/>
      <c r="E115" s="24"/>
      <c r="F115" s="24"/>
      <c r="G115" s="24"/>
    </row>
    <row r="116" spans="1:17" s="87" customFormat="1" x14ac:dyDescent="0.2">
      <c r="B116" s="233" t="s">
        <v>1207</v>
      </c>
      <c r="C116" s="233"/>
      <c r="D116" s="233"/>
      <c r="E116" s="233"/>
      <c r="F116" s="233"/>
      <c r="I116"/>
      <c r="J116"/>
      <c r="K116"/>
      <c r="L116"/>
      <c r="M116"/>
      <c r="N116"/>
      <c r="O116"/>
      <c r="P116"/>
      <c r="Q116" s="69"/>
    </row>
    <row r="117" spans="1:17" ht="14.1" customHeight="1" x14ac:dyDescent="0.2">
      <c r="A117" s="24"/>
      <c r="B117" s="21"/>
      <c r="C117" s="21"/>
      <c r="D117" s="24"/>
      <c r="E117" s="24"/>
      <c r="F117" s="24"/>
      <c r="G117" s="24"/>
      <c r="I117" s="87"/>
      <c r="J117" s="87"/>
      <c r="K117" s="87"/>
      <c r="L117" s="87"/>
      <c r="M117" s="87"/>
      <c r="N117" s="87"/>
      <c r="O117" s="87"/>
    </row>
    <row r="118" spans="1:17" ht="25.5" customHeight="1" x14ac:dyDescent="0.2">
      <c r="A118" s="24"/>
      <c r="B118" s="231" t="s">
        <v>138</v>
      </c>
      <c r="C118" s="232"/>
      <c r="D118" s="4" t="s">
        <v>128</v>
      </c>
      <c r="E118" s="24"/>
      <c r="F118" s="24"/>
      <c r="G118" s="24"/>
      <c r="P118" s="69"/>
    </row>
    <row r="119" spans="1:17" x14ac:dyDescent="0.2">
      <c r="A119" s="24"/>
      <c r="B119" s="231" t="s">
        <v>139</v>
      </c>
      <c r="C119" s="232"/>
      <c r="D119" s="4" t="s">
        <v>128</v>
      </c>
      <c r="E119" s="24"/>
      <c r="F119" s="24"/>
      <c r="G119" s="24"/>
    </row>
    <row r="120" spans="1:17" x14ac:dyDescent="0.2">
      <c r="A120" s="24"/>
      <c r="B120" s="231" t="s">
        <v>140</v>
      </c>
      <c r="C120" s="232"/>
      <c r="D120" s="30">
        <v>0.14996065356793245</v>
      </c>
      <c r="E120" s="24"/>
      <c r="F120" s="21"/>
      <c r="G120" s="27"/>
    </row>
    <row r="121" spans="1:17" x14ac:dyDescent="0.2">
      <c r="A121" s="24"/>
      <c r="B121" s="231" t="s">
        <v>141</v>
      </c>
      <c r="C121" s="232"/>
      <c r="D121" s="4" t="s">
        <v>128</v>
      </c>
      <c r="E121" s="24"/>
      <c r="F121" s="24"/>
      <c r="G121" s="24"/>
    </row>
  </sheetData>
  <mergeCells count="14">
    <mergeCell ref="B120:C120"/>
    <mergeCell ref="B121:C121"/>
    <mergeCell ref="B102:C102"/>
    <mergeCell ref="B103:C103"/>
    <mergeCell ref="B104:C104"/>
    <mergeCell ref="B114:C114"/>
    <mergeCell ref="B118:C118"/>
    <mergeCell ref="B119:C119"/>
    <mergeCell ref="B116:F116"/>
    <mergeCell ref="J2:N2"/>
    <mergeCell ref="B101:C101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C9E07-AAD0-4EAE-922B-DEB6FD15ABA9}">
  <dimension ref="A1:O46"/>
  <sheetViews>
    <sheetView workbookViewId="0">
      <selection sqref="A1:H1"/>
    </sheetView>
  </sheetViews>
  <sheetFormatPr defaultRowHeight="15" x14ac:dyDescent="0.25"/>
  <cols>
    <col min="1" max="1" width="5.42578125" style="120" bestFit="1" customWidth="1"/>
    <col min="2" max="2" width="19.7109375" style="120" bestFit="1" customWidth="1"/>
    <col min="3" max="3" width="40.28515625" style="120" bestFit="1" customWidth="1"/>
    <col min="4" max="4" width="15.28515625" style="120" bestFit="1" customWidth="1"/>
    <col min="5" max="5" width="11.42578125" style="120" bestFit="1" customWidth="1"/>
    <col min="6" max="6" width="10.140625" style="120" bestFit="1" customWidth="1"/>
    <col min="7" max="7" width="8.5703125" style="120" bestFit="1" customWidth="1"/>
    <col min="8" max="8" width="8.42578125" style="120" bestFit="1" customWidth="1"/>
    <col min="9" max="10" width="9.140625" style="187"/>
    <col min="11" max="11" width="10.5703125" style="187" bestFit="1" customWidth="1"/>
    <col min="12" max="15" width="9.140625" style="187"/>
    <col min="16" max="250" width="9.140625" style="120"/>
    <col min="251" max="251" width="5.42578125" style="120" bestFit="1" customWidth="1"/>
    <col min="252" max="252" width="20.42578125" style="120" bestFit="1" customWidth="1"/>
    <col min="253" max="253" width="41.42578125" style="120" customWidth="1"/>
    <col min="254" max="254" width="15.28515625" style="120" bestFit="1" customWidth="1"/>
    <col min="255" max="255" width="16.7109375" style="120" bestFit="1" customWidth="1"/>
    <col min="256" max="256" width="11.28515625" style="120" bestFit="1" customWidth="1"/>
    <col min="257" max="257" width="14" style="120" bestFit="1" customWidth="1"/>
    <col min="258" max="258" width="11.85546875" style="120" bestFit="1" customWidth="1"/>
    <col min="259" max="259" width="14.85546875" style="120" bestFit="1" customWidth="1"/>
    <col min="260" max="260" width="9.7109375" style="120" customWidth="1"/>
    <col min="261" max="261" width="4.85546875" style="120" customWidth="1"/>
    <col min="262" max="506" width="9.140625" style="120"/>
    <col min="507" max="507" width="5.42578125" style="120" bestFit="1" customWidth="1"/>
    <col min="508" max="508" width="20.42578125" style="120" bestFit="1" customWidth="1"/>
    <col min="509" max="509" width="41.42578125" style="120" customWidth="1"/>
    <col min="510" max="510" width="15.28515625" style="120" bestFit="1" customWidth="1"/>
    <col min="511" max="511" width="16.7109375" style="120" bestFit="1" customWidth="1"/>
    <col min="512" max="512" width="11.28515625" style="120" bestFit="1" customWidth="1"/>
    <col min="513" max="513" width="14" style="120" bestFit="1" customWidth="1"/>
    <col min="514" max="514" width="11.85546875" style="120" bestFit="1" customWidth="1"/>
    <col min="515" max="515" width="14.85546875" style="120" bestFit="1" customWidth="1"/>
    <col min="516" max="516" width="9.7109375" style="120" customWidth="1"/>
    <col min="517" max="517" width="4.85546875" style="120" customWidth="1"/>
    <col min="518" max="762" width="9.140625" style="120"/>
    <col min="763" max="763" width="5.42578125" style="120" bestFit="1" customWidth="1"/>
    <col min="764" max="764" width="20.42578125" style="120" bestFit="1" customWidth="1"/>
    <col min="765" max="765" width="41.42578125" style="120" customWidth="1"/>
    <col min="766" max="766" width="15.28515625" style="120" bestFit="1" customWidth="1"/>
    <col min="767" max="767" width="16.7109375" style="120" bestFit="1" customWidth="1"/>
    <col min="768" max="768" width="11.28515625" style="120" bestFit="1" customWidth="1"/>
    <col min="769" max="769" width="14" style="120" bestFit="1" customWidth="1"/>
    <col min="770" max="770" width="11.85546875" style="120" bestFit="1" customWidth="1"/>
    <col min="771" max="771" width="14.85546875" style="120" bestFit="1" customWidth="1"/>
    <col min="772" max="772" width="9.7109375" style="120" customWidth="1"/>
    <col min="773" max="773" width="4.85546875" style="120" customWidth="1"/>
    <col min="774" max="1018" width="9.140625" style="120"/>
    <col min="1019" max="1019" width="5.42578125" style="120" bestFit="1" customWidth="1"/>
    <col min="1020" max="1020" width="20.42578125" style="120" bestFit="1" customWidth="1"/>
    <col min="1021" max="1021" width="41.42578125" style="120" customWidth="1"/>
    <col min="1022" max="1022" width="15.28515625" style="120" bestFit="1" customWidth="1"/>
    <col min="1023" max="1023" width="16.7109375" style="120" bestFit="1" customWidth="1"/>
    <col min="1024" max="1024" width="11.28515625" style="120" bestFit="1" customWidth="1"/>
    <col min="1025" max="1025" width="14" style="120" bestFit="1" customWidth="1"/>
    <col min="1026" max="1026" width="11.85546875" style="120" bestFit="1" customWidth="1"/>
    <col min="1027" max="1027" width="14.85546875" style="120" bestFit="1" customWidth="1"/>
    <col min="1028" max="1028" width="9.7109375" style="120" customWidth="1"/>
    <col min="1029" max="1029" width="4.85546875" style="120" customWidth="1"/>
    <col min="1030" max="1274" width="9.140625" style="120"/>
    <col min="1275" max="1275" width="5.42578125" style="120" bestFit="1" customWidth="1"/>
    <col min="1276" max="1276" width="20.42578125" style="120" bestFit="1" customWidth="1"/>
    <col min="1277" max="1277" width="41.42578125" style="120" customWidth="1"/>
    <col min="1278" max="1278" width="15.28515625" style="120" bestFit="1" customWidth="1"/>
    <col min="1279" max="1279" width="16.7109375" style="120" bestFit="1" customWidth="1"/>
    <col min="1280" max="1280" width="11.28515625" style="120" bestFit="1" customWidth="1"/>
    <col min="1281" max="1281" width="14" style="120" bestFit="1" customWidth="1"/>
    <col min="1282" max="1282" width="11.85546875" style="120" bestFit="1" customWidth="1"/>
    <col min="1283" max="1283" width="14.85546875" style="120" bestFit="1" customWidth="1"/>
    <col min="1284" max="1284" width="9.7109375" style="120" customWidth="1"/>
    <col min="1285" max="1285" width="4.85546875" style="120" customWidth="1"/>
    <col min="1286" max="1530" width="9.140625" style="120"/>
    <col min="1531" max="1531" width="5.42578125" style="120" bestFit="1" customWidth="1"/>
    <col min="1532" max="1532" width="20.42578125" style="120" bestFit="1" customWidth="1"/>
    <col min="1533" max="1533" width="41.42578125" style="120" customWidth="1"/>
    <col min="1534" max="1534" width="15.28515625" style="120" bestFit="1" customWidth="1"/>
    <col min="1535" max="1535" width="16.7109375" style="120" bestFit="1" customWidth="1"/>
    <col min="1536" max="1536" width="11.28515625" style="120" bestFit="1" customWidth="1"/>
    <col min="1537" max="1537" width="14" style="120" bestFit="1" customWidth="1"/>
    <col min="1538" max="1538" width="11.85546875" style="120" bestFit="1" customWidth="1"/>
    <col min="1539" max="1539" width="14.85546875" style="120" bestFit="1" customWidth="1"/>
    <col min="1540" max="1540" width="9.7109375" style="120" customWidth="1"/>
    <col min="1541" max="1541" width="4.85546875" style="120" customWidth="1"/>
    <col min="1542" max="1786" width="9.140625" style="120"/>
    <col min="1787" max="1787" width="5.42578125" style="120" bestFit="1" customWidth="1"/>
    <col min="1788" max="1788" width="20.42578125" style="120" bestFit="1" customWidth="1"/>
    <col min="1789" max="1789" width="41.42578125" style="120" customWidth="1"/>
    <col min="1790" max="1790" width="15.28515625" style="120" bestFit="1" customWidth="1"/>
    <col min="1791" max="1791" width="16.7109375" style="120" bestFit="1" customWidth="1"/>
    <col min="1792" max="1792" width="11.28515625" style="120" bestFit="1" customWidth="1"/>
    <col min="1793" max="1793" width="14" style="120" bestFit="1" customWidth="1"/>
    <col min="1794" max="1794" width="11.85546875" style="120" bestFit="1" customWidth="1"/>
    <col min="1795" max="1795" width="14.85546875" style="120" bestFit="1" customWidth="1"/>
    <col min="1796" max="1796" width="9.7109375" style="120" customWidth="1"/>
    <col min="1797" max="1797" width="4.85546875" style="120" customWidth="1"/>
    <col min="1798" max="2042" width="9.140625" style="120"/>
    <col min="2043" max="2043" width="5.42578125" style="120" bestFit="1" customWidth="1"/>
    <col min="2044" max="2044" width="20.42578125" style="120" bestFit="1" customWidth="1"/>
    <col min="2045" max="2045" width="41.42578125" style="120" customWidth="1"/>
    <col min="2046" max="2046" width="15.28515625" style="120" bestFit="1" customWidth="1"/>
    <col min="2047" max="2047" width="16.7109375" style="120" bestFit="1" customWidth="1"/>
    <col min="2048" max="2048" width="11.28515625" style="120" bestFit="1" customWidth="1"/>
    <col min="2049" max="2049" width="14" style="120" bestFit="1" customWidth="1"/>
    <col min="2050" max="2050" width="11.85546875" style="120" bestFit="1" customWidth="1"/>
    <col min="2051" max="2051" width="14.85546875" style="120" bestFit="1" customWidth="1"/>
    <col min="2052" max="2052" width="9.7109375" style="120" customWidth="1"/>
    <col min="2053" max="2053" width="4.85546875" style="120" customWidth="1"/>
    <col min="2054" max="2298" width="9.140625" style="120"/>
    <col min="2299" max="2299" width="5.42578125" style="120" bestFit="1" customWidth="1"/>
    <col min="2300" max="2300" width="20.42578125" style="120" bestFit="1" customWidth="1"/>
    <col min="2301" max="2301" width="41.42578125" style="120" customWidth="1"/>
    <col min="2302" max="2302" width="15.28515625" style="120" bestFit="1" customWidth="1"/>
    <col min="2303" max="2303" width="16.7109375" style="120" bestFit="1" customWidth="1"/>
    <col min="2304" max="2304" width="11.28515625" style="120" bestFit="1" customWidth="1"/>
    <col min="2305" max="2305" width="14" style="120" bestFit="1" customWidth="1"/>
    <col min="2306" max="2306" width="11.85546875" style="120" bestFit="1" customWidth="1"/>
    <col min="2307" max="2307" width="14.85546875" style="120" bestFit="1" customWidth="1"/>
    <col min="2308" max="2308" width="9.7109375" style="120" customWidth="1"/>
    <col min="2309" max="2309" width="4.85546875" style="120" customWidth="1"/>
    <col min="2310" max="2554" width="9.140625" style="120"/>
    <col min="2555" max="2555" width="5.42578125" style="120" bestFit="1" customWidth="1"/>
    <col min="2556" max="2556" width="20.42578125" style="120" bestFit="1" customWidth="1"/>
    <col min="2557" max="2557" width="41.42578125" style="120" customWidth="1"/>
    <col min="2558" max="2558" width="15.28515625" style="120" bestFit="1" customWidth="1"/>
    <col min="2559" max="2559" width="16.7109375" style="120" bestFit="1" customWidth="1"/>
    <col min="2560" max="2560" width="11.28515625" style="120" bestFit="1" customWidth="1"/>
    <col min="2561" max="2561" width="14" style="120" bestFit="1" customWidth="1"/>
    <col min="2562" max="2562" width="11.85546875" style="120" bestFit="1" customWidth="1"/>
    <col min="2563" max="2563" width="14.85546875" style="120" bestFit="1" customWidth="1"/>
    <col min="2564" max="2564" width="9.7109375" style="120" customWidth="1"/>
    <col min="2565" max="2565" width="4.85546875" style="120" customWidth="1"/>
    <col min="2566" max="2810" width="9.140625" style="120"/>
    <col min="2811" max="2811" width="5.42578125" style="120" bestFit="1" customWidth="1"/>
    <col min="2812" max="2812" width="20.42578125" style="120" bestFit="1" customWidth="1"/>
    <col min="2813" max="2813" width="41.42578125" style="120" customWidth="1"/>
    <col min="2814" max="2814" width="15.28515625" style="120" bestFit="1" customWidth="1"/>
    <col min="2815" max="2815" width="16.7109375" style="120" bestFit="1" customWidth="1"/>
    <col min="2816" max="2816" width="11.28515625" style="120" bestFit="1" customWidth="1"/>
    <col min="2817" max="2817" width="14" style="120" bestFit="1" customWidth="1"/>
    <col min="2818" max="2818" width="11.85546875" style="120" bestFit="1" customWidth="1"/>
    <col min="2819" max="2819" width="14.85546875" style="120" bestFit="1" customWidth="1"/>
    <col min="2820" max="2820" width="9.7109375" style="120" customWidth="1"/>
    <col min="2821" max="2821" width="4.85546875" style="120" customWidth="1"/>
    <col min="2822" max="3066" width="9.140625" style="120"/>
    <col min="3067" max="3067" width="5.42578125" style="120" bestFit="1" customWidth="1"/>
    <col min="3068" max="3068" width="20.42578125" style="120" bestFit="1" customWidth="1"/>
    <col min="3069" max="3069" width="41.42578125" style="120" customWidth="1"/>
    <col min="3070" max="3070" width="15.28515625" style="120" bestFit="1" customWidth="1"/>
    <col min="3071" max="3071" width="16.7109375" style="120" bestFit="1" customWidth="1"/>
    <col min="3072" max="3072" width="11.28515625" style="120" bestFit="1" customWidth="1"/>
    <col min="3073" max="3073" width="14" style="120" bestFit="1" customWidth="1"/>
    <col min="3074" max="3074" width="11.85546875" style="120" bestFit="1" customWidth="1"/>
    <col min="3075" max="3075" width="14.85546875" style="120" bestFit="1" customWidth="1"/>
    <col min="3076" max="3076" width="9.7109375" style="120" customWidth="1"/>
    <col min="3077" max="3077" width="4.85546875" style="120" customWidth="1"/>
    <col min="3078" max="3322" width="9.140625" style="120"/>
    <col min="3323" max="3323" width="5.42578125" style="120" bestFit="1" customWidth="1"/>
    <col min="3324" max="3324" width="20.42578125" style="120" bestFit="1" customWidth="1"/>
    <col min="3325" max="3325" width="41.42578125" style="120" customWidth="1"/>
    <col min="3326" max="3326" width="15.28515625" style="120" bestFit="1" customWidth="1"/>
    <col min="3327" max="3327" width="16.7109375" style="120" bestFit="1" customWidth="1"/>
    <col min="3328" max="3328" width="11.28515625" style="120" bestFit="1" customWidth="1"/>
    <col min="3329" max="3329" width="14" style="120" bestFit="1" customWidth="1"/>
    <col min="3330" max="3330" width="11.85546875" style="120" bestFit="1" customWidth="1"/>
    <col min="3331" max="3331" width="14.85546875" style="120" bestFit="1" customWidth="1"/>
    <col min="3332" max="3332" width="9.7109375" style="120" customWidth="1"/>
    <col min="3333" max="3333" width="4.85546875" style="120" customWidth="1"/>
    <col min="3334" max="3578" width="9.140625" style="120"/>
    <col min="3579" max="3579" width="5.42578125" style="120" bestFit="1" customWidth="1"/>
    <col min="3580" max="3580" width="20.42578125" style="120" bestFit="1" customWidth="1"/>
    <col min="3581" max="3581" width="41.42578125" style="120" customWidth="1"/>
    <col min="3582" max="3582" width="15.28515625" style="120" bestFit="1" customWidth="1"/>
    <col min="3583" max="3583" width="16.7109375" style="120" bestFit="1" customWidth="1"/>
    <col min="3584" max="3584" width="11.28515625" style="120" bestFit="1" customWidth="1"/>
    <col min="3585" max="3585" width="14" style="120" bestFit="1" customWidth="1"/>
    <col min="3586" max="3586" width="11.85546875" style="120" bestFit="1" customWidth="1"/>
    <col min="3587" max="3587" width="14.85546875" style="120" bestFit="1" customWidth="1"/>
    <col min="3588" max="3588" width="9.7109375" style="120" customWidth="1"/>
    <col min="3589" max="3589" width="4.85546875" style="120" customWidth="1"/>
    <col min="3590" max="3834" width="9.140625" style="120"/>
    <col min="3835" max="3835" width="5.42578125" style="120" bestFit="1" customWidth="1"/>
    <col min="3836" max="3836" width="20.42578125" style="120" bestFit="1" customWidth="1"/>
    <col min="3837" max="3837" width="41.42578125" style="120" customWidth="1"/>
    <col min="3838" max="3838" width="15.28515625" style="120" bestFit="1" customWidth="1"/>
    <col min="3839" max="3839" width="16.7109375" style="120" bestFit="1" customWidth="1"/>
    <col min="3840" max="3840" width="11.28515625" style="120" bestFit="1" customWidth="1"/>
    <col min="3841" max="3841" width="14" style="120" bestFit="1" customWidth="1"/>
    <col min="3842" max="3842" width="11.85546875" style="120" bestFit="1" customWidth="1"/>
    <col min="3843" max="3843" width="14.85546875" style="120" bestFit="1" customWidth="1"/>
    <col min="3844" max="3844" width="9.7109375" style="120" customWidth="1"/>
    <col min="3845" max="3845" width="4.85546875" style="120" customWidth="1"/>
    <col min="3846" max="4090" width="9.140625" style="120"/>
    <col min="4091" max="4091" width="5.42578125" style="120" bestFit="1" customWidth="1"/>
    <col min="4092" max="4092" width="20.42578125" style="120" bestFit="1" customWidth="1"/>
    <col min="4093" max="4093" width="41.42578125" style="120" customWidth="1"/>
    <col min="4094" max="4094" width="15.28515625" style="120" bestFit="1" customWidth="1"/>
    <col min="4095" max="4095" width="16.7109375" style="120" bestFit="1" customWidth="1"/>
    <col min="4096" max="4096" width="11.28515625" style="120" bestFit="1" customWidth="1"/>
    <col min="4097" max="4097" width="14" style="120" bestFit="1" customWidth="1"/>
    <col min="4098" max="4098" width="11.85546875" style="120" bestFit="1" customWidth="1"/>
    <col min="4099" max="4099" width="14.85546875" style="120" bestFit="1" customWidth="1"/>
    <col min="4100" max="4100" width="9.7109375" style="120" customWidth="1"/>
    <col min="4101" max="4101" width="4.85546875" style="120" customWidth="1"/>
    <col min="4102" max="4346" width="9.140625" style="120"/>
    <col min="4347" max="4347" width="5.42578125" style="120" bestFit="1" customWidth="1"/>
    <col min="4348" max="4348" width="20.42578125" style="120" bestFit="1" customWidth="1"/>
    <col min="4349" max="4349" width="41.42578125" style="120" customWidth="1"/>
    <col min="4350" max="4350" width="15.28515625" style="120" bestFit="1" customWidth="1"/>
    <col min="4351" max="4351" width="16.7109375" style="120" bestFit="1" customWidth="1"/>
    <col min="4352" max="4352" width="11.28515625" style="120" bestFit="1" customWidth="1"/>
    <col min="4353" max="4353" width="14" style="120" bestFit="1" customWidth="1"/>
    <col min="4354" max="4354" width="11.85546875" style="120" bestFit="1" customWidth="1"/>
    <col min="4355" max="4355" width="14.85546875" style="120" bestFit="1" customWidth="1"/>
    <col min="4356" max="4356" width="9.7109375" style="120" customWidth="1"/>
    <col min="4357" max="4357" width="4.85546875" style="120" customWidth="1"/>
    <col min="4358" max="4602" width="9.140625" style="120"/>
    <col min="4603" max="4603" width="5.42578125" style="120" bestFit="1" customWidth="1"/>
    <col min="4604" max="4604" width="20.42578125" style="120" bestFit="1" customWidth="1"/>
    <col min="4605" max="4605" width="41.42578125" style="120" customWidth="1"/>
    <col min="4606" max="4606" width="15.28515625" style="120" bestFit="1" customWidth="1"/>
    <col min="4607" max="4607" width="16.7109375" style="120" bestFit="1" customWidth="1"/>
    <col min="4608" max="4608" width="11.28515625" style="120" bestFit="1" customWidth="1"/>
    <col min="4609" max="4609" width="14" style="120" bestFit="1" customWidth="1"/>
    <col min="4610" max="4610" width="11.85546875" style="120" bestFit="1" customWidth="1"/>
    <col min="4611" max="4611" width="14.85546875" style="120" bestFit="1" customWidth="1"/>
    <col min="4612" max="4612" width="9.7109375" style="120" customWidth="1"/>
    <col min="4613" max="4613" width="4.85546875" style="120" customWidth="1"/>
    <col min="4614" max="4858" width="9.140625" style="120"/>
    <col min="4859" max="4859" width="5.42578125" style="120" bestFit="1" customWidth="1"/>
    <col min="4860" max="4860" width="20.42578125" style="120" bestFit="1" customWidth="1"/>
    <col min="4861" max="4861" width="41.42578125" style="120" customWidth="1"/>
    <col min="4862" max="4862" width="15.28515625" style="120" bestFit="1" customWidth="1"/>
    <col min="4863" max="4863" width="16.7109375" style="120" bestFit="1" customWidth="1"/>
    <col min="4864" max="4864" width="11.28515625" style="120" bestFit="1" customWidth="1"/>
    <col min="4865" max="4865" width="14" style="120" bestFit="1" customWidth="1"/>
    <col min="4866" max="4866" width="11.85546875" style="120" bestFit="1" customWidth="1"/>
    <col min="4867" max="4867" width="14.85546875" style="120" bestFit="1" customWidth="1"/>
    <col min="4868" max="4868" width="9.7109375" style="120" customWidth="1"/>
    <col min="4869" max="4869" width="4.85546875" style="120" customWidth="1"/>
    <col min="4870" max="5114" width="9.140625" style="120"/>
    <col min="5115" max="5115" width="5.42578125" style="120" bestFit="1" customWidth="1"/>
    <col min="5116" max="5116" width="20.42578125" style="120" bestFit="1" customWidth="1"/>
    <col min="5117" max="5117" width="41.42578125" style="120" customWidth="1"/>
    <col min="5118" max="5118" width="15.28515625" style="120" bestFit="1" customWidth="1"/>
    <col min="5119" max="5119" width="16.7109375" style="120" bestFit="1" customWidth="1"/>
    <col min="5120" max="5120" width="11.28515625" style="120" bestFit="1" customWidth="1"/>
    <col min="5121" max="5121" width="14" style="120" bestFit="1" customWidth="1"/>
    <col min="5122" max="5122" width="11.85546875" style="120" bestFit="1" customWidth="1"/>
    <col min="5123" max="5123" width="14.85546875" style="120" bestFit="1" customWidth="1"/>
    <col min="5124" max="5124" width="9.7109375" style="120" customWidth="1"/>
    <col min="5125" max="5125" width="4.85546875" style="120" customWidth="1"/>
    <col min="5126" max="5370" width="9.140625" style="120"/>
    <col min="5371" max="5371" width="5.42578125" style="120" bestFit="1" customWidth="1"/>
    <col min="5372" max="5372" width="20.42578125" style="120" bestFit="1" customWidth="1"/>
    <col min="5373" max="5373" width="41.42578125" style="120" customWidth="1"/>
    <col min="5374" max="5374" width="15.28515625" style="120" bestFit="1" customWidth="1"/>
    <col min="5375" max="5375" width="16.7109375" style="120" bestFit="1" customWidth="1"/>
    <col min="5376" max="5376" width="11.28515625" style="120" bestFit="1" customWidth="1"/>
    <col min="5377" max="5377" width="14" style="120" bestFit="1" customWidth="1"/>
    <col min="5378" max="5378" width="11.85546875" style="120" bestFit="1" customWidth="1"/>
    <col min="5379" max="5379" width="14.85546875" style="120" bestFit="1" customWidth="1"/>
    <col min="5380" max="5380" width="9.7109375" style="120" customWidth="1"/>
    <col min="5381" max="5381" width="4.85546875" style="120" customWidth="1"/>
    <col min="5382" max="5626" width="9.140625" style="120"/>
    <col min="5627" max="5627" width="5.42578125" style="120" bestFit="1" customWidth="1"/>
    <col min="5628" max="5628" width="20.42578125" style="120" bestFit="1" customWidth="1"/>
    <col min="5629" max="5629" width="41.42578125" style="120" customWidth="1"/>
    <col min="5630" max="5630" width="15.28515625" style="120" bestFit="1" customWidth="1"/>
    <col min="5631" max="5631" width="16.7109375" style="120" bestFit="1" customWidth="1"/>
    <col min="5632" max="5632" width="11.28515625" style="120" bestFit="1" customWidth="1"/>
    <col min="5633" max="5633" width="14" style="120" bestFit="1" customWidth="1"/>
    <col min="5634" max="5634" width="11.85546875" style="120" bestFit="1" customWidth="1"/>
    <col min="5635" max="5635" width="14.85546875" style="120" bestFit="1" customWidth="1"/>
    <col min="5636" max="5636" width="9.7109375" style="120" customWidth="1"/>
    <col min="5637" max="5637" width="4.85546875" style="120" customWidth="1"/>
    <col min="5638" max="5882" width="9.140625" style="120"/>
    <col min="5883" max="5883" width="5.42578125" style="120" bestFit="1" customWidth="1"/>
    <col min="5884" max="5884" width="20.42578125" style="120" bestFit="1" customWidth="1"/>
    <col min="5885" max="5885" width="41.42578125" style="120" customWidth="1"/>
    <col min="5886" max="5886" width="15.28515625" style="120" bestFit="1" customWidth="1"/>
    <col min="5887" max="5887" width="16.7109375" style="120" bestFit="1" customWidth="1"/>
    <col min="5888" max="5888" width="11.28515625" style="120" bestFit="1" customWidth="1"/>
    <col min="5889" max="5889" width="14" style="120" bestFit="1" customWidth="1"/>
    <col min="5890" max="5890" width="11.85546875" style="120" bestFit="1" customWidth="1"/>
    <col min="5891" max="5891" width="14.85546875" style="120" bestFit="1" customWidth="1"/>
    <col min="5892" max="5892" width="9.7109375" style="120" customWidth="1"/>
    <col min="5893" max="5893" width="4.85546875" style="120" customWidth="1"/>
    <col min="5894" max="6138" width="9.140625" style="120"/>
    <col min="6139" max="6139" width="5.42578125" style="120" bestFit="1" customWidth="1"/>
    <col min="6140" max="6140" width="20.42578125" style="120" bestFit="1" customWidth="1"/>
    <col min="6141" max="6141" width="41.42578125" style="120" customWidth="1"/>
    <col min="6142" max="6142" width="15.28515625" style="120" bestFit="1" customWidth="1"/>
    <col min="6143" max="6143" width="16.7109375" style="120" bestFit="1" customWidth="1"/>
    <col min="6144" max="6144" width="11.28515625" style="120" bestFit="1" customWidth="1"/>
    <col min="6145" max="6145" width="14" style="120" bestFit="1" customWidth="1"/>
    <col min="6146" max="6146" width="11.85546875" style="120" bestFit="1" customWidth="1"/>
    <col min="6147" max="6147" width="14.85546875" style="120" bestFit="1" customWidth="1"/>
    <col min="6148" max="6148" width="9.7109375" style="120" customWidth="1"/>
    <col min="6149" max="6149" width="4.85546875" style="120" customWidth="1"/>
    <col min="6150" max="6394" width="9.140625" style="120"/>
    <col min="6395" max="6395" width="5.42578125" style="120" bestFit="1" customWidth="1"/>
    <col min="6396" max="6396" width="20.42578125" style="120" bestFit="1" customWidth="1"/>
    <col min="6397" max="6397" width="41.42578125" style="120" customWidth="1"/>
    <col min="6398" max="6398" width="15.28515625" style="120" bestFit="1" customWidth="1"/>
    <col min="6399" max="6399" width="16.7109375" style="120" bestFit="1" customWidth="1"/>
    <col min="6400" max="6400" width="11.28515625" style="120" bestFit="1" customWidth="1"/>
    <col min="6401" max="6401" width="14" style="120" bestFit="1" customWidth="1"/>
    <col min="6402" max="6402" width="11.85546875" style="120" bestFit="1" customWidth="1"/>
    <col min="6403" max="6403" width="14.85546875" style="120" bestFit="1" customWidth="1"/>
    <col min="6404" max="6404" width="9.7109375" style="120" customWidth="1"/>
    <col min="6405" max="6405" width="4.85546875" style="120" customWidth="1"/>
    <col min="6406" max="6650" width="9.140625" style="120"/>
    <col min="6651" max="6651" width="5.42578125" style="120" bestFit="1" customWidth="1"/>
    <col min="6652" max="6652" width="20.42578125" style="120" bestFit="1" customWidth="1"/>
    <col min="6653" max="6653" width="41.42578125" style="120" customWidth="1"/>
    <col min="6654" max="6654" width="15.28515625" style="120" bestFit="1" customWidth="1"/>
    <col min="6655" max="6655" width="16.7109375" style="120" bestFit="1" customWidth="1"/>
    <col min="6656" max="6656" width="11.28515625" style="120" bestFit="1" customWidth="1"/>
    <col min="6657" max="6657" width="14" style="120" bestFit="1" customWidth="1"/>
    <col min="6658" max="6658" width="11.85546875" style="120" bestFit="1" customWidth="1"/>
    <col min="6659" max="6659" width="14.85546875" style="120" bestFit="1" customWidth="1"/>
    <col min="6660" max="6660" width="9.7109375" style="120" customWidth="1"/>
    <col min="6661" max="6661" width="4.85546875" style="120" customWidth="1"/>
    <col min="6662" max="6906" width="9.140625" style="120"/>
    <col min="6907" max="6907" width="5.42578125" style="120" bestFit="1" customWidth="1"/>
    <col min="6908" max="6908" width="20.42578125" style="120" bestFit="1" customWidth="1"/>
    <col min="6909" max="6909" width="41.42578125" style="120" customWidth="1"/>
    <col min="6910" max="6910" width="15.28515625" style="120" bestFit="1" customWidth="1"/>
    <col min="6911" max="6911" width="16.7109375" style="120" bestFit="1" customWidth="1"/>
    <col min="6912" max="6912" width="11.28515625" style="120" bestFit="1" customWidth="1"/>
    <col min="6913" max="6913" width="14" style="120" bestFit="1" customWidth="1"/>
    <col min="6914" max="6914" width="11.85546875" style="120" bestFit="1" customWidth="1"/>
    <col min="6915" max="6915" width="14.85546875" style="120" bestFit="1" customWidth="1"/>
    <col min="6916" max="6916" width="9.7109375" style="120" customWidth="1"/>
    <col min="6917" max="6917" width="4.85546875" style="120" customWidth="1"/>
    <col min="6918" max="7162" width="9.140625" style="120"/>
    <col min="7163" max="7163" width="5.42578125" style="120" bestFit="1" customWidth="1"/>
    <col min="7164" max="7164" width="20.42578125" style="120" bestFit="1" customWidth="1"/>
    <col min="7165" max="7165" width="41.42578125" style="120" customWidth="1"/>
    <col min="7166" max="7166" width="15.28515625" style="120" bestFit="1" customWidth="1"/>
    <col min="7167" max="7167" width="16.7109375" style="120" bestFit="1" customWidth="1"/>
    <col min="7168" max="7168" width="11.28515625" style="120" bestFit="1" customWidth="1"/>
    <col min="7169" max="7169" width="14" style="120" bestFit="1" customWidth="1"/>
    <col min="7170" max="7170" width="11.85546875" style="120" bestFit="1" customWidth="1"/>
    <col min="7171" max="7171" width="14.85546875" style="120" bestFit="1" customWidth="1"/>
    <col min="7172" max="7172" width="9.7109375" style="120" customWidth="1"/>
    <col min="7173" max="7173" width="4.85546875" style="120" customWidth="1"/>
    <col min="7174" max="7418" width="9.140625" style="120"/>
    <col min="7419" max="7419" width="5.42578125" style="120" bestFit="1" customWidth="1"/>
    <col min="7420" max="7420" width="20.42578125" style="120" bestFit="1" customWidth="1"/>
    <col min="7421" max="7421" width="41.42578125" style="120" customWidth="1"/>
    <col min="7422" max="7422" width="15.28515625" style="120" bestFit="1" customWidth="1"/>
    <col min="7423" max="7423" width="16.7109375" style="120" bestFit="1" customWidth="1"/>
    <col min="7424" max="7424" width="11.28515625" style="120" bestFit="1" customWidth="1"/>
    <col min="7425" max="7425" width="14" style="120" bestFit="1" customWidth="1"/>
    <col min="7426" max="7426" width="11.85546875" style="120" bestFit="1" customWidth="1"/>
    <col min="7427" max="7427" width="14.85546875" style="120" bestFit="1" customWidth="1"/>
    <col min="7428" max="7428" width="9.7109375" style="120" customWidth="1"/>
    <col min="7429" max="7429" width="4.85546875" style="120" customWidth="1"/>
    <col min="7430" max="7674" width="9.140625" style="120"/>
    <col min="7675" max="7675" width="5.42578125" style="120" bestFit="1" customWidth="1"/>
    <col min="7676" max="7676" width="20.42578125" style="120" bestFit="1" customWidth="1"/>
    <col min="7677" max="7677" width="41.42578125" style="120" customWidth="1"/>
    <col min="7678" max="7678" width="15.28515625" style="120" bestFit="1" customWidth="1"/>
    <col min="7679" max="7679" width="16.7109375" style="120" bestFit="1" customWidth="1"/>
    <col min="7680" max="7680" width="11.28515625" style="120" bestFit="1" customWidth="1"/>
    <col min="7681" max="7681" width="14" style="120" bestFit="1" customWidth="1"/>
    <col min="7682" max="7682" width="11.85546875" style="120" bestFit="1" customWidth="1"/>
    <col min="7683" max="7683" width="14.85546875" style="120" bestFit="1" customWidth="1"/>
    <col min="7684" max="7684" width="9.7109375" style="120" customWidth="1"/>
    <col min="7685" max="7685" width="4.85546875" style="120" customWidth="1"/>
    <col min="7686" max="7930" width="9.140625" style="120"/>
    <col min="7931" max="7931" width="5.42578125" style="120" bestFit="1" customWidth="1"/>
    <col min="7932" max="7932" width="20.42578125" style="120" bestFit="1" customWidth="1"/>
    <col min="7933" max="7933" width="41.42578125" style="120" customWidth="1"/>
    <col min="7934" max="7934" width="15.28515625" style="120" bestFit="1" customWidth="1"/>
    <col min="7935" max="7935" width="16.7109375" style="120" bestFit="1" customWidth="1"/>
    <col min="7936" max="7936" width="11.28515625" style="120" bestFit="1" customWidth="1"/>
    <col min="7937" max="7937" width="14" style="120" bestFit="1" customWidth="1"/>
    <col min="7938" max="7938" width="11.85546875" style="120" bestFit="1" customWidth="1"/>
    <col min="7939" max="7939" width="14.85546875" style="120" bestFit="1" customWidth="1"/>
    <col min="7940" max="7940" width="9.7109375" style="120" customWidth="1"/>
    <col min="7941" max="7941" width="4.85546875" style="120" customWidth="1"/>
    <col min="7942" max="8186" width="9.140625" style="120"/>
    <col min="8187" max="8187" width="5.42578125" style="120" bestFit="1" customWidth="1"/>
    <col min="8188" max="8188" width="20.42578125" style="120" bestFit="1" customWidth="1"/>
    <col min="8189" max="8189" width="41.42578125" style="120" customWidth="1"/>
    <col min="8190" max="8190" width="15.28515625" style="120" bestFit="1" customWidth="1"/>
    <col min="8191" max="8191" width="16.7109375" style="120" bestFit="1" customWidth="1"/>
    <col min="8192" max="8192" width="11.28515625" style="120" bestFit="1" customWidth="1"/>
    <col min="8193" max="8193" width="14" style="120" bestFit="1" customWidth="1"/>
    <col min="8194" max="8194" width="11.85546875" style="120" bestFit="1" customWidth="1"/>
    <col min="8195" max="8195" width="14.85546875" style="120" bestFit="1" customWidth="1"/>
    <col min="8196" max="8196" width="9.7109375" style="120" customWidth="1"/>
    <col min="8197" max="8197" width="4.85546875" style="120" customWidth="1"/>
    <col min="8198" max="8442" width="9.140625" style="120"/>
    <col min="8443" max="8443" width="5.42578125" style="120" bestFit="1" customWidth="1"/>
    <col min="8444" max="8444" width="20.42578125" style="120" bestFit="1" customWidth="1"/>
    <col min="8445" max="8445" width="41.42578125" style="120" customWidth="1"/>
    <col min="8446" max="8446" width="15.28515625" style="120" bestFit="1" customWidth="1"/>
    <col min="8447" max="8447" width="16.7109375" style="120" bestFit="1" customWidth="1"/>
    <col min="8448" max="8448" width="11.28515625" style="120" bestFit="1" customWidth="1"/>
    <col min="8449" max="8449" width="14" style="120" bestFit="1" customWidth="1"/>
    <col min="8450" max="8450" width="11.85546875" style="120" bestFit="1" customWidth="1"/>
    <col min="8451" max="8451" width="14.85546875" style="120" bestFit="1" customWidth="1"/>
    <col min="8452" max="8452" width="9.7109375" style="120" customWidth="1"/>
    <col min="8453" max="8453" width="4.85546875" style="120" customWidth="1"/>
    <col min="8454" max="8698" width="9.140625" style="120"/>
    <col min="8699" max="8699" width="5.42578125" style="120" bestFit="1" customWidth="1"/>
    <col min="8700" max="8700" width="20.42578125" style="120" bestFit="1" customWidth="1"/>
    <col min="8701" max="8701" width="41.42578125" style="120" customWidth="1"/>
    <col min="8702" max="8702" width="15.28515625" style="120" bestFit="1" customWidth="1"/>
    <col min="8703" max="8703" width="16.7109375" style="120" bestFit="1" customWidth="1"/>
    <col min="8704" max="8704" width="11.28515625" style="120" bestFit="1" customWidth="1"/>
    <col min="8705" max="8705" width="14" style="120" bestFit="1" customWidth="1"/>
    <col min="8706" max="8706" width="11.85546875" style="120" bestFit="1" customWidth="1"/>
    <col min="8707" max="8707" width="14.85546875" style="120" bestFit="1" customWidth="1"/>
    <col min="8708" max="8708" width="9.7109375" style="120" customWidth="1"/>
    <col min="8709" max="8709" width="4.85546875" style="120" customWidth="1"/>
    <col min="8710" max="8954" width="9.140625" style="120"/>
    <col min="8955" max="8955" width="5.42578125" style="120" bestFit="1" customWidth="1"/>
    <col min="8956" max="8956" width="20.42578125" style="120" bestFit="1" customWidth="1"/>
    <col min="8957" max="8957" width="41.42578125" style="120" customWidth="1"/>
    <col min="8958" max="8958" width="15.28515625" style="120" bestFit="1" customWidth="1"/>
    <col min="8959" max="8959" width="16.7109375" style="120" bestFit="1" customWidth="1"/>
    <col min="8960" max="8960" width="11.28515625" style="120" bestFit="1" customWidth="1"/>
    <col min="8961" max="8961" width="14" style="120" bestFit="1" customWidth="1"/>
    <col min="8962" max="8962" width="11.85546875" style="120" bestFit="1" customWidth="1"/>
    <col min="8963" max="8963" width="14.85546875" style="120" bestFit="1" customWidth="1"/>
    <col min="8964" max="8964" width="9.7109375" style="120" customWidth="1"/>
    <col min="8965" max="8965" width="4.85546875" style="120" customWidth="1"/>
    <col min="8966" max="9210" width="9.140625" style="120"/>
    <col min="9211" max="9211" width="5.42578125" style="120" bestFit="1" customWidth="1"/>
    <col min="9212" max="9212" width="20.42578125" style="120" bestFit="1" customWidth="1"/>
    <col min="9213" max="9213" width="41.42578125" style="120" customWidth="1"/>
    <col min="9214" max="9214" width="15.28515625" style="120" bestFit="1" customWidth="1"/>
    <col min="9215" max="9215" width="16.7109375" style="120" bestFit="1" customWidth="1"/>
    <col min="9216" max="9216" width="11.28515625" style="120" bestFit="1" customWidth="1"/>
    <col min="9217" max="9217" width="14" style="120" bestFit="1" customWidth="1"/>
    <col min="9218" max="9218" width="11.85546875" style="120" bestFit="1" customWidth="1"/>
    <col min="9219" max="9219" width="14.85546875" style="120" bestFit="1" customWidth="1"/>
    <col min="9220" max="9220" width="9.7109375" style="120" customWidth="1"/>
    <col min="9221" max="9221" width="4.85546875" style="120" customWidth="1"/>
    <col min="9222" max="9466" width="9.140625" style="120"/>
    <col min="9467" max="9467" width="5.42578125" style="120" bestFit="1" customWidth="1"/>
    <col min="9468" max="9468" width="20.42578125" style="120" bestFit="1" customWidth="1"/>
    <col min="9469" max="9469" width="41.42578125" style="120" customWidth="1"/>
    <col min="9470" max="9470" width="15.28515625" style="120" bestFit="1" customWidth="1"/>
    <col min="9471" max="9471" width="16.7109375" style="120" bestFit="1" customWidth="1"/>
    <col min="9472" max="9472" width="11.28515625" style="120" bestFit="1" customWidth="1"/>
    <col min="9473" max="9473" width="14" style="120" bestFit="1" customWidth="1"/>
    <col min="9474" max="9474" width="11.85546875" style="120" bestFit="1" customWidth="1"/>
    <col min="9475" max="9475" width="14.85546875" style="120" bestFit="1" customWidth="1"/>
    <col min="9476" max="9476" width="9.7109375" style="120" customWidth="1"/>
    <col min="9477" max="9477" width="4.85546875" style="120" customWidth="1"/>
    <col min="9478" max="9722" width="9.140625" style="120"/>
    <col min="9723" max="9723" width="5.42578125" style="120" bestFit="1" customWidth="1"/>
    <col min="9724" max="9724" width="20.42578125" style="120" bestFit="1" customWidth="1"/>
    <col min="9725" max="9725" width="41.42578125" style="120" customWidth="1"/>
    <col min="9726" max="9726" width="15.28515625" style="120" bestFit="1" customWidth="1"/>
    <col min="9727" max="9727" width="16.7109375" style="120" bestFit="1" customWidth="1"/>
    <col min="9728" max="9728" width="11.28515625" style="120" bestFit="1" customWidth="1"/>
    <col min="9729" max="9729" width="14" style="120" bestFit="1" customWidth="1"/>
    <col min="9730" max="9730" width="11.85546875" style="120" bestFit="1" customWidth="1"/>
    <col min="9731" max="9731" width="14.85546875" style="120" bestFit="1" customWidth="1"/>
    <col min="9732" max="9732" width="9.7109375" style="120" customWidth="1"/>
    <col min="9733" max="9733" width="4.85546875" style="120" customWidth="1"/>
    <col min="9734" max="9978" width="9.140625" style="120"/>
    <col min="9979" max="9979" width="5.42578125" style="120" bestFit="1" customWidth="1"/>
    <col min="9980" max="9980" width="20.42578125" style="120" bestFit="1" customWidth="1"/>
    <col min="9981" max="9981" width="41.42578125" style="120" customWidth="1"/>
    <col min="9982" max="9982" width="15.28515625" style="120" bestFit="1" customWidth="1"/>
    <col min="9983" max="9983" width="16.7109375" style="120" bestFit="1" customWidth="1"/>
    <col min="9984" max="9984" width="11.28515625" style="120" bestFit="1" customWidth="1"/>
    <col min="9985" max="9985" width="14" style="120" bestFit="1" customWidth="1"/>
    <col min="9986" max="9986" width="11.85546875" style="120" bestFit="1" customWidth="1"/>
    <col min="9987" max="9987" width="14.85546875" style="120" bestFit="1" customWidth="1"/>
    <col min="9988" max="9988" width="9.7109375" style="120" customWidth="1"/>
    <col min="9989" max="9989" width="4.85546875" style="120" customWidth="1"/>
    <col min="9990" max="10234" width="9.140625" style="120"/>
    <col min="10235" max="10235" width="5.42578125" style="120" bestFit="1" customWidth="1"/>
    <col min="10236" max="10236" width="20.42578125" style="120" bestFit="1" customWidth="1"/>
    <col min="10237" max="10237" width="41.42578125" style="120" customWidth="1"/>
    <col min="10238" max="10238" width="15.28515625" style="120" bestFit="1" customWidth="1"/>
    <col min="10239" max="10239" width="16.7109375" style="120" bestFit="1" customWidth="1"/>
    <col min="10240" max="10240" width="11.28515625" style="120" bestFit="1" customWidth="1"/>
    <col min="10241" max="10241" width="14" style="120" bestFit="1" customWidth="1"/>
    <col min="10242" max="10242" width="11.85546875" style="120" bestFit="1" customWidth="1"/>
    <col min="10243" max="10243" width="14.85546875" style="120" bestFit="1" customWidth="1"/>
    <col min="10244" max="10244" width="9.7109375" style="120" customWidth="1"/>
    <col min="10245" max="10245" width="4.85546875" style="120" customWidth="1"/>
    <col min="10246" max="10490" width="9.140625" style="120"/>
    <col min="10491" max="10491" width="5.42578125" style="120" bestFit="1" customWidth="1"/>
    <col min="10492" max="10492" width="20.42578125" style="120" bestFit="1" customWidth="1"/>
    <col min="10493" max="10493" width="41.42578125" style="120" customWidth="1"/>
    <col min="10494" max="10494" width="15.28515625" style="120" bestFit="1" customWidth="1"/>
    <col min="10495" max="10495" width="16.7109375" style="120" bestFit="1" customWidth="1"/>
    <col min="10496" max="10496" width="11.28515625" style="120" bestFit="1" customWidth="1"/>
    <col min="10497" max="10497" width="14" style="120" bestFit="1" customWidth="1"/>
    <col min="10498" max="10498" width="11.85546875" style="120" bestFit="1" customWidth="1"/>
    <col min="10499" max="10499" width="14.85546875" style="120" bestFit="1" customWidth="1"/>
    <col min="10500" max="10500" width="9.7109375" style="120" customWidth="1"/>
    <col min="10501" max="10501" width="4.85546875" style="120" customWidth="1"/>
    <col min="10502" max="10746" width="9.140625" style="120"/>
    <col min="10747" max="10747" width="5.42578125" style="120" bestFit="1" customWidth="1"/>
    <col min="10748" max="10748" width="20.42578125" style="120" bestFit="1" customWidth="1"/>
    <col min="10749" max="10749" width="41.42578125" style="120" customWidth="1"/>
    <col min="10750" max="10750" width="15.28515625" style="120" bestFit="1" customWidth="1"/>
    <col min="10751" max="10751" width="16.7109375" style="120" bestFit="1" customWidth="1"/>
    <col min="10752" max="10752" width="11.28515625" style="120" bestFit="1" customWidth="1"/>
    <col min="10753" max="10753" width="14" style="120" bestFit="1" customWidth="1"/>
    <col min="10754" max="10754" width="11.85546875" style="120" bestFit="1" customWidth="1"/>
    <col min="10755" max="10755" width="14.85546875" style="120" bestFit="1" customWidth="1"/>
    <col min="10756" max="10756" width="9.7109375" style="120" customWidth="1"/>
    <col min="10757" max="10757" width="4.85546875" style="120" customWidth="1"/>
    <col min="10758" max="11002" width="9.140625" style="120"/>
    <col min="11003" max="11003" width="5.42578125" style="120" bestFit="1" customWidth="1"/>
    <col min="11004" max="11004" width="20.42578125" style="120" bestFit="1" customWidth="1"/>
    <col min="11005" max="11005" width="41.42578125" style="120" customWidth="1"/>
    <col min="11006" max="11006" width="15.28515625" style="120" bestFit="1" customWidth="1"/>
    <col min="11007" max="11007" width="16.7109375" style="120" bestFit="1" customWidth="1"/>
    <col min="11008" max="11008" width="11.28515625" style="120" bestFit="1" customWidth="1"/>
    <col min="11009" max="11009" width="14" style="120" bestFit="1" customWidth="1"/>
    <col min="11010" max="11010" width="11.85546875" style="120" bestFit="1" customWidth="1"/>
    <col min="11011" max="11011" width="14.85546875" style="120" bestFit="1" customWidth="1"/>
    <col min="11012" max="11012" width="9.7109375" style="120" customWidth="1"/>
    <col min="11013" max="11013" width="4.85546875" style="120" customWidth="1"/>
    <col min="11014" max="11258" width="9.140625" style="120"/>
    <col min="11259" max="11259" width="5.42578125" style="120" bestFit="1" customWidth="1"/>
    <col min="11260" max="11260" width="20.42578125" style="120" bestFit="1" customWidth="1"/>
    <col min="11261" max="11261" width="41.42578125" style="120" customWidth="1"/>
    <col min="11262" max="11262" width="15.28515625" style="120" bestFit="1" customWidth="1"/>
    <col min="11263" max="11263" width="16.7109375" style="120" bestFit="1" customWidth="1"/>
    <col min="11264" max="11264" width="11.28515625" style="120" bestFit="1" customWidth="1"/>
    <col min="11265" max="11265" width="14" style="120" bestFit="1" customWidth="1"/>
    <col min="11266" max="11266" width="11.85546875" style="120" bestFit="1" customWidth="1"/>
    <col min="11267" max="11267" width="14.85546875" style="120" bestFit="1" customWidth="1"/>
    <col min="11268" max="11268" width="9.7109375" style="120" customWidth="1"/>
    <col min="11269" max="11269" width="4.85546875" style="120" customWidth="1"/>
    <col min="11270" max="11514" width="9.140625" style="120"/>
    <col min="11515" max="11515" width="5.42578125" style="120" bestFit="1" customWidth="1"/>
    <col min="11516" max="11516" width="20.42578125" style="120" bestFit="1" customWidth="1"/>
    <col min="11517" max="11517" width="41.42578125" style="120" customWidth="1"/>
    <col min="11518" max="11518" width="15.28515625" style="120" bestFit="1" customWidth="1"/>
    <col min="11519" max="11519" width="16.7109375" style="120" bestFit="1" customWidth="1"/>
    <col min="11520" max="11520" width="11.28515625" style="120" bestFit="1" customWidth="1"/>
    <col min="11521" max="11521" width="14" style="120" bestFit="1" customWidth="1"/>
    <col min="11522" max="11522" width="11.85546875" style="120" bestFit="1" customWidth="1"/>
    <col min="11523" max="11523" width="14.85546875" style="120" bestFit="1" customWidth="1"/>
    <col min="11524" max="11524" width="9.7109375" style="120" customWidth="1"/>
    <col min="11525" max="11525" width="4.85546875" style="120" customWidth="1"/>
    <col min="11526" max="11770" width="9.140625" style="120"/>
    <col min="11771" max="11771" width="5.42578125" style="120" bestFit="1" customWidth="1"/>
    <col min="11772" max="11772" width="20.42578125" style="120" bestFit="1" customWidth="1"/>
    <col min="11773" max="11773" width="41.42578125" style="120" customWidth="1"/>
    <col min="11774" max="11774" width="15.28515625" style="120" bestFit="1" customWidth="1"/>
    <col min="11775" max="11775" width="16.7109375" style="120" bestFit="1" customWidth="1"/>
    <col min="11776" max="11776" width="11.28515625" style="120" bestFit="1" customWidth="1"/>
    <col min="11777" max="11777" width="14" style="120" bestFit="1" customWidth="1"/>
    <col min="11778" max="11778" width="11.85546875" style="120" bestFit="1" customWidth="1"/>
    <col min="11779" max="11779" width="14.85546875" style="120" bestFit="1" customWidth="1"/>
    <col min="11780" max="11780" width="9.7109375" style="120" customWidth="1"/>
    <col min="11781" max="11781" width="4.85546875" style="120" customWidth="1"/>
    <col min="11782" max="12026" width="9.140625" style="120"/>
    <col min="12027" max="12027" width="5.42578125" style="120" bestFit="1" customWidth="1"/>
    <col min="12028" max="12028" width="20.42578125" style="120" bestFit="1" customWidth="1"/>
    <col min="12029" max="12029" width="41.42578125" style="120" customWidth="1"/>
    <col min="12030" max="12030" width="15.28515625" style="120" bestFit="1" customWidth="1"/>
    <col min="12031" max="12031" width="16.7109375" style="120" bestFit="1" customWidth="1"/>
    <col min="12032" max="12032" width="11.28515625" style="120" bestFit="1" customWidth="1"/>
    <col min="12033" max="12033" width="14" style="120" bestFit="1" customWidth="1"/>
    <col min="12034" max="12034" width="11.85546875" style="120" bestFit="1" customWidth="1"/>
    <col min="12035" max="12035" width="14.85546875" style="120" bestFit="1" customWidth="1"/>
    <col min="12036" max="12036" width="9.7109375" style="120" customWidth="1"/>
    <col min="12037" max="12037" width="4.85546875" style="120" customWidth="1"/>
    <col min="12038" max="12282" width="9.140625" style="120"/>
    <col min="12283" max="12283" width="5.42578125" style="120" bestFit="1" customWidth="1"/>
    <col min="12284" max="12284" width="20.42578125" style="120" bestFit="1" customWidth="1"/>
    <col min="12285" max="12285" width="41.42578125" style="120" customWidth="1"/>
    <col min="12286" max="12286" width="15.28515625" style="120" bestFit="1" customWidth="1"/>
    <col min="12287" max="12287" width="16.7109375" style="120" bestFit="1" customWidth="1"/>
    <col min="12288" max="12288" width="11.28515625" style="120" bestFit="1" customWidth="1"/>
    <col min="12289" max="12289" width="14" style="120" bestFit="1" customWidth="1"/>
    <col min="12290" max="12290" width="11.85546875" style="120" bestFit="1" customWidth="1"/>
    <col min="12291" max="12291" width="14.85546875" style="120" bestFit="1" customWidth="1"/>
    <col min="12292" max="12292" width="9.7109375" style="120" customWidth="1"/>
    <col min="12293" max="12293" width="4.85546875" style="120" customWidth="1"/>
    <col min="12294" max="12538" width="9.140625" style="120"/>
    <col min="12539" max="12539" width="5.42578125" style="120" bestFit="1" customWidth="1"/>
    <col min="12540" max="12540" width="20.42578125" style="120" bestFit="1" customWidth="1"/>
    <col min="12541" max="12541" width="41.42578125" style="120" customWidth="1"/>
    <col min="12542" max="12542" width="15.28515625" style="120" bestFit="1" customWidth="1"/>
    <col min="12543" max="12543" width="16.7109375" style="120" bestFit="1" customWidth="1"/>
    <col min="12544" max="12544" width="11.28515625" style="120" bestFit="1" customWidth="1"/>
    <col min="12545" max="12545" width="14" style="120" bestFit="1" customWidth="1"/>
    <col min="12546" max="12546" width="11.85546875" style="120" bestFit="1" customWidth="1"/>
    <col min="12547" max="12547" width="14.85546875" style="120" bestFit="1" customWidth="1"/>
    <col min="12548" max="12548" width="9.7109375" style="120" customWidth="1"/>
    <col min="12549" max="12549" width="4.85546875" style="120" customWidth="1"/>
    <col min="12550" max="12794" width="9.140625" style="120"/>
    <col min="12795" max="12795" width="5.42578125" style="120" bestFit="1" customWidth="1"/>
    <col min="12796" max="12796" width="20.42578125" style="120" bestFit="1" customWidth="1"/>
    <col min="12797" max="12797" width="41.42578125" style="120" customWidth="1"/>
    <col min="12798" max="12798" width="15.28515625" style="120" bestFit="1" customWidth="1"/>
    <col min="12799" max="12799" width="16.7109375" style="120" bestFit="1" customWidth="1"/>
    <col min="12800" max="12800" width="11.28515625" style="120" bestFit="1" customWidth="1"/>
    <col min="12801" max="12801" width="14" style="120" bestFit="1" customWidth="1"/>
    <col min="12802" max="12802" width="11.85546875" style="120" bestFit="1" customWidth="1"/>
    <col min="12803" max="12803" width="14.85546875" style="120" bestFit="1" customWidth="1"/>
    <col min="12804" max="12804" width="9.7109375" style="120" customWidth="1"/>
    <col min="12805" max="12805" width="4.85546875" style="120" customWidth="1"/>
    <col min="12806" max="13050" width="9.140625" style="120"/>
    <col min="13051" max="13051" width="5.42578125" style="120" bestFit="1" customWidth="1"/>
    <col min="13052" max="13052" width="20.42578125" style="120" bestFit="1" customWidth="1"/>
    <col min="13053" max="13053" width="41.42578125" style="120" customWidth="1"/>
    <col min="13054" max="13054" width="15.28515625" style="120" bestFit="1" customWidth="1"/>
    <col min="13055" max="13055" width="16.7109375" style="120" bestFit="1" customWidth="1"/>
    <col min="13056" max="13056" width="11.28515625" style="120" bestFit="1" customWidth="1"/>
    <col min="13057" max="13057" width="14" style="120" bestFit="1" customWidth="1"/>
    <col min="13058" max="13058" width="11.85546875" style="120" bestFit="1" customWidth="1"/>
    <col min="13059" max="13059" width="14.85546875" style="120" bestFit="1" customWidth="1"/>
    <col min="13060" max="13060" width="9.7109375" style="120" customWidth="1"/>
    <col min="13061" max="13061" width="4.85546875" style="120" customWidth="1"/>
    <col min="13062" max="13306" width="9.140625" style="120"/>
    <col min="13307" max="13307" width="5.42578125" style="120" bestFit="1" customWidth="1"/>
    <col min="13308" max="13308" width="20.42578125" style="120" bestFit="1" customWidth="1"/>
    <col min="13309" max="13309" width="41.42578125" style="120" customWidth="1"/>
    <col min="13310" max="13310" width="15.28515625" style="120" bestFit="1" customWidth="1"/>
    <col min="13311" max="13311" width="16.7109375" style="120" bestFit="1" customWidth="1"/>
    <col min="13312" max="13312" width="11.28515625" style="120" bestFit="1" customWidth="1"/>
    <col min="13313" max="13313" width="14" style="120" bestFit="1" customWidth="1"/>
    <col min="13314" max="13314" width="11.85546875" style="120" bestFit="1" customWidth="1"/>
    <col min="13315" max="13315" width="14.85546875" style="120" bestFit="1" customWidth="1"/>
    <col min="13316" max="13316" width="9.7109375" style="120" customWidth="1"/>
    <col min="13317" max="13317" width="4.85546875" style="120" customWidth="1"/>
    <col min="13318" max="13562" width="9.140625" style="120"/>
    <col min="13563" max="13563" width="5.42578125" style="120" bestFit="1" customWidth="1"/>
    <col min="13564" max="13564" width="20.42578125" style="120" bestFit="1" customWidth="1"/>
    <col min="13565" max="13565" width="41.42578125" style="120" customWidth="1"/>
    <col min="13566" max="13566" width="15.28515625" style="120" bestFit="1" customWidth="1"/>
    <col min="13567" max="13567" width="16.7109375" style="120" bestFit="1" customWidth="1"/>
    <col min="13568" max="13568" width="11.28515625" style="120" bestFit="1" customWidth="1"/>
    <col min="13569" max="13569" width="14" style="120" bestFit="1" customWidth="1"/>
    <col min="13570" max="13570" width="11.85546875" style="120" bestFit="1" customWidth="1"/>
    <col min="13571" max="13571" width="14.85546875" style="120" bestFit="1" customWidth="1"/>
    <col min="13572" max="13572" width="9.7109375" style="120" customWidth="1"/>
    <col min="13573" max="13573" width="4.85546875" style="120" customWidth="1"/>
    <col min="13574" max="13818" width="9.140625" style="120"/>
    <col min="13819" max="13819" width="5.42578125" style="120" bestFit="1" customWidth="1"/>
    <col min="13820" max="13820" width="20.42578125" style="120" bestFit="1" customWidth="1"/>
    <col min="13821" max="13821" width="41.42578125" style="120" customWidth="1"/>
    <col min="13822" max="13822" width="15.28515625" style="120" bestFit="1" customWidth="1"/>
    <col min="13823" max="13823" width="16.7109375" style="120" bestFit="1" customWidth="1"/>
    <col min="13824" max="13824" width="11.28515625" style="120" bestFit="1" customWidth="1"/>
    <col min="13825" max="13825" width="14" style="120" bestFit="1" customWidth="1"/>
    <col min="13826" max="13826" width="11.85546875" style="120" bestFit="1" customWidth="1"/>
    <col min="13827" max="13827" width="14.85546875" style="120" bestFit="1" customWidth="1"/>
    <col min="13828" max="13828" width="9.7109375" style="120" customWidth="1"/>
    <col min="13829" max="13829" width="4.85546875" style="120" customWidth="1"/>
    <col min="13830" max="14074" width="9.140625" style="120"/>
    <col min="14075" max="14075" width="5.42578125" style="120" bestFit="1" customWidth="1"/>
    <col min="14076" max="14076" width="20.42578125" style="120" bestFit="1" customWidth="1"/>
    <col min="14077" max="14077" width="41.42578125" style="120" customWidth="1"/>
    <col min="14078" max="14078" width="15.28515625" style="120" bestFit="1" customWidth="1"/>
    <col min="14079" max="14079" width="16.7109375" style="120" bestFit="1" customWidth="1"/>
    <col min="14080" max="14080" width="11.28515625" style="120" bestFit="1" customWidth="1"/>
    <col min="14081" max="14081" width="14" style="120" bestFit="1" customWidth="1"/>
    <col min="14082" max="14082" width="11.85546875" style="120" bestFit="1" customWidth="1"/>
    <col min="14083" max="14083" width="14.85546875" style="120" bestFit="1" customWidth="1"/>
    <col min="14084" max="14084" width="9.7109375" style="120" customWidth="1"/>
    <col min="14085" max="14085" width="4.85546875" style="120" customWidth="1"/>
    <col min="14086" max="14330" width="9.140625" style="120"/>
    <col min="14331" max="14331" width="5.42578125" style="120" bestFit="1" customWidth="1"/>
    <col min="14332" max="14332" width="20.42578125" style="120" bestFit="1" customWidth="1"/>
    <col min="14333" max="14333" width="41.42578125" style="120" customWidth="1"/>
    <col min="14334" max="14334" width="15.28515625" style="120" bestFit="1" customWidth="1"/>
    <col min="14335" max="14335" width="16.7109375" style="120" bestFit="1" customWidth="1"/>
    <col min="14336" max="14336" width="11.28515625" style="120" bestFit="1" customWidth="1"/>
    <col min="14337" max="14337" width="14" style="120" bestFit="1" customWidth="1"/>
    <col min="14338" max="14338" width="11.85546875" style="120" bestFit="1" customWidth="1"/>
    <col min="14339" max="14339" width="14.85546875" style="120" bestFit="1" customWidth="1"/>
    <col min="14340" max="14340" width="9.7109375" style="120" customWidth="1"/>
    <col min="14341" max="14341" width="4.85546875" style="120" customWidth="1"/>
    <col min="14342" max="14586" width="9.140625" style="120"/>
    <col min="14587" max="14587" width="5.42578125" style="120" bestFit="1" customWidth="1"/>
    <col min="14588" max="14588" width="20.42578125" style="120" bestFit="1" customWidth="1"/>
    <col min="14589" max="14589" width="41.42578125" style="120" customWidth="1"/>
    <col min="14590" max="14590" width="15.28515625" style="120" bestFit="1" customWidth="1"/>
    <col min="14591" max="14591" width="16.7109375" style="120" bestFit="1" customWidth="1"/>
    <col min="14592" max="14592" width="11.28515625" style="120" bestFit="1" customWidth="1"/>
    <col min="14593" max="14593" width="14" style="120" bestFit="1" customWidth="1"/>
    <col min="14594" max="14594" width="11.85546875" style="120" bestFit="1" customWidth="1"/>
    <col min="14595" max="14595" width="14.85546875" style="120" bestFit="1" customWidth="1"/>
    <col min="14596" max="14596" width="9.7109375" style="120" customWidth="1"/>
    <col min="14597" max="14597" width="4.85546875" style="120" customWidth="1"/>
    <col min="14598" max="14842" width="9.140625" style="120"/>
    <col min="14843" max="14843" width="5.42578125" style="120" bestFit="1" customWidth="1"/>
    <col min="14844" max="14844" width="20.42578125" style="120" bestFit="1" customWidth="1"/>
    <col min="14845" max="14845" width="41.42578125" style="120" customWidth="1"/>
    <col min="14846" max="14846" width="15.28515625" style="120" bestFit="1" customWidth="1"/>
    <col min="14847" max="14847" width="16.7109375" style="120" bestFit="1" customWidth="1"/>
    <col min="14848" max="14848" width="11.28515625" style="120" bestFit="1" customWidth="1"/>
    <col min="14849" max="14849" width="14" style="120" bestFit="1" customWidth="1"/>
    <col min="14850" max="14850" width="11.85546875" style="120" bestFit="1" customWidth="1"/>
    <col min="14851" max="14851" width="14.85546875" style="120" bestFit="1" customWidth="1"/>
    <col min="14852" max="14852" width="9.7109375" style="120" customWidth="1"/>
    <col min="14853" max="14853" width="4.85546875" style="120" customWidth="1"/>
    <col min="14854" max="15098" width="9.140625" style="120"/>
    <col min="15099" max="15099" width="5.42578125" style="120" bestFit="1" customWidth="1"/>
    <col min="15100" max="15100" width="20.42578125" style="120" bestFit="1" customWidth="1"/>
    <col min="15101" max="15101" width="41.42578125" style="120" customWidth="1"/>
    <col min="15102" max="15102" width="15.28515625" style="120" bestFit="1" customWidth="1"/>
    <col min="15103" max="15103" width="16.7109375" style="120" bestFit="1" customWidth="1"/>
    <col min="15104" max="15104" width="11.28515625" style="120" bestFit="1" customWidth="1"/>
    <col min="15105" max="15105" width="14" style="120" bestFit="1" customWidth="1"/>
    <col min="15106" max="15106" width="11.85546875" style="120" bestFit="1" customWidth="1"/>
    <col min="15107" max="15107" width="14.85546875" style="120" bestFit="1" customWidth="1"/>
    <col min="15108" max="15108" width="9.7109375" style="120" customWidth="1"/>
    <col min="15109" max="15109" width="4.85546875" style="120" customWidth="1"/>
    <col min="15110" max="15354" width="9.140625" style="120"/>
    <col min="15355" max="15355" width="5.42578125" style="120" bestFit="1" customWidth="1"/>
    <col min="15356" max="15356" width="20.42578125" style="120" bestFit="1" customWidth="1"/>
    <col min="15357" max="15357" width="41.42578125" style="120" customWidth="1"/>
    <col min="15358" max="15358" width="15.28515625" style="120" bestFit="1" customWidth="1"/>
    <col min="15359" max="15359" width="16.7109375" style="120" bestFit="1" customWidth="1"/>
    <col min="15360" max="15360" width="11.28515625" style="120" bestFit="1" customWidth="1"/>
    <col min="15361" max="15361" width="14" style="120" bestFit="1" customWidth="1"/>
    <col min="15362" max="15362" width="11.85546875" style="120" bestFit="1" customWidth="1"/>
    <col min="15363" max="15363" width="14.85546875" style="120" bestFit="1" customWidth="1"/>
    <col min="15364" max="15364" width="9.7109375" style="120" customWidth="1"/>
    <col min="15365" max="15365" width="4.85546875" style="120" customWidth="1"/>
    <col min="15366" max="15610" width="9.140625" style="120"/>
    <col min="15611" max="15611" width="5.42578125" style="120" bestFit="1" customWidth="1"/>
    <col min="15612" max="15612" width="20.42578125" style="120" bestFit="1" customWidth="1"/>
    <col min="15613" max="15613" width="41.42578125" style="120" customWidth="1"/>
    <col min="15614" max="15614" width="15.28515625" style="120" bestFit="1" customWidth="1"/>
    <col min="15615" max="15615" width="16.7109375" style="120" bestFit="1" customWidth="1"/>
    <col min="15616" max="15616" width="11.28515625" style="120" bestFit="1" customWidth="1"/>
    <col min="15617" max="15617" width="14" style="120" bestFit="1" customWidth="1"/>
    <col min="15618" max="15618" width="11.85546875" style="120" bestFit="1" customWidth="1"/>
    <col min="15619" max="15619" width="14.85546875" style="120" bestFit="1" customWidth="1"/>
    <col min="15620" max="15620" width="9.7109375" style="120" customWidth="1"/>
    <col min="15621" max="15621" width="4.85546875" style="120" customWidth="1"/>
    <col min="15622" max="15866" width="9.140625" style="120"/>
    <col min="15867" max="15867" width="5.42578125" style="120" bestFit="1" customWidth="1"/>
    <col min="15868" max="15868" width="20.42578125" style="120" bestFit="1" customWidth="1"/>
    <col min="15869" max="15869" width="41.42578125" style="120" customWidth="1"/>
    <col min="15870" max="15870" width="15.28515625" style="120" bestFit="1" customWidth="1"/>
    <col min="15871" max="15871" width="16.7109375" style="120" bestFit="1" customWidth="1"/>
    <col min="15872" max="15872" width="11.28515625" style="120" bestFit="1" customWidth="1"/>
    <col min="15873" max="15873" width="14" style="120" bestFit="1" customWidth="1"/>
    <col min="15874" max="15874" width="11.85546875" style="120" bestFit="1" customWidth="1"/>
    <col min="15875" max="15875" width="14.85546875" style="120" bestFit="1" customWidth="1"/>
    <col min="15876" max="15876" width="9.7109375" style="120" customWidth="1"/>
    <col min="15877" max="15877" width="4.85546875" style="120" customWidth="1"/>
    <col min="15878" max="16122" width="9.140625" style="120"/>
    <col min="16123" max="16123" width="5.42578125" style="120" bestFit="1" customWidth="1"/>
    <col min="16124" max="16124" width="20.42578125" style="120" bestFit="1" customWidth="1"/>
    <col min="16125" max="16125" width="41.42578125" style="120" customWidth="1"/>
    <col min="16126" max="16126" width="15.28515625" style="120" bestFit="1" customWidth="1"/>
    <col min="16127" max="16127" width="16.7109375" style="120" bestFit="1" customWidth="1"/>
    <col min="16128" max="16128" width="11.28515625" style="120" bestFit="1" customWidth="1"/>
    <col min="16129" max="16129" width="14" style="120" bestFit="1" customWidth="1"/>
    <col min="16130" max="16130" width="11.85546875" style="120" bestFit="1" customWidth="1"/>
    <col min="16131" max="16131" width="14.85546875" style="120" bestFit="1" customWidth="1"/>
    <col min="16132" max="16132" width="9.7109375" style="120" customWidth="1"/>
    <col min="16133" max="16133" width="4.85546875" style="120" customWidth="1"/>
    <col min="16134" max="16384" width="9.140625" style="120"/>
  </cols>
  <sheetData>
    <row r="1" spans="1:15" x14ac:dyDescent="0.25">
      <c r="A1" s="267" t="s">
        <v>0</v>
      </c>
      <c r="B1" s="267"/>
      <c r="C1" s="267"/>
      <c r="D1" s="267"/>
      <c r="E1" s="267"/>
      <c r="F1" s="267"/>
      <c r="G1" s="267"/>
      <c r="H1" s="267"/>
    </row>
    <row r="2" spans="1:15" x14ac:dyDescent="0.25">
      <c r="A2" s="268" t="s">
        <v>1209</v>
      </c>
      <c r="B2" s="268"/>
      <c r="C2" s="268"/>
      <c r="D2" s="268"/>
      <c r="E2" s="268"/>
      <c r="F2" s="268"/>
      <c r="G2" s="268"/>
      <c r="H2" s="268"/>
      <c r="J2" s="223" t="s">
        <v>1238</v>
      </c>
      <c r="K2" s="223"/>
      <c r="L2" s="223"/>
      <c r="M2" s="223"/>
      <c r="N2" s="223"/>
    </row>
    <row r="3" spans="1:15" ht="15" customHeight="1" x14ac:dyDescent="0.25">
      <c r="A3" s="269" t="s">
        <v>1210</v>
      </c>
      <c r="B3" s="269"/>
      <c r="C3" s="269"/>
      <c r="D3" s="269"/>
      <c r="E3" s="269"/>
      <c r="F3" s="269"/>
      <c r="G3" s="269"/>
      <c r="H3" s="269"/>
    </row>
    <row r="4" spans="1:15" ht="30" x14ac:dyDescent="0.25">
      <c r="A4" s="121" t="s">
        <v>1211</v>
      </c>
      <c r="B4" s="121" t="s">
        <v>1212</v>
      </c>
      <c r="C4" s="121" t="s">
        <v>1213</v>
      </c>
      <c r="D4" s="121" t="s">
        <v>1214</v>
      </c>
      <c r="E4" s="121" t="s">
        <v>6</v>
      </c>
      <c r="F4" s="121" t="s">
        <v>7</v>
      </c>
      <c r="G4" s="121" t="s">
        <v>8</v>
      </c>
      <c r="H4" s="122" t="s">
        <v>1167</v>
      </c>
      <c r="I4" s="188"/>
      <c r="J4" s="188"/>
      <c r="K4" s="188"/>
      <c r="L4" s="188"/>
      <c r="M4" s="188"/>
      <c r="N4" s="188"/>
      <c r="O4" s="188"/>
    </row>
    <row r="5" spans="1:15" ht="26.25" x14ac:dyDescent="0.25">
      <c r="A5" s="123"/>
      <c r="B5" s="123"/>
      <c r="C5" s="124" t="s">
        <v>1215</v>
      </c>
      <c r="D5" s="123"/>
      <c r="E5" s="123"/>
      <c r="F5" s="125"/>
      <c r="G5" s="125"/>
      <c r="H5" s="126"/>
    </row>
    <row r="6" spans="1:15" ht="26.25" x14ac:dyDescent="0.25">
      <c r="A6" s="123">
        <v>1</v>
      </c>
      <c r="B6" s="123" t="s">
        <v>1216</v>
      </c>
      <c r="C6" s="127" t="s">
        <v>1217</v>
      </c>
      <c r="D6" s="123" t="s">
        <v>1218</v>
      </c>
      <c r="E6" s="128">
        <v>9956535.1809999999</v>
      </c>
      <c r="F6" s="129">
        <v>10098.20796</v>
      </c>
      <c r="G6" s="130">
        <f>F6/$F$23*100</f>
        <v>70.425775299144433</v>
      </c>
      <c r="H6" s="126"/>
      <c r="I6" s="189"/>
      <c r="K6" s="190"/>
    </row>
    <row r="7" spans="1:15" x14ac:dyDescent="0.25">
      <c r="A7" s="131"/>
      <c r="B7" s="126"/>
      <c r="C7" s="126"/>
      <c r="D7" s="126"/>
      <c r="E7" s="126"/>
      <c r="F7" s="126"/>
      <c r="G7" s="126"/>
      <c r="H7" s="132"/>
    </row>
    <row r="8" spans="1:15" ht="25.5" x14ac:dyDescent="0.25">
      <c r="A8" s="133"/>
      <c r="B8" s="133"/>
      <c r="C8" s="134" t="s">
        <v>1219</v>
      </c>
      <c r="D8" s="134"/>
      <c r="E8" s="135"/>
      <c r="F8" s="136">
        <f>F6</f>
        <v>10098.20796</v>
      </c>
      <c r="G8" s="137">
        <f>G6</f>
        <v>70.425775299144433</v>
      </c>
      <c r="H8" s="138"/>
    </row>
    <row r="9" spans="1:15" x14ac:dyDescent="0.25">
      <c r="A9" s="133"/>
      <c r="B9" s="133"/>
      <c r="C9" s="133"/>
      <c r="D9" s="133"/>
      <c r="E9" s="133"/>
      <c r="F9" s="139"/>
      <c r="G9" s="133"/>
      <c r="H9" s="126"/>
    </row>
    <row r="10" spans="1:15" x14ac:dyDescent="0.25">
      <c r="A10" s="123"/>
      <c r="B10" s="123"/>
      <c r="C10" s="140" t="s">
        <v>1220</v>
      </c>
      <c r="D10" s="140"/>
      <c r="E10" s="140"/>
      <c r="F10" s="141"/>
      <c r="G10" s="133"/>
      <c r="H10" s="126"/>
    </row>
    <row r="11" spans="1:15" x14ac:dyDescent="0.25">
      <c r="A11" s="123"/>
      <c r="B11" s="123"/>
      <c r="C11" s="142" t="s">
        <v>1221</v>
      </c>
      <c r="D11" s="140"/>
      <c r="E11" s="140"/>
      <c r="F11" s="141"/>
      <c r="G11" s="133"/>
      <c r="H11" s="126"/>
    </row>
    <row r="12" spans="1:15" x14ac:dyDescent="0.25">
      <c r="A12" s="123">
        <v>1</v>
      </c>
      <c r="B12" s="123" t="s">
        <v>504</v>
      </c>
      <c r="C12" s="6" t="s">
        <v>505</v>
      </c>
      <c r="D12" s="140"/>
      <c r="E12" s="123">
        <v>1000</v>
      </c>
      <c r="F12" s="141">
        <v>0.99955499999999997</v>
      </c>
      <c r="G12" s="143">
        <v>6.9709829811364183E-3</v>
      </c>
      <c r="H12" s="126"/>
    </row>
    <row r="13" spans="1:15" x14ac:dyDescent="0.25">
      <c r="A13" s="123"/>
      <c r="B13" s="123"/>
      <c r="C13" s="144" t="s">
        <v>97</v>
      </c>
      <c r="D13" s="140"/>
      <c r="E13" s="140"/>
      <c r="F13" s="145">
        <v>0.99955499999999997</v>
      </c>
      <c r="G13" s="146">
        <v>6.9709829811364183E-3</v>
      </c>
      <c r="H13" s="126"/>
      <c r="J13" s="184" t="s">
        <v>1250</v>
      </c>
    </row>
    <row r="14" spans="1:15" x14ac:dyDescent="0.25">
      <c r="A14" s="123"/>
      <c r="B14" s="123"/>
      <c r="C14" s="147"/>
      <c r="D14" s="140"/>
      <c r="E14" s="140"/>
      <c r="F14" s="141"/>
      <c r="G14" s="133"/>
      <c r="H14" s="126"/>
    </row>
    <row r="15" spans="1:15" x14ac:dyDescent="0.25">
      <c r="A15" s="123"/>
      <c r="B15" s="123"/>
      <c r="C15" s="148" t="s">
        <v>1222</v>
      </c>
      <c r="D15" s="140"/>
      <c r="E15" s="140"/>
      <c r="F15" s="141"/>
      <c r="G15" s="133"/>
      <c r="H15" s="126"/>
    </row>
    <row r="16" spans="1:15" x14ac:dyDescent="0.25">
      <c r="A16" s="133"/>
      <c r="B16" s="133"/>
      <c r="C16" s="149" t="s">
        <v>115</v>
      </c>
      <c r="D16" s="140"/>
      <c r="E16" s="140"/>
      <c r="F16" s="150">
        <v>269.53776775656911</v>
      </c>
      <c r="G16" s="150">
        <f>F16/$F$23*100</f>
        <v>1.8797796937682707</v>
      </c>
      <c r="H16" s="151">
        <v>3.4499999999999966</v>
      </c>
    </row>
    <row r="17" spans="1:9" x14ac:dyDescent="0.25">
      <c r="A17" s="133"/>
      <c r="B17" s="133"/>
      <c r="C17" s="149" t="s">
        <v>116</v>
      </c>
      <c r="D17" s="140"/>
      <c r="E17" s="140"/>
      <c r="F17" s="150">
        <v>145.47154291997452</v>
      </c>
      <c r="G17" s="150">
        <f>F17/$F$23*100</f>
        <v>1.0145311162815438</v>
      </c>
      <c r="H17" s="151">
        <v>3.53</v>
      </c>
    </row>
    <row r="18" spans="1:9" x14ac:dyDescent="0.25">
      <c r="A18" s="133"/>
      <c r="B18" s="133"/>
      <c r="C18" s="149"/>
      <c r="D18" s="140"/>
      <c r="E18" s="140"/>
      <c r="F18" s="150"/>
      <c r="G18" s="130"/>
      <c r="H18" s="126"/>
      <c r="I18" s="189"/>
    </row>
    <row r="19" spans="1:9" x14ac:dyDescent="0.25">
      <c r="A19" s="133"/>
      <c r="B19" s="133"/>
      <c r="C19" s="152" t="s">
        <v>117</v>
      </c>
      <c r="D19" s="133"/>
      <c r="E19" s="133"/>
      <c r="F19" s="153">
        <f>SUM(F16:F17)</f>
        <v>415.00931067654363</v>
      </c>
      <c r="G19" s="137">
        <f>SUM(G16:G18)</f>
        <v>2.8943108100498147</v>
      </c>
      <c r="H19" s="126"/>
    </row>
    <row r="20" spans="1:9" x14ac:dyDescent="0.25">
      <c r="A20" s="133"/>
      <c r="B20" s="133"/>
      <c r="C20" s="133"/>
      <c r="D20" s="133"/>
      <c r="E20" s="133"/>
      <c r="F20" s="139"/>
      <c r="G20" s="133"/>
      <c r="H20" s="126"/>
    </row>
    <row r="21" spans="1:9" x14ac:dyDescent="0.25">
      <c r="A21" s="133"/>
      <c r="B21" s="133"/>
      <c r="C21" s="149" t="s">
        <v>1223</v>
      </c>
      <c r="D21" s="140"/>
      <c r="E21" s="140"/>
      <c r="F21" s="150">
        <f>F23-F19-F8-F13</f>
        <v>3824.5787603234571</v>
      </c>
      <c r="G21" s="150">
        <f>F21/$F$23*100</f>
        <v>26.67294290782462</v>
      </c>
      <c r="H21" s="154"/>
    </row>
    <row r="22" spans="1:9" x14ac:dyDescent="0.25">
      <c r="A22" s="133"/>
      <c r="B22" s="133"/>
      <c r="C22" s="133"/>
      <c r="D22" s="133"/>
      <c r="E22" s="133"/>
      <c r="F22" s="139"/>
      <c r="G22" s="133"/>
      <c r="H22" s="126"/>
    </row>
    <row r="23" spans="1:9" x14ac:dyDescent="0.25">
      <c r="A23" s="133"/>
      <c r="B23" s="133"/>
      <c r="C23" s="152" t="s">
        <v>124</v>
      </c>
      <c r="D23" s="133"/>
      <c r="E23" s="133"/>
      <c r="F23" s="153">
        <f>10493.27676+3845.518826</f>
        <v>14338.795586</v>
      </c>
      <c r="G23" s="155">
        <f>G21+G19+G8</f>
        <v>99.99302901701887</v>
      </c>
      <c r="H23" s="156"/>
    </row>
    <row r="24" spans="1:9" x14ac:dyDescent="0.25">
      <c r="F24" s="157"/>
      <c r="H24" s="158"/>
    </row>
    <row r="25" spans="1:9" x14ac:dyDescent="0.25">
      <c r="B25" s="159" t="s">
        <v>126</v>
      </c>
      <c r="C25" s="160"/>
      <c r="D25" s="160"/>
      <c r="E25" s="160"/>
      <c r="F25" s="161"/>
      <c r="G25" s="160"/>
    </row>
    <row r="26" spans="1:9" x14ac:dyDescent="0.25">
      <c r="B26" s="160" t="s">
        <v>1224</v>
      </c>
      <c r="C26" s="160"/>
      <c r="D26" s="160"/>
      <c r="E26" s="160"/>
      <c r="F26" s="162"/>
      <c r="G26" s="162"/>
    </row>
    <row r="27" spans="1:9" x14ac:dyDescent="0.25">
      <c r="B27" s="265" t="s">
        <v>1225</v>
      </c>
      <c r="C27" s="265"/>
      <c r="D27" s="160"/>
      <c r="E27" s="160"/>
      <c r="F27" s="163"/>
      <c r="G27" s="163"/>
    </row>
    <row r="28" spans="1:9" x14ac:dyDescent="0.25">
      <c r="B28" s="270" t="s">
        <v>1226</v>
      </c>
      <c r="C28" s="271"/>
      <c r="D28" s="272"/>
      <c r="E28" s="164"/>
      <c r="F28" s="160" t="s">
        <v>1227</v>
      </c>
      <c r="G28" s="160"/>
    </row>
    <row r="29" spans="1:9" x14ac:dyDescent="0.25">
      <c r="B29" s="165"/>
      <c r="C29" s="166" t="s">
        <v>131</v>
      </c>
      <c r="D29" s="166" t="s">
        <v>132</v>
      </c>
      <c r="E29" s="167"/>
      <c r="F29" s="167"/>
      <c r="G29" s="160"/>
    </row>
    <row r="30" spans="1:9" x14ac:dyDescent="0.25">
      <c r="B30" s="168" t="s">
        <v>1228</v>
      </c>
      <c r="C30" s="169">
        <v>44530</v>
      </c>
      <c r="D30" s="169">
        <v>44561</v>
      </c>
      <c r="E30" s="170"/>
      <c r="F30" s="170"/>
      <c r="G30" s="171"/>
    </row>
    <row r="31" spans="1:9" x14ac:dyDescent="0.25">
      <c r="B31" s="172" t="s">
        <v>136</v>
      </c>
      <c r="C31" s="173">
        <v>26.72</v>
      </c>
      <c r="D31" s="173">
        <v>27.4101</v>
      </c>
      <c r="E31" s="174"/>
      <c r="F31" s="171"/>
      <c r="G31" s="171"/>
    </row>
    <row r="32" spans="1:9" x14ac:dyDescent="0.25">
      <c r="B32" s="175" t="s">
        <v>1229</v>
      </c>
      <c r="C32" s="173">
        <v>23.7684</v>
      </c>
      <c r="D32" s="173">
        <v>24.382000000000001</v>
      </c>
      <c r="E32" s="174"/>
      <c r="F32" s="171"/>
      <c r="G32" s="171"/>
    </row>
    <row r="33" spans="2:7" x14ac:dyDescent="0.25">
      <c r="B33" s="172" t="s">
        <v>137</v>
      </c>
      <c r="C33" s="173">
        <v>25.337199999999999</v>
      </c>
      <c r="D33" s="173">
        <v>25.9633</v>
      </c>
      <c r="E33" s="174"/>
      <c r="F33" s="171"/>
      <c r="G33" s="171"/>
    </row>
    <row r="34" spans="2:7" x14ac:dyDescent="0.25">
      <c r="B34" s="176" t="s">
        <v>1230</v>
      </c>
      <c r="C34" s="177">
        <v>21.7118</v>
      </c>
      <c r="D34" s="177">
        <v>22.2484</v>
      </c>
      <c r="E34" s="174"/>
      <c r="F34" s="171"/>
      <c r="G34" s="171"/>
    </row>
    <row r="35" spans="2:7" x14ac:dyDescent="0.25">
      <c r="B35" s="273" t="s">
        <v>1231</v>
      </c>
      <c r="C35" s="273"/>
      <c r="D35" s="273"/>
      <c r="E35" s="174"/>
      <c r="F35" s="171"/>
      <c r="G35" s="171"/>
    </row>
    <row r="36" spans="2:7" x14ac:dyDescent="0.25">
      <c r="B36" s="165"/>
      <c r="C36" s="166" t="s">
        <v>131</v>
      </c>
      <c r="D36" s="166" t="s">
        <v>132</v>
      </c>
      <c r="E36" s="174"/>
      <c r="F36" s="171"/>
      <c r="G36" s="171"/>
    </row>
    <row r="37" spans="2:7" x14ac:dyDescent="0.25">
      <c r="B37" s="168" t="s">
        <v>1228</v>
      </c>
      <c r="C37" s="169">
        <v>44530</v>
      </c>
      <c r="D37" s="169">
        <v>44561</v>
      </c>
      <c r="E37" s="174"/>
      <c r="F37" s="171"/>
      <c r="G37" s="171"/>
    </row>
    <row r="38" spans="2:7" x14ac:dyDescent="0.25">
      <c r="B38" s="172" t="s">
        <v>136</v>
      </c>
      <c r="C38" s="173">
        <v>49.242699999999999</v>
      </c>
      <c r="D38" s="173">
        <v>49.246099999999998</v>
      </c>
      <c r="E38" s="174"/>
      <c r="F38" s="171"/>
      <c r="G38" s="171"/>
    </row>
    <row r="39" spans="2:7" x14ac:dyDescent="0.25">
      <c r="B39" s="175" t="s">
        <v>1229</v>
      </c>
      <c r="C39" s="173">
        <v>49.242699999999999</v>
      </c>
      <c r="D39" s="173">
        <v>49.246099999999998</v>
      </c>
      <c r="E39" s="174"/>
      <c r="F39" s="171"/>
      <c r="G39" s="171"/>
    </row>
    <row r="40" spans="2:7" x14ac:dyDescent="0.25">
      <c r="B40" s="172" t="s">
        <v>137</v>
      </c>
      <c r="C40" s="173">
        <v>47.4529</v>
      </c>
      <c r="D40" s="173">
        <v>47.436199999999999</v>
      </c>
      <c r="E40" s="174"/>
      <c r="F40" s="171"/>
      <c r="G40" s="171"/>
    </row>
    <row r="41" spans="2:7" ht="15" customHeight="1" x14ac:dyDescent="0.25">
      <c r="B41" s="175" t="s">
        <v>1230</v>
      </c>
      <c r="C41" s="173">
        <v>47.4529</v>
      </c>
      <c r="D41" s="173">
        <v>47.436199999999999</v>
      </c>
      <c r="E41" s="174"/>
      <c r="F41" s="171"/>
      <c r="G41" s="160"/>
    </row>
    <row r="42" spans="2:7" ht="15" customHeight="1" x14ac:dyDescent="0.25">
      <c r="B42" s="178"/>
      <c r="C42" s="179"/>
      <c r="D42" s="179"/>
      <c r="E42" s="179"/>
      <c r="F42" s="179"/>
      <c r="G42" s="160"/>
    </row>
    <row r="43" spans="2:7" x14ac:dyDescent="0.25">
      <c r="B43" s="264" t="s">
        <v>1232</v>
      </c>
      <c r="C43" s="264"/>
      <c r="D43" s="264"/>
      <c r="E43" s="180"/>
      <c r="F43" s="180"/>
      <c r="G43" s="171"/>
    </row>
    <row r="44" spans="2:7" x14ac:dyDescent="0.25">
      <c r="B44" s="265" t="s">
        <v>1233</v>
      </c>
      <c r="C44" s="265"/>
      <c r="D44" s="265"/>
      <c r="E44" s="160"/>
      <c r="F44" s="160"/>
      <c r="G44" s="160"/>
    </row>
    <row r="45" spans="2:7" ht="15" customHeight="1" x14ac:dyDescent="0.25">
      <c r="B45" s="181" t="s">
        <v>1234</v>
      </c>
      <c r="C45" s="181"/>
      <c r="D45" s="181"/>
      <c r="E45" s="182"/>
      <c r="F45" s="182"/>
      <c r="G45" s="160"/>
    </row>
    <row r="46" spans="2:7" x14ac:dyDescent="0.25">
      <c r="B46" s="266" t="s">
        <v>1235</v>
      </c>
      <c r="C46" s="266"/>
      <c r="D46" s="266"/>
      <c r="E46" s="171"/>
      <c r="F46" s="171"/>
      <c r="G46" s="171"/>
    </row>
  </sheetData>
  <mergeCells count="10">
    <mergeCell ref="J2:N2"/>
    <mergeCell ref="B43:D43"/>
    <mergeCell ref="B44:D44"/>
    <mergeCell ref="B46:D46"/>
    <mergeCell ref="A1:H1"/>
    <mergeCell ref="A2:H2"/>
    <mergeCell ref="A3:H3"/>
    <mergeCell ref="B27:C27"/>
    <mergeCell ref="B28:D28"/>
    <mergeCell ref="B35:D3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41</vt:i4>
      </vt:variant>
    </vt:vector>
  </HeadingPairs>
  <TitlesOfParts>
    <vt:vector size="41" baseType="lpstr">
      <vt:lpstr>Index</vt:lpstr>
      <vt:lpstr>CAPEXG</vt:lpstr>
      <vt:lpstr>MICAP14</vt:lpstr>
      <vt:lpstr>MICAP15</vt:lpstr>
      <vt:lpstr>MICAP16</vt:lpstr>
      <vt:lpstr>MICAP17</vt:lpstr>
      <vt:lpstr>MIDCAP</vt:lpstr>
      <vt:lpstr>MULTI1</vt:lpstr>
      <vt:lpstr>MULTI2</vt:lpstr>
      <vt:lpstr>MULTIP</vt:lpstr>
      <vt:lpstr>SESCAP1</vt:lpstr>
      <vt:lpstr>SESCAP2</vt:lpstr>
      <vt:lpstr>SESCAP3</vt:lpstr>
      <vt:lpstr>SESCAP4</vt:lpstr>
      <vt:lpstr>SESCAP5</vt:lpstr>
      <vt:lpstr>SESCAP6</vt:lpstr>
      <vt:lpstr>SESCAP7</vt:lpstr>
      <vt:lpstr>SLTADV3</vt:lpstr>
      <vt:lpstr>SLTADV4</vt:lpstr>
      <vt:lpstr>SLTAX1</vt:lpstr>
      <vt:lpstr>SLTAX2</vt:lpstr>
      <vt:lpstr>SLTAX3</vt:lpstr>
      <vt:lpstr>SLTAX4</vt:lpstr>
      <vt:lpstr>SLTAX5</vt:lpstr>
      <vt:lpstr>SLTAX6</vt:lpstr>
      <vt:lpstr>SMILE</vt:lpstr>
      <vt:lpstr>SPAHF</vt:lpstr>
      <vt:lpstr>SPARF</vt:lpstr>
      <vt:lpstr>SPBAF</vt:lpstr>
      <vt:lpstr>SPDYF</vt:lpstr>
      <vt:lpstr>SPESF</vt:lpstr>
      <vt:lpstr>SPFOCUS</vt:lpstr>
      <vt:lpstr>SPMUCF</vt:lpstr>
      <vt:lpstr>SPSN100</vt:lpstr>
      <vt:lpstr>SPTAX</vt:lpstr>
      <vt:lpstr>SRURAL</vt:lpstr>
      <vt:lpstr>SSFUND</vt:lpstr>
      <vt:lpstr>STAX</vt:lpstr>
      <vt:lpstr>SUNBCF</vt:lpstr>
      <vt:lpstr>SUNFOP</vt:lpstr>
      <vt:lpstr>GLOB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Boopathi V - Sundaram Fund Services</dc:creator>
  <cp:lastModifiedBy>Bharathi B - Sundaram Mutual</cp:lastModifiedBy>
  <dcterms:created xsi:type="dcterms:W3CDTF">2022-01-02T17:45:47Z</dcterms:created>
  <dcterms:modified xsi:type="dcterms:W3CDTF">2023-02-09T10:33:05Z</dcterms:modified>
</cp:coreProperties>
</file>