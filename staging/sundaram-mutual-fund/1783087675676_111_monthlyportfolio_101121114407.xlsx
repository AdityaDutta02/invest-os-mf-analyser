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D:\Review\2021-22\7. Oct 2021\portfolio\"/>
    </mc:Choice>
  </mc:AlternateContent>
  <xr:revisionPtr revIDLastSave="0" documentId="13_ncr:1_{928556BE-2870-47E4-B036-CA829E294DC3}" xr6:coauthVersionLast="47" xr6:coauthVersionMax="47" xr10:uidLastSave="{00000000-0000-0000-0000-000000000000}"/>
  <bookViews>
    <workbookView xWindow="-120" yWindow="-120" windowWidth="20730" windowHeight="11160" tabRatio="864" xr2:uid="{00000000-000D-0000-FFFF-FFFF00000000}"/>
  </bookViews>
  <sheets>
    <sheet name="Index" sheetId="39" r:id="rId1"/>
    <sheet name="CAPEXG" sheetId="1" r:id="rId2"/>
    <sheet name="MICAP14" sheetId="2" r:id="rId3"/>
    <sheet name="MICAP15" sheetId="3" r:id="rId4"/>
    <sheet name="MICAP16" sheetId="4" r:id="rId5"/>
    <sheet name="MICAP17" sheetId="5" r:id="rId6"/>
    <sheet name="MIDCAP" sheetId="6" r:id="rId7"/>
    <sheet name="MULTI1" sheetId="7" r:id="rId8"/>
    <sheet name="MULTI2" sheetId="8" r:id="rId9"/>
    <sheet name="MULTIP" sheetId="9" r:id="rId10"/>
    <sheet name="SESCAP1" sheetId="10" r:id="rId11"/>
    <sheet name="SESCAP2" sheetId="11" r:id="rId12"/>
    <sheet name="SESCAP3" sheetId="12" r:id="rId13"/>
    <sheet name="SESCAP4" sheetId="13" r:id="rId14"/>
    <sheet name="SESCAP5" sheetId="14" r:id="rId15"/>
    <sheet name="SESCAP6" sheetId="15" r:id="rId16"/>
    <sheet name="SESCAP7" sheetId="16" r:id="rId17"/>
    <sheet name="SFOCUS" sheetId="17" r:id="rId18"/>
    <sheet name="SLTADV3" sheetId="18" r:id="rId19"/>
    <sheet name="SLTADV4" sheetId="19" r:id="rId20"/>
    <sheet name="SLTAX1" sheetId="20" r:id="rId21"/>
    <sheet name="SLTAX2" sheetId="21" r:id="rId22"/>
    <sheet name="SLTAX3" sheetId="22" r:id="rId23"/>
    <sheet name="SLTAX4" sheetId="23" r:id="rId24"/>
    <sheet name="SLTAX5" sheetId="24" r:id="rId25"/>
    <sheet name="SLTAX6" sheetId="25" r:id="rId26"/>
    <sheet name="SMILE" sheetId="26" r:id="rId27"/>
    <sheet name="SRURAL" sheetId="27" r:id="rId28"/>
    <sheet name="SSFUND" sheetId="28" r:id="rId29"/>
    <sheet name="SSN100" sheetId="29" r:id="rId30"/>
    <sheet name="STAX" sheetId="30" r:id="rId31"/>
    <sheet name="SUNARF" sheetId="31" r:id="rId32"/>
    <sheet name="SUNBAF" sheetId="40" r:id="rId33"/>
    <sheet name="SUNBAL" sheetId="41" r:id="rId34"/>
    <sheet name="SUNBCF" sheetId="32" r:id="rId35"/>
    <sheet name="SUNEQF" sheetId="33" r:id="rId36"/>
    <sheet name="SUNESF" sheetId="34" r:id="rId37"/>
    <sheet name="SUNFOP" sheetId="35" r:id="rId38"/>
    <sheet name="SUNVALF10" sheetId="36" r:id="rId39"/>
    <sheet name="SUNVALF7" sheetId="37" r:id="rId40"/>
    <sheet name="SUNVALF9" sheetId="38" r:id="rId41"/>
    <sheet name="GLOB" sheetId="42" r:id="rId42"/>
    <sheet name="DERIVATIVE DISCLOSURE" sheetId="43" r:id="rId43"/>
  </sheets>
  <definedNames>
    <definedName name="_xlnm._FilterDatabase" localSheetId="1" hidden="1">CAPEXG!$A$6:$H$48</definedName>
    <definedName name="_xlnm._FilterDatabase" localSheetId="0" hidden="1">Index!$A$1:$C$42</definedName>
    <definedName name="_xlnm._FilterDatabase" localSheetId="2" hidden="1">MICAP14!$A$7:$H$81</definedName>
    <definedName name="_xlnm._FilterDatabase" localSheetId="3" hidden="1">MICAP15!$A$6:$H$81</definedName>
    <definedName name="_xlnm._FilterDatabase" localSheetId="4" hidden="1">MICAP16!$A$6:$H$83</definedName>
    <definedName name="_xlnm._FilterDatabase" localSheetId="5" hidden="1">MICAP17!$A$6:$H$84</definedName>
    <definedName name="_xlnm._FilterDatabase" localSheetId="6" hidden="1">MIDCAP!$A$7:$H$73</definedName>
    <definedName name="_xlnm._FilterDatabase" localSheetId="7" hidden="1">MULTI1!$A$7:$H$57</definedName>
    <definedName name="_xlnm._FilterDatabase" localSheetId="8" hidden="1">MULTI2!$B$7:$H$57</definedName>
    <definedName name="_xlnm._FilterDatabase" localSheetId="9" hidden="1">MULTIP!$A$7:$H$54</definedName>
    <definedName name="_xlnm._FilterDatabase" localSheetId="10" hidden="1">SESCAP1!$A$7:$H$86</definedName>
    <definedName name="_xlnm._FilterDatabase" localSheetId="11" hidden="1">SESCAP2!$A$7:$H$84</definedName>
    <definedName name="_xlnm._FilterDatabase" localSheetId="12" hidden="1">SESCAP3!$A$7:$H$84</definedName>
    <definedName name="_xlnm._FilterDatabase" localSheetId="13" hidden="1">SESCAP4!$A$7:$H$84</definedName>
    <definedName name="_xlnm._FilterDatabase" localSheetId="14" hidden="1">SESCAP5!$A$7:$H$84</definedName>
    <definedName name="_xlnm._FilterDatabase" localSheetId="15" hidden="1">SESCAP6!$A$7:$H$83</definedName>
    <definedName name="_xlnm._FilterDatabase" localSheetId="16" hidden="1">SESCAP7!$A$6:$H$76</definedName>
    <definedName name="_xlnm._FilterDatabase" localSheetId="17" hidden="1">SFOCUS!$A$7:$H$37</definedName>
    <definedName name="_xlnm._FilterDatabase" localSheetId="18" hidden="1">SLTADV3!$A$7:$H$71</definedName>
    <definedName name="_xlnm._FilterDatabase" localSheetId="19" hidden="1">SLTADV4!$A$7:$H$73</definedName>
    <definedName name="_xlnm._FilterDatabase" localSheetId="20" hidden="1">SLTAX1!$A$7:$H$47</definedName>
    <definedName name="_xlnm._FilterDatabase" localSheetId="21" hidden="1">SLTAX2!$A$7:$H$44</definedName>
    <definedName name="_xlnm._FilterDatabase" localSheetId="22" hidden="1">SLTAX3!$A$7:$H$73</definedName>
    <definedName name="_xlnm._FilterDatabase" localSheetId="23" hidden="1">SLTAX4!$A$7:$H$71</definedName>
    <definedName name="_xlnm._FilterDatabase" localSheetId="24" hidden="1">SLTAX5!$A$7:$H$73</definedName>
    <definedName name="_xlnm._FilterDatabase" localSheetId="25" hidden="1">SLTAX6!$A$7:$H$75</definedName>
    <definedName name="_xlnm._FilterDatabase" localSheetId="26" hidden="1">SMILE!#REF!</definedName>
    <definedName name="_xlnm._FilterDatabase" localSheetId="27" hidden="1">SRURAL!$A$7:$H$45</definedName>
    <definedName name="_xlnm._FilterDatabase" localSheetId="28" hidden="1">SSFUND!$A$7:$H$54</definedName>
    <definedName name="_xlnm._FilterDatabase" localSheetId="29" hidden="1">'SSN100'!$A$7:$H$108</definedName>
    <definedName name="_xlnm._FilterDatabase" localSheetId="30" hidden="1">STAX!$A$7:$H$56</definedName>
    <definedName name="_xlnm._FilterDatabase" localSheetId="31" hidden="1">SUNARF!$A$7:$H$33</definedName>
    <definedName name="_xlnm._FilterDatabase" localSheetId="32" hidden="1">SUNBAF!$A$7:$J$75</definedName>
    <definedName name="_xlnm._FilterDatabase" localSheetId="33" hidden="1">SUNBAL!$A$77:$WVL$101</definedName>
    <definedName name="_xlnm._FilterDatabase" localSheetId="34" hidden="1">SUNBCF!$A$7:$H$56</definedName>
    <definedName name="_xlnm._FilterDatabase" localSheetId="35" hidden="1">SUNEQF!$A$7:$H$69</definedName>
    <definedName name="_xlnm._FilterDatabase" localSheetId="36" hidden="1">SUNESF!$A$7:$H$57</definedName>
    <definedName name="_xlnm._FilterDatabase" localSheetId="37" hidden="1">SUNFOP!$A$7:$H$33</definedName>
    <definedName name="_xlnm._FilterDatabase" localSheetId="38" hidden="1">SUNVALF10!#REF!</definedName>
    <definedName name="_xlnm._FilterDatabase" localSheetId="39" hidden="1">SUNVALF7!$A$7:$H$24</definedName>
    <definedName name="_xlnm._FilterDatabase" localSheetId="40" hidden="1">SUNVALF9!$A$7:$H$24</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7" i="43" l="1"/>
  <c r="G150" i="43"/>
  <c r="G149" i="43"/>
  <c r="G148" i="43"/>
  <c r="G147" i="43"/>
  <c r="G146" i="43"/>
  <c r="G145" i="43"/>
  <c r="G144" i="43"/>
  <c r="G143" i="43"/>
  <c r="G142" i="43"/>
  <c r="G141" i="43"/>
  <c r="G140" i="43"/>
  <c r="G139" i="43"/>
  <c r="G138" i="43"/>
  <c r="G137" i="43"/>
  <c r="G136" i="43"/>
  <c r="G135" i="43"/>
  <c r="G134" i="43"/>
  <c r="F16" i="42"/>
  <c r="G16" i="42" s="1"/>
  <c r="F14" i="42"/>
  <c r="G12" i="42"/>
  <c r="G11" i="42"/>
  <c r="G14" i="42" s="1"/>
  <c r="F8" i="42"/>
  <c r="G6" i="42"/>
  <c r="G8" i="42" s="1"/>
  <c r="G18" i="4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Swaminathan N - Sundaram Mutual</author>
  </authors>
  <commentList>
    <comment ref="G100" authorId="0" shapeId="0" xr:uid="{60C402C8-9253-4D68-9B7D-0C17A20A682F}">
      <text>
        <r>
          <rPr>
            <b/>
            <sz val="9"/>
            <color indexed="81"/>
            <rFont val="Tahoma"/>
            <family val="2"/>
          </rPr>
          <t>Dividend of BPCL and Vedanta ltd included in profitloss. Ex date for BPCL is 16 09 21. Rate is 58 per unit. Vedanta Ex date 08 09 21 rate is 18.5</t>
        </r>
      </text>
    </comment>
    <comment ref="G101" authorId="0" shapeId="0" xr:uid="{292508C0-1631-4016-9425-AC98987BF7E7}">
      <text>
        <r>
          <rPr>
            <b/>
            <sz val="9"/>
            <color indexed="81"/>
            <rFont val="Tahoma"/>
            <family val="2"/>
          </rPr>
          <t>Dividend of  Vedanta ltd included in profitloss. Ex date for Vedanta 08 09 21 rate is 18.5</t>
        </r>
      </text>
    </comment>
    <comment ref="G103" authorId="0" shapeId="0" xr:uid="{D0CB6F51-A272-4832-9515-9B251CBCDE83}">
      <text>
        <r>
          <rPr>
            <b/>
            <sz val="9"/>
            <color indexed="81"/>
            <rFont val="Tahoma"/>
            <family val="2"/>
          </rPr>
          <t>Dividend in BPCL included in profit_loss
Ex date for BPCL is 16 09 21. Rate is 58 per unit</t>
        </r>
      </text>
    </comment>
  </commentList>
</comments>
</file>

<file path=xl/sharedStrings.xml><?xml version="1.0" encoding="utf-8"?>
<sst xmlns="http://schemas.openxmlformats.org/spreadsheetml/2006/main" count="11950" uniqueCount="1090">
  <si>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</si>
  <si>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</si>
  <si>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</si>
  <si>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</si>
  <si>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</si>
  <si>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</si>
  <si>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</si>
  <si>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</si>
  <si>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</si>
  <si>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</si>
  <si>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</si>
  <si>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</si>
  <si>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</si>
  <si>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 Project</t>
  </si>
  <si>
    <t>INE002A01018</t>
  </si>
  <si>
    <t>Reliance Industries Ltd</t>
  </si>
  <si>
    <t>Petroleum Products</t>
  </si>
  <si>
    <t>INE090A01021</t>
  </si>
  <si>
    <t>ICICI Bank Ltd</t>
  </si>
  <si>
    <t>Banks</t>
  </si>
  <si>
    <t>INE331A01037</t>
  </si>
  <si>
    <t>The Ramco Cements Ltd</t>
  </si>
  <si>
    <t>INE397D01024</t>
  </si>
  <si>
    <t>Bharti Airtel Ltd</t>
  </si>
  <si>
    <t>Telecom - Services</t>
  </si>
  <si>
    <t>INE536A01023</t>
  </si>
  <si>
    <t>Grindwell Norton Ltd</t>
  </si>
  <si>
    <t>Industrial Products</t>
  </si>
  <si>
    <t>INE481G01011</t>
  </si>
  <si>
    <t>Ultratech Cement Ltd</t>
  </si>
  <si>
    <t>INE455K01017</t>
  </si>
  <si>
    <t>Polycab India Ltd</t>
  </si>
  <si>
    <t>INE245A01021</t>
  </si>
  <si>
    <t>Tata Power Company Ltd</t>
  </si>
  <si>
    <t>Power</t>
  </si>
  <si>
    <t>INE029A01011</t>
  </si>
  <si>
    <t>Bharat Petroleum Corporation Ltd</t>
  </si>
  <si>
    <t>INE823G01014</t>
  </si>
  <si>
    <t>JK Cement Ltd</t>
  </si>
  <si>
    <t>INE284A01012</t>
  </si>
  <si>
    <t>ESAB India Ltd</t>
  </si>
  <si>
    <t>INE999A01015</t>
  </si>
  <si>
    <t>KSB Ltd</t>
  </si>
  <si>
    <t>INE671A01010</t>
  </si>
  <si>
    <t>Honeywell Automation India Ltd</t>
  </si>
  <si>
    <t>Industrial Capital Goods</t>
  </si>
  <si>
    <t>INE242A01010</t>
  </si>
  <si>
    <t>Indian Oil Corporation Ltd</t>
  </si>
  <si>
    <t>INE766P01016</t>
  </si>
  <si>
    <t>Mahindra Logistics Ltd</t>
  </si>
  <si>
    <t>Transportation</t>
  </si>
  <si>
    <t>INE114A01011</t>
  </si>
  <si>
    <t>Steel Authority of India Ltd</t>
  </si>
  <si>
    <t>Ferrous Metals</t>
  </si>
  <si>
    <t>INE541A01023</t>
  </si>
  <si>
    <t>GMM Pfaudler Ltd</t>
  </si>
  <si>
    <t>INE213A01029</t>
  </si>
  <si>
    <t>Oil &amp; Natural Gas Corporation Ltd</t>
  </si>
  <si>
    <t>Oil</t>
  </si>
  <si>
    <t>INE129A01019</t>
  </si>
  <si>
    <t>GAIL (India) Ltd</t>
  </si>
  <si>
    <t>Gas</t>
  </si>
  <si>
    <t>INE264T01014</t>
  </si>
  <si>
    <t>Capacite Infraprojects Ltd</t>
  </si>
  <si>
    <t>Construction</t>
  </si>
  <si>
    <t>INE791I01019</t>
  </si>
  <si>
    <t>Brigade Enterprises Ltd</t>
  </si>
  <si>
    <t>INE868B01028</t>
  </si>
  <si>
    <t>NCC Ltd</t>
  </si>
  <si>
    <t>INE371P01015</t>
  </si>
  <si>
    <t>Amber Enterprises India Ltd</t>
  </si>
  <si>
    <t>Consumer Durables</t>
  </si>
  <si>
    <t>INE702C01027</t>
  </si>
  <si>
    <t>APL Apollo Tubes Ltd</t>
  </si>
  <si>
    <t>INE08ZM01014</t>
  </si>
  <si>
    <t>Green Panel Industries Ltd</t>
  </si>
  <si>
    <t>INE208A01029</t>
  </si>
  <si>
    <t>Ashok Leyland Ltd</t>
  </si>
  <si>
    <t>Auto</t>
  </si>
  <si>
    <t>INE896L01010</t>
  </si>
  <si>
    <t>Indostar Capital Finance Ltd</t>
  </si>
  <si>
    <t>Finance</t>
  </si>
  <si>
    <t>INE742F01042</t>
  </si>
  <si>
    <t>Adani Ports and Special Economic Zone Ltd</t>
  </si>
  <si>
    <t>INE203G01027</t>
  </si>
  <si>
    <t>Indraprastha Gas Ltd</t>
  </si>
  <si>
    <t>INE246F01010</t>
  </si>
  <si>
    <t>Gujarat State Petronet Ltd</t>
  </si>
  <si>
    <t>INE811K01011</t>
  </si>
  <si>
    <t>Prestige Estates Projects Ltd</t>
  </si>
  <si>
    <t>INE513A01014</t>
  </si>
  <si>
    <t>Schaeffler India Ltd</t>
  </si>
  <si>
    <t>INE858B01029</t>
  </si>
  <si>
    <t>ISGEC Heavy  Engineering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</si>
  <si>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</si>
  <si>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</si>
  <si>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</si>
  <si>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</si>
  <si>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</si>
  <si>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</si>
  <si>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</si>
  <si>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</si>
  <si>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</si>
  <si>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</si>
  <si>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</si>
  <si>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</si>
  <si>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</si>
  <si>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</si>
  <si>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</si>
  <si>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</si>
  <si>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</si>
  <si>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</si>
  <si>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</si>
  <si>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</si>
  <si>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</si>
  <si>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</si>
  <si>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</si>
  <si>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</si>
  <si>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</si>
  <si>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</si>
  <si>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</si>
  <si>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</si>
  <si>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</si>
  <si>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</si>
  <si>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</si>
  <si>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</si>
  <si>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</si>
  <si>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</si>
  <si>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</si>
  <si>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</si>
  <si>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</si>
  <si>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</si>
  <si>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</si>
  <si>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</si>
  <si>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30/09/2021</t>
  </si>
  <si>
    <t>31/10/2021</t>
  </si>
  <si>
    <t>Direct Plan - Growth</t>
  </si>
  <si>
    <t>Regular Plan - Growth</t>
  </si>
  <si>
    <t>e) Total outstanding exposure in derivative instruments at the end of the period</t>
  </si>
  <si>
    <t>f) Total investments in foreign securities /ADR'S/GDR'S at the end of the period</t>
  </si>
  <si>
    <t>g) Portfolio Turnover Ratio</t>
  </si>
  <si>
    <t>h) Repo in corporate debt</t>
  </si>
  <si>
    <t>Sundaram Select Micro Cap Series XIV</t>
  </si>
  <si>
    <t>INE878B01027</t>
  </si>
  <si>
    <t>KEI Industries Ltd</t>
  </si>
  <si>
    <t>INE048G01026</t>
  </si>
  <si>
    <t>Navin Fluorine International Ltd</t>
  </si>
  <si>
    <t>Chemicals</t>
  </si>
  <si>
    <t>INE988K01017</t>
  </si>
  <si>
    <t>Equitas Holdings Ltd</t>
  </si>
  <si>
    <t>INE227C01017</t>
  </si>
  <si>
    <t>MM Forgings Ltd</t>
  </si>
  <si>
    <t>INE067A01029</t>
  </si>
  <si>
    <t>CG Power and Industrial Solutions Ltd</t>
  </si>
  <si>
    <t>INE348B01021</t>
  </si>
  <si>
    <t>Century Plyboards (India) Ltd</t>
  </si>
  <si>
    <t>INE732I01013</t>
  </si>
  <si>
    <t>Angel One Ltd</t>
  </si>
  <si>
    <t>INE386C01029</t>
  </si>
  <si>
    <t>Astra Microwave Products Ltd</t>
  </si>
  <si>
    <t>INE262H01013</t>
  </si>
  <si>
    <t>Persistent Systems Ltd</t>
  </si>
  <si>
    <t>Software</t>
  </si>
  <si>
    <t>INE04I401011</t>
  </si>
  <si>
    <t>KPIT Technologies Ltd</t>
  </si>
  <si>
    <t>INE312H01016</t>
  </si>
  <si>
    <t>INOX Leisure Ltd</t>
  </si>
  <si>
    <t>INE481N01025</t>
  </si>
  <si>
    <t>Home First Finance Company Ltd</t>
  </si>
  <si>
    <t>INE976G01028</t>
  </si>
  <si>
    <t>RBL Bank Ltd</t>
  </si>
  <si>
    <t>INE974X01010</t>
  </si>
  <si>
    <t>Tube Investments of India Ltd</t>
  </si>
  <si>
    <t>Auto Ancillaries</t>
  </si>
  <si>
    <t>INE00WC01027</t>
  </si>
  <si>
    <t>Affle (India) Ltd</t>
  </si>
  <si>
    <t>INE296E01026</t>
  </si>
  <si>
    <t>Rajapalayam Mills Ltd</t>
  </si>
  <si>
    <t>Textiles - Cotton</t>
  </si>
  <si>
    <t>INE00IN01015</t>
  </si>
  <si>
    <t>Stove Kraft Ltd</t>
  </si>
  <si>
    <t>INE731H01025</t>
  </si>
  <si>
    <t>INE136B01020</t>
  </si>
  <si>
    <t>Cyient Ltd</t>
  </si>
  <si>
    <t>INE873D01024</t>
  </si>
  <si>
    <t>Indoco Remedies Ltd</t>
  </si>
  <si>
    <t>Pharmaceuticals</t>
  </si>
  <si>
    <t>INE075I01017</t>
  </si>
  <si>
    <t>Healthcare Global Enterprises Ltd</t>
  </si>
  <si>
    <t>Healthcare Services</t>
  </si>
  <si>
    <t>INE978A01027</t>
  </si>
  <si>
    <t>Heritage Foods Ltd</t>
  </si>
  <si>
    <t>Consumer Non Durables</t>
  </si>
  <si>
    <t>INE094A01015</t>
  </si>
  <si>
    <t>Hindustan Petroleum Corporation Ltd</t>
  </si>
  <si>
    <t>INE220B01022</t>
  </si>
  <si>
    <t>Kalpataru Power Transmission Ltd</t>
  </si>
  <si>
    <t>INE578A01017</t>
  </si>
  <si>
    <t>HeidelbergCement India Ltd</t>
  </si>
  <si>
    <t>INE442H01029</t>
  </si>
  <si>
    <t>Ashoka Buildcon Ltd</t>
  </si>
  <si>
    <t>INE02A801020</t>
  </si>
  <si>
    <t>Rossari Biotech Ltd</t>
  </si>
  <si>
    <t>INE477A01020</t>
  </si>
  <si>
    <t>Can Fin Homes Ltd</t>
  </si>
  <si>
    <t>INE615P01015</t>
  </si>
  <si>
    <t>Quess Corp Ltd</t>
  </si>
  <si>
    <t>INE285J01028</t>
  </si>
  <si>
    <t>SIS Ltd</t>
  </si>
  <si>
    <t>Commercial Services</t>
  </si>
  <si>
    <t>INE049A01027</t>
  </si>
  <si>
    <t>Himatsingka Seide Ltd</t>
  </si>
  <si>
    <t>Textile Products</t>
  </si>
  <si>
    <t>INE274F01020</t>
  </si>
  <si>
    <t>Westlife Development Ltd</t>
  </si>
  <si>
    <t>INE884B01025</t>
  </si>
  <si>
    <t>Kirloskar Ferrous Ind Ltd</t>
  </si>
  <si>
    <t>INE864I01014</t>
  </si>
  <si>
    <t>MTAR Technologies Ltd</t>
  </si>
  <si>
    <t>INE211B01039</t>
  </si>
  <si>
    <t>The Phoenix Mills Ltd</t>
  </si>
  <si>
    <t>INE934S01014</t>
  </si>
  <si>
    <t>GNA Axles Ltd</t>
  </si>
  <si>
    <t>INE325A01013</t>
  </si>
  <si>
    <t>Timken India Ltd</t>
  </si>
  <si>
    <t>INE429E01023</t>
  </si>
  <si>
    <t>Safari Industries (India) Ltd</t>
  </si>
  <si>
    <t>INE745G01035</t>
  </si>
  <si>
    <t>Multi Commodity Exchange of India Ltd</t>
  </si>
  <si>
    <t>INE782A01015</t>
  </si>
  <si>
    <t>Johnson Controls-Hitachi AirConditioning India Ltd</t>
  </si>
  <si>
    <t>INE834I01025</t>
  </si>
  <si>
    <t>Khadim India Ltd</t>
  </si>
  <si>
    <t>INE113A01013</t>
  </si>
  <si>
    <t>Gujarat Narmada Valley Fertilizers &amp; Chemicals Ltd</t>
  </si>
  <si>
    <t>INE126A01031</t>
  </si>
  <si>
    <t>EID Parry India Ltd</t>
  </si>
  <si>
    <t>Fertilisers</t>
  </si>
  <si>
    <t>INE947Q01028</t>
  </si>
  <si>
    <t>Laurus Labs Ltd</t>
  </si>
  <si>
    <t>INE043D01016</t>
  </si>
  <si>
    <t>IDFC Ltd</t>
  </si>
  <si>
    <t>INE290S01011</t>
  </si>
  <si>
    <t>CarTrade Tech Ltd</t>
  </si>
  <si>
    <t>INE092B01025</t>
  </si>
  <si>
    <t>India Nippon Electricals Ltd</t>
  </si>
  <si>
    <t>INE060A01024</t>
  </si>
  <si>
    <t>Navneet Education Ltd</t>
  </si>
  <si>
    <t>INE572A01028</t>
  </si>
  <si>
    <t>JB Chemicals &amp; Pharmaceuticals Ltd</t>
  </si>
  <si>
    <t>INE421D01022</t>
  </si>
  <si>
    <t>CCL Products (India) Ltd</t>
  </si>
  <si>
    <t>INE877F01012</t>
  </si>
  <si>
    <t>PTC India Ltd</t>
  </si>
  <si>
    <t>INE419U01012</t>
  </si>
  <si>
    <t>Happiest Minds Technologies Limited</t>
  </si>
  <si>
    <t>INE03QK01018</t>
  </si>
  <si>
    <t>Suven Pharmaceuticals Ltd</t>
  </si>
  <si>
    <t>INE056C01010</t>
  </si>
  <si>
    <t>Tata Metaliks Ltd</t>
  </si>
  <si>
    <t>INE384A01010</t>
  </si>
  <si>
    <t>Rane Holdings Ltd</t>
  </si>
  <si>
    <t>INE586B01026</t>
  </si>
  <si>
    <t>Taj GVK Hotels &amp; Resorts Ltd</t>
  </si>
  <si>
    <t>INE435A01028</t>
  </si>
  <si>
    <t>International Paper APPM Ltd</t>
  </si>
  <si>
    <t>Paper</t>
  </si>
  <si>
    <t>INE503A01015</t>
  </si>
  <si>
    <t>DCB Bank Ltd</t>
  </si>
  <si>
    <t>INE199A01012</t>
  </si>
  <si>
    <t>Procter &amp; Gamble Health Ltd</t>
  </si>
  <si>
    <t>INE488A01050</t>
  </si>
  <si>
    <t>Chemplast Sanmar Ltd</t>
  </si>
  <si>
    <t>INE022I01019</t>
  </si>
  <si>
    <t>Asian Granito India Ltd</t>
  </si>
  <si>
    <t>INE246B01019</t>
  </si>
  <si>
    <t>Ramco Systems Ltd</t>
  </si>
  <si>
    <t>INE0H5O01029</t>
  </si>
  <si>
    <t>Windlas Biotech Ltd</t>
  </si>
  <si>
    <t>INE565V01010</t>
  </si>
  <si>
    <t>Valiant Organics Ltd</t>
  </si>
  <si>
    <t>INE599M01018</t>
  </si>
  <si>
    <t>Just Dial Ltd</t>
  </si>
  <si>
    <t>INE063P01018</t>
  </si>
  <si>
    <t>Equitas Small Finance Bank Ltd</t>
  </si>
  <si>
    <t>Share Application Money pending Allotment</t>
  </si>
  <si>
    <t>Sundaram Select Micro Cap Series XV</t>
  </si>
  <si>
    <t>INE386A01015</t>
  </si>
  <si>
    <t>Vesuvius India Ltd</t>
  </si>
  <si>
    <t>INE388Y01029</t>
  </si>
  <si>
    <t>FSN E–Commerce Ventures Ltd(NYKAA)</t>
  </si>
  <si>
    <t>INE743M01012</t>
  </si>
  <si>
    <t>RHI Magnesita India Ltd</t>
  </si>
  <si>
    <t>Sundaram Select Micro Cap Series XVI</t>
  </si>
  <si>
    <t>INE201P01022</t>
  </si>
  <si>
    <t>GR Infraprojects Ltd</t>
  </si>
  <si>
    <t>Sundaram Select Micro Cap Series XVII</t>
  </si>
  <si>
    <t>INE045A01017</t>
  </si>
  <si>
    <t>Ador Welding Ltd</t>
  </si>
  <si>
    <t>INE750A01020</t>
  </si>
  <si>
    <t>Oriental Hotels Ltd</t>
  </si>
  <si>
    <t>Sundaram Mid Cap Fund</t>
  </si>
  <si>
    <t>INE018I01017</t>
  </si>
  <si>
    <t>MindTree Ltd</t>
  </si>
  <si>
    <t>INE121A01024</t>
  </si>
  <si>
    <t>Cholamandalam Investment and Finance Company Ltd</t>
  </si>
  <si>
    <t>INE180A01020</t>
  </si>
  <si>
    <t>Max Financial Services Ltd</t>
  </si>
  <si>
    <t>INE437A01024</t>
  </si>
  <si>
    <t>Apollo Hospitals Enterprise Ltd</t>
  </si>
  <si>
    <t>INE226A01021</t>
  </si>
  <si>
    <t>Voltas Ltd</t>
  </si>
  <si>
    <t>INE761H01022</t>
  </si>
  <si>
    <t>Page Industries Ltd</t>
  </si>
  <si>
    <t>INE647A01010</t>
  </si>
  <si>
    <t>SRF Ltd</t>
  </si>
  <si>
    <t>INE171A01029</t>
  </si>
  <si>
    <t>The Federal Bank  Ltd</t>
  </si>
  <si>
    <t>INE797F01012</t>
  </si>
  <si>
    <t>Jubilant Foodworks Ltd</t>
  </si>
  <si>
    <t>INE298A01020</t>
  </si>
  <si>
    <t>Cummins India Ltd</t>
  </si>
  <si>
    <t>INE238A01034</t>
  </si>
  <si>
    <t>Axis Bank Ltd</t>
  </si>
  <si>
    <t>INE263A01024</t>
  </si>
  <si>
    <t>Bharat Electronics Ltd</t>
  </si>
  <si>
    <t>INE200M01013</t>
  </si>
  <si>
    <t>Varun Beverages Ltd</t>
  </si>
  <si>
    <t>INE010V01017</t>
  </si>
  <si>
    <t>L&amp;T Technology Services Ltd</t>
  </si>
  <si>
    <t>INE949L01017</t>
  </si>
  <si>
    <t>AU Small Finance Bank Ltd</t>
  </si>
  <si>
    <t>INE849A01020</t>
  </si>
  <si>
    <t>Trent Ltd</t>
  </si>
  <si>
    <t>Retailing</t>
  </si>
  <si>
    <t>INE299U01018</t>
  </si>
  <si>
    <t>Crompton Greaves Consumer Electricals Ltd</t>
  </si>
  <si>
    <t>INE028A01039</t>
  </si>
  <si>
    <t>Bank of Baroda</t>
  </si>
  <si>
    <t>INE721A01013</t>
  </si>
  <si>
    <t>Shriram Transport Finance Company Ltd</t>
  </si>
  <si>
    <t>INE571A01020</t>
  </si>
  <si>
    <t>IPCA Laboratories Ltd</t>
  </si>
  <si>
    <t>INE749A01030</t>
  </si>
  <si>
    <t>Jindal Steel &amp; Power Ltd</t>
  </si>
  <si>
    <t>INE068V01023</t>
  </si>
  <si>
    <t>Gland Pharma Ltd</t>
  </si>
  <si>
    <t>INE987B01026</t>
  </si>
  <si>
    <t>Natco Pharma Ltd</t>
  </si>
  <si>
    <t>INE603J01030</t>
  </si>
  <si>
    <t>PI Industries Ltd</t>
  </si>
  <si>
    <t>Pesticides</t>
  </si>
  <si>
    <t>INE548C01032</t>
  </si>
  <si>
    <t>Emami Ltd</t>
  </si>
  <si>
    <t>INE465A01025</t>
  </si>
  <si>
    <t>Bharat Forge Ltd</t>
  </si>
  <si>
    <t>INE883A01011</t>
  </si>
  <si>
    <t>MRF Ltd</t>
  </si>
  <si>
    <t>INE111A01025</t>
  </si>
  <si>
    <t>Container Corporation of India Ltd</t>
  </si>
  <si>
    <t>INE763G01038</t>
  </si>
  <si>
    <t>ICICI Securities Ltd</t>
  </si>
  <si>
    <t>INE491A01021</t>
  </si>
  <si>
    <t>City Union Bank Ltd</t>
  </si>
  <si>
    <t>INE105A01035</t>
  </si>
  <si>
    <t>Sundaram Clayton Ltd</t>
  </si>
  <si>
    <t>INE769A01020</t>
  </si>
  <si>
    <t>Aarti Industries Ltd</t>
  </si>
  <si>
    <t>INE935N01020</t>
  </si>
  <si>
    <t>Dixon Technologies (India) Ltd</t>
  </si>
  <si>
    <t>INE303R01014</t>
  </si>
  <si>
    <t>Kalyan Jewellers India Ltd</t>
  </si>
  <si>
    <t>INE169A01031</t>
  </si>
  <si>
    <t>Coromandel International Ltd</t>
  </si>
  <si>
    <t>INE356A01018</t>
  </si>
  <si>
    <t>MphasiS Ltd</t>
  </si>
  <si>
    <t>INE860A01027</t>
  </si>
  <si>
    <t>HCL Technologies Ltd</t>
  </si>
  <si>
    <t>INE998I01010</t>
  </si>
  <si>
    <t>Mahindra Holidays &amp; Resorts India Ltd</t>
  </si>
  <si>
    <t>INE115A01026</t>
  </si>
  <si>
    <t>LIC Housing Finance Ltd</t>
  </si>
  <si>
    <t>INE716A01013</t>
  </si>
  <si>
    <t>Whirlpool of India Ltd</t>
  </si>
  <si>
    <t>INE216P01012</t>
  </si>
  <si>
    <t>Aavas Financiers Ltd</t>
  </si>
  <si>
    <t>INE918I01018</t>
  </si>
  <si>
    <t>Bajaj Finserv Ltd</t>
  </si>
  <si>
    <t>INE484J01027</t>
  </si>
  <si>
    <t>Godrej Properties Ltd</t>
  </si>
  <si>
    <t>INE758T01015</t>
  </si>
  <si>
    <t>Zomato Ltd</t>
  </si>
  <si>
    <t>INE00R701025</t>
  </si>
  <si>
    <t>Dalmia Cement (Bharat) Ltd.</t>
  </si>
  <si>
    <t>INE256A01028</t>
  </si>
  <si>
    <t>Zee Entertainment Enterprises Ltd</t>
  </si>
  <si>
    <t>INE405E01023</t>
  </si>
  <si>
    <t>Minda Industries Ltd</t>
  </si>
  <si>
    <t>INE335Y01020</t>
  </si>
  <si>
    <t>Indian Railway Catering &amp; Tourism Corporation Ltd</t>
  </si>
  <si>
    <t>INE192A01025</t>
  </si>
  <si>
    <t>TATA Consumer Products Ltd</t>
  </si>
  <si>
    <t>INE647O01011</t>
  </si>
  <si>
    <t>Aditya Birla Fashion and Retail Ltd</t>
  </si>
  <si>
    <t>INE006I01046</t>
  </si>
  <si>
    <t>Astral Ltd</t>
  </si>
  <si>
    <t>INE176A01028</t>
  </si>
  <si>
    <t>Bata India Ltd</t>
  </si>
  <si>
    <t>Stock Future</t>
  </si>
  <si>
    <t>Margin Money For Derivatives</t>
  </si>
  <si>
    <t>Institutional Plan - Growth</t>
  </si>
  <si>
    <t>Sundaram Multi Cap Fund Series I</t>
  </si>
  <si>
    <t>INE040A01034</t>
  </si>
  <si>
    <t>HDFC Bank Ltd</t>
  </si>
  <si>
    <t>INE009A01021</t>
  </si>
  <si>
    <t>Infosys Ltd</t>
  </si>
  <si>
    <t>INE001A01036</t>
  </si>
  <si>
    <t>Housing Development Finance Corporation Ltd</t>
  </si>
  <si>
    <t>INE062A01020</t>
  </si>
  <si>
    <t>State Bank of India</t>
  </si>
  <si>
    <t>INE123W01016</t>
  </si>
  <si>
    <t>SBI Life Insurance Company Ltd</t>
  </si>
  <si>
    <t>INE467B01029</t>
  </si>
  <si>
    <t>Tata Consultancy Services Ltd</t>
  </si>
  <si>
    <t>INE030A01027</t>
  </si>
  <si>
    <t>Hindustan UniLever Ltd</t>
  </si>
  <si>
    <t>INE075A01022</t>
  </si>
  <si>
    <t>Wipro Ltd</t>
  </si>
  <si>
    <t>INE044A01036</t>
  </si>
  <si>
    <t>Sun Pharmaceutical Industries Ltd</t>
  </si>
  <si>
    <t>INE038A01020</t>
  </si>
  <si>
    <t>Hindalco Industries Ltd</t>
  </si>
  <si>
    <t>Non - Ferrous Metals</t>
  </si>
  <si>
    <t>INE081A01012</t>
  </si>
  <si>
    <t>Tata Steel Ltd</t>
  </si>
  <si>
    <t>INE101A01026</t>
  </si>
  <si>
    <t>Mahindra &amp; Mahindra Ltd</t>
  </si>
  <si>
    <t>INE361B01024</t>
  </si>
  <si>
    <t>Divi's Laboratories Ltd</t>
  </si>
  <si>
    <t>INE669C01036</t>
  </si>
  <si>
    <t>Tech Mahindra Ltd</t>
  </si>
  <si>
    <t>INE073K01018</t>
  </si>
  <si>
    <t>Sona BLW Precision Forgings Ltd</t>
  </si>
  <si>
    <t>INE154A01025</t>
  </si>
  <si>
    <t>ITC Ltd</t>
  </si>
  <si>
    <t>INE237A01028</t>
  </si>
  <si>
    <t>Kotak Mahindra Bank Ltd</t>
  </si>
  <si>
    <t>INE397D20024</t>
  </si>
  <si>
    <t>Sundaram Multi Cap Fund -Series II</t>
  </si>
  <si>
    <t>Sundaram Large and Mid Cap Fund</t>
  </si>
  <si>
    <t>INE149A01033</t>
  </si>
  <si>
    <t>Cholamandalam Financial Holdings Ltd</t>
  </si>
  <si>
    <t>INE280A01028</t>
  </si>
  <si>
    <t>Titan Company Ltd</t>
  </si>
  <si>
    <t>INE531A01024</t>
  </si>
  <si>
    <t>Kansai Nerolac Paints Ltd</t>
  </si>
  <si>
    <t>INE059A01026</t>
  </si>
  <si>
    <t>Cipla Ltd</t>
  </si>
  <si>
    <t>INE775A01035</t>
  </si>
  <si>
    <t>Motherson Sumi Systems Ltd</t>
  </si>
  <si>
    <t>INE765G01017</t>
  </si>
  <si>
    <t>ICICI Lombard General Insurance Company Ltd</t>
  </si>
  <si>
    <t>Sundaram Emerging Small Cap Series I</t>
  </si>
  <si>
    <t>INE142Z01019</t>
  </si>
  <si>
    <t>Orient Electric Ltd</t>
  </si>
  <si>
    <t>INE688A01022</t>
  </si>
  <si>
    <t>Transport Corporation of India Ltd</t>
  </si>
  <si>
    <t>INE717A01029</t>
  </si>
  <si>
    <t>Kennametal India Ltd</t>
  </si>
  <si>
    <t>INE472A01039</t>
  </si>
  <si>
    <t>Blue Star Ltd</t>
  </si>
  <si>
    <t>INE120A01034</t>
  </si>
  <si>
    <t>Carborundum Universal Ltd</t>
  </si>
  <si>
    <t>INE741K01010</t>
  </si>
  <si>
    <t>Creditaccess Grameen Ltd</t>
  </si>
  <si>
    <t>INE778U01029</t>
  </si>
  <si>
    <t>TCNS Clothing Co. Ltd</t>
  </si>
  <si>
    <t>INE489L01022</t>
  </si>
  <si>
    <t>IIFL Securities Ltd</t>
  </si>
  <si>
    <t>Sundaram Emerging Small Cap Series II</t>
  </si>
  <si>
    <t>Sundaram Emerging Small Cap Series III</t>
  </si>
  <si>
    <t>INE475B01022</t>
  </si>
  <si>
    <t>Hikal Ltd</t>
  </si>
  <si>
    <t>Sundaram Emerging Small Cap Series IV</t>
  </si>
  <si>
    <t>Sundaram Emerging Small Cap Series V</t>
  </si>
  <si>
    <t>Sundaram Emerging Small Cap Series VI</t>
  </si>
  <si>
    <t>Sundaram Emerging Small Cap Series VII</t>
  </si>
  <si>
    <t>INE058A01010</t>
  </si>
  <si>
    <t>Sanofi India Ltd</t>
  </si>
  <si>
    <t>INE854D01024</t>
  </si>
  <si>
    <t>United Spirits Ltd</t>
  </si>
  <si>
    <t>INE172A01027</t>
  </si>
  <si>
    <t>Castrol India Ltd</t>
  </si>
  <si>
    <t>INE517F01014</t>
  </si>
  <si>
    <t>Gujarat Pipavav Port Ltd</t>
  </si>
  <si>
    <t>INE686A01026</t>
  </si>
  <si>
    <t>ITD Cementation India Ltd</t>
  </si>
  <si>
    <t>INE182A01018</t>
  </si>
  <si>
    <t>Pfizer Ltd</t>
  </si>
  <si>
    <t>INE287B01021</t>
  </si>
  <si>
    <t>Subros Ltd</t>
  </si>
  <si>
    <t>Sundaram Select Focus</t>
  </si>
  <si>
    <t>INE016A01026</t>
  </si>
  <si>
    <t>Dabur India Ltd</t>
  </si>
  <si>
    <t>Sundaram Long Term Tax Advantage Fund Series III</t>
  </si>
  <si>
    <t>Sundaram Long Term Tax Advantage Fund Series IV</t>
  </si>
  <si>
    <t>Sundaram Long Term Tax Advantage Fund Series-I</t>
  </si>
  <si>
    <t>INE155A01022</t>
  </si>
  <si>
    <t>Tata Motors Ltd</t>
  </si>
  <si>
    <t>INE340A01012</t>
  </si>
  <si>
    <t>Birla Corporation Ltd</t>
  </si>
  <si>
    <t>Sundaram Long Term Tax Advantage Fund Series-II</t>
  </si>
  <si>
    <t>Sundaram Long Term Micro Cap Tax Advantage Fund Series III</t>
  </si>
  <si>
    <t>Sundaram Long Term Micro Cap Tax Advantage Fund Series IV</t>
  </si>
  <si>
    <t>Sundaram Long Term Micro Cap Tax Advantage Fund Series V</t>
  </si>
  <si>
    <t>Sundaram Long Term Micro Cap Tax Advantage Fund Series VI</t>
  </si>
  <si>
    <t>Sundaram Small Cap Fund</t>
  </si>
  <si>
    <t>INE098F01031</t>
  </si>
  <si>
    <t>Amrutanjan Health Care Ltd</t>
  </si>
  <si>
    <t>INE679A01013</t>
  </si>
  <si>
    <t>CSB Bank Ltd</t>
  </si>
  <si>
    <t>INE836A01035</t>
  </si>
  <si>
    <t>Birlasoft Ltd</t>
  </si>
  <si>
    <t>INE136S01016</t>
  </si>
  <si>
    <t>Neogen Chemicals Ltd</t>
  </si>
  <si>
    <t>INE085A01013</t>
  </si>
  <si>
    <t>Chambal Fertilizers &amp; Chemicals Ltd</t>
  </si>
  <si>
    <t>INE389H01022</t>
  </si>
  <si>
    <t>KEC International Ltd</t>
  </si>
  <si>
    <t>INE119A01028</t>
  </si>
  <si>
    <t>Balrampur Chini Mills Ltd</t>
  </si>
  <si>
    <t>INE217B01036</t>
  </si>
  <si>
    <t>Kajaria Ceramics Ltd</t>
  </si>
  <si>
    <t>INE970X01018</t>
  </si>
  <si>
    <t>Lemon Tree Hotels Ltd</t>
  </si>
  <si>
    <t>INE177F01017</t>
  </si>
  <si>
    <t>Kovai Medical Center &amp; Hospital Ltd</t>
  </si>
  <si>
    <t>INE930P01018</t>
  </si>
  <si>
    <t>Anupam Rasayan India Ltd</t>
  </si>
  <si>
    <t>INE690A01010</t>
  </si>
  <si>
    <t>TTK Prestige Ltd</t>
  </si>
  <si>
    <t>INE355A01028</t>
  </si>
  <si>
    <t>Somany Ceramics Ltd</t>
  </si>
  <si>
    <t>INE146L01010</t>
  </si>
  <si>
    <t>Kirloskar Oil Engines Ltd</t>
  </si>
  <si>
    <t>INE418L01021</t>
  </si>
  <si>
    <t>Nazara Technologies Ltd</t>
  </si>
  <si>
    <t>INE596I01012</t>
  </si>
  <si>
    <t>Computer Age Management Services Ltd</t>
  </si>
  <si>
    <t>INE00LO01017</t>
  </si>
  <si>
    <t>Craftsman Automation Ltd</t>
  </si>
  <si>
    <t>INE094J01016</t>
  </si>
  <si>
    <t>UTI Asset Management Co Ltd</t>
  </si>
  <si>
    <t>INE562A01011</t>
  </si>
  <si>
    <t>Indian Bank</t>
  </si>
  <si>
    <t>INE00FF01017</t>
  </si>
  <si>
    <t>AMI Organics Ltd</t>
  </si>
  <si>
    <t>INE026A01025</t>
  </si>
  <si>
    <t>Gujarat State Fertilizers &amp; Chemicals Ltd</t>
  </si>
  <si>
    <t>INE736A01011</t>
  </si>
  <si>
    <t>Central Depository Services (India) Ltd</t>
  </si>
  <si>
    <t>Sundaram Rural and Consumption Fund</t>
  </si>
  <si>
    <t>INE021A01026</t>
  </si>
  <si>
    <t>Asian Paints Ltd</t>
  </si>
  <si>
    <t>INE585B01010</t>
  </si>
  <si>
    <t>Maruti Suzuki India Ltd</t>
  </si>
  <si>
    <t>INE296A01024</t>
  </si>
  <si>
    <t>Bajaj Finance Ltd</t>
  </si>
  <si>
    <t>INE179A01014</t>
  </si>
  <si>
    <t>Procter &amp; Gamble Hygiene and Health Care Ltd</t>
  </si>
  <si>
    <t>INE239A01016</t>
  </si>
  <si>
    <t>Nestle India Ltd</t>
  </si>
  <si>
    <t>INE196A01026</t>
  </si>
  <si>
    <t>Marico Ltd</t>
  </si>
  <si>
    <t>INE951I01027</t>
  </si>
  <si>
    <t>V-Guard Industries Ltd</t>
  </si>
  <si>
    <t>INE917I01010</t>
  </si>
  <si>
    <t>Bajaj Auto Ltd</t>
  </si>
  <si>
    <t>INE054A01027</t>
  </si>
  <si>
    <t>VIP Industries Ltd</t>
  </si>
  <si>
    <t>INE872J01023</t>
  </si>
  <si>
    <t>Devyani international limited</t>
  </si>
  <si>
    <t>INE192R01011</t>
  </si>
  <si>
    <t>Avenue Supermarts Ltd</t>
  </si>
  <si>
    <t>Sundaram Services Fund</t>
  </si>
  <si>
    <t>INE670A01012</t>
  </si>
  <si>
    <t>Tata Elxsi Ltd</t>
  </si>
  <si>
    <t>INE07T201019</t>
  </si>
  <si>
    <t>Burger King India Ltd</t>
  </si>
  <si>
    <t>INE663F01024</t>
  </si>
  <si>
    <t>Info Edge (India) Ltd</t>
  </si>
  <si>
    <t>INE795G01014</t>
  </si>
  <si>
    <t>HDFC Life Insurance Company Ltd</t>
  </si>
  <si>
    <t>INE112L01020</t>
  </si>
  <si>
    <t>Metropolis Healthcare Ltd</t>
  </si>
  <si>
    <t>INE933S01016</t>
  </si>
  <si>
    <t>Indiamart Intermesh Ltd</t>
  </si>
  <si>
    <t>MU0295S00016</t>
  </si>
  <si>
    <t>Make My Trip Ltd (USD)</t>
  </si>
  <si>
    <t>Sundaram Smart NIFTY 100 Equal Weight Fund</t>
  </si>
  <si>
    <t>INE214T01019</t>
  </si>
  <si>
    <t>Larsen &amp; Toubro Infotech Ltd</t>
  </si>
  <si>
    <t>INE931S01010</t>
  </si>
  <si>
    <t>Adani Transmission Ltd</t>
  </si>
  <si>
    <t>INE160A01022</t>
  </si>
  <si>
    <t>Punjab National Bank</t>
  </si>
  <si>
    <t>INE323A01026</t>
  </si>
  <si>
    <t>Bosch Ltd</t>
  </si>
  <si>
    <t>INE646L01027</t>
  </si>
  <si>
    <t>Interglobe Aviation Ltd</t>
  </si>
  <si>
    <t>INE205A01025</t>
  </si>
  <si>
    <t>Vedanta Ltd</t>
  </si>
  <si>
    <t>INE752E01010</t>
  </si>
  <si>
    <t>Power Grid Corporation of India Ltd</t>
  </si>
  <si>
    <t>INE003A01024</t>
  </si>
  <si>
    <t>Siemens Ltd</t>
  </si>
  <si>
    <t>INE733E01010</t>
  </si>
  <si>
    <t>NTPC Ltd</t>
  </si>
  <si>
    <t>INE047A01021</t>
  </si>
  <si>
    <t>Grasim Industries Ltd</t>
  </si>
  <si>
    <t>INE019A01038</t>
  </si>
  <si>
    <t>JSW Steel Ltd</t>
  </si>
  <si>
    <t>INE628A01036</t>
  </si>
  <si>
    <t>UPL Ltd</t>
  </si>
  <si>
    <t>INE018E01016</t>
  </si>
  <si>
    <t>SBI Cards and Payment Services Ltd</t>
  </si>
  <si>
    <t>INE545U01014</t>
  </si>
  <si>
    <t>Bandhan Bank Ltd</t>
  </si>
  <si>
    <t>INE584A01023</t>
  </si>
  <si>
    <t>NMDC Ltd</t>
  </si>
  <si>
    <t>Minerals/Mining</t>
  </si>
  <si>
    <t>INE012A01025</t>
  </si>
  <si>
    <t>ACC Ltd</t>
  </si>
  <si>
    <t>INE364U01010</t>
  </si>
  <si>
    <t>Adani Green Energy Ltd</t>
  </si>
  <si>
    <t>INE528G01035</t>
  </si>
  <si>
    <t>Yes Bank Ltd</t>
  </si>
  <si>
    <t>INE095A01012</t>
  </si>
  <si>
    <t>IndusInd Bank Ltd</t>
  </si>
  <si>
    <t>INE326A01037</t>
  </si>
  <si>
    <t>Lupin Ltd</t>
  </si>
  <si>
    <t>INE414G01012</t>
  </si>
  <si>
    <t>Muthoot Finance Ltd</t>
  </si>
  <si>
    <t>INE376G01013</t>
  </si>
  <si>
    <t>Biocon Ltd</t>
  </si>
  <si>
    <t>INE089A01023</t>
  </si>
  <si>
    <t>Dr. Reddy's Laboratories Ltd</t>
  </si>
  <si>
    <t>INE079A01024</t>
  </si>
  <si>
    <t>Ambuja Cements Ltd</t>
  </si>
  <si>
    <t>INE522F01014</t>
  </si>
  <si>
    <t>Coal India Ltd</t>
  </si>
  <si>
    <t>INE070A01015</t>
  </si>
  <si>
    <t>Shree Cement Ltd</t>
  </si>
  <si>
    <t>INE318A01026</t>
  </si>
  <si>
    <t>Pidilite Industries Ltd</t>
  </si>
  <si>
    <t>INE118A01012</t>
  </si>
  <si>
    <t>Bajaj Holdings &amp; Investment Ltd</t>
  </si>
  <si>
    <t>INE406A01037</t>
  </si>
  <si>
    <t>Aurobindo Pharma Ltd</t>
  </si>
  <si>
    <t>INE140A01024</t>
  </si>
  <si>
    <t>Piramal Enterprises Ltd</t>
  </si>
  <si>
    <t>INE726G01019</t>
  </si>
  <si>
    <t>ICICI Prudential Life Insurance Company Ltd</t>
  </si>
  <si>
    <t>INE271C01023</t>
  </si>
  <si>
    <t>DLF Ltd</t>
  </si>
  <si>
    <t>INE423A01024</t>
  </si>
  <si>
    <t>Adani Enterprises</t>
  </si>
  <si>
    <t>INE102D01028</t>
  </si>
  <si>
    <t>Godrej Consumer Products Ltd</t>
  </si>
  <si>
    <t>INE685A01028</t>
  </si>
  <si>
    <t>Torrent Pharmaceuticals Ltd</t>
  </si>
  <si>
    <t>INE176B01034</t>
  </si>
  <si>
    <t>Havells India Ltd</t>
  </si>
  <si>
    <t>INE259A01022</t>
  </si>
  <si>
    <t>Colgate Palmolive (India) Ltd</t>
  </si>
  <si>
    <t>INE216A01030</t>
  </si>
  <si>
    <t>Britannia Industries Ltd</t>
  </si>
  <si>
    <t>INE158A01026</t>
  </si>
  <si>
    <t>Hero MotoCorp Ltd</t>
  </si>
  <si>
    <t>INE010B01027</t>
  </si>
  <si>
    <t>Cadila Healthcare Ltd</t>
  </si>
  <si>
    <t>INE463A01038</t>
  </si>
  <si>
    <t>Berger Paints (I) Ltd</t>
  </si>
  <si>
    <t>INE121J01017</t>
  </si>
  <si>
    <t>Indus Towers Ltd (Prev Bharti Infratel Ltd)</t>
  </si>
  <si>
    <t>INE066A01021</t>
  </si>
  <si>
    <t>Eicher Motors Ltd</t>
  </si>
  <si>
    <t>INE127D01025</t>
  </si>
  <si>
    <t>HDFC Asset Management Company Ltd</t>
  </si>
  <si>
    <t>INE216A08027</t>
  </si>
  <si>
    <t>Britannia Industries Ltd - 5.5% - 03/06/2024**</t>
  </si>
  <si>
    <t xml:space="preserve"> CRISIL AAA </t>
  </si>
  <si>
    <t>** Thinly traded / Non Traded Securities</t>
  </si>
  <si>
    <t>Sundaram Diversified Equity</t>
  </si>
  <si>
    <t>Sundaram Arbitrage Fund</t>
  </si>
  <si>
    <t>INE476A01014</t>
  </si>
  <si>
    <t>Canara Bank</t>
  </si>
  <si>
    <t>INF903J01QF2</t>
  </si>
  <si>
    <t>Sundaram Bluechip Fund</t>
  </si>
  <si>
    <t>Sundaram Equity Fund</t>
  </si>
  <si>
    <t>INE944F01028</t>
  </si>
  <si>
    <t>Radico Khaitan Ltd</t>
  </si>
  <si>
    <t>INE093I01010</t>
  </si>
  <si>
    <t>Oberoi Realty Ltd</t>
  </si>
  <si>
    <t>INE470A01017</t>
  </si>
  <si>
    <t>3M India Ltd</t>
  </si>
  <si>
    <t>INE269B01029</t>
  </si>
  <si>
    <t>Lakshmi Machine Works Ltd</t>
  </si>
  <si>
    <t>INE342J01019</t>
  </si>
  <si>
    <t>Wabco India Ltd</t>
  </si>
  <si>
    <t>Sundaram Equity Savings Fund</t>
  </si>
  <si>
    <t>Index Future</t>
  </si>
  <si>
    <t>INE020B08BF0</t>
  </si>
  <si>
    <t>REC Ltd - 8.45% - 22/03/2022**</t>
  </si>
  <si>
    <t>INE001A07RS3</t>
  </si>
  <si>
    <t>Housing Development Finance Corporation Ltd - 8.58% - 18/03/2022**</t>
  </si>
  <si>
    <t>INE020B08AT3</t>
  </si>
  <si>
    <t>REC Ltd - 7.99% - 23/02/2023**</t>
  </si>
  <si>
    <t>IN0020200112</t>
  </si>
  <si>
    <t>Sovereign</t>
  </si>
  <si>
    <t>IN0020180488</t>
  </si>
  <si>
    <t>Sundaram Financial Services Opportunities Fund</t>
  </si>
  <si>
    <t>INE674K01013</t>
  </si>
  <si>
    <t>Aditya Birla Capital Ltd</t>
  </si>
  <si>
    <t>INE780C01023</t>
  </si>
  <si>
    <t>JM Financial Ltd</t>
  </si>
  <si>
    <t>INE774D01024</t>
  </si>
  <si>
    <t>Mahindra &amp; Mahindra Financial Services Ltd</t>
  </si>
  <si>
    <t>Sundaram Value Fund Series X</t>
  </si>
  <si>
    <t>Sundaram Value Fund Series VII</t>
  </si>
  <si>
    <t>Sundaram Value Fund Series IX</t>
  </si>
  <si>
    <t>S.NO.</t>
  </si>
  <si>
    <t>ACRONYM</t>
  </si>
  <si>
    <t>SCHEME NAME</t>
  </si>
  <si>
    <t>CAPEXG</t>
  </si>
  <si>
    <t>MICAP14</t>
  </si>
  <si>
    <t>MICAP15</t>
  </si>
  <si>
    <t>MICAP16</t>
  </si>
  <si>
    <t>MICAP17</t>
  </si>
  <si>
    <t>MIDCAP</t>
  </si>
  <si>
    <t>MULTI1</t>
  </si>
  <si>
    <t>MULTI2</t>
  </si>
  <si>
    <t>Sundaram Multi Cap Fund Series II</t>
  </si>
  <si>
    <t>MULTIP</t>
  </si>
  <si>
    <t>Sundaram Large And Mid Cap Fund</t>
  </si>
  <si>
    <t>SESCAP1</t>
  </si>
  <si>
    <t>SESCAP2</t>
  </si>
  <si>
    <t>SESCAP3</t>
  </si>
  <si>
    <t>SESCAP4</t>
  </si>
  <si>
    <t>SESCAP5</t>
  </si>
  <si>
    <t>SESCAP6</t>
  </si>
  <si>
    <t>SESCAP7</t>
  </si>
  <si>
    <t>SFOCUS</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</si>
  <si>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</si>
  <si>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</si>
  <si>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</si>
  <si>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</si>
  <si>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</si>
  <si>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</si>
  <si>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</si>
  <si>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</si>
  <si>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</si>
  <si>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</si>
  <si>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</si>
  <si>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</si>
  <si>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</si>
  <si>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SRURAL</t>
  </si>
  <si>
    <t>Sundaram Rural And Consumption Fund</t>
  </si>
  <si>
    <t>SSFUND</t>
  </si>
  <si>
    <t>Sundaram Service Fund</t>
  </si>
  <si>
    <t>SSN100</t>
  </si>
  <si>
    <t>Sundaram Smart Nifty 100 Equity Weight Fund</t>
  </si>
  <si>
    <t>STAX</t>
  </si>
  <si>
    <t>SUNARF</t>
  </si>
  <si>
    <t>SUNBAF</t>
  </si>
  <si>
    <t>Sundaram Balanced Advantage Fund</t>
  </si>
  <si>
    <t>SUNBAL</t>
  </si>
  <si>
    <t>Sundaram Equity Hybrid Fund</t>
  </si>
  <si>
    <t>SUNBCF</t>
  </si>
  <si>
    <t>SUNEQF</t>
  </si>
  <si>
    <t>SUNESF</t>
  </si>
  <si>
    <t>SUNFOP</t>
  </si>
  <si>
    <t>SUNVALF10</t>
  </si>
  <si>
    <t>SUNVALF7</t>
  </si>
  <si>
    <t>SUNVALF9</t>
  </si>
  <si>
    <t>GLOB</t>
  </si>
  <si>
    <t>Sundaram Global Brand Fund</t>
  </si>
  <si>
    <t>INE092A01019</t>
  </si>
  <si>
    <t>Tata Chemicals Ltd</t>
  </si>
  <si>
    <t>INE001A07RU9</t>
  </si>
  <si>
    <t>Housing Development Finance Corporation Ltd - 8.05% - 20/06/2022**</t>
  </si>
  <si>
    <t>INE094A08085</t>
  </si>
  <si>
    <t>Hindustan Petroleum Corporation Ltd - 4.79% - 23/10/2023**</t>
  </si>
  <si>
    <t>INE261F08CA0</t>
  </si>
  <si>
    <t>National Bank for Agricultural &amp; Rural Development - 6.4% - 31/07/2023**</t>
  </si>
  <si>
    <t>INE020B08CN2</t>
  </si>
  <si>
    <t>REC Ltd - 6.8% - 30/06/2023**</t>
  </si>
  <si>
    <t>INE115A07OH1</t>
  </si>
  <si>
    <t>LIC Housing Finance Ltd - 7.6% - 22/11/2022**</t>
  </si>
  <si>
    <t>INE261F08BW6</t>
  </si>
  <si>
    <t>National Bank for Agricultural &amp; Rural Development - 6.72% - 14/04/2023**</t>
  </si>
  <si>
    <t>INE001A07SH4</t>
  </si>
  <si>
    <t>Housing Development Finance Corporation Ltd - 6.99% - 13/02/2023**</t>
  </si>
  <si>
    <t>INE020B08DC3</t>
  </si>
  <si>
    <t>REC Ltd - 5.69% - 30/09/2023**</t>
  </si>
  <si>
    <t>INE001A07SQ5</t>
  </si>
  <si>
    <t>Housing Development Finance Corporation Ltd - 4.95% - 09/09/2022**</t>
  </si>
  <si>
    <t>INE115A07CY1</t>
  </si>
  <si>
    <t>LIC Housing Finance Ltd - 9.3% - 14/09/2022**</t>
  </si>
  <si>
    <t>INE134E08KJ6</t>
  </si>
  <si>
    <t>Power Finance Corporation Ltd - 7.04% - 14/04/2023**</t>
  </si>
  <si>
    <t>INE020B08CD3</t>
  </si>
  <si>
    <t>REC Ltd - 7.09% - 13/12/2022**</t>
  </si>
  <si>
    <t>INE053F07BZ2</t>
  </si>
  <si>
    <t>Indian Railway Finance Corporation Ltd - 6.59% - 14/04/2023**</t>
  </si>
  <si>
    <t>INE115A14DA5</t>
  </si>
  <si>
    <t>LIC Housing Finance Ltd - 14/02/2022**</t>
  </si>
  <si>
    <t xml:space="preserve"> CRISIL A1+ </t>
  </si>
  <si>
    <t>Cash and Other Net Current Assets^</t>
  </si>
  <si>
    <t>**Non Traded Securities</t>
  </si>
  <si>
    <t>^ Net current assets includes interest accrued on fixed income securities</t>
  </si>
  <si>
    <t>i) Repo in corporate debt</t>
  </si>
  <si>
    <t>INE001A07SD3</t>
  </si>
  <si>
    <t>Housing Development Finance Corporation Ltd - 7.21% - 30/12/2022**</t>
  </si>
  <si>
    <t>INE134E08KO6</t>
  </si>
  <si>
    <t>Power Finance Corporation Ltd - 6.83% - 24/04/2023**</t>
  </si>
  <si>
    <t>INE062A08157</t>
  </si>
  <si>
    <t xml:space="preserve"> CRISIL AA+ </t>
  </si>
  <si>
    <t>INE020B08DR1</t>
  </si>
  <si>
    <t>REC Ltd - 5.74% - 20/06/2024**</t>
  </si>
  <si>
    <t>INE261F08CS2</t>
  </si>
  <si>
    <t>National Bank for Agricultural &amp; Rural Development - 4.6% - 29/07/2022**</t>
  </si>
  <si>
    <t>INE040A08377</t>
  </si>
  <si>
    <t>INE514E08FL5</t>
  </si>
  <si>
    <t>INE028A08158</t>
  </si>
  <si>
    <t xml:space="preserve"> IND AAA </t>
  </si>
  <si>
    <t>INE557F08FG1</t>
  </si>
  <si>
    <t>National Housing Bank  - 7.05% - 18/12/2024**</t>
  </si>
  <si>
    <t>INE028A08117</t>
  </si>
  <si>
    <t>INE115A07PE5</t>
  </si>
  <si>
    <t>LIC Housing Finance Ltd - 4.545% - 28/03/2022**</t>
  </si>
  <si>
    <t xml:space="preserve"> CARE AAA </t>
  </si>
  <si>
    <t>INE134E08KD9</t>
  </si>
  <si>
    <t>Power Finance Corporation Ltd - 8.1% - 04/06/2024**</t>
  </si>
  <si>
    <t>INE261F08BK1</t>
  </si>
  <si>
    <t>National Bank for Agricultural &amp; Rural Development - 7.69% - 29/05/2024**</t>
  </si>
  <si>
    <t>INE020B08AA3</t>
  </si>
  <si>
    <t>REC Ltd - 7.52% - 07/11/2026**</t>
  </si>
  <si>
    <t>INE115A07OJ7</t>
  </si>
  <si>
    <t>LIC Housing Finance Ltd - 7.445% - 13/01/2023**</t>
  </si>
  <si>
    <t>INE238A08443</t>
  </si>
  <si>
    <t>INE090A08TW2</t>
  </si>
  <si>
    <t>INE134E08LK2</t>
  </si>
  <si>
    <t>Power Finance Corporation Ltd - 6.09% - 27/08/2026**</t>
  </si>
  <si>
    <t>INE261F08DI1</t>
  </si>
  <si>
    <t>National Bank for Agricultural &amp; Rural Development - 5.23% - 31/01/2025</t>
  </si>
  <si>
    <t>INE001A07SC5</t>
  </si>
  <si>
    <t>Housing Development Finance Corporation Ltd - 6.99% - 25/11/2021</t>
  </si>
  <si>
    <t>INE020B08641</t>
  </si>
  <si>
    <t>REC Ltd - 9.75% - 11/11/2021**</t>
  </si>
  <si>
    <t>INE001A07TA7</t>
  </si>
  <si>
    <t>Housing Development Finance Corporation Ltd - 4.71% - 07/09/2023**</t>
  </si>
  <si>
    <t>INE528G08246</t>
  </si>
  <si>
    <t>INE895D07487</t>
  </si>
  <si>
    <t>Tata Sons Pvt Ltd - 9.3% - 19/06/2024**</t>
  </si>
  <si>
    <t>IN0020130012</t>
  </si>
  <si>
    <t>IN0020210012</t>
  </si>
  <si>
    <t>IN002021X330</t>
  </si>
  <si>
    <t>91 Days - T Bill - 27012022</t>
  </si>
  <si>
    <t>Individual &amp; HUF</t>
  </si>
  <si>
    <t>Others</t>
  </si>
  <si>
    <t>5.22% Central Government Securities 15/06/2025</t>
  </si>
  <si>
    <t>5.63% Central Government Securities 12/04/2026</t>
  </si>
  <si>
    <t>7.16% Central Government Securities 20/05/2023</t>
  </si>
  <si>
    <t>7.32 % Central Government Securities 28/01/2024</t>
  </si>
  <si>
    <t>Hindustan Dorr-Oliver Ltd @</t>
  </si>
  <si>
    <t>b) Total value and percentage of illiquid equity shares @</t>
  </si>
  <si>
    <t>0.00 / #</t>
  </si>
  <si>
    <t>Hindustan Petroleum Corporation Ltd Nov 2021</t>
  </si>
  <si>
    <t>Indian Railway Catering And Tourism Corporation Ltd Nov 2021</t>
  </si>
  <si>
    <t>SBI Life Insurance Company Ltd Nov 2021</t>
  </si>
  <si>
    <t>Hindalco Industries Ltd Nov 2021</t>
  </si>
  <si>
    <t>Page Industries Ltd Nov 2021</t>
  </si>
  <si>
    <t>Vedanta Limited Nov 2021</t>
  </si>
  <si>
    <t>Pidilite Industries Ltd Nov 2021</t>
  </si>
  <si>
    <t>Dabur India Limited Nov 2021</t>
  </si>
  <si>
    <t>Tata Steel Limited Nov 2021</t>
  </si>
  <si>
    <t>Canara Bank Nov 2021</t>
  </si>
  <si>
    <t>HDFC Asset Management Company Ltd Nov 2021</t>
  </si>
  <si>
    <t>Bharat Forge Ltd Nov 2021</t>
  </si>
  <si>
    <t>ICICI Bank Ltd Nov 2021</t>
  </si>
  <si>
    <t>Ashok Leyland Ltd Nov 2021</t>
  </si>
  <si>
    <t>Adani Ports &amp; SEZ Ltd Nov 2021</t>
  </si>
  <si>
    <t>Apollo Hospitals Enterprise Limited Nov 2021</t>
  </si>
  <si>
    <t>HDFC Life Insurance Company Ltd Nov 2021</t>
  </si>
  <si>
    <t>Bajaj Finserv Limited Nov 2021</t>
  </si>
  <si>
    <t>Indraprastha Gas Ltd Nov 2021</t>
  </si>
  <si>
    <t>SBI Cards and Payment Services Ltd Nov 2021</t>
  </si>
  <si>
    <t>Shriram Transport Finance Company Limited Nov 2021</t>
  </si>
  <si>
    <t>ITC Ltd Nov 2021</t>
  </si>
  <si>
    <t>LIC Housing Finance Ltd Nov 2021</t>
  </si>
  <si>
    <t>Hindustan Unilever Ltd Nov 2021</t>
  </si>
  <si>
    <t>State Bank of India Nov 2021</t>
  </si>
  <si>
    <t>Jindal Steel &amp; Power Ltd Nov 2021</t>
  </si>
  <si>
    <t>Reliance Industries Ltd Nov 2021</t>
  </si>
  <si>
    <t>Axis Bank Ltd Nov 2021</t>
  </si>
  <si>
    <t>TATA Consumer Products Ltd Nov 2021</t>
  </si>
  <si>
    <t>Tata Chemicals Limited Nov 2021</t>
  </si>
  <si>
    <t>Divis Labarotories Ltd Nov 2021</t>
  </si>
  <si>
    <t>Grasim Industries Limited Nov 2021</t>
  </si>
  <si>
    <t>Lupin Ltd Nov 2021</t>
  </si>
  <si>
    <t>Punjab National Bank Nov 2021</t>
  </si>
  <si>
    <t>Tata Motors Ltd Nov 2021</t>
  </si>
  <si>
    <t>Bajaj Auto Ltd Nov 2021</t>
  </si>
  <si>
    <t>NMDC Ltd Nov 2021</t>
  </si>
  <si>
    <t>HDFC Bank Limited Nov 2021</t>
  </si>
  <si>
    <t>TATA Consultancy Services Ltd Nov 2021</t>
  </si>
  <si>
    <t>Housing Development Fin Corp Ltd Nov 2021</t>
  </si>
  <si>
    <t>Tech Mahindra Ltd Nov 2021</t>
  </si>
  <si>
    <t>Bharti Airtel Ltd Nov 2021</t>
  </si>
  <si>
    <t>United Spirits Ltd Nov 2021</t>
  </si>
  <si>
    <t>Nifty Nov 2021</t>
  </si>
  <si>
    <t>Kotak Mahindra Bank Ltd Nov 2021</t>
  </si>
  <si>
    <t>Nestle India Ltd Nov 2021</t>
  </si>
  <si>
    <t>Hero MotoCorp Ltd Nov 2021</t>
  </si>
  <si>
    <t>Mahindra &amp; Mahindra Ltd Nov 2021</t>
  </si>
  <si>
    <t>Federal Bank Nov 2021</t>
  </si>
  <si>
    <t>INE041025011</t>
  </si>
  <si>
    <t>Embassy Office Parks(REIT)</t>
  </si>
  <si>
    <t>INE0GGX23010</t>
  </si>
  <si>
    <t>Power Grid Infrastructure Investment Trust(InvIT)</t>
  </si>
  <si>
    <t>Action Construction Equipment Ltd</t>
  </si>
  <si>
    <t>INE001A13049</t>
  </si>
  <si>
    <t>Housing Development Finance
Corporation Ltd</t>
  </si>
  <si>
    <t>Monthly Portfolio Statement for the month ended 31 October 2021</t>
  </si>
  <si>
    <t>-</t>
  </si>
  <si>
    <t>As Per Annexure-A</t>
  </si>
  <si>
    <t>Rs.979.14 Lacs</t>
  </si>
  <si>
    <t>g) Average Maturity - only for Debt portion (years)</t>
  </si>
  <si>
    <t>h) Macaulay Duration - only for Debt portion (years)</t>
  </si>
  <si>
    <t>j) Portfolio Turnover Ratio</t>
  </si>
  <si>
    <t>i) Portfolio Turnover Ratio</t>
  </si>
  <si>
    <t>j) Repo in corporate debt</t>
  </si>
  <si>
    <t>Sundaram Money Fund - Direct Growth @@</t>
  </si>
  <si>
    <t xml:space="preserve"> @@ Placed as margin for derivatives</t>
  </si>
  <si>
    <t xml:space="preserve"> ICRA AAA </t>
  </si>
  <si>
    <t xml:space="preserve"> ICRA AA+ </t>
  </si>
  <si>
    <t xml:space="preserve"> ICRA BBB </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</si>
  <si>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</si>
  <si>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</si>
  <si>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</si>
  <si>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</si>
  <si>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</si>
  <si>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</si>
  <si>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</si>
  <si>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</si>
  <si>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</si>
  <si>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</si>
  <si>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Interest not accrued upto 31/05/2021 from the default date (Rs. in Lacs)</t>
  </si>
  <si>
    <t>Total 
(Rs. in Lacs)</t>
  </si>
  <si>
    <t>SUNBAL - AUM</t>
  </si>
  <si>
    <t>$ Yes Bank Limited Reconstruction Scheme 2020” was notified in the Official Gazette on March 13, 2020. Based on that, the Basel III Additional Tier I Bonds (ISIN - INE528G08394) were written down in the scheme along with the Interest accrued.</t>
  </si>
  <si>
    <t>% to AUM as on 31.10.2021</t>
  </si>
  <si>
    <t>Bank of Baroda - 8.65% - Call Dt 11/08/2022**  (Perpetual Bond under Basel III)</t>
  </si>
  <si>
    <t>State Bank of India - 8.15% - Call Dt 02/08/2022** (Perpetual Bond under Basel III)</t>
  </si>
  <si>
    <t>HDFC Bank Ltd - 8.85% - Call Dt 12/05/2022** (Perpetual Bond under Basel III)</t>
  </si>
  <si>
    <t>Export Import Bank of India - 8.6% - Call Dt 31/03/2022** (Perpetual Bond under Basel III)</t>
  </si>
  <si>
    <t>Bank of Baroda - 8.55% - Call Dt 14-Feb-2024 (Tier II Bond under Basel III)**</t>
  </si>
  <si>
    <t>Axis Bank Ltd - 8.75% - Call Dt 28/06/2022** (Perpetual Bond under Basel III)</t>
  </si>
  <si>
    <t>ICICI Bank Ltd - 9.2% - Call Dt 17/03/2022** (Perpetual Bond under Basel III)</t>
  </si>
  <si>
    <t>YTM (%)</t>
  </si>
  <si>
    <t>Cement &amp; Cement Products</t>
  </si>
  <si>
    <t>Consumer Discretionary Services</t>
  </si>
  <si>
    <t>Insurance</t>
  </si>
  <si>
    <t>Capital Markets</t>
  </si>
  <si>
    <t>Other Services</t>
  </si>
  <si>
    <t>Entertainment</t>
  </si>
  <si>
    <t>Leisure Services</t>
  </si>
  <si>
    <t>Printing &amp; Publication</t>
  </si>
  <si>
    <t>Aerospace &amp; Defense</t>
  </si>
  <si>
    <t>Direct Plan - IDCW^^</t>
  </si>
  <si>
    <t>Regular Plan - IDCW^^</t>
  </si>
  <si>
    <t>d) IDCW^^ declared during the period (Rupees per unit)</t>
  </si>
  <si>
    <t>Institutional Plan - IDCW^^</t>
  </si>
  <si>
    <t>^^ IDCW means Income distribution cum capital withdrawal (Payout/Reinvestment/Transfer)</t>
  </si>
  <si>
    <t>Yield to call date %</t>
  </si>
  <si>
    <t>SUNDARAM GLOBAL BRAND FUND</t>
  </si>
  <si>
    <t>Monthly Portfolio Statement for the period ended 31 Oct 2021</t>
  </si>
  <si>
    <t>S.NO</t>
  </si>
  <si>
    <t>ISIN CODE</t>
  </si>
  <si>
    <t>Name of the Instrument</t>
  </si>
  <si>
    <t>Industry/ Rating</t>
  </si>
  <si>
    <t>A) Investments in Foreign Securities - Units of Mutual Funds</t>
  </si>
  <si>
    <t>SG9999013908</t>
  </si>
  <si>
    <t>SUNDARAM GLOBAL BRAND FUND -MASTER CLASS (Singapore)</t>
  </si>
  <si>
    <t>Mutual Funds</t>
  </si>
  <si>
    <t>Total for Investments in Foreign Securities - Units of Mutual Funds</t>
  </si>
  <si>
    <t>B) Money Market Investments</t>
  </si>
  <si>
    <t>Cash and Other Net Curent Assets</t>
  </si>
  <si>
    <t>a) Total securities below investment grade or default  - Nil</t>
  </si>
  <si>
    <t>b) Total value and percentage of illiquid equity shares - Nil</t>
  </si>
  <si>
    <t xml:space="preserve"> </t>
  </si>
  <si>
    <t>Options</t>
  </si>
  <si>
    <t>Direct Plan - IDCW ^^</t>
  </si>
  <si>
    <t>Regular Plan - IDCW ^^</t>
  </si>
  <si>
    <t>d) IDCW declared during the period (Rupees per unit) - Nil</t>
  </si>
  <si>
    <t>e) Total outstanding exposure in derivative instrumentsat the end of the period - Nil</t>
  </si>
  <si>
    <t>f) Total investments in foreign securities /ADR'S/GDR'S  at the end of the period - Rs. 9,259.16 lacs</t>
  </si>
  <si>
    <t>g) Repo in Corporate Debt - Nil</t>
  </si>
  <si>
    <t>1. Other securities</t>
  </si>
  <si>
    <t>Scheme Riskometer</t>
  </si>
  <si>
    <t>Benchmark Riskometer - NIFTY Infrastructure TRI</t>
  </si>
  <si>
    <t>Benchmark Riskometer - S&amp;P BSE Small Cap TRI</t>
  </si>
  <si>
    <t>Benchmark Riskometer - Nifty MidCap 100 TRI</t>
  </si>
  <si>
    <t>Benchmark Riskometer - S&amp;P BSE 500 TRI</t>
  </si>
  <si>
    <t>Benchmark Riskometer - Nifty Large Mid Cap 250 TRI</t>
  </si>
  <si>
    <t>Benchmark Riskometer - S&amp;P BSE 250 SmallCap TRI</t>
  </si>
  <si>
    <t>Benchmark Riskometer - Nifty 50 TRI</t>
  </si>
  <si>
    <t>Benchmark Riskometer - Nifty Small Cap 100 TRI</t>
  </si>
  <si>
    <t>Benchmark Riskometer - Nifty India Consumption TRI</t>
  </si>
  <si>
    <t>Benchmark Riskometer - S&amp;P BSE 200 TRI</t>
  </si>
  <si>
    <t>Benchmark Riskometer - Nifty 100 Equal Weighted TRI</t>
  </si>
  <si>
    <t>Benchmark Riskometer - NIFTY 50 Arbitrage TRI</t>
  </si>
  <si>
    <t>Benchmark Riskometer - CRISIL Hybrid 50+50 - Moderate Index</t>
  </si>
  <si>
    <t>Benchmark Riskometer - CRISIL Hybrid 35+65 - Aggressive Index</t>
  </si>
  <si>
    <t>Benchmark Riskometer - Nifty 100 TRI</t>
  </si>
  <si>
    <t>Benchmark Riskometer - Nifty 500 MultiCap 50:25:25 TRI</t>
  </si>
  <si>
    <t>Benchmark Riskometer - Nifty Equity Savings TRI</t>
  </si>
  <si>
    <t>Benchmark Riskometer - Nifty Financial Services TRI</t>
  </si>
  <si>
    <t>Benchmark Riskometer - Dow Jones Industrial Average TRI</t>
  </si>
  <si>
    <t>Bharti Airtel Ltd - Partly Paid Right Shares</t>
  </si>
  <si>
    <t>Yes Bank Ltd - 9.9% - 31/10/2022** (Tier II bond under Basel II)</t>
  </si>
  <si>
    <t>Annexure-A</t>
  </si>
  <si>
    <t>DERIVATIVES DISCLOSURE</t>
  </si>
  <si>
    <t>Disclosure regarding Derivative positions pursuant to SEBI Circular no CIR/IMD/DF/11/2010 dated August18,2010</t>
  </si>
  <si>
    <t>DETAILS OF INVESTMENTS IN DERIVATIVE INSTRUMENTS</t>
  </si>
  <si>
    <t>A. Hedging Positions through Futures as on October 31,2021 :</t>
  </si>
  <si>
    <t>Scheme Name</t>
  </si>
  <si>
    <t>Underlying</t>
  </si>
  <si>
    <t>Long/Short</t>
  </si>
  <si>
    <t>Futures Price When Purchased</t>
  </si>
  <si>
    <t>Current Price of the contract</t>
  </si>
  <si>
    <t>Margin maintained in       (Rs in Lakhs)*</t>
  </si>
  <si>
    <t>Short</t>
  </si>
  <si>
    <t xml:space="preserve">Total percentage of existing assets hedged through futures as a percentage of net assets </t>
  </si>
  <si>
    <t>%</t>
  </si>
  <si>
    <t>For the period ended October 31,2021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</si>
  <si>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</si>
  <si>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</si>
  <si>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</si>
  <si>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</si>
  <si>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</si>
  <si>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Sundaram Select Micro Cap Series IX</t>
  </si>
  <si>
    <t>Sundaram Select Micro Cap Series VIII</t>
  </si>
  <si>
    <t>Sundaram Select Micro Cap Series XII</t>
  </si>
  <si>
    <t>Sundaram Select Micro Cap Series XI</t>
  </si>
  <si>
    <t>Sundaram Select Micro Cap Series X</t>
  </si>
  <si>
    <t>B. Other than hedging positions through futures as on October 31,2021:</t>
  </si>
  <si>
    <t>Margin maintained in       (Rs. in Lakhs) *</t>
  </si>
  <si>
    <t>LONG</t>
  </si>
  <si>
    <t>Total percentage of existing assets due to non-hedging positions as a percentage of net assets</t>
  </si>
  <si>
    <t>For the period ended October 31,2021 following were the non-hedging transactions through futures which have been squared off / expired</t>
  </si>
  <si>
    <t>Gross Notional value of contracts where futures were sold      ( Rs. in Lakhs)</t>
  </si>
  <si>
    <t>Net Profit / (Loss) value on all contracts combined      (Rs. in lakhs)</t>
  </si>
  <si>
    <t>Sundaram Midcap Fund</t>
  </si>
  <si>
    <t>C. Hedging Positions through Put Options as on October 31,2021:</t>
  </si>
  <si>
    <t>Call/Put</t>
  </si>
  <si>
    <t>Number of Contracts</t>
  </si>
  <si>
    <t>Option Price when purchased</t>
  </si>
  <si>
    <t>Current Option Price</t>
  </si>
  <si>
    <t>Total % of existing assets hedged through Put Options</t>
  </si>
  <si>
    <t>For the period ended  October 31,2021,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</si>
  <si>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</si>
  <si>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</si>
  <si>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</si>
  <si>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</si>
  <si>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October 31,2021:</t>
  </si>
  <si>
    <t xml:space="preserve">Total Exposure through Options other than hedging as a percentage of net assets </t>
  </si>
  <si>
    <t>For the period ended October 31,2021, the following non hedging transactions through options which have been already exercised/expired</t>
  </si>
  <si>
    <t>Gross Notional value of contracts  bought(Rs. in Lakhs)</t>
  </si>
  <si>
    <t>Gross Notional value of contracts  sold (Rs. in Lakhs)</t>
  </si>
  <si>
    <t>E. Hedging Positions through Swaps as on October 31,2021- Nil</t>
  </si>
  <si>
    <t>F. Hedging Positions through Interest Rate Futures as on October 31,2021:</t>
  </si>
  <si>
    <t xml:space="preserve">Futures Price
When Purchased </t>
  </si>
  <si>
    <t>Current Price of
the contract</t>
  </si>
  <si>
    <t>Margin maintained
in (Rs. in Lakhs)</t>
  </si>
  <si>
    <t>Total percentage of existing assets hedged through Interest Rate Futures a Percentage of net assets</t>
  </si>
  <si>
    <t>For the period ended October 31,2021 following were the hedging transactions through Interest Rate Futures which have been squared off/ expired</t>
  </si>
  <si>
    <t>For the period ended October 31,2021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</si>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</sst>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 #,##0.00_ ;_ * \-#,##0.00_ ;_ * &quot;-&quot;??_ ;_ @_ "/>
    <numFmt numFmtId="164" formatCode="[$-1014009]General"/>
    <numFmt numFmtId="165" formatCode="[$-1014009]###0;\(###0\)"/>
    <numFmt numFmtId="166" formatCode="[$-1014009]###0.00;\(###0.00\)"/>
    <numFmt numFmtId="167" formatCode="[$-1014009]###0.00%;\(###0.00%\)"/>
    <numFmt numFmtId="168" formatCode="[$-1014009]#,##0.00;\-#,##0.00"/>
    <numFmt numFmtId="169" formatCode="[$-1014009]#,##0.00%"/>
    <numFmt numFmtId="170" formatCode="[$-1014009]#,##0.0000;\-#,##0.0000"/>
    <numFmt numFmtId="171" formatCode="[$-1014009]#,##0.000000;\-#,##0.000000"/>
    <numFmt numFmtId="172" formatCode="[$-1014009]#.0000"/>
    <numFmt numFmtId="173" formatCode="[$-1014009]#,##0.00;\(#,##0.00\)"/>
    <numFmt numFmtId="174" formatCode="_(* #,##0.00_);_(* \(#,##0.00\);_(* &quot;-&quot;??_);_(@_)"/>
    <numFmt numFmtId="175" formatCode="0.00000"/>
    <numFmt numFmtId="176" formatCode="0.0000"/>
    <numFmt numFmtId="177" formatCode="0.000"/>
    <numFmt numFmtId="178" formatCode="#,##0.000"/>
    <numFmt numFmtId="179" formatCode="dd\/mm\/yyyy"/>
    <numFmt numFmtId="180" formatCode="0.000000000"/>
    <numFmt numFmtId="182" formatCode="#,##0.0000;\(#,##0.0000\)"/>
    <numFmt numFmtId="183" formatCode="_(* #,##0.000_);_(* \(#,##0.000\);_(* &quot;-&quot;??_);_(@_)"/>
    <numFmt numFmtId="184" formatCode="_(* #,##0_);_(* \(#,##0\);_(* &quot;-&quot;??_);_(@_)"/>
  </numFmts>
  <fonts count="36"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11"/>
      <color theme="1"/>
      <name val="Calibri"/>
      <family val="2"/>
    </font>
    <font>
      <b/>
      <sz val="11"/>
      <name val="Calibri"/>
      <family val="2"/>
    </font>
    <font>
      <sz val="11"/>
      <color theme="1"/>
      <name val="Calibri"/>
      <family val="2"/>
    </font>
    <font>
      <sz val="11"/>
      <name val="Calibri"/>
      <family val="2"/>
    </font>
    <font>
      <sz val="10"/>
      <name val="Arial"/>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color theme="1"/>
      <name val="Calibri"/>
      <family val="2"/>
      <scheme val="minor"/>
    </font>
    <font>
      <b/>
      <sz val="10"/>
      <name val="Arial"/>
      <family val="2"/>
    </font>
    <font>
      <b/>
      <sz val="11"/>
      <color theme="0"/>
      <name val="Calibri"/>
      <family val="2"/>
      <scheme val="minor"/>
    </font>
    <font>
      <b/>
      <sz val="11"/>
      <color theme="1"/>
      <name val="Calibri"/>
      <family val="2"/>
      <scheme val="minor"/>
    </font>
    <font>
      <sz val="11"/>
      <color indexed="8"/>
      <name val="Calibri"/>
      <family val="2"/>
    </font>
    <font>
      <sz val="10"/>
      <color theme="0"/>
      <name val="Calibri"/>
      <family val="2"/>
      <scheme val="minor"/>
    </font>
    <font>
      <sz val="10"/>
      <color theme="0"/>
      <name val="Arial"/>
      <family val="2"/>
    </font>
    <font>
      <sz val="10"/>
      <name val="Arial"/>
      <family val="2"/>
    </font>
    <font>
      <b/>
      <sz val="11"/>
      <name val="Calibri"/>
      <family val="2"/>
      <scheme val="minor"/>
    </font>
    <font>
      <sz val="10"/>
      <name val="Calibri"/>
      <family val="2"/>
      <scheme val="minor"/>
    </font>
    <font>
      <b/>
      <sz val="10"/>
      <name val="Calibri"/>
      <family val="2"/>
      <scheme val="minor"/>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sz val="10"/>
      <color theme="1"/>
      <name val="Calibri"/>
      <family val="2"/>
    </font>
    <font>
      <b/>
      <sz val="10"/>
      <color theme="1"/>
      <name val="Calibri"/>
      <family val="2"/>
      <scheme val="minor"/>
    </font>
    <font>
      <sz val="10"/>
      <name val="Calibri"/>
      <family val="2"/>
    </font>
    <font>
      <b/>
      <sz val="9"/>
      <color indexed="81"/>
      <name val="Tahoma"/>
      <family val="2"/>
    </font>
  </fonts>
  <fills count="4">
    <fill>
      <patternFill patternType="none"/>
    </fill>
    <fill>
      <patternFill patternType="gray125"/>
    </fill>
    <fill>
      <patternFill patternType="solid">
        <fgColor indexed="9"/>
      </patternFill>
    </fill>
    <fill>
      <patternFill patternType="solid">
        <fgColor indexed="9"/>
        <bgColor indexed="64"/>
      </patternFill>
    </fill>
  </fills>
  <borders count="16">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style="thin">
        <color indexed="64"/>
      </top>
      <bottom/>
      <diagonal/>
    </border>
  </borders>
  <cellStyleXfs count="13">
    <xf numFmtId="0" fontId="0" fillId="0" borderId="0">
      <alignment wrapText="1"/>
    </xf>
    <xf numFmtId="0" fontId="2" fillId="0" borderId="0"/>
    <xf numFmtId="0" fontId="11" fillId="0" borderId="0">
      <alignment wrapText="1"/>
    </xf>
    <xf numFmtId="0" fontId="2" fillId="0" borderId="0"/>
    <xf numFmtId="174" fontId="21" fillId="0" borderId="0" applyFont="0" applyFill="0" applyBorder="0" applyAlignment="0" applyProtection="0"/>
    <xf numFmtId="9" fontId="21" fillId="0" borderId="0" applyFont="0" applyFill="0" applyBorder="0" applyAlignment="0" applyProtection="0"/>
    <xf numFmtId="43" fontId="24" fillId="0" borderId="0" applyFont="0" applyFill="0" applyBorder="0" applyAlignment="0" applyProtection="0"/>
    <xf numFmtId="0" fontId="11" fillId="0" borderId="0"/>
    <xf numFmtId="0" fontId="1" fillId="0" borderId="0"/>
    <xf numFmtId="174" fontId="11" fillId="0" borderId="0" applyFont="0" applyFill="0" applyBorder="0" applyAlignment="0" applyProtection="0"/>
    <xf numFmtId="0" fontId="11" fillId="0" borderId="0"/>
    <xf numFmtId="0" fontId="11" fillId="0" borderId="0"/>
    <xf numFmtId="0" fontId="11" fillId="0" borderId="0">
      <alignment wrapText="1"/>
    </xf>
  </cellStyleXfs>
  <cellXfs count="312">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5"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169"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0" fillId="2" borderId="0" xfId="0" applyFill="1" applyBorder="1" applyAlignment="1">
      <alignment horizontal="center" vertical="top" readingOrder="1"/>
    </xf>
    <xf numFmtId="0" fontId="4" fillId="2" borderId="5" xfId="0" applyFont="1" applyFill="1" applyBorder="1" applyAlignment="1">
      <alignment horizontal="right" vertical="top" wrapText="1" readingOrder="1"/>
    </xf>
    <xf numFmtId="169" fontId="5" fillId="2" borderId="4" xfId="0" applyNumberFormat="1" applyFont="1" applyFill="1" applyBorder="1" applyAlignment="1">
      <alignment horizontal="left" vertical="center" wrapText="1" readingOrder="1"/>
    </xf>
    <xf numFmtId="0" fontId="7" fillId="0" borderId="7" xfId="1" applyFont="1" applyBorder="1" applyAlignment="1">
      <alignment horizontal="center" vertical="center"/>
    </xf>
    <xf numFmtId="0" fontId="8" fillId="0" borderId="7" xfId="1" applyFont="1" applyBorder="1" applyAlignment="1">
      <alignment horizontal="center" vertical="center"/>
    </xf>
    <xf numFmtId="0" fontId="9" fillId="0" borderId="0" xfId="1" applyFont="1" applyAlignment="1">
      <alignment horizontal="center" vertical="center"/>
    </xf>
    <xf numFmtId="0" fontId="9" fillId="0" borderId="7" xfId="1" applyFont="1" applyBorder="1" applyAlignment="1">
      <alignment horizontal="center" vertical="center"/>
    </xf>
    <xf numFmtId="0" fontId="10" fillId="0" borderId="7" xfId="1" applyFont="1" applyBorder="1" applyAlignment="1">
      <alignment vertical="center"/>
    </xf>
    <xf numFmtId="0" fontId="9" fillId="0" borderId="0" xfId="1" applyFont="1" applyAlignment="1">
      <alignment vertical="center"/>
    </xf>
    <xf numFmtId="0" fontId="9" fillId="0" borderId="7" xfId="1" applyFont="1" applyBorder="1" applyAlignment="1">
      <alignment vertical="center"/>
    </xf>
    <xf numFmtId="0" fontId="11" fillId="0" borderId="0" xfId="2">
      <alignment wrapText="1"/>
    </xf>
    <xf numFmtId="0" fontId="13" fillId="2" borderId="4" xfId="2" applyFont="1" applyFill="1" applyBorder="1" applyAlignment="1">
      <alignment horizontal="right" vertical="top" wrapText="1" readingOrder="1"/>
    </xf>
    <xf numFmtId="0" fontId="14" fillId="2" borderId="4" xfId="2" applyFont="1" applyFill="1" applyBorder="1" applyAlignment="1">
      <alignment horizontal="left" vertical="center" wrapText="1" readingOrder="1"/>
    </xf>
    <xf numFmtId="164" fontId="13" fillId="2" borderId="4" xfId="2" applyNumberFormat="1" applyFont="1" applyFill="1" applyBorder="1" applyAlignment="1">
      <alignment horizontal="right" vertical="center" wrapText="1" readingOrder="1"/>
    </xf>
    <xf numFmtId="0" fontId="13" fillId="2" borderId="4" xfId="2" applyFont="1" applyFill="1" applyBorder="1" applyAlignment="1">
      <alignment horizontal="left" vertical="center" wrapText="1" readingOrder="1"/>
    </xf>
    <xf numFmtId="165" fontId="13" fillId="2" borderId="4" xfId="2" applyNumberFormat="1" applyFont="1" applyFill="1" applyBorder="1" applyAlignment="1">
      <alignment horizontal="right" vertical="center" wrapText="1" readingOrder="1"/>
    </xf>
    <xf numFmtId="166" fontId="13" fillId="2" borderId="4" xfId="2" applyNumberFormat="1" applyFont="1" applyFill="1" applyBorder="1" applyAlignment="1">
      <alignment horizontal="right" vertical="center" wrapText="1" readingOrder="1"/>
    </xf>
    <xf numFmtId="167" fontId="13" fillId="2" borderId="4" xfId="2" applyNumberFormat="1" applyFont="1" applyFill="1" applyBorder="1" applyAlignment="1">
      <alignment horizontal="right" vertical="center" wrapText="1" readingOrder="1"/>
    </xf>
    <xf numFmtId="166" fontId="14" fillId="2" borderId="4" xfId="2" applyNumberFormat="1" applyFont="1" applyFill="1" applyBorder="1" applyAlignment="1">
      <alignment horizontal="right" vertical="center" wrapText="1" readingOrder="1"/>
    </xf>
    <xf numFmtId="167" fontId="14" fillId="2" borderId="4" xfId="2" applyNumberFormat="1" applyFont="1" applyFill="1" applyBorder="1" applyAlignment="1">
      <alignment horizontal="right" vertical="center" wrapText="1" readingOrder="1"/>
    </xf>
    <xf numFmtId="0" fontId="15" fillId="2" borderId="4" xfId="2" applyFont="1" applyFill="1" applyBorder="1" applyAlignment="1">
      <alignment horizontal="left" vertical="center" wrapText="1" readingOrder="1"/>
    </xf>
    <xf numFmtId="0" fontId="15" fillId="2" borderId="4" xfId="2" applyFont="1" applyFill="1" applyBorder="1" applyAlignment="1">
      <alignment horizontal="right" vertical="center" wrapText="1" readingOrder="1"/>
    </xf>
    <xf numFmtId="168" fontId="14" fillId="2" borderId="4" xfId="2" applyNumberFormat="1" applyFont="1" applyFill="1" applyBorder="1" applyAlignment="1">
      <alignment horizontal="right" vertical="center" wrapText="1" readingOrder="1"/>
    </xf>
    <xf numFmtId="169" fontId="14" fillId="2" borderId="4" xfId="2" applyNumberFormat="1" applyFont="1" applyFill="1" applyBorder="1" applyAlignment="1">
      <alignment horizontal="right" vertical="center" wrapText="1" readingOrder="1"/>
    </xf>
    <xf numFmtId="0" fontId="13" fillId="2" borderId="4" xfId="2" applyFont="1" applyFill="1" applyBorder="1" applyAlignment="1">
      <alignment horizontal="right" vertical="center" wrapText="1" readingOrder="1"/>
    </xf>
    <xf numFmtId="0" fontId="15" fillId="2" borderId="5" xfId="2" applyFont="1" applyFill="1" applyBorder="1" applyAlignment="1">
      <alignment horizontal="left" vertical="center" wrapText="1" readingOrder="1"/>
    </xf>
    <xf numFmtId="0" fontId="15" fillId="2" borderId="5" xfId="2" applyFont="1" applyFill="1" applyBorder="1" applyAlignment="1">
      <alignment horizontal="right" vertical="center" wrapText="1" readingOrder="1"/>
    </xf>
    <xf numFmtId="0" fontId="15" fillId="2" borderId="0" xfId="2" applyFont="1" applyFill="1" applyAlignment="1">
      <alignment horizontal="left" vertical="center" wrapText="1" readingOrder="1"/>
    </xf>
    <xf numFmtId="0" fontId="15" fillId="2" borderId="0" xfId="2" applyFont="1" applyFill="1" applyAlignment="1">
      <alignment horizontal="right" vertical="center" wrapText="1" readingOrder="1"/>
    </xf>
    <xf numFmtId="0" fontId="15" fillId="2" borderId="6" xfId="2" applyFont="1" applyFill="1" applyBorder="1" applyAlignment="1">
      <alignment horizontal="right" vertical="center" wrapText="1" readingOrder="1"/>
    </xf>
    <xf numFmtId="0" fontId="13" fillId="2" borderId="0" xfId="2" applyFont="1" applyFill="1" applyAlignment="1">
      <alignment horizontal="right" vertical="top" wrapText="1" readingOrder="1"/>
    </xf>
    <xf numFmtId="0" fontId="14" fillId="2" borderId="4" xfId="2" applyFont="1" applyFill="1" applyBorder="1" applyAlignment="1">
      <alignment horizontal="right" vertical="top" wrapText="1" readingOrder="1"/>
    </xf>
    <xf numFmtId="0" fontId="14" fillId="2" borderId="4" xfId="2" applyFont="1" applyFill="1" applyBorder="1" applyAlignment="1">
      <alignment horizontal="left" vertical="top" wrapText="1" readingOrder="1"/>
    </xf>
    <xf numFmtId="172" fontId="13" fillId="2" borderId="4" xfId="2" applyNumberFormat="1" applyFont="1" applyFill="1" applyBorder="1" applyAlignment="1">
      <alignment horizontal="right" vertical="center" wrapText="1" readingOrder="1"/>
    </xf>
    <xf numFmtId="0" fontId="13" fillId="2" borderId="0" xfId="2" applyFont="1" applyFill="1" applyAlignment="1">
      <alignment horizontal="left" vertical="center" wrapText="1" readingOrder="1"/>
    </xf>
    <xf numFmtId="0" fontId="13" fillId="2" borderId="0" xfId="2" applyFont="1" applyFill="1" applyAlignment="1">
      <alignment horizontal="right" vertical="center" wrapText="1" readingOrder="1"/>
    </xf>
    <xf numFmtId="0" fontId="11" fillId="2" borderId="0" xfId="2" applyFill="1" applyAlignment="1">
      <alignment horizontal="center" vertical="top" readingOrder="1"/>
    </xf>
    <xf numFmtId="0" fontId="13" fillId="2" borderId="6" xfId="2" applyFont="1" applyFill="1" applyBorder="1" applyAlignment="1">
      <alignment horizontal="right" vertical="top" wrapText="1" readingOrder="1"/>
    </xf>
    <xf numFmtId="173" fontId="14" fillId="2" borderId="4" xfId="2" applyNumberFormat="1" applyFont="1" applyFill="1" applyBorder="1" applyAlignment="1">
      <alignment horizontal="left" vertical="center" wrapText="1" readingOrder="1"/>
    </xf>
    <xf numFmtId="0" fontId="16" fillId="2" borderId="4" xfId="2" applyFont="1" applyFill="1" applyBorder="1" applyAlignment="1">
      <alignment horizontal="left" vertical="center" wrapText="1" readingOrder="1"/>
    </xf>
    <xf numFmtId="0" fontId="16" fillId="2" borderId="4" xfId="2" applyFont="1" applyFill="1" applyBorder="1" applyAlignment="1">
      <alignment horizontal="right" vertical="center" wrapText="1" readingOrder="1"/>
    </xf>
    <xf numFmtId="171" fontId="13" fillId="2" borderId="4" xfId="2" applyNumberFormat="1" applyFont="1" applyFill="1" applyBorder="1" applyAlignment="1">
      <alignment horizontal="right" vertical="center" wrapText="1" readingOrder="1"/>
    </xf>
    <xf numFmtId="0" fontId="13" fillId="2" borderId="5" xfId="2" applyFont="1" applyFill="1" applyBorder="1" applyAlignment="1">
      <alignment horizontal="left" vertical="center" wrapText="1" readingOrder="1"/>
    </xf>
    <xf numFmtId="0" fontId="14" fillId="2" borderId="5" xfId="2" applyFont="1" applyFill="1" applyBorder="1" applyAlignment="1">
      <alignment horizontal="left" vertical="center" wrapText="1" readingOrder="1"/>
    </xf>
    <xf numFmtId="0" fontId="13" fillId="2" borderId="4" xfId="0" applyFont="1" applyFill="1" applyBorder="1" applyAlignment="1">
      <alignment horizontal="left" vertical="center" wrapText="1" readingOrder="1"/>
    </xf>
    <xf numFmtId="0" fontId="14" fillId="2" borderId="4" xfId="0" applyFont="1" applyFill="1" applyBorder="1" applyAlignment="1">
      <alignment horizontal="left" vertical="top" readingOrder="1"/>
    </xf>
    <xf numFmtId="165" fontId="13" fillId="2" borderId="4" xfId="0" applyNumberFormat="1" applyFont="1" applyFill="1" applyBorder="1" applyAlignment="1">
      <alignment horizontal="right" vertical="center" wrapText="1" readingOrder="1"/>
    </xf>
    <xf numFmtId="166" fontId="13" fillId="2" borderId="4" xfId="0" applyNumberFormat="1" applyFont="1" applyFill="1" applyBorder="1" applyAlignment="1">
      <alignment horizontal="right" vertical="center" wrapText="1" readingOrder="1"/>
    </xf>
    <xf numFmtId="167" fontId="13" fillId="2" borderId="1" xfId="0" applyNumberFormat="1" applyFont="1" applyFill="1" applyBorder="1" applyAlignment="1">
      <alignment horizontal="right" vertical="center" wrapText="1" readingOrder="1"/>
    </xf>
    <xf numFmtId="0" fontId="11" fillId="0" borderId="0" xfId="0" applyFont="1">
      <alignment wrapText="1"/>
    </xf>
    <xf numFmtId="0" fontId="18" fillId="0" borderId="0" xfId="0" applyFont="1">
      <alignment wrapText="1"/>
    </xf>
    <xf numFmtId="2" fontId="6" fillId="2" borderId="5" xfId="0" applyNumberFormat="1" applyFont="1" applyFill="1" applyBorder="1" applyAlignment="1">
      <alignment horizontal="right" vertical="center" wrapText="1" readingOrder="1"/>
    </xf>
    <xf numFmtId="4" fontId="6" fillId="2" borderId="5" xfId="0" applyNumberFormat="1" applyFont="1" applyFill="1" applyBorder="1" applyAlignment="1">
      <alignment horizontal="right" vertical="center" wrapText="1" readingOrder="1"/>
    </xf>
    <xf numFmtId="2" fontId="15" fillId="2" borderId="5" xfId="2" applyNumberFormat="1" applyFont="1" applyFill="1" applyBorder="1" applyAlignment="1">
      <alignment horizontal="right" vertical="center" wrapText="1" readingOrder="1"/>
    </xf>
    <xf numFmtId="164" fontId="13" fillId="0" borderId="4" xfId="0" applyNumberFormat="1" applyFont="1" applyBorder="1" applyAlignment="1">
      <alignment horizontal="right" vertical="center" wrapText="1" readingOrder="1"/>
    </xf>
    <xf numFmtId="0" fontId="13" fillId="0" borderId="4" xfId="0" applyFont="1" applyBorder="1" applyAlignment="1">
      <alignment horizontal="left" vertical="center" wrapText="1" readingOrder="1"/>
    </xf>
    <xf numFmtId="165" fontId="13" fillId="0" borderId="4" xfId="0" applyNumberFormat="1" applyFont="1" applyBorder="1" applyAlignment="1">
      <alignment horizontal="right" vertical="center" wrapText="1" readingOrder="1"/>
    </xf>
    <xf numFmtId="166" fontId="13" fillId="0" borderId="4" xfId="0" applyNumberFormat="1" applyFont="1" applyBorder="1" applyAlignment="1">
      <alignment horizontal="right" vertical="center" wrapText="1" readingOrder="1"/>
    </xf>
    <xf numFmtId="167" fontId="13" fillId="0" borderId="1" xfId="2" applyNumberFormat="1" applyFont="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167" fontId="4" fillId="2" borderId="8" xfId="0" applyNumberFormat="1" applyFont="1" applyFill="1" applyBorder="1" applyAlignment="1">
      <alignment horizontal="right" vertical="center" wrapText="1" readingOrder="1"/>
    </xf>
    <xf numFmtId="167" fontId="4" fillId="2" borderId="7" xfId="0" applyNumberFormat="1" applyFont="1" applyFill="1" applyBorder="1" applyAlignment="1">
      <alignment horizontal="right" vertical="center" wrapText="1" readingOrder="1"/>
    </xf>
    <xf numFmtId="166" fontId="13" fillId="2" borderId="1" xfId="0" applyNumberFormat="1" applyFont="1" applyFill="1" applyBorder="1" applyAlignment="1">
      <alignment horizontal="right" vertical="center" wrapText="1" readingOrder="1"/>
    </xf>
    <xf numFmtId="167" fontId="4" fillId="2" borderId="9" xfId="0" applyNumberFormat="1" applyFont="1" applyFill="1" applyBorder="1" applyAlignment="1">
      <alignment horizontal="right" vertical="center" wrapText="1" readingOrder="1"/>
    </xf>
    <xf numFmtId="167" fontId="13" fillId="2" borderId="7" xfId="0" applyNumberFormat="1" applyFont="1" applyFill="1" applyBorder="1" applyAlignment="1">
      <alignment horizontal="right" vertical="center" wrapText="1" readingOrder="1"/>
    </xf>
    <xf numFmtId="0" fontId="14" fillId="2" borderId="4" xfId="0" applyFont="1" applyFill="1" applyBorder="1" applyAlignment="1">
      <alignment horizontal="left" vertical="center" wrapText="1" readingOrder="1"/>
    </xf>
    <xf numFmtId="0" fontId="13" fillId="2" borderId="0" xfId="0" applyFont="1" applyFill="1" applyAlignment="1">
      <alignment horizontal="right" vertical="top" wrapText="1" readingOrder="1"/>
    </xf>
    <xf numFmtId="0" fontId="13" fillId="2" borderId="0" xfId="0" applyFont="1" applyFill="1" applyAlignment="1">
      <alignment horizontal="left" vertical="center" wrapText="1" readingOrder="1"/>
    </xf>
    <xf numFmtId="0" fontId="13" fillId="2" borderId="0" xfId="0" applyFont="1" applyFill="1" applyAlignment="1">
      <alignment horizontal="right" vertical="center" wrapText="1" readingOrder="1"/>
    </xf>
    <xf numFmtId="173" fontId="14" fillId="2" borderId="4" xfId="2" applyNumberFormat="1" applyFont="1" applyFill="1" applyBorder="1" applyAlignment="1">
      <alignment horizontal="left" vertical="top" wrapText="1" readingOrder="1"/>
    </xf>
    <xf numFmtId="0" fontId="15" fillId="2" borderId="0" xfId="0" applyFont="1" applyFill="1" applyAlignment="1">
      <alignment horizontal="left" vertical="center" wrapText="1" readingOrder="1"/>
    </xf>
    <xf numFmtId="0" fontId="15" fillId="2" borderId="0" xfId="0" applyFont="1" applyFill="1" applyAlignment="1">
      <alignment horizontal="right" vertical="center" wrapText="1" readingOrder="1"/>
    </xf>
    <xf numFmtId="0" fontId="17" fillId="0" borderId="7" xfId="1" applyFont="1" applyBorder="1" applyAlignment="1">
      <alignment wrapText="1"/>
    </xf>
    <xf numFmtId="0" fontId="11" fillId="0" borderId="0" xfId="2" applyAlignment="1">
      <alignment vertical="center" wrapText="1"/>
    </xf>
    <xf numFmtId="0" fontId="17" fillId="0" borderId="7" xfId="1" applyFont="1" applyBorder="1"/>
    <xf numFmtId="0" fontId="17" fillId="0" borderId="7" xfId="1" applyFont="1" applyBorder="1" applyAlignment="1">
      <alignment horizontal="left" vertical="center"/>
    </xf>
    <xf numFmtId="0" fontId="17" fillId="0" borderId="7" xfId="1" applyFont="1" applyBorder="1" applyAlignment="1">
      <alignment vertical="center" wrapText="1"/>
    </xf>
    <xf numFmtId="2" fontId="17" fillId="0" borderId="7" xfId="1" applyNumberFormat="1" applyFont="1" applyBorder="1" applyAlignment="1">
      <alignment horizontal="right" vertical="center" wrapText="1"/>
    </xf>
    <xf numFmtId="174" fontId="17" fillId="0" borderId="7" xfId="4" applyFont="1" applyBorder="1" applyAlignment="1">
      <alignment horizontal="right" vertical="center" wrapText="1"/>
    </xf>
    <xf numFmtId="4" fontId="17" fillId="0" borderId="7" xfId="1" applyNumberFormat="1" applyFont="1" applyBorder="1" applyAlignment="1">
      <alignment horizontal="right" vertical="center"/>
    </xf>
    <xf numFmtId="10" fontId="17" fillId="0" borderId="7" xfId="5" applyNumberFormat="1" applyFont="1" applyBorder="1" applyAlignment="1">
      <alignment vertical="center" wrapText="1"/>
    </xf>
    <xf numFmtId="0" fontId="19" fillId="0" borderId="0" xfId="1" applyFont="1" applyAlignment="1">
      <alignment horizontal="center" vertical="center"/>
    </xf>
    <xf numFmtId="4" fontId="22" fillId="0" borderId="0" xfId="1" applyNumberFormat="1" applyFont="1"/>
    <xf numFmtId="0" fontId="23" fillId="0" borderId="0" xfId="2" applyFont="1">
      <alignment wrapText="1"/>
    </xf>
    <xf numFmtId="0" fontId="4" fillId="2" borderId="0" xfId="0" applyFont="1" applyFill="1" applyBorder="1" applyAlignment="1">
      <alignment horizontal="left" vertical="center" wrapText="1" readingOrder="1"/>
    </xf>
    <xf numFmtId="0" fontId="8" fillId="0" borderId="7" xfId="3" applyFont="1" applyBorder="1" applyAlignment="1">
      <alignment horizontal="center" vertical="center" wrapText="1" readingOrder="1"/>
    </xf>
    <xf numFmtId="0" fontId="0" fillId="0" borderId="7" xfId="0" applyBorder="1">
      <alignment wrapText="1"/>
    </xf>
    <xf numFmtId="0" fontId="0" fillId="0" borderId="0" xfId="0" applyAlignment="1"/>
    <xf numFmtId="0" fontId="13" fillId="2" borderId="0" xfId="2" applyFont="1" applyFill="1" applyBorder="1" applyAlignment="1">
      <alignment horizontal="left" vertical="center" wrapText="1" readingOrder="1"/>
    </xf>
    <xf numFmtId="171" fontId="13" fillId="2" borderId="0" xfId="2" applyNumberFormat="1" applyFont="1" applyFill="1" applyBorder="1" applyAlignment="1">
      <alignment horizontal="right" vertical="center" wrapText="1" readingOrder="1"/>
    </xf>
    <xf numFmtId="0" fontId="8" fillId="0" borderId="9" xfId="0" applyFont="1" applyBorder="1" applyAlignment="1">
      <alignment horizontal="center" vertical="center" wrapText="1" readingOrder="1"/>
    </xf>
    <xf numFmtId="2" fontId="6" fillId="2" borderId="0"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2" fillId="2" borderId="4" xfId="2" applyFont="1" applyFill="1" applyBorder="1" applyAlignment="1">
      <alignment horizontal="center" vertical="center" wrapText="1" readingOrder="1"/>
    </xf>
    <xf numFmtId="0" fontId="11" fillId="0" borderId="0" xfId="2" applyAlignment="1">
      <alignment horizontal="center" vertical="center" wrapText="1"/>
    </xf>
    <xf numFmtId="164" fontId="4" fillId="0" borderId="4" xfId="0" applyNumberFormat="1" applyFont="1" applyFill="1" applyBorder="1" applyAlignment="1">
      <alignment horizontal="right" vertical="center" wrapText="1" readingOrder="1"/>
    </xf>
    <xf numFmtId="0" fontId="4" fillId="0" borderId="4" xfId="0" applyFont="1" applyFill="1" applyBorder="1" applyAlignment="1">
      <alignment horizontal="left" vertical="center" wrapText="1" readingOrder="1"/>
    </xf>
    <xf numFmtId="0" fontId="13" fillId="0" borderId="4" xfId="0" applyFont="1" applyFill="1" applyBorder="1" applyAlignment="1">
      <alignment horizontal="left" vertical="center" wrapText="1" readingOrder="1"/>
    </xf>
    <xf numFmtId="0" fontId="13" fillId="0" borderId="4" xfId="2" applyFont="1" applyFill="1" applyBorder="1" applyAlignment="1">
      <alignment horizontal="left" vertical="center" wrapText="1" readingOrder="1"/>
    </xf>
    <xf numFmtId="165" fontId="4" fillId="0" borderId="4" xfId="0" applyNumberFormat="1" applyFont="1" applyFill="1" applyBorder="1" applyAlignment="1">
      <alignment horizontal="right" vertical="center" wrapText="1" readingOrder="1"/>
    </xf>
    <xf numFmtId="166" fontId="4" fillId="0" borderId="4" xfId="0" applyNumberFormat="1" applyFont="1" applyFill="1" applyBorder="1" applyAlignment="1">
      <alignment horizontal="right" vertical="center" wrapText="1" readingOrder="1"/>
    </xf>
    <xf numFmtId="167" fontId="4" fillId="0" borderId="4" xfId="0" applyNumberFormat="1" applyFont="1" applyFill="1" applyBorder="1" applyAlignment="1">
      <alignment horizontal="right" vertical="center" wrapText="1" readingOrder="1"/>
    </xf>
    <xf numFmtId="0" fontId="0" fillId="0" borderId="7" xfId="0" applyFill="1" applyBorder="1">
      <alignment wrapText="1"/>
    </xf>
    <xf numFmtId="0" fontId="0" fillId="0" borderId="0" xfId="0" applyFill="1">
      <alignment wrapText="1"/>
    </xf>
    <xf numFmtId="0" fontId="2" fillId="0" borderId="0" xfId="3"/>
    <xf numFmtId="0" fontId="25" fillId="0" borderId="7" xfId="7" applyFont="1" applyBorder="1" applyAlignment="1">
      <alignment horizontal="center" vertical="center" wrapText="1"/>
    </xf>
    <xf numFmtId="0" fontId="8" fillId="0" borderId="7" xfId="0" applyFont="1" applyBorder="1" applyAlignment="1">
      <alignment horizontal="center" vertical="center" wrapText="1" readingOrder="1"/>
    </xf>
    <xf numFmtId="0" fontId="26" fillId="0" borderId="7" xfId="8" applyFont="1" applyBorder="1" applyProtection="1">
      <protection locked="0"/>
    </xf>
    <xf numFmtId="0" fontId="27" fillId="0" borderId="7" xfId="8" applyFont="1" applyBorder="1" applyAlignment="1" applyProtection="1">
      <alignment wrapText="1"/>
      <protection locked="0"/>
    </xf>
    <xf numFmtId="0" fontId="26" fillId="0" borderId="7" xfId="8" applyFont="1" applyBorder="1" applyAlignment="1">
      <alignment horizontal="right"/>
    </xf>
    <xf numFmtId="0" fontId="2" fillId="0" borderId="7" xfId="3" applyBorder="1"/>
    <xf numFmtId="0" fontId="26" fillId="0" borderId="7" xfId="8" applyFont="1" applyBorder="1" applyAlignment="1" applyProtection="1">
      <alignment wrapText="1"/>
      <protection locked="0"/>
    </xf>
    <xf numFmtId="177" fontId="26" fillId="0" borderId="7" xfId="8" applyNumberFormat="1" applyFont="1" applyBorder="1" applyProtection="1">
      <protection locked="0"/>
    </xf>
    <xf numFmtId="43" fontId="26" fillId="0" borderId="7" xfId="6" applyFont="1" applyFill="1" applyBorder="1" applyAlignment="1">
      <alignment horizontal="right"/>
    </xf>
    <xf numFmtId="2" fontId="26" fillId="0" borderId="7" xfId="8" applyNumberFormat="1" applyFont="1" applyBorder="1" applyAlignment="1">
      <alignment horizontal="right"/>
    </xf>
    <xf numFmtId="43" fontId="2" fillId="0" borderId="0" xfId="3" applyNumberFormat="1"/>
    <xf numFmtId="177" fontId="2" fillId="0" borderId="0" xfId="3" applyNumberFormat="1"/>
    <xf numFmtId="0" fontId="26" fillId="0" borderId="7" xfId="8" applyFont="1" applyBorder="1" applyAlignment="1">
      <alignment horizontal="center"/>
    </xf>
    <xf numFmtId="178" fontId="2" fillId="0" borderId="7" xfId="3" applyNumberFormat="1" applyBorder="1"/>
    <xf numFmtId="0" fontId="26" fillId="0" borderId="7" xfId="8" applyFont="1" applyBorder="1"/>
    <xf numFmtId="0" fontId="27" fillId="0" borderId="7" xfId="7" applyFont="1" applyBorder="1" applyAlignment="1">
      <alignment vertical="center" wrapText="1"/>
    </xf>
    <xf numFmtId="177" fontId="27" fillId="0" borderId="7" xfId="7" applyNumberFormat="1" applyFont="1" applyBorder="1" applyAlignment="1">
      <alignment vertical="center" wrapText="1"/>
    </xf>
    <xf numFmtId="174" fontId="27" fillId="0" borderId="7" xfId="9" applyFont="1" applyFill="1" applyBorder="1" applyAlignment="1">
      <alignment vertical="center" wrapText="1"/>
    </xf>
    <xf numFmtId="43" fontId="27" fillId="0" borderId="7" xfId="6" applyFont="1" applyBorder="1" applyAlignment="1">
      <alignment horizontal="right" vertical="center"/>
    </xf>
    <xf numFmtId="10" fontId="2" fillId="0" borderId="7" xfId="3" applyNumberFormat="1" applyBorder="1"/>
    <xf numFmtId="174" fontId="26" fillId="0" borderId="7" xfId="9" applyFont="1" applyFill="1" applyBorder="1" applyAlignment="1">
      <alignment horizontal="right"/>
    </xf>
    <xf numFmtId="0" fontId="27" fillId="0" borderId="7" xfId="8" applyFont="1" applyBorder="1" applyProtection="1">
      <protection locked="0"/>
    </xf>
    <xf numFmtId="174" fontId="26" fillId="0" borderId="7" xfId="9" applyFont="1" applyFill="1" applyBorder="1" applyAlignment="1" applyProtection="1">
      <alignment horizontal="right"/>
      <protection locked="0"/>
    </xf>
    <xf numFmtId="0" fontId="26" fillId="0" borderId="7" xfId="3" applyFont="1" applyBorder="1"/>
    <xf numFmtId="174" fontId="26" fillId="0" borderId="7" xfId="9" applyFont="1" applyFill="1" applyBorder="1"/>
    <xf numFmtId="43" fontId="17" fillId="0" borderId="7" xfId="3" applyNumberFormat="1" applyFont="1" applyBorder="1"/>
    <xf numFmtId="0" fontId="27" fillId="0" borderId="7" xfId="8" applyFont="1" applyBorder="1"/>
    <xf numFmtId="174" fontId="27" fillId="0" borderId="7" xfId="9" applyFont="1" applyFill="1" applyBorder="1" applyAlignment="1">
      <alignment horizontal="right"/>
    </xf>
    <xf numFmtId="43" fontId="2" fillId="0" borderId="7" xfId="3" applyNumberFormat="1" applyBorder="1"/>
    <xf numFmtId="2" fontId="27" fillId="0" borderId="7" xfId="8" applyNumberFormat="1" applyFont="1" applyBorder="1" applyAlignment="1">
      <alignment horizontal="right"/>
    </xf>
    <xf numFmtId="4" fontId="28" fillId="0" borderId="7" xfId="0" applyNumberFormat="1" applyFont="1" applyBorder="1" applyAlignment="1"/>
    <xf numFmtId="4" fontId="2" fillId="0" borderId="0" xfId="3" applyNumberFormat="1"/>
    <xf numFmtId="175" fontId="2" fillId="0" borderId="0" xfId="3" applyNumberFormat="1"/>
    <xf numFmtId="0" fontId="29" fillId="0" borderId="0" xfId="10" applyFont="1" applyAlignment="1">
      <alignment horizontal="left" vertical="center" wrapText="1"/>
    </xf>
    <xf numFmtId="0" fontId="30" fillId="0" borderId="0" xfId="10" applyFont="1" applyAlignment="1">
      <alignment vertical="center"/>
    </xf>
    <xf numFmtId="43" fontId="30" fillId="0" borderId="0" xfId="10" applyNumberFormat="1" applyFont="1" applyAlignment="1">
      <alignment vertical="center"/>
    </xf>
    <xf numFmtId="4" fontId="31" fillId="0" borderId="0" xfId="3" applyNumberFormat="1" applyFont="1"/>
    <xf numFmtId="2" fontId="30" fillId="0" borderId="0" xfId="10" applyNumberFormat="1" applyFont="1" applyAlignment="1">
      <alignment vertical="center"/>
    </xf>
    <xf numFmtId="0" fontId="26" fillId="0" borderId="0" xfId="11" applyFont="1" applyAlignment="1">
      <alignment vertical="center"/>
    </xf>
    <xf numFmtId="0" fontId="30" fillId="0" borderId="0" xfId="10" applyFont="1" applyAlignment="1">
      <alignment horizontal="left" vertical="center"/>
    </xf>
    <xf numFmtId="0" fontId="30" fillId="0" borderId="7" xfId="10" applyFont="1" applyBorder="1" applyAlignment="1">
      <alignment vertical="center"/>
    </xf>
    <xf numFmtId="0" fontId="27" fillId="0" borderId="7" xfId="11" applyFont="1" applyBorder="1" applyAlignment="1">
      <alignment horizontal="center" vertical="center"/>
    </xf>
    <xf numFmtId="0" fontId="29" fillId="0" borderId="0" xfId="10" applyFont="1" applyAlignment="1">
      <alignment vertical="center"/>
    </xf>
    <xf numFmtId="0" fontId="27" fillId="0" borderId="7" xfId="11" applyFont="1" applyBorder="1" applyAlignment="1">
      <alignment vertical="center"/>
    </xf>
    <xf numFmtId="179" fontId="29" fillId="0" borderId="7" xfId="10" applyNumberFormat="1" applyFont="1" applyBorder="1" applyAlignment="1">
      <alignment horizontal="center"/>
    </xf>
    <xf numFmtId="14" fontId="29" fillId="0" borderId="0" xfId="10" applyNumberFormat="1" applyFont="1" applyAlignment="1">
      <alignment horizontal="center"/>
    </xf>
    <xf numFmtId="0" fontId="17" fillId="0" borderId="0" xfId="3" applyFont="1"/>
    <xf numFmtId="0" fontId="30" fillId="0" borderId="7" xfId="10" applyFont="1" applyBorder="1" applyAlignment="1">
      <alignment horizontal="left" vertical="center"/>
    </xf>
    <xf numFmtId="176" fontId="17" fillId="0" borderId="7" xfId="3" applyNumberFormat="1" applyFont="1" applyBorder="1"/>
    <xf numFmtId="176" fontId="17" fillId="0" borderId="0" xfId="3" applyNumberFormat="1" applyFont="1"/>
    <xf numFmtId="0" fontId="13" fillId="0" borderId="0" xfId="0" applyFont="1" applyAlignment="1">
      <alignment vertical="center" readingOrder="1"/>
    </xf>
    <xf numFmtId="0" fontId="13" fillId="0" borderId="0" xfId="0" applyFont="1" applyAlignment="1">
      <alignment vertical="center" wrapText="1" readingOrder="1"/>
    </xf>
    <xf numFmtId="0" fontId="26" fillId="0" borderId="0" xfId="10" applyFont="1" applyAlignment="1">
      <alignment horizontal="center" vertical="center"/>
    </xf>
    <xf numFmtId="0" fontId="30" fillId="0" borderId="0" xfId="10" quotePrefix="1" applyFont="1" applyAlignment="1">
      <alignment vertical="center"/>
    </xf>
    <xf numFmtId="0" fontId="26" fillId="0" borderId="0" xfId="3" applyFont="1" applyAlignment="1">
      <alignment vertical="center" wrapText="1"/>
    </xf>
    <xf numFmtId="0" fontId="32" fillId="0" borderId="7" xfId="3" applyFont="1" applyBorder="1" applyAlignment="1">
      <alignment vertical="center"/>
    </xf>
    <xf numFmtId="0" fontId="20" fillId="0" borderId="0" xfId="0" applyFont="1" applyAlignment="1">
      <alignment horizontal="left" vertical="center"/>
    </xf>
    <xf numFmtId="0" fontId="10" fillId="0" borderId="0" xfId="0" applyFont="1" applyAlignment="1">
      <alignment vertical="center" wrapText="1"/>
    </xf>
    <xf numFmtId="0" fontId="2" fillId="0" borderId="0" xfId="3" applyAlignment="1">
      <alignment horizontal="center" vertical="center"/>
    </xf>
    <xf numFmtId="0" fontId="20" fillId="0" borderId="0" xfId="0" applyFont="1" applyFill="1" applyAlignment="1">
      <alignment horizontal="left" vertical="center"/>
    </xf>
    <xf numFmtId="0" fontId="4" fillId="2" borderId="4" xfId="2" applyFont="1" applyFill="1" applyBorder="1" applyAlignment="1">
      <alignment horizontal="left" vertical="center" wrapText="1" readingOrder="1"/>
    </xf>
    <xf numFmtId="0" fontId="12" fillId="2" borderId="7" xfId="0" applyFont="1" applyFill="1" applyBorder="1" applyAlignment="1">
      <alignment horizontal="center" vertical="center" wrapText="1" readingOrder="1"/>
    </xf>
    <xf numFmtId="0" fontId="12" fillId="2" borderId="10" xfId="0" applyFont="1" applyFill="1" applyBorder="1" applyAlignment="1">
      <alignment horizontal="center" vertical="center" wrapText="1" readingOrder="1"/>
    </xf>
    <xf numFmtId="0" fontId="12" fillId="2" borderId="11" xfId="0" applyFont="1" applyFill="1" applyBorder="1" applyAlignment="1">
      <alignment horizontal="center" vertical="center" wrapText="1" readingOrder="1"/>
    </xf>
    <xf numFmtId="0" fontId="12" fillId="2" borderId="12" xfId="0" applyFont="1" applyFill="1" applyBorder="1" applyAlignment="1">
      <alignment horizontal="center" vertical="center" wrapText="1" readingOrder="1"/>
    </xf>
    <xf numFmtId="0" fontId="25" fillId="0" borderId="0" xfId="12"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13" fillId="0" borderId="0" xfId="0" applyFont="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13" fillId="2" borderId="0" xfId="2" applyFont="1" applyFill="1" applyAlignment="1">
      <alignment horizontal="left" vertical="center" wrapText="1" readingOrder="1"/>
    </xf>
    <xf numFmtId="0" fontId="13" fillId="2" borderId="1" xfId="0" applyFont="1" applyFill="1" applyBorder="1" applyAlignment="1">
      <alignment horizontal="left" vertical="top" wrapText="1" readingOrder="1"/>
    </xf>
    <xf numFmtId="0" fontId="13" fillId="2" borderId="3" xfId="0" applyFont="1" applyFill="1" applyBorder="1" applyAlignment="1">
      <alignment horizontal="left" vertical="top" wrapText="1" readingOrder="1"/>
    </xf>
    <xf numFmtId="0" fontId="13" fillId="2" borderId="0" xfId="0" applyFont="1" applyFill="1" applyAlignment="1">
      <alignment horizontal="left" vertical="center" wrapText="1" readingOrder="1"/>
    </xf>
    <xf numFmtId="0" fontId="13" fillId="2" borderId="1" xfId="2" applyFont="1" applyFill="1" applyBorder="1" applyAlignment="1">
      <alignment horizontal="left" vertical="center" wrapText="1" readingOrder="1"/>
    </xf>
    <xf numFmtId="0" fontId="13" fillId="2" borderId="3" xfId="2" applyFont="1" applyFill="1" applyBorder="1" applyAlignment="1">
      <alignment horizontal="left" vertical="center" wrapText="1" readingOrder="1"/>
    </xf>
    <xf numFmtId="0" fontId="14" fillId="2" borderId="1" xfId="2" applyFont="1" applyFill="1" applyBorder="1" applyAlignment="1">
      <alignment horizontal="left" vertical="center" wrapText="1" readingOrder="1"/>
    </xf>
    <xf numFmtId="0" fontId="14" fillId="2" borderId="2" xfId="2" applyFont="1" applyFill="1" applyBorder="1" applyAlignment="1">
      <alignment horizontal="left" vertical="center" wrapText="1" readingOrder="1"/>
    </xf>
    <xf numFmtId="0" fontId="14" fillId="2" borderId="3" xfId="2" applyFont="1" applyFill="1" applyBorder="1" applyAlignment="1">
      <alignment horizontal="left" vertical="center" wrapText="1" readingOrder="1"/>
    </xf>
    <xf numFmtId="0" fontId="12" fillId="0" borderId="7" xfId="0" applyFont="1" applyBorder="1" applyAlignment="1">
      <alignment horizontal="center" vertical="center" wrapText="1" readingOrder="1"/>
    </xf>
    <xf numFmtId="0" fontId="13" fillId="0" borderId="1" xfId="0" applyFont="1" applyBorder="1" applyAlignment="1">
      <alignment horizontal="left" vertical="top" wrapText="1" readingOrder="1"/>
    </xf>
    <xf numFmtId="0" fontId="13" fillId="0" borderId="3" xfId="0" applyFont="1" applyBorder="1" applyAlignment="1">
      <alignment horizontal="left" vertical="top" wrapText="1" readingOrder="1"/>
    </xf>
    <xf numFmtId="0" fontId="17" fillId="0" borderId="7" xfId="1" applyFont="1" applyBorder="1" applyAlignment="1">
      <alignment horizontal="left" wrapText="1"/>
    </xf>
    <xf numFmtId="0" fontId="17" fillId="0" borderId="7" xfId="1" applyFont="1" applyBorder="1" applyAlignment="1">
      <alignment horizontal="left"/>
    </xf>
    <xf numFmtId="0" fontId="17" fillId="0" borderId="7" xfId="1" applyFont="1" applyBorder="1" applyAlignment="1">
      <alignment horizontal="center"/>
    </xf>
    <xf numFmtId="0" fontId="30" fillId="0" borderId="0" xfId="10" applyFont="1" applyAlignment="1">
      <alignment horizontal="left" vertical="center"/>
    </xf>
    <xf numFmtId="0" fontId="17" fillId="0" borderId="0" xfId="3" applyFont="1" applyAlignment="1">
      <alignment horizontal="left"/>
    </xf>
    <xf numFmtId="0" fontId="20" fillId="0" borderId="7" xfId="3" applyFont="1" applyBorder="1" applyAlignment="1">
      <alignment horizontal="center"/>
    </xf>
    <xf numFmtId="0" fontId="25" fillId="0" borderId="7" xfId="7" applyFont="1" applyBorder="1" applyAlignment="1">
      <alignment horizontal="center" vertical="center"/>
    </xf>
    <xf numFmtId="0" fontId="8" fillId="3" borderId="7" xfId="7" applyFont="1" applyFill="1" applyBorder="1" applyAlignment="1">
      <alignment horizontal="center" vertical="center" wrapText="1"/>
    </xf>
    <xf numFmtId="0" fontId="30" fillId="0" borderId="0" xfId="10" applyFont="1" applyAlignment="1">
      <alignment horizontal="left"/>
    </xf>
    <xf numFmtId="0" fontId="33" fillId="0" borderId="7" xfId="1" applyFont="1" applyBorder="1" applyAlignment="1">
      <alignment horizontal="center"/>
    </xf>
    <xf numFmtId="0" fontId="33" fillId="0" borderId="7" xfId="1" applyFont="1" applyBorder="1" applyAlignment="1">
      <alignment horizontal="center" wrapText="1"/>
    </xf>
    <xf numFmtId="0" fontId="33" fillId="0" borderId="7" xfId="1" applyFont="1" applyBorder="1" applyAlignment="1">
      <alignment horizontal="center"/>
    </xf>
    <xf numFmtId="0" fontId="33" fillId="0" borderId="7" xfId="1" applyFont="1" applyBorder="1" applyAlignment="1">
      <alignment horizontal="center" vertical="center"/>
    </xf>
    <xf numFmtId="0" fontId="33" fillId="0" borderId="7" xfId="1" applyFont="1" applyBorder="1" applyAlignment="1">
      <alignment horizontal="center" vertical="center" wrapText="1"/>
    </xf>
    <xf numFmtId="4" fontId="17" fillId="0" borderId="7" xfId="1" applyNumberFormat="1" applyFont="1" applyBorder="1"/>
    <xf numFmtId="2" fontId="17" fillId="0" borderId="7" xfId="1" applyNumberFormat="1" applyFont="1" applyBorder="1"/>
    <xf numFmtId="10" fontId="17" fillId="0" borderId="7" xfId="5" applyNumberFormat="1" applyFont="1" applyBorder="1"/>
    <xf numFmtId="0" fontId="26" fillId="0" borderId="0" xfId="0" applyFont="1" applyAlignment="1"/>
    <xf numFmtId="0" fontId="27" fillId="0" borderId="0" xfId="0" applyFont="1" applyAlignment="1"/>
    <xf numFmtId="0" fontId="27" fillId="0" borderId="0" xfId="0" applyFont="1" applyAlignment="1">
      <alignment horizontal="center"/>
    </xf>
    <xf numFmtId="0" fontId="27" fillId="0" borderId="7" xfId="0" applyFont="1" applyBorder="1" applyAlignment="1">
      <alignment horizontal="center" vertical="top"/>
    </xf>
    <xf numFmtId="0" fontId="27" fillId="0" borderId="7" xfId="0" applyFont="1" applyBorder="1" applyAlignment="1">
      <alignment horizontal="center" vertical="top" wrapText="1"/>
    </xf>
    <xf numFmtId="0" fontId="26" fillId="0" borderId="7" xfId="0" applyFont="1" applyBorder="1" applyAlignment="1">
      <alignment horizontal="left"/>
    </xf>
    <xf numFmtId="0" fontId="26" fillId="0" borderId="0" xfId="0" applyFont="1" applyAlignment="1">
      <alignment horizontal="left" vertical="top"/>
    </xf>
    <xf numFmtId="0" fontId="26" fillId="0" borderId="7" xfId="0" applyFont="1" applyBorder="1" applyAlignment="1">
      <alignment horizontal="center" vertical="top"/>
    </xf>
    <xf numFmtId="173" fontId="4" fillId="2" borderId="4" xfId="0" applyNumberFormat="1" applyFont="1" applyFill="1" applyBorder="1" applyAlignment="1">
      <alignment horizontal="right" vertical="center" readingOrder="1"/>
    </xf>
    <xf numFmtId="0" fontId="26" fillId="0" borderId="7" xfId="0" applyFont="1" applyBorder="1" applyAlignment="1">
      <alignment horizontal="right" vertical="top" wrapText="1"/>
    </xf>
    <xf numFmtId="0" fontId="26" fillId="0" borderId="7" xfId="0" applyFont="1" applyBorder="1" applyAlignment="1">
      <alignment horizontal="left" vertical="top"/>
    </xf>
    <xf numFmtId="0" fontId="4" fillId="2" borderId="4" xfId="0" applyFont="1" applyFill="1" applyBorder="1" applyAlignment="1">
      <alignment horizontal="left" vertical="center" readingOrder="1"/>
    </xf>
    <xf numFmtId="2" fontId="26" fillId="0" borderId="7" xfId="0" applyNumberFormat="1" applyFont="1" applyBorder="1" applyAlignment="1">
      <alignment horizontal="right" vertical="top" wrapText="1"/>
    </xf>
    <xf numFmtId="0" fontId="26" fillId="0" borderId="13" xfId="0" applyFont="1" applyBorder="1" applyAlignment="1">
      <alignment horizontal="left" vertical="top"/>
    </xf>
    <xf numFmtId="0" fontId="4" fillId="2" borderId="8" xfId="0" applyFont="1" applyFill="1" applyBorder="1" applyAlignment="1">
      <alignment horizontal="left" vertical="center" readingOrder="1"/>
    </xf>
    <xf numFmtId="0" fontId="4" fillId="2" borderId="7" xfId="0" applyFont="1" applyFill="1" applyBorder="1" applyAlignment="1">
      <alignment horizontal="left" vertical="center" readingOrder="1"/>
    </xf>
    <xf numFmtId="0" fontId="4" fillId="2" borderId="10" xfId="0" applyFont="1" applyFill="1" applyBorder="1" applyAlignment="1">
      <alignment horizontal="left" vertical="center" readingOrder="1"/>
    </xf>
    <xf numFmtId="0" fontId="34" fillId="0" borderId="10" xfId="7" applyFont="1" applyBorder="1" applyAlignment="1">
      <alignment vertical="center" wrapText="1"/>
    </xf>
    <xf numFmtId="2" fontId="26" fillId="0" borderId="14" xfId="0" applyNumberFormat="1" applyFont="1" applyBorder="1" applyAlignment="1">
      <alignment horizontal="right" vertical="top" wrapText="1"/>
    </xf>
    <xf numFmtId="4" fontId="26" fillId="0" borderId="7" xfId="0" applyNumberFormat="1" applyFont="1" applyBorder="1" applyAlignment="1"/>
    <xf numFmtId="0" fontId="26" fillId="0" borderId="14" xfId="0" applyFont="1" applyBorder="1" applyAlignment="1"/>
    <xf numFmtId="2" fontId="26" fillId="0" borderId="0" xfId="0" applyNumberFormat="1" applyFont="1" applyAlignment="1">
      <alignment horizontal="right" vertical="top" wrapText="1"/>
    </xf>
    <xf numFmtId="0" fontId="34" fillId="0" borderId="7" xfId="7" applyFont="1" applyBorder="1" applyAlignment="1">
      <alignment vertical="center" wrapText="1"/>
    </xf>
    <xf numFmtId="0" fontId="26" fillId="0" borderId="15" xfId="0" applyFont="1" applyBorder="1" applyAlignment="1">
      <alignment horizontal="center"/>
    </xf>
    <xf numFmtId="0" fontId="26" fillId="0" borderId="15" xfId="0" applyFont="1" applyBorder="1" applyAlignment="1" applyProtection="1">
      <alignment horizontal="center"/>
      <protection locked="0"/>
    </xf>
    <xf numFmtId="174" fontId="26" fillId="0" borderId="15" xfId="4" applyFont="1" applyFill="1" applyBorder="1" applyAlignment="1" applyProtection="1">
      <alignment horizontal="center"/>
      <protection locked="0"/>
    </xf>
    <xf numFmtId="0" fontId="27" fillId="0" borderId="7" xfId="0" applyFont="1" applyBorder="1" applyAlignment="1">
      <alignment horizontal="center"/>
    </xf>
    <xf numFmtId="2" fontId="26" fillId="0" borderId="7" xfId="0" applyNumberFormat="1" applyFont="1" applyBorder="1" applyAlignment="1">
      <alignment horizontal="center"/>
    </xf>
    <xf numFmtId="0" fontId="26" fillId="0" borderId="7" xfId="0" applyFont="1" applyBorder="1" applyAlignment="1">
      <alignment horizontal="center"/>
    </xf>
    <xf numFmtId="0" fontId="26" fillId="0" borderId="7" xfId="0" applyFont="1" applyBorder="1" applyAlignment="1"/>
    <xf numFmtId="37" fontId="26" fillId="0" borderId="7" xfId="4" applyNumberFormat="1" applyFont="1" applyFill="1" applyBorder="1" applyAlignment="1">
      <alignment horizontal="center"/>
    </xf>
    <xf numFmtId="174" fontId="26" fillId="0" borderId="7" xfId="4" applyFont="1" applyFill="1" applyBorder="1"/>
    <xf numFmtId="174" fontId="26" fillId="0" borderId="0" xfId="4" applyFont="1" applyFill="1" applyBorder="1"/>
    <xf numFmtId="174" fontId="26" fillId="0" borderId="0" xfId="0" applyNumberFormat="1" applyFont="1" applyAlignment="1"/>
    <xf numFmtId="4" fontId="26" fillId="0" borderId="0" xfId="0" applyNumberFormat="1" applyFont="1" applyAlignment="1"/>
    <xf numFmtId="0" fontId="26" fillId="0" borderId="7" xfId="0" applyFont="1" applyBorder="1" applyAlignment="1">
      <alignment vertical="top" wrapText="1"/>
    </xf>
    <xf numFmtId="0" fontId="26" fillId="0" borderId="7" xfId="4" applyNumberFormat="1" applyFont="1" applyFill="1" applyBorder="1" applyAlignment="1">
      <alignment horizontal="center"/>
    </xf>
    <xf numFmtId="4" fontId="26" fillId="0" borderId="7" xfId="4" applyNumberFormat="1" applyFont="1" applyFill="1" applyBorder="1"/>
    <xf numFmtId="4" fontId="26" fillId="0" borderId="0" xfId="4" applyNumberFormat="1" applyFont="1" applyFill="1" applyBorder="1"/>
    <xf numFmtId="180" fontId="26" fillId="0" borderId="0" xfId="0" applyNumberFormat="1" applyFont="1" applyAlignment="1"/>
    <xf numFmtId="173" fontId="4" fillId="2" borderId="4" xfId="0" applyNumberFormat="1" applyFont="1" applyFill="1" applyBorder="1" applyAlignment="1">
      <alignment horizontal="right" vertical="center" wrapText="1" readingOrder="1"/>
    </xf>
    <xf numFmtId="0" fontId="26" fillId="0" borderId="7" xfId="0" applyFont="1" applyBorder="1" applyAlignment="1">
      <alignment horizontal="right" vertical="top"/>
    </xf>
    <xf numFmtId="2" fontId="26" fillId="0" borderId="0" xfId="0" applyNumberFormat="1" applyFont="1" applyAlignment="1">
      <alignment vertical="top" wrapText="1"/>
    </xf>
    <xf numFmtId="174" fontId="26" fillId="0" borderId="0" xfId="4" applyFont="1" applyFill="1" applyBorder="1" applyAlignment="1"/>
    <xf numFmtId="0" fontId="26" fillId="0" borderId="0" xfId="0" applyFont="1" applyAlignment="1" applyProtection="1">
      <alignment horizontal="left"/>
      <protection locked="0"/>
    </xf>
    <xf numFmtId="0" fontId="26" fillId="0" borderId="0" xfId="0" applyFont="1" applyAlignment="1">
      <alignment horizontal="center" vertical="top"/>
    </xf>
    <xf numFmtId="174" fontId="26" fillId="0" borderId="0" xfId="4" applyFont="1" applyFill="1" applyBorder="1" applyAlignment="1" applyProtection="1">
      <alignment horizontal="left"/>
      <protection locked="0"/>
    </xf>
    <xf numFmtId="4" fontId="26" fillId="0" borderId="0" xfId="0" applyNumberFormat="1" applyFont="1" applyAlignment="1">
      <alignment horizontal="right" vertical="center"/>
    </xf>
    <xf numFmtId="2" fontId="26" fillId="0" borderId="7" xfId="0" applyNumberFormat="1" applyFont="1" applyBorder="1" applyAlignment="1">
      <alignment horizontal="center" vertical="top"/>
    </xf>
    <xf numFmtId="10" fontId="26" fillId="0" borderId="0" xfId="0" applyNumberFormat="1" applyFont="1" applyAlignment="1">
      <alignment horizontal="center"/>
    </xf>
    <xf numFmtId="174" fontId="26" fillId="0" borderId="7" xfId="4" applyFont="1" applyFill="1" applyBorder="1" applyAlignment="1">
      <alignment horizontal="center" vertical="top" wrapText="1"/>
    </xf>
    <xf numFmtId="2" fontId="26" fillId="0" borderId="7" xfId="0" applyNumberFormat="1" applyFont="1" applyBorder="1" applyAlignment="1">
      <alignment horizontal="right"/>
    </xf>
    <xf numFmtId="1" fontId="26" fillId="0" borderId="7" xfId="0" applyNumberFormat="1" applyFont="1" applyBorder="1" applyAlignment="1">
      <alignment horizontal="center"/>
    </xf>
    <xf numFmtId="174" fontId="27" fillId="0" borderId="0" xfId="4" applyFont="1" applyFill="1" applyBorder="1"/>
    <xf numFmtId="174" fontId="27" fillId="0" borderId="0" xfId="0" applyNumberFormat="1" applyFont="1" applyAlignment="1"/>
    <xf numFmtId="43" fontId="26" fillId="0" borderId="0" xfId="0" applyNumberFormat="1" applyFont="1" applyAlignment="1"/>
    <xf numFmtId="0" fontId="27" fillId="0" borderId="0" xfId="0" applyFont="1" applyAlignment="1">
      <alignment vertical="top" wrapText="1"/>
    </xf>
    <xf numFmtId="0" fontId="26" fillId="0" borderId="0" xfId="0" applyFont="1" applyAlignment="1">
      <alignment horizontal="center"/>
    </xf>
    <xf numFmtId="2" fontId="26" fillId="0" borderId="0" xfId="0" applyNumberFormat="1" applyFont="1" applyAlignment="1">
      <alignment horizontal="right"/>
    </xf>
    <xf numFmtId="0" fontId="26" fillId="0" borderId="0" xfId="0" applyFont="1" applyAlignment="1">
      <alignment horizontal="right" vertical="top" wrapText="1"/>
    </xf>
    <xf numFmtId="0" fontId="26" fillId="0" borderId="7" xfId="0" applyFont="1" applyBorder="1" applyAlignment="1">
      <alignment horizontal="center" vertical="top" wrapText="1"/>
    </xf>
    <xf numFmtId="182" fontId="26" fillId="0" borderId="0" xfId="0" applyNumberFormat="1" applyFont="1" applyAlignment="1">
      <alignment horizontal="right" vertical="top" wrapText="1"/>
    </xf>
    <xf numFmtId="2" fontId="26" fillId="0" borderId="0" xfId="0" applyNumberFormat="1" applyFont="1" applyAlignment="1">
      <alignment horizontal="center"/>
    </xf>
    <xf numFmtId="2" fontId="26" fillId="0" borderId="7" xfId="0" applyNumberFormat="1" applyFont="1" applyBorder="1" applyAlignment="1">
      <alignment horizontal="center" vertical="top" wrapText="1"/>
    </xf>
    <xf numFmtId="0" fontId="26" fillId="0" borderId="0" xfId="0" applyFont="1" applyAlignment="1">
      <alignment horizontal="left"/>
    </xf>
    <xf numFmtId="0" fontId="26" fillId="0" borderId="0" xfId="0" applyFont="1" applyAlignment="1">
      <alignment horizontal="right" vertical="top"/>
    </xf>
    <xf numFmtId="2" fontId="26" fillId="0" borderId="0" xfId="0" applyNumberFormat="1" applyFont="1" applyAlignment="1">
      <alignment horizontal="right" vertical="top"/>
    </xf>
    <xf numFmtId="183" fontId="26" fillId="0" borderId="0" xfId="4" applyNumberFormat="1" applyFont="1" applyFill="1" applyBorder="1" applyAlignment="1">
      <alignment horizontal="center" vertical="top" wrapText="1"/>
    </xf>
    <xf numFmtId="0" fontId="26" fillId="0" borderId="0" xfId="0" applyFont="1" applyAlignment="1">
      <alignment horizontal="left" vertical="top" wrapText="1"/>
    </xf>
    <xf numFmtId="184" fontId="26" fillId="0" borderId="0" xfId="4" applyNumberFormat="1" applyFont="1" applyFill="1" applyBorder="1" applyAlignment="1">
      <alignment horizontal="right" vertical="top" wrapText="1"/>
    </xf>
    <xf numFmtId="2" fontId="26" fillId="0" borderId="0" xfId="0" applyNumberFormat="1" applyFont="1" applyAlignment="1"/>
    <xf numFmtId="2" fontId="26" fillId="0" borderId="7" xfId="0" applyNumberFormat="1" applyFont="1" applyBorder="1" applyAlignment="1">
      <alignment vertical="top" wrapText="1"/>
    </xf>
    <xf numFmtId="174" fontId="26" fillId="0" borderId="7" xfId="4" applyFont="1" applyFill="1" applyBorder="1" applyAlignment="1"/>
    <xf numFmtId="4" fontId="26" fillId="0" borderId="7" xfId="0" applyNumberFormat="1" applyFont="1" applyBorder="1" applyAlignment="1">
      <alignment horizontal="center"/>
    </xf>
    <xf numFmtId="4" fontId="26" fillId="0" borderId="7" xfId="4" applyNumberFormat="1" applyFont="1" applyFill="1" applyBorder="1" applyAlignment="1">
      <alignment horizontal="center"/>
    </xf>
    <xf numFmtId="4" fontId="27" fillId="0" borderId="7" xfId="0" applyNumberFormat="1" applyFont="1" applyBorder="1" applyAlignment="1">
      <alignment horizontal="center" vertical="top" wrapText="1"/>
    </xf>
    <xf numFmtId="4" fontId="26" fillId="0" borderId="7" xfId="0" applyNumberFormat="1" applyFont="1" applyBorder="1" applyAlignment="1">
      <alignment horizontal="center" vertical="top" wrapText="1"/>
    </xf>
  </cellXfs>
  <cellStyles count="13">
    <cellStyle name="Comma" xfId="6" builtinId="3"/>
    <cellStyle name="Comma 10" xfId="9" xr:uid="{6743E632-67A6-4247-B7C0-0050E68B6AE7}"/>
    <cellStyle name="Comma 2 2" xfId="4" xr:uid="{B584B828-B94F-4AA5-9F5A-3C895915D2F5}"/>
    <cellStyle name="Normal" xfId="0" builtinId="0"/>
    <cellStyle name="Normal 2" xfId="2" xr:uid="{95EBE0DE-B40F-48B2-9403-3E0B626F935B}"/>
    <cellStyle name="Normal 2 2" xfId="8" xr:uid="{21AF3E13-89CB-4B38-A05A-D8B22BBDBE5A}"/>
    <cellStyle name="Normal 2 2 3" xfId="1" xr:uid="{54475DA6-9782-4542-AF11-6CDF3021B0C5}"/>
    <cellStyle name="Normal 3" xfId="12" xr:uid="{3C00B7B4-2D18-42DE-AB82-8108D69CD754}"/>
    <cellStyle name="Normal 4" xfId="3" xr:uid="{178FCC93-BDBF-486A-B072-6E80837B88F2}"/>
    <cellStyle name="Normal_Bonsaverportfolio 2 2" xfId="7" xr:uid="{A8AFCE3E-3508-4D62-B992-001A8E334240}"/>
    <cellStyle name="Normal_Halfyearly_Debtholdings_30092011 2" xfId="10" xr:uid="{0CE44A26-FDE4-49FC-BF68-C8EB0ED68208}"/>
    <cellStyle name="Normal_Holdingotherschemes new" xfId="11" xr:uid="{D2F0EE59-E53C-49BE-9842-6C793EFA1BAC}"/>
    <cellStyle name="Percent 2" xfId="5" xr:uid="{19871957-CF6E-4516-9DF6-771025BEB5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7.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FF67A0E2-CBA8-435A-96F6-073ED55F4A58}"/>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24</xdr:row>
      <xdr:rowOff>104773</xdr:rowOff>
    </xdr:to>
    <xdr:pic>
      <xdr:nvPicPr>
        <xdr:cNvPr id="3" name="Picture 2">
          <a:extLst>
            <a:ext uri="{FF2B5EF4-FFF2-40B4-BE49-F238E27FC236}">
              <a16:creationId xmlns:a16="http://schemas.microsoft.com/office/drawing/2014/main" id="{D699B813-A6DF-4E87-B008-C20C1D55B4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718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171450</xdr:rowOff>
    </xdr:to>
    <xdr:pic>
      <xdr:nvPicPr>
        <xdr:cNvPr id="2" name="Picture 1">
          <a:extLst>
            <a:ext uri="{FF2B5EF4-FFF2-40B4-BE49-F238E27FC236}">
              <a16:creationId xmlns:a16="http://schemas.microsoft.com/office/drawing/2014/main" id="{523C2EF8-AF0E-4C19-91BE-8520A1288A2A}"/>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C1E0970A-60AF-4660-BD9A-D4B84B663C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9525</xdr:rowOff>
    </xdr:from>
    <xdr:to>
      <xdr:col>14</xdr:col>
      <xdr:colOff>235942</xdr:colOff>
      <xdr:row>12</xdr:row>
      <xdr:rowOff>180975</xdr:rowOff>
    </xdr:to>
    <xdr:pic>
      <xdr:nvPicPr>
        <xdr:cNvPr id="2" name="Picture 1">
          <a:extLst>
            <a:ext uri="{FF2B5EF4-FFF2-40B4-BE49-F238E27FC236}">
              <a16:creationId xmlns:a16="http://schemas.microsoft.com/office/drawing/2014/main" id="{9AEE6F0C-2D49-46B4-936A-7E33CC826B56}"/>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AC4ED7DA-04AA-4531-9735-C0AB75C834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171450</xdr:rowOff>
    </xdr:to>
    <xdr:pic>
      <xdr:nvPicPr>
        <xdr:cNvPr id="2" name="Picture 1">
          <a:extLst>
            <a:ext uri="{FF2B5EF4-FFF2-40B4-BE49-F238E27FC236}">
              <a16:creationId xmlns:a16="http://schemas.microsoft.com/office/drawing/2014/main" id="{FE8C888F-BAD0-427B-AAA1-445EED0E83EA}"/>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A1620B4C-B170-4622-94DA-AB742BFAE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171450</xdr:rowOff>
    </xdr:to>
    <xdr:pic>
      <xdr:nvPicPr>
        <xdr:cNvPr id="2" name="Picture 1">
          <a:extLst>
            <a:ext uri="{FF2B5EF4-FFF2-40B4-BE49-F238E27FC236}">
              <a16:creationId xmlns:a16="http://schemas.microsoft.com/office/drawing/2014/main" id="{84BBBDBE-99E4-465B-B5B3-12BAFB917865}"/>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4D5C0844-6A5A-4242-A241-42DA37C07C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171450</xdr:rowOff>
    </xdr:to>
    <xdr:pic>
      <xdr:nvPicPr>
        <xdr:cNvPr id="2" name="Picture 1">
          <a:extLst>
            <a:ext uri="{FF2B5EF4-FFF2-40B4-BE49-F238E27FC236}">
              <a16:creationId xmlns:a16="http://schemas.microsoft.com/office/drawing/2014/main" id="{67B5F7A3-404C-429D-9FAC-90A69A3AA6A0}"/>
            </a:ext>
          </a:extLst>
        </xdr:cNvPr>
        <xdr:cNvPicPr>
          <a:picLocks noChangeAspect="1"/>
        </xdr:cNvPicPr>
      </xdr:nvPicPr>
      <xdr:blipFill>
        <a:blip xmlns:r="http://schemas.openxmlformats.org/officeDocument/2006/relationships" r:embed="rId1"/>
        <a:stretch>
          <a:fillRect/>
        </a:stretch>
      </xdr:blipFill>
      <xdr:spPr>
        <a:xfrm>
          <a:off x="10553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4F6D9EE0-6677-4914-A20B-95C3C0F3BA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553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35CD6CDA-BFB1-422A-B5E9-45E48F10CE40}"/>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B05571D6-3728-4FB5-B95E-1734E0EA86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813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30D1E8C3-B824-4C74-8053-9B61A72C8034}"/>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266698</xdr:rowOff>
    </xdr:to>
    <xdr:pic>
      <xdr:nvPicPr>
        <xdr:cNvPr id="3" name="Picture 2">
          <a:extLst>
            <a:ext uri="{FF2B5EF4-FFF2-40B4-BE49-F238E27FC236}">
              <a16:creationId xmlns:a16="http://schemas.microsoft.com/office/drawing/2014/main" id="{F8DDC3E0-32AF-4A65-8E4E-B1BD95A00D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813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12</xdr:row>
      <xdr:rowOff>123825</xdr:rowOff>
    </xdr:to>
    <xdr:pic>
      <xdr:nvPicPr>
        <xdr:cNvPr id="2" name="Picture 1">
          <a:extLst>
            <a:ext uri="{FF2B5EF4-FFF2-40B4-BE49-F238E27FC236}">
              <a16:creationId xmlns:a16="http://schemas.microsoft.com/office/drawing/2014/main" id="{657A2730-36FE-4BA3-8126-26CFEAAC63E6}"/>
            </a:ext>
          </a:extLst>
        </xdr:cNvPr>
        <xdr:cNvPicPr>
          <a:picLocks noChangeAspect="1"/>
        </xdr:cNvPicPr>
      </xdr:nvPicPr>
      <xdr:blipFill>
        <a:blip xmlns:r="http://schemas.openxmlformats.org/officeDocument/2006/relationships" r:embed="rId1"/>
        <a:stretch>
          <a:fillRect/>
        </a:stretch>
      </xdr:blipFill>
      <xdr:spPr>
        <a:xfrm>
          <a:off x="10172700" y="523875"/>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25</xdr:row>
      <xdr:rowOff>266698</xdr:rowOff>
    </xdr:to>
    <xdr:pic>
      <xdr:nvPicPr>
        <xdr:cNvPr id="3" name="Picture 2">
          <a:extLst>
            <a:ext uri="{FF2B5EF4-FFF2-40B4-BE49-F238E27FC236}">
              <a16:creationId xmlns:a16="http://schemas.microsoft.com/office/drawing/2014/main" id="{4A849AC5-B6F1-4E6D-8B49-9EECE7F10D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DAE39222-E3F7-4B0D-AC21-9C62B0C21760}"/>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D26E5597-9E07-4F9A-8D0A-3BE5042405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F06AB559-C944-4DC5-BE3E-D5CABA4A206E}"/>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FCB3F35C-AA04-4133-A918-FD21F22BDA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C7956B4D-9A9D-4F27-8E95-1E97FBB93F27}"/>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266698</xdr:rowOff>
    </xdr:to>
    <xdr:pic>
      <xdr:nvPicPr>
        <xdr:cNvPr id="3" name="Picture 2">
          <a:extLst>
            <a:ext uri="{FF2B5EF4-FFF2-40B4-BE49-F238E27FC236}">
              <a16:creationId xmlns:a16="http://schemas.microsoft.com/office/drawing/2014/main" id="{A291ADB4-A73D-424E-95F8-4E4F071B6D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171450</xdr:rowOff>
    </xdr:to>
    <xdr:pic>
      <xdr:nvPicPr>
        <xdr:cNvPr id="2" name="Picture 1">
          <a:extLst>
            <a:ext uri="{FF2B5EF4-FFF2-40B4-BE49-F238E27FC236}">
              <a16:creationId xmlns:a16="http://schemas.microsoft.com/office/drawing/2014/main" id="{DCC774D9-0AB2-4957-9148-6BDA08604F41}"/>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A378872E-8F97-42EC-B958-DF21D36F2C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171450</xdr:rowOff>
    </xdr:to>
    <xdr:pic>
      <xdr:nvPicPr>
        <xdr:cNvPr id="2" name="Picture 1">
          <a:extLst>
            <a:ext uri="{FF2B5EF4-FFF2-40B4-BE49-F238E27FC236}">
              <a16:creationId xmlns:a16="http://schemas.microsoft.com/office/drawing/2014/main" id="{6D7E9CF5-39F4-41CA-A897-D8366EE102E6}"/>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CDAB3C69-0675-4FCD-BC8A-5D92FA548C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E2FCF7B9-EF62-4A9C-8824-E2B3350921FD}"/>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99B28103-5E33-4281-8930-79BC26D4B8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CAB8274C-4B8C-459F-ADC0-25FBAE56854C}"/>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3A25D254-F41C-4720-BAC2-717843D811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C34B4717-AFE3-428E-A443-3BB24333ADDE}"/>
            </a:ext>
          </a:extLst>
        </xdr:cNvPr>
        <xdr:cNvPicPr>
          <a:picLocks noChangeAspect="1"/>
        </xdr:cNvPicPr>
      </xdr:nvPicPr>
      <xdr:blipFill>
        <a:blip xmlns:r="http://schemas.openxmlformats.org/officeDocument/2006/relationships" r:embed="rId1"/>
        <a:stretch>
          <a:fillRect/>
        </a:stretch>
      </xdr:blipFill>
      <xdr:spPr>
        <a:xfrm>
          <a:off x="1030605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1DCBB91A-3405-46F6-B986-47FB299432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06050" y="33813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26FC1E1B-004B-4E1F-B381-1A8EC7611265}"/>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9C3809D7-6F28-4EA9-916F-AE29BC1FAB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3</xdr:row>
      <xdr:rowOff>9525</xdr:rowOff>
    </xdr:from>
    <xdr:to>
      <xdr:col>14</xdr:col>
      <xdr:colOff>235942</xdr:colOff>
      <xdr:row>13</xdr:row>
      <xdr:rowOff>19050</xdr:rowOff>
    </xdr:to>
    <xdr:pic>
      <xdr:nvPicPr>
        <xdr:cNvPr id="2" name="Picture 1">
          <a:extLst>
            <a:ext uri="{FF2B5EF4-FFF2-40B4-BE49-F238E27FC236}">
              <a16:creationId xmlns:a16="http://schemas.microsoft.com/office/drawing/2014/main" id="{0E5F58DA-6ECB-4C25-9960-555D43435175}"/>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17</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61D6D475-D0B3-46BB-A705-2873AB08C7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0E207DA4-AB87-47D6-A4A6-38A52F67CBD0}"/>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23F27B41-7A0A-4F5C-B3A2-B043296A45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389F46AD-7919-48C1-B9A8-566E5AC0DF9F}"/>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EADC64D5-BE30-46CC-AC0F-22DC446CF9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2D165988-229D-414D-A4B6-168C150CF03E}"/>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24</xdr:row>
      <xdr:rowOff>104773</xdr:rowOff>
    </xdr:to>
    <xdr:pic>
      <xdr:nvPicPr>
        <xdr:cNvPr id="3" name="Picture 2">
          <a:extLst>
            <a:ext uri="{FF2B5EF4-FFF2-40B4-BE49-F238E27FC236}">
              <a16:creationId xmlns:a16="http://schemas.microsoft.com/office/drawing/2014/main" id="{F5D2B6FC-9D41-4048-B3F3-946879A05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DBCF0913-6C02-4113-9712-B538ED2EA412}"/>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24</xdr:row>
      <xdr:rowOff>104773</xdr:rowOff>
    </xdr:to>
    <xdr:pic>
      <xdr:nvPicPr>
        <xdr:cNvPr id="3" name="Picture 2">
          <a:extLst>
            <a:ext uri="{FF2B5EF4-FFF2-40B4-BE49-F238E27FC236}">
              <a16:creationId xmlns:a16="http://schemas.microsoft.com/office/drawing/2014/main" id="{E0B17CBF-30F7-4656-A143-13B3833A70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077EC6C4-0E70-4EB7-A38E-64E13577D7D8}"/>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266698</xdr:rowOff>
    </xdr:to>
    <xdr:pic>
      <xdr:nvPicPr>
        <xdr:cNvPr id="3" name="Picture 2">
          <a:extLst>
            <a:ext uri="{FF2B5EF4-FFF2-40B4-BE49-F238E27FC236}">
              <a16:creationId xmlns:a16="http://schemas.microsoft.com/office/drawing/2014/main" id="{9E6BD6E8-CCB9-44FA-8B78-D7A11A45D1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171450</xdr:rowOff>
    </xdr:to>
    <xdr:pic>
      <xdr:nvPicPr>
        <xdr:cNvPr id="2" name="Picture 1">
          <a:extLst>
            <a:ext uri="{FF2B5EF4-FFF2-40B4-BE49-F238E27FC236}">
              <a16:creationId xmlns:a16="http://schemas.microsoft.com/office/drawing/2014/main" id="{76196353-E817-47DB-A5DB-4A82806C0364}"/>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26</xdr:row>
      <xdr:rowOff>266698</xdr:rowOff>
    </xdr:to>
    <xdr:pic>
      <xdr:nvPicPr>
        <xdr:cNvPr id="3" name="Picture 2">
          <a:extLst>
            <a:ext uri="{FF2B5EF4-FFF2-40B4-BE49-F238E27FC236}">
              <a16:creationId xmlns:a16="http://schemas.microsoft.com/office/drawing/2014/main" id="{1C3E965D-6C5C-4FC1-AAE5-ACBAD45AE9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2F0181FD-3A3C-446D-B964-33D29D75BCE2}"/>
            </a:ext>
          </a:extLst>
        </xdr:cNvPr>
        <xdr:cNvPicPr>
          <a:picLocks noChangeAspect="1"/>
        </xdr:cNvPicPr>
      </xdr:nvPicPr>
      <xdr:blipFill>
        <a:blip xmlns:r="http://schemas.openxmlformats.org/officeDocument/2006/relationships" r:embed="rId1"/>
        <a:stretch>
          <a:fillRect/>
        </a:stretch>
      </xdr:blipFill>
      <xdr:spPr>
        <a:xfrm>
          <a:off x="10810875"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BFC231CA-5DC5-4088-B460-91A1AC8CD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810875"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13</xdr:row>
      <xdr:rowOff>9525</xdr:rowOff>
    </xdr:to>
    <xdr:pic>
      <xdr:nvPicPr>
        <xdr:cNvPr id="2" name="Picture 1">
          <a:extLst>
            <a:ext uri="{FF2B5EF4-FFF2-40B4-BE49-F238E27FC236}">
              <a16:creationId xmlns:a16="http://schemas.microsoft.com/office/drawing/2014/main" id="{FC2BEF2E-04EB-4633-8363-ADB7E68E76D8}"/>
            </a:ext>
          </a:extLst>
        </xdr:cNvPr>
        <xdr:cNvPicPr>
          <a:picLocks noChangeAspect="1"/>
        </xdr:cNvPicPr>
      </xdr:nvPicPr>
      <xdr:blipFill>
        <a:blip xmlns:r="http://schemas.openxmlformats.org/officeDocument/2006/relationships" r:embed="rId1"/>
        <a:stretch>
          <a:fillRect/>
        </a:stretch>
      </xdr:blipFill>
      <xdr:spPr>
        <a:xfrm>
          <a:off x="10363200" y="571500"/>
          <a:ext cx="3283942" cy="2038350"/>
        </a:xfrm>
        <a:prstGeom prst="rect">
          <a:avLst/>
        </a:prstGeom>
      </xdr:spPr>
    </xdr:pic>
    <xdr:clientData/>
  </xdr:twoCellAnchor>
  <xdr:twoCellAnchor editAs="oneCell">
    <xdr:from>
      <xdr:col>8</xdr:col>
      <xdr:colOff>476250</xdr:colOff>
      <xdr:row>15</xdr:row>
      <xdr:rowOff>190500</xdr:rowOff>
    </xdr:from>
    <xdr:to>
      <xdr:col>14</xdr:col>
      <xdr:colOff>92371</xdr:colOff>
      <xdr:row>26</xdr:row>
      <xdr:rowOff>133348</xdr:rowOff>
    </xdr:to>
    <xdr:pic>
      <xdr:nvPicPr>
        <xdr:cNvPr id="3" name="Picture 2">
          <a:extLst>
            <a:ext uri="{FF2B5EF4-FFF2-40B4-BE49-F238E27FC236}">
              <a16:creationId xmlns:a16="http://schemas.microsoft.com/office/drawing/2014/main" id="{6C4E679B-4384-45F4-AC8A-2DACE87E56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29850" y="32766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F97792B2-A380-443F-9CFF-2E282F58607B}"/>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49D98DDF-62D0-4EA3-90B9-D296DAF0A1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06930A26-3EA1-47A6-8E41-560CCE974A7F}"/>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A9B44174-79C7-49C7-B069-6FA4CC2734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0</xdr:rowOff>
    </xdr:to>
    <xdr:pic>
      <xdr:nvPicPr>
        <xdr:cNvPr id="2" name="Picture 1">
          <a:extLst>
            <a:ext uri="{FF2B5EF4-FFF2-40B4-BE49-F238E27FC236}">
              <a16:creationId xmlns:a16="http://schemas.microsoft.com/office/drawing/2014/main" id="{6591DA02-BDAC-441C-B07B-53A0245BBA5C}"/>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A81BE944-8949-495E-B462-E6A09BF3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131167</xdr:colOff>
      <xdr:row>13</xdr:row>
      <xdr:rowOff>19050</xdr:rowOff>
    </xdr:to>
    <xdr:pic>
      <xdr:nvPicPr>
        <xdr:cNvPr id="2" name="Picture 1">
          <a:extLst>
            <a:ext uri="{FF2B5EF4-FFF2-40B4-BE49-F238E27FC236}">
              <a16:creationId xmlns:a16="http://schemas.microsoft.com/office/drawing/2014/main" id="{2A7D8C15-2DCB-4FBA-9592-BF939790D7D1}"/>
            </a:ext>
          </a:extLst>
        </xdr:cNvPr>
        <xdr:cNvPicPr>
          <a:picLocks noChangeAspect="1"/>
        </xdr:cNvPicPr>
      </xdr:nvPicPr>
      <xdr:blipFill>
        <a:blip xmlns:r="http://schemas.openxmlformats.org/officeDocument/2006/relationships" r:embed="rId1"/>
        <a:stretch>
          <a:fillRect/>
        </a:stretch>
      </xdr:blipFill>
      <xdr:spPr>
        <a:xfrm>
          <a:off x="10553700" y="571500"/>
          <a:ext cx="3179167" cy="2019300"/>
        </a:xfrm>
        <a:prstGeom prst="rect">
          <a:avLst/>
        </a:prstGeom>
      </xdr:spPr>
    </xdr:pic>
    <xdr:clientData/>
  </xdr:twoCellAnchor>
  <xdr:twoCellAnchor editAs="oneCell">
    <xdr:from>
      <xdr:col>9</xdr:col>
      <xdr:colOff>0</xdr:colOff>
      <xdr:row>16</xdr:row>
      <xdr:rowOff>0</xdr:rowOff>
    </xdr:from>
    <xdr:to>
      <xdr:col>14</xdr:col>
      <xdr:colOff>374530</xdr:colOff>
      <xdr:row>27</xdr:row>
      <xdr:rowOff>28575</xdr:rowOff>
    </xdr:to>
    <xdr:pic>
      <xdr:nvPicPr>
        <xdr:cNvPr id="3" name="Picture 2">
          <a:extLst>
            <a:ext uri="{FF2B5EF4-FFF2-40B4-BE49-F238E27FC236}">
              <a16:creationId xmlns:a16="http://schemas.microsoft.com/office/drawing/2014/main" id="{8D303A5E-094A-4E48-8CA9-DA2700EC2A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53700" y="3248025"/>
          <a:ext cx="3422530" cy="19716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276225</xdr:colOff>
      <xdr:row>13</xdr:row>
      <xdr:rowOff>209550</xdr:rowOff>
    </xdr:to>
    <xdr:pic>
      <xdr:nvPicPr>
        <xdr:cNvPr id="2" name="Picture 1">
          <a:extLst>
            <a:ext uri="{FF2B5EF4-FFF2-40B4-BE49-F238E27FC236}">
              <a16:creationId xmlns:a16="http://schemas.microsoft.com/office/drawing/2014/main" id="{6F9AE2AD-686C-4560-8A6F-02375BF41856}"/>
            </a:ext>
          </a:extLst>
        </xdr:cNvPr>
        <xdr:cNvPicPr>
          <a:picLocks noChangeAspect="1"/>
        </xdr:cNvPicPr>
      </xdr:nvPicPr>
      <xdr:blipFill>
        <a:blip xmlns:r="http://schemas.openxmlformats.org/officeDocument/2006/relationships" r:embed="rId1"/>
        <a:stretch>
          <a:fillRect/>
        </a:stretch>
      </xdr:blipFill>
      <xdr:spPr>
        <a:xfrm>
          <a:off x="10334625" y="571500"/>
          <a:ext cx="3324225" cy="2047875"/>
        </a:xfrm>
        <a:prstGeom prst="rect">
          <a:avLst/>
        </a:prstGeom>
      </xdr:spPr>
    </xdr:pic>
    <xdr:clientData/>
  </xdr:twoCellAnchor>
  <xdr:twoCellAnchor editAs="oneCell">
    <xdr:from>
      <xdr:col>9</xdr:col>
      <xdr:colOff>0</xdr:colOff>
      <xdr:row>16</xdr:row>
      <xdr:rowOff>0</xdr:rowOff>
    </xdr:from>
    <xdr:to>
      <xdr:col>14</xdr:col>
      <xdr:colOff>324928</xdr:colOff>
      <xdr:row>26</xdr:row>
      <xdr:rowOff>161925</xdr:rowOff>
    </xdr:to>
    <xdr:pic>
      <xdr:nvPicPr>
        <xdr:cNvPr id="3" name="Picture 2">
          <a:extLst>
            <a:ext uri="{FF2B5EF4-FFF2-40B4-BE49-F238E27FC236}">
              <a16:creationId xmlns:a16="http://schemas.microsoft.com/office/drawing/2014/main" id="{2200DCF6-9696-4725-B6E9-3DE4BBD926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5" y="3248025"/>
          <a:ext cx="3372928"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15</xdr:col>
      <xdr:colOff>57151</xdr:colOff>
      <xdr:row>13</xdr:row>
      <xdr:rowOff>0</xdr:rowOff>
    </xdr:to>
    <xdr:pic>
      <xdr:nvPicPr>
        <xdr:cNvPr id="2" name="Picture 1">
          <a:extLst>
            <a:ext uri="{FF2B5EF4-FFF2-40B4-BE49-F238E27FC236}">
              <a16:creationId xmlns:a16="http://schemas.microsoft.com/office/drawing/2014/main" id="{15391E24-6860-4F80-8EDA-61C853869525}"/>
            </a:ext>
          </a:extLst>
        </xdr:cNvPr>
        <xdr:cNvPicPr>
          <a:picLocks noChangeAspect="1"/>
        </xdr:cNvPicPr>
      </xdr:nvPicPr>
      <xdr:blipFill>
        <a:blip xmlns:r="http://schemas.openxmlformats.org/officeDocument/2006/relationships" r:embed="rId1"/>
        <a:stretch>
          <a:fillRect/>
        </a:stretch>
      </xdr:blipFill>
      <xdr:spPr>
        <a:xfrm>
          <a:off x="10991850" y="571500"/>
          <a:ext cx="3105151" cy="2000250"/>
        </a:xfrm>
        <a:prstGeom prst="rect">
          <a:avLst/>
        </a:prstGeom>
      </xdr:spPr>
    </xdr:pic>
    <xdr:clientData/>
  </xdr:twoCellAnchor>
  <xdr:twoCellAnchor editAs="oneCell">
    <xdr:from>
      <xdr:col>10</xdr:col>
      <xdr:colOff>0</xdr:colOff>
      <xdr:row>15</xdr:row>
      <xdr:rowOff>0</xdr:rowOff>
    </xdr:from>
    <xdr:to>
      <xdr:col>15</xdr:col>
      <xdr:colOff>225721</xdr:colOff>
      <xdr:row>25</xdr:row>
      <xdr:rowOff>104773</xdr:rowOff>
    </xdr:to>
    <xdr:pic>
      <xdr:nvPicPr>
        <xdr:cNvPr id="3" name="Picture 2">
          <a:extLst>
            <a:ext uri="{FF2B5EF4-FFF2-40B4-BE49-F238E27FC236}">
              <a16:creationId xmlns:a16="http://schemas.microsoft.com/office/drawing/2014/main" id="{E7087356-508B-406F-AFF2-2CDD4F2A24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991850" y="338137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F090B99B-C935-4F17-AC8B-BA922B14520E}"/>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68AB297C-5243-419B-83BA-1C42BF693D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D85BB3B4-07AC-459E-828F-AFD7E019FCE3}"/>
            </a:ext>
          </a:extLst>
        </xdr:cNvPr>
        <xdr:cNvPicPr>
          <a:picLocks noChangeAspect="1"/>
        </xdr:cNvPicPr>
      </xdr:nvPicPr>
      <xdr:blipFill>
        <a:blip xmlns:r="http://schemas.openxmlformats.org/officeDocument/2006/relationships" r:embed="rId1"/>
        <a:stretch>
          <a:fillRect/>
        </a:stretch>
      </xdr:blipFill>
      <xdr:spPr>
        <a:xfrm>
          <a:off x="10172700"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27</xdr:row>
      <xdr:rowOff>104773</xdr:rowOff>
    </xdr:to>
    <xdr:pic>
      <xdr:nvPicPr>
        <xdr:cNvPr id="3" name="Picture 2">
          <a:extLst>
            <a:ext uri="{FF2B5EF4-FFF2-40B4-BE49-F238E27FC236}">
              <a16:creationId xmlns:a16="http://schemas.microsoft.com/office/drawing/2014/main" id="{DC696E7B-B2A0-4F50-92BE-EB8C431869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226417</xdr:colOff>
      <xdr:row>12</xdr:row>
      <xdr:rowOff>95250</xdr:rowOff>
    </xdr:to>
    <xdr:pic>
      <xdr:nvPicPr>
        <xdr:cNvPr id="2" name="Picture 1">
          <a:extLst>
            <a:ext uri="{FF2B5EF4-FFF2-40B4-BE49-F238E27FC236}">
              <a16:creationId xmlns:a16="http://schemas.microsoft.com/office/drawing/2014/main" id="{D53538C0-6E14-4B99-9B40-2232DC2ABE85}"/>
            </a:ext>
          </a:extLst>
        </xdr:cNvPr>
        <xdr:cNvPicPr>
          <a:picLocks noChangeAspect="1"/>
        </xdr:cNvPicPr>
      </xdr:nvPicPr>
      <xdr:blipFill>
        <a:blip xmlns:r="http://schemas.openxmlformats.org/officeDocument/2006/relationships" r:embed="rId1"/>
        <a:stretch>
          <a:fillRect/>
        </a:stretch>
      </xdr:blipFill>
      <xdr:spPr>
        <a:xfrm>
          <a:off x="10334625" y="571500"/>
          <a:ext cx="3274417" cy="2095500"/>
        </a:xfrm>
        <a:prstGeom prst="rect">
          <a:avLst/>
        </a:prstGeom>
      </xdr:spPr>
    </xdr:pic>
    <xdr:clientData/>
  </xdr:twoCellAnchor>
  <xdr:twoCellAnchor editAs="oneCell">
    <xdr:from>
      <xdr:col>9</xdr:col>
      <xdr:colOff>0</xdr:colOff>
      <xdr:row>16</xdr:row>
      <xdr:rowOff>0</xdr:rowOff>
    </xdr:from>
    <xdr:to>
      <xdr:col>14</xdr:col>
      <xdr:colOff>374530</xdr:colOff>
      <xdr:row>27</xdr:row>
      <xdr:rowOff>28575</xdr:rowOff>
    </xdr:to>
    <xdr:pic>
      <xdr:nvPicPr>
        <xdr:cNvPr id="3" name="Picture 2">
          <a:extLst>
            <a:ext uri="{FF2B5EF4-FFF2-40B4-BE49-F238E27FC236}">
              <a16:creationId xmlns:a16="http://schemas.microsoft.com/office/drawing/2014/main" id="{70D9F5B7-EAB5-4F61-849F-C3BEB25ADC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5" y="3543300"/>
          <a:ext cx="342253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12</xdr:row>
      <xdr:rowOff>9525</xdr:rowOff>
    </xdr:to>
    <xdr:pic>
      <xdr:nvPicPr>
        <xdr:cNvPr id="2" name="Picture 1">
          <a:extLst>
            <a:ext uri="{FF2B5EF4-FFF2-40B4-BE49-F238E27FC236}">
              <a16:creationId xmlns:a16="http://schemas.microsoft.com/office/drawing/2014/main" id="{C18D7AC5-CDC8-4492-9F86-F0ADB2406882}"/>
            </a:ext>
          </a:extLst>
        </xdr:cNvPr>
        <xdr:cNvPicPr>
          <a:picLocks noChangeAspect="1"/>
        </xdr:cNvPicPr>
      </xdr:nvPicPr>
      <xdr:blipFill>
        <a:blip xmlns:r="http://schemas.openxmlformats.org/officeDocument/2006/relationships" r:embed="rId1"/>
        <a:stretch>
          <a:fillRect/>
        </a:stretch>
      </xdr:blipFill>
      <xdr:spPr>
        <a:xfrm>
          <a:off x="10353675" y="571500"/>
          <a:ext cx="3283942" cy="2009775"/>
        </a:xfrm>
        <a:prstGeom prst="rect">
          <a:avLst/>
        </a:prstGeom>
      </xdr:spPr>
    </xdr:pic>
    <xdr:clientData/>
  </xdr:twoCellAnchor>
  <xdr:twoCellAnchor editAs="oneCell">
    <xdr:from>
      <xdr:col>9</xdr:col>
      <xdr:colOff>0</xdr:colOff>
      <xdr:row>16</xdr:row>
      <xdr:rowOff>0</xdr:rowOff>
    </xdr:from>
    <xdr:to>
      <xdr:col>14</xdr:col>
      <xdr:colOff>225721</xdr:colOff>
      <xdr:row>25</xdr:row>
      <xdr:rowOff>266698</xdr:rowOff>
    </xdr:to>
    <xdr:pic>
      <xdr:nvPicPr>
        <xdr:cNvPr id="3" name="Picture 2">
          <a:extLst>
            <a:ext uri="{FF2B5EF4-FFF2-40B4-BE49-F238E27FC236}">
              <a16:creationId xmlns:a16="http://schemas.microsoft.com/office/drawing/2014/main" id="{223595E3-88AE-46E6-9586-87C5B981DA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53675"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4D1ABD3C-FBFA-43F4-910B-0862548774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57151</xdr:colOff>
      <xdr:row>12</xdr:row>
      <xdr:rowOff>0</xdr:rowOff>
    </xdr:to>
    <xdr:pic>
      <xdr:nvPicPr>
        <xdr:cNvPr id="4" name="Picture 3">
          <a:extLst>
            <a:ext uri="{FF2B5EF4-FFF2-40B4-BE49-F238E27FC236}">
              <a16:creationId xmlns:a16="http://schemas.microsoft.com/office/drawing/2014/main" id="{B2E23B1F-C385-4A0E-8B32-2D99F7CE2FF5}"/>
            </a:ext>
          </a:extLst>
        </xdr:cNvPr>
        <xdr:cNvPicPr>
          <a:picLocks noChangeAspect="1"/>
        </xdr:cNvPicPr>
      </xdr:nvPicPr>
      <xdr:blipFill>
        <a:blip xmlns:r="http://schemas.openxmlformats.org/officeDocument/2006/relationships" r:embed="rId2"/>
        <a:stretch>
          <a:fillRect/>
        </a:stretch>
      </xdr:blipFill>
      <xdr:spPr>
        <a:xfrm>
          <a:off x="10172700" y="571500"/>
          <a:ext cx="3105151" cy="200025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9</xdr:col>
      <xdr:colOff>0</xdr:colOff>
      <xdr:row>16</xdr:row>
      <xdr:rowOff>0</xdr:rowOff>
    </xdr:from>
    <xdr:to>
      <xdr:col>14</xdr:col>
      <xdr:colOff>225721</xdr:colOff>
      <xdr:row>26</xdr:row>
      <xdr:rowOff>104773</xdr:rowOff>
    </xdr:to>
    <xdr:pic>
      <xdr:nvPicPr>
        <xdr:cNvPr id="3" name="Picture 2">
          <a:extLst>
            <a:ext uri="{FF2B5EF4-FFF2-40B4-BE49-F238E27FC236}">
              <a16:creationId xmlns:a16="http://schemas.microsoft.com/office/drawing/2014/main" id="{17B8E6FC-113B-46B8-AC36-C52DAD81A7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2700" y="3248025"/>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276225</xdr:colOff>
      <xdr:row>12</xdr:row>
      <xdr:rowOff>47625</xdr:rowOff>
    </xdr:to>
    <xdr:pic>
      <xdr:nvPicPr>
        <xdr:cNvPr id="4" name="Picture 3">
          <a:extLst>
            <a:ext uri="{FF2B5EF4-FFF2-40B4-BE49-F238E27FC236}">
              <a16:creationId xmlns:a16="http://schemas.microsoft.com/office/drawing/2014/main" id="{423A7A64-4DE5-4BE9-BBC7-0A51C3B1E273}"/>
            </a:ext>
          </a:extLst>
        </xdr:cNvPr>
        <xdr:cNvPicPr>
          <a:picLocks noChangeAspect="1"/>
        </xdr:cNvPicPr>
      </xdr:nvPicPr>
      <xdr:blipFill>
        <a:blip xmlns:r="http://schemas.openxmlformats.org/officeDocument/2006/relationships" r:embed="rId2"/>
        <a:stretch>
          <a:fillRect/>
        </a:stretch>
      </xdr:blipFill>
      <xdr:spPr>
        <a:xfrm>
          <a:off x="10172700" y="571500"/>
          <a:ext cx="3324225" cy="20478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9</xdr:col>
      <xdr:colOff>0</xdr:colOff>
      <xdr:row>16</xdr:row>
      <xdr:rowOff>0</xdr:rowOff>
    </xdr:from>
    <xdr:to>
      <xdr:col>14</xdr:col>
      <xdr:colOff>225721</xdr:colOff>
      <xdr:row>25</xdr:row>
      <xdr:rowOff>104773</xdr:rowOff>
    </xdr:to>
    <xdr:pic>
      <xdr:nvPicPr>
        <xdr:cNvPr id="3" name="Picture 2">
          <a:extLst>
            <a:ext uri="{FF2B5EF4-FFF2-40B4-BE49-F238E27FC236}">
              <a16:creationId xmlns:a16="http://schemas.microsoft.com/office/drawing/2014/main" id="{37572950-D91C-431E-B0AF-36E7AA4E6F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2700" y="340995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276225</xdr:colOff>
      <xdr:row>12</xdr:row>
      <xdr:rowOff>47625</xdr:rowOff>
    </xdr:to>
    <xdr:pic>
      <xdr:nvPicPr>
        <xdr:cNvPr id="4" name="Picture 3">
          <a:extLst>
            <a:ext uri="{FF2B5EF4-FFF2-40B4-BE49-F238E27FC236}">
              <a16:creationId xmlns:a16="http://schemas.microsoft.com/office/drawing/2014/main" id="{078F7747-2259-4C12-8F04-6C7534CA40A2}"/>
            </a:ext>
          </a:extLst>
        </xdr:cNvPr>
        <xdr:cNvPicPr>
          <a:picLocks noChangeAspect="1"/>
        </xdr:cNvPicPr>
      </xdr:nvPicPr>
      <xdr:blipFill>
        <a:blip xmlns:r="http://schemas.openxmlformats.org/officeDocument/2006/relationships" r:embed="rId2"/>
        <a:stretch>
          <a:fillRect/>
        </a:stretch>
      </xdr:blipFill>
      <xdr:spPr>
        <a:xfrm>
          <a:off x="10172700" y="571500"/>
          <a:ext cx="3324225" cy="2047875"/>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140692</xdr:colOff>
      <xdr:row>10</xdr:row>
      <xdr:rowOff>66675</xdr:rowOff>
    </xdr:to>
    <xdr:pic>
      <xdr:nvPicPr>
        <xdr:cNvPr id="2" name="Picture 1">
          <a:extLst>
            <a:ext uri="{FF2B5EF4-FFF2-40B4-BE49-F238E27FC236}">
              <a16:creationId xmlns:a16="http://schemas.microsoft.com/office/drawing/2014/main" id="{9E488B59-8F7C-474B-83C4-D5E8FD133D9B}"/>
            </a:ext>
          </a:extLst>
        </xdr:cNvPr>
        <xdr:cNvPicPr>
          <a:picLocks noChangeAspect="1"/>
        </xdr:cNvPicPr>
      </xdr:nvPicPr>
      <xdr:blipFill>
        <a:blip xmlns:r="http://schemas.openxmlformats.org/officeDocument/2006/relationships" r:embed="rId1"/>
        <a:stretch>
          <a:fillRect/>
        </a:stretch>
      </xdr:blipFill>
      <xdr:spPr>
        <a:xfrm>
          <a:off x="8562975" y="571500"/>
          <a:ext cx="3283942" cy="2009775"/>
        </a:xfrm>
        <a:prstGeom prst="rect">
          <a:avLst/>
        </a:prstGeom>
      </xdr:spPr>
    </xdr:pic>
    <xdr:clientData/>
  </xdr:twoCellAnchor>
  <xdr:twoCellAnchor editAs="oneCell">
    <xdr:from>
      <xdr:col>9</xdr:col>
      <xdr:colOff>0</xdr:colOff>
      <xdr:row>15</xdr:row>
      <xdr:rowOff>0</xdr:rowOff>
    </xdr:from>
    <xdr:to>
      <xdr:col>14</xdr:col>
      <xdr:colOff>130471</xdr:colOff>
      <xdr:row>24</xdr:row>
      <xdr:rowOff>171448</xdr:rowOff>
    </xdr:to>
    <xdr:pic>
      <xdr:nvPicPr>
        <xdr:cNvPr id="3" name="Picture 2">
          <a:extLst>
            <a:ext uri="{FF2B5EF4-FFF2-40B4-BE49-F238E27FC236}">
              <a16:creationId xmlns:a16="http://schemas.microsoft.com/office/drawing/2014/main" id="{E4663DCC-15FD-49E5-BCAE-8AD1C7BA45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62975" y="3467100"/>
          <a:ext cx="3273721" cy="1885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A222A-C7B3-4E2A-BBC4-AD51346BDA36}">
  <dimension ref="A1:C42"/>
  <sheetViews>
    <sheetView tabSelected="1" workbookViewId="0">
      <pane ySplit="1" topLeftCell="A2" activePane="bottomLeft" state="frozen"/>
      <selection activeCell="A4" sqref="A4"/>
      <selection pane="bottomLeft"/>
    </sheetView>
  </sheetViews>
  <sheetFormatPr defaultColWidth="8.85546875" defaultRowHeight="15" x14ac:dyDescent="0.2"/>
  <cols>
    <col min="1" max="1" width="6" style="31" bestFit="1" customWidth="1"/>
    <col min="2" max="2" width="11.140625" style="34" bestFit="1" customWidth="1"/>
    <col min="3" max="3" width="56.42578125" style="34" bestFit="1" customWidth="1"/>
    <col min="4" max="16384" width="8.85546875" style="34"/>
  </cols>
  <sheetData>
    <row r="1" spans="1:3" s="31" customFormat="1" x14ac:dyDescent="0.2">
      <c r="A1" s="29" t="s">
        <v>731</v>
      </c>
      <c r="B1" s="30" t="s">
        <v>732</v>
      </c>
      <c r="C1" s="30" t="s">
        <v>733</v>
      </c>
    </row>
    <row r="2" spans="1:3" x14ac:dyDescent="0.2">
      <c r="A2" s="32">
        <v>1</v>
      </c>
      <c r="B2" s="33" t="s">
        <v>734</v>
      </c>
      <c r="C2" s="33" t="s">
        <v>1</v>
      </c>
    </row>
    <row r="3" spans="1:3" x14ac:dyDescent="0.2">
      <c r="A3" s="32">
        <v>2</v>
      </c>
      <c r="B3" s="33" t="s">
        <v>735</v>
      </c>
      <c r="C3" s="33" t="s">
        <v>142</v>
      </c>
    </row>
    <row r="4" spans="1:3" x14ac:dyDescent="0.2">
      <c r="A4" s="32">
        <v>3</v>
      </c>
      <c r="B4" s="33" t="s">
        <v>736</v>
      </c>
      <c r="C4" s="33" t="s">
        <v>286</v>
      </c>
    </row>
    <row r="5" spans="1:3" x14ac:dyDescent="0.2">
      <c r="A5" s="32">
        <v>4</v>
      </c>
      <c r="B5" s="33" t="s">
        <v>737</v>
      </c>
      <c r="C5" s="35" t="s">
        <v>293</v>
      </c>
    </row>
    <row r="6" spans="1:3" x14ac:dyDescent="0.2">
      <c r="A6" s="32">
        <v>5</v>
      </c>
      <c r="B6" s="33" t="s">
        <v>738</v>
      </c>
      <c r="C6" s="35" t="s">
        <v>296</v>
      </c>
    </row>
    <row r="7" spans="1:3" x14ac:dyDescent="0.2">
      <c r="A7" s="32">
        <v>6</v>
      </c>
      <c r="B7" s="33" t="s">
        <v>739</v>
      </c>
      <c r="C7" s="33" t="s">
        <v>301</v>
      </c>
    </row>
    <row r="8" spans="1:3" x14ac:dyDescent="0.2">
      <c r="A8" s="32">
        <v>7</v>
      </c>
      <c r="B8" s="33" t="s">
        <v>740</v>
      </c>
      <c r="C8" s="33" t="s">
        <v>411</v>
      </c>
    </row>
    <row r="9" spans="1:3" x14ac:dyDescent="0.2">
      <c r="A9" s="32">
        <v>8</v>
      </c>
      <c r="B9" s="33" t="s">
        <v>741</v>
      </c>
      <c r="C9" s="33" t="s">
        <v>742</v>
      </c>
    </row>
    <row r="10" spans="1:3" x14ac:dyDescent="0.2">
      <c r="A10" s="32">
        <v>9</v>
      </c>
      <c r="B10" s="33" t="s">
        <v>743</v>
      </c>
      <c r="C10" s="33" t="s">
        <v>744</v>
      </c>
    </row>
    <row r="11" spans="1:3" x14ac:dyDescent="0.2">
      <c r="A11" s="32">
        <v>10</v>
      </c>
      <c r="B11" s="33" t="s">
        <v>745</v>
      </c>
      <c r="C11" s="33" t="s">
        <v>462</v>
      </c>
    </row>
    <row r="12" spans="1:3" x14ac:dyDescent="0.2">
      <c r="A12" s="32">
        <v>11</v>
      </c>
      <c r="B12" s="33" t="s">
        <v>746</v>
      </c>
      <c r="C12" s="33" t="s">
        <v>479</v>
      </c>
    </row>
    <row r="13" spans="1:3" x14ac:dyDescent="0.2">
      <c r="A13" s="32">
        <v>12</v>
      </c>
      <c r="B13" s="33" t="s">
        <v>747</v>
      </c>
      <c r="C13" s="33" t="s">
        <v>480</v>
      </c>
    </row>
    <row r="14" spans="1:3" x14ac:dyDescent="0.2">
      <c r="A14" s="32">
        <v>13</v>
      </c>
      <c r="B14" s="33" t="s">
        <v>748</v>
      </c>
      <c r="C14" s="33" t="s">
        <v>483</v>
      </c>
    </row>
    <row r="15" spans="1:3" x14ac:dyDescent="0.2">
      <c r="A15" s="32">
        <v>14</v>
      </c>
      <c r="B15" s="33" t="s">
        <v>749</v>
      </c>
      <c r="C15" s="33" t="s">
        <v>484</v>
      </c>
    </row>
    <row r="16" spans="1:3" x14ac:dyDescent="0.2">
      <c r="A16" s="32">
        <v>15</v>
      </c>
      <c r="B16" s="35" t="s">
        <v>750</v>
      </c>
      <c r="C16" s="35" t="s">
        <v>485</v>
      </c>
    </row>
    <row r="17" spans="1:3" x14ac:dyDescent="0.2">
      <c r="A17" s="32">
        <v>16</v>
      </c>
      <c r="B17" s="35" t="s">
        <v>751</v>
      </c>
      <c r="C17" s="35" t="s">
        <v>486</v>
      </c>
    </row>
    <row r="18" spans="1:3" x14ac:dyDescent="0.2">
      <c r="A18" s="32">
        <v>17</v>
      </c>
      <c r="B18" s="35" t="s">
        <v>752</v>
      </c>
      <c r="C18" s="35" t="s">
        <v>501</v>
      </c>
    </row>
    <row r="19" spans="1:3" x14ac:dyDescent="0.2">
      <c r="A19" s="32">
        <v>18</v>
      </c>
      <c r="B19" s="35" t="s">
        <v>753</v>
      </c>
      <c r="C19" s="35" t="s">
        <v>754</v>
      </c>
    </row>
    <row r="20" spans="1:3" x14ac:dyDescent="0.2">
      <c r="A20" s="32">
        <v>19</v>
      </c>
      <c r="B20" s="35" t="s">
        <v>755</v>
      </c>
      <c r="C20" s="35" t="s">
        <v>756</v>
      </c>
    </row>
    <row r="21" spans="1:3" x14ac:dyDescent="0.2">
      <c r="A21" s="32">
        <v>20</v>
      </c>
      <c r="B21" s="35" t="s">
        <v>757</v>
      </c>
      <c r="C21" s="35" t="s">
        <v>758</v>
      </c>
    </row>
    <row r="22" spans="1:3" x14ac:dyDescent="0.2">
      <c r="A22" s="32">
        <v>21</v>
      </c>
      <c r="B22" s="35" t="s">
        <v>759</v>
      </c>
      <c r="C22" s="35" t="s">
        <v>760</v>
      </c>
    </row>
    <row r="23" spans="1:3" x14ac:dyDescent="0.2">
      <c r="A23" s="32">
        <v>22</v>
      </c>
      <c r="B23" s="35" t="s">
        <v>761</v>
      </c>
      <c r="C23" s="35" t="s">
        <v>512</v>
      </c>
    </row>
    <row r="24" spans="1:3" x14ac:dyDescent="0.2">
      <c r="A24" s="32">
        <v>23</v>
      </c>
      <c r="B24" s="35" t="s">
        <v>762</v>
      </c>
      <c r="C24" s="35" t="s">
        <v>513</v>
      </c>
    </row>
    <row r="25" spans="1:3" x14ac:dyDescent="0.2">
      <c r="A25" s="32">
        <v>24</v>
      </c>
      <c r="B25" s="35" t="s">
        <v>763</v>
      </c>
      <c r="C25" s="35" t="s">
        <v>514</v>
      </c>
    </row>
    <row r="26" spans="1:3" x14ac:dyDescent="0.2">
      <c r="A26" s="32">
        <v>25</v>
      </c>
      <c r="B26" s="35" t="s">
        <v>764</v>
      </c>
      <c r="C26" s="35" t="s">
        <v>515</v>
      </c>
    </row>
    <row r="27" spans="1:3" x14ac:dyDescent="0.2">
      <c r="A27" s="32">
        <v>26</v>
      </c>
      <c r="B27" s="35" t="s">
        <v>765</v>
      </c>
      <c r="C27" s="35" t="s">
        <v>516</v>
      </c>
    </row>
    <row r="28" spans="1:3" x14ac:dyDescent="0.2">
      <c r="A28" s="32">
        <v>27</v>
      </c>
      <c r="B28" s="35" t="s">
        <v>766</v>
      </c>
      <c r="C28" s="35" t="s">
        <v>767</v>
      </c>
    </row>
    <row r="29" spans="1:3" x14ac:dyDescent="0.2">
      <c r="A29" s="32">
        <v>28</v>
      </c>
      <c r="B29" s="35" t="s">
        <v>768</v>
      </c>
      <c r="C29" s="35" t="s">
        <v>769</v>
      </c>
    </row>
    <row r="30" spans="1:3" x14ac:dyDescent="0.2">
      <c r="A30" s="32">
        <v>29</v>
      </c>
      <c r="B30" s="35" t="s">
        <v>770</v>
      </c>
      <c r="C30" s="35" t="s">
        <v>771</v>
      </c>
    </row>
    <row r="31" spans="1:3" x14ac:dyDescent="0.2">
      <c r="A31" s="32">
        <v>30</v>
      </c>
      <c r="B31" s="35" t="s">
        <v>772</v>
      </c>
      <c r="C31" s="35" t="s">
        <v>693</v>
      </c>
    </row>
    <row r="32" spans="1:3" x14ac:dyDescent="0.2">
      <c r="A32" s="32">
        <v>31</v>
      </c>
      <c r="B32" s="35" t="s">
        <v>773</v>
      </c>
      <c r="C32" s="35" t="s">
        <v>694</v>
      </c>
    </row>
    <row r="33" spans="1:3" x14ac:dyDescent="0.2">
      <c r="A33" s="32">
        <v>32</v>
      </c>
      <c r="B33" s="35" t="s">
        <v>774</v>
      </c>
      <c r="C33" s="35" t="s">
        <v>775</v>
      </c>
    </row>
    <row r="34" spans="1:3" x14ac:dyDescent="0.2">
      <c r="A34" s="32">
        <v>33</v>
      </c>
      <c r="B34" s="35" t="s">
        <v>776</v>
      </c>
      <c r="C34" s="35" t="s">
        <v>777</v>
      </c>
    </row>
    <row r="35" spans="1:3" x14ac:dyDescent="0.2">
      <c r="A35" s="32">
        <v>34</v>
      </c>
      <c r="B35" s="35" t="s">
        <v>778</v>
      </c>
      <c r="C35" s="35" t="s">
        <v>698</v>
      </c>
    </row>
    <row r="36" spans="1:3" x14ac:dyDescent="0.2">
      <c r="A36" s="32">
        <v>35</v>
      </c>
      <c r="B36" s="35" t="s">
        <v>779</v>
      </c>
      <c r="C36" s="35" t="s">
        <v>699</v>
      </c>
    </row>
    <row r="37" spans="1:3" x14ac:dyDescent="0.2">
      <c r="A37" s="32">
        <v>36</v>
      </c>
      <c r="B37" s="35" t="s">
        <v>780</v>
      </c>
      <c r="C37" s="35" t="s">
        <v>710</v>
      </c>
    </row>
    <row r="38" spans="1:3" x14ac:dyDescent="0.2">
      <c r="A38" s="32">
        <v>37</v>
      </c>
      <c r="B38" s="35" t="s">
        <v>781</v>
      </c>
      <c r="C38" s="35" t="s">
        <v>721</v>
      </c>
    </row>
    <row r="39" spans="1:3" x14ac:dyDescent="0.2">
      <c r="A39" s="32">
        <v>38</v>
      </c>
      <c r="B39" s="35" t="s">
        <v>782</v>
      </c>
      <c r="C39" s="35" t="s">
        <v>728</v>
      </c>
    </row>
    <row r="40" spans="1:3" x14ac:dyDescent="0.2">
      <c r="A40" s="32">
        <v>39</v>
      </c>
      <c r="B40" s="35" t="s">
        <v>783</v>
      </c>
      <c r="C40" s="35" t="s">
        <v>729</v>
      </c>
    </row>
    <row r="41" spans="1:3" x14ac:dyDescent="0.2">
      <c r="A41" s="32">
        <v>40</v>
      </c>
      <c r="B41" s="35" t="s">
        <v>784</v>
      </c>
      <c r="C41" s="35" t="s">
        <v>730</v>
      </c>
    </row>
    <row r="42" spans="1:3" x14ac:dyDescent="0.2">
      <c r="A42" s="32">
        <v>41</v>
      </c>
      <c r="B42" s="35" t="s">
        <v>785</v>
      </c>
      <c r="C42" s="35" t="s">
        <v>786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30"/>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1</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11</v>
      </c>
      <c r="C7" s="4" t="s">
        <v>12</v>
      </c>
      <c r="D7" s="4" t="s">
        <v>13</v>
      </c>
      <c r="E7" s="5">
        <v>351301</v>
      </c>
      <c r="F7" s="6">
        <v>6206.2591165000003</v>
      </c>
      <c r="G7" s="7">
        <v>9.6042939999999993E-2</v>
      </c>
      <c r="H7" s="112"/>
    </row>
    <row r="8" spans="1:14" x14ac:dyDescent="0.2">
      <c r="A8" s="3">
        <v>2</v>
      </c>
      <c r="B8" s="4" t="s">
        <v>14</v>
      </c>
      <c r="C8" s="4" t="s">
        <v>15</v>
      </c>
      <c r="D8" s="4" t="s">
        <v>16</v>
      </c>
      <c r="E8" s="5">
        <v>223065</v>
      </c>
      <c r="F8" s="6">
        <v>5657.4860625000001</v>
      </c>
      <c r="G8" s="7">
        <v>8.7550582000000002E-2</v>
      </c>
      <c r="H8" s="112"/>
    </row>
    <row r="9" spans="1:14" x14ac:dyDescent="0.2">
      <c r="A9" s="3">
        <v>3</v>
      </c>
      <c r="B9" s="4" t="s">
        <v>17</v>
      </c>
      <c r="C9" s="4" t="s">
        <v>18</v>
      </c>
      <c r="D9" s="4" t="s">
        <v>19</v>
      </c>
      <c r="E9" s="5">
        <v>498729</v>
      </c>
      <c r="F9" s="6">
        <v>4000.0559444999999</v>
      </c>
      <c r="G9" s="7">
        <v>6.1901562E-2</v>
      </c>
      <c r="H9" s="112"/>
    </row>
    <row r="10" spans="1:14" ht="25.5" x14ac:dyDescent="0.2">
      <c r="A10" s="3">
        <v>4</v>
      </c>
      <c r="B10" s="4" t="s">
        <v>20</v>
      </c>
      <c r="C10" s="4" t="s">
        <v>21</v>
      </c>
      <c r="D10" s="4" t="s">
        <v>971</v>
      </c>
      <c r="E10" s="5">
        <v>362486</v>
      </c>
      <c r="F10" s="6">
        <v>3865.9131900000002</v>
      </c>
      <c r="G10" s="7">
        <v>5.9825679999999999E-2</v>
      </c>
      <c r="H10" s="112"/>
    </row>
    <row r="11" spans="1:14" x14ac:dyDescent="0.2">
      <c r="A11" s="3">
        <v>5</v>
      </c>
      <c r="B11" s="4" t="s">
        <v>22</v>
      </c>
      <c r="C11" s="4" t="s">
        <v>23</v>
      </c>
      <c r="D11" s="4" t="s">
        <v>24</v>
      </c>
      <c r="E11" s="5">
        <v>551604</v>
      </c>
      <c r="F11" s="6">
        <v>3780.4180139999999</v>
      </c>
      <c r="G11" s="7">
        <v>5.8502627000000001E-2</v>
      </c>
      <c r="H11" s="112"/>
    </row>
    <row r="12" spans="1:14" x14ac:dyDescent="0.2">
      <c r="A12" s="3">
        <v>6</v>
      </c>
      <c r="B12" s="4" t="s">
        <v>25</v>
      </c>
      <c r="C12" s="4" t="s">
        <v>26</v>
      </c>
      <c r="D12" s="4" t="s">
        <v>27</v>
      </c>
      <c r="E12" s="5">
        <v>231062</v>
      </c>
      <c r="F12" s="6">
        <v>3742.2801519999998</v>
      </c>
      <c r="G12" s="7">
        <v>5.7912436999999997E-2</v>
      </c>
      <c r="H12" s="112"/>
    </row>
    <row r="13" spans="1:14" ht="25.5" x14ac:dyDescent="0.2">
      <c r="A13" s="3">
        <v>7</v>
      </c>
      <c r="B13" s="4" t="s">
        <v>28</v>
      </c>
      <c r="C13" s="4" t="s">
        <v>29</v>
      </c>
      <c r="D13" s="4" t="s">
        <v>971</v>
      </c>
      <c r="E13" s="5">
        <v>47925</v>
      </c>
      <c r="F13" s="6">
        <v>3659.5769624999998</v>
      </c>
      <c r="G13" s="7">
        <v>5.6632591000000003E-2</v>
      </c>
      <c r="H13" s="112"/>
    </row>
    <row r="14" spans="1:14" x14ac:dyDescent="0.2">
      <c r="A14" s="3">
        <v>8</v>
      </c>
      <c r="B14" s="4" t="s">
        <v>30</v>
      </c>
      <c r="C14" s="4" t="s">
        <v>31</v>
      </c>
      <c r="D14" s="4" t="s">
        <v>27</v>
      </c>
      <c r="E14" s="5">
        <v>118332</v>
      </c>
      <c r="F14" s="6">
        <v>2675.959848</v>
      </c>
      <c r="G14" s="7">
        <v>4.1410944999999998E-2</v>
      </c>
      <c r="H14" s="112"/>
    </row>
    <row r="15" spans="1:14" ht="15" x14ac:dyDescent="0.2">
      <c r="A15" s="3">
        <v>9</v>
      </c>
      <c r="B15" s="4" t="s">
        <v>32</v>
      </c>
      <c r="C15" s="4" t="s">
        <v>33</v>
      </c>
      <c r="D15" s="4" t="s">
        <v>34</v>
      </c>
      <c r="E15" s="5">
        <v>1151835</v>
      </c>
      <c r="F15" s="6">
        <v>2468.3824049999998</v>
      </c>
      <c r="G15" s="7">
        <v>3.8198647000000002E-2</v>
      </c>
      <c r="H15" s="112"/>
      <c r="J15" s="188" t="s">
        <v>1011</v>
      </c>
    </row>
    <row r="16" spans="1:14" x14ac:dyDescent="0.2">
      <c r="A16" s="3">
        <v>10</v>
      </c>
      <c r="B16" s="4" t="s">
        <v>35</v>
      </c>
      <c r="C16" s="4" t="s">
        <v>36</v>
      </c>
      <c r="D16" s="4" t="s">
        <v>16</v>
      </c>
      <c r="E16" s="5">
        <v>587681</v>
      </c>
      <c r="F16" s="6">
        <v>2454.7435369999998</v>
      </c>
      <c r="G16" s="7">
        <v>3.7987583999999998E-2</v>
      </c>
      <c r="H16" s="112"/>
    </row>
    <row r="17" spans="1:8" ht="25.5" x14ac:dyDescent="0.2">
      <c r="A17" s="3">
        <v>11</v>
      </c>
      <c r="B17" s="4" t="s">
        <v>37</v>
      </c>
      <c r="C17" s="4" t="s">
        <v>38</v>
      </c>
      <c r="D17" s="4" t="s">
        <v>971</v>
      </c>
      <c r="E17" s="5">
        <v>70820</v>
      </c>
      <c r="F17" s="6">
        <v>2348.2141499999998</v>
      </c>
      <c r="G17" s="7">
        <v>3.6339022999999998E-2</v>
      </c>
      <c r="H17" s="112"/>
    </row>
    <row r="18" spans="1:8" x14ac:dyDescent="0.2">
      <c r="A18" s="3">
        <v>12</v>
      </c>
      <c r="B18" s="4" t="s">
        <v>39</v>
      </c>
      <c r="C18" s="4" t="s">
        <v>40</v>
      </c>
      <c r="D18" s="4" t="s">
        <v>27</v>
      </c>
      <c r="E18" s="5">
        <v>87472</v>
      </c>
      <c r="F18" s="6">
        <v>2214.528624</v>
      </c>
      <c r="G18" s="7">
        <v>3.4270215999999999E-2</v>
      </c>
      <c r="H18" s="112"/>
    </row>
    <row r="19" spans="1:8" x14ac:dyDescent="0.2">
      <c r="A19" s="3">
        <v>13</v>
      </c>
      <c r="B19" s="4" t="s">
        <v>41</v>
      </c>
      <c r="C19" s="4" t="s">
        <v>42</v>
      </c>
      <c r="D19" s="4" t="s">
        <v>27</v>
      </c>
      <c r="E19" s="5">
        <v>152188</v>
      </c>
      <c r="F19" s="6">
        <v>2017.1758460000001</v>
      </c>
      <c r="G19" s="7">
        <v>3.1216147E-2</v>
      </c>
      <c r="H19" s="112"/>
    </row>
    <row r="20" spans="1:8" ht="25.5" x14ac:dyDescent="0.2">
      <c r="A20" s="3">
        <v>14</v>
      </c>
      <c r="B20" s="4" t="s">
        <v>43</v>
      </c>
      <c r="C20" s="4" t="s">
        <v>44</v>
      </c>
      <c r="D20" s="4" t="s">
        <v>45</v>
      </c>
      <c r="E20" s="5">
        <v>4395</v>
      </c>
      <c r="F20" s="6">
        <v>1843.0168799999999</v>
      </c>
      <c r="G20" s="7">
        <v>2.8521007000000001E-2</v>
      </c>
      <c r="H20" s="112"/>
    </row>
    <row r="21" spans="1:8" x14ac:dyDescent="0.2">
      <c r="A21" s="3">
        <v>15</v>
      </c>
      <c r="B21" s="4" t="s">
        <v>46</v>
      </c>
      <c r="C21" s="4" t="s">
        <v>47</v>
      </c>
      <c r="D21" s="4" t="s">
        <v>16</v>
      </c>
      <c r="E21" s="5">
        <v>1125633</v>
      </c>
      <c r="F21" s="6">
        <v>1440.2474235</v>
      </c>
      <c r="G21" s="7">
        <v>2.2288079999999998E-2</v>
      </c>
      <c r="H21" s="112"/>
    </row>
    <row r="22" spans="1:8" x14ac:dyDescent="0.2">
      <c r="A22" s="3">
        <v>16</v>
      </c>
      <c r="B22" s="4" t="s">
        <v>48</v>
      </c>
      <c r="C22" s="4" t="s">
        <v>49</v>
      </c>
      <c r="D22" s="4" t="s">
        <v>50</v>
      </c>
      <c r="E22" s="5">
        <v>208993</v>
      </c>
      <c r="F22" s="6">
        <v>1354.5881294999999</v>
      </c>
      <c r="G22" s="7">
        <v>2.0962486999999998E-2</v>
      </c>
      <c r="H22" s="112"/>
    </row>
    <row r="23" spans="1:8" x14ac:dyDescent="0.2">
      <c r="A23" s="3">
        <v>17</v>
      </c>
      <c r="B23" s="4" t="s">
        <v>51</v>
      </c>
      <c r="C23" s="4" t="s">
        <v>52</v>
      </c>
      <c r="D23" s="4" t="s">
        <v>53</v>
      </c>
      <c r="E23" s="5">
        <v>1000000</v>
      </c>
      <c r="F23" s="6">
        <v>1151</v>
      </c>
      <c r="G23" s="7">
        <v>1.7811924999999999E-2</v>
      </c>
      <c r="H23" s="112"/>
    </row>
    <row r="24" spans="1:8" ht="25.5" x14ac:dyDescent="0.2">
      <c r="A24" s="3">
        <v>18</v>
      </c>
      <c r="B24" s="4" t="s">
        <v>54</v>
      </c>
      <c r="C24" s="4" t="s">
        <v>55</v>
      </c>
      <c r="D24" s="4" t="s">
        <v>45</v>
      </c>
      <c r="E24" s="5">
        <v>23847</v>
      </c>
      <c r="F24" s="6">
        <v>1111.5205934999999</v>
      </c>
      <c r="G24" s="7">
        <v>1.7200975E-2</v>
      </c>
      <c r="H24" s="112"/>
    </row>
    <row r="25" spans="1:8" x14ac:dyDescent="0.2">
      <c r="A25" s="3">
        <v>19</v>
      </c>
      <c r="B25" s="4" t="s">
        <v>56</v>
      </c>
      <c r="C25" s="4" t="s">
        <v>57</v>
      </c>
      <c r="D25" s="4" t="s">
        <v>58</v>
      </c>
      <c r="E25" s="5">
        <v>716100</v>
      </c>
      <c r="F25" s="6">
        <v>1067.3470500000001</v>
      </c>
      <c r="G25" s="7">
        <v>1.6517381000000001E-2</v>
      </c>
      <c r="H25" s="112"/>
    </row>
    <row r="26" spans="1:8" x14ac:dyDescent="0.2">
      <c r="A26" s="3">
        <v>20</v>
      </c>
      <c r="B26" s="4" t="s">
        <v>59</v>
      </c>
      <c r="C26" s="4" t="s">
        <v>60</v>
      </c>
      <c r="D26" s="4" t="s">
        <v>61</v>
      </c>
      <c r="E26" s="5">
        <v>716249</v>
      </c>
      <c r="F26" s="6">
        <v>1066.1366364999999</v>
      </c>
      <c r="G26" s="7">
        <v>1.649865E-2</v>
      </c>
      <c r="H26" s="112"/>
    </row>
    <row r="27" spans="1:8" x14ac:dyDescent="0.2">
      <c r="A27" s="3">
        <v>21</v>
      </c>
      <c r="B27" s="4" t="s">
        <v>62</v>
      </c>
      <c r="C27" s="4" t="s">
        <v>63</v>
      </c>
      <c r="D27" s="4" t="s">
        <v>64</v>
      </c>
      <c r="E27" s="5">
        <v>637568</v>
      </c>
      <c r="F27" s="6">
        <v>1047.8430080000001</v>
      </c>
      <c r="G27" s="7">
        <v>1.6215553000000001E-2</v>
      </c>
      <c r="H27" s="112"/>
    </row>
    <row r="28" spans="1:8" x14ac:dyDescent="0.2">
      <c r="A28" s="3">
        <v>22</v>
      </c>
      <c r="B28" s="4" t="s">
        <v>65</v>
      </c>
      <c r="C28" s="4" t="s">
        <v>66</v>
      </c>
      <c r="D28" s="4" t="s">
        <v>64</v>
      </c>
      <c r="E28" s="5">
        <v>222845</v>
      </c>
      <c r="F28" s="6">
        <v>1034.3350674999999</v>
      </c>
      <c r="G28" s="7">
        <v>1.6006514999999999E-2</v>
      </c>
      <c r="H28" s="112"/>
    </row>
    <row r="29" spans="1:8" x14ac:dyDescent="0.2">
      <c r="A29" s="3">
        <v>23</v>
      </c>
      <c r="B29" s="4" t="s">
        <v>67</v>
      </c>
      <c r="C29" s="4" t="s">
        <v>68</v>
      </c>
      <c r="D29" s="4" t="s">
        <v>13</v>
      </c>
      <c r="E29" s="5">
        <v>1443404</v>
      </c>
      <c r="F29" s="6">
        <v>1026.9819460000001</v>
      </c>
      <c r="G29" s="7">
        <v>1.5892724E-2</v>
      </c>
      <c r="H29" s="112"/>
    </row>
    <row r="30" spans="1:8" x14ac:dyDescent="0.2">
      <c r="A30" s="3">
        <v>24</v>
      </c>
      <c r="B30" s="4" t="s">
        <v>69</v>
      </c>
      <c r="C30" s="4" t="s">
        <v>70</v>
      </c>
      <c r="D30" s="4" t="s">
        <v>71</v>
      </c>
      <c r="E30" s="5">
        <v>29108</v>
      </c>
      <c r="F30" s="6">
        <v>962.23770999999999</v>
      </c>
      <c r="G30" s="7">
        <v>1.4890796E-2</v>
      </c>
      <c r="H30" s="112"/>
    </row>
    <row r="31" spans="1:8" x14ac:dyDescent="0.2">
      <c r="A31" s="3">
        <v>25</v>
      </c>
      <c r="B31" s="4" t="s">
        <v>72</v>
      </c>
      <c r="C31" s="4" t="s">
        <v>73</v>
      </c>
      <c r="D31" s="4" t="s">
        <v>53</v>
      </c>
      <c r="E31" s="5">
        <v>100000</v>
      </c>
      <c r="F31" s="6">
        <v>800.1</v>
      </c>
      <c r="G31" s="7">
        <v>1.2381687000000001E-2</v>
      </c>
      <c r="H31" s="112"/>
    </row>
    <row r="32" spans="1:8" x14ac:dyDescent="0.2">
      <c r="A32" s="3">
        <v>26</v>
      </c>
      <c r="B32" s="4" t="s">
        <v>74</v>
      </c>
      <c r="C32" s="4" t="s">
        <v>75</v>
      </c>
      <c r="D32" s="4" t="s">
        <v>71</v>
      </c>
      <c r="E32" s="5">
        <v>189636</v>
      </c>
      <c r="F32" s="6">
        <v>731.33123399999999</v>
      </c>
      <c r="G32" s="7">
        <v>1.1317478000000001E-2</v>
      </c>
      <c r="H32" s="112"/>
    </row>
    <row r="33" spans="1:8" x14ac:dyDescent="0.2">
      <c r="A33" s="3">
        <v>27</v>
      </c>
      <c r="B33" s="4" t="s">
        <v>76</v>
      </c>
      <c r="C33" s="4" t="s">
        <v>77</v>
      </c>
      <c r="D33" s="4" t="s">
        <v>78</v>
      </c>
      <c r="E33" s="5">
        <v>494783</v>
      </c>
      <c r="F33" s="6">
        <v>704.57099200000005</v>
      </c>
      <c r="G33" s="7">
        <v>1.0903359E-2</v>
      </c>
      <c r="H33" s="112"/>
    </row>
    <row r="34" spans="1:8" x14ac:dyDescent="0.2">
      <c r="A34" s="3">
        <v>28</v>
      </c>
      <c r="B34" s="4" t="s">
        <v>79</v>
      </c>
      <c r="C34" s="4" t="s">
        <v>80</v>
      </c>
      <c r="D34" s="4" t="s">
        <v>81</v>
      </c>
      <c r="E34" s="5">
        <v>240000</v>
      </c>
      <c r="F34" s="6">
        <v>641.4</v>
      </c>
      <c r="G34" s="7">
        <v>9.9257770000000002E-3</v>
      </c>
      <c r="H34" s="112"/>
    </row>
    <row r="35" spans="1:8" ht="25.5" x14ac:dyDescent="0.2">
      <c r="A35" s="3">
        <v>29</v>
      </c>
      <c r="B35" s="4" t="s">
        <v>82</v>
      </c>
      <c r="C35" s="4" t="s">
        <v>83</v>
      </c>
      <c r="D35" s="4" t="s">
        <v>50</v>
      </c>
      <c r="E35" s="5">
        <v>92022</v>
      </c>
      <c r="F35" s="6">
        <v>637.71245999999996</v>
      </c>
      <c r="G35" s="7">
        <v>9.8687110000000005E-3</v>
      </c>
      <c r="H35" s="112"/>
    </row>
    <row r="36" spans="1:8" x14ac:dyDescent="0.2">
      <c r="A36" s="3">
        <v>30</v>
      </c>
      <c r="B36" s="4" t="s">
        <v>84</v>
      </c>
      <c r="C36" s="4" t="s">
        <v>85</v>
      </c>
      <c r="D36" s="4" t="s">
        <v>61</v>
      </c>
      <c r="E36" s="5">
        <v>121081</v>
      </c>
      <c r="F36" s="6">
        <v>573.80285900000001</v>
      </c>
      <c r="G36" s="7">
        <v>8.8796989999999996E-3</v>
      </c>
      <c r="H36" s="112"/>
    </row>
    <row r="37" spans="1:8" x14ac:dyDescent="0.2">
      <c r="A37" s="3">
        <v>31</v>
      </c>
      <c r="B37" s="4" t="s">
        <v>86</v>
      </c>
      <c r="C37" s="4" t="s">
        <v>87</v>
      </c>
      <c r="D37" s="4" t="s">
        <v>61</v>
      </c>
      <c r="E37" s="5">
        <v>153124</v>
      </c>
      <c r="F37" s="6">
        <v>467.25788599999998</v>
      </c>
      <c r="G37" s="7">
        <v>7.230897E-3</v>
      </c>
      <c r="H37" s="112"/>
    </row>
    <row r="38" spans="1:8" x14ac:dyDescent="0.2">
      <c r="A38" s="3">
        <v>32</v>
      </c>
      <c r="B38" s="4" t="s">
        <v>88</v>
      </c>
      <c r="C38" s="4" t="s">
        <v>89</v>
      </c>
      <c r="D38" s="4" t="s">
        <v>64</v>
      </c>
      <c r="E38" s="5">
        <v>83965</v>
      </c>
      <c r="F38" s="6">
        <v>357.77486499999998</v>
      </c>
      <c r="G38" s="7">
        <v>5.536628E-3</v>
      </c>
      <c r="H38" s="112"/>
    </row>
    <row r="39" spans="1:8" x14ac:dyDescent="0.2">
      <c r="A39" s="3">
        <v>33</v>
      </c>
      <c r="B39" s="4" t="s">
        <v>90</v>
      </c>
      <c r="C39" s="4" t="s">
        <v>91</v>
      </c>
      <c r="D39" s="4" t="s">
        <v>27</v>
      </c>
      <c r="E39" s="5">
        <v>4449</v>
      </c>
      <c r="F39" s="6">
        <v>329.30385749999999</v>
      </c>
      <c r="G39" s="7">
        <v>5.0960349999999996E-3</v>
      </c>
      <c r="H39" s="112"/>
    </row>
    <row r="40" spans="1:8" ht="25.5" x14ac:dyDescent="0.2">
      <c r="A40" s="3">
        <v>34</v>
      </c>
      <c r="B40" s="4" t="s">
        <v>92</v>
      </c>
      <c r="C40" s="4" t="s">
        <v>93</v>
      </c>
      <c r="D40" s="4" t="s">
        <v>45</v>
      </c>
      <c r="E40" s="5">
        <v>8502</v>
      </c>
      <c r="F40" s="6">
        <v>56.478785999999999</v>
      </c>
      <c r="G40" s="7">
        <v>8.7401899999999997E-4</v>
      </c>
      <c r="H40" s="112"/>
    </row>
    <row r="41" spans="1:8" x14ac:dyDescent="0.2">
      <c r="A41" s="1"/>
      <c r="B41" s="1"/>
      <c r="C41" s="2" t="s">
        <v>97</v>
      </c>
      <c r="D41" s="1"/>
      <c r="E41" s="1" t="s">
        <v>98</v>
      </c>
      <c r="F41" s="9">
        <v>63495.981247189004</v>
      </c>
      <c r="G41" s="10">
        <v>0.98261136400000004</v>
      </c>
      <c r="H41" s="112"/>
    </row>
    <row r="42" spans="1:8" x14ac:dyDescent="0.2">
      <c r="A42" s="1"/>
      <c r="B42" s="1"/>
      <c r="C42" s="11"/>
      <c r="D42" s="1"/>
      <c r="E42" s="1"/>
      <c r="F42" s="12"/>
      <c r="G42" s="12"/>
      <c r="H42" s="112"/>
    </row>
    <row r="43" spans="1:8" x14ac:dyDescent="0.2">
      <c r="A43" s="1"/>
      <c r="B43" s="1"/>
      <c r="C43" s="2" t="s">
        <v>99</v>
      </c>
      <c r="D43" s="1"/>
      <c r="E43" s="1"/>
      <c r="F43" s="1"/>
      <c r="G43" s="1"/>
      <c r="H43" s="112"/>
    </row>
    <row r="44" spans="1:8" x14ac:dyDescent="0.2">
      <c r="A44" s="1"/>
      <c r="B44" s="1"/>
      <c r="C44" s="2" t="s">
        <v>97</v>
      </c>
      <c r="D44" s="1"/>
      <c r="E44" s="1" t="s">
        <v>98</v>
      </c>
      <c r="F44" s="13">
        <v>0</v>
      </c>
      <c r="G44" s="14">
        <v>0</v>
      </c>
      <c r="H44" s="112"/>
    </row>
    <row r="45" spans="1:8" x14ac:dyDescent="0.2">
      <c r="A45" s="1"/>
      <c r="B45" s="1"/>
      <c r="C45" s="11"/>
      <c r="D45" s="1"/>
      <c r="E45" s="1"/>
      <c r="F45" s="12"/>
      <c r="G45" s="12"/>
      <c r="H45" s="112"/>
    </row>
    <row r="46" spans="1:8" x14ac:dyDescent="0.2">
      <c r="A46" s="1"/>
      <c r="B46" s="1"/>
      <c r="C46" s="2" t="s">
        <v>100</v>
      </c>
      <c r="D46" s="1"/>
      <c r="E46" s="1"/>
      <c r="F46" s="1"/>
      <c r="G46" s="1"/>
      <c r="H46" s="112"/>
    </row>
    <row r="47" spans="1:8" x14ac:dyDescent="0.2">
      <c r="A47" s="3">
        <v>1</v>
      </c>
      <c r="B47" s="4" t="s">
        <v>94</v>
      </c>
      <c r="C47" s="70" t="s">
        <v>875</v>
      </c>
      <c r="D47" s="4" t="s">
        <v>95</v>
      </c>
      <c r="E47" s="5">
        <v>559425</v>
      </c>
      <c r="F47" s="6">
        <v>1.1189000000000001E-5</v>
      </c>
      <c r="G47" s="8" t="s">
        <v>96</v>
      </c>
      <c r="H47" s="112"/>
    </row>
    <row r="48" spans="1:8" x14ac:dyDescent="0.2">
      <c r="A48" s="1"/>
      <c r="B48" s="1"/>
      <c r="C48" s="2" t="s">
        <v>97</v>
      </c>
      <c r="D48" s="1"/>
      <c r="E48" s="1" t="s">
        <v>98</v>
      </c>
      <c r="F48" s="13">
        <v>0</v>
      </c>
      <c r="G48" s="14">
        <v>0</v>
      </c>
      <c r="H48" s="112"/>
    </row>
    <row r="49" spans="1:8" x14ac:dyDescent="0.2">
      <c r="A49" s="1"/>
      <c r="B49" s="1"/>
      <c r="C49" s="11"/>
      <c r="D49" s="1"/>
      <c r="E49" s="1"/>
      <c r="F49" s="12"/>
      <c r="G49" s="12"/>
      <c r="H49" s="112"/>
    </row>
    <row r="50" spans="1:8" x14ac:dyDescent="0.2">
      <c r="A50" s="1"/>
      <c r="B50" s="1"/>
      <c r="C50" s="2" t="s">
        <v>101</v>
      </c>
      <c r="D50" s="1"/>
      <c r="E50" s="1"/>
      <c r="F50" s="1"/>
      <c r="G50" s="1"/>
      <c r="H50" s="112"/>
    </row>
    <row r="51" spans="1:8" x14ac:dyDescent="0.2">
      <c r="A51" s="1"/>
      <c r="B51" s="1"/>
      <c r="C51" s="2" t="s">
        <v>97</v>
      </c>
      <c r="D51" s="1"/>
      <c r="E51" s="1" t="s">
        <v>98</v>
      </c>
      <c r="F51" s="13">
        <v>0</v>
      </c>
      <c r="G51" s="14">
        <v>0</v>
      </c>
      <c r="H51" s="112"/>
    </row>
    <row r="52" spans="1:8" x14ac:dyDescent="0.2">
      <c r="A52" s="1"/>
      <c r="B52" s="1"/>
      <c r="C52" s="11"/>
      <c r="D52" s="1"/>
      <c r="E52" s="1"/>
      <c r="F52" s="12"/>
      <c r="G52" s="12"/>
      <c r="H52" s="112"/>
    </row>
    <row r="53" spans="1:8" x14ac:dyDescent="0.2">
      <c r="A53" s="1"/>
      <c r="B53" s="1"/>
      <c r="C53" s="2" t="s">
        <v>102</v>
      </c>
      <c r="D53" s="1"/>
      <c r="E53" s="1"/>
      <c r="F53" s="12"/>
      <c r="G53" s="12"/>
      <c r="H53" s="112"/>
    </row>
    <row r="54" spans="1:8" x14ac:dyDescent="0.2">
      <c r="A54" s="1"/>
      <c r="B54" s="1"/>
      <c r="C54" s="2" t="s">
        <v>97</v>
      </c>
      <c r="D54" s="1"/>
      <c r="E54" s="1" t="s">
        <v>98</v>
      </c>
      <c r="F54" s="13">
        <v>0</v>
      </c>
      <c r="G54" s="14">
        <v>0</v>
      </c>
      <c r="H54" s="112"/>
    </row>
    <row r="55" spans="1:8" x14ac:dyDescent="0.2">
      <c r="A55" s="1"/>
      <c r="B55" s="1"/>
      <c r="C55" s="11"/>
      <c r="D55" s="1"/>
      <c r="E55" s="1"/>
      <c r="F55" s="12"/>
      <c r="G55" s="12"/>
      <c r="H55" s="112"/>
    </row>
    <row r="56" spans="1:8" x14ac:dyDescent="0.2">
      <c r="A56" s="1"/>
      <c r="B56" s="1"/>
      <c r="C56" s="2" t="s">
        <v>103</v>
      </c>
      <c r="D56" s="1"/>
      <c r="E56" s="1"/>
      <c r="F56" s="12"/>
      <c r="G56" s="12"/>
      <c r="H56" s="112"/>
    </row>
    <row r="57" spans="1:8" x14ac:dyDescent="0.2">
      <c r="A57" s="1"/>
      <c r="B57" s="1"/>
      <c r="C57" s="2" t="s">
        <v>97</v>
      </c>
      <c r="D57" s="1"/>
      <c r="E57" s="1" t="s">
        <v>98</v>
      </c>
      <c r="F57" s="13">
        <v>0</v>
      </c>
      <c r="G57" s="14">
        <v>0</v>
      </c>
      <c r="H57" s="112"/>
    </row>
    <row r="58" spans="1:8" x14ac:dyDescent="0.2">
      <c r="A58" s="1"/>
      <c r="B58" s="1"/>
      <c r="C58" s="11"/>
      <c r="D58" s="1"/>
      <c r="E58" s="1"/>
      <c r="F58" s="12"/>
      <c r="G58" s="12"/>
      <c r="H58" s="112"/>
    </row>
    <row r="59" spans="1:8" x14ac:dyDescent="0.2">
      <c r="A59" s="1"/>
      <c r="B59" s="1"/>
      <c r="C59" s="2" t="s">
        <v>104</v>
      </c>
      <c r="D59" s="1"/>
      <c r="E59" s="1"/>
      <c r="F59" s="9">
        <v>63495.981247189004</v>
      </c>
      <c r="G59" s="10">
        <v>0.98261136400000004</v>
      </c>
      <c r="H59" s="112"/>
    </row>
    <row r="60" spans="1:8" x14ac:dyDescent="0.2">
      <c r="A60" s="1"/>
      <c r="B60" s="1"/>
      <c r="C60" s="11"/>
      <c r="D60" s="1"/>
      <c r="E60" s="1"/>
      <c r="F60" s="12"/>
      <c r="G60" s="12"/>
      <c r="H60" s="112"/>
    </row>
    <row r="61" spans="1:8" x14ac:dyDescent="0.2">
      <c r="A61" s="1"/>
      <c r="B61" s="1"/>
      <c r="C61" s="2" t="s">
        <v>105</v>
      </c>
      <c r="D61" s="1"/>
      <c r="E61" s="1"/>
      <c r="F61" s="12"/>
      <c r="G61" s="12"/>
      <c r="H61" s="112"/>
    </row>
    <row r="62" spans="1:8" ht="25.5" x14ac:dyDescent="0.2">
      <c r="A62" s="1"/>
      <c r="B62" s="1"/>
      <c r="C62" s="2" t="s">
        <v>10</v>
      </c>
      <c r="D62" s="1"/>
      <c r="E62" s="1"/>
      <c r="F62" s="12"/>
      <c r="G62" s="12"/>
      <c r="H62" s="112"/>
    </row>
    <row r="63" spans="1:8" x14ac:dyDescent="0.2">
      <c r="A63" s="1"/>
      <c r="B63" s="1"/>
      <c r="C63" s="2" t="s">
        <v>97</v>
      </c>
      <c r="D63" s="1"/>
      <c r="E63" s="1" t="s">
        <v>98</v>
      </c>
      <c r="F63" s="13">
        <v>0</v>
      </c>
      <c r="G63" s="14">
        <v>0</v>
      </c>
      <c r="H63" s="112"/>
    </row>
    <row r="64" spans="1:8" x14ac:dyDescent="0.2">
      <c r="A64" s="1"/>
      <c r="B64" s="1"/>
      <c r="C64" s="11"/>
      <c r="D64" s="1"/>
      <c r="E64" s="1"/>
      <c r="F64" s="12"/>
      <c r="G64" s="12"/>
      <c r="H64" s="112"/>
    </row>
    <row r="65" spans="1:8" x14ac:dyDescent="0.2">
      <c r="A65" s="1"/>
      <c r="B65" s="1"/>
      <c r="C65" s="2" t="s">
        <v>106</v>
      </c>
      <c r="D65" s="1"/>
      <c r="E65" s="1"/>
      <c r="F65" s="1"/>
      <c r="G65" s="1"/>
      <c r="H65" s="112"/>
    </row>
    <row r="66" spans="1:8" x14ac:dyDescent="0.2">
      <c r="A66" s="1"/>
      <c r="B66" s="1"/>
      <c r="C66" s="2" t="s">
        <v>97</v>
      </c>
      <c r="D66" s="1"/>
      <c r="E66" s="1" t="s">
        <v>98</v>
      </c>
      <c r="F66" s="13">
        <v>0</v>
      </c>
      <c r="G66" s="14">
        <v>0</v>
      </c>
      <c r="H66" s="112"/>
    </row>
    <row r="67" spans="1:8" x14ac:dyDescent="0.2">
      <c r="A67" s="1"/>
      <c r="B67" s="1"/>
      <c r="C67" s="11"/>
      <c r="D67" s="1"/>
      <c r="E67" s="1"/>
      <c r="F67" s="12"/>
      <c r="G67" s="12"/>
      <c r="H67" s="112"/>
    </row>
    <row r="68" spans="1:8" x14ac:dyDescent="0.2">
      <c r="A68" s="1"/>
      <c r="B68" s="1"/>
      <c r="C68" s="2" t="s">
        <v>107</v>
      </c>
      <c r="D68" s="1"/>
      <c r="E68" s="1"/>
      <c r="F68" s="1"/>
      <c r="G68" s="1"/>
      <c r="H68" s="112"/>
    </row>
    <row r="69" spans="1:8" x14ac:dyDescent="0.2">
      <c r="A69" s="1"/>
      <c r="B69" s="1"/>
      <c r="C69" s="2" t="s">
        <v>97</v>
      </c>
      <c r="D69" s="1"/>
      <c r="E69" s="1" t="s">
        <v>98</v>
      </c>
      <c r="F69" s="13">
        <v>0</v>
      </c>
      <c r="G69" s="14">
        <v>0</v>
      </c>
      <c r="H69" s="112"/>
    </row>
    <row r="70" spans="1:8" x14ac:dyDescent="0.2">
      <c r="A70" s="1"/>
      <c r="B70" s="1"/>
      <c r="C70" s="11"/>
      <c r="D70" s="1"/>
      <c r="E70" s="1"/>
      <c r="F70" s="12"/>
      <c r="G70" s="12"/>
      <c r="H70" s="112"/>
    </row>
    <row r="71" spans="1:8" x14ac:dyDescent="0.2">
      <c r="A71" s="1"/>
      <c r="B71" s="1"/>
      <c r="C71" s="2" t="s">
        <v>108</v>
      </c>
      <c r="D71" s="1"/>
      <c r="E71" s="1"/>
      <c r="F71" s="12"/>
      <c r="G71" s="12"/>
      <c r="H71" s="112"/>
    </row>
    <row r="72" spans="1:8" x14ac:dyDescent="0.2">
      <c r="A72" s="1"/>
      <c r="B72" s="1"/>
      <c r="C72" s="2" t="s">
        <v>97</v>
      </c>
      <c r="D72" s="1"/>
      <c r="E72" s="1" t="s">
        <v>98</v>
      </c>
      <c r="F72" s="13">
        <v>0</v>
      </c>
      <c r="G72" s="14">
        <v>0</v>
      </c>
      <c r="H72" s="112"/>
    </row>
    <row r="73" spans="1:8" x14ac:dyDescent="0.2">
      <c r="A73" s="1"/>
      <c r="B73" s="1"/>
      <c r="C73" s="11"/>
      <c r="D73" s="1"/>
      <c r="E73" s="1"/>
      <c r="F73" s="12"/>
      <c r="G73" s="12"/>
      <c r="H73" s="112"/>
    </row>
    <row r="74" spans="1:8" x14ac:dyDescent="0.2">
      <c r="A74" s="1"/>
      <c r="B74" s="1"/>
      <c r="C74" s="2" t="s">
        <v>109</v>
      </c>
      <c r="D74" s="1"/>
      <c r="E74" s="1"/>
      <c r="F74" s="9">
        <v>0</v>
      </c>
      <c r="G74" s="10">
        <v>0</v>
      </c>
      <c r="H74" s="112"/>
    </row>
    <row r="75" spans="1:8" x14ac:dyDescent="0.2">
      <c r="A75" s="1"/>
      <c r="B75" s="1"/>
      <c r="C75" s="11"/>
      <c r="D75" s="1"/>
      <c r="E75" s="1"/>
      <c r="F75" s="12"/>
      <c r="G75" s="12"/>
      <c r="H75" s="112"/>
    </row>
    <row r="76" spans="1:8" x14ac:dyDescent="0.2">
      <c r="A76" s="1"/>
      <c r="B76" s="1"/>
      <c r="C76" s="2" t="s">
        <v>110</v>
      </c>
      <c r="D76" s="1"/>
      <c r="E76" s="1"/>
      <c r="F76" s="12"/>
      <c r="G76" s="12"/>
      <c r="H76" s="112"/>
    </row>
    <row r="77" spans="1:8" x14ac:dyDescent="0.2">
      <c r="A77" s="1"/>
      <c r="B77" s="1"/>
      <c r="C77" s="2" t="s">
        <v>111</v>
      </c>
      <c r="D77" s="1"/>
      <c r="E77" s="1"/>
      <c r="F77" s="12"/>
      <c r="G77" s="12"/>
      <c r="H77" s="112"/>
    </row>
    <row r="78" spans="1:8" x14ac:dyDescent="0.2">
      <c r="A78" s="1"/>
      <c r="B78" s="1"/>
      <c r="C78" s="2" t="s">
        <v>97</v>
      </c>
      <c r="D78" s="1"/>
      <c r="E78" s="1" t="s">
        <v>98</v>
      </c>
      <c r="F78" s="13">
        <v>0</v>
      </c>
      <c r="G78" s="14">
        <v>0</v>
      </c>
      <c r="H78" s="112"/>
    </row>
    <row r="79" spans="1:8" x14ac:dyDescent="0.2">
      <c r="A79" s="1"/>
      <c r="B79" s="1"/>
      <c r="C79" s="11"/>
      <c r="D79" s="1"/>
      <c r="E79" s="1"/>
      <c r="F79" s="12"/>
      <c r="G79" s="12"/>
      <c r="H79" s="112"/>
    </row>
    <row r="80" spans="1:8" x14ac:dyDescent="0.2">
      <c r="A80" s="1"/>
      <c r="B80" s="1"/>
      <c r="C80" s="2" t="s">
        <v>112</v>
      </c>
      <c r="D80" s="1"/>
      <c r="E80" s="1"/>
      <c r="F80" s="12"/>
      <c r="G80" s="12"/>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2" t="s">
        <v>113</v>
      </c>
      <c r="D83" s="1"/>
      <c r="E83" s="1"/>
      <c r="F83" s="12"/>
      <c r="G83" s="12"/>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114</v>
      </c>
      <c r="D86" s="1"/>
      <c r="E86" s="1"/>
      <c r="F86" s="12"/>
      <c r="G86" s="12"/>
      <c r="H86" s="112"/>
    </row>
    <row r="87" spans="1:8" x14ac:dyDescent="0.2">
      <c r="A87" s="3">
        <v>1</v>
      </c>
      <c r="B87" s="4"/>
      <c r="C87" s="4" t="s">
        <v>115</v>
      </c>
      <c r="D87" s="4"/>
      <c r="E87" s="8"/>
      <c r="F87" s="6">
        <v>449.2820287939345</v>
      </c>
      <c r="G87" s="7">
        <v>6.9527176084822088E-3</v>
      </c>
      <c r="H87" s="6">
        <v>3.3211324282253978</v>
      </c>
    </row>
    <row r="88" spans="1:8" x14ac:dyDescent="0.2">
      <c r="A88" s="3">
        <v>2</v>
      </c>
      <c r="B88" s="4"/>
      <c r="C88" s="4" t="s">
        <v>116</v>
      </c>
      <c r="D88" s="4"/>
      <c r="E88" s="8"/>
      <c r="F88" s="6">
        <v>176.48851369002887</v>
      </c>
      <c r="G88" s="7">
        <v>2.7311904732123644E-3</v>
      </c>
      <c r="H88" s="6">
        <v>3.35</v>
      </c>
    </row>
    <row r="89" spans="1:8" x14ac:dyDescent="0.2">
      <c r="A89" s="1"/>
      <c r="B89" s="1"/>
      <c r="C89" s="2" t="s">
        <v>97</v>
      </c>
      <c r="D89" s="1"/>
      <c r="E89" s="1" t="s">
        <v>98</v>
      </c>
      <c r="F89" s="9">
        <v>625.77054248396337</v>
      </c>
      <c r="G89" s="10">
        <v>9.6839080816945727E-3</v>
      </c>
      <c r="H89" s="112"/>
    </row>
    <row r="90" spans="1:8" x14ac:dyDescent="0.2">
      <c r="A90" s="1"/>
      <c r="B90" s="1"/>
      <c r="C90" s="11"/>
      <c r="D90" s="1"/>
      <c r="E90" s="1"/>
      <c r="F90" s="12"/>
      <c r="G90" s="12"/>
      <c r="H90" s="112"/>
    </row>
    <row r="91" spans="1:8" x14ac:dyDescent="0.2">
      <c r="A91" s="1"/>
      <c r="B91" s="1"/>
      <c r="C91" s="2" t="s">
        <v>117</v>
      </c>
      <c r="D91" s="1"/>
      <c r="E91" s="1"/>
      <c r="F91" s="9">
        <v>625.77054248396337</v>
      </c>
      <c r="G91" s="10">
        <v>9.6839080816945727E-3</v>
      </c>
      <c r="H91" s="112"/>
    </row>
    <row r="92" spans="1:8" x14ac:dyDescent="0.2">
      <c r="A92" s="1"/>
      <c r="B92" s="1"/>
      <c r="C92" s="12"/>
      <c r="D92" s="1"/>
      <c r="E92" s="1"/>
      <c r="F92" s="1"/>
      <c r="G92" s="1"/>
      <c r="H92" s="112"/>
    </row>
    <row r="93" spans="1:8" x14ac:dyDescent="0.2">
      <c r="A93" s="1"/>
      <c r="B93" s="1"/>
      <c r="C93" s="2" t="s">
        <v>118</v>
      </c>
      <c r="D93" s="1"/>
      <c r="E93" s="1"/>
      <c r="F93" s="1"/>
      <c r="G93" s="1"/>
      <c r="H93" s="112"/>
    </row>
    <row r="94" spans="1:8" x14ac:dyDescent="0.2">
      <c r="A94" s="1"/>
      <c r="B94" s="1"/>
      <c r="C94" s="2" t="s">
        <v>119</v>
      </c>
      <c r="D94" s="1"/>
      <c r="E94" s="1"/>
      <c r="F94" s="1"/>
      <c r="G94" s="1"/>
      <c r="H94" s="112"/>
    </row>
    <row r="95" spans="1:8" x14ac:dyDescent="0.2">
      <c r="A95" s="1"/>
      <c r="B95" s="1"/>
      <c r="C95" s="2" t="s">
        <v>97</v>
      </c>
      <c r="D95" s="1"/>
      <c r="E95" s="1" t="s">
        <v>98</v>
      </c>
      <c r="F95" s="13">
        <v>0</v>
      </c>
      <c r="G95" s="14">
        <v>0</v>
      </c>
      <c r="H95" s="112"/>
    </row>
    <row r="96" spans="1:8" x14ac:dyDescent="0.2">
      <c r="A96" s="1"/>
      <c r="B96" s="1"/>
      <c r="C96" s="11"/>
      <c r="D96" s="1"/>
      <c r="E96" s="1"/>
      <c r="F96" s="12"/>
      <c r="G96" s="12"/>
      <c r="H96" s="112"/>
    </row>
    <row r="97" spans="1:8" x14ac:dyDescent="0.2">
      <c r="A97" s="1"/>
      <c r="B97" s="1"/>
      <c r="C97" s="2" t="s">
        <v>120</v>
      </c>
      <c r="D97" s="1"/>
      <c r="E97" s="1"/>
      <c r="F97" s="1"/>
      <c r="G97" s="1"/>
      <c r="H97" s="112"/>
    </row>
    <row r="98" spans="1:8" x14ac:dyDescent="0.2">
      <c r="A98" s="1"/>
      <c r="B98" s="1"/>
      <c r="C98" s="2" t="s">
        <v>121</v>
      </c>
      <c r="D98" s="1"/>
      <c r="E98" s="1"/>
      <c r="F98" s="1"/>
      <c r="G98" s="1"/>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11"/>
      <c r="D101" s="1"/>
      <c r="E101" s="1"/>
      <c r="F101" s="12"/>
      <c r="G101" s="12"/>
      <c r="H101" s="112"/>
    </row>
    <row r="102" spans="1:8" ht="25.5" x14ac:dyDescent="0.2">
      <c r="A102" s="1"/>
      <c r="B102" s="1"/>
      <c r="C102" s="2" t="s">
        <v>122</v>
      </c>
      <c r="D102" s="1"/>
      <c r="E102" s="1"/>
      <c r="F102" s="12"/>
      <c r="G102" s="12"/>
      <c r="H102" s="112"/>
    </row>
    <row r="103" spans="1:8" x14ac:dyDescent="0.2">
      <c r="A103" s="1"/>
      <c r="B103" s="1"/>
      <c r="C103" s="2" t="s">
        <v>97</v>
      </c>
      <c r="D103" s="1"/>
      <c r="E103" s="1" t="s">
        <v>98</v>
      </c>
      <c r="F103" s="13">
        <v>0</v>
      </c>
      <c r="G103" s="14">
        <v>0</v>
      </c>
      <c r="H103" s="112"/>
    </row>
    <row r="104" spans="1:8" x14ac:dyDescent="0.2">
      <c r="A104" s="1"/>
      <c r="B104" s="1"/>
      <c r="C104" s="11"/>
      <c r="D104" s="1"/>
      <c r="E104" s="1"/>
      <c r="F104" s="12"/>
      <c r="G104" s="12"/>
      <c r="H104" s="112"/>
    </row>
    <row r="105" spans="1:8" x14ac:dyDescent="0.2">
      <c r="A105" s="1"/>
      <c r="B105" s="4"/>
      <c r="C105" s="4"/>
      <c r="D105" s="2"/>
      <c r="E105" s="1"/>
      <c r="F105" s="4"/>
      <c r="G105" s="8"/>
      <c r="H105" s="112"/>
    </row>
    <row r="106" spans="1:8" x14ac:dyDescent="0.2">
      <c r="A106" s="8"/>
      <c r="B106" s="4"/>
      <c r="C106" s="4" t="s">
        <v>123</v>
      </c>
      <c r="D106" s="4"/>
      <c r="E106" s="8"/>
      <c r="F106" s="6">
        <v>497.87669140000003</v>
      </c>
      <c r="G106" s="7">
        <v>7.7047284718733356E-3</v>
      </c>
      <c r="H106" s="112"/>
    </row>
    <row r="107" spans="1:8" x14ac:dyDescent="0.2">
      <c r="A107" s="11"/>
      <c r="B107" s="11"/>
      <c r="C107" s="2" t="s">
        <v>124</v>
      </c>
      <c r="D107" s="15"/>
      <c r="E107" s="15"/>
      <c r="F107" s="9">
        <v>64619.62848107297</v>
      </c>
      <c r="G107" s="10">
        <v>1.0000000005535679</v>
      </c>
      <c r="H107" s="112"/>
    </row>
    <row r="108" spans="1:8" ht="14.1" customHeight="1" x14ac:dyDescent="0.2">
      <c r="A108" s="16"/>
      <c r="B108" s="16"/>
      <c r="C108" s="16"/>
      <c r="D108" s="17"/>
      <c r="E108" s="17"/>
      <c r="F108" s="17"/>
      <c r="G108" s="17"/>
    </row>
    <row r="109" spans="1:8" ht="14.1" customHeight="1" x14ac:dyDescent="0.2">
      <c r="A109" s="18"/>
      <c r="B109" s="205" t="s">
        <v>98</v>
      </c>
      <c r="C109" s="205"/>
      <c r="D109" s="205"/>
      <c r="E109" s="205"/>
      <c r="F109" s="205"/>
      <c r="G109" s="20"/>
    </row>
    <row r="110" spans="1:8" ht="17.100000000000001" customHeight="1" x14ac:dyDescent="0.2">
      <c r="A110" s="18"/>
      <c r="B110" s="205" t="s">
        <v>125</v>
      </c>
      <c r="C110" s="205"/>
      <c r="D110" s="205"/>
      <c r="E110" s="205"/>
      <c r="F110" s="205"/>
      <c r="G110" s="20"/>
    </row>
    <row r="111" spans="1:8" ht="14.1" customHeight="1" x14ac:dyDescent="0.2">
      <c r="A111" s="18"/>
      <c r="B111" s="18"/>
      <c r="C111" s="18"/>
      <c r="D111" s="20"/>
      <c r="E111" s="20"/>
      <c r="F111" s="20"/>
      <c r="G111" s="20"/>
    </row>
    <row r="112" spans="1:8" ht="14.1" customHeight="1" x14ac:dyDescent="0.2">
      <c r="A112" s="18"/>
      <c r="B112" s="203" t="s">
        <v>126</v>
      </c>
      <c r="C112" s="204"/>
      <c r="D112" s="12" t="s">
        <v>98</v>
      </c>
      <c r="E112" s="21"/>
      <c r="F112" s="20"/>
      <c r="G112" s="20"/>
    </row>
    <row r="113" spans="1:15" ht="29.1" customHeight="1" x14ac:dyDescent="0.2">
      <c r="A113" s="18"/>
      <c r="B113" s="198" t="s">
        <v>127</v>
      </c>
      <c r="C113" s="199"/>
      <c r="D113" s="2" t="s">
        <v>128</v>
      </c>
      <c r="E113" s="21"/>
      <c r="F113" s="20"/>
      <c r="G113" s="20"/>
    </row>
    <row r="114" spans="1:15" ht="17.100000000000001" customHeight="1" x14ac:dyDescent="0.2">
      <c r="A114" s="18"/>
      <c r="B114" s="200" t="s">
        <v>876</v>
      </c>
      <c r="C114" s="201"/>
      <c r="D114" s="71" t="s">
        <v>877</v>
      </c>
      <c r="E114" s="21"/>
      <c r="F114" s="20"/>
      <c r="G114" s="20"/>
    </row>
    <row r="115" spans="1:15" ht="17.100000000000001" customHeight="1" x14ac:dyDescent="0.2">
      <c r="A115" s="18"/>
      <c r="B115" s="198" t="s">
        <v>130</v>
      </c>
      <c r="C115" s="199"/>
      <c r="D115" s="12" t="s">
        <v>98</v>
      </c>
      <c r="E115" s="21"/>
      <c r="F115" s="20"/>
      <c r="G115" s="20"/>
    </row>
    <row r="116" spans="1:15" ht="24" customHeight="1" x14ac:dyDescent="0.2">
      <c r="A116" s="22"/>
      <c r="B116" s="23" t="s">
        <v>98</v>
      </c>
      <c r="C116" s="23" t="s">
        <v>131</v>
      </c>
      <c r="D116" s="23" t="s">
        <v>132</v>
      </c>
      <c r="E116" s="22"/>
      <c r="F116" s="22"/>
      <c r="G116" s="22"/>
    </row>
    <row r="117" spans="1:15" ht="18" customHeight="1" x14ac:dyDescent="0.2">
      <c r="A117" s="22"/>
      <c r="B117" s="23" t="s">
        <v>133</v>
      </c>
      <c r="C117" s="23" t="s">
        <v>134</v>
      </c>
      <c r="D117" s="23" t="s">
        <v>135</v>
      </c>
      <c r="E117" s="22"/>
      <c r="F117" s="22"/>
      <c r="G117" s="22"/>
    </row>
    <row r="118" spans="1:15" ht="17.100000000000001" customHeight="1" x14ac:dyDescent="0.2">
      <c r="A118" s="22"/>
      <c r="B118" s="4" t="s">
        <v>136</v>
      </c>
      <c r="C118" s="24">
        <v>51.939399999999999</v>
      </c>
      <c r="D118" s="24">
        <v>53.7881</v>
      </c>
      <c r="E118" s="22"/>
      <c r="F118" s="19"/>
      <c r="G118" s="25"/>
    </row>
    <row r="119" spans="1:15" ht="17.100000000000001" customHeight="1" x14ac:dyDescent="0.2">
      <c r="A119" s="22"/>
      <c r="B119" s="4" t="s">
        <v>980</v>
      </c>
      <c r="C119" s="24">
        <v>40.072899999999997</v>
      </c>
      <c r="D119" s="24">
        <v>41.499200000000002</v>
      </c>
      <c r="E119" s="22"/>
      <c r="F119" s="19"/>
      <c r="G119" s="25"/>
    </row>
    <row r="120" spans="1:15" ht="17.100000000000001" customHeight="1" x14ac:dyDescent="0.2">
      <c r="A120" s="22"/>
      <c r="B120" s="4" t="s">
        <v>137</v>
      </c>
      <c r="C120" s="24">
        <v>49.638399999999997</v>
      </c>
      <c r="D120" s="24">
        <v>51.383299999999998</v>
      </c>
      <c r="E120" s="22"/>
      <c r="F120" s="19"/>
      <c r="G120" s="25"/>
    </row>
    <row r="121" spans="1:15" ht="17.100000000000001" customHeight="1" x14ac:dyDescent="0.2">
      <c r="A121" s="22"/>
      <c r="B121" s="4" t="s">
        <v>981</v>
      </c>
      <c r="C121" s="24">
        <v>38.103999999999999</v>
      </c>
      <c r="D121" s="24">
        <v>39.4435</v>
      </c>
      <c r="E121" s="22"/>
      <c r="F121" s="19"/>
      <c r="G121" s="25"/>
    </row>
    <row r="122" spans="1:15" ht="14.1" customHeight="1" x14ac:dyDescent="0.2">
      <c r="A122" s="22"/>
      <c r="B122" s="22"/>
      <c r="C122" s="22"/>
      <c r="D122" s="22"/>
      <c r="E122" s="22"/>
      <c r="F122" s="22"/>
      <c r="G122" s="22"/>
    </row>
    <row r="123" spans="1:15" ht="17.100000000000001" customHeight="1" x14ac:dyDescent="0.2">
      <c r="A123" s="22"/>
      <c r="B123" s="198" t="s">
        <v>982</v>
      </c>
      <c r="C123" s="199"/>
      <c r="D123" s="91" t="s">
        <v>128</v>
      </c>
      <c r="E123" s="22"/>
      <c r="F123" s="22"/>
      <c r="G123" s="22"/>
    </row>
    <row r="124" spans="1:15" ht="18" customHeight="1" x14ac:dyDescent="0.2">
      <c r="A124" s="22"/>
      <c r="B124" s="26"/>
      <c r="C124" s="26"/>
      <c r="D124" s="27"/>
      <c r="E124" s="22"/>
      <c r="F124" s="22"/>
      <c r="G124" s="22"/>
    </row>
    <row r="125" spans="1:15" s="113" customFormat="1" x14ac:dyDescent="0.2">
      <c r="B125" s="202" t="s">
        <v>984</v>
      </c>
      <c r="C125" s="202"/>
      <c r="D125" s="202"/>
      <c r="E125" s="202"/>
      <c r="F125" s="202"/>
      <c r="I125"/>
      <c r="J125"/>
      <c r="K125"/>
      <c r="L125"/>
      <c r="M125"/>
      <c r="N125"/>
      <c r="O125"/>
    </row>
    <row r="126" spans="1:15" ht="14.1" customHeight="1" x14ac:dyDescent="0.2">
      <c r="A126" s="22"/>
      <c r="B126" s="19"/>
      <c r="C126" s="19"/>
      <c r="D126" s="22"/>
      <c r="E126" s="22"/>
      <c r="F126" s="22"/>
      <c r="G126" s="22"/>
    </row>
    <row r="127" spans="1:15" ht="29.1" customHeight="1" x14ac:dyDescent="0.2">
      <c r="A127" s="22"/>
      <c r="B127" s="198" t="s">
        <v>138</v>
      </c>
      <c r="C127" s="199"/>
      <c r="D127" s="2" t="s">
        <v>128</v>
      </c>
      <c r="E127" s="22"/>
      <c r="F127" s="22"/>
      <c r="G127" s="22"/>
    </row>
    <row r="128" spans="1:15" ht="29.1" customHeight="1" x14ac:dyDescent="0.2">
      <c r="A128" s="22"/>
      <c r="B128" s="198" t="s">
        <v>139</v>
      </c>
      <c r="C128" s="199"/>
      <c r="D128" s="2" t="s">
        <v>128</v>
      </c>
      <c r="E128" s="22"/>
      <c r="F128" s="22"/>
      <c r="G128" s="22"/>
      <c r="I128" s="113"/>
      <c r="J128" s="113"/>
      <c r="K128" s="113"/>
      <c r="L128" s="113"/>
      <c r="M128" s="113"/>
      <c r="N128" s="113"/>
      <c r="O128" s="113"/>
    </row>
    <row r="129" spans="1:7" ht="17.100000000000001" customHeight="1" x14ac:dyDescent="0.2">
      <c r="A129" s="22"/>
      <c r="B129" s="198" t="s">
        <v>140</v>
      </c>
      <c r="C129" s="199"/>
      <c r="D129" s="28">
        <v>0.42866697216386535</v>
      </c>
      <c r="E129" s="22"/>
      <c r="F129" s="19"/>
      <c r="G129" s="25"/>
    </row>
    <row r="130" spans="1:7" ht="17.100000000000001" customHeight="1" x14ac:dyDescent="0.2">
      <c r="A130" s="22"/>
      <c r="B130" s="198" t="s">
        <v>141</v>
      </c>
      <c r="C130" s="199"/>
      <c r="D130" s="2" t="s">
        <v>128</v>
      </c>
      <c r="E130" s="22"/>
      <c r="F130" s="22"/>
      <c r="G130" s="22"/>
    </row>
  </sheetData>
  <mergeCells count="16">
    <mergeCell ref="B130:C130"/>
    <mergeCell ref="B113:C113"/>
    <mergeCell ref="B114:C114"/>
    <mergeCell ref="B115:C115"/>
    <mergeCell ref="B123:C123"/>
    <mergeCell ref="B127:C127"/>
    <mergeCell ref="B128:C128"/>
    <mergeCell ref="B125:F125"/>
    <mergeCell ref="A1:H1"/>
    <mergeCell ref="A2:H2"/>
    <mergeCell ref="A3:H3"/>
    <mergeCell ref="J2:N2"/>
    <mergeCell ref="B129:C129"/>
    <mergeCell ref="B112:C112"/>
    <mergeCell ref="B109:F109"/>
    <mergeCell ref="B110:F110"/>
  </mergeCell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70"/>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142</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45171</v>
      </c>
      <c r="F7" s="6">
        <v>731.589516</v>
      </c>
      <c r="G7" s="7">
        <v>3.4052931000000002E-2</v>
      </c>
      <c r="H7" s="112"/>
    </row>
    <row r="8" spans="1:14" x14ac:dyDescent="0.2">
      <c r="A8" s="3">
        <v>2</v>
      </c>
      <c r="B8" s="4" t="s">
        <v>143</v>
      </c>
      <c r="C8" s="4" t="s">
        <v>144</v>
      </c>
      <c r="D8" s="4" t="s">
        <v>27</v>
      </c>
      <c r="E8" s="5">
        <v>62322</v>
      </c>
      <c r="F8" s="6">
        <v>569.03102100000001</v>
      </c>
      <c r="G8" s="7">
        <v>2.6486401999999999E-2</v>
      </c>
      <c r="H8" s="112"/>
    </row>
    <row r="9" spans="1:14" x14ac:dyDescent="0.2">
      <c r="A9" s="3">
        <v>3</v>
      </c>
      <c r="B9" s="4" t="s">
        <v>74</v>
      </c>
      <c r="C9" s="4" t="s">
        <v>75</v>
      </c>
      <c r="D9" s="4" t="s">
        <v>71</v>
      </c>
      <c r="E9" s="5">
        <v>141796</v>
      </c>
      <c r="F9" s="6">
        <v>546.836274</v>
      </c>
      <c r="G9" s="7">
        <v>2.5453314000000001E-2</v>
      </c>
      <c r="H9" s="112"/>
    </row>
    <row r="10" spans="1:14" x14ac:dyDescent="0.2">
      <c r="A10" s="3">
        <v>4</v>
      </c>
      <c r="B10" s="4" t="s">
        <v>145</v>
      </c>
      <c r="C10" s="4" t="s">
        <v>146</v>
      </c>
      <c r="D10" s="4" t="s">
        <v>147</v>
      </c>
      <c r="E10" s="5">
        <v>16130</v>
      </c>
      <c r="F10" s="6">
        <v>538.48392000000001</v>
      </c>
      <c r="G10" s="7">
        <v>2.5064541999999999E-2</v>
      </c>
      <c r="H10" s="112"/>
    </row>
    <row r="11" spans="1:14" x14ac:dyDescent="0.2">
      <c r="A11" s="3">
        <v>5</v>
      </c>
      <c r="B11" s="4" t="s">
        <v>148</v>
      </c>
      <c r="C11" s="4" t="s">
        <v>149</v>
      </c>
      <c r="D11" s="4" t="s">
        <v>81</v>
      </c>
      <c r="E11" s="5">
        <v>411822</v>
      </c>
      <c r="F11" s="6">
        <v>534.54495599999996</v>
      </c>
      <c r="G11" s="7">
        <v>2.4881197000000001E-2</v>
      </c>
      <c r="H11" s="112"/>
    </row>
    <row r="12" spans="1:14" x14ac:dyDescent="0.2">
      <c r="A12" s="3">
        <v>6</v>
      </c>
      <c r="B12" s="4" t="s">
        <v>150</v>
      </c>
      <c r="C12" s="4" t="s">
        <v>151</v>
      </c>
      <c r="D12" s="4" t="s">
        <v>27</v>
      </c>
      <c r="E12" s="5">
        <v>60020</v>
      </c>
      <c r="F12" s="6">
        <v>510.86023</v>
      </c>
      <c r="G12" s="7">
        <v>2.3778756000000002E-2</v>
      </c>
      <c r="H12" s="112"/>
    </row>
    <row r="13" spans="1:14" ht="25.5" x14ac:dyDescent="0.2">
      <c r="A13" s="3">
        <v>7</v>
      </c>
      <c r="B13" s="4" t="s">
        <v>152</v>
      </c>
      <c r="C13" s="4" t="s">
        <v>153</v>
      </c>
      <c r="D13" s="4" t="s">
        <v>45</v>
      </c>
      <c r="E13" s="5">
        <v>347324</v>
      </c>
      <c r="F13" s="6">
        <v>508.13501200000002</v>
      </c>
      <c r="G13" s="7">
        <v>2.3651906E-2</v>
      </c>
      <c r="H13" s="112"/>
    </row>
    <row r="14" spans="1:14" x14ac:dyDescent="0.2">
      <c r="A14" s="3">
        <v>8</v>
      </c>
      <c r="B14" s="4" t="s">
        <v>154</v>
      </c>
      <c r="C14" s="4" t="s">
        <v>155</v>
      </c>
      <c r="D14" s="4" t="s">
        <v>71</v>
      </c>
      <c r="E14" s="5">
        <v>87154</v>
      </c>
      <c r="F14" s="6">
        <v>470.71875399999999</v>
      </c>
      <c r="G14" s="7">
        <v>2.1910309999999999E-2</v>
      </c>
      <c r="H14" s="112"/>
    </row>
    <row r="15" spans="1:14" ht="15" x14ac:dyDescent="0.2">
      <c r="A15" s="3">
        <v>9</v>
      </c>
      <c r="B15" s="4" t="s">
        <v>156</v>
      </c>
      <c r="C15" s="4" t="s">
        <v>157</v>
      </c>
      <c r="D15" s="4" t="s">
        <v>974</v>
      </c>
      <c r="E15" s="5">
        <v>36099</v>
      </c>
      <c r="F15" s="6">
        <v>448.89106500000003</v>
      </c>
      <c r="G15" s="7">
        <v>2.0894308E-2</v>
      </c>
      <c r="H15" s="112"/>
      <c r="J15" s="188" t="s">
        <v>1012</v>
      </c>
    </row>
    <row r="16" spans="1:14" x14ac:dyDescent="0.2">
      <c r="A16" s="3">
        <v>10</v>
      </c>
      <c r="B16" s="4" t="s">
        <v>158</v>
      </c>
      <c r="C16" s="4" t="s">
        <v>159</v>
      </c>
      <c r="D16" s="4" t="s">
        <v>979</v>
      </c>
      <c r="E16" s="5">
        <v>197665</v>
      </c>
      <c r="F16" s="6">
        <v>435.25833</v>
      </c>
      <c r="G16" s="7">
        <v>2.0259751999999999E-2</v>
      </c>
      <c r="H16" s="112"/>
    </row>
    <row r="17" spans="1:8" x14ac:dyDescent="0.2">
      <c r="A17" s="3">
        <v>11</v>
      </c>
      <c r="B17" s="4" t="s">
        <v>160</v>
      </c>
      <c r="C17" s="4" t="s">
        <v>161</v>
      </c>
      <c r="D17" s="4" t="s">
        <v>162</v>
      </c>
      <c r="E17" s="5">
        <v>10880</v>
      </c>
      <c r="F17" s="6">
        <v>426.89855999999997</v>
      </c>
      <c r="G17" s="7">
        <v>1.9870634000000002E-2</v>
      </c>
      <c r="H17" s="112"/>
    </row>
    <row r="18" spans="1:8" x14ac:dyDescent="0.2">
      <c r="A18" s="3">
        <v>12</v>
      </c>
      <c r="B18" s="4" t="s">
        <v>163</v>
      </c>
      <c r="C18" s="4" t="s">
        <v>164</v>
      </c>
      <c r="D18" s="4" t="s">
        <v>162</v>
      </c>
      <c r="E18" s="5">
        <v>129554</v>
      </c>
      <c r="F18" s="6">
        <v>399.933198</v>
      </c>
      <c r="G18" s="7">
        <v>1.8615489999999998E-2</v>
      </c>
      <c r="H18" s="112"/>
    </row>
    <row r="19" spans="1:8" ht="25.5" x14ac:dyDescent="0.2">
      <c r="A19" s="3">
        <v>13</v>
      </c>
      <c r="B19" s="4" t="s">
        <v>37</v>
      </c>
      <c r="C19" s="4" t="s">
        <v>38</v>
      </c>
      <c r="D19" s="4" t="s">
        <v>971</v>
      </c>
      <c r="E19" s="5">
        <v>12014</v>
      </c>
      <c r="F19" s="6">
        <v>398.35420499999998</v>
      </c>
      <c r="G19" s="7">
        <v>1.8541993999999999E-2</v>
      </c>
      <c r="H19" s="112"/>
    </row>
    <row r="20" spans="1:8" x14ac:dyDescent="0.2">
      <c r="A20" s="3">
        <v>14</v>
      </c>
      <c r="B20" s="4" t="s">
        <v>165</v>
      </c>
      <c r="C20" s="4" t="s">
        <v>166</v>
      </c>
      <c r="D20" s="4" t="s">
        <v>976</v>
      </c>
      <c r="E20" s="5">
        <v>92489</v>
      </c>
      <c r="F20" s="6">
        <v>387.5751545</v>
      </c>
      <c r="G20" s="7">
        <v>1.8040266999999999E-2</v>
      </c>
      <c r="H20" s="112"/>
    </row>
    <row r="21" spans="1:8" x14ac:dyDescent="0.2">
      <c r="A21" s="3">
        <v>15</v>
      </c>
      <c r="B21" s="4" t="s">
        <v>167</v>
      </c>
      <c r="C21" s="4" t="s">
        <v>168</v>
      </c>
      <c r="D21" s="4" t="s">
        <v>81</v>
      </c>
      <c r="E21" s="5">
        <v>52269</v>
      </c>
      <c r="F21" s="6">
        <v>368.62712249999998</v>
      </c>
      <c r="G21" s="7">
        <v>1.7158302E-2</v>
      </c>
      <c r="H21" s="112"/>
    </row>
    <row r="22" spans="1:8" x14ac:dyDescent="0.2">
      <c r="A22" s="3">
        <v>16</v>
      </c>
      <c r="B22" s="4" t="s">
        <v>169</v>
      </c>
      <c r="C22" s="4" t="s">
        <v>170</v>
      </c>
      <c r="D22" s="4" t="s">
        <v>19</v>
      </c>
      <c r="E22" s="5">
        <v>202807</v>
      </c>
      <c r="F22" s="6">
        <v>366.16803850000002</v>
      </c>
      <c r="G22" s="7">
        <v>1.7043841000000001E-2</v>
      </c>
      <c r="H22" s="112"/>
    </row>
    <row r="23" spans="1:8" x14ac:dyDescent="0.2">
      <c r="A23" s="3">
        <v>17</v>
      </c>
      <c r="B23" s="4" t="s">
        <v>41</v>
      </c>
      <c r="C23" s="4" t="s">
        <v>42</v>
      </c>
      <c r="D23" s="4" t="s">
        <v>27</v>
      </c>
      <c r="E23" s="5">
        <v>26435</v>
      </c>
      <c r="F23" s="6">
        <v>350.38270749999998</v>
      </c>
      <c r="G23" s="7">
        <v>1.6309088999999999E-2</v>
      </c>
      <c r="H23" s="112"/>
    </row>
    <row r="24" spans="1:8" x14ac:dyDescent="0.2">
      <c r="A24" s="3">
        <v>18</v>
      </c>
      <c r="B24" s="4" t="s">
        <v>65</v>
      </c>
      <c r="C24" s="4" t="s">
        <v>66</v>
      </c>
      <c r="D24" s="4" t="s">
        <v>64</v>
      </c>
      <c r="E24" s="5">
        <v>74785</v>
      </c>
      <c r="F24" s="6">
        <v>347.1145775</v>
      </c>
      <c r="G24" s="7">
        <v>1.6156969E-2</v>
      </c>
      <c r="H24" s="112"/>
    </row>
    <row r="25" spans="1:8" x14ac:dyDescent="0.2">
      <c r="A25" s="3">
        <v>19</v>
      </c>
      <c r="B25" s="4" t="s">
        <v>171</v>
      </c>
      <c r="C25" s="4" t="s">
        <v>172</v>
      </c>
      <c r="D25" s="4" t="s">
        <v>173</v>
      </c>
      <c r="E25" s="5">
        <v>24077</v>
      </c>
      <c r="F25" s="6">
        <v>336.23530499999998</v>
      </c>
      <c r="G25" s="7">
        <v>1.5650576999999999E-2</v>
      </c>
      <c r="H25" s="112"/>
    </row>
    <row r="26" spans="1:8" x14ac:dyDescent="0.2">
      <c r="A26" s="3">
        <v>20</v>
      </c>
      <c r="B26" s="4" t="s">
        <v>174</v>
      </c>
      <c r="C26" s="4" t="s">
        <v>175</v>
      </c>
      <c r="D26" s="4" t="s">
        <v>162</v>
      </c>
      <c r="E26" s="5">
        <v>31830</v>
      </c>
      <c r="F26" s="6">
        <v>334.21499999999997</v>
      </c>
      <c r="G26" s="7">
        <v>1.5556538E-2</v>
      </c>
      <c r="H26" s="112"/>
    </row>
    <row r="27" spans="1:8" x14ac:dyDescent="0.2">
      <c r="A27" s="3">
        <v>21</v>
      </c>
      <c r="B27" s="4" t="s">
        <v>176</v>
      </c>
      <c r="C27" s="4" t="s">
        <v>177</v>
      </c>
      <c r="D27" s="4" t="s">
        <v>178</v>
      </c>
      <c r="E27" s="5">
        <v>32673</v>
      </c>
      <c r="F27" s="6">
        <v>332.83985100000001</v>
      </c>
      <c r="G27" s="7">
        <v>1.5492529999999999E-2</v>
      </c>
      <c r="H27" s="112"/>
    </row>
    <row r="28" spans="1:8" x14ac:dyDescent="0.2">
      <c r="A28" s="3">
        <v>22</v>
      </c>
      <c r="B28" s="4" t="s">
        <v>179</v>
      </c>
      <c r="C28" s="4" t="s">
        <v>180</v>
      </c>
      <c r="D28" s="4" t="s">
        <v>71</v>
      </c>
      <c r="E28" s="5">
        <v>30856</v>
      </c>
      <c r="F28" s="6">
        <v>316.397424</v>
      </c>
      <c r="G28" s="7">
        <v>1.4727193E-2</v>
      </c>
      <c r="H28" s="112"/>
    </row>
    <row r="29" spans="1:8" ht="25.5" x14ac:dyDescent="0.2">
      <c r="A29" s="3">
        <v>23</v>
      </c>
      <c r="B29" s="4" t="s">
        <v>181</v>
      </c>
      <c r="C29" s="4" t="s">
        <v>931</v>
      </c>
      <c r="D29" s="4" t="s">
        <v>45</v>
      </c>
      <c r="E29" s="5">
        <v>134093</v>
      </c>
      <c r="F29" s="6">
        <v>312.90601550000002</v>
      </c>
      <c r="G29" s="7">
        <v>1.456468E-2</v>
      </c>
      <c r="H29" s="112"/>
    </row>
    <row r="30" spans="1:8" x14ac:dyDescent="0.2">
      <c r="A30" s="3">
        <v>24</v>
      </c>
      <c r="B30" s="4" t="s">
        <v>182</v>
      </c>
      <c r="C30" s="4" t="s">
        <v>183</v>
      </c>
      <c r="D30" s="4" t="s">
        <v>162</v>
      </c>
      <c r="E30" s="5">
        <v>29067</v>
      </c>
      <c r="F30" s="6">
        <v>310.50822749999998</v>
      </c>
      <c r="G30" s="7">
        <v>1.4453071E-2</v>
      </c>
      <c r="H30" s="112"/>
    </row>
    <row r="31" spans="1:8" x14ac:dyDescent="0.2">
      <c r="A31" s="3">
        <v>25</v>
      </c>
      <c r="B31" s="4" t="s">
        <v>184</v>
      </c>
      <c r="C31" s="4" t="s">
        <v>185</v>
      </c>
      <c r="D31" s="4" t="s">
        <v>186</v>
      </c>
      <c r="E31" s="5">
        <v>66638</v>
      </c>
      <c r="F31" s="6">
        <v>310.46644199999997</v>
      </c>
      <c r="G31" s="7">
        <v>1.4451126E-2</v>
      </c>
      <c r="H31" s="112"/>
    </row>
    <row r="32" spans="1:8" x14ac:dyDescent="0.2">
      <c r="A32" s="3">
        <v>26</v>
      </c>
      <c r="B32" s="4" t="s">
        <v>187</v>
      </c>
      <c r="C32" s="4" t="s">
        <v>188</v>
      </c>
      <c r="D32" s="4" t="s">
        <v>189</v>
      </c>
      <c r="E32" s="5">
        <v>137606</v>
      </c>
      <c r="F32" s="6">
        <v>310.43913600000002</v>
      </c>
      <c r="G32" s="7">
        <v>1.4449854999999999E-2</v>
      </c>
      <c r="H32" s="112"/>
    </row>
    <row r="33" spans="1:8" ht="25.5" x14ac:dyDescent="0.2">
      <c r="A33" s="3">
        <v>27</v>
      </c>
      <c r="B33" s="4" t="s">
        <v>190</v>
      </c>
      <c r="C33" s="4" t="s">
        <v>191</v>
      </c>
      <c r="D33" s="4" t="s">
        <v>192</v>
      </c>
      <c r="E33" s="5">
        <v>59268</v>
      </c>
      <c r="F33" s="6">
        <v>310.060542</v>
      </c>
      <c r="G33" s="7">
        <v>1.4432232999999999E-2</v>
      </c>
      <c r="H33" s="112"/>
    </row>
    <row r="34" spans="1:8" x14ac:dyDescent="0.2">
      <c r="A34" s="3">
        <v>28</v>
      </c>
      <c r="B34" s="4" t="s">
        <v>193</v>
      </c>
      <c r="C34" s="4" t="s">
        <v>194</v>
      </c>
      <c r="D34" s="4" t="s">
        <v>16</v>
      </c>
      <c r="E34" s="5">
        <v>99378</v>
      </c>
      <c r="F34" s="6">
        <v>308.469312</v>
      </c>
      <c r="G34" s="7">
        <v>1.4358167E-2</v>
      </c>
      <c r="H34" s="112"/>
    </row>
    <row r="35" spans="1:8" x14ac:dyDescent="0.2">
      <c r="A35" s="3">
        <v>29</v>
      </c>
      <c r="B35" s="4" t="s">
        <v>195</v>
      </c>
      <c r="C35" s="4" t="s">
        <v>196</v>
      </c>
      <c r="D35" s="4" t="s">
        <v>34</v>
      </c>
      <c r="E35" s="5">
        <v>73119</v>
      </c>
      <c r="F35" s="6">
        <v>307.28259750000001</v>
      </c>
      <c r="G35" s="7">
        <v>1.4302929000000001E-2</v>
      </c>
      <c r="H35" s="112"/>
    </row>
    <row r="36" spans="1:8" ht="25.5" x14ac:dyDescent="0.2">
      <c r="A36" s="3">
        <v>30</v>
      </c>
      <c r="B36" s="4" t="s">
        <v>197</v>
      </c>
      <c r="C36" s="4" t="s">
        <v>198</v>
      </c>
      <c r="D36" s="4" t="s">
        <v>971</v>
      </c>
      <c r="E36" s="5">
        <v>125135</v>
      </c>
      <c r="F36" s="6">
        <v>298.94751500000001</v>
      </c>
      <c r="G36" s="7">
        <v>1.3914960000000001E-2</v>
      </c>
      <c r="H36" s="112"/>
    </row>
    <row r="37" spans="1:8" x14ac:dyDescent="0.2">
      <c r="A37" s="3">
        <v>31</v>
      </c>
      <c r="B37" s="4" t="s">
        <v>199</v>
      </c>
      <c r="C37" s="4" t="s">
        <v>200</v>
      </c>
      <c r="D37" s="4" t="s">
        <v>64</v>
      </c>
      <c r="E37" s="5">
        <v>281600</v>
      </c>
      <c r="F37" s="6">
        <v>294.83519999999999</v>
      </c>
      <c r="G37" s="7">
        <v>1.3723546999999999E-2</v>
      </c>
      <c r="H37" s="112"/>
    </row>
    <row r="38" spans="1:8" x14ac:dyDescent="0.2">
      <c r="A38" s="3">
        <v>32</v>
      </c>
      <c r="B38" s="4" t="s">
        <v>201</v>
      </c>
      <c r="C38" s="4" t="s">
        <v>202</v>
      </c>
      <c r="D38" s="4" t="s">
        <v>147</v>
      </c>
      <c r="E38" s="5">
        <v>20627</v>
      </c>
      <c r="F38" s="6">
        <v>291.83079600000002</v>
      </c>
      <c r="G38" s="7">
        <v>1.3583702E-2</v>
      </c>
      <c r="H38" s="112"/>
    </row>
    <row r="39" spans="1:8" x14ac:dyDescent="0.2">
      <c r="A39" s="3">
        <v>33</v>
      </c>
      <c r="B39" s="4" t="s">
        <v>203</v>
      </c>
      <c r="C39" s="4" t="s">
        <v>204</v>
      </c>
      <c r="D39" s="4" t="s">
        <v>81</v>
      </c>
      <c r="E39" s="5">
        <v>44944</v>
      </c>
      <c r="F39" s="6">
        <v>281.73146400000002</v>
      </c>
      <c r="G39" s="7">
        <v>1.3113614000000001E-2</v>
      </c>
      <c r="H39" s="112"/>
    </row>
    <row r="40" spans="1:8" x14ac:dyDescent="0.2">
      <c r="A40" s="3">
        <v>34</v>
      </c>
      <c r="B40" s="4" t="s">
        <v>205</v>
      </c>
      <c r="C40" s="4" t="s">
        <v>206</v>
      </c>
      <c r="D40" s="4" t="s">
        <v>975</v>
      </c>
      <c r="E40" s="5">
        <v>31000</v>
      </c>
      <c r="F40" s="6">
        <v>268.56849999999997</v>
      </c>
      <c r="G40" s="7">
        <v>1.2500924E-2</v>
      </c>
      <c r="H40" s="112"/>
    </row>
    <row r="41" spans="1:8" x14ac:dyDescent="0.2">
      <c r="A41" s="3">
        <v>35</v>
      </c>
      <c r="B41" s="4" t="s">
        <v>207</v>
      </c>
      <c r="C41" s="4" t="s">
        <v>208</v>
      </c>
      <c r="D41" s="4" t="s">
        <v>209</v>
      </c>
      <c r="E41" s="5">
        <v>56206</v>
      </c>
      <c r="F41" s="6">
        <v>261.75134200000002</v>
      </c>
      <c r="G41" s="7">
        <v>1.2183609E-2</v>
      </c>
      <c r="H41" s="112"/>
    </row>
    <row r="42" spans="1:8" x14ac:dyDescent="0.2">
      <c r="A42" s="3">
        <v>36</v>
      </c>
      <c r="B42" s="4" t="s">
        <v>210</v>
      </c>
      <c r="C42" s="4" t="s">
        <v>211</v>
      </c>
      <c r="D42" s="4" t="s">
        <v>212</v>
      </c>
      <c r="E42" s="5">
        <v>103185</v>
      </c>
      <c r="F42" s="6">
        <v>256.10516999999999</v>
      </c>
      <c r="G42" s="7">
        <v>1.1920798999999999E-2</v>
      </c>
      <c r="H42" s="112"/>
    </row>
    <row r="43" spans="1:8" x14ac:dyDescent="0.2">
      <c r="A43" s="3">
        <v>37</v>
      </c>
      <c r="B43" s="4" t="s">
        <v>213</v>
      </c>
      <c r="C43" s="4" t="s">
        <v>214</v>
      </c>
      <c r="D43" s="4" t="s">
        <v>977</v>
      </c>
      <c r="E43" s="5">
        <v>42797</v>
      </c>
      <c r="F43" s="6">
        <v>248.35099099999999</v>
      </c>
      <c r="G43" s="7">
        <v>1.1559869E-2</v>
      </c>
      <c r="H43" s="112"/>
    </row>
    <row r="44" spans="1:8" x14ac:dyDescent="0.2">
      <c r="A44" s="3">
        <v>38</v>
      </c>
      <c r="B44" s="4" t="s">
        <v>215</v>
      </c>
      <c r="C44" s="4" t="s">
        <v>216</v>
      </c>
      <c r="D44" s="4" t="s">
        <v>53</v>
      </c>
      <c r="E44" s="5">
        <v>104712</v>
      </c>
      <c r="F44" s="6">
        <v>246.387336</v>
      </c>
      <c r="G44" s="7">
        <v>1.1468468000000001E-2</v>
      </c>
      <c r="H44" s="112"/>
    </row>
    <row r="45" spans="1:8" x14ac:dyDescent="0.2">
      <c r="A45" s="3">
        <v>39</v>
      </c>
      <c r="B45" s="4" t="s">
        <v>217</v>
      </c>
      <c r="C45" s="4" t="s">
        <v>218</v>
      </c>
      <c r="D45" s="4" t="s">
        <v>979</v>
      </c>
      <c r="E45" s="5">
        <v>15202</v>
      </c>
      <c r="F45" s="6">
        <v>245.953158</v>
      </c>
      <c r="G45" s="7">
        <v>1.1448259000000001E-2</v>
      </c>
      <c r="H45" s="112"/>
    </row>
    <row r="46" spans="1:8" x14ac:dyDescent="0.2">
      <c r="A46" s="3">
        <v>40</v>
      </c>
      <c r="B46" s="4" t="s">
        <v>219</v>
      </c>
      <c r="C46" s="4" t="s">
        <v>220</v>
      </c>
      <c r="D46" s="4" t="s">
        <v>64</v>
      </c>
      <c r="E46" s="5">
        <v>25501</v>
      </c>
      <c r="F46" s="6">
        <v>245.84239049999999</v>
      </c>
      <c r="G46" s="7">
        <v>1.1443103E-2</v>
      </c>
      <c r="H46" s="112"/>
    </row>
    <row r="47" spans="1:8" x14ac:dyDescent="0.2">
      <c r="A47" s="3">
        <v>41</v>
      </c>
      <c r="B47" s="4" t="s">
        <v>221</v>
      </c>
      <c r="C47" s="4" t="s">
        <v>222</v>
      </c>
      <c r="D47" s="4" t="s">
        <v>173</v>
      </c>
      <c r="E47" s="5">
        <v>27785</v>
      </c>
      <c r="F47" s="6">
        <v>239.478915</v>
      </c>
      <c r="G47" s="7">
        <v>1.1146905E-2</v>
      </c>
      <c r="H47" s="112"/>
    </row>
    <row r="48" spans="1:8" x14ac:dyDescent="0.2">
      <c r="A48" s="3">
        <v>42</v>
      </c>
      <c r="B48" s="4" t="s">
        <v>223</v>
      </c>
      <c r="C48" s="4" t="s">
        <v>224</v>
      </c>
      <c r="D48" s="4" t="s">
        <v>27</v>
      </c>
      <c r="E48" s="5">
        <v>13087</v>
      </c>
      <c r="F48" s="6">
        <v>235.29771650000001</v>
      </c>
      <c r="G48" s="7">
        <v>1.0952285000000001E-2</v>
      </c>
      <c r="H48" s="112"/>
    </row>
    <row r="49" spans="1:8" x14ac:dyDescent="0.2">
      <c r="A49" s="3">
        <v>43</v>
      </c>
      <c r="B49" s="4" t="s">
        <v>225</v>
      </c>
      <c r="C49" s="4" t="s">
        <v>226</v>
      </c>
      <c r="D49" s="4" t="s">
        <v>71</v>
      </c>
      <c r="E49" s="5">
        <v>26372</v>
      </c>
      <c r="F49" s="6">
        <v>219.309552</v>
      </c>
      <c r="G49" s="7">
        <v>1.0208092E-2</v>
      </c>
      <c r="H49" s="112"/>
    </row>
    <row r="50" spans="1:8" x14ac:dyDescent="0.2">
      <c r="A50" s="3">
        <v>44</v>
      </c>
      <c r="B50" s="4" t="s">
        <v>227</v>
      </c>
      <c r="C50" s="4" t="s">
        <v>228</v>
      </c>
      <c r="D50" s="4" t="s">
        <v>974</v>
      </c>
      <c r="E50" s="5">
        <v>12809</v>
      </c>
      <c r="F50" s="6">
        <v>218.2333375</v>
      </c>
      <c r="G50" s="7">
        <v>1.0157998E-2</v>
      </c>
      <c r="H50" s="112"/>
    </row>
    <row r="51" spans="1:8" ht="25.5" x14ac:dyDescent="0.2">
      <c r="A51" s="3">
        <v>45</v>
      </c>
      <c r="B51" s="4" t="s">
        <v>229</v>
      </c>
      <c r="C51" s="4" t="s">
        <v>230</v>
      </c>
      <c r="D51" s="4" t="s">
        <v>71</v>
      </c>
      <c r="E51" s="5">
        <v>10523</v>
      </c>
      <c r="F51" s="6">
        <v>218.14178999999999</v>
      </c>
      <c r="G51" s="7">
        <v>1.0153736999999999E-2</v>
      </c>
      <c r="H51" s="112"/>
    </row>
    <row r="52" spans="1:8" x14ac:dyDescent="0.2">
      <c r="A52" s="3">
        <v>46</v>
      </c>
      <c r="B52" s="4" t="s">
        <v>231</v>
      </c>
      <c r="C52" s="4" t="s">
        <v>232</v>
      </c>
      <c r="D52" s="4" t="s">
        <v>71</v>
      </c>
      <c r="E52" s="5">
        <v>76732</v>
      </c>
      <c r="F52" s="6">
        <v>214.350842</v>
      </c>
      <c r="G52" s="7">
        <v>9.9772809999999993E-3</v>
      </c>
      <c r="H52" s="112"/>
    </row>
    <row r="53" spans="1:8" ht="25.5" x14ac:dyDescent="0.2">
      <c r="A53" s="3">
        <v>47</v>
      </c>
      <c r="B53" s="4" t="s">
        <v>233</v>
      </c>
      <c r="C53" s="4" t="s">
        <v>234</v>
      </c>
      <c r="D53" s="4" t="s">
        <v>147</v>
      </c>
      <c r="E53" s="5">
        <v>46362</v>
      </c>
      <c r="F53" s="6">
        <v>213.54337200000001</v>
      </c>
      <c r="G53" s="7">
        <v>9.9396970000000008E-3</v>
      </c>
      <c r="H53" s="112"/>
    </row>
    <row r="54" spans="1:8" ht="25.5" x14ac:dyDescent="0.2">
      <c r="A54" s="3">
        <v>48</v>
      </c>
      <c r="B54" s="4" t="s">
        <v>235</v>
      </c>
      <c r="C54" s="4" t="s">
        <v>236</v>
      </c>
      <c r="D54" s="4" t="s">
        <v>192</v>
      </c>
      <c r="E54" s="5">
        <v>46200</v>
      </c>
      <c r="F54" s="6">
        <v>211.11089999999999</v>
      </c>
      <c r="G54" s="7">
        <v>9.8264730000000005E-3</v>
      </c>
      <c r="H54" s="112"/>
    </row>
    <row r="55" spans="1:8" x14ac:dyDescent="0.2">
      <c r="A55" s="3">
        <v>49</v>
      </c>
      <c r="B55" s="4" t="s">
        <v>238</v>
      </c>
      <c r="C55" s="4" t="s">
        <v>239</v>
      </c>
      <c r="D55" s="4" t="s">
        <v>186</v>
      </c>
      <c r="E55" s="5">
        <v>40455</v>
      </c>
      <c r="F55" s="6">
        <v>208.66689</v>
      </c>
      <c r="G55" s="7">
        <v>9.7127129999999996E-3</v>
      </c>
      <c r="H55" s="112"/>
    </row>
    <row r="56" spans="1:8" x14ac:dyDescent="0.2">
      <c r="A56" s="3">
        <v>50</v>
      </c>
      <c r="B56" s="4" t="s">
        <v>240</v>
      </c>
      <c r="C56" s="4" t="s">
        <v>241</v>
      </c>
      <c r="D56" s="4" t="s">
        <v>81</v>
      </c>
      <c r="E56" s="5">
        <v>369714</v>
      </c>
      <c r="F56" s="6">
        <v>203.712414</v>
      </c>
      <c r="G56" s="7">
        <v>9.4821000000000003E-3</v>
      </c>
      <c r="H56" s="112"/>
    </row>
    <row r="57" spans="1:8" x14ac:dyDescent="0.2">
      <c r="A57" s="3">
        <v>51</v>
      </c>
      <c r="B57" s="4" t="s">
        <v>242</v>
      </c>
      <c r="C57" s="4" t="s">
        <v>243</v>
      </c>
      <c r="D57" s="4" t="s">
        <v>334</v>
      </c>
      <c r="E57" s="5">
        <v>16948</v>
      </c>
      <c r="F57" s="6">
        <v>202.95230000000001</v>
      </c>
      <c r="G57" s="7">
        <v>9.4467189999999993E-3</v>
      </c>
      <c r="H57" s="112"/>
    </row>
    <row r="58" spans="1:8" x14ac:dyDescent="0.2">
      <c r="A58" s="3">
        <v>52</v>
      </c>
      <c r="B58" s="4" t="s">
        <v>244</v>
      </c>
      <c r="C58" s="4" t="s">
        <v>245</v>
      </c>
      <c r="D58" s="4" t="s">
        <v>173</v>
      </c>
      <c r="E58" s="5">
        <v>51255</v>
      </c>
      <c r="F58" s="6">
        <v>202.14972</v>
      </c>
      <c r="G58" s="7">
        <v>9.4093619999999992E-3</v>
      </c>
      <c r="H58" s="112"/>
    </row>
    <row r="59" spans="1:8" ht="25.5" x14ac:dyDescent="0.2">
      <c r="A59" s="3">
        <v>53</v>
      </c>
      <c r="B59" s="4" t="s">
        <v>246</v>
      </c>
      <c r="C59" s="4" t="s">
        <v>247</v>
      </c>
      <c r="D59" s="4" t="s">
        <v>978</v>
      </c>
      <c r="E59" s="5">
        <v>185657</v>
      </c>
      <c r="F59" s="6">
        <v>195.682478</v>
      </c>
      <c r="G59" s="7">
        <v>9.1083339999999992E-3</v>
      </c>
      <c r="H59" s="112"/>
    </row>
    <row r="60" spans="1:8" x14ac:dyDescent="0.2">
      <c r="A60" s="3">
        <v>54</v>
      </c>
      <c r="B60" s="4" t="s">
        <v>69</v>
      </c>
      <c r="C60" s="4" t="s">
        <v>70</v>
      </c>
      <c r="D60" s="4" t="s">
        <v>71</v>
      </c>
      <c r="E60" s="5">
        <v>5800</v>
      </c>
      <c r="F60" s="6">
        <v>191.73349999999999</v>
      </c>
      <c r="G60" s="7">
        <v>8.9245230000000002E-3</v>
      </c>
      <c r="H60" s="112"/>
    </row>
    <row r="61" spans="1:8" x14ac:dyDescent="0.2">
      <c r="A61" s="3">
        <v>55</v>
      </c>
      <c r="B61" s="4" t="s">
        <v>248</v>
      </c>
      <c r="C61" s="4" t="s">
        <v>249</v>
      </c>
      <c r="D61" s="4" t="s">
        <v>186</v>
      </c>
      <c r="E61" s="5">
        <v>11356</v>
      </c>
      <c r="F61" s="6">
        <v>190.57071400000001</v>
      </c>
      <c r="G61" s="7">
        <v>8.8704000000000005E-3</v>
      </c>
      <c r="H61" s="112"/>
    </row>
    <row r="62" spans="1:8" ht="25.5" x14ac:dyDescent="0.2">
      <c r="A62" s="3">
        <v>56</v>
      </c>
      <c r="B62" s="4" t="s">
        <v>250</v>
      </c>
      <c r="C62" s="4" t="s">
        <v>251</v>
      </c>
      <c r="D62" s="4" t="s">
        <v>192</v>
      </c>
      <c r="E62" s="5">
        <v>48460</v>
      </c>
      <c r="F62" s="6">
        <v>184.3903</v>
      </c>
      <c r="G62" s="7">
        <v>8.5827230000000004E-3</v>
      </c>
      <c r="H62" s="112"/>
    </row>
    <row r="63" spans="1:8" x14ac:dyDescent="0.2">
      <c r="A63" s="3">
        <v>57</v>
      </c>
      <c r="B63" s="4" t="s">
        <v>252</v>
      </c>
      <c r="C63" s="4" t="s">
        <v>253</v>
      </c>
      <c r="D63" s="4" t="s">
        <v>34</v>
      </c>
      <c r="E63" s="5">
        <v>143614</v>
      </c>
      <c r="F63" s="6">
        <v>181.31267500000001</v>
      </c>
      <c r="G63" s="7">
        <v>8.4394699999999993E-3</v>
      </c>
      <c r="H63" s="112"/>
    </row>
    <row r="64" spans="1:8" x14ac:dyDescent="0.2">
      <c r="A64" s="3">
        <v>58</v>
      </c>
      <c r="B64" s="4" t="s">
        <v>254</v>
      </c>
      <c r="C64" s="4" t="s">
        <v>255</v>
      </c>
      <c r="D64" s="4" t="s">
        <v>162</v>
      </c>
      <c r="E64" s="5">
        <v>14091</v>
      </c>
      <c r="F64" s="6">
        <v>179.575704</v>
      </c>
      <c r="G64" s="7">
        <v>8.3586200000000006E-3</v>
      </c>
      <c r="H64" s="112"/>
    </row>
    <row r="65" spans="1:8" x14ac:dyDescent="0.2">
      <c r="A65" s="3">
        <v>59</v>
      </c>
      <c r="B65" s="4" t="s">
        <v>256</v>
      </c>
      <c r="C65" s="4" t="s">
        <v>257</v>
      </c>
      <c r="D65" s="4" t="s">
        <v>186</v>
      </c>
      <c r="E65" s="5">
        <v>33629</v>
      </c>
      <c r="F65" s="6">
        <v>171.037094</v>
      </c>
      <c r="G65" s="7">
        <v>7.9611779999999993E-3</v>
      </c>
      <c r="H65" s="112"/>
    </row>
    <row r="66" spans="1:8" x14ac:dyDescent="0.2">
      <c r="A66" s="3">
        <v>60</v>
      </c>
      <c r="B66" s="4" t="s">
        <v>258</v>
      </c>
      <c r="C66" s="4" t="s">
        <v>259</v>
      </c>
      <c r="D66" s="4" t="s">
        <v>53</v>
      </c>
      <c r="E66" s="5">
        <v>15808</v>
      </c>
      <c r="F66" s="6">
        <v>151.23513600000001</v>
      </c>
      <c r="G66" s="7">
        <v>7.0394660000000003E-3</v>
      </c>
      <c r="H66" s="112"/>
    </row>
    <row r="67" spans="1:8" x14ac:dyDescent="0.2">
      <c r="A67" s="3">
        <v>61</v>
      </c>
      <c r="B67" s="4" t="s">
        <v>260</v>
      </c>
      <c r="C67" s="4" t="s">
        <v>261</v>
      </c>
      <c r="D67" s="4" t="s">
        <v>173</v>
      </c>
      <c r="E67" s="5">
        <v>23266</v>
      </c>
      <c r="F67" s="6">
        <v>140.16601700000001</v>
      </c>
      <c r="G67" s="7">
        <v>6.5242369999999996E-3</v>
      </c>
      <c r="H67" s="112"/>
    </row>
    <row r="68" spans="1:8" x14ac:dyDescent="0.2">
      <c r="A68" s="3">
        <v>62</v>
      </c>
      <c r="B68" s="4" t="s">
        <v>262</v>
      </c>
      <c r="C68" s="4" t="s">
        <v>263</v>
      </c>
      <c r="D68" s="4" t="s">
        <v>977</v>
      </c>
      <c r="E68" s="5">
        <v>96898</v>
      </c>
      <c r="F68" s="6">
        <v>139.581569</v>
      </c>
      <c r="G68" s="7">
        <v>6.4970330000000001E-3</v>
      </c>
      <c r="H68" s="112"/>
    </row>
    <row r="69" spans="1:8" x14ac:dyDescent="0.2">
      <c r="A69" s="3">
        <v>63</v>
      </c>
      <c r="B69" s="4" t="s">
        <v>264</v>
      </c>
      <c r="C69" s="4" t="s">
        <v>265</v>
      </c>
      <c r="D69" s="4" t="s">
        <v>266</v>
      </c>
      <c r="E69" s="5">
        <v>56338</v>
      </c>
      <c r="F69" s="6">
        <v>129.32387900000001</v>
      </c>
      <c r="G69" s="7">
        <v>6.0195739999999998E-3</v>
      </c>
      <c r="H69" s="112"/>
    </row>
    <row r="70" spans="1:8" x14ac:dyDescent="0.2">
      <c r="A70" s="3">
        <v>64</v>
      </c>
      <c r="B70" s="4" t="s">
        <v>267</v>
      </c>
      <c r="C70" s="4" t="s">
        <v>268</v>
      </c>
      <c r="D70" s="4" t="s">
        <v>19</v>
      </c>
      <c r="E70" s="5">
        <v>139624</v>
      </c>
      <c r="F70" s="6">
        <v>126.778592</v>
      </c>
      <c r="G70" s="7">
        <v>5.9011000000000003E-3</v>
      </c>
      <c r="H70" s="112"/>
    </row>
    <row r="71" spans="1:8" x14ac:dyDescent="0.2">
      <c r="A71" s="3">
        <v>65</v>
      </c>
      <c r="B71" s="4" t="s">
        <v>269</v>
      </c>
      <c r="C71" s="4" t="s">
        <v>270</v>
      </c>
      <c r="D71" s="4" t="s">
        <v>186</v>
      </c>
      <c r="E71" s="5">
        <v>2332</v>
      </c>
      <c r="F71" s="6">
        <v>126.48184999999999</v>
      </c>
      <c r="G71" s="7">
        <v>5.8872869999999997E-3</v>
      </c>
      <c r="H71" s="112"/>
    </row>
    <row r="72" spans="1:8" x14ac:dyDescent="0.2">
      <c r="A72" s="3">
        <v>66</v>
      </c>
      <c r="B72" s="4" t="s">
        <v>271</v>
      </c>
      <c r="C72" s="4" t="s">
        <v>272</v>
      </c>
      <c r="D72" s="4" t="s">
        <v>147</v>
      </c>
      <c r="E72" s="5">
        <v>18127</v>
      </c>
      <c r="F72" s="6">
        <v>117.934262</v>
      </c>
      <c r="G72" s="7">
        <v>5.4894269999999998E-3</v>
      </c>
      <c r="H72" s="112"/>
    </row>
    <row r="73" spans="1:8" x14ac:dyDescent="0.2">
      <c r="A73" s="3">
        <v>67</v>
      </c>
      <c r="B73" s="4" t="s">
        <v>273</v>
      </c>
      <c r="C73" s="4" t="s">
        <v>274</v>
      </c>
      <c r="D73" s="4" t="s">
        <v>71</v>
      </c>
      <c r="E73" s="5">
        <v>79149</v>
      </c>
      <c r="F73" s="6">
        <v>105.505617</v>
      </c>
      <c r="G73" s="7">
        <v>4.9109169999999999E-3</v>
      </c>
      <c r="H73" s="112"/>
    </row>
    <row r="74" spans="1:8" x14ac:dyDescent="0.2">
      <c r="A74" s="3">
        <v>68</v>
      </c>
      <c r="B74" s="4" t="s">
        <v>275</v>
      </c>
      <c r="C74" s="4" t="s">
        <v>276</v>
      </c>
      <c r="D74" s="4" t="s">
        <v>162</v>
      </c>
      <c r="E74" s="5">
        <v>22041</v>
      </c>
      <c r="F74" s="6">
        <v>91.271781000000004</v>
      </c>
      <c r="G74" s="7">
        <v>4.2483820000000002E-3</v>
      </c>
      <c r="H74" s="112"/>
    </row>
    <row r="75" spans="1:8" x14ac:dyDescent="0.2">
      <c r="A75" s="3">
        <v>69</v>
      </c>
      <c r="B75" s="4" t="s">
        <v>277</v>
      </c>
      <c r="C75" s="4" t="s">
        <v>278</v>
      </c>
      <c r="D75" s="4" t="s">
        <v>186</v>
      </c>
      <c r="E75" s="5">
        <v>27599</v>
      </c>
      <c r="F75" s="6">
        <v>85.115316000000007</v>
      </c>
      <c r="G75" s="7">
        <v>3.9618199999999996E-3</v>
      </c>
      <c r="H75" s="112"/>
    </row>
    <row r="76" spans="1:8" x14ac:dyDescent="0.2">
      <c r="A76" s="3">
        <v>70</v>
      </c>
      <c r="B76" s="4" t="s">
        <v>279</v>
      </c>
      <c r="C76" s="4" t="s">
        <v>280</v>
      </c>
      <c r="D76" s="4" t="s">
        <v>147</v>
      </c>
      <c r="E76" s="5">
        <v>6312</v>
      </c>
      <c r="F76" s="6">
        <v>82.652484000000001</v>
      </c>
      <c r="G76" s="7">
        <v>3.847184E-3</v>
      </c>
      <c r="H76" s="112"/>
    </row>
    <row r="77" spans="1:8" ht="25.5" x14ac:dyDescent="0.2">
      <c r="A77" s="3">
        <v>71</v>
      </c>
      <c r="B77" s="4" t="s">
        <v>92</v>
      </c>
      <c r="C77" s="4" t="s">
        <v>93</v>
      </c>
      <c r="D77" s="4" t="s">
        <v>45</v>
      </c>
      <c r="E77" s="5">
        <v>12141</v>
      </c>
      <c r="F77" s="6">
        <v>80.652663000000004</v>
      </c>
      <c r="G77" s="7">
        <v>3.7540989999999999E-3</v>
      </c>
      <c r="H77" s="112"/>
    </row>
    <row r="78" spans="1:8" x14ac:dyDescent="0.2">
      <c r="A78" s="3">
        <v>72</v>
      </c>
      <c r="B78" s="4" t="s">
        <v>62</v>
      </c>
      <c r="C78" s="4" t="s">
        <v>63</v>
      </c>
      <c r="D78" s="4" t="s">
        <v>64</v>
      </c>
      <c r="E78" s="5">
        <v>45310</v>
      </c>
      <c r="F78" s="6">
        <v>74.466984999999994</v>
      </c>
      <c r="G78" s="7">
        <v>3.466177E-3</v>
      </c>
      <c r="H78" s="112"/>
    </row>
    <row r="79" spans="1:8" x14ac:dyDescent="0.2">
      <c r="A79" s="3">
        <v>73</v>
      </c>
      <c r="B79" s="4" t="s">
        <v>281</v>
      </c>
      <c r="C79" s="4" t="s">
        <v>282</v>
      </c>
      <c r="D79" s="4" t="s">
        <v>334</v>
      </c>
      <c r="E79" s="5">
        <v>6535</v>
      </c>
      <c r="F79" s="6">
        <v>52.119892499999999</v>
      </c>
      <c r="G79" s="7">
        <v>2.4259989999999999E-3</v>
      </c>
      <c r="H79" s="112"/>
    </row>
    <row r="80" spans="1:8" x14ac:dyDescent="0.2">
      <c r="A80" s="3">
        <v>74</v>
      </c>
      <c r="B80" s="4" t="s">
        <v>283</v>
      </c>
      <c r="C80" s="4" t="s">
        <v>284</v>
      </c>
      <c r="D80" s="4" t="s">
        <v>19</v>
      </c>
      <c r="E80" s="5">
        <v>33917</v>
      </c>
      <c r="F80" s="6">
        <v>21.791672500000001</v>
      </c>
      <c r="G80" s="7">
        <v>1.0143260000000001E-3</v>
      </c>
      <c r="H80" s="112"/>
    </row>
    <row r="81" spans="1:8" x14ac:dyDescent="0.2">
      <c r="A81" s="1"/>
      <c r="B81" s="1"/>
      <c r="C81" s="2" t="s">
        <v>97</v>
      </c>
      <c r="D81" s="1"/>
      <c r="E81" s="1" t="s">
        <v>98</v>
      </c>
      <c r="F81" s="9">
        <v>20175.854286500002</v>
      </c>
      <c r="G81" s="10">
        <v>0.93911539499999996</v>
      </c>
      <c r="H81" s="112"/>
    </row>
    <row r="82" spans="1:8" x14ac:dyDescent="0.2">
      <c r="A82" s="1"/>
      <c r="B82" s="1"/>
      <c r="C82" s="11"/>
      <c r="D82" s="1"/>
      <c r="E82" s="1"/>
      <c r="F82" s="12"/>
      <c r="G82" s="12"/>
      <c r="H82" s="112"/>
    </row>
    <row r="83" spans="1:8" x14ac:dyDescent="0.2">
      <c r="A83" s="1"/>
      <c r="B83" s="1"/>
      <c r="C83" s="2" t="s">
        <v>99</v>
      </c>
      <c r="D83" s="1"/>
      <c r="E83" s="1"/>
      <c r="F83" s="1"/>
      <c r="G83" s="1"/>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100</v>
      </c>
      <c r="D86" s="1"/>
      <c r="E86" s="1"/>
      <c r="F86" s="1"/>
      <c r="G86" s="1"/>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101</v>
      </c>
      <c r="D89" s="1"/>
      <c r="E89" s="1"/>
      <c r="F89" s="1"/>
      <c r="G89" s="1"/>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102</v>
      </c>
      <c r="D92" s="1"/>
      <c r="E92" s="1"/>
      <c r="F92" s="12"/>
      <c r="G92" s="12"/>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103</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104</v>
      </c>
      <c r="D98" s="1"/>
      <c r="E98" s="1"/>
      <c r="F98" s="9">
        <v>20175.854286500002</v>
      </c>
      <c r="G98" s="10">
        <v>0.93911539499999996</v>
      </c>
      <c r="H98" s="112"/>
    </row>
    <row r="99" spans="1:8" x14ac:dyDescent="0.2">
      <c r="A99" s="1"/>
      <c r="B99" s="1"/>
      <c r="C99" s="11"/>
      <c r="D99" s="1"/>
      <c r="E99" s="1"/>
      <c r="F99" s="12"/>
      <c r="G99" s="12"/>
      <c r="H99" s="112"/>
    </row>
    <row r="100" spans="1:8" x14ac:dyDescent="0.2">
      <c r="A100" s="1"/>
      <c r="B100" s="1"/>
      <c r="C100" s="2" t="s">
        <v>105</v>
      </c>
      <c r="D100" s="1"/>
      <c r="E100" s="1"/>
      <c r="F100" s="12"/>
      <c r="G100" s="12"/>
      <c r="H100" s="112"/>
    </row>
    <row r="101" spans="1:8" ht="25.5" x14ac:dyDescent="0.2">
      <c r="A101" s="1"/>
      <c r="B101" s="1"/>
      <c r="C101" s="2" t="s">
        <v>10</v>
      </c>
      <c r="D101" s="1"/>
      <c r="E101" s="1"/>
      <c r="F101" s="12"/>
      <c r="G101" s="12"/>
      <c r="H101" s="112"/>
    </row>
    <row r="102" spans="1:8" x14ac:dyDescent="0.2">
      <c r="A102" s="1"/>
      <c r="B102" s="1"/>
      <c r="C102" s="2" t="s">
        <v>97</v>
      </c>
      <c r="D102" s="1"/>
      <c r="E102" s="1" t="s">
        <v>98</v>
      </c>
      <c r="F102" s="13">
        <v>0</v>
      </c>
      <c r="G102" s="14">
        <v>0</v>
      </c>
      <c r="H102" s="112"/>
    </row>
    <row r="103" spans="1:8" x14ac:dyDescent="0.2">
      <c r="A103" s="1"/>
      <c r="B103" s="1"/>
      <c r="C103" s="11"/>
      <c r="D103" s="1"/>
      <c r="E103" s="1"/>
      <c r="F103" s="12"/>
      <c r="G103" s="12"/>
      <c r="H103" s="112"/>
    </row>
    <row r="104" spans="1:8" x14ac:dyDescent="0.2">
      <c r="A104" s="1"/>
      <c r="B104" s="1"/>
      <c r="C104" s="2" t="s">
        <v>106</v>
      </c>
      <c r="D104" s="1"/>
      <c r="E104" s="1"/>
      <c r="F104" s="1"/>
      <c r="G104" s="1"/>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107</v>
      </c>
      <c r="D107" s="1"/>
      <c r="E107" s="1"/>
      <c r="F107" s="1"/>
      <c r="G107" s="1"/>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1"/>
      <c r="C110" s="2" t="s">
        <v>108</v>
      </c>
      <c r="D110" s="1"/>
      <c r="E110" s="1"/>
      <c r="F110" s="12"/>
      <c r="G110" s="12"/>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109</v>
      </c>
      <c r="D113" s="1"/>
      <c r="E113" s="1"/>
      <c r="F113" s="9">
        <v>0</v>
      </c>
      <c r="G113" s="10">
        <v>0</v>
      </c>
      <c r="H113" s="112"/>
    </row>
    <row r="114" spans="1:8" x14ac:dyDescent="0.2">
      <c r="A114" s="1"/>
      <c r="B114" s="1"/>
      <c r="C114" s="11"/>
      <c r="D114" s="1"/>
      <c r="E114" s="1"/>
      <c r="F114" s="12"/>
      <c r="G114" s="12"/>
      <c r="H114" s="112"/>
    </row>
    <row r="115" spans="1:8" x14ac:dyDescent="0.2">
      <c r="A115" s="1"/>
      <c r="B115" s="1"/>
      <c r="C115" s="2" t="s">
        <v>110</v>
      </c>
      <c r="D115" s="1"/>
      <c r="E115" s="1"/>
      <c r="F115" s="12"/>
      <c r="G115" s="12"/>
      <c r="H115" s="112"/>
    </row>
    <row r="116" spans="1:8" x14ac:dyDescent="0.2">
      <c r="A116" s="1"/>
      <c r="B116" s="1"/>
      <c r="C116" s="2" t="s">
        <v>111</v>
      </c>
      <c r="D116" s="1"/>
      <c r="E116" s="1"/>
      <c r="F116" s="12"/>
      <c r="G116" s="12"/>
      <c r="H116" s="112"/>
    </row>
    <row r="117" spans="1:8" x14ac:dyDescent="0.2">
      <c r="A117" s="1"/>
      <c r="B117" s="1"/>
      <c r="C117" s="2" t="s">
        <v>97</v>
      </c>
      <c r="D117" s="1"/>
      <c r="E117" s="1" t="s">
        <v>98</v>
      </c>
      <c r="F117" s="13">
        <v>0</v>
      </c>
      <c r="G117" s="14">
        <v>0</v>
      </c>
      <c r="H117" s="112"/>
    </row>
    <row r="118" spans="1:8" x14ac:dyDescent="0.2">
      <c r="A118" s="1"/>
      <c r="B118" s="1"/>
      <c r="C118" s="11"/>
      <c r="D118" s="1"/>
      <c r="E118" s="1"/>
      <c r="F118" s="12"/>
      <c r="G118" s="12"/>
      <c r="H118" s="112"/>
    </row>
    <row r="119" spans="1:8" x14ac:dyDescent="0.2">
      <c r="A119" s="1"/>
      <c r="B119" s="1"/>
      <c r="C119" s="2" t="s">
        <v>112</v>
      </c>
      <c r="D119" s="1"/>
      <c r="E119" s="1"/>
      <c r="F119" s="12"/>
      <c r="G119" s="12"/>
      <c r="H119" s="112"/>
    </row>
    <row r="120" spans="1:8" x14ac:dyDescent="0.2">
      <c r="A120" s="1"/>
      <c r="B120" s="1"/>
      <c r="C120" s="2" t="s">
        <v>97</v>
      </c>
      <c r="D120" s="1"/>
      <c r="E120" s="1" t="s">
        <v>98</v>
      </c>
      <c r="F120" s="13">
        <v>0</v>
      </c>
      <c r="G120" s="14">
        <v>0</v>
      </c>
      <c r="H120" s="112"/>
    </row>
    <row r="121" spans="1:8" x14ac:dyDescent="0.2">
      <c r="A121" s="1"/>
      <c r="B121" s="1"/>
      <c r="C121" s="11"/>
      <c r="D121" s="1"/>
      <c r="E121" s="1"/>
      <c r="F121" s="12"/>
      <c r="G121" s="12"/>
      <c r="H121" s="112"/>
    </row>
    <row r="122" spans="1:8" x14ac:dyDescent="0.2">
      <c r="A122" s="1"/>
      <c r="B122" s="1"/>
      <c r="C122" s="2" t="s">
        <v>113</v>
      </c>
      <c r="D122" s="1"/>
      <c r="E122" s="1"/>
      <c r="F122" s="12"/>
      <c r="G122" s="12"/>
      <c r="H122" s="112"/>
    </row>
    <row r="123" spans="1:8" x14ac:dyDescent="0.2">
      <c r="A123" s="1"/>
      <c r="B123" s="1"/>
      <c r="C123" s="2" t="s">
        <v>97</v>
      </c>
      <c r="D123" s="1"/>
      <c r="E123" s="1" t="s">
        <v>98</v>
      </c>
      <c r="F123" s="13">
        <v>0</v>
      </c>
      <c r="G123" s="14">
        <v>0</v>
      </c>
      <c r="H123" s="112"/>
    </row>
    <row r="124" spans="1:8" x14ac:dyDescent="0.2">
      <c r="A124" s="1"/>
      <c r="B124" s="1"/>
      <c r="C124" s="11"/>
      <c r="D124" s="1"/>
      <c r="E124" s="1"/>
      <c r="F124" s="12"/>
      <c r="G124" s="12"/>
      <c r="H124" s="112"/>
    </row>
    <row r="125" spans="1:8" x14ac:dyDescent="0.2">
      <c r="A125" s="1"/>
      <c r="B125" s="1"/>
      <c r="C125" s="2" t="s">
        <v>114</v>
      </c>
      <c r="D125" s="1"/>
      <c r="E125" s="1"/>
      <c r="F125" s="12"/>
      <c r="G125" s="12"/>
      <c r="H125" s="112"/>
    </row>
    <row r="126" spans="1:8" x14ac:dyDescent="0.2">
      <c r="A126" s="3">
        <v>1</v>
      </c>
      <c r="B126" s="4"/>
      <c r="C126" s="4" t="s">
        <v>115</v>
      </c>
      <c r="D126" s="4"/>
      <c r="E126" s="8"/>
      <c r="F126" s="6">
        <v>878.998678481909</v>
      </c>
      <c r="G126" s="7">
        <v>4.0914311753018476E-2</v>
      </c>
      <c r="H126" s="6">
        <v>3.3211324282253978</v>
      </c>
    </row>
    <row r="127" spans="1:8" x14ac:dyDescent="0.2">
      <c r="A127" s="3">
        <v>2</v>
      </c>
      <c r="B127" s="4"/>
      <c r="C127" s="4" t="s">
        <v>116</v>
      </c>
      <c r="D127" s="4"/>
      <c r="E127" s="8"/>
      <c r="F127" s="6">
        <v>345.29128583005644</v>
      </c>
      <c r="G127" s="7">
        <v>1.60721007435989E-2</v>
      </c>
      <c r="H127" s="6">
        <v>3.35</v>
      </c>
    </row>
    <row r="128" spans="1:8" x14ac:dyDescent="0.2">
      <c r="A128" s="1"/>
      <c r="B128" s="1"/>
      <c r="C128" s="2" t="s">
        <v>97</v>
      </c>
      <c r="D128" s="1"/>
      <c r="E128" s="1" t="s">
        <v>98</v>
      </c>
      <c r="F128" s="9">
        <v>1224.2899643119654</v>
      </c>
      <c r="G128" s="10">
        <v>5.6986412496617379E-2</v>
      </c>
      <c r="H128" s="112"/>
    </row>
    <row r="129" spans="1:8" x14ac:dyDescent="0.2">
      <c r="A129" s="1"/>
      <c r="B129" s="1"/>
      <c r="C129" s="11"/>
      <c r="D129" s="1"/>
      <c r="E129" s="1"/>
      <c r="F129" s="12"/>
      <c r="G129" s="12"/>
      <c r="H129" s="112"/>
    </row>
    <row r="130" spans="1:8" x14ac:dyDescent="0.2">
      <c r="A130" s="1"/>
      <c r="B130" s="1"/>
      <c r="C130" s="2" t="s">
        <v>117</v>
      </c>
      <c r="D130" s="1"/>
      <c r="E130" s="1"/>
      <c r="F130" s="9">
        <v>1224.2899643119654</v>
      </c>
      <c r="G130" s="10">
        <v>5.6986412496617379E-2</v>
      </c>
      <c r="H130" s="112"/>
    </row>
    <row r="131" spans="1:8" x14ac:dyDescent="0.2">
      <c r="A131" s="1"/>
      <c r="B131" s="1"/>
      <c r="C131" s="12"/>
      <c r="D131" s="1"/>
      <c r="E131" s="1"/>
      <c r="F131" s="1"/>
      <c r="G131" s="1"/>
      <c r="H131" s="112"/>
    </row>
    <row r="132" spans="1:8" x14ac:dyDescent="0.2">
      <c r="A132" s="1"/>
      <c r="B132" s="1"/>
      <c r="C132" s="2" t="s">
        <v>118</v>
      </c>
      <c r="D132" s="1"/>
      <c r="E132" s="1"/>
      <c r="F132" s="1"/>
      <c r="G132" s="1"/>
      <c r="H132" s="112"/>
    </row>
    <row r="133" spans="1:8" x14ac:dyDescent="0.2">
      <c r="A133" s="1"/>
      <c r="B133" s="1"/>
      <c r="C133" s="2" t="s">
        <v>119</v>
      </c>
      <c r="D133" s="1"/>
      <c r="E133" s="1"/>
      <c r="F133" s="1"/>
      <c r="G133" s="1"/>
      <c r="H133" s="112"/>
    </row>
    <row r="134" spans="1:8" x14ac:dyDescent="0.2">
      <c r="A134" s="1"/>
      <c r="B134" s="1"/>
      <c r="C134" s="2" t="s">
        <v>97</v>
      </c>
      <c r="D134" s="1"/>
      <c r="E134" s="1" t="s">
        <v>98</v>
      </c>
      <c r="F134" s="13">
        <v>0</v>
      </c>
      <c r="G134" s="14">
        <v>0</v>
      </c>
      <c r="H134" s="112"/>
    </row>
    <row r="135" spans="1:8" x14ac:dyDescent="0.2">
      <c r="A135" s="1"/>
      <c r="B135" s="1"/>
      <c r="C135" s="11"/>
      <c r="D135" s="1"/>
      <c r="E135" s="1"/>
      <c r="F135" s="12"/>
      <c r="G135" s="12"/>
      <c r="H135" s="112"/>
    </row>
    <row r="136" spans="1:8" x14ac:dyDescent="0.2">
      <c r="A136" s="1"/>
      <c r="B136" s="1"/>
      <c r="C136" s="2" t="s">
        <v>120</v>
      </c>
      <c r="D136" s="1"/>
      <c r="E136" s="1"/>
      <c r="F136" s="1"/>
      <c r="G136" s="1"/>
      <c r="H136" s="112"/>
    </row>
    <row r="137" spans="1:8" x14ac:dyDescent="0.2">
      <c r="A137" s="1"/>
      <c r="B137" s="1"/>
      <c r="C137" s="2" t="s">
        <v>121</v>
      </c>
      <c r="D137" s="1"/>
      <c r="E137" s="1"/>
      <c r="F137" s="1"/>
      <c r="G137" s="1"/>
      <c r="H137" s="112"/>
    </row>
    <row r="138" spans="1:8" x14ac:dyDescent="0.2">
      <c r="A138" s="1"/>
      <c r="B138" s="1"/>
      <c r="C138" s="2" t="s">
        <v>97</v>
      </c>
      <c r="D138" s="1"/>
      <c r="E138" s="1" t="s">
        <v>98</v>
      </c>
      <c r="F138" s="13">
        <v>0</v>
      </c>
      <c r="G138" s="14">
        <v>0</v>
      </c>
      <c r="H138" s="112"/>
    </row>
    <row r="139" spans="1:8" x14ac:dyDescent="0.2">
      <c r="A139" s="1"/>
      <c r="B139" s="1"/>
      <c r="C139" s="11"/>
      <c r="D139" s="1"/>
      <c r="E139" s="1"/>
      <c r="F139" s="12"/>
      <c r="G139" s="12"/>
      <c r="H139" s="112"/>
    </row>
    <row r="140" spans="1:8" x14ac:dyDescent="0.2">
      <c r="A140" s="1"/>
      <c r="B140" s="1"/>
      <c r="C140" s="11"/>
      <c r="D140" s="1"/>
      <c r="E140" s="1"/>
      <c r="F140" s="12"/>
      <c r="G140" s="12"/>
      <c r="H140" s="112"/>
    </row>
    <row r="141" spans="1:8" ht="25.5" x14ac:dyDescent="0.2">
      <c r="A141" s="1"/>
      <c r="B141" s="1"/>
      <c r="C141" s="2" t="s">
        <v>122</v>
      </c>
      <c r="D141" s="1"/>
      <c r="E141" s="1"/>
      <c r="F141" s="12"/>
      <c r="G141" s="12"/>
      <c r="H141" s="112"/>
    </row>
    <row r="142" spans="1:8" ht="25.5" x14ac:dyDescent="0.2">
      <c r="A142" s="3">
        <v>1</v>
      </c>
      <c r="B142" s="4"/>
      <c r="C142" s="4" t="s">
        <v>285</v>
      </c>
      <c r="D142" s="4"/>
      <c r="E142" s="8"/>
      <c r="F142" s="6">
        <v>88.935000000000002</v>
      </c>
      <c r="G142" s="7">
        <v>4.1396130000000003E-3</v>
      </c>
      <c r="H142" s="112"/>
    </row>
    <row r="143" spans="1:8" x14ac:dyDescent="0.2">
      <c r="A143" s="1"/>
      <c r="B143" s="1"/>
      <c r="C143" s="2" t="s">
        <v>97</v>
      </c>
      <c r="D143" s="1"/>
      <c r="E143" s="1" t="s">
        <v>98</v>
      </c>
      <c r="F143" s="9">
        <v>88.935000000000002</v>
      </c>
      <c r="G143" s="10">
        <v>4.1396130000000003E-3</v>
      </c>
      <c r="H143" s="112"/>
    </row>
    <row r="144" spans="1:8" x14ac:dyDescent="0.2">
      <c r="A144" s="1"/>
      <c r="B144" s="1"/>
      <c r="C144" s="11"/>
      <c r="D144" s="1"/>
      <c r="E144" s="1"/>
      <c r="F144" s="12"/>
      <c r="G144" s="12"/>
      <c r="H144" s="112"/>
    </row>
    <row r="145" spans="1:8" x14ac:dyDescent="0.2">
      <c r="A145" s="1"/>
      <c r="B145" s="4"/>
      <c r="C145" s="4"/>
      <c r="D145" s="2"/>
      <c r="E145" s="1"/>
      <c r="F145" s="4"/>
      <c r="G145" s="8"/>
      <c r="H145" s="112"/>
    </row>
    <row r="146" spans="1:8" x14ac:dyDescent="0.2">
      <c r="A146" s="8"/>
      <c r="B146" s="4"/>
      <c r="C146" s="4" t="s">
        <v>123</v>
      </c>
      <c r="D146" s="4"/>
      <c r="E146" s="8"/>
      <c r="F146" s="6">
        <v>-5.1866758119649603</v>
      </c>
      <c r="G146" s="7">
        <v>-2.4142160429532682E-4</v>
      </c>
      <c r="H146" s="112"/>
    </row>
    <row r="147" spans="1:8" x14ac:dyDescent="0.2">
      <c r="A147" s="11"/>
      <c r="B147" s="11"/>
      <c r="C147" s="2" t="s">
        <v>124</v>
      </c>
      <c r="D147" s="15"/>
      <c r="E147" s="15"/>
      <c r="F147" s="9">
        <v>21483.892575000002</v>
      </c>
      <c r="G147" s="10">
        <v>0.99999999900000003</v>
      </c>
      <c r="H147" s="112"/>
    </row>
    <row r="148" spans="1:8" ht="14.1" customHeight="1" x14ac:dyDescent="0.2">
      <c r="A148" s="16"/>
      <c r="B148" s="16"/>
      <c r="C148" s="16"/>
      <c r="D148" s="17"/>
      <c r="E148" s="17"/>
      <c r="F148" s="17"/>
      <c r="G148" s="17"/>
    </row>
    <row r="149" spans="1:8" ht="14.1" customHeight="1" x14ac:dyDescent="0.2">
      <c r="A149" s="18"/>
      <c r="B149" s="205" t="s">
        <v>98</v>
      </c>
      <c r="C149" s="205"/>
      <c r="D149" s="205"/>
      <c r="E149" s="205"/>
      <c r="F149" s="205"/>
      <c r="G149" s="20"/>
    </row>
    <row r="150" spans="1:8" ht="14.1" customHeight="1" x14ac:dyDescent="0.2">
      <c r="A150" s="18"/>
      <c r="B150" s="205" t="s">
        <v>98</v>
      </c>
      <c r="C150" s="205"/>
      <c r="D150" s="205"/>
      <c r="E150" s="205"/>
      <c r="F150" s="205"/>
      <c r="G150" s="20"/>
    </row>
    <row r="151" spans="1:8" ht="14.1" customHeight="1" x14ac:dyDescent="0.2">
      <c r="A151" s="18"/>
      <c r="B151" s="18"/>
      <c r="C151" s="18"/>
      <c r="D151" s="20"/>
      <c r="E151" s="20"/>
      <c r="F151" s="20"/>
      <c r="G151" s="20"/>
    </row>
    <row r="152" spans="1:8" ht="14.1" customHeight="1" x14ac:dyDescent="0.2">
      <c r="A152" s="18"/>
      <c r="B152" s="203" t="s">
        <v>126</v>
      </c>
      <c r="C152" s="204"/>
      <c r="D152" s="12" t="s">
        <v>98</v>
      </c>
      <c r="E152" s="21"/>
      <c r="F152" s="20"/>
      <c r="G152" s="20"/>
    </row>
    <row r="153" spans="1:8" ht="29.1" customHeight="1" x14ac:dyDescent="0.2">
      <c r="A153" s="18"/>
      <c r="B153" s="198" t="s">
        <v>127</v>
      </c>
      <c r="C153" s="199"/>
      <c r="D153" s="2" t="s">
        <v>128</v>
      </c>
      <c r="E153" s="21"/>
      <c r="F153" s="20"/>
      <c r="G153" s="20"/>
    </row>
    <row r="154" spans="1:8" ht="17.100000000000001" customHeight="1" x14ac:dyDescent="0.2">
      <c r="A154" s="18"/>
      <c r="B154" s="198" t="s">
        <v>129</v>
      </c>
      <c r="C154" s="199"/>
      <c r="D154" s="2" t="s">
        <v>128</v>
      </c>
      <c r="E154" s="21"/>
      <c r="F154" s="20"/>
      <c r="G154" s="20"/>
    </row>
    <row r="155" spans="1:8" ht="17.100000000000001" customHeight="1" x14ac:dyDescent="0.2">
      <c r="A155" s="18"/>
      <c r="B155" s="198" t="s">
        <v>130</v>
      </c>
      <c r="C155" s="199"/>
      <c r="D155" s="12" t="s">
        <v>98</v>
      </c>
      <c r="E155" s="21"/>
      <c r="F155" s="20"/>
      <c r="G155" s="20"/>
    </row>
    <row r="156" spans="1:8" ht="24" customHeight="1" x14ac:dyDescent="0.2">
      <c r="A156" s="22"/>
      <c r="B156" s="23" t="s">
        <v>98</v>
      </c>
      <c r="C156" s="23" t="s">
        <v>131</v>
      </c>
      <c r="D156" s="23" t="s">
        <v>132</v>
      </c>
      <c r="E156" s="22"/>
      <c r="F156" s="22"/>
      <c r="G156" s="22"/>
    </row>
    <row r="157" spans="1:8" ht="18" customHeight="1" x14ac:dyDescent="0.2">
      <c r="A157" s="22"/>
      <c r="B157" s="23" t="s">
        <v>133</v>
      </c>
      <c r="C157" s="23" t="s">
        <v>134</v>
      </c>
      <c r="D157" s="23" t="s">
        <v>135</v>
      </c>
      <c r="E157" s="22"/>
      <c r="F157" s="22"/>
      <c r="G157" s="22"/>
    </row>
    <row r="158" spans="1:8" ht="17.100000000000001" customHeight="1" x14ac:dyDescent="0.2">
      <c r="A158" s="22"/>
      <c r="B158" s="4" t="s">
        <v>136</v>
      </c>
      <c r="C158" s="24">
        <v>16.369800000000001</v>
      </c>
      <c r="D158" s="24">
        <v>16.629100000000001</v>
      </c>
      <c r="E158" s="22"/>
      <c r="F158" s="19"/>
      <c r="G158" s="25"/>
    </row>
    <row r="159" spans="1:8" ht="17.100000000000001" customHeight="1" x14ac:dyDescent="0.2">
      <c r="A159" s="22"/>
      <c r="B159" s="4" t="s">
        <v>980</v>
      </c>
      <c r="C159" s="24">
        <v>16.369800000000001</v>
      </c>
      <c r="D159" s="24">
        <v>16.629100000000001</v>
      </c>
      <c r="E159" s="22"/>
      <c r="F159" s="19"/>
      <c r="G159" s="25"/>
    </row>
    <row r="160" spans="1:8" ht="17.100000000000001" customHeight="1" x14ac:dyDescent="0.2">
      <c r="A160" s="22"/>
      <c r="B160" s="4" t="s">
        <v>137</v>
      </c>
      <c r="C160" s="24">
        <v>15.926</v>
      </c>
      <c r="D160" s="24">
        <v>16.169799999999999</v>
      </c>
      <c r="E160" s="22"/>
      <c r="F160" s="19"/>
      <c r="G160" s="25"/>
    </row>
    <row r="161" spans="1:7" ht="17.100000000000001" customHeight="1" x14ac:dyDescent="0.2">
      <c r="A161" s="22"/>
      <c r="B161" s="4" t="s">
        <v>981</v>
      </c>
      <c r="C161" s="24">
        <v>15.926</v>
      </c>
      <c r="D161" s="24">
        <v>16.169799999999999</v>
      </c>
      <c r="E161" s="22"/>
      <c r="F161" s="19"/>
      <c r="G161" s="25"/>
    </row>
    <row r="162" spans="1:7" ht="14.1" customHeight="1" x14ac:dyDescent="0.2">
      <c r="A162" s="22"/>
      <c r="B162" s="22"/>
      <c r="C162" s="22"/>
      <c r="D162" s="22"/>
      <c r="E162" s="22"/>
      <c r="F162" s="22"/>
      <c r="G162" s="22"/>
    </row>
    <row r="163" spans="1:7" ht="17.100000000000001" customHeight="1" x14ac:dyDescent="0.2">
      <c r="A163" s="22"/>
      <c r="B163" s="198" t="s">
        <v>982</v>
      </c>
      <c r="C163" s="199"/>
      <c r="D163" s="91" t="s">
        <v>128</v>
      </c>
      <c r="E163" s="22"/>
      <c r="F163" s="22"/>
      <c r="G163" s="22"/>
    </row>
    <row r="164" spans="1:7" ht="18" customHeight="1" x14ac:dyDescent="0.2">
      <c r="A164" s="22"/>
      <c r="B164" s="26"/>
      <c r="C164" s="26"/>
      <c r="D164" s="27"/>
      <c r="E164" s="22"/>
      <c r="F164" s="22"/>
      <c r="G164" s="22"/>
    </row>
    <row r="165" spans="1:7" s="113" customFormat="1" x14ac:dyDescent="0.2">
      <c r="B165" s="202" t="s">
        <v>984</v>
      </c>
      <c r="C165" s="202"/>
      <c r="D165" s="202"/>
      <c r="E165" s="202"/>
      <c r="F165" s="202"/>
    </row>
    <row r="166" spans="1:7" ht="14.1" customHeight="1" x14ac:dyDescent="0.2">
      <c r="A166" s="22"/>
      <c r="B166" s="19"/>
      <c r="C166" s="19"/>
      <c r="D166" s="22"/>
      <c r="E166" s="22"/>
      <c r="F166" s="22"/>
      <c r="G166" s="22"/>
    </row>
    <row r="167" spans="1:7" ht="29.1" customHeight="1" x14ac:dyDescent="0.2">
      <c r="A167" s="22"/>
      <c r="B167" s="198" t="s">
        <v>138</v>
      </c>
      <c r="C167" s="199"/>
      <c r="D167" s="2" t="s">
        <v>128</v>
      </c>
      <c r="E167" s="22"/>
      <c r="F167" s="22"/>
      <c r="G167" s="22"/>
    </row>
    <row r="168" spans="1:7" ht="29.1" customHeight="1" x14ac:dyDescent="0.2">
      <c r="A168" s="22"/>
      <c r="B168" s="198" t="s">
        <v>139</v>
      </c>
      <c r="C168" s="199"/>
      <c r="D168" s="2" t="s">
        <v>128</v>
      </c>
      <c r="E168" s="22"/>
      <c r="F168" s="22"/>
      <c r="G168" s="22"/>
    </row>
    <row r="169" spans="1:7" ht="17.100000000000001" customHeight="1" x14ac:dyDescent="0.2">
      <c r="A169" s="22"/>
      <c r="B169" s="198" t="s">
        <v>140</v>
      </c>
      <c r="C169" s="199"/>
      <c r="D169" s="28">
        <v>0.47462568335999433</v>
      </c>
      <c r="E169" s="22"/>
      <c r="F169" s="19"/>
      <c r="G169" s="25"/>
    </row>
    <row r="170" spans="1:7" ht="17.100000000000001" customHeight="1" x14ac:dyDescent="0.2">
      <c r="A170" s="22"/>
      <c r="B170" s="198" t="s">
        <v>141</v>
      </c>
      <c r="C170" s="199"/>
      <c r="D170" s="2" t="s">
        <v>128</v>
      </c>
      <c r="E170" s="22"/>
      <c r="F170" s="22"/>
      <c r="G170" s="22"/>
    </row>
  </sheetData>
  <mergeCells count="16">
    <mergeCell ref="B170:C170"/>
    <mergeCell ref="B153:C153"/>
    <mergeCell ref="B154:C154"/>
    <mergeCell ref="B155:C155"/>
    <mergeCell ref="B163:C163"/>
    <mergeCell ref="B167:C167"/>
    <mergeCell ref="B168:C168"/>
    <mergeCell ref="B165:F165"/>
    <mergeCell ref="A1:H1"/>
    <mergeCell ref="A2:H2"/>
    <mergeCell ref="A3:H3"/>
    <mergeCell ref="J2:N2"/>
    <mergeCell ref="B169:C169"/>
    <mergeCell ref="B152:C152"/>
    <mergeCell ref="B149:F149"/>
    <mergeCell ref="B150:F150"/>
  </mergeCell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7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286</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43241</v>
      </c>
      <c r="F7" s="6">
        <v>700.33123599999999</v>
      </c>
      <c r="G7" s="7">
        <v>3.3971762000000003E-2</v>
      </c>
      <c r="H7" s="112"/>
    </row>
    <row r="8" spans="1:14" x14ac:dyDescent="0.2">
      <c r="A8" s="3">
        <v>2</v>
      </c>
      <c r="B8" s="4" t="s">
        <v>143</v>
      </c>
      <c r="C8" s="4" t="s">
        <v>144</v>
      </c>
      <c r="D8" s="4" t="s">
        <v>27</v>
      </c>
      <c r="E8" s="5">
        <v>61203</v>
      </c>
      <c r="F8" s="6">
        <v>558.81399150000004</v>
      </c>
      <c r="G8" s="7">
        <v>2.7107024E-2</v>
      </c>
      <c r="H8" s="112"/>
    </row>
    <row r="9" spans="1:14" x14ac:dyDescent="0.2">
      <c r="A9" s="3">
        <v>3</v>
      </c>
      <c r="B9" s="4" t="s">
        <v>74</v>
      </c>
      <c r="C9" s="4" t="s">
        <v>75</v>
      </c>
      <c r="D9" s="4" t="s">
        <v>71</v>
      </c>
      <c r="E9" s="5">
        <v>135835</v>
      </c>
      <c r="F9" s="6">
        <v>523.84767750000003</v>
      </c>
      <c r="G9" s="7">
        <v>2.5410873E-2</v>
      </c>
      <c r="H9" s="112"/>
    </row>
    <row r="10" spans="1:14" x14ac:dyDescent="0.2">
      <c r="A10" s="3">
        <v>4</v>
      </c>
      <c r="B10" s="4" t="s">
        <v>145</v>
      </c>
      <c r="C10" s="4" t="s">
        <v>146</v>
      </c>
      <c r="D10" s="4" t="s">
        <v>147</v>
      </c>
      <c r="E10" s="5">
        <v>15430</v>
      </c>
      <c r="F10" s="6">
        <v>515.11512000000005</v>
      </c>
      <c r="G10" s="7">
        <v>2.4987273000000001E-2</v>
      </c>
      <c r="H10" s="112"/>
    </row>
    <row r="11" spans="1:14" x14ac:dyDescent="0.2">
      <c r="A11" s="3">
        <v>5</v>
      </c>
      <c r="B11" s="4" t="s">
        <v>148</v>
      </c>
      <c r="C11" s="4" t="s">
        <v>149</v>
      </c>
      <c r="D11" s="4" t="s">
        <v>81</v>
      </c>
      <c r="E11" s="5">
        <v>395353</v>
      </c>
      <c r="F11" s="6">
        <v>513.16819399999997</v>
      </c>
      <c r="G11" s="7">
        <v>2.4892832E-2</v>
      </c>
      <c r="H11" s="112"/>
    </row>
    <row r="12" spans="1:14" x14ac:dyDescent="0.2">
      <c r="A12" s="3">
        <v>6</v>
      </c>
      <c r="B12" s="4" t="s">
        <v>150</v>
      </c>
      <c r="C12" s="4" t="s">
        <v>151</v>
      </c>
      <c r="D12" s="4" t="s">
        <v>27</v>
      </c>
      <c r="E12" s="5">
        <v>58313</v>
      </c>
      <c r="F12" s="6">
        <v>496.33109949999999</v>
      </c>
      <c r="G12" s="7">
        <v>2.4076096000000002E-2</v>
      </c>
      <c r="H12" s="112"/>
    </row>
    <row r="13" spans="1:14" ht="25.5" x14ac:dyDescent="0.2">
      <c r="A13" s="3">
        <v>7</v>
      </c>
      <c r="B13" s="4" t="s">
        <v>152</v>
      </c>
      <c r="C13" s="4" t="s">
        <v>153</v>
      </c>
      <c r="D13" s="4" t="s">
        <v>45</v>
      </c>
      <c r="E13" s="5">
        <v>333052</v>
      </c>
      <c r="F13" s="6">
        <v>487.25507599999997</v>
      </c>
      <c r="G13" s="7">
        <v>2.3635835000000001E-2</v>
      </c>
      <c r="H13" s="112"/>
    </row>
    <row r="14" spans="1:14" x14ac:dyDescent="0.2">
      <c r="A14" s="3">
        <v>8</v>
      </c>
      <c r="B14" s="4" t="s">
        <v>154</v>
      </c>
      <c r="C14" s="4" t="s">
        <v>155</v>
      </c>
      <c r="D14" s="4" t="s">
        <v>71</v>
      </c>
      <c r="E14" s="5">
        <v>84039</v>
      </c>
      <c r="F14" s="6">
        <v>453.89463899999998</v>
      </c>
      <c r="G14" s="7">
        <v>2.2017582000000001E-2</v>
      </c>
      <c r="H14" s="112"/>
    </row>
    <row r="15" spans="1:14" x14ac:dyDescent="0.2">
      <c r="A15" s="3">
        <v>9</v>
      </c>
      <c r="B15" s="4" t="s">
        <v>158</v>
      </c>
      <c r="C15" s="4" t="s">
        <v>159</v>
      </c>
      <c r="D15" s="4" t="s">
        <v>979</v>
      </c>
      <c r="E15" s="5">
        <v>200701</v>
      </c>
      <c r="F15" s="6">
        <v>441.943602</v>
      </c>
      <c r="G15" s="7">
        <v>2.143786E-2</v>
      </c>
      <c r="H15" s="112"/>
    </row>
    <row r="16" spans="1:14" ht="15" x14ac:dyDescent="0.2">
      <c r="A16" s="3">
        <v>10</v>
      </c>
      <c r="B16" s="4" t="s">
        <v>156</v>
      </c>
      <c r="C16" s="4" t="s">
        <v>157</v>
      </c>
      <c r="D16" s="4" t="s">
        <v>974</v>
      </c>
      <c r="E16" s="5">
        <v>34884</v>
      </c>
      <c r="F16" s="6">
        <v>433.78253999999998</v>
      </c>
      <c r="G16" s="7">
        <v>2.1041982000000001E-2</v>
      </c>
      <c r="H16" s="112"/>
      <c r="J16" s="188" t="s">
        <v>1012</v>
      </c>
    </row>
    <row r="17" spans="1:8" x14ac:dyDescent="0.2">
      <c r="A17" s="3">
        <v>11</v>
      </c>
      <c r="B17" s="4" t="s">
        <v>160</v>
      </c>
      <c r="C17" s="4" t="s">
        <v>161</v>
      </c>
      <c r="D17" s="4" t="s">
        <v>162</v>
      </c>
      <c r="E17" s="5">
        <v>10499</v>
      </c>
      <c r="F17" s="6">
        <v>411.94926299999997</v>
      </c>
      <c r="G17" s="7">
        <v>1.998289E-2</v>
      </c>
      <c r="H17" s="112"/>
    </row>
    <row r="18" spans="1:8" x14ac:dyDescent="0.2">
      <c r="A18" s="3">
        <v>12</v>
      </c>
      <c r="B18" s="4" t="s">
        <v>163</v>
      </c>
      <c r="C18" s="4" t="s">
        <v>164</v>
      </c>
      <c r="D18" s="4" t="s">
        <v>162</v>
      </c>
      <c r="E18" s="5">
        <v>125031</v>
      </c>
      <c r="F18" s="6">
        <v>385.97069699999997</v>
      </c>
      <c r="G18" s="7">
        <v>1.8722717999999999E-2</v>
      </c>
      <c r="H18" s="112"/>
    </row>
    <row r="19" spans="1:8" ht="25.5" x14ac:dyDescent="0.2">
      <c r="A19" s="3">
        <v>13</v>
      </c>
      <c r="B19" s="4" t="s">
        <v>37</v>
      </c>
      <c r="C19" s="4" t="s">
        <v>38</v>
      </c>
      <c r="D19" s="4" t="s">
        <v>971</v>
      </c>
      <c r="E19" s="5">
        <v>11486</v>
      </c>
      <c r="F19" s="6">
        <v>380.84704499999998</v>
      </c>
      <c r="G19" s="7">
        <v>1.847418E-2</v>
      </c>
      <c r="H19" s="112"/>
    </row>
    <row r="20" spans="1:8" x14ac:dyDescent="0.2">
      <c r="A20" s="3">
        <v>14</v>
      </c>
      <c r="B20" s="4" t="s">
        <v>165</v>
      </c>
      <c r="C20" s="4" t="s">
        <v>166</v>
      </c>
      <c r="D20" s="4" t="s">
        <v>976</v>
      </c>
      <c r="E20" s="5">
        <v>88565</v>
      </c>
      <c r="F20" s="6">
        <v>371.13163250000002</v>
      </c>
      <c r="G20" s="7">
        <v>1.8002903000000001E-2</v>
      </c>
      <c r="H20" s="112"/>
    </row>
    <row r="21" spans="1:8" x14ac:dyDescent="0.2">
      <c r="A21" s="3">
        <v>15</v>
      </c>
      <c r="B21" s="4" t="s">
        <v>167</v>
      </c>
      <c r="C21" s="4" t="s">
        <v>168</v>
      </c>
      <c r="D21" s="4" t="s">
        <v>81</v>
      </c>
      <c r="E21" s="5">
        <v>50003</v>
      </c>
      <c r="F21" s="6">
        <v>352.64615750000002</v>
      </c>
      <c r="G21" s="7">
        <v>1.7106206999999998E-2</v>
      </c>
      <c r="H21" s="112"/>
    </row>
    <row r="22" spans="1:8" x14ac:dyDescent="0.2">
      <c r="A22" s="3">
        <v>16</v>
      </c>
      <c r="B22" s="4" t="s">
        <v>169</v>
      </c>
      <c r="C22" s="4" t="s">
        <v>170</v>
      </c>
      <c r="D22" s="4" t="s">
        <v>19</v>
      </c>
      <c r="E22" s="5">
        <v>194509</v>
      </c>
      <c r="F22" s="6">
        <v>351.18599949999998</v>
      </c>
      <c r="G22" s="7">
        <v>1.7035378E-2</v>
      </c>
      <c r="H22" s="112"/>
    </row>
    <row r="23" spans="1:8" x14ac:dyDescent="0.2">
      <c r="A23" s="3">
        <v>17</v>
      </c>
      <c r="B23" s="4" t="s">
        <v>41</v>
      </c>
      <c r="C23" s="4" t="s">
        <v>42</v>
      </c>
      <c r="D23" s="4" t="s">
        <v>27</v>
      </c>
      <c r="E23" s="5">
        <v>25282</v>
      </c>
      <c r="F23" s="6">
        <v>335.10026900000003</v>
      </c>
      <c r="G23" s="7">
        <v>1.6255089E-2</v>
      </c>
      <c r="H23" s="112"/>
    </row>
    <row r="24" spans="1:8" x14ac:dyDescent="0.2">
      <c r="A24" s="3">
        <v>18</v>
      </c>
      <c r="B24" s="4" t="s">
        <v>201</v>
      </c>
      <c r="C24" s="4" t="s">
        <v>202</v>
      </c>
      <c r="D24" s="4" t="s">
        <v>147</v>
      </c>
      <c r="E24" s="5">
        <v>23264</v>
      </c>
      <c r="F24" s="6">
        <v>329.139072</v>
      </c>
      <c r="G24" s="7">
        <v>1.5965922E-2</v>
      </c>
      <c r="H24" s="112"/>
    </row>
    <row r="25" spans="1:8" x14ac:dyDescent="0.2">
      <c r="A25" s="3">
        <v>19</v>
      </c>
      <c r="B25" s="4" t="s">
        <v>174</v>
      </c>
      <c r="C25" s="4" t="s">
        <v>175</v>
      </c>
      <c r="D25" s="4" t="s">
        <v>162</v>
      </c>
      <c r="E25" s="5">
        <v>31200</v>
      </c>
      <c r="F25" s="6">
        <v>327.60000000000002</v>
      </c>
      <c r="G25" s="7">
        <v>1.5891265000000002E-2</v>
      </c>
      <c r="H25" s="112"/>
    </row>
    <row r="26" spans="1:8" x14ac:dyDescent="0.2">
      <c r="A26" s="3">
        <v>20</v>
      </c>
      <c r="B26" s="4" t="s">
        <v>217</v>
      </c>
      <c r="C26" s="4" t="s">
        <v>218</v>
      </c>
      <c r="D26" s="4" t="s">
        <v>979</v>
      </c>
      <c r="E26" s="5">
        <v>20147</v>
      </c>
      <c r="F26" s="6">
        <v>325.95831299999998</v>
      </c>
      <c r="G26" s="7">
        <v>1.581163E-2</v>
      </c>
      <c r="H26" s="112"/>
    </row>
    <row r="27" spans="1:8" x14ac:dyDescent="0.2">
      <c r="A27" s="3">
        <v>21</v>
      </c>
      <c r="B27" s="4" t="s">
        <v>171</v>
      </c>
      <c r="C27" s="4" t="s">
        <v>172</v>
      </c>
      <c r="D27" s="4" t="s">
        <v>173</v>
      </c>
      <c r="E27" s="5">
        <v>23138</v>
      </c>
      <c r="F27" s="6">
        <v>323.12216999999998</v>
      </c>
      <c r="G27" s="7">
        <v>1.5674054E-2</v>
      </c>
      <c r="H27" s="112"/>
    </row>
    <row r="28" spans="1:8" x14ac:dyDescent="0.2">
      <c r="A28" s="3">
        <v>22</v>
      </c>
      <c r="B28" s="4" t="s">
        <v>176</v>
      </c>
      <c r="C28" s="4" t="s">
        <v>177</v>
      </c>
      <c r="D28" s="4" t="s">
        <v>178</v>
      </c>
      <c r="E28" s="5">
        <v>31547</v>
      </c>
      <c r="F28" s="6">
        <v>321.36928899999998</v>
      </c>
      <c r="G28" s="7">
        <v>1.5589024999999999E-2</v>
      </c>
      <c r="H28" s="112"/>
    </row>
    <row r="29" spans="1:8" x14ac:dyDescent="0.2">
      <c r="A29" s="3">
        <v>23</v>
      </c>
      <c r="B29" s="4" t="s">
        <v>65</v>
      </c>
      <c r="C29" s="4" t="s">
        <v>66</v>
      </c>
      <c r="D29" s="4" t="s">
        <v>64</v>
      </c>
      <c r="E29" s="5">
        <v>68767</v>
      </c>
      <c r="F29" s="6">
        <v>319.1820305</v>
      </c>
      <c r="G29" s="7">
        <v>1.5482925E-2</v>
      </c>
      <c r="H29" s="112"/>
    </row>
    <row r="30" spans="1:8" x14ac:dyDescent="0.2">
      <c r="A30" s="3">
        <v>24</v>
      </c>
      <c r="B30" s="4" t="s">
        <v>210</v>
      </c>
      <c r="C30" s="4" t="s">
        <v>211</v>
      </c>
      <c r="D30" s="4" t="s">
        <v>212</v>
      </c>
      <c r="E30" s="5">
        <v>125377</v>
      </c>
      <c r="F30" s="6">
        <v>311.18571400000002</v>
      </c>
      <c r="G30" s="7">
        <v>1.5095038E-2</v>
      </c>
      <c r="H30" s="112"/>
    </row>
    <row r="31" spans="1:8" x14ac:dyDescent="0.2">
      <c r="A31" s="3">
        <v>25</v>
      </c>
      <c r="B31" s="4" t="s">
        <v>179</v>
      </c>
      <c r="C31" s="4" t="s">
        <v>180</v>
      </c>
      <c r="D31" s="4" t="s">
        <v>71</v>
      </c>
      <c r="E31" s="5">
        <v>29640</v>
      </c>
      <c r="F31" s="6">
        <v>303.92856</v>
      </c>
      <c r="G31" s="7">
        <v>1.4743007000000001E-2</v>
      </c>
      <c r="H31" s="112"/>
    </row>
    <row r="32" spans="1:8" ht="25.5" x14ac:dyDescent="0.2">
      <c r="A32" s="3">
        <v>26</v>
      </c>
      <c r="B32" s="4" t="s">
        <v>181</v>
      </c>
      <c r="C32" s="4" t="s">
        <v>931</v>
      </c>
      <c r="D32" s="4" t="s">
        <v>45</v>
      </c>
      <c r="E32" s="5">
        <v>128577</v>
      </c>
      <c r="F32" s="6">
        <v>300.03442949999999</v>
      </c>
      <c r="G32" s="7">
        <v>1.455411E-2</v>
      </c>
      <c r="H32" s="112"/>
    </row>
    <row r="33" spans="1:8" x14ac:dyDescent="0.2">
      <c r="A33" s="3">
        <v>27</v>
      </c>
      <c r="B33" s="4" t="s">
        <v>184</v>
      </c>
      <c r="C33" s="4" t="s">
        <v>185</v>
      </c>
      <c r="D33" s="4" t="s">
        <v>186</v>
      </c>
      <c r="E33" s="5">
        <v>64323</v>
      </c>
      <c r="F33" s="6">
        <v>299.680857</v>
      </c>
      <c r="G33" s="7">
        <v>1.4536959E-2</v>
      </c>
      <c r="H33" s="112"/>
    </row>
    <row r="34" spans="1:8" ht="25.5" x14ac:dyDescent="0.2">
      <c r="A34" s="3">
        <v>28</v>
      </c>
      <c r="B34" s="4" t="s">
        <v>190</v>
      </c>
      <c r="C34" s="4" t="s">
        <v>191</v>
      </c>
      <c r="D34" s="4" t="s">
        <v>192</v>
      </c>
      <c r="E34" s="5">
        <v>57162</v>
      </c>
      <c r="F34" s="6">
        <v>299.043003</v>
      </c>
      <c r="G34" s="7">
        <v>1.4506018000000001E-2</v>
      </c>
      <c r="H34" s="112"/>
    </row>
    <row r="35" spans="1:8" x14ac:dyDescent="0.2">
      <c r="A35" s="3">
        <v>29</v>
      </c>
      <c r="B35" s="4" t="s">
        <v>187</v>
      </c>
      <c r="C35" s="4" t="s">
        <v>188</v>
      </c>
      <c r="D35" s="4" t="s">
        <v>189</v>
      </c>
      <c r="E35" s="5">
        <v>132103</v>
      </c>
      <c r="F35" s="6">
        <v>298.02436799999998</v>
      </c>
      <c r="G35" s="7">
        <v>1.4456606E-2</v>
      </c>
      <c r="H35" s="112"/>
    </row>
    <row r="36" spans="1:8" x14ac:dyDescent="0.2">
      <c r="A36" s="3">
        <v>30</v>
      </c>
      <c r="B36" s="4" t="s">
        <v>182</v>
      </c>
      <c r="C36" s="4" t="s">
        <v>183</v>
      </c>
      <c r="D36" s="4" t="s">
        <v>162</v>
      </c>
      <c r="E36" s="5">
        <v>27880</v>
      </c>
      <c r="F36" s="6">
        <v>297.82810000000001</v>
      </c>
      <c r="G36" s="7">
        <v>1.4447085E-2</v>
      </c>
      <c r="H36" s="112"/>
    </row>
    <row r="37" spans="1:8" x14ac:dyDescent="0.2">
      <c r="A37" s="3">
        <v>31</v>
      </c>
      <c r="B37" s="4" t="s">
        <v>195</v>
      </c>
      <c r="C37" s="4" t="s">
        <v>196</v>
      </c>
      <c r="D37" s="4" t="s">
        <v>34</v>
      </c>
      <c r="E37" s="5">
        <v>70480</v>
      </c>
      <c r="F37" s="6">
        <v>296.19220000000001</v>
      </c>
      <c r="G37" s="7">
        <v>1.4367731E-2</v>
      </c>
      <c r="H37" s="112"/>
    </row>
    <row r="38" spans="1:8" x14ac:dyDescent="0.2">
      <c r="A38" s="3">
        <v>32</v>
      </c>
      <c r="B38" s="4" t="s">
        <v>193</v>
      </c>
      <c r="C38" s="4" t="s">
        <v>194</v>
      </c>
      <c r="D38" s="4" t="s">
        <v>16</v>
      </c>
      <c r="E38" s="5">
        <v>95230</v>
      </c>
      <c r="F38" s="6">
        <v>295.59392000000003</v>
      </c>
      <c r="G38" s="7">
        <v>1.4338709999999999E-2</v>
      </c>
      <c r="H38" s="112"/>
    </row>
    <row r="39" spans="1:8" ht="25.5" x14ac:dyDescent="0.2">
      <c r="A39" s="3">
        <v>33</v>
      </c>
      <c r="B39" s="4" t="s">
        <v>197</v>
      </c>
      <c r="C39" s="4" t="s">
        <v>198</v>
      </c>
      <c r="D39" s="4" t="s">
        <v>971</v>
      </c>
      <c r="E39" s="5">
        <v>120862</v>
      </c>
      <c r="F39" s="6">
        <v>288.73931800000003</v>
      </c>
      <c r="G39" s="7">
        <v>1.4006206E-2</v>
      </c>
      <c r="H39" s="112"/>
    </row>
    <row r="40" spans="1:8" x14ac:dyDescent="0.2">
      <c r="A40" s="3">
        <v>34</v>
      </c>
      <c r="B40" s="4" t="s">
        <v>199</v>
      </c>
      <c r="C40" s="4" t="s">
        <v>200</v>
      </c>
      <c r="D40" s="4" t="s">
        <v>64</v>
      </c>
      <c r="E40" s="5">
        <v>270092</v>
      </c>
      <c r="F40" s="6">
        <v>282.78632399999998</v>
      </c>
      <c r="G40" s="7">
        <v>1.3717437000000001E-2</v>
      </c>
      <c r="H40" s="112"/>
    </row>
    <row r="41" spans="1:8" x14ac:dyDescent="0.2">
      <c r="A41" s="3">
        <v>35</v>
      </c>
      <c r="B41" s="4" t="s">
        <v>203</v>
      </c>
      <c r="C41" s="4" t="s">
        <v>204</v>
      </c>
      <c r="D41" s="4" t="s">
        <v>81</v>
      </c>
      <c r="E41" s="5">
        <v>43018</v>
      </c>
      <c r="F41" s="6">
        <v>269.65833300000003</v>
      </c>
      <c r="G41" s="7">
        <v>1.3080623E-2</v>
      </c>
      <c r="H41" s="112"/>
    </row>
    <row r="42" spans="1:8" x14ac:dyDescent="0.2">
      <c r="A42" s="3">
        <v>36</v>
      </c>
      <c r="B42" s="4" t="s">
        <v>205</v>
      </c>
      <c r="C42" s="4" t="s">
        <v>206</v>
      </c>
      <c r="D42" s="4" t="s">
        <v>975</v>
      </c>
      <c r="E42" s="5">
        <v>30000</v>
      </c>
      <c r="F42" s="6">
        <v>259.90499999999997</v>
      </c>
      <c r="G42" s="7">
        <v>1.2607507E-2</v>
      </c>
      <c r="H42" s="112"/>
    </row>
    <row r="43" spans="1:8" x14ac:dyDescent="0.2">
      <c r="A43" s="3">
        <v>37</v>
      </c>
      <c r="B43" s="4" t="s">
        <v>207</v>
      </c>
      <c r="C43" s="4" t="s">
        <v>208</v>
      </c>
      <c r="D43" s="4" t="s">
        <v>209</v>
      </c>
      <c r="E43" s="5">
        <v>53909</v>
      </c>
      <c r="F43" s="6">
        <v>251.054213</v>
      </c>
      <c r="G43" s="7">
        <v>1.2178171E-2</v>
      </c>
      <c r="H43" s="112"/>
    </row>
    <row r="44" spans="1:8" x14ac:dyDescent="0.2">
      <c r="A44" s="3">
        <v>38</v>
      </c>
      <c r="B44" s="4" t="s">
        <v>219</v>
      </c>
      <c r="C44" s="4" t="s">
        <v>220</v>
      </c>
      <c r="D44" s="4" t="s">
        <v>64</v>
      </c>
      <c r="E44" s="5">
        <v>25533</v>
      </c>
      <c r="F44" s="6">
        <v>246.15088650000001</v>
      </c>
      <c r="G44" s="7">
        <v>1.1940320000000001E-2</v>
      </c>
      <c r="H44" s="112"/>
    </row>
    <row r="45" spans="1:8" x14ac:dyDescent="0.2">
      <c r="A45" s="3">
        <v>39</v>
      </c>
      <c r="B45" s="4" t="s">
        <v>213</v>
      </c>
      <c r="C45" s="4" t="s">
        <v>214</v>
      </c>
      <c r="D45" s="4" t="s">
        <v>977</v>
      </c>
      <c r="E45" s="5">
        <v>41009</v>
      </c>
      <c r="F45" s="6">
        <v>237.97522699999999</v>
      </c>
      <c r="G45" s="7">
        <v>1.1543734E-2</v>
      </c>
      <c r="H45" s="112"/>
    </row>
    <row r="46" spans="1:8" x14ac:dyDescent="0.2">
      <c r="A46" s="3">
        <v>40</v>
      </c>
      <c r="B46" s="4" t="s">
        <v>221</v>
      </c>
      <c r="C46" s="4" t="s">
        <v>222</v>
      </c>
      <c r="D46" s="4" t="s">
        <v>173</v>
      </c>
      <c r="E46" s="5">
        <v>27084</v>
      </c>
      <c r="F46" s="6">
        <v>233.43699599999999</v>
      </c>
      <c r="G46" s="7">
        <v>1.1323593E-2</v>
      </c>
      <c r="H46" s="112"/>
    </row>
    <row r="47" spans="1:8" x14ac:dyDescent="0.2">
      <c r="A47" s="3">
        <v>41</v>
      </c>
      <c r="B47" s="4" t="s">
        <v>223</v>
      </c>
      <c r="C47" s="4" t="s">
        <v>224</v>
      </c>
      <c r="D47" s="4" t="s">
        <v>27</v>
      </c>
      <c r="E47" s="5">
        <v>12546</v>
      </c>
      <c r="F47" s="6">
        <v>225.570807</v>
      </c>
      <c r="G47" s="7">
        <v>1.0942019000000001E-2</v>
      </c>
      <c r="H47" s="112"/>
    </row>
    <row r="48" spans="1:8" ht="25.5" x14ac:dyDescent="0.2">
      <c r="A48" s="3">
        <v>42</v>
      </c>
      <c r="B48" s="4" t="s">
        <v>229</v>
      </c>
      <c r="C48" s="4" t="s">
        <v>230</v>
      </c>
      <c r="D48" s="4" t="s">
        <v>71</v>
      </c>
      <c r="E48" s="5">
        <v>10136</v>
      </c>
      <c r="F48" s="6">
        <v>210.11928</v>
      </c>
      <c r="G48" s="7">
        <v>1.0192494E-2</v>
      </c>
      <c r="H48" s="112"/>
    </row>
    <row r="49" spans="1:8" x14ac:dyDescent="0.2">
      <c r="A49" s="3">
        <v>43</v>
      </c>
      <c r="B49" s="4" t="s">
        <v>227</v>
      </c>
      <c r="C49" s="4" t="s">
        <v>228</v>
      </c>
      <c r="D49" s="4" t="s">
        <v>974</v>
      </c>
      <c r="E49" s="5">
        <v>12282</v>
      </c>
      <c r="F49" s="6">
        <v>209.25457499999999</v>
      </c>
      <c r="G49" s="7">
        <v>1.0150549E-2</v>
      </c>
      <c r="H49" s="112"/>
    </row>
    <row r="50" spans="1:8" x14ac:dyDescent="0.2">
      <c r="A50" s="3">
        <v>44</v>
      </c>
      <c r="B50" s="4" t="s">
        <v>231</v>
      </c>
      <c r="C50" s="4" t="s">
        <v>232</v>
      </c>
      <c r="D50" s="4" t="s">
        <v>71</v>
      </c>
      <c r="E50" s="5">
        <v>73734</v>
      </c>
      <c r="F50" s="6">
        <v>205.97592900000001</v>
      </c>
      <c r="G50" s="7">
        <v>9.9915079999999996E-3</v>
      </c>
      <c r="H50" s="112"/>
    </row>
    <row r="51" spans="1:8" ht="25.5" x14ac:dyDescent="0.2">
      <c r="A51" s="3">
        <v>45</v>
      </c>
      <c r="B51" s="4" t="s">
        <v>233</v>
      </c>
      <c r="C51" s="4" t="s">
        <v>234</v>
      </c>
      <c r="D51" s="4" t="s">
        <v>147</v>
      </c>
      <c r="E51" s="5">
        <v>44330</v>
      </c>
      <c r="F51" s="6">
        <v>204.18397999999999</v>
      </c>
      <c r="G51" s="7">
        <v>9.9045839999999993E-3</v>
      </c>
      <c r="H51" s="112"/>
    </row>
    <row r="52" spans="1:8" ht="25.5" x14ac:dyDescent="0.2">
      <c r="A52" s="3">
        <v>46</v>
      </c>
      <c r="B52" s="4" t="s">
        <v>235</v>
      </c>
      <c r="C52" s="4" t="s">
        <v>236</v>
      </c>
      <c r="D52" s="4" t="s">
        <v>192</v>
      </c>
      <c r="E52" s="5">
        <v>44258</v>
      </c>
      <c r="F52" s="6">
        <v>202.236931</v>
      </c>
      <c r="G52" s="7">
        <v>9.8101360000000006E-3</v>
      </c>
      <c r="H52" s="112"/>
    </row>
    <row r="53" spans="1:8" x14ac:dyDescent="0.2">
      <c r="A53" s="3">
        <v>47</v>
      </c>
      <c r="B53" s="4" t="s">
        <v>238</v>
      </c>
      <c r="C53" s="4" t="s">
        <v>239</v>
      </c>
      <c r="D53" s="4" t="s">
        <v>186</v>
      </c>
      <c r="E53" s="5">
        <v>38836</v>
      </c>
      <c r="F53" s="6">
        <v>200.31608800000001</v>
      </c>
      <c r="G53" s="7">
        <v>9.7169600000000002E-3</v>
      </c>
      <c r="H53" s="112"/>
    </row>
    <row r="54" spans="1:8" x14ac:dyDescent="0.2">
      <c r="A54" s="3">
        <v>48</v>
      </c>
      <c r="B54" s="4" t="s">
        <v>240</v>
      </c>
      <c r="C54" s="4" t="s">
        <v>241</v>
      </c>
      <c r="D54" s="4" t="s">
        <v>81</v>
      </c>
      <c r="E54" s="5">
        <v>355896</v>
      </c>
      <c r="F54" s="6">
        <v>196.09869599999999</v>
      </c>
      <c r="G54" s="7">
        <v>9.5123819999999998E-3</v>
      </c>
      <c r="H54" s="112"/>
    </row>
    <row r="55" spans="1:8" x14ac:dyDescent="0.2">
      <c r="A55" s="3">
        <v>49</v>
      </c>
      <c r="B55" s="4" t="s">
        <v>242</v>
      </c>
      <c r="C55" s="4" t="s">
        <v>243</v>
      </c>
      <c r="D55" s="4" t="s">
        <v>334</v>
      </c>
      <c r="E55" s="5">
        <v>16232</v>
      </c>
      <c r="F55" s="6">
        <v>194.37819999999999</v>
      </c>
      <c r="G55" s="7">
        <v>9.428924E-3</v>
      </c>
      <c r="H55" s="112"/>
    </row>
    <row r="56" spans="1:8" x14ac:dyDescent="0.2">
      <c r="A56" s="3">
        <v>50</v>
      </c>
      <c r="B56" s="4" t="s">
        <v>244</v>
      </c>
      <c r="C56" s="4" t="s">
        <v>245</v>
      </c>
      <c r="D56" s="4" t="s">
        <v>173</v>
      </c>
      <c r="E56" s="5">
        <v>49282</v>
      </c>
      <c r="F56" s="6">
        <v>194.36820800000001</v>
      </c>
      <c r="G56" s="7">
        <v>9.4284390000000003E-3</v>
      </c>
      <c r="H56" s="112"/>
    </row>
    <row r="57" spans="1:8" ht="25.5" x14ac:dyDescent="0.2">
      <c r="A57" s="3">
        <v>51</v>
      </c>
      <c r="B57" s="4" t="s">
        <v>246</v>
      </c>
      <c r="C57" s="4" t="s">
        <v>247</v>
      </c>
      <c r="D57" s="4" t="s">
        <v>978</v>
      </c>
      <c r="E57" s="5">
        <v>183660</v>
      </c>
      <c r="F57" s="6">
        <v>193.57764</v>
      </c>
      <c r="G57" s="7">
        <v>9.3900900000000002E-3</v>
      </c>
      <c r="H57" s="112"/>
    </row>
    <row r="58" spans="1:8" x14ac:dyDescent="0.2">
      <c r="A58" s="3">
        <v>52</v>
      </c>
      <c r="B58" s="4" t="s">
        <v>69</v>
      </c>
      <c r="C58" s="4" t="s">
        <v>70</v>
      </c>
      <c r="D58" s="4" t="s">
        <v>71</v>
      </c>
      <c r="E58" s="5">
        <v>5600</v>
      </c>
      <c r="F58" s="6">
        <v>185.12200000000001</v>
      </c>
      <c r="G58" s="7">
        <v>8.9799230000000008E-3</v>
      </c>
      <c r="H58" s="112"/>
    </row>
    <row r="59" spans="1:8" x14ac:dyDescent="0.2">
      <c r="A59" s="3">
        <v>53</v>
      </c>
      <c r="B59" s="4" t="s">
        <v>248</v>
      </c>
      <c r="C59" s="4" t="s">
        <v>249</v>
      </c>
      <c r="D59" s="4" t="s">
        <v>186</v>
      </c>
      <c r="E59" s="5">
        <v>10907</v>
      </c>
      <c r="F59" s="6">
        <v>183.0358205</v>
      </c>
      <c r="G59" s="7">
        <v>8.878726E-3</v>
      </c>
      <c r="H59" s="112"/>
    </row>
    <row r="60" spans="1:8" x14ac:dyDescent="0.2">
      <c r="A60" s="3">
        <v>54</v>
      </c>
      <c r="B60" s="4" t="s">
        <v>252</v>
      </c>
      <c r="C60" s="4" t="s">
        <v>253</v>
      </c>
      <c r="D60" s="4" t="s">
        <v>34</v>
      </c>
      <c r="E60" s="5">
        <v>142112</v>
      </c>
      <c r="F60" s="6">
        <v>179.41640000000001</v>
      </c>
      <c r="G60" s="7">
        <v>8.7031550000000006E-3</v>
      </c>
      <c r="H60" s="112"/>
    </row>
    <row r="61" spans="1:8" ht="25.5" x14ac:dyDescent="0.2">
      <c r="A61" s="3">
        <v>55</v>
      </c>
      <c r="B61" s="4" t="s">
        <v>250</v>
      </c>
      <c r="C61" s="4" t="s">
        <v>251</v>
      </c>
      <c r="D61" s="4" t="s">
        <v>192</v>
      </c>
      <c r="E61" s="5">
        <v>46339</v>
      </c>
      <c r="F61" s="6">
        <v>176.319895</v>
      </c>
      <c r="G61" s="7">
        <v>8.5529490000000007E-3</v>
      </c>
      <c r="H61" s="112"/>
    </row>
    <row r="62" spans="1:8" x14ac:dyDescent="0.2">
      <c r="A62" s="3">
        <v>56</v>
      </c>
      <c r="B62" s="4" t="s">
        <v>254</v>
      </c>
      <c r="C62" s="4" t="s">
        <v>255</v>
      </c>
      <c r="D62" s="4" t="s">
        <v>162</v>
      </c>
      <c r="E62" s="5">
        <v>13480</v>
      </c>
      <c r="F62" s="6">
        <v>171.78912</v>
      </c>
      <c r="G62" s="7">
        <v>8.3331700000000009E-3</v>
      </c>
      <c r="H62" s="112"/>
    </row>
    <row r="63" spans="1:8" x14ac:dyDescent="0.2">
      <c r="A63" s="3">
        <v>57</v>
      </c>
      <c r="B63" s="4" t="s">
        <v>256</v>
      </c>
      <c r="C63" s="4" t="s">
        <v>257</v>
      </c>
      <c r="D63" s="4" t="s">
        <v>186</v>
      </c>
      <c r="E63" s="5">
        <v>32168</v>
      </c>
      <c r="F63" s="6">
        <v>163.606448</v>
      </c>
      <c r="G63" s="7">
        <v>7.9362440000000003E-3</v>
      </c>
      <c r="H63" s="112"/>
    </row>
    <row r="64" spans="1:8" x14ac:dyDescent="0.2">
      <c r="A64" s="3">
        <v>58</v>
      </c>
      <c r="B64" s="4" t="s">
        <v>258</v>
      </c>
      <c r="C64" s="4" t="s">
        <v>259</v>
      </c>
      <c r="D64" s="4" t="s">
        <v>53</v>
      </c>
      <c r="E64" s="5">
        <v>15128</v>
      </c>
      <c r="F64" s="6">
        <v>144.72957600000001</v>
      </c>
      <c r="G64" s="7">
        <v>7.0205620000000002E-3</v>
      </c>
      <c r="H64" s="112"/>
    </row>
    <row r="65" spans="1:8" x14ac:dyDescent="0.2">
      <c r="A65" s="3">
        <v>59</v>
      </c>
      <c r="B65" s="4" t="s">
        <v>260</v>
      </c>
      <c r="C65" s="4" t="s">
        <v>261</v>
      </c>
      <c r="D65" s="4" t="s">
        <v>173</v>
      </c>
      <c r="E65" s="5">
        <v>22382</v>
      </c>
      <c r="F65" s="6">
        <v>134.84035900000001</v>
      </c>
      <c r="G65" s="7">
        <v>6.5408539999999996E-3</v>
      </c>
      <c r="H65" s="112"/>
    </row>
    <row r="66" spans="1:8" x14ac:dyDescent="0.2">
      <c r="A66" s="3">
        <v>60</v>
      </c>
      <c r="B66" s="4" t="s">
        <v>262</v>
      </c>
      <c r="C66" s="4" t="s">
        <v>263</v>
      </c>
      <c r="D66" s="4" t="s">
        <v>977</v>
      </c>
      <c r="E66" s="5">
        <v>92831</v>
      </c>
      <c r="F66" s="6">
        <v>133.72305549999999</v>
      </c>
      <c r="G66" s="7">
        <v>6.4866560000000004E-3</v>
      </c>
      <c r="H66" s="112"/>
    </row>
    <row r="67" spans="1:8" x14ac:dyDescent="0.2">
      <c r="A67" s="3">
        <v>61</v>
      </c>
      <c r="B67" s="4" t="s">
        <v>264</v>
      </c>
      <c r="C67" s="4" t="s">
        <v>265</v>
      </c>
      <c r="D67" s="4" t="s">
        <v>266</v>
      </c>
      <c r="E67" s="5">
        <v>54097</v>
      </c>
      <c r="F67" s="6">
        <v>124.1796635</v>
      </c>
      <c r="G67" s="7">
        <v>6.0237240000000003E-3</v>
      </c>
      <c r="H67" s="112"/>
    </row>
    <row r="68" spans="1:8" x14ac:dyDescent="0.2">
      <c r="A68" s="3">
        <v>62</v>
      </c>
      <c r="B68" s="4" t="s">
        <v>267</v>
      </c>
      <c r="C68" s="4" t="s">
        <v>268</v>
      </c>
      <c r="D68" s="4" t="s">
        <v>19</v>
      </c>
      <c r="E68" s="5">
        <v>135178</v>
      </c>
      <c r="F68" s="6">
        <v>122.741624</v>
      </c>
      <c r="G68" s="7">
        <v>5.9539670000000001E-3</v>
      </c>
      <c r="H68" s="112"/>
    </row>
    <row r="69" spans="1:8" x14ac:dyDescent="0.2">
      <c r="A69" s="3">
        <v>63</v>
      </c>
      <c r="B69" s="4" t="s">
        <v>269</v>
      </c>
      <c r="C69" s="4" t="s">
        <v>270</v>
      </c>
      <c r="D69" s="4" t="s">
        <v>186</v>
      </c>
      <c r="E69" s="5">
        <v>2229</v>
      </c>
      <c r="F69" s="6">
        <v>120.8953875</v>
      </c>
      <c r="G69" s="7">
        <v>5.8644099999999996E-3</v>
      </c>
      <c r="H69" s="112"/>
    </row>
    <row r="70" spans="1:8" x14ac:dyDescent="0.2">
      <c r="A70" s="3">
        <v>64</v>
      </c>
      <c r="B70" s="4" t="s">
        <v>271</v>
      </c>
      <c r="C70" s="4" t="s">
        <v>272</v>
      </c>
      <c r="D70" s="4" t="s">
        <v>147</v>
      </c>
      <c r="E70" s="5">
        <v>17388</v>
      </c>
      <c r="F70" s="6">
        <v>113.126328</v>
      </c>
      <c r="G70" s="7">
        <v>5.4875469999999997E-3</v>
      </c>
      <c r="H70" s="112"/>
    </row>
    <row r="71" spans="1:8" x14ac:dyDescent="0.2">
      <c r="A71" s="3">
        <v>65</v>
      </c>
      <c r="B71" s="4" t="s">
        <v>273</v>
      </c>
      <c r="C71" s="4" t="s">
        <v>274</v>
      </c>
      <c r="D71" s="4" t="s">
        <v>71</v>
      </c>
      <c r="E71" s="5">
        <v>79149</v>
      </c>
      <c r="F71" s="6">
        <v>105.505617</v>
      </c>
      <c r="G71" s="7">
        <v>5.1178810000000003E-3</v>
      </c>
      <c r="H71" s="112"/>
    </row>
    <row r="72" spans="1:8" x14ac:dyDescent="0.2">
      <c r="A72" s="3">
        <v>66</v>
      </c>
      <c r="B72" s="4" t="s">
        <v>287</v>
      </c>
      <c r="C72" s="4" t="s">
        <v>288</v>
      </c>
      <c r="D72" s="4" t="s">
        <v>27</v>
      </c>
      <c r="E72" s="5">
        <v>9729</v>
      </c>
      <c r="F72" s="6">
        <v>104.59161450000001</v>
      </c>
      <c r="G72" s="7">
        <v>5.0735440000000001E-3</v>
      </c>
      <c r="H72" s="112"/>
    </row>
    <row r="73" spans="1:8" x14ac:dyDescent="0.2">
      <c r="A73" s="3">
        <v>67</v>
      </c>
      <c r="B73" s="4" t="s">
        <v>275</v>
      </c>
      <c r="C73" s="4" t="s">
        <v>276</v>
      </c>
      <c r="D73" s="4" t="s">
        <v>162</v>
      </c>
      <c r="E73" s="5">
        <v>21071</v>
      </c>
      <c r="F73" s="6">
        <v>87.255010999999996</v>
      </c>
      <c r="G73" s="7">
        <v>4.2325779999999999E-3</v>
      </c>
      <c r="H73" s="112"/>
    </row>
    <row r="74" spans="1:8" ht="38.25" x14ac:dyDescent="0.2">
      <c r="A74" s="3">
        <v>68</v>
      </c>
      <c r="B74" s="4" t="s">
        <v>289</v>
      </c>
      <c r="C74" s="4" t="s">
        <v>290</v>
      </c>
      <c r="D74" s="4" t="s">
        <v>972</v>
      </c>
      <c r="E74" s="5">
        <v>7464</v>
      </c>
      <c r="F74" s="6">
        <v>83.97</v>
      </c>
      <c r="G74" s="7">
        <v>4.0732279999999999E-3</v>
      </c>
      <c r="H74" s="112"/>
    </row>
    <row r="75" spans="1:8" x14ac:dyDescent="0.2">
      <c r="A75" s="3">
        <v>69</v>
      </c>
      <c r="B75" s="4" t="s">
        <v>277</v>
      </c>
      <c r="C75" s="4" t="s">
        <v>278</v>
      </c>
      <c r="D75" s="4" t="s">
        <v>186</v>
      </c>
      <c r="E75" s="5">
        <v>26441</v>
      </c>
      <c r="F75" s="6">
        <v>81.544044</v>
      </c>
      <c r="G75" s="7">
        <v>3.955549E-3</v>
      </c>
      <c r="H75" s="112"/>
    </row>
    <row r="76" spans="1:8" x14ac:dyDescent="0.2">
      <c r="A76" s="3">
        <v>70</v>
      </c>
      <c r="B76" s="4" t="s">
        <v>279</v>
      </c>
      <c r="C76" s="4" t="s">
        <v>280</v>
      </c>
      <c r="D76" s="4" t="s">
        <v>147</v>
      </c>
      <c r="E76" s="5">
        <v>6090</v>
      </c>
      <c r="F76" s="6">
        <v>79.745504999999994</v>
      </c>
      <c r="G76" s="7">
        <v>3.8683060000000002E-3</v>
      </c>
      <c r="H76" s="112"/>
    </row>
    <row r="77" spans="1:8" ht="25.5" x14ac:dyDescent="0.2">
      <c r="A77" s="3">
        <v>71</v>
      </c>
      <c r="B77" s="4" t="s">
        <v>92</v>
      </c>
      <c r="C77" s="4" t="s">
        <v>93</v>
      </c>
      <c r="D77" s="4" t="s">
        <v>45</v>
      </c>
      <c r="E77" s="5">
        <v>11635</v>
      </c>
      <c r="F77" s="6">
        <v>77.291304999999994</v>
      </c>
      <c r="G77" s="7">
        <v>3.7492570000000002E-3</v>
      </c>
      <c r="H77" s="112"/>
    </row>
    <row r="78" spans="1:8" x14ac:dyDescent="0.2">
      <c r="A78" s="3">
        <v>72</v>
      </c>
      <c r="B78" s="4" t="s">
        <v>62</v>
      </c>
      <c r="C78" s="4" t="s">
        <v>63</v>
      </c>
      <c r="D78" s="4" t="s">
        <v>64</v>
      </c>
      <c r="E78" s="5">
        <v>44443</v>
      </c>
      <c r="F78" s="6">
        <v>73.042070499999994</v>
      </c>
      <c r="G78" s="7">
        <v>3.5431350000000002E-3</v>
      </c>
      <c r="H78" s="112"/>
    </row>
    <row r="79" spans="1:8" x14ac:dyDescent="0.2">
      <c r="A79" s="3">
        <v>73</v>
      </c>
      <c r="B79" s="4" t="s">
        <v>281</v>
      </c>
      <c r="C79" s="4" t="s">
        <v>282</v>
      </c>
      <c r="D79" s="4" t="s">
        <v>334</v>
      </c>
      <c r="E79" s="5">
        <v>6255</v>
      </c>
      <c r="F79" s="6">
        <v>49.8867525</v>
      </c>
      <c r="G79" s="7">
        <v>2.4199130000000001E-3</v>
      </c>
      <c r="H79" s="112"/>
    </row>
    <row r="80" spans="1:8" x14ac:dyDescent="0.2">
      <c r="A80" s="3">
        <v>74</v>
      </c>
      <c r="B80" s="4" t="s">
        <v>291</v>
      </c>
      <c r="C80" s="4" t="s">
        <v>292</v>
      </c>
      <c r="D80" s="4" t="s">
        <v>27</v>
      </c>
      <c r="E80" s="5">
        <v>10291</v>
      </c>
      <c r="F80" s="6">
        <v>35.493659000000001</v>
      </c>
      <c r="G80" s="7">
        <v>1.721731E-3</v>
      </c>
      <c r="H80" s="112"/>
    </row>
    <row r="81" spans="1:8" x14ac:dyDescent="0.2">
      <c r="A81" s="3">
        <v>75</v>
      </c>
      <c r="B81" s="4" t="s">
        <v>283</v>
      </c>
      <c r="C81" s="4" t="s">
        <v>284</v>
      </c>
      <c r="D81" s="4" t="s">
        <v>19</v>
      </c>
      <c r="E81" s="5">
        <v>32492</v>
      </c>
      <c r="F81" s="6">
        <v>20.876110000000001</v>
      </c>
      <c r="G81" s="7">
        <v>1.012661E-3</v>
      </c>
      <c r="H81" s="112"/>
    </row>
    <row r="82" spans="1:8" x14ac:dyDescent="0.2">
      <c r="A82" s="1"/>
      <c r="B82" s="1"/>
      <c r="C82" s="2" t="s">
        <v>97</v>
      </c>
      <c r="D82" s="1"/>
      <c r="E82" s="1" t="s">
        <v>98</v>
      </c>
      <c r="F82" s="9">
        <v>19419.710262000001</v>
      </c>
      <c r="G82" s="10">
        <v>0.94201391499999998</v>
      </c>
      <c r="H82" s="112"/>
    </row>
    <row r="83" spans="1:8" x14ac:dyDescent="0.2">
      <c r="A83" s="1"/>
      <c r="B83" s="1"/>
      <c r="C83" s="11"/>
      <c r="D83" s="1"/>
      <c r="E83" s="1"/>
      <c r="F83" s="12"/>
      <c r="G83" s="12"/>
      <c r="H83" s="112"/>
    </row>
    <row r="84" spans="1:8" x14ac:dyDescent="0.2">
      <c r="A84" s="1"/>
      <c r="B84" s="1"/>
      <c r="C84" s="2" t="s">
        <v>99</v>
      </c>
      <c r="D84" s="1"/>
      <c r="E84" s="1"/>
      <c r="F84" s="1"/>
      <c r="G84" s="1"/>
      <c r="H84" s="112"/>
    </row>
    <row r="85" spans="1:8" x14ac:dyDescent="0.2">
      <c r="A85" s="1"/>
      <c r="B85" s="1"/>
      <c r="C85" s="2" t="s">
        <v>97</v>
      </c>
      <c r="D85" s="1"/>
      <c r="E85" s="1" t="s">
        <v>98</v>
      </c>
      <c r="F85" s="13">
        <v>0</v>
      </c>
      <c r="G85" s="14">
        <v>0</v>
      </c>
      <c r="H85" s="112"/>
    </row>
    <row r="86" spans="1:8" x14ac:dyDescent="0.2">
      <c r="A86" s="1"/>
      <c r="B86" s="1"/>
      <c r="C86" s="11"/>
      <c r="D86" s="1"/>
      <c r="E86" s="1"/>
      <c r="F86" s="12"/>
      <c r="G86" s="12"/>
      <c r="H86" s="112"/>
    </row>
    <row r="87" spans="1:8" x14ac:dyDescent="0.2">
      <c r="A87" s="1"/>
      <c r="B87" s="1"/>
      <c r="C87" s="2" t="s">
        <v>100</v>
      </c>
      <c r="D87" s="1"/>
      <c r="E87" s="1"/>
      <c r="F87" s="1"/>
      <c r="G87" s="1"/>
      <c r="H87" s="112"/>
    </row>
    <row r="88" spans="1:8" x14ac:dyDescent="0.2">
      <c r="A88" s="1"/>
      <c r="B88" s="1"/>
      <c r="C88" s="2" t="s">
        <v>97</v>
      </c>
      <c r="D88" s="1"/>
      <c r="E88" s="1" t="s">
        <v>98</v>
      </c>
      <c r="F88" s="13">
        <v>0</v>
      </c>
      <c r="G88" s="14">
        <v>0</v>
      </c>
      <c r="H88" s="112"/>
    </row>
    <row r="89" spans="1:8" x14ac:dyDescent="0.2">
      <c r="A89" s="1"/>
      <c r="B89" s="1"/>
      <c r="C89" s="11"/>
      <c r="D89" s="1"/>
      <c r="E89" s="1"/>
      <c r="F89" s="12"/>
      <c r="G89" s="12"/>
      <c r="H89" s="112"/>
    </row>
    <row r="90" spans="1:8" x14ac:dyDescent="0.2">
      <c r="A90" s="1"/>
      <c r="B90" s="1"/>
      <c r="C90" s="2" t="s">
        <v>101</v>
      </c>
      <c r="D90" s="1"/>
      <c r="E90" s="1"/>
      <c r="F90" s="1"/>
      <c r="G90" s="1"/>
      <c r="H90" s="112"/>
    </row>
    <row r="91" spans="1:8" x14ac:dyDescent="0.2">
      <c r="A91" s="1"/>
      <c r="B91" s="1"/>
      <c r="C91" s="2" t="s">
        <v>97</v>
      </c>
      <c r="D91" s="1"/>
      <c r="E91" s="1" t="s">
        <v>98</v>
      </c>
      <c r="F91" s="13">
        <v>0</v>
      </c>
      <c r="G91" s="14">
        <v>0</v>
      </c>
      <c r="H91" s="112"/>
    </row>
    <row r="92" spans="1:8" x14ac:dyDescent="0.2">
      <c r="A92" s="1"/>
      <c r="B92" s="1"/>
      <c r="C92" s="11"/>
      <c r="D92" s="1"/>
      <c r="E92" s="1"/>
      <c r="F92" s="12"/>
      <c r="G92" s="12"/>
      <c r="H92" s="112"/>
    </row>
    <row r="93" spans="1:8" x14ac:dyDescent="0.2">
      <c r="A93" s="1"/>
      <c r="B93" s="1"/>
      <c r="C93" s="2" t="s">
        <v>102</v>
      </c>
      <c r="D93" s="1"/>
      <c r="E93" s="1"/>
      <c r="F93" s="12"/>
      <c r="G93" s="12"/>
      <c r="H93" s="112"/>
    </row>
    <row r="94" spans="1:8" x14ac:dyDescent="0.2">
      <c r="A94" s="1"/>
      <c r="B94" s="1"/>
      <c r="C94" s="2" t="s">
        <v>97</v>
      </c>
      <c r="D94" s="1"/>
      <c r="E94" s="1" t="s">
        <v>98</v>
      </c>
      <c r="F94" s="13">
        <v>0</v>
      </c>
      <c r="G94" s="14">
        <v>0</v>
      </c>
      <c r="H94" s="112"/>
    </row>
    <row r="95" spans="1:8" x14ac:dyDescent="0.2">
      <c r="A95" s="1"/>
      <c r="B95" s="1"/>
      <c r="C95" s="11"/>
      <c r="D95" s="1"/>
      <c r="E95" s="1"/>
      <c r="F95" s="12"/>
      <c r="G95" s="12"/>
      <c r="H95" s="112"/>
    </row>
    <row r="96" spans="1:8" x14ac:dyDescent="0.2">
      <c r="A96" s="1"/>
      <c r="B96" s="1"/>
      <c r="C96" s="2" t="s">
        <v>103</v>
      </c>
      <c r="D96" s="1"/>
      <c r="E96" s="1"/>
      <c r="F96" s="12"/>
      <c r="G96" s="12"/>
      <c r="H96" s="112"/>
    </row>
    <row r="97" spans="1:8" x14ac:dyDescent="0.2">
      <c r="A97" s="1"/>
      <c r="B97" s="1"/>
      <c r="C97" s="2" t="s">
        <v>97</v>
      </c>
      <c r="D97" s="1"/>
      <c r="E97" s="1" t="s">
        <v>98</v>
      </c>
      <c r="F97" s="13">
        <v>0</v>
      </c>
      <c r="G97" s="14">
        <v>0</v>
      </c>
      <c r="H97" s="112"/>
    </row>
    <row r="98" spans="1:8" x14ac:dyDescent="0.2">
      <c r="A98" s="1"/>
      <c r="B98" s="1"/>
      <c r="C98" s="11"/>
      <c r="D98" s="1"/>
      <c r="E98" s="1"/>
      <c r="F98" s="12"/>
      <c r="G98" s="12"/>
      <c r="H98" s="112"/>
    </row>
    <row r="99" spans="1:8" x14ac:dyDescent="0.2">
      <c r="A99" s="1"/>
      <c r="B99" s="1"/>
      <c r="C99" s="2" t="s">
        <v>104</v>
      </c>
      <c r="D99" s="1"/>
      <c r="E99" s="1"/>
      <c r="F99" s="9">
        <v>19419.710262000001</v>
      </c>
      <c r="G99" s="10">
        <v>0.94201391499999998</v>
      </c>
      <c r="H99" s="112"/>
    </row>
    <row r="100" spans="1:8" x14ac:dyDescent="0.2">
      <c r="A100" s="1"/>
      <c r="B100" s="1"/>
      <c r="C100" s="11"/>
      <c r="D100" s="1"/>
      <c r="E100" s="1"/>
      <c r="F100" s="12"/>
      <c r="G100" s="12"/>
      <c r="H100" s="112"/>
    </row>
    <row r="101" spans="1:8" x14ac:dyDescent="0.2">
      <c r="A101" s="1"/>
      <c r="B101" s="1"/>
      <c r="C101" s="2" t="s">
        <v>105</v>
      </c>
      <c r="D101" s="1"/>
      <c r="E101" s="1"/>
      <c r="F101" s="12"/>
      <c r="G101" s="12"/>
      <c r="H101" s="112"/>
    </row>
    <row r="102" spans="1:8" ht="25.5" x14ac:dyDescent="0.2">
      <c r="A102" s="1"/>
      <c r="B102" s="1"/>
      <c r="C102" s="2" t="s">
        <v>10</v>
      </c>
      <c r="D102" s="1"/>
      <c r="E102" s="1"/>
      <c r="F102" s="12"/>
      <c r="G102" s="12"/>
      <c r="H102" s="112"/>
    </row>
    <row r="103" spans="1:8" x14ac:dyDescent="0.2">
      <c r="A103" s="1"/>
      <c r="B103" s="1"/>
      <c r="C103" s="2" t="s">
        <v>97</v>
      </c>
      <c r="D103" s="1"/>
      <c r="E103" s="1" t="s">
        <v>98</v>
      </c>
      <c r="F103" s="13">
        <v>0</v>
      </c>
      <c r="G103" s="14">
        <v>0</v>
      </c>
      <c r="H103" s="112"/>
    </row>
    <row r="104" spans="1:8" x14ac:dyDescent="0.2">
      <c r="A104" s="1"/>
      <c r="B104" s="1"/>
      <c r="C104" s="11"/>
      <c r="D104" s="1"/>
      <c r="E104" s="1"/>
      <c r="F104" s="12"/>
      <c r="G104" s="12"/>
      <c r="H104" s="112"/>
    </row>
    <row r="105" spans="1:8" x14ac:dyDescent="0.2">
      <c r="A105" s="1"/>
      <c r="B105" s="1"/>
      <c r="C105" s="2" t="s">
        <v>106</v>
      </c>
      <c r="D105" s="1"/>
      <c r="E105" s="1"/>
      <c r="F105" s="1"/>
      <c r="G105" s="1"/>
      <c r="H105" s="112"/>
    </row>
    <row r="106" spans="1:8" x14ac:dyDescent="0.2">
      <c r="A106" s="1"/>
      <c r="B106" s="1"/>
      <c r="C106" s="2" t="s">
        <v>97</v>
      </c>
      <c r="D106" s="1"/>
      <c r="E106" s="1" t="s">
        <v>98</v>
      </c>
      <c r="F106" s="13">
        <v>0</v>
      </c>
      <c r="G106" s="14">
        <v>0</v>
      </c>
      <c r="H106" s="112"/>
    </row>
    <row r="107" spans="1:8" x14ac:dyDescent="0.2">
      <c r="A107" s="1"/>
      <c r="B107" s="1"/>
      <c r="C107" s="11"/>
      <c r="D107" s="1"/>
      <c r="E107" s="1"/>
      <c r="F107" s="12"/>
      <c r="G107" s="12"/>
      <c r="H107" s="112"/>
    </row>
    <row r="108" spans="1:8" x14ac:dyDescent="0.2">
      <c r="A108" s="1"/>
      <c r="B108" s="1"/>
      <c r="C108" s="2" t="s">
        <v>107</v>
      </c>
      <c r="D108" s="1"/>
      <c r="E108" s="1"/>
      <c r="F108" s="1"/>
      <c r="G108" s="1"/>
      <c r="H108" s="112"/>
    </row>
    <row r="109" spans="1:8" x14ac:dyDescent="0.2">
      <c r="A109" s="1"/>
      <c r="B109" s="1"/>
      <c r="C109" s="2" t="s">
        <v>97</v>
      </c>
      <c r="D109" s="1"/>
      <c r="E109" s="1" t="s">
        <v>98</v>
      </c>
      <c r="F109" s="13">
        <v>0</v>
      </c>
      <c r="G109" s="14">
        <v>0</v>
      </c>
      <c r="H109" s="112"/>
    </row>
    <row r="110" spans="1:8" x14ac:dyDescent="0.2">
      <c r="A110" s="1"/>
      <c r="B110" s="1"/>
      <c r="C110" s="11"/>
      <c r="D110" s="1"/>
      <c r="E110" s="1"/>
      <c r="F110" s="12"/>
      <c r="G110" s="12"/>
      <c r="H110" s="112"/>
    </row>
    <row r="111" spans="1:8" x14ac:dyDescent="0.2">
      <c r="A111" s="1"/>
      <c r="B111" s="1"/>
      <c r="C111" s="2" t="s">
        <v>108</v>
      </c>
      <c r="D111" s="1"/>
      <c r="E111" s="1"/>
      <c r="F111" s="12"/>
      <c r="G111" s="12"/>
      <c r="H111" s="112"/>
    </row>
    <row r="112" spans="1:8" x14ac:dyDescent="0.2">
      <c r="A112" s="1"/>
      <c r="B112" s="1"/>
      <c r="C112" s="2" t="s">
        <v>97</v>
      </c>
      <c r="D112" s="1"/>
      <c r="E112" s="1" t="s">
        <v>98</v>
      </c>
      <c r="F112" s="13">
        <v>0</v>
      </c>
      <c r="G112" s="14">
        <v>0</v>
      </c>
      <c r="H112" s="112"/>
    </row>
    <row r="113" spans="1:8" x14ac:dyDescent="0.2">
      <c r="A113" s="1"/>
      <c r="B113" s="1"/>
      <c r="C113" s="11"/>
      <c r="D113" s="1"/>
      <c r="E113" s="1"/>
      <c r="F113" s="12"/>
      <c r="G113" s="12"/>
      <c r="H113" s="112"/>
    </row>
    <row r="114" spans="1:8" x14ac:dyDescent="0.2">
      <c r="A114" s="1"/>
      <c r="B114" s="1"/>
      <c r="C114" s="2" t="s">
        <v>109</v>
      </c>
      <c r="D114" s="1"/>
      <c r="E114" s="1"/>
      <c r="F114" s="9">
        <v>0</v>
      </c>
      <c r="G114" s="10">
        <v>0</v>
      </c>
      <c r="H114" s="112"/>
    </row>
    <row r="115" spans="1:8" x14ac:dyDescent="0.2">
      <c r="A115" s="1"/>
      <c r="B115" s="1"/>
      <c r="C115" s="11"/>
      <c r="D115" s="1"/>
      <c r="E115" s="1"/>
      <c r="F115" s="12"/>
      <c r="G115" s="12"/>
      <c r="H115" s="112"/>
    </row>
    <row r="116" spans="1:8" x14ac:dyDescent="0.2">
      <c r="A116" s="1"/>
      <c r="B116" s="1"/>
      <c r="C116" s="2" t="s">
        <v>110</v>
      </c>
      <c r="D116" s="1"/>
      <c r="E116" s="1"/>
      <c r="F116" s="12"/>
      <c r="G116" s="12"/>
      <c r="H116" s="112"/>
    </row>
    <row r="117" spans="1:8" x14ac:dyDescent="0.2">
      <c r="A117" s="1"/>
      <c r="B117" s="1"/>
      <c r="C117" s="2" t="s">
        <v>111</v>
      </c>
      <c r="D117" s="1"/>
      <c r="E117" s="1"/>
      <c r="F117" s="12"/>
      <c r="G117" s="12"/>
      <c r="H117" s="112"/>
    </row>
    <row r="118" spans="1:8" x14ac:dyDescent="0.2">
      <c r="A118" s="1"/>
      <c r="B118" s="1"/>
      <c r="C118" s="2" t="s">
        <v>97</v>
      </c>
      <c r="D118" s="1"/>
      <c r="E118" s="1" t="s">
        <v>98</v>
      </c>
      <c r="F118" s="13">
        <v>0</v>
      </c>
      <c r="G118" s="14">
        <v>0</v>
      </c>
      <c r="H118" s="112"/>
    </row>
    <row r="119" spans="1:8" x14ac:dyDescent="0.2">
      <c r="A119" s="1"/>
      <c r="B119" s="1"/>
      <c r="C119" s="11"/>
      <c r="D119" s="1"/>
      <c r="E119" s="1"/>
      <c r="F119" s="12"/>
      <c r="G119" s="12"/>
      <c r="H119" s="112"/>
    </row>
    <row r="120" spans="1:8" x14ac:dyDescent="0.2">
      <c r="A120" s="1"/>
      <c r="B120" s="1"/>
      <c r="C120" s="2" t="s">
        <v>112</v>
      </c>
      <c r="D120" s="1"/>
      <c r="E120" s="1"/>
      <c r="F120" s="12"/>
      <c r="G120" s="12"/>
      <c r="H120" s="112"/>
    </row>
    <row r="121" spans="1:8" x14ac:dyDescent="0.2">
      <c r="A121" s="1"/>
      <c r="B121" s="1"/>
      <c r="C121" s="2" t="s">
        <v>97</v>
      </c>
      <c r="D121" s="1"/>
      <c r="E121" s="1" t="s">
        <v>98</v>
      </c>
      <c r="F121" s="13">
        <v>0</v>
      </c>
      <c r="G121" s="14">
        <v>0</v>
      </c>
      <c r="H121" s="112"/>
    </row>
    <row r="122" spans="1:8" x14ac:dyDescent="0.2">
      <c r="A122" s="1"/>
      <c r="B122" s="1"/>
      <c r="C122" s="11"/>
      <c r="D122" s="1"/>
      <c r="E122" s="1"/>
      <c r="F122" s="12"/>
      <c r="G122" s="12"/>
      <c r="H122" s="112"/>
    </row>
    <row r="123" spans="1:8" x14ac:dyDescent="0.2">
      <c r="A123" s="1"/>
      <c r="B123" s="1"/>
      <c r="C123" s="2" t="s">
        <v>113</v>
      </c>
      <c r="D123" s="1"/>
      <c r="E123" s="1"/>
      <c r="F123" s="12"/>
      <c r="G123" s="12"/>
      <c r="H123" s="112"/>
    </row>
    <row r="124" spans="1:8" x14ac:dyDescent="0.2">
      <c r="A124" s="1"/>
      <c r="B124" s="1"/>
      <c r="C124" s="2" t="s">
        <v>97</v>
      </c>
      <c r="D124" s="1"/>
      <c r="E124" s="1" t="s">
        <v>98</v>
      </c>
      <c r="F124" s="13">
        <v>0</v>
      </c>
      <c r="G124" s="14">
        <v>0</v>
      </c>
      <c r="H124" s="112"/>
    </row>
    <row r="125" spans="1:8" x14ac:dyDescent="0.2">
      <c r="A125" s="1"/>
      <c r="B125" s="1"/>
      <c r="C125" s="11"/>
      <c r="D125" s="1"/>
      <c r="E125" s="1"/>
      <c r="F125" s="12"/>
      <c r="G125" s="12"/>
      <c r="H125" s="112"/>
    </row>
    <row r="126" spans="1:8" x14ac:dyDescent="0.2">
      <c r="A126" s="1"/>
      <c r="B126" s="1"/>
      <c r="C126" s="2" t="s">
        <v>114</v>
      </c>
      <c r="D126" s="1"/>
      <c r="E126" s="1"/>
      <c r="F126" s="12"/>
      <c r="G126" s="12"/>
      <c r="H126" s="112"/>
    </row>
    <row r="127" spans="1:8" x14ac:dyDescent="0.2">
      <c r="A127" s="3">
        <v>1</v>
      </c>
      <c r="B127" s="4"/>
      <c r="C127" s="4" t="s">
        <v>115</v>
      </c>
      <c r="D127" s="4"/>
      <c r="E127" s="8"/>
      <c r="F127" s="6">
        <v>826.9397018643723</v>
      </c>
      <c r="G127" s="7">
        <v>4.0113301992385116E-2</v>
      </c>
      <c r="H127" s="6">
        <v>3.3211324282253978</v>
      </c>
    </row>
    <row r="128" spans="1:8" x14ac:dyDescent="0.2">
      <c r="A128" s="3">
        <v>2</v>
      </c>
      <c r="B128" s="4"/>
      <c r="C128" s="4" t="s">
        <v>116</v>
      </c>
      <c r="D128" s="4"/>
      <c r="E128" s="8"/>
      <c r="F128" s="6">
        <v>324.84130025005311</v>
      </c>
      <c r="G128" s="7">
        <v>1.5757445370142082E-2</v>
      </c>
      <c r="H128" s="6">
        <v>3.35</v>
      </c>
    </row>
    <row r="129" spans="1:8" x14ac:dyDescent="0.2">
      <c r="A129" s="1"/>
      <c r="B129" s="1"/>
      <c r="C129" s="2" t="s">
        <v>97</v>
      </c>
      <c r="D129" s="1"/>
      <c r="E129" s="1" t="s">
        <v>98</v>
      </c>
      <c r="F129" s="9">
        <v>1151.7810021144255</v>
      </c>
      <c r="G129" s="10">
        <v>5.5870747362527208E-2</v>
      </c>
      <c r="H129" s="112"/>
    </row>
    <row r="130" spans="1:8" x14ac:dyDescent="0.2">
      <c r="A130" s="1"/>
      <c r="B130" s="1"/>
      <c r="C130" s="11"/>
      <c r="D130" s="1"/>
      <c r="E130" s="1"/>
      <c r="F130" s="12"/>
      <c r="G130" s="12"/>
      <c r="H130" s="112"/>
    </row>
    <row r="131" spans="1:8" x14ac:dyDescent="0.2">
      <c r="A131" s="1"/>
      <c r="B131" s="1"/>
      <c r="C131" s="2" t="s">
        <v>117</v>
      </c>
      <c r="D131" s="1"/>
      <c r="E131" s="1"/>
      <c r="F131" s="9">
        <v>1151.7810021144255</v>
      </c>
      <c r="G131" s="10">
        <v>5.5870747362527208E-2</v>
      </c>
      <c r="H131" s="112"/>
    </row>
    <row r="132" spans="1:8" x14ac:dyDescent="0.2">
      <c r="A132" s="1"/>
      <c r="B132" s="1"/>
      <c r="C132" s="12"/>
      <c r="D132" s="1"/>
      <c r="E132" s="1"/>
      <c r="F132" s="1"/>
      <c r="G132" s="1"/>
      <c r="H132" s="112"/>
    </row>
    <row r="133" spans="1:8" x14ac:dyDescent="0.2">
      <c r="A133" s="1"/>
      <c r="B133" s="1"/>
      <c r="C133" s="2" t="s">
        <v>118</v>
      </c>
      <c r="D133" s="1"/>
      <c r="E133" s="1"/>
      <c r="F133" s="1"/>
      <c r="G133" s="1"/>
      <c r="H133" s="112"/>
    </row>
    <row r="134" spans="1:8" x14ac:dyDescent="0.2">
      <c r="A134" s="1"/>
      <c r="B134" s="1"/>
      <c r="C134" s="2" t="s">
        <v>119</v>
      </c>
      <c r="D134" s="1"/>
      <c r="E134" s="1"/>
      <c r="F134" s="1"/>
      <c r="G134" s="1"/>
      <c r="H134" s="112"/>
    </row>
    <row r="135" spans="1:8" x14ac:dyDescent="0.2">
      <c r="A135" s="1"/>
      <c r="B135" s="1"/>
      <c r="C135" s="2" t="s">
        <v>97</v>
      </c>
      <c r="D135" s="1"/>
      <c r="E135" s="1" t="s">
        <v>98</v>
      </c>
      <c r="F135" s="13">
        <v>0</v>
      </c>
      <c r="G135" s="14">
        <v>0</v>
      </c>
      <c r="H135" s="112"/>
    </row>
    <row r="136" spans="1:8" x14ac:dyDescent="0.2">
      <c r="A136" s="1"/>
      <c r="B136" s="1"/>
      <c r="C136" s="11"/>
      <c r="D136" s="1"/>
      <c r="E136" s="1"/>
      <c r="F136" s="12"/>
      <c r="G136" s="12"/>
      <c r="H136" s="112"/>
    </row>
    <row r="137" spans="1:8" x14ac:dyDescent="0.2">
      <c r="A137" s="1"/>
      <c r="B137" s="1"/>
      <c r="C137" s="2" t="s">
        <v>120</v>
      </c>
      <c r="D137" s="1"/>
      <c r="E137" s="1"/>
      <c r="F137" s="1"/>
      <c r="G137" s="1"/>
      <c r="H137" s="112"/>
    </row>
    <row r="138" spans="1:8" x14ac:dyDescent="0.2">
      <c r="A138" s="1"/>
      <c r="B138" s="1"/>
      <c r="C138" s="2" t="s">
        <v>121</v>
      </c>
      <c r="D138" s="1"/>
      <c r="E138" s="1"/>
      <c r="F138" s="1"/>
      <c r="G138" s="1"/>
      <c r="H138" s="112"/>
    </row>
    <row r="139" spans="1:8" x14ac:dyDescent="0.2">
      <c r="A139" s="1"/>
      <c r="B139" s="1"/>
      <c r="C139" s="2" t="s">
        <v>97</v>
      </c>
      <c r="D139" s="1"/>
      <c r="E139" s="1" t="s">
        <v>98</v>
      </c>
      <c r="F139" s="13">
        <v>0</v>
      </c>
      <c r="G139" s="14">
        <v>0</v>
      </c>
      <c r="H139" s="112"/>
    </row>
    <row r="140" spans="1:8" x14ac:dyDescent="0.2">
      <c r="A140" s="1"/>
      <c r="B140" s="1"/>
      <c r="C140" s="11"/>
      <c r="D140" s="1"/>
      <c r="E140" s="1"/>
      <c r="F140" s="12"/>
      <c r="G140" s="12"/>
      <c r="H140" s="112"/>
    </row>
    <row r="141" spans="1:8" x14ac:dyDescent="0.2">
      <c r="A141" s="1"/>
      <c r="B141" s="1"/>
      <c r="C141" s="11"/>
      <c r="D141" s="1"/>
      <c r="E141" s="1"/>
      <c r="F141" s="12"/>
      <c r="G141" s="12"/>
      <c r="H141" s="112"/>
    </row>
    <row r="142" spans="1:8" ht="25.5" x14ac:dyDescent="0.2">
      <c r="A142" s="1"/>
      <c r="B142" s="1"/>
      <c r="C142" s="2" t="s">
        <v>122</v>
      </c>
      <c r="D142" s="1"/>
      <c r="E142" s="1"/>
      <c r="F142" s="12"/>
      <c r="G142" s="12"/>
      <c r="H142" s="112"/>
    </row>
    <row r="143" spans="1:8" ht="25.5" x14ac:dyDescent="0.2">
      <c r="A143" s="3">
        <v>1</v>
      </c>
      <c r="B143" s="4"/>
      <c r="C143" s="4" t="s">
        <v>285</v>
      </c>
      <c r="D143" s="4"/>
      <c r="E143" s="8"/>
      <c r="F143" s="6">
        <v>84.378</v>
      </c>
      <c r="G143" s="7">
        <v>4.0930189999999998E-3</v>
      </c>
      <c r="H143" s="112"/>
    </row>
    <row r="144" spans="1:8" x14ac:dyDescent="0.2">
      <c r="A144" s="1"/>
      <c r="B144" s="1"/>
      <c r="C144" s="2" t="s">
        <v>97</v>
      </c>
      <c r="D144" s="1"/>
      <c r="E144" s="1" t="s">
        <v>98</v>
      </c>
      <c r="F144" s="9">
        <v>84.378</v>
      </c>
      <c r="G144" s="10">
        <v>4.0930189999999998E-3</v>
      </c>
      <c r="H144" s="112"/>
    </row>
    <row r="145" spans="1:8" x14ac:dyDescent="0.2">
      <c r="A145" s="1"/>
      <c r="B145" s="1"/>
      <c r="C145" s="11"/>
      <c r="D145" s="1"/>
      <c r="E145" s="1"/>
      <c r="F145" s="12"/>
      <c r="G145" s="12"/>
      <c r="H145" s="112"/>
    </row>
    <row r="146" spans="1:8" x14ac:dyDescent="0.2">
      <c r="A146" s="1"/>
      <c r="B146" s="4"/>
      <c r="C146" s="4"/>
      <c r="D146" s="2"/>
      <c r="E146" s="1"/>
      <c r="F146" s="4"/>
      <c r="G146" s="8"/>
      <c r="H146" s="112"/>
    </row>
    <row r="147" spans="1:8" x14ac:dyDescent="0.2">
      <c r="A147" s="8"/>
      <c r="B147" s="4"/>
      <c r="C147" s="4" t="s">
        <v>123</v>
      </c>
      <c r="D147" s="4"/>
      <c r="E147" s="8"/>
      <c r="F147" s="6">
        <v>-40.770012964425398</v>
      </c>
      <c r="G147" s="7">
        <v>-1.9776772581946733E-3</v>
      </c>
      <c r="H147" s="112"/>
    </row>
    <row r="148" spans="1:8" x14ac:dyDescent="0.2">
      <c r="A148" s="11"/>
      <c r="B148" s="11"/>
      <c r="C148" s="2" t="s">
        <v>124</v>
      </c>
      <c r="D148" s="15"/>
      <c r="E148" s="15"/>
      <c r="F148" s="9">
        <v>20615.099251150001</v>
      </c>
      <c r="G148" s="10">
        <v>1.0000000040000001</v>
      </c>
      <c r="H148" s="112"/>
    </row>
    <row r="149" spans="1:8" ht="14.1" customHeight="1" x14ac:dyDescent="0.2">
      <c r="A149" s="16"/>
      <c r="B149" s="16"/>
      <c r="C149" s="16"/>
      <c r="D149" s="17"/>
      <c r="E149" s="17"/>
      <c r="F149" s="17"/>
      <c r="G149" s="17"/>
    </row>
    <row r="150" spans="1:8" ht="14.1" customHeight="1" x14ac:dyDescent="0.2">
      <c r="A150" s="18"/>
      <c r="B150" s="205" t="s">
        <v>98</v>
      </c>
      <c r="C150" s="205"/>
      <c r="D150" s="205"/>
      <c r="E150" s="205"/>
      <c r="F150" s="205"/>
      <c r="G150" s="20"/>
    </row>
    <row r="151" spans="1:8" ht="14.1" customHeight="1" x14ac:dyDescent="0.2">
      <c r="A151" s="18"/>
      <c r="B151" s="205" t="s">
        <v>98</v>
      </c>
      <c r="C151" s="205"/>
      <c r="D151" s="205"/>
      <c r="E151" s="205"/>
      <c r="F151" s="205"/>
      <c r="G151" s="20"/>
    </row>
    <row r="152" spans="1:8" ht="14.1" customHeight="1" x14ac:dyDescent="0.2">
      <c r="A152" s="18"/>
      <c r="B152" s="18"/>
      <c r="C152" s="18"/>
      <c r="D152" s="20"/>
      <c r="E152" s="20"/>
      <c r="F152" s="20"/>
      <c r="G152" s="20"/>
    </row>
    <row r="153" spans="1:8" ht="14.1" customHeight="1" x14ac:dyDescent="0.2">
      <c r="A153" s="18"/>
      <c r="B153" s="203" t="s">
        <v>126</v>
      </c>
      <c r="C153" s="204"/>
      <c r="D153" s="12" t="s">
        <v>98</v>
      </c>
      <c r="E153" s="21"/>
      <c r="F153" s="20"/>
      <c r="G153" s="20"/>
    </row>
    <row r="154" spans="1:8" ht="29.1" customHeight="1" x14ac:dyDescent="0.2">
      <c r="A154" s="18"/>
      <c r="B154" s="198" t="s">
        <v>127</v>
      </c>
      <c r="C154" s="199"/>
      <c r="D154" s="2" t="s">
        <v>128</v>
      </c>
      <c r="E154" s="21"/>
      <c r="F154" s="20"/>
      <c r="G154" s="20"/>
    </row>
    <row r="155" spans="1:8" ht="17.100000000000001" customHeight="1" x14ac:dyDescent="0.2">
      <c r="A155" s="18"/>
      <c r="B155" s="198" t="s">
        <v>129</v>
      </c>
      <c r="C155" s="199"/>
      <c r="D155" s="2" t="s">
        <v>128</v>
      </c>
      <c r="E155" s="21"/>
      <c r="F155" s="20"/>
      <c r="G155" s="20"/>
    </row>
    <row r="156" spans="1:8" ht="17.100000000000001" customHeight="1" x14ac:dyDescent="0.2">
      <c r="A156" s="18"/>
      <c r="B156" s="198" t="s">
        <v>130</v>
      </c>
      <c r="C156" s="199"/>
      <c r="D156" s="12" t="s">
        <v>98</v>
      </c>
      <c r="E156" s="21"/>
      <c r="F156" s="20"/>
      <c r="G156" s="20"/>
    </row>
    <row r="157" spans="1:8" ht="24" customHeight="1" x14ac:dyDescent="0.2">
      <c r="A157" s="22"/>
      <c r="B157" s="23" t="s">
        <v>98</v>
      </c>
      <c r="C157" s="23" t="s">
        <v>131</v>
      </c>
      <c r="D157" s="23" t="s">
        <v>132</v>
      </c>
      <c r="E157" s="22"/>
      <c r="F157" s="22"/>
      <c r="G157" s="22"/>
    </row>
    <row r="158" spans="1:8" ht="18" customHeight="1" x14ac:dyDescent="0.2">
      <c r="A158" s="22"/>
      <c r="B158" s="23" t="s">
        <v>133</v>
      </c>
      <c r="C158" s="23" t="s">
        <v>134</v>
      </c>
      <c r="D158" s="23" t="s">
        <v>135</v>
      </c>
      <c r="E158" s="22"/>
      <c r="F158" s="22"/>
      <c r="G158" s="22"/>
    </row>
    <row r="159" spans="1:8" ht="17.100000000000001" customHeight="1" x14ac:dyDescent="0.2">
      <c r="A159" s="22"/>
      <c r="B159" s="4" t="s">
        <v>136</v>
      </c>
      <c r="C159" s="24">
        <v>15.7582</v>
      </c>
      <c r="D159" s="24">
        <v>16.013100000000001</v>
      </c>
      <c r="E159" s="22"/>
      <c r="F159" s="19"/>
      <c r="G159" s="25"/>
    </row>
    <row r="160" spans="1:8" ht="17.100000000000001" customHeight="1" x14ac:dyDescent="0.2">
      <c r="A160" s="22"/>
      <c r="B160" s="4" t="s">
        <v>980</v>
      </c>
      <c r="C160" s="24">
        <v>15.758100000000001</v>
      </c>
      <c r="D160" s="24">
        <v>16.013000000000002</v>
      </c>
      <c r="E160" s="22"/>
      <c r="F160" s="19"/>
      <c r="G160" s="25"/>
    </row>
    <row r="161" spans="1:15" ht="17.100000000000001" customHeight="1" x14ac:dyDescent="0.2">
      <c r="A161" s="22"/>
      <c r="B161" s="4" t="s">
        <v>137</v>
      </c>
      <c r="C161" s="24">
        <v>15.212199999999999</v>
      </c>
      <c r="D161" s="24">
        <v>15.4496</v>
      </c>
      <c r="E161" s="22"/>
      <c r="F161" s="19"/>
      <c r="G161" s="25"/>
    </row>
    <row r="162" spans="1:15" ht="17.100000000000001" customHeight="1" x14ac:dyDescent="0.2">
      <c r="A162" s="22"/>
      <c r="B162" s="4" t="s">
        <v>981</v>
      </c>
      <c r="C162" s="24">
        <v>15.212199999999999</v>
      </c>
      <c r="D162" s="24">
        <v>15.4496</v>
      </c>
      <c r="E162" s="22"/>
      <c r="F162" s="19"/>
      <c r="G162" s="25"/>
    </row>
    <row r="163" spans="1:15" ht="14.1" customHeight="1" x14ac:dyDescent="0.2">
      <c r="A163" s="22"/>
      <c r="B163" s="22"/>
      <c r="C163" s="22"/>
      <c r="D163" s="22"/>
      <c r="E163" s="22"/>
      <c r="F163" s="22"/>
      <c r="G163" s="22"/>
    </row>
    <row r="164" spans="1:15" ht="17.100000000000001" customHeight="1" x14ac:dyDescent="0.2">
      <c r="A164" s="22"/>
      <c r="B164" s="198" t="s">
        <v>982</v>
      </c>
      <c r="C164" s="199"/>
      <c r="D164" s="91" t="s">
        <v>128</v>
      </c>
      <c r="E164" s="22"/>
      <c r="F164" s="22"/>
      <c r="G164" s="22"/>
      <c r="I164" s="113"/>
      <c r="J164" s="113"/>
      <c r="K164" s="113"/>
      <c r="L164" s="113"/>
      <c r="M164" s="113"/>
      <c r="N164" s="113"/>
      <c r="O164" s="113"/>
    </row>
    <row r="165" spans="1:15" ht="18" customHeight="1" x14ac:dyDescent="0.2">
      <c r="A165" s="22"/>
      <c r="B165" s="26"/>
      <c r="C165" s="26"/>
      <c r="D165" s="27"/>
      <c r="E165" s="22"/>
      <c r="F165" s="22"/>
      <c r="G165" s="22"/>
    </row>
    <row r="166" spans="1:15" s="113" customFormat="1" x14ac:dyDescent="0.2">
      <c r="B166" s="202" t="s">
        <v>984</v>
      </c>
      <c r="C166" s="202"/>
      <c r="D166" s="202"/>
      <c r="E166" s="202"/>
      <c r="F166" s="202"/>
      <c r="I166"/>
      <c r="J166"/>
      <c r="K166"/>
      <c r="L166"/>
      <c r="M166"/>
      <c r="N166"/>
      <c r="O166"/>
    </row>
    <row r="167" spans="1:15" ht="14.1" customHeight="1" x14ac:dyDescent="0.2">
      <c r="A167" s="22"/>
      <c r="B167" s="19"/>
      <c r="C167" s="19"/>
      <c r="D167" s="22"/>
      <c r="E167" s="22"/>
      <c r="F167" s="22"/>
      <c r="G167" s="22"/>
    </row>
    <row r="168" spans="1:15" ht="29.1" customHeight="1" x14ac:dyDescent="0.2">
      <c r="A168" s="22"/>
      <c r="B168" s="198" t="s">
        <v>138</v>
      </c>
      <c r="C168" s="199"/>
      <c r="D168" s="2" t="s">
        <v>128</v>
      </c>
      <c r="E168" s="22"/>
      <c r="F168" s="22"/>
      <c r="G168" s="22"/>
    </row>
    <row r="169" spans="1:15" ht="29.1" customHeight="1" x14ac:dyDescent="0.2">
      <c r="A169" s="22"/>
      <c r="B169" s="198" t="s">
        <v>139</v>
      </c>
      <c r="C169" s="199"/>
      <c r="D169" s="2" t="s">
        <v>128</v>
      </c>
      <c r="E169" s="22"/>
      <c r="F169" s="22"/>
      <c r="G169" s="22"/>
    </row>
    <row r="170" spans="1:15" ht="17.100000000000001" customHeight="1" x14ac:dyDescent="0.2">
      <c r="A170" s="22"/>
      <c r="B170" s="198" t="s">
        <v>140</v>
      </c>
      <c r="C170" s="199"/>
      <c r="D170" s="28">
        <v>0.47003560233813563</v>
      </c>
      <c r="E170" s="22"/>
      <c r="F170" s="19"/>
      <c r="G170" s="25"/>
    </row>
    <row r="171" spans="1:15" ht="17.100000000000001" customHeight="1" x14ac:dyDescent="0.2">
      <c r="A171" s="22"/>
      <c r="B171" s="198" t="s">
        <v>141</v>
      </c>
      <c r="C171" s="199"/>
      <c r="D171" s="2" t="s">
        <v>128</v>
      </c>
      <c r="E171" s="22"/>
      <c r="F171" s="22"/>
      <c r="G171" s="22"/>
    </row>
  </sheetData>
  <mergeCells count="16">
    <mergeCell ref="B171:C171"/>
    <mergeCell ref="B154:C154"/>
    <mergeCell ref="B155:C155"/>
    <mergeCell ref="B156:C156"/>
    <mergeCell ref="B164:C164"/>
    <mergeCell ref="B168:C168"/>
    <mergeCell ref="B169:C169"/>
    <mergeCell ref="B166:F166"/>
    <mergeCell ref="A1:H1"/>
    <mergeCell ref="A2:H2"/>
    <mergeCell ref="A3:H3"/>
    <mergeCell ref="J2:N2"/>
    <mergeCell ref="B170:C170"/>
    <mergeCell ref="B153:C153"/>
    <mergeCell ref="B150:F150"/>
    <mergeCell ref="B151:F151"/>
  </mergeCell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293</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28756</v>
      </c>
      <c r="F7" s="6">
        <v>465.73217599999998</v>
      </c>
      <c r="G7" s="7">
        <v>3.3839716999999998E-2</v>
      </c>
      <c r="H7" s="112"/>
    </row>
    <row r="8" spans="1:14" x14ac:dyDescent="0.2">
      <c r="A8" s="3">
        <v>2</v>
      </c>
      <c r="B8" s="4" t="s">
        <v>143</v>
      </c>
      <c r="C8" s="4" t="s">
        <v>144</v>
      </c>
      <c r="D8" s="4" t="s">
        <v>27</v>
      </c>
      <c r="E8" s="5">
        <v>38777</v>
      </c>
      <c r="F8" s="6">
        <v>354.05339850000001</v>
      </c>
      <c r="G8" s="7">
        <v>2.5725228999999999E-2</v>
      </c>
      <c r="H8" s="112"/>
    </row>
    <row r="9" spans="1:14" x14ac:dyDescent="0.2">
      <c r="A9" s="3">
        <v>3</v>
      </c>
      <c r="B9" s="4" t="s">
        <v>74</v>
      </c>
      <c r="C9" s="4" t="s">
        <v>75</v>
      </c>
      <c r="D9" s="4" t="s">
        <v>71</v>
      </c>
      <c r="E9" s="5">
        <v>90620</v>
      </c>
      <c r="F9" s="6">
        <v>349.47602999999998</v>
      </c>
      <c r="G9" s="7">
        <v>2.5392641000000001E-2</v>
      </c>
      <c r="H9" s="112"/>
    </row>
    <row r="10" spans="1:14" x14ac:dyDescent="0.2">
      <c r="A10" s="3">
        <v>4</v>
      </c>
      <c r="B10" s="4" t="s">
        <v>145</v>
      </c>
      <c r="C10" s="4" t="s">
        <v>146</v>
      </c>
      <c r="D10" s="4" t="s">
        <v>147</v>
      </c>
      <c r="E10" s="5">
        <v>10290</v>
      </c>
      <c r="F10" s="6">
        <v>343.52136000000002</v>
      </c>
      <c r="G10" s="7">
        <v>2.495998E-2</v>
      </c>
      <c r="H10" s="112"/>
    </row>
    <row r="11" spans="1:14" x14ac:dyDescent="0.2">
      <c r="A11" s="3">
        <v>5</v>
      </c>
      <c r="B11" s="4" t="s">
        <v>148</v>
      </c>
      <c r="C11" s="4" t="s">
        <v>149</v>
      </c>
      <c r="D11" s="4" t="s">
        <v>81</v>
      </c>
      <c r="E11" s="5">
        <v>262488</v>
      </c>
      <c r="F11" s="6">
        <v>340.70942400000001</v>
      </c>
      <c r="G11" s="7">
        <v>2.4755666999999999E-2</v>
      </c>
      <c r="H11" s="112"/>
    </row>
    <row r="12" spans="1:14" x14ac:dyDescent="0.2">
      <c r="A12" s="3">
        <v>6</v>
      </c>
      <c r="B12" s="4" t="s">
        <v>150</v>
      </c>
      <c r="C12" s="4" t="s">
        <v>151</v>
      </c>
      <c r="D12" s="4" t="s">
        <v>27</v>
      </c>
      <c r="E12" s="5">
        <v>38591</v>
      </c>
      <c r="F12" s="6">
        <v>328.46729649999997</v>
      </c>
      <c r="G12" s="7">
        <v>2.3866163999999999E-2</v>
      </c>
      <c r="H12" s="112"/>
    </row>
    <row r="13" spans="1:14" ht="25.5" x14ac:dyDescent="0.2">
      <c r="A13" s="3">
        <v>7</v>
      </c>
      <c r="B13" s="4" t="s">
        <v>152</v>
      </c>
      <c r="C13" s="4" t="s">
        <v>153</v>
      </c>
      <c r="D13" s="4" t="s">
        <v>45</v>
      </c>
      <c r="E13" s="5">
        <v>223169</v>
      </c>
      <c r="F13" s="6">
        <v>326.49624699999998</v>
      </c>
      <c r="G13" s="7">
        <v>2.3722949E-2</v>
      </c>
      <c r="H13" s="112"/>
    </row>
    <row r="14" spans="1:14" x14ac:dyDescent="0.2">
      <c r="A14" s="3">
        <v>8</v>
      </c>
      <c r="B14" s="4" t="s">
        <v>294</v>
      </c>
      <c r="C14" s="4" t="s">
        <v>295</v>
      </c>
      <c r="D14" s="4" t="s">
        <v>64</v>
      </c>
      <c r="E14" s="5">
        <v>15135</v>
      </c>
      <c r="F14" s="6">
        <v>297.89463749999999</v>
      </c>
      <c r="G14" s="7">
        <v>2.1644779999999999E-2</v>
      </c>
      <c r="H14" s="112"/>
    </row>
    <row r="15" spans="1:14" x14ac:dyDescent="0.2">
      <c r="A15" s="3">
        <v>9</v>
      </c>
      <c r="B15" s="4" t="s">
        <v>154</v>
      </c>
      <c r="C15" s="4" t="s">
        <v>155</v>
      </c>
      <c r="D15" s="4" t="s">
        <v>71</v>
      </c>
      <c r="E15" s="5">
        <v>54740</v>
      </c>
      <c r="F15" s="6">
        <v>295.65073999999998</v>
      </c>
      <c r="G15" s="7">
        <v>2.1481739999999999E-2</v>
      </c>
      <c r="H15" s="112"/>
    </row>
    <row r="16" spans="1:14" ht="15" x14ac:dyDescent="0.2">
      <c r="A16" s="3">
        <v>10</v>
      </c>
      <c r="B16" s="4" t="s">
        <v>156</v>
      </c>
      <c r="C16" s="4" t="s">
        <v>157</v>
      </c>
      <c r="D16" s="4" t="s">
        <v>974</v>
      </c>
      <c r="E16" s="5">
        <v>22647</v>
      </c>
      <c r="F16" s="6">
        <v>281.61544500000002</v>
      </c>
      <c r="G16" s="7">
        <v>2.0461947000000001E-2</v>
      </c>
      <c r="H16" s="112"/>
      <c r="J16" s="188" t="s">
        <v>1012</v>
      </c>
    </row>
    <row r="17" spans="1:8" x14ac:dyDescent="0.2">
      <c r="A17" s="3">
        <v>11</v>
      </c>
      <c r="B17" s="4" t="s">
        <v>160</v>
      </c>
      <c r="C17" s="4" t="s">
        <v>161</v>
      </c>
      <c r="D17" s="4" t="s">
        <v>162</v>
      </c>
      <c r="E17" s="5">
        <v>6844</v>
      </c>
      <c r="F17" s="6">
        <v>268.538028</v>
      </c>
      <c r="G17" s="7">
        <v>1.9511752E-2</v>
      </c>
      <c r="H17" s="112"/>
    </row>
    <row r="18" spans="1:8" x14ac:dyDescent="0.2">
      <c r="A18" s="3">
        <v>12</v>
      </c>
      <c r="B18" s="4" t="s">
        <v>201</v>
      </c>
      <c r="C18" s="4" t="s">
        <v>202</v>
      </c>
      <c r="D18" s="4" t="s">
        <v>147</v>
      </c>
      <c r="E18" s="5">
        <v>18450</v>
      </c>
      <c r="F18" s="6">
        <v>261.03059999999999</v>
      </c>
      <c r="G18" s="7">
        <v>1.8966269000000001E-2</v>
      </c>
      <c r="H18" s="112"/>
    </row>
    <row r="19" spans="1:8" ht="25.5" x14ac:dyDescent="0.2">
      <c r="A19" s="3">
        <v>13</v>
      </c>
      <c r="B19" s="4" t="s">
        <v>37</v>
      </c>
      <c r="C19" s="4" t="s">
        <v>38</v>
      </c>
      <c r="D19" s="4" t="s">
        <v>971</v>
      </c>
      <c r="E19" s="5">
        <v>7660</v>
      </c>
      <c r="F19" s="6">
        <v>253.98644999999999</v>
      </c>
      <c r="G19" s="7">
        <v>1.8454446999999999E-2</v>
      </c>
      <c r="H19" s="112"/>
    </row>
    <row r="20" spans="1:8" x14ac:dyDescent="0.2">
      <c r="A20" s="3">
        <v>14</v>
      </c>
      <c r="B20" s="4" t="s">
        <v>163</v>
      </c>
      <c r="C20" s="4" t="s">
        <v>164</v>
      </c>
      <c r="D20" s="4" t="s">
        <v>162</v>
      </c>
      <c r="E20" s="5">
        <v>81496</v>
      </c>
      <c r="F20" s="6">
        <v>251.57815199999999</v>
      </c>
      <c r="G20" s="7">
        <v>1.8279462E-2</v>
      </c>
      <c r="H20" s="112"/>
    </row>
    <row r="21" spans="1:8" x14ac:dyDescent="0.2">
      <c r="A21" s="3">
        <v>15</v>
      </c>
      <c r="B21" s="4" t="s">
        <v>165</v>
      </c>
      <c r="C21" s="4" t="s">
        <v>166</v>
      </c>
      <c r="D21" s="4" t="s">
        <v>976</v>
      </c>
      <c r="E21" s="5">
        <v>58726</v>
      </c>
      <c r="F21" s="6">
        <v>246.09130300000001</v>
      </c>
      <c r="G21" s="7">
        <v>1.7880792E-2</v>
      </c>
      <c r="H21" s="112"/>
    </row>
    <row r="22" spans="1:8" x14ac:dyDescent="0.2">
      <c r="A22" s="3">
        <v>16</v>
      </c>
      <c r="B22" s="4" t="s">
        <v>167</v>
      </c>
      <c r="C22" s="4" t="s">
        <v>168</v>
      </c>
      <c r="D22" s="4" t="s">
        <v>81</v>
      </c>
      <c r="E22" s="5">
        <v>33472</v>
      </c>
      <c r="F22" s="6">
        <v>236.06128000000001</v>
      </c>
      <c r="G22" s="7">
        <v>1.7152019000000001E-2</v>
      </c>
      <c r="H22" s="112"/>
    </row>
    <row r="23" spans="1:8" x14ac:dyDescent="0.2">
      <c r="A23" s="3">
        <v>17</v>
      </c>
      <c r="B23" s="4" t="s">
        <v>169</v>
      </c>
      <c r="C23" s="4" t="s">
        <v>170</v>
      </c>
      <c r="D23" s="4" t="s">
        <v>19</v>
      </c>
      <c r="E23" s="5">
        <v>130496</v>
      </c>
      <c r="F23" s="6">
        <v>235.61052799999999</v>
      </c>
      <c r="G23" s="7">
        <v>1.7119267000000001E-2</v>
      </c>
      <c r="H23" s="112"/>
    </row>
    <row r="24" spans="1:8" x14ac:dyDescent="0.2">
      <c r="A24" s="3">
        <v>18</v>
      </c>
      <c r="B24" s="4" t="s">
        <v>41</v>
      </c>
      <c r="C24" s="4" t="s">
        <v>42</v>
      </c>
      <c r="D24" s="4" t="s">
        <v>27</v>
      </c>
      <c r="E24" s="5">
        <v>16846</v>
      </c>
      <c r="F24" s="6">
        <v>223.28530699999999</v>
      </c>
      <c r="G24" s="7">
        <v>1.6223727E-2</v>
      </c>
      <c r="H24" s="112"/>
    </row>
    <row r="25" spans="1:8" x14ac:dyDescent="0.2">
      <c r="A25" s="3">
        <v>19</v>
      </c>
      <c r="B25" s="4" t="s">
        <v>65</v>
      </c>
      <c r="C25" s="4" t="s">
        <v>66</v>
      </c>
      <c r="D25" s="4" t="s">
        <v>64</v>
      </c>
      <c r="E25" s="5">
        <v>46942</v>
      </c>
      <c r="F25" s="6">
        <v>217.881293</v>
      </c>
      <c r="G25" s="7">
        <v>1.5831075999999999E-2</v>
      </c>
      <c r="H25" s="112"/>
    </row>
    <row r="26" spans="1:8" x14ac:dyDescent="0.2">
      <c r="A26" s="3">
        <v>20</v>
      </c>
      <c r="B26" s="4" t="s">
        <v>195</v>
      </c>
      <c r="C26" s="4" t="s">
        <v>196</v>
      </c>
      <c r="D26" s="4" t="s">
        <v>34</v>
      </c>
      <c r="E26" s="5">
        <v>51485</v>
      </c>
      <c r="F26" s="6">
        <v>216.3657125</v>
      </c>
      <c r="G26" s="7">
        <v>1.5720955000000002E-2</v>
      </c>
      <c r="H26" s="112"/>
    </row>
    <row r="27" spans="1:8" x14ac:dyDescent="0.2">
      <c r="A27" s="3">
        <v>21</v>
      </c>
      <c r="B27" s="4" t="s">
        <v>217</v>
      </c>
      <c r="C27" s="4" t="s">
        <v>218</v>
      </c>
      <c r="D27" s="4" t="s">
        <v>979</v>
      </c>
      <c r="E27" s="5">
        <v>13303</v>
      </c>
      <c r="F27" s="6">
        <v>215.22923700000001</v>
      </c>
      <c r="G27" s="7">
        <v>1.563838E-2</v>
      </c>
      <c r="H27" s="112"/>
    </row>
    <row r="28" spans="1:8" x14ac:dyDescent="0.2">
      <c r="A28" s="3">
        <v>22</v>
      </c>
      <c r="B28" s="4" t="s">
        <v>174</v>
      </c>
      <c r="C28" s="4" t="s">
        <v>175</v>
      </c>
      <c r="D28" s="4" t="s">
        <v>162</v>
      </c>
      <c r="E28" s="5">
        <v>19945</v>
      </c>
      <c r="F28" s="6">
        <v>209.42250000000001</v>
      </c>
      <c r="G28" s="7">
        <v>1.5216466999999999E-2</v>
      </c>
      <c r="H28" s="112"/>
    </row>
    <row r="29" spans="1:8" x14ac:dyDescent="0.2">
      <c r="A29" s="3">
        <v>23</v>
      </c>
      <c r="B29" s="4" t="s">
        <v>171</v>
      </c>
      <c r="C29" s="4" t="s">
        <v>172</v>
      </c>
      <c r="D29" s="4" t="s">
        <v>173</v>
      </c>
      <c r="E29" s="5">
        <v>14694</v>
      </c>
      <c r="F29" s="6">
        <v>205.20170999999999</v>
      </c>
      <c r="G29" s="7">
        <v>1.4909788E-2</v>
      </c>
      <c r="H29" s="112"/>
    </row>
    <row r="30" spans="1:8" ht="25.5" x14ac:dyDescent="0.2">
      <c r="A30" s="3">
        <v>24</v>
      </c>
      <c r="B30" s="4" t="s">
        <v>181</v>
      </c>
      <c r="C30" s="4" t="s">
        <v>931</v>
      </c>
      <c r="D30" s="4" t="s">
        <v>45</v>
      </c>
      <c r="E30" s="5">
        <v>85861</v>
      </c>
      <c r="F30" s="6">
        <v>200.35664349999999</v>
      </c>
      <c r="G30" s="7">
        <v>1.4557749E-2</v>
      </c>
      <c r="H30" s="112"/>
    </row>
    <row r="31" spans="1:8" x14ac:dyDescent="0.2">
      <c r="A31" s="3">
        <v>25</v>
      </c>
      <c r="B31" s="4" t="s">
        <v>179</v>
      </c>
      <c r="C31" s="4" t="s">
        <v>180</v>
      </c>
      <c r="D31" s="4" t="s">
        <v>71</v>
      </c>
      <c r="E31" s="5">
        <v>19380</v>
      </c>
      <c r="F31" s="6">
        <v>198.72252</v>
      </c>
      <c r="G31" s="7">
        <v>1.4439014999999999E-2</v>
      </c>
      <c r="H31" s="112"/>
    </row>
    <row r="32" spans="1:8" x14ac:dyDescent="0.2">
      <c r="A32" s="3">
        <v>26</v>
      </c>
      <c r="B32" s="4" t="s">
        <v>193</v>
      </c>
      <c r="C32" s="4" t="s">
        <v>194</v>
      </c>
      <c r="D32" s="4" t="s">
        <v>16</v>
      </c>
      <c r="E32" s="5">
        <v>63875</v>
      </c>
      <c r="F32" s="6">
        <v>198.268</v>
      </c>
      <c r="G32" s="7">
        <v>1.440599E-2</v>
      </c>
      <c r="H32" s="112"/>
    </row>
    <row r="33" spans="1:8" x14ac:dyDescent="0.2">
      <c r="A33" s="3">
        <v>27</v>
      </c>
      <c r="B33" s="4" t="s">
        <v>187</v>
      </c>
      <c r="C33" s="4" t="s">
        <v>188</v>
      </c>
      <c r="D33" s="4" t="s">
        <v>189</v>
      </c>
      <c r="E33" s="5">
        <v>86836</v>
      </c>
      <c r="F33" s="6">
        <v>195.902016</v>
      </c>
      <c r="G33" s="7">
        <v>1.423408E-2</v>
      </c>
      <c r="H33" s="112"/>
    </row>
    <row r="34" spans="1:8" x14ac:dyDescent="0.2">
      <c r="A34" s="3">
        <v>28</v>
      </c>
      <c r="B34" s="4" t="s">
        <v>182</v>
      </c>
      <c r="C34" s="4" t="s">
        <v>183</v>
      </c>
      <c r="D34" s="4" t="s">
        <v>162</v>
      </c>
      <c r="E34" s="5">
        <v>18324</v>
      </c>
      <c r="F34" s="6">
        <v>195.74612999999999</v>
      </c>
      <c r="G34" s="7">
        <v>1.4222752999999999E-2</v>
      </c>
      <c r="H34" s="112"/>
    </row>
    <row r="35" spans="1:8" x14ac:dyDescent="0.2">
      <c r="A35" s="3">
        <v>29</v>
      </c>
      <c r="B35" s="4" t="s">
        <v>184</v>
      </c>
      <c r="C35" s="4" t="s">
        <v>185</v>
      </c>
      <c r="D35" s="4" t="s">
        <v>186</v>
      </c>
      <c r="E35" s="5">
        <v>41878</v>
      </c>
      <c r="F35" s="6">
        <v>195.109602</v>
      </c>
      <c r="G35" s="7">
        <v>1.4176503E-2</v>
      </c>
      <c r="H35" s="112"/>
    </row>
    <row r="36" spans="1:8" ht="25.5" x14ac:dyDescent="0.2">
      <c r="A36" s="3">
        <v>30</v>
      </c>
      <c r="B36" s="4" t="s">
        <v>190</v>
      </c>
      <c r="C36" s="4" t="s">
        <v>191</v>
      </c>
      <c r="D36" s="4" t="s">
        <v>192</v>
      </c>
      <c r="E36" s="5">
        <v>37245</v>
      </c>
      <c r="F36" s="6">
        <v>194.8472175</v>
      </c>
      <c r="G36" s="7">
        <v>1.4157439000000001E-2</v>
      </c>
      <c r="H36" s="112"/>
    </row>
    <row r="37" spans="1:8" x14ac:dyDescent="0.2">
      <c r="A37" s="3">
        <v>31</v>
      </c>
      <c r="B37" s="4" t="s">
        <v>199</v>
      </c>
      <c r="C37" s="4" t="s">
        <v>200</v>
      </c>
      <c r="D37" s="4" t="s">
        <v>64</v>
      </c>
      <c r="E37" s="5">
        <v>180584</v>
      </c>
      <c r="F37" s="6">
        <v>189.071448</v>
      </c>
      <c r="G37" s="7">
        <v>1.3737776E-2</v>
      </c>
      <c r="H37" s="112"/>
    </row>
    <row r="38" spans="1:8" ht="25.5" x14ac:dyDescent="0.2">
      <c r="A38" s="3">
        <v>32</v>
      </c>
      <c r="B38" s="4" t="s">
        <v>197</v>
      </c>
      <c r="C38" s="4" t="s">
        <v>198</v>
      </c>
      <c r="D38" s="4" t="s">
        <v>971</v>
      </c>
      <c r="E38" s="5">
        <v>78693</v>
      </c>
      <c r="F38" s="6">
        <v>187.99757700000001</v>
      </c>
      <c r="G38" s="7">
        <v>1.3659749000000001E-2</v>
      </c>
      <c r="H38" s="112"/>
    </row>
    <row r="39" spans="1:8" x14ac:dyDescent="0.2">
      <c r="A39" s="3">
        <v>33</v>
      </c>
      <c r="B39" s="4" t="s">
        <v>203</v>
      </c>
      <c r="C39" s="4" t="s">
        <v>204</v>
      </c>
      <c r="D39" s="4" t="s">
        <v>81</v>
      </c>
      <c r="E39" s="5">
        <v>28818</v>
      </c>
      <c r="F39" s="6">
        <v>180.645633</v>
      </c>
      <c r="G39" s="7">
        <v>1.3125563E-2</v>
      </c>
      <c r="H39" s="112"/>
    </row>
    <row r="40" spans="1:8" x14ac:dyDescent="0.2">
      <c r="A40" s="3">
        <v>34</v>
      </c>
      <c r="B40" s="4" t="s">
        <v>205</v>
      </c>
      <c r="C40" s="4" t="s">
        <v>206</v>
      </c>
      <c r="D40" s="4" t="s">
        <v>975</v>
      </c>
      <c r="E40" s="5">
        <v>20000</v>
      </c>
      <c r="F40" s="6">
        <v>173.27</v>
      </c>
      <c r="G40" s="7">
        <v>1.2589655999999999E-2</v>
      </c>
      <c r="H40" s="112"/>
    </row>
    <row r="41" spans="1:8" x14ac:dyDescent="0.2">
      <c r="A41" s="3">
        <v>35</v>
      </c>
      <c r="B41" s="4" t="s">
        <v>215</v>
      </c>
      <c r="C41" s="4" t="s">
        <v>216</v>
      </c>
      <c r="D41" s="4" t="s">
        <v>53</v>
      </c>
      <c r="E41" s="5">
        <v>71613</v>
      </c>
      <c r="F41" s="6">
        <v>168.50538900000001</v>
      </c>
      <c r="G41" s="7">
        <v>1.2243463E-2</v>
      </c>
      <c r="H41" s="112"/>
    </row>
    <row r="42" spans="1:8" x14ac:dyDescent="0.2">
      <c r="A42" s="3">
        <v>36</v>
      </c>
      <c r="B42" s="4" t="s">
        <v>207</v>
      </c>
      <c r="C42" s="4" t="s">
        <v>208</v>
      </c>
      <c r="D42" s="4" t="s">
        <v>209</v>
      </c>
      <c r="E42" s="5">
        <v>36074</v>
      </c>
      <c r="F42" s="6">
        <v>167.99661800000001</v>
      </c>
      <c r="G42" s="7">
        <v>1.2206496000000001E-2</v>
      </c>
      <c r="H42" s="112"/>
    </row>
    <row r="43" spans="1:8" x14ac:dyDescent="0.2">
      <c r="A43" s="3">
        <v>37</v>
      </c>
      <c r="B43" s="4" t="s">
        <v>210</v>
      </c>
      <c r="C43" s="4" t="s">
        <v>211</v>
      </c>
      <c r="D43" s="4" t="s">
        <v>212</v>
      </c>
      <c r="E43" s="5">
        <v>67193</v>
      </c>
      <c r="F43" s="6">
        <v>166.77302599999999</v>
      </c>
      <c r="G43" s="7">
        <v>1.2117591E-2</v>
      </c>
      <c r="H43" s="112"/>
    </row>
    <row r="44" spans="1:8" x14ac:dyDescent="0.2">
      <c r="A44" s="3">
        <v>38</v>
      </c>
      <c r="B44" s="4" t="s">
        <v>219</v>
      </c>
      <c r="C44" s="4" t="s">
        <v>220</v>
      </c>
      <c r="D44" s="4" t="s">
        <v>64</v>
      </c>
      <c r="E44" s="5">
        <v>16637</v>
      </c>
      <c r="F44" s="6">
        <v>160.38899850000001</v>
      </c>
      <c r="G44" s="7">
        <v>1.1653732999999999E-2</v>
      </c>
      <c r="H44" s="112"/>
    </row>
    <row r="45" spans="1:8" x14ac:dyDescent="0.2">
      <c r="A45" s="3">
        <v>39</v>
      </c>
      <c r="B45" s="4" t="s">
        <v>213</v>
      </c>
      <c r="C45" s="4" t="s">
        <v>214</v>
      </c>
      <c r="D45" s="4" t="s">
        <v>977</v>
      </c>
      <c r="E45" s="5">
        <v>27373</v>
      </c>
      <c r="F45" s="6">
        <v>158.845519</v>
      </c>
      <c r="G45" s="7">
        <v>1.1541585E-2</v>
      </c>
      <c r="H45" s="112"/>
    </row>
    <row r="46" spans="1:8" x14ac:dyDescent="0.2">
      <c r="A46" s="3">
        <v>40</v>
      </c>
      <c r="B46" s="4" t="s">
        <v>287</v>
      </c>
      <c r="C46" s="4" t="s">
        <v>288</v>
      </c>
      <c r="D46" s="4" t="s">
        <v>27</v>
      </c>
      <c r="E46" s="5">
        <v>14769</v>
      </c>
      <c r="F46" s="6">
        <v>158.7741345</v>
      </c>
      <c r="G46" s="7">
        <v>1.1536398E-2</v>
      </c>
      <c r="H46" s="112"/>
    </row>
    <row r="47" spans="1:8" x14ac:dyDescent="0.2">
      <c r="A47" s="3">
        <v>41</v>
      </c>
      <c r="B47" s="4" t="s">
        <v>221</v>
      </c>
      <c r="C47" s="4" t="s">
        <v>222</v>
      </c>
      <c r="D47" s="4" t="s">
        <v>173</v>
      </c>
      <c r="E47" s="5">
        <v>17673</v>
      </c>
      <c r="F47" s="6">
        <v>152.323587</v>
      </c>
      <c r="G47" s="7">
        <v>1.1067707E-2</v>
      </c>
      <c r="H47" s="112"/>
    </row>
    <row r="48" spans="1:8" x14ac:dyDescent="0.2">
      <c r="A48" s="3">
        <v>42</v>
      </c>
      <c r="B48" s="4" t="s">
        <v>223</v>
      </c>
      <c r="C48" s="4" t="s">
        <v>224</v>
      </c>
      <c r="D48" s="4" t="s">
        <v>27</v>
      </c>
      <c r="E48" s="5">
        <v>8337</v>
      </c>
      <c r="F48" s="6">
        <v>149.89509150000001</v>
      </c>
      <c r="G48" s="7">
        <v>1.0891254E-2</v>
      </c>
      <c r="H48" s="112"/>
    </row>
    <row r="49" spans="1:8" x14ac:dyDescent="0.2">
      <c r="A49" s="3">
        <v>43</v>
      </c>
      <c r="B49" s="4" t="s">
        <v>227</v>
      </c>
      <c r="C49" s="4" t="s">
        <v>228</v>
      </c>
      <c r="D49" s="4" t="s">
        <v>974</v>
      </c>
      <c r="E49" s="5">
        <v>8249</v>
      </c>
      <c r="F49" s="6">
        <v>140.5423375</v>
      </c>
      <c r="G49" s="7">
        <v>1.0211691E-2</v>
      </c>
      <c r="H49" s="112"/>
    </row>
    <row r="50" spans="1:8" ht="25.5" x14ac:dyDescent="0.2">
      <c r="A50" s="3">
        <v>44</v>
      </c>
      <c r="B50" s="4" t="s">
        <v>233</v>
      </c>
      <c r="C50" s="4" t="s">
        <v>234</v>
      </c>
      <c r="D50" s="4" t="s">
        <v>147</v>
      </c>
      <c r="E50" s="5">
        <v>29589</v>
      </c>
      <c r="F50" s="6">
        <v>136.286934</v>
      </c>
      <c r="G50" s="7">
        <v>9.9024969999999997E-3</v>
      </c>
      <c r="H50" s="112"/>
    </row>
    <row r="51" spans="1:8" x14ac:dyDescent="0.2">
      <c r="A51" s="3">
        <v>45</v>
      </c>
      <c r="B51" s="4" t="s">
        <v>231</v>
      </c>
      <c r="C51" s="4" t="s">
        <v>232</v>
      </c>
      <c r="D51" s="4" t="s">
        <v>71</v>
      </c>
      <c r="E51" s="5">
        <v>48497</v>
      </c>
      <c r="F51" s="6">
        <v>135.4763695</v>
      </c>
      <c r="G51" s="7">
        <v>9.8436019999999999E-3</v>
      </c>
      <c r="H51" s="112"/>
    </row>
    <row r="52" spans="1:8" ht="25.5" x14ac:dyDescent="0.2">
      <c r="A52" s="3">
        <v>46</v>
      </c>
      <c r="B52" s="4" t="s">
        <v>229</v>
      </c>
      <c r="C52" s="4" t="s">
        <v>230</v>
      </c>
      <c r="D52" s="4" t="s">
        <v>71</v>
      </c>
      <c r="E52" s="5">
        <v>6492</v>
      </c>
      <c r="F52" s="6">
        <v>134.57916</v>
      </c>
      <c r="G52" s="7">
        <v>9.7784110000000007E-3</v>
      </c>
      <c r="H52" s="112"/>
    </row>
    <row r="53" spans="1:8" ht="25.5" x14ac:dyDescent="0.2">
      <c r="A53" s="3">
        <v>47</v>
      </c>
      <c r="B53" s="4" t="s">
        <v>235</v>
      </c>
      <c r="C53" s="4" t="s">
        <v>236</v>
      </c>
      <c r="D53" s="4" t="s">
        <v>192</v>
      </c>
      <c r="E53" s="5">
        <v>29335</v>
      </c>
      <c r="F53" s="6">
        <v>134.04628249999999</v>
      </c>
      <c r="G53" s="7">
        <v>9.7396930000000007E-3</v>
      </c>
      <c r="H53" s="112"/>
    </row>
    <row r="54" spans="1:8" x14ac:dyDescent="0.2">
      <c r="A54" s="3">
        <v>48</v>
      </c>
      <c r="B54" s="4" t="s">
        <v>238</v>
      </c>
      <c r="C54" s="4" t="s">
        <v>239</v>
      </c>
      <c r="D54" s="4" t="s">
        <v>186</v>
      </c>
      <c r="E54" s="5">
        <v>25404</v>
      </c>
      <c r="F54" s="6">
        <v>131.03383199999999</v>
      </c>
      <c r="G54" s="7">
        <v>9.5208110000000006E-3</v>
      </c>
      <c r="H54" s="112"/>
    </row>
    <row r="55" spans="1:8" x14ac:dyDescent="0.2">
      <c r="A55" s="3">
        <v>49</v>
      </c>
      <c r="B55" s="4" t="s">
        <v>242</v>
      </c>
      <c r="C55" s="4" t="s">
        <v>243</v>
      </c>
      <c r="D55" s="4" t="s">
        <v>334</v>
      </c>
      <c r="E55" s="5">
        <v>10857</v>
      </c>
      <c r="F55" s="6">
        <v>130.012575</v>
      </c>
      <c r="G55" s="7">
        <v>9.4466069999999992E-3</v>
      </c>
      <c r="H55" s="112"/>
    </row>
    <row r="56" spans="1:8" x14ac:dyDescent="0.2">
      <c r="A56" s="3">
        <v>50</v>
      </c>
      <c r="B56" s="4" t="s">
        <v>240</v>
      </c>
      <c r="C56" s="4" t="s">
        <v>241</v>
      </c>
      <c r="D56" s="4" t="s">
        <v>81</v>
      </c>
      <c r="E56" s="5">
        <v>233311</v>
      </c>
      <c r="F56" s="6">
        <v>128.554361</v>
      </c>
      <c r="G56" s="7">
        <v>9.3406540000000003E-3</v>
      </c>
      <c r="H56" s="112"/>
    </row>
    <row r="57" spans="1:8" x14ac:dyDescent="0.2">
      <c r="A57" s="3">
        <v>51</v>
      </c>
      <c r="B57" s="4" t="s">
        <v>158</v>
      </c>
      <c r="C57" s="4" t="s">
        <v>159</v>
      </c>
      <c r="D57" s="4" t="s">
        <v>979</v>
      </c>
      <c r="E57" s="5">
        <v>57967</v>
      </c>
      <c r="F57" s="6">
        <v>127.643334</v>
      </c>
      <c r="G57" s="7">
        <v>9.27446E-3</v>
      </c>
      <c r="H57" s="112"/>
    </row>
    <row r="58" spans="1:8" x14ac:dyDescent="0.2">
      <c r="A58" s="3">
        <v>52</v>
      </c>
      <c r="B58" s="4" t="s">
        <v>244</v>
      </c>
      <c r="C58" s="4" t="s">
        <v>245</v>
      </c>
      <c r="D58" s="4" t="s">
        <v>173</v>
      </c>
      <c r="E58" s="5">
        <v>32351</v>
      </c>
      <c r="F58" s="6">
        <v>127.592344</v>
      </c>
      <c r="G58" s="7">
        <v>9.2707550000000003E-3</v>
      </c>
      <c r="H58" s="112"/>
    </row>
    <row r="59" spans="1:8" ht="25.5" x14ac:dyDescent="0.2">
      <c r="A59" s="3">
        <v>53</v>
      </c>
      <c r="B59" s="4" t="s">
        <v>246</v>
      </c>
      <c r="C59" s="4" t="s">
        <v>247</v>
      </c>
      <c r="D59" s="4" t="s">
        <v>978</v>
      </c>
      <c r="E59" s="5">
        <v>118261</v>
      </c>
      <c r="F59" s="6">
        <v>124.647094</v>
      </c>
      <c r="G59" s="7">
        <v>9.0567549999999997E-3</v>
      </c>
      <c r="H59" s="112"/>
    </row>
    <row r="60" spans="1:8" x14ac:dyDescent="0.2">
      <c r="A60" s="3">
        <v>54</v>
      </c>
      <c r="B60" s="4" t="s">
        <v>254</v>
      </c>
      <c r="C60" s="4" t="s">
        <v>255</v>
      </c>
      <c r="D60" s="4" t="s">
        <v>162</v>
      </c>
      <c r="E60" s="5">
        <v>9462</v>
      </c>
      <c r="F60" s="6">
        <v>120.58372799999999</v>
      </c>
      <c r="G60" s="7">
        <v>8.7615149999999992E-3</v>
      </c>
      <c r="H60" s="112"/>
    </row>
    <row r="61" spans="1:8" x14ac:dyDescent="0.2">
      <c r="A61" s="3">
        <v>55</v>
      </c>
      <c r="B61" s="4" t="s">
        <v>248</v>
      </c>
      <c r="C61" s="4" t="s">
        <v>249</v>
      </c>
      <c r="D61" s="4" t="s">
        <v>186</v>
      </c>
      <c r="E61" s="5">
        <v>7157</v>
      </c>
      <c r="F61" s="6">
        <v>120.10519549999999</v>
      </c>
      <c r="G61" s="7">
        <v>8.7267449999999993E-3</v>
      </c>
      <c r="H61" s="112"/>
    </row>
    <row r="62" spans="1:8" x14ac:dyDescent="0.2">
      <c r="A62" s="3">
        <v>56</v>
      </c>
      <c r="B62" s="4" t="s">
        <v>69</v>
      </c>
      <c r="C62" s="4" t="s">
        <v>70</v>
      </c>
      <c r="D62" s="4" t="s">
        <v>71</v>
      </c>
      <c r="E62" s="5">
        <v>3600</v>
      </c>
      <c r="F62" s="6">
        <v>119.00700000000001</v>
      </c>
      <c r="G62" s="7">
        <v>8.6469509999999999E-3</v>
      </c>
      <c r="H62" s="112"/>
    </row>
    <row r="63" spans="1:8" ht="25.5" x14ac:dyDescent="0.2">
      <c r="A63" s="3">
        <v>57</v>
      </c>
      <c r="B63" s="4" t="s">
        <v>250</v>
      </c>
      <c r="C63" s="4" t="s">
        <v>251</v>
      </c>
      <c r="D63" s="4" t="s">
        <v>192</v>
      </c>
      <c r="E63" s="5">
        <v>30826</v>
      </c>
      <c r="F63" s="6">
        <v>117.29293</v>
      </c>
      <c r="G63" s="7">
        <v>8.5224080000000004E-3</v>
      </c>
      <c r="H63" s="112"/>
    </row>
    <row r="64" spans="1:8" x14ac:dyDescent="0.2">
      <c r="A64" s="3">
        <v>58</v>
      </c>
      <c r="B64" s="4" t="s">
        <v>252</v>
      </c>
      <c r="C64" s="4" t="s">
        <v>253</v>
      </c>
      <c r="D64" s="4" t="s">
        <v>34</v>
      </c>
      <c r="E64" s="5">
        <v>90749</v>
      </c>
      <c r="F64" s="6">
        <v>114.5706125</v>
      </c>
      <c r="G64" s="7">
        <v>8.3246069999999995E-3</v>
      </c>
      <c r="H64" s="112"/>
    </row>
    <row r="65" spans="1:8" x14ac:dyDescent="0.2">
      <c r="A65" s="3">
        <v>59</v>
      </c>
      <c r="B65" s="4" t="s">
        <v>256</v>
      </c>
      <c r="C65" s="4" t="s">
        <v>257</v>
      </c>
      <c r="D65" s="4" t="s">
        <v>186</v>
      </c>
      <c r="E65" s="5">
        <v>21563</v>
      </c>
      <c r="F65" s="6">
        <v>109.66941799999999</v>
      </c>
      <c r="G65" s="7">
        <v>7.9684899999999999E-3</v>
      </c>
      <c r="H65" s="112"/>
    </row>
    <row r="66" spans="1:8" x14ac:dyDescent="0.2">
      <c r="A66" s="3">
        <v>60</v>
      </c>
      <c r="B66" s="4" t="s">
        <v>258</v>
      </c>
      <c r="C66" s="4" t="s">
        <v>259</v>
      </c>
      <c r="D66" s="4" t="s">
        <v>53</v>
      </c>
      <c r="E66" s="5">
        <v>9967</v>
      </c>
      <c r="F66" s="6">
        <v>95.354288999999994</v>
      </c>
      <c r="G66" s="7">
        <v>6.9283640000000002E-3</v>
      </c>
      <c r="H66" s="112"/>
    </row>
    <row r="67" spans="1:8" x14ac:dyDescent="0.2">
      <c r="A67" s="3">
        <v>61</v>
      </c>
      <c r="B67" s="4" t="s">
        <v>260</v>
      </c>
      <c r="C67" s="4" t="s">
        <v>261</v>
      </c>
      <c r="D67" s="4" t="s">
        <v>173</v>
      </c>
      <c r="E67" s="5">
        <v>14660</v>
      </c>
      <c r="F67" s="6">
        <v>88.31917</v>
      </c>
      <c r="G67" s="7">
        <v>6.4171979999999998E-3</v>
      </c>
      <c r="H67" s="112"/>
    </row>
    <row r="68" spans="1:8" x14ac:dyDescent="0.2">
      <c r="A68" s="3">
        <v>62</v>
      </c>
      <c r="B68" s="4" t="s">
        <v>264</v>
      </c>
      <c r="C68" s="4" t="s">
        <v>265</v>
      </c>
      <c r="D68" s="4" t="s">
        <v>266</v>
      </c>
      <c r="E68" s="5">
        <v>35518</v>
      </c>
      <c r="F68" s="6">
        <v>81.531569000000005</v>
      </c>
      <c r="G68" s="7">
        <v>5.9240170000000002E-3</v>
      </c>
      <c r="H68" s="112"/>
    </row>
    <row r="69" spans="1:8" x14ac:dyDescent="0.2">
      <c r="A69" s="3">
        <v>63</v>
      </c>
      <c r="B69" s="4" t="s">
        <v>269</v>
      </c>
      <c r="C69" s="4" t="s">
        <v>270</v>
      </c>
      <c r="D69" s="4" t="s">
        <v>186</v>
      </c>
      <c r="E69" s="5">
        <v>1484</v>
      </c>
      <c r="F69" s="6">
        <v>80.48845</v>
      </c>
      <c r="G69" s="7">
        <v>5.8482250000000003E-3</v>
      </c>
      <c r="H69" s="112"/>
    </row>
    <row r="70" spans="1:8" x14ac:dyDescent="0.2">
      <c r="A70" s="3">
        <v>64</v>
      </c>
      <c r="B70" s="4" t="s">
        <v>267</v>
      </c>
      <c r="C70" s="4" t="s">
        <v>268</v>
      </c>
      <c r="D70" s="4" t="s">
        <v>19</v>
      </c>
      <c r="E70" s="5">
        <v>86786</v>
      </c>
      <c r="F70" s="6">
        <v>78.801687999999999</v>
      </c>
      <c r="G70" s="7">
        <v>5.7256659999999999E-3</v>
      </c>
      <c r="H70" s="112"/>
    </row>
    <row r="71" spans="1:8" x14ac:dyDescent="0.2">
      <c r="A71" s="3">
        <v>65</v>
      </c>
      <c r="B71" s="4" t="s">
        <v>271</v>
      </c>
      <c r="C71" s="4" t="s">
        <v>272</v>
      </c>
      <c r="D71" s="4" t="s">
        <v>147</v>
      </c>
      <c r="E71" s="5">
        <v>11640</v>
      </c>
      <c r="F71" s="6">
        <v>75.729839999999996</v>
      </c>
      <c r="G71" s="7">
        <v>5.5024679999999999E-3</v>
      </c>
      <c r="H71" s="112"/>
    </row>
    <row r="72" spans="1:8" x14ac:dyDescent="0.2">
      <c r="A72" s="3">
        <v>66</v>
      </c>
      <c r="B72" s="4" t="s">
        <v>262</v>
      </c>
      <c r="C72" s="4" t="s">
        <v>263</v>
      </c>
      <c r="D72" s="4" t="s">
        <v>977</v>
      </c>
      <c r="E72" s="5">
        <v>50412</v>
      </c>
      <c r="F72" s="6">
        <v>72.618486000000004</v>
      </c>
      <c r="G72" s="7">
        <v>5.2763999999999997E-3</v>
      </c>
      <c r="H72" s="112"/>
    </row>
    <row r="73" spans="1:8" x14ac:dyDescent="0.2">
      <c r="A73" s="3">
        <v>67</v>
      </c>
      <c r="B73" s="4" t="s">
        <v>273</v>
      </c>
      <c r="C73" s="4" t="s">
        <v>274</v>
      </c>
      <c r="D73" s="4" t="s">
        <v>71</v>
      </c>
      <c r="E73" s="5">
        <v>48706</v>
      </c>
      <c r="F73" s="6">
        <v>64.925098000000006</v>
      </c>
      <c r="G73" s="7">
        <v>4.7174039999999997E-3</v>
      </c>
      <c r="H73" s="112"/>
    </row>
    <row r="74" spans="1:8" x14ac:dyDescent="0.2">
      <c r="A74" s="3">
        <v>68</v>
      </c>
      <c r="B74" s="4" t="s">
        <v>275</v>
      </c>
      <c r="C74" s="4" t="s">
        <v>276</v>
      </c>
      <c r="D74" s="4" t="s">
        <v>162</v>
      </c>
      <c r="E74" s="5">
        <v>14056</v>
      </c>
      <c r="F74" s="6">
        <v>58.205896000000003</v>
      </c>
      <c r="G74" s="7">
        <v>4.229193E-3</v>
      </c>
      <c r="H74" s="112"/>
    </row>
    <row r="75" spans="1:8" ht="38.25" x14ac:dyDescent="0.2">
      <c r="A75" s="3">
        <v>69</v>
      </c>
      <c r="B75" s="4" t="s">
        <v>289</v>
      </c>
      <c r="C75" s="4" t="s">
        <v>290</v>
      </c>
      <c r="D75" s="4" t="s">
        <v>972</v>
      </c>
      <c r="E75" s="5">
        <v>5016</v>
      </c>
      <c r="F75" s="6">
        <v>56.43</v>
      </c>
      <c r="G75" s="7">
        <v>4.1001570000000001E-3</v>
      </c>
      <c r="H75" s="112"/>
    </row>
    <row r="76" spans="1:8" x14ac:dyDescent="0.2">
      <c r="A76" s="3">
        <v>70</v>
      </c>
      <c r="B76" s="4" t="s">
        <v>277</v>
      </c>
      <c r="C76" s="4" t="s">
        <v>278</v>
      </c>
      <c r="D76" s="4" t="s">
        <v>186</v>
      </c>
      <c r="E76" s="5">
        <v>17716</v>
      </c>
      <c r="F76" s="6">
        <v>54.636144000000002</v>
      </c>
      <c r="G76" s="7">
        <v>3.9698169999999996E-3</v>
      </c>
      <c r="H76" s="112"/>
    </row>
    <row r="77" spans="1:8" x14ac:dyDescent="0.2">
      <c r="A77" s="3">
        <v>71</v>
      </c>
      <c r="B77" s="4" t="s">
        <v>279</v>
      </c>
      <c r="C77" s="4" t="s">
        <v>280</v>
      </c>
      <c r="D77" s="4" t="s">
        <v>147</v>
      </c>
      <c r="E77" s="5">
        <v>3966</v>
      </c>
      <c r="F77" s="6">
        <v>51.932786999999998</v>
      </c>
      <c r="G77" s="7">
        <v>3.7733939999999998E-3</v>
      </c>
      <c r="H77" s="112"/>
    </row>
    <row r="78" spans="1:8" ht="25.5" x14ac:dyDescent="0.2">
      <c r="A78" s="3">
        <v>72</v>
      </c>
      <c r="B78" s="4" t="s">
        <v>92</v>
      </c>
      <c r="C78" s="4" t="s">
        <v>93</v>
      </c>
      <c r="D78" s="4" t="s">
        <v>45</v>
      </c>
      <c r="E78" s="5">
        <v>7764</v>
      </c>
      <c r="F78" s="6">
        <v>51.576251999999997</v>
      </c>
      <c r="G78" s="7">
        <v>3.7474880000000002E-3</v>
      </c>
      <c r="H78" s="112"/>
    </row>
    <row r="79" spans="1:8" x14ac:dyDescent="0.2">
      <c r="A79" s="3">
        <v>73</v>
      </c>
      <c r="B79" s="4" t="s">
        <v>62</v>
      </c>
      <c r="C79" s="4" t="s">
        <v>63</v>
      </c>
      <c r="D79" s="4" t="s">
        <v>64</v>
      </c>
      <c r="E79" s="5">
        <v>27635</v>
      </c>
      <c r="F79" s="6">
        <v>45.418122500000003</v>
      </c>
      <c r="G79" s="7">
        <v>3.3000429999999999E-3</v>
      </c>
      <c r="H79" s="112"/>
    </row>
    <row r="80" spans="1:8" x14ac:dyDescent="0.2">
      <c r="A80" s="3">
        <v>74</v>
      </c>
      <c r="B80" s="4" t="s">
        <v>281</v>
      </c>
      <c r="C80" s="4" t="s">
        <v>282</v>
      </c>
      <c r="D80" s="4" t="s">
        <v>334</v>
      </c>
      <c r="E80" s="5">
        <v>4157</v>
      </c>
      <c r="F80" s="6">
        <v>33.1541535</v>
      </c>
      <c r="G80" s="7">
        <v>2.408954E-3</v>
      </c>
      <c r="H80" s="112"/>
    </row>
    <row r="81" spans="1:8" x14ac:dyDescent="0.2">
      <c r="A81" s="3">
        <v>75</v>
      </c>
      <c r="B81" s="4" t="s">
        <v>291</v>
      </c>
      <c r="C81" s="4" t="s">
        <v>292</v>
      </c>
      <c r="D81" s="4" t="s">
        <v>27</v>
      </c>
      <c r="E81" s="5">
        <v>6866</v>
      </c>
      <c r="F81" s="6">
        <v>23.680834000000001</v>
      </c>
      <c r="G81" s="7">
        <v>1.7206299999999999E-3</v>
      </c>
      <c r="H81" s="112"/>
    </row>
    <row r="82" spans="1:8" x14ac:dyDescent="0.2">
      <c r="A82" s="3">
        <v>76</v>
      </c>
      <c r="B82" s="4" t="s">
        <v>283</v>
      </c>
      <c r="C82" s="4" t="s">
        <v>284</v>
      </c>
      <c r="D82" s="4" t="s">
        <v>19</v>
      </c>
      <c r="E82" s="5">
        <v>21698</v>
      </c>
      <c r="F82" s="6">
        <v>13.940965</v>
      </c>
      <c r="G82" s="7">
        <v>1.012939E-3</v>
      </c>
      <c r="H82" s="112"/>
    </row>
    <row r="83" spans="1:8" x14ac:dyDescent="0.2">
      <c r="A83" s="1"/>
      <c r="B83" s="1"/>
      <c r="C83" s="2" t="s">
        <v>97</v>
      </c>
      <c r="D83" s="1"/>
      <c r="E83" s="1" t="s">
        <v>98</v>
      </c>
      <c r="F83" s="9">
        <v>12995.725257</v>
      </c>
      <c r="G83" s="10">
        <v>0.94425872399999999</v>
      </c>
      <c r="H83" s="112"/>
    </row>
    <row r="84" spans="1:8" x14ac:dyDescent="0.2">
      <c r="A84" s="1"/>
      <c r="B84" s="1"/>
      <c r="C84" s="11"/>
      <c r="D84" s="1"/>
      <c r="E84" s="1"/>
      <c r="F84" s="12"/>
      <c r="G84" s="12"/>
      <c r="H84" s="112"/>
    </row>
    <row r="85" spans="1:8" x14ac:dyDescent="0.2">
      <c r="A85" s="1"/>
      <c r="B85" s="1"/>
      <c r="C85" s="2" t="s">
        <v>99</v>
      </c>
      <c r="D85" s="1"/>
      <c r="E85" s="1"/>
      <c r="F85" s="1"/>
      <c r="G85" s="1"/>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100</v>
      </c>
      <c r="D88" s="1"/>
      <c r="E88" s="1"/>
      <c r="F88" s="1"/>
      <c r="G88" s="1"/>
      <c r="H88" s="112"/>
    </row>
    <row r="89" spans="1:8" x14ac:dyDescent="0.2">
      <c r="A89" s="1"/>
      <c r="B89" s="1"/>
      <c r="C89" s="2" t="s">
        <v>97</v>
      </c>
      <c r="D89" s="1"/>
      <c r="E89" s="1" t="s">
        <v>98</v>
      </c>
      <c r="F89" s="13">
        <v>0</v>
      </c>
      <c r="G89" s="14">
        <v>0</v>
      </c>
      <c r="H89" s="112"/>
    </row>
    <row r="90" spans="1:8" x14ac:dyDescent="0.2">
      <c r="A90" s="1"/>
      <c r="B90" s="1"/>
      <c r="C90" s="11"/>
      <c r="D90" s="1"/>
      <c r="E90" s="1"/>
      <c r="F90" s="12"/>
      <c r="G90" s="12"/>
      <c r="H90" s="112"/>
    </row>
    <row r="91" spans="1:8" x14ac:dyDescent="0.2">
      <c r="A91" s="1"/>
      <c r="B91" s="1"/>
      <c r="C91" s="2" t="s">
        <v>101</v>
      </c>
      <c r="D91" s="1"/>
      <c r="E91" s="1"/>
      <c r="F91" s="1"/>
      <c r="G91" s="1"/>
      <c r="H91" s="112"/>
    </row>
    <row r="92" spans="1:8" x14ac:dyDescent="0.2">
      <c r="A92" s="1"/>
      <c r="B92" s="1"/>
      <c r="C92" s="2" t="s">
        <v>97</v>
      </c>
      <c r="D92" s="1"/>
      <c r="E92" s="1" t="s">
        <v>98</v>
      </c>
      <c r="F92" s="13">
        <v>0</v>
      </c>
      <c r="G92" s="14">
        <v>0</v>
      </c>
      <c r="H92" s="112"/>
    </row>
    <row r="93" spans="1:8" x14ac:dyDescent="0.2">
      <c r="A93" s="1"/>
      <c r="B93" s="1"/>
      <c r="C93" s="11"/>
      <c r="D93" s="1"/>
      <c r="E93" s="1"/>
      <c r="F93" s="12"/>
      <c r="G93" s="12"/>
      <c r="H93" s="112"/>
    </row>
    <row r="94" spans="1:8" x14ac:dyDescent="0.2">
      <c r="A94" s="1"/>
      <c r="B94" s="1"/>
      <c r="C94" s="2" t="s">
        <v>102</v>
      </c>
      <c r="D94" s="1"/>
      <c r="E94" s="1"/>
      <c r="F94" s="12"/>
      <c r="G94" s="12"/>
      <c r="H94" s="112"/>
    </row>
    <row r="95" spans="1:8" x14ac:dyDescent="0.2">
      <c r="A95" s="1"/>
      <c r="B95" s="1"/>
      <c r="C95" s="2" t="s">
        <v>97</v>
      </c>
      <c r="D95" s="1"/>
      <c r="E95" s="1" t="s">
        <v>98</v>
      </c>
      <c r="F95" s="13">
        <v>0</v>
      </c>
      <c r="G95" s="14">
        <v>0</v>
      </c>
      <c r="H95" s="112"/>
    </row>
    <row r="96" spans="1:8" x14ac:dyDescent="0.2">
      <c r="A96" s="1"/>
      <c r="B96" s="1"/>
      <c r="C96" s="11"/>
      <c r="D96" s="1"/>
      <c r="E96" s="1"/>
      <c r="F96" s="12"/>
      <c r="G96" s="12"/>
      <c r="H96" s="112"/>
    </row>
    <row r="97" spans="1:8" x14ac:dyDescent="0.2">
      <c r="A97" s="1"/>
      <c r="B97" s="1"/>
      <c r="C97" s="2" t="s">
        <v>103</v>
      </c>
      <c r="D97" s="1"/>
      <c r="E97" s="1"/>
      <c r="F97" s="12"/>
      <c r="G97" s="12"/>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104</v>
      </c>
      <c r="D100" s="1"/>
      <c r="E100" s="1"/>
      <c r="F100" s="9">
        <v>12995.725257</v>
      </c>
      <c r="G100" s="10">
        <v>0.94425872025504831</v>
      </c>
      <c r="H100" s="112"/>
    </row>
    <row r="101" spans="1:8" x14ac:dyDescent="0.2">
      <c r="A101" s="1"/>
      <c r="B101" s="1"/>
      <c r="C101" s="11"/>
      <c r="D101" s="1"/>
      <c r="E101" s="1"/>
      <c r="F101" s="12"/>
      <c r="G101" s="12"/>
      <c r="H101" s="112"/>
    </row>
    <row r="102" spans="1:8" x14ac:dyDescent="0.2">
      <c r="A102" s="1"/>
      <c r="B102" s="1"/>
      <c r="C102" s="2" t="s">
        <v>105</v>
      </c>
      <c r="D102" s="1"/>
      <c r="E102" s="1"/>
      <c r="F102" s="12"/>
      <c r="G102" s="12"/>
      <c r="H102" s="112"/>
    </row>
    <row r="103" spans="1:8" ht="25.5" x14ac:dyDescent="0.2">
      <c r="A103" s="1"/>
      <c r="B103" s="1"/>
      <c r="C103" s="2" t="s">
        <v>10</v>
      </c>
      <c r="D103" s="1"/>
      <c r="E103" s="1"/>
      <c r="F103" s="12"/>
      <c r="G103" s="12"/>
      <c r="H103" s="112"/>
    </row>
    <row r="104" spans="1:8" x14ac:dyDescent="0.2">
      <c r="A104" s="1"/>
      <c r="B104" s="1"/>
      <c r="C104" s="2" t="s">
        <v>97</v>
      </c>
      <c r="D104" s="1"/>
      <c r="E104" s="1" t="s">
        <v>98</v>
      </c>
      <c r="F104" s="13">
        <v>0</v>
      </c>
      <c r="G104" s="14">
        <v>0</v>
      </c>
      <c r="H104" s="112"/>
    </row>
    <row r="105" spans="1:8" x14ac:dyDescent="0.2">
      <c r="A105" s="1"/>
      <c r="B105" s="1"/>
      <c r="C105" s="11"/>
      <c r="D105" s="1"/>
      <c r="E105" s="1"/>
      <c r="F105" s="12"/>
      <c r="G105" s="12"/>
      <c r="H105" s="112"/>
    </row>
    <row r="106" spans="1:8" x14ac:dyDescent="0.2">
      <c r="A106" s="1"/>
      <c r="B106" s="1"/>
      <c r="C106" s="2" t="s">
        <v>106</v>
      </c>
      <c r="D106" s="1"/>
      <c r="E106" s="1"/>
      <c r="F106" s="1"/>
      <c r="G106" s="1"/>
      <c r="H106" s="112"/>
    </row>
    <row r="107" spans="1:8" x14ac:dyDescent="0.2">
      <c r="A107" s="1"/>
      <c r="B107" s="1"/>
      <c r="C107" s="2" t="s">
        <v>97</v>
      </c>
      <c r="D107" s="1"/>
      <c r="E107" s="1" t="s">
        <v>98</v>
      </c>
      <c r="F107" s="13">
        <v>0</v>
      </c>
      <c r="G107" s="14">
        <v>0</v>
      </c>
      <c r="H107" s="112"/>
    </row>
    <row r="108" spans="1:8" x14ac:dyDescent="0.2">
      <c r="A108" s="1"/>
      <c r="B108" s="1"/>
      <c r="C108" s="11"/>
      <c r="D108" s="1"/>
      <c r="E108" s="1"/>
      <c r="F108" s="12"/>
      <c r="G108" s="12"/>
      <c r="H108" s="112"/>
    </row>
    <row r="109" spans="1:8" x14ac:dyDescent="0.2">
      <c r="A109" s="1"/>
      <c r="B109" s="1"/>
      <c r="C109" s="2" t="s">
        <v>107</v>
      </c>
      <c r="D109" s="1"/>
      <c r="E109" s="1"/>
      <c r="F109" s="1"/>
      <c r="G109" s="1"/>
      <c r="H109" s="112"/>
    </row>
    <row r="110" spans="1:8" x14ac:dyDescent="0.2">
      <c r="A110" s="1"/>
      <c r="B110" s="1"/>
      <c r="C110" s="2" t="s">
        <v>97</v>
      </c>
      <c r="D110" s="1"/>
      <c r="E110" s="1" t="s">
        <v>98</v>
      </c>
      <c r="F110" s="13">
        <v>0</v>
      </c>
      <c r="G110" s="14">
        <v>0</v>
      </c>
      <c r="H110" s="112"/>
    </row>
    <row r="111" spans="1:8" x14ac:dyDescent="0.2">
      <c r="A111" s="1"/>
      <c r="B111" s="1"/>
      <c r="C111" s="11"/>
      <c r="D111" s="1"/>
      <c r="E111" s="1"/>
      <c r="F111" s="12"/>
      <c r="G111" s="12"/>
      <c r="H111" s="112"/>
    </row>
    <row r="112" spans="1:8" x14ac:dyDescent="0.2">
      <c r="A112" s="1"/>
      <c r="B112" s="1"/>
      <c r="C112" s="2" t="s">
        <v>108</v>
      </c>
      <c r="D112" s="1"/>
      <c r="E112" s="1"/>
      <c r="F112" s="12"/>
      <c r="G112" s="12"/>
      <c r="H112" s="112"/>
    </row>
    <row r="113" spans="1:8" x14ac:dyDescent="0.2">
      <c r="A113" s="1"/>
      <c r="B113" s="1"/>
      <c r="C113" s="2" t="s">
        <v>97</v>
      </c>
      <c r="D113" s="1"/>
      <c r="E113" s="1" t="s">
        <v>98</v>
      </c>
      <c r="F113" s="13">
        <v>0</v>
      </c>
      <c r="G113" s="14">
        <v>0</v>
      </c>
      <c r="H113" s="112"/>
    </row>
    <row r="114" spans="1:8" x14ac:dyDescent="0.2">
      <c r="A114" s="1"/>
      <c r="B114" s="1"/>
      <c r="C114" s="11"/>
      <c r="D114" s="1"/>
      <c r="E114" s="1"/>
      <c r="F114" s="12"/>
      <c r="G114" s="12"/>
      <c r="H114" s="112"/>
    </row>
    <row r="115" spans="1:8" x14ac:dyDescent="0.2">
      <c r="A115" s="1"/>
      <c r="B115" s="1"/>
      <c r="C115" s="2" t="s">
        <v>109</v>
      </c>
      <c r="D115" s="1"/>
      <c r="E115" s="1"/>
      <c r="F115" s="9">
        <v>0</v>
      </c>
      <c r="G115" s="10">
        <v>0</v>
      </c>
      <c r="H115" s="112"/>
    </row>
    <row r="116" spans="1:8" x14ac:dyDescent="0.2">
      <c r="A116" s="1"/>
      <c r="B116" s="1"/>
      <c r="C116" s="11"/>
      <c r="D116" s="1"/>
      <c r="E116" s="1"/>
      <c r="F116" s="12"/>
      <c r="G116" s="12"/>
      <c r="H116" s="112"/>
    </row>
    <row r="117" spans="1:8" x14ac:dyDescent="0.2">
      <c r="A117" s="1"/>
      <c r="B117" s="1"/>
      <c r="C117" s="2" t="s">
        <v>110</v>
      </c>
      <c r="D117" s="1"/>
      <c r="E117" s="1"/>
      <c r="F117" s="12"/>
      <c r="G117" s="12"/>
      <c r="H117" s="112"/>
    </row>
    <row r="118" spans="1:8" x14ac:dyDescent="0.2">
      <c r="A118" s="1"/>
      <c r="B118" s="1"/>
      <c r="C118" s="2" t="s">
        <v>111</v>
      </c>
      <c r="D118" s="1"/>
      <c r="E118" s="1"/>
      <c r="F118" s="12"/>
      <c r="G118" s="12"/>
      <c r="H118" s="112"/>
    </row>
    <row r="119" spans="1:8" x14ac:dyDescent="0.2">
      <c r="A119" s="1"/>
      <c r="B119" s="1"/>
      <c r="C119" s="2" t="s">
        <v>97</v>
      </c>
      <c r="D119" s="1"/>
      <c r="E119" s="1" t="s">
        <v>98</v>
      </c>
      <c r="F119" s="13">
        <v>0</v>
      </c>
      <c r="G119" s="14">
        <v>0</v>
      </c>
      <c r="H119" s="112"/>
    </row>
    <row r="120" spans="1:8" x14ac:dyDescent="0.2">
      <c r="A120" s="1"/>
      <c r="B120" s="1"/>
      <c r="C120" s="11"/>
      <c r="D120" s="1"/>
      <c r="E120" s="1"/>
      <c r="F120" s="12"/>
      <c r="G120" s="12"/>
      <c r="H120" s="112"/>
    </row>
    <row r="121" spans="1:8" x14ac:dyDescent="0.2">
      <c r="A121" s="1"/>
      <c r="B121" s="1"/>
      <c r="C121" s="2" t="s">
        <v>112</v>
      </c>
      <c r="D121" s="1"/>
      <c r="E121" s="1"/>
      <c r="F121" s="12"/>
      <c r="G121" s="12"/>
      <c r="H121" s="112"/>
    </row>
    <row r="122" spans="1:8" x14ac:dyDescent="0.2">
      <c r="A122" s="1"/>
      <c r="B122" s="1"/>
      <c r="C122" s="2" t="s">
        <v>97</v>
      </c>
      <c r="D122" s="1"/>
      <c r="E122" s="1" t="s">
        <v>98</v>
      </c>
      <c r="F122" s="13">
        <v>0</v>
      </c>
      <c r="G122" s="14">
        <v>0</v>
      </c>
      <c r="H122" s="112"/>
    </row>
    <row r="123" spans="1:8" x14ac:dyDescent="0.2">
      <c r="A123" s="1"/>
      <c r="B123" s="1"/>
      <c r="C123" s="11"/>
      <c r="D123" s="1"/>
      <c r="E123" s="1"/>
      <c r="F123" s="12"/>
      <c r="G123" s="12"/>
      <c r="H123" s="112"/>
    </row>
    <row r="124" spans="1:8" x14ac:dyDescent="0.2">
      <c r="A124" s="1"/>
      <c r="B124" s="1"/>
      <c r="C124" s="2" t="s">
        <v>113</v>
      </c>
      <c r="D124" s="1"/>
      <c r="E124" s="1"/>
      <c r="F124" s="12"/>
      <c r="G124" s="12"/>
      <c r="H124" s="112"/>
    </row>
    <row r="125" spans="1:8" x14ac:dyDescent="0.2">
      <c r="A125" s="1"/>
      <c r="B125" s="1"/>
      <c r="C125" s="2" t="s">
        <v>97</v>
      </c>
      <c r="D125" s="1"/>
      <c r="E125" s="1" t="s">
        <v>98</v>
      </c>
      <c r="F125" s="13">
        <v>0</v>
      </c>
      <c r="G125" s="14">
        <v>0</v>
      </c>
      <c r="H125" s="112"/>
    </row>
    <row r="126" spans="1:8" x14ac:dyDescent="0.2">
      <c r="A126" s="1"/>
      <c r="B126" s="1"/>
      <c r="C126" s="11"/>
      <c r="D126" s="1"/>
      <c r="E126" s="1"/>
      <c r="F126" s="12"/>
      <c r="G126" s="12"/>
      <c r="H126" s="112"/>
    </row>
    <row r="127" spans="1:8" x14ac:dyDescent="0.2">
      <c r="A127" s="1"/>
      <c r="B127" s="1"/>
      <c r="C127" s="2" t="s">
        <v>114</v>
      </c>
      <c r="D127" s="1"/>
      <c r="E127" s="1"/>
      <c r="F127" s="12"/>
      <c r="G127" s="12"/>
      <c r="H127" s="112"/>
    </row>
    <row r="128" spans="1:8" x14ac:dyDescent="0.2">
      <c r="A128" s="3">
        <v>1</v>
      </c>
      <c r="B128" s="4"/>
      <c r="C128" s="4" t="s">
        <v>115</v>
      </c>
      <c r="D128" s="4"/>
      <c r="E128" s="8"/>
      <c r="F128" s="6">
        <v>529.07468827908451</v>
      </c>
      <c r="G128" s="7">
        <v>3.8442132177629103E-2</v>
      </c>
      <c r="H128" s="6">
        <v>3.3211324282253978</v>
      </c>
    </row>
    <row r="129" spans="1:8" x14ac:dyDescent="0.2">
      <c r="A129" s="3">
        <v>2</v>
      </c>
      <c r="B129" s="4"/>
      <c r="C129" s="4" t="s">
        <v>116</v>
      </c>
      <c r="D129" s="4"/>
      <c r="E129" s="8"/>
      <c r="F129" s="6">
        <v>207.83294031003393</v>
      </c>
      <c r="G129" s="7">
        <v>1.5100970693289294E-2</v>
      </c>
      <c r="H129" s="6">
        <v>3.35</v>
      </c>
    </row>
    <row r="130" spans="1:8" x14ac:dyDescent="0.2">
      <c r="A130" s="1"/>
      <c r="B130" s="1"/>
      <c r="C130" s="2" t="s">
        <v>97</v>
      </c>
      <c r="D130" s="1"/>
      <c r="E130" s="1" t="s">
        <v>98</v>
      </c>
      <c r="F130" s="9">
        <v>736.90762858911842</v>
      </c>
      <c r="G130" s="10">
        <v>5.3543102870918395E-2</v>
      </c>
      <c r="H130" s="112"/>
    </row>
    <row r="131" spans="1:8" x14ac:dyDescent="0.2">
      <c r="A131" s="1"/>
      <c r="B131" s="1"/>
      <c r="C131" s="11"/>
      <c r="D131" s="1"/>
      <c r="E131" s="1"/>
      <c r="F131" s="12"/>
      <c r="G131" s="12"/>
      <c r="H131" s="112"/>
    </row>
    <row r="132" spans="1:8" x14ac:dyDescent="0.2">
      <c r="A132" s="1"/>
      <c r="B132" s="1"/>
      <c r="C132" s="2" t="s">
        <v>117</v>
      </c>
      <c r="D132" s="1"/>
      <c r="E132" s="1"/>
      <c r="F132" s="9">
        <v>736.90762858911842</v>
      </c>
      <c r="G132" s="10">
        <v>5.3543102870918395E-2</v>
      </c>
      <c r="H132" s="112"/>
    </row>
    <row r="133" spans="1:8" x14ac:dyDescent="0.2">
      <c r="A133" s="1"/>
      <c r="B133" s="1"/>
      <c r="C133" s="12"/>
      <c r="D133" s="1"/>
      <c r="E133" s="1"/>
      <c r="F133" s="1"/>
      <c r="G133" s="1"/>
      <c r="H133" s="112"/>
    </row>
    <row r="134" spans="1:8" x14ac:dyDescent="0.2">
      <c r="A134" s="1"/>
      <c r="B134" s="1"/>
      <c r="C134" s="2" t="s">
        <v>118</v>
      </c>
      <c r="D134" s="1"/>
      <c r="E134" s="1"/>
      <c r="F134" s="1"/>
      <c r="G134" s="1"/>
      <c r="H134" s="112"/>
    </row>
    <row r="135" spans="1:8" x14ac:dyDescent="0.2">
      <c r="A135" s="1"/>
      <c r="B135" s="1"/>
      <c r="C135" s="2" t="s">
        <v>119</v>
      </c>
      <c r="D135" s="1"/>
      <c r="E135" s="1"/>
      <c r="F135" s="1"/>
      <c r="G135" s="1"/>
      <c r="H135" s="112"/>
    </row>
    <row r="136" spans="1:8" x14ac:dyDescent="0.2">
      <c r="A136" s="1"/>
      <c r="B136" s="1"/>
      <c r="C136" s="2" t="s">
        <v>97</v>
      </c>
      <c r="D136" s="1"/>
      <c r="E136" s="1" t="s">
        <v>98</v>
      </c>
      <c r="F136" s="13">
        <v>0</v>
      </c>
      <c r="G136" s="14">
        <v>0</v>
      </c>
      <c r="H136" s="112"/>
    </row>
    <row r="137" spans="1:8" x14ac:dyDescent="0.2">
      <c r="A137" s="1"/>
      <c r="B137" s="1"/>
      <c r="C137" s="11"/>
      <c r="D137" s="1"/>
      <c r="E137" s="1"/>
      <c r="F137" s="12"/>
      <c r="G137" s="12"/>
      <c r="H137" s="112"/>
    </row>
    <row r="138" spans="1:8" x14ac:dyDescent="0.2">
      <c r="A138" s="1"/>
      <c r="B138" s="1"/>
      <c r="C138" s="2" t="s">
        <v>120</v>
      </c>
      <c r="D138" s="1"/>
      <c r="E138" s="1"/>
      <c r="F138" s="1"/>
      <c r="G138" s="1"/>
      <c r="H138" s="112"/>
    </row>
    <row r="139" spans="1:8" x14ac:dyDescent="0.2">
      <c r="A139" s="1"/>
      <c r="B139" s="1"/>
      <c r="C139" s="2" t="s">
        <v>121</v>
      </c>
      <c r="D139" s="1"/>
      <c r="E139" s="1"/>
      <c r="F139" s="1"/>
      <c r="G139" s="1"/>
      <c r="H139" s="112"/>
    </row>
    <row r="140" spans="1:8" x14ac:dyDescent="0.2">
      <c r="A140" s="1"/>
      <c r="B140" s="1"/>
      <c r="C140" s="2" t="s">
        <v>97</v>
      </c>
      <c r="D140" s="1"/>
      <c r="E140" s="1" t="s">
        <v>98</v>
      </c>
      <c r="F140" s="13">
        <v>0</v>
      </c>
      <c r="G140" s="14">
        <v>0</v>
      </c>
      <c r="H140" s="112"/>
    </row>
    <row r="141" spans="1:8" x14ac:dyDescent="0.2">
      <c r="A141" s="1"/>
      <c r="B141" s="1"/>
      <c r="C141" s="11"/>
      <c r="D141" s="1"/>
      <c r="E141" s="1"/>
      <c r="F141" s="12"/>
      <c r="G141" s="12"/>
      <c r="H141" s="112"/>
    </row>
    <row r="142" spans="1:8" x14ac:dyDescent="0.2">
      <c r="A142" s="1"/>
      <c r="B142" s="1"/>
      <c r="C142" s="11"/>
      <c r="D142" s="1"/>
      <c r="E142" s="1"/>
      <c r="F142" s="12"/>
      <c r="G142" s="12"/>
      <c r="H142" s="112"/>
    </row>
    <row r="143" spans="1:8" ht="25.5" x14ac:dyDescent="0.2">
      <c r="A143" s="1"/>
      <c r="B143" s="1"/>
      <c r="C143" s="2" t="s">
        <v>122</v>
      </c>
      <c r="D143" s="1"/>
      <c r="E143" s="1"/>
      <c r="F143" s="12"/>
      <c r="G143" s="12"/>
      <c r="H143" s="112"/>
    </row>
    <row r="144" spans="1:8" ht="25.5" x14ac:dyDescent="0.2">
      <c r="A144" s="3">
        <v>1</v>
      </c>
      <c r="B144" s="4"/>
      <c r="C144" s="4" t="s">
        <v>285</v>
      </c>
      <c r="D144" s="4"/>
      <c r="E144" s="8"/>
      <c r="F144" s="6">
        <v>56.594999999999999</v>
      </c>
      <c r="G144" s="7">
        <v>4.1121459999999997E-3</v>
      </c>
      <c r="H144" s="112"/>
    </row>
    <row r="145" spans="1:8" x14ac:dyDescent="0.2">
      <c r="A145" s="1"/>
      <c r="B145" s="1"/>
      <c r="C145" s="2" t="s">
        <v>97</v>
      </c>
      <c r="D145" s="1"/>
      <c r="E145" s="1" t="s">
        <v>98</v>
      </c>
      <c r="F145" s="9">
        <v>56.594999999999999</v>
      </c>
      <c r="G145" s="10">
        <v>4.1121462031562597E-3</v>
      </c>
      <c r="H145" s="112"/>
    </row>
    <row r="146" spans="1:8" x14ac:dyDescent="0.2">
      <c r="A146" s="1"/>
      <c r="B146" s="1"/>
      <c r="C146" s="11"/>
      <c r="D146" s="1"/>
      <c r="E146" s="1"/>
      <c r="F146" s="12"/>
      <c r="G146" s="12"/>
      <c r="H146" s="112"/>
    </row>
    <row r="147" spans="1:8" x14ac:dyDescent="0.2">
      <c r="A147" s="1"/>
      <c r="B147" s="4"/>
      <c r="C147" s="4"/>
      <c r="D147" s="2"/>
      <c r="E147" s="1"/>
      <c r="F147" s="4"/>
      <c r="G147" s="8"/>
      <c r="H147" s="112"/>
    </row>
    <row r="148" spans="1:8" x14ac:dyDescent="0.2">
      <c r="A148" s="8"/>
      <c r="B148" s="4"/>
      <c r="C148" s="4" t="s">
        <v>123</v>
      </c>
      <c r="D148" s="4"/>
      <c r="E148" s="8"/>
      <c r="F148" s="6">
        <v>-26.341741959118735</v>
      </c>
      <c r="G148" s="7">
        <v>-1.9139693291229268E-3</v>
      </c>
      <c r="H148" s="112"/>
    </row>
    <row r="149" spans="1:8" x14ac:dyDescent="0.2">
      <c r="A149" s="11"/>
      <c r="B149" s="11"/>
      <c r="C149" s="2" t="s">
        <v>124</v>
      </c>
      <c r="D149" s="15"/>
      <c r="E149" s="15"/>
      <c r="F149" s="9">
        <v>13762.886143629999</v>
      </c>
      <c r="G149" s="10">
        <v>1.0000000040000001</v>
      </c>
      <c r="H149" s="112"/>
    </row>
    <row r="150" spans="1:8" ht="14.1" customHeight="1" x14ac:dyDescent="0.2">
      <c r="A150" s="16"/>
      <c r="B150" s="16"/>
      <c r="C150" s="16"/>
      <c r="D150" s="17"/>
      <c r="E150" s="17"/>
      <c r="F150" s="17"/>
      <c r="G150" s="17"/>
    </row>
    <row r="151" spans="1:8" ht="14.1" customHeight="1" x14ac:dyDescent="0.2">
      <c r="A151" s="18"/>
      <c r="B151" s="205" t="s">
        <v>98</v>
      </c>
      <c r="C151" s="205"/>
      <c r="D151" s="205"/>
      <c r="E151" s="205"/>
      <c r="F151" s="205"/>
      <c r="G151" s="20"/>
    </row>
    <row r="152" spans="1:8" ht="14.1" customHeight="1" x14ac:dyDescent="0.2">
      <c r="A152" s="18"/>
      <c r="B152" s="205" t="s">
        <v>98</v>
      </c>
      <c r="C152" s="205"/>
      <c r="D152" s="205"/>
      <c r="E152" s="205"/>
      <c r="F152" s="205"/>
      <c r="G152" s="20"/>
    </row>
    <row r="153" spans="1:8" ht="14.1" customHeight="1" x14ac:dyDescent="0.2">
      <c r="A153" s="18"/>
      <c r="B153" s="18"/>
      <c r="C153" s="18"/>
      <c r="D153" s="20"/>
      <c r="E153" s="20"/>
      <c r="F153" s="20"/>
      <c r="G153" s="20"/>
    </row>
    <row r="154" spans="1:8" ht="14.1" customHeight="1" x14ac:dyDescent="0.2">
      <c r="A154" s="18"/>
      <c r="B154" s="203" t="s">
        <v>126</v>
      </c>
      <c r="C154" s="204"/>
      <c r="D154" s="12" t="s">
        <v>98</v>
      </c>
      <c r="E154" s="21"/>
      <c r="F154" s="20"/>
      <c r="G154" s="20"/>
    </row>
    <row r="155" spans="1:8" ht="29.1" customHeight="1" x14ac:dyDescent="0.2">
      <c r="A155" s="18"/>
      <c r="B155" s="198" t="s">
        <v>127</v>
      </c>
      <c r="C155" s="199"/>
      <c r="D155" s="2" t="s">
        <v>128</v>
      </c>
      <c r="E155" s="21"/>
      <c r="F155" s="20"/>
      <c r="G155" s="20"/>
    </row>
    <row r="156" spans="1:8" ht="17.100000000000001" customHeight="1" x14ac:dyDescent="0.2">
      <c r="A156" s="18"/>
      <c r="B156" s="198" t="s">
        <v>129</v>
      </c>
      <c r="C156" s="199"/>
      <c r="D156" s="2" t="s">
        <v>128</v>
      </c>
      <c r="E156" s="21"/>
      <c r="F156" s="20"/>
      <c r="G156" s="20"/>
    </row>
    <row r="157" spans="1:8" ht="17.100000000000001" customHeight="1" x14ac:dyDescent="0.2">
      <c r="A157" s="18"/>
      <c r="B157" s="198" t="s">
        <v>130</v>
      </c>
      <c r="C157" s="199"/>
      <c r="D157" s="12" t="s">
        <v>98</v>
      </c>
      <c r="E157" s="21"/>
      <c r="F157" s="20"/>
      <c r="G157" s="20"/>
    </row>
    <row r="158" spans="1:8" ht="24" customHeight="1" x14ac:dyDescent="0.2">
      <c r="A158" s="22"/>
      <c r="B158" s="23" t="s">
        <v>98</v>
      </c>
      <c r="C158" s="23" t="s">
        <v>131</v>
      </c>
      <c r="D158" s="23" t="s">
        <v>132</v>
      </c>
      <c r="E158" s="22"/>
      <c r="F158" s="22"/>
      <c r="G158" s="22"/>
    </row>
    <row r="159" spans="1:8" ht="18" customHeight="1" x14ac:dyDescent="0.2">
      <c r="A159" s="22"/>
      <c r="B159" s="23" t="s">
        <v>133</v>
      </c>
      <c r="C159" s="23" t="s">
        <v>134</v>
      </c>
      <c r="D159" s="23" t="s">
        <v>135</v>
      </c>
      <c r="E159" s="22"/>
      <c r="F159" s="22"/>
      <c r="G159" s="22"/>
    </row>
    <row r="160" spans="1:8" ht="17.100000000000001" customHeight="1" x14ac:dyDescent="0.2">
      <c r="A160" s="22"/>
      <c r="B160" s="4" t="s">
        <v>136</v>
      </c>
      <c r="C160" s="24">
        <v>15.2836</v>
      </c>
      <c r="D160" s="24">
        <v>15.510400000000001</v>
      </c>
      <c r="E160" s="22"/>
      <c r="F160" s="19"/>
      <c r="G160" s="25"/>
    </row>
    <row r="161" spans="1:15" ht="17.100000000000001" customHeight="1" x14ac:dyDescent="0.2">
      <c r="A161" s="22"/>
      <c r="B161" s="4" t="s">
        <v>980</v>
      </c>
      <c r="C161" s="24">
        <v>15.2836</v>
      </c>
      <c r="D161" s="24">
        <v>15.510400000000001</v>
      </c>
      <c r="E161" s="22"/>
      <c r="F161" s="19"/>
      <c r="G161" s="25"/>
    </row>
    <row r="162" spans="1:15" ht="17.100000000000001" customHeight="1" x14ac:dyDescent="0.2">
      <c r="A162" s="22"/>
      <c r="B162" s="4" t="s">
        <v>137</v>
      </c>
      <c r="C162" s="24">
        <v>14.922800000000001</v>
      </c>
      <c r="D162" s="24">
        <v>15.136699999999999</v>
      </c>
      <c r="E162" s="22"/>
      <c r="F162" s="19"/>
      <c r="G162" s="25"/>
    </row>
    <row r="163" spans="1:15" ht="17.100000000000001" customHeight="1" x14ac:dyDescent="0.2">
      <c r="A163" s="22"/>
      <c r="B163" s="4" t="s">
        <v>981</v>
      </c>
      <c r="C163" s="24">
        <v>14.922800000000001</v>
      </c>
      <c r="D163" s="24">
        <v>15.136699999999999</v>
      </c>
      <c r="E163" s="22"/>
      <c r="F163" s="19"/>
      <c r="G163" s="25"/>
    </row>
    <row r="164" spans="1:15" ht="14.1" customHeight="1" x14ac:dyDescent="0.2">
      <c r="A164" s="22"/>
      <c r="B164" s="22"/>
      <c r="C164" s="22"/>
      <c r="D164" s="22"/>
      <c r="E164" s="22"/>
      <c r="F164" s="22"/>
      <c r="G164" s="22"/>
    </row>
    <row r="165" spans="1:15" ht="17.100000000000001" customHeight="1" x14ac:dyDescent="0.2">
      <c r="A165" s="22"/>
      <c r="B165" s="198" t="s">
        <v>982</v>
      </c>
      <c r="C165" s="199"/>
      <c r="D165" s="91" t="s">
        <v>128</v>
      </c>
      <c r="E165" s="22"/>
      <c r="F165" s="22"/>
      <c r="G165" s="22"/>
      <c r="I165" s="113"/>
      <c r="J165" s="113"/>
      <c r="K165" s="113"/>
      <c r="L165" s="113"/>
      <c r="M165" s="113"/>
      <c r="N165" s="113"/>
      <c r="O165" s="113"/>
    </row>
    <row r="166" spans="1:15" ht="18" customHeight="1" x14ac:dyDescent="0.2">
      <c r="A166" s="22"/>
      <c r="B166" s="26"/>
      <c r="C166" s="26"/>
      <c r="D166" s="27"/>
      <c r="E166" s="22"/>
      <c r="F166" s="22"/>
      <c r="G166" s="22"/>
    </row>
    <row r="167" spans="1:15" s="113" customFormat="1" x14ac:dyDescent="0.2">
      <c r="B167" s="202" t="s">
        <v>984</v>
      </c>
      <c r="C167" s="202"/>
      <c r="D167" s="202"/>
      <c r="E167" s="202"/>
      <c r="F167" s="202"/>
      <c r="I167"/>
      <c r="J167"/>
      <c r="K167"/>
      <c r="L167"/>
      <c r="M167"/>
      <c r="N167"/>
      <c r="O167"/>
    </row>
    <row r="168" spans="1:15" ht="14.1" customHeight="1" x14ac:dyDescent="0.2">
      <c r="A168" s="22"/>
      <c r="B168" s="19"/>
      <c r="C168" s="19"/>
      <c r="D168" s="22"/>
      <c r="E168" s="22"/>
      <c r="F168" s="22"/>
      <c r="G168" s="22"/>
    </row>
    <row r="169" spans="1:15" ht="29.1" customHeight="1" x14ac:dyDescent="0.2">
      <c r="A169" s="22"/>
      <c r="B169" s="198" t="s">
        <v>138</v>
      </c>
      <c r="C169" s="199"/>
      <c r="D169" s="2" t="s">
        <v>128</v>
      </c>
      <c r="E169" s="22"/>
      <c r="F169" s="22"/>
      <c r="G169" s="22"/>
    </row>
    <row r="170" spans="1:15" ht="29.1" customHeight="1" x14ac:dyDescent="0.2">
      <c r="A170" s="22"/>
      <c r="B170" s="198" t="s">
        <v>139</v>
      </c>
      <c r="C170" s="199"/>
      <c r="D170" s="2" t="s">
        <v>128</v>
      </c>
      <c r="E170" s="22"/>
      <c r="F170" s="22"/>
      <c r="G170" s="22"/>
    </row>
    <row r="171" spans="1:15" ht="17.100000000000001" customHeight="1" x14ac:dyDescent="0.2">
      <c r="A171" s="22"/>
      <c r="B171" s="198" t="s">
        <v>140</v>
      </c>
      <c r="C171" s="199"/>
      <c r="D171" s="28">
        <v>0.48225531928733539</v>
      </c>
      <c r="E171" s="22"/>
      <c r="F171" s="19"/>
      <c r="G171" s="25"/>
    </row>
    <row r="172" spans="1:15" ht="17.100000000000001" customHeight="1" x14ac:dyDescent="0.2">
      <c r="A172" s="22"/>
      <c r="B172" s="198" t="s">
        <v>141</v>
      </c>
      <c r="C172" s="199"/>
      <c r="D172" s="2" t="s">
        <v>128</v>
      </c>
      <c r="E172" s="22"/>
      <c r="F172" s="22"/>
      <c r="G172" s="22"/>
    </row>
  </sheetData>
  <mergeCells count="16">
    <mergeCell ref="B172:C172"/>
    <mergeCell ref="B155:C155"/>
    <mergeCell ref="B156:C156"/>
    <mergeCell ref="B157:C157"/>
    <mergeCell ref="B165:C165"/>
    <mergeCell ref="B169:C169"/>
    <mergeCell ref="B170:C170"/>
    <mergeCell ref="B167:F167"/>
    <mergeCell ref="A1:H1"/>
    <mergeCell ref="A2:H2"/>
    <mergeCell ref="A3:H3"/>
    <mergeCell ref="J2:N2"/>
    <mergeCell ref="B171:C171"/>
    <mergeCell ref="B154:C154"/>
    <mergeCell ref="B151:F151"/>
    <mergeCell ref="B152:F152"/>
  </mergeCells>
  <pageMargins left="5.000000074505806E-2" right="5.000000074505806E-2" top="0.30000001192092896" bottom="0.20000000298023224" header="0" footer="0"/>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296</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24264</v>
      </c>
      <c r="F7" s="6">
        <v>392.97974399999998</v>
      </c>
      <c r="G7" s="7">
        <v>3.3874519999999998E-2</v>
      </c>
      <c r="H7" s="112"/>
    </row>
    <row r="8" spans="1:14" x14ac:dyDescent="0.2">
      <c r="A8" s="3">
        <v>2</v>
      </c>
      <c r="B8" s="4" t="s">
        <v>74</v>
      </c>
      <c r="C8" s="4" t="s">
        <v>75</v>
      </c>
      <c r="D8" s="4" t="s">
        <v>71</v>
      </c>
      <c r="E8" s="5">
        <v>76550</v>
      </c>
      <c r="F8" s="6">
        <v>295.21507500000001</v>
      </c>
      <c r="G8" s="7">
        <v>2.5447289000000001E-2</v>
      </c>
      <c r="H8" s="112"/>
    </row>
    <row r="9" spans="1:14" x14ac:dyDescent="0.2">
      <c r="A9" s="3">
        <v>3</v>
      </c>
      <c r="B9" s="4" t="s">
        <v>143</v>
      </c>
      <c r="C9" s="4" t="s">
        <v>144</v>
      </c>
      <c r="D9" s="4" t="s">
        <v>27</v>
      </c>
      <c r="E9" s="5">
        <v>32056</v>
      </c>
      <c r="F9" s="6">
        <v>292.68730799999997</v>
      </c>
      <c r="G9" s="7">
        <v>2.5229397000000001E-2</v>
      </c>
      <c r="H9" s="112"/>
    </row>
    <row r="10" spans="1:14" x14ac:dyDescent="0.2">
      <c r="A10" s="3">
        <v>4</v>
      </c>
      <c r="B10" s="4" t="s">
        <v>145</v>
      </c>
      <c r="C10" s="4" t="s">
        <v>146</v>
      </c>
      <c r="D10" s="4" t="s">
        <v>147</v>
      </c>
      <c r="E10" s="5">
        <v>8708</v>
      </c>
      <c r="F10" s="6">
        <v>290.70787200000001</v>
      </c>
      <c r="G10" s="7">
        <v>2.5058772E-2</v>
      </c>
      <c r="H10" s="112"/>
    </row>
    <row r="11" spans="1:14" x14ac:dyDescent="0.2">
      <c r="A11" s="3">
        <v>5</v>
      </c>
      <c r="B11" s="4" t="s">
        <v>148</v>
      </c>
      <c r="C11" s="4" t="s">
        <v>149</v>
      </c>
      <c r="D11" s="4" t="s">
        <v>81</v>
      </c>
      <c r="E11" s="5">
        <v>220690</v>
      </c>
      <c r="F11" s="6">
        <v>286.45562000000001</v>
      </c>
      <c r="G11" s="7">
        <v>2.4692230999999999E-2</v>
      </c>
      <c r="H11" s="112"/>
    </row>
    <row r="12" spans="1:14" x14ac:dyDescent="0.2">
      <c r="A12" s="3">
        <v>6</v>
      </c>
      <c r="B12" s="4" t="s">
        <v>150</v>
      </c>
      <c r="C12" s="4" t="s">
        <v>151</v>
      </c>
      <c r="D12" s="4" t="s">
        <v>27</v>
      </c>
      <c r="E12" s="5">
        <v>32433</v>
      </c>
      <c r="F12" s="6">
        <v>276.05347949999998</v>
      </c>
      <c r="G12" s="7">
        <v>2.3795575999999999E-2</v>
      </c>
      <c r="H12" s="112"/>
    </row>
    <row r="13" spans="1:14" ht="25.5" x14ac:dyDescent="0.2">
      <c r="A13" s="3">
        <v>7</v>
      </c>
      <c r="B13" s="4" t="s">
        <v>152</v>
      </c>
      <c r="C13" s="4" t="s">
        <v>153</v>
      </c>
      <c r="D13" s="4" t="s">
        <v>45</v>
      </c>
      <c r="E13" s="5">
        <v>188288</v>
      </c>
      <c r="F13" s="6">
        <v>275.46534400000002</v>
      </c>
      <c r="G13" s="7">
        <v>2.3744879E-2</v>
      </c>
      <c r="H13" s="112"/>
    </row>
    <row r="14" spans="1:14" x14ac:dyDescent="0.2">
      <c r="A14" s="3">
        <v>8</v>
      </c>
      <c r="B14" s="4" t="s">
        <v>294</v>
      </c>
      <c r="C14" s="4" t="s">
        <v>295</v>
      </c>
      <c r="D14" s="4" t="s">
        <v>64</v>
      </c>
      <c r="E14" s="5">
        <v>12753</v>
      </c>
      <c r="F14" s="6">
        <v>251.01092249999999</v>
      </c>
      <c r="G14" s="7">
        <v>2.1636928E-2</v>
      </c>
      <c r="H14" s="112"/>
    </row>
    <row r="15" spans="1:14" x14ac:dyDescent="0.2">
      <c r="A15" s="3">
        <v>9</v>
      </c>
      <c r="B15" s="4" t="s">
        <v>154</v>
      </c>
      <c r="C15" s="4" t="s">
        <v>155</v>
      </c>
      <c r="D15" s="4" t="s">
        <v>71</v>
      </c>
      <c r="E15" s="5">
        <v>45924</v>
      </c>
      <c r="F15" s="6">
        <v>248.03552400000001</v>
      </c>
      <c r="G15" s="7">
        <v>2.1380452000000001E-2</v>
      </c>
      <c r="H15" s="112"/>
    </row>
    <row r="16" spans="1:14" ht="15" x14ac:dyDescent="0.2">
      <c r="A16" s="3">
        <v>10</v>
      </c>
      <c r="B16" s="4" t="s">
        <v>156</v>
      </c>
      <c r="C16" s="4" t="s">
        <v>157</v>
      </c>
      <c r="D16" s="4" t="s">
        <v>974</v>
      </c>
      <c r="E16" s="5">
        <v>19044</v>
      </c>
      <c r="F16" s="6">
        <v>236.81214</v>
      </c>
      <c r="G16" s="7">
        <v>2.0413005000000001E-2</v>
      </c>
      <c r="H16" s="112"/>
      <c r="J16" s="188" t="s">
        <v>1012</v>
      </c>
    </row>
    <row r="17" spans="1:8" x14ac:dyDescent="0.2">
      <c r="A17" s="3">
        <v>11</v>
      </c>
      <c r="B17" s="4" t="s">
        <v>160</v>
      </c>
      <c r="C17" s="4" t="s">
        <v>161</v>
      </c>
      <c r="D17" s="4" t="s">
        <v>162</v>
      </c>
      <c r="E17" s="5">
        <v>5738</v>
      </c>
      <c r="F17" s="6">
        <v>225.14190600000001</v>
      </c>
      <c r="G17" s="7">
        <v>1.9407041E-2</v>
      </c>
      <c r="H17" s="112"/>
    </row>
    <row r="18" spans="1:8" ht="25.5" x14ac:dyDescent="0.2">
      <c r="A18" s="3">
        <v>12</v>
      </c>
      <c r="B18" s="4" t="s">
        <v>37</v>
      </c>
      <c r="C18" s="4" t="s">
        <v>38</v>
      </c>
      <c r="D18" s="4" t="s">
        <v>971</v>
      </c>
      <c r="E18" s="5">
        <v>6481</v>
      </c>
      <c r="F18" s="6">
        <v>214.89375749999999</v>
      </c>
      <c r="G18" s="7">
        <v>1.8523659000000001E-2</v>
      </c>
      <c r="H18" s="112"/>
    </row>
    <row r="19" spans="1:8" x14ac:dyDescent="0.2">
      <c r="A19" s="3">
        <v>13</v>
      </c>
      <c r="B19" s="4" t="s">
        <v>163</v>
      </c>
      <c r="C19" s="4" t="s">
        <v>164</v>
      </c>
      <c r="D19" s="4" t="s">
        <v>162</v>
      </c>
      <c r="E19" s="5">
        <v>68359</v>
      </c>
      <c r="F19" s="6">
        <v>211.02423300000001</v>
      </c>
      <c r="G19" s="7">
        <v>1.8190109999999999E-2</v>
      </c>
      <c r="H19" s="112"/>
    </row>
    <row r="20" spans="1:8" x14ac:dyDescent="0.2">
      <c r="A20" s="3">
        <v>14</v>
      </c>
      <c r="B20" s="4" t="s">
        <v>165</v>
      </c>
      <c r="C20" s="4" t="s">
        <v>166</v>
      </c>
      <c r="D20" s="4" t="s">
        <v>976</v>
      </c>
      <c r="E20" s="5">
        <v>49783</v>
      </c>
      <c r="F20" s="6">
        <v>208.61566149999999</v>
      </c>
      <c r="G20" s="7">
        <v>1.7982492999999999E-2</v>
      </c>
      <c r="H20" s="112"/>
    </row>
    <row r="21" spans="1:8" x14ac:dyDescent="0.2">
      <c r="A21" s="3">
        <v>15</v>
      </c>
      <c r="B21" s="4" t="s">
        <v>167</v>
      </c>
      <c r="C21" s="4" t="s">
        <v>168</v>
      </c>
      <c r="D21" s="4" t="s">
        <v>81</v>
      </c>
      <c r="E21" s="5">
        <v>28306</v>
      </c>
      <c r="F21" s="6">
        <v>199.62806499999999</v>
      </c>
      <c r="G21" s="7">
        <v>1.7207770000000001E-2</v>
      </c>
      <c r="H21" s="112"/>
    </row>
    <row r="22" spans="1:8" x14ac:dyDescent="0.2">
      <c r="A22" s="3">
        <v>16</v>
      </c>
      <c r="B22" s="4" t="s">
        <v>169</v>
      </c>
      <c r="C22" s="4" t="s">
        <v>170</v>
      </c>
      <c r="D22" s="4" t="s">
        <v>19</v>
      </c>
      <c r="E22" s="5">
        <v>110000</v>
      </c>
      <c r="F22" s="6">
        <v>198.60499999999999</v>
      </c>
      <c r="G22" s="7">
        <v>1.7119582000000001E-2</v>
      </c>
      <c r="H22" s="112"/>
    </row>
    <row r="23" spans="1:8" x14ac:dyDescent="0.2">
      <c r="A23" s="3">
        <v>17</v>
      </c>
      <c r="B23" s="4" t="s">
        <v>41</v>
      </c>
      <c r="C23" s="4" t="s">
        <v>42</v>
      </c>
      <c r="D23" s="4" t="s">
        <v>27</v>
      </c>
      <c r="E23" s="5">
        <v>14186</v>
      </c>
      <c r="F23" s="6">
        <v>188.02833699999999</v>
      </c>
      <c r="G23" s="7">
        <v>1.6207882999999999E-2</v>
      </c>
      <c r="H23" s="112"/>
    </row>
    <row r="24" spans="1:8" x14ac:dyDescent="0.2">
      <c r="A24" s="3">
        <v>18</v>
      </c>
      <c r="B24" s="4" t="s">
        <v>65</v>
      </c>
      <c r="C24" s="4" t="s">
        <v>66</v>
      </c>
      <c r="D24" s="4" t="s">
        <v>64</v>
      </c>
      <c r="E24" s="5">
        <v>39179</v>
      </c>
      <c r="F24" s="6">
        <v>181.84932850000001</v>
      </c>
      <c r="G24" s="7">
        <v>1.5675258000000001E-2</v>
      </c>
      <c r="H24" s="112"/>
    </row>
    <row r="25" spans="1:8" x14ac:dyDescent="0.2">
      <c r="A25" s="3">
        <v>19</v>
      </c>
      <c r="B25" s="4" t="s">
        <v>174</v>
      </c>
      <c r="C25" s="4" t="s">
        <v>175</v>
      </c>
      <c r="D25" s="4" t="s">
        <v>162</v>
      </c>
      <c r="E25" s="5">
        <v>16740</v>
      </c>
      <c r="F25" s="6">
        <v>175.77</v>
      </c>
      <c r="G25" s="7">
        <v>1.5151225000000001E-2</v>
      </c>
      <c r="H25" s="112"/>
    </row>
    <row r="26" spans="1:8" x14ac:dyDescent="0.2">
      <c r="A26" s="3">
        <v>20</v>
      </c>
      <c r="B26" s="4" t="s">
        <v>171</v>
      </c>
      <c r="C26" s="4" t="s">
        <v>172</v>
      </c>
      <c r="D26" s="4" t="s">
        <v>173</v>
      </c>
      <c r="E26" s="5">
        <v>12373</v>
      </c>
      <c r="F26" s="6">
        <v>172.78894500000001</v>
      </c>
      <c r="G26" s="7">
        <v>1.4894259999999999E-2</v>
      </c>
      <c r="H26" s="112"/>
    </row>
    <row r="27" spans="1:8" x14ac:dyDescent="0.2">
      <c r="A27" s="3">
        <v>21</v>
      </c>
      <c r="B27" s="4" t="s">
        <v>201</v>
      </c>
      <c r="C27" s="4" t="s">
        <v>202</v>
      </c>
      <c r="D27" s="4" t="s">
        <v>147</v>
      </c>
      <c r="E27" s="5">
        <v>12112</v>
      </c>
      <c r="F27" s="6">
        <v>171.36057600000001</v>
      </c>
      <c r="G27" s="7">
        <v>1.4771136000000001E-2</v>
      </c>
      <c r="H27" s="112"/>
    </row>
    <row r="28" spans="1:8" ht="25.5" x14ac:dyDescent="0.2">
      <c r="A28" s="3">
        <v>22</v>
      </c>
      <c r="B28" s="4" t="s">
        <v>181</v>
      </c>
      <c r="C28" s="4" t="s">
        <v>931</v>
      </c>
      <c r="D28" s="4" t="s">
        <v>45</v>
      </c>
      <c r="E28" s="5">
        <v>72461</v>
      </c>
      <c r="F28" s="6">
        <v>169.08774349999999</v>
      </c>
      <c r="G28" s="7">
        <v>1.457522E-2</v>
      </c>
      <c r="H28" s="112"/>
    </row>
    <row r="29" spans="1:8" x14ac:dyDescent="0.2">
      <c r="A29" s="3">
        <v>23</v>
      </c>
      <c r="B29" s="4" t="s">
        <v>195</v>
      </c>
      <c r="C29" s="4" t="s">
        <v>196</v>
      </c>
      <c r="D29" s="4" t="s">
        <v>34</v>
      </c>
      <c r="E29" s="5">
        <v>40089</v>
      </c>
      <c r="F29" s="6">
        <v>168.47402249999999</v>
      </c>
      <c r="G29" s="7">
        <v>1.4522317999999999E-2</v>
      </c>
      <c r="H29" s="112"/>
    </row>
    <row r="30" spans="1:8" x14ac:dyDescent="0.2">
      <c r="A30" s="3">
        <v>24</v>
      </c>
      <c r="B30" s="4" t="s">
        <v>193</v>
      </c>
      <c r="C30" s="4" t="s">
        <v>194</v>
      </c>
      <c r="D30" s="4" t="s">
        <v>16</v>
      </c>
      <c r="E30" s="5">
        <v>53872</v>
      </c>
      <c r="F30" s="6">
        <v>167.21868799999999</v>
      </c>
      <c r="G30" s="7">
        <v>1.4414109E-2</v>
      </c>
      <c r="H30" s="112"/>
    </row>
    <row r="31" spans="1:8" x14ac:dyDescent="0.2">
      <c r="A31" s="3">
        <v>25</v>
      </c>
      <c r="B31" s="4" t="s">
        <v>179</v>
      </c>
      <c r="C31" s="4" t="s">
        <v>180</v>
      </c>
      <c r="D31" s="4" t="s">
        <v>71</v>
      </c>
      <c r="E31" s="5">
        <v>16226</v>
      </c>
      <c r="F31" s="6">
        <v>166.381404</v>
      </c>
      <c r="G31" s="7">
        <v>1.4341936E-2</v>
      </c>
      <c r="H31" s="112"/>
    </row>
    <row r="32" spans="1:8" x14ac:dyDescent="0.2">
      <c r="A32" s="3">
        <v>26</v>
      </c>
      <c r="B32" s="4" t="s">
        <v>187</v>
      </c>
      <c r="C32" s="4" t="s">
        <v>188</v>
      </c>
      <c r="D32" s="4" t="s">
        <v>189</v>
      </c>
      <c r="E32" s="5">
        <v>72801</v>
      </c>
      <c r="F32" s="6">
        <v>164.23905600000001</v>
      </c>
      <c r="G32" s="7">
        <v>1.4157266999999999E-2</v>
      </c>
      <c r="H32" s="112"/>
    </row>
    <row r="33" spans="1:8" x14ac:dyDescent="0.2">
      <c r="A33" s="3">
        <v>27</v>
      </c>
      <c r="B33" s="4" t="s">
        <v>184</v>
      </c>
      <c r="C33" s="4" t="s">
        <v>185</v>
      </c>
      <c r="D33" s="4" t="s">
        <v>186</v>
      </c>
      <c r="E33" s="5">
        <v>35139</v>
      </c>
      <c r="F33" s="6">
        <v>163.71260100000001</v>
      </c>
      <c r="G33" s="7">
        <v>1.4111887E-2</v>
      </c>
      <c r="H33" s="112"/>
    </row>
    <row r="34" spans="1:8" x14ac:dyDescent="0.2">
      <c r="A34" s="3">
        <v>28</v>
      </c>
      <c r="B34" s="4" t="s">
        <v>182</v>
      </c>
      <c r="C34" s="4" t="s">
        <v>183</v>
      </c>
      <c r="D34" s="4" t="s">
        <v>162</v>
      </c>
      <c r="E34" s="5">
        <v>15313</v>
      </c>
      <c r="F34" s="6">
        <v>163.58112249999999</v>
      </c>
      <c r="G34" s="7">
        <v>1.4100554E-2</v>
      </c>
      <c r="H34" s="112"/>
    </row>
    <row r="35" spans="1:8" ht="25.5" x14ac:dyDescent="0.2">
      <c r="A35" s="3">
        <v>29</v>
      </c>
      <c r="B35" s="4" t="s">
        <v>190</v>
      </c>
      <c r="C35" s="4" t="s">
        <v>191</v>
      </c>
      <c r="D35" s="4" t="s">
        <v>192</v>
      </c>
      <c r="E35" s="5">
        <v>31242</v>
      </c>
      <c r="F35" s="6">
        <v>163.44252299999999</v>
      </c>
      <c r="G35" s="7">
        <v>1.4088607E-2</v>
      </c>
      <c r="H35" s="112"/>
    </row>
    <row r="36" spans="1:8" x14ac:dyDescent="0.2">
      <c r="A36" s="3">
        <v>30</v>
      </c>
      <c r="B36" s="4" t="s">
        <v>297</v>
      </c>
      <c r="C36" s="4" t="s">
        <v>298</v>
      </c>
      <c r="D36" s="4" t="s">
        <v>27</v>
      </c>
      <c r="E36" s="5">
        <v>23981</v>
      </c>
      <c r="F36" s="6">
        <v>160.720662</v>
      </c>
      <c r="G36" s="7">
        <v>1.3853984999999999E-2</v>
      </c>
      <c r="H36" s="112"/>
    </row>
    <row r="37" spans="1:8" x14ac:dyDescent="0.2">
      <c r="A37" s="3">
        <v>31</v>
      </c>
      <c r="B37" s="4" t="s">
        <v>199</v>
      </c>
      <c r="C37" s="4" t="s">
        <v>200</v>
      </c>
      <c r="D37" s="4" t="s">
        <v>64</v>
      </c>
      <c r="E37" s="5">
        <v>152329</v>
      </c>
      <c r="F37" s="6">
        <v>159.488463</v>
      </c>
      <c r="G37" s="7">
        <v>1.3747769999999999E-2</v>
      </c>
      <c r="H37" s="112"/>
    </row>
    <row r="38" spans="1:8" ht="25.5" x14ac:dyDescent="0.2">
      <c r="A38" s="3">
        <v>32</v>
      </c>
      <c r="B38" s="4" t="s">
        <v>197</v>
      </c>
      <c r="C38" s="4" t="s">
        <v>198</v>
      </c>
      <c r="D38" s="4" t="s">
        <v>971</v>
      </c>
      <c r="E38" s="5">
        <v>66035</v>
      </c>
      <c r="F38" s="6">
        <v>157.75761499999999</v>
      </c>
      <c r="G38" s="7">
        <v>1.3598572E-2</v>
      </c>
      <c r="H38" s="112"/>
    </row>
    <row r="39" spans="1:8" x14ac:dyDescent="0.2">
      <c r="A39" s="3">
        <v>33</v>
      </c>
      <c r="B39" s="4" t="s">
        <v>203</v>
      </c>
      <c r="C39" s="4" t="s">
        <v>204</v>
      </c>
      <c r="D39" s="4" t="s">
        <v>81</v>
      </c>
      <c r="E39" s="5">
        <v>24381</v>
      </c>
      <c r="F39" s="6">
        <v>152.83229850000001</v>
      </c>
      <c r="G39" s="7">
        <v>1.3174014E-2</v>
      </c>
      <c r="H39" s="112"/>
    </row>
    <row r="40" spans="1:8" x14ac:dyDescent="0.2">
      <c r="A40" s="3">
        <v>34</v>
      </c>
      <c r="B40" s="4" t="s">
        <v>210</v>
      </c>
      <c r="C40" s="4" t="s">
        <v>211</v>
      </c>
      <c r="D40" s="4" t="s">
        <v>212</v>
      </c>
      <c r="E40" s="5">
        <v>61316</v>
      </c>
      <c r="F40" s="6">
        <v>152.18631199999999</v>
      </c>
      <c r="G40" s="7">
        <v>1.3118331E-2</v>
      </c>
      <c r="H40" s="112"/>
    </row>
    <row r="41" spans="1:8" x14ac:dyDescent="0.2">
      <c r="A41" s="3">
        <v>35</v>
      </c>
      <c r="B41" s="4" t="s">
        <v>217</v>
      </c>
      <c r="C41" s="4" t="s">
        <v>218</v>
      </c>
      <c r="D41" s="4" t="s">
        <v>979</v>
      </c>
      <c r="E41" s="5">
        <v>9205</v>
      </c>
      <c r="F41" s="6">
        <v>148.927695</v>
      </c>
      <c r="G41" s="7">
        <v>1.2837441E-2</v>
      </c>
      <c r="H41" s="112"/>
    </row>
    <row r="42" spans="1:8" x14ac:dyDescent="0.2">
      <c r="A42" s="3">
        <v>36</v>
      </c>
      <c r="B42" s="4" t="s">
        <v>207</v>
      </c>
      <c r="C42" s="4" t="s">
        <v>208</v>
      </c>
      <c r="D42" s="4" t="s">
        <v>209</v>
      </c>
      <c r="E42" s="5">
        <v>30419</v>
      </c>
      <c r="F42" s="6">
        <v>141.661283</v>
      </c>
      <c r="G42" s="7">
        <v>1.2211082E-2</v>
      </c>
      <c r="H42" s="112"/>
    </row>
    <row r="43" spans="1:8" x14ac:dyDescent="0.2">
      <c r="A43" s="3">
        <v>37</v>
      </c>
      <c r="B43" s="4" t="s">
        <v>205</v>
      </c>
      <c r="C43" s="4" t="s">
        <v>206</v>
      </c>
      <c r="D43" s="4" t="s">
        <v>975</v>
      </c>
      <c r="E43" s="5">
        <v>16000</v>
      </c>
      <c r="F43" s="6">
        <v>138.61600000000001</v>
      </c>
      <c r="G43" s="7">
        <v>1.1948581999999999E-2</v>
      </c>
      <c r="H43" s="112"/>
    </row>
    <row r="44" spans="1:8" x14ac:dyDescent="0.2">
      <c r="A44" s="3">
        <v>38</v>
      </c>
      <c r="B44" s="4" t="s">
        <v>287</v>
      </c>
      <c r="C44" s="4" t="s">
        <v>288</v>
      </c>
      <c r="D44" s="4" t="s">
        <v>27</v>
      </c>
      <c r="E44" s="5">
        <v>12647</v>
      </c>
      <c r="F44" s="6">
        <v>135.96157349999999</v>
      </c>
      <c r="G44" s="7">
        <v>1.1719772E-2</v>
      </c>
      <c r="H44" s="112"/>
    </row>
    <row r="45" spans="1:8" x14ac:dyDescent="0.2">
      <c r="A45" s="3">
        <v>39</v>
      </c>
      <c r="B45" s="4" t="s">
        <v>219</v>
      </c>
      <c r="C45" s="4" t="s">
        <v>220</v>
      </c>
      <c r="D45" s="4" t="s">
        <v>64</v>
      </c>
      <c r="E45" s="5">
        <v>13938</v>
      </c>
      <c r="F45" s="6">
        <v>134.36928900000001</v>
      </c>
      <c r="G45" s="7">
        <v>1.1582518999999999E-2</v>
      </c>
      <c r="H45" s="112"/>
    </row>
    <row r="46" spans="1:8" x14ac:dyDescent="0.2">
      <c r="A46" s="3">
        <v>40</v>
      </c>
      <c r="B46" s="4" t="s">
        <v>213</v>
      </c>
      <c r="C46" s="4" t="s">
        <v>214</v>
      </c>
      <c r="D46" s="4" t="s">
        <v>977</v>
      </c>
      <c r="E46" s="5">
        <v>23112</v>
      </c>
      <c r="F46" s="6">
        <v>134.11893599999999</v>
      </c>
      <c r="G46" s="7">
        <v>1.1560938E-2</v>
      </c>
      <c r="H46" s="112"/>
    </row>
    <row r="47" spans="1:8" x14ac:dyDescent="0.2">
      <c r="A47" s="3">
        <v>41</v>
      </c>
      <c r="B47" s="4" t="s">
        <v>223</v>
      </c>
      <c r="C47" s="4" t="s">
        <v>224</v>
      </c>
      <c r="D47" s="4" t="s">
        <v>27</v>
      </c>
      <c r="E47" s="5">
        <v>7016</v>
      </c>
      <c r="F47" s="6">
        <v>126.144172</v>
      </c>
      <c r="G47" s="7">
        <v>1.0873521000000001E-2</v>
      </c>
      <c r="H47" s="112"/>
    </row>
    <row r="48" spans="1:8" x14ac:dyDescent="0.2">
      <c r="A48" s="3">
        <v>42</v>
      </c>
      <c r="B48" s="4" t="s">
        <v>227</v>
      </c>
      <c r="C48" s="4" t="s">
        <v>228</v>
      </c>
      <c r="D48" s="4" t="s">
        <v>974</v>
      </c>
      <c r="E48" s="5">
        <v>6955</v>
      </c>
      <c r="F48" s="6">
        <v>118.4958125</v>
      </c>
      <c r="G48" s="7">
        <v>1.0214238E-2</v>
      </c>
      <c r="H48" s="112"/>
    </row>
    <row r="49" spans="1:8" ht="25.5" x14ac:dyDescent="0.2">
      <c r="A49" s="3">
        <v>43</v>
      </c>
      <c r="B49" s="4" t="s">
        <v>233</v>
      </c>
      <c r="C49" s="4" t="s">
        <v>234</v>
      </c>
      <c r="D49" s="4" t="s">
        <v>147</v>
      </c>
      <c r="E49" s="5">
        <v>24937</v>
      </c>
      <c r="F49" s="6">
        <v>114.85982199999999</v>
      </c>
      <c r="G49" s="7">
        <v>9.9008189999999999E-3</v>
      </c>
      <c r="H49" s="112"/>
    </row>
    <row r="50" spans="1:8" ht="25.5" x14ac:dyDescent="0.2">
      <c r="A50" s="3">
        <v>44</v>
      </c>
      <c r="B50" s="4" t="s">
        <v>235</v>
      </c>
      <c r="C50" s="4" t="s">
        <v>236</v>
      </c>
      <c r="D50" s="4" t="s">
        <v>192</v>
      </c>
      <c r="E50" s="5">
        <v>24808</v>
      </c>
      <c r="F50" s="6">
        <v>113.360156</v>
      </c>
      <c r="G50" s="7">
        <v>9.7715489999999992E-3</v>
      </c>
      <c r="H50" s="112"/>
    </row>
    <row r="51" spans="1:8" x14ac:dyDescent="0.2">
      <c r="A51" s="3">
        <v>45</v>
      </c>
      <c r="B51" s="4" t="s">
        <v>231</v>
      </c>
      <c r="C51" s="4" t="s">
        <v>232</v>
      </c>
      <c r="D51" s="4" t="s">
        <v>71</v>
      </c>
      <c r="E51" s="5">
        <v>40563</v>
      </c>
      <c r="F51" s="6">
        <v>113.3127405</v>
      </c>
      <c r="G51" s="7">
        <v>9.7674619999999993E-3</v>
      </c>
      <c r="H51" s="112"/>
    </row>
    <row r="52" spans="1:8" x14ac:dyDescent="0.2">
      <c r="A52" s="3">
        <v>46</v>
      </c>
      <c r="B52" s="4" t="s">
        <v>221</v>
      </c>
      <c r="C52" s="4" t="s">
        <v>222</v>
      </c>
      <c r="D52" s="4" t="s">
        <v>173</v>
      </c>
      <c r="E52" s="5">
        <v>13025</v>
      </c>
      <c r="F52" s="6">
        <v>112.26247499999999</v>
      </c>
      <c r="G52" s="7">
        <v>9.6769300000000003E-3</v>
      </c>
      <c r="H52" s="112"/>
    </row>
    <row r="53" spans="1:8" x14ac:dyDescent="0.2">
      <c r="A53" s="3">
        <v>47</v>
      </c>
      <c r="B53" s="4" t="s">
        <v>158</v>
      </c>
      <c r="C53" s="4" t="s">
        <v>159</v>
      </c>
      <c r="D53" s="4" t="s">
        <v>979</v>
      </c>
      <c r="E53" s="5">
        <v>50262</v>
      </c>
      <c r="F53" s="6">
        <v>110.676924</v>
      </c>
      <c r="G53" s="7">
        <v>9.5402569999999999E-3</v>
      </c>
      <c r="H53" s="112"/>
    </row>
    <row r="54" spans="1:8" x14ac:dyDescent="0.2">
      <c r="A54" s="3">
        <v>48</v>
      </c>
      <c r="B54" s="4" t="s">
        <v>238</v>
      </c>
      <c r="C54" s="4" t="s">
        <v>239</v>
      </c>
      <c r="D54" s="4" t="s">
        <v>186</v>
      </c>
      <c r="E54" s="5">
        <v>21308</v>
      </c>
      <c r="F54" s="6">
        <v>109.90666400000001</v>
      </c>
      <c r="G54" s="7">
        <v>9.4738610000000001E-3</v>
      </c>
      <c r="H54" s="112"/>
    </row>
    <row r="55" spans="1:8" x14ac:dyDescent="0.2">
      <c r="A55" s="3">
        <v>49</v>
      </c>
      <c r="B55" s="4" t="s">
        <v>242</v>
      </c>
      <c r="C55" s="4" t="s">
        <v>243</v>
      </c>
      <c r="D55" s="4" t="s">
        <v>334</v>
      </c>
      <c r="E55" s="5">
        <v>9171</v>
      </c>
      <c r="F55" s="6">
        <v>109.82272500000001</v>
      </c>
      <c r="G55" s="7">
        <v>9.4666260000000006E-3</v>
      </c>
      <c r="H55" s="112"/>
    </row>
    <row r="56" spans="1:8" x14ac:dyDescent="0.2">
      <c r="A56" s="3">
        <v>50</v>
      </c>
      <c r="B56" s="4" t="s">
        <v>240</v>
      </c>
      <c r="C56" s="4" t="s">
        <v>241</v>
      </c>
      <c r="D56" s="4" t="s">
        <v>81</v>
      </c>
      <c r="E56" s="5">
        <v>195431</v>
      </c>
      <c r="F56" s="6">
        <v>107.682481</v>
      </c>
      <c r="G56" s="7">
        <v>9.2821380000000005E-3</v>
      </c>
      <c r="H56" s="112"/>
    </row>
    <row r="57" spans="1:8" x14ac:dyDescent="0.2">
      <c r="A57" s="3">
        <v>51</v>
      </c>
      <c r="B57" s="4" t="s">
        <v>244</v>
      </c>
      <c r="C57" s="4" t="s">
        <v>245</v>
      </c>
      <c r="D57" s="4" t="s">
        <v>173</v>
      </c>
      <c r="E57" s="5">
        <v>27074</v>
      </c>
      <c r="F57" s="6">
        <v>106.779856</v>
      </c>
      <c r="G57" s="7">
        <v>9.2043330000000003E-3</v>
      </c>
      <c r="H57" s="112"/>
    </row>
    <row r="58" spans="1:8" ht="25.5" x14ac:dyDescent="0.2">
      <c r="A58" s="3">
        <v>52</v>
      </c>
      <c r="B58" s="4" t="s">
        <v>246</v>
      </c>
      <c r="C58" s="4" t="s">
        <v>247</v>
      </c>
      <c r="D58" s="4" t="s">
        <v>978</v>
      </c>
      <c r="E58" s="5">
        <v>100256</v>
      </c>
      <c r="F58" s="6">
        <v>105.66982400000001</v>
      </c>
      <c r="G58" s="7">
        <v>9.1086489999999999E-3</v>
      </c>
      <c r="H58" s="112"/>
    </row>
    <row r="59" spans="1:8" x14ac:dyDescent="0.2">
      <c r="A59" s="3">
        <v>53</v>
      </c>
      <c r="B59" s="4" t="s">
        <v>248</v>
      </c>
      <c r="C59" s="4" t="s">
        <v>249</v>
      </c>
      <c r="D59" s="4" t="s">
        <v>186</v>
      </c>
      <c r="E59" s="5">
        <v>5980</v>
      </c>
      <c r="F59" s="6">
        <v>100.35337</v>
      </c>
      <c r="G59" s="7">
        <v>8.6503750000000001E-3</v>
      </c>
      <c r="H59" s="112"/>
    </row>
    <row r="60" spans="1:8" x14ac:dyDescent="0.2">
      <c r="A60" s="3">
        <v>54</v>
      </c>
      <c r="B60" s="4" t="s">
        <v>215</v>
      </c>
      <c r="C60" s="4" t="s">
        <v>216</v>
      </c>
      <c r="D60" s="4" t="s">
        <v>53</v>
      </c>
      <c r="E60" s="5">
        <v>42614</v>
      </c>
      <c r="F60" s="6">
        <v>100.270742</v>
      </c>
      <c r="G60" s="7">
        <v>8.643253E-3</v>
      </c>
      <c r="H60" s="112"/>
    </row>
    <row r="61" spans="1:8" x14ac:dyDescent="0.2">
      <c r="A61" s="3">
        <v>55</v>
      </c>
      <c r="B61" s="4" t="s">
        <v>299</v>
      </c>
      <c r="C61" s="4" t="s">
        <v>300</v>
      </c>
      <c r="D61" s="4" t="s">
        <v>977</v>
      </c>
      <c r="E61" s="5">
        <v>270455</v>
      </c>
      <c r="F61" s="6">
        <v>99.662667499999998</v>
      </c>
      <c r="G61" s="7">
        <v>8.5908370000000005E-3</v>
      </c>
      <c r="H61" s="112"/>
    </row>
    <row r="62" spans="1:8" x14ac:dyDescent="0.2">
      <c r="A62" s="3">
        <v>56</v>
      </c>
      <c r="B62" s="4" t="s">
        <v>69</v>
      </c>
      <c r="C62" s="4" t="s">
        <v>70</v>
      </c>
      <c r="D62" s="4" t="s">
        <v>71</v>
      </c>
      <c r="E62" s="5">
        <v>3000</v>
      </c>
      <c r="F62" s="6">
        <v>99.172499999999999</v>
      </c>
      <c r="G62" s="7">
        <v>8.5485849999999992E-3</v>
      </c>
      <c r="H62" s="112"/>
    </row>
    <row r="63" spans="1:8" ht="25.5" x14ac:dyDescent="0.2">
      <c r="A63" s="3">
        <v>57</v>
      </c>
      <c r="B63" s="4" t="s">
        <v>250</v>
      </c>
      <c r="C63" s="4" t="s">
        <v>251</v>
      </c>
      <c r="D63" s="4" t="s">
        <v>192</v>
      </c>
      <c r="E63" s="5">
        <v>25988</v>
      </c>
      <c r="F63" s="6">
        <v>98.884339999999995</v>
      </c>
      <c r="G63" s="7">
        <v>8.5237460000000004E-3</v>
      </c>
      <c r="H63" s="112"/>
    </row>
    <row r="64" spans="1:8" x14ac:dyDescent="0.2">
      <c r="A64" s="3">
        <v>58</v>
      </c>
      <c r="B64" s="4" t="s">
        <v>252</v>
      </c>
      <c r="C64" s="4" t="s">
        <v>253</v>
      </c>
      <c r="D64" s="4" t="s">
        <v>34</v>
      </c>
      <c r="E64" s="5">
        <v>76703</v>
      </c>
      <c r="F64" s="6">
        <v>96.837537499999996</v>
      </c>
      <c r="G64" s="7">
        <v>8.3473139999999998E-3</v>
      </c>
      <c r="H64" s="112"/>
    </row>
    <row r="65" spans="1:8" ht="25.5" x14ac:dyDescent="0.2">
      <c r="A65" s="3">
        <v>59</v>
      </c>
      <c r="B65" s="4" t="s">
        <v>229</v>
      </c>
      <c r="C65" s="4" t="s">
        <v>230</v>
      </c>
      <c r="D65" s="4" t="s">
        <v>71</v>
      </c>
      <c r="E65" s="5">
        <v>4600</v>
      </c>
      <c r="F65" s="6">
        <v>95.358000000000004</v>
      </c>
      <c r="G65" s="7">
        <v>8.219779E-3</v>
      </c>
      <c r="H65" s="112"/>
    </row>
    <row r="66" spans="1:8" x14ac:dyDescent="0.2">
      <c r="A66" s="3">
        <v>60</v>
      </c>
      <c r="B66" s="4" t="s">
        <v>254</v>
      </c>
      <c r="C66" s="4" t="s">
        <v>255</v>
      </c>
      <c r="D66" s="4" t="s">
        <v>162</v>
      </c>
      <c r="E66" s="5">
        <v>7480</v>
      </c>
      <c r="F66" s="6">
        <v>95.325119999999998</v>
      </c>
      <c r="G66" s="7">
        <v>8.2169440000000003E-3</v>
      </c>
      <c r="H66" s="112"/>
    </row>
    <row r="67" spans="1:8" x14ac:dyDescent="0.2">
      <c r="A67" s="3">
        <v>61</v>
      </c>
      <c r="B67" s="4" t="s">
        <v>256</v>
      </c>
      <c r="C67" s="4" t="s">
        <v>257</v>
      </c>
      <c r="D67" s="4" t="s">
        <v>186</v>
      </c>
      <c r="E67" s="5">
        <v>18233</v>
      </c>
      <c r="F67" s="6">
        <v>92.733037999999993</v>
      </c>
      <c r="G67" s="7">
        <v>7.9935089999999993E-3</v>
      </c>
      <c r="H67" s="112"/>
    </row>
    <row r="68" spans="1:8" x14ac:dyDescent="0.2">
      <c r="A68" s="3">
        <v>62</v>
      </c>
      <c r="B68" s="4" t="s">
        <v>258</v>
      </c>
      <c r="C68" s="4" t="s">
        <v>259</v>
      </c>
      <c r="D68" s="4" t="s">
        <v>53</v>
      </c>
      <c r="E68" s="5">
        <v>8427</v>
      </c>
      <c r="F68" s="6">
        <v>80.621109000000004</v>
      </c>
      <c r="G68" s="7">
        <v>6.9494709999999996E-3</v>
      </c>
      <c r="H68" s="112"/>
    </row>
    <row r="69" spans="1:8" x14ac:dyDescent="0.2">
      <c r="A69" s="3">
        <v>63</v>
      </c>
      <c r="B69" s="4" t="s">
        <v>260</v>
      </c>
      <c r="C69" s="4" t="s">
        <v>261</v>
      </c>
      <c r="D69" s="4" t="s">
        <v>173</v>
      </c>
      <c r="E69" s="5">
        <v>12261</v>
      </c>
      <c r="F69" s="6">
        <v>73.866394499999998</v>
      </c>
      <c r="G69" s="7">
        <v>6.3672210000000002E-3</v>
      </c>
      <c r="H69" s="112"/>
    </row>
    <row r="70" spans="1:8" x14ac:dyDescent="0.2">
      <c r="A70" s="3">
        <v>64</v>
      </c>
      <c r="B70" s="4" t="s">
        <v>269</v>
      </c>
      <c r="C70" s="4" t="s">
        <v>270</v>
      </c>
      <c r="D70" s="4" t="s">
        <v>186</v>
      </c>
      <c r="E70" s="5">
        <v>1256</v>
      </c>
      <c r="F70" s="6">
        <v>68.122299999999996</v>
      </c>
      <c r="G70" s="7">
        <v>5.8720839999999996E-3</v>
      </c>
      <c r="H70" s="112"/>
    </row>
    <row r="71" spans="1:8" x14ac:dyDescent="0.2">
      <c r="A71" s="3">
        <v>65</v>
      </c>
      <c r="B71" s="4" t="s">
        <v>264</v>
      </c>
      <c r="C71" s="4" t="s">
        <v>265</v>
      </c>
      <c r="D71" s="4" t="s">
        <v>266</v>
      </c>
      <c r="E71" s="5">
        <v>29657</v>
      </c>
      <c r="F71" s="6">
        <v>68.077643499999994</v>
      </c>
      <c r="G71" s="7">
        <v>5.8682350000000003E-3</v>
      </c>
      <c r="H71" s="112"/>
    </row>
    <row r="72" spans="1:8" x14ac:dyDescent="0.2">
      <c r="A72" s="3">
        <v>66</v>
      </c>
      <c r="B72" s="4" t="s">
        <v>267</v>
      </c>
      <c r="C72" s="4" t="s">
        <v>268</v>
      </c>
      <c r="D72" s="4" t="s">
        <v>19</v>
      </c>
      <c r="E72" s="5">
        <v>71994</v>
      </c>
      <c r="F72" s="6">
        <v>65.370552000000004</v>
      </c>
      <c r="G72" s="7">
        <v>5.6348860000000004E-3</v>
      </c>
      <c r="H72" s="112"/>
    </row>
    <row r="73" spans="1:8" x14ac:dyDescent="0.2">
      <c r="A73" s="3">
        <v>67</v>
      </c>
      <c r="B73" s="4" t="s">
        <v>271</v>
      </c>
      <c r="C73" s="4" t="s">
        <v>272</v>
      </c>
      <c r="D73" s="4" t="s">
        <v>147</v>
      </c>
      <c r="E73" s="5">
        <v>9829</v>
      </c>
      <c r="F73" s="6">
        <v>63.947474</v>
      </c>
      <c r="G73" s="7">
        <v>5.5122180000000002E-3</v>
      </c>
      <c r="H73" s="112"/>
    </row>
    <row r="74" spans="1:8" x14ac:dyDescent="0.2">
      <c r="A74" s="3">
        <v>68</v>
      </c>
      <c r="B74" s="4" t="s">
        <v>262</v>
      </c>
      <c r="C74" s="4" t="s">
        <v>263</v>
      </c>
      <c r="D74" s="4" t="s">
        <v>977</v>
      </c>
      <c r="E74" s="5">
        <v>42305</v>
      </c>
      <c r="F74" s="6">
        <v>60.940352500000003</v>
      </c>
      <c r="G74" s="7">
        <v>5.2530069999999996E-3</v>
      </c>
      <c r="H74" s="112"/>
    </row>
    <row r="75" spans="1:8" x14ac:dyDescent="0.2">
      <c r="A75" s="3">
        <v>69</v>
      </c>
      <c r="B75" s="4" t="s">
        <v>273</v>
      </c>
      <c r="C75" s="4" t="s">
        <v>274</v>
      </c>
      <c r="D75" s="4" t="s">
        <v>71</v>
      </c>
      <c r="E75" s="5">
        <v>41400</v>
      </c>
      <c r="F75" s="6">
        <v>55.186199999999999</v>
      </c>
      <c r="G75" s="7">
        <v>4.7570039999999996E-3</v>
      </c>
      <c r="H75" s="112"/>
    </row>
    <row r="76" spans="1:8" x14ac:dyDescent="0.2">
      <c r="A76" s="3">
        <v>70</v>
      </c>
      <c r="B76" s="4" t="s">
        <v>275</v>
      </c>
      <c r="C76" s="4" t="s">
        <v>276</v>
      </c>
      <c r="D76" s="4" t="s">
        <v>162</v>
      </c>
      <c r="E76" s="5">
        <v>11841</v>
      </c>
      <c r="F76" s="6">
        <v>49.033580999999998</v>
      </c>
      <c r="G76" s="7">
        <v>4.2266530000000004E-3</v>
      </c>
      <c r="H76" s="112"/>
    </row>
    <row r="77" spans="1:8" ht="38.25" x14ac:dyDescent="0.2">
      <c r="A77" s="3">
        <v>71</v>
      </c>
      <c r="B77" s="4" t="s">
        <v>289</v>
      </c>
      <c r="C77" s="4" t="s">
        <v>290</v>
      </c>
      <c r="D77" s="4" t="s">
        <v>972</v>
      </c>
      <c r="E77" s="5">
        <v>4224</v>
      </c>
      <c r="F77" s="6">
        <v>47.52</v>
      </c>
      <c r="G77" s="7">
        <v>4.0961840000000001E-3</v>
      </c>
      <c r="H77" s="112"/>
    </row>
    <row r="78" spans="1:8" x14ac:dyDescent="0.2">
      <c r="A78" s="3">
        <v>72</v>
      </c>
      <c r="B78" s="4" t="s">
        <v>277</v>
      </c>
      <c r="C78" s="4" t="s">
        <v>278</v>
      </c>
      <c r="D78" s="4" t="s">
        <v>186</v>
      </c>
      <c r="E78" s="5">
        <v>14986</v>
      </c>
      <c r="F78" s="6">
        <v>46.216824000000003</v>
      </c>
      <c r="G78" s="7">
        <v>3.9838510000000001E-3</v>
      </c>
      <c r="H78" s="112"/>
    </row>
    <row r="79" spans="1:8" x14ac:dyDescent="0.2">
      <c r="A79" s="3">
        <v>73</v>
      </c>
      <c r="B79" s="4" t="s">
        <v>279</v>
      </c>
      <c r="C79" s="4" t="s">
        <v>280</v>
      </c>
      <c r="D79" s="4" t="s">
        <v>147</v>
      </c>
      <c r="E79" s="5">
        <v>3329</v>
      </c>
      <c r="F79" s="6">
        <v>43.591590500000002</v>
      </c>
      <c r="G79" s="7">
        <v>3.7575579999999998E-3</v>
      </c>
      <c r="H79" s="112"/>
    </row>
    <row r="80" spans="1:8" ht="25.5" x14ac:dyDescent="0.2">
      <c r="A80" s="3">
        <v>74</v>
      </c>
      <c r="B80" s="4" t="s">
        <v>92</v>
      </c>
      <c r="C80" s="4" t="s">
        <v>93</v>
      </c>
      <c r="D80" s="4" t="s">
        <v>45</v>
      </c>
      <c r="E80" s="5">
        <v>6556</v>
      </c>
      <c r="F80" s="6">
        <v>43.551507999999998</v>
      </c>
      <c r="G80" s="7">
        <v>3.754103E-3</v>
      </c>
      <c r="H80" s="112"/>
    </row>
    <row r="81" spans="1:8" x14ac:dyDescent="0.2">
      <c r="A81" s="3">
        <v>75</v>
      </c>
      <c r="B81" s="4" t="s">
        <v>62</v>
      </c>
      <c r="C81" s="4" t="s">
        <v>63</v>
      </c>
      <c r="D81" s="4" t="s">
        <v>64</v>
      </c>
      <c r="E81" s="5">
        <v>24117</v>
      </c>
      <c r="F81" s="6">
        <v>39.636289499999997</v>
      </c>
      <c r="G81" s="7">
        <v>3.416615E-3</v>
      </c>
      <c r="H81" s="112"/>
    </row>
    <row r="82" spans="1:8" x14ac:dyDescent="0.2">
      <c r="A82" s="3">
        <v>76</v>
      </c>
      <c r="B82" s="4" t="s">
        <v>281</v>
      </c>
      <c r="C82" s="4" t="s">
        <v>282</v>
      </c>
      <c r="D82" s="4" t="s">
        <v>334</v>
      </c>
      <c r="E82" s="5">
        <v>3516</v>
      </c>
      <c r="F82" s="6">
        <v>28.041858000000001</v>
      </c>
      <c r="G82" s="7">
        <v>2.4171840000000002E-3</v>
      </c>
      <c r="H82" s="112"/>
    </row>
    <row r="83" spans="1:8" x14ac:dyDescent="0.2">
      <c r="A83" s="3">
        <v>77</v>
      </c>
      <c r="B83" s="4" t="s">
        <v>283</v>
      </c>
      <c r="C83" s="4" t="s">
        <v>284</v>
      </c>
      <c r="D83" s="4" t="s">
        <v>19</v>
      </c>
      <c r="E83" s="5">
        <v>18318</v>
      </c>
      <c r="F83" s="6">
        <v>11.769315000000001</v>
      </c>
      <c r="G83" s="7">
        <v>1.014505E-3</v>
      </c>
      <c r="H83" s="112"/>
    </row>
    <row r="84" spans="1:8" x14ac:dyDescent="0.2">
      <c r="A84" s="1"/>
      <c r="B84" s="1"/>
      <c r="C84" s="2" t="s">
        <v>97</v>
      </c>
      <c r="D84" s="1"/>
      <c r="E84" s="1" t="s">
        <v>98</v>
      </c>
      <c r="F84" s="9">
        <v>11008.970084500001</v>
      </c>
      <c r="G84" s="10">
        <v>0.94896387400000004</v>
      </c>
      <c r="H84" s="112"/>
    </row>
    <row r="85" spans="1:8" x14ac:dyDescent="0.2">
      <c r="A85" s="1"/>
      <c r="B85" s="1"/>
      <c r="C85" s="11"/>
      <c r="D85" s="1"/>
      <c r="E85" s="1"/>
      <c r="F85" s="12"/>
      <c r="G85" s="12"/>
      <c r="H85" s="112"/>
    </row>
    <row r="86" spans="1:8" x14ac:dyDescent="0.2">
      <c r="A86" s="1"/>
      <c r="B86" s="1"/>
      <c r="C86" s="2" t="s">
        <v>99</v>
      </c>
      <c r="D86" s="1"/>
      <c r="E86" s="1"/>
      <c r="F86" s="1"/>
      <c r="G86" s="1"/>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100</v>
      </c>
      <c r="D89" s="1"/>
      <c r="E89" s="1"/>
      <c r="F89" s="1"/>
      <c r="G89" s="1"/>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101</v>
      </c>
      <c r="D92" s="1"/>
      <c r="E92" s="1"/>
      <c r="F92" s="1"/>
      <c r="G92" s="1"/>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102</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103</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104</v>
      </c>
      <c r="D101" s="1"/>
      <c r="E101" s="1"/>
      <c r="F101" s="9">
        <v>11008.970084500001</v>
      </c>
      <c r="G101" s="10">
        <v>0.94896387400000004</v>
      </c>
      <c r="H101" s="112"/>
    </row>
    <row r="102" spans="1:8" x14ac:dyDescent="0.2">
      <c r="A102" s="1"/>
      <c r="B102" s="1"/>
      <c r="C102" s="11"/>
      <c r="D102" s="1"/>
      <c r="E102" s="1"/>
      <c r="F102" s="12"/>
      <c r="G102" s="12"/>
      <c r="H102" s="112"/>
    </row>
    <row r="103" spans="1:8" x14ac:dyDescent="0.2">
      <c r="A103" s="1"/>
      <c r="B103" s="1"/>
      <c r="C103" s="2" t="s">
        <v>105</v>
      </c>
      <c r="D103" s="1"/>
      <c r="E103" s="1"/>
      <c r="F103" s="12"/>
      <c r="G103" s="12"/>
      <c r="H103" s="112"/>
    </row>
    <row r="104" spans="1:8" ht="25.5" x14ac:dyDescent="0.2">
      <c r="A104" s="1"/>
      <c r="B104" s="1"/>
      <c r="C104" s="2" t="s">
        <v>10</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106</v>
      </c>
      <c r="D107" s="1"/>
      <c r="E107" s="1"/>
      <c r="F107" s="1"/>
      <c r="G107" s="1"/>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1"/>
      <c r="C110" s="2" t="s">
        <v>107</v>
      </c>
      <c r="D110" s="1"/>
      <c r="E110" s="1"/>
      <c r="F110" s="1"/>
      <c r="G110" s="1"/>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108</v>
      </c>
      <c r="D113" s="1"/>
      <c r="E113" s="1"/>
      <c r="F113" s="12"/>
      <c r="G113" s="12"/>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2" t="s">
        <v>109</v>
      </c>
      <c r="D116" s="1"/>
      <c r="E116" s="1"/>
      <c r="F116" s="9">
        <v>0</v>
      </c>
      <c r="G116" s="10">
        <v>0</v>
      </c>
      <c r="H116" s="112"/>
    </row>
    <row r="117" spans="1:8" x14ac:dyDescent="0.2">
      <c r="A117" s="1"/>
      <c r="B117" s="1"/>
      <c r="C117" s="11"/>
      <c r="D117" s="1"/>
      <c r="E117" s="1"/>
      <c r="F117" s="12"/>
      <c r="G117" s="12"/>
      <c r="H117" s="112"/>
    </row>
    <row r="118" spans="1:8" x14ac:dyDescent="0.2">
      <c r="A118" s="1"/>
      <c r="B118" s="1"/>
      <c r="C118" s="2" t="s">
        <v>110</v>
      </c>
      <c r="D118" s="1"/>
      <c r="E118" s="1"/>
      <c r="F118" s="12"/>
      <c r="G118" s="12"/>
      <c r="H118" s="112"/>
    </row>
    <row r="119" spans="1:8" x14ac:dyDescent="0.2">
      <c r="A119" s="1"/>
      <c r="B119" s="1"/>
      <c r="C119" s="2" t="s">
        <v>111</v>
      </c>
      <c r="D119" s="1"/>
      <c r="E119" s="1"/>
      <c r="F119" s="12"/>
      <c r="G119" s="12"/>
      <c r="H119" s="112"/>
    </row>
    <row r="120" spans="1:8" x14ac:dyDescent="0.2">
      <c r="A120" s="1"/>
      <c r="B120" s="1"/>
      <c r="C120" s="2" t="s">
        <v>97</v>
      </c>
      <c r="D120" s="1"/>
      <c r="E120" s="1" t="s">
        <v>98</v>
      </c>
      <c r="F120" s="13">
        <v>0</v>
      </c>
      <c r="G120" s="14">
        <v>0</v>
      </c>
      <c r="H120" s="112"/>
    </row>
    <row r="121" spans="1:8" x14ac:dyDescent="0.2">
      <c r="A121" s="1"/>
      <c r="B121" s="1"/>
      <c r="C121" s="11"/>
      <c r="D121" s="1"/>
      <c r="E121" s="1"/>
      <c r="F121" s="12"/>
      <c r="G121" s="12"/>
      <c r="H121" s="112"/>
    </row>
    <row r="122" spans="1:8" x14ac:dyDescent="0.2">
      <c r="A122" s="1"/>
      <c r="B122" s="1"/>
      <c r="C122" s="2" t="s">
        <v>112</v>
      </c>
      <c r="D122" s="1"/>
      <c r="E122" s="1"/>
      <c r="F122" s="12"/>
      <c r="G122" s="12"/>
      <c r="H122" s="112"/>
    </row>
    <row r="123" spans="1:8" x14ac:dyDescent="0.2">
      <c r="A123" s="1"/>
      <c r="B123" s="1"/>
      <c r="C123" s="2" t="s">
        <v>97</v>
      </c>
      <c r="D123" s="1"/>
      <c r="E123" s="1" t="s">
        <v>98</v>
      </c>
      <c r="F123" s="13">
        <v>0</v>
      </c>
      <c r="G123" s="14">
        <v>0</v>
      </c>
      <c r="H123" s="112"/>
    </row>
    <row r="124" spans="1:8" x14ac:dyDescent="0.2">
      <c r="A124" s="1"/>
      <c r="B124" s="1"/>
      <c r="C124" s="11"/>
      <c r="D124" s="1"/>
      <c r="E124" s="1"/>
      <c r="F124" s="12"/>
      <c r="G124" s="12"/>
      <c r="H124" s="112"/>
    </row>
    <row r="125" spans="1:8" x14ac:dyDescent="0.2">
      <c r="A125" s="1"/>
      <c r="B125" s="1"/>
      <c r="C125" s="2" t="s">
        <v>113</v>
      </c>
      <c r="D125" s="1"/>
      <c r="E125" s="1"/>
      <c r="F125" s="12"/>
      <c r="G125" s="12"/>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114</v>
      </c>
      <c r="D128" s="1"/>
      <c r="E128" s="1"/>
      <c r="F128" s="12"/>
      <c r="G128" s="12"/>
      <c r="H128" s="112"/>
    </row>
    <row r="129" spans="1:8" x14ac:dyDescent="0.2">
      <c r="A129" s="3">
        <v>1</v>
      </c>
      <c r="B129" s="4"/>
      <c r="C129" s="4" t="s">
        <v>115</v>
      </c>
      <c r="D129" s="4"/>
      <c r="E129" s="8"/>
      <c r="F129" s="6">
        <v>427.25111134347537</v>
      </c>
      <c r="G129" s="7">
        <v>3.682868310409701E-2</v>
      </c>
      <c r="H129" s="6">
        <v>3.3211324282253978</v>
      </c>
    </row>
    <row r="130" spans="1:8" x14ac:dyDescent="0.2">
      <c r="A130" s="3">
        <v>2</v>
      </c>
      <c r="B130" s="4"/>
      <c r="C130" s="4" t="s">
        <v>116</v>
      </c>
      <c r="D130" s="4"/>
      <c r="E130" s="8"/>
      <c r="F130" s="6">
        <v>167.83425110002739</v>
      </c>
      <c r="G130" s="7">
        <v>1.4467169970231479E-2</v>
      </c>
      <c r="H130" s="6">
        <v>3.35</v>
      </c>
    </row>
    <row r="131" spans="1:8" x14ac:dyDescent="0.2">
      <c r="A131" s="1"/>
      <c r="B131" s="1"/>
      <c r="C131" s="2" t="s">
        <v>97</v>
      </c>
      <c r="D131" s="1"/>
      <c r="E131" s="1" t="s">
        <v>98</v>
      </c>
      <c r="F131" s="9">
        <v>595.08536244350273</v>
      </c>
      <c r="G131" s="10">
        <v>5.129585307432849E-2</v>
      </c>
      <c r="H131" s="112"/>
    </row>
    <row r="132" spans="1:8" x14ac:dyDescent="0.2">
      <c r="A132" s="1"/>
      <c r="B132" s="1"/>
      <c r="C132" s="11"/>
      <c r="D132" s="1"/>
      <c r="E132" s="1"/>
      <c r="F132" s="12"/>
      <c r="G132" s="12"/>
      <c r="H132" s="112"/>
    </row>
    <row r="133" spans="1:8" x14ac:dyDescent="0.2">
      <c r="A133" s="1"/>
      <c r="B133" s="1"/>
      <c r="C133" s="2" t="s">
        <v>117</v>
      </c>
      <c r="D133" s="1"/>
      <c r="E133" s="1"/>
      <c r="F133" s="9">
        <v>595.08536244350273</v>
      </c>
      <c r="G133" s="10">
        <v>5.129585307432849E-2</v>
      </c>
      <c r="H133" s="112"/>
    </row>
    <row r="134" spans="1:8" x14ac:dyDescent="0.2">
      <c r="A134" s="1"/>
      <c r="B134" s="1"/>
      <c r="C134" s="12"/>
      <c r="D134" s="1"/>
      <c r="E134" s="1"/>
      <c r="F134" s="1"/>
      <c r="G134" s="1"/>
      <c r="H134" s="112"/>
    </row>
    <row r="135" spans="1:8" x14ac:dyDescent="0.2">
      <c r="A135" s="1"/>
      <c r="B135" s="1"/>
      <c r="C135" s="2" t="s">
        <v>118</v>
      </c>
      <c r="D135" s="1"/>
      <c r="E135" s="1"/>
      <c r="F135" s="1"/>
      <c r="G135" s="1"/>
      <c r="H135" s="112"/>
    </row>
    <row r="136" spans="1:8" x14ac:dyDescent="0.2">
      <c r="A136" s="1"/>
      <c r="B136" s="1"/>
      <c r="C136" s="2" t="s">
        <v>119</v>
      </c>
      <c r="D136" s="1"/>
      <c r="E136" s="1"/>
      <c r="F136" s="1"/>
      <c r="G136" s="1"/>
      <c r="H136" s="112"/>
    </row>
    <row r="137" spans="1:8" x14ac:dyDescent="0.2">
      <c r="A137" s="1"/>
      <c r="B137" s="1"/>
      <c r="C137" s="2" t="s">
        <v>97</v>
      </c>
      <c r="D137" s="1"/>
      <c r="E137" s="1" t="s">
        <v>98</v>
      </c>
      <c r="F137" s="13">
        <v>0</v>
      </c>
      <c r="G137" s="14">
        <v>0</v>
      </c>
      <c r="H137" s="112"/>
    </row>
    <row r="138" spans="1:8" x14ac:dyDescent="0.2">
      <c r="A138" s="1"/>
      <c r="B138" s="1"/>
      <c r="C138" s="11"/>
      <c r="D138" s="1"/>
      <c r="E138" s="1"/>
      <c r="F138" s="12"/>
      <c r="G138" s="12"/>
      <c r="H138" s="112"/>
    </row>
    <row r="139" spans="1:8" x14ac:dyDescent="0.2">
      <c r="A139" s="1"/>
      <c r="B139" s="1"/>
      <c r="C139" s="2" t="s">
        <v>120</v>
      </c>
      <c r="D139" s="1"/>
      <c r="E139" s="1"/>
      <c r="F139" s="1"/>
      <c r="G139" s="1"/>
      <c r="H139" s="112"/>
    </row>
    <row r="140" spans="1:8" x14ac:dyDescent="0.2">
      <c r="A140" s="1"/>
      <c r="B140" s="1"/>
      <c r="C140" s="2" t="s">
        <v>121</v>
      </c>
      <c r="D140" s="1"/>
      <c r="E140" s="1"/>
      <c r="F140" s="1"/>
      <c r="G140" s="1"/>
      <c r="H140" s="112"/>
    </row>
    <row r="141" spans="1:8" x14ac:dyDescent="0.2">
      <c r="A141" s="1"/>
      <c r="B141" s="1"/>
      <c r="C141" s="2" t="s">
        <v>97</v>
      </c>
      <c r="D141" s="1"/>
      <c r="E141" s="1" t="s">
        <v>98</v>
      </c>
      <c r="F141" s="13">
        <v>0</v>
      </c>
      <c r="G141" s="14">
        <v>0</v>
      </c>
      <c r="H141" s="112"/>
    </row>
    <row r="142" spans="1:8" x14ac:dyDescent="0.2">
      <c r="A142" s="1"/>
      <c r="B142" s="1"/>
      <c r="C142" s="11"/>
      <c r="D142" s="1"/>
      <c r="E142" s="1"/>
      <c r="F142" s="12"/>
      <c r="G142" s="12"/>
      <c r="H142" s="112"/>
    </row>
    <row r="143" spans="1:8" x14ac:dyDescent="0.2">
      <c r="A143" s="1"/>
      <c r="B143" s="1"/>
      <c r="C143" s="11"/>
      <c r="D143" s="1"/>
      <c r="E143" s="1"/>
      <c r="F143" s="12"/>
      <c r="G143" s="12"/>
      <c r="H143" s="112"/>
    </row>
    <row r="144" spans="1:8" ht="25.5" x14ac:dyDescent="0.2">
      <c r="A144" s="1"/>
      <c r="B144" s="1"/>
      <c r="C144" s="2" t="s">
        <v>122</v>
      </c>
      <c r="D144" s="1"/>
      <c r="E144" s="1"/>
      <c r="F144" s="12"/>
      <c r="G144" s="12"/>
      <c r="H144" s="112"/>
    </row>
    <row r="145" spans="1:8" x14ac:dyDescent="0.2">
      <c r="A145" s="1"/>
      <c r="B145" s="1"/>
      <c r="C145" s="2" t="s">
        <v>97</v>
      </c>
      <c r="D145" s="1"/>
      <c r="E145" s="1" t="s">
        <v>98</v>
      </c>
      <c r="F145" s="13">
        <v>0</v>
      </c>
      <c r="G145" s="14">
        <v>0</v>
      </c>
      <c r="H145" s="112"/>
    </row>
    <row r="146" spans="1:8" x14ac:dyDescent="0.2">
      <c r="A146" s="1"/>
      <c r="B146" s="1"/>
      <c r="C146" s="11"/>
      <c r="D146" s="1"/>
      <c r="E146" s="1"/>
      <c r="F146" s="12"/>
      <c r="G146" s="12"/>
      <c r="H146" s="112"/>
    </row>
    <row r="147" spans="1:8" x14ac:dyDescent="0.2">
      <c r="A147" s="1"/>
      <c r="B147" s="4"/>
      <c r="C147" s="4"/>
      <c r="D147" s="2"/>
      <c r="E147" s="1"/>
      <c r="F147" s="4"/>
      <c r="G147" s="8"/>
      <c r="H147" s="112"/>
    </row>
    <row r="148" spans="1:8" x14ac:dyDescent="0.2">
      <c r="A148" s="8"/>
      <c r="B148" s="4"/>
      <c r="C148" s="4" t="s">
        <v>123</v>
      </c>
      <c r="D148" s="4"/>
      <c r="E148" s="8"/>
      <c r="F148" s="6">
        <v>-3.01293159</v>
      </c>
      <c r="G148" s="7">
        <v>-2.5971214537866564E-4</v>
      </c>
      <c r="H148" s="112"/>
    </row>
    <row r="149" spans="1:8" x14ac:dyDescent="0.2">
      <c r="A149" s="11"/>
      <c r="B149" s="11"/>
      <c r="C149" s="2" t="s">
        <v>124</v>
      </c>
      <c r="D149" s="15"/>
      <c r="E149" s="15"/>
      <c r="F149" s="9">
        <v>11601.04232171</v>
      </c>
      <c r="G149" s="10">
        <v>0.99999999799999995</v>
      </c>
      <c r="H149" s="112"/>
    </row>
    <row r="150" spans="1:8" ht="14.1" customHeight="1" x14ac:dyDescent="0.2">
      <c r="A150" s="16"/>
      <c r="B150" s="16"/>
      <c r="C150" s="16"/>
      <c r="D150" s="17"/>
      <c r="E150" s="17"/>
      <c r="F150" s="17"/>
      <c r="G150" s="17"/>
    </row>
    <row r="151" spans="1:8" ht="14.1" customHeight="1" x14ac:dyDescent="0.2">
      <c r="A151" s="18"/>
      <c r="B151" s="205" t="s">
        <v>98</v>
      </c>
      <c r="C151" s="205"/>
      <c r="D151" s="205"/>
      <c r="E151" s="205"/>
      <c r="F151" s="205"/>
      <c r="G151" s="20"/>
    </row>
    <row r="152" spans="1:8" ht="14.1" customHeight="1" x14ac:dyDescent="0.2">
      <c r="A152" s="18"/>
      <c r="B152" s="205" t="s">
        <v>98</v>
      </c>
      <c r="C152" s="205"/>
      <c r="D152" s="205"/>
      <c r="E152" s="205"/>
      <c r="F152" s="205"/>
      <c r="G152" s="20"/>
    </row>
    <row r="153" spans="1:8" ht="14.1" customHeight="1" x14ac:dyDescent="0.2">
      <c r="A153" s="18"/>
      <c r="B153" s="18"/>
      <c r="C153" s="18"/>
      <c r="D153" s="20"/>
      <c r="E153" s="20"/>
      <c r="F153" s="20"/>
      <c r="G153" s="20"/>
    </row>
    <row r="154" spans="1:8" ht="14.1" customHeight="1" x14ac:dyDescent="0.2">
      <c r="A154" s="18"/>
      <c r="B154" s="203" t="s">
        <v>126</v>
      </c>
      <c r="C154" s="204"/>
      <c r="D154" s="12" t="s">
        <v>98</v>
      </c>
      <c r="E154" s="21"/>
      <c r="F154" s="20"/>
      <c r="G154" s="20"/>
    </row>
    <row r="155" spans="1:8" ht="29.1" customHeight="1" x14ac:dyDescent="0.2">
      <c r="A155" s="18"/>
      <c r="B155" s="198" t="s">
        <v>127</v>
      </c>
      <c r="C155" s="199"/>
      <c r="D155" s="2" t="s">
        <v>128</v>
      </c>
      <c r="E155" s="21"/>
      <c r="F155" s="20"/>
      <c r="G155" s="20"/>
    </row>
    <row r="156" spans="1:8" ht="17.100000000000001" customHeight="1" x14ac:dyDescent="0.2">
      <c r="A156" s="18"/>
      <c r="B156" s="198" t="s">
        <v>129</v>
      </c>
      <c r="C156" s="199"/>
      <c r="D156" s="2" t="s">
        <v>128</v>
      </c>
      <c r="E156" s="21"/>
      <c r="F156" s="20"/>
      <c r="G156" s="20"/>
    </row>
    <row r="157" spans="1:8" ht="17.100000000000001" customHeight="1" x14ac:dyDescent="0.2">
      <c r="A157" s="18"/>
      <c r="B157" s="198" t="s">
        <v>130</v>
      </c>
      <c r="C157" s="199"/>
      <c r="D157" s="12" t="s">
        <v>98</v>
      </c>
      <c r="E157" s="21"/>
      <c r="F157" s="20"/>
      <c r="G157" s="20"/>
    </row>
    <row r="158" spans="1:8" ht="24" customHeight="1" x14ac:dyDescent="0.2">
      <c r="A158" s="22"/>
      <c r="B158" s="23" t="s">
        <v>98</v>
      </c>
      <c r="C158" s="23" t="s">
        <v>131</v>
      </c>
      <c r="D158" s="23" t="s">
        <v>132</v>
      </c>
      <c r="E158" s="22"/>
      <c r="F158" s="22"/>
      <c r="G158" s="22"/>
    </row>
    <row r="159" spans="1:8" ht="18" customHeight="1" x14ac:dyDescent="0.2">
      <c r="A159" s="22"/>
      <c r="B159" s="23" t="s">
        <v>133</v>
      </c>
      <c r="C159" s="23" t="s">
        <v>134</v>
      </c>
      <c r="D159" s="23" t="s">
        <v>135</v>
      </c>
      <c r="E159" s="22"/>
      <c r="F159" s="22"/>
      <c r="G159" s="22"/>
    </row>
    <row r="160" spans="1:8" ht="17.100000000000001" customHeight="1" x14ac:dyDescent="0.2">
      <c r="A160" s="22"/>
      <c r="B160" s="4" t="s">
        <v>136</v>
      </c>
      <c r="C160" s="24">
        <v>14.6775</v>
      </c>
      <c r="D160" s="24">
        <v>14.887</v>
      </c>
      <c r="E160" s="22"/>
      <c r="F160" s="19"/>
      <c r="G160" s="25"/>
    </row>
    <row r="161" spans="1:15" ht="17.100000000000001" customHeight="1" x14ac:dyDescent="0.2">
      <c r="A161" s="22"/>
      <c r="B161" s="4" t="s">
        <v>980</v>
      </c>
      <c r="C161" s="24">
        <v>14.6774</v>
      </c>
      <c r="D161" s="24">
        <v>14.887</v>
      </c>
      <c r="E161" s="22"/>
      <c r="F161" s="19"/>
      <c r="G161" s="25"/>
    </row>
    <row r="162" spans="1:15" ht="17.100000000000001" customHeight="1" x14ac:dyDescent="0.2">
      <c r="A162" s="22"/>
      <c r="B162" s="4" t="s">
        <v>137</v>
      </c>
      <c r="C162" s="24">
        <v>14.141999999999999</v>
      </c>
      <c r="D162" s="24">
        <v>14.337300000000001</v>
      </c>
      <c r="E162" s="22"/>
      <c r="F162" s="19"/>
      <c r="G162" s="25"/>
    </row>
    <row r="163" spans="1:15" ht="17.100000000000001" customHeight="1" x14ac:dyDescent="0.2">
      <c r="A163" s="22"/>
      <c r="B163" s="4" t="s">
        <v>981</v>
      </c>
      <c r="C163" s="24">
        <v>14.141999999999999</v>
      </c>
      <c r="D163" s="24">
        <v>14.337300000000001</v>
      </c>
      <c r="E163" s="22"/>
      <c r="F163" s="19"/>
      <c r="G163" s="25"/>
    </row>
    <row r="164" spans="1:15" ht="14.1" customHeight="1" x14ac:dyDescent="0.2">
      <c r="A164" s="22"/>
      <c r="B164" s="22"/>
      <c r="C164" s="22"/>
      <c r="D164" s="22"/>
      <c r="E164" s="22"/>
      <c r="F164" s="22"/>
      <c r="G164" s="22"/>
    </row>
    <row r="165" spans="1:15" ht="17.100000000000001" customHeight="1" x14ac:dyDescent="0.2">
      <c r="A165" s="22"/>
      <c r="B165" s="198" t="s">
        <v>982</v>
      </c>
      <c r="C165" s="199"/>
      <c r="D165" s="91" t="s">
        <v>128</v>
      </c>
      <c r="E165" s="22"/>
      <c r="F165" s="22"/>
      <c r="G165" s="22"/>
    </row>
    <row r="166" spans="1:15" ht="18" customHeight="1" x14ac:dyDescent="0.2">
      <c r="A166" s="22"/>
      <c r="B166" s="26"/>
      <c r="C166" s="26"/>
      <c r="D166" s="27"/>
      <c r="E166" s="22"/>
      <c r="F166" s="22"/>
      <c r="G166" s="22"/>
      <c r="I166" s="113"/>
      <c r="J166" s="113"/>
      <c r="K166" s="113"/>
      <c r="L166" s="113"/>
      <c r="M166" s="113"/>
      <c r="N166" s="113"/>
      <c r="O166" s="113"/>
    </row>
    <row r="167" spans="1:15" s="113" customFormat="1" x14ac:dyDescent="0.2">
      <c r="B167" s="202" t="s">
        <v>984</v>
      </c>
      <c r="C167" s="202"/>
      <c r="D167" s="202"/>
      <c r="E167" s="202"/>
      <c r="F167" s="202"/>
      <c r="I167"/>
      <c r="J167"/>
      <c r="K167"/>
      <c r="L167"/>
      <c r="M167"/>
      <c r="N167"/>
      <c r="O167"/>
    </row>
    <row r="168" spans="1:15" ht="14.1" customHeight="1" x14ac:dyDescent="0.2">
      <c r="A168" s="22"/>
      <c r="B168" s="19"/>
      <c r="C168" s="19"/>
      <c r="D168" s="22"/>
      <c r="E168" s="22"/>
      <c r="F168" s="22"/>
      <c r="G168" s="22"/>
    </row>
    <row r="169" spans="1:15" ht="29.1" customHeight="1" x14ac:dyDescent="0.2">
      <c r="A169" s="22"/>
      <c r="B169" s="198" t="s">
        <v>138</v>
      </c>
      <c r="C169" s="199"/>
      <c r="D169" s="2" t="s">
        <v>128</v>
      </c>
      <c r="E169" s="22"/>
      <c r="F169" s="22"/>
      <c r="G169" s="22"/>
    </row>
    <row r="170" spans="1:15" ht="29.1" customHeight="1" x14ac:dyDescent="0.2">
      <c r="A170" s="22"/>
      <c r="B170" s="198" t="s">
        <v>139</v>
      </c>
      <c r="C170" s="199"/>
      <c r="D170" s="2" t="s">
        <v>128</v>
      </c>
      <c r="E170" s="22"/>
      <c r="F170" s="22"/>
      <c r="G170" s="22"/>
    </row>
    <row r="171" spans="1:15" ht="17.100000000000001" customHeight="1" x14ac:dyDescent="0.2">
      <c r="A171" s="22"/>
      <c r="B171" s="198" t="s">
        <v>140</v>
      </c>
      <c r="C171" s="199"/>
      <c r="D171" s="28">
        <v>0.49138807292434461</v>
      </c>
      <c r="E171" s="22"/>
      <c r="F171" s="19"/>
      <c r="G171" s="25"/>
    </row>
    <row r="172" spans="1:15" ht="17.100000000000001" customHeight="1" x14ac:dyDescent="0.2">
      <c r="A172" s="22"/>
      <c r="B172" s="198" t="s">
        <v>141</v>
      </c>
      <c r="C172" s="199"/>
      <c r="D172" s="2" t="s">
        <v>128</v>
      </c>
      <c r="E172" s="22"/>
      <c r="F172" s="22"/>
      <c r="G172" s="22"/>
    </row>
  </sheetData>
  <mergeCells count="16">
    <mergeCell ref="B172:C172"/>
    <mergeCell ref="B155:C155"/>
    <mergeCell ref="B156:C156"/>
    <mergeCell ref="B157:C157"/>
    <mergeCell ref="B165:C165"/>
    <mergeCell ref="B169:C169"/>
    <mergeCell ref="B170:C170"/>
    <mergeCell ref="B167:F167"/>
    <mergeCell ref="A1:H1"/>
    <mergeCell ref="A2:H2"/>
    <mergeCell ref="A3:H3"/>
    <mergeCell ref="J2:N2"/>
    <mergeCell ref="B171:C171"/>
    <mergeCell ref="B154:C154"/>
    <mergeCell ref="B151:F151"/>
    <mergeCell ref="B152:F152"/>
  </mergeCells>
  <pageMargins left="5.000000074505806E-2" right="5.000000074505806E-2" top="0.30000001192092896" bottom="0.20000000298023224" header="0" footer="0"/>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5"/>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301</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302</v>
      </c>
      <c r="C7" s="4" t="s">
        <v>303</v>
      </c>
      <c r="D7" s="4" t="s">
        <v>162</v>
      </c>
      <c r="E7" s="5">
        <v>616133</v>
      </c>
      <c r="F7" s="6">
        <v>27679.158891999999</v>
      </c>
      <c r="G7" s="7">
        <v>4.0019970000000002E-2</v>
      </c>
      <c r="H7" s="112"/>
    </row>
    <row r="8" spans="1:14" x14ac:dyDescent="0.2">
      <c r="A8" s="3">
        <v>2</v>
      </c>
      <c r="B8" s="4" t="s">
        <v>25</v>
      </c>
      <c r="C8" s="4" t="s">
        <v>26</v>
      </c>
      <c r="D8" s="4" t="s">
        <v>27</v>
      </c>
      <c r="E8" s="5">
        <v>1335735</v>
      </c>
      <c r="F8" s="6">
        <v>21633.564060000001</v>
      </c>
      <c r="G8" s="7">
        <v>3.1278934000000001E-2</v>
      </c>
      <c r="H8" s="112"/>
    </row>
    <row r="9" spans="1:14" ht="25.5" x14ac:dyDescent="0.2">
      <c r="A9" s="3">
        <v>3</v>
      </c>
      <c r="B9" s="4" t="s">
        <v>304</v>
      </c>
      <c r="C9" s="4" t="s">
        <v>305</v>
      </c>
      <c r="D9" s="4" t="s">
        <v>81</v>
      </c>
      <c r="E9" s="5">
        <v>3220000</v>
      </c>
      <c r="F9" s="6">
        <v>19794.95</v>
      </c>
      <c r="G9" s="7">
        <v>2.8620570000000001E-2</v>
      </c>
      <c r="H9" s="112"/>
    </row>
    <row r="10" spans="1:14" x14ac:dyDescent="0.2">
      <c r="A10" s="3">
        <v>4</v>
      </c>
      <c r="B10" s="4" t="s">
        <v>306</v>
      </c>
      <c r="C10" s="4" t="s">
        <v>307</v>
      </c>
      <c r="D10" s="4" t="s">
        <v>973</v>
      </c>
      <c r="E10" s="5">
        <v>1983436</v>
      </c>
      <c r="F10" s="6">
        <v>19310.732896000001</v>
      </c>
      <c r="G10" s="7">
        <v>2.7920463999999999E-2</v>
      </c>
      <c r="H10" s="112"/>
    </row>
    <row r="11" spans="1:14" x14ac:dyDescent="0.2">
      <c r="A11" s="3">
        <v>5</v>
      </c>
      <c r="B11" s="4" t="s">
        <v>308</v>
      </c>
      <c r="C11" s="4" t="s">
        <v>309</v>
      </c>
      <c r="D11" s="4" t="s">
        <v>189</v>
      </c>
      <c r="E11" s="5">
        <v>428389</v>
      </c>
      <c r="F11" s="6">
        <v>18258.153374500002</v>
      </c>
      <c r="G11" s="7">
        <v>2.6398589E-2</v>
      </c>
      <c r="H11" s="112"/>
    </row>
    <row r="12" spans="1:14" ht="25.5" x14ac:dyDescent="0.2">
      <c r="A12" s="3">
        <v>6</v>
      </c>
      <c r="B12" s="4" t="s">
        <v>20</v>
      </c>
      <c r="C12" s="4" t="s">
        <v>21</v>
      </c>
      <c r="D12" s="4" t="s">
        <v>971</v>
      </c>
      <c r="E12" s="5">
        <v>1698863</v>
      </c>
      <c r="F12" s="6">
        <v>18118.373895000001</v>
      </c>
      <c r="G12" s="7">
        <v>2.6196489E-2</v>
      </c>
      <c r="H12" s="112"/>
    </row>
    <row r="13" spans="1:14" x14ac:dyDescent="0.2">
      <c r="A13" s="3">
        <v>7</v>
      </c>
      <c r="B13" s="4" t="s">
        <v>90</v>
      </c>
      <c r="C13" s="4" t="s">
        <v>91</v>
      </c>
      <c r="D13" s="4" t="s">
        <v>27</v>
      </c>
      <c r="E13" s="5">
        <v>237000</v>
      </c>
      <c r="F13" s="6">
        <v>17542.147499999999</v>
      </c>
      <c r="G13" s="7">
        <v>2.5363350999999999E-2</v>
      </c>
      <c r="H13" s="112"/>
    </row>
    <row r="14" spans="1:14" x14ac:dyDescent="0.2">
      <c r="A14" s="3">
        <v>8</v>
      </c>
      <c r="B14" s="4" t="s">
        <v>310</v>
      </c>
      <c r="C14" s="4" t="s">
        <v>311</v>
      </c>
      <c r="D14" s="4" t="s">
        <v>71</v>
      </c>
      <c r="E14" s="5">
        <v>1386681</v>
      </c>
      <c r="F14" s="6">
        <v>16703.265985499998</v>
      </c>
      <c r="G14" s="7">
        <v>2.4150451999999999E-2</v>
      </c>
      <c r="H14" s="112"/>
    </row>
    <row r="15" spans="1:14" ht="15" x14ac:dyDescent="0.2">
      <c r="A15" s="3">
        <v>9</v>
      </c>
      <c r="B15" s="4" t="s">
        <v>312</v>
      </c>
      <c r="C15" s="4" t="s">
        <v>313</v>
      </c>
      <c r="D15" s="4" t="s">
        <v>212</v>
      </c>
      <c r="E15" s="5">
        <v>41292</v>
      </c>
      <c r="F15" s="6">
        <v>15540.677766000001</v>
      </c>
      <c r="G15" s="7">
        <v>2.2469521999999999E-2</v>
      </c>
      <c r="H15" s="112"/>
      <c r="J15" s="188" t="s">
        <v>1013</v>
      </c>
    </row>
    <row r="16" spans="1:14" x14ac:dyDescent="0.2">
      <c r="A16" s="3">
        <v>10</v>
      </c>
      <c r="B16" s="4" t="s">
        <v>314</v>
      </c>
      <c r="C16" s="4" t="s">
        <v>315</v>
      </c>
      <c r="D16" s="4" t="s">
        <v>147</v>
      </c>
      <c r="E16" s="5">
        <v>719974</v>
      </c>
      <c r="F16" s="6">
        <v>15244.009502000001</v>
      </c>
      <c r="G16" s="7">
        <v>2.2040582999999999E-2</v>
      </c>
      <c r="H16" s="112"/>
    </row>
    <row r="17" spans="1:8" x14ac:dyDescent="0.2">
      <c r="A17" s="3">
        <v>11</v>
      </c>
      <c r="B17" s="4" t="s">
        <v>316</v>
      </c>
      <c r="C17" s="4" t="s">
        <v>317</v>
      </c>
      <c r="D17" s="4" t="s">
        <v>19</v>
      </c>
      <c r="E17" s="5">
        <v>15565539</v>
      </c>
      <c r="F17" s="6">
        <v>15168.617755499999</v>
      </c>
      <c r="G17" s="7">
        <v>2.1931578E-2</v>
      </c>
      <c r="H17" s="112"/>
    </row>
    <row r="18" spans="1:8" x14ac:dyDescent="0.2">
      <c r="A18" s="3">
        <v>12</v>
      </c>
      <c r="B18" s="4" t="s">
        <v>318</v>
      </c>
      <c r="C18" s="4" t="s">
        <v>319</v>
      </c>
      <c r="D18" s="4" t="s">
        <v>977</v>
      </c>
      <c r="E18" s="5">
        <v>404719</v>
      </c>
      <c r="F18" s="6">
        <v>14931.298067</v>
      </c>
      <c r="G18" s="7">
        <v>2.1588448999999999E-2</v>
      </c>
      <c r="H18" s="112"/>
    </row>
    <row r="19" spans="1:8" x14ac:dyDescent="0.2">
      <c r="A19" s="3">
        <v>13</v>
      </c>
      <c r="B19" s="4" t="s">
        <v>145</v>
      </c>
      <c r="C19" s="4" t="s">
        <v>146</v>
      </c>
      <c r="D19" s="4" t="s">
        <v>147</v>
      </c>
      <c r="E19" s="5">
        <v>421643</v>
      </c>
      <c r="F19" s="6">
        <v>14076.129912</v>
      </c>
      <c r="G19" s="7">
        <v>2.0352002000000001E-2</v>
      </c>
      <c r="H19" s="112"/>
    </row>
    <row r="20" spans="1:8" x14ac:dyDescent="0.2">
      <c r="A20" s="3">
        <v>14</v>
      </c>
      <c r="B20" s="4" t="s">
        <v>320</v>
      </c>
      <c r="C20" s="4" t="s">
        <v>321</v>
      </c>
      <c r="D20" s="4" t="s">
        <v>27</v>
      </c>
      <c r="E20" s="5">
        <v>1570775</v>
      </c>
      <c r="F20" s="6">
        <v>14069.431675</v>
      </c>
      <c r="G20" s="7">
        <v>2.0342316999999999E-2</v>
      </c>
      <c r="H20" s="112"/>
    </row>
    <row r="21" spans="1:8" x14ac:dyDescent="0.2">
      <c r="A21" s="3">
        <v>15</v>
      </c>
      <c r="B21" s="4" t="s">
        <v>322</v>
      </c>
      <c r="C21" s="4" t="s">
        <v>323</v>
      </c>
      <c r="D21" s="4" t="s">
        <v>19</v>
      </c>
      <c r="E21" s="5">
        <v>1886040</v>
      </c>
      <c r="F21" s="6">
        <v>13994.416800000001</v>
      </c>
      <c r="G21" s="7">
        <v>2.0233857000000001E-2</v>
      </c>
      <c r="H21" s="112"/>
    </row>
    <row r="22" spans="1:8" x14ac:dyDescent="0.2">
      <c r="A22" s="3">
        <v>16</v>
      </c>
      <c r="B22" s="4" t="s">
        <v>324</v>
      </c>
      <c r="C22" s="4" t="s">
        <v>325</v>
      </c>
      <c r="D22" s="4" t="s">
        <v>979</v>
      </c>
      <c r="E22" s="5">
        <v>6642899</v>
      </c>
      <c r="F22" s="6">
        <v>13740.8365815</v>
      </c>
      <c r="G22" s="7">
        <v>1.9867217E-2</v>
      </c>
      <c r="H22" s="112"/>
    </row>
    <row r="23" spans="1:8" ht="25.5" x14ac:dyDescent="0.2">
      <c r="A23" s="3">
        <v>17</v>
      </c>
      <c r="B23" s="4" t="s">
        <v>326</v>
      </c>
      <c r="C23" s="4" t="s">
        <v>327</v>
      </c>
      <c r="D23" s="4" t="s">
        <v>192</v>
      </c>
      <c r="E23" s="5">
        <v>1593553</v>
      </c>
      <c r="F23" s="6">
        <v>13534.8424055</v>
      </c>
      <c r="G23" s="7">
        <v>1.9569380000000001E-2</v>
      </c>
      <c r="H23" s="112"/>
    </row>
    <row r="24" spans="1:8" x14ac:dyDescent="0.2">
      <c r="A24" s="3">
        <v>18</v>
      </c>
      <c r="B24" s="4" t="s">
        <v>328</v>
      </c>
      <c r="C24" s="4" t="s">
        <v>329</v>
      </c>
      <c r="D24" s="4" t="s">
        <v>162</v>
      </c>
      <c r="E24" s="5">
        <v>285419</v>
      </c>
      <c r="F24" s="6">
        <v>13486.04775</v>
      </c>
      <c r="G24" s="7">
        <v>1.9498830000000002E-2</v>
      </c>
      <c r="H24" s="112"/>
    </row>
    <row r="25" spans="1:8" x14ac:dyDescent="0.2">
      <c r="A25" s="3">
        <v>19</v>
      </c>
      <c r="B25" s="4" t="s">
        <v>330</v>
      </c>
      <c r="C25" s="4" t="s">
        <v>331</v>
      </c>
      <c r="D25" s="4" t="s">
        <v>19</v>
      </c>
      <c r="E25" s="5">
        <v>1084567</v>
      </c>
      <c r="F25" s="6">
        <v>13192.130704499999</v>
      </c>
      <c r="G25" s="7">
        <v>1.907387E-2</v>
      </c>
      <c r="H25" s="112"/>
    </row>
    <row r="26" spans="1:8" x14ac:dyDescent="0.2">
      <c r="A26" s="3">
        <v>20</v>
      </c>
      <c r="B26" s="4" t="s">
        <v>332</v>
      </c>
      <c r="C26" s="4" t="s">
        <v>333</v>
      </c>
      <c r="D26" s="4" t="s">
        <v>334</v>
      </c>
      <c r="E26" s="5">
        <v>1300000</v>
      </c>
      <c r="F26" s="6">
        <v>13040.95</v>
      </c>
      <c r="G26" s="7">
        <v>1.8855284999999999E-2</v>
      </c>
      <c r="H26" s="112"/>
    </row>
    <row r="27" spans="1:8" ht="25.5" x14ac:dyDescent="0.2">
      <c r="A27" s="3">
        <v>21</v>
      </c>
      <c r="B27" s="4" t="s">
        <v>335</v>
      </c>
      <c r="C27" s="4" t="s">
        <v>336</v>
      </c>
      <c r="D27" s="4" t="s">
        <v>71</v>
      </c>
      <c r="E27" s="5">
        <v>2769006</v>
      </c>
      <c r="F27" s="6">
        <v>12892.491936</v>
      </c>
      <c r="G27" s="7">
        <v>1.8640637000000002E-2</v>
      </c>
      <c r="H27" s="112"/>
    </row>
    <row r="28" spans="1:8" x14ac:dyDescent="0.2">
      <c r="A28" s="3">
        <v>22</v>
      </c>
      <c r="B28" s="4" t="s">
        <v>337</v>
      </c>
      <c r="C28" s="4" t="s">
        <v>338</v>
      </c>
      <c r="D28" s="4" t="s">
        <v>19</v>
      </c>
      <c r="E28" s="5">
        <v>13175360</v>
      </c>
      <c r="F28" s="6">
        <v>12845.976000000001</v>
      </c>
      <c r="G28" s="7">
        <v>1.8573381E-2</v>
      </c>
      <c r="H28" s="112"/>
    </row>
    <row r="29" spans="1:8" x14ac:dyDescent="0.2">
      <c r="A29" s="3">
        <v>23</v>
      </c>
      <c r="B29" s="4" t="s">
        <v>339</v>
      </c>
      <c r="C29" s="4" t="s">
        <v>340</v>
      </c>
      <c r="D29" s="4" t="s">
        <v>81</v>
      </c>
      <c r="E29" s="5">
        <v>887988</v>
      </c>
      <c r="F29" s="6">
        <v>12753.283656</v>
      </c>
      <c r="G29" s="7">
        <v>1.8439362000000001E-2</v>
      </c>
      <c r="H29" s="112"/>
    </row>
    <row r="30" spans="1:8" x14ac:dyDescent="0.2">
      <c r="A30" s="3">
        <v>24</v>
      </c>
      <c r="B30" s="4" t="s">
        <v>341</v>
      </c>
      <c r="C30" s="4" t="s">
        <v>342</v>
      </c>
      <c r="D30" s="4" t="s">
        <v>186</v>
      </c>
      <c r="E30" s="5">
        <v>587800</v>
      </c>
      <c r="F30" s="6">
        <v>12593.0272</v>
      </c>
      <c r="G30" s="7">
        <v>1.8207655E-2</v>
      </c>
      <c r="H30" s="112"/>
    </row>
    <row r="31" spans="1:8" x14ac:dyDescent="0.2">
      <c r="A31" s="3">
        <v>25</v>
      </c>
      <c r="B31" s="4" t="s">
        <v>343</v>
      </c>
      <c r="C31" s="4" t="s">
        <v>344</v>
      </c>
      <c r="D31" s="4" t="s">
        <v>53</v>
      </c>
      <c r="E31" s="5">
        <v>3005217</v>
      </c>
      <c r="F31" s="6">
        <v>12540.770541</v>
      </c>
      <c r="G31" s="7">
        <v>1.8132098999999999E-2</v>
      </c>
      <c r="H31" s="112"/>
    </row>
    <row r="32" spans="1:8" x14ac:dyDescent="0.2">
      <c r="A32" s="3">
        <v>26</v>
      </c>
      <c r="B32" s="4" t="s">
        <v>205</v>
      </c>
      <c r="C32" s="4" t="s">
        <v>206</v>
      </c>
      <c r="D32" s="4" t="s">
        <v>975</v>
      </c>
      <c r="E32" s="5">
        <v>1410000</v>
      </c>
      <c r="F32" s="6">
        <v>12215.535</v>
      </c>
      <c r="G32" s="7">
        <v>1.7661857E-2</v>
      </c>
      <c r="H32" s="112"/>
    </row>
    <row r="33" spans="1:8" x14ac:dyDescent="0.2">
      <c r="A33" s="3">
        <v>27</v>
      </c>
      <c r="B33" s="4" t="s">
        <v>345</v>
      </c>
      <c r="C33" s="4" t="s">
        <v>346</v>
      </c>
      <c r="D33" s="4" t="s">
        <v>186</v>
      </c>
      <c r="E33" s="5">
        <v>329843</v>
      </c>
      <c r="F33" s="6">
        <v>12204.850686</v>
      </c>
      <c r="G33" s="7">
        <v>1.7646408999999998E-2</v>
      </c>
      <c r="H33" s="112"/>
    </row>
    <row r="34" spans="1:8" x14ac:dyDescent="0.2">
      <c r="A34" s="3">
        <v>28</v>
      </c>
      <c r="B34" s="4" t="s">
        <v>347</v>
      </c>
      <c r="C34" s="4" t="s">
        <v>348</v>
      </c>
      <c r="D34" s="4" t="s">
        <v>186</v>
      </c>
      <c r="E34" s="5">
        <v>1454822</v>
      </c>
      <c r="F34" s="6">
        <v>12034.287584</v>
      </c>
      <c r="G34" s="7">
        <v>1.73998E-2</v>
      </c>
      <c r="H34" s="112"/>
    </row>
    <row r="35" spans="1:8" x14ac:dyDescent="0.2">
      <c r="A35" s="3">
        <v>29</v>
      </c>
      <c r="B35" s="4" t="s">
        <v>349</v>
      </c>
      <c r="C35" s="4" t="s">
        <v>350</v>
      </c>
      <c r="D35" s="4" t="s">
        <v>351</v>
      </c>
      <c r="E35" s="5">
        <v>388464</v>
      </c>
      <c r="F35" s="6">
        <v>11653.725768</v>
      </c>
      <c r="G35" s="7">
        <v>1.6849564000000001E-2</v>
      </c>
      <c r="H35" s="112"/>
    </row>
    <row r="36" spans="1:8" x14ac:dyDescent="0.2">
      <c r="A36" s="3">
        <v>30</v>
      </c>
      <c r="B36" s="4" t="s">
        <v>76</v>
      </c>
      <c r="C36" s="4" t="s">
        <v>77</v>
      </c>
      <c r="D36" s="4" t="s">
        <v>78</v>
      </c>
      <c r="E36" s="5">
        <v>7942374</v>
      </c>
      <c r="F36" s="6">
        <v>11309.940576000001</v>
      </c>
      <c r="G36" s="7">
        <v>1.6352500999999998E-2</v>
      </c>
      <c r="H36" s="112"/>
    </row>
    <row r="37" spans="1:8" ht="25.5" x14ac:dyDescent="0.2">
      <c r="A37" s="3">
        <v>31</v>
      </c>
      <c r="B37" s="4" t="s">
        <v>352</v>
      </c>
      <c r="C37" s="4" t="s">
        <v>353</v>
      </c>
      <c r="D37" s="4" t="s">
        <v>192</v>
      </c>
      <c r="E37" s="5">
        <v>2086767</v>
      </c>
      <c r="F37" s="6">
        <v>11085.9496875</v>
      </c>
      <c r="G37" s="7">
        <v>1.6028644000000002E-2</v>
      </c>
      <c r="H37" s="112"/>
    </row>
    <row r="38" spans="1:8" x14ac:dyDescent="0.2">
      <c r="A38" s="3">
        <v>32</v>
      </c>
      <c r="B38" s="4" t="s">
        <v>354</v>
      </c>
      <c r="C38" s="4" t="s">
        <v>355</v>
      </c>
      <c r="D38" s="4" t="s">
        <v>27</v>
      </c>
      <c r="E38" s="5">
        <v>1410000</v>
      </c>
      <c r="F38" s="6">
        <v>10816.815000000001</v>
      </c>
      <c r="G38" s="7">
        <v>1.5639515E-2</v>
      </c>
      <c r="H38" s="112"/>
    </row>
    <row r="39" spans="1:8" x14ac:dyDescent="0.2">
      <c r="A39" s="3">
        <v>33</v>
      </c>
      <c r="B39" s="4" t="s">
        <v>356</v>
      </c>
      <c r="C39" s="4" t="s">
        <v>357</v>
      </c>
      <c r="D39" s="4" t="s">
        <v>173</v>
      </c>
      <c r="E39" s="5">
        <v>13981</v>
      </c>
      <c r="F39" s="6">
        <v>10808.452451499999</v>
      </c>
      <c r="G39" s="7">
        <v>1.5627424000000001E-2</v>
      </c>
      <c r="H39" s="112"/>
    </row>
    <row r="40" spans="1:8" x14ac:dyDescent="0.2">
      <c r="A40" s="3">
        <v>34</v>
      </c>
      <c r="B40" s="4" t="s">
        <v>358</v>
      </c>
      <c r="C40" s="4" t="s">
        <v>359</v>
      </c>
      <c r="D40" s="4" t="s">
        <v>50</v>
      </c>
      <c r="E40" s="5">
        <v>1629770</v>
      </c>
      <c r="F40" s="6">
        <v>10676.62327</v>
      </c>
      <c r="G40" s="7">
        <v>1.5436818E-2</v>
      </c>
      <c r="H40" s="112"/>
    </row>
    <row r="41" spans="1:8" x14ac:dyDescent="0.2">
      <c r="A41" s="3">
        <v>35</v>
      </c>
      <c r="B41" s="4" t="s">
        <v>360</v>
      </c>
      <c r="C41" s="4" t="s">
        <v>361</v>
      </c>
      <c r="D41" s="4" t="s">
        <v>974</v>
      </c>
      <c r="E41" s="5">
        <v>1444067</v>
      </c>
      <c r="F41" s="6">
        <v>10657.214459999999</v>
      </c>
      <c r="G41" s="7">
        <v>1.5408755999999999E-2</v>
      </c>
      <c r="H41" s="112"/>
    </row>
    <row r="42" spans="1:8" x14ac:dyDescent="0.2">
      <c r="A42" s="3">
        <v>36</v>
      </c>
      <c r="B42" s="4" t="s">
        <v>362</v>
      </c>
      <c r="C42" s="4" t="s">
        <v>363</v>
      </c>
      <c r="D42" s="4" t="s">
        <v>19</v>
      </c>
      <c r="E42" s="5">
        <v>6263179</v>
      </c>
      <c r="F42" s="6">
        <v>10531.5354885</v>
      </c>
      <c r="G42" s="7">
        <v>1.5227042999999999E-2</v>
      </c>
      <c r="H42" s="112"/>
    </row>
    <row r="43" spans="1:8" x14ac:dyDescent="0.2">
      <c r="A43" s="3">
        <v>37</v>
      </c>
      <c r="B43" s="4" t="s">
        <v>84</v>
      </c>
      <c r="C43" s="4" t="s">
        <v>85</v>
      </c>
      <c r="D43" s="4" t="s">
        <v>61</v>
      </c>
      <c r="E43" s="5">
        <v>2155766</v>
      </c>
      <c r="F43" s="6">
        <v>10216.175074000001</v>
      </c>
      <c r="G43" s="7">
        <v>1.4771078E-2</v>
      </c>
      <c r="H43" s="112"/>
    </row>
    <row r="44" spans="1:8" x14ac:dyDescent="0.2">
      <c r="A44" s="3">
        <v>38</v>
      </c>
      <c r="B44" s="4" t="s">
        <v>364</v>
      </c>
      <c r="C44" s="4" t="s">
        <v>365</v>
      </c>
      <c r="D44" s="4" t="s">
        <v>173</v>
      </c>
      <c r="E44" s="5">
        <v>257480</v>
      </c>
      <c r="F44" s="6">
        <v>9884.2709799999993</v>
      </c>
      <c r="G44" s="7">
        <v>1.4291194E-2</v>
      </c>
      <c r="H44" s="112"/>
    </row>
    <row r="45" spans="1:8" x14ac:dyDescent="0.2">
      <c r="A45" s="3">
        <v>39</v>
      </c>
      <c r="B45" s="4" t="s">
        <v>366</v>
      </c>
      <c r="C45" s="4" t="s">
        <v>367</v>
      </c>
      <c r="D45" s="4" t="s">
        <v>147</v>
      </c>
      <c r="E45" s="5">
        <v>980640</v>
      </c>
      <c r="F45" s="6">
        <v>9454.3502399999998</v>
      </c>
      <c r="G45" s="7">
        <v>1.3669592E-2</v>
      </c>
      <c r="H45" s="112"/>
    </row>
    <row r="46" spans="1:8" x14ac:dyDescent="0.2">
      <c r="A46" s="3">
        <v>40</v>
      </c>
      <c r="B46" s="4" t="s">
        <v>368</v>
      </c>
      <c r="C46" s="4" t="s">
        <v>369</v>
      </c>
      <c r="D46" s="4" t="s">
        <v>71</v>
      </c>
      <c r="E46" s="5">
        <v>179314</v>
      </c>
      <c r="F46" s="6">
        <v>8954.134247</v>
      </c>
      <c r="G46" s="7">
        <v>1.2946354E-2</v>
      </c>
      <c r="H46" s="112"/>
    </row>
    <row r="47" spans="1:8" ht="25.5" x14ac:dyDescent="0.2">
      <c r="A47" s="3">
        <v>41</v>
      </c>
      <c r="B47" s="4" t="s">
        <v>43</v>
      </c>
      <c r="C47" s="4" t="s">
        <v>44</v>
      </c>
      <c r="D47" s="4" t="s">
        <v>45</v>
      </c>
      <c r="E47" s="5">
        <v>19119</v>
      </c>
      <c r="F47" s="6">
        <v>8017.4379360000003</v>
      </c>
      <c r="G47" s="7">
        <v>1.1592029E-2</v>
      </c>
      <c r="H47" s="112"/>
    </row>
    <row r="48" spans="1:8" x14ac:dyDescent="0.2">
      <c r="A48" s="3">
        <v>42</v>
      </c>
      <c r="B48" s="4" t="s">
        <v>370</v>
      </c>
      <c r="C48" s="4" t="s">
        <v>371</v>
      </c>
      <c r="D48" s="4" t="s">
        <v>71</v>
      </c>
      <c r="E48" s="5">
        <v>10436498</v>
      </c>
      <c r="F48" s="6">
        <v>7957.8297249999996</v>
      </c>
      <c r="G48" s="7">
        <v>1.1505845000000001E-2</v>
      </c>
      <c r="H48" s="112"/>
    </row>
    <row r="49" spans="1:8" x14ac:dyDescent="0.2">
      <c r="A49" s="3">
        <v>43</v>
      </c>
      <c r="B49" s="4" t="s">
        <v>372</v>
      </c>
      <c r="C49" s="4" t="s">
        <v>373</v>
      </c>
      <c r="D49" s="4" t="s">
        <v>237</v>
      </c>
      <c r="E49" s="5">
        <v>1000000</v>
      </c>
      <c r="F49" s="6">
        <v>7856</v>
      </c>
      <c r="G49" s="7">
        <v>1.1358614E-2</v>
      </c>
      <c r="H49" s="112"/>
    </row>
    <row r="50" spans="1:8" x14ac:dyDescent="0.2">
      <c r="A50" s="3">
        <v>44</v>
      </c>
      <c r="B50" s="4" t="s">
        <v>374</v>
      </c>
      <c r="C50" s="4" t="s">
        <v>375</v>
      </c>
      <c r="D50" s="4" t="s">
        <v>162</v>
      </c>
      <c r="E50" s="5">
        <v>237483</v>
      </c>
      <c r="F50" s="6">
        <v>7684.4749140000004</v>
      </c>
      <c r="G50" s="7">
        <v>1.1110614E-2</v>
      </c>
      <c r="H50" s="112"/>
    </row>
    <row r="51" spans="1:8" x14ac:dyDescent="0.2">
      <c r="A51" s="3">
        <v>45</v>
      </c>
      <c r="B51" s="4" t="s">
        <v>376</v>
      </c>
      <c r="C51" s="4" t="s">
        <v>377</v>
      </c>
      <c r="D51" s="4" t="s">
        <v>162</v>
      </c>
      <c r="E51" s="5">
        <v>642447</v>
      </c>
      <c r="F51" s="6">
        <v>7347.9875625000004</v>
      </c>
      <c r="G51" s="7">
        <v>1.0624102999999999E-2</v>
      </c>
      <c r="H51" s="112"/>
    </row>
    <row r="52" spans="1:8" x14ac:dyDescent="0.2">
      <c r="A52" s="3">
        <v>46</v>
      </c>
      <c r="B52" s="4" t="s">
        <v>86</v>
      </c>
      <c r="C52" s="4" t="s">
        <v>87</v>
      </c>
      <c r="D52" s="4" t="s">
        <v>61</v>
      </c>
      <c r="E52" s="5">
        <v>2150008</v>
      </c>
      <c r="F52" s="6">
        <v>6560.7494120000001</v>
      </c>
      <c r="G52" s="7">
        <v>9.4858730000000006E-3</v>
      </c>
      <c r="H52" s="112"/>
    </row>
    <row r="53" spans="1:8" x14ac:dyDescent="0.2">
      <c r="A53" s="3">
        <v>47</v>
      </c>
      <c r="B53" s="4" t="s">
        <v>378</v>
      </c>
      <c r="C53" s="4" t="s">
        <v>379</v>
      </c>
      <c r="D53" s="4" t="s">
        <v>977</v>
      </c>
      <c r="E53" s="5">
        <v>2840770</v>
      </c>
      <c r="F53" s="6">
        <v>6474.1148300000004</v>
      </c>
      <c r="G53" s="7">
        <v>9.3606130000000003E-3</v>
      </c>
      <c r="H53" s="112"/>
    </row>
    <row r="54" spans="1:8" x14ac:dyDescent="0.2">
      <c r="A54" s="3">
        <v>48</v>
      </c>
      <c r="B54" s="4" t="s">
        <v>380</v>
      </c>
      <c r="C54" s="4" t="s">
        <v>381</v>
      </c>
      <c r="D54" s="4" t="s">
        <v>81</v>
      </c>
      <c r="E54" s="5">
        <v>1534714</v>
      </c>
      <c r="F54" s="6">
        <v>6243.9839089999996</v>
      </c>
      <c r="G54" s="7">
        <v>9.0278770000000001E-3</v>
      </c>
      <c r="H54" s="112"/>
    </row>
    <row r="55" spans="1:8" x14ac:dyDescent="0.2">
      <c r="A55" s="3">
        <v>49</v>
      </c>
      <c r="B55" s="4" t="s">
        <v>382</v>
      </c>
      <c r="C55" s="4" t="s">
        <v>383</v>
      </c>
      <c r="D55" s="4" t="s">
        <v>71</v>
      </c>
      <c r="E55" s="5">
        <v>276811</v>
      </c>
      <c r="F55" s="6">
        <v>6123.8897530000004</v>
      </c>
      <c r="G55" s="7">
        <v>8.8542389999999999E-3</v>
      </c>
      <c r="H55" s="112"/>
    </row>
    <row r="56" spans="1:8" x14ac:dyDescent="0.2">
      <c r="A56" s="3">
        <v>50</v>
      </c>
      <c r="B56" s="4" t="s">
        <v>384</v>
      </c>
      <c r="C56" s="4" t="s">
        <v>385</v>
      </c>
      <c r="D56" s="4" t="s">
        <v>81</v>
      </c>
      <c r="E56" s="5">
        <v>212009</v>
      </c>
      <c r="F56" s="6">
        <v>5937.8420674999998</v>
      </c>
      <c r="G56" s="7">
        <v>8.5852410000000004E-3</v>
      </c>
      <c r="H56" s="112"/>
    </row>
    <row r="57" spans="1:8" x14ac:dyDescent="0.2">
      <c r="A57" s="3">
        <v>51</v>
      </c>
      <c r="B57" s="4" t="s">
        <v>386</v>
      </c>
      <c r="C57" s="4" t="s">
        <v>387</v>
      </c>
      <c r="D57" s="4" t="s">
        <v>973</v>
      </c>
      <c r="E57" s="5">
        <v>33061</v>
      </c>
      <c r="F57" s="6">
        <v>5891.8504014999999</v>
      </c>
      <c r="G57" s="7">
        <v>8.518744E-3</v>
      </c>
      <c r="H57" s="112"/>
    </row>
    <row r="58" spans="1:8" x14ac:dyDescent="0.2">
      <c r="A58" s="3">
        <v>52</v>
      </c>
      <c r="B58" s="4" t="s">
        <v>388</v>
      </c>
      <c r="C58" s="4" t="s">
        <v>389</v>
      </c>
      <c r="D58" s="4" t="s">
        <v>64</v>
      </c>
      <c r="E58" s="5">
        <v>258586</v>
      </c>
      <c r="F58" s="6">
        <v>5775.0011379999996</v>
      </c>
      <c r="G58" s="7">
        <v>8.3497980000000003E-3</v>
      </c>
      <c r="H58" s="112"/>
    </row>
    <row r="59" spans="1:8" x14ac:dyDescent="0.2">
      <c r="A59" s="3">
        <v>53</v>
      </c>
      <c r="B59" s="4" t="s">
        <v>390</v>
      </c>
      <c r="C59" s="4" t="s">
        <v>391</v>
      </c>
      <c r="D59" s="4" t="s">
        <v>334</v>
      </c>
      <c r="E59" s="5">
        <v>4025523</v>
      </c>
      <c r="F59" s="6">
        <v>5295.5755065000003</v>
      </c>
      <c r="G59" s="7">
        <v>7.6566189999999999E-3</v>
      </c>
      <c r="H59" s="112"/>
    </row>
    <row r="60" spans="1:8" ht="25.5" x14ac:dyDescent="0.2">
      <c r="A60" s="3">
        <v>54</v>
      </c>
      <c r="B60" s="4" t="s">
        <v>392</v>
      </c>
      <c r="C60" s="4" t="s">
        <v>393</v>
      </c>
      <c r="D60" s="4" t="s">
        <v>971</v>
      </c>
      <c r="E60" s="5">
        <v>250213</v>
      </c>
      <c r="F60" s="6">
        <v>5034.9110925000004</v>
      </c>
      <c r="G60" s="7">
        <v>7.2797369999999997E-3</v>
      </c>
      <c r="H60" s="112"/>
    </row>
    <row r="61" spans="1:8" x14ac:dyDescent="0.2">
      <c r="A61" s="3">
        <v>55</v>
      </c>
      <c r="B61" s="4" t="s">
        <v>394</v>
      </c>
      <c r="C61" s="4" t="s">
        <v>395</v>
      </c>
      <c r="D61" s="4" t="s">
        <v>976</v>
      </c>
      <c r="E61" s="5">
        <v>1513182</v>
      </c>
      <c r="F61" s="6">
        <v>4553.9212289999996</v>
      </c>
      <c r="G61" s="7">
        <v>6.5842970000000002E-3</v>
      </c>
      <c r="H61" s="112"/>
    </row>
    <row r="62" spans="1:8" x14ac:dyDescent="0.2">
      <c r="A62" s="3">
        <v>56</v>
      </c>
      <c r="B62" s="4" t="s">
        <v>396</v>
      </c>
      <c r="C62" s="4" t="s">
        <v>397</v>
      </c>
      <c r="D62" s="4" t="s">
        <v>173</v>
      </c>
      <c r="E62" s="5">
        <v>513728</v>
      </c>
      <c r="F62" s="6">
        <v>4015.0411840000002</v>
      </c>
      <c r="G62" s="7">
        <v>5.8051559999999997E-3</v>
      </c>
      <c r="H62" s="112"/>
    </row>
    <row r="63" spans="1:8" x14ac:dyDescent="0.2">
      <c r="A63" s="3">
        <v>57</v>
      </c>
      <c r="B63" s="4" t="s">
        <v>171</v>
      </c>
      <c r="C63" s="4" t="s">
        <v>172</v>
      </c>
      <c r="D63" s="4" t="s">
        <v>173</v>
      </c>
      <c r="E63" s="5">
        <v>278514</v>
      </c>
      <c r="F63" s="6">
        <v>3889.4480100000001</v>
      </c>
      <c r="G63" s="7">
        <v>5.6235670000000003E-3</v>
      </c>
      <c r="H63" s="112"/>
    </row>
    <row r="64" spans="1:8" x14ac:dyDescent="0.2">
      <c r="A64" s="3">
        <v>58</v>
      </c>
      <c r="B64" s="4" t="s">
        <v>238</v>
      </c>
      <c r="C64" s="4" t="s">
        <v>239</v>
      </c>
      <c r="D64" s="4" t="s">
        <v>186</v>
      </c>
      <c r="E64" s="5">
        <v>744419</v>
      </c>
      <c r="F64" s="6">
        <v>3839.7132019999999</v>
      </c>
      <c r="G64" s="7">
        <v>5.5516569999999998E-3</v>
      </c>
      <c r="H64" s="112"/>
    </row>
    <row r="65" spans="1:8" ht="25.5" x14ac:dyDescent="0.2">
      <c r="A65" s="3">
        <v>59</v>
      </c>
      <c r="B65" s="4" t="s">
        <v>398</v>
      </c>
      <c r="C65" s="4" t="s">
        <v>399</v>
      </c>
      <c r="D65" s="4" t="s">
        <v>50</v>
      </c>
      <c r="E65" s="5">
        <v>450000</v>
      </c>
      <c r="F65" s="6">
        <v>3805.65</v>
      </c>
      <c r="G65" s="7">
        <v>5.502407E-3</v>
      </c>
      <c r="H65" s="112"/>
    </row>
    <row r="66" spans="1:8" x14ac:dyDescent="0.2">
      <c r="A66" s="3">
        <v>60</v>
      </c>
      <c r="B66" s="4" t="s">
        <v>32</v>
      </c>
      <c r="C66" s="4" t="s">
        <v>33</v>
      </c>
      <c r="D66" s="4" t="s">
        <v>34</v>
      </c>
      <c r="E66" s="5">
        <v>1300000</v>
      </c>
      <c r="F66" s="6">
        <v>2785.9</v>
      </c>
      <c r="G66" s="7">
        <v>4.027999E-3</v>
      </c>
      <c r="H66" s="112"/>
    </row>
    <row r="67" spans="1:8" ht="25.5" x14ac:dyDescent="0.2">
      <c r="A67" s="3">
        <v>61</v>
      </c>
      <c r="B67" s="4" t="s">
        <v>400</v>
      </c>
      <c r="C67" s="4" t="s">
        <v>401</v>
      </c>
      <c r="D67" s="4" t="s">
        <v>192</v>
      </c>
      <c r="E67" s="5">
        <v>340866</v>
      </c>
      <c r="F67" s="6">
        <v>2759.3102699999999</v>
      </c>
      <c r="G67" s="7">
        <v>3.9895549999999997E-3</v>
      </c>
      <c r="H67" s="112"/>
    </row>
    <row r="68" spans="1:8" x14ac:dyDescent="0.2">
      <c r="A68" s="3">
        <v>62</v>
      </c>
      <c r="B68" s="4" t="s">
        <v>193</v>
      </c>
      <c r="C68" s="4" t="s">
        <v>194</v>
      </c>
      <c r="D68" s="4" t="s">
        <v>16</v>
      </c>
      <c r="E68" s="5">
        <v>428949</v>
      </c>
      <c r="F68" s="6">
        <v>1331.4576959999999</v>
      </c>
      <c r="G68" s="7">
        <v>1.9250910000000001E-3</v>
      </c>
      <c r="H68" s="112"/>
    </row>
    <row r="69" spans="1:8" x14ac:dyDescent="0.2">
      <c r="A69" s="3">
        <v>63</v>
      </c>
      <c r="B69" s="4" t="s">
        <v>402</v>
      </c>
      <c r="C69" s="4" t="s">
        <v>403</v>
      </c>
      <c r="D69" s="4" t="s">
        <v>334</v>
      </c>
      <c r="E69" s="5">
        <v>461360</v>
      </c>
      <c r="F69" s="6">
        <v>1213.3768</v>
      </c>
      <c r="G69" s="7">
        <v>1.7543630000000001E-3</v>
      </c>
      <c r="H69" s="112"/>
    </row>
    <row r="70" spans="1:8" x14ac:dyDescent="0.2">
      <c r="A70" s="3">
        <v>64</v>
      </c>
      <c r="B70" s="4" t="s">
        <v>404</v>
      </c>
      <c r="C70" s="4" t="s">
        <v>405</v>
      </c>
      <c r="D70" s="4" t="s">
        <v>27</v>
      </c>
      <c r="E70" s="5">
        <v>50100</v>
      </c>
      <c r="F70" s="6">
        <v>1094.50965</v>
      </c>
      <c r="G70" s="7">
        <v>1.582499E-3</v>
      </c>
      <c r="H70" s="112"/>
    </row>
    <row r="71" spans="1:8" x14ac:dyDescent="0.2">
      <c r="A71" s="3">
        <v>65</v>
      </c>
      <c r="B71" s="4" t="s">
        <v>406</v>
      </c>
      <c r="C71" s="4" t="s">
        <v>407</v>
      </c>
      <c r="D71" s="4" t="s">
        <v>71</v>
      </c>
      <c r="E71" s="5">
        <v>25000</v>
      </c>
      <c r="F71" s="6">
        <v>494.86250000000001</v>
      </c>
      <c r="G71" s="7">
        <v>7.1549799999999996E-4</v>
      </c>
      <c r="H71" s="112"/>
    </row>
    <row r="72" spans="1:8" x14ac:dyDescent="0.2">
      <c r="A72" s="3">
        <v>66</v>
      </c>
      <c r="B72" s="4" t="s">
        <v>30</v>
      </c>
      <c r="C72" s="4" t="s">
        <v>31</v>
      </c>
      <c r="D72" s="4" t="s">
        <v>27</v>
      </c>
      <c r="E72" s="5">
        <v>6329</v>
      </c>
      <c r="F72" s="6">
        <v>143.12400600000001</v>
      </c>
      <c r="G72" s="7">
        <v>2.0693600000000001E-4</v>
      </c>
      <c r="H72" s="112"/>
    </row>
    <row r="73" spans="1:8" x14ac:dyDescent="0.2">
      <c r="A73" s="1"/>
      <c r="B73" s="1"/>
      <c r="C73" s="2" t="s">
        <v>97</v>
      </c>
      <c r="D73" s="1"/>
      <c r="E73" s="1" t="s">
        <v>98</v>
      </c>
      <c r="F73" s="9">
        <v>677317.10816199996</v>
      </c>
      <c r="G73" s="10">
        <v>0.97930036300000001</v>
      </c>
      <c r="H73" s="112"/>
    </row>
    <row r="74" spans="1:8" x14ac:dyDescent="0.2">
      <c r="A74" s="1"/>
      <c r="B74" s="1"/>
      <c r="C74" s="11"/>
      <c r="D74" s="1"/>
      <c r="E74" s="1"/>
      <c r="F74" s="12"/>
      <c r="G74" s="12"/>
      <c r="H74" s="112"/>
    </row>
    <row r="75" spans="1:8" x14ac:dyDescent="0.2">
      <c r="A75" s="1"/>
      <c r="B75" s="1"/>
      <c r="C75" s="2" t="s">
        <v>99</v>
      </c>
      <c r="D75" s="1"/>
      <c r="E75" s="1"/>
      <c r="F75" s="1"/>
      <c r="G75" s="1"/>
      <c r="H75" s="112"/>
    </row>
    <row r="76" spans="1:8" x14ac:dyDescent="0.2">
      <c r="A76" s="1"/>
      <c r="B76" s="1"/>
      <c r="C76" s="2" t="s">
        <v>97</v>
      </c>
      <c r="D76" s="1"/>
      <c r="E76" s="1" t="s">
        <v>98</v>
      </c>
      <c r="F76" s="13">
        <v>0</v>
      </c>
      <c r="G76" s="14">
        <v>0</v>
      </c>
      <c r="H76" s="112"/>
    </row>
    <row r="77" spans="1:8" x14ac:dyDescent="0.2">
      <c r="A77" s="1"/>
      <c r="B77" s="1"/>
      <c r="C77" s="11"/>
      <c r="D77" s="1"/>
      <c r="E77" s="1"/>
      <c r="F77" s="12"/>
      <c r="G77" s="12"/>
      <c r="H77" s="112"/>
    </row>
    <row r="78" spans="1:8" x14ac:dyDescent="0.2">
      <c r="A78" s="1"/>
      <c r="B78" s="1"/>
      <c r="C78" s="2" t="s">
        <v>100</v>
      </c>
      <c r="D78" s="1"/>
      <c r="E78" s="1"/>
      <c r="F78" s="1"/>
      <c r="G78" s="1"/>
      <c r="H78" s="112"/>
    </row>
    <row r="79" spans="1:8" x14ac:dyDescent="0.2">
      <c r="A79" s="1"/>
      <c r="B79" s="1"/>
      <c r="C79" s="2" t="s">
        <v>97</v>
      </c>
      <c r="D79" s="1"/>
      <c r="E79" s="1" t="s">
        <v>98</v>
      </c>
      <c r="F79" s="13">
        <v>0</v>
      </c>
      <c r="G79" s="14">
        <v>0</v>
      </c>
      <c r="H79" s="112"/>
    </row>
    <row r="80" spans="1:8" x14ac:dyDescent="0.2">
      <c r="A80" s="1"/>
      <c r="B80" s="1"/>
      <c r="C80" s="11"/>
      <c r="D80" s="1"/>
      <c r="E80" s="1"/>
      <c r="F80" s="12"/>
      <c r="G80" s="12"/>
      <c r="H80" s="112"/>
    </row>
    <row r="81" spans="1:8" x14ac:dyDescent="0.2">
      <c r="A81" s="1"/>
      <c r="B81" s="1"/>
      <c r="C81" s="2" t="s">
        <v>101</v>
      </c>
      <c r="D81" s="1"/>
      <c r="E81" s="1"/>
      <c r="F81" s="1"/>
      <c r="G81" s="1"/>
      <c r="H81" s="112"/>
    </row>
    <row r="82" spans="1:8" x14ac:dyDescent="0.2">
      <c r="A82" s="1"/>
      <c r="B82" s="1"/>
      <c r="C82" s="2" t="s">
        <v>97</v>
      </c>
      <c r="D82" s="1"/>
      <c r="E82" s="1" t="s">
        <v>98</v>
      </c>
      <c r="F82" s="13">
        <v>0</v>
      </c>
      <c r="G82" s="14">
        <v>0</v>
      </c>
      <c r="H82" s="112"/>
    </row>
    <row r="83" spans="1:8" x14ac:dyDescent="0.2">
      <c r="A83" s="1"/>
      <c r="B83" s="1"/>
      <c r="C83" s="11"/>
      <c r="D83" s="1"/>
      <c r="E83" s="1"/>
      <c r="F83" s="12"/>
      <c r="G83" s="12"/>
      <c r="H83" s="112"/>
    </row>
    <row r="84" spans="1:8" x14ac:dyDescent="0.2">
      <c r="A84" s="1"/>
      <c r="B84" s="1"/>
      <c r="C84" s="2" t="s">
        <v>102</v>
      </c>
      <c r="D84" s="1"/>
      <c r="E84" s="1"/>
      <c r="F84" s="12"/>
      <c r="G84" s="12"/>
      <c r="H84" s="112"/>
    </row>
    <row r="85" spans="1:8" x14ac:dyDescent="0.2">
      <c r="A85" s="1"/>
      <c r="B85" s="1"/>
      <c r="C85" s="2" t="s">
        <v>97</v>
      </c>
      <c r="D85" s="1"/>
      <c r="E85" s="1" t="s">
        <v>98</v>
      </c>
      <c r="F85" s="13">
        <v>0</v>
      </c>
      <c r="G85" s="14">
        <v>0</v>
      </c>
      <c r="H85" s="112"/>
    </row>
    <row r="86" spans="1:8" x14ac:dyDescent="0.2">
      <c r="A86" s="1"/>
      <c r="B86" s="1"/>
      <c r="C86" s="11"/>
      <c r="D86" s="1"/>
      <c r="E86" s="1"/>
      <c r="F86" s="12"/>
      <c r="G86" s="12"/>
      <c r="H86" s="112"/>
    </row>
    <row r="87" spans="1:8" x14ac:dyDescent="0.2">
      <c r="A87" s="1"/>
      <c r="B87" s="1"/>
      <c r="C87" s="2" t="s">
        <v>103</v>
      </c>
      <c r="D87" s="1"/>
      <c r="E87" s="1"/>
      <c r="F87" s="12"/>
      <c r="G87" s="12"/>
      <c r="H87" s="112"/>
    </row>
    <row r="88" spans="1:8" ht="25.5" x14ac:dyDescent="0.2">
      <c r="A88" s="3">
        <v>1</v>
      </c>
      <c r="B88" s="4"/>
      <c r="C88" s="4" t="s">
        <v>878</v>
      </c>
      <c r="D88" s="4" t="s">
        <v>408</v>
      </c>
      <c r="E88" s="5">
        <v>742500</v>
      </c>
      <c r="F88" s="6">
        <v>2308.80375</v>
      </c>
      <c r="G88" s="7">
        <v>3.3381890000000001E-3</v>
      </c>
      <c r="H88" s="112"/>
    </row>
    <row r="89" spans="1:8" ht="25.5" x14ac:dyDescent="0.2">
      <c r="A89" s="3">
        <v>2</v>
      </c>
      <c r="B89" s="4"/>
      <c r="C89" s="4" t="s">
        <v>879</v>
      </c>
      <c r="D89" s="4" t="s">
        <v>408</v>
      </c>
      <c r="E89" s="5">
        <v>-325000</v>
      </c>
      <c r="F89" s="6">
        <v>-2761.2</v>
      </c>
      <c r="G89" s="7">
        <v>-3.9922899999999999E-3</v>
      </c>
      <c r="H89" s="112"/>
    </row>
    <row r="90" spans="1:8" x14ac:dyDescent="0.2">
      <c r="A90" s="1"/>
      <c r="B90" s="1"/>
      <c r="C90" s="2" t="s">
        <v>97</v>
      </c>
      <c r="D90" s="1"/>
      <c r="E90" s="1" t="s">
        <v>98</v>
      </c>
      <c r="F90" s="9">
        <v>-452.39624999999978</v>
      </c>
      <c r="G90" s="10">
        <v>-6.5410099999999981E-4</v>
      </c>
      <c r="H90" s="112"/>
    </row>
    <row r="91" spans="1:8" x14ac:dyDescent="0.2">
      <c r="A91" s="1"/>
      <c r="B91" s="1"/>
      <c r="C91" s="11"/>
      <c r="D91" s="1"/>
      <c r="E91" s="1"/>
      <c r="F91" s="12"/>
      <c r="G91" s="12"/>
      <c r="H91" s="112"/>
    </row>
    <row r="92" spans="1:8" x14ac:dyDescent="0.2">
      <c r="A92" s="1"/>
      <c r="B92" s="1"/>
      <c r="C92" s="2" t="s">
        <v>104</v>
      </c>
      <c r="D92" s="1"/>
      <c r="E92" s="1"/>
      <c r="F92" s="9">
        <v>677317.10816199996</v>
      </c>
      <c r="G92" s="10">
        <v>0.97930036300000001</v>
      </c>
      <c r="H92" s="112"/>
    </row>
    <row r="93" spans="1:8" x14ac:dyDescent="0.2">
      <c r="A93" s="1"/>
      <c r="B93" s="1"/>
      <c r="C93" s="11"/>
      <c r="D93" s="1"/>
      <c r="E93" s="1"/>
      <c r="F93" s="12"/>
      <c r="G93" s="12"/>
      <c r="H93" s="112"/>
    </row>
    <row r="94" spans="1:8" x14ac:dyDescent="0.2">
      <c r="A94" s="1"/>
      <c r="B94" s="1"/>
      <c r="C94" s="2" t="s">
        <v>105</v>
      </c>
      <c r="D94" s="1"/>
      <c r="E94" s="1"/>
      <c r="F94" s="12"/>
      <c r="G94" s="12"/>
      <c r="H94" s="112"/>
    </row>
    <row r="95" spans="1:8" ht="25.5" x14ac:dyDescent="0.2">
      <c r="A95" s="1"/>
      <c r="B95" s="1"/>
      <c r="C95" s="2" t="s">
        <v>10</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106</v>
      </c>
      <c r="D98" s="1"/>
      <c r="E98" s="1"/>
      <c r="F98" s="1"/>
      <c r="G98" s="1"/>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107</v>
      </c>
      <c r="D101" s="1"/>
      <c r="E101" s="1"/>
      <c r="F101" s="1"/>
      <c r="G101" s="1"/>
      <c r="H101" s="112"/>
    </row>
    <row r="102" spans="1:8" x14ac:dyDescent="0.2">
      <c r="A102" s="1"/>
      <c r="B102" s="1"/>
      <c r="C102" s="2" t="s">
        <v>97</v>
      </c>
      <c r="D102" s="1"/>
      <c r="E102" s="1" t="s">
        <v>98</v>
      </c>
      <c r="F102" s="13">
        <v>0</v>
      </c>
      <c r="G102" s="14">
        <v>0</v>
      </c>
      <c r="H102" s="112"/>
    </row>
    <row r="103" spans="1:8" x14ac:dyDescent="0.2">
      <c r="A103" s="1"/>
      <c r="B103" s="1"/>
      <c r="C103" s="11"/>
      <c r="D103" s="1"/>
      <c r="E103" s="1"/>
      <c r="F103" s="12"/>
      <c r="G103" s="12"/>
      <c r="H103" s="112"/>
    </row>
    <row r="104" spans="1:8" x14ac:dyDescent="0.2">
      <c r="A104" s="1"/>
      <c r="B104" s="1"/>
      <c r="C104" s="2" t="s">
        <v>108</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109</v>
      </c>
      <c r="D107" s="1"/>
      <c r="E107" s="1"/>
      <c r="F107" s="9">
        <v>0</v>
      </c>
      <c r="G107" s="10">
        <v>0</v>
      </c>
      <c r="H107" s="112"/>
    </row>
    <row r="108" spans="1:8" x14ac:dyDescent="0.2">
      <c r="A108" s="1"/>
      <c r="B108" s="1"/>
      <c r="C108" s="11"/>
      <c r="D108" s="1"/>
      <c r="E108" s="1"/>
      <c r="F108" s="12"/>
      <c r="G108" s="12"/>
      <c r="H108" s="112"/>
    </row>
    <row r="109" spans="1:8" x14ac:dyDescent="0.2">
      <c r="A109" s="1"/>
      <c r="B109" s="1"/>
      <c r="C109" s="2" t="s">
        <v>110</v>
      </c>
      <c r="D109" s="1"/>
      <c r="E109" s="1"/>
      <c r="F109" s="12"/>
      <c r="G109" s="12"/>
      <c r="H109" s="112"/>
    </row>
    <row r="110" spans="1:8" x14ac:dyDescent="0.2">
      <c r="A110" s="1"/>
      <c r="B110" s="1"/>
      <c r="C110" s="2" t="s">
        <v>111</v>
      </c>
      <c r="D110" s="1"/>
      <c r="E110" s="1"/>
      <c r="F110" s="12"/>
      <c r="G110" s="12"/>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112</v>
      </c>
      <c r="D113" s="1"/>
      <c r="E113" s="1"/>
      <c r="F113" s="12"/>
      <c r="G113" s="12"/>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2" t="s">
        <v>113</v>
      </c>
      <c r="D116" s="1"/>
      <c r="E116" s="1"/>
      <c r="F116" s="12"/>
      <c r="G116" s="12"/>
      <c r="H116" s="112"/>
    </row>
    <row r="117" spans="1:8" x14ac:dyDescent="0.2">
      <c r="A117" s="1"/>
      <c r="B117" s="1"/>
      <c r="C117" s="2" t="s">
        <v>97</v>
      </c>
      <c r="D117" s="1"/>
      <c r="E117" s="1" t="s">
        <v>98</v>
      </c>
      <c r="F117" s="13">
        <v>0</v>
      </c>
      <c r="G117" s="14">
        <v>0</v>
      </c>
      <c r="H117" s="112"/>
    </row>
    <row r="118" spans="1:8" x14ac:dyDescent="0.2">
      <c r="A118" s="1"/>
      <c r="B118" s="1"/>
      <c r="C118" s="11"/>
      <c r="D118" s="1"/>
      <c r="E118" s="1"/>
      <c r="F118" s="12"/>
      <c r="G118" s="12"/>
      <c r="H118" s="112"/>
    </row>
    <row r="119" spans="1:8" x14ac:dyDescent="0.2">
      <c r="A119" s="1"/>
      <c r="B119" s="1"/>
      <c r="C119" s="2" t="s">
        <v>114</v>
      </c>
      <c r="D119" s="1"/>
      <c r="E119" s="1"/>
      <c r="F119" s="12"/>
      <c r="G119" s="12"/>
      <c r="H119" s="112"/>
    </row>
    <row r="120" spans="1:8" x14ac:dyDescent="0.2">
      <c r="A120" s="3">
        <v>1</v>
      </c>
      <c r="B120" s="4"/>
      <c r="C120" s="4" t="s">
        <v>115</v>
      </c>
      <c r="D120" s="4"/>
      <c r="E120" s="8"/>
      <c r="F120" s="6">
        <v>1756.4657267835084</v>
      </c>
      <c r="G120" s="7">
        <v>2.542916292955083E-3</v>
      </c>
      <c r="H120" s="6">
        <v>3.3211324282253978</v>
      </c>
    </row>
    <row r="121" spans="1:8" x14ac:dyDescent="0.2">
      <c r="A121" s="3">
        <v>2</v>
      </c>
      <c r="B121" s="4"/>
      <c r="C121" s="4" t="s">
        <v>116</v>
      </c>
      <c r="D121" s="4"/>
      <c r="E121" s="8"/>
      <c r="F121" s="6">
        <v>689.98091014011277</v>
      </c>
      <c r="G121" s="7">
        <v>9.9891712742740412E-4</v>
      </c>
      <c r="H121" s="6">
        <v>3.35</v>
      </c>
    </row>
    <row r="122" spans="1:8" x14ac:dyDescent="0.2">
      <c r="A122" s="1"/>
      <c r="B122" s="1"/>
      <c r="C122" s="2" t="s">
        <v>97</v>
      </c>
      <c r="D122" s="1"/>
      <c r="E122" s="1" t="s">
        <v>98</v>
      </c>
      <c r="F122" s="9">
        <v>2446.4466369236211</v>
      </c>
      <c r="G122" s="10">
        <v>3.5418334203824869E-3</v>
      </c>
      <c r="H122" s="112"/>
    </row>
    <row r="123" spans="1:8" x14ac:dyDescent="0.2">
      <c r="A123" s="1"/>
      <c r="B123" s="1"/>
      <c r="C123" s="11"/>
      <c r="D123" s="1"/>
      <c r="E123" s="1"/>
      <c r="F123" s="12"/>
      <c r="G123" s="12"/>
      <c r="H123" s="112"/>
    </row>
    <row r="124" spans="1:8" x14ac:dyDescent="0.2">
      <c r="A124" s="1"/>
      <c r="B124" s="1"/>
      <c r="C124" s="2" t="s">
        <v>117</v>
      </c>
      <c r="D124" s="1"/>
      <c r="E124" s="1"/>
      <c r="F124" s="9">
        <v>2446.4466369236211</v>
      </c>
      <c r="G124" s="10">
        <v>3.5418334203824869E-3</v>
      </c>
      <c r="H124" s="112"/>
    </row>
    <row r="125" spans="1:8" x14ac:dyDescent="0.2">
      <c r="A125" s="1"/>
      <c r="B125" s="1"/>
      <c r="C125" s="12"/>
      <c r="D125" s="1"/>
      <c r="E125" s="1"/>
      <c r="F125" s="1"/>
      <c r="G125" s="1"/>
      <c r="H125" s="112"/>
    </row>
    <row r="126" spans="1:8" x14ac:dyDescent="0.2">
      <c r="A126" s="1"/>
      <c r="B126" s="1"/>
      <c r="C126" s="2" t="s">
        <v>118</v>
      </c>
      <c r="D126" s="1"/>
      <c r="E126" s="1"/>
      <c r="F126" s="1"/>
      <c r="G126" s="1"/>
      <c r="H126" s="112"/>
    </row>
    <row r="127" spans="1:8" x14ac:dyDescent="0.2">
      <c r="A127" s="1"/>
      <c r="B127" s="1"/>
      <c r="C127" s="2" t="s">
        <v>119</v>
      </c>
      <c r="D127" s="1"/>
      <c r="E127" s="1"/>
      <c r="F127" s="1"/>
      <c r="G127" s="1"/>
      <c r="H127" s="112"/>
    </row>
    <row r="128" spans="1:8" x14ac:dyDescent="0.2">
      <c r="A128" s="1"/>
      <c r="B128" s="1"/>
      <c r="C128" s="2" t="s">
        <v>97</v>
      </c>
      <c r="D128" s="1"/>
      <c r="E128" s="1" t="s">
        <v>98</v>
      </c>
      <c r="F128" s="13">
        <v>0</v>
      </c>
      <c r="G128" s="14">
        <v>0</v>
      </c>
      <c r="H128" s="112"/>
    </row>
    <row r="129" spans="1:8" x14ac:dyDescent="0.2">
      <c r="A129" s="1"/>
      <c r="B129" s="1"/>
      <c r="C129" s="11"/>
      <c r="D129" s="1"/>
      <c r="E129" s="1"/>
      <c r="F129" s="12"/>
      <c r="G129" s="12"/>
      <c r="H129" s="112"/>
    </row>
    <row r="130" spans="1:8" x14ac:dyDescent="0.2">
      <c r="A130" s="1"/>
      <c r="B130" s="1"/>
      <c r="C130" s="2" t="s">
        <v>120</v>
      </c>
      <c r="D130" s="1"/>
      <c r="E130" s="1"/>
      <c r="F130" s="1"/>
      <c r="G130" s="1"/>
      <c r="H130" s="112"/>
    </row>
    <row r="131" spans="1:8" x14ac:dyDescent="0.2">
      <c r="A131" s="1"/>
      <c r="B131" s="1"/>
      <c r="C131" s="2" t="s">
        <v>121</v>
      </c>
      <c r="D131" s="1"/>
      <c r="E131" s="1"/>
      <c r="F131" s="1"/>
      <c r="G131" s="1"/>
      <c r="H131" s="112"/>
    </row>
    <row r="132" spans="1:8" x14ac:dyDescent="0.2">
      <c r="A132" s="1"/>
      <c r="B132" s="1"/>
      <c r="C132" s="2" t="s">
        <v>97</v>
      </c>
      <c r="D132" s="1"/>
      <c r="E132" s="1" t="s">
        <v>98</v>
      </c>
      <c r="F132" s="13">
        <v>0</v>
      </c>
      <c r="G132" s="14">
        <v>0</v>
      </c>
      <c r="H132" s="112"/>
    </row>
    <row r="133" spans="1:8" x14ac:dyDescent="0.2">
      <c r="A133" s="1"/>
      <c r="B133" s="1"/>
      <c r="C133" s="11"/>
      <c r="D133" s="1"/>
      <c r="E133" s="1"/>
      <c r="F133" s="12"/>
      <c r="G133" s="12"/>
      <c r="H133" s="112"/>
    </row>
    <row r="134" spans="1:8" x14ac:dyDescent="0.2">
      <c r="A134" s="1"/>
      <c r="B134" s="1"/>
      <c r="C134" s="11"/>
      <c r="D134" s="1"/>
      <c r="E134" s="1"/>
      <c r="F134" s="12"/>
      <c r="G134" s="12"/>
      <c r="H134" s="112"/>
    </row>
    <row r="135" spans="1:8" ht="25.5" x14ac:dyDescent="0.2">
      <c r="A135" s="1"/>
      <c r="B135" s="1"/>
      <c r="C135" s="2" t="s">
        <v>122</v>
      </c>
      <c r="D135" s="1"/>
      <c r="E135" s="1"/>
      <c r="F135" s="12"/>
      <c r="G135" s="12"/>
      <c r="H135" s="112"/>
    </row>
    <row r="136" spans="1:8" x14ac:dyDescent="0.2">
      <c r="A136" s="1"/>
      <c r="B136" s="1"/>
      <c r="C136" s="2" t="s">
        <v>97</v>
      </c>
      <c r="D136" s="1"/>
      <c r="E136" s="1" t="s">
        <v>98</v>
      </c>
      <c r="F136" s="13">
        <v>0</v>
      </c>
      <c r="G136" s="14">
        <v>0</v>
      </c>
      <c r="H136" s="112"/>
    </row>
    <row r="137" spans="1:8" x14ac:dyDescent="0.2">
      <c r="A137" s="1"/>
      <c r="B137" s="1"/>
      <c r="C137" s="11"/>
      <c r="D137" s="1"/>
      <c r="E137" s="1"/>
      <c r="F137" s="12"/>
      <c r="G137" s="12"/>
      <c r="H137" s="112"/>
    </row>
    <row r="138" spans="1:8" x14ac:dyDescent="0.2">
      <c r="A138" s="8"/>
      <c r="B138" s="4"/>
      <c r="C138" s="4" t="s">
        <v>409</v>
      </c>
      <c r="D138" s="4"/>
      <c r="E138" s="8"/>
      <c r="F138" s="6">
        <v>3924.5495875000001</v>
      </c>
      <c r="G138" s="7">
        <v>5.6743182627258587E-3</v>
      </c>
      <c r="H138" s="112"/>
    </row>
    <row r="139" spans="1:8" x14ac:dyDescent="0.2">
      <c r="A139" s="8"/>
      <c r="B139" s="4"/>
      <c r="C139" s="4" t="s">
        <v>123</v>
      </c>
      <c r="D139" s="4"/>
      <c r="E139" s="8"/>
      <c r="F139" s="6">
        <v>7945.5696145663969</v>
      </c>
      <c r="G139" s="7">
        <v>1.1488118513088799E-2</v>
      </c>
      <c r="H139" s="112"/>
    </row>
    <row r="140" spans="1:8" x14ac:dyDescent="0.2">
      <c r="A140" s="11"/>
      <c r="B140" s="11"/>
      <c r="C140" s="2" t="s">
        <v>124</v>
      </c>
      <c r="D140" s="15"/>
      <c r="E140" s="15"/>
      <c r="F140" s="9">
        <v>691633.67400098999</v>
      </c>
      <c r="G140" s="10">
        <v>1.0000046331961971</v>
      </c>
      <c r="H140" s="112"/>
    </row>
    <row r="141" spans="1:8" ht="14.1" customHeight="1" x14ac:dyDescent="0.2">
      <c r="A141" s="16"/>
      <c r="B141" s="16"/>
      <c r="C141" s="16"/>
      <c r="D141" s="17"/>
      <c r="E141" s="17"/>
      <c r="F141" s="77"/>
      <c r="G141" s="77"/>
      <c r="H141" s="20"/>
    </row>
    <row r="142" spans="1:8" ht="14.1" customHeight="1" x14ac:dyDescent="0.2">
      <c r="A142" s="18"/>
      <c r="B142" s="205" t="s">
        <v>98</v>
      </c>
      <c r="C142" s="205"/>
      <c r="D142" s="205"/>
      <c r="E142" s="205"/>
      <c r="F142" s="205"/>
      <c r="G142" s="20"/>
      <c r="H142" s="20"/>
    </row>
    <row r="143" spans="1:8" ht="17.100000000000001" customHeight="1" x14ac:dyDescent="0.2">
      <c r="A143" s="18"/>
      <c r="B143" s="205"/>
      <c r="C143" s="205"/>
      <c r="D143" s="205"/>
      <c r="E143" s="205"/>
      <c r="F143" s="205"/>
      <c r="G143" s="20"/>
      <c r="H143" s="20"/>
    </row>
    <row r="144" spans="1:8" ht="14.1" customHeight="1" x14ac:dyDescent="0.2">
      <c r="A144" s="18"/>
      <c r="B144" s="18"/>
      <c r="C144" s="18"/>
      <c r="D144" s="20"/>
      <c r="E144" s="20"/>
      <c r="F144" s="20"/>
      <c r="G144" s="20"/>
      <c r="H144" s="20"/>
    </row>
    <row r="145" spans="1:15" ht="14.1" customHeight="1" x14ac:dyDescent="0.2">
      <c r="A145" s="18"/>
      <c r="B145" s="203" t="s">
        <v>126</v>
      </c>
      <c r="C145" s="204"/>
      <c r="D145" s="12" t="s">
        <v>98</v>
      </c>
      <c r="E145" s="21"/>
      <c r="F145" s="20"/>
      <c r="G145" s="20"/>
      <c r="H145" s="20"/>
    </row>
    <row r="146" spans="1:15" ht="29.1" customHeight="1" x14ac:dyDescent="0.2">
      <c r="A146" s="18"/>
      <c r="B146" s="198" t="s">
        <v>127</v>
      </c>
      <c r="C146" s="199"/>
      <c r="D146" s="2" t="s">
        <v>128</v>
      </c>
      <c r="E146" s="21"/>
      <c r="F146" s="20"/>
      <c r="G146" s="20"/>
      <c r="H146" s="20"/>
    </row>
    <row r="147" spans="1:15" ht="17.100000000000001" customHeight="1" x14ac:dyDescent="0.2">
      <c r="A147" s="18"/>
      <c r="B147" s="198" t="s">
        <v>129</v>
      </c>
      <c r="C147" s="199"/>
      <c r="D147" s="2" t="s">
        <v>128</v>
      </c>
      <c r="E147" s="21"/>
      <c r="F147" s="20"/>
      <c r="G147" s="20"/>
      <c r="H147" s="20"/>
    </row>
    <row r="148" spans="1:15" ht="17.100000000000001" customHeight="1" x14ac:dyDescent="0.2">
      <c r="A148" s="18"/>
      <c r="B148" s="198" t="s">
        <v>130</v>
      </c>
      <c r="C148" s="199"/>
      <c r="D148" s="12" t="s">
        <v>98</v>
      </c>
      <c r="E148" s="21"/>
      <c r="F148" s="20"/>
      <c r="G148" s="20"/>
      <c r="H148" s="20"/>
    </row>
    <row r="149" spans="1:15" ht="24" customHeight="1" x14ac:dyDescent="0.2">
      <c r="A149" s="22"/>
      <c r="B149" s="23" t="s">
        <v>98</v>
      </c>
      <c r="C149" s="23" t="s">
        <v>131</v>
      </c>
      <c r="D149" s="23" t="s">
        <v>132</v>
      </c>
      <c r="E149" s="22"/>
      <c r="F149" s="22"/>
      <c r="G149" s="22"/>
      <c r="H149" s="20"/>
    </row>
    <row r="150" spans="1:15" ht="18" customHeight="1" x14ac:dyDescent="0.2">
      <c r="A150" s="22"/>
      <c r="B150" s="23" t="s">
        <v>133</v>
      </c>
      <c r="C150" s="23" t="s">
        <v>134</v>
      </c>
      <c r="D150" s="23" t="s">
        <v>135</v>
      </c>
      <c r="E150" s="22"/>
      <c r="F150" s="22"/>
      <c r="G150" s="22"/>
      <c r="H150" s="20"/>
    </row>
    <row r="151" spans="1:15" ht="17.100000000000001" customHeight="1" x14ac:dyDescent="0.2">
      <c r="A151" s="22"/>
      <c r="B151" s="4" t="s">
        <v>136</v>
      </c>
      <c r="C151" s="24">
        <v>745.35410000000002</v>
      </c>
      <c r="D151" s="24">
        <v>747.53150000000005</v>
      </c>
      <c r="E151" s="22"/>
      <c r="F151" s="19"/>
      <c r="G151" s="25"/>
    </row>
    <row r="152" spans="1:15" ht="17.100000000000001" customHeight="1" x14ac:dyDescent="0.2">
      <c r="A152" s="22"/>
      <c r="B152" s="4" t="s">
        <v>980</v>
      </c>
      <c r="C152" s="24">
        <v>46.762099999999997</v>
      </c>
      <c r="D152" s="24">
        <v>46.898600000000002</v>
      </c>
      <c r="E152" s="22"/>
      <c r="F152" s="19"/>
      <c r="G152" s="25"/>
    </row>
    <row r="153" spans="1:15" ht="29.1" customHeight="1" x14ac:dyDescent="0.2">
      <c r="A153" s="22"/>
      <c r="B153" s="4" t="s">
        <v>410</v>
      </c>
      <c r="C153" s="24">
        <v>760.77679999999998</v>
      </c>
      <c r="D153" s="24">
        <v>762.99950000000001</v>
      </c>
      <c r="E153" s="22"/>
      <c r="F153" s="19"/>
      <c r="G153" s="25"/>
    </row>
    <row r="154" spans="1:15" ht="29.1" customHeight="1" x14ac:dyDescent="0.2">
      <c r="A154" s="22"/>
      <c r="B154" s="4" t="s">
        <v>983</v>
      </c>
      <c r="C154" s="24">
        <v>40.302100000000003</v>
      </c>
      <c r="D154" s="24">
        <v>40.419800000000002</v>
      </c>
      <c r="E154" s="22"/>
      <c r="F154" s="19"/>
      <c r="G154" s="25"/>
      <c r="I154" s="113"/>
      <c r="J154" s="113"/>
      <c r="K154" s="113"/>
      <c r="L154" s="113"/>
      <c r="M154" s="113"/>
      <c r="N154" s="113"/>
      <c r="O154" s="113"/>
    </row>
    <row r="155" spans="1:15" ht="17.100000000000001" customHeight="1" x14ac:dyDescent="0.2">
      <c r="A155" s="22"/>
      <c r="B155" s="4" t="s">
        <v>137</v>
      </c>
      <c r="C155" s="24">
        <v>705.21259999999995</v>
      </c>
      <c r="D155" s="24">
        <v>706.82569999999998</v>
      </c>
      <c r="E155" s="22"/>
      <c r="F155" s="19"/>
      <c r="G155" s="25"/>
    </row>
    <row r="156" spans="1:15" ht="17.100000000000001" customHeight="1" x14ac:dyDescent="0.2">
      <c r="A156" s="22"/>
      <c r="B156" s="4" t="s">
        <v>981</v>
      </c>
      <c r="C156" s="24">
        <v>43.625399999999999</v>
      </c>
      <c r="D156" s="24">
        <v>43.725200000000001</v>
      </c>
      <c r="E156" s="22"/>
      <c r="F156" s="19"/>
      <c r="G156" s="25"/>
    </row>
    <row r="157" spans="1:15" ht="14.1" customHeight="1" x14ac:dyDescent="0.2">
      <c r="A157" s="22"/>
      <c r="B157" s="22"/>
      <c r="C157" s="22"/>
      <c r="D157" s="22"/>
      <c r="E157" s="22"/>
      <c r="F157" s="22"/>
      <c r="G157" s="22"/>
    </row>
    <row r="158" spans="1:15" ht="17.100000000000001" customHeight="1" x14ac:dyDescent="0.2">
      <c r="A158" s="22"/>
      <c r="B158" s="198" t="s">
        <v>982</v>
      </c>
      <c r="C158" s="199"/>
      <c r="D158" s="91" t="s">
        <v>128</v>
      </c>
      <c r="E158" s="22"/>
      <c r="F158" s="22"/>
      <c r="G158" s="22"/>
    </row>
    <row r="159" spans="1:15" ht="18" customHeight="1" x14ac:dyDescent="0.2">
      <c r="A159" s="22"/>
      <c r="B159" s="26"/>
      <c r="C159" s="26"/>
      <c r="D159" s="27"/>
      <c r="E159" s="22"/>
      <c r="F159" s="22"/>
      <c r="G159" s="22"/>
    </row>
    <row r="160" spans="1:15" s="113" customFormat="1" x14ac:dyDescent="0.2">
      <c r="B160" s="202" t="s">
        <v>984</v>
      </c>
      <c r="C160" s="202"/>
      <c r="D160" s="202"/>
      <c r="E160" s="202"/>
      <c r="F160" s="202"/>
      <c r="I160"/>
      <c r="J160"/>
      <c r="K160"/>
      <c r="L160"/>
      <c r="M160"/>
      <c r="N160"/>
      <c r="O160"/>
    </row>
    <row r="161" spans="1:7" ht="14.1" customHeight="1" x14ac:dyDescent="0.2">
      <c r="A161" s="22"/>
      <c r="B161" s="19"/>
      <c r="C161" s="19"/>
      <c r="D161" s="22"/>
      <c r="E161" s="22"/>
      <c r="F161" s="22"/>
      <c r="G161" s="22"/>
    </row>
    <row r="162" spans="1:7" ht="29.1" customHeight="1" x14ac:dyDescent="0.2">
      <c r="A162" s="22"/>
      <c r="B162" s="198" t="s">
        <v>138</v>
      </c>
      <c r="C162" s="199"/>
      <c r="D162" s="91" t="s">
        <v>936</v>
      </c>
      <c r="E162" s="22"/>
      <c r="F162" s="22"/>
      <c r="G162" s="22"/>
    </row>
    <row r="163" spans="1:7" ht="29.1" customHeight="1" x14ac:dyDescent="0.2">
      <c r="A163" s="22"/>
      <c r="B163" s="198" t="s">
        <v>139</v>
      </c>
      <c r="C163" s="199"/>
      <c r="D163" s="2" t="s">
        <v>128</v>
      </c>
      <c r="E163" s="22"/>
      <c r="F163" s="22"/>
      <c r="G163" s="22"/>
    </row>
    <row r="164" spans="1:7" ht="17.100000000000001" customHeight="1" x14ac:dyDescent="0.2">
      <c r="A164" s="22"/>
      <c r="B164" s="198" t="s">
        <v>140</v>
      </c>
      <c r="C164" s="199"/>
      <c r="D164" s="28">
        <v>0.3785166773933229</v>
      </c>
      <c r="E164" s="22"/>
      <c r="F164" s="19"/>
      <c r="G164" s="25"/>
    </row>
    <row r="165" spans="1:7" ht="17.100000000000001" customHeight="1" x14ac:dyDescent="0.2">
      <c r="A165" s="22"/>
      <c r="B165" s="198" t="s">
        <v>141</v>
      </c>
      <c r="C165" s="199"/>
      <c r="D165" s="2" t="s">
        <v>128</v>
      </c>
      <c r="E165" s="22"/>
      <c r="F165" s="22"/>
      <c r="G165" s="22"/>
    </row>
  </sheetData>
  <mergeCells count="16">
    <mergeCell ref="B165:C165"/>
    <mergeCell ref="B146:C146"/>
    <mergeCell ref="B147:C147"/>
    <mergeCell ref="B148:C148"/>
    <mergeCell ref="B158:C158"/>
    <mergeCell ref="B162:C162"/>
    <mergeCell ref="B163:C163"/>
    <mergeCell ref="B160:F160"/>
    <mergeCell ref="A1:H1"/>
    <mergeCell ref="A2:H2"/>
    <mergeCell ref="A3:H3"/>
    <mergeCell ref="J2:N2"/>
    <mergeCell ref="B164:C164"/>
    <mergeCell ref="B145:C145"/>
    <mergeCell ref="B142:F142"/>
    <mergeCell ref="B143:F143"/>
  </mergeCell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45"/>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411</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14</v>
      </c>
      <c r="C7" s="4" t="s">
        <v>15</v>
      </c>
      <c r="D7" s="4" t="s">
        <v>16</v>
      </c>
      <c r="E7" s="5">
        <v>43007</v>
      </c>
      <c r="F7" s="6">
        <v>1090.7650375000001</v>
      </c>
      <c r="G7" s="7">
        <v>7.5183859000000006E-2</v>
      </c>
      <c r="H7" s="112"/>
    </row>
    <row r="8" spans="1:14" x14ac:dyDescent="0.2">
      <c r="A8" s="3">
        <v>2</v>
      </c>
      <c r="B8" s="4" t="s">
        <v>17</v>
      </c>
      <c r="C8" s="4" t="s">
        <v>18</v>
      </c>
      <c r="D8" s="4" t="s">
        <v>19</v>
      </c>
      <c r="E8" s="5">
        <v>133360</v>
      </c>
      <c r="F8" s="6">
        <v>1069.6138800000001</v>
      </c>
      <c r="G8" s="7">
        <v>7.3725959999999993E-2</v>
      </c>
      <c r="H8" s="112"/>
    </row>
    <row r="9" spans="1:14" x14ac:dyDescent="0.2">
      <c r="A9" s="3">
        <v>3</v>
      </c>
      <c r="B9" s="4" t="s">
        <v>412</v>
      </c>
      <c r="C9" s="4" t="s">
        <v>413</v>
      </c>
      <c r="D9" s="4" t="s">
        <v>19</v>
      </c>
      <c r="E9" s="5">
        <v>56172</v>
      </c>
      <c r="F9" s="6">
        <v>889.11850200000003</v>
      </c>
      <c r="G9" s="7">
        <v>6.128484E-2</v>
      </c>
      <c r="H9" s="112"/>
    </row>
    <row r="10" spans="1:14" x14ac:dyDescent="0.2">
      <c r="A10" s="3">
        <v>4</v>
      </c>
      <c r="B10" s="4" t="s">
        <v>414</v>
      </c>
      <c r="C10" s="4" t="s">
        <v>415</v>
      </c>
      <c r="D10" s="4" t="s">
        <v>162</v>
      </c>
      <c r="E10" s="5">
        <v>41823</v>
      </c>
      <c r="F10" s="6">
        <v>697.5030825</v>
      </c>
      <c r="G10" s="7">
        <v>4.8077241E-2</v>
      </c>
      <c r="H10" s="112"/>
    </row>
    <row r="11" spans="1:14" ht="25.5" x14ac:dyDescent="0.2">
      <c r="A11" s="3">
        <v>5</v>
      </c>
      <c r="B11" s="4" t="s">
        <v>416</v>
      </c>
      <c r="C11" s="4" t="s">
        <v>417</v>
      </c>
      <c r="D11" s="4" t="s">
        <v>81</v>
      </c>
      <c r="E11" s="5">
        <v>21645</v>
      </c>
      <c r="F11" s="6">
        <v>615.73531500000001</v>
      </c>
      <c r="G11" s="7">
        <v>4.2441182000000001E-2</v>
      </c>
      <c r="H11" s="112"/>
    </row>
    <row r="12" spans="1:14" x14ac:dyDescent="0.2">
      <c r="A12" s="3">
        <v>6</v>
      </c>
      <c r="B12" s="4" t="s">
        <v>418</v>
      </c>
      <c r="C12" s="4" t="s">
        <v>419</v>
      </c>
      <c r="D12" s="4" t="s">
        <v>19</v>
      </c>
      <c r="E12" s="5">
        <v>108901</v>
      </c>
      <c r="F12" s="6">
        <v>546.84637150000003</v>
      </c>
      <c r="G12" s="7">
        <v>3.7692829999999997E-2</v>
      </c>
      <c r="H12" s="112"/>
    </row>
    <row r="13" spans="1:14" x14ac:dyDescent="0.2">
      <c r="A13" s="3">
        <v>7</v>
      </c>
      <c r="B13" s="4" t="s">
        <v>25</v>
      </c>
      <c r="C13" s="4" t="s">
        <v>26</v>
      </c>
      <c r="D13" s="4" t="s">
        <v>27</v>
      </c>
      <c r="E13" s="5">
        <v>31150</v>
      </c>
      <c r="F13" s="6">
        <v>504.50540000000001</v>
      </c>
      <c r="G13" s="7">
        <v>3.4774366000000001E-2</v>
      </c>
      <c r="H13" s="112"/>
    </row>
    <row r="14" spans="1:14" x14ac:dyDescent="0.2">
      <c r="A14" s="3">
        <v>8</v>
      </c>
      <c r="B14" s="4" t="s">
        <v>322</v>
      </c>
      <c r="C14" s="4" t="s">
        <v>323</v>
      </c>
      <c r="D14" s="4" t="s">
        <v>19</v>
      </c>
      <c r="E14" s="5">
        <v>66020</v>
      </c>
      <c r="F14" s="6">
        <v>489.86840000000001</v>
      </c>
      <c r="G14" s="7">
        <v>3.3765471999999998E-2</v>
      </c>
      <c r="H14" s="112"/>
    </row>
    <row r="15" spans="1:14" ht="25.5" x14ac:dyDescent="0.2">
      <c r="A15" s="3">
        <v>9</v>
      </c>
      <c r="B15" s="4" t="s">
        <v>326</v>
      </c>
      <c r="C15" s="4" t="s">
        <v>327</v>
      </c>
      <c r="D15" s="4" t="s">
        <v>192</v>
      </c>
      <c r="E15" s="5">
        <v>46412</v>
      </c>
      <c r="F15" s="6">
        <v>394.20032200000003</v>
      </c>
      <c r="G15" s="7">
        <v>2.7171298E-2</v>
      </c>
      <c r="H15" s="112"/>
      <c r="J15" s="188" t="s">
        <v>1014</v>
      </c>
    </row>
    <row r="16" spans="1:14" x14ac:dyDescent="0.2">
      <c r="A16" s="3">
        <v>10</v>
      </c>
      <c r="B16" s="4" t="s">
        <v>145</v>
      </c>
      <c r="C16" s="4" t="s">
        <v>146</v>
      </c>
      <c r="D16" s="4" t="s">
        <v>147</v>
      </c>
      <c r="E16" s="5">
        <v>11196</v>
      </c>
      <c r="F16" s="6">
        <v>373.76726400000001</v>
      </c>
      <c r="G16" s="7">
        <v>2.5762895000000001E-2</v>
      </c>
      <c r="H16" s="112"/>
    </row>
    <row r="17" spans="1:8" x14ac:dyDescent="0.2">
      <c r="A17" s="3">
        <v>11</v>
      </c>
      <c r="B17" s="4" t="s">
        <v>11</v>
      </c>
      <c r="C17" s="4" t="s">
        <v>12</v>
      </c>
      <c r="D17" s="4" t="s">
        <v>13</v>
      </c>
      <c r="E17" s="5">
        <v>21149</v>
      </c>
      <c r="F17" s="6">
        <v>373.62880849999999</v>
      </c>
      <c r="G17" s="7">
        <v>2.5753352E-2</v>
      </c>
      <c r="H17" s="112"/>
    </row>
    <row r="18" spans="1:8" x14ac:dyDescent="0.2">
      <c r="A18" s="3">
        <v>12</v>
      </c>
      <c r="B18" s="4" t="s">
        <v>360</v>
      </c>
      <c r="C18" s="4" t="s">
        <v>361</v>
      </c>
      <c r="D18" s="4" t="s">
        <v>974</v>
      </c>
      <c r="E18" s="5">
        <v>50010</v>
      </c>
      <c r="F18" s="6">
        <v>369.07380000000001</v>
      </c>
      <c r="G18" s="7">
        <v>2.5439386000000001E-2</v>
      </c>
      <c r="H18" s="112"/>
    </row>
    <row r="19" spans="1:8" x14ac:dyDescent="0.2">
      <c r="A19" s="3">
        <v>13</v>
      </c>
      <c r="B19" s="4" t="s">
        <v>318</v>
      </c>
      <c r="C19" s="4" t="s">
        <v>319</v>
      </c>
      <c r="D19" s="4" t="s">
        <v>977</v>
      </c>
      <c r="E19" s="5">
        <v>9189</v>
      </c>
      <c r="F19" s="6">
        <v>339.00977699999999</v>
      </c>
      <c r="G19" s="7">
        <v>2.3367143999999999E-2</v>
      </c>
      <c r="H19" s="112"/>
    </row>
    <row r="20" spans="1:8" x14ac:dyDescent="0.2">
      <c r="A20" s="3">
        <v>14</v>
      </c>
      <c r="B20" s="4" t="s">
        <v>271</v>
      </c>
      <c r="C20" s="4" t="s">
        <v>272</v>
      </c>
      <c r="D20" s="4" t="s">
        <v>147</v>
      </c>
      <c r="E20" s="5">
        <v>50652</v>
      </c>
      <c r="F20" s="6">
        <v>329.54191200000002</v>
      </c>
      <c r="G20" s="7">
        <v>2.2714545999999999E-2</v>
      </c>
      <c r="H20" s="112"/>
    </row>
    <row r="21" spans="1:8" x14ac:dyDescent="0.2">
      <c r="A21" s="3">
        <v>15</v>
      </c>
      <c r="B21" s="4" t="s">
        <v>420</v>
      </c>
      <c r="C21" s="4" t="s">
        <v>421</v>
      </c>
      <c r="D21" s="4" t="s">
        <v>973</v>
      </c>
      <c r="E21" s="5">
        <v>28532</v>
      </c>
      <c r="F21" s="6">
        <v>326.84832599999999</v>
      </c>
      <c r="G21" s="7">
        <v>2.2528883999999999E-2</v>
      </c>
      <c r="H21" s="112"/>
    </row>
    <row r="22" spans="1:8" x14ac:dyDescent="0.2">
      <c r="A22" s="3">
        <v>16</v>
      </c>
      <c r="B22" s="4" t="s">
        <v>22</v>
      </c>
      <c r="C22" s="4" t="s">
        <v>23</v>
      </c>
      <c r="D22" s="4" t="s">
        <v>24</v>
      </c>
      <c r="E22" s="5">
        <v>45416</v>
      </c>
      <c r="F22" s="6">
        <v>311.258556</v>
      </c>
      <c r="G22" s="7">
        <v>2.1454318E-2</v>
      </c>
      <c r="H22" s="112"/>
    </row>
    <row r="23" spans="1:8" x14ac:dyDescent="0.2">
      <c r="A23" s="3">
        <v>17</v>
      </c>
      <c r="B23" s="4" t="s">
        <v>422</v>
      </c>
      <c r="C23" s="4" t="s">
        <v>423</v>
      </c>
      <c r="D23" s="4" t="s">
        <v>162</v>
      </c>
      <c r="E23" s="5">
        <v>8898</v>
      </c>
      <c r="F23" s="6">
        <v>302.331795</v>
      </c>
      <c r="G23" s="7">
        <v>2.0839017000000001E-2</v>
      </c>
      <c r="H23" s="112"/>
    </row>
    <row r="24" spans="1:8" ht="25.5" x14ac:dyDescent="0.2">
      <c r="A24" s="3">
        <v>18</v>
      </c>
      <c r="B24" s="4" t="s">
        <v>335</v>
      </c>
      <c r="C24" s="4" t="s">
        <v>336</v>
      </c>
      <c r="D24" s="4" t="s">
        <v>71</v>
      </c>
      <c r="E24" s="5">
        <v>62892</v>
      </c>
      <c r="F24" s="6">
        <v>292.825152</v>
      </c>
      <c r="G24" s="7">
        <v>2.0183745999999999E-2</v>
      </c>
      <c r="H24" s="112"/>
    </row>
    <row r="25" spans="1:8" ht="25.5" x14ac:dyDescent="0.2">
      <c r="A25" s="3">
        <v>19</v>
      </c>
      <c r="B25" s="4" t="s">
        <v>424</v>
      </c>
      <c r="C25" s="4" t="s">
        <v>425</v>
      </c>
      <c r="D25" s="4" t="s">
        <v>192</v>
      </c>
      <c r="E25" s="5">
        <v>11990</v>
      </c>
      <c r="F25" s="6">
        <v>286.93868500000002</v>
      </c>
      <c r="G25" s="7">
        <v>1.9778006000000001E-2</v>
      </c>
      <c r="H25" s="112"/>
    </row>
    <row r="26" spans="1:8" x14ac:dyDescent="0.2">
      <c r="A26" s="3">
        <v>20</v>
      </c>
      <c r="B26" s="4" t="s">
        <v>205</v>
      </c>
      <c r="C26" s="4" t="s">
        <v>206</v>
      </c>
      <c r="D26" s="4" t="s">
        <v>975</v>
      </c>
      <c r="E26" s="5">
        <v>32477</v>
      </c>
      <c r="F26" s="6">
        <v>281.36448949999999</v>
      </c>
      <c r="G26" s="7">
        <v>1.9393790000000001E-2</v>
      </c>
      <c r="H26" s="112"/>
    </row>
    <row r="27" spans="1:8" ht="25.5" x14ac:dyDescent="0.2">
      <c r="A27" s="3">
        <v>21</v>
      </c>
      <c r="B27" s="4" t="s">
        <v>28</v>
      </c>
      <c r="C27" s="4" t="s">
        <v>29</v>
      </c>
      <c r="D27" s="4" t="s">
        <v>971</v>
      </c>
      <c r="E27" s="5">
        <v>3567</v>
      </c>
      <c r="F27" s="6">
        <v>272.3779035</v>
      </c>
      <c r="G27" s="7">
        <v>1.8774366000000001E-2</v>
      </c>
      <c r="H27" s="112"/>
    </row>
    <row r="28" spans="1:8" x14ac:dyDescent="0.2">
      <c r="A28" s="3">
        <v>22</v>
      </c>
      <c r="B28" s="4" t="s">
        <v>426</v>
      </c>
      <c r="C28" s="4" t="s">
        <v>427</v>
      </c>
      <c r="D28" s="4" t="s">
        <v>162</v>
      </c>
      <c r="E28" s="5">
        <v>39000</v>
      </c>
      <c r="F28" s="6">
        <v>252.23249999999999</v>
      </c>
      <c r="G28" s="7">
        <v>1.7385791000000001E-2</v>
      </c>
      <c r="H28" s="112"/>
    </row>
    <row r="29" spans="1:8" x14ac:dyDescent="0.2">
      <c r="A29" s="3">
        <v>23</v>
      </c>
      <c r="B29" s="4" t="s">
        <v>428</v>
      </c>
      <c r="C29" s="4" t="s">
        <v>429</v>
      </c>
      <c r="D29" s="4" t="s">
        <v>186</v>
      </c>
      <c r="E29" s="5">
        <v>30197</v>
      </c>
      <c r="F29" s="6">
        <v>240.06614999999999</v>
      </c>
      <c r="G29" s="7">
        <v>1.6547193000000002E-2</v>
      </c>
      <c r="H29" s="112"/>
    </row>
    <row r="30" spans="1:8" x14ac:dyDescent="0.2">
      <c r="A30" s="3">
        <v>24</v>
      </c>
      <c r="B30" s="4" t="s">
        <v>171</v>
      </c>
      <c r="C30" s="4" t="s">
        <v>172</v>
      </c>
      <c r="D30" s="4" t="s">
        <v>173</v>
      </c>
      <c r="E30" s="5">
        <v>16000</v>
      </c>
      <c r="F30" s="6">
        <v>223.44</v>
      </c>
      <c r="G30" s="7">
        <v>1.5401191999999999E-2</v>
      </c>
      <c r="H30" s="112"/>
    </row>
    <row r="31" spans="1:8" x14ac:dyDescent="0.2">
      <c r="A31" s="3">
        <v>25</v>
      </c>
      <c r="B31" s="4" t="s">
        <v>376</v>
      </c>
      <c r="C31" s="4" t="s">
        <v>377</v>
      </c>
      <c r="D31" s="4" t="s">
        <v>162</v>
      </c>
      <c r="E31" s="5">
        <v>18271</v>
      </c>
      <c r="F31" s="6">
        <v>208.97456249999999</v>
      </c>
      <c r="G31" s="7">
        <v>1.4404123E-2</v>
      </c>
      <c r="H31" s="112"/>
    </row>
    <row r="32" spans="1:8" x14ac:dyDescent="0.2">
      <c r="A32" s="3">
        <v>26</v>
      </c>
      <c r="B32" s="4" t="s">
        <v>332</v>
      </c>
      <c r="C32" s="4" t="s">
        <v>333</v>
      </c>
      <c r="D32" s="4" t="s">
        <v>334</v>
      </c>
      <c r="E32" s="5">
        <v>19336</v>
      </c>
      <c r="F32" s="6">
        <v>193.96908400000001</v>
      </c>
      <c r="G32" s="7">
        <v>1.3369831E-2</v>
      </c>
      <c r="H32" s="112"/>
    </row>
    <row r="33" spans="1:8" x14ac:dyDescent="0.2">
      <c r="A33" s="3">
        <v>27</v>
      </c>
      <c r="B33" s="4" t="s">
        <v>430</v>
      </c>
      <c r="C33" s="4" t="s">
        <v>431</v>
      </c>
      <c r="D33" s="4" t="s">
        <v>432</v>
      </c>
      <c r="E33" s="5">
        <v>37242</v>
      </c>
      <c r="F33" s="6">
        <v>171.23871600000001</v>
      </c>
      <c r="G33" s="7">
        <v>1.1803080000000001E-2</v>
      </c>
      <c r="H33" s="112"/>
    </row>
    <row r="34" spans="1:8" x14ac:dyDescent="0.2">
      <c r="A34" s="3">
        <v>28</v>
      </c>
      <c r="B34" s="4" t="s">
        <v>433</v>
      </c>
      <c r="C34" s="4" t="s">
        <v>434</v>
      </c>
      <c r="D34" s="4" t="s">
        <v>53</v>
      </c>
      <c r="E34" s="5">
        <v>12976</v>
      </c>
      <c r="F34" s="6">
        <v>170.75767200000001</v>
      </c>
      <c r="G34" s="7">
        <v>1.1769923E-2</v>
      </c>
      <c r="H34" s="112"/>
    </row>
    <row r="35" spans="1:8" x14ac:dyDescent="0.2">
      <c r="A35" s="3">
        <v>29</v>
      </c>
      <c r="B35" s="4" t="s">
        <v>312</v>
      </c>
      <c r="C35" s="4" t="s">
        <v>313</v>
      </c>
      <c r="D35" s="4" t="s">
        <v>212</v>
      </c>
      <c r="E35" s="5">
        <v>443</v>
      </c>
      <c r="F35" s="6">
        <v>166.72770149999999</v>
      </c>
      <c r="G35" s="7">
        <v>1.1492146999999999E-2</v>
      </c>
      <c r="H35" s="112"/>
    </row>
    <row r="36" spans="1:8" x14ac:dyDescent="0.2">
      <c r="A36" s="3">
        <v>30</v>
      </c>
      <c r="B36" s="4" t="s">
        <v>358</v>
      </c>
      <c r="C36" s="4" t="s">
        <v>359</v>
      </c>
      <c r="D36" s="4" t="s">
        <v>50</v>
      </c>
      <c r="E36" s="5">
        <v>24502</v>
      </c>
      <c r="F36" s="6">
        <v>160.51260199999999</v>
      </c>
      <c r="G36" s="7">
        <v>1.1063755E-2</v>
      </c>
      <c r="H36" s="112"/>
    </row>
    <row r="37" spans="1:8" x14ac:dyDescent="0.2">
      <c r="A37" s="3">
        <v>31</v>
      </c>
      <c r="B37" s="4" t="s">
        <v>337</v>
      </c>
      <c r="C37" s="4" t="s">
        <v>338</v>
      </c>
      <c r="D37" s="4" t="s">
        <v>19</v>
      </c>
      <c r="E37" s="5">
        <v>160000</v>
      </c>
      <c r="F37" s="6">
        <v>156</v>
      </c>
      <c r="G37" s="7">
        <v>1.0752711999999999E-2</v>
      </c>
      <c r="H37" s="112"/>
    </row>
    <row r="38" spans="1:8" x14ac:dyDescent="0.2">
      <c r="A38" s="3">
        <v>32</v>
      </c>
      <c r="B38" s="4" t="s">
        <v>35</v>
      </c>
      <c r="C38" s="4" t="s">
        <v>36</v>
      </c>
      <c r="D38" s="4" t="s">
        <v>16</v>
      </c>
      <c r="E38" s="5">
        <v>37123</v>
      </c>
      <c r="F38" s="6">
        <v>155.062771</v>
      </c>
      <c r="G38" s="7">
        <v>1.0688111E-2</v>
      </c>
      <c r="H38" s="112"/>
    </row>
    <row r="39" spans="1:8" x14ac:dyDescent="0.2">
      <c r="A39" s="3">
        <v>33</v>
      </c>
      <c r="B39" s="4" t="s">
        <v>435</v>
      </c>
      <c r="C39" s="4" t="s">
        <v>436</v>
      </c>
      <c r="D39" s="4" t="s">
        <v>78</v>
      </c>
      <c r="E39" s="5">
        <v>17387</v>
      </c>
      <c r="F39" s="6">
        <v>153.74454750000001</v>
      </c>
      <c r="G39" s="7">
        <v>1.0597249E-2</v>
      </c>
      <c r="H39" s="112"/>
    </row>
    <row r="40" spans="1:8" x14ac:dyDescent="0.2">
      <c r="A40" s="3">
        <v>34</v>
      </c>
      <c r="B40" s="4" t="s">
        <v>320</v>
      </c>
      <c r="C40" s="4" t="s">
        <v>321</v>
      </c>
      <c r="D40" s="4" t="s">
        <v>27</v>
      </c>
      <c r="E40" s="5">
        <v>17143</v>
      </c>
      <c r="F40" s="6">
        <v>153.54985099999999</v>
      </c>
      <c r="G40" s="7">
        <v>1.0583828999999999E-2</v>
      </c>
      <c r="H40" s="112"/>
    </row>
    <row r="41" spans="1:8" x14ac:dyDescent="0.2">
      <c r="A41" s="3">
        <v>35</v>
      </c>
      <c r="B41" s="4" t="s">
        <v>345</v>
      </c>
      <c r="C41" s="4" t="s">
        <v>346</v>
      </c>
      <c r="D41" s="4" t="s">
        <v>186</v>
      </c>
      <c r="E41" s="5">
        <v>4108</v>
      </c>
      <c r="F41" s="6">
        <v>152.00421600000001</v>
      </c>
      <c r="G41" s="7">
        <v>1.0477291999999999E-2</v>
      </c>
      <c r="H41" s="112"/>
    </row>
    <row r="42" spans="1:8" x14ac:dyDescent="0.2">
      <c r="A42" s="3">
        <v>36</v>
      </c>
      <c r="B42" s="4" t="s">
        <v>437</v>
      </c>
      <c r="C42" s="4" t="s">
        <v>438</v>
      </c>
      <c r="D42" s="4" t="s">
        <v>186</v>
      </c>
      <c r="E42" s="5">
        <v>2864</v>
      </c>
      <c r="F42" s="6">
        <v>147.50029599999999</v>
      </c>
      <c r="G42" s="7">
        <v>1.0166847E-2</v>
      </c>
      <c r="H42" s="112"/>
    </row>
    <row r="43" spans="1:8" x14ac:dyDescent="0.2">
      <c r="A43" s="3">
        <v>37</v>
      </c>
      <c r="B43" s="4" t="s">
        <v>343</v>
      </c>
      <c r="C43" s="4" t="s">
        <v>344</v>
      </c>
      <c r="D43" s="4" t="s">
        <v>53</v>
      </c>
      <c r="E43" s="5">
        <v>35316</v>
      </c>
      <c r="F43" s="6">
        <v>147.37366800000001</v>
      </c>
      <c r="G43" s="7">
        <v>1.0158119E-2</v>
      </c>
      <c r="H43" s="112"/>
    </row>
    <row r="44" spans="1:8" x14ac:dyDescent="0.2">
      <c r="A44" s="3">
        <v>38</v>
      </c>
      <c r="B44" s="4" t="s">
        <v>356</v>
      </c>
      <c r="C44" s="4" t="s">
        <v>357</v>
      </c>
      <c r="D44" s="4" t="s">
        <v>173</v>
      </c>
      <c r="E44" s="5">
        <v>175</v>
      </c>
      <c r="F44" s="6">
        <v>135.28926250000001</v>
      </c>
      <c r="G44" s="7">
        <v>9.3251700000000007E-3</v>
      </c>
      <c r="H44" s="112"/>
    </row>
    <row r="45" spans="1:8" x14ac:dyDescent="0.2">
      <c r="A45" s="3">
        <v>39</v>
      </c>
      <c r="B45" s="4" t="s">
        <v>439</v>
      </c>
      <c r="C45" s="4" t="s">
        <v>440</v>
      </c>
      <c r="D45" s="4" t="s">
        <v>162</v>
      </c>
      <c r="E45" s="5">
        <v>8795</v>
      </c>
      <c r="F45" s="6">
        <v>129.97690750000001</v>
      </c>
      <c r="G45" s="7">
        <v>8.9590009999999994E-3</v>
      </c>
      <c r="H45" s="112"/>
    </row>
    <row r="46" spans="1:8" x14ac:dyDescent="0.2">
      <c r="A46" s="3">
        <v>40</v>
      </c>
      <c r="B46" s="4" t="s">
        <v>441</v>
      </c>
      <c r="C46" s="4" t="s">
        <v>442</v>
      </c>
      <c r="D46" s="4" t="s">
        <v>173</v>
      </c>
      <c r="E46" s="5">
        <v>19492</v>
      </c>
      <c r="F46" s="6">
        <v>126.249684</v>
      </c>
      <c r="G46" s="7">
        <v>8.7020929999999993E-3</v>
      </c>
      <c r="H46" s="112"/>
    </row>
    <row r="47" spans="1:8" x14ac:dyDescent="0.2">
      <c r="A47" s="3">
        <v>41</v>
      </c>
      <c r="B47" s="4" t="s">
        <v>372</v>
      </c>
      <c r="C47" s="4" t="s">
        <v>373</v>
      </c>
      <c r="D47" s="4" t="s">
        <v>237</v>
      </c>
      <c r="E47" s="5">
        <v>16000</v>
      </c>
      <c r="F47" s="6">
        <v>125.696</v>
      </c>
      <c r="G47" s="7">
        <v>8.6639290000000008E-3</v>
      </c>
      <c r="H47" s="112"/>
    </row>
    <row r="48" spans="1:8" x14ac:dyDescent="0.2">
      <c r="A48" s="3">
        <v>42</v>
      </c>
      <c r="B48" s="4" t="s">
        <v>90</v>
      </c>
      <c r="C48" s="4" t="s">
        <v>91</v>
      </c>
      <c r="D48" s="4" t="s">
        <v>27</v>
      </c>
      <c r="E48" s="5">
        <v>1626</v>
      </c>
      <c r="F48" s="6">
        <v>120.35245500000001</v>
      </c>
      <c r="G48" s="7">
        <v>8.2956109999999996E-3</v>
      </c>
      <c r="H48" s="112"/>
    </row>
    <row r="49" spans="1:15" ht="25.5" x14ac:dyDescent="0.2">
      <c r="A49" s="3">
        <v>43</v>
      </c>
      <c r="B49" s="4" t="s">
        <v>443</v>
      </c>
      <c r="C49" s="4" t="s">
        <v>444</v>
      </c>
      <c r="D49" s="4" t="s">
        <v>192</v>
      </c>
      <c r="E49" s="5">
        <v>53592</v>
      </c>
      <c r="F49" s="6">
        <v>119.617344</v>
      </c>
      <c r="G49" s="7">
        <v>8.2449410000000004E-3</v>
      </c>
      <c r="H49" s="112"/>
    </row>
    <row r="50" spans="1:15" x14ac:dyDescent="0.2">
      <c r="A50" s="3">
        <v>44</v>
      </c>
      <c r="B50" s="4" t="s">
        <v>193</v>
      </c>
      <c r="C50" s="4" t="s">
        <v>194</v>
      </c>
      <c r="D50" s="4" t="s">
        <v>16</v>
      </c>
      <c r="E50" s="5">
        <v>35000</v>
      </c>
      <c r="F50" s="6">
        <v>108.64</v>
      </c>
      <c r="G50" s="7">
        <v>7.4882990000000003E-3</v>
      </c>
      <c r="H50" s="112"/>
    </row>
    <row r="51" spans="1:15" x14ac:dyDescent="0.2">
      <c r="A51" s="3">
        <v>45</v>
      </c>
      <c r="B51" s="4" t="s">
        <v>306</v>
      </c>
      <c r="C51" s="4" t="s">
        <v>307</v>
      </c>
      <c r="D51" s="4" t="s">
        <v>973</v>
      </c>
      <c r="E51" s="5">
        <v>10058</v>
      </c>
      <c r="F51" s="6">
        <v>97.924688000000003</v>
      </c>
      <c r="G51" s="7">
        <v>6.749718E-3</v>
      </c>
      <c r="H51" s="112"/>
    </row>
    <row r="52" spans="1:15" x14ac:dyDescent="0.2">
      <c r="A52" s="3">
        <v>46</v>
      </c>
      <c r="B52" s="4" t="s">
        <v>445</v>
      </c>
      <c r="C52" s="4" t="s">
        <v>446</v>
      </c>
      <c r="D52" s="4" t="s">
        <v>19</v>
      </c>
      <c r="E52" s="5">
        <v>4709</v>
      </c>
      <c r="F52" s="6">
        <v>95.646853500000006</v>
      </c>
      <c r="G52" s="7">
        <v>6.5927119999999997E-3</v>
      </c>
      <c r="H52" s="112"/>
    </row>
    <row r="53" spans="1:15" ht="25.5" x14ac:dyDescent="0.2">
      <c r="A53" s="3">
        <v>47</v>
      </c>
      <c r="B53" s="4" t="s">
        <v>181</v>
      </c>
      <c r="C53" s="4" t="s">
        <v>931</v>
      </c>
      <c r="D53" s="4" t="s">
        <v>45</v>
      </c>
      <c r="E53" s="5">
        <v>36162</v>
      </c>
      <c r="F53" s="6">
        <v>84.384027000000003</v>
      </c>
      <c r="G53" s="7">
        <v>5.8163920000000001E-3</v>
      </c>
      <c r="H53" s="112"/>
    </row>
    <row r="54" spans="1:15" x14ac:dyDescent="0.2">
      <c r="A54" s="3">
        <v>48</v>
      </c>
      <c r="B54" s="4" t="s">
        <v>260</v>
      </c>
      <c r="C54" s="4" t="s">
        <v>261</v>
      </c>
      <c r="D54" s="4" t="s">
        <v>173</v>
      </c>
      <c r="E54" s="5">
        <v>14000</v>
      </c>
      <c r="F54" s="6">
        <v>84.343000000000004</v>
      </c>
      <c r="G54" s="7">
        <v>5.8135640000000002E-3</v>
      </c>
      <c r="H54" s="112"/>
    </row>
    <row r="55" spans="1:15" x14ac:dyDescent="0.2">
      <c r="A55" s="3">
        <v>49</v>
      </c>
      <c r="B55" s="4" t="s">
        <v>370</v>
      </c>
      <c r="C55" s="4" t="s">
        <v>371</v>
      </c>
      <c r="D55" s="4" t="s">
        <v>71</v>
      </c>
      <c r="E55" s="5">
        <v>100655</v>
      </c>
      <c r="F55" s="6">
        <v>76.749437499999999</v>
      </c>
      <c r="G55" s="7">
        <v>5.2901579999999997E-3</v>
      </c>
      <c r="H55" s="112"/>
    </row>
    <row r="56" spans="1:15" s="130" customFormat="1" ht="25.5" x14ac:dyDescent="0.2">
      <c r="A56" s="122">
        <v>52</v>
      </c>
      <c r="B56" s="123" t="s">
        <v>447</v>
      </c>
      <c r="C56" s="124" t="s">
        <v>1030</v>
      </c>
      <c r="D56" s="125" t="s">
        <v>24</v>
      </c>
      <c r="E56" s="126">
        <v>3244</v>
      </c>
      <c r="F56" s="127">
        <v>8.2945835999999993</v>
      </c>
      <c r="G56" s="128">
        <v>5.7172600000000005E-4</v>
      </c>
      <c r="H56" s="129"/>
      <c r="I56"/>
      <c r="J56"/>
      <c r="K56"/>
      <c r="L56"/>
      <c r="M56"/>
      <c r="N56"/>
      <c r="O56"/>
    </row>
    <row r="57" spans="1:15" x14ac:dyDescent="0.2">
      <c r="A57" s="1"/>
      <c r="B57" s="1"/>
      <c r="C57" s="2" t="s">
        <v>97</v>
      </c>
      <c r="D57" s="1"/>
      <c r="E57" s="1" t="s">
        <v>98</v>
      </c>
      <c r="F57" s="9">
        <v>14323.441359099999</v>
      </c>
      <c r="G57" s="10">
        <v>0.98728100600000002</v>
      </c>
      <c r="H57" s="112"/>
    </row>
    <row r="58" spans="1:15" x14ac:dyDescent="0.2">
      <c r="A58" s="1"/>
      <c r="B58" s="1"/>
      <c r="C58" s="11"/>
      <c r="D58" s="1"/>
      <c r="E58" s="1"/>
      <c r="F58" s="12"/>
      <c r="G58" s="12"/>
      <c r="H58" s="112"/>
    </row>
    <row r="59" spans="1:15" x14ac:dyDescent="0.2">
      <c r="A59" s="1"/>
      <c r="B59" s="1"/>
      <c r="C59" s="2" t="s">
        <v>99</v>
      </c>
      <c r="D59" s="1"/>
      <c r="E59" s="1"/>
      <c r="F59" s="1"/>
      <c r="G59" s="1"/>
      <c r="H59" s="112"/>
    </row>
    <row r="60" spans="1:15" x14ac:dyDescent="0.2">
      <c r="A60" s="1"/>
      <c r="B60" s="1"/>
      <c r="C60" s="2" t="s">
        <v>97</v>
      </c>
      <c r="D60" s="1"/>
      <c r="E60" s="1" t="s">
        <v>98</v>
      </c>
      <c r="F60" s="13">
        <v>0</v>
      </c>
      <c r="G60" s="14">
        <v>0</v>
      </c>
      <c r="H60" s="112"/>
    </row>
    <row r="61" spans="1:15" x14ac:dyDescent="0.2">
      <c r="A61" s="1"/>
      <c r="B61" s="1"/>
      <c r="C61" s="11"/>
      <c r="D61" s="1"/>
      <c r="E61" s="1"/>
      <c r="F61" s="12"/>
      <c r="G61" s="12"/>
      <c r="H61" s="112"/>
    </row>
    <row r="62" spans="1:15" x14ac:dyDescent="0.2">
      <c r="A62" s="1"/>
      <c r="B62" s="1"/>
      <c r="C62" s="2" t="s">
        <v>100</v>
      </c>
      <c r="D62" s="1"/>
      <c r="E62" s="1"/>
      <c r="F62" s="1"/>
      <c r="G62" s="1"/>
      <c r="H62" s="112"/>
    </row>
    <row r="63" spans="1:15" x14ac:dyDescent="0.2">
      <c r="A63" s="1"/>
      <c r="B63" s="1"/>
      <c r="C63" s="2" t="s">
        <v>97</v>
      </c>
      <c r="D63" s="1"/>
      <c r="E63" s="1" t="s">
        <v>98</v>
      </c>
      <c r="F63" s="13">
        <v>0</v>
      </c>
      <c r="G63" s="14">
        <v>0</v>
      </c>
      <c r="H63" s="112"/>
    </row>
    <row r="64" spans="1:15" x14ac:dyDescent="0.2">
      <c r="A64" s="1"/>
      <c r="B64" s="1"/>
      <c r="C64" s="11"/>
      <c r="D64" s="1"/>
      <c r="E64" s="1"/>
      <c r="F64" s="12"/>
      <c r="G64" s="12"/>
      <c r="H64" s="112"/>
    </row>
    <row r="65" spans="1:8" x14ac:dyDescent="0.2">
      <c r="A65" s="1"/>
      <c r="B65" s="1"/>
      <c r="C65" s="2" t="s">
        <v>101</v>
      </c>
      <c r="D65" s="1"/>
      <c r="E65" s="1"/>
      <c r="F65" s="1"/>
      <c r="G65" s="1"/>
      <c r="H65" s="112"/>
    </row>
    <row r="66" spans="1:8" x14ac:dyDescent="0.2">
      <c r="A66" s="1"/>
      <c r="B66" s="1"/>
      <c r="C66" s="2" t="s">
        <v>97</v>
      </c>
      <c r="D66" s="1"/>
      <c r="E66" s="1" t="s">
        <v>98</v>
      </c>
      <c r="F66" s="13">
        <v>0</v>
      </c>
      <c r="G66" s="14">
        <v>0</v>
      </c>
      <c r="H66" s="112"/>
    </row>
    <row r="67" spans="1:8" x14ac:dyDescent="0.2">
      <c r="A67" s="1"/>
      <c r="B67" s="1"/>
      <c r="C67" s="11"/>
      <c r="D67" s="1"/>
      <c r="E67" s="1"/>
      <c r="F67" s="12"/>
      <c r="G67" s="12"/>
      <c r="H67" s="112"/>
    </row>
    <row r="68" spans="1:8" x14ac:dyDescent="0.2">
      <c r="A68" s="1"/>
      <c r="B68" s="1"/>
      <c r="C68" s="2" t="s">
        <v>102</v>
      </c>
      <c r="D68" s="1"/>
      <c r="E68" s="1"/>
      <c r="F68" s="12"/>
      <c r="G68" s="12"/>
      <c r="H68" s="112"/>
    </row>
    <row r="69" spans="1:8" x14ac:dyDescent="0.2">
      <c r="A69" s="1"/>
      <c r="B69" s="1"/>
      <c r="C69" s="2" t="s">
        <v>97</v>
      </c>
      <c r="D69" s="1"/>
      <c r="E69" s="1" t="s">
        <v>98</v>
      </c>
      <c r="F69" s="13">
        <v>0</v>
      </c>
      <c r="G69" s="14">
        <v>0</v>
      </c>
      <c r="H69" s="112"/>
    </row>
    <row r="70" spans="1:8" x14ac:dyDescent="0.2">
      <c r="A70" s="1"/>
      <c r="B70" s="1"/>
      <c r="C70" s="11"/>
      <c r="D70" s="1"/>
      <c r="E70" s="1"/>
      <c r="F70" s="12"/>
      <c r="G70" s="12"/>
      <c r="H70" s="112"/>
    </row>
    <row r="71" spans="1:8" x14ac:dyDescent="0.2">
      <c r="A71" s="1"/>
      <c r="B71" s="1"/>
      <c r="C71" s="2" t="s">
        <v>103</v>
      </c>
      <c r="D71" s="1"/>
      <c r="E71" s="1"/>
      <c r="F71" s="12"/>
      <c r="G71" s="12"/>
      <c r="H71" s="112"/>
    </row>
    <row r="72" spans="1:8" x14ac:dyDescent="0.2">
      <c r="A72" s="1"/>
      <c r="B72" s="1"/>
      <c r="C72" s="2" t="s">
        <v>97</v>
      </c>
      <c r="D72" s="1"/>
      <c r="E72" s="1" t="s">
        <v>98</v>
      </c>
      <c r="F72" s="13">
        <v>0</v>
      </c>
      <c r="G72" s="14">
        <v>0</v>
      </c>
      <c r="H72" s="112"/>
    </row>
    <row r="73" spans="1:8" x14ac:dyDescent="0.2">
      <c r="A73" s="1"/>
      <c r="B73" s="1"/>
      <c r="C73" s="11"/>
      <c r="D73" s="1"/>
      <c r="E73" s="1"/>
      <c r="F73" s="12"/>
      <c r="G73" s="12"/>
      <c r="H73" s="112"/>
    </row>
    <row r="74" spans="1:8" x14ac:dyDescent="0.2">
      <c r="A74" s="1"/>
      <c r="B74" s="1"/>
      <c r="C74" s="2" t="s">
        <v>104</v>
      </c>
      <c r="D74" s="1"/>
      <c r="E74" s="1"/>
      <c r="F74" s="9">
        <v>14323.441359099999</v>
      </c>
      <c r="G74" s="10">
        <v>0.98728100600000002</v>
      </c>
      <c r="H74" s="112"/>
    </row>
    <row r="75" spans="1:8" x14ac:dyDescent="0.2">
      <c r="A75" s="1"/>
      <c r="B75" s="1"/>
      <c r="C75" s="11"/>
      <c r="D75" s="1"/>
      <c r="E75" s="1"/>
      <c r="F75" s="12"/>
      <c r="G75" s="12"/>
      <c r="H75" s="112"/>
    </row>
    <row r="76" spans="1:8" x14ac:dyDescent="0.2">
      <c r="A76" s="1"/>
      <c r="B76" s="1"/>
      <c r="C76" s="2" t="s">
        <v>105</v>
      </c>
      <c r="D76" s="1"/>
      <c r="E76" s="1"/>
      <c r="F76" s="12"/>
      <c r="G76" s="12"/>
      <c r="H76" s="112"/>
    </row>
    <row r="77" spans="1:8" ht="25.5" x14ac:dyDescent="0.2">
      <c r="A77" s="1"/>
      <c r="B77" s="1"/>
      <c r="C77" s="2" t="s">
        <v>10</v>
      </c>
      <c r="D77" s="1"/>
      <c r="E77" s="1"/>
      <c r="F77" s="12"/>
      <c r="G77" s="12"/>
      <c r="H77" s="112"/>
    </row>
    <row r="78" spans="1:8" x14ac:dyDescent="0.2">
      <c r="A78" s="1"/>
      <c r="B78" s="1"/>
      <c r="C78" s="2" t="s">
        <v>97</v>
      </c>
      <c r="D78" s="1"/>
      <c r="E78" s="1" t="s">
        <v>98</v>
      </c>
      <c r="F78" s="13">
        <v>0</v>
      </c>
      <c r="G78" s="14">
        <v>0</v>
      </c>
      <c r="H78" s="112"/>
    </row>
    <row r="79" spans="1:8" x14ac:dyDescent="0.2">
      <c r="A79" s="1"/>
      <c r="B79" s="1"/>
      <c r="C79" s="11"/>
      <c r="D79" s="1"/>
      <c r="E79" s="1"/>
      <c r="F79" s="12"/>
      <c r="G79" s="12"/>
      <c r="H79" s="112"/>
    </row>
    <row r="80" spans="1:8" x14ac:dyDescent="0.2">
      <c r="A80" s="1"/>
      <c r="B80" s="1"/>
      <c r="C80" s="2" t="s">
        <v>106</v>
      </c>
      <c r="D80" s="1"/>
      <c r="E80" s="1"/>
      <c r="F80" s="1"/>
      <c r="G80" s="1"/>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2" t="s">
        <v>107</v>
      </c>
      <c r="D83" s="1"/>
      <c r="E83" s="1"/>
      <c r="F83" s="1"/>
      <c r="G83" s="1"/>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108</v>
      </c>
      <c r="D86" s="1"/>
      <c r="E86" s="1"/>
      <c r="F86" s="12"/>
      <c r="G86" s="12"/>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109</v>
      </c>
      <c r="D89" s="1"/>
      <c r="E89" s="1"/>
      <c r="F89" s="9">
        <v>0</v>
      </c>
      <c r="G89" s="10">
        <v>0</v>
      </c>
      <c r="H89" s="112"/>
    </row>
    <row r="90" spans="1:8" x14ac:dyDescent="0.2">
      <c r="A90" s="1"/>
      <c r="B90" s="1"/>
      <c r="C90" s="11"/>
      <c r="D90" s="1"/>
      <c r="E90" s="1"/>
      <c r="F90" s="12"/>
      <c r="G90" s="12"/>
      <c r="H90" s="112"/>
    </row>
    <row r="91" spans="1:8" x14ac:dyDescent="0.2">
      <c r="A91" s="1"/>
      <c r="B91" s="1"/>
      <c r="C91" s="2" t="s">
        <v>110</v>
      </c>
      <c r="D91" s="1"/>
      <c r="E91" s="1"/>
      <c r="F91" s="12"/>
      <c r="G91" s="12"/>
      <c r="H91" s="112"/>
    </row>
    <row r="92" spans="1:8" x14ac:dyDescent="0.2">
      <c r="A92" s="1"/>
      <c r="B92" s="1"/>
      <c r="C92" s="2" t="s">
        <v>111</v>
      </c>
      <c r="D92" s="1"/>
      <c r="E92" s="1"/>
      <c r="F92" s="12"/>
      <c r="G92" s="12"/>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112</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113</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114</v>
      </c>
      <c r="D101" s="1"/>
      <c r="E101" s="1"/>
      <c r="F101" s="12"/>
      <c r="G101" s="12"/>
      <c r="H101" s="112"/>
    </row>
    <row r="102" spans="1:8" x14ac:dyDescent="0.2">
      <c r="A102" s="3">
        <v>1</v>
      </c>
      <c r="B102" s="4"/>
      <c r="C102" s="4" t="s">
        <v>115</v>
      </c>
      <c r="D102" s="4"/>
      <c r="E102" s="8"/>
      <c r="F102" s="6">
        <v>130.9593313685061</v>
      </c>
      <c r="G102" s="7">
        <v>9.026717572329316E-3</v>
      </c>
      <c r="H102" s="6">
        <v>3.3211324282253978</v>
      </c>
    </row>
    <row r="103" spans="1:8" x14ac:dyDescent="0.2">
      <c r="A103" s="3">
        <v>2</v>
      </c>
      <c r="B103" s="4"/>
      <c r="C103" s="4" t="s">
        <v>116</v>
      </c>
      <c r="D103" s="4"/>
      <c r="E103" s="8"/>
      <c r="F103" s="6">
        <v>51.44389551000841</v>
      </c>
      <c r="G103" s="7">
        <v>3.5459062804969431E-3</v>
      </c>
      <c r="H103" s="6">
        <v>3.35</v>
      </c>
    </row>
    <row r="104" spans="1:8" x14ac:dyDescent="0.2">
      <c r="A104" s="1"/>
      <c r="B104" s="1"/>
      <c r="C104" s="2" t="s">
        <v>97</v>
      </c>
      <c r="D104" s="1"/>
      <c r="E104" s="1" t="s">
        <v>98</v>
      </c>
      <c r="F104" s="9">
        <v>182.40322687851452</v>
      </c>
      <c r="G104" s="10">
        <v>1.2572623852826259E-2</v>
      </c>
      <c r="H104" s="112"/>
    </row>
    <row r="105" spans="1:8" x14ac:dyDescent="0.2">
      <c r="A105" s="1"/>
      <c r="B105" s="1"/>
      <c r="C105" s="11"/>
      <c r="D105" s="1"/>
      <c r="E105" s="1"/>
      <c r="F105" s="12"/>
      <c r="G105" s="12"/>
      <c r="H105" s="112"/>
    </row>
    <row r="106" spans="1:8" x14ac:dyDescent="0.2">
      <c r="A106" s="1"/>
      <c r="B106" s="1"/>
      <c r="C106" s="2" t="s">
        <v>117</v>
      </c>
      <c r="D106" s="1"/>
      <c r="E106" s="1"/>
      <c r="F106" s="9">
        <v>182.40322687851452</v>
      </c>
      <c r="G106" s="10">
        <v>1.2572623852826259E-2</v>
      </c>
      <c r="H106" s="112"/>
    </row>
    <row r="107" spans="1:8" x14ac:dyDescent="0.2">
      <c r="A107" s="1"/>
      <c r="B107" s="1"/>
      <c r="C107" s="12"/>
      <c r="D107" s="1"/>
      <c r="E107" s="1"/>
      <c r="F107" s="1"/>
      <c r="G107" s="1"/>
      <c r="H107" s="112"/>
    </row>
    <row r="108" spans="1:8" x14ac:dyDescent="0.2">
      <c r="A108" s="1"/>
      <c r="B108" s="1"/>
      <c r="C108" s="2" t="s">
        <v>118</v>
      </c>
      <c r="D108" s="1"/>
      <c r="E108" s="1"/>
      <c r="F108" s="1"/>
      <c r="G108" s="1"/>
      <c r="H108" s="112"/>
    </row>
    <row r="109" spans="1:8" x14ac:dyDescent="0.2">
      <c r="A109" s="1"/>
      <c r="B109" s="1"/>
      <c r="C109" s="2" t="s">
        <v>119</v>
      </c>
      <c r="D109" s="1"/>
      <c r="E109" s="1"/>
      <c r="F109" s="1"/>
      <c r="G109" s="1"/>
      <c r="H109" s="112"/>
    </row>
    <row r="110" spans="1:8" x14ac:dyDescent="0.2">
      <c r="A110" s="1"/>
      <c r="B110" s="1"/>
      <c r="C110" s="2" t="s">
        <v>97</v>
      </c>
      <c r="D110" s="1"/>
      <c r="E110" s="1" t="s">
        <v>98</v>
      </c>
      <c r="F110" s="13">
        <v>0</v>
      </c>
      <c r="G110" s="14">
        <v>0</v>
      </c>
      <c r="H110" s="112"/>
    </row>
    <row r="111" spans="1:8" x14ac:dyDescent="0.2">
      <c r="A111" s="1"/>
      <c r="B111" s="1"/>
      <c r="C111" s="11"/>
      <c r="D111" s="1"/>
      <c r="E111" s="1"/>
      <c r="F111" s="12"/>
      <c r="G111" s="12"/>
      <c r="H111" s="112"/>
    </row>
    <row r="112" spans="1:8" x14ac:dyDescent="0.2">
      <c r="A112" s="1"/>
      <c r="B112" s="1"/>
      <c r="C112" s="2" t="s">
        <v>120</v>
      </c>
      <c r="D112" s="1"/>
      <c r="E112" s="1"/>
      <c r="F112" s="1"/>
      <c r="G112" s="1"/>
      <c r="H112" s="112"/>
    </row>
    <row r="113" spans="1:8" x14ac:dyDescent="0.2">
      <c r="A113" s="1"/>
      <c r="B113" s="1"/>
      <c r="C113" s="2" t="s">
        <v>121</v>
      </c>
      <c r="D113" s="1"/>
      <c r="E113" s="1"/>
      <c r="F113" s="1"/>
      <c r="G113" s="1"/>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11"/>
      <c r="D116" s="1"/>
      <c r="E116" s="1"/>
      <c r="F116" s="12"/>
      <c r="G116" s="12"/>
      <c r="H116" s="112"/>
    </row>
    <row r="117" spans="1:8" ht="25.5" x14ac:dyDescent="0.2">
      <c r="A117" s="1"/>
      <c r="B117" s="1"/>
      <c r="C117" s="2" t="s">
        <v>122</v>
      </c>
      <c r="D117" s="1"/>
      <c r="E117" s="1"/>
      <c r="F117" s="12"/>
      <c r="G117" s="12"/>
      <c r="H117" s="112"/>
    </row>
    <row r="118" spans="1:8" x14ac:dyDescent="0.2">
      <c r="A118" s="1"/>
      <c r="B118" s="1"/>
      <c r="C118" s="2" t="s">
        <v>97</v>
      </c>
      <c r="D118" s="1"/>
      <c r="E118" s="1" t="s">
        <v>98</v>
      </c>
      <c r="F118" s="13">
        <v>0</v>
      </c>
      <c r="G118" s="14">
        <v>0</v>
      </c>
      <c r="H118" s="112"/>
    </row>
    <row r="119" spans="1:8" x14ac:dyDescent="0.2">
      <c r="A119" s="1"/>
      <c r="B119" s="1"/>
      <c r="C119" s="11"/>
      <c r="D119" s="1"/>
      <c r="E119" s="1"/>
      <c r="F119" s="12"/>
      <c r="G119" s="12"/>
      <c r="H119" s="112"/>
    </row>
    <row r="120" spans="1:8" x14ac:dyDescent="0.2">
      <c r="A120" s="1"/>
      <c r="B120" s="4"/>
      <c r="C120" s="4"/>
      <c r="D120" s="2"/>
      <c r="E120" s="1"/>
      <c r="F120" s="4"/>
      <c r="G120" s="8"/>
      <c r="H120" s="112"/>
    </row>
    <row r="121" spans="1:8" x14ac:dyDescent="0.2">
      <c r="A121" s="8"/>
      <c r="B121" s="4"/>
      <c r="C121" s="4" t="s">
        <v>123</v>
      </c>
      <c r="D121" s="4"/>
      <c r="E121" s="8"/>
      <c r="F121" s="6">
        <v>2.1234743699999998</v>
      </c>
      <c r="G121" s="7">
        <v>1.4636607571042899E-4</v>
      </c>
      <c r="H121" s="112"/>
    </row>
    <row r="122" spans="1:8" x14ac:dyDescent="0.2">
      <c r="A122" s="11"/>
      <c r="B122" s="11"/>
      <c r="C122" s="2" t="s">
        <v>124</v>
      </c>
      <c r="D122" s="15"/>
      <c r="E122" s="15"/>
      <c r="F122" s="9">
        <v>14507.96818657</v>
      </c>
      <c r="G122" s="10">
        <v>1.0000000040000001</v>
      </c>
      <c r="H122" s="112"/>
    </row>
    <row r="123" spans="1:8" ht="14.1" customHeight="1" x14ac:dyDescent="0.2">
      <c r="A123" s="16"/>
      <c r="B123" s="16"/>
      <c r="C123" s="16"/>
      <c r="D123" s="17"/>
      <c r="E123" s="17"/>
      <c r="F123" s="17"/>
      <c r="G123" s="17"/>
    </row>
    <row r="124" spans="1:8" ht="14.1" customHeight="1" x14ac:dyDescent="0.2">
      <c r="A124" s="18"/>
      <c r="B124" s="205" t="s">
        <v>98</v>
      </c>
      <c r="C124" s="205"/>
      <c r="D124" s="205"/>
      <c r="E124" s="205"/>
      <c r="F124" s="205"/>
      <c r="G124" s="20"/>
    </row>
    <row r="125" spans="1:8" ht="14.1" customHeight="1" x14ac:dyDescent="0.2">
      <c r="A125" s="18"/>
      <c r="B125" s="205" t="s">
        <v>98</v>
      </c>
      <c r="C125" s="205"/>
      <c r="D125" s="205"/>
      <c r="E125" s="205"/>
      <c r="F125" s="205"/>
      <c r="G125" s="20"/>
    </row>
    <row r="126" spans="1:8" ht="14.1" customHeight="1" x14ac:dyDescent="0.2">
      <c r="A126" s="18"/>
      <c r="B126" s="18"/>
      <c r="C126" s="18"/>
      <c r="D126" s="20"/>
      <c r="E126" s="20"/>
      <c r="F126" s="20"/>
      <c r="G126" s="20"/>
    </row>
    <row r="127" spans="1:8" ht="14.1" customHeight="1" x14ac:dyDescent="0.2">
      <c r="A127" s="18"/>
      <c r="B127" s="203" t="s">
        <v>126</v>
      </c>
      <c r="C127" s="204"/>
      <c r="D127" s="12" t="s">
        <v>98</v>
      </c>
      <c r="E127" s="21"/>
      <c r="F127" s="20"/>
      <c r="G127" s="20"/>
    </row>
    <row r="128" spans="1:8" ht="29.1" customHeight="1" x14ac:dyDescent="0.2">
      <c r="A128" s="18"/>
      <c r="B128" s="198" t="s">
        <v>127</v>
      </c>
      <c r="C128" s="199"/>
      <c r="D128" s="2" t="s">
        <v>128</v>
      </c>
      <c r="E128" s="21"/>
      <c r="F128" s="20"/>
      <c r="G128" s="20"/>
    </row>
    <row r="129" spans="1:7" ht="17.100000000000001" customHeight="1" x14ac:dyDescent="0.2">
      <c r="A129" s="18"/>
      <c r="B129" s="198" t="s">
        <v>129</v>
      </c>
      <c r="C129" s="199"/>
      <c r="D129" s="2" t="s">
        <v>128</v>
      </c>
      <c r="E129" s="21"/>
      <c r="F129" s="20"/>
      <c r="G129" s="20"/>
    </row>
    <row r="130" spans="1:7" ht="17.100000000000001" customHeight="1" x14ac:dyDescent="0.2">
      <c r="A130" s="18"/>
      <c r="B130" s="198" t="s">
        <v>130</v>
      </c>
      <c r="C130" s="199"/>
      <c r="D130" s="12" t="s">
        <v>98</v>
      </c>
      <c r="E130" s="21"/>
      <c r="F130" s="20"/>
      <c r="G130" s="20"/>
    </row>
    <row r="131" spans="1:7" ht="24" customHeight="1" x14ac:dyDescent="0.2">
      <c r="A131" s="22"/>
      <c r="B131" s="23" t="s">
        <v>98</v>
      </c>
      <c r="C131" s="23" t="s">
        <v>131</v>
      </c>
      <c r="D131" s="23" t="s">
        <v>132</v>
      </c>
      <c r="E131" s="22"/>
      <c r="F131" s="22"/>
      <c r="G131" s="22"/>
    </row>
    <row r="132" spans="1:7" ht="18" customHeight="1" x14ac:dyDescent="0.2">
      <c r="A132" s="22"/>
      <c r="B132" s="23" t="s">
        <v>133</v>
      </c>
      <c r="C132" s="23" t="s">
        <v>134</v>
      </c>
      <c r="D132" s="23" t="s">
        <v>135</v>
      </c>
      <c r="E132" s="22"/>
      <c r="F132" s="22"/>
      <c r="G132" s="22"/>
    </row>
    <row r="133" spans="1:7" ht="17.100000000000001" customHeight="1" x14ac:dyDescent="0.2">
      <c r="A133" s="22"/>
      <c r="B133" s="4" t="s">
        <v>136</v>
      </c>
      <c r="C133" s="24">
        <v>17.323699999999999</v>
      </c>
      <c r="D133" s="24">
        <v>17.4436</v>
      </c>
      <c r="E133" s="22"/>
      <c r="F133" s="19"/>
      <c r="G133" s="25"/>
    </row>
    <row r="134" spans="1:7" ht="17.100000000000001" customHeight="1" x14ac:dyDescent="0.2">
      <c r="A134" s="22"/>
      <c r="B134" s="4" t="s">
        <v>980</v>
      </c>
      <c r="C134" s="24">
        <v>16.477399999999999</v>
      </c>
      <c r="D134" s="24">
        <v>16.5914</v>
      </c>
      <c r="E134" s="22"/>
      <c r="F134" s="19"/>
      <c r="G134" s="25"/>
    </row>
    <row r="135" spans="1:7" ht="17.100000000000001" customHeight="1" x14ac:dyDescent="0.2">
      <c r="A135" s="22"/>
      <c r="B135" s="4" t="s">
        <v>137</v>
      </c>
      <c r="C135" s="24">
        <v>16.999400000000001</v>
      </c>
      <c r="D135" s="24">
        <v>17.108799999999999</v>
      </c>
      <c r="E135" s="22"/>
      <c r="F135" s="19"/>
      <c r="G135" s="25"/>
    </row>
    <row r="136" spans="1:7" ht="17.100000000000001" customHeight="1" x14ac:dyDescent="0.2">
      <c r="A136" s="22"/>
      <c r="B136" s="4" t="s">
        <v>981</v>
      </c>
      <c r="C136" s="24">
        <v>16.354500000000002</v>
      </c>
      <c r="D136" s="24">
        <v>16.459700000000002</v>
      </c>
      <c r="E136" s="22"/>
      <c r="F136" s="19"/>
      <c r="G136" s="25"/>
    </row>
    <row r="137" spans="1:7" ht="14.1" customHeight="1" x14ac:dyDescent="0.2">
      <c r="A137" s="22"/>
      <c r="B137" s="22"/>
      <c r="C137" s="22"/>
      <c r="D137" s="22"/>
      <c r="E137" s="22"/>
      <c r="F137" s="22"/>
      <c r="G137" s="22"/>
    </row>
    <row r="138" spans="1:7" ht="17.100000000000001" customHeight="1" x14ac:dyDescent="0.2">
      <c r="A138" s="22"/>
      <c r="B138" s="198" t="s">
        <v>982</v>
      </c>
      <c r="C138" s="199"/>
      <c r="D138" s="91" t="s">
        <v>128</v>
      </c>
      <c r="E138" s="22"/>
      <c r="F138" s="22"/>
      <c r="G138" s="22"/>
    </row>
    <row r="139" spans="1:7" ht="18" customHeight="1" x14ac:dyDescent="0.2">
      <c r="A139" s="22"/>
      <c r="B139" s="26"/>
      <c r="C139" s="26"/>
      <c r="D139" s="27"/>
      <c r="E139" s="22"/>
      <c r="F139" s="22"/>
      <c r="G139" s="22"/>
    </row>
    <row r="140" spans="1:7" s="113" customFormat="1" x14ac:dyDescent="0.2">
      <c r="B140" s="202" t="s">
        <v>984</v>
      </c>
      <c r="C140" s="202"/>
      <c r="D140" s="202"/>
      <c r="E140" s="202"/>
      <c r="F140" s="202"/>
    </row>
    <row r="141" spans="1:7" ht="14.1" customHeight="1" x14ac:dyDescent="0.2">
      <c r="A141" s="22"/>
      <c r="B141" s="19"/>
      <c r="C141" s="19"/>
      <c r="D141" s="22"/>
      <c r="E141" s="22"/>
      <c r="F141" s="22"/>
      <c r="G141" s="22"/>
    </row>
    <row r="142" spans="1:7" ht="29.1" customHeight="1" x14ac:dyDescent="0.2">
      <c r="A142" s="22"/>
      <c r="B142" s="198" t="s">
        <v>138</v>
      </c>
      <c r="C142" s="199"/>
      <c r="D142" s="2" t="s">
        <v>128</v>
      </c>
      <c r="E142" s="22"/>
      <c r="F142" s="22"/>
      <c r="G142" s="22"/>
    </row>
    <row r="143" spans="1:7" ht="29.1" customHeight="1" x14ac:dyDescent="0.2">
      <c r="A143" s="22"/>
      <c r="B143" s="198" t="s">
        <v>139</v>
      </c>
      <c r="C143" s="199"/>
      <c r="D143" s="2" t="s">
        <v>128</v>
      </c>
      <c r="E143" s="22"/>
      <c r="F143" s="22"/>
      <c r="G143" s="22"/>
    </row>
    <row r="144" spans="1:7" ht="17.100000000000001" customHeight="1" x14ac:dyDescent="0.2">
      <c r="A144" s="22"/>
      <c r="B144" s="198" t="s">
        <v>140</v>
      </c>
      <c r="C144" s="199"/>
      <c r="D144" s="28">
        <v>0.37901542766586255</v>
      </c>
      <c r="E144" s="22"/>
      <c r="F144" s="19"/>
      <c r="G144" s="25"/>
    </row>
    <row r="145" spans="1:7" ht="17.100000000000001" customHeight="1" x14ac:dyDescent="0.2">
      <c r="A145" s="22"/>
      <c r="B145" s="198" t="s">
        <v>141</v>
      </c>
      <c r="C145" s="199"/>
      <c r="D145" s="2" t="s">
        <v>128</v>
      </c>
      <c r="E145" s="22"/>
      <c r="F145" s="22"/>
      <c r="G145" s="22"/>
    </row>
  </sheetData>
  <mergeCells count="16">
    <mergeCell ref="B145:C145"/>
    <mergeCell ref="B128:C128"/>
    <mergeCell ref="B129:C129"/>
    <mergeCell ref="B130:C130"/>
    <mergeCell ref="B138:C138"/>
    <mergeCell ref="B142:C142"/>
    <mergeCell ref="B143:C143"/>
    <mergeCell ref="B140:F140"/>
    <mergeCell ref="A1:H1"/>
    <mergeCell ref="A2:H2"/>
    <mergeCell ref="A3:H3"/>
    <mergeCell ref="J2:N2"/>
    <mergeCell ref="B144:C144"/>
    <mergeCell ref="B127:C127"/>
    <mergeCell ref="B124:F124"/>
    <mergeCell ref="B125:F125"/>
  </mergeCell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45"/>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448</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14</v>
      </c>
      <c r="C7" s="4" t="s">
        <v>15</v>
      </c>
      <c r="D7" s="4" t="s">
        <v>16</v>
      </c>
      <c r="E7" s="5">
        <v>25335</v>
      </c>
      <c r="F7" s="6">
        <v>642.55893749999996</v>
      </c>
      <c r="G7" s="7">
        <v>7.5316016999999999E-2</v>
      </c>
      <c r="H7" s="112"/>
    </row>
    <row r="8" spans="1:14" x14ac:dyDescent="0.2">
      <c r="A8" s="3">
        <v>2</v>
      </c>
      <c r="B8" s="4" t="s">
        <v>17</v>
      </c>
      <c r="C8" s="4" t="s">
        <v>18</v>
      </c>
      <c r="D8" s="4" t="s">
        <v>19</v>
      </c>
      <c r="E8" s="5">
        <v>78331</v>
      </c>
      <c r="F8" s="6">
        <v>628.25378550000005</v>
      </c>
      <c r="G8" s="7">
        <v>7.3639273000000005E-2</v>
      </c>
      <c r="H8" s="112"/>
    </row>
    <row r="9" spans="1:14" x14ac:dyDescent="0.2">
      <c r="A9" s="3">
        <v>3</v>
      </c>
      <c r="B9" s="4" t="s">
        <v>412</v>
      </c>
      <c r="C9" s="4" t="s">
        <v>413</v>
      </c>
      <c r="D9" s="4" t="s">
        <v>19</v>
      </c>
      <c r="E9" s="5">
        <v>33012</v>
      </c>
      <c r="F9" s="6">
        <v>522.53044199999999</v>
      </c>
      <c r="G9" s="7">
        <v>6.1247162000000001E-2</v>
      </c>
      <c r="H9" s="112"/>
    </row>
    <row r="10" spans="1:14" x14ac:dyDescent="0.2">
      <c r="A10" s="3">
        <v>4</v>
      </c>
      <c r="B10" s="4" t="s">
        <v>414</v>
      </c>
      <c r="C10" s="4" t="s">
        <v>415</v>
      </c>
      <c r="D10" s="4" t="s">
        <v>162</v>
      </c>
      <c r="E10" s="5">
        <v>24647</v>
      </c>
      <c r="F10" s="6">
        <v>411.0503425</v>
      </c>
      <c r="G10" s="7">
        <v>4.8180288000000002E-2</v>
      </c>
      <c r="H10" s="112"/>
    </row>
    <row r="11" spans="1:14" ht="25.5" x14ac:dyDescent="0.2">
      <c r="A11" s="3">
        <v>5</v>
      </c>
      <c r="B11" s="4" t="s">
        <v>416</v>
      </c>
      <c r="C11" s="4" t="s">
        <v>417</v>
      </c>
      <c r="D11" s="4" t="s">
        <v>81</v>
      </c>
      <c r="E11" s="5">
        <v>12776</v>
      </c>
      <c r="F11" s="6">
        <v>363.438872</v>
      </c>
      <c r="G11" s="7">
        <v>4.2599623000000003E-2</v>
      </c>
      <c r="H11" s="112"/>
    </row>
    <row r="12" spans="1:14" x14ac:dyDescent="0.2">
      <c r="A12" s="3">
        <v>6</v>
      </c>
      <c r="B12" s="4" t="s">
        <v>418</v>
      </c>
      <c r="C12" s="4" t="s">
        <v>419</v>
      </c>
      <c r="D12" s="4" t="s">
        <v>19</v>
      </c>
      <c r="E12" s="5">
        <v>64105</v>
      </c>
      <c r="F12" s="6">
        <v>321.9032575</v>
      </c>
      <c r="G12" s="7">
        <v>3.7731123999999998E-2</v>
      </c>
      <c r="H12" s="112"/>
    </row>
    <row r="13" spans="1:14" x14ac:dyDescent="0.2">
      <c r="A13" s="3">
        <v>7</v>
      </c>
      <c r="B13" s="4" t="s">
        <v>25</v>
      </c>
      <c r="C13" s="4" t="s">
        <v>26</v>
      </c>
      <c r="D13" s="4" t="s">
        <v>27</v>
      </c>
      <c r="E13" s="5">
        <v>18316</v>
      </c>
      <c r="F13" s="6">
        <v>296.64593600000001</v>
      </c>
      <c r="G13" s="7">
        <v>3.4770648000000001E-2</v>
      </c>
      <c r="H13" s="112"/>
    </row>
    <row r="14" spans="1:14" x14ac:dyDescent="0.2">
      <c r="A14" s="3">
        <v>8</v>
      </c>
      <c r="B14" s="4" t="s">
        <v>322</v>
      </c>
      <c r="C14" s="4" t="s">
        <v>323</v>
      </c>
      <c r="D14" s="4" t="s">
        <v>19</v>
      </c>
      <c r="E14" s="5">
        <v>38735</v>
      </c>
      <c r="F14" s="6">
        <v>287.41370000000001</v>
      </c>
      <c r="G14" s="7">
        <v>3.3688513000000003E-2</v>
      </c>
      <c r="H14" s="112"/>
    </row>
    <row r="15" spans="1:14" ht="25.5" x14ac:dyDescent="0.2">
      <c r="A15" s="3">
        <v>9</v>
      </c>
      <c r="B15" s="4" t="s">
        <v>326</v>
      </c>
      <c r="C15" s="4" t="s">
        <v>327</v>
      </c>
      <c r="D15" s="4" t="s">
        <v>192</v>
      </c>
      <c r="E15" s="5">
        <v>27323</v>
      </c>
      <c r="F15" s="6">
        <v>232.06790050000001</v>
      </c>
      <c r="G15" s="7">
        <v>2.7201287000000001E-2</v>
      </c>
      <c r="H15" s="112"/>
      <c r="J15" s="188" t="s">
        <v>1014</v>
      </c>
    </row>
    <row r="16" spans="1:14" x14ac:dyDescent="0.2">
      <c r="A16" s="3">
        <v>10</v>
      </c>
      <c r="B16" s="4" t="s">
        <v>360</v>
      </c>
      <c r="C16" s="4" t="s">
        <v>361</v>
      </c>
      <c r="D16" s="4" t="s">
        <v>974</v>
      </c>
      <c r="E16" s="5">
        <v>29796</v>
      </c>
      <c r="F16" s="6">
        <v>219.89447999999999</v>
      </c>
      <c r="G16" s="7">
        <v>2.5774407999999999E-2</v>
      </c>
      <c r="H16" s="112"/>
    </row>
    <row r="17" spans="1:8" x14ac:dyDescent="0.2">
      <c r="A17" s="3">
        <v>11</v>
      </c>
      <c r="B17" s="4" t="s">
        <v>145</v>
      </c>
      <c r="C17" s="4" t="s">
        <v>146</v>
      </c>
      <c r="D17" s="4" t="s">
        <v>147</v>
      </c>
      <c r="E17" s="5">
        <v>6585</v>
      </c>
      <c r="F17" s="6">
        <v>219.83364</v>
      </c>
      <c r="G17" s="7">
        <v>2.5767277000000002E-2</v>
      </c>
      <c r="H17" s="112"/>
    </row>
    <row r="18" spans="1:8" x14ac:dyDescent="0.2">
      <c r="A18" s="3">
        <v>12</v>
      </c>
      <c r="B18" s="4" t="s">
        <v>11</v>
      </c>
      <c r="C18" s="4" t="s">
        <v>12</v>
      </c>
      <c r="D18" s="4" t="s">
        <v>13</v>
      </c>
      <c r="E18" s="5">
        <v>12437</v>
      </c>
      <c r="F18" s="6">
        <v>219.71826050000001</v>
      </c>
      <c r="G18" s="7">
        <v>2.5753753000000001E-2</v>
      </c>
      <c r="H18" s="112"/>
    </row>
    <row r="19" spans="1:8" x14ac:dyDescent="0.2">
      <c r="A19" s="3">
        <v>13</v>
      </c>
      <c r="B19" s="4" t="s">
        <v>318</v>
      </c>
      <c r="C19" s="4" t="s">
        <v>319</v>
      </c>
      <c r="D19" s="4" t="s">
        <v>977</v>
      </c>
      <c r="E19" s="5">
        <v>5403</v>
      </c>
      <c r="F19" s="6">
        <v>199.33287899999999</v>
      </c>
      <c r="G19" s="7">
        <v>2.3364329E-2</v>
      </c>
      <c r="H19" s="112"/>
    </row>
    <row r="20" spans="1:8" x14ac:dyDescent="0.2">
      <c r="A20" s="3">
        <v>14</v>
      </c>
      <c r="B20" s="4" t="s">
        <v>420</v>
      </c>
      <c r="C20" s="4" t="s">
        <v>421</v>
      </c>
      <c r="D20" s="4" t="s">
        <v>973</v>
      </c>
      <c r="E20" s="5">
        <v>16803</v>
      </c>
      <c r="F20" s="6">
        <v>192.48676649999999</v>
      </c>
      <c r="G20" s="7">
        <v>2.2561878E-2</v>
      </c>
      <c r="H20" s="112"/>
    </row>
    <row r="21" spans="1:8" x14ac:dyDescent="0.2">
      <c r="A21" s="3">
        <v>15</v>
      </c>
      <c r="B21" s="4" t="s">
        <v>271</v>
      </c>
      <c r="C21" s="4" t="s">
        <v>272</v>
      </c>
      <c r="D21" s="4" t="s">
        <v>147</v>
      </c>
      <c r="E21" s="5">
        <v>29565</v>
      </c>
      <c r="F21" s="6">
        <v>192.34988999999999</v>
      </c>
      <c r="G21" s="7">
        <v>2.2545835E-2</v>
      </c>
      <c r="H21" s="112"/>
    </row>
    <row r="22" spans="1:8" x14ac:dyDescent="0.2">
      <c r="A22" s="3">
        <v>16</v>
      </c>
      <c r="B22" s="4" t="s">
        <v>22</v>
      </c>
      <c r="C22" s="4" t="s">
        <v>23</v>
      </c>
      <c r="D22" s="4" t="s">
        <v>24</v>
      </c>
      <c r="E22" s="5">
        <v>26720</v>
      </c>
      <c r="F22" s="6">
        <v>183.12551999999999</v>
      </c>
      <c r="G22" s="7">
        <v>2.1464621999999999E-2</v>
      </c>
      <c r="H22" s="112"/>
    </row>
    <row r="23" spans="1:8" x14ac:dyDescent="0.2">
      <c r="A23" s="3">
        <v>17</v>
      </c>
      <c r="B23" s="4" t="s">
        <v>422</v>
      </c>
      <c r="C23" s="4" t="s">
        <v>423</v>
      </c>
      <c r="D23" s="4" t="s">
        <v>162</v>
      </c>
      <c r="E23" s="5">
        <v>5240</v>
      </c>
      <c r="F23" s="6">
        <v>178.0421</v>
      </c>
      <c r="G23" s="7">
        <v>2.0868780999999999E-2</v>
      </c>
      <c r="H23" s="112"/>
    </row>
    <row r="24" spans="1:8" ht="25.5" x14ac:dyDescent="0.2">
      <c r="A24" s="3">
        <v>18</v>
      </c>
      <c r="B24" s="4" t="s">
        <v>335</v>
      </c>
      <c r="C24" s="4" t="s">
        <v>336</v>
      </c>
      <c r="D24" s="4" t="s">
        <v>71</v>
      </c>
      <c r="E24" s="5">
        <v>37015</v>
      </c>
      <c r="F24" s="6">
        <v>172.34183999999999</v>
      </c>
      <c r="G24" s="7">
        <v>2.0200638999999999E-2</v>
      </c>
      <c r="H24" s="112"/>
    </row>
    <row r="25" spans="1:8" x14ac:dyDescent="0.2">
      <c r="A25" s="3">
        <v>19</v>
      </c>
      <c r="B25" s="4" t="s">
        <v>205</v>
      </c>
      <c r="C25" s="4" t="s">
        <v>206</v>
      </c>
      <c r="D25" s="4" t="s">
        <v>975</v>
      </c>
      <c r="E25" s="5">
        <v>19626</v>
      </c>
      <c r="F25" s="6">
        <v>170.02985100000001</v>
      </c>
      <c r="G25" s="7">
        <v>1.9929644E-2</v>
      </c>
      <c r="H25" s="112"/>
    </row>
    <row r="26" spans="1:8" ht="25.5" x14ac:dyDescent="0.2">
      <c r="A26" s="3">
        <v>20</v>
      </c>
      <c r="B26" s="4" t="s">
        <v>424</v>
      </c>
      <c r="C26" s="4" t="s">
        <v>425</v>
      </c>
      <c r="D26" s="4" t="s">
        <v>192</v>
      </c>
      <c r="E26" s="5">
        <v>7092</v>
      </c>
      <c r="F26" s="6">
        <v>169.72219799999999</v>
      </c>
      <c r="G26" s="7">
        <v>1.9893583999999999E-2</v>
      </c>
      <c r="H26" s="112"/>
    </row>
    <row r="27" spans="1:8" ht="25.5" x14ac:dyDescent="0.2">
      <c r="A27" s="3">
        <v>21</v>
      </c>
      <c r="B27" s="4" t="s">
        <v>28</v>
      </c>
      <c r="C27" s="4" t="s">
        <v>29</v>
      </c>
      <c r="D27" s="4" t="s">
        <v>971</v>
      </c>
      <c r="E27" s="5">
        <v>2097</v>
      </c>
      <c r="F27" s="6">
        <v>160.12796850000001</v>
      </c>
      <c r="G27" s="7">
        <v>1.8769019000000001E-2</v>
      </c>
      <c r="H27" s="112"/>
    </row>
    <row r="28" spans="1:8" x14ac:dyDescent="0.2">
      <c r="A28" s="3">
        <v>22</v>
      </c>
      <c r="B28" s="4" t="s">
        <v>426</v>
      </c>
      <c r="C28" s="4" t="s">
        <v>427</v>
      </c>
      <c r="D28" s="4" t="s">
        <v>162</v>
      </c>
      <c r="E28" s="5">
        <v>23000</v>
      </c>
      <c r="F28" s="6">
        <v>148.7525</v>
      </c>
      <c r="G28" s="7">
        <v>1.743567E-2</v>
      </c>
      <c r="H28" s="112"/>
    </row>
    <row r="29" spans="1:8" x14ac:dyDescent="0.2">
      <c r="A29" s="3">
        <v>23</v>
      </c>
      <c r="B29" s="4" t="s">
        <v>428</v>
      </c>
      <c r="C29" s="4" t="s">
        <v>429</v>
      </c>
      <c r="D29" s="4" t="s">
        <v>186</v>
      </c>
      <c r="E29" s="5">
        <v>17804</v>
      </c>
      <c r="F29" s="6">
        <v>141.54179999999999</v>
      </c>
      <c r="G29" s="7">
        <v>1.6590484999999999E-2</v>
      </c>
      <c r="H29" s="112"/>
    </row>
    <row r="30" spans="1:8" x14ac:dyDescent="0.2">
      <c r="A30" s="3">
        <v>24</v>
      </c>
      <c r="B30" s="4" t="s">
        <v>171</v>
      </c>
      <c r="C30" s="4" t="s">
        <v>172</v>
      </c>
      <c r="D30" s="4" t="s">
        <v>173</v>
      </c>
      <c r="E30" s="5">
        <v>9500</v>
      </c>
      <c r="F30" s="6">
        <v>132.66749999999999</v>
      </c>
      <c r="G30" s="7">
        <v>1.5550305E-2</v>
      </c>
      <c r="H30" s="112"/>
    </row>
    <row r="31" spans="1:8" x14ac:dyDescent="0.2">
      <c r="A31" s="3">
        <v>25</v>
      </c>
      <c r="B31" s="4" t="s">
        <v>376</v>
      </c>
      <c r="C31" s="4" t="s">
        <v>377</v>
      </c>
      <c r="D31" s="4" t="s">
        <v>162</v>
      </c>
      <c r="E31" s="5">
        <v>10771</v>
      </c>
      <c r="F31" s="6">
        <v>123.1933125</v>
      </c>
      <c r="G31" s="7">
        <v>1.4439811E-2</v>
      </c>
      <c r="H31" s="112"/>
    </row>
    <row r="32" spans="1:8" x14ac:dyDescent="0.2">
      <c r="A32" s="3">
        <v>26</v>
      </c>
      <c r="B32" s="4" t="s">
        <v>332</v>
      </c>
      <c r="C32" s="4" t="s">
        <v>333</v>
      </c>
      <c r="D32" s="4" t="s">
        <v>334</v>
      </c>
      <c r="E32" s="5">
        <v>11381</v>
      </c>
      <c r="F32" s="6">
        <v>114.1685015</v>
      </c>
      <c r="G32" s="7">
        <v>1.3381989E-2</v>
      </c>
      <c r="H32" s="112"/>
    </row>
    <row r="33" spans="1:8" x14ac:dyDescent="0.2">
      <c r="A33" s="3">
        <v>27</v>
      </c>
      <c r="B33" s="4" t="s">
        <v>430</v>
      </c>
      <c r="C33" s="4" t="s">
        <v>431</v>
      </c>
      <c r="D33" s="4" t="s">
        <v>432</v>
      </c>
      <c r="E33" s="5">
        <v>22227</v>
      </c>
      <c r="F33" s="6">
        <v>102.199746</v>
      </c>
      <c r="G33" s="7">
        <v>1.1979099999999999E-2</v>
      </c>
      <c r="H33" s="112"/>
    </row>
    <row r="34" spans="1:8" x14ac:dyDescent="0.2">
      <c r="A34" s="3">
        <v>28</v>
      </c>
      <c r="B34" s="4" t="s">
        <v>433</v>
      </c>
      <c r="C34" s="4" t="s">
        <v>434</v>
      </c>
      <c r="D34" s="4" t="s">
        <v>53</v>
      </c>
      <c r="E34" s="5">
        <v>7635</v>
      </c>
      <c r="F34" s="6">
        <v>100.47278249999999</v>
      </c>
      <c r="G34" s="7">
        <v>1.1776678E-2</v>
      </c>
      <c r="H34" s="112"/>
    </row>
    <row r="35" spans="1:8" x14ac:dyDescent="0.2">
      <c r="A35" s="3">
        <v>29</v>
      </c>
      <c r="B35" s="4" t="s">
        <v>312</v>
      </c>
      <c r="C35" s="4" t="s">
        <v>313</v>
      </c>
      <c r="D35" s="4" t="s">
        <v>212</v>
      </c>
      <c r="E35" s="5">
        <v>260</v>
      </c>
      <c r="F35" s="6">
        <v>97.853729999999999</v>
      </c>
      <c r="G35" s="7">
        <v>1.1469692E-2</v>
      </c>
      <c r="H35" s="112"/>
    </row>
    <row r="36" spans="1:8" x14ac:dyDescent="0.2">
      <c r="A36" s="3">
        <v>30</v>
      </c>
      <c r="B36" s="4" t="s">
        <v>358</v>
      </c>
      <c r="C36" s="4" t="s">
        <v>359</v>
      </c>
      <c r="D36" s="4" t="s">
        <v>50</v>
      </c>
      <c r="E36" s="5">
        <v>14383</v>
      </c>
      <c r="F36" s="6">
        <v>94.223033000000001</v>
      </c>
      <c r="G36" s="7">
        <v>1.1044129E-2</v>
      </c>
      <c r="H36" s="112"/>
    </row>
    <row r="37" spans="1:8" x14ac:dyDescent="0.2">
      <c r="A37" s="3">
        <v>31</v>
      </c>
      <c r="B37" s="4" t="s">
        <v>337</v>
      </c>
      <c r="C37" s="4" t="s">
        <v>338</v>
      </c>
      <c r="D37" s="4" t="s">
        <v>19</v>
      </c>
      <c r="E37" s="5">
        <v>96000</v>
      </c>
      <c r="F37" s="6">
        <v>93.6</v>
      </c>
      <c r="G37" s="7">
        <v>1.0971101E-2</v>
      </c>
      <c r="H37" s="112"/>
    </row>
    <row r="38" spans="1:8" x14ac:dyDescent="0.2">
      <c r="A38" s="3">
        <v>32</v>
      </c>
      <c r="B38" s="4" t="s">
        <v>35</v>
      </c>
      <c r="C38" s="4" t="s">
        <v>36</v>
      </c>
      <c r="D38" s="4" t="s">
        <v>16</v>
      </c>
      <c r="E38" s="5">
        <v>21882</v>
      </c>
      <c r="F38" s="6">
        <v>91.401114000000007</v>
      </c>
      <c r="G38" s="7">
        <v>1.0713364E-2</v>
      </c>
      <c r="H38" s="112"/>
    </row>
    <row r="39" spans="1:8" x14ac:dyDescent="0.2">
      <c r="A39" s="3">
        <v>33</v>
      </c>
      <c r="B39" s="4" t="s">
        <v>320</v>
      </c>
      <c r="C39" s="4" t="s">
        <v>321</v>
      </c>
      <c r="D39" s="4" t="s">
        <v>27</v>
      </c>
      <c r="E39" s="5">
        <v>10088</v>
      </c>
      <c r="F39" s="6">
        <v>90.358215999999999</v>
      </c>
      <c r="G39" s="7">
        <v>1.0591122999999999E-2</v>
      </c>
      <c r="H39" s="112"/>
    </row>
    <row r="40" spans="1:8" x14ac:dyDescent="0.2">
      <c r="A40" s="3">
        <v>34</v>
      </c>
      <c r="B40" s="4" t="s">
        <v>435</v>
      </c>
      <c r="C40" s="4" t="s">
        <v>436</v>
      </c>
      <c r="D40" s="4" t="s">
        <v>78</v>
      </c>
      <c r="E40" s="5">
        <v>10176</v>
      </c>
      <c r="F40" s="6">
        <v>89.981279999999998</v>
      </c>
      <c r="G40" s="7">
        <v>1.0546942E-2</v>
      </c>
      <c r="H40" s="112"/>
    </row>
    <row r="41" spans="1:8" x14ac:dyDescent="0.2">
      <c r="A41" s="3">
        <v>35</v>
      </c>
      <c r="B41" s="4" t="s">
        <v>345</v>
      </c>
      <c r="C41" s="4" t="s">
        <v>346</v>
      </c>
      <c r="D41" s="4" t="s">
        <v>186</v>
      </c>
      <c r="E41" s="5">
        <v>2422</v>
      </c>
      <c r="F41" s="6">
        <v>89.618843999999996</v>
      </c>
      <c r="G41" s="7">
        <v>1.050446E-2</v>
      </c>
      <c r="H41" s="112"/>
    </row>
    <row r="42" spans="1:8" x14ac:dyDescent="0.2">
      <c r="A42" s="3">
        <v>36</v>
      </c>
      <c r="B42" s="4" t="s">
        <v>437</v>
      </c>
      <c r="C42" s="4" t="s">
        <v>438</v>
      </c>
      <c r="D42" s="4" t="s">
        <v>186</v>
      </c>
      <c r="E42" s="5">
        <v>1691</v>
      </c>
      <c r="F42" s="6">
        <v>87.089036500000006</v>
      </c>
      <c r="G42" s="7">
        <v>1.0207934E-2</v>
      </c>
      <c r="H42" s="112"/>
    </row>
    <row r="43" spans="1:8" x14ac:dyDescent="0.2">
      <c r="A43" s="3">
        <v>37</v>
      </c>
      <c r="B43" s="4" t="s">
        <v>343</v>
      </c>
      <c r="C43" s="4" t="s">
        <v>344</v>
      </c>
      <c r="D43" s="4" t="s">
        <v>53</v>
      </c>
      <c r="E43" s="5">
        <v>20478</v>
      </c>
      <c r="F43" s="6">
        <v>85.454694000000003</v>
      </c>
      <c r="G43" s="7">
        <v>1.0016369000000001E-2</v>
      </c>
      <c r="H43" s="112"/>
    </row>
    <row r="44" spans="1:8" x14ac:dyDescent="0.2">
      <c r="A44" s="3">
        <v>38</v>
      </c>
      <c r="B44" s="4" t="s">
        <v>441</v>
      </c>
      <c r="C44" s="4" t="s">
        <v>442</v>
      </c>
      <c r="D44" s="4" t="s">
        <v>173</v>
      </c>
      <c r="E44" s="5">
        <v>12994</v>
      </c>
      <c r="F44" s="6">
        <v>84.162137999999999</v>
      </c>
      <c r="G44" s="7">
        <v>9.8648650000000004E-3</v>
      </c>
      <c r="H44" s="112"/>
    </row>
    <row r="45" spans="1:8" x14ac:dyDescent="0.2">
      <c r="A45" s="3">
        <v>39</v>
      </c>
      <c r="B45" s="4" t="s">
        <v>356</v>
      </c>
      <c r="C45" s="4" t="s">
        <v>357</v>
      </c>
      <c r="D45" s="4" t="s">
        <v>173</v>
      </c>
      <c r="E45" s="5">
        <v>104</v>
      </c>
      <c r="F45" s="6">
        <v>80.400475999999998</v>
      </c>
      <c r="G45" s="7">
        <v>9.4239500000000004E-3</v>
      </c>
      <c r="H45" s="112"/>
    </row>
    <row r="46" spans="1:8" x14ac:dyDescent="0.2">
      <c r="A46" s="3">
        <v>40</v>
      </c>
      <c r="B46" s="4" t="s">
        <v>439</v>
      </c>
      <c r="C46" s="4" t="s">
        <v>440</v>
      </c>
      <c r="D46" s="4" t="s">
        <v>162</v>
      </c>
      <c r="E46" s="5">
        <v>5144</v>
      </c>
      <c r="F46" s="6">
        <v>76.020604000000006</v>
      </c>
      <c r="G46" s="7">
        <v>8.9105739999999992E-3</v>
      </c>
      <c r="H46" s="112"/>
    </row>
    <row r="47" spans="1:8" x14ac:dyDescent="0.2">
      <c r="A47" s="3">
        <v>41</v>
      </c>
      <c r="B47" s="4" t="s">
        <v>372</v>
      </c>
      <c r="C47" s="4" t="s">
        <v>373</v>
      </c>
      <c r="D47" s="4" t="s">
        <v>237</v>
      </c>
      <c r="E47" s="5">
        <v>9400</v>
      </c>
      <c r="F47" s="6">
        <v>73.846400000000003</v>
      </c>
      <c r="G47" s="7">
        <v>8.6557300000000004E-3</v>
      </c>
      <c r="H47" s="112"/>
    </row>
    <row r="48" spans="1:8" x14ac:dyDescent="0.2">
      <c r="A48" s="3">
        <v>42</v>
      </c>
      <c r="B48" s="4" t="s">
        <v>90</v>
      </c>
      <c r="C48" s="4" t="s">
        <v>91</v>
      </c>
      <c r="D48" s="4" t="s">
        <v>27</v>
      </c>
      <c r="E48" s="5">
        <v>956</v>
      </c>
      <c r="F48" s="6">
        <v>70.760729999999995</v>
      </c>
      <c r="G48" s="7">
        <v>8.2940510000000002E-3</v>
      </c>
      <c r="H48" s="112"/>
    </row>
    <row r="49" spans="1:8" ht="25.5" x14ac:dyDescent="0.2">
      <c r="A49" s="3">
        <v>43</v>
      </c>
      <c r="B49" s="4" t="s">
        <v>443</v>
      </c>
      <c r="C49" s="4" t="s">
        <v>444</v>
      </c>
      <c r="D49" s="4" t="s">
        <v>192</v>
      </c>
      <c r="E49" s="5">
        <v>31300</v>
      </c>
      <c r="F49" s="6">
        <v>69.861599999999996</v>
      </c>
      <c r="G49" s="7">
        <v>8.1886609999999999E-3</v>
      </c>
      <c r="H49" s="112"/>
    </row>
    <row r="50" spans="1:8" x14ac:dyDescent="0.2">
      <c r="A50" s="3">
        <v>44</v>
      </c>
      <c r="B50" s="4" t="s">
        <v>193</v>
      </c>
      <c r="C50" s="4" t="s">
        <v>194</v>
      </c>
      <c r="D50" s="4" t="s">
        <v>16</v>
      </c>
      <c r="E50" s="5">
        <v>21000</v>
      </c>
      <c r="F50" s="6">
        <v>65.183999999999997</v>
      </c>
      <c r="G50" s="7">
        <v>7.6403870000000002E-3</v>
      </c>
      <c r="H50" s="112"/>
    </row>
    <row r="51" spans="1:8" x14ac:dyDescent="0.2">
      <c r="A51" s="3">
        <v>45</v>
      </c>
      <c r="B51" s="4" t="s">
        <v>306</v>
      </c>
      <c r="C51" s="4" t="s">
        <v>307</v>
      </c>
      <c r="D51" s="4" t="s">
        <v>973</v>
      </c>
      <c r="E51" s="5">
        <v>5927</v>
      </c>
      <c r="F51" s="6">
        <v>57.705272000000001</v>
      </c>
      <c r="G51" s="7">
        <v>6.7637859999999999E-3</v>
      </c>
      <c r="H51" s="112"/>
    </row>
    <row r="52" spans="1:8" x14ac:dyDescent="0.2">
      <c r="A52" s="3">
        <v>46</v>
      </c>
      <c r="B52" s="4" t="s">
        <v>445</v>
      </c>
      <c r="C52" s="4" t="s">
        <v>446</v>
      </c>
      <c r="D52" s="4" t="s">
        <v>19</v>
      </c>
      <c r="E52" s="5">
        <v>2804</v>
      </c>
      <c r="F52" s="6">
        <v>56.953446</v>
      </c>
      <c r="G52" s="7">
        <v>6.6756630000000001E-3</v>
      </c>
      <c r="H52" s="112"/>
    </row>
    <row r="53" spans="1:8" ht="25.5" x14ac:dyDescent="0.2">
      <c r="A53" s="3">
        <v>47</v>
      </c>
      <c r="B53" s="4" t="s">
        <v>181</v>
      </c>
      <c r="C53" s="4" t="s">
        <v>931</v>
      </c>
      <c r="D53" s="4" t="s">
        <v>45</v>
      </c>
      <c r="E53" s="5">
        <v>21287</v>
      </c>
      <c r="F53" s="6">
        <v>49.6732145</v>
      </c>
      <c r="G53" s="7">
        <v>5.8223279999999999E-3</v>
      </c>
      <c r="H53" s="112"/>
    </row>
    <row r="54" spans="1:8" x14ac:dyDescent="0.2">
      <c r="A54" s="3">
        <v>48</v>
      </c>
      <c r="B54" s="4" t="s">
        <v>260</v>
      </c>
      <c r="C54" s="4" t="s">
        <v>261</v>
      </c>
      <c r="D54" s="4" t="s">
        <v>173</v>
      </c>
      <c r="E54" s="5">
        <v>8000</v>
      </c>
      <c r="F54" s="6">
        <v>48.195999999999998</v>
      </c>
      <c r="G54" s="7">
        <v>5.6491789999999998E-3</v>
      </c>
      <c r="H54" s="112"/>
    </row>
    <row r="55" spans="1:8" x14ac:dyDescent="0.2">
      <c r="A55" s="3">
        <v>49</v>
      </c>
      <c r="B55" s="4" t="s">
        <v>370</v>
      </c>
      <c r="C55" s="4" t="s">
        <v>371</v>
      </c>
      <c r="D55" s="4" t="s">
        <v>71</v>
      </c>
      <c r="E55" s="5">
        <v>59307</v>
      </c>
      <c r="F55" s="6">
        <v>45.221587499999998</v>
      </c>
      <c r="G55" s="7">
        <v>5.3005409999999998E-3</v>
      </c>
      <c r="H55" s="112"/>
    </row>
    <row r="56" spans="1:8" ht="25.5" x14ac:dyDescent="0.2">
      <c r="A56" s="3">
        <v>50</v>
      </c>
      <c r="B56" s="4" t="s">
        <v>447</v>
      </c>
      <c r="C56" s="70" t="s">
        <v>1030</v>
      </c>
      <c r="D56" s="40" t="s">
        <v>24</v>
      </c>
      <c r="E56" s="5">
        <v>1908</v>
      </c>
      <c r="F56" s="6">
        <v>4.8785651999999997</v>
      </c>
      <c r="G56" s="7">
        <v>5.7182900000000004E-4</v>
      </c>
      <c r="H56" s="112"/>
    </row>
    <row r="57" spans="1:8" x14ac:dyDescent="0.2">
      <c r="A57" s="1"/>
      <c r="B57" s="1"/>
      <c r="C57" s="2" t="s">
        <v>97</v>
      </c>
      <c r="D57" s="1"/>
      <c r="E57" s="1" t="s">
        <v>98</v>
      </c>
      <c r="F57" s="9">
        <v>8448.3086901999995</v>
      </c>
      <c r="G57" s="10">
        <v>0.99024840000000003</v>
      </c>
      <c r="H57" s="112"/>
    </row>
    <row r="58" spans="1:8" x14ac:dyDescent="0.2">
      <c r="A58" s="1"/>
      <c r="B58" s="1"/>
      <c r="C58" s="11"/>
      <c r="D58" s="1"/>
      <c r="E58" s="1"/>
      <c r="F58" s="12"/>
      <c r="G58" s="12"/>
      <c r="H58" s="112"/>
    </row>
    <row r="59" spans="1:8" x14ac:dyDescent="0.2">
      <c r="A59" s="1"/>
      <c r="B59" s="1"/>
      <c r="C59" s="2" t="s">
        <v>99</v>
      </c>
      <c r="D59" s="1"/>
      <c r="E59" s="1"/>
      <c r="F59" s="1"/>
      <c r="G59" s="1"/>
      <c r="H59" s="112"/>
    </row>
    <row r="60" spans="1:8" x14ac:dyDescent="0.2">
      <c r="A60" s="1"/>
      <c r="B60" s="1"/>
      <c r="C60" s="2" t="s">
        <v>97</v>
      </c>
      <c r="D60" s="1"/>
      <c r="E60" s="1" t="s">
        <v>98</v>
      </c>
      <c r="F60" s="13">
        <v>0</v>
      </c>
      <c r="G60" s="14">
        <v>0</v>
      </c>
      <c r="H60" s="112"/>
    </row>
    <row r="61" spans="1:8" x14ac:dyDescent="0.2">
      <c r="A61" s="1"/>
      <c r="B61" s="1"/>
      <c r="C61" s="11"/>
      <c r="D61" s="1"/>
      <c r="E61" s="1"/>
      <c r="F61" s="12"/>
      <c r="G61" s="12"/>
      <c r="H61" s="112"/>
    </row>
    <row r="62" spans="1:8" x14ac:dyDescent="0.2">
      <c r="A62" s="1"/>
      <c r="B62" s="1"/>
      <c r="C62" s="2" t="s">
        <v>100</v>
      </c>
      <c r="D62" s="1"/>
      <c r="E62" s="1"/>
      <c r="F62" s="1"/>
      <c r="G62" s="1"/>
      <c r="H62" s="112"/>
    </row>
    <row r="63" spans="1:8" x14ac:dyDescent="0.2">
      <c r="A63" s="1"/>
      <c r="B63" s="1"/>
      <c r="C63" s="2" t="s">
        <v>97</v>
      </c>
      <c r="D63" s="1"/>
      <c r="E63" s="1" t="s">
        <v>98</v>
      </c>
      <c r="F63" s="13">
        <v>0</v>
      </c>
      <c r="G63" s="14">
        <v>0</v>
      </c>
      <c r="H63" s="112"/>
    </row>
    <row r="64" spans="1:8" x14ac:dyDescent="0.2">
      <c r="A64" s="1"/>
      <c r="B64" s="1"/>
      <c r="C64" s="11"/>
      <c r="D64" s="1"/>
      <c r="E64" s="1"/>
      <c r="F64" s="12"/>
      <c r="G64" s="12"/>
      <c r="H64" s="112"/>
    </row>
    <row r="65" spans="1:8" x14ac:dyDescent="0.2">
      <c r="A65" s="1"/>
      <c r="B65" s="1"/>
      <c r="C65" s="2" t="s">
        <v>101</v>
      </c>
      <c r="D65" s="1"/>
      <c r="E65" s="1"/>
      <c r="F65" s="1"/>
      <c r="G65" s="1"/>
      <c r="H65" s="112"/>
    </row>
    <row r="66" spans="1:8" x14ac:dyDescent="0.2">
      <c r="A66" s="1"/>
      <c r="B66" s="1"/>
      <c r="C66" s="2" t="s">
        <v>97</v>
      </c>
      <c r="D66" s="1"/>
      <c r="E66" s="1" t="s">
        <v>98</v>
      </c>
      <c r="F66" s="13">
        <v>0</v>
      </c>
      <c r="G66" s="14">
        <v>0</v>
      </c>
      <c r="H66" s="112"/>
    </row>
    <row r="67" spans="1:8" x14ac:dyDescent="0.2">
      <c r="A67" s="1"/>
      <c r="B67" s="1"/>
      <c r="C67" s="11"/>
      <c r="D67" s="1"/>
      <c r="E67" s="1"/>
      <c r="F67" s="12"/>
      <c r="G67" s="12"/>
      <c r="H67" s="112"/>
    </row>
    <row r="68" spans="1:8" x14ac:dyDescent="0.2">
      <c r="A68" s="1"/>
      <c r="B68" s="1"/>
      <c r="C68" s="2" t="s">
        <v>102</v>
      </c>
      <c r="D68" s="1"/>
      <c r="E68" s="1"/>
      <c r="F68" s="12"/>
      <c r="G68" s="12"/>
      <c r="H68" s="112"/>
    </row>
    <row r="69" spans="1:8" x14ac:dyDescent="0.2">
      <c r="A69" s="1"/>
      <c r="B69" s="1"/>
      <c r="C69" s="2" t="s">
        <v>97</v>
      </c>
      <c r="D69" s="1"/>
      <c r="E69" s="1" t="s">
        <v>98</v>
      </c>
      <c r="F69" s="13">
        <v>0</v>
      </c>
      <c r="G69" s="14">
        <v>0</v>
      </c>
      <c r="H69" s="112"/>
    </row>
    <row r="70" spans="1:8" x14ac:dyDescent="0.2">
      <c r="A70" s="1"/>
      <c r="B70" s="1"/>
      <c r="C70" s="11"/>
      <c r="D70" s="1"/>
      <c r="E70" s="1"/>
      <c r="F70" s="12"/>
      <c r="G70" s="12"/>
      <c r="H70" s="112"/>
    </row>
    <row r="71" spans="1:8" x14ac:dyDescent="0.2">
      <c r="A71" s="1"/>
      <c r="B71" s="1"/>
      <c r="C71" s="2" t="s">
        <v>103</v>
      </c>
      <c r="D71" s="1"/>
      <c r="E71" s="1"/>
      <c r="F71" s="12"/>
      <c r="G71" s="12"/>
      <c r="H71" s="112"/>
    </row>
    <row r="72" spans="1:8" x14ac:dyDescent="0.2">
      <c r="A72" s="1"/>
      <c r="B72" s="1"/>
      <c r="C72" s="2" t="s">
        <v>97</v>
      </c>
      <c r="D72" s="1"/>
      <c r="E72" s="1" t="s">
        <v>98</v>
      </c>
      <c r="F72" s="13">
        <v>0</v>
      </c>
      <c r="G72" s="14">
        <v>0</v>
      </c>
      <c r="H72" s="112"/>
    </row>
    <row r="73" spans="1:8" x14ac:dyDescent="0.2">
      <c r="A73" s="1"/>
      <c r="B73" s="1"/>
      <c r="C73" s="11"/>
      <c r="D73" s="1"/>
      <c r="E73" s="1"/>
      <c r="F73" s="12"/>
      <c r="G73" s="12"/>
      <c r="H73" s="112"/>
    </row>
    <row r="74" spans="1:8" x14ac:dyDescent="0.2">
      <c r="A74" s="1"/>
      <c r="B74" s="1"/>
      <c r="C74" s="2" t="s">
        <v>104</v>
      </c>
      <c r="D74" s="1"/>
      <c r="E74" s="1"/>
      <c r="F74" s="9">
        <v>8448.3086901999995</v>
      </c>
      <c r="G74" s="10">
        <v>0.99024840000000003</v>
      </c>
      <c r="H74" s="112"/>
    </row>
    <row r="75" spans="1:8" x14ac:dyDescent="0.2">
      <c r="A75" s="1"/>
      <c r="B75" s="1"/>
      <c r="C75" s="11"/>
      <c r="D75" s="1"/>
      <c r="E75" s="1"/>
      <c r="F75" s="12"/>
      <c r="G75" s="12"/>
      <c r="H75" s="112"/>
    </row>
    <row r="76" spans="1:8" x14ac:dyDescent="0.2">
      <c r="A76" s="1"/>
      <c r="B76" s="1"/>
      <c r="C76" s="2" t="s">
        <v>105</v>
      </c>
      <c r="D76" s="1"/>
      <c r="E76" s="1"/>
      <c r="F76" s="12"/>
      <c r="G76" s="12"/>
      <c r="H76" s="112"/>
    </row>
    <row r="77" spans="1:8" ht="25.5" x14ac:dyDescent="0.2">
      <c r="A77" s="1"/>
      <c r="B77" s="1"/>
      <c r="C77" s="2" t="s">
        <v>10</v>
      </c>
      <c r="D77" s="1"/>
      <c r="E77" s="1"/>
      <c r="F77" s="12"/>
      <c r="G77" s="12"/>
      <c r="H77" s="112"/>
    </row>
    <row r="78" spans="1:8" x14ac:dyDescent="0.2">
      <c r="A78" s="1"/>
      <c r="B78" s="1"/>
      <c r="C78" s="2" t="s">
        <v>97</v>
      </c>
      <c r="D78" s="1"/>
      <c r="E78" s="1" t="s">
        <v>98</v>
      </c>
      <c r="F78" s="13">
        <v>0</v>
      </c>
      <c r="G78" s="14">
        <v>0</v>
      </c>
      <c r="H78" s="112"/>
    </row>
    <row r="79" spans="1:8" x14ac:dyDescent="0.2">
      <c r="A79" s="1"/>
      <c r="B79" s="1"/>
      <c r="C79" s="11"/>
      <c r="D79" s="1"/>
      <c r="E79" s="1"/>
      <c r="F79" s="12"/>
      <c r="G79" s="12"/>
      <c r="H79" s="112"/>
    </row>
    <row r="80" spans="1:8" x14ac:dyDescent="0.2">
      <c r="A80" s="1"/>
      <c r="B80" s="1"/>
      <c r="C80" s="2" t="s">
        <v>106</v>
      </c>
      <c r="D80" s="1"/>
      <c r="E80" s="1"/>
      <c r="F80" s="1"/>
      <c r="G80" s="1"/>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2" t="s">
        <v>107</v>
      </c>
      <c r="D83" s="1"/>
      <c r="E83" s="1"/>
      <c r="F83" s="1"/>
      <c r="G83" s="1"/>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108</v>
      </c>
      <c r="D86" s="1"/>
      <c r="E86" s="1"/>
      <c r="F86" s="12"/>
      <c r="G86" s="12"/>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109</v>
      </c>
      <c r="D89" s="1"/>
      <c r="E89" s="1"/>
      <c r="F89" s="9">
        <v>0</v>
      </c>
      <c r="G89" s="10">
        <v>0</v>
      </c>
      <c r="H89" s="112"/>
    </row>
    <row r="90" spans="1:8" x14ac:dyDescent="0.2">
      <c r="A90" s="1"/>
      <c r="B90" s="1"/>
      <c r="C90" s="11"/>
      <c r="D90" s="1"/>
      <c r="E90" s="1"/>
      <c r="F90" s="12"/>
      <c r="G90" s="12"/>
      <c r="H90" s="112"/>
    </row>
    <row r="91" spans="1:8" x14ac:dyDescent="0.2">
      <c r="A91" s="1"/>
      <c r="B91" s="1"/>
      <c r="C91" s="2" t="s">
        <v>110</v>
      </c>
      <c r="D91" s="1"/>
      <c r="E91" s="1"/>
      <c r="F91" s="12"/>
      <c r="G91" s="12"/>
      <c r="H91" s="112"/>
    </row>
    <row r="92" spans="1:8" x14ac:dyDescent="0.2">
      <c r="A92" s="1"/>
      <c r="B92" s="1"/>
      <c r="C92" s="2" t="s">
        <v>111</v>
      </c>
      <c r="D92" s="1"/>
      <c r="E92" s="1"/>
      <c r="F92" s="12"/>
      <c r="G92" s="12"/>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112</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113</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114</v>
      </c>
      <c r="D101" s="1"/>
      <c r="E101" s="1"/>
      <c r="F101" s="12"/>
      <c r="G101" s="12"/>
      <c r="H101" s="112"/>
    </row>
    <row r="102" spans="1:8" x14ac:dyDescent="0.2">
      <c r="A102" s="3">
        <v>1</v>
      </c>
      <c r="B102" s="4"/>
      <c r="C102" s="4" t="s">
        <v>115</v>
      </c>
      <c r="D102" s="4"/>
      <c r="E102" s="8"/>
      <c r="F102" s="6">
        <v>58.052600099999999</v>
      </c>
      <c r="G102" s="7">
        <v>6.8044973880425144E-3</v>
      </c>
      <c r="H102" s="6">
        <v>3.3211324282253978</v>
      </c>
    </row>
    <row r="103" spans="1:8" x14ac:dyDescent="0.2">
      <c r="A103" s="3">
        <v>2</v>
      </c>
      <c r="B103" s="4"/>
      <c r="C103" s="4" t="s">
        <v>116</v>
      </c>
      <c r="D103" s="4"/>
      <c r="E103" s="8"/>
      <c r="F103" s="6">
        <v>22.804479930003723</v>
      </c>
      <c r="G103" s="7">
        <v>2.6729728531035817E-3</v>
      </c>
      <c r="H103" s="6">
        <v>3.35</v>
      </c>
    </row>
    <row r="104" spans="1:8" x14ac:dyDescent="0.2">
      <c r="A104" s="1"/>
      <c r="B104" s="1"/>
      <c r="C104" s="2" t="s">
        <v>97</v>
      </c>
      <c r="D104" s="1"/>
      <c r="E104" s="1" t="s">
        <v>98</v>
      </c>
      <c r="F104" s="9">
        <v>80.857080030003715</v>
      </c>
      <c r="G104" s="10">
        <v>9.4774702411460961E-3</v>
      </c>
      <c r="H104" s="112"/>
    </row>
    <row r="105" spans="1:8" x14ac:dyDescent="0.2">
      <c r="A105" s="1"/>
      <c r="B105" s="1"/>
      <c r="C105" s="11"/>
      <c r="D105" s="1"/>
      <c r="E105" s="1"/>
      <c r="F105" s="12"/>
      <c r="G105" s="12"/>
      <c r="H105" s="112"/>
    </row>
    <row r="106" spans="1:8" x14ac:dyDescent="0.2">
      <c r="A106" s="1"/>
      <c r="B106" s="1"/>
      <c r="C106" s="2" t="s">
        <v>117</v>
      </c>
      <c r="D106" s="1"/>
      <c r="E106" s="1"/>
      <c r="F106" s="9">
        <v>80.857080030003715</v>
      </c>
      <c r="G106" s="10">
        <v>9.4774702411460961E-3</v>
      </c>
      <c r="H106" s="112"/>
    </row>
    <row r="107" spans="1:8" x14ac:dyDescent="0.2">
      <c r="A107" s="1"/>
      <c r="B107" s="1"/>
      <c r="C107" s="12"/>
      <c r="D107" s="1"/>
      <c r="E107" s="1"/>
      <c r="F107" s="1"/>
      <c r="G107" s="1"/>
      <c r="H107" s="112"/>
    </row>
    <row r="108" spans="1:8" x14ac:dyDescent="0.2">
      <c r="A108" s="1"/>
      <c r="B108" s="1"/>
      <c r="C108" s="2" t="s">
        <v>118</v>
      </c>
      <c r="D108" s="1"/>
      <c r="E108" s="1"/>
      <c r="F108" s="1"/>
      <c r="G108" s="1"/>
      <c r="H108" s="112"/>
    </row>
    <row r="109" spans="1:8" x14ac:dyDescent="0.2">
      <c r="A109" s="1"/>
      <c r="B109" s="1"/>
      <c r="C109" s="2" t="s">
        <v>119</v>
      </c>
      <c r="D109" s="1"/>
      <c r="E109" s="1"/>
      <c r="F109" s="1"/>
      <c r="G109" s="1"/>
      <c r="H109" s="112"/>
    </row>
    <row r="110" spans="1:8" x14ac:dyDescent="0.2">
      <c r="A110" s="1"/>
      <c r="B110" s="1"/>
      <c r="C110" s="2" t="s">
        <v>97</v>
      </c>
      <c r="D110" s="1"/>
      <c r="E110" s="1" t="s">
        <v>98</v>
      </c>
      <c r="F110" s="13">
        <v>0</v>
      </c>
      <c r="G110" s="14">
        <v>0</v>
      </c>
      <c r="H110" s="112"/>
    </row>
    <row r="111" spans="1:8" x14ac:dyDescent="0.2">
      <c r="A111" s="1"/>
      <c r="B111" s="1"/>
      <c r="C111" s="11"/>
      <c r="D111" s="1"/>
      <c r="E111" s="1"/>
      <c r="F111" s="12"/>
      <c r="G111" s="12"/>
      <c r="H111" s="112"/>
    </row>
    <row r="112" spans="1:8" x14ac:dyDescent="0.2">
      <c r="A112" s="1"/>
      <c r="B112" s="1"/>
      <c r="C112" s="2" t="s">
        <v>120</v>
      </c>
      <c r="D112" s="1"/>
      <c r="E112" s="1"/>
      <c r="F112" s="1"/>
      <c r="G112" s="1"/>
      <c r="H112" s="112"/>
    </row>
    <row r="113" spans="1:8" x14ac:dyDescent="0.2">
      <c r="A113" s="1"/>
      <c r="B113" s="1"/>
      <c r="C113" s="2" t="s">
        <v>121</v>
      </c>
      <c r="D113" s="1"/>
      <c r="E113" s="1"/>
      <c r="F113" s="1"/>
      <c r="G113" s="1"/>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11"/>
      <c r="D116" s="1"/>
      <c r="E116" s="1"/>
      <c r="F116" s="12"/>
      <c r="G116" s="12"/>
      <c r="H116" s="112"/>
    </row>
    <row r="117" spans="1:8" ht="25.5" x14ac:dyDescent="0.2">
      <c r="A117" s="1"/>
      <c r="B117" s="1"/>
      <c r="C117" s="2" t="s">
        <v>122</v>
      </c>
      <c r="D117" s="1"/>
      <c r="E117" s="1"/>
      <c r="F117" s="12"/>
      <c r="G117" s="12"/>
      <c r="H117" s="112"/>
    </row>
    <row r="118" spans="1:8" x14ac:dyDescent="0.2">
      <c r="A118" s="1"/>
      <c r="B118" s="1"/>
      <c r="C118" s="2" t="s">
        <v>97</v>
      </c>
      <c r="D118" s="1"/>
      <c r="E118" s="1" t="s">
        <v>98</v>
      </c>
      <c r="F118" s="13">
        <v>0</v>
      </c>
      <c r="G118" s="14">
        <v>0</v>
      </c>
      <c r="H118" s="112"/>
    </row>
    <row r="119" spans="1:8" x14ac:dyDescent="0.2">
      <c r="A119" s="1"/>
      <c r="B119" s="1"/>
      <c r="C119" s="11"/>
      <c r="D119" s="1"/>
      <c r="E119" s="1"/>
      <c r="F119" s="12"/>
      <c r="G119" s="12"/>
      <c r="H119" s="112"/>
    </row>
    <row r="120" spans="1:8" x14ac:dyDescent="0.2">
      <c r="A120" s="1"/>
      <c r="B120" s="4"/>
      <c r="C120" s="4"/>
      <c r="D120" s="2"/>
      <c r="E120" s="1"/>
      <c r="F120" s="4"/>
      <c r="G120" s="8"/>
      <c r="H120" s="112"/>
    </row>
    <row r="121" spans="1:8" x14ac:dyDescent="0.2">
      <c r="A121" s="8"/>
      <c r="B121" s="4"/>
      <c r="C121" s="4" t="s">
        <v>123</v>
      </c>
      <c r="D121" s="4"/>
      <c r="E121" s="8"/>
      <c r="F121" s="6">
        <v>2.3387317799962788</v>
      </c>
      <c r="G121" s="7">
        <v>2.7412888072030902E-4</v>
      </c>
      <c r="H121" s="112"/>
    </row>
    <row r="122" spans="1:8" x14ac:dyDescent="0.2">
      <c r="A122" s="11"/>
      <c r="B122" s="11"/>
      <c r="C122" s="2" t="s">
        <v>124</v>
      </c>
      <c r="D122" s="15"/>
      <c r="E122" s="15"/>
      <c r="F122" s="9">
        <v>8531.5045020100006</v>
      </c>
      <c r="G122" s="10">
        <v>0.99999999799999995</v>
      </c>
      <c r="H122" s="112"/>
    </row>
    <row r="123" spans="1:8" ht="14.1" customHeight="1" x14ac:dyDescent="0.2">
      <c r="A123" s="16"/>
      <c r="B123" s="16"/>
      <c r="C123" s="16"/>
      <c r="D123" s="17"/>
      <c r="E123" s="17"/>
      <c r="F123" s="17"/>
      <c r="G123" s="17"/>
    </row>
    <row r="124" spans="1:8" ht="14.1" customHeight="1" x14ac:dyDescent="0.2">
      <c r="A124" s="18"/>
      <c r="B124" s="205" t="s">
        <v>98</v>
      </c>
      <c r="C124" s="205"/>
      <c r="D124" s="205"/>
      <c r="E124" s="205"/>
      <c r="F124" s="205"/>
      <c r="G124" s="20"/>
    </row>
    <row r="125" spans="1:8" ht="14.1" customHeight="1" x14ac:dyDescent="0.2">
      <c r="A125" s="18"/>
      <c r="B125" s="205" t="s">
        <v>98</v>
      </c>
      <c r="C125" s="205"/>
      <c r="D125" s="205"/>
      <c r="E125" s="205"/>
      <c r="F125" s="205"/>
      <c r="G125" s="20"/>
    </row>
    <row r="126" spans="1:8" ht="14.1" customHeight="1" x14ac:dyDescent="0.2">
      <c r="A126" s="18"/>
      <c r="B126" s="18"/>
      <c r="C126" s="18"/>
      <c r="D126" s="20"/>
      <c r="E126" s="20"/>
      <c r="F126" s="20"/>
      <c r="G126" s="20"/>
    </row>
    <row r="127" spans="1:8" ht="14.1" customHeight="1" x14ac:dyDescent="0.2">
      <c r="A127" s="18"/>
      <c r="B127" s="203" t="s">
        <v>126</v>
      </c>
      <c r="C127" s="204"/>
      <c r="D127" s="12" t="s">
        <v>98</v>
      </c>
      <c r="E127" s="21"/>
      <c r="F127" s="20"/>
      <c r="G127" s="20"/>
    </row>
    <row r="128" spans="1:8" ht="29.1" customHeight="1" x14ac:dyDescent="0.2">
      <c r="A128" s="18"/>
      <c r="B128" s="198" t="s">
        <v>127</v>
      </c>
      <c r="C128" s="199"/>
      <c r="D128" s="2" t="s">
        <v>128</v>
      </c>
      <c r="E128" s="21"/>
      <c r="F128" s="20"/>
      <c r="G128" s="20"/>
    </row>
    <row r="129" spans="1:7" ht="17.100000000000001" customHeight="1" x14ac:dyDescent="0.2">
      <c r="A129" s="18"/>
      <c r="B129" s="198" t="s">
        <v>129</v>
      </c>
      <c r="C129" s="199"/>
      <c r="D129" s="2" t="s">
        <v>128</v>
      </c>
      <c r="E129" s="21"/>
      <c r="F129" s="20"/>
      <c r="G129" s="20"/>
    </row>
    <row r="130" spans="1:7" ht="17.100000000000001" customHeight="1" x14ac:dyDescent="0.2">
      <c r="A130" s="18"/>
      <c r="B130" s="198" t="s">
        <v>130</v>
      </c>
      <c r="C130" s="199"/>
      <c r="D130" s="12" t="s">
        <v>98</v>
      </c>
      <c r="E130" s="21"/>
      <c r="F130" s="20"/>
      <c r="G130" s="20"/>
    </row>
    <row r="131" spans="1:7" ht="24" customHeight="1" x14ac:dyDescent="0.2">
      <c r="A131" s="22"/>
      <c r="B131" s="23" t="s">
        <v>98</v>
      </c>
      <c r="C131" s="23" t="s">
        <v>131</v>
      </c>
      <c r="D131" s="23" t="s">
        <v>132</v>
      </c>
      <c r="E131" s="22"/>
      <c r="F131" s="22"/>
      <c r="G131" s="22"/>
    </row>
    <row r="132" spans="1:7" ht="18" customHeight="1" x14ac:dyDescent="0.2">
      <c r="A132" s="22"/>
      <c r="B132" s="23" t="s">
        <v>133</v>
      </c>
      <c r="C132" s="23" t="s">
        <v>134</v>
      </c>
      <c r="D132" s="23" t="s">
        <v>135</v>
      </c>
      <c r="E132" s="22"/>
      <c r="F132" s="22"/>
      <c r="G132" s="22"/>
    </row>
    <row r="133" spans="1:7" ht="17.100000000000001" customHeight="1" x14ac:dyDescent="0.2">
      <c r="A133" s="22"/>
      <c r="B133" s="4" t="s">
        <v>136</v>
      </c>
      <c r="C133" s="24">
        <v>17.3184</v>
      </c>
      <c r="D133" s="24">
        <v>17.438700000000001</v>
      </c>
      <c r="E133" s="22"/>
      <c r="F133" s="19"/>
      <c r="G133" s="25"/>
    </row>
    <row r="134" spans="1:7" ht="17.100000000000001" customHeight="1" x14ac:dyDescent="0.2">
      <c r="A134" s="22"/>
      <c r="B134" s="4" t="s">
        <v>980</v>
      </c>
      <c r="C134" s="24">
        <v>16.482600000000001</v>
      </c>
      <c r="D134" s="24">
        <v>16.597200000000001</v>
      </c>
      <c r="E134" s="22"/>
      <c r="F134" s="19"/>
      <c r="G134" s="25"/>
    </row>
    <row r="135" spans="1:7" ht="17.100000000000001" customHeight="1" x14ac:dyDescent="0.2">
      <c r="A135" s="22"/>
      <c r="B135" s="4" t="s">
        <v>137</v>
      </c>
      <c r="C135" s="24">
        <v>16.982399999999998</v>
      </c>
      <c r="D135" s="24">
        <v>17.092300000000002</v>
      </c>
      <c r="E135" s="22"/>
      <c r="F135" s="19"/>
      <c r="G135" s="25"/>
    </row>
    <row r="136" spans="1:7" ht="17.100000000000001" customHeight="1" x14ac:dyDescent="0.2">
      <c r="A136" s="22"/>
      <c r="B136" s="4" t="s">
        <v>981</v>
      </c>
      <c r="C136" s="24">
        <v>16.348199999999999</v>
      </c>
      <c r="D136" s="24">
        <v>16.454000000000001</v>
      </c>
      <c r="E136" s="22"/>
      <c r="F136" s="19"/>
      <c r="G136" s="25"/>
    </row>
    <row r="137" spans="1:7" ht="14.1" customHeight="1" x14ac:dyDescent="0.2">
      <c r="A137" s="22"/>
      <c r="B137" s="22"/>
      <c r="C137" s="22"/>
      <c r="D137" s="22"/>
      <c r="E137" s="22"/>
      <c r="F137" s="22"/>
      <c r="G137" s="22"/>
    </row>
    <row r="138" spans="1:7" ht="17.100000000000001" customHeight="1" x14ac:dyDescent="0.2">
      <c r="A138" s="22"/>
      <c r="B138" s="198" t="s">
        <v>982</v>
      </c>
      <c r="C138" s="199"/>
      <c r="D138" s="91" t="s">
        <v>128</v>
      </c>
      <c r="E138" s="22"/>
      <c r="F138" s="22"/>
      <c r="G138" s="22"/>
    </row>
    <row r="139" spans="1:7" ht="18" customHeight="1" x14ac:dyDescent="0.2">
      <c r="A139" s="22"/>
      <c r="B139" s="26"/>
      <c r="C139" s="26"/>
      <c r="D139" s="27"/>
      <c r="E139" s="22"/>
      <c r="F139" s="22"/>
      <c r="G139" s="22"/>
    </row>
    <row r="140" spans="1:7" s="113" customFormat="1" x14ac:dyDescent="0.2">
      <c r="B140" s="202" t="s">
        <v>984</v>
      </c>
      <c r="C140" s="202"/>
      <c r="D140" s="202"/>
      <c r="E140" s="202"/>
      <c r="F140" s="202"/>
    </row>
    <row r="141" spans="1:7" ht="14.1" customHeight="1" x14ac:dyDescent="0.2">
      <c r="A141" s="22"/>
      <c r="B141" s="19"/>
      <c r="C141" s="19"/>
      <c r="D141" s="22"/>
      <c r="E141" s="22"/>
      <c r="F141" s="22"/>
      <c r="G141" s="22"/>
    </row>
    <row r="142" spans="1:7" ht="29.1" customHeight="1" x14ac:dyDescent="0.2">
      <c r="A142" s="22"/>
      <c r="B142" s="198" t="s">
        <v>138</v>
      </c>
      <c r="C142" s="199"/>
      <c r="D142" s="2" t="s">
        <v>128</v>
      </c>
      <c r="E142" s="22"/>
      <c r="F142" s="22"/>
      <c r="G142" s="22"/>
    </row>
    <row r="143" spans="1:7" ht="29.1" customHeight="1" x14ac:dyDescent="0.2">
      <c r="A143" s="22"/>
      <c r="B143" s="198" t="s">
        <v>139</v>
      </c>
      <c r="C143" s="199"/>
      <c r="D143" s="2" t="s">
        <v>128</v>
      </c>
      <c r="E143" s="22"/>
      <c r="F143" s="22"/>
      <c r="G143" s="22"/>
    </row>
    <row r="144" spans="1:7" ht="17.100000000000001" customHeight="1" x14ac:dyDescent="0.2">
      <c r="A144" s="22"/>
      <c r="B144" s="198" t="s">
        <v>140</v>
      </c>
      <c r="C144" s="199"/>
      <c r="D144" s="28">
        <v>0.37971620623737012</v>
      </c>
      <c r="E144" s="22"/>
      <c r="F144" s="19"/>
      <c r="G144" s="25"/>
    </row>
    <row r="145" spans="1:7" ht="17.100000000000001" customHeight="1" x14ac:dyDescent="0.2">
      <c r="A145" s="22"/>
      <c r="B145" s="198" t="s">
        <v>141</v>
      </c>
      <c r="C145" s="199"/>
      <c r="D145" s="2" t="s">
        <v>128</v>
      </c>
      <c r="E145" s="22"/>
      <c r="F145" s="22"/>
      <c r="G145" s="22"/>
    </row>
  </sheetData>
  <mergeCells count="16">
    <mergeCell ref="B145:C145"/>
    <mergeCell ref="B128:C128"/>
    <mergeCell ref="B129:C129"/>
    <mergeCell ref="B130:C130"/>
    <mergeCell ref="B138:C138"/>
    <mergeCell ref="B142:C142"/>
    <mergeCell ref="B143:C143"/>
    <mergeCell ref="B140:F140"/>
    <mergeCell ref="A1:H1"/>
    <mergeCell ref="A2:H2"/>
    <mergeCell ref="A3:H3"/>
    <mergeCell ref="J2:N2"/>
    <mergeCell ref="B144:C144"/>
    <mergeCell ref="B127:C127"/>
    <mergeCell ref="B124:F124"/>
    <mergeCell ref="B125:F125"/>
  </mergeCell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449</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414</v>
      </c>
      <c r="C7" s="4" t="s">
        <v>415</v>
      </c>
      <c r="D7" s="4" t="s">
        <v>162</v>
      </c>
      <c r="E7" s="5">
        <v>621607</v>
      </c>
      <c r="F7" s="6">
        <v>10366.850742500001</v>
      </c>
      <c r="G7" s="7">
        <v>5.6205511E-2</v>
      </c>
      <c r="H7" s="112"/>
    </row>
    <row r="8" spans="1:14" x14ac:dyDescent="0.2">
      <c r="A8" s="3">
        <v>2</v>
      </c>
      <c r="B8" s="4" t="s">
        <v>17</v>
      </c>
      <c r="C8" s="4" t="s">
        <v>18</v>
      </c>
      <c r="D8" s="4" t="s">
        <v>19</v>
      </c>
      <c r="E8" s="5">
        <v>1118123</v>
      </c>
      <c r="F8" s="6">
        <v>8967.9055215000008</v>
      </c>
      <c r="G8" s="7">
        <v>4.8620910000000003E-2</v>
      </c>
      <c r="H8" s="112"/>
    </row>
    <row r="9" spans="1:14" x14ac:dyDescent="0.2">
      <c r="A9" s="3">
        <v>3</v>
      </c>
      <c r="B9" s="4" t="s">
        <v>412</v>
      </c>
      <c r="C9" s="4" t="s">
        <v>413</v>
      </c>
      <c r="D9" s="4" t="s">
        <v>19</v>
      </c>
      <c r="E9" s="5">
        <v>504334</v>
      </c>
      <c r="F9" s="6">
        <v>7982.850719</v>
      </c>
      <c r="G9" s="7">
        <v>4.3280279999999997E-2</v>
      </c>
      <c r="H9" s="112"/>
    </row>
    <row r="10" spans="1:14" x14ac:dyDescent="0.2">
      <c r="A10" s="3">
        <v>4</v>
      </c>
      <c r="B10" s="4" t="s">
        <v>14</v>
      </c>
      <c r="C10" s="4" t="s">
        <v>15</v>
      </c>
      <c r="D10" s="4" t="s">
        <v>16</v>
      </c>
      <c r="E10" s="5">
        <v>308655</v>
      </c>
      <c r="F10" s="6">
        <v>7828.2624374999996</v>
      </c>
      <c r="G10" s="7">
        <v>4.2442155000000002E-2</v>
      </c>
      <c r="H10" s="112"/>
    </row>
    <row r="11" spans="1:14" x14ac:dyDescent="0.2">
      <c r="A11" s="3">
        <v>5</v>
      </c>
      <c r="B11" s="4" t="s">
        <v>418</v>
      </c>
      <c r="C11" s="4" t="s">
        <v>419</v>
      </c>
      <c r="D11" s="4" t="s">
        <v>19</v>
      </c>
      <c r="E11" s="5">
        <v>1464373</v>
      </c>
      <c r="F11" s="6">
        <v>7353.3490195000004</v>
      </c>
      <c r="G11" s="7">
        <v>3.9867338000000002E-2</v>
      </c>
      <c r="H11" s="112"/>
    </row>
    <row r="12" spans="1:14" x14ac:dyDescent="0.2">
      <c r="A12" s="3">
        <v>6</v>
      </c>
      <c r="B12" s="4" t="s">
        <v>302</v>
      </c>
      <c r="C12" s="4" t="s">
        <v>303</v>
      </c>
      <c r="D12" s="4" t="s">
        <v>162</v>
      </c>
      <c r="E12" s="5">
        <v>149876</v>
      </c>
      <c r="F12" s="6">
        <v>6733.0294240000003</v>
      </c>
      <c r="G12" s="7">
        <v>3.6504176999999999E-2</v>
      </c>
      <c r="H12" s="112"/>
    </row>
    <row r="13" spans="1:14" x14ac:dyDescent="0.2">
      <c r="A13" s="3">
        <v>7</v>
      </c>
      <c r="B13" s="4" t="s">
        <v>11</v>
      </c>
      <c r="C13" s="4" t="s">
        <v>12</v>
      </c>
      <c r="D13" s="4" t="s">
        <v>13</v>
      </c>
      <c r="E13" s="5">
        <v>380598</v>
      </c>
      <c r="F13" s="6">
        <v>6723.8345669999999</v>
      </c>
      <c r="G13" s="7">
        <v>3.6454326000000002E-2</v>
      </c>
      <c r="H13" s="112"/>
    </row>
    <row r="14" spans="1:14" x14ac:dyDescent="0.2">
      <c r="A14" s="3">
        <v>8</v>
      </c>
      <c r="B14" s="4" t="s">
        <v>90</v>
      </c>
      <c r="C14" s="4" t="s">
        <v>91</v>
      </c>
      <c r="D14" s="4" t="s">
        <v>27</v>
      </c>
      <c r="E14" s="5">
        <v>71500</v>
      </c>
      <c r="F14" s="6">
        <v>5292.2512500000003</v>
      </c>
      <c r="G14" s="7">
        <v>2.8692771999999998E-2</v>
      </c>
      <c r="H14" s="112"/>
    </row>
    <row r="15" spans="1:14" x14ac:dyDescent="0.2">
      <c r="A15" s="3">
        <v>9</v>
      </c>
      <c r="B15" s="4" t="s">
        <v>386</v>
      </c>
      <c r="C15" s="4" t="s">
        <v>387</v>
      </c>
      <c r="D15" s="4" t="s">
        <v>973</v>
      </c>
      <c r="E15" s="5">
        <v>28683</v>
      </c>
      <c r="F15" s="6">
        <v>5111.6404544999996</v>
      </c>
      <c r="G15" s="7">
        <v>2.7713562000000001E-2</v>
      </c>
      <c r="H15" s="112"/>
    </row>
    <row r="16" spans="1:14" ht="15" x14ac:dyDescent="0.2">
      <c r="A16" s="3">
        <v>10</v>
      </c>
      <c r="B16" s="4" t="s">
        <v>349</v>
      </c>
      <c r="C16" s="4" t="s">
        <v>350</v>
      </c>
      <c r="D16" s="4" t="s">
        <v>351</v>
      </c>
      <c r="E16" s="5">
        <v>168064</v>
      </c>
      <c r="F16" s="6">
        <v>5041.8359680000003</v>
      </c>
      <c r="G16" s="7">
        <v>2.7335106000000001E-2</v>
      </c>
      <c r="H16" s="112"/>
      <c r="J16" s="188" t="s">
        <v>1015</v>
      </c>
    </row>
    <row r="17" spans="1:8" x14ac:dyDescent="0.2">
      <c r="A17" s="3">
        <v>11</v>
      </c>
      <c r="B17" s="4" t="s">
        <v>322</v>
      </c>
      <c r="C17" s="4" t="s">
        <v>323</v>
      </c>
      <c r="D17" s="4" t="s">
        <v>19</v>
      </c>
      <c r="E17" s="5">
        <v>659600</v>
      </c>
      <c r="F17" s="6">
        <v>4894.232</v>
      </c>
      <c r="G17" s="7">
        <v>2.6534848E-2</v>
      </c>
      <c r="H17" s="112"/>
    </row>
    <row r="18" spans="1:8" x14ac:dyDescent="0.2">
      <c r="A18" s="3">
        <v>12</v>
      </c>
      <c r="B18" s="4" t="s">
        <v>441</v>
      </c>
      <c r="C18" s="4" t="s">
        <v>442</v>
      </c>
      <c r="D18" s="4" t="s">
        <v>173</v>
      </c>
      <c r="E18" s="5">
        <v>748945</v>
      </c>
      <c r="F18" s="6">
        <v>4850.9167649999999</v>
      </c>
      <c r="G18" s="7">
        <v>2.6300008E-2</v>
      </c>
      <c r="H18" s="112"/>
    </row>
    <row r="19" spans="1:8" ht="25.5" x14ac:dyDescent="0.2">
      <c r="A19" s="3">
        <v>13</v>
      </c>
      <c r="B19" s="4" t="s">
        <v>326</v>
      </c>
      <c r="C19" s="4" t="s">
        <v>327</v>
      </c>
      <c r="D19" s="4" t="s">
        <v>192</v>
      </c>
      <c r="E19" s="5">
        <v>539841</v>
      </c>
      <c r="F19" s="6">
        <v>4585.1395334999997</v>
      </c>
      <c r="G19" s="7">
        <v>2.4859055000000001E-2</v>
      </c>
      <c r="H19" s="112"/>
    </row>
    <row r="20" spans="1:8" x14ac:dyDescent="0.2">
      <c r="A20" s="3">
        <v>14</v>
      </c>
      <c r="B20" s="4" t="s">
        <v>404</v>
      </c>
      <c r="C20" s="4" t="s">
        <v>405</v>
      </c>
      <c r="D20" s="4" t="s">
        <v>27</v>
      </c>
      <c r="E20" s="5">
        <v>207750</v>
      </c>
      <c r="F20" s="6">
        <v>4538.6103750000002</v>
      </c>
      <c r="G20" s="7">
        <v>2.460679E-2</v>
      </c>
      <c r="H20" s="112"/>
    </row>
    <row r="21" spans="1:8" x14ac:dyDescent="0.2">
      <c r="A21" s="3">
        <v>15</v>
      </c>
      <c r="B21" s="4" t="s">
        <v>437</v>
      </c>
      <c r="C21" s="4" t="s">
        <v>438</v>
      </c>
      <c r="D21" s="4" t="s">
        <v>186</v>
      </c>
      <c r="E21" s="5">
        <v>85531</v>
      </c>
      <c r="F21" s="6">
        <v>4404.9747964999997</v>
      </c>
      <c r="G21" s="7">
        <v>2.3882263000000001E-2</v>
      </c>
      <c r="H21" s="112"/>
    </row>
    <row r="22" spans="1:8" x14ac:dyDescent="0.2">
      <c r="A22" s="3">
        <v>16</v>
      </c>
      <c r="B22" s="4" t="s">
        <v>376</v>
      </c>
      <c r="C22" s="4" t="s">
        <v>377</v>
      </c>
      <c r="D22" s="4" t="s">
        <v>162</v>
      </c>
      <c r="E22" s="5">
        <v>378926</v>
      </c>
      <c r="F22" s="6">
        <v>4333.9661249999999</v>
      </c>
      <c r="G22" s="7">
        <v>2.3497278999999999E-2</v>
      </c>
      <c r="H22" s="112"/>
    </row>
    <row r="23" spans="1:8" ht="25.5" x14ac:dyDescent="0.2">
      <c r="A23" s="3">
        <v>17</v>
      </c>
      <c r="B23" s="4" t="s">
        <v>416</v>
      </c>
      <c r="C23" s="4" t="s">
        <v>417</v>
      </c>
      <c r="D23" s="4" t="s">
        <v>81</v>
      </c>
      <c r="E23" s="5">
        <v>152311</v>
      </c>
      <c r="F23" s="6">
        <v>4332.7910169999996</v>
      </c>
      <c r="G23" s="7">
        <v>2.3490908000000001E-2</v>
      </c>
      <c r="H23" s="112"/>
    </row>
    <row r="24" spans="1:8" x14ac:dyDescent="0.2">
      <c r="A24" s="3">
        <v>18</v>
      </c>
      <c r="B24" s="4" t="s">
        <v>308</v>
      </c>
      <c r="C24" s="4" t="s">
        <v>309</v>
      </c>
      <c r="D24" s="4" t="s">
        <v>189</v>
      </c>
      <c r="E24" s="5">
        <v>98057</v>
      </c>
      <c r="F24" s="6">
        <v>4179.2383685000004</v>
      </c>
      <c r="G24" s="7">
        <v>2.2658398E-2</v>
      </c>
      <c r="H24" s="112"/>
    </row>
    <row r="25" spans="1:8" x14ac:dyDescent="0.2">
      <c r="A25" s="3">
        <v>19</v>
      </c>
      <c r="B25" s="4" t="s">
        <v>339</v>
      </c>
      <c r="C25" s="4" t="s">
        <v>340</v>
      </c>
      <c r="D25" s="4" t="s">
        <v>81</v>
      </c>
      <c r="E25" s="5">
        <v>280393</v>
      </c>
      <c r="F25" s="6">
        <v>4027.0042659999999</v>
      </c>
      <c r="G25" s="7">
        <v>2.1833037E-2</v>
      </c>
      <c r="H25" s="112"/>
    </row>
    <row r="26" spans="1:8" ht="25.5" x14ac:dyDescent="0.2">
      <c r="A26" s="3">
        <v>20</v>
      </c>
      <c r="B26" s="4" t="s">
        <v>28</v>
      </c>
      <c r="C26" s="4" t="s">
        <v>29</v>
      </c>
      <c r="D26" s="4" t="s">
        <v>971</v>
      </c>
      <c r="E26" s="5">
        <v>51856</v>
      </c>
      <c r="F26" s="6">
        <v>3959.7500879999998</v>
      </c>
      <c r="G26" s="7">
        <v>2.1468408000000001E-2</v>
      </c>
      <c r="H26" s="112"/>
    </row>
    <row r="27" spans="1:8" x14ac:dyDescent="0.2">
      <c r="A27" s="3">
        <v>21</v>
      </c>
      <c r="B27" s="4" t="s">
        <v>345</v>
      </c>
      <c r="C27" s="4" t="s">
        <v>346</v>
      </c>
      <c r="D27" s="4" t="s">
        <v>186</v>
      </c>
      <c r="E27" s="5">
        <v>106366</v>
      </c>
      <c r="F27" s="6">
        <v>3935.7547319999999</v>
      </c>
      <c r="G27" s="7">
        <v>2.1338313000000001E-2</v>
      </c>
      <c r="H27" s="112"/>
    </row>
    <row r="28" spans="1:8" x14ac:dyDescent="0.2">
      <c r="A28" s="3">
        <v>22</v>
      </c>
      <c r="B28" s="4" t="s">
        <v>396</v>
      </c>
      <c r="C28" s="4" t="s">
        <v>397</v>
      </c>
      <c r="D28" s="4" t="s">
        <v>173</v>
      </c>
      <c r="E28" s="5">
        <v>495604</v>
      </c>
      <c r="F28" s="6">
        <v>3873.3930620000001</v>
      </c>
      <c r="G28" s="7">
        <v>2.1000208999999999E-2</v>
      </c>
      <c r="H28" s="112"/>
    </row>
    <row r="29" spans="1:8" x14ac:dyDescent="0.2">
      <c r="A29" s="3">
        <v>23</v>
      </c>
      <c r="B29" s="4" t="s">
        <v>374</v>
      </c>
      <c r="C29" s="4" t="s">
        <v>375</v>
      </c>
      <c r="D29" s="4" t="s">
        <v>162</v>
      </c>
      <c r="E29" s="5">
        <v>119358</v>
      </c>
      <c r="F29" s="6">
        <v>3862.1861640000002</v>
      </c>
      <c r="G29" s="7">
        <v>2.0939448999999999E-2</v>
      </c>
      <c r="H29" s="112"/>
    </row>
    <row r="30" spans="1:8" x14ac:dyDescent="0.2">
      <c r="A30" s="3">
        <v>24</v>
      </c>
      <c r="B30" s="4" t="s">
        <v>84</v>
      </c>
      <c r="C30" s="4" t="s">
        <v>85</v>
      </c>
      <c r="D30" s="4" t="s">
        <v>61</v>
      </c>
      <c r="E30" s="5">
        <v>782067</v>
      </c>
      <c r="F30" s="6">
        <v>3706.2155130000001</v>
      </c>
      <c r="G30" s="7">
        <v>2.009383E-2</v>
      </c>
      <c r="H30" s="112"/>
    </row>
    <row r="31" spans="1:8" ht="25.5" x14ac:dyDescent="0.2">
      <c r="A31" s="3">
        <v>25</v>
      </c>
      <c r="B31" s="4" t="s">
        <v>400</v>
      </c>
      <c r="C31" s="4" t="s">
        <v>401</v>
      </c>
      <c r="D31" s="4" t="s">
        <v>192</v>
      </c>
      <c r="E31" s="5">
        <v>441591</v>
      </c>
      <c r="F31" s="6">
        <v>3574.6791450000001</v>
      </c>
      <c r="G31" s="7">
        <v>1.9380685000000002E-2</v>
      </c>
      <c r="H31" s="112"/>
    </row>
    <row r="32" spans="1:8" x14ac:dyDescent="0.2">
      <c r="A32" s="3">
        <v>26</v>
      </c>
      <c r="B32" s="4" t="s">
        <v>450</v>
      </c>
      <c r="C32" s="4" t="s">
        <v>451</v>
      </c>
      <c r="D32" s="4" t="s">
        <v>81</v>
      </c>
      <c r="E32" s="5">
        <v>492415</v>
      </c>
      <c r="F32" s="6">
        <v>3449.1208674999998</v>
      </c>
      <c r="G32" s="7">
        <v>1.8699950999999999E-2</v>
      </c>
      <c r="H32" s="112"/>
    </row>
    <row r="33" spans="1:8" x14ac:dyDescent="0.2">
      <c r="A33" s="3">
        <v>27</v>
      </c>
      <c r="B33" s="4" t="s">
        <v>76</v>
      </c>
      <c r="C33" s="4" t="s">
        <v>77</v>
      </c>
      <c r="D33" s="4" t="s">
        <v>78</v>
      </c>
      <c r="E33" s="5">
        <v>2408106</v>
      </c>
      <c r="F33" s="6">
        <v>3429.1429440000002</v>
      </c>
      <c r="G33" s="7">
        <v>1.8591638000000001E-2</v>
      </c>
      <c r="H33" s="112"/>
    </row>
    <row r="34" spans="1:8" x14ac:dyDescent="0.2">
      <c r="A34" s="3">
        <v>28</v>
      </c>
      <c r="B34" s="4" t="s">
        <v>306</v>
      </c>
      <c r="C34" s="4" t="s">
        <v>307</v>
      </c>
      <c r="D34" s="4" t="s">
        <v>973</v>
      </c>
      <c r="E34" s="5">
        <v>346051</v>
      </c>
      <c r="F34" s="6">
        <v>3369.1525360000001</v>
      </c>
      <c r="G34" s="7">
        <v>1.826639E-2</v>
      </c>
      <c r="H34" s="112"/>
    </row>
    <row r="35" spans="1:8" x14ac:dyDescent="0.2">
      <c r="A35" s="3">
        <v>29</v>
      </c>
      <c r="B35" s="4" t="s">
        <v>22</v>
      </c>
      <c r="C35" s="4" t="s">
        <v>23</v>
      </c>
      <c r="D35" s="4" t="s">
        <v>24</v>
      </c>
      <c r="E35" s="5">
        <v>489433</v>
      </c>
      <c r="F35" s="6">
        <v>3354.3290655000001</v>
      </c>
      <c r="G35" s="7">
        <v>1.8186022E-2</v>
      </c>
      <c r="H35" s="112"/>
    </row>
    <row r="36" spans="1:8" x14ac:dyDescent="0.2">
      <c r="A36" s="3">
        <v>30</v>
      </c>
      <c r="B36" s="4" t="s">
        <v>35</v>
      </c>
      <c r="C36" s="4" t="s">
        <v>36</v>
      </c>
      <c r="D36" s="4" t="s">
        <v>16</v>
      </c>
      <c r="E36" s="5">
        <v>802261</v>
      </c>
      <c r="F36" s="6">
        <v>3351.0441970000002</v>
      </c>
      <c r="G36" s="7">
        <v>1.8168212999999999E-2</v>
      </c>
      <c r="H36" s="112"/>
    </row>
    <row r="37" spans="1:8" x14ac:dyDescent="0.2">
      <c r="A37" s="3">
        <v>31</v>
      </c>
      <c r="B37" s="4" t="s">
        <v>430</v>
      </c>
      <c r="C37" s="4" t="s">
        <v>431</v>
      </c>
      <c r="D37" s="4" t="s">
        <v>432</v>
      </c>
      <c r="E37" s="5">
        <v>715000</v>
      </c>
      <c r="F37" s="6">
        <v>3287.57</v>
      </c>
      <c r="G37" s="7">
        <v>1.7824078E-2</v>
      </c>
      <c r="H37" s="112"/>
    </row>
    <row r="38" spans="1:8" ht="25.5" x14ac:dyDescent="0.2">
      <c r="A38" s="3">
        <v>32</v>
      </c>
      <c r="B38" s="4" t="s">
        <v>335</v>
      </c>
      <c r="C38" s="4" t="s">
        <v>336</v>
      </c>
      <c r="D38" s="4" t="s">
        <v>71</v>
      </c>
      <c r="E38" s="5">
        <v>598756</v>
      </c>
      <c r="F38" s="6">
        <v>2787.8079360000002</v>
      </c>
      <c r="G38" s="7">
        <v>1.5114539E-2</v>
      </c>
      <c r="H38" s="112"/>
    </row>
    <row r="39" spans="1:8" x14ac:dyDescent="0.2">
      <c r="A39" s="3">
        <v>33</v>
      </c>
      <c r="B39" s="4" t="s">
        <v>330</v>
      </c>
      <c r="C39" s="4" t="s">
        <v>331</v>
      </c>
      <c r="D39" s="4" t="s">
        <v>19</v>
      </c>
      <c r="E39" s="5">
        <v>215838</v>
      </c>
      <c r="F39" s="6">
        <v>2625.3455130000002</v>
      </c>
      <c r="G39" s="7">
        <v>1.4233723E-2</v>
      </c>
      <c r="H39" s="112"/>
    </row>
    <row r="40" spans="1:8" x14ac:dyDescent="0.2">
      <c r="A40" s="3">
        <v>34</v>
      </c>
      <c r="B40" s="4" t="s">
        <v>320</v>
      </c>
      <c r="C40" s="4" t="s">
        <v>321</v>
      </c>
      <c r="D40" s="4" t="s">
        <v>27</v>
      </c>
      <c r="E40" s="5">
        <v>286278</v>
      </c>
      <c r="F40" s="6">
        <v>2564.1920460000001</v>
      </c>
      <c r="G40" s="7">
        <v>1.390217E-2</v>
      </c>
      <c r="H40" s="112"/>
    </row>
    <row r="41" spans="1:8" ht="25.5" x14ac:dyDescent="0.2">
      <c r="A41" s="3">
        <v>35</v>
      </c>
      <c r="B41" s="4" t="s">
        <v>392</v>
      </c>
      <c r="C41" s="4" t="s">
        <v>393</v>
      </c>
      <c r="D41" s="4" t="s">
        <v>971</v>
      </c>
      <c r="E41" s="5">
        <v>98774</v>
      </c>
      <c r="F41" s="6">
        <v>1987.5798150000001</v>
      </c>
      <c r="G41" s="7">
        <v>1.0775976E-2</v>
      </c>
      <c r="H41" s="112"/>
    </row>
    <row r="42" spans="1:8" x14ac:dyDescent="0.2">
      <c r="A42" s="3">
        <v>36</v>
      </c>
      <c r="B42" s="4" t="s">
        <v>332</v>
      </c>
      <c r="C42" s="4" t="s">
        <v>333</v>
      </c>
      <c r="D42" s="4" t="s">
        <v>334</v>
      </c>
      <c r="E42" s="5">
        <v>175633</v>
      </c>
      <c r="F42" s="6">
        <v>1761.8624394999999</v>
      </c>
      <c r="G42" s="7">
        <v>9.5522139999999998E-3</v>
      </c>
      <c r="H42" s="112"/>
    </row>
    <row r="43" spans="1:8" x14ac:dyDescent="0.2">
      <c r="A43" s="3">
        <v>37</v>
      </c>
      <c r="B43" s="4" t="s">
        <v>452</v>
      </c>
      <c r="C43" s="4" t="s">
        <v>453</v>
      </c>
      <c r="D43" s="4" t="s">
        <v>71</v>
      </c>
      <c r="E43" s="5">
        <v>61726</v>
      </c>
      <c r="F43" s="6">
        <v>1471.2700729999999</v>
      </c>
      <c r="G43" s="7">
        <v>7.9767220000000003E-3</v>
      </c>
      <c r="H43" s="112"/>
    </row>
    <row r="44" spans="1:8" x14ac:dyDescent="0.2">
      <c r="A44" s="3">
        <v>38</v>
      </c>
      <c r="B44" s="4" t="s">
        <v>420</v>
      </c>
      <c r="C44" s="4" t="s">
        <v>421</v>
      </c>
      <c r="D44" s="4" t="s">
        <v>973</v>
      </c>
      <c r="E44" s="5">
        <v>110611</v>
      </c>
      <c r="F44" s="6">
        <v>1267.1043105000001</v>
      </c>
      <c r="G44" s="7">
        <v>6.8698049999999997E-3</v>
      </c>
      <c r="H44" s="112"/>
    </row>
    <row r="45" spans="1:8" x14ac:dyDescent="0.2">
      <c r="A45" s="3">
        <v>39</v>
      </c>
      <c r="B45" s="4" t="s">
        <v>171</v>
      </c>
      <c r="C45" s="4" t="s">
        <v>172</v>
      </c>
      <c r="D45" s="4" t="s">
        <v>173</v>
      </c>
      <c r="E45" s="5">
        <v>80000</v>
      </c>
      <c r="F45" s="6">
        <v>1117.2</v>
      </c>
      <c r="G45" s="7">
        <v>6.0570750000000003E-3</v>
      </c>
      <c r="H45" s="112"/>
    </row>
    <row r="46" spans="1:8" x14ac:dyDescent="0.2">
      <c r="A46" s="3">
        <v>40</v>
      </c>
      <c r="B46" s="4" t="s">
        <v>310</v>
      </c>
      <c r="C46" s="4" t="s">
        <v>311</v>
      </c>
      <c r="D46" s="4" t="s">
        <v>71</v>
      </c>
      <c r="E46" s="5">
        <v>83911</v>
      </c>
      <c r="F46" s="6">
        <v>1010.7499505</v>
      </c>
      <c r="G46" s="7">
        <v>5.47994E-3</v>
      </c>
      <c r="H46" s="112"/>
    </row>
    <row r="47" spans="1:8" ht="25.5" x14ac:dyDescent="0.2">
      <c r="A47" s="3">
        <v>41</v>
      </c>
      <c r="B47" s="4" t="s">
        <v>454</v>
      </c>
      <c r="C47" s="4" t="s">
        <v>455</v>
      </c>
      <c r="D47" s="4" t="s">
        <v>192</v>
      </c>
      <c r="E47" s="5">
        <v>167212</v>
      </c>
      <c r="F47" s="6">
        <v>911.38900599999999</v>
      </c>
      <c r="G47" s="7">
        <v>4.941239E-3</v>
      </c>
      <c r="H47" s="112"/>
    </row>
    <row r="48" spans="1:8" x14ac:dyDescent="0.2">
      <c r="A48" s="3">
        <v>42</v>
      </c>
      <c r="B48" s="4" t="s">
        <v>456</v>
      </c>
      <c r="C48" s="4" t="s">
        <v>457</v>
      </c>
      <c r="D48" s="4" t="s">
        <v>186</v>
      </c>
      <c r="E48" s="5">
        <v>92316</v>
      </c>
      <c r="F48" s="6">
        <v>835.50595799999996</v>
      </c>
      <c r="G48" s="7">
        <v>4.5298270000000002E-3</v>
      </c>
      <c r="H48" s="112"/>
    </row>
    <row r="49" spans="1:8" x14ac:dyDescent="0.2">
      <c r="A49" s="3">
        <v>43</v>
      </c>
      <c r="B49" s="4" t="s">
        <v>458</v>
      </c>
      <c r="C49" s="4" t="s">
        <v>459</v>
      </c>
      <c r="D49" s="4" t="s">
        <v>173</v>
      </c>
      <c r="E49" s="5">
        <v>350118</v>
      </c>
      <c r="F49" s="6">
        <v>782.33867099999998</v>
      </c>
      <c r="G49" s="7">
        <v>4.2415719999999999E-3</v>
      </c>
      <c r="H49" s="112"/>
    </row>
    <row r="50" spans="1:8" x14ac:dyDescent="0.2">
      <c r="A50" s="3">
        <v>44</v>
      </c>
      <c r="B50" s="4" t="s">
        <v>318</v>
      </c>
      <c r="C50" s="4" t="s">
        <v>319</v>
      </c>
      <c r="D50" s="4" t="s">
        <v>977</v>
      </c>
      <c r="E50" s="5">
        <v>19969</v>
      </c>
      <c r="F50" s="6">
        <v>736.716317</v>
      </c>
      <c r="G50" s="7">
        <v>3.9942229999999999E-3</v>
      </c>
      <c r="H50" s="112"/>
    </row>
    <row r="51" spans="1:8" ht="25.5" x14ac:dyDescent="0.2">
      <c r="A51" s="3">
        <v>45</v>
      </c>
      <c r="B51" s="4" t="s">
        <v>460</v>
      </c>
      <c r="C51" s="4" t="s">
        <v>461</v>
      </c>
      <c r="D51" s="4" t="s">
        <v>973</v>
      </c>
      <c r="E51" s="5">
        <v>25820</v>
      </c>
      <c r="F51" s="6">
        <v>382.53620999999998</v>
      </c>
      <c r="G51" s="7">
        <v>2.07398E-3</v>
      </c>
      <c r="H51" s="112"/>
    </row>
    <row r="52" spans="1:8" ht="38.25" x14ac:dyDescent="0.2">
      <c r="A52" s="3">
        <v>46</v>
      </c>
      <c r="B52" s="4" t="s">
        <v>289</v>
      </c>
      <c r="C52" s="4" t="s">
        <v>290</v>
      </c>
      <c r="D52" s="4" t="s">
        <v>972</v>
      </c>
      <c r="E52" s="5">
        <v>22224</v>
      </c>
      <c r="F52" s="6">
        <v>250.02</v>
      </c>
      <c r="G52" s="7">
        <v>1.355523E-3</v>
      </c>
      <c r="H52" s="112"/>
    </row>
    <row r="53" spans="1:8" ht="25.5" x14ac:dyDescent="0.2">
      <c r="A53" s="3">
        <v>47</v>
      </c>
      <c r="B53" s="4" t="s">
        <v>447</v>
      </c>
      <c r="C53" s="70" t="s">
        <v>1030</v>
      </c>
      <c r="D53" s="40" t="s">
        <v>24</v>
      </c>
      <c r="E53" s="5">
        <v>34959</v>
      </c>
      <c r="F53" s="6">
        <v>89.386667099999997</v>
      </c>
      <c r="G53" s="7">
        <v>4.8462400000000001E-4</v>
      </c>
      <c r="H53" s="112"/>
    </row>
    <row r="54" spans="1:8" x14ac:dyDescent="0.2">
      <c r="A54" s="1"/>
      <c r="B54" s="1"/>
      <c r="C54" s="2" t="s">
        <v>97</v>
      </c>
      <c r="D54" s="1"/>
      <c r="E54" s="1" t="s">
        <v>98</v>
      </c>
      <c r="F54" s="9">
        <v>175282.02657660001</v>
      </c>
      <c r="G54" s="10">
        <v>0.95031906099999996</v>
      </c>
      <c r="H54" s="112"/>
    </row>
    <row r="55" spans="1:8" x14ac:dyDescent="0.2">
      <c r="A55" s="1"/>
      <c r="B55" s="1"/>
      <c r="C55" s="11"/>
      <c r="D55" s="1"/>
      <c r="E55" s="1"/>
      <c r="F55" s="12"/>
      <c r="G55" s="12"/>
      <c r="H55" s="112"/>
    </row>
    <row r="56" spans="1:8" x14ac:dyDescent="0.2">
      <c r="A56" s="1"/>
      <c r="B56" s="1"/>
      <c r="C56" s="2" t="s">
        <v>99</v>
      </c>
      <c r="D56" s="1"/>
      <c r="E56" s="1"/>
      <c r="F56" s="1"/>
      <c r="G56" s="1"/>
      <c r="H56" s="112"/>
    </row>
    <row r="57" spans="1:8" x14ac:dyDescent="0.2">
      <c r="A57" s="1"/>
      <c r="B57" s="1"/>
      <c r="C57" s="2" t="s">
        <v>97</v>
      </c>
      <c r="D57" s="1"/>
      <c r="E57" s="1" t="s">
        <v>98</v>
      </c>
      <c r="F57" s="13">
        <v>0</v>
      </c>
      <c r="G57" s="14">
        <v>0</v>
      </c>
      <c r="H57" s="112"/>
    </row>
    <row r="58" spans="1:8" x14ac:dyDescent="0.2">
      <c r="A58" s="1"/>
      <c r="B58" s="1"/>
      <c r="C58" s="11"/>
      <c r="D58" s="1"/>
      <c r="E58" s="1"/>
      <c r="F58" s="12"/>
      <c r="G58" s="12"/>
      <c r="H58" s="112"/>
    </row>
    <row r="59" spans="1:8" x14ac:dyDescent="0.2">
      <c r="A59" s="1"/>
      <c r="B59" s="1"/>
      <c r="C59" s="2" t="s">
        <v>100</v>
      </c>
      <c r="D59" s="1"/>
      <c r="E59" s="1"/>
      <c r="F59" s="1"/>
      <c r="G59" s="1"/>
      <c r="H59" s="112"/>
    </row>
    <row r="60" spans="1:8" x14ac:dyDescent="0.2">
      <c r="A60" s="1"/>
      <c r="B60" s="1"/>
      <c r="C60" s="2" t="s">
        <v>97</v>
      </c>
      <c r="D60" s="1"/>
      <c r="E60" s="1" t="s">
        <v>98</v>
      </c>
      <c r="F60" s="13">
        <v>0</v>
      </c>
      <c r="G60" s="14">
        <v>0</v>
      </c>
      <c r="H60" s="112"/>
    </row>
    <row r="61" spans="1:8" x14ac:dyDescent="0.2">
      <c r="A61" s="1"/>
      <c r="B61" s="1"/>
      <c r="C61" s="11"/>
      <c r="D61" s="1"/>
      <c r="E61" s="1"/>
      <c r="F61" s="12"/>
      <c r="G61" s="12"/>
      <c r="H61" s="112"/>
    </row>
    <row r="62" spans="1:8" x14ac:dyDescent="0.2">
      <c r="A62" s="1"/>
      <c r="B62" s="1"/>
      <c r="C62" s="2" t="s">
        <v>101</v>
      </c>
      <c r="D62" s="1"/>
      <c r="E62" s="1"/>
      <c r="F62" s="1"/>
      <c r="G62" s="1"/>
      <c r="H62" s="112"/>
    </row>
    <row r="63" spans="1:8" x14ac:dyDescent="0.2">
      <c r="A63" s="1"/>
      <c r="B63" s="1"/>
      <c r="C63" s="2" t="s">
        <v>97</v>
      </c>
      <c r="D63" s="1"/>
      <c r="E63" s="1" t="s">
        <v>98</v>
      </c>
      <c r="F63" s="13">
        <v>0</v>
      </c>
      <c r="G63" s="14">
        <v>0</v>
      </c>
      <c r="H63" s="112"/>
    </row>
    <row r="64" spans="1:8" x14ac:dyDescent="0.2">
      <c r="A64" s="1"/>
      <c r="B64" s="1"/>
      <c r="C64" s="11"/>
      <c r="D64" s="1"/>
      <c r="E64" s="1"/>
      <c r="F64" s="12"/>
      <c r="G64" s="12"/>
      <c r="H64" s="112"/>
    </row>
    <row r="65" spans="1:8" x14ac:dyDescent="0.2">
      <c r="A65" s="1"/>
      <c r="B65" s="1"/>
      <c r="C65" s="2" t="s">
        <v>102</v>
      </c>
      <c r="D65" s="1"/>
      <c r="E65" s="1"/>
      <c r="F65" s="12"/>
      <c r="G65" s="12"/>
      <c r="H65" s="112"/>
    </row>
    <row r="66" spans="1:8" x14ac:dyDescent="0.2">
      <c r="A66" s="1"/>
      <c r="B66" s="1"/>
      <c r="C66" s="2" t="s">
        <v>97</v>
      </c>
      <c r="D66" s="1"/>
      <c r="E66" s="1" t="s">
        <v>98</v>
      </c>
      <c r="F66" s="13">
        <v>0</v>
      </c>
      <c r="G66" s="14">
        <v>0</v>
      </c>
      <c r="H66" s="112"/>
    </row>
    <row r="67" spans="1:8" x14ac:dyDescent="0.2">
      <c r="A67" s="1"/>
      <c r="B67" s="1"/>
      <c r="C67" s="11"/>
      <c r="D67" s="1"/>
      <c r="E67" s="1"/>
      <c r="F67" s="12"/>
      <c r="G67" s="12"/>
      <c r="H67" s="112"/>
    </row>
    <row r="68" spans="1:8" x14ac:dyDescent="0.2">
      <c r="A68" s="1"/>
      <c r="B68" s="1"/>
      <c r="C68" s="2" t="s">
        <v>103</v>
      </c>
      <c r="D68" s="1"/>
      <c r="E68" s="1"/>
      <c r="F68" s="12"/>
      <c r="G68" s="12"/>
      <c r="H68" s="112"/>
    </row>
    <row r="69" spans="1:8" x14ac:dyDescent="0.2">
      <c r="A69" s="1"/>
      <c r="B69" s="1"/>
      <c r="C69" s="2" t="s">
        <v>97</v>
      </c>
      <c r="D69" s="1"/>
      <c r="E69" s="1" t="s">
        <v>98</v>
      </c>
      <c r="F69" s="13">
        <v>0</v>
      </c>
      <c r="G69" s="14">
        <v>0</v>
      </c>
      <c r="H69" s="112"/>
    </row>
    <row r="70" spans="1:8" x14ac:dyDescent="0.2">
      <c r="A70" s="1"/>
      <c r="B70" s="1"/>
      <c r="C70" s="11"/>
      <c r="D70" s="1"/>
      <c r="E70" s="1"/>
      <c r="F70" s="12"/>
      <c r="G70" s="12"/>
      <c r="H70" s="112"/>
    </row>
    <row r="71" spans="1:8" x14ac:dyDescent="0.2">
      <c r="A71" s="1"/>
      <c r="B71" s="1"/>
      <c r="C71" s="2" t="s">
        <v>104</v>
      </c>
      <c r="D71" s="1"/>
      <c r="E71" s="1"/>
      <c r="F71" s="9">
        <v>175282.02657660001</v>
      </c>
      <c r="G71" s="10">
        <v>0.95031906099999996</v>
      </c>
      <c r="H71" s="112"/>
    </row>
    <row r="72" spans="1:8" x14ac:dyDescent="0.2">
      <c r="A72" s="1"/>
      <c r="B72" s="1"/>
      <c r="C72" s="11"/>
      <c r="D72" s="1"/>
      <c r="E72" s="1"/>
      <c r="F72" s="12"/>
      <c r="G72" s="12"/>
      <c r="H72" s="112"/>
    </row>
    <row r="73" spans="1:8" x14ac:dyDescent="0.2">
      <c r="A73" s="1"/>
      <c r="B73" s="1"/>
      <c r="C73" s="2" t="s">
        <v>105</v>
      </c>
      <c r="D73" s="1"/>
      <c r="E73" s="1"/>
      <c r="F73" s="12"/>
      <c r="G73" s="12"/>
      <c r="H73" s="112"/>
    </row>
    <row r="74" spans="1:8" ht="25.5" x14ac:dyDescent="0.2">
      <c r="A74" s="1"/>
      <c r="B74" s="1"/>
      <c r="C74" s="2" t="s">
        <v>10</v>
      </c>
      <c r="D74" s="1"/>
      <c r="E74" s="1"/>
      <c r="F74" s="12"/>
      <c r="G74" s="12"/>
      <c r="H74" s="112"/>
    </row>
    <row r="75" spans="1:8" x14ac:dyDescent="0.2">
      <c r="A75" s="1"/>
      <c r="B75" s="1"/>
      <c r="C75" s="2" t="s">
        <v>97</v>
      </c>
      <c r="D75" s="1"/>
      <c r="E75" s="1" t="s">
        <v>98</v>
      </c>
      <c r="F75" s="13">
        <v>0</v>
      </c>
      <c r="G75" s="14">
        <v>0</v>
      </c>
      <c r="H75" s="112"/>
    </row>
    <row r="76" spans="1:8" x14ac:dyDescent="0.2">
      <c r="A76" s="1"/>
      <c r="B76" s="1"/>
      <c r="C76" s="11"/>
      <c r="D76" s="1"/>
      <c r="E76" s="1"/>
      <c r="F76" s="12"/>
      <c r="G76" s="12"/>
      <c r="H76" s="112"/>
    </row>
    <row r="77" spans="1:8" x14ac:dyDescent="0.2">
      <c r="A77" s="1"/>
      <c r="B77" s="1"/>
      <c r="C77" s="2" t="s">
        <v>106</v>
      </c>
      <c r="D77" s="1"/>
      <c r="E77" s="1"/>
      <c r="F77" s="1"/>
      <c r="G77" s="1"/>
      <c r="H77" s="112"/>
    </row>
    <row r="78" spans="1:8" x14ac:dyDescent="0.2">
      <c r="A78" s="1"/>
      <c r="B78" s="1"/>
      <c r="C78" s="2" t="s">
        <v>97</v>
      </c>
      <c r="D78" s="1"/>
      <c r="E78" s="1" t="s">
        <v>98</v>
      </c>
      <c r="F78" s="13">
        <v>0</v>
      </c>
      <c r="G78" s="14">
        <v>0</v>
      </c>
      <c r="H78" s="112"/>
    </row>
    <row r="79" spans="1:8" x14ac:dyDescent="0.2">
      <c r="A79" s="1"/>
      <c r="B79" s="1"/>
      <c r="C79" s="11"/>
      <c r="D79" s="1"/>
      <c r="E79" s="1"/>
      <c r="F79" s="12"/>
      <c r="G79" s="12"/>
      <c r="H79" s="112"/>
    </row>
    <row r="80" spans="1:8" x14ac:dyDescent="0.2">
      <c r="A80" s="1"/>
      <c r="B80" s="1"/>
      <c r="C80" s="2" t="s">
        <v>107</v>
      </c>
      <c r="D80" s="1"/>
      <c r="E80" s="1"/>
      <c r="F80" s="1"/>
      <c r="G80" s="1"/>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2" t="s">
        <v>108</v>
      </c>
      <c r="D83" s="1"/>
      <c r="E83" s="1"/>
      <c r="F83" s="12"/>
      <c r="G83" s="12"/>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109</v>
      </c>
      <c r="D86" s="1"/>
      <c r="E86" s="1"/>
      <c r="F86" s="9">
        <v>0</v>
      </c>
      <c r="G86" s="10">
        <v>0</v>
      </c>
      <c r="H86" s="112"/>
    </row>
    <row r="87" spans="1:8" x14ac:dyDescent="0.2">
      <c r="A87" s="1"/>
      <c r="B87" s="1"/>
      <c r="C87" s="11"/>
      <c r="D87" s="1"/>
      <c r="E87" s="1"/>
      <c r="F87" s="12"/>
      <c r="G87" s="12"/>
      <c r="H87" s="112"/>
    </row>
    <row r="88" spans="1:8" x14ac:dyDescent="0.2">
      <c r="A88" s="1"/>
      <c r="B88" s="1"/>
      <c r="C88" s="2" t="s">
        <v>110</v>
      </c>
      <c r="D88" s="1"/>
      <c r="E88" s="1"/>
      <c r="F88" s="12"/>
      <c r="G88" s="12"/>
      <c r="H88" s="112"/>
    </row>
    <row r="89" spans="1:8" x14ac:dyDescent="0.2">
      <c r="A89" s="1"/>
      <c r="B89" s="1"/>
      <c r="C89" s="2" t="s">
        <v>111</v>
      </c>
      <c r="D89" s="1"/>
      <c r="E89" s="1"/>
      <c r="F89" s="12"/>
      <c r="G89" s="12"/>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112</v>
      </c>
      <c r="D92" s="1"/>
      <c r="E92" s="1"/>
      <c r="F92" s="12"/>
      <c r="G92" s="12"/>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113</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114</v>
      </c>
      <c r="D98" s="1"/>
      <c r="E98" s="1"/>
      <c r="F98" s="12"/>
      <c r="G98" s="12"/>
      <c r="H98" s="112"/>
    </row>
    <row r="99" spans="1:8" x14ac:dyDescent="0.2">
      <c r="A99" s="3">
        <v>1</v>
      </c>
      <c r="B99" s="4"/>
      <c r="C99" s="4" t="s">
        <v>115</v>
      </c>
      <c r="D99" s="4"/>
      <c r="E99" s="8"/>
      <c r="F99" s="6">
        <v>6334.823163572165</v>
      </c>
      <c r="G99" s="7">
        <v>3.4345239647533193E-2</v>
      </c>
      <c r="H99" s="6">
        <v>3.3211324282253978</v>
      </c>
    </row>
    <row r="100" spans="1:8" x14ac:dyDescent="0.2">
      <c r="A100" s="3">
        <v>2</v>
      </c>
      <c r="B100" s="4"/>
      <c r="C100" s="4" t="s">
        <v>116</v>
      </c>
      <c r="D100" s="4"/>
      <c r="E100" s="8"/>
      <c r="F100" s="6">
        <v>2488.4670248304064</v>
      </c>
      <c r="G100" s="7">
        <v>1.3491615174714675E-2</v>
      </c>
      <c r="H100" s="6">
        <v>3.35</v>
      </c>
    </row>
    <row r="101" spans="1:8" x14ac:dyDescent="0.2">
      <c r="A101" s="1"/>
      <c r="B101" s="1"/>
      <c r="C101" s="2" t="s">
        <v>97</v>
      </c>
      <c r="D101" s="1"/>
      <c r="E101" s="1" t="s">
        <v>98</v>
      </c>
      <c r="F101" s="9">
        <v>8823.2901884025705</v>
      </c>
      <c r="G101" s="10">
        <v>4.7836854822247865E-2</v>
      </c>
      <c r="H101" s="112"/>
    </row>
    <row r="102" spans="1:8" x14ac:dyDescent="0.2">
      <c r="A102" s="1"/>
      <c r="B102" s="1"/>
      <c r="C102" s="11"/>
      <c r="D102" s="1"/>
      <c r="E102" s="1"/>
      <c r="F102" s="12"/>
      <c r="G102" s="12"/>
      <c r="H102" s="112"/>
    </row>
    <row r="103" spans="1:8" x14ac:dyDescent="0.2">
      <c r="A103" s="1"/>
      <c r="B103" s="1"/>
      <c r="C103" s="2" t="s">
        <v>117</v>
      </c>
      <c r="D103" s="1"/>
      <c r="E103" s="1"/>
      <c r="F103" s="9">
        <v>8823.2901884025705</v>
      </c>
      <c r="G103" s="10">
        <v>4.7836854822247865E-2</v>
      </c>
      <c r="H103" s="112"/>
    </row>
    <row r="104" spans="1:8" x14ac:dyDescent="0.2">
      <c r="A104" s="1"/>
      <c r="B104" s="1"/>
      <c r="C104" s="12"/>
      <c r="D104" s="1"/>
      <c r="E104" s="1"/>
      <c r="F104" s="1"/>
      <c r="G104" s="1"/>
      <c r="H104" s="112"/>
    </row>
    <row r="105" spans="1:8" x14ac:dyDescent="0.2">
      <c r="A105" s="1"/>
      <c r="B105" s="1"/>
      <c r="C105" s="2" t="s">
        <v>118</v>
      </c>
      <c r="D105" s="1"/>
      <c r="E105" s="1"/>
      <c r="F105" s="1"/>
      <c r="G105" s="1"/>
      <c r="H105" s="112"/>
    </row>
    <row r="106" spans="1:8" x14ac:dyDescent="0.2">
      <c r="A106" s="1"/>
      <c r="B106" s="1"/>
      <c r="C106" s="2" t="s">
        <v>119</v>
      </c>
      <c r="D106" s="1"/>
      <c r="E106" s="1"/>
      <c r="F106" s="1"/>
      <c r="G106" s="1"/>
      <c r="H106" s="112"/>
    </row>
    <row r="107" spans="1:8" x14ac:dyDescent="0.2">
      <c r="A107" s="1"/>
      <c r="B107" s="1"/>
      <c r="C107" s="2" t="s">
        <v>97</v>
      </c>
      <c r="D107" s="1"/>
      <c r="E107" s="1" t="s">
        <v>98</v>
      </c>
      <c r="F107" s="13">
        <v>0</v>
      </c>
      <c r="G107" s="14">
        <v>0</v>
      </c>
      <c r="H107" s="112"/>
    </row>
    <row r="108" spans="1:8" x14ac:dyDescent="0.2">
      <c r="A108" s="1"/>
      <c r="B108" s="1"/>
      <c r="C108" s="11"/>
      <c r="D108" s="1"/>
      <c r="E108" s="1"/>
      <c r="F108" s="12"/>
      <c r="G108" s="12"/>
      <c r="H108" s="112"/>
    </row>
    <row r="109" spans="1:8" x14ac:dyDescent="0.2">
      <c r="A109" s="1"/>
      <c r="B109" s="1"/>
      <c r="C109" s="2" t="s">
        <v>120</v>
      </c>
      <c r="D109" s="1"/>
      <c r="E109" s="1"/>
      <c r="F109" s="1"/>
      <c r="G109" s="1"/>
      <c r="H109" s="112"/>
    </row>
    <row r="110" spans="1:8" x14ac:dyDescent="0.2">
      <c r="A110" s="1"/>
      <c r="B110" s="1"/>
      <c r="C110" s="2" t="s">
        <v>121</v>
      </c>
      <c r="D110" s="1"/>
      <c r="E110" s="1"/>
      <c r="F110" s="1"/>
      <c r="G110" s="1"/>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11"/>
      <c r="D113" s="1"/>
      <c r="E113" s="1"/>
      <c r="F113" s="12"/>
      <c r="G113" s="12"/>
      <c r="H113" s="112"/>
    </row>
    <row r="114" spans="1:8" ht="25.5" x14ac:dyDescent="0.2">
      <c r="A114" s="1"/>
      <c r="B114" s="1"/>
      <c r="C114" s="2" t="s">
        <v>122</v>
      </c>
      <c r="D114" s="1"/>
      <c r="E114" s="1"/>
      <c r="F114" s="12"/>
      <c r="G114" s="12"/>
      <c r="H114" s="112"/>
    </row>
    <row r="115" spans="1:8" ht="25.5" x14ac:dyDescent="0.2">
      <c r="A115" s="3">
        <v>1</v>
      </c>
      <c r="B115" s="4"/>
      <c r="C115" s="4" t="s">
        <v>285</v>
      </c>
      <c r="D115" s="4"/>
      <c r="E115" s="8"/>
      <c r="F115" s="6">
        <v>153.321</v>
      </c>
      <c r="G115" s="7">
        <v>8.3125400000000002E-4</v>
      </c>
      <c r="H115" s="112"/>
    </row>
    <row r="116" spans="1:8" x14ac:dyDescent="0.2">
      <c r="A116" s="1"/>
      <c r="B116" s="1"/>
      <c r="C116" s="2" t="s">
        <v>97</v>
      </c>
      <c r="D116" s="1"/>
      <c r="E116" s="1" t="s">
        <v>98</v>
      </c>
      <c r="F116" s="9">
        <v>153.321</v>
      </c>
      <c r="G116" s="10">
        <v>8.3125400000000002E-4</v>
      </c>
      <c r="H116" s="112"/>
    </row>
    <row r="117" spans="1:8" x14ac:dyDescent="0.2">
      <c r="A117" s="1"/>
      <c r="B117" s="1"/>
      <c r="C117" s="11"/>
      <c r="D117" s="1"/>
      <c r="E117" s="1"/>
      <c r="F117" s="12"/>
      <c r="G117" s="12"/>
      <c r="H117" s="112"/>
    </row>
    <row r="118" spans="1:8" x14ac:dyDescent="0.2">
      <c r="A118" s="1"/>
      <c r="B118" s="4"/>
      <c r="C118" s="4"/>
      <c r="D118" s="2"/>
      <c r="E118" s="1"/>
      <c r="F118" s="4"/>
      <c r="G118" s="8"/>
      <c r="H118" s="112"/>
    </row>
    <row r="119" spans="1:8" x14ac:dyDescent="0.2">
      <c r="A119" s="8"/>
      <c r="B119" s="4"/>
      <c r="C119" s="4" t="s">
        <v>123</v>
      </c>
      <c r="D119" s="4"/>
      <c r="E119" s="8"/>
      <c r="F119" s="6">
        <v>186.81169416740886</v>
      </c>
      <c r="G119" s="7">
        <v>1.0128289676713477E-3</v>
      </c>
      <c r="H119" s="112"/>
    </row>
    <row r="120" spans="1:8" x14ac:dyDescent="0.2">
      <c r="A120" s="11"/>
      <c r="B120" s="11"/>
      <c r="C120" s="2" t="s">
        <v>124</v>
      </c>
      <c r="D120" s="15"/>
      <c r="E120" s="15"/>
      <c r="F120" s="9">
        <v>184445.44945916999</v>
      </c>
      <c r="G120" s="10">
        <v>0.99999999878991919</v>
      </c>
      <c r="H120" s="112"/>
    </row>
    <row r="121" spans="1:8" ht="14.1" customHeight="1" x14ac:dyDescent="0.2">
      <c r="A121" s="16"/>
      <c r="B121" s="16"/>
      <c r="C121" s="16"/>
      <c r="D121" s="17"/>
      <c r="E121" s="17"/>
      <c r="F121" s="77"/>
      <c r="G121" s="77"/>
    </row>
    <row r="122" spans="1:8" ht="14.1" customHeight="1" x14ac:dyDescent="0.2">
      <c r="A122" s="18"/>
      <c r="B122" s="205" t="s">
        <v>98</v>
      </c>
      <c r="C122" s="205"/>
      <c r="D122" s="205"/>
      <c r="E122" s="205"/>
      <c r="F122" s="205"/>
      <c r="G122" s="20"/>
      <c r="H122" s="117"/>
    </row>
    <row r="123" spans="1:8" ht="14.1" customHeight="1" x14ac:dyDescent="0.2">
      <c r="A123" s="18"/>
      <c r="B123" s="205" t="s">
        <v>98</v>
      </c>
      <c r="C123" s="205"/>
      <c r="D123" s="205"/>
      <c r="E123" s="205"/>
      <c r="F123" s="205"/>
      <c r="G123" s="20"/>
    </row>
    <row r="124" spans="1:8" ht="14.1" customHeight="1" x14ac:dyDescent="0.2">
      <c r="A124" s="18"/>
      <c r="B124" s="18"/>
      <c r="C124" s="18"/>
      <c r="D124" s="20"/>
      <c r="E124" s="20"/>
      <c r="F124" s="20"/>
      <c r="G124" s="20"/>
    </row>
    <row r="125" spans="1:8" ht="14.1" customHeight="1" x14ac:dyDescent="0.2">
      <c r="A125" s="18"/>
      <c r="B125" s="203" t="s">
        <v>126</v>
      </c>
      <c r="C125" s="204"/>
      <c r="D125" s="12" t="s">
        <v>98</v>
      </c>
      <c r="E125" s="21"/>
      <c r="F125" s="20"/>
      <c r="G125" s="20"/>
    </row>
    <row r="126" spans="1:8" ht="29.1" customHeight="1" x14ac:dyDescent="0.2">
      <c r="A126" s="18"/>
      <c r="B126" s="198" t="s">
        <v>127</v>
      </c>
      <c r="C126" s="199"/>
      <c r="D126" s="2" t="s">
        <v>128</v>
      </c>
      <c r="E126" s="21"/>
      <c r="F126" s="20"/>
      <c r="G126" s="20"/>
    </row>
    <row r="127" spans="1:8" ht="17.100000000000001" customHeight="1" x14ac:dyDescent="0.2">
      <c r="A127" s="18"/>
      <c r="B127" s="198" t="s">
        <v>129</v>
      </c>
      <c r="C127" s="199"/>
      <c r="D127" s="2" t="s">
        <v>128</v>
      </c>
      <c r="E127" s="21"/>
      <c r="F127" s="20"/>
      <c r="G127" s="20"/>
    </row>
    <row r="128" spans="1:8" ht="17.100000000000001" customHeight="1" x14ac:dyDescent="0.2">
      <c r="A128" s="18"/>
      <c r="B128" s="198" t="s">
        <v>130</v>
      </c>
      <c r="C128" s="199"/>
      <c r="D128" s="12" t="s">
        <v>98</v>
      </c>
      <c r="E128" s="21"/>
      <c r="F128" s="20"/>
      <c r="G128" s="20"/>
    </row>
    <row r="129" spans="1:15" ht="24" customHeight="1" x14ac:dyDescent="0.2">
      <c r="A129" s="22"/>
      <c r="B129" s="23" t="s">
        <v>98</v>
      </c>
      <c r="C129" s="23" t="s">
        <v>131</v>
      </c>
      <c r="D129" s="23" t="s">
        <v>132</v>
      </c>
      <c r="E129" s="22"/>
      <c r="F129" s="22"/>
      <c r="G129" s="22"/>
    </row>
    <row r="130" spans="1:15" ht="18" customHeight="1" x14ac:dyDescent="0.2">
      <c r="A130" s="22"/>
      <c r="B130" s="23" t="s">
        <v>133</v>
      </c>
      <c r="C130" s="23" t="s">
        <v>134</v>
      </c>
      <c r="D130" s="23" t="s">
        <v>135</v>
      </c>
      <c r="E130" s="22"/>
      <c r="F130" s="22"/>
      <c r="G130" s="22"/>
    </row>
    <row r="131" spans="1:15" ht="17.100000000000001" customHeight="1" x14ac:dyDescent="0.2">
      <c r="A131" s="22"/>
      <c r="B131" s="4" t="s">
        <v>136</v>
      </c>
      <c r="C131" s="24">
        <v>58.796900000000001</v>
      </c>
      <c r="D131" s="24">
        <v>59.660800000000002</v>
      </c>
      <c r="E131" s="22"/>
      <c r="F131" s="19"/>
      <c r="G131" s="25"/>
    </row>
    <row r="132" spans="1:15" ht="17.100000000000001" customHeight="1" x14ac:dyDescent="0.2">
      <c r="A132" s="22"/>
      <c r="B132" s="4" t="s">
        <v>980</v>
      </c>
      <c r="C132" s="24">
        <v>27.215</v>
      </c>
      <c r="D132" s="24">
        <v>27.614799999999999</v>
      </c>
      <c r="E132" s="22"/>
      <c r="F132" s="19"/>
      <c r="G132" s="25"/>
    </row>
    <row r="133" spans="1:15" ht="17.100000000000001" customHeight="1" x14ac:dyDescent="0.2">
      <c r="A133" s="22"/>
      <c r="B133" s="4" t="s">
        <v>137</v>
      </c>
      <c r="C133" s="24">
        <v>54.543199999999999</v>
      </c>
      <c r="D133" s="24">
        <v>55.284599999999998</v>
      </c>
      <c r="E133" s="22"/>
      <c r="F133" s="19"/>
      <c r="G133" s="25"/>
    </row>
    <row r="134" spans="1:15" ht="17.100000000000001" customHeight="1" x14ac:dyDescent="0.2">
      <c r="A134" s="22"/>
      <c r="B134" s="4" t="s">
        <v>981</v>
      </c>
      <c r="C134" s="24">
        <v>24.715</v>
      </c>
      <c r="D134" s="24">
        <v>25.050999999999998</v>
      </c>
      <c r="E134" s="22"/>
      <c r="F134" s="19"/>
      <c r="G134" s="25"/>
    </row>
    <row r="135" spans="1:15" ht="14.1" customHeight="1" x14ac:dyDescent="0.2">
      <c r="A135" s="22"/>
      <c r="B135" s="22"/>
      <c r="C135" s="22"/>
      <c r="D135" s="22"/>
      <c r="E135" s="22"/>
      <c r="F135" s="22"/>
      <c r="G135" s="22"/>
    </row>
    <row r="136" spans="1:15" ht="17.100000000000001" customHeight="1" x14ac:dyDescent="0.2">
      <c r="A136" s="22"/>
      <c r="B136" s="198" t="s">
        <v>982</v>
      </c>
      <c r="C136" s="199"/>
      <c r="D136" s="91" t="s">
        <v>128</v>
      </c>
      <c r="E136" s="22"/>
      <c r="F136" s="22"/>
      <c r="G136" s="22"/>
    </row>
    <row r="137" spans="1:15" ht="18" customHeight="1" x14ac:dyDescent="0.2">
      <c r="A137" s="22"/>
      <c r="B137" s="26"/>
      <c r="C137" s="26"/>
      <c r="D137" s="27"/>
      <c r="E137" s="22"/>
      <c r="F137" s="22"/>
      <c r="G137" s="22"/>
      <c r="I137" s="113"/>
      <c r="J137" s="113"/>
      <c r="K137" s="113"/>
      <c r="L137" s="113"/>
      <c r="M137" s="113"/>
      <c r="N137" s="113"/>
      <c r="O137" s="113"/>
    </row>
    <row r="138" spans="1:15" s="113" customFormat="1" x14ac:dyDescent="0.2">
      <c r="B138" s="202" t="s">
        <v>984</v>
      </c>
      <c r="C138" s="202"/>
      <c r="D138" s="202"/>
      <c r="E138" s="202"/>
      <c r="F138" s="202"/>
      <c r="I138"/>
      <c r="J138"/>
      <c r="K138"/>
      <c r="L138"/>
      <c r="M138"/>
      <c r="N138"/>
      <c r="O138"/>
    </row>
    <row r="139" spans="1:15" ht="14.1" customHeight="1" x14ac:dyDescent="0.2">
      <c r="A139" s="22"/>
      <c r="B139" s="19"/>
      <c r="C139" s="19"/>
      <c r="D139" s="22"/>
      <c r="E139" s="22"/>
      <c r="F139" s="22"/>
      <c r="G139" s="22"/>
    </row>
    <row r="140" spans="1:15" ht="29.1" customHeight="1" x14ac:dyDescent="0.2">
      <c r="A140" s="22"/>
      <c r="B140" s="198" t="s">
        <v>138</v>
      </c>
      <c r="C140" s="199"/>
      <c r="D140" s="2" t="s">
        <v>128</v>
      </c>
      <c r="E140" s="22"/>
      <c r="F140" s="22"/>
      <c r="G140" s="22"/>
    </row>
    <row r="141" spans="1:15" ht="29.1" customHeight="1" x14ac:dyDescent="0.2">
      <c r="A141" s="22"/>
      <c r="B141" s="198" t="s">
        <v>139</v>
      </c>
      <c r="C141" s="199"/>
      <c r="D141" s="2" t="s">
        <v>128</v>
      </c>
      <c r="E141" s="22"/>
      <c r="F141" s="22"/>
      <c r="G141" s="22"/>
    </row>
    <row r="142" spans="1:15" ht="17.100000000000001" customHeight="1" x14ac:dyDescent="0.2">
      <c r="A142" s="22"/>
      <c r="B142" s="198" t="s">
        <v>140</v>
      </c>
      <c r="C142" s="199"/>
      <c r="D142" s="28">
        <v>0.73292047497559631</v>
      </c>
      <c r="E142" s="22"/>
      <c r="F142" s="19"/>
      <c r="G142" s="25"/>
    </row>
    <row r="143" spans="1:15" ht="17.100000000000001" customHeight="1" x14ac:dyDescent="0.2">
      <c r="A143" s="22"/>
      <c r="B143" s="198" t="s">
        <v>141</v>
      </c>
      <c r="C143" s="199"/>
      <c r="D143" s="2" t="s">
        <v>128</v>
      </c>
      <c r="E143" s="22"/>
      <c r="F143" s="22"/>
      <c r="G143" s="22"/>
    </row>
  </sheetData>
  <mergeCells count="16">
    <mergeCell ref="B143:C143"/>
    <mergeCell ref="B126:C126"/>
    <mergeCell ref="B127:C127"/>
    <mergeCell ref="B128:C128"/>
    <mergeCell ref="B136:C136"/>
    <mergeCell ref="B140:C140"/>
    <mergeCell ref="B141:C141"/>
    <mergeCell ref="B138:F138"/>
    <mergeCell ref="A1:H1"/>
    <mergeCell ref="A2:H2"/>
    <mergeCell ref="A3:H3"/>
    <mergeCell ref="J2:N2"/>
    <mergeCell ref="B142:C142"/>
    <mergeCell ref="B125:C125"/>
    <mergeCell ref="B122:F122"/>
    <mergeCell ref="B123:F123"/>
  </mergeCell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74"/>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462</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52175</v>
      </c>
      <c r="F7" s="6">
        <v>845.02629999999999</v>
      </c>
      <c r="G7" s="7">
        <v>3.0445750000000001E-2</v>
      </c>
      <c r="H7" s="112"/>
    </row>
    <row r="8" spans="1:14" x14ac:dyDescent="0.2">
      <c r="A8" s="3">
        <v>2</v>
      </c>
      <c r="B8" s="4" t="s">
        <v>74</v>
      </c>
      <c r="C8" s="4" t="s">
        <v>75</v>
      </c>
      <c r="D8" s="4" t="s">
        <v>71</v>
      </c>
      <c r="E8" s="5">
        <v>185016</v>
      </c>
      <c r="F8" s="6">
        <v>713.51420399999995</v>
      </c>
      <c r="G8" s="7">
        <v>2.5707455000000001E-2</v>
      </c>
      <c r="H8" s="112"/>
    </row>
    <row r="9" spans="1:14" x14ac:dyDescent="0.2">
      <c r="A9" s="3">
        <v>3</v>
      </c>
      <c r="B9" s="4" t="s">
        <v>148</v>
      </c>
      <c r="C9" s="4" t="s">
        <v>149</v>
      </c>
      <c r="D9" s="4" t="s">
        <v>81</v>
      </c>
      <c r="E9" s="5">
        <v>542843</v>
      </c>
      <c r="F9" s="6">
        <v>704.61021400000004</v>
      </c>
      <c r="G9" s="7">
        <v>2.538665E-2</v>
      </c>
      <c r="H9" s="112"/>
    </row>
    <row r="10" spans="1:14" x14ac:dyDescent="0.2">
      <c r="A10" s="3">
        <v>4</v>
      </c>
      <c r="B10" s="4" t="s">
        <v>143</v>
      </c>
      <c r="C10" s="4" t="s">
        <v>144</v>
      </c>
      <c r="D10" s="4" t="s">
        <v>27</v>
      </c>
      <c r="E10" s="5">
        <v>76859</v>
      </c>
      <c r="F10" s="6">
        <v>701.7610995</v>
      </c>
      <c r="G10" s="7">
        <v>2.5283997999999999E-2</v>
      </c>
      <c r="H10" s="112"/>
    </row>
    <row r="11" spans="1:14" x14ac:dyDescent="0.2">
      <c r="A11" s="3">
        <v>5</v>
      </c>
      <c r="B11" s="4" t="s">
        <v>145</v>
      </c>
      <c r="C11" s="4" t="s">
        <v>146</v>
      </c>
      <c r="D11" s="4" t="s">
        <v>147</v>
      </c>
      <c r="E11" s="5">
        <v>20969</v>
      </c>
      <c r="F11" s="6">
        <v>700.02909599999998</v>
      </c>
      <c r="G11" s="7">
        <v>2.5221594999999999E-2</v>
      </c>
      <c r="H11" s="112"/>
    </row>
    <row r="12" spans="1:14" x14ac:dyDescent="0.2">
      <c r="A12" s="3">
        <v>6</v>
      </c>
      <c r="B12" s="4" t="s">
        <v>41</v>
      </c>
      <c r="C12" s="4" t="s">
        <v>42</v>
      </c>
      <c r="D12" s="4" t="s">
        <v>27</v>
      </c>
      <c r="E12" s="5">
        <v>51448</v>
      </c>
      <c r="F12" s="6">
        <v>681.91751599999998</v>
      </c>
      <c r="G12" s="7">
        <v>2.4569047E-2</v>
      </c>
      <c r="H12" s="112"/>
    </row>
    <row r="13" spans="1:14" x14ac:dyDescent="0.2">
      <c r="A13" s="3">
        <v>7</v>
      </c>
      <c r="B13" s="4" t="s">
        <v>150</v>
      </c>
      <c r="C13" s="4" t="s">
        <v>151</v>
      </c>
      <c r="D13" s="4" t="s">
        <v>27</v>
      </c>
      <c r="E13" s="5">
        <v>76754</v>
      </c>
      <c r="F13" s="6">
        <v>653.29167099999995</v>
      </c>
      <c r="G13" s="7">
        <v>2.3537676E-2</v>
      </c>
      <c r="H13" s="112"/>
    </row>
    <row r="14" spans="1:14" ht="25.5" x14ac:dyDescent="0.2">
      <c r="A14" s="3">
        <v>8</v>
      </c>
      <c r="B14" s="4" t="s">
        <v>152</v>
      </c>
      <c r="C14" s="4" t="s">
        <v>153</v>
      </c>
      <c r="D14" s="4" t="s">
        <v>45</v>
      </c>
      <c r="E14" s="5">
        <v>446179</v>
      </c>
      <c r="F14" s="6">
        <v>652.75987699999996</v>
      </c>
      <c r="G14" s="7">
        <v>2.3518516E-2</v>
      </c>
      <c r="H14" s="112"/>
    </row>
    <row r="15" spans="1:14" x14ac:dyDescent="0.2">
      <c r="A15" s="3">
        <v>9</v>
      </c>
      <c r="B15" s="4" t="s">
        <v>154</v>
      </c>
      <c r="C15" s="4" t="s">
        <v>155</v>
      </c>
      <c r="D15" s="4" t="s">
        <v>71</v>
      </c>
      <c r="E15" s="5">
        <v>116159</v>
      </c>
      <c r="F15" s="6">
        <v>627.37475900000004</v>
      </c>
      <c r="G15" s="7">
        <v>2.2603906E-2</v>
      </c>
      <c r="H15" s="112"/>
    </row>
    <row r="16" spans="1:14" ht="15" x14ac:dyDescent="0.2">
      <c r="A16" s="3">
        <v>10</v>
      </c>
      <c r="B16" s="4" t="s">
        <v>297</v>
      </c>
      <c r="C16" s="4" t="s">
        <v>298</v>
      </c>
      <c r="D16" s="4" t="s">
        <v>27</v>
      </c>
      <c r="E16" s="5">
        <v>89666</v>
      </c>
      <c r="F16" s="6">
        <v>600.94153200000005</v>
      </c>
      <c r="G16" s="7">
        <v>2.1651534E-2</v>
      </c>
      <c r="H16" s="112"/>
      <c r="J16" s="188" t="s">
        <v>1012</v>
      </c>
    </row>
    <row r="17" spans="1:8" x14ac:dyDescent="0.2">
      <c r="A17" s="3">
        <v>11</v>
      </c>
      <c r="B17" s="4" t="s">
        <v>160</v>
      </c>
      <c r="C17" s="4" t="s">
        <v>161</v>
      </c>
      <c r="D17" s="4" t="s">
        <v>162</v>
      </c>
      <c r="E17" s="5">
        <v>14600</v>
      </c>
      <c r="F17" s="6">
        <v>572.86019999999996</v>
      </c>
      <c r="G17" s="7">
        <v>2.0639781999999999E-2</v>
      </c>
      <c r="H17" s="112"/>
    </row>
    <row r="18" spans="1:8" x14ac:dyDescent="0.2">
      <c r="A18" s="3">
        <v>12</v>
      </c>
      <c r="B18" s="4" t="s">
        <v>463</v>
      </c>
      <c r="C18" s="4" t="s">
        <v>464</v>
      </c>
      <c r="D18" s="4" t="s">
        <v>71</v>
      </c>
      <c r="E18" s="5">
        <v>161016</v>
      </c>
      <c r="F18" s="6">
        <v>557.034852</v>
      </c>
      <c r="G18" s="7">
        <v>2.0069605000000001E-2</v>
      </c>
      <c r="H18" s="112"/>
    </row>
    <row r="19" spans="1:8" x14ac:dyDescent="0.2">
      <c r="A19" s="3">
        <v>13</v>
      </c>
      <c r="B19" s="4" t="s">
        <v>163</v>
      </c>
      <c r="C19" s="4" t="s">
        <v>164</v>
      </c>
      <c r="D19" s="4" t="s">
        <v>162</v>
      </c>
      <c r="E19" s="5">
        <v>173848</v>
      </c>
      <c r="F19" s="6">
        <v>536.66877599999998</v>
      </c>
      <c r="G19" s="7">
        <v>1.9335828999999999E-2</v>
      </c>
      <c r="H19" s="112"/>
    </row>
    <row r="20" spans="1:8" ht="25.5" x14ac:dyDescent="0.2">
      <c r="A20" s="3">
        <v>14</v>
      </c>
      <c r="B20" s="4" t="s">
        <v>37</v>
      </c>
      <c r="C20" s="4" t="s">
        <v>38</v>
      </c>
      <c r="D20" s="4" t="s">
        <v>971</v>
      </c>
      <c r="E20" s="5">
        <v>15321</v>
      </c>
      <c r="F20" s="6">
        <v>508.0060575</v>
      </c>
      <c r="G20" s="7">
        <v>1.8303129000000001E-2</v>
      </c>
      <c r="H20" s="112"/>
    </row>
    <row r="21" spans="1:8" x14ac:dyDescent="0.2">
      <c r="A21" s="3">
        <v>15</v>
      </c>
      <c r="B21" s="4" t="s">
        <v>65</v>
      </c>
      <c r="C21" s="4" t="s">
        <v>66</v>
      </c>
      <c r="D21" s="4" t="s">
        <v>64</v>
      </c>
      <c r="E21" s="5">
        <v>108670</v>
      </c>
      <c r="F21" s="6">
        <v>504.39180499999998</v>
      </c>
      <c r="G21" s="7">
        <v>1.817291E-2</v>
      </c>
      <c r="H21" s="112"/>
    </row>
    <row r="22" spans="1:8" x14ac:dyDescent="0.2">
      <c r="A22" s="3">
        <v>16</v>
      </c>
      <c r="B22" s="4" t="s">
        <v>167</v>
      </c>
      <c r="C22" s="4" t="s">
        <v>168</v>
      </c>
      <c r="D22" s="4" t="s">
        <v>81</v>
      </c>
      <c r="E22" s="5">
        <v>67799</v>
      </c>
      <c r="F22" s="6">
        <v>478.15244749999999</v>
      </c>
      <c r="G22" s="7">
        <v>1.7227523000000002E-2</v>
      </c>
      <c r="H22" s="112"/>
    </row>
    <row r="23" spans="1:8" x14ac:dyDescent="0.2">
      <c r="A23" s="3">
        <v>17</v>
      </c>
      <c r="B23" s="4" t="s">
        <v>294</v>
      </c>
      <c r="C23" s="4" t="s">
        <v>295</v>
      </c>
      <c r="D23" s="4" t="s">
        <v>64</v>
      </c>
      <c r="E23" s="5">
        <v>24104</v>
      </c>
      <c r="F23" s="6">
        <v>474.42698000000001</v>
      </c>
      <c r="G23" s="7">
        <v>1.7093297E-2</v>
      </c>
      <c r="H23" s="112"/>
    </row>
    <row r="24" spans="1:8" x14ac:dyDescent="0.2">
      <c r="A24" s="3">
        <v>18</v>
      </c>
      <c r="B24" s="4" t="s">
        <v>165</v>
      </c>
      <c r="C24" s="4" t="s">
        <v>166</v>
      </c>
      <c r="D24" s="4" t="s">
        <v>976</v>
      </c>
      <c r="E24" s="5">
        <v>106261</v>
      </c>
      <c r="F24" s="6">
        <v>445.2867205</v>
      </c>
      <c r="G24" s="7">
        <v>1.6043392E-2</v>
      </c>
      <c r="H24" s="112"/>
    </row>
    <row r="25" spans="1:8" x14ac:dyDescent="0.2">
      <c r="A25" s="3">
        <v>19</v>
      </c>
      <c r="B25" s="4" t="s">
        <v>364</v>
      </c>
      <c r="C25" s="4" t="s">
        <v>365</v>
      </c>
      <c r="D25" s="4" t="s">
        <v>173</v>
      </c>
      <c r="E25" s="5">
        <v>11524</v>
      </c>
      <c r="F25" s="6">
        <v>442.38907399999999</v>
      </c>
      <c r="G25" s="7">
        <v>1.5938991999999999E-2</v>
      </c>
      <c r="H25" s="112"/>
    </row>
    <row r="26" spans="1:8" x14ac:dyDescent="0.2">
      <c r="A26" s="3">
        <v>20</v>
      </c>
      <c r="B26" s="4" t="s">
        <v>465</v>
      </c>
      <c r="C26" s="4" t="s">
        <v>466</v>
      </c>
      <c r="D26" s="4" t="s">
        <v>50</v>
      </c>
      <c r="E26" s="5">
        <v>68578</v>
      </c>
      <c r="F26" s="6">
        <v>431.629932</v>
      </c>
      <c r="G26" s="7">
        <v>1.5551347E-2</v>
      </c>
      <c r="H26" s="112"/>
    </row>
    <row r="27" spans="1:8" x14ac:dyDescent="0.2">
      <c r="A27" s="3">
        <v>21</v>
      </c>
      <c r="B27" s="4" t="s">
        <v>171</v>
      </c>
      <c r="C27" s="4" t="s">
        <v>172</v>
      </c>
      <c r="D27" s="4" t="s">
        <v>173</v>
      </c>
      <c r="E27" s="5">
        <v>30365</v>
      </c>
      <c r="F27" s="6">
        <v>424.04722500000003</v>
      </c>
      <c r="G27" s="7">
        <v>1.5278147000000001E-2</v>
      </c>
      <c r="H27" s="112"/>
    </row>
    <row r="28" spans="1:8" x14ac:dyDescent="0.2">
      <c r="A28" s="3">
        <v>22</v>
      </c>
      <c r="B28" s="4" t="s">
        <v>174</v>
      </c>
      <c r="C28" s="4" t="s">
        <v>175</v>
      </c>
      <c r="D28" s="4" t="s">
        <v>162</v>
      </c>
      <c r="E28" s="5">
        <v>39945</v>
      </c>
      <c r="F28" s="6">
        <v>419.42250000000001</v>
      </c>
      <c r="G28" s="7">
        <v>1.5111520999999999E-2</v>
      </c>
      <c r="H28" s="112"/>
    </row>
    <row r="29" spans="1:8" ht="25.5" x14ac:dyDescent="0.2">
      <c r="A29" s="3">
        <v>23</v>
      </c>
      <c r="B29" s="4" t="s">
        <v>190</v>
      </c>
      <c r="C29" s="4" t="s">
        <v>191</v>
      </c>
      <c r="D29" s="4" t="s">
        <v>192</v>
      </c>
      <c r="E29" s="5">
        <v>79781</v>
      </c>
      <c r="F29" s="6">
        <v>417.3743015</v>
      </c>
      <c r="G29" s="7">
        <v>1.5037726E-2</v>
      </c>
      <c r="H29" s="112"/>
    </row>
    <row r="30" spans="1:8" x14ac:dyDescent="0.2">
      <c r="A30" s="3">
        <v>24</v>
      </c>
      <c r="B30" s="4" t="s">
        <v>182</v>
      </c>
      <c r="C30" s="4" t="s">
        <v>183</v>
      </c>
      <c r="D30" s="4" t="s">
        <v>162</v>
      </c>
      <c r="E30" s="5">
        <v>38730</v>
      </c>
      <c r="F30" s="6">
        <v>413.733225</v>
      </c>
      <c r="G30" s="7">
        <v>1.4906539999999999E-2</v>
      </c>
      <c r="H30" s="112"/>
    </row>
    <row r="31" spans="1:8" ht="25.5" x14ac:dyDescent="0.2">
      <c r="A31" s="3">
        <v>25</v>
      </c>
      <c r="B31" s="4" t="s">
        <v>467</v>
      </c>
      <c r="C31" s="4" t="s">
        <v>468</v>
      </c>
      <c r="D31" s="4" t="s">
        <v>45</v>
      </c>
      <c r="E31" s="5">
        <v>29564</v>
      </c>
      <c r="F31" s="6">
        <v>410.45179400000001</v>
      </c>
      <c r="G31" s="7">
        <v>1.4788312E-2</v>
      </c>
      <c r="H31" s="112"/>
    </row>
    <row r="32" spans="1:8" x14ac:dyDescent="0.2">
      <c r="A32" s="3">
        <v>26</v>
      </c>
      <c r="B32" s="4" t="s">
        <v>187</v>
      </c>
      <c r="C32" s="4" t="s">
        <v>188</v>
      </c>
      <c r="D32" s="4" t="s">
        <v>189</v>
      </c>
      <c r="E32" s="5">
        <v>178406</v>
      </c>
      <c r="F32" s="6">
        <v>402.48393600000003</v>
      </c>
      <c r="G32" s="7">
        <v>1.4501236000000001E-2</v>
      </c>
      <c r="H32" s="112"/>
    </row>
    <row r="33" spans="1:8" x14ac:dyDescent="0.2">
      <c r="A33" s="3">
        <v>27</v>
      </c>
      <c r="B33" s="4" t="s">
        <v>199</v>
      </c>
      <c r="C33" s="4" t="s">
        <v>200</v>
      </c>
      <c r="D33" s="4" t="s">
        <v>64</v>
      </c>
      <c r="E33" s="5">
        <v>359818</v>
      </c>
      <c r="F33" s="6">
        <v>376.729446</v>
      </c>
      <c r="G33" s="7">
        <v>1.3573317999999999E-2</v>
      </c>
      <c r="H33" s="112"/>
    </row>
    <row r="34" spans="1:8" ht="25.5" x14ac:dyDescent="0.2">
      <c r="A34" s="3">
        <v>28</v>
      </c>
      <c r="B34" s="4" t="s">
        <v>197</v>
      </c>
      <c r="C34" s="4" t="s">
        <v>198</v>
      </c>
      <c r="D34" s="4" t="s">
        <v>971</v>
      </c>
      <c r="E34" s="5">
        <v>154145</v>
      </c>
      <c r="F34" s="6">
        <v>368.25240500000001</v>
      </c>
      <c r="G34" s="7">
        <v>1.3267896E-2</v>
      </c>
      <c r="H34" s="112"/>
    </row>
    <row r="35" spans="1:8" x14ac:dyDescent="0.2">
      <c r="A35" s="3">
        <v>29</v>
      </c>
      <c r="B35" s="4" t="s">
        <v>203</v>
      </c>
      <c r="C35" s="4" t="s">
        <v>204</v>
      </c>
      <c r="D35" s="4" t="s">
        <v>81</v>
      </c>
      <c r="E35" s="5">
        <v>58366</v>
      </c>
      <c r="F35" s="6">
        <v>365.86727100000002</v>
      </c>
      <c r="G35" s="7">
        <v>1.3181961000000001E-2</v>
      </c>
      <c r="H35" s="112"/>
    </row>
    <row r="36" spans="1:8" x14ac:dyDescent="0.2">
      <c r="A36" s="3">
        <v>30</v>
      </c>
      <c r="B36" s="4" t="s">
        <v>205</v>
      </c>
      <c r="C36" s="4" t="s">
        <v>206</v>
      </c>
      <c r="D36" s="4" t="s">
        <v>975</v>
      </c>
      <c r="E36" s="5">
        <v>42000</v>
      </c>
      <c r="F36" s="6">
        <v>363.86700000000002</v>
      </c>
      <c r="G36" s="7">
        <v>1.3109892E-2</v>
      </c>
      <c r="H36" s="112"/>
    </row>
    <row r="37" spans="1:8" x14ac:dyDescent="0.2">
      <c r="A37" s="3">
        <v>31</v>
      </c>
      <c r="B37" s="4" t="s">
        <v>169</v>
      </c>
      <c r="C37" s="4" t="s">
        <v>170</v>
      </c>
      <c r="D37" s="4" t="s">
        <v>19</v>
      </c>
      <c r="E37" s="5">
        <v>196565</v>
      </c>
      <c r="F37" s="6">
        <v>354.89810749999998</v>
      </c>
      <c r="G37" s="7">
        <v>1.2786749E-2</v>
      </c>
      <c r="H37" s="112"/>
    </row>
    <row r="38" spans="1:8" x14ac:dyDescent="0.2">
      <c r="A38" s="3">
        <v>32</v>
      </c>
      <c r="B38" s="4" t="s">
        <v>469</v>
      </c>
      <c r="C38" s="4" t="s">
        <v>470</v>
      </c>
      <c r="D38" s="4" t="s">
        <v>71</v>
      </c>
      <c r="E38" s="5">
        <v>34343</v>
      </c>
      <c r="F38" s="6">
        <v>329.72714300000001</v>
      </c>
      <c r="G38" s="7">
        <v>1.1879855E-2</v>
      </c>
      <c r="H38" s="112"/>
    </row>
    <row r="39" spans="1:8" x14ac:dyDescent="0.2">
      <c r="A39" s="3">
        <v>33</v>
      </c>
      <c r="B39" s="4" t="s">
        <v>201</v>
      </c>
      <c r="C39" s="4" t="s">
        <v>202</v>
      </c>
      <c r="D39" s="4" t="s">
        <v>147</v>
      </c>
      <c r="E39" s="5">
        <v>23134</v>
      </c>
      <c r="F39" s="6">
        <v>327.29983199999998</v>
      </c>
      <c r="G39" s="7">
        <v>1.1792400999999999E-2</v>
      </c>
      <c r="H39" s="112"/>
    </row>
    <row r="40" spans="1:8" x14ac:dyDescent="0.2">
      <c r="A40" s="3">
        <v>34</v>
      </c>
      <c r="B40" s="4" t="s">
        <v>213</v>
      </c>
      <c r="C40" s="4" t="s">
        <v>214</v>
      </c>
      <c r="D40" s="4" t="s">
        <v>977</v>
      </c>
      <c r="E40" s="5">
        <v>55876</v>
      </c>
      <c r="F40" s="6">
        <v>324.24842799999999</v>
      </c>
      <c r="G40" s="7">
        <v>1.1682461E-2</v>
      </c>
      <c r="H40" s="112"/>
    </row>
    <row r="41" spans="1:8" x14ac:dyDescent="0.2">
      <c r="A41" s="3">
        <v>35</v>
      </c>
      <c r="B41" s="4" t="s">
        <v>195</v>
      </c>
      <c r="C41" s="4" t="s">
        <v>196</v>
      </c>
      <c r="D41" s="4" t="s">
        <v>34</v>
      </c>
      <c r="E41" s="5">
        <v>76646</v>
      </c>
      <c r="F41" s="6">
        <v>322.10481499999997</v>
      </c>
      <c r="G41" s="7">
        <v>1.1605228E-2</v>
      </c>
      <c r="H41" s="112"/>
    </row>
    <row r="42" spans="1:8" x14ac:dyDescent="0.2">
      <c r="A42" s="3">
        <v>36</v>
      </c>
      <c r="B42" s="4" t="s">
        <v>210</v>
      </c>
      <c r="C42" s="4" t="s">
        <v>211</v>
      </c>
      <c r="D42" s="4" t="s">
        <v>212</v>
      </c>
      <c r="E42" s="5">
        <v>129053</v>
      </c>
      <c r="F42" s="6">
        <v>320.30954600000001</v>
      </c>
      <c r="G42" s="7">
        <v>1.1540546E-2</v>
      </c>
      <c r="H42" s="112"/>
    </row>
    <row r="43" spans="1:8" x14ac:dyDescent="0.2">
      <c r="A43" s="3">
        <v>37</v>
      </c>
      <c r="B43" s="4" t="s">
        <v>471</v>
      </c>
      <c r="C43" s="4" t="s">
        <v>472</v>
      </c>
      <c r="D43" s="4" t="s">
        <v>27</v>
      </c>
      <c r="E43" s="5">
        <v>37025</v>
      </c>
      <c r="F43" s="6">
        <v>310.75082500000002</v>
      </c>
      <c r="G43" s="7">
        <v>1.1196151E-2</v>
      </c>
      <c r="H43" s="112"/>
    </row>
    <row r="44" spans="1:8" x14ac:dyDescent="0.2">
      <c r="A44" s="3">
        <v>38</v>
      </c>
      <c r="B44" s="4" t="s">
        <v>223</v>
      </c>
      <c r="C44" s="4" t="s">
        <v>224</v>
      </c>
      <c r="D44" s="4" t="s">
        <v>27</v>
      </c>
      <c r="E44" s="5">
        <v>17215</v>
      </c>
      <c r="F44" s="6">
        <v>309.51709249999999</v>
      </c>
      <c r="G44" s="7">
        <v>1.1151700000000001E-2</v>
      </c>
      <c r="H44" s="112"/>
    </row>
    <row r="45" spans="1:8" x14ac:dyDescent="0.2">
      <c r="A45" s="3">
        <v>39</v>
      </c>
      <c r="B45" s="4" t="s">
        <v>39</v>
      </c>
      <c r="C45" s="4" t="s">
        <v>40</v>
      </c>
      <c r="D45" s="4" t="s">
        <v>27</v>
      </c>
      <c r="E45" s="5">
        <v>12185</v>
      </c>
      <c r="F45" s="6">
        <v>308.48764499999999</v>
      </c>
      <c r="G45" s="7">
        <v>1.111461E-2</v>
      </c>
      <c r="H45" s="112"/>
    </row>
    <row r="46" spans="1:8" x14ac:dyDescent="0.2">
      <c r="A46" s="3">
        <v>40</v>
      </c>
      <c r="B46" s="4" t="s">
        <v>207</v>
      </c>
      <c r="C46" s="4" t="s">
        <v>208</v>
      </c>
      <c r="D46" s="4" t="s">
        <v>209</v>
      </c>
      <c r="E46" s="5">
        <v>65640</v>
      </c>
      <c r="F46" s="6">
        <v>305.68547999999998</v>
      </c>
      <c r="G46" s="7">
        <v>1.101365E-2</v>
      </c>
      <c r="H46" s="112"/>
    </row>
    <row r="47" spans="1:8" x14ac:dyDescent="0.2">
      <c r="A47" s="3">
        <v>41</v>
      </c>
      <c r="B47" s="4" t="s">
        <v>219</v>
      </c>
      <c r="C47" s="4" t="s">
        <v>220</v>
      </c>
      <c r="D47" s="4" t="s">
        <v>64</v>
      </c>
      <c r="E47" s="5">
        <v>31488</v>
      </c>
      <c r="F47" s="6">
        <v>303.56006400000001</v>
      </c>
      <c r="G47" s="7">
        <v>1.0937073E-2</v>
      </c>
      <c r="H47" s="112"/>
    </row>
    <row r="48" spans="1:8" x14ac:dyDescent="0.2">
      <c r="A48" s="3">
        <v>42</v>
      </c>
      <c r="B48" s="4" t="s">
        <v>184</v>
      </c>
      <c r="C48" s="4" t="s">
        <v>185</v>
      </c>
      <c r="D48" s="4" t="s">
        <v>186</v>
      </c>
      <c r="E48" s="5">
        <v>61645</v>
      </c>
      <c r="F48" s="6">
        <v>287.20405499999998</v>
      </c>
      <c r="G48" s="7">
        <v>1.0347776E-2</v>
      </c>
      <c r="H48" s="112"/>
    </row>
    <row r="49" spans="1:8" x14ac:dyDescent="0.2">
      <c r="A49" s="3">
        <v>43</v>
      </c>
      <c r="B49" s="4" t="s">
        <v>231</v>
      </c>
      <c r="C49" s="4" t="s">
        <v>232</v>
      </c>
      <c r="D49" s="4" t="s">
        <v>71</v>
      </c>
      <c r="E49" s="5">
        <v>102433</v>
      </c>
      <c r="F49" s="6">
        <v>286.14658550000001</v>
      </c>
      <c r="G49" s="7">
        <v>1.0309676E-2</v>
      </c>
      <c r="H49" s="112"/>
    </row>
    <row r="50" spans="1:8" x14ac:dyDescent="0.2">
      <c r="A50" s="3">
        <v>44</v>
      </c>
      <c r="B50" s="4" t="s">
        <v>227</v>
      </c>
      <c r="C50" s="4" t="s">
        <v>228</v>
      </c>
      <c r="D50" s="4" t="s">
        <v>974</v>
      </c>
      <c r="E50" s="5">
        <v>16514</v>
      </c>
      <c r="F50" s="6">
        <v>281.35727500000002</v>
      </c>
      <c r="G50" s="7">
        <v>1.0137119999999999E-2</v>
      </c>
      <c r="H50" s="112"/>
    </row>
    <row r="51" spans="1:8" x14ac:dyDescent="0.2">
      <c r="A51" s="3">
        <v>45</v>
      </c>
      <c r="B51" s="4" t="s">
        <v>238</v>
      </c>
      <c r="C51" s="4" t="s">
        <v>239</v>
      </c>
      <c r="D51" s="4" t="s">
        <v>186</v>
      </c>
      <c r="E51" s="5">
        <v>53835</v>
      </c>
      <c r="F51" s="6">
        <v>277.68092999999999</v>
      </c>
      <c r="G51" s="7">
        <v>1.0004664E-2</v>
      </c>
      <c r="H51" s="112"/>
    </row>
    <row r="52" spans="1:8" ht="25.5" x14ac:dyDescent="0.2">
      <c r="A52" s="3">
        <v>46</v>
      </c>
      <c r="B52" s="4" t="s">
        <v>235</v>
      </c>
      <c r="C52" s="4" t="s">
        <v>236</v>
      </c>
      <c r="D52" s="4" t="s">
        <v>192</v>
      </c>
      <c r="E52" s="5">
        <v>60329</v>
      </c>
      <c r="F52" s="6">
        <v>275.67336549999999</v>
      </c>
      <c r="G52" s="7">
        <v>9.9323329999999998E-3</v>
      </c>
      <c r="H52" s="112"/>
    </row>
    <row r="53" spans="1:8" x14ac:dyDescent="0.2">
      <c r="A53" s="3">
        <v>47</v>
      </c>
      <c r="B53" s="4" t="s">
        <v>240</v>
      </c>
      <c r="C53" s="4" t="s">
        <v>241</v>
      </c>
      <c r="D53" s="4" t="s">
        <v>81</v>
      </c>
      <c r="E53" s="5">
        <v>497258</v>
      </c>
      <c r="F53" s="6">
        <v>273.98915799999997</v>
      </c>
      <c r="G53" s="7">
        <v>9.8716519999999999E-3</v>
      </c>
      <c r="H53" s="112"/>
    </row>
    <row r="54" spans="1:8" x14ac:dyDescent="0.2">
      <c r="A54" s="3">
        <v>48</v>
      </c>
      <c r="B54" s="4" t="s">
        <v>176</v>
      </c>
      <c r="C54" s="4" t="s">
        <v>177</v>
      </c>
      <c r="D54" s="4" t="s">
        <v>178</v>
      </c>
      <c r="E54" s="5">
        <v>26884</v>
      </c>
      <c r="F54" s="6">
        <v>273.86730799999998</v>
      </c>
      <c r="G54" s="7">
        <v>9.8672619999999999E-3</v>
      </c>
      <c r="H54" s="112"/>
    </row>
    <row r="55" spans="1:8" x14ac:dyDescent="0.2">
      <c r="A55" s="3">
        <v>49</v>
      </c>
      <c r="B55" s="4" t="s">
        <v>291</v>
      </c>
      <c r="C55" s="4" t="s">
        <v>292</v>
      </c>
      <c r="D55" s="4" t="s">
        <v>27</v>
      </c>
      <c r="E55" s="5">
        <v>78645</v>
      </c>
      <c r="F55" s="6">
        <v>271.24660499999999</v>
      </c>
      <c r="G55" s="7">
        <v>9.7728399999999997E-3</v>
      </c>
      <c r="H55" s="112"/>
    </row>
    <row r="56" spans="1:8" x14ac:dyDescent="0.2">
      <c r="A56" s="3">
        <v>50</v>
      </c>
      <c r="B56" s="4" t="s">
        <v>244</v>
      </c>
      <c r="C56" s="4" t="s">
        <v>245</v>
      </c>
      <c r="D56" s="4" t="s">
        <v>173</v>
      </c>
      <c r="E56" s="5">
        <v>68046</v>
      </c>
      <c r="F56" s="6">
        <v>268.373424</v>
      </c>
      <c r="G56" s="7">
        <v>9.6693209999999998E-3</v>
      </c>
      <c r="H56" s="112"/>
    </row>
    <row r="57" spans="1:8" x14ac:dyDescent="0.2">
      <c r="A57" s="3">
        <v>51</v>
      </c>
      <c r="B57" s="4" t="s">
        <v>193</v>
      </c>
      <c r="C57" s="4" t="s">
        <v>194</v>
      </c>
      <c r="D57" s="4" t="s">
        <v>16</v>
      </c>
      <c r="E57" s="5">
        <v>85308</v>
      </c>
      <c r="F57" s="6">
        <v>264.79603200000003</v>
      </c>
      <c r="G57" s="7">
        <v>9.5404300000000008E-3</v>
      </c>
      <c r="H57" s="112"/>
    </row>
    <row r="58" spans="1:8" x14ac:dyDescent="0.2">
      <c r="A58" s="3">
        <v>52</v>
      </c>
      <c r="B58" s="4" t="s">
        <v>179</v>
      </c>
      <c r="C58" s="4" t="s">
        <v>180</v>
      </c>
      <c r="D58" s="4" t="s">
        <v>71</v>
      </c>
      <c r="E58" s="5">
        <v>25180</v>
      </c>
      <c r="F58" s="6">
        <v>258.19571999999999</v>
      </c>
      <c r="G58" s="7">
        <v>9.3026250000000001E-3</v>
      </c>
      <c r="H58" s="112"/>
    </row>
    <row r="59" spans="1:8" ht="25.5" x14ac:dyDescent="0.2">
      <c r="A59" s="3">
        <v>53</v>
      </c>
      <c r="B59" s="4" t="s">
        <v>246</v>
      </c>
      <c r="C59" s="4" t="s">
        <v>247</v>
      </c>
      <c r="D59" s="4" t="s">
        <v>978</v>
      </c>
      <c r="E59" s="5">
        <v>244575</v>
      </c>
      <c r="F59" s="6">
        <v>257.78205000000003</v>
      </c>
      <c r="G59" s="7">
        <v>9.2877199999999993E-3</v>
      </c>
      <c r="H59" s="112"/>
    </row>
    <row r="60" spans="1:8" ht="25.5" x14ac:dyDescent="0.2">
      <c r="A60" s="3">
        <v>54</v>
      </c>
      <c r="B60" s="4" t="s">
        <v>229</v>
      </c>
      <c r="C60" s="4" t="s">
        <v>230</v>
      </c>
      <c r="D60" s="4" t="s">
        <v>71</v>
      </c>
      <c r="E60" s="5">
        <v>12284</v>
      </c>
      <c r="F60" s="6">
        <v>254.64732000000001</v>
      </c>
      <c r="G60" s="7">
        <v>9.1747779999999998E-3</v>
      </c>
      <c r="H60" s="112"/>
    </row>
    <row r="61" spans="1:8" x14ac:dyDescent="0.2">
      <c r="A61" s="3">
        <v>55</v>
      </c>
      <c r="B61" s="4" t="s">
        <v>248</v>
      </c>
      <c r="C61" s="4" t="s">
        <v>249</v>
      </c>
      <c r="D61" s="4" t="s">
        <v>186</v>
      </c>
      <c r="E61" s="5">
        <v>15127</v>
      </c>
      <c r="F61" s="6">
        <v>253.85375049999999</v>
      </c>
      <c r="G61" s="7">
        <v>9.1461860000000006E-3</v>
      </c>
      <c r="H61" s="112"/>
    </row>
    <row r="62" spans="1:8" ht="25.5" x14ac:dyDescent="0.2">
      <c r="A62" s="3">
        <v>56</v>
      </c>
      <c r="B62" s="4" t="s">
        <v>181</v>
      </c>
      <c r="C62" s="4" t="s">
        <v>931</v>
      </c>
      <c r="D62" s="4" t="s">
        <v>45</v>
      </c>
      <c r="E62" s="5">
        <v>108094</v>
      </c>
      <c r="F62" s="6">
        <v>252.23734899999999</v>
      </c>
      <c r="G62" s="7">
        <v>9.0879480000000002E-3</v>
      </c>
      <c r="H62" s="112"/>
    </row>
    <row r="63" spans="1:8" ht="25.5" x14ac:dyDescent="0.2">
      <c r="A63" s="3">
        <v>57</v>
      </c>
      <c r="B63" s="4" t="s">
        <v>250</v>
      </c>
      <c r="C63" s="4" t="s">
        <v>251</v>
      </c>
      <c r="D63" s="4" t="s">
        <v>192</v>
      </c>
      <c r="E63" s="5">
        <v>63174</v>
      </c>
      <c r="F63" s="6">
        <v>240.37707</v>
      </c>
      <c r="G63" s="7">
        <v>8.6606300000000008E-3</v>
      </c>
      <c r="H63" s="112"/>
    </row>
    <row r="64" spans="1:8" x14ac:dyDescent="0.2">
      <c r="A64" s="3">
        <v>58</v>
      </c>
      <c r="B64" s="4" t="s">
        <v>287</v>
      </c>
      <c r="C64" s="4" t="s">
        <v>288</v>
      </c>
      <c r="D64" s="4" t="s">
        <v>27</v>
      </c>
      <c r="E64" s="5">
        <v>21807</v>
      </c>
      <c r="F64" s="6">
        <v>234.43615349999999</v>
      </c>
      <c r="G64" s="7">
        <v>8.4465830000000006E-3</v>
      </c>
      <c r="H64" s="112"/>
    </row>
    <row r="65" spans="1:8" x14ac:dyDescent="0.2">
      <c r="A65" s="3">
        <v>59</v>
      </c>
      <c r="B65" s="4" t="s">
        <v>156</v>
      </c>
      <c r="C65" s="4" t="s">
        <v>157</v>
      </c>
      <c r="D65" s="4" t="s">
        <v>974</v>
      </c>
      <c r="E65" s="5">
        <v>16645</v>
      </c>
      <c r="F65" s="6">
        <v>206.98057499999999</v>
      </c>
      <c r="G65" s="7">
        <v>7.4573759999999999E-3</v>
      </c>
      <c r="H65" s="112"/>
    </row>
    <row r="66" spans="1:8" x14ac:dyDescent="0.2">
      <c r="A66" s="3">
        <v>60</v>
      </c>
      <c r="B66" s="4" t="s">
        <v>258</v>
      </c>
      <c r="C66" s="4" t="s">
        <v>259</v>
      </c>
      <c r="D66" s="4" t="s">
        <v>53</v>
      </c>
      <c r="E66" s="5">
        <v>20203</v>
      </c>
      <c r="F66" s="6">
        <v>193.28210100000001</v>
      </c>
      <c r="G66" s="7">
        <v>6.9638290000000004E-3</v>
      </c>
      <c r="H66" s="112"/>
    </row>
    <row r="67" spans="1:8" x14ac:dyDescent="0.2">
      <c r="A67" s="3">
        <v>61</v>
      </c>
      <c r="B67" s="4" t="s">
        <v>260</v>
      </c>
      <c r="C67" s="4" t="s">
        <v>261</v>
      </c>
      <c r="D67" s="4" t="s">
        <v>173</v>
      </c>
      <c r="E67" s="5">
        <v>31011</v>
      </c>
      <c r="F67" s="6">
        <v>186.82576950000001</v>
      </c>
      <c r="G67" s="7">
        <v>6.7312120000000003E-3</v>
      </c>
      <c r="H67" s="112"/>
    </row>
    <row r="68" spans="1:8" x14ac:dyDescent="0.2">
      <c r="A68" s="3">
        <v>62</v>
      </c>
      <c r="B68" s="4" t="s">
        <v>267</v>
      </c>
      <c r="C68" s="4" t="s">
        <v>268</v>
      </c>
      <c r="D68" s="4" t="s">
        <v>19</v>
      </c>
      <c r="E68" s="5">
        <v>201808</v>
      </c>
      <c r="F68" s="6">
        <v>183.24166399999999</v>
      </c>
      <c r="G68" s="7">
        <v>6.6020790000000003E-3</v>
      </c>
      <c r="H68" s="112"/>
    </row>
    <row r="69" spans="1:8" x14ac:dyDescent="0.2">
      <c r="A69" s="3">
        <v>63</v>
      </c>
      <c r="B69" s="4" t="s">
        <v>225</v>
      </c>
      <c r="C69" s="4" t="s">
        <v>226</v>
      </c>
      <c r="D69" s="4" t="s">
        <v>71</v>
      </c>
      <c r="E69" s="5">
        <v>21557</v>
      </c>
      <c r="F69" s="6">
        <v>179.268012</v>
      </c>
      <c r="G69" s="7">
        <v>6.45891E-3</v>
      </c>
      <c r="H69" s="112"/>
    </row>
    <row r="70" spans="1:8" x14ac:dyDescent="0.2">
      <c r="A70" s="3">
        <v>64</v>
      </c>
      <c r="B70" s="4" t="s">
        <v>264</v>
      </c>
      <c r="C70" s="4" t="s">
        <v>265</v>
      </c>
      <c r="D70" s="4" t="s">
        <v>266</v>
      </c>
      <c r="E70" s="5">
        <v>75410</v>
      </c>
      <c r="F70" s="6">
        <v>173.103655</v>
      </c>
      <c r="G70" s="7">
        <v>6.2368129999999999E-3</v>
      </c>
      <c r="H70" s="112"/>
    </row>
    <row r="71" spans="1:8" x14ac:dyDescent="0.2">
      <c r="A71" s="3">
        <v>65</v>
      </c>
      <c r="B71" s="4" t="s">
        <v>254</v>
      </c>
      <c r="C71" s="4" t="s">
        <v>255</v>
      </c>
      <c r="D71" s="4" t="s">
        <v>162</v>
      </c>
      <c r="E71" s="5">
        <v>13443</v>
      </c>
      <c r="F71" s="6">
        <v>171.31759199999999</v>
      </c>
      <c r="G71" s="7">
        <v>6.1724620000000001E-3</v>
      </c>
      <c r="H71" s="112"/>
    </row>
    <row r="72" spans="1:8" x14ac:dyDescent="0.2">
      <c r="A72" s="3">
        <v>66</v>
      </c>
      <c r="B72" s="4" t="s">
        <v>242</v>
      </c>
      <c r="C72" s="4" t="s">
        <v>243</v>
      </c>
      <c r="D72" s="4" t="s">
        <v>334</v>
      </c>
      <c r="E72" s="5">
        <v>13773</v>
      </c>
      <c r="F72" s="6">
        <v>164.93167500000001</v>
      </c>
      <c r="G72" s="7">
        <v>5.9423810000000001E-3</v>
      </c>
      <c r="H72" s="112"/>
    </row>
    <row r="73" spans="1:8" x14ac:dyDescent="0.2">
      <c r="A73" s="3">
        <v>67</v>
      </c>
      <c r="B73" s="4" t="s">
        <v>269</v>
      </c>
      <c r="C73" s="4" t="s">
        <v>270</v>
      </c>
      <c r="D73" s="4" t="s">
        <v>186</v>
      </c>
      <c r="E73" s="5">
        <v>3032</v>
      </c>
      <c r="F73" s="6">
        <v>164.44810000000001</v>
      </c>
      <c r="G73" s="7">
        <v>5.9249589999999996E-3</v>
      </c>
      <c r="H73" s="112"/>
    </row>
    <row r="74" spans="1:8" x14ac:dyDescent="0.2">
      <c r="A74" s="3">
        <v>68</v>
      </c>
      <c r="B74" s="4" t="s">
        <v>473</v>
      </c>
      <c r="C74" s="4" t="s">
        <v>474</v>
      </c>
      <c r="D74" s="4" t="s">
        <v>81</v>
      </c>
      <c r="E74" s="5">
        <v>25528</v>
      </c>
      <c r="F74" s="6">
        <v>160.40518800000001</v>
      </c>
      <c r="G74" s="7">
        <v>5.7792950000000003E-3</v>
      </c>
      <c r="H74" s="112"/>
    </row>
    <row r="75" spans="1:8" x14ac:dyDescent="0.2">
      <c r="A75" s="3">
        <v>69</v>
      </c>
      <c r="B75" s="4" t="s">
        <v>277</v>
      </c>
      <c r="C75" s="4" t="s">
        <v>278</v>
      </c>
      <c r="D75" s="4" t="s">
        <v>186</v>
      </c>
      <c r="E75" s="5">
        <v>49569</v>
      </c>
      <c r="F75" s="6">
        <v>152.87079600000001</v>
      </c>
      <c r="G75" s="7">
        <v>5.5078360000000003E-3</v>
      </c>
      <c r="H75" s="112"/>
    </row>
    <row r="76" spans="1:8" x14ac:dyDescent="0.2">
      <c r="A76" s="3">
        <v>70</v>
      </c>
      <c r="B76" s="4" t="s">
        <v>271</v>
      </c>
      <c r="C76" s="4" t="s">
        <v>272</v>
      </c>
      <c r="D76" s="4" t="s">
        <v>147</v>
      </c>
      <c r="E76" s="5">
        <v>23384</v>
      </c>
      <c r="F76" s="6">
        <v>152.136304</v>
      </c>
      <c r="G76" s="7">
        <v>5.4813730000000003E-3</v>
      </c>
      <c r="H76" s="112"/>
    </row>
    <row r="77" spans="1:8" x14ac:dyDescent="0.2">
      <c r="A77" s="3">
        <v>71</v>
      </c>
      <c r="B77" s="4" t="s">
        <v>299</v>
      </c>
      <c r="C77" s="4" t="s">
        <v>300</v>
      </c>
      <c r="D77" s="4" t="s">
        <v>977</v>
      </c>
      <c r="E77" s="5">
        <v>379760</v>
      </c>
      <c r="F77" s="6">
        <v>139.94156000000001</v>
      </c>
      <c r="G77" s="7">
        <v>5.0420040000000001E-3</v>
      </c>
      <c r="H77" s="112"/>
    </row>
    <row r="78" spans="1:8" x14ac:dyDescent="0.2">
      <c r="A78" s="3">
        <v>72</v>
      </c>
      <c r="B78" s="4" t="s">
        <v>221</v>
      </c>
      <c r="C78" s="4" t="s">
        <v>222</v>
      </c>
      <c r="D78" s="4" t="s">
        <v>173</v>
      </c>
      <c r="E78" s="5">
        <v>15743</v>
      </c>
      <c r="F78" s="6">
        <v>135.688917</v>
      </c>
      <c r="G78" s="7">
        <v>4.8887840000000002E-3</v>
      </c>
      <c r="H78" s="112"/>
    </row>
    <row r="79" spans="1:8" x14ac:dyDescent="0.2">
      <c r="A79" s="3">
        <v>73</v>
      </c>
      <c r="B79" s="4" t="s">
        <v>475</v>
      </c>
      <c r="C79" s="4" t="s">
        <v>476</v>
      </c>
      <c r="D79" s="4" t="s">
        <v>212</v>
      </c>
      <c r="E79" s="5">
        <v>17256</v>
      </c>
      <c r="F79" s="6">
        <v>129.22155599999999</v>
      </c>
      <c r="G79" s="7">
        <v>4.6557689999999997E-3</v>
      </c>
      <c r="H79" s="112"/>
    </row>
    <row r="80" spans="1:8" x14ac:dyDescent="0.2">
      <c r="A80" s="3">
        <v>74</v>
      </c>
      <c r="B80" s="4" t="s">
        <v>477</v>
      </c>
      <c r="C80" s="4" t="s">
        <v>478</v>
      </c>
      <c r="D80" s="4" t="s">
        <v>974</v>
      </c>
      <c r="E80" s="5">
        <v>133950</v>
      </c>
      <c r="F80" s="6">
        <v>128.792925</v>
      </c>
      <c r="G80" s="7">
        <v>4.6403260000000002E-3</v>
      </c>
      <c r="H80" s="112"/>
    </row>
    <row r="81" spans="1:8" x14ac:dyDescent="0.2">
      <c r="A81" s="3">
        <v>75</v>
      </c>
      <c r="B81" s="4" t="s">
        <v>279</v>
      </c>
      <c r="C81" s="4" t="s">
        <v>280</v>
      </c>
      <c r="D81" s="4" t="s">
        <v>147</v>
      </c>
      <c r="E81" s="5">
        <v>9154</v>
      </c>
      <c r="F81" s="6">
        <v>119.867053</v>
      </c>
      <c r="G81" s="7">
        <v>4.3187319999999996E-3</v>
      </c>
      <c r="H81" s="112"/>
    </row>
    <row r="82" spans="1:8" x14ac:dyDescent="0.2">
      <c r="A82" s="3">
        <v>76</v>
      </c>
      <c r="B82" s="4" t="s">
        <v>275</v>
      </c>
      <c r="C82" s="4" t="s">
        <v>276</v>
      </c>
      <c r="D82" s="4" t="s">
        <v>162</v>
      </c>
      <c r="E82" s="5">
        <v>28631</v>
      </c>
      <c r="F82" s="6">
        <v>118.560971</v>
      </c>
      <c r="G82" s="7">
        <v>4.271675E-3</v>
      </c>
      <c r="H82" s="112"/>
    </row>
    <row r="83" spans="1:8" ht="38.25" x14ac:dyDescent="0.2">
      <c r="A83" s="3">
        <v>77</v>
      </c>
      <c r="B83" s="4" t="s">
        <v>289</v>
      </c>
      <c r="C83" s="4" t="s">
        <v>290</v>
      </c>
      <c r="D83" s="4" t="s">
        <v>972</v>
      </c>
      <c r="E83" s="5">
        <v>10008</v>
      </c>
      <c r="F83" s="6">
        <v>112.59</v>
      </c>
      <c r="G83" s="7">
        <v>4.0565449999999999E-3</v>
      </c>
      <c r="H83" s="112"/>
    </row>
    <row r="84" spans="1:8" x14ac:dyDescent="0.2">
      <c r="A84" s="3">
        <v>78</v>
      </c>
      <c r="B84" s="4" t="s">
        <v>281</v>
      </c>
      <c r="C84" s="4" t="s">
        <v>282</v>
      </c>
      <c r="D84" s="4" t="s">
        <v>334</v>
      </c>
      <c r="E84" s="5">
        <v>6207</v>
      </c>
      <c r="F84" s="6">
        <v>49.503928500000001</v>
      </c>
      <c r="G84" s="7">
        <v>1.7835940000000001E-3</v>
      </c>
      <c r="H84" s="112"/>
    </row>
    <row r="85" spans="1:8" x14ac:dyDescent="0.2">
      <c r="A85" s="3">
        <v>79</v>
      </c>
      <c r="B85" s="4" t="s">
        <v>283</v>
      </c>
      <c r="C85" s="4" t="s">
        <v>284</v>
      </c>
      <c r="D85" s="4" t="s">
        <v>19</v>
      </c>
      <c r="E85" s="5">
        <v>44137</v>
      </c>
      <c r="F85" s="6">
        <v>28.358022500000001</v>
      </c>
      <c r="G85" s="7">
        <v>1.021721E-3</v>
      </c>
      <c r="H85" s="112"/>
    </row>
    <row r="86" spans="1:8" x14ac:dyDescent="0.2">
      <c r="A86" s="1"/>
      <c r="B86" s="1"/>
      <c r="C86" s="2" t="s">
        <v>97</v>
      </c>
      <c r="D86" s="1"/>
      <c r="E86" s="1" t="s">
        <v>98</v>
      </c>
      <c r="F86" s="9">
        <v>26874.091710000001</v>
      </c>
      <c r="G86" s="10">
        <v>0.96825612500000002</v>
      </c>
      <c r="H86" s="112"/>
    </row>
    <row r="87" spans="1:8" x14ac:dyDescent="0.2">
      <c r="A87" s="1"/>
      <c r="B87" s="1"/>
      <c r="C87" s="11"/>
      <c r="D87" s="1"/>
      <c r="E87" s="1"/>
      <c r="F87" s="12"/>
      <c r="G87" s="12"/>
      <c r="H87" s="112"/>
    </row>
    <row r="88" spans="1:8" x14ac:dyDescent="0.2">
      <c r="A88" s="1"/>
      <c r="B88" s="1"/>
      <c r="C88" s="2" t="s">
        <v>99</v>
      </c>
      <c r="D88" s="1"/>
      <c r="E88" s="1"/>
      <c r="F88" s="1"/>
      <c r="G88" s="1"/>
      <c r="H88" s="112"/>
    </row>
    <row r="89" spans="1:8" x14ac:dyDescent="0.2">
      <c r="A89" s="1"/>
      <c r="B89" s="1"/>
      <c r="C89" s="2" t="s">
        <v>97</v>
      </c>
      <c r="D89" s="1"/>
      <c r="E89" s="1" t="s">
        <v>98</v>
      </c>
      <c r="F89" s="13">
        <v>0</v>
      </c>
      <c r="G89" s="14">
        <v>0</v>
      </c>
      <c r="H89" s="112"/>
    </row>
    <row r="90" spans="1:8" x14ac:dyDescent="0.2">
      <c r="A90" s="1"/>
      <c r="B90" s="1"/>
      <c r="C90" s="11"/>
      <c r="D90" s="1"/>
      <c r="E90" s="1"/>
      <c r="F90" s="12"/>
      <c r="G90" s="12"/>
      <c r="H90" s="112"/>
    </row>
    <row r="91" spans="1:8" x14ac:dyDescent="0.2">
      <c r="A91" s="1"/>
      <c r="B91" s="1"/>
      <c r="C91" s="2" t="s">
        <v>100</v>
      </c>
      <c r="D91" s="1"/>
      <c r="E91" s="1"/>
      <c r="F91" s="1"/>
      <c r="G91" s="1"/>
      <c r="H91" s="112"/>
    </row>
    <row r="92" spans="1:8" x14ac:dyDescent="0.2">
      <c r="A92" s="1"/>
      <c r="B92" s="1"/>
      <c r="C92" s="2" t="s">
        <v>97</v>
      </c>
      <c r="D92" s="1"/>
      <c r="E92" s="1" t="s">
        <v>98</v>
      </c>
      <c r="F92" s="13">
        <v>0</v>
      </c>
      <c r="G92" s="14">
        <v>0</v>
      </c>
      <c r="H92" s="112"/>
    </row>
    <row r="93" spans="1:8" x14ac:dyDescent="0.2">
      <c r="A93" s="1"/>
      <c r="B93" s="1"/>
      <c r="C93" s="11"/>
      <c r="D93" s="1"/>
      <c r="E93" s="1"/>
      <c r="F93" s="12"/>
      <c r="G93" s="12"/>
      <c r="H93" s="112"/>
    </row>
    <row r="94" spans="1:8" x14ac:dyDescent="0.2">
      <c r="A94" s="1"/>
      <c r="B94" s="1"/>
      <c r="C94" s="2" t="s">
        <v>101</v>
      </c>
      <c r="D94" s="1"/>
      <c r="E94" s="1"/>
      <c r="F94" s="1"/>
      <c r="G94" s="1"/>
      <c r="H94" s="112"/>
    </row>
    <row r="95" spans="1:8" x14ac:dyDescent="0.2">
      <c r="A95" s="1"/>
      <c r="B95" s="1"/>
      <c r="C95" s="2" t="s">
        <v>97</v>
      </c>
      <c r="D95" s="1"/>
      <c r="E95" s="1" t="s">
        <v>98</v>
      </c>
      <c r="F95" s="13">
        <v>0</v>
      </c>
      <c r="G95" s="14">
        <v>0</v>
      </c>
      <c r="H95" s="112"/>
    </row>
    <row r="96" spans="1:8" x14ac:dyDescent="0.2">
      <c r="A96" s="1"/>
      <c r="B96" s="1"/>
      <c r="C96" s="11"/>
      <c r="D96" s="1"/>
      <c r="E96" s="1"/>
      <c r="F96" s="12"/>
      <c r="G96" s="12"/>
      <c r="H96" s="112"/>
    </row>
    <row r="97" spans="1:8" x14ac:dyDescent="0.2">
      <c r="A97" s="1"/>
      <c r="B97" s="1"/>
      <c r="C97" s="2" t="s">
        <v>102</v>
      </c>
      <c r="D97" s="1"/>
      <c r="E97" s="1"/>
      <c r="F97" s="12"/>
      <c r="G97" s="12"/>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103</v>
      </c>
      <c r="D100" s="1"/>
      <c r="E100" s="1"/>
      <c r="F100" s="12"/>
      <c r="G100" s="12"/>
      <c r="H100" s="112"/>
    </row>
    <row r="101" spans="1:8" x14ac:dyDescent="0.2">
      <c r="A101" s="1"/>
      <c r="B101" s="1"/>
      <c r="C101" s="2" t="s">
        <v>97</v>
      </c>
      <c r="D101" s="1"/>
      <c r="E101" s="1" t="s">
        <v>98</v>
      </c>
      <c r="F101" s="13">
        <v>0</v>
      </c>
      <c r="G101" s="14">
        <v>0</v>
      </c>
      <c r="H101" s="112"/>
    </row>
    <row r="102" spans="1:8" x14ac:dyDescent="0.2">
      <c r="A102" s="1"/>
      <c r="B102" s="1"/>
      <c r="C102" s="11"/>
      <c r="D102" s="1"/>
      <c r="E102" s="1"/>
      <c r="F102" s="12"/>
      <c r="G102" s="12"/>
      <c r="H102" s="112"/>
    </row>
    <row r="103" spans="1:8" x14ac:dyDescent="0.2">
      <c r="A103" s="1"/>
      <c r="B103" s="1"/>
      <c r="C103" s="2" t="s">
        <v>104</v>
      </c>
      <c r="D103" s="1"/>
      <c r="E103" s="1"/>
      <c r="F103" s="9">
        <v>26874.091710000001</v>
      </c>
      <c r="G103" s="10">
        <v>0.96825612500000002</v>
      </c>
      <c r="H103" s="112"/>
    </row>
    <row r="104" spans="1:8" x14ac:dyDescent="0.2">
      <c r="A104" s="1"/>
      <c r="B104" s="1"/>
      <c r="C104" s="11"/>
      <c r="D104" s="1"/>
      <c r="E104" s="1"/>
      <c r="F104" s="12"/>
      <c r="G104" s="12"/>
      <c r="H104" s="112"/>
    </row>
    <row r="105" spans="1:8" x14ac:dyDescent="0.2">
      <c r="A105" s="1"/>
      <c r="B105" s="1"/>
      <c r="C105" s="2" t="s">
        <v>105</v>
      </c>
      <c r="D105" s="1"/>
      <c r="E105" s="1"/>
      <c r="F105" s="12"/>
      <c r="G105" s="12"/>
      <c r="H105" s="112"/>
    </row>
    <row r="106" spans="1:8" ht="25.5" x14ac:dyDescent="0.2">
      <c r="A106" s="1"/>
      <c r="B106" s="1"/>
      <c r="C106" s="2" t="s">
        <v>10</v>
      </c>
      <c r="D106" s="1"/>
      <c r="E106" s="1"/>
      <c r="F106" s="12"/>
      <c r="G106" s="12"/>
      <c r="H106" s="112"/>
    </row>
    <row r="107" spans="1:8" x14ac:dyDescent="0.2">
      <c r="A107" s="1"/>
      <c r="B107" s="1"/>
      <c r="C107" s="2" t="s">
        <v>97</v>
      </c>
      <c r="D107" s="1"/>
      <c r="E107" s="1" t="s">
        <v>98</v>
      </c>
      <c r="F107" s="13">
        <v>0</v>
      </c>
      <c r="G107" s="14">
        <v>0</v>
      </c>
      <c r="H107" s="112"/>
    </row>
    <row r="108" spans="1:8" x14ac:dyDescent="0.2">
      <c r="A108" s="1"/>
      <c r="B108" s="1"/>
      <c r="C108" s="11"/>
      <c r="D108" s="1"/>
      <c r="E108" s="1"/>
      <c r="F108" s="12"/>
      <c r="G108" s="12"/>
      <c r="H108" s="112"/>
    </row>
    <row r="109" spans="1:8" x14ac:dyDescent="0.2">
      <c r="A109" s="1"/>
      <c r="B109" s="1"/>
      <c r="C109" s="2" t="s">
        <v>106</v>
      </c>
      <c r="D109" s="1"/>
      <c r="E109" s="1"/>
      <c r="F109" s="1"/>
      <c r="G109" s="1"/>
      <c r="H109" s="112"/>
    </row>
    <row r="110" spans="1:8" x14ac:dyDescent="0.2">
      <c r="A110" s="1"/>
      <c r="B110" s="1"/>
      <c r="C110" s="2" t="s">
        <v>97</v>
      </c>
      <c r="D110" s="1"/>
      <c r="E110" s="1" t="s">
        <v>98</v>
      </c>
      <c r="F110" s="13">
        <v>0</v>
      </c>
      <c r="G110" s="14">
        <v>0</v>
      </c>
      <c r="H110" s="112"/>
    </row>
    <row r="111" spans="1:8" x14ac:dyDescent="0.2">
      <c r="A111" s="1"/>
      <c r="B111" s="1"/>
      <c r="C111" s="11"/>
      <c r="D111" s="1"/>
      <c r="E111" s="1"/>
      <c r="F111" s="12"/>
      <c r="G111" s="12"/>
      <c r="H111" s="112"/>
    </row>
    <row r="112" spans="1:8" x14ac:dyDescent="0.2">
      <c r="A112" s="1"/>
      <c r="B112" s="1"/>
      <c r="C112" s="2" t="s">
        <v>107</v>
      </c>
      <c r="D112" s="1"/>
      <c r="E112" s="1"/>
      <c r="F112" s="1"/>
      <c r="G112" s="1"/>
      <c r="H112" s="112"/>
    </row>
    <row r="113" spans="1:8" x14ac:dyDescent="0.2">
      <c r="A113" s="1"/>
      <c r="B113" s="1"/>
      <c r="C113" s="2" t="s">
        <v>97</v>
      </c>
      <c r="D113" s="1"/>
      <c r="E113" s="1" t="s">
        <v>98</v>
      </c>
      <c r="F113" s="13">
        <v>0</v>
      </c>
      <c r="G113" s="14">
        <v>0</v>
      </c>
      <c r="H113" s="112"/>
    </row>
    <row r="114" spans="1:8" x14ac:dyDescent="0.2">
      <c r="A114" s="1"/>
      <c r="B114" s="1"/>
      <c r="C114" s="11"/>
      <c r="D114" s="1"/>
      <c r="E114" s="1"/>
      <c r="F114" s="12"/>
      <c r="G114" s="12"/>
      <c r="H114" s="112"/>
    </row>
    <row r="115" spans="1:8" x14ac:dyDescent="0.2">
      <c r="A115" s="1"/>
      <c r="B115" s="1"/>
      <c r="C115" s="2" t="s">
        <v>108</v>
      </c>
      <c r="D115" s="1"/>
      <c r="E115" s="1"/>
      <c r="F115" s="12"/>
      <c r="G115" s="12"/>
      <c r="H115" s="112"/>
    </row>
    <row r="116" spans="1:8" x14ac:dyDescent="0.2">
      <c r="A116" s="1"/>
      <c r="B116" s="1"/>
      <c r="C116" s="2" t="s">
        <v>97</v>
      </c>
      <c r="D116" s="1"/>
      <c r="E116" s="1" t="s">
        <v>98</v>
      </c>
      <c r="F116" s="13">
        <v>0</v>
      </c>
      <c r="G116" s="14">
        <v>0</v>
      </c>
      <c r="H116" s="112"/>
    </row>
    <row r="117" spans="1:8" x14ac:dyDescent="0.2">
      <c r="A117" s="1"/>
      <c r="B117" s="1"/>
      <c r="C117" s="11"/>
      <c r="D117" s="1"/>
      <c r="E117" s="1"/>
      <c r="F117" s="12"/>
      <c r="G117" s="12"/>
      <c r="H117" s="112"/>
    </row>
    <row r="118" spans="1:8" x14ac:dyDescent="0.2">
      <c r="A118" s="1"/>
      <c r="B118" s="1"/>
      <c r="C118" s="2" t="s">
        <v>109</v>
      </c>
      <c r="D118" s="1"/>
      <c r="E118" s="1"/>
      <c r="F118" s="9">
        <v>0</v>
      </c>
      <c r="G118" s="10">
        <v>0</v>
      </c>
      <c r="H118" s="112"/>
    </row>
    <row r="119" spans="1:8" x14ac:dyDescent="0.2">
      <c r="A119" s="1"/>
      <c r="B119" s="1"/>
      <c r="C119" s="11"/>
      <c r="D119" s="1"/>
      <c r="E119" s="1"/>
      <c r="F119" s="12"/>
      <c r="G119" s="12"/>
      <c r="H119" s="112"/>
    </row>
    <row r="120" spans="1:8" x14ac:dyDescent="0.2">
      <c r="A120" s="1"/>
      <c r="B120" s="1"/>
      <c r="C120" s="2" t="s">
        <v>110</v>
      </c>
      <c r="D120" s="1"/>
      <c r="E120" s="1"/>
      <c r="F120" s="12"/>
      <c r="G120" s="12"/>
      <c r="H120" s="112"/>
    </row>
    <row r="121" spans="1:8" x14ac:dyDescent="0.2">
      <c r="A121" s="1"/>
      <c r="B121" s="1"/>
      <c r="C121" s="2" t="s">
        <v>111</v>
      </c>
      <c r="D121" s="1"/>
      <c r="E121" s="1"/>
      <c r="F121" s="12"/>
      <c r="G121" s="12"/>
      <c r="H121" s="112"/>
    </row>
    <row r="122" spans="1:8" x14ac:dyDescent="0.2">
      <c r="A122" s="1"/>
      <c r="B122" s="1"/>
      <c r="C122" s="2" t="s">
        <v>97</v>
      </c>
      <c r="D122" s="1"/>
      <c r="E122" s="1" t="s">
        <v>98</v>
      </c>
      <c r="F122" s="13">
        <v>0</v>
      </c>
      <c r="G122" s="14">
        <v>0</v>
      </c>
      <c r="H122" s="112"/>
    </row>
    <row r="123" spans="1:8" x14ac:dyDescent="0.2">
      <c r="A123" s="1"/>
      <c r="B123" s="1"/>
      <c r="C123" s="11"/>
      <c r="D123" s="1"/>
      <c r="E123" s="1"/>
      <c r="F123" s="12"/>
      <c r="G123" s="12"/>
      <c r="H123" s="112"/>
    </row>
    <row r="124" spans="1:8" x14ac:dyDescent="0.2">
      <c r="A124" s="1"/>
      <c r="B124" s="1"/>
      <c r="C124" s="2" t="s">
        <v>112</v>
      </c>
      <c r="D124" s="1"/>
      <c r="E124" s="1"/>
      <c r="F124" s="12"/>
      <c r="G124" s="12"/>
      <c r="H124" s="112"/>
    </row>
    <row r="125" spans="1:8" x14ac:dyDescent="0.2">
      <c r="A125" s="1"/>
      <c r="B125" s="1"/>
      <c r="C125" s="2" t="s">
        <v>97</v>
      </c>
      <c r="D125" s="1"/>
      <c r="E125" s="1" t="s">
        <v>98</v>
      </c>
      <c r="F125" s="13">
        <v>0</v>
      </c>
      <c r="G125" s="14">
        <v>0</v>
      </c>
      <c r="H125" s="112"/>
    </row>
    <row r="126" spans="1:8" x14ac:dyDescent="0.2">
      <c r="A126" s="1"/>
      <c r="B126" s="1"/>
      <c r="C126" s="11"/>
      <c r="D126" s="1"/>
      <c r="E126" s="1"/>
      <c r="F126" s="12"/>
      <c r="G126" s="12"/>
      <c r="H126" s="112"/>
    </row>
    <row r="127" spans="1:8" x14ac:dyDescent="0.2">
      <c r="A127" s="1"/>
      <c r="B127" s="1"/>
      <c r="C127" s="2" t="s">
        <v>113</v>
      </c>
      <c r="D127" s="1"/>
      <c r="E127" s="1"/>
      <c r="F127" s="12"/>
      <c r="G127" s="12"/>
      <c r="H127" s="112"/>
    </row>
    <row r="128" spans="1:8" x14ac:dyDescent="0.2">
      <c r="A128" s="1"/>
      <c r="B128" s="1"/>
      <c r="C128" s="2" t="s">
        <v>97</v>
      </c>
      <c r="D128" s="1"/>
      <c r="E128" s="1" t="s">
        <v>98</v>
      </c>
      <c r="F128" s="13">
        <v>0</v>
      </c>
      <c r="G128" s="14">
        <v>0</v>
      </c>
      <c r="H128" s="112"/>
    </row>
    <row r="129" spans="1:8" x14ac:dyDescent="0.2">
      <c r="A129" s="1"/>
      <c r="B129" s="1"/>
      <c r="C129" s="11"/>
      <c r="D129" s="1"/>
      <c r="E129" s="1"/>
      <c r="F129" s="12"/>
      <c r="G129" s="12"/>
      <c r="H129" s="112"/>
    </row>
    <row r="130" spans="1:8" x14ac:dyDescent="0.2">
      <c r="A130" s="1"/>
      <c r="B130" s="1"/>
      <c r="C130" s="2" t="s">
        <v>114</v>
      </c>
      <c r="D130" s="1"/>
      <c r="E130" s="1"/>
      <c r="F130" s="12"/>
      <c r="G130" s="12"/>
      <c r="H130" s="112"/>
    </row>
    <row r="131" spans="1:8" x14ac:dyDescent="0.2">
      <c r="A131" s="3">
        <v>1</v>
      </c>
      <c r="B131" s="4"/>
      <c r="C131" s="4" t="s">
        <v>115</v>
      </c>
      <c r="D131" s="4"/>
      <c r="E131" s="8"/>
      <c r="F131" s="6">
        <v>645.20173292358857</v>
      </c>
      <c r="G131" s="7">
        <v>2.3246200680080081E-2</v>
      </c>
      <c r="H131" s="6">
        <v>3.3211324282253978</v>
      </c>
    </row>
    <row r="132" spans="1:8" x14ac:dyDescent="0.2">
      <c r="A132" s="3">
        <v>2</v>
      </c>
      <c r="B132" s="4"/>
      <c r="C132" s="4" t="s">
        <v>116</v>
      </c>
      <c r="D132" s="4"/>
      <c r="E132" s="8"/>
      <c r="F132" s="6">
        <v>253.45036395004138</v>
      </c>
      <c r="G132" s="7">
        <v>9.1316525083167416E-3</v>
      </c>
      <c r="H132" s="6">
        <v>3.35</v>
      </c>
    </row>
    <row r="133" spans="1:8" x14ac:dyDescent="0.2">
      <c r="A133" s="1"/>
      <c r="B133" s="1"/>
      <c r="C133" s="2" t="s">
        <v>97</v>
      </c>
      <c r="D133" s="1"/>
      <c r="E133" s="1" t="s">
        <v>98</v>
      </c>
      <c r="F133" s="9">
        <v>898.65209687362994</v>
      </c>
      <c r="G133" s="10">
        <v>3.2377853188396824E-2</v>
      </c>
      <c r="H133" s="112"/>
    </row>
    <row r="134" spans="1:8" x14ac:dyDescent="0.2">
      <c r="A134" s="1"/>
      <c r="B134" s="1"/>
      <c r="C134" s="11"/>
      <c r="D134" s="1"/>
      <c r="E134" s="1"/>
      <c r="F134" s="12"/>
      <c r="G134" s="12"/>
      <c r="H134" s="112"/>
    </row>
    <row r="135" spans="1:8" x14ac:dyDescent="0.2">
      <c r="A135" s="1"/>
      <c r="B135" s="1"/>
      <c r="C135" s="2" t="s">
        <v>117</v>
      </c>
      <c r="D135" s="1"/>
      <c r="E135" s="1"/>
      <c r="F135" s="9">
        <v>898.65209687362994</v>
      </c>
      <c r="G135" s="10">
        <v>3.2377853188396824E-2</v>
      </c>
      <c r="H135" s="112"/>
    </row>
    <row r="136" spans="1:8" x14ac:dyDescent="0.2">
      <c r="A136" s="1"/>
      <c r="B136" s="1"/>
      <c r="C136" s="12"/>
      <c r="D136" s="1"/>
      <c r="E136" s="1"/>
      <c r="F136" s="1"/>
      <c r="G136" s="1"/>
      <c r="H136" s="112"/>
    </row>
    <row r="137" spans="1:8" x14ac:dyDescent="0.2">
      <c r="A137" s="1"/>
      <c r="B137" s="1"/>
      <c r="C137" s="2" t="s">
        <v>118</v>
      </c>
      <c r="D137" s="1"/>
      <c r="E137" s="1"/>
      <c r="F137" s="1"/>
      <c r="G137" s="1"/>
      <c r="H137" s="112"/>
    </row>
    <row r="138" spans="1:8" x14ac:dyDescent="0.2">
      <c r="A138" s="1"/>
      <c r="B138" s="1"/>
      <c r="C138" s="2" t="s">
        <v>119</v>
      </c>
      <c r="D138" s="1"/>
      <c r="E138" s="1"/>
      <c r="F138" s="1"/>
      <c r="G138" s="1"/>
      <c r="H138" s="112"/>
    </row>
    <row r="139" spans="1:8" x14ac:dyDescent="0.2">
      <c r="A139" s="1"/>
      <c r="B139" s="1"/>
      <c r="C139" s="2" t="s">
        <v>97</v>
      </c>
      <c r="D139" s="1"/>
      <c r="E139" s="1" t="s">
        <v>98</v>
      </c>
      <c r="F139" s="13">
        <v>0</v>
      </c>
      <c r="G139" s="14">
        <v>0</v>
      </c>
      <c r="H139" s="112"/>
    </row>
    <row r="140" spans="1:8" x14ac:dyDescent="0.2">
      <c r="A140" s="1"/>
      <c r="B140" s="1"/>
      <c r="C140" s="11"/>
      <c r="D140" s="1"/>
      <c r="E140" s="1"/>
      <c r="F140" s="12"/>
      <c r="G140" s="12"/>
      <c r="H140" s="112"/>
    </row>
    <row r="141" spans="1:8" x14ac:dyDescent="0.2">
      <c r="A141" s="1"/>
      <c r="B141" s="1"/>
      <c r="C141" s="2" t="s">
        <v>120</v>
      </c>
      <c r="D141" s="1"/>
      <c r="E141" s="1"/>
      <c r="F141" s="1"/>
      <c r="G141" s="1"/>
      <c r="H141" s="112"/>
    </row>
    <row r="142" spans="1:8" x14ac:dyDescent="0.2">
      <c r="A142" s="1"/>
      <c r="B142" s="1"/>
      <c r="C142" s="2" t="s">
        <v>121</v>
      </c>
      <c r="D142" s="1"/>
      <c r="E142" s="1"/>
      <c r="F142" s="1"/>
      <c r="G142" s="1"/>
      <c r="H142" s="112"/>
    </row>
    <row r="143" spans="1:8" x14ac:dyDescent="0.2">
      <c r="A143" s="1"/>
      <c r="B143" s="1"/>
      <c r="C143" s="2" t="s">
        <v>97</v>
      </c>
      <c r="D143" s="1"/>
      <c r="E143" s="1" t="s">
        <v>98</v>
      </c>
      <c r="F143" s="13">
        <v>0</v>
      </c>
      <c r="G143" s="14">
        <v>0</v>
      </c>
      <c r="H143" s="112"/>
    </row>
    <row r="144" spans="1:8" x14ac:dyDescent="0.2">
      <c r="A144" s="1"/>
      <c r="B144" s="1"/>
      <c r="C144" s="11"/>
      <c r="D144" s="1"/>
      <c r="E144" s="1"/>
      <c r="F144" s="12"/>
      <c r="G144" s="12"/>
      <c r="H144" s="112"/>
    </row>
    <row r="145" spans="1:8" x14ac:dyDescent="0.2">
      <c r="A145" s="1"/>
      <c r="B145" s="1"/>
      <c r="C145" s="11"/>
      <c r="D145" s="1"/>
      <c r="E145" s="1"/>
      <c r="F145" s="12"/>
      <c r="G145" s="12"/>
      <c r="H145" s="112"/>
    </row>
    <row r="146" spans="1:8" ht="25.5" x14ac:dyDescent="0.2">
      <c r="A146" s="1"/>
      <c r="B146" s="1"/>
      <c r="C146" s="2" t="s">
        <v>122</v>
      </c>
      <c r="D146" s="1"/>
      <c r="E146" s="1"/>
      <c r="F146" s="12"/>
      <c r="G146" s="12"/>
      <c r="H146" s="112"/>
    </row>
    <row r="147" spans="1:8" x14ac:dyDescent="0.2">
      <c r="A147" s="1"/>
      <c r="B147" s="1"/>
      <c r="C147" s="2" t="s">
        <v>97</v>
      </c>
      <c r="D147" s="1"/>
      <c r="E147" s="1" t="s">
        <v>98</v>
      </c>
      <c r="F147" s="13">
        <v>0</v>
      </c>
      <c r="G147" s="14">
        <v>0</v>
      </c>
      <c r="H147" s="112"/>
    </row>
    <row r="148" spans="1:8" x14ac:dyDescent="0.2">
      <c r="A148" s="1"/>
      <c r="B148" s="1"/>
      <c r="C148" s="11"/>
      <c r="D148" s="1"/>
      <c r="E148" s="1"/>
      <c r="F148" s="12"/>
      <c r="G148" s="12"/>
      <c r="H148" s="112"/>
    </row>
    <row r="149" spans="1:8" x14ac:dyDescent="0.2">
      <c r="A149" s="1"/>
      <c r="B149" s="4"/>
      <c r="C149" s="4"/>
      <c r="D149" s="2"/>
      <c r="E149" s="1"/>
      <c r="F149" s="4"/>
      <c r="G149" s="8"/>
      <c r="H149" s="112"/>
    </row>
    <row r="150" spans="1:8" x14ac:dyDescent="0.2">
      <c r="A150" s="8"/>
      <c r="B150" s="4"/>
      <c r="C150" s="4" t="s">
        <v>123</v>
      </c>
      <c r="D150" s="4"/>
      <c r="E150" s="8"/>
      <c r="F150" s="6">
        <v>-17.5960912400414</v>
      </c>
      <c r="G150" s="7">
        <v>-6.3397577420866056E-4</v>
      </c>
      <c r="H150" s="112"/>
    </row>
    <row r="151" spans="1:8" x14ac:dyDescent="0.2">
      <c r="A151" s="11"/>
      <c r="B151" s="11"/>
      <c r="C151" s="2" t="s">
        <v>124</v>
      </c>
      <c r="D151" s="15"/>
      <c r="E151" s="15"/>
      <c r="F151" s="9">
        <v>27755.14768211</v>
      </c>
      <c r="G151" s="10">
        <v>1.0000000010000001</v>
      </c>
      <c r="H151" s="112"/>
    </row>
    <row r="152" spans="1:8" ht="14.1" customHeight="1" x14ac:dyDescent="0.2">
      <c r="A152" s="16"/>
      <c r="B152" s="16"/>
      <c r="C152" s="16"/>
      <c r="D152" s="17"/>
      <c r="E152" s="17"/>
      <c r="F152" s="17"/>
      <c r="G152" s="17"/>
    </row>
    <row r="153" spans="1:8" ht="14.1" customHeight="1" x14ac:dyDescent="0.2">
      <c r="A153" s="18"/>
      <c r="B153" s="205" t="s">
        <v>98</v>
      </c>
      <c r="C153" s="205"/>
      <c r="D153" s="205"/>
      <c r="E153" s="205"/>
      <c r="F153" s="205"/>
      <c r="G153" s="20"/>
    </row>
    <row r="154" spans="1:8" ht="14.1" customHeight="1" x14ac:dyDescent="0.2">
      <c r="A154" s="18"/>
      <c r="B154" s="205" t="s">
        <v>98</v>
      </c>
      <c r="C154" s="205"/>
      <c r="D154" s="205"/>
      <c r="E154" s="205"/>
      <c r="F154" s="205"/>
      <c r="G154" s="20"/>
    </row>
    <row r="155" spans="1:8" ht="14.1" customHeight="1" x14ac:dyDescent="0.2">
      <c r="A155" s="18"/>
      <c r="B155" s="18"/>
      <c r="C155" s="18"/>
      <c r="D155" s="20"/>
      <c r="E155" s="20"/>
      <c r="F155" s="20"/>
      <c r="G155" s="20"/>
    </row>
    <row r="156" spans="1:8" ht="14.1" customHeight="1" x14ac:dyDescent="0.2">
      <c r="A156" s="18"/>
      <c r="B156" s="203" t="s">
        <v>126</v>
      </c>
      <c r="C156" s="204"/>
      <c r="D156" s="12" t="s">
        <v>98</v>
      </c>
      <c r="E156" s="21"/>
      <c r="F156" s="20"/>
      <c r="G156" s="20"/>
    </row>
    <row r="157" spans="1:8" ht="29.1" customHeight="1" x14ac:dyDescent="0.2">
      <c r="A157" s="18"/>
      <c r="B157" s="198" t="s">
        <v>127</v>
      </c>
      <c r="C157" s="199"/>
      <c r="D157" s="2" t="s">
        <v>128</v>
      </c>
      <c r="E157" s="21"/>
      <c r="F157" s="20"/>
      <c r="G157" s="20"/>
    </row>
    <row r="158" spans="1:8" ht="17.100000000000001" customHeight="1" x14ac:dyDescent="0.2">
      <c r="A158" s="18"/>
      <c r="B158" s="198" t="s">
        <v>129</v>
      </c>
      <c r="C158" s="199"/>
      <c r="D158" s="2" t="s">
        <v>128</v>
      </c>
      <c r="E158" s="21"/>
      <c r="F158" s="20"/>
      <c r="G158" s="20"/>
    </row>
    <row r="159" spans="1:8" ht="17.100000000000001" customHeight="1" x14ac:dyDescent="0.2">
      <c r="A159" s="18"/>
      <c r="B159" s="198" t="s">
        <v>130</v>
      </c>
      <c r="C159" s="199"/>
      <c r="D159" s="12" t="s">
        <v>98</v>
      </c>
      <c r="E159" s="21"/>
      <c r="F159" s="20"/>
      <c r="G159" s="20"/>
    </row>
    <row r="160" spans="1:8" ht="24" customHeight="1" x14ac:dyDescent="0.2">
      <c r="A160" s="22"/>
      <c r="B160" s="23" t="s">
        <v>98</v>
      </c>
      <c r="C160" s="23" t="s">
        <v>131</v>
      </c>
      <c r="D160" s="23" t="s">
        <v>132</v>
      </c>
      <c r="E160" s="22"/>
      <c r="F160" s="22"/>
      <c r="G160" s="22"/>
    </row>
    <row r="161" spans="1:15" ht="18" customHeight="1" x14ac:dyDescent="0.2">
      <c r="A161" s="22"/>
      <c r="B161" s="23" t="s">
        <v>133</v>
      </c>
      <c r="C161" s="23" t="s">
        <v>134</v>
      </c>
      <c r="D161" s="23" t="s">
        <v>135</v>
      </c>
      <c r="E161" s="22"/>
      <c r="F161" s="22"/>
      <c r="G161" s="22"/>
    </row>
    <row r="162" spans="1:15" ht="17.100000000000001" customHeight="1" x14ac:dyDescent="0.2">
      <c r="A162" s="22"/>
      <c r="B162" s="4" t="s">
        <v>136</v>
      </c>
      <c r="C162" s="24">
        <v>14.9467</v>
      </c>
      <c r="D162" s="24">
        <v>15.3461</v>
      </c>
      <c r="E162" s="22"/>
      <c r="F162" s="19"/>
      <c r="G162" s="25"/>
    </row>
    <row r="163" spans="1:15" ht="17.100000000000001" customHeight="1" x14ac:dyDescent="0.2">
      <c r="A163" s="22"/>
      <c r="B163" s="4" t="s">
        <v>980</v>
      </c>
      <c r="C163" s="24">
        <v>14.9467</v>
      </c>
      <c r="D163" s="24">
        <v>15.346</v>
      </c>
      <c r="E163" s="22"/>
      <c r="F163" s="19"/>
      <c r="G163" s="25"/>
    </row>
    <row r="164" spans="1:15" ht="17.100000000000001" customHeight="1" x14ac:dyDescent="0.2">
      <c r="A164" s="22"/>
      <c r="B164" s="4" t="s">
        <v>137</v>
      </c>
      <c r="C164" s="24">
        <v>14.5722</v>
      </c>
      <c r="D164" s="24">
        <v>14.956</v>
      </c>
      <c r="E164" s="22"/>
      <c r="F164" s="19"/>
      <c r="G164" s="25"/>
    </row>
    <row r="165" spans="1:15" ht="17.100000000000001" customHeight="1" x14ac:dyDescent="0.2">
      <c r="A165" s="22"/>
      <c r="B165" s="4" t="s">
        <v>981</v>
      </c>
      <c r="C165" s="24">
        <v>14.5722</v>
      </c>
      <c r="D165" s="24">
        <v>14.956</v>
      </c>
      <c r="E165" s="22"/>
      <c r="F165" s="19"/>
      <c r="G165" s="25"/>
      <c r="I165" s="113"/>
      <c r="J165" s="113"/>
      <c r="K165" s="113"/>
      <c r="L165" s="113"/>
      <c r="M165" s="113"/>
      <c r="N165" s="113"/>
      <c r="O165" s="113"/>
    </row>
    <row r="166" spans="1:15" ht="14.1" customHeight="1" x14ac:dyDescent="0.2">
      <c r="A166" s="22"/>
      <c r="B166" s="22"/>
      <c r="C166" s="22"/>
      <c r="D166" s="22"/>
      <c r="E166" s="22"/>
      <c r="F166" s="22"/>
      <c r="G166" s="22"/>
    </row>
    <row r="167" spans="1:15" ht="17.100000000000001" customHeight="1" x14ac:dyDescent="0.2">
      <c r="A167" s="22"/>
      <c r="B167" s="198" t="s">
        <v>982</v>
      </c>
      <c r="C167" s="199"/>
      <c r="D167" s="91" t="s">
        <v>128</v>
      </c>
      <c r="E167" s="22"/>
      <c r="F167" s="22"/>
      <c r="G167" s="22"/>
    </row>
    <row r="168" spans="1:15" ht="18" customHeight="1" x14ac:dyDescent="0.2">
      <c r="A168" s="22"/>
      <c r="B168" s="26"/>
      <c r="C168" s="26"/>
      <c r="D168" s="27"/>
      <c r="E168" s="22"/>
      <c r="F168" s="22"/>
      <c r="G168" s="22"/>
    </row>
    <row r="169" spans="1:15" s="113" customFormat="1" x14ac:dyDescent="0.2">
      <c r="B169" s="202" t="s">
        <v>984</v>
      </c>
      <c r="C169" s="202"/>
      <c r="D169" s="202"/>
      <c r="E169" s="202"/>
      <c r="F169" s="202"/>
      <c r="I169"/>
      <c r="J169"/>
      <c r="K169"/>
      <c r="L169"/>
      <c r="M169"/>
      <c r="N169"/>
      <c r="O169"/>
    </row>
    <row r="170" spans="1:15" ht="14.1" customHeight="1" x14ac:dyDescent="0.2">
      <c r="A170" s="22"/>
      <c r="B170" s="19"/>
      <c r="C170" s="19"/>
      <c r="D170" s="22"/>
      <c r="E170" s="22"/>
      <c r="F170" s="22"/>
      <c r="G170" s="22"/>
    </row>
    <row r="171" spans="1:15" ht="29.1" customHeight="1" x14ac:dyDescent="0.2">
      <c r="A171" s="22"/>
      <c r="B171" s="198" t="s">
        <v>138</v>
      </c>
      <c r="C171" s="199"/>
      <c r="D171" s="2" t="s">
        <v>128</v>
      </c>
      <c r="E171" s="22"/>
      <c r="F171" s="22"/>
      <c r="G171" s="22"/>
    </row>
    <row r="172" spans="1:15" ht="29.1" customHeight="1" x14ac:dyDescent="0.2">
      <c r="A172" s="22"/>
      <c r="B172" s="198" t="s">
        <v>139</v>
      </c>
      <c r="C172" s="199"/>
      <c r="D172" s="2" t="s">
        <v>128</v>
      </c>
      <c r="E172" s="22"/>
      <c r="F172" s="22"/>
      <c r="G172" s="22"/>
    </row>
    <row r="173" spans="1:15" ht="17.100000000000001" customHeight="1" x14ac:dyDescent="0.2">
      <c r="A173" s="22"/>
      <c r="B173" s="198" t="s">
        <v>140</v>
      </c>
      <c r="C173" s="199"/>
      <c r="D173" s="28">
        <v>0.42928033952881856</v>
      </c>
      <c r="E173" s="22"/>
      <c r="F173" s="19"/>
      <c r="G173" s="25"/>
    </row>
    <row r="174" spans="1:15" ht="17.100000000000001" customHeight="1" x14ac:dyDescent="0.2">
      <c r="A174" s="22"/>
      <c r="B174" s="198" t="s">
        <v>141</v>
      </c>
      <c r="C174" s="199"/>
      <c r="D174" s="2" t="s">
        <v>128</v>
      </c>
      <c r="E174" s="22"/>
      <c r="F174" s="22"/>
      <c r="G174" s="22"/>
    </row>
  </sheetData>
  <mergeCells count="16">
    <mergeCell ref="B174:C174"/>
    <mergeCell ref="B157:C157"/>
    <mergeCell ref="B158:C158"/>
    <mergeCell ref="B159:C159"/>
    <mergeCell ref="B167:C167"/>
    <mergeCell ref="B171:C171"/>
    <mergeCell ref="B172:C172"/>
    <mergeCell ref="B169:F169"/>
    <mergeCell ref="A1:H1"/>
    <mergeCell ref="A2:H2"/>
    <mergeCell ref="A3:H3"/>
    <mergeCell ref="J2:N2"/>
    <mergeCell ref="B173:C173"/>
    <mergeCell ref="B156:C156"/>
    <mergeCell ref="B153:F153"/>
    <mergeCell ref="B154:F154"/>
  </mergeCell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7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479</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56075</v>
      </c>
      <c r="F7" s="6">
        <v>908.19069999999999</v>
      </c>
      <c r="G7" s="7">
        <v>3.0479625E-2</v>
      </c>
      <c r="H7" s="112"/>
    </row>
    <row r="8" spans="1:14" x14ac:dyDescent="0.2">
      <c r="A8" s="3">
        <v>2</v>
      </c>
      <c r="B8" s="4" t="s">
        <v>150</v>
      </c>
      <c r="C8" s="4" t="s">
        <v>151</v>
      </c>
      <c r="D8" s="4" t="s">
        <v>27</v>
      </c>
      <c r="E8" s="5">
        <v>90886</v>
      </c>
      <c r="F8" s="6">
        <v>773.576189</v>
      </c>
      <c r="G8" s="7">
        <v>2.5961851000000001E-2</v>
      </c>
      <c r="H8" s="112"/>
    </row>
    <row r="9" spans="1:14" x14ac:dyDescent="0.2">
      <c r="A9" s="3">
        <v>3</v>
      </c>
      <c r="B9" s="4" t="s">
        <v>74</v>
      </c>
      <c r="C9" s="4" t="s">
        <v>75</v>
      </c>
      <c r="D9" s="4" t="s">
        <v>71</v>
      </c>
      <c r="E9" s="5">
        <v>199202</v>
      </c>
      <c r="F9" s="6">
        <v>768.22251300000005</v>
      </c>
      <c r="G9" s="7">
        <v>2.5782177999999999E-2</v>
      </c>
      <c r="H9" s="112"/>
    </row>
    <row r="10" spans="1:14" x14ac:dyDescent="0.2">
      <c r="A10" s="3">
        <v>4</v>
      </c>
      <c r="B10" s="4" t="s">
        <v>143</v>
      </c>
      <c r="C10" s="4" t="s">
        <v>144</v>
      </c>
      <c r="D10" s="4" t="s">
        <v>27</v>
      </c>
      <c r="E10" s="5">
        <v>84041</v>
      </c>
      <c r="F10" s="6">
        <v>767.33635049999998</v>
      </c>
      <c r="G10" s="7">
        <v>2.5752437E-2</v>
      </c>
      <c r="H10" s="112"/>
    </row>
    <row r="11" spans="1:14" x14ac:dyDescent="0.2">
      <c r="A11" s="3">
        <v>5</v>
      </c>
      <c r="B11" s="4" t="s">
        <v>148</v>
      </c>
      <c r="C11" s="4" t="s">
        <v>149</v>
      </c>
      <c r="D11" s="4" t="s">
        <v>81</v>
      </c>
      <c r="E11" s="5">
        <v>588024</v>
      </c>
      <c r="F11" s="6">
        <v>763.25515199999995</v>
      </c>
      <c r="G11" s="7">
        <v>2.5615468999999998E-2</v>
      </c>
      <c r="H11" s="112"/>
    </row>
    <row r="12" spans="1:14" x14ac:dyDescent="0.2">
      <c r="A12" s="3">
        <v>6</v>
      </c>
      <c r="B12" s="4" t="s">
        <v>145</v>
      </c>
      <c r="C12" s="4" t="s">
        <v>146</v>
      </c>
      <c r="D12" s="4" t="s">
        <v>147</v>
      </c>
      <c r="E12" s="5">
        <v>22704</v>
      </c>
      <c r="F12" s="6">
        <v>757.95033599999999</v>
      </c>
      <c r="G12" s="7">
        <v>2.5437435000000001E-2</v>
      </c>
      <c r="H12" s="112"/>
    </row>
    <row r="13" spans="1:14" x14ac:dyDescent="0.2">
      <c r="A13" s="3">
        <v>7</v>
      </c>
      <c r="B13" s="4" t="s">
        <v>41</v>
      </c>
      <c r="C13" s="4" t="s">
        <v>42</v>
      </c>
      <c r="D13" s="4" t="s">
        <v>27</v>
      </c>
      <c r="E13" s="5">
        <v>55216</v>
      </c>
      <c r="F13" s="6">
        <v>731.86047199999996</v>
      </c>
      <c r="G13" s="7">
        <v>2.4561837999999999E-2</v>
      </c>
      <c r="H13" s="112"/>
    </row>
    <row r="14" spans="1:14" ht="25.5" x14ac:dyDescent="0.2">
      <c r="A14" s="3">
        <v>8</v>
      </c>
      <c r="B14" s="4" t="s">
        <v>152</v>
      </c>
      <c r="C14" s="4" t="s">
        <v>153</v>
      </c>
      <c r="D14" s="4" t="s">
        <v>45</v>
      </c>
      <c r="E14" s="5">
        <v>479000</v>
      </c>
      <c r="F14" s="6">
        <v>700.77700000000004</v>
      </c>
      <c r="G14" s="7">
        <v>2.3518651000000002E-2</v>
      </c>
      <c r="H14" s="112"/>
    </row>
    <row r="15" spans="1:14" x14ac:dyDescent="0.2">
      <c r="A15" s="3">
        <v>9</v>
      </c>
      <c r="B15" s="4" t="s">
        <v>154</v>
      </c>
      <c r="C15" s="4" t="s">
        <v>155</v>
      </c>
      <c r="D15" s="4" t="s">
        <v>71</v>
      </c>
      <c r="E15" s="5">
        <v>126176</v>
      </c>
      <c r="F15" s="6">
        <v>681.47657600000002</v>
      </c>
      <c r="G15" s="7">
        <v>2.2870913E-2</v>
      </c>
      <c r="H15" s="112"/>
    </row>
    <row r="16" spans="1:14" ht="15" x14ac:dyDescent="0.2">
      <c r="A16" s="3">
        <v>10</v>
      </c>
      <c r="B16" s="4" t="s">
        <v>297</v>
      </c>
      <c r="C16" s="4" t="s">
        <v>298</v>
      </c>
      <c r="D16" s="4" t="s">
        <v>27</v>
      </c>
      <c r="E16" s="5">
        <v>98456</v>
      </c>
      <c r="F16" s="6">
        <v>659.85211200000003</v>
      </c>
      <c r="G16" s="7">
        <v>2.2145178000000001E-2</v>
      </c>
      <c r="H16" s="112"/>
      <c r="J16" s="188" t="s">
        <v>1016</v>
      </c>
    </row>
    <row r="17" spans="1:8" x14ac:dyDescent="0.2">
      <c r="A17" s="3">
        <v>11</v>
      </c>
      <c r="B17" s="4" t="s">
        <v>160</v>
      </c>
      <c r="C17" s="4" t="s">
        <v>161</v>
      </c>
      <c r="D17" s="4" t="s">
        <v>162</v>
      </c>
      <c r="E17" s="5">
        <v>15854</v>
      </c>
      <c r="F17" s="6">
        <v>622.06339800000001</v>
      </c>
      <c r="G17" s="7">
        <v>2.0876958000000001E-2</v>
      </c>
      <c r="H17" s="112"/>
    </row>
    <row r="18" spans="1:8" x14ac:dyDescent="0.2">
      <c r="A18" s="3">
        <v>12</v>
      </c>
      <c r="B18" s="4" t="s">
        <v>463</v>
      </c>
      <c r="C18" s="4" t="s">
        <v>464</v>
      </c>
      <c r="D18" s="4" t="s">
        <v>71</v>
      </c>
      <c r="E18" s="5">
        <v>175415</v>
      </c>
      <c r="F18" s="6">
        <v>606.84819249999998</v>
      </c>
      <c r="G18" s="7">
        <v>2.0366322999999999E-2</v>
      </c>
      <c r="H18" s="112"/>
    </row>
    <row r="19" spans="1:8" x14ac:dyDescent="0.2">
      <c r="A19" s="3">
        <v>13</v>
      </c>
      <c r="B19" s="4" t="s">
        <v>65</v>
      </c>
      <c r="C19" s="4" t="s">
        <v>66</v>
      </c>
      <c r="D19" s="4" t="s">
        <v>64</v>
      </c>
      <c r="E19" s="5">
        <v>125724</v>
      </c>
      <c r="F19" s="6">
        <v>583.54794600000002</v>
      </c>
      <c r="G19" s="7">
        <v>1.9584348000000001E-2</v>
      </c>
      <c r="H19" s="112"/>
    </row>
    <row r="20" spans="1:8" x14ac:dyDescent="0.2">
      <c r="A20" s="3">
        <v>14</v>
      </c>
      <c r="B20" s="4" t="s">
        <v>163</v>
      </c>
      <c r="C20" s="4" t="s">
        <v>164</v>
      </c>
      <c r="D20" s="4" t="s">
        <v>162</v>
      </c>
      <c r="E20" s="5">
        <v>188785</v>
      </c>
      <c r="F20" s="6">
        <v>582.77929500000005</v>
      </c>
      <c r="G20" s="7">
        <v>1.9558551E-2</v>
      </c>
      <c r="H20" s="112"/>
    </row>
    <row r="21" spans="1:8" ht="25.5" x14ac:dyDescent="0.2">
      <c r="A21" s="3">
        <v>15</v>
      </c>
      <c r="B21" s="4" t="s">
        <v>37</v>
      </c>
      <c r="C21" s="4" t="s">
        <v>38</v>
      </c>
      <c r="D21" s="4" t="s">
        <v>971</v>
      </c>
      <c r="E21" s="5">
        <v>16781</v>
      </c>
      <c r="F21" s="6">
        <v>556.41600749999998</v>
      </c>
      <c r="G21" s="7">
        <v>1.8673777999999999E-2</v>
      </c>
      <c r="H21" s="112"/>
    </row>
    <row r="22" spans="1:8" x14ac:dyDescent="0.2">
      <c r="A22" s="3">
        <v>16</v>
      </c>
      <c r="B22" s="4" t="s">
        <v>167</v>
      </c>
      <c r="C22" s="4" t="s">
        <v>168</v>
      </c>
      <c r="D22" s="4" t="s">
        <v>81</v>
      </c>
      <c r="E22" s="5">
        <v>72934</v>
      </c>
      <c r="F22" s="6">
        <v>514.36703499999999</v>
      </c>
      <c r="G22" s="7">
        <v>1.726258E-2</v>
      </c>
      <c r="H22" s="112"/>
    </row>
    <row r="23" spans="1:8" x14ac:dyDescent="0.2">
      <c r="A23" s="3">
        <v>17</v>
      </c>
      <c r="B23" s="4" t="s">
        <v>165</v>
      </c>
      <c r="C23" s="4" t="s">
        <v>166</v>
      </c>
      <c r="D23" s="4" t="s">
        <v>976</v>
      </c>
      <c r="E23" s="5">
        <v>115109</v>
      </c>
      <c r="F23" s="6">
        <v>482.36426449999999</v>
      </c>
      <c r="G23" s="7">
        <v>1.6188540000000001E-2</v>
      </c>
      <c r="H23" s="112"/>
    </row>
    <row r="24" spans="1:8" x14ac:dyDescent="0.2">
      <c r="A24" s="3">
        <v>18</v>
      </c>
      <c r="B24" s="4" t="s">
        <v>364</v>
      </c>
      <c r="C24" s="4" t="s">
        <v>365</v>
      </c>
      <c r="D24" s="4" t="s">
        <v>173</v>
      </c>
      <c r="E24" s="5">
        <v>12356</v>
      </c>
      <c r="F24" s="6">
        <v>474.328306</v>
      </c>
      <c r="G24" s="7">
        <v>1.5918847E-2</v>
      </c>
      <c r="H24" s="112"/>
    </row>
    <row r="25" spans="1:8" x14ac:dyDescent="0.2">
      <c r="A25" s="3">
        <v>19</v>
      </c>
      <c r="B25" s="4" t="s">
        <v>465</v>
      </c>
      <c r="C25" s="4" t="s">
        <v>466</v>
      </c>
      <c r="D25" s="4" t="s">
        <v>50</v>
      </c>
      <c r="E25" s="5">
        <v>75234</v>
      </c>
      <c r="F25" s="6">
        <v>473.52279600000003</v>
      </c>
      <c r="G25" s="7">
        <v>1.5891813000000001E-2</v>
      </c>
      <c r="H25" s="112"/>
    </row>
    <row r="26" spans="1:8" x14ac:dyDescent="0.2">
      <c r="A26" s="3">
        <v>20</v>
      </c>
      <c r="B26" s="4" t="s">
        <v>171</v>
      </c>
      <c r="C26" s="4" t="s">
        <v>172</v>
      </c>
      <c r="D26" s="4" t="s">
        <v>173</v>
      </c>
      <c r="E26" s="5">
        <v>32767</v>
      </c>
      <c r="F26" s="6">
        <v>457.59115500000001</v>
      </c>
      <c r="G26" s="7">
        <v>1.5357134E-2</v>
      </c>
      <c r="H26" s="112"/>
    </row>
    <row r="27" spans="1:8" x14ac:dyDescent="0.2">
      <c r="A27" s="3">
        <v>21</v>
      </c>
      <c r="B27" s="4" t="s">
        <v>174</v>
      </c>
      <c r="C27" s="4" t="s">
        <v>175</v>
      </c>
      <c r="D27" s="4" t="s">
        <v>162</v>
      </c>
      <c r="E27" s="5">
        <v>43270</v>
      </c>
      <c r="F27" s="6">
        <v>454.33499999999998</v>
      </c>
      <c r="G27" s="7">
        <v>1.5247854999999999E-2</v>
      </c>
      <c r="H27" s="112"/>
    </row>
    <row r="28" spans="1:8" ht="25.5" x14ac:dyDescent="0.2">
      <c r="A28" s="3">
        <v>22</v>
      </c>
      <c r="B28" s="4" t="s">
        <v>190</v>
      </c>
      <c r="C28" s="4" t="s">
        <v>191</v>
      </c>
      <c r="D28" s="4" t="s">
        <v>192</v>
      </c>
      <c r="E28" s="5">
        <v>86680</v>
      </c>
      <c r="F28" s="6">
        <v>453.46642000000003</v>
      </c>
      <c r="G28" s="7">
        <v>1.5218705000000001E-2</v>
      </c>
      <c r="H28" s="112"/>
    </row>
    <row r="29" spans="1:8" x14ac:dyDescent="0.2">
      <c r="A29" s="3">
        <v>23</v>
      </c>
      <c r="B29" s="4" t="s">
        <v>182</v>
      </c>
      <c r="C29" s="4" t="s">
        <v>183</v>
      </c>
      <c r="D29" s="4" t="s">
        <v>162</v>
      </c>
      <c r="E29" s="5">
        <v>42130</v>
      </c>
      <c r="F29" s="6">
        <v>450.05372499999999</v>
      </c>
      <c r="G29" s="7">
        <v>1.5104172000000001E-2</v>
      </c>
      <c r="H29" s="112"/>
    </row>
    <row r="30" spans="1:8" x14ac:dyDescent="0.2">
      <c r="A30" s="3">
        <v>24</v>
      </c>
      <c r="B30" s="4" t="s">
        <v>184</v>
      </c>
      <c r="C30" s="4" t="s">
        <v>185</v>
      </c>
      <c r="D30" s="4" t="s">
        <v>186</v>
      </c>
      <c r="E30" s="5">
        <v>96348</v>
      </c>
      <c r="F30" s="6">
        <v>448.88533200000001</v>
      </c>
      <c r="G30" s="7">
        <v>1.5064960000000001E-2</v>
      </c>
      <c r="H30" s="112"/>
    </row>
    <row r="31" spans="1:8" x14ac:dyDescent="0.2">
      <c r="A31" s="3">
        <v>25</v>
      </c>
      <c r="B31" s="4" t="s">
        <v>187</v>
      </c>
      <c r="C31" s="4" t="s">
        <v>188</v>
      </c>
      <c r="D31" s="4" t="s">
        <v>189</v>
      </c>
      <c r="E31" s="5">
        <v>194334</v>
      </c>
      <c r="F31" s="6">
        <v>438.41750400000001</v>
      </c>
      <c r="G31" s="7">
        <v>1.4713650999999999E-2</v>
      </c>
      <c r="H31" s="112"/>
    </row>
    <row r="32" spans="1:8" ht="25.5" x14ac:dyDescent="0.2">
      <c r="A32" s="3">
        <v>26</v>
      </c>
      <c r="B32" s="4" t="s">
        <v>197</v>
      </c>
      <c r="C32" s="4" t="s">
        <v>198</v>
      </c>
      <c r="D32" s="4" t="s">
        <v>971</v>
      </c>
      <c r="E32" s="5">
        <v>174815</v>
      </c>
      <c r="F32" s="6">
        <v>417.63303500000001</v>
      </c>
      <c r="G32" s="7">
        <v>1.4016107E-2</v>
      </c>
      <c r="H32" s="112"/>
    </row>
    <row r="33" spans="1:8" x14ac:dyDescent="0.2">
      <c r="A33" s="3">
        <v>27</v>
      </c>
      <c r="B33" s="4" t="s">
        <v>199</v>
      </c>
      <c r="C33" s="4" t="s">
        <v>200</v>
      </c>
      <c r="D33" s="4" t="s">
        <v>64</v>
      </c>
      <c r="E33" s="5">
        <v>387038</v>
      </c>
      <c r="F33" s="6">
        <v>405.22878600000001</v>
      </c>
      <c r="G33" s="7">
        <v>1.359981E-2</v>
      </c>
      <c r="H33" s="112"/>
    </row>
    <row r="34" spans="1:8" x14ac:dyDescent="0.2">
      <c r="A34" s="3">
        <v>28</v>
      </c>
      <c r="B34" s="4" t="s">
        <v>205</v>
      </c>
      <c r="C34" s="4" t="s">
        <v>206</v>
      </c>
      <c r="D34" s="4" t="s">
        <v>975</v>
      </c>
      <c r="E34" s="5">
        <v>46000</v>
      </c>
      <c r="F34" s="6">
        <v>398.52100000000002</v>
      </c>
      <c r="G34" s="7">
        <v>1.3374692000000001E-2</v>
      </c>
      <c r="H34" s="112"/>
    </row>
    <row r="35" spans="1:8" x14ac:dyDescent="0.2">
      <c r="A35" s="3">
        <v>29</v>
      </c>
      <c r="B35" s="4" t="s">
        <v>203</v>
      </c>
      <c r="C35" s="4" t="s">
        <v>204</v>
      </c>
      <c r="D35" s="4" t="s">
        <v>81</v>
      </c>
      <c r="E35" s="5">
        <v>62701</v>
      </c>
      <c r="F35" s="6">
        <v>393.04121850000001</v>
      </c>
      <c r="G35" s="7">
        <v>1.3190785999999999E-2</v>
      </c>
      <c r="H35" s="112"/>
    </row>
    <row r="36" spans="1:8" x14ac:dyDescent="0.2">
      <c r="A36" s="3">
        <v>30</v>
      </c>
      <c r="B36" s="4" t="s">
        <v>169</v>
      </c>
      <c r="C36" s="4" t="s">
        <v>170</v>
      </c>
      <c r="D36" s="4" t="s">
        <v>19</v>
      </c>
      <c r="E36" s="5">
        <v>210643</v>
      </c>
      <c r="F36" s="6">
        <v>380.31593650000002</v>
      </c>
      <c r="G36" s="7">
        <v>1.2763715E-2</v>
      </c>
      <c r="H36" s="112"/>
    </row>
    <row r="37" spans="1:8" ht="25.5" x14ac:dyDescent="0.2">
      <c r="A37" s="3">
        <v>31</v>
      </c>
      <c r="B37" s="4" t="s">
        <v>467</v>
      </c>
      <c r="C37" s="4" t="s">
        <v>468</v>
      </c>
      <c r="D37" s="4" t="s">
        <v>45</v>
      </c>
      <c r="E37" s="5">
        <v>26488</v>
      </c>
      <c r="F37" s="6">
        <v>367.74614800000001</v>
      </c>
      <c r="G37" s="7">
        <v>1.2341862E-2</v>
      </c>
      <c r="H37" s="112"/>
    </row>
    <row r="38" spans="1:8" x14ac:dyDescent="0.2">
      <c r="A38" s="3">
        <v>32</v>
      </c>
      <c r="B38" s="4" t="s">
        <v>469</v>
      </c>
      <c r="C38" s="4" t="s">
        <v>470</v>
      </c>
      <c r="D38" s="4" t="s">
        <v>71</v>
      </c>
      <c r="E38" s="5">
        <v>37170</v>
      </c>
      <c r="F38" s="6">
        <v>356.86917</v>
      </c>
      <c r="G38" s="7">
        <v>1.1976822E-2</v>
      </c>
      <c r="H38" s="112"/>
    </row>
    <row r="39" spans="1:8" x14ac:dyDescent="0.2">
      <c r="A39" s="3">
        <v>33</v>
      </c>
      <c r="B39" s="4" t="s">
        <v>201</v>
      </c>
      <c r="C39" s="4" t="s">
        <v>202</v>
      </c>
      <c r="D39" s="4" t="s">
        <v>147</v>
      </c>
      <c r="E39" s="5">
        <v>24941</v>
      </c>
      <c r="F39" s="6">
        <v>352.86526800000001</v>
      </c>
      <c r="G39" s="7">
        <v>1.1842448E-2</v>
      </c>
      <c r="H39" s="112"/>
    </row>
    <row r="40" spans="1:8" x14ac:dyDescent="0.2">
      <c r="A40" s="3">
        <v>34</v>
      </c>
      <c r="B40" s="4" t="s">
        <v>213</v>
      </c>
      <c r="C40" s="4" t="s">
        <v>214</v>
      </c>
      <c r="D40" s="4" t="s">
        <v>977</v>
      </c>
      <c r="E40" s="5">
        <v>60137</v>
      </c>
      <c r="F40" s="6">
        <v>348.97501099999999</v>
      </c>
      <c r="G40" s="7">
        <v>1.1711888E-2</v>
      </c>
      <c r="H40" s="112"/>
    </row>
    <row r="41" spans="1:8" x14ac:dyDescent="0.2">
      <c r="A41" s="3">
        <v>35</v>
      </c>
      <c r="B41" s="4" t="s">
        <v>210</v>
      </c>
      <c r="C41" s="4" t="s">
        <v>211</v>
      </c>
      <c r="D41" s="4" t="s">
        <v>212</v>
      </c>
      <c r="E41" s="5">
        <v>140250</v>
      </c>
      <c r="F41" s="6">
        <v>348.10050000000001</v>
      </c>
      <c r="G41" s="7">
        <v>1.1682537999999999E-2</v>
      </c>
      <c r="H41" s="112"/>
    </row>
    <row r="42" spans="1:8" x14ac:dyDescent="0.2">
      <c r="A42" s="3">
        <v>36</v>
      </c>
      <c r="B42" s="4" t="s">
        <v>195</v>
      </c>
      <c r="C42" s="4" t="s">
        <v>196</v>
      </c>
      <c r="D42" s="4" t="s">
        <v>34</v>
      </c>
      <c r="E42" s="5">
        <v>81720</v>
      </c>
      <c r="F42" s="6">
        <v>343.42829999999998</v>
      </c>
      <c r="G42" s="7">
        <v>1.1525735E-2</v>
      </c>
      <c r="H42" s="112"/>
    </row>
    <row r="43" spans="1:8" x14ac:dyDescent="0.2">
      <c r="A43" s="3">
        <v>37</v>
      </c>
      <c r="B43" s="4" t="s">
        <v>471</v>
      </c>
      <c r="C43" s="4" t="s">
        <v>472</v>
      </c>
      <c r="D43" s="4" t="s">
        <v>27</v>
      </c>
      <c r="E43" s="5">
        <v>40294</v>
      </c>
      <c r="F43" s="6">
        <v>338.18754200000001</v>
      </c>
      <c r="G43" s="7">
        <v>1.1349850999999999E-2</v>
      </c>
      <c r="H43" s="112"/>
    </row>
    <row r="44" spans="1:8" x14ac:dyDescent="0.2">
      <c r="A44" s="3">
        <v>38</v>
      </c>
      <c r="B44" s="4" t="s">
        <v>223</v>
      </c>
      <c r="C44" s="4" t="s">
        <v>224</v>
      </c>
      <c r="D44" s="4" t="s">
        <v>27</v>
      </c>
      <c r="E44" s="5">
        <v>18641</v>
      </c>
      <c r="F44" s="6">
        <v>335.15585950000002</v>
      </c>
      <c r="G44" s="7">
        <v>1.1248106000000001E-2</v>
      </c>
      <c r="H44" s="112"/>
    </row>
    <row r="45" spans="1:8" x14ac:dyDescent="0.2">
      <c r="A45" s="3">
        <v>39</v>
      </c>
      <c r="B45" s="4" t="s">
        <v>39</v>
      </c>
      <c r="C45" s="4" t="s">
        <v>40</v>
      </c>
      <c r="D45" s="4" t="s">
        <v>27</v>
      </c>
      <c r="E45" s="5">
        <v>13232</v>
      </c>
      <c r="F45" s="6">
        <v>334.99454400000002</v>
      </c>
      <c r="G45" s="7">
        <v>1.1242692E-2</v>
      </c>
      <c r="H45" s="112"/>
    </row>
    <row r="46" spans="1:8" x14ac:dyDescent="0.2">
      <c r="A46" s="3">
        <v>40</v>
      </c>
      <c r="B46" s="4" t="s">
        <v>219</v>
      </c>
      <c r="C46" s="4" t="s">
        <v>220</v>
      </c>
      <c r="D46" s="4" t="s">
        <v>64</v>
      </c>
      <c r="E46" s="5">
        <v>34149</v>
      </c>
      <c r="F46" s="6">
        <v>329.21343450000001</v>
      </c>
      <c r="G46" s="7">
        <v>1.1048673E-2</v>
      </c>
      <c r="H46" s="112"/>
    </row>
    <row r="47" spans="1:8" x14ac:dyDescent="0.2">
      <c r="A47" s="3">
        <v>41</v>
      </c>
      <c r="B47" s="4" t="s">
        <v>207</v>
      </c>
      <c r="C47" s="4" t="s">
        <v>208</v>
      </c>
      <c r="D47" s="4" t="s">
        <v>209</v>
      </c>
      <c r="E47" s="5">
        <v>70561</v>
      </c>
      <c r="F47" s="6">
        <v>328.602577</v>
      </c>
      <c r="G47" s="7">
        <v>1.1028171999999999E-2</v>
      </c>
      <c r="H47" s="112"/>
    </row>
    <row r="48" spans="1:8" x14ac:dyDescent="0.2">
      <c r="A48" s="3">
        <v>42</v>
      </c>
      <c r="B48" s="4" t="s">
        <v>176</v>
      </c>
      <c r="C48" s="4" t="s">
        <v>177</v>
      </c>
      <c r="D48" s="4" t="s">
        <v>178</v>
      </c>
      <c r="E48" s="5">
        <v>31437</v>
      </c>
      <c r="F48" s="6">
        <v>320.24871899999999</v>
      </c>
      <c r="G48" s="7">
        <v>1.074781E-2</v>
      </c>
      <c r="H48" s="112"/>
    </row>
    <row r="49" spans="1:8" x14ac:dyDescent="0.2">
      <c r="A49" s="3">
        <v>43</v>
      </c>
      <c r="B49" s="4" t="s">
        <v>231</v>
      </c>
      <c r="C49" s="4" t="s">
        <v>232</v>
      </c>
      <c r="D49" s="4" t="s">
        <v>71</v>
      </c>
      <c r="E49" s="5">
        <v>111421</v>
      </c>
      <c r="F49" s="6">
        <v>311.25456350000002</v>
      </c>
      <c r="G49" s="7">
        <v>1.0445958E-2</v>
      </c>
      <c r="H49" s="112"/>
    </row>
    <row r="50" spans="1:8" x14ac:dyDescent="0.2">
      <c r="A50" s="3">
        <v>44</v>
      </c>
      <c r="B50" s="4" t="s">
        <v>227</v>
      </c>
      <c r="C50" s="4" t="s">
        <v>228</v>
      </c>
      <c r="D50" s="4" t="s">
        <v>974</v>
      </c>
      <c r="E50" s="5">
        <v>17701</v>
      </c>
      <c r="F50" s="6">
        <v>301.58078749999999</v>
      </c>
      <c r="G50" s="7">
        <v>1.0121299E-2</v>
      </c>
      <c r="H50" s="112"/>
    </row>
    <row r="51" spans="1:8" x14ac:dyDescent="0.2">
      <c r="A51" s="3">
        <v>45</v>
      </c>
      <c r="B51" s="4" t="s">
        <v>238</v>
      </c>
      <c r="C51" s="4" t="s">
        <v>239</v>
      </c>
      <c r="D51" s="4" t="s">
        <v>186</v>
      </c>
      <c r="E51" s="5">
        <v>58282</v>
      </c>
      <c r="F51" s="6">
        <v>300.61855600000001</v>
      </c>
      <c r="G51" s="7">
        <v>1.0089005E-2</v>
      </c>
      <c r="H51" s="112"/>
    </row>
    <row r="52" spans="1:8" ht="25.5" x14ac:dyDescent="0.2">
      <c r="A52" s="3">
        <v>46</v>
      </c>
      <c r="B52" s="4" t="s">
        <v>235</v>
      </c>
      <c r="C52" s="4" t="s">
        <v>236</v>
      </c>
      <c r="D52" s="4" t="s">
        <v>192</v>
      </c>
      <c r="E52" s="5">
        <v>65469</v>
      </c>
      <c r="F52" s="6">
        <v>299.1605955</v>
      </c>
      <c r="G52" s="7">
        <v>1.0040075000000001E-2</v>
      </c>
      <c r="H52" s="112"/>
    </row>
    <row r="53" spans="1:8" x14ac:dyDescent="0.2">
      <c r="A53" s="3">
        <v>47</v>
      </c>
      <c r="B53" s="4" t="s">
        <v>240</v>
      </c>
      <c r="C53" s="4" t="s">
        <v>241</v>
      </c>
      <c r="D53" s="4" t="s">
        <v>81</v>
      </c>
      <c r="E53" s="5">
        <v>539678</v>
      </c>
      <c r="F53" s="6">
        <v>297.36257799999998</v>
      </c>
      <c r="G53" s="7">
        <v>9.9797319999999998E-3</v>
      </c>
      <c r="H53" s="112"/>
    </row>
    <row r="54" spans="1:8" x14ac:dyDescent="0.2">
      <c r="A54" s="3">
        <v>48</v>
      </c>
      <c r="B54" s="4" t="s">
        <v>291</v>
      </c>
      <c r="C54" s="4" t="s">
        <v>292</v>
      </c>
      <c r="D54" s="4" t="s">
        <v>27</v>
      </c>
      <c r="E54" s="5">
        <v>84441</v>
      </c>
      <c r="F54" s="6">
        <v>291.237009</v>
      </c>
      <c r="G54" s="7">
        <v>9.7741530000000007E-3</v>
      </c>
      <c r="H54" s="112"/>
    </row>
    <row r="55" spans="1:8" x14ac:dyDescent="0.2">
      <c r="A55" s="3">
        <v>49</v>
      </c>
      <c r="B55" s="4" t="s">
        <v>244</v>
      </c>
      <c r="C55" s="4" t="s">
        <v>245</v>
      </c>
      <c r="D55" s="4" t="s">
        <v>173</v>
      </c>
      <c r="E55" s="5">
        <v>73821</v>
      </c>
      <c r="F55" s="6">
        <v>291.15002399999997</v>
      </c>
      <c r="G55" s="7">
        <v>9.7712340000000002E-3</v>
      </c>
      <c r="H55" s="112"/>
    </row>
    <row r="56" spans="1:8" x14ac:dyDescent="0.2">
      <c r="A56" s="3">
        <v>50</v>
      </c>
      <c r="B56" s="4" t="s">
        <v>193</v>
      </c>
      <c r="C56" s="4" t="s">
        <v>194</v>
      </c>
      <c r="D56" s="4" t="s">
        <v>16</v>
      </c>
      <c r="E56" s="5">
        <v>91543</v>
      </c>
      <c r="F56" s="6">
        <v>284.149472</v>
      </c>
      <c r="G56" s="7">
        <v>9.5362889999999999E-3</v>
      </c>
      <c r="H56" s="112"/>
    </row>
    <row r="57" spans="1:8" ht="25.5" x14ac:dyDescent="0.2">
      <c r="A57" s="3">
        <v>51</v>
      </c>
      <c r="B57" s="4" t="s">
        <v>246</v>
      </c>
      <c r="C57" s="4" t="s">
        <v>247</v>
      </c>
      <c r="D57" s="4" t="s">
        <v>978</v>
      </c>
      <c r="E57" s="5">
        <v>265375</v>
      </c>
      <c r="F57" s="6">
        <v>279.70524999999998</v>
      </c>
      <c r="G57" s="7">
        <v>9.3871379999999997E-3</v>
      </c>
      <c r="H57" s="112"/>
    </row>
    <row r="58" spans="1:8" x14ac:dyDescent="0.2">
      <c r="A58" s="3">
        <v>52</v>
      </c>
      <c r="B58" s="4" t="s">
        <v>179</v>
      </c>
      <c r="C58" s="4" t="s">
        <v>180</v>
      </c>
      <c r="D58" s="4" t="s">
        <v>71</v>
      </c>
      <c r="E58" s="5">
        <v>27062</v>
      </c>
      <c r="F58" s="6">
        <v>277.49374799999998</v>
      </c>
      <c r="G58" s="7">
        <v>9.3129179999999999E-3</v>
      </c>
      <c r="H58" s="112"/>
    </row>
    <row r="59" spans="1:8" x14ac:dyDescent="0.2">
      <c r="A59" s="3">
        <v>53</v>
      </c>
      <c r="B59" s="4" t="s">
        <v>248</v>
      </c>
      <c r="C59" s="4" t="s">
        <v>249</v>
      </c>
      <c r="D59" s="4" t="s">
        <v>186</v>
      </c>
      <c r="E59" s="5">
        <v>16433</v>
      </c>
      <c r="F59" s="6">
        <v>275.77038950000002</v>
      </c>
      <c r="G59" s="7">
        <v>9.2550800000000006E-3</v>
      </c>
      <c r="H59" s="112"/>
    </row>
    <row r="60" spans="1:8" ht="25.5" x14ac:dyDescent="0.2">
      <c r="A60" s="3">
        <v>54</v>
      </c>
      <c r="B60" s="4" t="s">
        <v>181</v>
      </c>
      <c r="C60" s="4" t="s">
        <v>931</v>
      </c>
      <c r="D60" s="4" t="s">
        <v>45</v>
      </c>
      <c r="E60" s="5">
        <v>116365</v>
      </c>
      <c r="F60" s="6">
        <v>271.53772750000002</v>
      </c>
      <c r="G60" s="7">
        <v>9.1130289999999999E-3</v>
      </c>
      <c r="H60" s="112"/>
    </row>
    <row r="61" spans="1:8" ht="25.5" x14ac:dyDescent="0.2">
      <c r="A61" s="3">
        <v>55</v>
      </c>
      <c r="B61" s="4" t="s">
        <v>250</v>
      </c>
      <c r="C61" s="4" t="s">
        <v>251</v>
      </c>
      <c r="D61" s="4" t="s">
        <v>192</v>
      </c>
      <c r="E61" s="5">
        <v>68454</v>
      </c>
      <c r="F61" s="6">
        <v>260.46746999999999</v>
      </c>
      <c r="G61" s="7">
        <v>8.741502E-3</v>
      </c>
      <c r="H61" s="112"/>
    </row>
    <row r="62" spans="1:8" x14ac:dyDescent="0.2">
      <c r="A62" s="3">
        <v>56</v>
      </c>
      <c r="B62" s="4" t="s">
        <v>287</v>
      </c>
      <c r="C62" s="4" t="s">
        <v>288</v>
      </c>
      <c r="D62" s="4" t="s">
        <v>27</v>
      </c>
      <c r="E62" s="5">
        <v>23876</v>
      </c>
      <c r="F62" s="6">
        <v>256.67893800000002</v>
      </c>
      <c r="G62" s="7">
        <v>8.6143560000000001E-3</v>
      </c>
      <c r="H62" s="112"/>
    </row>
    <row r="63" spans="1:8" x14ac:dyDescent="0.2">
      <c r="A63" s="3">
        <v>57</v>
      </c>
      <c r="B63" s="4" t="s">
        <v>221</v>
      </c>
      <c r="C63" s="4" t="s">
        <v>222</v>
      </c>
      <c r="D63" s="4" t="s">
        <v>173</v>
      </c>
      <c r="E63" s="5">
        <v>29548</v>
      </c>
      <c r="F63" s="6">
        <v>254.67421200000001</v>
      </c>
      <c r="G63" s="7">
        <v>8.5470749999999995E-3</v>
      </c>
      <c r="H63" s="112"/>
    </row>
    <row r="64" spans="1:8" x14ac:dyDescent="0.2">
      <c r="A64" s="3">
        <v>58</v>
      </c>
      <c r="B64" s="4" t="s">
        <v>156</v>
      </c>
      <c r="C64" s="4" t="s">
        <v>157</v>
      </c>
      <c r="D64" s="4" t="s">
        <v>974</v>
      </c>
      <c r="E64" s="5">
        <v>17869</v>
      </c>
      <c r="F64" s="6">
        <v>222.20101500000001</v>
      </c>
      <c r="G64" s="7">
        <v>7.4572479999999997E-3</v>
      </c>
      <c r="H64" s="112"/>
    </row>
    <row r="65" spans="1:8" x14ac:dyDescent="0.2">
      <c r="A65" s="3">
        <v>59</v>
      </c>
      <c r="B65" s="4" t="s">
        <v>258</v>
      </c>
      <c r="C65" s="4" t="s">
        <v>259</v>
      </c>
      <c r="D65" s="4" t="s">
        <v>53</v>
      </c>
      <c r="E65" s="5">
        <v>22179</v>
      </c>
      <c r="F65" s="6">
        <v>212.18649300000001</v>
      </c>
      <c r="G65" s="7">
        <v>7.1211529999999999E-3</v>
      </c>
      <c r="H65" s="112"/>
    </row>
    <row r="66" spans="1:8" x14ac:dyDescent="0.2">
      <c r="A66" s="3">
        <v>60</v>
      </c>
      <c r="B66" s="4" t="s">
        <v>260</v>
      </c>
      <c r="C66" s="4" t="s">
        <v>261</v>
      </c>
      <c r="D66" s="4" t="s">
        <v>173</v>
      </c>
      <c r="E66" s="5">
        <v>33763</v>
      </c>
      <c r="F66" s="6">
        <v>203.4051935</v>
      </c>
      <c r="G66" s="7">
        <v>6.8264450000000004E-3</v>
      </c>
      <c r="H66" s="112"/>
    </row>
    <row r="67" spans="1:8" ht="25.5" x14ac:dyDescent="0.2">
      <c r="A67" s="3">
        <v>61</v>
      </c>
      <c r="B67" s="4" t="s">
        <v>229</v>
      </c>
      <c r="C67" s="4" t="s">
        <v>230</v>
      </c>
      <c r="D67" s="4" t="s">
        <v>71</v>
      </c>
      <c r="E67" s="5">
        <v>9707</v>
      </c>
      <c r="F67" s="6">
        <v>201.22611000000001</v>
      </c>
      <c r="G67" s="7">
        <v>6.7533130000000004E-3</v>
      </c>
      <c r="H67" s="112"/>
    </row>
    <row r="68" spans="1:8" x14ac:dyDescent="0.2">
      <c r="A68" s="3">
        <v>62</v>
      </c>
      <c r="B68" s="4" t="s">
        <v>267</v>
      </c>
      <c r="C68" s="4" t="s">
        <v>268</v>
      </c>
      <c r="D68" s="4" t="s">
        <v>19</v>
      </c>
      <c r="E68" s="5">
        <v>216684</v>
      </c>
      <c r="F68" s="6">
        <v>196.74907200000001</v>
      </c>
      <c r="G68" s="7">
        <v>6.60306E-3</v>
      </c>
      <c r="H68" s="112"/>
    </row>
    <row r="69" spans="1:8" x14ac:dyDescent="0.2">
      <c r="A69" s="3">
        <v>63</v>
      </c>
      <c r="B69" s="4" t="s">
        <v>225</v>
      </c>
      <c r="C69" s="4" t="s">
        <v>226</v>
      </c>
      <c r="D69" s="4" t="s">
        <v>71</v>
      </c>
      <c r="E69" s="5">
        <v>23426</v>
      </c>
      <c r="F69" s="6">
        <v>194.81061600000001</v>
      </c>
      <c r="G69" s="7">
        <v>6.538004E-3</v>
      </c>
      <c r="H69" s="112"/>
    </row>
    <row r="70" spans="1:8" x14ac:dyDescent="0.2">
      <c r="A70" s="3">
        <v>64</v>
      </c>
      <c r="B70" s="4" t="s">
        <v>473</v>
      </c>
      <c r="C70" s="4" t="s">
        <v>474</v>
      </c>
      <c r="D70" s="4" t="s">
        <v>81</v>
      </c>
      <c r="E70" s="5">
        <v>30109</v>
      </c>
      <c r="F70" s="6">
        <v>189.18990149999999</v>
      </c>
      <c r="G70" s="7">
        <v>6.3493680000000002E-3</v>
      </c>
      <c r="H70" s="112"/>
    </row>
    <row r="71" spans="1:8" x14ac:dyDescent="0.2">
      <c r="A71" s="3">
        <v>65</v>
      </c>
      <c r="B71" s="4" t="s">
        <v>264</v>
      </c>
      <c r="C71" s="4" t="s">
        <v>265</v>
      </c>
      <c r="D71" s="4" t="s">
        <v>266</v>
      </c>
      <c r="E71" s="5">
        <v>81931</v>
      </c>
      <c r="F71" s="6">
        <v>188.0726105</v>
      </c>
      <c r="G71" s="7">
        <v>6.3118710000000001E-3</v>
      </c>
      <c r="H71" s="112"/>
    </row>
    <row r="72" spans="1:8" x14ac:dyDescent="0.2">
      <c r="A72" s="3">
        <v>66</v>
      </c>
      <c r="B72" s="4" t="s">
        <v>254</v>
      </c>
      <c r="C72" s="4" t="s">
        <v>255</v>
      </c>
      <c r="D72" s="4" t="s">
        <v>162</v>
      </c>
      <c r="E72" s="5">
        <v>14757</v>
      </c>
      <c r="F72" s="6">
        <v>188.063208</v>
      </c>
      <c r="G72" s="7">
        <v>6.3115560000000003E-3</v>
      </c>
      <c r="H72" s="112"/>
    </row>
    <row r="73" spans="1:8" x14ac:dyDescent="0.2">
      <c r="A73" s="3">
        <v>67</v>
      </c>
      <c r="B73" s="4" t="s">
        <v>242</v>
      </c>
      <c r="C73" s="4" t="s">
        <v>243</v>
      </c>
      <c r="D73" s="4" t="s">
        <v>334</v>
      </c>
      <c r="E73" s="5">
        <v>15493</v>
      </c>
      <c r="F73" s="6">
        <v>185.52867499999999</v>
      </c>
      <c r="G73" s="7">
        <v>6.226494E-3</v>
      </c>
      <c r="H73" s="112"/>
    </row>
    <row r="74" spans="1:8" x14ac:dyDescent="0.2">
      <c r="A74" s="3">
        <v>68</v>
      </c>
      <c r="B74" s="4" t="s">
        <v>269</v>
      </c>
      <c r="C74" s="4" t="s">
        <v>270</v>
      </c>
      <c r="D74" s="4" t="s">
        <v>186</v>
      </c>
      <c r="E74" s="5">
        <v>3290</v>
      </c>
      <c r="F74" s="6">
        <v>178.44137499999999</v>
      </c>
      <c r="G74" s="7">
        <v>5.9886389999999996E-3</v>
      </c>
      <c r="H74" s="112"/>
    </row>
    <row r="75" spans="1:8" x14ac:dyDescent="0.2">
      <c r="A75" s="3">
        <v>69</v>
      </c>
      <c r="B75" s="4" t="s">
        <v>277</v>
      </c>
      <c r="C75" s="4" t="s">
        <v>278</v>
      </c>
      <c r="D75" s="4" t="s">
        <v>186</v>
      </c>
      <c r="E75" s="5">
        <v>53264</v>
      </c>
      <c r="F75" s="6">
        <v>164.266176</v>
      </c>
      <c r="G75" s="7">
        <v>5.5129080000000004E-3</v>
      </c>
      <c r="H75" s="112"/>
    </row>
    <row r="76" spans="1:8" x14ac:dyDescent="0.2">
      <c r="A76" s="3">
        <v>70</v>
      </c>
      <c r="B76" s="4" t="s">
        <v>271</v>
      </c>
      <c r="C76" s="4" t="s">
        <v>272</v>
      </c>
      <c r="D76" s="4" t="s">
        <v>147</v>
      </c>
      <c r="E76" s="5">
        <v>25075</v>
      </c>
      <c r="F76" s="6">
        <v>163.13794999999999</v>
      </c>
      <c r="G76" s="7">
        <v>5.4750429999999998E-3</v>
      </c>
      <c r="H76" s="112"/>
    </row>
    <row r="77" spans="1:8" x14ac:dyDescent="0.2">
      <c r="A77" s="3">
        <v>71</v>
      </c>
      <c r="B77" s="4" t="s">
        <v>299</v>
      </c>
      <c r="C77" s="4" t="s">
        <v>300</v>
      </c>
      <c r="D77" s="4" t="s">
        <v>977</v>
      </c>
      <c r="E77" s="5">
        <v>402399</v>
      </c>
      <c r="F77" s="6">
        <v>148.2840315</v>
      </c>
      <c r="G77" s="7">
        <v>4.9765340000000003E-3</v>
      </c>
      <c r="H77" s="112"/>
    </row>
    <row r="78" spans="1:8" x14ac:dyDescent="0.2">
      <c r="A78" s="3">
        <v>72</v>
      </c>
      <c r="B78" s="4" t="s">
        <v>475</v>
      </c>
      <c r="C78" s="4" t="s">
        <v>476</v>
      </c>
      <c r="D78" s="4" t="s">
        <v>212</v>
      </c>
      <c r="E78" s="5">
        <v>19009</v>
      </c>
      <c r="F78" s="6">
        <v>142.3488965</v>
      </c>
      <c r="G78" s="7">
        <v>4.777346E-3</v>
      </c>
      <c r="H78" s="112"/>
    </row>
    <row r="79" spans="1:8" x14ac:dyDescent="0.2">
      <c r="A79" s="3">
        <v>73</v>
      </c>
      <c r="B79" s="4" t="s">
        <v>477</v>
      </c>
      <c r="C79" s="4" t="s">
        <v>478</v>
      </c>
      <c r="D79" s="4" t="s">
        <v>974</v>
      </c>
      <c r="E79" s="5">
        <v>142977</v>
      </c>
      <c r="F79" s="6">
        <v>137.4723855</v>
      </c>
      <c r="G79" s="7">
        <v>4.6136859999999997E-3</v>
      </c>
      <c r="H79" s="112"/>
    </row>
    <row r="80" spans="1:8" x14ac:dyDescent="0.2">
      <c r="A80" s="3">
        <v>74</v>
      </c>
      <c r="B80" s="4" t="s">
        <v>275</v>
      </c>
      <c r="C80" s="4" t="s">
        <v>276</v>
      </c>
      <c r="D80" s="4" t="s">
        <v>162</v>
      </c>
      <c r="E80" s="5">
        <v>31018</v>
      </c>
      <c r="F80" s="6">
        <v>128.445538</v>
      </c>
      <c r="G80" s="7">
        <v>4.3107379999999997E-3</v>
      </c>
      <c r="H80" s="112"/>
    </row>
    <row r="81" spans="1:8" x14ac:dyDescent="0.2">
      <c r="A81" s="3">
        <v>75</v>
      </c>
      <c r="B81" s="4" t="s">
        <v>279</v>
      </c>
      <c r="C81" s="4" t="s">
        <v>280</v>
      </c>
      <c r="D81" s="4" t="s">
        <v>147</v>
      </c>
      <c r="E81" s="5">
        <v>9638</v>
      </c>
      <c r="F81" s="6">
        <v>126.204791</v>
      </c>
      <c r="G81" s="7">
        <v>4.2355359999999998E-3</v>
      </c>
      <c r="H81" s="112"/>
    </row>
    <row r="82" spans="1:8" x14ac:dyDescent="0.2">
      <c r="A82" s="3">
        <v>76</v>
      </c>
      <c r="B82" s="4" t="s">
        <v>281</v>
      </c>
      <c r="C82" s="4" t="s">
        <v>282</v>
      </c>
      <c r="D82" s="4" t="s">
        <v>334</v>
      </c>
      <c r="E82" s="5">
        <v>6759</v>
      </c>
      <c r="F82" s="6">
        <v>53.906404500000001</v>
      </c>
      <c r="G82" s="7">
        <v>1.809143E-3</v>
      </c>
      <c r="H82" s="112"/>
    </row>
    <row r="83" spans="1:8" x14ac:dyDescent="0.2">
      <c r="A83" s="3">
        <v>77</v>
      </c>
      <c r="B83" s="4" t="s">
        <v>283</v>
      </c>
      <c r="C83" s="4" t="s">
        <v>284</v>
      </c>
      <c r="D83" s="4" t="s">
        <v>19</v>
      </c>
      <c r="E83" s="5">
        <v>47499</v>
      </c>
      <c r="F83" s="6">
        <v>30.518107499999999</v>
      </c>
      <c r="G83" s="7">
        <v>1.0242129999999999E-3</v>
      </c>
      <c r="H83" s="112"/>
    </row>
    <row r="84" spans="1:8" x14ac:dyDescent="0.2">
      <c r="A84" s="1"/>
      <c r="B84" s="1"/>
      <c r="C84" s="2" t="s">
        <v>97</v>
      </c>
      <c r="D84" s="1"/>
      <c r="E84" s="1" t="s">
        <v>98</v>
      </c>
      <c r="F84" s="9">
        <v>28717.910696499999</v>
      </c>
      <c r="G84" s="10">
        <v>0.96379663800000004</v>
      </c>
      <c r="H84" s="112"/>
    </row>
    <row r="85" spans="1:8" x14ac:dyDescent="0.2">
      <c r="A85" s="1"/>
      <c r="B85" s="1"/>
      <c r="C85" s="11"/>
      <c r="D85" s="1"/>
      <c r="E85" s="1"/>
      <c r="F85" s="12"/>
      <c r="G85" s="12"/>
      <c r="H85" s="112"/>
    </row>
    <row r="86" spans="1:8" x14ac:dyDescent="0.2">
      <c r="A86" s="1"/>
      <c r="B86" s="1"/>
      <c r="C86" s="2" t="s">
        <v>99</v>
      </c>
      <c r="D86" s="1"/>
      <c r="E86" s="1"/>
      <c r="F86" s="1"/>
      <c r="G86" s="1"/>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100</v>
      </c>
      <c r="D89" s="1"/>
      <c r="E89" s="1"/>
      <c r="F89" s="1"/>
      <c r="G89" s="1"/>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101</v>
      </c>
      <c r="D92" s="1"/>
      <c r="E92" s="1"/>
      <c r="F92" s="1"/>
      <c r="G92" s="1"/>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102</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103</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104</v>
      </c>
      <c r="D101" s="1"/>
      <c r="E101" s="1"/>
      <c r="F101" s="9">
        <v>28717.910696499999</v>
      </c>
      <c r="G101" s="10">
        <v>0.96379663800000004</v>
      </c>
      <c r="H101" s="112"/>
    </row>
    <row r="102" spans="1:8" x14ac:dyDescent="0.2">
      <c r="A102" s="1"/>
      <c r="B102" s="1"/>
      <c r="C102" s="11"/>
      <c r="D102" s="1"/>
      <c r="E102" s="1"/>
      <c r="F102" s="12"/>
      <c r="G102" s="12"/>
      <c r="H102" s="112"/>
    </row>
    <row r="103" spans="1:8" x14ac:dyDescent="0.2">
      <c r="A103" s="1"/>
      <c r="B103" s="1"/>
      <c r="C103" s="2" t="s">
        <v>105</v>
      </c>
      <c r="D103" s="1"/>
      <c r="E103" s="1"/>
      <c r="F103" s="12"/>
      <c r="G103" s="12"/>
      <c r="H103" s="112"/>
    </row>
    <row r="104" spans="1:8" ht="25.5" x14ac:dyDescent="0.2">
      <c r="A104" s="1"/>
      <c r="B104" s="1"/>
      <c r="C104" s="2" t="s">
        <v>10</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106</v>
      </c>
      <c r="D107" s="1"/>
      <c r="E107" s="1"/>
      <c r="F107" s="1"/>
      <c r="G107" s="1"/>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1"/>
      <c r="C110" s="2" t="s">
        <v>107</v>
      </c>
      <c r="D110" s="1"/>
      <c r="E110" s="1"/>
      <c r="F110" s="1"/>
      <c r="G110" s="1"/>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108</v>
      </c>
      <c r="D113" s="1"/>
      <c r="E113" s="1"/>
      <c r="F113" s="12"/>
      <c r="G113" s="12"/>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2" t="s">
        <v>109</v>
      </c>
      <c r="D116" s="1"/>
      <c r="E116" s="1"/>
      <c r="F116" s="9">
        <v>0</v>
      </c>
      <c r="G116" s="10">
        <v>0</v>
      </c>
      <c r="H116" s="112"/>
    </row>
    <row r="117" spans="1:8" x14ac:dyDescent="0.2">
      <c r="A117" s="1"/>
      <c r="B117" s="1"/>
      <c r="C117" s="11"/>
      <c r="D117" s="1"/>
      <c r="E117" s="1"/>
      <c r="F117" s="12"/>
      <c r="G117" s="12"/>
      <c r="H117" s="112"/>
    </row>
    <row r="118" spans="1:8" x14ac:dyDescent="0.2">
      <c r="A118" s="1"/>
      <c r="B118" s="1"/>
      <c r="C118" s="2" t="s">
        <v>110</v>
      </c>
      <c r="D118" s="1"/>
      <c r="E118" s="1"/>
      <c r="F118" s="12"/>
      <c r="G118" s="12"/>
      <c r="H118" s="112"/>
    </row>
    <row r="119" spans="1:8" x14ac:dyDescent="0.2">
      <c r="A119" s="1"/>
      <c r="B119" s="1"/>
      <c r="C119" s="2" t="s">
        <v>111</v>
      </c>
      <c r="D119" s="1"/>
      <c r="E119" s="1"/>
      <c r="F119" s="12"/>
      <c r="G119" s="12"/>
      <c r="H119" s="112"/>
    </row>
    <row r="120" spans="1:8" x14ac:dyDescent="0.2">
      <c r="A120" s="1"/>
      <c r="B120" s="1"/>
      <c r="C120" s="2" t="s">
        <v>97</v>
      </c>
      <c r="D120" s="1"/>
      <c r="E120" s="1" t="s">
        <v>98</v>
      </c>
      <c r="F120" s="13">
        <v>0</v>
      </c>
      <c r="G120" s="14">
        <v>0</v>
      </c>
      <c r="H120" s="112"/>
    </row>
    <row r="121" spans="1:8" x14ac:dyDescent="0.2">
      <c r="A121" s="1"/>
      <c r="B121" s="1"/>
      <c r="C121" s="11"/>
      <c r="D121" s="1"/>
      <c r="E121" s="1"/>
      <c r="F121" s="12"/>
      <c r="G121" s="12"/>
      <c r="H121" s="112"/>
    </row>
    <row r="122" spans="1:8" x14ac:dyDescent="0.2">
      <c r="A122" s="1"/>
      <c r="B122" s="1"/>
      <c r="C122" s="2" t="s">
        <v>112</v>
      </c>
      <c r="D122" s="1"/>
      <c r="E122" s="1"/>
      <c r="F122" s="12"/>
      <c r="G122" s="12"/>
      <c r="H122" s="112"/>
    </row>
    <row r="123" spans="1:8" x14ac:dyDescent="0.2">
      <c r="A123" s="1"/>
      <c r="B123" s="1"/>
      <c r="C123" s="2" t="s">
        <v>97</v>
      </c>
      <c r="D123" s="1"/>
      <c r="E123" s="1" t="s">
        <v>98</v>
      </c>
      <c r="F123" s="13">
        <v>0</v>
      </c>
      <c r="G123" s="14">
        <v>0</v>
      </c>
      <c r="H123" s="112"/>
    </row>
    <row r="124" spans="1:8" x14ac:dyDescent="0.2">
      <c r="A124" s="1"/>
      <c r="B124" s="1"/>
      <c r="C124" s="11"/>
      <c r="D124" s="1"/>
      <c r="E124" s="1"/>
      <c r="F124" s="12"/>
      <c r="G124" s="12"/>
      <c r="H124" s="112"/>
    </row>
    <row r="125" spans="1:8" x14ac:dyDescent="0.2">
      <c r="A125" s="1"/>
      <c r="B125" s="1"/>
      <c r="C125" s="2" t="s">
        <v>113</v>
      </c>
      <c r="D125" s="1"/>
      <c r="E125" s="1"/>
      <c r="F125" s="12"/>
      <c r="G125" s="12"/>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114</v>
      </c>
      <c r="D128" s="1"/>
      <c r="E128" s="1"/>
      <c r="F128" s="12"/>
      <c r="G128" s="12"/>
      <c r="H128" s="112"/>
    </row>
    <row r="129" spans="1:8" x14ac:dyDescent="0.2">
      <c r="A129" s="3">
        <v>1</v>
      </c>
      <c r="B129" s="4"/>
      <c r="C129" s="4" t="s">
        <v>115</v>
      </c>
      <c r="D129" s="4"/>
      <c r="E129" s="8"/>
      <c r="F129" s="6">
        <v>786.26860342314046</v>
      </c>
      <c r="G129" s="7">
        <v>2.6387819194769058E-2</v>
      </c>
      <c r="H129" s="6">
        <v>3.3211324282253978</v>
      </c>
    </row>
    <row r="130" spans="1:8" x14ac:dyDescent="0.2">
      <c r="A130" s="3">
        <v>2</v>
      </c>
      <c r="B130" s="4"/>
      <c r="C130" s="4" t="s">
        <v>116</v>
      </c>
      <c r="D130" s="4"/>
      <c r="E130" s="8"/>
      <c r="F130" s="6">
        <v>308.86473900005041</v>
      </c>
      <c r="G130" s="7">
        <v>1.0365753958493871E-2</v>
      </c>
      <c r="H130" s="6">
        <v>3.35</v>
      </c>
    </row>
    <row r="131" spans="1:8" x14ac:dyDescent="0.2">
      <c r="A131" s="1"/>
      <c r="B131" s="1"/>
      <c r="C131" s="2" t="s">
        <v>97</v>
      </c>
      <c r="D131" s="1"/>
      <c r="E131" s="1" t="s">
        <v>98</v>
      </c>
      <c r="F131" s="9">
        <v>1095.1333424231909</v>
      </c>
      <c r="G131" s="10">
        <v>3.6753573153262928E-2</v>
      </c>
      <c r="H131" s="112"/>
    </row>
    <row r="132" spans="1:8" x14ac:dyDescent="0.2">
      <c r="A132" s="1"/>
      <c r="B132" s="1"/>
      <c r="C132" s="11"/>
      <c r="D132" s="1"/>
      <c r="E132" s="1"/>
      <c r="F132" s="12"/>
      <c r="G132" s="12"/>
      <c r="H132" s="112"/>
    </row>
    <row r="133" spans="1:8" x14ac:dyDescent="0.2">
      <c r="A133" s="1"/>
      <c r="B133" s="1"/>
      <c r="C133" s="2" t="s">
        <v>117</v>
      </c>
      <c r="D133" s="1"/>
      <c r="E133" s="1"/>
      <c r="F133" s="9">
        <v>1095.1333424231909</v>
      </c>
      <c r="G133" s="10">
        <v>3.6753573153262928E-2</v>
      </c>
      <c r="H133" s="112"/>
    </row>
    <row r="134" spans="1:8" x14ac:dyDescent="0.2">
      <c r="A134" s="1"/>
      <c r="B134" s="1"/>
      <c r="C134" s="12"/>
      <c r="D134" s="1"/>
      <c r="E134" s="1"/>
      <c r="F134" s="1"/>
      <c r="G134" s="1"/>
      <c r="H134" s="112"/>
    </row>
    <row r="135" spans="1:8" x14ac:dyDescent="0.2">
      <c r="A135" s="1"/>
      <c r="B135" s="1"/>
      <c r="C135" s="2" t="s">
        <v>118</v>
      </c>
      <c r="D135" s="1"/>
      <c r="E135" s="1"/>
      <c r="F135" s="1"/>
      <c r="G135" s="1"/>
      <c r="H135" s="112"/>
    </row>
    <row r="136" spans="1:8" x14ac:dyDescent="0.2">
      <c r="A136" s="1"/>
      <c r="B136" s="1"/>
      <c r="C136" s="2" t="s">
        <v>119</v>
      </c>
      <c r="D136" s="1"/>
      <c r="E136" s="1"/>
      <c r="F136" s="1"/>
      <c r="G136" s="1"/>
      <c r="H136" s="112"/>
    </row>
    <row r="137" spans="1:8" x14ac:dyDescent="0.2">
      <c r="A137" s="1"/>
      <c r="B137" s="1"/>
      <c r="C137" s="2" t="s">
        <v>97</v>
      </c>
      <c r="D137" s="1"/>
      <c r="E137" s="1" t="s">
        <v>98</v>
      </c>
      <c r="F137" s="13">
        <v>0</v>
      </c>
      <c r="G137" s="14">
        <v>0</v>
      </c>
      <c r="H137" s="112"/>
    </row>
    <row r="138" spans="1:8" x14ac:dyDescent="0.2">
      <c r="A138" s="1"/>
      <c r="B138" s="1"/>
      <c r="C138" s="11"/>
      <c r="D138" s="1"/>
      <c r="E138" s="1"/>
      <c r="F138" s="12"/>
      <c r="G138" s="12"/>
      <c r="H138" s="112"/>
    </row>
    <row r="139" spans="1:8" x14ac:dyDescent="0.2">
      <c r="A139" s="1"/>
      <c r="B139" s="1"/>
      <c r="C139" s="2" t="s">
        <v>120</v>
      </c>
      <c r="D139" s="1"/>
      <c r="E139" s="1"/>
      <c r="F139" s="1"/>
      <c r="G139" s="1"/>
      <c r="H139" s="112"/>
    </row>
    <row r="140" spans="1:8" x14ac:dyDescent="0.2">
      <c r="A140" s="1"/>
      <c r="B140" s="1"/>
      <c r="C140" s="2" t="s">
        <v>121</v>
      </c>
      <c r="D140" s="1"/>
      <c r="E140" s="1"/>
      <c r="F140" s="1"/>
      <c r="G140" s="1"/>
      <c r="H140" s="112"/>
    </row>
    <row r="141" spans="1:8" x14ac:dyDescent="0.2">
      <c r="A141" s="1"/>
      <c r="B141" s="1"/>
      <c r="C141" s="2" t="s">
        <v>97</v>
      </c>
      <c r="D141" s="1"/>
      <c r="E141" s="1" t="s">
        <v>98</v>
      </c>
      <c r="F141" s="13">
        <v>0</v>
      </c>
      <c r="G141" s="14">
        <v>0</v>
      </c>
      <c r="H141" s="112"/>
    </row>
    <row r="142" spans="1:8" x14ac:dyDescent="0.2">
      <c r="A142" s="1"/>
      <c r="B142" s="1"/>
      <c r="C142" s="11"/>
      <c r="D142" s="1"/>
      <c r="E142" s="1"/>
      <c r="F142" s="12"/>
      <c r="G142" s="12"/>
      <c r="H142" s="112"/>
    </row>
    <row r="143" spans="1:8" x14ac:dyDescent="0.2">
      <c r="A143" s="1"/>
      <c r="B143" s="1"/>
      <c r="C143" s="11"/>
      <c r="D143" s="1"/>
      <c r="E143" s="1"/>
      <c r="F143" s="12"/>
      <c r="G143" s="12"/>
      <c r="H143" s="112"/>
    </row>
    <row r="144" spans="1:8" ht="25.5" x14ac:dyDescent="0.2">
      <c r="A144" s="1"/>
      <c r="B144" s="1"/>
      <c r="C144" s="2" t="s">
        <v>122</v>
      </c>
      <c r="D144" s="1"/>
      <c r="E144" s="1"/>
      <c r="F144" s="12"/>
      <c r="G144" s="12"/>
      <c r="H144" s="112"/>
    </row>
    <row r="145" spans="1:8" x14ac:dyDescent="0.2">
      <c r="A145" s="1"/>
      <c r="B145" s="1"/>
      <c r="C145" s="2" t="s">
        <v>97</v>
      </c>
      <c r="D145" s="1"/>
      <c r="E145" s="1" t="s">
        <v>98</v>
      </c>
      <c r="F145" s="13">
        <v>0</v>
      </c>
      <c r="G145" s="14">
        <v>0</v>
      </c>
      <c r="H145" s="112"/>
    </row>
    <row r="146" spans="1:8" x14ac:dyDescent="0.2">
      <c r="A146" s="1"/>
      <c r="B146" s="1"/>
      <c r="C146" s="11"/>
      <c r="D146" s="1"/>
      <c r="E146" s="1"/>
      <c r="F146" s="12"/>
      <c r="G146" s="12"/>
      <c r="H146" s="112"/>
    </row>
    <row r="147" spans="1:8" x14ac:dyDescent="0.2">
      <c r="A147" s="1"/>
      <c r="B147" s="4"/>
      <c r="C147" s="4"/>
      <c r="D147" s="2"/>
      <c r="E147" s="1"/>
      <c r="F147" s="4"/>
      <c r="G147" s="8"/>
      <c r="H147" s="112"/>
    </row>
    <row r="148" spans="1:8" x14ac:dyDescent="0.2">
      <c r="A148" s="8"/>
      <c r="B148" s="4"/>
      <c r="C148" s="4" t="s">
        <v>123</v>
      </c>
      <c r="D148" s="4"/>
      <c r="E148" s="8"/>
      <c r="F148" s="6">
        <v>-16.394497220050393</v>
      </c>
      <c r="G148" s="7">
        <v>-5.5021277277049864E-4</v>
      </c>
      <c r="H148" s="112"/>
    </row>
    <row r="149" spans="1:8" x14ac:dyDescent="0.2">
      <c r="A149" s="11"/>
      <c r="B149" s="11"/>
      <c r="C149" s="2" t="s">
        <v>124</v>
      </c>
      <c r="D149" s="15"/>
      <c r="E149" s="15"/>
      <c r="F149" s="9">
        <v>29796.649644280002</v>
      </c>
      <c r="G149" s="10">
        <v>1.0000000019999999</v>
      </c>
      <c r="H149" s="112"/>
    </row>
    <row r="150" spans="1:8" ht="14.1" customHeight="1" x14ac:dyDescent="0.2">
      <c r="A150" s="16"/>
      <c r="B150" s="16"/>
      <c r="C150" s="16"/>
      <c r="D150" s="17"/>
      <c r="E150" s="17"/>
      <c r="F150" s="17"/>
      <c r="G150" s="17"/>
    </row>
    <row r="151" spans="1:8" ht="14.1" customHeight="1" x14ac:dyDescent="0.2">
      <c r="A151" s="18"/>
      <c r="B151" s="205" t="s">
        <v>98</v>
      </c>
      <c r="C151" s="205"/>
      <c r="D151" s="205"/>
      <c r="E151" s="205"/>
      <c r="F151" s="205"/>
      <c r="G151" s="20"/>
    </row>
    <row r="152" spans="1:8" ht="14.1" customHeight="1" x14ac:dyDescent="0.2">
      <c r="A152" s="18"/>
      <c r="B152" s="205" t="s">
        <v>98</v>
      </c>
      <c r="C152" s="205"/>
      <c r="D152" s="205"/>
      <c r="E152" s="205"/>
      <c r="F152" s="205"/>
      <c r="G152" s="20"/>
    </row>
    <row r="153" spans="1:8" ht="14.1" customHeight="1" x14ac:dyDescent="0.2">
      <c r="A153" s="18"/>
      <c r="B153" s="18"/>
      <c r="C153" s="18"/>
      <c r="D153" s="20"/>
      <c r="E153" s="20"/>
      <c r="F153" s="20"/>
      <c r="G153" s="20"/>
    </row>
    <row r="154" spans="1:8" ht="14.1" customHeight="1" x14ac:dyDescent="0.2">
      <c r="A154" s="18"/>
      <c r="B154" s="203" t="s">
        <v>126</v>
      </c>
      <c r="C154" s="204"/>
      <c r="D154" s="12" t="s">
        <v>98</v>
      </c>
      <c r="E154" s="21"/>
      <c r="F154" s="20"/>
      <c r="G154" s="20"/>
    </row>
    <row r="155" spans="1:8" ht="29.1" customHeight="1" x14ac:dyDescent="0.2">
      <c r="A155" s="18"/>
      <c r="B155" s="198" t="s">
        <v>127</v>
      </c>
      <c r="C155" s="199"/>
      <c r="D155" s="2" t="s">
        <v>128</v>
      </c>
      <c r="E155" s="21"/>
      <c r="F155" s="20"/>
      <c r="G155" s="20"/>
    </row>
    <row r="156" spans="1:8" ht="17.100000000000001" customHeight="1" x14ac:dyDescent="0.2">
      <c r="A156" s="18"/>
      <c r="B156" s="198" t="s">
        <v>129</v>
      </c>
      <c r="C156" s="199"/>
      <c r="D156" s="2" t="s">
        <v>128</v>
      </c>
      <c r="E156" s="21"/>
      <c r="F156" s="20"/>
      <c r="G156" s="20"/>
    </row>
    <row r="157" spans="1:8" ht="17.100000000000001" customHeight="1" x14ac:dyDescent="0.2">
      <c r="A157" s="18"/>
      <c r="B157" s="198" t="s">
        <v>130</v>
      </c>
      <c r="C157" s="199"/>
      <c r="D157" s="12" t="s">
        <v>98</v>
      </c>
      <c r="E157" s="21"/>
      <c r="F157" s="20"/>
      <c r="G157" s="20"/>
    </row>
    <row r="158" spans="1:8" ht="24" customHeight="1" x14ac:dyDescent="0.2">
      <c r="A158" s="22"/>
      <c r="B158" s="23" t="s">
        <v>98</v>
      </c>
      <c r="C158" s="23" t="s">
        <v>131</v>
      </c>
      <c r="D158" s="23" t="s">
        <v>132</v>
      </c>
      <c r="E158" s="22"/>
      <c r="F158" s="22"/>
      <c r="G158" s="22"/>
    </row>
    <row r="159" spans="1:8" ht="18" customHeight="1" x14ac:dyDescent="0.2">
      <c r="A159" s="22"/>
      <c r="B159" s="23" t="s">
        <v>133</v>
      </c>
      <c r="C159" s="23" t="s">
        <v>134</v>
      </c>
      <c r="D159" s="23" t="s">
        <v>135</v>
      </c>
      <c r="E159" s="22"/>
      <c r="F159" s="22"/>
      <c r="G159" s="22"/>
    </row>
    <row r="160" spans="1:8" ht="17.100000000000001" customHeight="1" x14ac:dyDescent="0.2">
      <c r="A160" s="22"/>
      <c r="B160" s="4" t="s">
        <v>136</v>
      </c>
      <c r="C160" s="24">
        <v>15.362500000000001</v>
      </c>
      <c r="D160" s="24">
        <v>15.760300000000001</v>
      </c>
      <c r="E160" s="22"/>
      <c r="F160" s="19"/>
      <c r="G160" s="25"/>
    </row>
    <row r="161" spans="1:15" ht="17.100000000000001" customHeight="1" x14ac:dyDescent="0.2">
      <c r="A161" s="22"/>
      <c r="B161" s="4" t="s">
        <v>980</v>
      </c>
      <c r="C161" s="24">
        <v>15.362500000000001</v>
      </c>
      <c r="D161" s="24">
        <v>15.760300000000001</v>
      </c>
      <c r="E161" s="22"/>
      <c r="F161" s="19"/>
      <c r="G161" s="25"/>
    </row>
    <row r="162" spans="1:15" ht="17.100000000000001" customHeight="1" x14ac:dyDescent="0.2">
      <c r="A162" s="22"/>
      <c r="B162" s="4" t="s">
        <v>137</v>
      </c>
      <c r="C162" s="24">
        <v>14.831799999999999</v>
      </c>
      <c r="D162" s="24">
        <v>15.2059</v>
      </c>
      <c r="E162" s="22"/>
      <c r="F162" s="19"/>
      <c r="G162" s="25"/>
    </row>
    <row r="163" spans="1:15" ht="17.100000000000001" customHeight="1" x14ac:dyDescent="0.2">
      <c r="A163" s="22"/>
      <c r="B163" s="4" t="s">
        <v>981</v>
      </c>
      <c r="C163" s="24">
        <v>14.831799999999999</v>
      </c>
      <c r="D163" s="24">
        <v>15.2059</v>
      </c>
      <c r="E163" s="22"/>
      <c r="F163" s="19"/>
      <c r="G163" s="25"/>
    </row>
    <row r="164" spans="1:15" ht="14.1" customHeight="1" x14ac:dyDescent="0.2">
      <c r="A164" s="22"/>
      <c r="B164" s="22"/>
      <c r="C164" s="22"/>
      <c r="D164" s="22"/>
      <c r="E164" s="22"/>
      <c r="F164" s="22"/>
      <c r="G164" s="22"/>
    </row>
    <row r="165" spans="1:15" ht="17.100000000000001" customHeight="1" x14ac:dyDescent="0.2">
      <c r="A165" s="22"/>
      <c r="B165" s="198" t="s">
        <v>982</v>
      </c>
      <c r="C165" s="199"/>
      <c r="D165" s="91" t="s">
        <v>128</v>
      </c>
      <c r="E165" s="22"/>
      <c r="F165" s="22"/>
      <c r="G165" s="22"/>
      <c r="I165" s="113"/>
      <c r="J165" s="113"/>
      <c r="K165" s="113"/>
      <c r="L165" s="113"/>
      <c r="M165" s="113"/>
      <c r="N165" s="113"/>
      <c r="O165" s="113"/>
    </row>
    <row r="166" spans="1:15" ht="18" customHeight="1" x14ac:dyDescent="0.2">
      <c r="A166" s="22"/>
      <c r="B166" s="26"/>
      <c r="C166" s="26"/>
      <c r="D166" s="27"/>
      <c r="E166" s="22"/>
      <c r="F166" s="22"/>
      <c r="G166" s="22"/>
    </row>
    <row r="167" spans="1:15" s="113" customFormat="1" x14ac:dyDescent="0.2">
      <c r="B167" s="202" t="s">
        <v>984</v>
      </c>
      <c r="C167" s="202"/>
      <c r="D167" s="202"/>
      <c r="E167" s="202"/>
      <c r="F167" s="202"/>
      <c r="I167"/>
      <c r="J167"/>
      <c r="K167"/>
      <c r="L167"/>
      <c r="M167"/>
      <c r="N167"/>
      <c r="O167"/>
    </row>
    <row r="168" spans="1:15" ht="14.1" customHeight="1" x14ac:dyDescent="0.2">
      <c r="A168" s="22"/>
      <c r="B168" s="19"/>
      <c r="C168" s="19"/>
      <c r="D168" s="22"/>
      <c r="E168" s="22"/>
      <c r="F168" s="22"/>
      <c r="G168" s="22"/>
    </row>
    <row r="169" spans="1:15" ht="29.1" customHeight="1" x14ac:dyDescent="0.2">
      <c r="A169" s="22"/>
      <c r="B169" s="198" t="s">
        <v>138</v>
      </c>
      <c r="C169" s="199"/>
      <c r="D169" s="2" t="s">
        <v>128</v>
      </c>
      <c r="E169" s="22"/>
      <c r="F169" s="22"/>
      <c r="G169" s="22"/>
    </row>
    <row r="170" spans="1:15" ht="29.1" customHeight="1" x14ac:dyDescent="0.2">
      <c r="A170" s="22"/>
      <c r="B170" s="198" t="s">
        <v>139</v>
      </c>
      <c r="C170" s="199"/>
      <c r="D170" s="2" t="s">
        <v>128</v>
      </c>
      <c r="E170" s="22"/>
      <c r="F170" s="22"/>
      <c r="G170" s="22"/>
    </row>
    <row r="171" spans="1:15" ht="17.100000000000001" customHeight="1" x14ac:dyDescent="0.2">
      <c r="A171" s="22"/>
      <c r="B171" s="198" t="s">
        <v>140</v>
      </c>
      <c r="C171" s="199"/>
      <c r="D171" s="28">
        <v>0.40637518393050948</v>
      </c>
      <c r="E171" s="22"/>
      <c r="F171" s="19"/>
      <c r="G171" s="25"/>
    </row>
    <row r="172" spans="1:15" ht="17.100000000000001" customHeight="1" x14ac:dyDescent="0.2">
      <c r="A172" s="22"/>
      <c r="B172" s="198" t="s">
        <v>141</v>
      </c>
      <c r="C172" s="199"/>
      <c r="D172" s="2" t="s">
        <v>128</v>
      </c>
      <c r="E172" s="22"/>
      <c r="F172" s="22"/>
      <c r="G172" s="22"/>
    </row>
  </sheetData>
  <mergeCells count="16">
    <mergeCell ref="B172:C172"/>
    <mergeCell ref="B155:C155"/>
    <mergeCell ref="B156:C156"/>
    <mergeCell ref="B157:C157"/>
    <mergeCell ref="B165:C165"/>
    <mergeCell ref="B169:C169"/>
    <mergeCell ref="B170:C170"/>
    <mergeCell ref="B167:F167"/>
    <mergeCell ref="A1:H1"/>
    <mergeCell ref="A2:H2"/>
    <mergeCell ref="A3:H3"/>
    <mergeCell ref="J2:N2"/>
    <mergeCell ref="B171:C171"/>
    <mergeCell ref="B154:C154"/>
    <mergeCell ref="B151:F151"/>
    <mergeCell ref="B152:F152"/>
  </mergeCells>
  <pageMargins left="5.000000074505806E-2" right="5.000000074505806E-2" top="0.30000001192092896" bottom="0.20000000298023224" header="0" footer="0"/>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7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480</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50163</v>
      </c>
      <c r="F7" s="6">
        <v>812.43994799999996</v>
      </c>
      <c r="G7" s="7">
        <v>3.0552101000000002E-2</v>
      </c>
      <c r="H7" s="112"/>
    </row>
    <row r="8" spans="1:14" x14ac:dyDescent="0.2">
      <c r="A8" s="3">
        <v>2</v>
      </c>
      <c r="B8" s="4" t="s">
        <v>74</v>
      </c>
      <c r="C8" s="4" t="s">
        <v>75</v>
      </c>
      <c r="D8" s="4" t="s">
        <v>71</v>
      </c>
      <c r="E8" s="5">
        <v>178642</v>
      </c>
      <c r="F8" s="6">
        <v>688.93287299999997</v>
      </c>
      <c r="G8" s="7">
        <v>2.5907572E-2</v>
      </c>
      <c r="H8" s="112"/>
    </row>
    <row r="9" spans="1:14" x14ac:dyDescent="0.2">
      <c r="A9" s="3">
        <v>3</v>
      </c>
      <c r="B9" s="4" t="s">
        <v>148</v>
      </c>
      <c r="C9" s="4" t="s">
        <v>149</v>
      </c>
      <c r="D9" s="4" t="s">
        <v>81</v>
      </c>
      <c r="E9" s="5">
        <v>521325</v>
      </c>
      <c r="F9" s="6">
        <v>676.67984999999999</v>
      </c>
      <c r="G9" s="7">
        <v>2.5446792999999999E-2</v>
      </c>
      <c r="H9" s="112"/>
    </row>
    <row r="10" spans="1:14" x14ac:dyDescent="0.2">
      <c r="A10" s="3">
        <v>4</v>
      </c>
      <c r="B10" s="4" t="s">
        <v>145</v>
      </c>
      <c r="C10" s="4" t="s">
        <v>146</v>
      </c>
      <c r="D10" s="4" t="s">
        <v>147</v>
      </c>
      <c r="E10" s="5">
        <v>20245</v>
      </c>
      <c r="F10" s="6">
        <v>675.85907999999995</v>
      </c>
      <c r="G10" s="7">
        <v>2.5415927000000001E-2</v>
      </c>
      <c r="H10" s="112"/>
    </row>
    <row r="11" spans="1:14" x14ac:dyDescent="0.2">
      <c r="A11" s="3">
        <v>5</v>
      </c>
      <c r="B11" s="4" t="s">
        <v>143</v>
      </c>
      <c r="C11" s="4" t="s">
        <v>144</v>
      </c>
      <c r="D11" s="4" t="s">
        <v>27</v>
      </c>
      <c r="E11" s="5">
        <v>73643</v>
      </c>
      <c r="F11" s="6">
        <v>672.39741149999998</v>
      </c>
      <c r="G11" s="7">
        <v>2.5285749999999999E-2</v>
      </c>
      <c r="H11" s="112"/>
    </row>
    <row r="12" spans="1:14" x14ac:dyDescent="0.2">
      <c r="A12" s="3">
        <v>6</v>
      </c>
      <c r="B12" s="4" t="s">
        <v>41</v>
      </c>
      <c r="C12" s="4" t="s">
        <v>42</v>
      </c>
      <c r="D12" s="4" t="s">
        <v>27</v>
      </c>
      <c r="E12" s="5">
        <v>48732</v>
      </c>
      <c r="F12" s="6">
        <v>645.91829399999995</v>
      </c>
      <c r="G12" s="7">
        <v>2.4289992999999999E-2</v>
      </c>
      <c r="H12" s="112"/>
    </row>
    <row r="13" spans="1:14" x14ac:dyDescent="0.2">
      <c r="A13" s="3">
        <v>7</v>
      </c>
      <c r="B13" s="4" t="s">
        <v>150</v>
      </c>
      <c r="C13" s="4" t="s">
        <v>151</v>
      </c>
      <c r="D13" s="4" t="s">
        <v>27</v>
      </c>
      <c r="E13" s="5">
        <v>73884</v>
      </c>
      <c r="F13" s="6">
        <v>628.86366599999997</v>
      </c>
      <c r="G13" s="7">
        <v>2.3648648000000001E-2</v>
      </c>
      <c r="H13" s="112"/>
    </row>
    <row r="14" spans="1:14" ht="25.5" x14ac:dyDescent="0.2">
      <c r="A14" s="3">
        <v>8</v>
      </c>
      <c r="B14" s="4" t="s">
        <v>152</v>
      </c>
      <c r="C14" s="4" t="s">
        <v>153</v>
      </c>
      <c r="D14" s="4" t="s">
        <v>45</v>
      </c>
      <c r="E14" s="5">
        <v>426752</v>
      </c>
      <c r="F14" s="6">
        <v>624.33817599999998</v>
      </c>
      <c r="G14" s="7">
        <v>2.3478465E-2</v>
      </c>
      <c r="H14" s="112"/>
    </row>
    <row r="15" spans="1:14" x14ac:dyDescent="0.2">
      <c r="A15" s="3">
        <v>9</v>
      </c>
      <c r="B15" s="4" t="s">
        <v>154</v>
      </c>
      <c r="C15" s="4" t="s">
        <v>155</v>
      </c>
      <c r="D15" s="4" t="s">
        <v>71</v>
      </c>
      <c r="E15" s="5">
        <v>111247</v>
      </c>
      <c r="F15" s="6">
        <v>600.84504700000002</v>
      </c>
      <c r="G15" s="7">
        <v>2.2594996999999999E-2</v>
      </c>
      <c r="H15" s="112"/>
    </row>
    <row r="16" spans="1:14" ht="15" x14ac:dyDescent="0.2">
      <c r="A16" s="3">
        <v>10</v>
      </c>
      <c r="B16" s="4" t="s">
        <v>297</v>
      </c>
      <c r="C16" s="4" t="s">
        <v>298</v>
      </c>
      <c r="D16" s="4" t="s">
        <v>27</v>
      </c>
      <c r="E16" s="5">
        <v>87229</v>
      </c>
      <c r="F16" s="6">
        <v>584.60875799999997</v>
      </c>
      <c r="G16" s="7">
        <v>2.1984426000000001E-2</v>
      </c>
      <c r="H16" s="112"/>
      <c r="J16" s="188" t="s">
        <v>1016</v>
      </c>
    </row>
    <row r="17" spans="1:8" x14ac:dyDescent="0.2">
      <c r="A17" s="3">
        <v>11</v>
      </c>
      <c r="B17" s="4" t="s">
        <v>463</v>
      </c>
      <c r="C17" s="4" t="s">
        <v>464</v>
      </c>
      <c r="D17" s="4" t="s">
        <v>71</v>
      </c>
      <c r="E17" s="5">
        <v>164997</v>
      </c>
      <c r="F17" s="6">
        <v>570.80712149999999</v>
      </c>
      <c r="G17" s="7">
        <v>2.1465410000000001E-2</v>
      </c>
      <c r="H17" s="112"/>
    </row>
    <row r="18" spans="1:8" x14ac:dyDescent="0.2">
      <c r="A18" s="3">
        <v>12</v>
      </c>
      <c r="B18" s="4" t="s">
        <v>160</v>
      </c>
      <c r="C18" s="4" t="s">
        <v>161</v>
      </c>
      <c r="D18" s="4" t="s">
        <v>162</v>
      </c>
      <c r="E18" s="5">
        <v>13964</v>
      </c>
      <c r="F18" s="6">
        <v>547.90546800000004</v>
      </c>
      <c r="G18" s="7">
        <v>2.0604185000000001E-2</v>
      </c>
      <c r="H18" s="112"/>
    </row>
    <row r="19" spans="1:8" x14ac:dyDescent="0.2">
      <c r="A19" s="3">
        <v>13</v>
      </c>
      <c r="B19" s="4" t="s">
        <v>163</v>
      </c>
      <c r="C19" s="4" t="s">
        <v>164</v>
      </c>
      <c r="D19" s="4" t="s">
        <v>162</v>
      </c>
      <c r="E19" s="5">
        <v>166257</v>
      </c>
      <c r="F19" s="6">
        <v>513.23535900000002</v>
      </c>
      <c r="G19" s="7">
        <v>1.9300403000000001E-2</v>
      </c>
      <c r="H19" s="112"/>
    </row>
    <row r="20" spans="1:8" x14ac:dyDescent="0.2">
      <c r="A20" s="3">
        <v>14</v>
      </c>
      <c r="B20" s="4" t="s">
        <v>65</v>
      </c>
      <c r="C20" s="4" t="s">
        <v>66</v>
      </c>
      <c r="D20" s="4" t="s">
        <v>64</v>
      </c>
      <c r="E20" s="5">
        <v>110331</v>
      </c>
      <c r="F20" s="6">
        <v>512.1013365</v>
      </c>
      <c r="G20" s="7">
        <v>1.9257758E-2</v>
      </c>
      <c r="H20" s="112"/>
    </row>
    <row r="21" spans="1:8" x14ac:dyDescent="0.2">
      <c r="A21" s="3">
        <v>15</v>
      </c>
      <c r="B21" s="4" t="s">
        <v>171</v>
      </c>
      <c r="C21" s="4" t="s">
        <v>172</v>
      </c>
      <c r="D21" s="4" t="s">
        <v>173</v>
      </c>
      <c r="E21" s="5">
        <v>36123</v>
      </c>
      <c r="F21" s="6">
        <v>504.457695</v>
      </c>
      <c r="G21" s="7">
        <v>1.8970316000000001E-2</v>
      </c>
      <c r="H21" s="112"/>
    </row>
    <row r="22" spans="1:8" ht="25.5" x14ac:dyDescent="0.2">
      <c r="A22" s="3">
        <v>16</v>
      </c>
      <c r="B22" s="4" t="s">
        <v>37</v>
      </c>
      <c r="C22" s="4" t="s">
        <v>38</v>
      </c>
      <c r="D22" s="4" t="s">
        <v>971</v>
      </c>
      <c r="E22" s="5">
        <v>14971</v>
      </c>
      <c r="F22" s="6">
        <v>496.40093250000001</v>
      </c>
      <c r="G22" s="7">
        <v>1.8667337999999999E-2</v>
      </c>
      <c r="H22" s="112"/>
    </row>
    <row r="23" spans="1:8" x14ac:dyDescent="0.2">
      <c r="A23" s="3">
        <v>17</v>
      </c>
      <c r="B23" s="4" t="s">
        <v>167</v>
      </c>
      <c r="C23" s="4" t="s">
        <v>168</v>
      </c>
      <c r="D23" s="4" t="s">
        <v>81</v>
      </c>
      <c r="E23" s="5">
        <v>65065</v>
      </c>
      <c r="F23" s="6">
        <v>458.87091249999997</v>
      </c>
      <c r="G23" s="7">
        <v>1.7256008E-2</v>
      </c>
      <c r="H23" s="112"/>
    </row>
    <row r="24" spans="1:8" x14ac:dyDescent="0.2">
      <c r="A24" s="3">
        <v>18</v>
      </c>
      <c r="B24" s="4" t="s">
        <v>165</v>
      </c>
      <c r="C24" s="4" t="s">
        <v>166</v>
      </c>
      <c r="D24" s="4" t="s">
        <v>976</v>
      </c>
      <c r="E24" s="5">
        <v>102407</v>
      </c>
      <c r="F24" s="6">
        <v>429.13653349999998</v>
      </c>
      <c r="G24" s="7">
        <v>1.6137835999999999E-2</v>
      </c>
      <c r="H24" s="112"/>
    </row>
    <row r="25" spans="1:8" x14ac:dyDescent="0.2">
      <c r="A25" s="3">
        <v>19</v>
      </c>
      <c r="B25" s="4" t="s">
        <v>465</v>
      </c>
      <c r="C25" s="4" t="s">
        <v>466</v>
      </c>
      <c r="D25" s="4" t="s">
        <v>50</v>
      </c>
      <c r="E25" s="5">
        <v>66186</v>
      </c>
      <c r="F25" s="6">
        <v>416.57468399999999</v>
      </c>
      <c r="G25" s="7">
        <v>1.5665443000000001E-2</v>
      </c>
      <c r="H25" s="112"/>
    </row>
    <row r="26" spans="1:8" x14ac:dyDescent="0.2">
      <c r="A26" s="3">
        <v>20</v>
      </c>
      <c r="B26" s="4" t="s">
        <v>174</v>
      </c>
      <c r="C26" s="4" t="s">
        <v>175</v>
      </c>
      <c r="D26" s="4" t="s">
        <v>162</v>
      </c>
      <c r="E26" s="5">
        <v>38425</v>
      </c>
      <c r="F26" s="6">
        <v>403.46249999999998</v>
      </c>
      <c r="G26" s="7">
        <v>1.5172354000000001E-2</v>
      </c>
      <c r="H26" s="112"/>
    </row>
    <row r="27" spans="1:8" ht="25.5" x14ac:dyDescent="0.2">
      <c r="A27" s="3">
        <v>21</v>
      </c>
      <c r="B27" s="4" t="s">
        <v>190</v>
      </c>
      <c r="C27" s="4" t="s">
        <v>191</v>
      </c>
      <c r="D27" s="4" t="s">
        <v>192</v>
      </c>
      <c r="E27" s="5">
        <v>76500</v>
      </c>
      <c r="F27" s="6">
        <v>400.20974999999999</v>
      </c>
      <c r="G27" s="7">
        <v>1.5050034E-2</v>
      </c>
      <c r="H27" s="112"/>
    </row>
    <row r="28" spans="1:8" x14ac:dyDescent="0.2">
      <c r="A28" s="3">
        <v>22</v>
      </c>
      <c r="B28" s="4" t="s">
        <v>182</v>
      </c>
      <c r="C28" s="4" t="s">
        <v>183</v>
      </c>
      <c r="D28" s="4" t="s">
        <v>162</v>
      </c>
      <c r="E28" s="5">
        <v>37221</v>
      </c>
      <c r="F28" s="6">
        <v>397.61333250000001</v>
      </c>
      <c r="G28" s="7">
        <v>1.4952394000000001E-2</v>
      </c>
      <c r="H28" s="112"/>
    </row>
    <row r="29" spans="1:8" x14ac:dyDescent="0.2">
      <c r="A29" s="3">
        <v>23</v>
      </c>
      <c r="B29" s="4" t="s">
        <v>364</v>
      </c>
      <c r="C29" s="4" t="s">
        <v>365</v>
      </c>
      <c r="D29" s="4" t="s">
        <v>173</v>
      </c>
      <c r="E29" s="5">
        <v>10312</v>
      </c>
      <c r="F29" s="6">
        <v>395.862212</v>
      </c>
      <c r="G29" s="7">
        <v>1.4886543E-2</v>
      </c>
      <c r="H29" s="112"/>
    </row>
    <row r="30" spans="1:8" x14ac:dyDescent="0.2">
      <c r="A30" s="3">
        <v>24</v>
      </c>
      <c r="B30" s="4" t="s">
        <v>187</v>
      </c>
      <c r="C30" s="4" t="s">
        <v>188</v>
      </c>
      <c r="D30" s="4" t="s">
        <v>189</v>
      </c>
      <c r="E30" s="5">
        <v>171020</v>
      </c>
      <c r="F30" s="6">
        <v>385.82112000000001</v>
      </c>
      <c r="G30" s="7">
        <v>1.4508943999999999E-2</v>
      </c>
      <c r="H30" s="112"/>
    </row>
    <row r="31" spans="1:8" ht="25.5" x14ac:dyDescent="0.2">
      <c r="A31" s="3">
        <v>25</v>
      </c>
      <c r="B31" s="4" t="s">
        <v>197</v>
      </c>
      <c r="C31" s="4" t="s">
        <v>198</v>
      </c>
      <c r="D31" s="4" t="s">
        <v>971</v>
      </c>
      <c r="E31" s="5">
        <v>151609</v>
      </c>
      <c r="F31" s="6">
        <v>362.19390099999998</v>
      </c>
      <c r="G31" s="7">
        <v>1.3620434000000001E-2</v>
      </c>
      <c r="H31" s="112"/>
    </row>
    <row r="32" spans="1:8" x14ac:dyDescent="0.2">
      <c r="A32" s="3">
        <v>26</v>
      </c>
      <c r="B32" s="4" t="s">
        <v>199</v>
      </c>
      <c r="C32" s="4" t="s">
        <v>200</v>
      </c>
      <c r="D32" s="4" t="s">
        <v>64</v>
      </c>
      <c r="E32" s="5">
        <v>345255</v>
      </c>
      <c r="F32" s="6">
        <v>361.48198500000001</v>
      </c>
      <c r="G32" s="7">
        <v>1.3593661999999999E-2</v>
      </c>
      <c r="H32" s="112"/>
    </row>
    <row r="33" spans="1:8" x14ac:dyDescent="0.2">
      <c r="A33" s="3">
        <v>27</v>
      </c>
      <c r="B33" s="4" t="s">
        <v>219</v>
      </c>
      <c r="C33" s="4" t="s">
        <v>220</v>
      </c>
      <c r="D33" s="4" t="s">
        <v>64</v>
      </c>
      <c r="E33" s="5">
        <v>36572</v>
      </c>
      <c r="F33" s="6">
        <v>352.57236599999999</v>
      </c>
      <c r="G33" s="7">
        <v>1.3258611999999999E-2</v>
      </c>
      <c r="H33" s="112"/>
    </row>
    <row r="34" spans="1:8" x14ac:dyDescent="0.2">
      <c r="A34" s="3">
        <v>28</v>
      </c>
      <c r="B34" s="4" t="s">
        <v>203</v>
      </c>
      <c r="C34" s="4" t="s">
        <v>204</v>
      </c>
      <c r="D34" s="4" t="s">
        <v>81</v>
      </c>
      <c r="E34" s="5">
        <v>55940</v>
      </c>
      <c r="F34" s="6">
        <v>350.65989000000002</v>
      </c>
      <c r="G34" s="7">
        <v>1.3186692999999999E-2</v>
      </c>
      <c r="H34" s="112"/>
    </row>
    <row r="35" spans="1:8" x14ac:dyDescent="0.2">
      <c r="A35" s="3">
        <v>29</v>
      </c>
      <c r="B35" s="4" t="s">
        <v>205</v>
      </c>
      <c r="C35" s="4" t="s">
        <v>206</v>
      </c>
      <c r="D35" s="4" t="s">
        <v>975</v>
      </c>
      <c r="E35" s="5">
        <v>40169</v>
      </c>
      <c r="F35" s="6">
        <v>348.00413150000003</v>
      </c>
      <c r="G35" s="7">
        <v>1.3086822E-2</v>
      </c>
      <c r="H35" s="112"/>
    </row>
    <row r="36" spans="1:8" x14ac:dyDescent="0.2">
      <c r="A36" s="3">
        <v>30</v>
      </c>
      <c r="B36" s="4" t="s">
        <v>169</v>
      </c>
      <c r="C36" s="4" t="s">
        <v>170</v>
      </c>
      <c r="D36" s="4" t="s">
        <v>19</v>
      </c>
      <c r="E36" s="5">
        <v>187695</v>
      </c>
      <c r="F36" s="6">
        <v>338.88332250000002</v>
      </c>
      <c r="G36" s="7">
        <v>1.2743831000000001E-2</v>
      </c>
      <c r="H36" s="112"/>
    </row>
    <row r="37" spans="1:8" x14ac:dyDescent="0.2">
      <c r="A37" s="3">
        <v>31</v>
      </c>
      <c r="B37" s="4" t="s">
        <v>184</v>
      </c>
      <c r="C37" s="4" t="s">
        <v>185</v>
      </c>
      <c r="D37" s="4" t="s">
        <v>186</v>
      </c>
      <c r="E37" s="5">
        <v>71675</v>
      </c>
      <c r="F37" s="6">
        <v>333.93382500000001</v>
      </c>
      <c r="G37" s="7">
        <v>1.2557703E-2</v>
      </c>
      <c r="H37" s="112"/>
    </row>
    <row r="38" spans="1:8" ht="25.5" x14ac:dyDescent="0.2">
      <c r="A38" s="3">
        <v>32</v>
      </c>
      <c r="B38" s="4" t="s">
        <v>467</v>
      </c>
      <c r="C38" s="4" t="s">
        <v>468</v>
      </c>
      <c r="D38" s="4" t="s">
        <v>45</v>
      </c>
      <c r="E38" s="5">
        <v>23869</v>
      </c>
      <c r="F38" s="6">
        <v>331.38526150000001</v>
      </c>
      <c r="G38" s="7">
        <v>1.2461864E-2</v>
      </c>
      <c r="H38" s="112"/>
    </row>
    <row r="39" spans="1:8" x14ac:dyDescent="0.2">
      <c r="A39" s="3">
        <v>33</v>
      </c>
      <c r="B39" s="4" t="s">
        <v>213</v>
      </c>
      <c r="C39" s="4" t="s">
        <v>214</v>
      </c>
      <c r="D39" s="4" t="s">
        <v>977</v>
      </c>
      <c r="E39" s="5">
        <v>53906</v>
      </c>
      <c r="F39" s="6">
        <v>312.81651799999997</v>
      </c>
      <c r="G39" s="7">
        <v>1.1763579E-2</v>
      </c>
      <c r="H39" s="112"/>
    </row>
    <row r="40" spans="1:8" x14ac:dyDescent="0.2">
      <c r="A40" s="3">
        <v>34</v>
      </c>
      <c r="B40" s="4" t="s">
        <v>469</v>
      </c>
      <c r="C40" s="4" t="s">
        <v>470</v>
      </c>
      <c r="D40" s="4" t="s">
        <v>71</v>
      </c>
      <c r="E40" s="5">
        <v>32427</v>
      </c>
      <c r="F40" s="6">
        <v>311.33162700000003</v>
      </c>
      <c r="G40" s="7">
        <v>1.1707739E-2</v>
      </c>
      <c r="H40" s="112"/>
    </row>
    <row r="41" spans="1:8" x14ac:dyDescent="0.2">
      <c r="A41" s="3">
        <v>35</v>
      </c>
      <c r="B41" s="4" t="s">
        <v>210</v>
      </c>
      <c r="C41" s="4" t="s">
        <v>211</v>
      </c>
      <c r="D41" s="4" t="s">
        <v>212</v>
      </c>
      <c r="E41" s="5">
        <v>123782</v>
      </c>
      <c r="F41" s="6">
        <v>307.226924</v>
      </c>
      <c r="G41" s="7">
        <v>1.1553381E-2</v>
      </c>
      <c r="H41" s="112"/>
    </row>
    <row r="42" spans="1:8" x14ac:dyDescent="0.2">
      <c r="A42" s="3">
        <v>36</v>
      </c>
      <c r="B42" s="4" t="s">
        <v>39</v>
      </c>
      <c r="C42" s="4" t="s">
        <v>40</v>
      </c>
      <c r="D42" s="4" t="s">
        <v>27</v>
      </c>
      <c r="E42" s="5">
        <v>11792</v>
      </c>
      <c r="F42" s="6">
        <v>298.53806400000002</v>
      </c>
      <c r="G42" s="7">
        <v>1.1226633E-2</v>
      </c>
      <c r="H42" s="112"/>
    </row>
    <row r="43" spans="1:8" x14ac:dyDescent="0.2">
      <c r="A43" s="3">
        <v>37</v>
      </c>
      <c r="B43" s="4" t="s">
        <v>223</v>
      </c>
      <c r="C43" s="4" t="s">
        <v>224</v>
      </c>
      <c r="D43" s="4" t="s">
        <v>27</v>
      </c>
      <c r="E43" s="5">
        <v>16547</v>
      </c>
      <c r="F43" s="6">
        <v>297.50678649999998</v>
      </c>
      <c r="G43" s="7">
        <v>1.1187851E-2</v>
      </c>
      <c r="H43" s="112"/>
    </row>
    <row r="44" spans="1:8" x14ac:dyDescent="0.2">
      <c r="A44" s="3">
        <v>38</v>
      </c>
      <c r="B44" s="4" t="s">
        <v>471</v>
      </c>
      <c r="C44" s="4" t="s">
        <v>472</v>
      </c>
      <c r="D44" s="4" t="s">
        <v>27</v>
      </c>
      <c r="E44" s="5">
        <v>35318</v>
      </c>
      <c r="F44" s="6">
        <v>296.42397399999999</v>
      </c>
      <c r="G44" s="7">
        <v>1.1147132000000001E-2</v>
      </c>
      <c r="H44" s="112"/>
    </row>
    <row r="45" spans="1:8" x14ac:dyDescent="0.2">
      <c r="A45" s="3">
        <v>39</v>
      </c>
      <c r="B45" s="4" t="s">
        <v>207</v>
      </c>
      <c r="C45" s="4" t="s">
        <v>208</v>
      </c>
      <c r="D45" s="4" t="s">
        <v>209</v>
      </c>
      <c r="E45" s="5">
        <v>62869</v>
      </c>
      <c r="F45" s="6">
        <v>292.780933</v>
      </c>
      <c r="G45" s="7">
        <v>1.1010134E-2</v>
      </c>
      <c r="H45" s="112"/>
    </row>
    <row r="46" spans="1:8" x14ac:dyDescent="0.2">
      <c r="A46" s="3">
        <v>40</v>
      </c>
      <c r="B46" s="4" t="s">
        <v>176</v>
      </c>
      <c r="C46" s="4" t="s">
        <v>177</v>
      </c>
      <c r="D46" s="4" t="s">
        <v>178</v>
      </c>
      <c r="E46" s="5">
        <v>28480</v>
      </c>
      <c r="F46" s="6">
        <v>290.12576000000001</v>
      </c>
      <c r="G46" s="7">
        <v>1.0910285E-2</v>
      </c>
      <c r="H46" s="112"/>
    </row>
    <row r="47" spans="1:8" x14ac:dyDescent="0.2">
      <c r="A47" s="3">
        <v>41</v>
      </c>
      <c r="B47" s="4" t="s">
        <v>225</v>
      </c>
      <c r="C47" s="4" t="s">
        <v>226</v>
      </c>
      <c r="D47" s="4" t="s">
        <v>71</v>
      </c>
      <c r="E47" s="5">
        <v>34229</v>
      </c>
      <c r="F47" s="6">
        <v>284.64836400000002</v>
      </c>
      <c r="G47" s="7">
        <v>1.0704306E-2</v>
      </c>
      <c r="H47" s="112"/>
    </row>
    <row r="48" spans="1:8" x14ac:dyDescent="0.2">
      <c r="A48" s="3">
        <v>42</v>
      </c>
      <c r="B48" s="4" t="s">
        <v>231</v>
      </c>
      <c r="C48" s="4" t="s">
        <v>232</v>
      </c>
      <c r="D48" s="4" t="s">
        <v>71</v>
      </c>
      <c r="E48" s="5">
        <v>98339</v>
      </c>
      <c r="F48" s="6">
        <v>274.70999649999999</v>
      </c>
      <c r="G48" s="7">
        <v>1.0330570000000001E-2</v>
      </c>
      <c r="H48" s="112"/>
    </row>
    <row r="49" spans="1:8" x14ac:dyDescent="0.2">
      <c r="A49" s="3">
        <v>43</v>
      </c>
      <c r="B49" s="4" t="s">
        <v>227</v>
      </c>
      <c r="C49" s="4" t="s">
        <v>228</v>
      </c>
      <c r="D49" s="4" t="s">
        <v>974</v>
      </c>
      <c r="E49" s="5">
        <v>15766</v>
      </c>
      <c r="F49" s="6">
        <v>268.613225</v>
      </c>
      <c r="G49" s="7">
        <v>1.0101298E-2</v>
      </c>
      <c r="H49" s="112"/>
    </row>
    <row r="50" spans="1:8" ht="25.5" x14ac:dyDescent="0.2">
      <c r="A50" s="3">
        <v>44</v>
      </c>
      <c r="B50" s="4" t="s">
        <v>235</v>
      </c>
      <c r="C50" s="4" t="s">
        <v>236</v>
      </c>
      <c r="D50" s="4" t="s">
        <v>192</v>
      </c>
      <c r="E50" s="5">
        <v>58166</v>
      </c>
      <c r="F50" s="6">
        <v>265.789537</v>
      </c>
      <c r="G50" s="7">
        <v>9.9951120000000004E-3</v>
      </c>
      <c r="H50" s="112"/>
    </row>
    <row r="51" spans="1:8" x14ac:dyDescent="0.2">
      <c r="A51" s="3">
        <v>45</v>
      </c>
      <c r="B51" s="4" t="s">
        <v>238</v>
      </c>
      <c r="C51" s="4" t="s">
        <v>239</v>
      </c>
      <c r="D51" s="4" t="s">
        <v>186</v>
      </c>
      <c r="E51" s="5">
        <v>51431</v>
      </c>
      <c r="F51" s="6">
        <v>265.28109799999999</v>
      </c>
      <c r="G51" s="7">
        <v>9.9759919999999995E-3</v>
      </c>
      <c r="H51" s="112"/>
    </row>
    <row r="52" spans="1:8" x14ac:dyDescent="0.2">
      <c r="A52" s="3">
        <v>46</v>
      </c>
      <c r="B52" s="4" t="s">
        <v>240</v>
      </c>
      <c r="C52" s="4" t="s">
        <v>241</v>
      </c>
      <c r="D52" s="4" t="s">
        <v>81</v>
      </c>
      <c r="E52" s="5">
        <v>476454</v>
      </c>
      <c r="F52" s="6">
        <v>262.52615400000002</v>
      </c>
      <c r="G52" s="7">
        <v>9.8723920000000007E-3</v>
      </c>
      <c r="H52" s="112"/>
    </row>
    <row r="53" spans="1:8" x14ac:dyDescent="0.2">
      <c r="A53" s="3">
        <v>47</v>
      </c>
      <c r="B53" s="4" t="s">
        <v>291</v>
      </c>
      <c r="C53" s="4" t="s">
        <v>292</v>
      </c>
      <c r="D53" s="4" t="s">
        <v>27</v>
      </c>
      <c r="E53" s="5">
        <v>75238</v>
      </c>
      <c r="F53" s="6">
        <v>259.49586199999999</v>
      </c>
      <c r="G53" s="7">
        <v>9.758437E-3</v>
      </c>
      <c r="H53" s="112"/>
    </row>
    <row r="54" spans="1:8" x14ac:dyDescent="0.2">
      <c r="A54" s="3">
        <v>48</v>
      </c>
      <c r="B54" s="4" t="s">
        <v>244</v>
      </c>
      <c r="C54" s="4" t="s">
        <v>245</v>
      </c>
      <c r="D54" s="4" t="s">
        <v>173</v>
      </c>
      <c r="E54" s="5">
        <v>65216</v>
      </c>
      <c r="F54" s="6">
        <v>257.211904</v>
      </c>
      <c r="G54" s="7">
        <v>9.6725470000000001E-3</v>
      </c>
      <c r="H54" s="112"/>
    </row>
    <row r="55" spans="1:8" x14ac:dyDescent="0.2">
      <c r="A55" s="3">
        <v>49</v>
      </c>
      <c r="B55" s="4" t="s">
        <v>193</v>
      </c>
      <c r="C55" s="4" t="s">
        <v>194</v>
      </c>
      <c r="D55" s="4" t="s">
        <v>16</v>
      </c>
      <c r="E55" s="5">
        <v>81590</v>
      </c>
      <c r="F55" s="6">
        <v>253.25536</v>
      </c>
      <c r="G55" s="7">
        <v>9.5237599999999992E-3</v>
      </c>
      <c r="H55" s="112"/>
    </row>
    <row r="56" spans="1:8" ht="25.5" x14ac:dyDescent="0.2">
      <c r="A56" s="3">
        <v>50</v>
      </c>
      <c r="B56" s="4" t="s">
        <v>246</v>
      </c>
      <c r="C56" s="4" t="s">
        <v>247</v>
      </c>
      <c r="D56" s="4" t="s">
        <v>978</v>
      </c>
      <c r="E56" s="5">
        <v>235730</v>
      </c>
      <c r="F56" s="6">
        <v>248.45941999999999</v>
      </c>
      <c r="G56" s="7">
        <v>9.3434069999999998E-3</v>
      </c>
      <c r="H56" s="112"/>
    </row>
    <row r="57" spans="1:8" x14ac:dyDescent="0.2">
      <c r="A57" s="3">
        <v>51</v>
      </c>
      <c r="B57" s="4" t="s">
        <v>179</v>
      </c>
      <c r="C57" s="4" t="s">
        <v>180</v>
      </c>
      <c r="D57" s="4" t="s">
        <v>71</v>
      </c>
      <c r="E57" s="5">
        <v>24209</v>
      </c>
      <c r="F57" s="6">
        <v>248.23908599999999</v>
      </c>
      <c r="G57" s="7">
        <v>9.335121E-3</v>
      </c>
      <c r="H57" s="112"/>
    </row>
    <row r="58" spans="1:8" ht="25.5" x14ac:dyDescent="0.2">
      <c r="A58" s="3">
        <v>52</v>
      </c>
      <c r="B58" s="4" t="s">
        <v>181</v>
      </c>
      <c r="C58" s="4" t="s">
        <v>931</v>
      </c>
      <c r="D58" s="4" t="s">
        <v>45</v>
      </c>
      <c r="E58" s="5">
        <v>104294</v>
      </c>
      <c r="F58" s="6">
        <v>243.37004899999999</v>
      </c>
      <c r="G58" s="7">
        <v>9.1520190000000008E-3</v>
      </c>
      <c r="H58" s="112"/>
    </row>
    <row r="59" spans="1:8" x14ac:dyDescent="0.2">
      <c r="A59" s="3">
        <v>53</v>
      </c>
      <c r="B59" s="4" t="s">
        <v>248</v>
      </c>
      <c r="C59" s="4" t="s">
        <v>249</v>
      </c>
      <c r="D59" s="4" t="s">
        <v>186</v>
      </c>
      <c r="E59" s="5">
        <v>14493</v>
      </c>
      <c r="F59" s="6">
        <v>243.2142795</v>
      </c>
      <c r="G59" s="7">
        <v>9.1461619999999993E-3</v>
      </c>
      <c r="H59" s="112"/>
    </row>
    <row r="60" spans="1:8" x14ac:dyDescent="0.2">
      <c r="A60" s="3">
        <v>54</v>
      </c>
      <c r="B60" s="4" t="s">
        <v>287</v>
      </c>
      <c r="C60" s="4" t="s">
        <v>288</v>
      </c>
      <c r="D60" s="4" t="s">
        <v>27</v>
      </c>
      <c r="E60" s="5">
        <v>21594</v>
      </c>
      <c r="F60" s="6">
        <v>232.146297</v>
      </c>
      <c r="G60" s="7">
        <v>8.7299460000000006E-3</v>
      </c>
      <c r="H60" s="112"/>
    </row>
    <row r="61" spans="1:8" ht="25.5" x14ac:dyDescent="0.2">
      <c r="A61" s="3">
        <v>55</v>
      </c>
      <c r="B61" s="4" t="s">
        <v>250</v>
      </c>
      <c r="C61" s="4" t="s">
        <v>251</v>
      </c>
      <c r="D61" s="4" t="s">
        <v>192</v>
      </c>
      <c r="E61" s="5">
        <v>60710</v>
      </c>
      <c r="F61" s="6">
        <v>231.00155000000001</v>
      </c>
      <c r="G61" s="7">
        <v>8.6868980000000002E-3</v>
      </c>
      <c r="H61" s="112"/>
    </row>
    <row r="62" spans="1:8" x14ac:dyDescent="0.2">
      <c r="A62" s="3">
        <v>56</v>
      </c>
      <c r="B62" s="4" t="s">
        <v>481</v>
      </c>
      <c r="C62" s="4" t="s">
        <v>482</v>
      </c>
      <c r="D62" s="4" t="s">
        <v>186</v>
      </c>
      <c r="E62" s="5">
        <v>40059</v>
      </c>
      <c r="F62" s="6">
        <v>230.619663</v>
      </c>
      <c r="G62" s="7">
        <v>8.6725369999999993E-3</v>
      </c>
      <c r="H62" s="112"/>
    </row>
    <row r="63" spans="1:8" x14ac:dyDescent="0.2">
      <c r="A63" s="3">
        <v>57</v>
      </c>
      <c r="B63" s="4" t="s">
        <v>195</v>
      </c>
      <c r="C63" s="4" t="s">
        <v>196</v>
      </c>
      <c r="D63" s="4" t="s">
        <v>34</v>
      </c>
      <c r="E63" s="5">
        <v>53690</v>
      </c>
      <c r="F63" s="6">
        <v>225.63222500000001</v>
      </c>
      <c r="G63" s="7">
        <v>8.4849820000000003E-3</v>
      </c>
      <c r="H63" s="112"/>
    </row>
    <row r="64" spans="1:8" x14ac:dyDescent="0.2">
      <c r="A64" s="3">
        <v>58</v>
      </c>
      <c r="B64" s="4" t="s">
        <v>221</v>
      </c>
      <c r="C64" s="4" t="s">
        <v>222</v>
      </c>
      <c r="D64" s="4" t="s">
        <v>173</v>
      </c>
      <c r="E64" s="5">
        <v>24787</v>
      </c>
      <c r="F64" s="6">
        <v>213.63915299999999</v>
      </c>
      <c r="G64" s="7">
        <v>8.0339780000000006E-3</v>
      </c>
      <c r="H64" s="112"/>
    </row>
    <row r="65" spans="1:8" x14ac:dyDescent="0.2">
      <c r="A65" s="3">
        <v>59</v>
      </c>
      <c r="B65" s="4" t="s">
        <v>156</v>
      </c>
      <c r="C65" s="4" t="s">
        <v>157</v>
      </c>
      <c r="D65" s="4" t="s">
        <v>974</v>
      </c>
      <c r="E65" s="5">
        <v>15917</v>
      </c>
      <c r="F65" s="6">
        <v>197.92789500000001</v>
      </c>
      <c r="G65" s="7">
        <v>7.4431510000000003E-3</v>
      </c>
      <c r="H65" s="112"/>
    </row>
    <row r="66" spans="1:8" x14ac:dyDescent="0.2">
      <c r="A66" s="3">
        <v>60</v>
      </c>
      <c r="B66" s="4" t="s">
        <v>258</v>
      </c>
      <c r="C66" s="4" t="s">
        <v>259</v>
      </c>
      <c r="D66" s="4" t="s">
        <v>53</v>
      </c>
      <c r="E66" s="5">
        <v>19778</v>
      </c>
      <c r="F66" s="6">
        <v>189.216126</v>
      </c>
      <c r="G66" s="7">
        <v>7.1155410000000004E-3</v>
      </c>
      <c r="H66" s="112"/>
    </row>
    <row r="67" spans="1:8" x14ac:dyDescent="0.2">
      <c r="A67" s="3">
        <v>61</v>
      </c>
      <c r="B67" s="4" t="s">
        <v>477</v>
      </c>
      <c r="C67" s="4" t="s">
        <v>478</v>
      </c>
      <c r="D67" s="4" t="s">
        <v>974</v>
      </c>
      <c r="E67" s="5">
        <v>188159</v>
      </c>
      <c r="F67" s="6">
        <v>180.91487849999999</v>
      </c>
      <c r="G67" s="7">
        <v>6.8033700000000004E-3</v>
      </c>
      <c r="H67" s="112"/>
    </row>
    <row r="68" spans="1:8" x14ac:dyDescent="0.2">
      <c r="A68" s="3">
        <v>62</v>
      </c>
      <c r="B68" s="4" t="s">
        <v>260</v>
      </c>
      <c r="C68" s="4" t="s">
        <v>261</v>
      </c>
      <c r="D68" s="4" t="s">
        <v>173</v>
      </c>
      <c r="E68" s="5">
        <v>29625</v>
      </c>
      <c r="F68" s="6">
        <v>178.47581249999999</v>
      </c>
      <c r="G68" s="7">
        <v>6.7116479999999997E-3</v>
      </c>
      <c r="H68" s="112"/>
    </row>
    <row r="69" spans="1:8" x14ac:dyDescent="0.2">
      <c r="A69" s="3">
        <v>63</v>
      </c>
      <c r="B69" s="4" t="s">
        <v>267</v>
      </c>
      <c r="C69" s="4" t="s">
        <v>268</v>
      </c>
      <c r="D69" s="4" t="s">
        <v>19</v>
      </c>
      <c r="E69" s="5">
        <v>191773</v>
      </c>
      <c r="F69" s="6">
        <v>174.129884</v>
      </c>
      <c r="G69" s="7">
        <v>6.5482179999999997E-3</v>
      </c>
      <c r="H69" s="112"/>
    </row>
    <row r="70" spans="1:8" ht="25.5" x14ac:dyDescent="0.2">
      <c r="A70" s="3">
        <v>64</v>
      </c>
      <c r="B70" s="4" t="s">
        <v>229</v>
      </c>
      <c r="C70" s="4" t="s">
        <v>230</v>
      </c>
      <c r="D70" s="4" t="s">
        <v>71</v>
      </c>
      <c r="E70" s="5">
        <v>8392</v>
      </c>
      <c r="F70" s="6">
        <v>173.96616</v>
      </c>
      <c r="G70" s="7">
        <v>6.5420610000000001E-3</v>
      </c>
      <c r="H70" s="112"/>
    </row>
    <row r="71" spans="1:8" x14ac:dyDescent="0.2">
      <c r="A71" s="3">
        <v>65</v>
      </c>
      <c r="B71" s="4" t="s">
        <v>254</v>
      </c>
      <c r="C71" s="4" t="s">
        <v>255</v>
      </c>
      <c r="D71" s="4" t="s">
        <v>162</v>
      </c>
      <c r="E71" s="5">
        <v>13157</v>
      </c>
      <c r="F71" s="6">
        <v>167.672808</v>
      </c>
      <c r="G71" s="7">
        <v>6.3053969999999999E-3</v>
      </c>
      <c r="H71" s="112"/>
    </row>
    <row r="72" spans="1:8" x14ac:dyDescent="0.2">
      <c r="A72" s="3">
        <v>66</v>
      </c>
      <c r="B72" s="4" t="s">
        <v>473</v>
      </c>
      <c r="C72" s="4" t="s">
        <v>474</v>
      </c>
      <c r="D72" s="4" t="s">
        <v>81</v>
      </c>
      <c r="E72" s="5">
        <v>26475</v>
      </c>
      <c r="F72" s="6">
        <v>166.35566249999999</v>
      </c>
      <c r="G72" s="7">
        <v>6.2558650000000002E-3</v>
      </c>
      <c r="H72" s="112"/>
    </row>
    <row r="73" spans="1:8" x14ac:dyDescent="0.2">
      <c r="A73" s="3">
        <v>67</v>
      </c>
      <c r="B73" s="4" t="s">
        <v>264</v>
      </c>
      <c r="C73" s="4" t="s">
        <v>265</v>
      </c>
      <c r="D73" s="4" t="s">
        <v>266</v>
      </c>
      <c r="E73" s="5">
        <v>72207</v>
      </c>
      <c r="F73" s="6">
        <v>165.75116850000001</v>
      </c>
      <c r="G73" s="7">
        <v>6.2331330000000001E-3</v>
      </c>
      <c r="H73" s="112"/>
    </row>
    <row r="74" spans="1:8" x14ac:dyDescent="0.2">
      <c r="A74" s="3">
        <v>68</v>
      </c>
      <c r="B74" s="4" t="s">
        <v>242</v>
      </c>
      <c r="C74" s="4" t="s">
        <v>243</v>
      </c>
      <c r="D74" s="4" t="s">
        <v>334</v>
      </c>
      <c r="E74" s="5">
        <v>13264</v>
      </c>
      <c r="F74" s="6">
        <v>158.8364</v>
      </c>
      <c r="G74" s="7">
        <v>5.9731009999999998E-3</v>
      </c>
      <c r="H74" s="112"/>
    </row>
    <row r="75" spans="1:8" x14ac:dyDescent="0.2">
      <c r="A75" s="3">
        <v>69</v>
      </c>
      <c r="B75" s="4" t="s">
        <v>269</v>
      </c>
      <c r="C75" s="4" t="s">
        <v>270</v>
      </c>
      <c r="D75" s="4" t="s">
        <v>186</v>
      </c>
      <c r="E75" s="5">
        <v>2928</v>
      </c>
      <c r="F75" s="6">
        <v>158.8074</v>
      </c>
      <c r="G75" s="7">
        <v>5.9720099999999998E-3</v>
      </c>
      <c r="H75" s="112"/>
    </row>
    <row r="76" spans="1:8" x14ac:dyDescent="0.2">
      <c r="A76" s="3">
        <v>70</v>
      </c>
      <c r="B76" s="4" t="s">
        <v>277</v>
      </c>
      <c r="C76" s="4" t="s">
        <v>278</v>
      </c>
      <c r="D76" s="4" t="s">
        <v>186</v>
      </c>
      <c r="E76" s="5">
        <v>47700</v>
      </c>
      <c r="F76" s="6">
        <v>147.10679999999999</v>
      </c>
      <c r="G76" s="7">
        <v>5.5320050000000004E-3</v>
      </c>
      <c r="H76" s="112"/>
    </row>
    <row r="77" spans="1:8" x14ac:dyDescent="0.2">
      <c r="A77" s="3">
        <v>71</v>
      </c>
      <c r="B77" s="4" t="s">
        <v>475</v>
      </c>
      <c r="C77" s="4" t="s">
        <v>476</v>
      </c>
      <c r="D77" s="4" t="s">
        <v>212</v>
      </c>
      <c r="E77" s="5">
        <v>19545</v>
      </c>
      <c r="F77" s="6">
        <v>146.36273249999999</v>
      </c>
      <c r="G77" s="7">
        <v>5.5040239999999997E-3</v>
      </c>
      <c r="H77" s="112"/>
    </row>
    <row r="78" spans="1:8" x14ac:dyDescent="0.2">
      <c r="A78" s="3">
        <v>72</v>
      </c>
      <c r="B78" s="4" t="s">
        <v>271</v>
      </c>
      <c r="C78" s="4" t="s">
        <v>272</v>
      </c>
      <c r="D78" s="4" t="s">
        <v>147</v>
      </c>
      <c r="E78" s="5">
        <v>22459</v>
      </c>
      <c r="F78" s="6">
        <v>146.11825400000001</v>
      </c>
      <c r="G78" s="7">
        <v>5.49483E-3</v>
      </c>
      <c r="H78" s="112"/>
    </row>
    <row r="79" spans="1:8" x14ac:dyDescent="0.2">
      <c r="A79" s="3">
        <v>73</v>
      </c>
      <c r="B79" s="4" t="s">
        <v>299</v>
      </c>
      <c r="C79" s="4" t="s">
        <v>300</v>
      </c>
      <c r="D79" s="4" t="s">
        <v>977</v>
      </c>
      <c r="E79" s="5">
        <v>319686</v>
      </c>
      <c r="F79" s="6">
        <v>117.80429100000001</v>
      </c>
      <c r="G79" s="7">
        <v>4.4300729999999997E-3</v>
      </c>
      <c r="H79" s="112"/>
    </row>
    <row r="80" spans="1:8" x14ac:dyDescent="0.2">
      <c r="A80" s="3">
        <v>74</v>
      </c>
      <c r="B80" s="4" t="s">
        <v>275</v>
      </c>
      <c r="C80" s="4" t="s">
        <v>276</v>
      </c>
      <c r="D80" s="4" t="s">
        <v>162</v>
      </c>
      <c r="E80" s="5">
        <v>27624</v>
      </c>
      <c r="F80" s="6">
        <v>114.390984</v>
      </c>
      <c r="G80" s="7">
        <v>4.3017150000000002E-3</v>
      </c>
      <c r="H80" s="112"/>
    </row>
    <row r="81" spans="1:8" x14ac:dyDescent="0.2">
      <c r="A81" s="3">
        <v>75</v>
      </c>
      <c r="B81" s="4" t="s">
        <v>279</v>
      </c>
      <c r="C81" s="4" t="s">
        <v>280</v>
      </c>
      <c r="D81" s="4" t="s">
        <v>147</v>
      </c>
      <c r="E81" s="5">
        <v>8196</v>
      </c>
      <c r="F81" s="6">
        <v>107.32252200000001</v>
      </c>
      <c r="G81" s="7">
        <v>4.0359030000000004E-3</v>
      </c>
      <c r="H81" s="112"/>
    </row>
    <row r="82" spans="1:8" x14ac:dyDescent="0.2">
      <c r="A82" s="3">
        <v>76</v>
      </c>
      <c r="B82" s="4" t="s">
        <v>281</v>
      </c>
      <c r="C82" s="4" t="s">
        <v>282</v>
      </c>
      <c r="D82" s="4" t="s">
        <v>334</v>
      </c>
      <c r="E82" s="5">
        <v>6041</v>
      </c>
      <c r="F82" s="6">
        <v>48.179995499999997</v>
      </c>
      <c r="G82" s="7">
        <v>1.8118260000000001E-3</v>
      </c>
      <c r="H82" s="112"/>
    </row>
    <row r="83" spans="1:8" x14ac:dyDescent="0.2">
      <c r="A83" s="3">
        <v>77</v>
      </c>
      <c r="B83" s="4" t="s">
        <v>283</v>
      </c>
      <c r="C83" s="4" t="s">
        <v>284</v>
      </c>
      <c r="D83" s="4" t="s">
        <v>19</v>
      </c>
      <c r="E83" s="5">
        <v>42572</v>
      </c>
      <c r="F83" s="6">
        <v>27.352509999999999</v>
      </c>
      <c r="G83" s="7">
        <v>1.0286010000000001E-3</v>
      </c>
      <c r="H83" s="112"/>
    </row>
    <row r="84" spans="1:8" x14ac:dyDescent="0.2">
      <c r="A84" s="1"/>
      <c r="B84" s="1"/>
      <c r="C84" s="2" t="s">
        <v>97</v>
      </c>
      <c r="D84" s="1"/>
      <c r="E84" s="1" t="s">
        <v>98</v>
      </c>
      <c r="F84" s="9">
        <v>25503.7528365</v>
      </c>
      <c r="G84" s="10">
        <v>0.959077929</v>
      </c>
      <c r="H84" s="112"/>
    </row>
    <row r="85" spans="1:8" x14ac:dyDescent="0.2">
      <c r="A85" s="1"/>
      <c r="B85" s="1"/>
      <c r="C85" s="11"/>
      <c r="D85" s="1"/>
      <c r="E85" s="1"/>
      <c r="F85" s="12"/>
      <c r="G85" s="12"/>
      <c r="H85" s="112"/>
    </row>
    <row r="86" spans="1:8" x14ac:dyDescent="0.2">
      <c r="A86" s="1"/>
      <c r="B86" s="1"/>
      <c r="C86" s="2" t="s">
        <v>99</v>
      </c>
      <c r="D86" s="1"/>
      <c r="E86" s="1"/>
      <c r="F86" s="1"/>
      <c r="G86" s="1"/>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100</v>
      </c>
      <c r="D89" s="1"/>
      <c r="E89" s="1"/>
      <c r="F89" s="1"/>
      <c r="G89" s="1"/>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101</v>
      </c>
      <c r="D92" s="1"/>
      <c r="E92" s="1"/>
      <c r="F92" s="1"/>
      <c r="G92" s="1"/>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102</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103</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104</v>
      </c>
      <c r="D101" s="1"/>
      <c r="E101" s="1"/>
      <c r="F101" s="9">
        <v>25503.7528365</v>
      </c>
      <c r="G101" s="10">
        <v>0.959077929</v>
      </c>
      <c r="H101" s="112"/>
    </row>
    <row r="102" spans="1:8" x14ac:dyDescent="0.2">
      <c r="A102" s="1"/>
      <c r="B102" s="1"/>
      <c r="C102" s="11"/>
      <c r="D102" s="1"/>
      <c r="E102" s="1"/>
      <c r="F102" s="12"/>
      <c r="G102" s="12"/>
      <c r="H102" s="112"/>
    </row>
    <row r="103" spans="1:8" x14ac:dyDescent="0.2">
      <c r="A103" s="1"/>
      <c r="B103" s="1"/>
      <c r="C103" s="2" t="s">
        <v>105</v>
      </c>
      <c r="D103" s="1"/>
      <c r="E103" s="1"/>
      <c r="F103" s="12"/>
      <c r="G103" s="12"/>
      <c r="H103" s="112"/>
    </row>
    <row r="104" spans="1:8" ht="25.5" x14ac:dyDescent="0.2">
      <c r="A104" s="1"/>
      <c r="B104" s="1"/>
      <c r="C104" s="2" t="s">
        <v>10</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106</v>
      </c>
      <c r="D107" s="1"/>
      <c r="E107" s="1"/>
      <c r="F107" s="1"/>
      <c r="G107" s="1"/>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1"/>
      <c r="C110" s="2" t="s">
        <v>107</v>
      </c>
      <c r="D110" s="1"/>
      <c r="E110" s="1"/>
      <c r="F110" s="1"/>
      <c r="G110" s="1"/>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108</v>
      </c>
      <c r="D113" s="1"/>
      <c r="E113" s="1"/>
      <c r="F113" s="12"/>
      <c r="G113" s="12"/>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2" t="s">
        <v>109</v>
      </c>
      <c r="D116" s="1"/>
      <c r="E116" s="1"/>
      <c r="F116" s="9">
        <v>0</v>
      </c>
      <c r="G116" s="10">
        <v>0</v>
      </c>
      <c r="H116" s="112"/>
    </row>
    <row r="117" spans="1:8" x14ac:dyDescent="0.2">
      <c r="A117" s="1"/>
      <c r="B117" s="1"/>
      <c r="C117" s="11"/>
      <c r="D117" s="1"/>
      <c r="E117" s="1"/>
      <c r="F117" s="12"/>
      <c r="G117" s="12"/>
      <c r="H117" s="112"/>
    </row>
    <row r="118" spans="1:8" x14ac:dyDescent="0.2">
      <c r="A118" s="1"/>
      <c r="B118" s="1"/>
      <c r="C118" s="2" t="s">
        <v>110</v>
      </c>
      <c r="D118" s="1"/>
      <c r="E118" s="1"/>
      <c r="F118" s="12"/>
      <c r="G118" s="12"/>
      <c r="H118" s="112"/>
    </row>
    <row r="119" spans="1:8" x14ac:dyDescent="0.2">
      <c r="A119" s="1"/>
      <c r="B119" s="1"/>
      <c r="C119" s="2" t="s">
        <v>111</v>
      </c>
      <c r="D119" s="1"/>
      <c r="E119" s="1"/>
      <c r="F119" s="12"/>
      <c r="G119" s="12"/>
      <c r="H119" s="112"/>
    </row>
    <row r="120" spans="1:8" x14ac:dyDescent="0.2">
      <c r="A120" s="1"/>
      <c r="B120" s="1"/>
      <c r="C120" s="2" t="s">
        <v>97</v>
      </c>
      <c r="D120" s="1"/>
      <c r="E120" s="1" t="s">
        <v>98</v>
      </c>
      <c r="F120" s="13">
        <v>0</v>
      </c>
      <c r="G120" s="14">
        <v>0</v>
      </c>
      <c r="H120" s="112"/>
    </row>
    <row r="121" spans="1:8" x14ac:dyDescent="0.2">
      <c r="A121" s="1"/>
      <c r="B121" s="1"/>
      <c r="C121" s="11"/>
      <c r="D121" s="1"/>
      <c r="E121" s="1"/>
      <c r="F121" s="12"/>
      <c r="G121" s="12"/>
      <c r="H121" s="112"/>
    </row>
    <row r="122" spans="1:8" x14ac:dyDescent="0.2">
      <c r="A122" s="1"/>
      <c r="B122" s="1"/>
      <c r="C122" s="2" t="s">
        <v>112</v>
      </c>
      <c r="D122" s="1"/>
      <c r="E122" s="1"/>
      <c r="F122" s="12"/>
      <c r="G122" s="12"/>
      <c r="H122" s="112"/>
    </row>
    <row r="123" spans="1:8" x14ac:dyDescent="0.2">
      <c r="A123" s="1"/>
      <c r="B123" s="1"/>
      <c r="C123" s="2" t="s">
        <v>97</v>
      </c>
      <c r="D123" s="1"/>
      <c r="E123" s="1" t="s">
        <v>98</v>
      </c>
      <c r="F123" s="13">
        <v>0</v>
      </c>
      <c r="G123" s="14">
        <v>0</v>
      </c>
      <c r="H123" s="112"/>
    </row>
    <row r="124" spans="1:8" x14ac:dyDescent="0.2">
      <c r="A124" s="1"/>
      <c r="B124" s="1"/>
      <c r="C124" s="11"/>
      <c r="D124" s="1"/>
      <c r="E124" s="1"/>
      <c r="F124" s="12"/>
      <c r="G124" s="12"/>
      <c r="H124" s="112"/>
    </row>
    <row r="125" spans="1:8" x14ac:dyDescent="0.2">
      <c r="A125" s="1"/>
      <c r="B125" s="1"/>
      <c r="C125" s="2" t="s">
        <v>113</v>
      </c>
      <c r="D125" s="1"/>
      <c r="E125" s="1"/>
      <c r="F125" s="12"/>
      <c r="G125" s="12"/>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114</v>
      </c>
      <c r="D128" s="1"/>
      <c r="E128" s="1"/>
      <c r="F128" s="12"/>
      <c r="G128" s="12"/>
      <c r="H128" s="112"/>
    </row>
    <row r="129" spans="1:8" x14ac:dyDescent="0.2">
      <c r="A129" s="3">
        <v>1</v>
      </c>
      <c r="B129" s="4"/>
      <c r="C129" s="4" t="s">
        <v>115</v>
      </c>
      <c r="D129" s="4"/>
      <c r="E129" s="8"/>
      <c r="F129" s="6">
        <v>791.09228619311671</v>
      </c>
      <c r="G129" s="7">
        <v>2.9749313948206776E-2</v>
      </c>
      <c r="H129" s="6">
        <v>3.3211324282253978</v>
      </c>
    </row>
    <row r="130" spans="1:8" x14ac:dyDescent="0.2">
      <c r="A130" s="3">
        <v>2</v>
      </c>
      <c r="B130" s="4"/>
      <c r="C130" s="4" t="s">
        <v>116</v>
      </c>
      <c r="D130" s="4"/>
      <c r="E130" s="8"/>
      <c r="F130" s="6">
        <v>310.75959240005079</v>
      </c>
      <c r="G130" s="7">
        <v>1.1686227811945922E-2</v>
      </c>
      <c r="H130" s="6">
        <v>3.35</v>
      </c>
    </row>
    <row r="131" spans="1:8" x14ac:dyDescent="0.2">
      <c r="A131" s="1"/>
      <c r="B131" s="1"/>
      <c r="C131" s="2" t="s">
        <v>97</v>
      </c>
      <c r="D131" s="1"/>
      <c r="E131" s="1" t="s">
        <v>98</v>
      </c>
      <c r="F131" s="9">
        <v>1101.8518785931674</v>
      </c>
      <c r="G131" s="10">
        <v>4.1435541760152697E-2</v>
      </c>
      <c r="H131" s="112"/>
    </row>
    <row r="132" spans="1:8" x14ac:dyDescent="0.2">
      <c r="A132" s="1"/>
      <c r="B132" s="1"/>
      <c r="C132" s="11"/>
      <c r="D132" s="1"/>
      <c r="E132" s="1"/>
      <c r="F132" s="12"/>
      <c r="G132" s="12"/>
      <c r="H132" s="112"/>
    </row>
    <row r="133" spans="1:8" x14ac:dyDescent="0.2">
      <c r="A133" s="1"/>
      <c r="B133" s="1"/>
      <c r="C133" s="2" t="s">
        <v>117</v>
      </c>
      <c r="D133" s="1"/>
      <c r="E133" s="1"/>
      <c r="F133" s="9">
        <v>1101.8518785931674</v>
      </c>
      <c r="G133" s="10">
        <v>4.1435541760152697E-2</v>
      </c>
      <c r="H133" s="112"/>
    </row>
    <row r="134" spans="1:8" x14ac:dyDescent="0.2">
      <c r="A134" s="1"/>
      <c r="B134" s="1"/>
      <c r="C134" s="12"/>
      <c r="D134" s="1"/>
      <c r="E134" s="1"/>
      <c r="F134" s="1"/>
      <c r="G134" s="1"/>
      <c r="H134" s="112"/>
    </row>
    <row r="135" spans="1:8" x14ac:dyDescent="0.2">
      <c r="A135" s="1"/>
      <c r="B135" s="1"/>
      <c r="C135" s="2" t="s">
        <v>118</v>
      </c>
      <c r="D135" s="1"/>
      <c r="E135" s="1"/>
      <c r="F135" s="1"/>
      <c r="G135" s="1"/>
      <c r="H135" s="112"/>
    </row>
    <row r="136" spans="1:8" x14ac:dyDescent="0.2">
      <c r="A136" s="1"/>
      <c r="B136" s="1"/>
      <c r="C136" s="2" t="s">
        <v>119</v>
      </c>
      <c r="D136" s="1"/>
      <c r="E136" s="1"/>
      <c r="F136" s="1"/>
      <c r="G136" s="1"/>
      <c r="H136" s="112"/>
    </row>
    <row r="137" spans="1:8" x14ac:dyDescent="0.2">
      <c r="A137" s="1"/>
      <c r="B137" s="1"/>
      <c r="C137" s="2" t="s">
        <v>97</v>
      </c>
      <c r="D137" s="1"/>
      <c r="E137" s="1" t="s">
        <v>98</v>
      </c>
      <c r="F137" s="13">
        <v>0</v>
      </c>
      <c r="G137" s="14">
        <v>0</v>
      </c>
      <c r="H137" s="112"/>
    </row>
    <row r="138" spans="1:8" x14ac:dyDescent="0.2">
      <c r="A138" s="1"/>
      <c r="B138" s="1"/>
      <c r="C138" s="11"/>
      <c r="D138" s="1"/>
      <c r="E138" s="1"/>
      <c r="F138" s="12"/>
      <c r="G138" s="12"/>
      <c r="H138" s="112"/>
    </row>
    <row r="139" spans="1:8" x14ac:dyDescent="0.2">
      <c r="A139" s="1"/>
      <c r="B139" s="1"/>
      <c r="C139" s="2" t="s">
        <v>120</v>
      </c>
      <c r="D139" s="1"/>
      <c r="E139" s="1"/>
      <c r="F139" s="1"/>
      <c r="G139" s="1"/>
      <c r="H139" s="112"/>
    </row>
    <row r="140" spans="1:8" x14ac:dyDescent="0.2">
      <c r="A140" s="1"/>
      <c r="B140" s="1"/>
      <c r="C140" s="2" t="s">
        <v>121</v>
      </c>
      <c r="D140" s="1"/>
      <c r="E140" s="1"/>
      <c r="F140" s="1"/>
      <c r="G140" s="1"/>
      <c r="H140" s="112"/>
    </row>
    <row r="141" spans="1:8" x14ac:dyDescent="0.2">
      <c r="A141" s="1"/>
      <c r="B141" s="1"/>
      <c r="C141" s="2" t="s">
        <v>97</v>
      </c>
      <c r="D141" s="1"/>
      <c r="E141" s="1" t="s">
        <v>98</v>
      </c>
      <c r="F141" s="13">
        <v>0</v>
      </c>
      <c r="G141" s="14">
        <v>0</v>
      </c>
      <c r="H141" s="112"/>
    </row>
    <row r="142" spans="1:8" x14ac:dyDescent="0.2">
      <c r="A142" s="1"/>
      <c r="B142" s="1"/>
      <c r="C142" s="11"/>
      <c r="D142" s="1"/>
      <c r="E142" s="1"/>
      <c r="F142" s="12"/>
      <c r="G142" s="12"/>
      <c r="H142" s="112"/>
    </row>
    <row r="143" spans="1:8" x14ac:dyDescent="0.2">
      <c r="A143" s="1"/>
      <c r="B143" s="1"/>
      <c r="C143" s="11"/>
      <c r="D143" s="1"/>
      <c r="E143" s="1"/>
      <c r="F143" s="12"/>
      <c r="G143" s="12"/>
      <c r="H143" s="112"/>
    </row>
    <row r="144" spans="1:8" ht="25.5" x14ac:dyDescent="0.2">
      <c r="A144" s="1"/>
      <c r="B144" s="1"/>
      <c r="C144" s="2" t="s">
        <v>122</v>
      </c>
      <c r="D144" s="1"/>
      <c r="E144" s="1"/>
      <c r="F144" s="12"/>
      <c r="G144" s="12"/>
      <c r="H144" s="112"/>
    </row>
    <row r="145" spans="1:8" x14ac:dyDescent="0.2">
      <c r="A145" s="1"/>
      <c r="B145" s="1"/>
      <c r="C145" s="2" t="s">
        <v>97</v>
      </c>
      <c r="D145" s="1"/>
      <c r="E145" s="1" t="s">
        <v>98</v>
      </c>
      <c r="F145" s="13">
        <v>0</v>
      </c>
      <c r="G145" s="14">
        <v>0</v>
      </c>
      <c r="H145" s="112"/>
    </row>
    <row r="146" spans="1:8" x14ac:dyDescent="0.2">
      <c r="A146" s="1"/>
      <c r="B146" s="1"/>
      <c r="C146" s="11"/>
      <c r="D146" s="1"/>
      <c r="E146" s="1"/>
      <c r="F146" s="12"/>
      <c r="G146" s="12"/>
      <c r="H146" s="112"/>
    </row>
    <row r="147" spans="1:8" x14ac:dyDescent="0.2">
      <c r="A147" s="1"/>
      <c r="B147" s="4"/>
      <c r="C147" s="4"/>
      <c r="D147" s="2"/>
      <c r="E147" s="1"/>
      <c r="F147" s="4"/>
      <c r="G147" s="8"/>
      <c r="H147" s="112"/>
    </row>
    <row r="148" spans="1:8" x14ac:dyDescent="0.2">
      <c r="A148" s="8"/>
      <c r="B148" s="4"/>
      <c r="C148" s="4" t="s">
        <v>123</v>
      </c>
      <c r="D148" s="4"/>
      <c r="E148" s="8"/>
      <c r="F148" s="6">
        <v>-13.654045780050772</v>
      </c>
      <c r="G148" s="7">
        <v>-5.1346537144056988E-4</v>
      </c>
      <c r="H148" s="112"/>
    </row>
    <row r="149" spans="1:8" x14ac:dyDescent="0.2">
      <c r="A149" s="11"/>
      <c r="B149" s="11"/>
      <c r="C149" s="2" t="s">
        <v>124</v>
      </c>
      <c r="D149" s="15"/>
      <c r="E149" s="15"/>
      <c r="F149" s="9">
        <v>26591.95057642</v>
      </c>
      <c r="G149" s="10">
        <v>1.0000000010000001</v>
      </c>
      <c r="H149" s="112"/>
    </row>
    <row r="150" spans="1:8" ht="14.1" customHeight="1" x14ac:dyDescent="0.2">
      <c r="A150" s="16"/>
      <c r="B150" s="16"/>
      <c r="C150" s="16"/>
      <c r="D150" s="17"/>
      <c r="E150" s="17"/>
      <c r="F150" s="17"/>
      <c r="G150" s="17"/>
    </row>
    <row r="151" spans="1:8" ht="14.1" customHeight="1" x14ac:dyDescent="0.2">
      <c r="A151" s="18"/>
      <c r="B151" s="205" t="s">
        <v>98</v>
      </c>
      <c r="C151" s="205"/>
      <c r="D151" s="205"/>
      <c r="E151" s="205"/>
      <c r="F151" s="205"/>
      <c r="G151" s="20"/>
    </row>
    <row r="152" spans="1:8" ht="14.1" customHeight="1" x14ac:dyDescent="0.2">
      <c r="A152" s="18"/>
      <c r="B152" s="205" t="s">
        <v>98</v>
      </c>
      <c r="C152" s="205"/>
      <c r="D152" s="205"/>
      <c r="E152" s="205"/>
      <c r="F152" s="205"/>
      <c r="G152" s="20"/>
    </row>
    <row r="153" spans="1:8" ht="14.1" customHeight="1" x14ac:dyDescent="0.2">
      <c r="A153" s="18"/>
      <c r="B153" s="18"/>
      <c r="C153" s="18"/>
      <c r="D153" s="20"/>
      <c r="E153" s="20"/>
      <c r="F153" s="20"/>
      <c r="G153" s="20"/>
    </row>
    <row r="154" spans="1:8" ht="14.1" customHeight="1" x14ac:dyDescent="0.2">
      <c r="A154" s="18"/>
      <c r="B154" s="203" t="s">
        <v>126</v>
      </c>
      <c r="C154" s="204"/>
      <c r="D154" s="12" t="s">
        <v>98</v>
      </c>
      <c r="E154" s="21"/>
      <c r="F154" s="20"/>
      <c r="G154" s="20"/>
    </row>
    <row r="155" spans="1:8" ht="29.1" customHeight="1" x14ac:dyDescent="0.2">
      <c r="A155" s="18"/>
      <c r="B155" s="198" t="s">
        <v>127</v>
      </c>
      <c r="C155" s="199"/>
      <c r="D155" s="2" t="s">
        <v>128</v>
      </c>
      <c r="E155" s="21"/>
      <c r="F155" s="20"/>
      <c r="G155" s="20"/>
    </row>
    <row r="156" spans="1:8" ht="17.100000000000001" customHeight="1" x14ac:dyDescent="0.2">
      <c r="A156" s="18"/>
      <c r="B156" s="198" t="s">
        <v>129</v>
      </c>
      <c r="C156" s="199"/>
      <c r="D156" s="2" t="s">
        <v>128</v>
      </c>
      <c r="E156" s="21"/>
      <c r="F156" s="20"/>
      <c r="G156" s="20"/>
    </row>
    <row r="157" spans="1:8" ht="17.100000000000001" customHeight="1" x14ac:dyDescent="0.2">
      <c r="A157" s="18"/>
      <c r="B157" s="198" t="s">
        <v>130</v>
      </c>
      <c r="C157" s="199"/>
      <c r="D157" s="12" t="s">
        <v>98</v>
      </c>
      <c r="E157" s="21"/>
      <c r="F157" s="20"/>
      <c r="G157" s="20"/>
    </row>
    <row r="158" spans="1:8" ht="24" customHeight="1" x14ac:dyDescent="0.2">
      <c r="A158" s="22"/>
      <c r="B158" s="23" t="s">
        <v>98</v>
      </c>
      <c r="C158" s="23" t="s">
        <v>131</v>
      </c>
      <c r="D158" s="23" t="s">
        <v>132</v>
      </c>
      <c r="E158" s="22"/>
      <c r="F158" s="22"/>
      <c r="G158" s="22"/>
    </row>
    <row r="159" spans="1:8" ht="18" customHeight="1" x14ac:dyDescent="0.2">
      <c r="A159" s="22"/>
      <c r="B159" s="23" t="s">
        <v>133</v>
      </c>
      <c r="C159" s="23" t="s">
        <v>134</v>
      </c>
      <c r="D159" s="23" t="s">
        <v>135</v>
      </c>
      <c r="E159" s="22"/>
      <c r="F159" s="22"/>
      <c r="G159" s="22"/>
    </row>
    <row r="160" spans="1:8" ht="17.100000000000001" customHeight="1" x14ac:dyDescent="0.2">
      <c r="A160" s="22"/>
      <c r="B160" s="4" t="s">
        <v>136</v>
      </c>
      <c r="C160" s="24">
        <v>17.081700000000001</v>
      </c>
      <c r="D160" s="24">
        <v>17.479800000000001</v>
      </c>
      <c r="E160" s="22"/>
      <c r="F160" s="19"/>
      <c r="G160" s="25"/>
    </row>
    <row r="161" spans="1:15" ht="17.100000000000001" customHeight="1" x14ac:dyDescent="0.2">
      <c r="A161" s="22"/>
      <c r="B161" s="4" t="s">
        <v>980</v>
      </c>
      <c r="C161" s="24">
        <v>16.7681</v>
      </c>
      <c r="D161" s="24">
        <v>17.158799999999999</v>
      </c>
      <c r="E161" s="22"/>
      <c r="F161" s="19"/>
      <c r="G161" s="25"/>
    </row>
    <row r="162" spans="1:15" ht="17.100000000000001" customHeight="1" x14ac:dyDescent="0.2">
      <c r="A162" s="22"/>
      <c r="B162" s="4" t="s">
        <v>137</v>
      </c>
      <c r="C162" s="24">
        <v>16.614999999999998</v>
      </c>
      <c r="D162" s="24">
        <v>16.993600000000001</v>
      </c>
      <c r="E162" s="22"/>
      <c r="F162" s="19"/>
      <c r="G162" s="25"/>
    </row>
    <row r="163" spans="1:15" ht="17.100000000000001" customHeight="1" x14ac:dyDescent="0.2">
      <c r="A163" s="22"/>
      <c r="B163" s="4" t="s">
        <v>981</v>
      </c>
      <c r="C163" s="24">
        <v>16.3019</v>
      </c>
      <c r="D163" s="24">
        <v>16.673300000000001</v>
      </c>
      <c r="E163" s="22"/>
      <c r="F163" s="19"/>
      <c r="G163" s="25"/>
    </row>
    <row r="164" spans="1:15" ht="14.1" customHeight="1" x14ac:dyDescent="0.2">
      <c r="A164" s="22"/>
      <c r="B164" s="22"/>
      <c r="C164" s="22"/>
      <c r="D164" s="22"/>
      <c r="E164" s="22"/>
      <c r="F164" s="22"/>
      <c r="G164" s="22"/>
      <c r="I164" s="113"/>
      <c r="J164" s="113"/>
      <c r="K164" s="113"/>
      <c r="L164" s="113"/>
      <c r="M164" s="113"/>
      <c r="N164" s="113"/>
      <c r="O164" s="113"/>
    </row>
    <row r="165" spans="1:15" ht="17.100000000000001" customHeight="1" x14ac:dyDescent="0.2">
      <c r="A165" s="22"/>
      <c r="B165" s="198" t="s">
        <v>982</v>
      </c>
      <c r="C165" s="199"/>
      <c r="D165" s="91" t="s">
        <v>128</v>
      </c>
      <c r="E165" s="22"/>
      <c r="F165" s="22"/>
      <c r="G165" s="22"/>
    </row>
    <row r="166" spans="1:15" ht="18" customHeight="1" x14ac:dyDescent="0.2">
      <c r="A166" s="22"/>
      <c r="B166" s="26"/>
      <c r="C166" s="26"/>
      <c r="D166" s="27"/>
      <c r="E166" s="22"/>
      <c r="F166" s="22"/>
      <c r="G166" s="22"/>
    </row>
    <row r="167" spans="1:15" s="113" customFormat="1" x14ac:dyDescent="0.2">
      <c r="B167" s="202" t="s">
        <v>984</v>
      </c>
      <c r="C167" s="202"/>
      <c r="D167" s="202"/>
      <c r="E167" s="202"/>
      <c r="F167" s="202"/>
      <c r="I167"/>
      <c r="J167"/>
      <c r="K167"/>
      <c r="L167"/>
      <c r="M167"/>
      <c r="N167"/>
      <c r="O167"/>
    </row>
    <row r="168" spans="1:15" ht="14.1" customHeight="1" x14ac:dyDescent="0.2">
      <c r="A168" s="22"/>
      <c r="B168" s="19"/>
      <c r="C168" s="19"/>
      <c r="D168" s="22"/>
      <c r="E168" s="22"/>
      <c r="F168" s="22"/>
      <c r="G168" s="22"/>
    </row>
    <row r="169" spans="1:15" ht="29.1" customHeight="1" x14ac:dyDescent="0.2">
      <c r="A169" s="22"/>
      <c r="B169" s="198" t="s">
        <v>138</v>
      </c>
      <c r="C169" s="199"/>
      <c r="D169" s="2" t="s">
        <v>128</v>
      </c>
      <c r="E169" s="22"/>
      <c r="F169" s="22"/>
      <c r="G169" s="22"/>
    </row>
    <row r="170" spans="1:15" ht="29.1" customHeight="1" x14ac:dyDescent="0.2">
      <c r="A170" s="22"/>
      <c r="B170" s="198" t="s">
        <v>139</v>
      </c>
      <c r="C170" s="199"/>
      <c r="D170" s="2" t="s">
        <v>128</v>
      </c>
      <c r="E170" s="22"/>
      <c r="F170" s="22"/>
      <c r="G170" s="22"/>
    </row>
    <row r="171" spans="1:15" ht="17.100000000000001" customHeight="1" x14ac:dyDescent="0.2">
      <c r="A171" s="22"/>
      <c r="B171" s="198" t="s">
        <v>140</v>
      </c>
      <c r="C171" s="199"/>
      <c r="D171" s="28">
        <v>0.42664168390242113</v>
      </c>
      <c r="E171" s="22"/>
      <c r="F171" s="19"/>
      <c r="G171" s="25"/>
    </row>
    <row r="172" spans="1:15" ht="17.100000000000001" customHeight="1" x14ac:dyDescent="0.2">
      <c r="A172" s="22"/>
      <c r="B172" s="198" t="s">
        <v>141</v>
      </c>
      <c r="C172" s="199"/>
      <c r="D172" s="2" t="s">
        <v>128</v>
      </c>
      <c r="E172" s="22"/>
      <c r="F172" s="22"/>
      <c r="G172" s="22"/>
    </row>
  </sheetData>
  <mergeCells count="16">
    <mergeCell ref="B172:C172"/>
    <mergeCell ref="B155:C155"/>
    <mergeCell ref="B156:C156"/>
    <mergeCell ref="B157:C157"/>
    <mergeCell ref="B165:C165"/>
    <mergeCell ref="B169:C169"/>
    <mergeCell ref="B170:C170"/>
    <mergeCell ref="B167:F167"/>
    <mergeCell ref="A1:H1"/>
    <mergeCell ref="A2:H2"/>
    <mergeCell ref="A3:H3"/>
    <mergeCell ref="J2:N2"/>
    <mergeCell ref="B171:C171"/>
    <mergeCell ref="B154:C154"/>
    <mergeCell ref="B151:F151"/>
    <mergeCell ref="B152:F152"/>
  </mergeCells>
  <pageMargins left="5.000000074505806E-2" right="5.000000074505806E-2" top="0.30000001192092896" bottom="0.20000000298023224" header="0" footer="0"/>
  <pageSetup paperSize="9"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7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483</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35803</v>
      </c>
      <c r="F7" s="6">
        <v>579.86538800000005</v>
      </c>
      <c r="G7" s="7">
        <v>3.0603356000000002E-2</v>
      </c>
      <c r="H7" s="112"/>
    </row>
    <row r="8" spans="1:14" x14ac:dyDescent="0.2">
      <c r="A8" s="3">
        <v>2</v>
      </c>
      <c r="B8" s="4" t="s">
        <v>143</v>
      </c>
      <c r="C8" s="4" t="s">
        <v>144</v>
      </c>
      <c r="D8" s="4" t="s">
        <v>27</v>
      </c>
      <c r="E8" s="5">
        <v>58698</v>
      </c>
      <c r="F8" s="6">
        <v>535.94208900000001</v>
      </c>
      <c r="G8" s="7">
        <v>2.8285231000000001E-2</v>
      </c>
      <c r="H8" s="112"/>
    </row>
    <row r="9" spans="1:14" x14ac:dyDescent="0.2">
      <c r="A9" s="3">
        <v>3</v>
      </c>
      <c r="B9" s="4" t="s">
        <v>74</v>
      </c>
      <c r="C9" s="4" t="s">
        <v>75</v>
      </c>
      <c r="D9" s="4" t="s">
        <v>71</v>
      </c>
      <c r="E9" s="5">
        <v>127512</v>
      </c>
      <c r="F9" s="6">
        <v>491.75002799999999</v>
      </c>
      <c r="G9" s="7">
        <v>2.5952922E-2</v>
      </c>
      <c r="H9" s="112"/>
    </row>
    <row r="10" spans="1:14" x14ac:dyDescent="0.2">
      <c r="A10" s="3">
        <v>4</v>
      </c>
      <c r="B10" s="4" t="s">
        <v>148</v>
      </c>
      <c r="C10" s="4" t="s">
        <v>149</v>
      </c>
      <c r="D10" s="4" t="s">
        <v>81</v>
      </c>
      <c r="E10" s="5">
        <v>374729</v>
      </c>
      <c r="F10" s="6">
        <v>486.39824199999998</v>
      </c>
      <c r="G10" s="7">
        <v>2.5670472999999999E-2</v>
      </c>
      <c r="H10" s="112"/>
    </row>
    <row r="11" spans="1:14" x14ac:dyDescent="0.2">
      <c r="A11" s="3">
        <v>5</v>
      </c>
      <c r="B11" s="4" t="s">
        <v>145</v>
      </c>
      <c r="C11" s="4" t="s">
        <v>146</v>
      </c>
      <c r="D11" s="4" t="s">
        <v>147</v>
      </c>
      <c r="E11" s="5">
        <v>14492</v>
      </c>
      <c r="F11" s="6">
        <v>483.800928</v>
      </c>
      <c r="G11" s="7">
        <v>2.5533395E-2</v>
      </c>
      <c r="H11" s="112"/>
    </row>
    <row r="12" spans="1:14" x14ac:dyDescent="0.2">
      <c r="A12" s="3">
        <v>6</v>
      </c>
      <c r="B12" s="4" t="s">
        <v>150</v>
      </c>
      <c r="C12" s="4" t="s">
        <v>151</v>
      </c>
      <c r="D12" s="4" t="s">
        <v>27</v>
      </c>
      <c r="E12" s="5">
        <v>53823</v>
      </c>
      <c r="F12" s="6">
        <v>458.1144645</v>
      </c>
      <c r="G12" s="7">
        <v>2.4177750000000001E-2</v>
      </c>
      <c r="H12" s="112"/>
    </row>
    <row r="13" spans="1:14" ht="25.5" x14ac:dyDescent="0.2">
      <c r="A13" s="3">
        <v>7</v>
      </c>
      <c r="B13" s="4" t="s">
        <v>152</v>
      </c>
      <c r="C13" s="4" t="s">
        <v>153</v>
      </c>
      <c r="D13" s="4" t="s">
        <v>45</v>
      </c>
      <c r="E13" s="5">
        <v>304491</v>
      </c>
      <c r="F13" s="6">
        <v>445.47033299999998</v>
      </c>
      <c r="G13" s="7">
        <v>2.3510435E-2</v>
      </c>
      <c r="H13" s="112"/>
    </row>
    <row r="14" spans="1:14" x14ac:dyDescent="0.2">
      <c r="A14" s="3">
        <v>8</v>
      </c>
      <c r="B14" s="4" t="s">
        <v>154</v>
      </c>
      <c r="C14" s="4" t="s">
        <v>155</v>
      </c>
      <c r="D14" s="4" t="s">
        <v>71</v>
      </c>
      <c r="E14" s="5">
        <v>80777</v>
      </c>
      <c r="F14" s="6">
        <v>436.27657699999997</v>
      </c>
      <c r="G14" s="7">
        <v>2.3025219E-2</v>
      </c>
      <c r="H14" s="112"/>
    </row>
    <row r="15" spans="1:14" x14ac:dyDescent="0.2">
      <c r="A15" s="3">
        <v>9</v>
      </c>
      <c r="B15" s="4" t="s">
        <v>297</v>
      </c>
      <c r="C15" s="4" t="s">
        <v>298</v>
      </c>
      <c r="D15" s="4" t="s">
        <v>27</v>
      </c>
      <c r="E15" s="5">
        <v>64998</v>
      </c>
      <c r="F15" s="6">
        <v>435.61659600000002</v>
      </c>
      <c r="G15" s="7">
        <v>2.2990387000000001E-2</v>
      </c>
      <c r="H15" s="112"/>
    </row>
    <row r="16" spans="1:14" ht="15" x14ac:dyDescent="0.2">
      <c r="A16" s="3">
        <v>10</v>
      </c>
      <c r="B16" s="4" t="s">
        <v>41</v>
      </c>
      <c r="C16" s="4" t="s">
        <v>42</v>
      </c>
      <c r="D16" s="4" t="s">
        <v>27</v>
      </c>
      <c r="E16" s="5">
        <v>31667</v>
      </c>
      <c r="F16" s="6">
        <v>419.73025150000001</v>
      </c>
      <c r="G16" s="7">
        <v>2.2151958999999999E-2</v>
      </c>
      <c r="H16" s="112"/>
      <c r="J16" s="188" t="s">
        <v>1016</v>
      </c>
    </row>
    <row r="17" spans="1:8" x14ac:dyDescent="0.2">
      <c r="A17" s="3">
        <v>11</v>
      </c>
      <c r="B17" s="4" t="s">
        <v>160</v>
      </c>
      <c r="C17" s="4" t="s">
        <v>161</v>
      </c>
      <c r="D17" s="4" t="s">
        <v>162</v>
      </c>
      <c r="E17" s="5">
        <v>10158</v>
      </c>
      <c r="F17" s="6">
        <v>398.56944600000003</v>
      </c>
      <c r="G17" s="7">
        <v>2.1035162999999999E-2</v>
      </c>
      <c r="H17" s="112"/>
    </row>
    <row r="18" spans="1:8" x14ac:dyDescent="0.2">
      <c r="A18" s="3">
        <v>12</v>
      </c>
      <c r="B18" s="4" t="s">
        <v>163</v>
      </c>
      <c r="C18" s="4" t="s">
        <v>164</v>
      </c>
      <c r="D18" s="4" t="s">
        <v>162</v>
      </c>
      <c r="E18" s="5">
        <v>120968</v>
      </c>
      <c r="F18" s="6">
        <v>373.42821600000002</v>
      </c>
      <c r="G18" s="7">
        <v>1.9708293000000002E-2</v>
      </c>
      <c r="H18" s="112"/>
    </row>
    <row r="19" spans="1:8" ht="25.5" x14ac:dyDescent="0.2">
      <c r="A19" s="3">
        <v>13</v>
      </c>
      <c r="B19" s="4" t="s">
        <v>37</v>
      </c>
      <c r="C19" s="4" t="s">
        <v>38</v>
      </c>
      <c r="D19" s="4" t="s">
        <v>971</v>
      </c>
      <c r="E19" s="5">
        <v>10728</v>
      </c>
      <c r="F19" s="6">
        <v>355.71366</v>
      </c>
      <c r="G19" s="7">
        <v>1.8773378E-2</v>
      </c>
      <c r="H19" s="112"/>
    </row>
    <row r="20" spans="1:8" x14ac:dyDescent="0.2">
      <c r="A20" s="3">
        <v>14</v>
      </c>
      <c r="B20" s="4" t="s">
        <v>463</v>
      </c>
      <c r="C20" s="4" t="s">
        <v>464</v>
      </c>
      <c r="D20" s="4" t="s">
        <v>71</v>
      </c>
      <c r="E20" s="5">
        <v>101250</v>
      </c>
      <c r="F20" s="6">
        <v>350.27437500000002</v>
      </c>
      <c r="G20" s="7">
        <v>1.8486309999999999E-2</v>
      </c>
      <c r="H20" s="112"/>
    </row>
    <row r="21" spans="1:8" x14ac:dyDescent="0.2">
      <c r="A21" s="3">
        <v>15</v>
      </c>
      <c r="B21" s="4" t="s">
        <v>167</v>
      </c>
      <c r="C21" s="4" t="s">
        <v>168</v>
      </c>
      <c r="D21" s="4" t="s">
        <v>81</v>
      </c>
      <c r="E21" s="5">
        <v>46566</v>
      </c>
      <c r="F21" s="6">
        <v>328.40671500000002</v>
      </c>
      <c r="G21" s="7">
        <v>1.7332208000000002E-2</v>
      </c>
      <c r="H21" s="112"/>
    </row>
    <row r="22" spans="1:8" x14ac:dyDescent="0.2">
      <c r="A22" s="3">
        <v>16</v>
      </c>
      <c r="B22" s="4" t="s">
        <v>165</v>
      </c>
      <c r="C22" s="4" t="s">
        <v>166</v>
      </c>
      <c r="D22" s="4" t="s">
        <v>976</v>
      </c>
      <c r="E22" s="5">
        <v>73248</v>
      </c>
      <c r="F22" s="6">
        <v>306.94574399999999</v>
      </c>
      <c r="G22" s="7">
        <v>1.619957E-2</v>
      </c>
      <c r="H22" s="112"/>
    </row>
    <row r="23" spans="1:8" x14ac:dyDescent="0.2">
      <c r="A23" s="3">
        <v>17</v>
      </c>
      <c r="B23" s="4" t="s">
        <v>465</v>
      </c>
      <c r="C23" s="4" t="s">
        <v>466</v>
      </c>
      <c r="D23" s="4" t="s">
        <v>50</v>
      </c>
      <c r="E23" s="5">
        <v>47887</v>
      </c>
      <c r="F23" s="6">
        <v>301.400778</v>
      </c>
      <c r="G23" s="7">
        <v>1.5906924999999999E-2</v>
      </c>
      <c r="H23" s="112"/>
    </row>
    <row r="24" spans="1:8" x14ac:dyDescent="0.2">
      <c r="A24" s="3">
        <v>18</v>
      </c>
      <c r="B24" s="4" t="s">
        <v>171</v>
      </c>
      <c r="C24" s="4" t="s">
        <v>172</v>
      </c>
      <c r="D24" s="4" t="s">
        <v>173</v>
      </c>
      <c r="E24" s="5">
        <v>21144</v>
      </c>
      <c r="F24" s="6">
        <v>295.27596</v>
      </c>
      <c r="G24" s="7">
        <v>1.5583678E-2</v>
      </c>
      <c r="H24" s="112"/>
    </row>
    <row r="25" spans="1:8" ht="25.5" x14ac:dyDescent="0.2">
      <c r="A25" s="3">
        <v>19</v>
      </c>
      <c r="B25" s="4" t="s">
        <v>190</v>
      </c>
      <c r="C25" s="4" t="s">
        <v>191</v>
      </c>
      <c r="D25" s="4" t="s">
        <v>192</v>
      </c>
      <c r="E25" s="5">
        <v>55539</v>
      </c>
      <c r="F25" s="6">
        <v>290.5522785</v>
      </c>
      <c r="G25" s="7">
        <v>1.5334377999999999E-2</v>
      </c>
      <c r="H25" s="112"/>
    </row>
    <row r="26" spans="1:8" x14ac:dyDescent="0.2">
      <c r="A26" s="3">
        <v>20</v>
      </c>
      <c r="B26" s="4" t="s">
        <v>174</v>
      </c>
      <c r="C26" s="4" t="s">
        <v>175</v>
      </c>
      <c r="D26" s="4" t="s">
        <v>162</v>
      </c>
      <c r="E26" s="5">
        <v>27640</v>
      </c>
      <c r="F26" s="6">
        <v>290.22000000000003</v>
      </c>
      <c r="G26" s="7">
        <v>1.5316840999999999E-2</v>
      </c>
      <c r="H26" s="112"/>
    </row>
    <row r="27" spans="1:8" x14ac:dyDescent="0.2">
      <c r="A27" s="3">
        <v>21</v>
      </c>
      <c r="B27" s="4" t="s">
        <v>182</v>
      </c>
      <c r="C27" s="4" t="s">
        <v>183</v>
      </c>
      <c r="D27" s="4" t="s">
        <v>162</v>
      </c>
      <c r="E27" s="5">
        <v>26792</v>
      </c>
      <c r="F27" s="6">
        <v>286.20553999999998</v>
      </c>
      <c r="G27" s="7">
        <v>1.5104971E-2</v>
      </c>
      <c r="H27" s="112"/>
    </row>
    <row r="28" spans="1:8" x14ac:dyDescent="0.2">
      <c r="A28" s="3">
        <v>22</v>
      </c>
      <c r="B28" s="4" t="s">
        <v>187</v>
      </c>
      <c r="C28" s="4" t="s">
        <v>188</v>
      </c>
      <c r="D28" s="4" t="s">
        <v>189</v>
      </c>
      <c r="E28" s="5">
        <v>124748</v>
      </c>
      <c r="F28" s="6">
        <v>281.431488</v>
      </c>
      <c r="G28" s="7">
        <v>1.4853013E-2</v>
      </c>
      <c r="H28" s="112"/>
    </row>
    <row r="29" spans="1:8" ht="25.5" x14ac:dyDescent="0.2">
      <c r="A29" s="3">
        <v>23</v>
      </c>
      <c r="B29" s="4" t="s">
        <v>197</v>
      </c>
      <c r="C29" s="4" t="s">
        <v>198</v>
      </c>
      <c r="D29" s="4" t="s">
        <v>971</v>
      </c>
      <c r="E29" s="5">
        <v>111054</v>
      </c>
      <c r="F29" s="6">
        <v>265.30800599999998</v>
      </c>
      <c r="G29" s="7">
        <v>1.4002069000000001E-2</v>
      </c>
      <c r="H29" s="112"/>
    </row>
    <row r="30" spans="1:8" x14ac:dyDescent="0.2">
      <c r="A30" s="3">
        <v>24</v>
      </c>
      <c r="B30" s="4" t="s">
        <v>364</v>
      </c>
      <c r="C30" s="4" t="s">
        <v>365</v>
      </c>
      <c r="D30" s="4" t="s">
        <v>173</v>
      </c>
      <c r="E30" s="5">
        <v>6790</v>
      </c>
      <c r="F30" s="6">
        <v>260.657915</v>
      </c>
      <c r="G30" s="7">
        <v>1.3756653000000001E-2</v>
      </c>
      <c r="H30" s="112"/>
    </row>
    <row r="31" spans="1:8" x14ac:dyDescent="0.2">
      <c r="A31" s="3">
        <v>25</v>
      </c>
      <c r="B31" s="4" t="s">
        <v>205</v>
      </c>
      <c r="C31" s="4" t="s">
        <v>206</v>
      </c>
      <c r="D31" s="4" t="s">
        <v>975</v>
      </c>
      <c r="E31" s="5">
        <v>30000</v>
      </c>
      <c r="F31" s="6">
        <v>259.90499999999997</v>
      </c>
      <c r="G31" s="7">
        <v>1.3716917E-2</v>
      </c>
      <c r="H31" s="112"/>
    </row>
    <row r="32" spans="1:8" x14ac:dyDescent="0.2">
      <c r="A32" s="3">
        <v>26</v>
      </c>
      <c r="B32" s="4" t="s">
        <v>199</v>
      </c>
      <c r="C32" s="4" t="s">
        <v>200</v>
      </c>
      <c r="D32" s="4" t="s">
        <v>64</v>
      </c>
      <c r="E32" s="5">
        <v>246324</v>
      </c>
      <c r="F32" s="6">
        <v>257.901228</v>
      </c>
      <c r="G32" s="7">
        <v>1.3611164E-2</v>
      </c>
      <c r="H32" s="112"/>
    </row>
    <row r="33" spans="1:8" x14ac:dyDescent="0.2">
      <c r="A33" s="3">
        <v>27</v>
      </c>
      <c r="B33" s="4" t="s">
        <v>219</v>
      </c>
      <c r="C33" s="4" t="s">
        <v>220</v>
      </c>
      <c r="D33" s="4" t="s">
        <v>64</v>
      </c>
      <c r="E33" s="5">
        <v>26331</v>
      </c>
      <c r="F33" s="6">
        <v>253.84400550000001</v>
      </c>
      <c r="G33" s="7">
        <v>1.3397038E-2</v>
      </c>
      <c r="H33" s="112"/>
    </row>
    <row r="34" spans="1:8" x14ac:dyDescent="0.2">
      <c r="A34" s="3">
        <v>28</v>
      </c>
      <c r="B34" s="4" t="s">
        <v>203</v>
      </c>
      <c r="C34" s="4" t="s">
        <v>204</v>
      </c>
      <c r="D34" s="4" t="s">
        <v>81</v>
      </c>
      <c r="E34" s="5">
        <v>40036</v>
      </c>
      <c r="F34" s="6">
        <v>250.965666</v>
      </c>
      <c r="G34" s="7">
        <v>1.3245129E-2</v>
      </c>
      <c r="H34" s="112"/>
    </row>
    <row r="35" spans="1:8" x14ac:dyDescent="0.2">
      <c r="A35" s="3">
        <v>29</v>
      </c>
      <c r="B35" s="4" t="s">
        <v>184</v>
      </c>
      <c r="C35" s="4" t="s">
        <v>185</v>
      </c>
      <c r="D35" s="4" t="s">
        <v>186</v>
      </c>
      <c r="E35" s="5">
        <v>52345</v>
      </c>
      <c r="F35" s="6">
        <v>243.87535500000001</v>
      </c>
      <c r="G35" s="7">
        <v>1.2870926E-2</v>
      </c>
      <c r="H35" s="112"/>
    </row>
    <row r="36" spans="1:8" ht="25.5" x14ac:dyDescent="0.2">
      <c r="A36" s="3">
        <v>30</v>
      </c>
      <c r="B36" s="4" t="s">
        <v>467</v>
      </c>
      <c r="C36" s="4" t="s">
        <v>468</v>
      </c>
      <c r="D36" s="4" t="s">
        <v>45</v>
      </c>
      <c r="E36" s="5">
        <v>17534</v>
      </c>
      <c r="F36" s="6">
        <v>243.433289</v>
      </c>
      <c r="G36" s="7">
        <v>1.2847595E-2</v>
      </c>
      <c r="H36" s="112"/>
    </row>
    <row r="37" spans="1:8" x14ac:dyDescent="0.2">
      <c r="A37" s="3">
        <v>31</v>
      </c>
      <c r="B37" s="4" t="s">
        <v>169</v>
      </c>
      <c r="C37" s="4" t="s">
        <v>170</v>
      </c>
      <c r="D37" s="4" t="s">
        <v>19</v>
      </c>
      <c r="E37" s="5">
        <v>133811</v>
      </c>
      <c r="F37" s="6">
        <v>241.59576050000001</v>
      </c>
      <c r="G37" s="7">
        <v>1.2750615999999999E-2</v>
      </c>
      <c r="H37" s="112"/>
    </row>
    <row r="38" spans="1:8" x14ac:dyDescent="0.2">
      <c r="A38" s="3">
        <v>32</v>
      </c>
      <c r="B38" s="4" t="s">
        <v>469</v>
      </c>
      <c r="C38" s="4" t="s">
        <v>470</v>
      </c>
      <c r="D38" s="4" t="s">
        <v>71</v>
      </c>
      <c r="E38" s="5">
        <v>24137</v>
      </c>
      <c r="F38" s="6">
        <v>231.73933700000001</v>
      </c>
      <c r="G38" s="7">
        <v>1.2230427E-2</v>
      </c>
      <c r="H38" s="112"/>
    </row>
    <row r="39" spans="1:8" x14ac:dyDescent="0.2">
      <c r="A39" s="3">
        <v>33</v>
      </c>
      <c r="B39" s="4" t="s">
        <v>213</v>
      </c>
      <c r="C39" s="4" t="s">
        <v>214</v>
      </c>
      <c r="D39" s="4" t="s">
        <v>977</v>
      </c>
      <c r="E39" s="5">
        <v>38477</v>
      </c>
      <c r="F39" s="6">
        <v>223.28203099999999</v>
      </c>
      <c r="G39" s="7">
        <v>1.1784078999999999E-2</v>
      </c>
      <c r="H39" s="112"/>
    </row>
    <row r="40" spans="1:8" x14ac:dyDescent="0.2">
      <c r="A40" s="3">
        <v>34</v>
      </c>
      <c r="B40" s="4" t="s">
        <v>210</v>
      </c>
      <c r="C40" s="4" t="s">
        <v>211</v>
      </c>
      <c r="D40" s="4" t="s">
        <v>212</v>
      </c>
      <c r="E40" s="5">
        <v>89345</v>
      </c>
      <c r="F40" s="6">
        <v>221.75429</v>
      </c>
      <c r="G40" s="7">
        <v>1.1703450000000001E-2</v>
      </c>
      <c r="H40" s="112"/>
    </row>
    <row r="41" spans="1:8" ht="25.5" x14ac:dyDescent="0.2">
      <c r="A41" s="3">
        <v>35</v>
      </c>
      <c r="B41" s="4" t="s">
        <v>229</v>
      </c>
      <c r="C41" s="4" t="s">
        <v>230</v>
      </c>
      <c r="D41" s="4" t="s">
        <v>71</v>
      </c>
      <c r="E41" s="5">
        <v>10609</v>
      </c>
      <c r="F41" s="6">
        <v>219.92456999999999</v>
      </c>
      <c r="G41" s="7">
        <v>1.1606883E-2</v>
      </c>
      <c r="H41" s="112"/>
    </row>
    <row r="42" spans="1:8" x14ac:dyDescent="0.2">
      <c r="A42" s="3">
        <v>36</v>
      </c>
      <c r="B42" s="4" t="s">
        <v>471</v>
      </c>
      <c r="C42" s="4" t="s">
        <v>472</v>
      </c>
      <c r="D42" s="4" t="s">
        <v>27</v>
      </c>
      <c r="E42" s="5">
        <v>25628</v>
      </c>
      <c r="F42" s="6">
        <v>215.09580399999999</v>
      </c>
      <c r="G42" s="7">
        <v>1.1352037000000001E-2</v>
      </c>
      <c r="H42" s="112"/>
    </row>
    <row r="43" spans="1:8" x14ac:dyDescent="0.2">
      <c r="A43" s="3">
        <v>37</v>
      </c>
      <c r="B43" s="4" t="s">
        <v>39</v>
      </c>
      <c r="C43" s="4" t="s">
        <v>40</v>
      </c>
      <c r="D43" s="4" t="s">
        <v>27</v>
      </c>
      <c r="E43" s="5">
        <v>8450</v>
      </c>
      <c r="F43" s="6">
        <v>213.92865</v>
      </c>
      <c r="G43" s="7">
        <v>1.1290438999999999E-2</v>
      </c>
      <c r="H43" s="112"/>
    </row>
    <row r="44" spans="1:8" x14ac:dyDescent="0.2">
      <c r="A44" s="3">
        <v>38</v>
      </c>
      <c r="B44" s="4" t="s">
        <v>223</v>
      </c>
      <c r="C44" s="4" t="s">
        <v>224</v>
      </c>
      <c r="D44" s="4" t="s">
        <v>27</v>
      </c>
      <c r="E44" s="5">
        <v>11898</v>
      </c>
      <c r="F44" s="6">
        <v>213.92009100000001</v>
      </c>
      <c r="G44" s="7">
        <v>1.1289987E-2</v>
      </c>
      <c r="H44" s="112"/>
    </row>
    <row r="45" spans="1:8" x14ac:dyDescent="0.2">
      <c r="A45" s="3">
        <v>39</v>
      </c>
      <c r="B45" s="4" t="s">
        <v>207</v>
      </c>
      <c r="C45" s="4" t="s">
        <v>208</v>
      </c>
      <c r="D45" s="4" t="s">
        <v>209</v>
      </c>
      <c r="E45" s="5">
        <v>44870</v>
      </c>
      <c r="F45" s="6">
        <v>208.95958999999999</v>
      </c>
      <c r="G45" s="7">
        <v>1.1028188E-2</v>
      </c>
      <c r="H45" s="112"/>
    </row>
    <row r="46" spans="1:8" x14ac:dyDescent="0.2">
      <c r="A46" s="3">
        <v>40</v>
      </c>
      <c r="B46" s="4" t="s">
        <v>225</v>
      </c>
      <c r="C46" s="4" t="s">
        <v>226</v>
      </c>
      <c r="D46" s="4" t="s">
        <v>71</v>
      </c>
      <c r="E46" s="5">
        <v>24424</v>
      </c>
      <c r="F46" s="6">
        <v>203.109984</v>
      </c>
      <c r="G46" s="7">
        <v>1.0719466E-2</v>
      </c>
      <c r="H46" s="112"/>
    </row>
    <row r="47" spans="1:8" x14ac:dyDescent="0.2">
      <c r="A47" s="3">
        <v>41</v>
      </c>
      <c r="B47" s="4" t="s">
        <v>176</v>
      </c>
      <c r="C47" s="4" t="s">
        <v>177</v>
      </c>
      <c r="D47" s="4" t="s">
        <v>178</v>
      </c>
      <c r="E47" s="5">
        <v>19644</v>
      </c>
      <c r="F47" s="6">
        <v>200.113428</v>
      </c>
      <c r="G47" s="7">
        <v>1.0561318E-2</v>
      </c>
      <c r="H47" s="112"/>
    </row>
    <row r="48" spans="1:8" x14ac:dyDescent="0.2">
      <c r="A48" s="3">
        <v>42</v>
      </c>
      <c r="B48" s="4" t="s">
        <v>244</v>
      </c>
      <c r="C48" s="4" t="s">
        <v>245</v>
      </c>
      <c r="D48" s="4" t="s">
        <v>173</v>
      </c>
      <c r="E48" s="5">
        <v>50534</v>
      </c>
      <c r="F48" s="6">
        <v>199.306096</v>
      </c>
      <c r="G48" s="7">
        <v>1.0518708999999999E-2</v>
      </c>
      <c r="H48" s="112"/>
    </row>
    <row r="49" spans="1:8" x14ac:dyDescent="0.2">
      <c r="A49" s="3">
        <v>43</v>
      </c>
      <c r="B49" s="4" t="s">
        <v>231</v>
      </c>
      <c r="C49" s="4" t="s">
        <v>232</v>
      </c>
      <c r="D49" s="4" t="s">
        <v>71</v>
      </c>
      <c r="E49" s="5">
        <v>70796</v>
      </c>
      <c r="F49" s="6">
        <v>197.76862600000001</v>
      </c>
      <c r="G49" s="7">
        <v>1.0437567E-2</v>
      </c>
      <c r="H49" s="112"/>
    </row>
    <row r="50" spans="1:8" x14ac:dyDescent="0.2">
      <c r="A50" s="3">
        <v>44</v>
      </c>
      <c r="B50" s="4" t="s">
        <v>238</v>
      </c>
      <c r="C50" s="4" t="s">
        <v>239</v>
      </c>
      <c r="D50" s="4" t="s">
        <v>186</v>
      </c>
      <c r="E50" s="5">
        <v>37335</v>
      </c>
      <c r="F50" s="6">
        <v>192.57392999999999</v>
      </c>
      <c r="G50" s="7">
        <v>1.0163408000000001E-2</v>
      </c>
      <c r="H50" s="112"/>
    </row>
    <row r="51" spans="1:8" x14ac:dyDescent="0.2">
      <c r="A51" s="3">
        <v>45</v>
      </c>
      <c r="B51" s="4" t="s">
        <v>227</v>
      </c>
      <c r="C51" s="4" t="s">
        <v>228</v>
      </c>
      <c r="D51" s="4" t="s">
        <v>974</v>
      </c>
      <c r="E51" s="5">
        <v>11242</v>
      </c>
      <c r="F51" s="6">
        <v>191.53557499999999</v>
      </c>
      <c r="G51" s="7">
        <v>1.0108607E-2</v>
      </c>
      <c r="H51" s="112"/>
    </row>
    <row r="52" spans="1:8" ht="25.5" x14ac:dyDescent="0.2">
      <c r="A52" s="3">
        <v>46</v>
      </c>
      <c r="B52" s="4" t="s">
        <v>235</v>
      </c>
      <c r="C52" s="4" t="s">
        <v>236</v>
      </c>
      <c r="D52" s="4" t="s">
        <v>192</v>
      </c>
      <c r="E52" s="5">
        <v>41627</v>
      </c>
      <c r="F52" s="6">
        <v>190.21457649999999</v>
      </c>
      <c r="G52" s="7">
        <v>1.0038889E-2</v>
      </c>
      <c r="H52" s="112"/>
    </row>
    <row r="53" spans="1:8" x14ac:dyDescent="0.2">
      <c r="A53" s="3">
        <v>47</v>
      </c>
      <c r="B53" s="4" t="s">
        <v>240</v>
      </c>
      <c r="C53" s="4" t="s">
        <v>241</v>
      </c>
      <c r="D53" s="4" t="s">
        <v>81</v>
      </c>
      <c r="E53" s="5">
        <v>343505</v>
      </c>
      <c r="F53" s="6">
        <v>189.271255</v>
      </c>
      <c r="G53" s="7">
        <v>9.9891040000000004E-3</v>
      </c>
      <c r="H53" s="112"/>
    </row>
    <row r="54" spans="1:8" x14ac:dyDescent="0.2">
      <c r="A54" s="3">
        <v>48</v>
      </c>
      <c r="B54" s="4" t="s">
        <v>65</v>
      </c>
      <c r="C54" s="4" t="s">
        <v>66</v>
      </c>
      <c r="D54" s="4" t="s">
        <v>64</v>
      </c>
      <c r="E54" s="5">
        <v>40384</v>
      </c>
      <c r="F54" s="6">
        <v>187.44233600000001</v>
      </c>
      <c r="G54" s="7">
        <v>9.8925799999999998E-3</v>
      </c>
      <c r="H54" s="112"/>
    </row>
    <row r="55" spans="1:8" x14ac:dyDescent="0.2">
      <c r="A55" s="3">
        <v>49</v>
      </c>
      <c r="B55" s="4" t="s">
        <v>291</v>
      </c>
      <c r="C55" s="4" t="s">
        <v>292</v>
      </c>
      <c r="D55" s="4" t="s">
        <v>27</v>
      </c>
      <c r="E55" s="5">
        <v>53691</v>
      </c>
      <c r="F55" s="6">
        <v>185.18025900000001</v>
      </c>
      <c r="G55" s="7">
        <v>9.7731950000000001E-3</v>
      </c>
      <c r="H55" s="112"/>
    </row>
    <row r="56" spans="1:8" x14ac:dyDescent="0.2">
      <c r="A56" s="3">
        <v>50</v>
      </c>
      <c r="B56" s="4" t="s">
        <v>193</v>
      </c>
      <c r="C56" s="4" t="s">
        <v>194</v>
      </c>
      <c r="D56" s="4" t="s">
        <v>16</v>
      </c>
      <c r="E56" s="5">
        <v>58207</v>
      </c>
      <c r="F56" s="6">
        <v>180.67452800000001</v>
      </c>
      <c r="G56" s="7">
        <v>9.5353969999999993E-3</v>
      </c>
      <c r="H56" s="112"/>
    </row>
    <row r="57" spans="1:8" ht="25.5" x14ac:dyDescent="0.2">
      <c r="A57" s="3">
        <v>51</v>
      </c>
      <c r="B57" s="4" t="s">
        <v>246</v>
      </c>
      <c r="C57" s="4" t="s">
        <v>247</v>
      </c>
      <c r="D57" s="4" t="s">
        <v>978</v>
      </c>
      <c r="E57" s="5">
        <v>168751</v>
      </c>
      <c r="F57" s="6">
        <v>177.86355399999999</v>
      </c>
      <c r="G57" s="7">
        <v>9.3870440000000006E-3</v>
      </c>
      <c r="H57" s="112"/>
    </row>
    <row r="58" spans="1:8" x14ac:dyDescent="0.2">
      <c r="A58" s="3">
        <v>52</v>
      </c>
      <c r="B58" s="4" t="s">
        <v>179</v>
      </c>
      <c r="C58" s="4" t="s">
        <v>180</v>
      </c>
      <c r="D58" s="4" t="s">
        <v>71</v>
      </c>
      <c r="E58" s="5">
        <v>17279</v>
      </c>
      <c r="F58" s="6">
        <v>177.178866</v>
      </c>
      <c r="G58" s="7">
        <v>9.3509079999999998E-3</v>
      </c>
      <c r="H58" s="112"/>
    </row>
    <row r="59" spans="1:8" x14ac:dyDescent="0.2">
      <c r="A59" s="3">
        <v>53</v>
      </c>
      <c r="B59" s="4" t="s">
        <v>248</v>
      </c>
      <c r="C59" s="4" t="s">
        <v>249</v>
      </c>
      <c r="D59" s="4" t="s">
        <v>186</v>
      </c>
      <c r="E59" s="5">
        <v>10472</v>
      </c>
      <c r="F59" s="6">
        <v>175.73586800000001</v>
      </c>
      <c r="G59" s="7">
        <v>9.2747520000000007E-3</v>
      </c>
      <c r="H59" s="112"/>
    </row>
    <row r="60" spans="1:8" ht="25.5" x14ac:dyDescent="0.2">
      <c r="A60" s="3">
        <v>54</v>
      </c>
      <c r="B60" s="4" t="s">
        <v>181</v>
      </c>
      <c r="C60" s="4" t="s">
        <v>931</v>
      </c>
      <c r="D60" s="4" t="s">
        <v>45</v>
      </c>
      <c r="E60" s="5">
        <v>74468</v>
      </c>
      <c r="F60" s="6">
        <v>173.77107799999999</v>
      </c>
      <c r="G60" s="7">
        <v>9.1710560000000003E-3</v>
      </c>
      <c r="H60" s="112"/>
    </row>
    <row r="61" spans="1:8" x14ac:dyDescent="0.2">
      <c r="A61" s="3">
        <v>55</v>
      </c>
      <c r="B61" s="4" t="s">
        <v>481</v>
      </c>
      <c r="C61" s="4" t="s">
        <v>482</v>
      </c>
      <c r="D61" s="4" t="s">
        <v>186</v>
      </c>
      <c r="E61" s="5">
        <v>29369</v>
      </c>
      <c r="F61" s="6">
        <v>169.07733300000001</v>
      </c>
      <c r="G61" s="7">
        <v>8.9233360000000005E-3</v>
      </c>
      <c r="H61" s="112"/>
    </row>
    <row r="62" spans="1:8" x14ac:dyDescent="0.2">
      <c r="A62" s="3">
        <v>56</v>
      </c>
      <c r="B62" s="4" t="s">
        <v>195</v>
      </c>
      <c r="C62" s="4" t="s">
        <v>196</v>
      </c>
      <c r="D62" s="4" t="s">
        <v>34</v>
      </c>
      <c r="E62" s="5">
        <v>39951</v>
      </c>
      <c r="F62" s="6">
        <v>167.89407750000001</v>
      </c>
      <c r="G62" s="7">
        <v>8.8608880000000008E-3</v>
      </c>
      <c r="H62" s="112"/>
    </row>
    <row r="63" spans="1:8" ht="25.5" x14ac:dyDescent="0.2">
      <c r="A63" s="3">
        <v>57</v>
      </c>
      <c r="B63" s="4" t="s">
        <v>250</v>
      </c>
      <c r="C63" s="4" t="s">
        <v>251</v>
      </c>
      <c r="D63" s="4" t="s">
        <v>192</v>
      </c>
      <c r="E63" s="5">
        <v>43436</v>
      </c>
      <c r="F63" s="6">
        <v>165.27397999999999</v>
      </c>
      <c r="G63" s="7">
        <v>8.7226079999999998E-3</v>
      </c>
      <c r="H63" s="112"/>
    </row>
    <row r="64" spans="1:8" x14ac:dyDescent="0.2">
      <c r="A64" s="3">
        <v>58</v>
      </c>
      <c r="B64" s="4" t="s">
        <v>287</v>
      </c>
      <c r="C64" s="4" t="s">
        <v>288</v>
      </c>
      <c r="D64" s="4" t="s">
        <v>27</v>
      </c>
      <c r="E64" s="5">
        <v>15183</v>
      </c>
      <c r="F64" s="6">
        <v>163.2248415</v>
      </c>
      <c r="G64" s="7">
        <v>8.6144610000000003E-3</v>
      </c>
      <c r="H64" s="112"/>
    </row>
    <row r="65" spans="1:8" x14ac:dyDescent="0.2">
      <c r="A65" s="3">
        <v>59</v>
      </c>
      <c r="B65" s="4" t="s">
        <v>221</v>
      </c>
      <c r="C65" s="4" t="s">
        <v>222</v>
      </c>
      <c r="D65" s="4" t="s">
        <v>173</v>
      </c>
      <c r="E65" s="5">
        <v>17563</v>
      </c>
      <c r="F65" s="6">
        <v>151.375497</v>
      </c>
      <c r="G65" s="7">
        <v>7.9890929999999992E-3</v>
      </c>
      <c r="H65" s="112"/>
    </row>
    <row r="66" spans="1:8" x14ac:dyDescent="0.2">
      <c r="A66" s="3">
        <v>60</v>
      </c>
      <c r="B66" s="4" t="s">
        <v>156</v>
      </c>
      <c r="C66" s="4" t="s">
        <v>157</v>
      </c>
      <c r="D66" s="4" t="s">
        <v>974</v>
      </c>
      <c r="E66" s="5">
        <v>11354</v>
      </c>
      <c r="F66" s="6">
        <v>141.18699000000001</v>
      </c>
      <c r="G66" s="7">
        <v>7.4513770000000003E-3</v>
      </c>
      <c r="H66" s="112"/>
    </row>
    <row r="67" spans="1:8" x14ac:dyDescent="0.2">
      <c r="A67" s="3">
        <v>61</v>
      </c>
      <c r="B67" s="4" t="s">
        <v>258</v>
      </c>
      <c r="C67" s="4" t="s">
        <v>259</v>
      </c>
      <c r="D67" s="4" t="s">
        <v>53</v>
      </c>
      <c r="E67" s="5">
        <v>14169</v>
      </c>
      <c r="F67" s="6">
        <v>135.554823</v>
      </c>
      <c r="G67" s="7">
        <v>7.1541299999999999E-3</v>
      </c>
      <c r="H67" s="112"/>
    </row>
    <row r="68" spans="1:8" x14ac:dyDescent="0.2">
      <c r="A68" s="3">
        <v>62</v>
      </c>
      <c r="B68" s="4" t="s">
        <v>477</v>
      </c>
      <c r="C68" s="4" t="s">
        <v>478</v>
      </c>
      <c r="D68" s="4" t="s">
        <v>974</v>
      </c>
      <c r="E68" s="5">
        <v>136493</v>
      </c>
      <c r="F68" s="6">
        <v>131.23801950000001</v>
      </c>
      <c r="G68" s="7">
        <v>6.9263040000000003E-3</v>
      </c>
      <c r="H68" s="112"/>
    </row>
    <row r="69" spans="1:8" x14ac:dyDescent="0.2">
      <c r="A69" s="3">
        <v>63</v>
      </c>
      <c r="B69" s="4" t="s">
        <v>260</v>
      </c>
      <c r="C69" s="4" t="s">
        <v>261</v>
      </c>
      <c r="D69" s="4" t="s">
        <v>173</v>
      </c>
      <c r="E69" s="5">
        <v>21471</v>
      </c>
      <c r="F69" s="6">
        <v>129.35203949999999</v>
      </c>
      <c r="G69" s="7">
        <v>6.8267680000000004E-3</v>
      </c>
      <c r="H69" s="112"/>
    </row>
    <row r="70" spans="1:8" x14ac:dyDescent="0.2">
      <c r="A70" s="3">
        <v>64</v>
      </c>
      <c r="B70" s="4" t="s">
        <v>267</v>
      </c>
      <c r="C70" s="4" t="s">
        <v>268</v>
      </c>
      <c r="D70" s="4" t="s">
        <v>19</v>
      </c>
      <c r="E70" s="5">
        <v>140383</v>
      </c>
      <c r="F70" s="6">
        <v>127.467764</v>
      </c>
      <c r="G70" s="7">
        <v>6.727322E-3</v>
      </c>
      <c r="H70" s="112"/>
    </row>
    <row r="71" spans="1:8" x14ac:dyDescent="0.2">
      <c r="A71" s="3">
        <v>65</v>
      </c>
      <c r="B71" s="4" t="s">
        <v>473</v>
      </c>
      <c r="C71" s="4" t="s">
        <v>474</v>
      </c>
      <c r="D71" s="4" t="s">
        <v>81</v>
      </c>
      <c r="E71" s="5">
        <v>19196</v>
      </c>
      <c r="F71" s="6">
        <v>120.618066</v>
      </c>
      <c r="G71" s="7">
        <v>6.3658179999999997E-3</v>
      </c>
      <c r="H71" s="112"/>
    </row>
    <row r="72" spans="1:8" x14ac:dyDescent="0.2">
      <c r="A72" s="3">
        <v>66</v>
      </c>
      <c r="B72" s="4" t="s">
        <v>254</v>
      </c>
      <c r="C72" s="4" t="s">
        <v>255</v>
      </c>
      <c r="D72" s="4" t="s">
        <v>162</v>
      </c>
      <c r="E72" s="5">
        <v>9429</v>
      </c>
      <c r="F72" s="6">
        <v>120.16317600000001</v>
      </c>
      <c r="G72" s="7">
        <v>6.3418110000000001E-3</v>
      </c>
      <c r="H72" s="112"/>
    </row>
    <row r="73" spans="1:8" x14ac:dyDescent="0.2">
      <c r="A73" s="3">
        <v>67</v>
      </c>
      <c r="B73" s="4" t="s">
        <v>264</v>
      </c>
      <c r="C73" s="4" t="s">
        <v>265</v>
      </c>
      <c r="D73" s="4" t="s">
        <v>266</v>
      </c>
      <c r="E73" s="5">
        <v>52168</v>
      </c>
      <c r="F73" s="6">
        <v>119.751644</v>
      </c>
      <c r="G73" s="7">
        <v>6.3200909999999999E-3</v>
      </c>
      <c r="H73" s="112"/>
    </row>
    <row r="74" spans="1:8" x14ac:dyDescent="0.2">
      <c r="A74" s="3">
        <v>68</v>
      </c>
      <c r="B74" s="4" t="s">
        <v>269</v>
      </c>
      <c r="C74" s="4" t="s">
        <v>270</v>
      </c>
      <c r="D74" s="4" t="s">
        <v>186</v>
      </c>
      <c r="E74" s="5">
        <v>2097</v>
      </c>
      <c r="F74" s="6">
        <v>113.73603749999999</v>
      </c>
      <c r="G74" s="7">
        <v>6.0026080000000004E-3</v>
      </c>
      <c r="H74" s="112"/>
    </row>
    <row r="75" spans="1:8" x14ac:dyDescent="0.2">
      <c r="A75" s="3">
        <v>69</v>
      </c>
      <c r="B75" s="4" t="s">
        <v>242</v>
      </c>
      <c r="C75" s="4" t="s">
        <v>243</v>
      </c>
      <c r="D75" s="4" t="s">
        <v>334</v>
      </c>
      <c r="E75" s="5">
        <v>9457</v>
      </c>
      <c r="F75" s="6">
        <v>113.247575</v>
      </c>
      <c r="G75" s="7">
        <v>5.976828E-3</v>
      </c>
      <c r="H75" s="112"/>
    </row>
    <row r="76" spans="1:8" x14ac:dyDescent="0.2">
      <c r="A76" s="3">
        <v>70</v>
      </c>
      <c r="B76" s="4" t="s">
        <v>277</v>
      </c>
      <c r="C76" s="4" t="s">
        <v>278</v>
      </c>
      <c r="D76" s="4" t="s">
        <v>186</v>
      </c>
      <c r="E76" s="5">
        <v>34046</v>
      </c>
      <c r="F76" s="6">
        <v>104.99786400000001</v>
      </c>
      <c r="G76" s="7">
        <v>5.5414360000000003E-3</v>
      </c>
      <c r="H76" s="112"/>
    </row>
    <row r="77" spans="1:8" x14ac:dyDescent="0.2">
      <c r="A77" s="3">
        <v>71</v>
      </c>
      <c r="B77" s="4" t="s">
        <v>475</v>
      </c>
      <c r="C77" s="4" t="s">
        <v>476</v>
      </c>
      <c r="D77" s="4" t="s">
        <v>212</v>
      </c>
      <c r="E77" s="5">
        <v>14015</v>
      </c>
      <c r="F77" s="6">
        <v>104.9513275</v>
      </c>
      <c r="G77" s="7">
        <v>5.5389799999999998E-3</v>
      </c>
      <c r="H77" s="112"/>
    </row>
    <row r="78" spans="1:8" x14ac:dyDescent="0.2">
      <c r="A78" s="3">
        <v>72</v>
      </c>
      <c r="B78" s="4" t="s">
        <v>271</v>
      </c>
      <c r="C78" s="4" t="s">
        <v>272</v>
      </c>
      <c r="D78" s="4" t="s">
        <v>147</v>
      </c>
      <c r="E78" s="5">
        <v>16020</v>
      </c>
      <c r="F78" s="6">
        <v>104.22611999999999</v>
      </c>
      <c r="G78" s="7">
        <v>5.5007060000000002E-3</v>
      </c>
      <c r="H78" s="112"/>
    </row>
    <row r="79" spans="1:8" x14ac:dyDescent="0.2">
      <c r="A79" s="3">
        <v>73</v>
      </c>
      <c r="B79" s="4" t="s">
        <v>299</v>
      </c>
      <c r="C79" s="4" t="s">
        <v>300</v>
      </c>
      <c r="D79" s="4" t="s">
        <v>977</v>
      </c>
      <c r="E79" s="5">
        <v>244905</v>
      </c>
      <c r="F79" s="6">
        <v>90.247492500000007</v>
      </c>
      <c r="G79" s="7">
        <v>4.7629609999999996E-3</v>
      </c>
      <c r="H79" s="112"/>
    </row>
    <row r="80" spans="1:8" x14ac:dyDescent="0.2">
      <c r="A80" s="3">
        <v>74</v>
      </c>
      <c r="B80" s="4" t="s">
        <v>279</v>
      </c>
      <c r="C80" s="4" t="s">
        <v>280</v>
      </c>
      <c r="D80" s="4" t="s">
        <v>147</v>
      </c>
      <c r="E80" s="5">
        <v>6324</v>
      </c>
      <c r="F80" s="6">
        <v>82.809618</v>
      </c>
      <c r="G80" s="7">
        <v>4.3704149999999999E-3</v>
      </c>
      <c r="H80" s="112"/>
    </row>
    <row r="81" spans="1:8" x14ac:dyDescent="0.2">
      <c r="A81" s="3">
        <v>75</v>
      </c>
      <c r="B81" s="4" t="s">
        <v>275</v>
      </c>
      <c r="C81" s="4" t="s">
        <v>276</v>
      </c>
      <c r="D81" s="4" t="s">
        <v>162</v>
      </c>
      <c r="E81" s="5">
        <v>19860</v>
      </c>
      <c r="F81" s="6">
        <v>82.240260000000006</v>
      </c>
      <c r="G81" s="7">
        <v>4.340366E-3</v>
      </c>
      <c r="H81" s="112"/>
    </row>
    <row r="82" spans="1:8" x14ac:dyDescent="0.2">
      <c r="A82" s="3">
        <v>76</v>
      </c>
      <c r="B82" s="4" t="s">
        <v>281</v>
      </c>
      <c r="C82" s="4" t="s">
        <v>282</v>
      </c>
      <c r="D82" s="4" t="s">
        <v>334</v>
      </c>
      <c r="E82" s="5">
        <v>4325</v>
      </c>
      <c r="F82" s="6">
        <v>34.494037499999997</v>
      </c>
      <c r="G82" s="7">
        <v>1.82048E-3</v>
      </c>
      <c r="H82" s="112"/>
    </row>
    <row r="83" spans="1:8" x14ac:dyDescent="0.2">
      <c r="A83" s="3">
        <v>77</v>
      </c>
      <c r="B83" s="4" t="s">
        <v>283</v>
      </c>
      <c r="C83" s="4" t="s">
        <v>284</v>
      </c>
      <c r="D83" s="4" t="s">
        <v>19</v>
      </c>
      <c r="E83" s="5">
        <v>30383</v>
      </c>
      <c r="F83" s="6">
        <v>19.521077500000001</v>
      </c>
      <c r="G83" s="7">
        <v>1.0302569999999999E-3</v>
      </c>
      <c r="H83" s="112"/>
    </row>
    <row r="84" spans="1:8" x14ac:dyDescent="0.2">
      <c r="A84" s="1"/>
      <c r="B84" s="1"/>
      <c r="C84" s="2" t="s">
        <v>97</v>
      </c>
      <c r="D84" s="1"/>
      <c r="E84" s="1" t="s">
        <v>98</v>
      </c>
      <c r="F84" s="9">
        <v>18171.8693055</v>
      </c>
      <c r="G84" s="10">
        <v>0.95905049600000003</v>
      </c>
      <c r="H84" s="112"/>
    </row>
    <row r="85" spans="1:8" x14ac:dyDescent="0.2">
      <c r="A85" s="1"/>
      <c r="B85" s="1"/>
      <c r="C85" s="11"/>
      <c r="D85" s="1"/>
      <c r="E85" s="1"/>
      <c r="F85" s="12"/>
      <c r="G85" s="12"/>
      <c r="H85" s="112"/>
    </row>
    <row r="86" spans="1:8" x14ac:dyDescent="0.2">
      <c r="A86" s="1"/>
      <c r="B86" s="1"/>
      <c r="C86" s="2" t="s">
        <v>99</v>
      </c>
      <c r="D86" s="1"/>
      <c r="E86" s="1"/>
      <c r="F86" s="1"/>
      <c r="G86" s="1"/>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100</v>
      </c>
      <c r="D89" s="1"/>
      <c r="E89" s="1"/>
      <c r="F89" s="1"/>
      <c r="G89" s="1"/>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101</v>
      </c>
      <c r="D92" s="1"/>
      <c r="E92" s="1"/>
      <c r="F92" s="1"/>
      <c r="G92" s="1"/>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102</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103</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104</v>
      </c>
      <c r="D101" s="1"/>
      <c r="E101" s="1"/>
      <c r="F101" s="9">
        <v>18171.8693055</v>
      </c>
      <c r="G101" s="10">
        <v>0.95905049600000003</v>
      </c>
      <c r="H101" s="112"/>
    </row>
    <row r="102" spans="1:8" x14ac:dyDescent="0.2">
      <c r="A102" s="1"/>
      <c r="B102" s="1"/>
      <c r="C102" s="11"/>
      <c r="D102" s="1"/>
      <c r="E102" s="1"/>
      <c r="F102" s="12"/>
      <c r="G102" s="12"/>
      <c r="H102" s="112"/>
    </row>
    <row r="103" spans="1:8" x14ac:dyDescent="0.2">
      <c r="A103" s="1"/>
      <c r="B103" s="1"/>
      <c r="C103" s="2" t="s">
        <v>105</v>
      </c>
      <c r="D103" s="1"/>
      <c r="E103" s="1"/>
      <c r="F103" s="12"/>
      <c r="G103" s="12"/>
      <c r="H103" s="112"/>
    </row>
    <row r="104" spans="1:8" ht="25.5" x14ac:dyDescent="0.2">
      <c r="A104" s="1"/>
      <c r="B104" s="1"/>
      <c r="C104" s="2" t="s">
        <v>10</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106</v>
      </c>
      <c r="D107" s="1"/>
      <c r="E107" s="1"/>
      <c r="F107" s="1"/>
      <c r="G107" s="1"/>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1"/>
      <c r="C110" s="2" t="s">
        <v>107</v>
      </c>
      <c r="D110" s="1"/>
      <c r="E110" s="1"/>
      <c r="F110" s="1"/>
      <c r="G110" s="1"/>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108</v>
      </c>
      <c r="D113" s="1"/>
      <c r="E113" s="1"/>
      <c r="F113" s="12"/>
      <c r="G113" s="12"/>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2" t="s">
        <v>109</v>
      </c>
      <c r="D116" s="1"/>
      <c r="E116" s="1"/>
      <c r="F116" s="9">
        <v>0</v>
      </c>
      <c r="G116" s="10">
        <v>0</v>
      </c>
      <c r="H116" s="112"/>
    </row>
    <row r="117" spans="1:8" x14ac:dyDescent="0.2">
      <c r="A117" s="1"/>
      <c r="B117" s="1"/>
      <c r="C117" s="11"/>
      <c r="D117" s="1"/>
      <c r="E117" s="1"/>
      <c r="F117" s="12"/>
      <c r="G117" s="12"/>
      <c r="H117" s="112"/>
    </row>
    <row r="118" spans="1:8" x14ac:dyDescent="0.2">
      <c r="A118" s="1"/>
      <c r="B118" s="1"/>
      <c r="C118" s="2" t="s">
        <v>110</v>
      </c>
      <c r="D118" s="1"/>
      <c r="E118" s="1"/>
      <c r="F118" s="12"/>
      <c r="G118" s="12"/>
      <c r="H118" s="112"/>
    </row>
    <row r="119" spans="1:8" x14ac:dyDescent="0.2">
      <c r="A119" s="1"/>
      <c r="B119" s="1"/>
      <c r="C119" s="2" t="s">
        <v>111</v>
      </c>
      <c r="D119" s="1"/>
      <c r="E119" s="1"/>
      <c r="F119" s="12"/>
      <c r="G119" s="12"/>
      <c r="H119" s="112"/>
    </row>
    <row r="120" spans="1:8" x14ac:dyDescent="0.2">
      <c r="A120" s="1"/>
      <c r="B120" s="1"/>
      <c r="C120" s="2" t="s">
        <v>97</v>
      </c>
      <c r="D120" s="1"/>
      <c r="E120" s="1" t="s">
        <v>98</v>
      </c>
      <c r="F120" s="13">
        <v>0</v>
      </c>
      <c r="G120" s="14">
        <v>0</v>
      </c>
      <c r="H120" s="112"/>
    </row>
    <row r="121" spans="1:8" x14ac:dyDescent="0.2">
      <c r="A121" s="1"/>
      <c r="B121" s="1"/>
      <c r="C121" s="11"/>
      <c r="D121" s="1"/>
      <c r="E121" s="1"/>
      <c r="F121" s="12"/>
      <c r="G121" s="12"/>
      <c r="H121" s="112"/>
    </row>
    <row r="122" spans="1:8" x14ac:dyDescent="0.2">
      <c r="A122" s="1"/>
      <c r="B122" s="1"/>
      <c r="C122" s="2" t="s">
        <v>112</v>
      </c>
      <c r="D122" s="1"/>
      <c r="E122" s="1"/>
      <c r="F122" s="12"/>
      <c r="G122" s="12"/>
      <c r="H122" s="112"/>
    </row>
    <row r="123" spans="1:8" x14ac:dyDescent="0.2">
      <c r="A123" s="1"/>
      <c r="B123" s="1"/>
      <c r="C123" s="2" t="s">
        <v>97</v>
      </c>
      <c r="D123" s="1"/>
      <c r="E123" s="1" t="s">
        <v>98</v>
      </c>
      <c r="F123" s="13">
        <v>0</v>
      </c>
      <c r="G123" s="14">
        <v>0</v>
      </c>
      <c r="H123" s="112"/>
    </row>
    <row r="124" spans="1:8" x14ac:dyDescent="0.2">
      <c r="A124" s="1"/>
      <c r="B124" s="1"/>
      <c r="C124" s="11"/>
      <c r="D124" s="1"/>
      <c r="E124" s="1"/>
      <c r="F124" s="12"/>
      <c r="G124" s="12"/>
      <c r="H124" s="112"/>
    </row>
    <row r="125" spans="1:8" x14ac:dyDescent="0.2">
      <c r="A125" s="1"/>
      <c r="B125" s="1"/>
      <c r="C125" s="2" t="s">
        <v>113</v>
      </c>
      <c r="D125" s="1"/>
      <c r="E125" s="1"/>
      <c r="F125" s="12"/>
      <c r="G125" s="12"/>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114</v>
      </c>
      <c r="D128" s="1"/>
      <c r="E128" s="1"/>
      <c r="F128" s="12"/>
      <c r="G128" s="12"/>
      <c r="H128" s="112"/>
    </row>
    <row r="129" spans="1:8" x14ac:dyDescent="0.2">
      <c r="A129" s="3">
        <v>1</v>
      </c>
      <c r="B129" s="4"/>
      <c r="C129" s="4" t="s">
        <v>115</v>
      </c>
      <c r="D129" s="4"/>
      <c r="E129" s="8"/>
      <c r="F129" s="6">
        <v>563.32985649701754</v>
      </c>
      <c r="G129" s="7">
        <v>2.9730666251012706E-2</v>
      </c>
      <c r="H129" s="6">
        <v>3.3211324282253978</v>
      </c>
    </row>
    <row r="130" spans="1:8" x14ac:dyDescent="0.2">
      <c r="A130" s="3">
        <v>2</v>
      </c>
      <c r="B130" s="4"/>
      <c r="C130" s="4" t="s">
        <v>116</v>
      </c>
      <c r="D130" s="4"/>
      <c r="E130" s="8"/>
      <c r="F130" s="6">
        <v>221.28917204003616</v>
      </c>
      <c r="G130" s="7">
        <v>1.1678902587901586E-2</v>
      </c>
      <c r="H130" s="6">
        <v>3.35</v>
      </c>
    </row>
    <row r="131" spans="1:8" x14ac:dyDescent="0.2">
      <c r="A131" s="1"/>
      <c r="B131" s="1"/>
      <c r="C131" s="2" t="s">
        <v>97</v>
      </c>
      <c r="D131" s="1"/>
      <c r="E131" s="1" t="s">
        <v>98</v>
      </c>
      <c r="F131" s="9">
        <v>784.61902853705374</v>
      </c>
      <c r="G131" s="10">
        <v>4.1409568838914293E-2</v>
      </c>
      <c r="H131" s="112"/>
    </row>
    <row r="132" spans="1:8" x14ac:dyDescent="0.2">
      <c r="A132" s="1"/>
      <c r="B132" s="1"/>
      <c r="C132" s="11"/>
      <c r="D132" s="1"/>
      <c r="E132" s="1"/>
      <c r="F132" s="12"/>
      <c r="G132" s="12"/>
      <c r="H132" s="112"/>
    </row>
    <row r="133" spans="1:8" x14ac:dyDescent="0.2">
      <c r="A133" s="1"/>
      <c r="B133" s="1"/>
      <c r="C133" s="2" t="s">
        <v>117</v>
      </c>
      <c r="D133" s="1"/>
      <c r="E133" s="1"/>
      <c r="F133" s="9">
        <v>784.61902853705374</v>
      </c>
      <c r="G133" s="10">
        <v>4.1409568838914293E-2</v>
      </c>
      <c r="H133" s="112"/>
    </row>
    <row r="134" spans="1:8" x14ac:dyDescent="0.2">
      <c r="A134" s="1"/>
      <c r="B134" s="1"/>
      <c r="C134" s="12"/>
      <c r="D134" s="1"/>
      <c r="E134" s="1"/>
      <c r="F134" s="1"/>
      <c r="G134" s="1"/>
      <c r="H134" s="112"/>
    </row>
    <row r="135" spans="1:8" x14ac:dyDescent="0.2">
      <c r="A135" s="1"/>
      <c r="B135" s="1"/>
      <c r="C135" s="2" t="s">
        <v>118</v>
      </c>
      <c r="D135" s="1"/>
      <c r="E135" s="1"/>
      <c r="F135" s="1"/>
      <c r="G135" s="1"/>
      <c r="H135" s="112"/>
    </row>
    <row r="136" spans="1:8" x14ac:dyDescent="0.2">
      <c r="A136" s="1"/>
      <c r="B136" s="1"/>
      <c r="C136" s="2" t="s">
        <v>119</v>
      </c>
      <c r="D136" s="1"/>
      <c r="E136" s="1"/>
      <c r="F136" s="1"/>
      <c r="G136" s="1"/>
      <c r="H136" s="112"/>
    </row>
    <row r="137" spans="1:8" x14ac:dyDescent="0.2">
      <c r="A137" s="1"/>
      <c r="B137" s="1"/>
      <c r="C137" s="2" t="s">
        <v>97</v>
      </c>
      <c r="D137" s="1"/>
      <c r="E137" s="1" t="s">
        <v>98</v>
      </c>
      <c r="F137" s="13">
        <v>0</v>
      </c>
      <c r="G137" s="14">
        <v>0</v>
      </c>
      <c r="H137" s="112"/>
    </row>
    <row r="138" spans="1:8" x14ac:dyDescent="0.2">
      <c r="A138" s="1"/>
      <c r="B138" s="1"/>
      <c r="C138" s="11"/>
      <c r="D138" s="1"/>
      <c r="E138" s="1"/>
      <c r="F138" s="12"/>
      <c r="G138" s="12"/>
      <c r="H138" s="112"/>
    </row>
    <row r="139" spans="1:8" x14ac:dyDescent="0.2">
      <c r="A139" s="1"/>
      <c r="B139" s="1"/>
      <c r="C139" s="2" t="s">
        <v>120</v>
      </c>
      <c r="D139" s="1"/>
      <c r="E139" s="1"/>
      <c r="F139" s="1"/>
      <c r="G139" s="1"/>
      <c r="H139" s="112"/>
    </row>
    <row r="140" spans="1:8" x14ac:dyDescent="0.2">
      <c r="A140" s="1"/>
      <c r="B140" s="1"/>
      <c r="C140" s="2" t="s">
        <v>121</v>
      </c>
      <c r="D140" s="1"/>
      <c r="E140" s="1"/>
      <c r="F140" s="1"/>
      <c r="G140" s="1"/>
      <c r="H140" s="112"/>
    </row>
    <row r="141" spans="1:8" x14ac:dyDescent="0.2">
      <c r="A141" s="1"/>
      <c r="B141" s="1"/>
      <c r="C141" s="2" t="s">
        <v>97</v>
      </c>
      <c r="D141" s="1"/>
      <c r="E141" s="1" t="s">
        <v>98</v>
      </c>
      <c r="F141" s="13">
        <v>0</v>
      </c>
      <c r="G141" s="14">
        <v>0</v>
      </c>
      <c r="H141" s="112"/>
    </row>
    <row r="142" spans="1:8" x14ac:dyDescent="0.2">
      <c r="A142" s="1"/>
      <c r="B142" s="1"/>
      <c r="C142" s="11"/>
      <c r="D142" s="1"/>
      <c r="E142" s="1"/>
      <c r="F142" s="12"/>
      <c r="G142" s="12"/>
      <c r="H142" s="112"/>
    </row>
    <row r="143" spans="1:8" x14ac:dyDescent="0.2">
      <c r="A143" s="1"/>
      <c r="B143" s="1"/>
      <c r="C143" s="11"/>
      <c r="D143" s="1"/>
      <c r="E143" s="1"/>
      <c r="F143" s="12"/>
      <c r="G143" s="12"/>
      <c r="H143" s="112"/>
    </row>
    <row r="144" spans="1:8" ht="25.5" x14ac:dyDescent="0.2">
      <c r="A144" s="1"/>
      <c r="B144" s="1"/>
      <c r="C144" s="2" t="s">
        <v>122</v>
      </c>
      <c r="D144" s="1"/>
      <c r="E144" s="1"/>
      <c r="F144" s="12"/>
      <c r="G144" s="12"/>
      <c r="H144" s="112"/>
    </row>
    <row r="145" spans="1:8" x14ac:dyDescent="0.2">
      <c r="A145" s="1"/>
      <c r="B145" s="1"/>
      <c r="C145" s="2" t="s">
        <v>97</v>
      </c>
      <c r="D145" s="1"/>
      <c r="E145" s="1" t="s">
        <v>98</v>
      </c>
      <c r="F145" s="13">
        <v>0</v>
      </c>
      <c r="G145" s="14">
        <v>0</v>
      </c>
      <c r="H145" s="112"/>
    </row>
    <row r="146" spans="1:8" x14ac:dyDescent="0.2">
      <c r="A146" s="1"/>
      <c r="B146" s="1"/>
      <c r="C146" s="11"/>
      <c r="D146" s="1"/>
      <c r="E146" s="1"/>
      <c r="F146" s="12"/>
      <c r="G146" s="12"/>
      <c r="H146" s="112"/>
    </row>
    <row r="147" spans="1:8" x14ac:dyDescent="0.2">
      <c r="A147" s="1"/>
      <c r="B147" s="4"/>
      <c r="C147" s="4"/>
      <c r="D147" s="2"/>
      <c r="E147" s="1"/>
      <c r="F147" s="4"/>
      <c r="G147" s="8"/>
      <c r="H147" s="112"/>
    </row>
    <row r="148" spans="1:8" x14ac:dyDescent="0.2">
      <c r="A148" s="8"/>
      <c r="B148" s="4"/>
      <c r="C148" s="4" t="s">
        <v>123</v>
      </c>
      <c r="D148" s="4"/>
      <c r="E148" s="8"/>
      <c r="F148" s="6">
        <v>-8.7172362500361533</v>
      </c>
      <c r="G148" s="7">
        <v>-4.6006658193595415E-4</v>
      </c>
      <c r="H148" s="112"/>
    </row>
    <row r="149" spans="1:8" x14ac:dyDescent="0.2">
      <c r="A149" s="11"/>
      <c r="B149" s="11"/>
      <c r="C149" s="2" t="s">
        <v>124</v>
      </c>
      <c r="D149" s="15"/>
      <c r="E149" s="15"/>
      <c r="F149" s="9">
        <v>18947.77102339</v>
      </c>
      <c r="G149" s="10">
        <v>0.99999999399999995</v>
      </c>
      <c r="H149" s="112"/>
    </row>
    <row r="150" spans="1:8" ht="14.1" customHeight="1" x14ac:dyDescent="0.2">
      <c r="A150" s="16"/>
      <c r="B150" s="16"/>
      <c r="C150" s="16"/>
      <c r="D150" s="17"/>
      <c r="E150" s="17"/>
      <c r="F150" s="17"/>
      <c r="G150" s="17"/>
    </row>
    <row r="151" spans="1:8" ht="14.1" customHeight="1" x14ac:dyDescent="0.2">
      <c r="A151" s="18"/>
      <c r="B151" s="205" t="s">
        <v>98</v>
      </c>
      <c r="C151" s="205"/>
      <c r="D151" s="205"/>
      <c r="E151" s="205"/>
      <c r="F151" s="205"/>
      <c r="G151" s="20"/>
    </row>
    <row r="152" spans="1:8" ht="14.1" customHeight="1" x14ac:dyDescent="0.2">
      <c r="A152" s="18"/>
      <c r="B152" s="205" t="s">
        <v>98</v>
      </c>
      <c r="C152" s="205"/>
      <c r="D152" s="205"/>
      <c r="E152" s="205"/>
      <c r="F152" s="205"/>
      <c r="G152" s="20"/>
    </row>
    <row r="153" spans="1:8" ht="14.1" customHeight="1" x14ac:dyDescent="0.2">
      <c r="A153" s="18"/>
      <c r="B153" s="18"/>
      <c r="C153" s="18"/>
      <c r="D153" s="20"/>
      <c r="E153" s="20"/>
      <c r="F153" s="20"/>
      <c r="G153" s="20"/>
    </row>
    <row r="154" spans="1:8" ht="14.1" customHeight="1" x14ac:dyDescent="0.2">
      <c r="A154" s="18"/>
      <c r="B154" s="203" t="s">
        <v>126</v>
      </c>
      <c r="C154" s="204"/>
      <c r="D154" s="12" t="s">
        <v>98</v>
      </c>
      <c r="E154" s="21"/>
      <c r="F154" s="20"/>
      <c r="G154" s="20"/>
    </row>
    <row r="155" spans="1:8" ht="29.1" customHeight="1" x14ac:dyDescent="0.2">
      <c r="A155" s="18"/>
      <c r="B155" s="198" t="s">
        <v>127</v>
      </c>
      <c r="C155" s="199"/>
      <c r="D155" s="2" t="s">
        <v>128</v>
      </c>
      <c r="E155" s="21"/>
      <c r="F155" s="20"/>
      <c r="G155" s="20"/>
    </row>
    <row r="156" spans="1:8" ht="17.100000000000001" customHeight="1" x14ac:dyDescent="0.2">
      <c r="A156" s="18"/>
      <c r="B156" s="198" t="s">
        <v>129</v>
      </c>
      <c r="C156" s="199"/>
      <c r="D156" s="2" t="s">
        <v>128</v>
      </c>
      <c r="E156" s="21"/>
      <c r="F156" s="20"/>
      <c r="G156" s="20"/>
    </row>
    <row r="157" spans="1:8" ht="17.100000000000001" customHeight="1" x14ac:dyDescent="0.2">
      <c r="A157" s="18"/>
      <c r="B157" s="198" t="s">
        <v>130</v>
      </c>
      <c r="C157" s="199"/>
      <c r="D157" s="12" t="s">
        <v>98</v>
      </c>
      <c r="E157" s="21"/>
      <c r="F157" s="20"/>
      <c r="G157" s="20"/>
    </row>
    <row r="158" spans="1:8" ht="24" customHeight="1" x14ac:dyDescent="0.2">
      <c r="A158" s="22"/>
      <c r="B158" s="23" t="s">
        <v>98</v>
      </c>
      <c r="C158" s="23" t="s">
        <v>131</v>
      </c>
      <c r="D158" s="23" t="s">
        <v>132</v>
      </c>
      <c r="E158" s="22"/>
      <c r="F158" s="22"/>
      <c r="G158" s="22"/>
    </row>
    <row r="159" spans="1:8" ht="18" customHeight="1" x14ac:dyDescent="0.2">
      <c r="A159" s="22"/>
      <c r="B159" s="23" t="s">
        <v>133</v>
      </c>
      <c r="C159" s="23" t="s">
        <v>134</v>
      </c>
      <c r="D159" s="23" t="s">
        <v>135</v>
      </c>
      <c r="E159" s="22"/>
      <c r="F159" s="22"/>
      <c r="G159" s="22"/>
    </row>
    <row r="160" spans="1:8" ht="17.100000000000001" customHeight="1" x14ac:dyDescent="0.2">
      <c r="A160" s="22"/>
      <c r="B160" s="4" t="s">
        <v>136</v>
      </c>
      <c r="C160" s="24">
        <v>17.558599999999998</v>
      </c>
      <c r="D160" s="24">
        <v>17.937899999999999</v>
      </c>
      <c r="E160" s="22"/>
      <c r="F160" s="19"/>
      <c r="G160" s="25"/>
    </row>
    <row r="161" spans="1:15" ht="17.100000000000001" customHeight="1" x14ac:dyDescent="0.2">
      <c r="A161" s="22"/>
      <c r="B161" s="4" t="s">
        <v>980</v>
      </c>
      <c r="C161" s="24">
        <v>16.931999999999999</v>
      </c>
      <c r="D161" s="24">
        <v>17.297899999999998</v>
      </c>
      <c r="E161" s="22"/>
      <c r="F161" s="19"/>
      <c r="G161" s="25"/>
    </row>
    <row r="162" spans="1:15" ht="17.100000000000001" customHeight="1" x14ac:dyDescent="0.2">
      <c r="A162" s="22"/>
      <c r="B162" s="4" t="s">
        <v>137</v>
      </c>
      <c r="C162" s="24">
        <v>17.072900000000001</v>
      </c>
      <c r="D162" s="24">
        <v>17.4329</v>
      </c>
      <c r="E162" s="22"/>
      <c r="F162" s="19"/>
      <c r="G162" s="25"/>
    </row>
    <row r="163" spans="1:15" ht="17.100000000000001" customHeight="1" x14ac:dyDescent="0.2">
      <c r="A163" s="22"/>
      <c r="B163" s="4" t="s">
        <v>981</v>
      </c>
      <c r="C163" s="24">
        <v>16.447800000000001</v>
      </c>
      <c r="D163" s="24">
        <v>16.794599999999999</v>
      </c>
      <c r="E163" s="22"/>
      <c r="F163" s="19"/>
      <c r="G163" s="25"/>
    </row>
    <row r="164" spans="1:15" ht="14.1" customHeight="1" x14ac:dyDescent="0.2">
      <c r="A164" s="22"/>
      <c r="B164" s="22"/>
      <c r="C164" s="22"/>
      <c r="D164" s="22"/>
      <c r="E164" s="22"/>
      <c r="F164" s="22"/>
      <c r="G164" s="22"/>
      <c r="I164" s="113"/>
      <c r="J164" s="113"/>
      <c r="K164" s="113"/>
      <c r="L164" s="113"/>
      <c r="M164" s="113"/>
      <c r="N164" s="113"/>
      <c r="O164" s="113"/>
    </row>
    <row r="165" spans="1:15" ht="17.100000000000001" customHeight="1" x14ac:dyDescent="0.2">
      <c r="A165" s="22"/>
      <c r="B165" s="198" t="s">
        <v>982</v>
      </c>
      <c r="C165" s="199"/>
      <c r="D165" s="91" t="s">
        <v>128</v>
      </c>
      <c r="E165" s="22"/>
      <c r="F165" s="22"/>
      <c r="G165" s="22"/>
    </row>
    <row r="166" spans="1:15" ht="18" customHeight="1" x14ac:dyDescent="0.2">
      <c r="A166" s="22"/>
      <c r="B166" s="26"/>
      <c r="C166" s="26"/>
      <c r="D166" s="27"/>
      <c r="E166" s="22"/>
      <c r="F166" s="22"/>
      <c r="G166" s="22"/>
    </row>
    <row r="167" spans="1:15" s="113" customFormat="1" x14ac:dyDescent="0.2">
      <c r="B167" s="202" t="s">
        <v>984</v>
      </c>
      <c r="C167" s="202"/>
      <c r="D167" s="202"/>
      <c r="E167" s="202"/>
      <c r="F167" s="202"/>
      <c r="I167"/>
      <c r="J167"/>
      <c r="K167"/>
      <c r="L167"/>
      <c r="M167"/>
      <c r="N167"/>
      <c r="O167"/>
    </row>
    <row r="168" spans="1:15" ht="14.1" customHeight="1" x14ac:dyDescent="0.2">
      <c r="A168" s="22"/>
      <c r="B168" s="19"/>
      <c r="C168" s="19"/>
      <c r="D168" s="22"/>
      <c r="E168" s="22"/>
      <c r="F168" s="22"/>
      <c r="G168" s="22"/>
    </row>
    <row r="169" spans="1:15" ht="29.1" customHeight="1" x14ac:dyDescent="0.2">
      <c r="A169" s="22"/>
      <c r="B169" s="198" t="s">
        <v>138</v>
      </c>
      <c r="C169" s="199"/>
      <c r="D169" s="2" t="s">
        <v>128</v>
      </c>
      <c r="E169" s="22"/>
      <c r="F169" s="22"/>
      <c r="G169" s="22"/>
    </row>
    <row r="170" spans="1:15" ht="29.1" customHeight="1" x14ac:dyDescent="0.2">
      <c r="A170" s="22"/>
      <c r="B170" s="198" t="s">
        <v>139</v>
      </c>
      <c r="C170" s="199"/>
      <c r="D170" s="2" t="s">
        <v>128</v>
      </c>
      <c r="E170" s="22"/>
      <c r="F170" s="22"/>
      <c r="G170" s="22"/>
    </row>
    <row r="171" spans="1:15" ht="17.100000000000001" customHeight="1" x14ac:dyDescent="0.2">
      <c r="A171" s="22"/>
      <c r="B171" s="198" t="s">
        <v>140</v>
      </c>
      <c r="C171" s="199"/>
      <c r="D171" s="28">
        <v>0.41852137822187968</v>
      </c>
      <c r="E171" s="22"/>
      <c r="F171" s="19"/>
      <c r="G171" s="25"/>
    </row>
    <row r="172" spans="1:15" ht="17.100000000000001" customHeight="1" x14ac:dyDescent="0.2">
      <c r="A172" s="22"/>
      <c r="B172" s="198" t="s">
        <v>141</v>
      </c>
      <c r="C172" s="199"/>
      <c r="D172" s="2" t="s">
        <v>128</v>
      </c>
      <c r="E172" s="22"/>
      <c r="F172" s="22"/>
      <c r="G172" s="22"/>
    </row>
  </sheetData>
  <mergeCells count="16">
    <mergeCell ref="B172:C172"/>
    <mergeCell ref="B155:C155"/>
    <mergeCell ref="B156:C156"/>
    <mergeCell ref="B157:C157"/>
    <mergeCell ref="B165:C165"/>
    <mergeCell ref="B169:C169"/>
    <mergeCell ref="B170:C170"/>
    <mergeCell ref="B167:F167"/>
    <mergeCell ref="A1:H1"/>
    <mergeCell ref="A2:H2"/>
    <mergeCell ref="A3:H3"/>
    <mergeCell ref="J2:N2"/>
    <mergeCell ref="B171:C171"/>
    <mergeCell ref="B154:C154"/>
    <mergeCell ref="B151:F151"/>
    <mergeCell ref="B152:F152"/>
  </mergeCells>
  <pageMargins left="5.000000074505806E-2" right="5.000000074505806E-2" top="0.30000001192092896" bottom="0.20000000298023224" header="0" footer="0"/>
  <pageSetup paperSize="9"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17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484</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13566</v>
      </c>
      <c r="F7" s="6">
        <v>219.71493599999999</v>
      </c>
      <c r="G7" s="7">
        <v>3.0627115E-2</v>
      </c>
      <c r="H7" s="112"/>
    </row>
    <row r="8" spans="1:14" x14ac:dyDescent="0.2">
      <c r="A8" s="3">
        <v>2</v>
      </c>
      <c r="B8" s="4" t="s">
        <v>143</v>
      </c>
      <c r="C8" s="4" t="s">
        <v>144</v>
      </c>
      <c r="D8" s="4" t="s">
        <v>27</v>
      </c>
      <c r="E8" s="5">
        <v>22067</v>
      </c>
      <c r="F8" s="6">
        <v>201.4827435</v>
      </c>
      <c r="G8" s="7">
        <v>2.8085642000000001E-2</v>
      </c>
      <c r="H8" s="112"/>
    </row>
    <row r="9" spans="1:14" x14ac:dyDescent="0.2">
      <c r="A9" s="3">
        <v>3</v>
      </c>
      <c r="B9" s="4" t="s">
        <v>74</v>
      </c>
      <c r="C9" s="4" t="s">
        <v>75</v>
      </c>
      <c r="D9" s="4" t="s">
        <v>71</v>
      </c>
      <c r="E9" s="5">
        <v>48371</v>
      </c>
      <c r="F9" s="6">
        <v>186.54276150000001</v>
      </c>
      <c r="G9" s="7">
        <v>2.6003087000000001E-2</v>
      </c>
      <c r="H9" s="112"/>
    </row>
    <row r="10" spans="1:14" x14ac:dyDescent="0.2">
      <c r="A10" s="3">
        <v>4</v>
      </c>
      <c r="B10" s="4" t="s">
        <v>145</v>
      </c>
      <c r="C10" s="4" t="s">
        <v>146</v>
      </c>
      <c r="D10" s="4" t="s">
        <v>147</v>
      </c>
      <c r="E10" s="5">
        <v>5487</v>
      </c>
      <c r="F10" s="6">
        <v>183.17800800000001</v>
      </c>
      <c r="G10" s="7">
        <v>2.5534057999999998E-2</v>
      </c>
      <c r="H10" s="112"/>
    </row>
    <row r="11" spans="1:14" x14ac:dyDescent="0.2">
      <c r="A11" s="3">
        <v>5</v>
      </c>
      <c r="B11" s="4" t="s">
        <v>148</v>
      </c>
      <c r="C11" s="4" t="s">
        <v>149</v>
      </c>
      <c r="D11" s="4" t="s">
        <v>81</v>
      </c>
      <c r="E11" s="5">
        <v>140360</v>
      </c>
      <c r="F11" s="6">
        <v>182.18727999999999</v>
      </c>
      <c r="G11" s="7">
        <v>2.5395955000000001E-2</v>
      </c>
      <c r="H11" s="112"/>
    </row>
    <row r="12" spans="1:14" x14ac:dyDescent="0.2">
      <c r="A12" s="3">
        <v>6</v>
      </c>
      <c r="B12" s="4" t="s">
        <v>150</v>
      </c>
      <c r="C12" s="4" t="s">
        <v>151</v>
      </c>
      <c r="D12" s="4" t="s">
        <v>27</v>
      </c>
      <c r="E12" s="5">
        <v>21271</v>
      </c>
      <c r="F12" s="6">
        <v>181.04811649999999</v>
      </c>
      <c r="G12" s="7">
        <v>2.5237162E-2</v>
      </c>
      <c r="H12" s="112"/>
    </row>
    <row r="13" spans="1:14" ht="25.5" x14ac:dyDescent="0.2">
      <c r="A13" s="3">
        <v>7</v>
      </c>
      <c r="B13" s="4" t="s">
        <v>152</v>
      </c>
      <c r="C13" s="4" t="s">
        <v>153</v>
      </c>
      <c r="D13" s="4" t="s">
        <v>45</v>
      </c>
      <c r="E13" s="5">
        <v>115375</v>
      </c>
      <c r="F13" s="6">
        <v>168.79362499999999</v>
      </c>
      <c r="G13" s="7">
        <v>2.352895E-2</v>
      </c>
      <c r="H13" s="112"/>
    </row>
    <row r="14" spans="1:14" x14ac:dyDescent="0.2">
      <c r="A14" s="3">
        <v>8</v>
      </c>
      <c r="B14" s="4" t="s">
        <v>154</v>
      </c>
      <c r="C14" s="4" t="s">
        <v>155</v>
      </c>
      <c r="D14" s="4" t="s">
        <v>71</v>
      </c>
      <c r="E14" s="5">
        <v>30178</v>
      </c>
      <c r="F14" s="6">
        <v>162.991378</v>
      </c>
      <c r="G14" s="7">
        <v>2.2720147E-2</v>
      </c>
      <c r="H14" s="112"/>
    </row>
    <row r="15" spans="1:14" x14ac:dyDescent="0.2">
      <c r="A15" s="3">
        <v>9</v>
      </c>
      <c r="B15" s="4" t="s">
        <v>297</v>
      </c>
      <c r="C15" s="4" t="s">
        <v>298</v>
      </c>
      <c r="D15" s="4" t="s">
        <v>27</v>
      </c>
      <c r="E15" s="5">
        <v>24026</v>
      </c>
      <c r="F15" s="6">
        <v>161.02225200000001</v>
      </c>
      <c r="G15" s="7">
        <v>2.2445660999999999E-2</v>
      </c>
      <c r="H15" s="112"/>
    </row>
    <row r="16" spans="1:14" ht="15" x14ac:dyDescent="0.2">
      <c r="A16" s="3">
        <v>10</v>
      </c>
      <c r="B16" s="4" t="s">
        <v>41</v>
      </c>
      <c r="C16" s="4" t="s">
        <v>42</v>
      </c>
      <c r="D16" s="4" t="s">
        <v>27</v>
      </c>
      <c r="E16" s="5">
        <v>12093</v>
      </c>
      <c r="F16" s="6">
        <v>160.28666849999999</v>
      </c>
      <c r="G16" s="7">
        <v>2.2343124999999998E-2</v>
      </c>
      <c r="H16" s="112"/>
      <c r="J16" s="188" t="s">
        <v>1016</v>
      </c>
    </row>
    <row r="17" spans="1:8" x14ac:dyDescent="0.2">
      <c r="A17" s="3">
        <v>11</v>
      </c>
      <c r="B17" s="4" t="s">
        <v>160</v>
      </c>
      <c r="C17" s="4" t="s">
        <v>161</v>
      </c>
      <c r="D17" s="4" t="s">
        <v>162</v>
      </c>
      <c r="E17" s="5">
        <v>3812</v>
      </c>
      <c r="F17" s="6">
        <v>149.57144400000001</v>
      </c>
      <c r="G17" s="7">
        <v>2.0849478000000001E-2</v>
      </c>
      <c r="H17" s="112"/>
    </row>
    <row r="18" spans="1:8" x14ac:dyDescent="0.2">
      <c r="A18" s="3">
        <v>12</v>
      </c>
      <c r="B18" s="4" t="s">
        <v>163</v>
      </c>
      <c r="C18" s="4" t="s">
        <v>164</v>
      </c>
      <c r="D18" s="4" t="s">
        <v>162</v>
      </c>
      <c r="E18" s="5">
        <v>45429</v>
      </c>
      <c r="F18" s="6">
        <v>140.23932300000001</v>
      </c>
      <c r="G18" s="7">
        <v>1.9548629000000001E-2</v>
      </c>
      <c r="H18" s="112"/>
    </row>
    <row r="19" spans="1:8" ht="25.5" x14ac:dyDescent="0.2">
      <c r="A19" s="3">
        <v>13</v>
      </c>
      <c r="B19" s="4" t="s">
        <v>37</v>
      </c>
      <c r="C19" s="4" t="s">
        <v>38</v>
      </c>
      <c r="D19" s="4" t="s">
        <v>971</v>
      </c>
      <c r="E19" s="5">
        <v>4064</v>
      </c>
      <c r="F19" s="6">
        <v>134.75208000000001</v>
      </c>
      <c r="G19" s="7">
        <v>1.8783735999999999E-2</v>
      </c>
      <c r="H19" s="112"/>
    </row>
    <row r="20" spans="1:8" x14ac:dyDescent="0.2">
      <c r="A20" s="3">
        <v>14</v>
      </c>
      <c r="B20" s="4" t="s">
        <v>167</v>
      </c>
      <c r="C20" s="4" t="s">
        <v>168</v>
      </c>
      <c r="D20" s="4" t="s">
        <v>81</v>
      </c>
      <c r="E20" s="5">
        <v>17640</v>
      </c>
      <c r="F20" s="6">
        <v>124.4061</v>
      </c>
      <c r="G20" s="7">
        <v>1.7341560999999998E-2</v>
      </c>
      <c r="H20" s="112"/>
    </row>
    <row r="21" spans="1:8" x14ac:dyDescent="0.2">
      <c r="A21" s="3">
        <v>15</v>
      </c>
      <c r="B21" s="4" t="s">
        <v>364</v>
      </c>
      <c r="C21" s="4" t="s">
        <v>365</v>
      </c>
      <c r="D21" s="4" t="s">
        <v>173</v>
      </c>
      <c r="E21" s="5">
        <v>3172</v>
      </c>
      <c r="F21" s="6">
        <v>121.768322</v>
      </c>
      <c r="G21" s="7">
        <v>1.6973868E-2</v>
      </c>
      <c r="H21" s="112"/>
    </row>
    <row r="22" spans="1:8" x14ac:dyDescent="0.2">
      <c r="A22" s="3">
        <v>16</v>
      </c>
      <c r="B22" s="4" t="s">
        <v>165</v>
      </c>
      <c r="C22" s="4" t="s">
        <v>166</v>
      </c>
      <c r="D22" s="4" t="s">
        <v>976</v>
      </c>
      <c r="E22" s="5">
        <v>27718</v>
      </c>
      <c r="F22" s="6">
        <v>116.15227899999999</v>
      </c>
      <c r="G22" s="7">
        <v>1.6191021E-2</v>
      </c>
      <c r="H22" s="112"/>
    </row>
    <row r="23" spans="1:8" x14ac:dyDescent="0.2">
      <c r="A23" s="3">
        <v>17</v>
      </c>
      <c r="B23" s="4" t="s">
        <v>465</v>
      </c>
      <c r="C23" s="4" t="s">
        <v>466</v>
      </c>
      <c r="D23" s="4" t="s">
        <v>50</v>
      </c>
      <c r="E23" s="5">
        <v>18007</v>
      </c>
      <c r="F23" s="6">
        <v>113.33605799999999</v>
      </c>
      <c r="G23" s="7">
        <v>1.5798454999999999E-2</v>
      </c>
      <c r="H23" s="112"/>
    </row>
    <row r="24" spans="1:8" x14ac:dyDescent="0.2">
      <c r="A24" s="3">
        <v>18</v>
      </c>
      <c r="B24" s="4" t="s">
        <v>171</v>
      </c>
      <c r="C24" s="4" t="s">
        <v>172</v>
      </c>
      <c r="D24" s="4" t="s">
        <v>173</v>
      </c>
      <c r="E24" s="5">
        <v>7931</v>
      </c>
      <c r="F24" s="6">
        <v>110.756415</v>
      </c>
      <c r="G24" s="7">
        <v>1.5438866000000001E-2</v>
      </c>
      <c r="H24" s="112"/>
    </row>
    <row r="25" spans="1:8" x14ac:dyDescent="0.2">
      <c r="A25" s="3">
        <v>19</v>
      </c>
      <c r="B25" s="4" t="s">
        <v>174</v>
      </c>
      <c r="C25" s="4" t="s">
        <v>175</v>
      </c>
      <c r="D25" s="4" t="s">
        <v>162</v>
      </c>
      <c r="E25" s="5">
        <v>10350</v>
      </c>
      <c r="F25" s="6">
        <v>108.675</v>
      </c>
      <c r="G25" s="7">
        <v>1.5148727000000001E-2</v>
      </c>
      <c r="H25" s="112"/>
    </row>
    <row r="26" spans="1:8" ht="25.5" x14ac:dyDescent="0.2">
      <c r="A26" s="3">
        <v>20</v>
      </c>
      <c r="B26" s="4" t="s">
        <v>190</v>
      </c>
      <c r="C26" s="4" t="s">
        <v>191</v>
      </c>
      <c r="D26" s="4" t="s">
        <v>192</v>
      </c>
      <c r="E26" s="5">
        <v>20765</v>
      </c>
      <c r="F26" s="6">
        <v>108.6320975</v>
      </c>
      <c r="G26" s="7">
        <v>1.5142747E-2</v>
      </c>
      <c r="H26" s="112"/>
    </row>
    <row r="27" spans="1:8" x14ac:dyDescent="0.2">
      <c r="A27" s="3">
        <v>21</v>
      </c>
      <c r="B27" s="4" t="s">
        <v>182</v>
      </c>
      <c r="C27" s="4" t="s">
        <v>183</v>
      </c>
      <c r="D27" s="4" t="s">
        <v>162</v>
      </c>
      <c r="E27" s="5">
        <v>10021</v>
      </c>
      <c r="F27" s="6">
        <v>107.04933250000001</v>
      </c>
      <c r="G27" s="7">
        <v>1.4922118E-2</v>
      </c>
      <c r="H27" s="112"/>
    </row>
    <row r="28" spans="1:8" x14ac:dyDescent="0.2">
      <c r="A28" s="3">
        <v>22</v>
      </c>
      <c r="B28" s="4" t="s">
        <v>187</v>
      </c>
      <c r="C28" s="4" t="s">
        <v>188</v>
      </c>
      <c r="D28" s="4" t="s">
        <v>189</v>
      </c>
      <c r="E28" s="5">
        <v>46520</v>
      </c>
      <c r="F28" s="6">
        <v>104.94911999999999</v>
      </c>
      <c r="G28" s="7">
        <v>1.4629359E-2</v>
      </c>
      <c r="H28" s="112"/>
    </row>
    <row r="29" spans="1:8" ht="25.5" x14ac:dyDescent="0.2">
      <c r="A29" s="3">
        <v>23</v>
      </c>
      <c r="B29" s="4" t="s">
        <v>197</v>
      </c>
      <c r="C29" s="4" t="s">
        <v>198</v>
      </c>
      <c r="D29" s="4" t="s">
        <v>971</v>
      </c>
      <c r="E29" s="5">
        <v>42002</v>
      </c>
      <c r="F29" s="6">
        <v>100.342778</v>
      </c>
      <c r="G29" s="7">
        <v>1.3987259E-2</v>
      </c>
      <c r="H29" s="112"/>
    </row>
    <row r="30" spans="1:8" x14ac:dyDescent="0.2">
      <c r="A30" s="3">
        <v>24</v>
      </c>
      <c r="B30" s="4" t="s">
        <v>199</v>
      </c>
      <c r="C30" s="4" t="s">
        <v>200</v>
      </c>
      <c r="D30" s="4" t="s">
        <v>64</v>
      </c>
      <c r="E30" s="5">
        <v>93256</v>
      </c>
      <c r="F30" s="6">
        <v>97.639032</v>
      </c>
      <c r="G30" s="7">
        <v>1.3610371E-2</v>
      </c>
      <c r="H30" s="112"/>
    </row>
    <row r="31" spans="1:8" x14ac:dyDescent="0.2">
      <c r="A31" s="3">
        <v>25</v>
      </c>
      <c r="B31" s="4" t="s">
        <v>205</v>
      </c>
      <c r="C31" s="4" t="s">
        <v>206</v>
      </c>
      <c r="D31" s="4" t="s">
        <v>975</v>
      </c>
      <c r="E31" s="5">
        <v>11000</v>
      </c>
      <c r="F31" s="6">
        <v>95.298500000000004</v>
      </c>
      <c r="G31" s="7">
        <v>1.3284113E-2</v>
      </c>
      <c r="H31" s="112"/>
    </row>
    <row r="32" spans="1:8" x14ac:dyDescent="0.2">
      <c r="A32" s="3">
        <v>26</v>
      </c>
      <c r="B32" s="4" t="s">
        <v>203</v>
      </c>
      <c r="C32" s="4" t="s">
        <v>204</v>
      </c>
      <c r="D32" s="4" t="s">
        <v>81</v>
      </c>
      <c r="E32" s="5">
        <v>15169</v>
      </c>
      <c r="F32" s="6">
        <v>95.086876500000002</v>
      </c>
      <c r="G32" s="7">
        <v>1.3254614E-2</v>
      </c>
      <c r="H32" s="112"/>
    </row>
    <row r="33" spans="1:8" x14ac:dyDescent="0.2">
      <c r="A33" s="3">
        <v>27</v>
      </c>
      <c r="B33" s="4" t="s">
        <v>219</v>
      </c>
      <c r="C33" s="4" t="s">
        <v>220</v>
      </c>
      <c r="D33" s="4" t="s">
        <v>64</v>
      </c>
      <c r="E33" s="5">
        <v>9799</v>
      </c>
      <c r="F33" s="6">
        <v>94.467259499999997</v>
      </c>
      <c r="G33" s="7">
        <v>1.3168243E-2</v>
      </c>
      <c r="H33" s="112"/>
    </row>
    <row r="34" spans="1:8" ht="25.5" x14ac:dyDescent="0.2">
      <c r="A34" s="3">
        <v>28</v>
      </c>
      <c r="B34" s="4" t="s">
        <v>467</v>
      </c>
      <c r="C34" s="4" t="s">
        <v>468</v>
      </c>
      <c r="D34" s="4" t="s">
        <v>45</v>
      </c>
      <c r="E34" s="5">
        <v>6784</v>
      </c>
      <c r="F34" s="6">
        <v>94.185664000000003</v>
      </c>
      <c r="G34" s="7">
        <v>1.312899E-2</v>
      </c>
      <c r="H34" s="112"/>
    </row>
    <row r="35" spans="1:8" x14ac:dyDescent="0.2">
      <c r="A35" s="3">
        <v>29</v>
      </c>
      <c r="B35" s="4" t="s">
        <v>169</v>
      </c>
      <c r="C35" s="4" t="s">
        <v>170</v>
      </c>
      <c r="D35" s="4" t="s">
        <v>19</v>
      </c>
      <c r="E35" s="5">
        <v>50645</v>
      </c>
      <c r="F35" s="6">
        <v>91.439547500000003</v>
      </c>
      <c r="G35" s="7">
        <v>1.2746195E-2</v>
      </c>
      <c r="H35" s="112"/>
    </row>
    <row r="36" spans="1:8" x14ac:dyDescent="0.2">
      <c r="A36" s="3">
        <v>30</v>
      </c>
      <c r="B36" s="4" t="s">
        <v>184</v>
      </c>
      <c r="C36" s="4" t="s">
        <v>185</v>
      </c>
      <c r="D36" s="4" t="s">
        <v>186</v>
      </c>
      <c r="E36" s="5">
        <v>19577</v>
      </c>
      <c r="F36" s="6">
        <v>91.209243000000001</v>
      </c>
      <c r="G36" s="7">
        <v>1.2714092E-2</v>
      </c>
      <c r="H36" s="112"/>
    </row>
    <row r="37" spans="1:8" x14ac:dyDescent="0.2">
      <c r="A37" s="3">
        <v>31</v>
      </c>
      <c r="B37" s="4" t="s">
        <v>469</v>
      </c>
      <c r="C37" s="4" t="s">
        <v>470</v>
      </c>
      <c r="D37" s="4" t="s">
        <v>71</v>
      </c>
      <c r="E37" s="5">
        <v>8981</v>
      </c>
      <c r="F37" s="6">
        <v>86.226580999999996</v>
      </c>
      <c r="G37" s="7">
        <v>1.2019535E-2</v>
      </c>
      <c r="H37" s="112"/>
    </row>
    <row r="38" spans="1:8" x14ac:dyDescent="0.2">
      <c r="A38" s="3">
        <v>32</v>
      </c>
      <c r="B38" s="4" t="s">
        <v>213</v>
      </c>
      <c r="C38" s="4" t="s">
        <v>214</v>
      </c>
      <c r="D38" s="4" t="s">
        <v>977</v>
      </c>
      <c r="E38" s="5">
        <v>14588</v>
      </c>
      <c r="F38" s="6">
        <v>84.654163999999994</v>
      </c>
      <c r="G38" s="7">
        <v>1.1800348E-2</v>
      </c>
      <c r="H38" s="112"/>
    </row>
    <row r="39" spans="1:8" x14ac:dyDescent="0.2">
      <c r="A39" s="3">
        <v>33</v>
      </c>
      <c r="B39" s="4" t="s">
        <v>210</v>
      </c>
      <c r="C39" s="4" t="s">
        <v>211</v>
      </c>
      <c r="D39" s="4" t="s">
        <v>212</v>
      </c>
      <c r="E39" s="5">
        <v>33456</v>
      </c>
      <c r="F39" s="6">
        <v>83.037791999999996</v>
      </c>
      <c r="G39" s="7">
        <v>1.1575034999999999E-2</v>
      </c>
      <c r="H39" s="112"/>
    </row>
    <row r="40" spans="1:8" ht="25.5" x14ac:dyDescent="0.2">
      <c r="A40" s="3">
        <v>34</v>
      </c>
      <c r="B40" s="4" t="s">
        <v>229</v>
      </c>
      <c r="C40" s="4" t="s">
        <v>230</v>
      </c>
      <c r="D40" s="4" t="s">
        <v>71</v>
      </c>
      <c r="E40" s="5">
        <v>3957</v>
      </c>
      <c r="F40" s="6">
        <v>82.02861</v>
      </c>
      <c r="G40" s="7">
        <v>1.1434359999999999E-2</v>
      </c>
      <c r="H40" s="112"/>
    </row>
    <row r="41" spans="1:8" x14ac:dyDescent="0.2">
      <c r="A41" s="3">
        <v>35</v>
      </c>
      <c r="B41" s="4" t="s">
        <v>39</v>
      </c>
      <c r="C41" s="4" t="s">
        <v>40</v>
      </c>
      <c r="D41" s="4" t="s">
        <v>27</v>
      </c>
      <c r="E41" s="5">
        <v>3200</v>
      </c>
      <c r="F41" s="6">
        <v>81.014399999999995</v>
      </c>
      <c r="G41" s="7">
        <v>1.1292984000000001E-2</v>
      </c>
      <c r="H41" s="112"/>
    </row>
    <row r="42" spans="1:8" x14ac:dyDescent="0.2">
      <c r="A42" s="3">
        <v>36</v>
      </c>
      <c r="B42" s="4" t="s">
        <v>481</v>
      </c>
      <c r="C42" s="4" t="s">
        <v>482</v>
      </c>
      <c r="D42" s="4" t="s">
        <v>186</v>
      </c>
      <c r="E42" s="5">
        <v>14001</v>
      </c>
      <c r="F42" s="6">
        <v>80.603757000000002</v>
      </c>
      <c r="G42" s="7">
        <v>1.1235742999999999E-2</v>
      </c>
      <c r="H42" s="112"/>
    </row>
    <row r="43" spans="1:8" x14ac:dyDescent="0.2">
      <c r="A43" s="3">
        <v>37</v>
      </c>
      <c r="B43" s="4" t="s">
        <v>471</v>
      </c>
      <c r="C43" s="4" t="s">
        <v>472</v>
      </c>
      <c r="D43" s="4" t="s">
        <v>27</v>
      </c>
      <c r="E43" s="5">
        <v>9582</v>
      </c>
      <c r="F43" s="6">
        <v>80.421726000000007</v>
      </c>
      <c r="G43" s="7">
        <v>1.1210369E-2</v>
      </c>
      <c r="H43" s="112"/>
    </row>
    <row r="44" spans="1:8" x14ac:dyDescent="0.2">
      <c r="A44" s="3">
        <v>38</v>
      </c>
      <c r="B44" s="4" t="s">
        <v>223</v>
      </c>
      <c r="C44" s="4" t="s">
        <v>224</v>
      </c>
      <c r="D44" s="4" t="s">
        <v>27</v>
      </c>
      <c r="E44" s="5">
        <v>4460</v>
      </c>
      <c r="F44" s="6">
        <v>80.188569999999999</v>
      </c>
      <c r="G44" s="7">
        <v>1.1177868000000001E-2</v>
      </c>
      <c r="H44" s="112"/>
    </row>
    <row r="45" spans="1:8" x14ac:dyDescent="0.2">
      <c r="A45" s="3">
        <v>39</v>
      </c>
      <c r="B45" s="4" t="s">
        <v>207</v>
      </c>
      <c r="C45" s="4" t="s">
        <v>208</v>
      </c>
      <c r="D45" s="4" t="s">
        <v>209</v>
      </c>
      <c r="E45" s="5">
        <v>16994</v>
      </c>
      <c r="F45" s="6">
        <v>79.141058000000001</v>
      </c>
      <c r="G45" s="7">
        <v>1.1031849999999999E-2</v>
      </c>
      <c r="H45" s="112"/>
    </row>
    <row r="46" spans="1:8" x14ac:dyDescent="0.2">
      <c r="A46" s="3">
        <v>40</v>
      </c>
      <c r="B46" s="4" t="s">
        <v>225</v>
      </c>
      <c r="C46" s="4" t="s">
        <v>226</v>
      </c>
      <c r="D46" s="4" t="s">
        <v>71</v>
      </c>
      <c r="E46" s="5">
        <v>9133</v>
      </c>
      <c r="F46" s="6">
        <v>75.950028000000003</v>
      </c>
      <c r="G46" s="7">
        <v>1.0587037000000001E-2</v>
      </c>
      <c r="H46" s="112"/>
    </row>
    <row r="47" spans="1:8" x14ac:dyDescent="0.2">
      <c r="A47" s="3">
        <v>41</v>
      </c>
      <c r="B47" s="4" t="s">
        <v>254</v>
      </c>
      <c r="C47" s="4" t="s">
        <v>255</v>
      </c>
      <c r="D47" s="4" t="s">
        <v>162</v>
      </c>
      <c r="E47" s="5">
        <v>5955</v>
      </c>
      <c r="F47" s="6">
        <v>75.890519999999995</v>
      </c>
      <c r="G47" s="7">
        <v>1.0578742E-2</v>
      </c>
      <c r="H47" s="112"/>
    </row>
    <row r="48" spans="1:8" x14ac:dyDescent="0.2">
      <c r="A48" s="3">
        <v>42</v>
      </c>
      <c r="B48" s="4" t="s">
        <v>176</v>
      </c>
      <c r="C48" s="4" t="s">
        <v>177</v>
      </c>
      <c r="D48" s="4" t="s">
        <v>178</v>
      </c>
      <c r="E48" s="5">
        <v>7374</v>
      </c>
      <c r="F48" s="6">
        <v>75.118938</v>
      </c>
      <c r="G48" s="7">
        <v>1.0471187999999999E-2</v>
      </c>
      <c r="H48" s="112"/>
    </row>
    <row r="49" spans="1:8" x14ac:dyDescent="0.2">
      <c r="A49" s="3">
        <v>43</v>
      </c>
      <c r="B49" s="4" t="s">
        <v>231</v>
      </c>
      <c r="C49" s="4" t="s">
        <v>232</v>
      </c>
      <c r="D49" s="4" t="s">
        <v>71</v>
      </c>
      <c r="E49" s="5">
        <v>26481</v>
      </c>
      <c r="F49" s="6">
        <v>73.974673499999994</v>
      </c>
      <c r="G49" s="7">
        <v>1.0311683E-2</v>
      </c>
      <c r="H49" s="112"/>
    </row>
    <row r="50" spans="1:8" x14ac:dyDescent="0.2">
      <c r="A50" s="3">
        <v>44</v>
      </c>
      <c r="B50" s="4" t="s">
        <v>227</v>
      </c>
      <c r="C50" s="4" t="s">
        <v>228</v>
      </c>
      <c r="D50" s="4" t="s">
        <v>974</v>
      </c>
      <c r="E50" s="5">
        <v>4258</v>
      </c>
      <c r="F50" s="6">
        <v>72.545675000000003</v>
      </c>
      <c r="G50" s="7">
        <v>1.0112487999999999E-2</v>
      </c>
      <c r="H50" s="112"/>
    </row>
    <row r="51" spans="1:8" ht="25.5" x14ac:dyDescent="0.2">
      <c r="A51" s="3">
        <v>45</v>
      </c>
      <c r="B51" s="4" t="s">
        <v>235</v>
      </c>
      <c r="C51" s="4" t="s">
        <v>236</v>
      </c>
      <c r="D51" s="4" t="s">
        <v>192</v>
      </c>
      <c r="E51" s="5">
        <v>15722</v>
      </c>
      <c r="F51" s="6">
        <v>71.841678999999999</v>
      </c>
      <c r="G51" s="7">
        <v>1.0014355000000001E-2</v>
      </c>
      <c r="H51" s="112"/>
    </row>
    <row r="52" spans="1:8" x14ac:dyDescent="0.2">
      <c r="A52" s="3">
        <v>46</v>
      </c>
      <c r="B52" s="4" t="s">
        <v>238</v>
      </c>
      <c r="C52" s="4" t="s">
        <v>239</v>
      </c>
      <c r="D52" s="4" t="s">
        <v>186</v>
      </c>
      <c r="E52" s="5">
        <v>13902</v>
      </c>
      <c r="F52" s="6">
        <v>71.706515999999993</v>
      </c>
      <c r="G52" s="7">
        <v>9.9955140000000005E-3</v>
      </c>
      <c r="H52" s="112"/>
    </row>
    <row r="53" spans="1:8" x14ac:dyDescent="0.2">
      <c r="A53" s="3">
        <v>47</v>
      </c>
      <c r="B53" s="4" t="s">
        <v>240</v>
      </c>
      <c r="C53" s="4" t="s">
        <v>241</v>
      </c>
      <c r="D53" s="4" t="s">
        <v>81</v>
      </c>
      <c r="E53" s="5">
        <v>128598</v>
      </c>
      <c r="F53" s="6">
        <v>70.857498000000007</v>
      </c>
      <c r="G53" s="7">
        <v>9.8771650000000003E-3</v>
      </c>
      <c r="H53" s="112"/>
    </row>
    <row r="54" spans="1:8" x14ac:dyDescent="0.2">
      <c r="A54" s="3">
        <v>48</v>
      </c>
      <c r="B54" s="4" t="s">
        <v>291</v>
      </c>
      <c r="C54" s="4" t="s">
        <v>292</v>
      </c>
      <c r="D54" s="4" t="s">
        <v>27</v>
      </c>
      <c r="E54" s="5">
        <v>20345</v>
      </c>
      <c r="F54" s="6">
        <v>70.169905</v>
      </c>
      <c r="G54" s="7">
        <v>9.7813180000000007E-3</v>
      </c>
      <c r="H54" s="112"/>
    </row>
    <row r="55" spans="1:8" x14ac:dyDescent="0.2">
      <c r="A55" s="3">
        <v>49</v>
      </c>
      <c r="B55" s="4" t="s">
        <v>244</v>
      </c>
      <c r="C55" s="4" t="s">
        <v>245</v>
      </c>
      <c r="D55" s="4" t="s">
        <v>173</v>
      </c>
      <c r="E55" s="5">
        <v>17494</v>
      </c>
      <c r="F55" s="6">
        <v>68.996335999999999</v>
      </c>
      <c r="G55" s="7">
        <v>9.6177290000000002E-3</v>
      </c>
      <c r="H55" s="112"/>
    </row>
    <row r="56" spans="1:8" x14ac:dyDescent="0.2">
      <c r="A56" s="3">
        <v>50</v>
      </c>
      <c r="B56" s="4" t="s">
        <v>193</v>
      </c>
      <c r="C56" s="4" t="s">
        <v>194</v>
      </c>
      <c r="D56" s="4" t="s">
        <v>16</v>
      </c>
      <c r="E56" s="5">
        <v>22056</v>
      </c>
      <c r="F56" s="6">
        <v>68.461823999999993</v>
      </c>
      <c r="G56" s="7">
        <v>9.5432209999999993E-3</v>
      </c>
      <c r="H56" s="112"/>
    </row>
    <row r="57" spans="1:8" x14ac:dyDescent="0.2">
      <c r="A57" s="3">
        <v>51</v>
      </c>
      <c r="B57" s="4" t="s">
        <v>179</v>
      </c>
      <c r="C57" s="4" t="s">
        <v>180</v>
      </c>
      <c r="D57" s="4" t="s">
        <v>71</v>
      </c>
      <c r="E57" s="5">
        <v>6547</v>
      </c>
      <c r="F57" s="6">
        <v>67.132937999999996</v>
      </c>
      <c r="G57" s="7">
        <v>9.3579809999999996E-3</v>
      </c>
      <c r="H57" s="112"/>
    </row>
    <row r="58" spans="1:8" ht="25.5" x14ac:dyDescent="0.2">
      <c r="A58" s="3">
        <v>52</v>
      </c>
      <c r="B58" s="4" t="s">
        <v>246</v>
      </c>
      <c r="C58" s="4" t="s">
        <v>247</v>
      </c>
      <c r="D58" s="4" t="s">
        <v>978</v>
      </c>
      <c r="E58" s="5">
        <v>63692</v>
      </c>
      <c r="F58" s="6">
        <v>67.131367999999995</v>
      </c>
      <c r="G58" s="7">
        <v>9.3577620000000004E-3</v>
      </c>
      <c r="H58" s="112"/>
    </row>
    <row r="59" spans="1:8" ht="25.5" x14ac:dyDescent="0.2">
      <c r="A59" s="3">
        <v>53</v>
      </c>
      <c r="B59" s="4" t="s">
        <v>181</v>
      </c>
      <c r="C59" s="4" t="s">
        <v>931</v>
      </c>
      <c r="D59" s="4" t="s">
        <v>45</v>
      </c>
      <c r="E59" s="5">
        <v>28232</v>
      </c>
      <c r="F59" s="6">
        <v>65.879372000000004</v>
      </c>
      <c r="G59" s="7">
        <v>9.1832400000000005E-3</v>
      </c>
      <c r="H59" s="112"/>
    </row>
    <row r="60" spans="1:8" x14ac:dyDescent="0.2">
      <c r="A60" s="3">
        <v>54</v>
      </c>
      <c r="B60" s="4" t="s">
        <v>477</v>
      </c>
      <c r="C60" s="4" t="s">
        <v>478</v>
      </c>
      <c r="D60" s="4" t="s">
        <v>974</v>
      </c>
      <c r="E60" s="5">
        <v>68422</v>
      </c>
      <c r="F60" s="6">
        <v>65.787752999999995</v>
      </c>
      <c r="G60" s="7">
        <v>9.1704690000000005E-3</v>
      </c>
      <c r="H60" s="112"/>
    </row>
    <row r="61" spans="1:8" x14ac:dyDescent="0.2">
      <c r="A61" s="3">
        <v>55</v>
      </c>
      <c r="B61" s="4" t="s">
        <v>248</v>
      </c>
      <c r="C61" s="4" t="s">
        <v>249</v>
      </c>
      <c r="D61" s="4" t="s">
        <v>186</v>
      </c>
      <c r="E61" s="5">
        <v>3920</v>
      </c>
      <c r="F61" s="6">
        <v>65.783479999999997</v>
      </c>
      <c r="G61" s="7">
        <v>9.1698739999999997E-3</v>
      </c>
      <c r="H61" s="112"/>
    </row>
    <row r="62" spans="1:8" x14ac:dyDescent="0.2">
      <c r="A62" s="3">
        <v>56</v>
      </c>
      <c r="B62" s="4" t="s">
        <v>195</v>
      </c>
      <c r="C62" s="4" t="s">
        <v>196</v>
      </c>
      <c r="D62" s="4" t="s">
        <v>34</v>
      </c>
      <c r="E62" s="5">
        <v>15004</v>
      </c>
      <c r="F62" s="6">
        <v>63.054310000000001</v>
      </c>
      <c r="G62" s="7">
        <v>8.7894419999999997E-3</v>
      </c>
      <c r="H62" s="112"/>
    </row>
    <row r="63" spans="1:8" ht="25.5" x14ac:dyDescent="0.2">
      <c r="A63" s="3">
        <v>57</v>
      </c>
      <c r="B63" s="4" t="s">
        <v>250</v>
      </c>
      <c r="C63" s="4" t="s">
        <v>251</v>
      </c>
      <c r="D63" s="4" t="s">
        <v>192</v>
      </c>
      <c r="E63" s="5">
        <v>16397</v>
      </c>
      <c r="F63" s="6">
        <v>62.390585000000002</v>
      </c>
      <c r="G63" s="7">
        <v>8.6969219999999993E-3</v>
      </c>
      <c r="H63" s="112"/>
    </row>
    <row r="64" spans="1:8" x14ac:dyDescent="0.2">
      <c r="A64" s="3">
        <v>58</v>
      </c>
      <c r="B64" s="4" t="s">
        <v>287</v>
      </c>
      <c r="C64" s="4" t="s">
        <v>288</v>
      </c>
      <c r="D64" s="4" t="s">
        <v>27</v>
      </c>
      <c r="E64" s="5">
        <v>5669</v>
      </c>
      <c r="F64" s="6">
        <v>60.944584499999998</v>
      </c>
      <c r="G64" s="7">
        <v>8.4953570000000003E-3</v>
      </c>
      <c r="H64" s="112"/>
    </row>
    <row r="65" spans="1:8" x14ac:dyDescent="0.2">
      <c r="A65" s="3">
        <v>59</v>
      </c>
      <c r="B65" s="4" t="s">
        <v>221</v>
      </c>
      <c r="C65" s="4" t="s">
        <v>222</v>
      </c>
      <c r="D65" s="4" t="s">
        <v>173</v>
      </c>
      <c r="E65" s="5">
        <v>6546</v>
      </c>
      <c r="F65" s="6">
        <v>56.419974000000003</v>
      </c>
      <c r="G65" s="7">
        <v>7.8646500000000008E-3</v>
      </c>
      <c r="H65" s="112"/>
    </row>
    <row r="66" spans="1:8" x14ac:dyDescent="0.2">
      <c r="A66" s="3">
        <v>60</v>
      </c>
      <c r="B66" s="4" t="s">
        <v>475</v>
      </c>
      <c r="C66" s="4" t="s">
        <v>476</v>
      </c>
      <c r="D66" s="4" t="s">
        <v>212</v>
      </c>
      <c r="E66" s="5">
        <v>7401</v>
      </c>
      <c r="F66" s="6">
        <v>55.422388499999997</v>
      </c>
      <c r="G66" s="7">
        <v>7.7255919999999999E-3</v>
      </c>
      <c r="H66" s="112"/>
    </row>
    <row r="67" spans="1:8" x14ac:dyDescent="0.2">
      <c r="A67" s="3">
        <v>61</v>
      </c>
      <c r="B67" s="4" t="s">
        <v>156</v>
      </c>
      <c r="C67" s="4" t="s">
        <v>157</v>
      </c>
      <c r="D67" s="4" t="s">
        <v>974</v>
      </c>
      <c r="E67" s="5">
        <v>4302</v>
      </c>
      <c r="F67" s="6">
        <v>53.495370000000001</v>
      </c>
      <c r="G67" s="7">
        <v>7.4569750000000002E-3</v>
      </c>
      <c r="H67" s="112"/>
    </row>
    <row r="68" spans="1:8" x14ac:dyDescent="0.2">
      <c r="A68" s="3">
        <v>62</v>
      </c>
      <c r="B68" s="4" t="s">
        <v>258</v>
      </c>
      <c r="C68" s="4" t="s">
        <v>259</v>
      </c>
      <c r="D68" s="4" t="s">
        <v>53</v>
      </c>
      <c r="E68" s="5">
        <v>5369</v>
      </c>
      <c r="F68" s="6">
        <v>51.365223</v>
      </c>
      <c r="G68" s="7">
        <v>7.160044E-3</v>
      </c>
      <c r="H68" s="112"/>
    </row>
    <row r="69" spans="1:8" x14ac:dyDescent="0.2">
      <c r="A69" s="3">
        <v>63</v>
      </c>
      <c r="B69" s="4" t="s">
        <v>65</v>
      </c>
      <c r="C69" s="4" t="s">
        <v>66</v>
      </c>
      <c r="D69" s="4" t="s">
        <v>64</v>
      </c>
      <c r="E69" s="5">
        <v>10971</v>
      </c>
      <c r="F69" s="6">
        <v>50.921896500000003</v>
      </c>
      <c r="G69" s="7">
        <v>7.0982459999999999E-3</v>
      </c>
      <c r="H69" s="112"/>
    </row>
    <row r="70" spans="1:8" x14ac:dyDescent="0.2">
      <c r="A70" s="3">
        <v>64</v>
      </c>
      <c r="B70" s="4" t="s">
        <v>260</v>
      </c>
      <c r="C70" s="4" t="s">
        <v>261</v>
      </c>
      <c r="D70" s="4" t="s">
        <v>173</v>
      </c>
      <c r="E70" s="5">
        <v>8028</v>
      </c>
      <c r="F70" s="6">
        <v>48.364685999999999</v>
      </c>
      <c r="G70" s="7">
        <v>6.7417850000000001E-3</v>
      </c>
      <c r="H70" s="112"/>
    </row>
    <row r="71" spans="1:8" x14ac:dyDescent="0.2">
      <c r="A71" s="3">
        <v>65</v>
      </c>
      <c r="B71" s="4" t="s">
        <v>267</v>
      </c>
      <c r="C71" s="4" t="s">
        <v>268</v>
      </c>
      <c r="D71" s="4" t="s">
        <v>19</v>
      </c>
      <c r="E71" s="5">
        <v>52374</v>
      </c>
      <c r="F71" s="6">
        <v>47.555591999999997</v>
      </c>
      <c r="G71" s="7">
        <v>6.6290009999999998E-3</v>
      </c>
      <c r="H71" s="112"/>
    </row>
    <row r="72" spans="1:8" x14ac:dyDescent="0.2">
      <c r="A72" s="3">
        <v>66</v>
      </c>
      <c r="B72" s="4" t="s">
        <v>242</v>
      </c>
      <c r="C72" s="4" t="s">
        <v>243</v>
      </c>
      <c r="D72" s="4" t="s">
        <v>334</v>
      </c>
      <c r="E72" s="5">
        <v>3918</v>
      </c>
      <c r="F72" s="6">
        <v>46.918050000000001</v>
      </c>
      <c r="G72" s="7">
        <v>6.5401310000000002E-3</v>
      </c>
      <c r="H72" s="112"/>
    </row>
    <row r="73" spans="1:8" x14ac:dyDescent="0.2">
      <c r="A73" s="3">
        <v>67</v>
      </c>
      <c r="B73" s="4" t="s">
        <v>473</v>
      </c>
      <c r="C73" s="4" t="s">
        <v>474</v>
      </c>
      <c r="D73" s="4" t="s">
        <v>81</v>
      </c>
      <c r="E73" s="5">
        <v>7194</v>
      </c>
      <c r="F73" s="6">
        <v>45.203499000000001</v>
      </c>
      <c r="G73" s="7">
        <v>6.3011320000000001E-3</v>
      </c>
      <c r="H73" s="112"/>
    </row>
    <row r="74" spans="1:8" x14ac:dyDescent="0.2">
      <c r="A74" s="3">
        <v>68</v>
      </c>
      <c r="B74" s="4" t="s">
        <v>264</v>
      </c>
      <c r="C74" s="4" t="s">
        <v>265</v>
      </c>
      <c r="D74" s="4" t="s">
        <v>266</v>
      </c>
      <c r="E74" s="5">
        <v>19523</v>
      </c>
      <c r="F74" s="6">
        <v>44.815046500000001</v>
      </c>
      <c r="G74" s="7">
        <v>6.2469830000000002E-3</v>
      </c>
      <c r="H74" s="112"/>
    </row>
    <row r="75" spans="1:8" x14ac:dyDescent="0.2">
      <c r="A75" s="3">
        <v>69</v>
      </c>
      <c r="B75" s="4" t="s">
        <v>269</v>
      </c>
      <c r="C75" s="4" t="s">
        <v>270</v>
      </c>
      <c r="D75" s="4" t="s">
        <v>186</v>
      </c>
      <c r="E75" s="5">
        <v>792</v>
      </c>
      <c r="F75" s="6">
        <v>42.956099999999999</v>
      </c>
      <c r="G75" s="7">
        <v>5.9878559999999997E-3</v>
      </c>
      <c r="H75" s="112"/>
    </row>
    <row r="76" spans="1:8" x14ac:dyDescent="0.2">
      <c r="A76" s="3">
        <v>70</v>
      </c>
      <c r="B76" s="4" t="s">
        <v>277</v>
      </c>
      <c r="C76" s="4" t="s">
        <v>278</v>
      </c>
      <c r="D76" s="4" t="s">
        <v>186</v>
      </c>
      <c r="E76" s="5">
        <v>12902</v>
      </c>
      <c r="F76" s="6">
        <v>39.789768000000002</v>
      </c>
      <c r="G76" s="7">
        <v>5.5464859999999998E-3</v>
      </c>
      <c r="H76" s="112"/>
    </row>
    <row r="77" spans="1:8" x14ac:dyDescent="0.2">
      <c r="A77" s="3">
        <v>71</v>
      </c>
      <c r="B77" s="4" t="s">
        <v>271</v>
      </c>
      <c r="C77" s="4" t="s">
        <v>272</v>
      </c>
      <c r="D77" s="4" t="s">
        <v>147</v>
      </c>
      <c r="E77" s="5">
        <v>6070</v>
      </c>
      <c r="F77" s="6">
        <v>39.491419999999998</v>
      </c>
      <c r="G77" s="7">
        <v>5.5048980000000003E-3</v>
      </c>
      <c r="H77" s="112"/>
    </row>
    <row r="78" spans="1:8" x14ac:dyDescent="0.2">
      <c r="A78" s="3">
        <v>72</v>
      </c>
      <c r="B78" s="4" t="s">
        <v>299</v>
      </c>
      <c r="C78" s="4" t="s">
        <v>300</v>
      </c>
      <c r="D78" s="4" t="s">
        <v>977</v>
      </c>
      <c r="E78" s="5">
        <v>93287</v>
      </c>
      <c r="F78" s="6">
        <v>34.376259500000003</v>
      </c>
      <c r="G78" s="7">
        <v>4.7918709999999996E-3</v>
      </c>
      <c r="H78" s="112"/>
    </row>
    <row r="79" spans="1:8" x14ac:dyDescent="0.2">
      <c r="A79" s="3">
        <v>73</v>
      </c>
      <c r="B79" s="4" t="s">
        <v>275</v>
      </c>
      <c r="C79" s="4" t="s">
        <v>276</v>
      </c>
      <c r="D79" s="4" t="s">
        <v>162</v>
      </c>
      <c r="E79" s="5">
        <v>7455</v>
      </c>
      <c r="F79" s="6">
        <v>30.871155000000002</v>
      </c>
      <c r="G79" s="7">
        <v>4.3032779999999998E-3</v>
      </c>
      <c r="H79" s="112"/>
    </row>
    <row r="80" spans="1:8" x14ac:dyDescent="0.2">
      <c r="A80" s="3">
        <v>74</v>
      </c>
      <c r="B80" s="4" t="s">
        <v>463</v>
      </c>
      <c r="C80" s="4" t="s">
        <v>464</v>
      </c>
      <c r="D80" s="4" t="s">
        <v>71</v>
      </c>
      <c r="E80" s="5">
        <v>8699</v>
      </c>
      <c r="F80" s="6">
        <v>30.0941905</v>
      </c>
      <c r="G80" s="7">
        <v>4.1949730000000003E-3</v>
      </c>
      <c r="H80" s="112"/>
    </row>
    <row r="81" spans="1:8" x14ac:dyDescent="0.2">
      <c r="A81" s="3">
        <v>75</v>
      </c>
      <c r="B81" s="4" t="s">
        <v>279</v>
      </c>
      <c r="C81" s="4" t="s">
        <v>280</v>
      </c>
      <c r="D81" s="4" t="s">
        <v>147</v>
      </c>
      <c r="E81" s="5">
        <v>1852</v>
      </c>
      <c r="F81" s="6">
        <v>24.251014000000001</v>
      </c>
      <c r="G81" s="7">
        <v>3.380465E-3</v>
      </c>
      <c r="H81" s="112"/>
    </row>
    <row r="82" spans="1:8" x14ac:dyDescent="0.2">
      <c r="A82" s="3">
        <v>76</v>
      </c>
      <c r="B82" s="4" t="s">
        <v>281</v>
      </c>
      <c r="C82" s="4" t="s">
        <v>282</v>
      </c>
      <c r="D82" s="4" t="s">
        <v>334</v>
      </c>
      <c r="E82" s="5">
        <v>2257</v>
      </c>
      <c r="F82" s="6">
        <v>18.0007035</v>
      </c>
      <c r="G82" s="7">
        <v>2.5092040000000001E-3</v>
      </c>
      <c r="H82" s="112"/>
    </row>
    <row r="83" spans="1:8" x14ac:dyDescent="0.2">
      <c r="A83" s="3">
        <v>77</v>
      </c>
      <c r="B83" s="4" t="s">
        <v>283</v>
      </c>
      <c r="C83" s="4" t="s">
        <v>284</v>
      </c>
      <c r="D83" s="4" t="s">
        <v>19</v>
      </c>
      <c r="E83" s="5">
        <v>11525</v>
      </c>
      <c r="F83" s="6">
        <v>7.4048125000000002</v>
      </c>
      <c r="G83" s="7">
        <v>1.0321919999999999E-3</v>
      </c>
      <c r="H83" s="112"/>
    </row>
    <row r="84" spans="1:8" x14ac:dyDescent="0.2">
      <c r="A84" s="1"/>
      <c r="B84" s="1"/>
      <c r="C84" s="2" t="s">
        <v>97</v>
      </c>
      <c r="D84" s="1"/>
      <c r="E84" s="1" t="s">
        <v>98</v>
      </c>
      <c r="F84" s="9">
        <v>6825.8560299999999</v>
      </c>
      <c r="G84" s="10">
        <v>0.95148868499999995</v>
      </c>
      <c r="H84" s="112"/>
    </row>
    <row r="85" spans="1:8" x14ac:dyDescent="0.2">
      <c r="A85" s="1"/>
      <c r="B85" s="1"/>
      <c r="C85" s="11"/>
      <c r="D85" s="1"/>
      <c r="E85" s="1"/>
      <c r="F85" s="12"/>
      <c r="G85" s="12"/>
      <c r="H85" s="112"/>
    </row>
    <row r="86" spans="1:8" x14ac:dyDescent="0.2">
      <c r="A86" s="1"/>
      <c r="B86" s="1"/>
      <c r="C86" s="2" t="s">
        <v>99</v>
      </c>
      <c r="D86" s="1"/>
      <c r="E86" s="1"/>
      <c r="F86" s="1"/>
      <c r="G86" s="1"/>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100</v>
      </c>
      <c r="D89" s="1"/>
      <c r="E89" s="1"/>
      <c r="F89" s="1"/>
      <c r="G89" s="1"/>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101</v>
      </c>
      <c r="D92" s="1"/>
      <c r="E92" s="1"/>
      <c r="F92" s="1"/>
      <c r="G92" s="1"/>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102</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103</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104</v>
      </c>
      <c r="D101" s="1"/>
      <c r="E101" s="1"/>
      <c r="F101" s="9">
        <v>6825.8560299999999</v>
      </c>
      <c r="G101" s="10">
        <v>0.95148868499999995</v>
      </c>
      <c r="H101" s="112"/>
    </row>
    <row r="102" spans="1:8" x14ac:dyDescent="0.2">
      <c r="A102" s="1"/>
      <c r="B102" s="1"/>
      <c r="C102" s="11"/>
      <c r="D102" s="1"/>
      <c r="E102" s="1"/>
      <c r="F102" s="12"/>
      <c r="G102" s="12"/>
      <c r="H102" s="112"/>
    </row>
    <row r="103" spans="1:8" x14ac:dyDescent="0.2">
      <c r="A103" s="1"/>
      <c r="B103" s="1"/>
      <c r="C103" s="2" t="s">
        <v>105</v>
      </c>
      <c r="D103" s="1"/>
      <c r="E103" s="1"/>
      <c r="F103" s="12"/>
      <c r="G103" s="12"/>
      <c r="H103" s="112"/>
    </row>
    <row r="104" spans="1:8" ht="25.5" x14ac:dyDescent="0.2">
      <c r="A104" s="1"/>
      <c r="B104" s="1"/>
      <c r="C104" s="2" t="s">
        <v>10</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106</v>
      </c>
      <c r="D107" s="1"/>
      <c r="E107" s="1"/>
      <c r="F107" s="1"/>
      <c r="G107" s="1"/>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1"/>
      <c r="C110" s="2" t="s">
        <v>107</v>
      </c>
      <c r="D110" s="1"/>
      <c r="E110" s="1"/>
      <c r="F110" s="1"/>
      <c r="G110" s="1"/>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108</v>
      </c>
      <c r="D113" s="1"/>
      <c r="E113" s="1"/>
      <c r="F113" s="12"/>
      <c r="G113" s="12"/>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2" t="s">
        <v>109</v>
      </c>
      <c r="D116" s="1"/>
      <c r="E116" s="1"/>
      <c r="F116" s="9">
        <v>0</v>
      </c>
      <c r="G116" s="10">
        <v>0</v>
      </c>
      <c r="H116" s="112"/>
    </row>
    <row r="117" spans="1:8" x14ac:dyDescent="0.2">
      <c r="A117" s="1"/>
      <c r="B117" s="1"/>
      <c r="C117" s="11"/>
      <c r="D117" s="1"/>
      <c r="E117" s="1"/>
      <c r="F117" s="12"/>
      <c r="G117" s="12"/>
      <c r="H117" s="112"/>
    </row>
    <row r="118" spans="1:8" x14ac:dyDescent="0.2">
      <c r="A118" s="1"/>
      <c r="B118" s="1"/>
      <c r="C118" s="2" t="s">
        <v>110</v>
      </c>
      <c r="D118" s="1"/>
      <c r="E118" s="1"/>
      <c r="F118" s="12"/>
      <c r="G118" s="12"/>
      <c r="H118" s="112"/>
    </row>
    <row r="119" spans="1:8" x14ac:dyDescent="0.2">
      <c r="A119" s="1"/>
      <c r="B119" s="1"/>
      <c r="C119" s="2" t="s">
        <v>111</v>
      </c>
      <c r="D119" s="1"/>
      <c r="E119" s="1"/>
      <c r="F119" s="12"/>
      <c r="G119" s="12"/>
      <c r="H119" s="112"/>
    </row>
    <row r="120" spans="1:8" x14ac:dyDescent="0.2">
      <c r="A120" s="1"/>
      <c r="B120" s="1"/>
      <c r="C120" s="2" t="s">
        <v>97</v>
      </c>
      <c r="D120" s="1"/>
      <c r="E120" s="1" t="s">
        <v>98</v>
      </c>
      <c r="F120" s="13">
        <v>0</v>
      </c>
      <c r="G120" s="14">
        <v>0</v>
      </c>
      <c r="H120" s="112"/>
    </row>
    <row r="121" spans="1:8" x14ac:dyDescent="0.2">
      <c r="A121" s="1"/>
      <c r="B121" s="1"/>
      <c r="C121" s="11"/>
      <c r="D121" s="1"/>
      <c r="E121" s="1"/>
      <c r="F121" s="12"/>
      <c r="G121" s="12"/>
      <c r="H121" s="112"/>
    </row>
    <row r="122" spans="1:8" x14ac:dyDescent="0.2">
      <c r="A122" s="1"/>
      <c r="B122" s="1"/>
      <c r="C122" s="2" t="s">
        <v>112</v>
      </c>
      <c r="D122" s="1"/>
      <c r="E122" s="1"/>
      <c r="F122" s="12"/>
      <c r="G122" s="12"/>
      <c r="H122" s="112"/>
    </row>
    <row r="123" spans="1:8" x14ac:dyDescent="0.2">
      <c r="A123" s="1"/>
      <c r="B123" s="1"/>
      <c r="C123" s="2" t="s">
        <v>97</v>
      </c>
      <c r="D123" s="1"/>
      <c r="E123" s="1" t="s">
        <v>98</v>
      </c>
      <c r="F123" s="13">
        <v>0</v>
      </c>
      <c r="G123" s="14">
        <v>0</v>
      </c>
      <c r="H123" s="112"/>
    </row>
    <row r="124" spans="1:8" x14ac:dyDescent="0.2">
      <c r="A124" s="1"/>
      <c r="B124" s="1"/>
      <c r="C124" s="11"/>
      <c r="D124" s="1"/>
      <c r="E124" s="1"/>
      <c r="F124" s="12"/>
      <c r="G124" s="12"/>
      <c r="H124" s="112"/>
    </row>
    <row r="125" spans="1:8" x14ac:dyDescent="0.2">
      <c r="A125" s="1"/>
      <c r="B125" s="1"/>
      <c r="C125" s="2" t="s">
        <v>113</v>
      </c>
      <c r="D125" s="1"/>
      <c r="E125" s="1"/>
      <c r="F125" s="12"/>
      <c r="G125" s="12"/>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114</v>
      </c>
      <c r="D128" s="1"/>
      <c r="E128" s="1"/>
      <c r="F128" s="12"/>
      <c r="G128" s="12"/>
      <c r="H128" s="112"/>
    </row>
    <row r="129" spans="1:8" x14ac:dyDescent="0.2">
      <c r="A129" s="3">
        <v>1</v>
      </c>
      <c r="B129" s="4"/>
      <c r="C129" s="4" t="s">
        <v>115</v>
      </c>
      <c r="D129" s="4"/>
      <c r="E129" s="8"/>
      <c r="F129" s="6">
        <v>251.53004460890961</v>
      </c>
      <c r="G129" s="7">
        <v>3.5061974581247976E-2</v>
      </c>
      <c r="H129" s="6">
        <v>3.3211324282253978</v>
      </c>
    </row>
    <row r="130" spans="1:8" x14ac:dyDescent="0.2">
      <c r="A130" s="3">
        <v>2</v>
      </c>
      <c r="B130" s="4"/>
      <c r="C130" s="4" t="s">
        <v>116</v>
      </c>
      <c r="D130" s="4"/>
      <c r="E130" s="8"/>
      <c r="F130" s="6">
        <v>98.806897530016116</v>
      </c>
      <c r="G130" s="7">
        <v>1.3773165488186318E-2</v>
      </c>
      <c r="H130" s="6">
        <v>3.35</v>
      </c>
    </row>
    <row r="131" spans="1:8" x14ac:dyDescent="0.2">
      <c r="A131" s="1"/>
      <c r="B131" s="1"/>
      <c r="C131" s="2" t="s">
        <v>97</v>
      </c>
      <c r="D131" s="1"/>
      <c r="E131" s="1" t="s">
        <v>98</v>
      </c>
      <c r="F131" s="9">
        <v>350.33694213892574</v>
      </c>
      <c r="G131" s="10">
        <v>4.8835140069434291E-2</v>
      </c>
      <c r="H131" s="112"/>
    </row>
    <row r="132" spans="1:8" x14ac:dyDescent="0.2">
      <c r="A132" s="1"/>
      <c r="B132" s="1"/>
      <c r="C132" s="11"/>
      <c r="D132" s="1"/>
      <c r="E132" s="1"/>
      <c r="F132" s="12"/>
      <c r="G132" s="12"/>
      <c r="H132" s="112"/>
    </row>
    <row r="133" spans="1:8" x14ac:dyDescent="0.2">
      <c r="A133" s="1"/>
      <c r="B133" s="1"/>
      <c r="C133" s="2" t="s">
        <v>117</v>
      </c>
      <c r="D133" s="1"/>
      <c r="E133" s="1"/>
      <c r="F133" s="9">
        <v>350.33694213892574</v>
      </c>
      <c r="G133" s="10">
        <v>4.8835140069434291E-2</v>
      </c>
      <c r="H133" s="112"/>
    </row>
    <row r="134" spans="1:8" x14ac:dyDescent="0.2">
      <c r="A134" s="1"/>
      <c r="B134" s="1"/>
      <c r="C134" s="12"/>
      <c r="D134" s="1"/>
      <c r="E134" s="1"/>
      <c r="F134" s="1"/>
      <c r="G134" s="1"/>
      <c r="H134" s="112"/>
    </row>
    <row r="135" spans="1:8" x14ac:dyDescent="0.2">
      <c r="A135" s="1"/>
      <c r="B135" s="1"/>
      <c r="C135" s="2" t="s">
        <v>118</v>
      </c>
      <c r="D135" s="1"/>
      <c r="E135" s="1"/>
      <c r="F135" s="1"/>
      <c r="G135" s="1"/>
      <c r="H135" s="112"/>
    </row>
    <row r="136" spans="1:8" x14ac:dyDescent="0.2">
      <c r="A136" s="1"/>
      <c r="B136" s="1"/>
      <c r="C136" s="2" t="s">
        <v>119</v>
      </c>
      <c r="D136" s="1"/>
      <c r="E136" s="1"/>
      <c r="F136" s="1"/>
      <c r="G136" s="1"/>
      <c r="H136" s="112"/>
    </row>
    <row r="137" spans="1:8" x14ac:dyDescent="0.2">
      <c r="A137" s="1"/>
      <c r="B137" s="1"/>
      <c r="C137" s="2" t="s">
        <v>97</v>
      </c>
      <c r="D137" s="1"/>
      <c r="E137" s="1" t="s">
        <v>98</v>
      </c>
      <c r="F137" s="13">
        <v>0</v>
      </c>
      <c r="G137" s="14">
        <v>0</v>
      </c>
      <c r="H137" s="112"/>
    </row>
    <row r="138" spans="1:8" x14ac:dyDescent="0.2">
      <c r="A138" s="1"/>
      <c r="B138" s="1"/>
      <c r="C138" s="11"/>
      <c r="D138" s="1"/>
      <c r="E138" s="1"/>
      <c r="F138" s="12"/>
      <c r="G138" s="12"/>
      <c r="H138" s="112"/>
    </row>
    <row r="139" spans="1:8" x14ac:dyDescent="0.2">
      <c r="A139" s="1"/>
      <c r="B139" s="1"/>
      <c r="C139" s="2" t="s">
        <v>120</v>
      </c>
      <c r="D139" s="1"/>
      <c r="E139" s="1"/>
      <c r="F139" s="1"/>
      <c r="G139" s="1"/>
      <c r="H139" s="112"/>
    </row>
    <row r="140" spans="1:8" x14ac:dyDescent="0.2">
      <c r="A140" s="1"/>
      <c r="B140" s="1"/>
      <c r="C140" s="2" t="s">
        <v>121</v>
      </c>
      <c r="D140" s="1"/>
      <c r="E140" s="1"/>
      <c r="F140" s="1"/>
      <c r="G140" s="1"/>
      <c r="H140" s="112"/>
    </row>
    <row r="141" spans="1:8" x14ac:dyDescent="0.2">
      <c r="A141" s="1"/>
      <c r="B141" s="1"/>
      <c r="C141" s="2" t="s">
        <v>97</v>
      </c>
      <c r="D141" s="1"/>
      <c r="E141" s="1" t="s">
        <v>98</v>
      </c>
      <c r="F141" s="13">
        <v>0</v>
      </c>
      <c r="G141" s="14">
        <v>0</v>
      </c>
      <c r="H141" s="112"/>
    </row>
    <row r="142" spans="1:8" x14ac:dyDescent="0.2">
      <c r="A142" s="1"/>
      <c r="B142" s="1"/>
      <c r="C142" s="11"/>
      <c r="D142" s="1"/>
      <c r="E142" s="1"/>
      <c r="F142" s="12"/>
      <c r="G142" s="12"/>
      <c r="H142" s="112"/>
    </row>
    <row r="143" spans="1:8" x14ac:dyDescent="0.2">
      <c r="A143" s="1"/>
      <c r="B143" s="1"/>
      <c r="C143" s="11"/>
      <c r="D143" s="1"/>
      <c r="E143" s="1"/>
      <c r="F143" s="12"/>
      <c r="G143" s="12"/>
      <c r="H143" s="112"/>
    </row>
    <row r="144" spans="1:8" ht="25.5" x14ac:dyDescent="0.2">
      <c r="A144" s="1"/>
      <c r="B144" s="1"/>
      <c r="C144" s="2" t="s">
        <v>122</v>
      </c>
      <c r="D144" s="1"/>
      <c r="E144" s="1"/>
      <c r="F144" s="12"/>
      <c r="G144" s="12"/>
      <c r="H144" s="112"/>
    </row>
    <row r="145" spans="1:8" x14ac:dyDescent="0.2">
      <c r="A145" s="1"/>
      <c r="B145" s="1"/>
      <c r="C145" s="2" t="s">
        <v>97</v>
      </c>
      <c r="D145" s="1"/>
      <c r="E145" s="1" t="s">
        <v>98</v>
      </c>
      <c r="F145" s="13">
        <v>0</v>
      </c>
      <c r="G145" s="14">
        <v>0</v>
      </c>
      <c r="H145" s="112"/>
    </row>
    <row r="146" spans="1:8" x14ac:dyDescent="0.2">
      <c r="A146" s="1"/>
      <c r="B146" s="1"/>
      <c r="C146" s="11"/>
      <c r="D146" s="1"/>
      <c r="E146" s="1"/>
      <c r="F146" s="12"/>
      <c r="G146" s="12"/>
      <c r="H146" s="112"/>
    </row>
    <row r="147" spans="1:8" x14ac:dyDescent="0.2">
      <c r="A147" s="1"/>
      <c r="B147" s="4"/>
      <c r="C147" s="4"/>
      <c r="D147" s="2"/>
      <c r="E147" s="1"/>
      <c r="F147" s="4"/>
      <c r="G147" s="8"/>
      <c r="H147" s="112"/>
    </row>
    <row r="148" spans="1:8" x14ac:dyDescent="0.2">
      <c r="A148" s="8"/>
      <c r="B148" s="4"/>
      <c r="C148" s="4" t="s">
        <v>123</v>
      </c>
      <c r="D148" s="4"/>
      <c r="E148" s="8"/>
      <c r="F148" s="6">
        <v>-2.3229746300161125</v>
      </c>
      <c r="G148" s="7">
        <v>-3.238105314899779E-4</v>
      </c>
      <c r="H148" s="112"/>
    </row>
    <row r="149" spans="1:8" x14ac:dyDescent="0.2">
      <c r="A149" s="11"/>
      <c r="B149" s="11"/>
      <c r="C149" s="2" t="s">
        <v>124</v>
      </c>
      <c r="D149" s="15"/>
      <c r="E149" s="15"/>
      <c r="F149" s="9">
        <v>7173.8699150000002</v>
      </c>
      <c r="G149" s="10">
        <v>1.000000003</v>
      </c>
      <c r="H149" s="112"/>
    </row>
    <row r="150" spans="1:8" ht="14.1" customHeight="1" x14ac:dyDescent="0.2">
      <c r="A150" s="16"/>
      <c r="B150" s="16"/>
      <c r="C150" s="16"/>
      <c r="D150" s="17"/>
      <c r="E150" s="17"/>
      <c r="F150" s="17"/>
      <c r="G150" s="17"/>
    </row>
    <row r="151" spans="1:8" ht="14.1" customHeight="1" x14ac:dyDescent="0.2">
      <c r="A151" s="18"/>
      <c r="B151" s="205" t="s">
        <v>98</v>
      </c>
      <c r="C151" s="205"/>
      <c r="D151" s="205"/>
      <c r="E151" s="205"/>
      <c r="F151" s="205"/>
      <c r="G151" s="20"/>
    </row>
    <row r="152" spans="1:8" ht="17.100000000000001" customHeight="1" x14ac:dyDescent="0.2">
      <c r="A152" s="18"/>
      <c r="B152" s="205"/>
      <c r="C152" s="205"/>
      <c r="D152" s="205"/>
      <c r="E152" s="205"/>
      <c r="F152" s="205"/>
      <c r="G152" s="20"/>
    </row>
    <row r="153" spans="1:8" ht="14.1" customHeight="1" x14ac:dyDescent="0.2">
      <c r="A153" s="18"/>
      <c r="B153" s="18"/>
      <c r="C153" s="18"/>
      <c r="D153" s="20"/>
      <c r="E153" s="20"/>
      <c r="F153" s="20"/>
      <c r="G153" s="20"/>
    </row>
    <row r="154" spans="1:8" ht="14.1" customHeight="1" x14ac:dyDescent="0.2">
      <c r="A154" s="18"/>
      <c r="B154" s="203" t="s">
        <v>126</v>
      </c>
      <c r="C154" s="204"/>
      <c r="D154" s="12" t="s">
        <v>98</v>
      </c>
      <c r="E154" s="21"/>
      <c r="F154" s="20"/>
      <c r="G154" s="20"/>
    </row>
    <row r="155" spans="1:8" ht="29.1" customHeight="1" x14ac:dyDescent="0.2">
      <c r="A155" s="18"/>
      <c r="B155" s="198" t="s">
        <v>127</v>
      </c>
      <c r="C155" s="199"/>
      <c r="D155" s="2" t="s">
        <v>128</v>
      </c>
      <c r="E155" s="21"/>
      <c r="F155" s="20"/>
      <c r="G155" s="20"/>
    </row>
    <row r="156" spans="1:8" ht="17.100000000000001" customHeight="1" x14ac:dyDescent="0.2">
      <c r="A156" s="18"/>
      <c r="B156" s="198" t="s">
        <v>129</v>
      </c>
      <c r="C156" s="199"/>
      <c r="D156" s="2" t="s">
        <v>128</v>
      </c>
      <c r="E156" s="21"/>
      <c r="F156" s="20"/>
      <c r="G156" s="20"/>
    </row>
    <row r="157" spans="1:8" ht="17.100000000000001" customHeight="1" x14ac:dyDescent="0.2">
      <c r="A157" s="18"/>
      <c r="B157" s="198" t="s">
        <v>130</v>
      </c>
      <c r="C157" s="199"/>
      <c r="D157" s="12" t="s">
        <v>98</v>
      </c>
      <c r="E157" s="21"/>
      <c r="F157" s="20"/>
      <c r="G157" s="20"/>
    </row>
    <row r="158" spans="1:8" ht="24" customHeight="1" x14ac:dyDescent="0.2">
      <c r="A158" s="22"/>
      <c r="B158" s="23" t="s">
        <v>98</v>
      </c>
      <c r="C158" s="23" t="s">
        <v>131</v>
      </c>
      <c r="D158" s="23" t="s">
        <v>132</v>
      </c>
      <c r="E158" s="22"/>
      <c r="F158" s="22"/>
      <c r="G158" s="22"/>
    </row>
    <row r="159" spans="1:8" ht="18" customHeight="1" x14ac:dyDescent="0.2">
      <c r="A159" s="22"/>
      <c r="B159" s="23" t="s">
        <v>133</v>
      </c>
      <c r="C159" s="23" t="s">
        <v>134</v>
      </c>
      <c r="D159" s="23" t="s">
        <v>135</v>
      </c>
      <c r="E159" s="22"/>
      <c r="F159" s="22"/>
      <c r="G159" s="22"/>
    </row>
    <row r="160" spans="1:8" ht="17.100000000000001" customHeight="1" x14ac:dyDescent="0.2">
      <c r="A160" s="22"/>
      <c r="B160" s="4" t="s">
        <v>136</v>
      </c>
      <c r="C160" s="24">
        <v>17.6904</v>
      </c>
      <c r="D160" s="24">
        <v>18.058</v>
      </c>
      <c r="E160" s="22"/>
      <c r="F160" s="19"/>
      <c r="G160" s="25"/>
    </row>
    <row r="161" spans="1:15" ht="17.100000000000001" customHeight="1" x14ac:dyDescent="0.2">
      <c r="A161" s="22"/>
      <c r="B161" s="4" t="s">
        <v>980</v>
      </c>
      <c r="C161" s="24">
        <v>17.061399999999999</v>
      </c>
      <c r="D161" s="24">
        <v>17.416</v>
      </c>
      <c r="E161" s="22"/>
      <c r="F161" s="19"/>
      <c r="G161" s="25"/>
    </row>
    <row r="162" spans="1:15" ht="17.100000000000001" customHeight="1" x14ac:dyDescent="0.2">
      <c r="A162" s="22"/>
      <c r="B162" s="4" t="s">
        <v>137</v>
      </c>
      <c r="C162" s="24">
        <v>17.358699999999999</v>
      </c>
      <c r="D162" s="24">
        <v>17.711099999999998</v>
      </c>
      <c r="E162" s="22"/>
      <c r="F162" s="19"/>
      <c r="G162" s="25"/>
    </row>
    <row r="163" spans="1:15" ht="17.100000000000001" customHeight="1" x14ac:dyDescent="0.2">
      <c r="A163" s="22"/>
      <c r="B163" s="4" t="s">
        <v>981</v>
      </c>
      <c r="C163" s="24">
        <v>16.731000000000002</v>
      </c>
      <c r="D163" s="24">
        <v>17.070599999999999</v>
      </c>
      <c r="E163" s="22"/>
      <c r="F163" s="19"/>
      <c r="G163" s="25"/>
    </row>
    <row r="164" spans="1:15" ht="14.1" customHeight="1" x14ac:dyDescent="0.2">
      <c r="A164" s="22"/>
      <c r="B164" s="22"/>
      <c r="C164" s="22"/>
      <c r="D164" s="22"/>
      <c r="E164" s="22"/>
      <c r="F164" s="22"/>
      <c r="G164" s="22"/>
      <c r="I164" s="113"/>
      <c r="J164" s="113"/>
      <c r="K164" s="113"/>
      <c r="L164" s="113"/>
      <c r="M164" s="113"/>
      <c r="N164" s="113"/>
      <c r="O164" s="113"/>
    </row>
    <row r="165" spans="1:15" ht="17.100000000000001" customHeight="1" x14ac:dyDescent="0.2">
      <c r="A165" s="22"/>
      <c r="B165" s="198" t="s">
        <v>982</v>
      </c>
      <c r="C165" s="199"/>
      <c r="D165" s="91" t="s">
        <v>128</v>
      </c>
      <c r="E165" s="22"/>
      <c r="F165" s="22"/>
      <c r="G165" s="22"/>
    </row>
    <row r="166" spans="1:15" ht="18" customHeight="1" x14ac:dyDescent="0.2">
      <c r="A166" s="22"/>
      <c r="B166" s="26"/>
      <c r="C166" s="26"/>
      <c r="D166" s="27"/>
      <c r="E166" s="22"/>
      <c r="F166" s="22"/>
      <c r="G166" s="22"/>
    </row>
    <row r="167" spans="1:15" s="113" customFormat="1" x14ac:dyDescent="0.2">
      <c r="B167" s="202" t="s">
        <v>984</v>
      </c>
      <c r="C167" s="202"/>
      <c r="D167" s="202"/>
      <c r="E167" s="202"/>
      <c r="F167" s="202"/>
      <c r="I167"/>
      <c r="J167"/>
      <c r="K167"/>
      <c r="L167"/>
      <c r="M167"/>
      <c r="N167"/>
      <c r="O167"/>
    </row>
    <row r="168" spans="1:15" ht="14.1" customHeight="1" x14ac:dyDescent="0.2">
      <c r="A168" s="22"/>
      <c r="B168" s="19"/>
      <c r="C168" s="19"/>
      <c r="D168" s="22"/>
      <c r="E168" s="22"/>
      <c r="F168" s="22"/>
      <c r="G168" s="22"/>
    </row>
    <row r="169" spans="1:15" ht="29.1" customHeight="1" x14ac:dyDescent="0.2">
      <c r="A169" s="22"/>
      <c r="B169" s="198" t="s">
        <v>138</v>
      </c>
      <c r="C169" s="199"/>
      <c r="D169" s="2" t="s">
        <v>128</v>
      </c>
      <c r="E169" s="22"/>
      <c r="F169" s="22"/>
      <c r="G169" s="22"/>
    </row>
    <row r="170" spans="1:15" ht="29.1" customHeight="1" x14ac:dyDescent="0.2">
      <c r="A170" s="22"/>
      <c r="B170" s="198" t="s">
        <v>139</v>
      </c>
      <c r="C170" s="199"/>
      <c r="D170" s="2" t="s">
        <v>128</v>
      </c>
      <c r="E170" s="22"/>
      <c r="F170" s="22"/>
      <c r="G170" s="22"/>
    </row>
    <row r="171" spans="1:15" ht="17.100000000000001" customHeight="1" x14ac:dyDescent="0.2">
      <c r="A171" s="22"/>
      <c r="B171" s="198" t="s">
        <v>140</v>
      </c>
      <c r="C171" s="199"/>
      <c r="D171" s="28">
        <v>0.42227587095431901</v>
      </c>
      <c r="E171" s="22"/>
      <c r="F171" s="19"/>
      <c r="G171" s="25"/>
    </row>
    <row r="172" spans="1:15" ht="17.100000000000001" customHeight="1" x14ac:dyDescent="0.2">
      <c r="A172" s="22"/>
      <c r="B172" s="198" t="s">
        <v>141</v>
      </c>
      <c r="C172" s="199"/>
      <c r="D172" s="2" t="s">
        <v>128</v>
      </c>
      <c r="E172" s="22"/>
      <c r="F172" s="22"/>
      <c r="G172" s="22"/>
    </row>
  </sheetData>
  <mergeCells count="16">
    <mergeCell ref="B172:C172"/>
    <mergeCell ref="B155:C155"/>
    <mergeCell ref="B156:C156"/>
    <mergeCell ref="B157:C157"/>
    <mergeCell ref="B165:C165"/>
    <mergeCell ref="B169:C169"/>
    <mergeCell ref="B170:C170"/>
    <mergeCell ref="B167:F167"/>
    <mergeCell ref="A1:H1"/>
    <mergeCell ref="A2:H2"/>
    <mergeCell ref="A3:H3"/>
    <mergeCell ref="J2:N2"/>
    <mergeCell ref="B171:C171"/>
    <mergeCell ref="B154:C154"/>
    <mergeCell ref="B151:F151"/>
    <mergeCell ref="B152:F152"/>
  </mergeCells>
  <pageMargins left="5.000000074505806E-2" right="5.000000074505806E-2" top="0.30000001192092896" bottom="0.20000000298023224" header="0" footer="0"/>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17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485</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25</v>
      </c>
      <c r="C7" s="4" t="s">
        <v>26</v>
      </c>
      <c r="D7" s="4" t="s">
        <v>27</v>
      </c>
      <c r="E7" s="5">
        <v>7009</v>
      </c>
      <c r="F7" s="6">
        <v>113.517764</v>
      </c>
      <c r="G7" s="7">
        <v>3.0592965999999999E-2</v>
      </c>
      <c r="H7" s="112"/>
    </row>
    <row r="8" spans="1:14" x14ac:dyDescent="0.2">
      <c r="A8" s="3">
        <v>2</v>
      </c>
      <c r="B8" s="4" t="s">
        <v>150</v>
      </c>
      <c r="C8" s="4" t="s">
        <v>151</v>
      </c>
      <c r="D8" s="4" t="s">
        <v>27</v>
      </c>
      <c r="E8" s="5">
        <v>12363</v>
      </c>
      <c r="F8" s="6">
        <v>105.22767450000001</v>
      </c>
      <c r="G8" s="7">
        <v>2.8358792000000001E-2</v>
      </c>
      <c r="H8" s="112"/>
    </row>
    <row r="9" spans="1:14" x14ac:dyDescent="0.2">
      <c r="A9" s="3">
        <v>3</v>
      </c>
      <c r="B9" s="4" t="s">
        <v>143</v>
      </c>
      <c r="C9" s="4" t="s">
        <v>144</v>
      </c>
      <c r="D9" s="4" t="s">
        <v>27</v>
      </c>
      <c r="E9" s="5">
        <v>11268</v>
      </c>
      <c r="F9" s="6">
        <v>102.882474</v>
      </c>
      <c r="G9" s="7">
        <v>2.7726761999999999E-2</v>
      </c>
      <c r="H9" s="112"/>
    </row>
    <row r="10" spans="1:14" x14ac:dyDescent="0.2">
      <c r="A10" s="3">
        <v>4</v>
      </c>
      <c r="B10" s="4" t="s">
        <v>41</v>
      </c>
      <c r="C10" s="4" t="s">
        <v>42</v>
      </c>
      <c r="D10" s="4" t="s">
        <v>27</v>
      </c>
      <c r="E10" s="5">
        <v>7409</v>
      </c>
      <c r="F10" s="6">
        <v>98.202590499999999</v>
      </c>
      <c r="G10" s="7">
        <v>2.6465536000000001E-2</v>
      </c>
      <c r="H10" s="112"/>
    </row>
    <row r="11" spans="1:14" x14ac:dyDescent="0.2">
      <c r="A11" s="3">
        <v>5</v>
      </c>
      <c r="B11" s="4" t="s">
        <v>148</v>
      </c>
      <c r="C11" s="4" t="s">
        <v>149</v>
      </c>
      <c r="D11" s="4" t="s">
        <v>81</v>
      </c>
      <c r="E11" s="5">
        <v>74605</v>
      </c>
      <c r="F11" s="6">
        <v>96.837289999999996</v>
      </c>
      <c r="G11" s="7">
        <v>2.6097588000000001E-2</v>
      </c>
      <c r="H11" s="112"/>
    </row>
    <row r="12" spans="1:14" x14ac:dyDescent="0.2">
      <c r="A12" s="3">
        <v>6</v>
      </c>
      <c r="B12" s="4" t="s">
        <v>74</v>
      </c>
      <c r="C12" s="4" t="s">
        <v>75</v>
      </c>
      <c r="D12" s="4" t="s">
        <v>71</v>
      </c>
      <c r="E12" s="5">
        <v>25037</v>
      </c>
      <c r="F12" s="6">
        <v>96.555190499999995</v>
      </c>
      <c r="G12" s="7">
        <v>2.6021563000000001E-2</v>
      </c>
      <c r="H12" s="112"/>
    </row>
    <row r="13" spans="1:14" x14ac:dyDescent="0.2">
      <c r="A13" s="3">
        <v>7</v>
      </c>
      <c r="B13" s="4" t="s">
        <v>145</v>
      </c>
      <c r="C13" s="4" t="s">
        <v>146</v>
      </c>
      <c r="D13" s="4" t="s">
        <v>147</v>
      </c>
      <c r="E13" s="5">
        <v>2845</v>
      </c>
      <c r="F13" s="6">
        <v>94.97748</v>
      </c>
      <c r="G13" s="7">
        <v>2.5596371E-2</v>
      </c>
      <c r="H13" s="112"/>
    </row>
    <row r="14" spans="1:14" ht="25.5" x14ac:dyDescent="0.2">
      <c r="A14" s="3">
        <v>8</v>
      </c>
      <c r="B14" s="4" t="s">
        <v>152</v>
      </c>
      <c r="C14" s="4" t="s">
        <v>153</v>
      </c>
      <c r="D14" s="4" t="s">
        <v>45</v>
      </c>
      <c r="E14" s="5">
        <v>59516</v>
      </c>
      <c r="F14" s="6">
        <v>87.071907999999993</v>
      </c>
      <c r="G14" s="7">
        <v>2.3465824E-2</v>
      </c>
      <c r="H14" s="112"/>
    </row>
    <row r="15" spans="1:14" x14ac:dyDescent="0.2">
      <c r="A15" s="3">
        <v>9</v>
      </c>
      <c r="B15" s="4" t="s">
        <v>154</v>
      </c>
      <c r="C15" s="4" t="s">
        <v>155</v>
      </c>
      <c r="D15" s="4" t="s">
        <v>71</v>
      </c>
      <c r="E15" s="5">
        <v>16012</v>
      </c>
      <c r="F15" s="6">
        <v>86.480812</v>
      </c>
      <c r="G15" s="7">
        <v>2.3306523999999999E-2</v>
      </c>
      <c r="H15" s="112"/>
    </row>
    <row r="16" spans="1:14" ht="15" x14ac:dyDescent="0.2">
      <c r="A16" s="3">
        <v>10</v>
      </c>
      <c r="B16" s="4" t="s">
        <v>160</v>
      </c>
      <c r="C16" s="4" t="s">
        <v>161</v>
      </c>
      <c r="D16" s="4" t="s">
        <v>162</v>
      </c>
      <c r="E16" s="5">
        <v>2021</v>
      </c>
      <c r="F16" s="6">
        <v>79.297977000000003</v>
      </c>
      <c r="G16" s="7">
        <v>2.1370755000000002E-2</v>
      </c>
      <c r="H16" s="112"/>
      <c r="J16" s="188" t="s">
        <v>1016</v>
      </c>
    </row>
    <row r="17" spans="1:8" x14ac:dyDescent="0.2">
      <c r="A17" s="3">
        <v>11</v>
      </c>
      <c r="B17" s="4" t="s">
        <v>463</v>
      </c>
      <c r="C17" s="4" t="s">
        <v>464</v>
      </c>
      <c r="D17" s="4" t="s">
        <v>71</v>
      </c>
      <c r="E17" s="5">
        <v>22660</v>
      </c>
      <c r="F17" s="6">
        <v>78.392269999999996</v>
      </c>
      <c r="G17" s="7">
        <v>2.1126666999999998E-2</v>
      </c>
      <c r="H17" s="112"/>
    </row>
    <row r="18" spans="1:8" x14ac:dyDescent="0.2">
      <c r="A18" s="3">
        <v>12</v>
      </c>
      <c r="B18" s="4" t="s">
        <v>163</v>
      </c>
      <c r="C18" s="4" t="s">
        <v>164</v>
      </c>
      <c r="D18" s="4" t="s">
        <v>162</v>
      </c>
      <c r="E18" s="5">
        <v>24091</v>
      </c>
      <c r="F18" s="6">
        <v>74.368916999999996</v>
      </c>
      <c r="G18" s="7">
        <v>2.0042376000000001E-2</v>
      </c>
      <c r="H18" s="112"/>
    </row>
    <row r="19" spans="1:8" ht="25.5" x14ac:dyDescent="0.2">
      <c r="A19" s="3">
        <v>13</v>
      </c>
      <c r="B19" s="4" t="s">
        <v>37</v>
      </c>
      <c r="C19" s="4" t="s">
        <v>38</v>
      </c>
      <c r="D19" s="4" t="s">
        <v>971</v>
      </c>
      <c r="E19" s="5">
        <v>2108</v>
      </c>
      <c r="F19" s="6">
        <v>69.896010000000004</v>
      </c>
      <c r="G19" s="7">
        <v>1.8836930000000002E-2</v>
      </c>
      <c r="H19" s="112"/>
    </row>
    <row r="20" spans="1:8" x14ac:dyDescent="0.2">
      <c r="A20" s="3">
        <v>14</v>
      </c>
      <c r="B20" s="4" t="s">
        <v>167</v>
      </c>
      <c r="C20" s="4" t="s">
        <v>168</v>
      </c>
      <c r="D20" s="4" t="s">
        <v>81</v>
      </c>
      <c r="E20" s="5">
        <v>9147</v>
      </c>
      <c r="F20" s="6">
        <v>64.509217500000005</v>
      </c>
      <c r="G20" s="7">
        <v>1.7385193E-2</v>
      </c>
      <c r="H20" s="112"/>
    </row>
    <row r="21" spans="1:8" x14ac:dyDescent="0.2">
      <c r="A21" s="3">
        <v>15</v>
      </c>
      <c r="B21" s="4" t="s">
        <v>364</v>
      </c>
      <c r="C21" s="4" t="s">
        <v>365</v>
      </c>
      <c r="D21" s="4" t="s">
        <v>173</v>
      </c>
      <c r="E21" s="5">
        <v>1632</v>
      </c>
      <c r="F21" s="6">
        <v>62.650032000000003</v>
      </c>
      <c r="G21" s="7">
        <v>1.6884144E-2</v>
      </c>
      <c r="H21" s="112"/>
    </row>
    <row r="22" spans="1:8" x14ac:dyDescent="0.2">
      <c r="A22" s="3">
        <v>16</v>
      </c>
      <c r="B22" s="4" t="s">
        <v>165</v>
      </c>
      <c r="C22" s="4" t="s">
        <v>166</v>
      </c>
      <c r="D22" s="4" t="s">
        <v>976</v>
      </c>
      <c r="E22" s="5">
        <v>14411</v>
      </c>
      <c r="F22" s="6">
        <v>60.389295500000003</v>
      </c>
      <c r="G22" s="7">
        <v>1.6274877E-2</v>
      </c>
      <c r="H22" s="112"/>
    </row>
    <row r="23" spans="1:8" x14ac:dyDescent="0.2">
      <c r="A23" s="3">
        <v>17</v>
      </c>
      <c r="B23" s="4" t="s">
        <v>171</v>
      </c>
      <c r="C23" s="4" t="s">
        <v>172</v>
      </c>
      <c r="D23" s="4" t="s">
        <v>173</v>
      </c>
      <c r="E23" s="5">
        <v>4196</v>
      </c>
      <c r="F23" s="6">
        <v>58.597140000000003</v>
      </c>
      <c r="G23" s="7">
        <v>1.5791891999999998E-2</v>
      </c>
      <c r="H23" s="112"/>
    </row>
    <row r="24" spans="1:8" x14ac:dyDescent="0.2">
      <c r="A24" s="3">
        <v>18</v>
      </c>
      <c r="B24" s="4" t="s">
        <v>174</v>
      </c>
      <c r="C24" s="4" t="s">
        <v>175</v>
      </c>
      <c r="D24" s="4" t="s">
        <v>162</v>
      </c>
      <c r="E24" s="5">
        <v>5520</v>
      </c>
      <c r="F24" s="6">
        <v>57.96</v>
      </c>
      <c r="G24" s="7">
        <v>1.5620182999999999E-2</v>
      </c>
      <c r="H24" s="112"/>
    </row>
    <row r="25" spans="1:8" ht="25.5" x14ac:dyDescent="0.2">
      <c r="A25" s="3">
        <v>19</v>
      </c>
      <c r="B25" s="4" t="s">
        <v>190</v>
      </c>
      <c r="C25" s="4" t="s">
        <v>191</v>
      </c>
      <c r="D25" s="4" t="s">
        <v>192</v>
      </c>
      <c r="E25" s="5">
        <v>11014</v>
      </c>
      <c r="F25" s="6">
        <v>57.619740999999998</v>
      </c>
      <c r="G25" s="7">
        <v>1.5528484E-2</v>
      </c>
      <c r="H25" s="112"/>
    </row>
    <row r="26" spans="1:8" x14ac:dyDescent="0.2">
      <c r="A26" s="3">
        <v>20</v>
      </c>
      <c r="B26" s="4" t="s">
        <v>182</v>
      </c>
      <c r="C26" s="4" t="s">
        <v>183</v>
      </c>
      <c r="D26" s="4" t="s">
        <v>162</v>
      </c>
      <c r="E26" s="5">
        <v>5305</v>
      </c>
      <c r="F26" s="6">
        <v>56.670662499999999</v>
      </c>
      <c r="G26" s="7">
        <v>1.5272707999999999E-2</v>
      </c>
      <c r="H26" s="112"/>
    </row>
    <row r="27" spans="1:8" x14ac:dyDescent="0.2">
      <c r="A27" s="3">
        <v>21</v>
      </c>
      <c r="B27" s="4" t="s">
        <v>187</v>
      </c>
      <c r="C27" s="4" t="s">
        <v>188</v>
      </c>
      <c r="D27" s="4" t="s">
        <v>189</v>
      </c>
      <c r="E27" s="5">
        <v>24683</v>
      </c>
      <c r="F27" s="6">
        <v>55.684848000000002</v>
      </c>
      <c r="G27" s="7">
        <v>1.5007031000000001E-2</v>
      </c>
      <c r="H27" s="112"/>
    </row>
    <row r="28" spans="1:8" ht="25.5" x14ac:dyDescent="0.2">
      <c r="A28" s="3">
        <v>22</v>
      </c>
      <c r="B28" s="4" t="s">
        <v>197</v>
      </c>
      <c r="C28" s="4" t="s">
        <v>198</v>
      </c>
      <c r="D28" s="4" t="s">
        <v>971</v>
      </c>
      <c r="E28" s="5">
        <v>22301</v>
      </c>
      <c r="F28" s="6">
        <v>53.277088999999997</v>
      </c>
      <c r="G28" s="7">
        <v>1.4358142000000001E-2</v>
      </c>
      <c r="H28" s="112"/>
    </row>
    <row r="29" spans="1:8" x14ac:dyDescent="0.2">
      <c r="A29" s="3">
        <v>23</v>
      </c>
      <c r="B29" s="4" t="s">
        <v>219</v>
      </c>
      <c r="C29" s="4" t="s">
        <v>220</v>
      </c>
      <c r="D29" s="4" t="s">
        <v>64</v>
      </c>
      <c r="E29" s="5">
        <v>5426</v>
      </c>
      <c r="F29" s="6">
        <v>52.309353000000002</v>
      </c>
      <c r="G29" s="7">
        <v>1.4097337999999999E-2</v>
      </c>
      <c r="H29" s="112"/>
    </row>
    <row r="30" spans="1:8" x14ac:dyDescent="0.2">
      <c r="A30" s="3">
        <v>24</v>
      </c>
      <c r="B30" s="4" t="s">
        <v>205</v>
      </c>
      <c r="C30" s="4" t="s">
        <v>206</v>
      </c>
      <c r="D30" s="4" t="s">
        <v>975</v>
      </c>
      <c r="E30" s="5">
        <v>6000</v>
      </c>
      <c r="F30" s="6">
        <v>51.981000000000002</v>
      </c>
      <c r="G30" s="7">
        <v>1.4008847E-2</v>
      </c>
      <c r="H30" s="112"/>
    </row>
    <row r="31" spans="1:8" ht="25.5" x14ac:dyDescent="0.2">
      <c r="A31" s="3">
        <v>25</v>
      </c>
      <c r="B31" s="4" t="s">
        <v>467</v>
      </c>
      <c r="C31" s="4" t="s">
        <v>468</v>
      </c>
      <c r="D31" s="4" t="s">
        <v>45</v>
      </c>
      <c r="E31" s="5">
        <v>3630</v>
      </c>
      <c r="F31" s="6">
        <v>50.397105000000003</v>
      </c>
      <c r="G31" s="7">
        <v>1.3581988E-2</v>
      </c>
      <c r="H31" s="112"/>
    </row>
    <row r="32" spans="1:8" x14ac:dyDescent="0.2">
      <c r="A32" s="3">
        <v>26</v>
      </c>
      <c r="B32" s="4" t="s">
        <v>176</v>
      </c>
      <c r="C32" s="4" t="s">
        <v>177</v>
      </c>
      <c r="D32" s="4" t="s">
        <v>178</v>
      </c>
      <c r="E32" s="5">
        <v>4863</v>
      </c>
      <c r="F32" s="6">
        <v>49.539380999999999</v>
      </c>
      <c r="G32" s="7">
        <v>1.3350832E-2</v>
      </c>
      <c r="H32" s="112"/>
    </row>
    <row r="33" spans="1:8" x14ac:dyDescent="0.2">
      <c r="A33" s="3">
        <v>27</v>
      </c>
      <c r="B33" s="4" t="s">
        <v>203</v>
      </c>
      <c r="C33" s="4" t="s">
        <v>204</v>
      </c>
      <c r="D33" s="4" t="s">
        <v>81</v>
      </c>
      <c r="E33" s="5">
        <v>7884</v>
      </c>
      <c r="F33" s="6">
        <v>49.420853999999999</v>
      </c>
      <c r="G33" s="7">
        <v>1.3318889E-2</v>
      </c>
      <c r="H33" s="112"/>
    </row>
    <row r="34" spans="1:8" x14ac:dyDescent="0.2">
      <c r="A34" s="3">
        <v>28</v>
      </c>
      <c r="B34" s="4" t="s">
        <v>184</v>
      </c>
      <c r="C34" s="4" t="s">
        <v>185</v>
      </c>
      <c r="D34" s="4" t="s">
        <v>186</v>
      </c>
      <c r="E34" s="5">
        <v>10421</v>
      </c>
      <c r="F34" s="6">
        <v>48.551439000000002</v>
      </c>
      <c r="G34" s="7">
        <v>1.3084582000000001E-2</v>
      </c>
      <c r="H34" s="112"/>
    </row>
    <row r="35" spans="1:8" ht="25.5" x14ac:dyDescent="0.2">
      <c r="A35" s="3">
        <v>29</v>
      </c>
      <c r="B35" s="4" t="s">
        <v>229</v>
      </c>
      <c r="C35" s="4" t="s">
        <v>230</v>
      </c>
      <c r="D35" s="4" t="s">
        <v>71</v>
      </c>
      <c r="E35" s="5">
        <v>2300</v>
      </c>
      <c r="F35" s="6">
        <v>47.679000000000002</v>
      </c>
      <c r="G35" s="7">
        <v>1.284946E-2</v>
      </c>
      <c r="H35" s="112"/>
    </row>
    <row r="36" spans="1:8" x14ac:dyDescent="0.2">
      <c r="A36" s="3">
        <v>30</v>
      </c>
      <c r="B36" s="4" t="s">
        <v>169</v>
      </c>
      <c r="C36" s="4" t="s">
        <v>170</v>
      </c>
      <c r="D36" s="4" t="s">
        <v>19</v>
      </c>
      <c r="E36" s="5">
        <v>26190</v>
      </c>
      <c r="F36" s="6">
        <v>47.286045000000001</v>
      </c>
      <c r="G36" s="7">
        <v>1.2743559E-2</v>
      </c>
      <c r="H36" s="112"/>
    </row>
    <row r="37" spans="1:8" x14ac:dyDescent="0.2">
      <c r="A37" s="3">
        <v>31</v>
      </c>
      <c r="B37" s="4" t="s">
        <v>469</v>
      </c>
      <c r="C37" s="4" t="s">
        <v>470</v>
      </c>
      <c r="D37" s="4" t="s">
        <v>71</v>
      </c>
      <c r="E37" s="5">
        <v>4749</v>
      </c>
      <c r="F37" s="6">
        <v>45.595148999999999</v>
      </c>
      <c r="G37" s="7">
        <v>1.2287864000000001E-2</v>
      </c>
      <c r="H37" s="112"/>
    </row>
    <row r="38" spans="1:8" x14ac:dyDescent="0.2">
      <c r="A38" s="3">
        <v>32</v>
      </c>
      <c r="B38" s="4" t="s">
        <v>210</v>
      </c>
      <c r="C38" s="4" t="s">
        <v>211</v>
      </c>
      <c r="D38" s="4" t="s">
        <v>212</v>
      </c>
      <c r="E38" s="5">
        <v>17729</v>
      </c>
      <c r="F38" s="6">
        <v>44.003377999999998</v>
      </c>
      <c r="G38" s="7">
        <v>1.1858883000000001E-2</v>
      </c>
      <c r="H38" s="112"/>
    </row>
    <row r="39" spans="1:8" x14ac:dyDescent="0.2">
      <c r="A39" s="3">
        <v>33</v>
      </c>
      <c r="B39" s="4" t="s">
        <v>213</v>
      </c>
      <c r="C39" s="4" t="s">
        <v>214</v>
      </c>
      <c r="D39" s="4" t="s">
        <v>977</v>
      </c>
      <c r="E39" s="5">
        <v>7565</v>
      </c>
      <c r="F39" s="6">
        <v>43.899695000000001</v>
      </c>
      <c r="G39" s="7">
        <v>1.183094E-2</v>
      </c>
      <c r="H39" s="112"/>
    </row>
    <row r="40" spans="1:8" x14ac:dyDescent="0.2">
      <c r="A40" s="3">
        <v>34</v>
      </c>
      <c r="B40" s="4" t="s">
        <v>471</v>
      </c>
      <c r="C40" s="4" t="s">
        <v>472</v>
      </c>
      <c r="D40" s="4" t="s">
        <v>27</v>
      </c>
      <c r="E40" s="5">
        <v>5096</v>
      </c>
      <c r="F40" s="6">
        <v>42.770727999999998</v>
      </c>
      <c r="G40" s="7">
        <v>1.1526684000000001E-2</v>
      </c>
      <c r="H40" s="112"/>
    </row>
    <row r="41" spans="1:8" x14ac:dyDescent="0.2">
      <c r="A41" s="3">
        <v>35</v>
      </c>
      <c r="B41" s="4" t="s">
        <v>223</v>
      </c>
      <c r="C41" s="4" t="s">
        <v>224</v>
      </c>
      <c r="D41" s="4" t="s">
        <v>27</v>
      </c>
      <c r="E41" s="5">
        <v>2370</v>
      </c>
      <c r="F41" s="6">
        <v>42.611415000000001</v>
      </c>
      <c r="G41" s="7">
        <v>1.1483749E-2</v>
      </c>
      <c r="H41" s="112"/>
    </row>
    <row r="42" spans="1:8" x14ac:dyDescent="0.2">
      <c r="A42" s="3">
        <v>36</v>
      </c>
      <c r="B42" s="4" t="s">
        <v>481</v>
      </c>
      <c r="C42" s="4" t="s">
        <v>482</v>
      </c>
      <c r="D42" s="4" t="s">
        <v>186</v>
      </c>
      <c r="E42" s="5">
        <v>7193</v>
      </c>
      <c r="F42" s="6">
        <v>41.410100999999997</v>
      </c>
      <c r="G42" s="7">
        <v>1.1159996E-2</v>
      </c>
      <c r="H42" s="112"/>
    </row>
    <row r="43" spans="1:8" x14ac:dyDescent="0.2">
      <c r="A43" s="3">
        <v>37</v>
      </c>
      <c r="B43" s="4" t="s">
        <v>207</v>
      </c>
      <c r="C43" s="4" t="s">
        <v>208</v>
      </c>
      <c r="D43" s="4" t="s">
        <v>209</v>
      </c>
      <c r="E43" s="5">
        <v>8758</v>
      </c>
      <c r="F43" s="6">
        <v>40.786006</v>
      </c>
      <c r="G43" s="7">
        <v>1.0991803E-2</v>
      </c>
      <c r="H43" s="112"/>
    </row>
    <row r="44" spans="1:8" x14ac:dyDescent="0.2">
      <c r="A44" s="3">
        <v>38</v>
      </c>
      <c r="B44" s="4" t="s">
        <v>225</v>
      </c>
      <c r="C44" s="4" t="s">
        <v>226</v>
      </c>
      <c r="D44" s="4" t="s">
        <v>71</v>
      </c>
      <c r="E44" s="5">
        <v>4838</v>
      </c>
      <c r="F44" s="6">
        <v>40.232807999999999</v>
      </c>
      <c r="G44" s="7">
        <v>1.0842716000000001E-2</v>
      </c>
      <c r="H44" s="112"/>
    </row>
    <row r="45" spans="1:8" x14ac:dyDescent="0.2">
      <c r="A45" s="3">
        <v>39</v>
      </c>
      <c r="B45" s="4" t="s">
        <v>254</v>
      </c>
      <c r="C45" s="4" t="s">
        <v>255</v>
      </c>
      <c r="D45" s="4" t="s">
        <v>162</v>
      </c>
      <c r="E45" s="5">
        <v>3090</v>
      </c>
      <c r="F45" s="6">
        <v>39.378959999999999</v>
      </c>
      <c r="G45" s="7">
        <v>1.0612605000000001E-2</v>
      </c>
      <c r="H45" s="112"/>
    </row>
    <row r="46" spans="1:8" x14ac:dyDescent="0.2">
      <c r="A46" s="3">
        <v>40</v>
      </c>
      <c r="B46" s="4" t="s">
        <v>231</v>
      </c>
      <c r="C46" s="4" t="s">
        <v>232</v>
      </c>
      <c r="D46" s="4" t="s">
        <v>71</v>
      </c>
      <c r="E46" s="5">
        <v>14021</v>
      </c>
      <c r="F46" s="6">
        <v>39.167663500000003</v>
      </c>
      <c r="G46" s="7">
        <v>1.0555660999999999E-2</v>
      </c>
      <c r="H46" s="112"/>
    </row>
    <row r="47" spans="1:8" x14ac:dyDescent="0.2">
      <c r="A47" s="3">
        <v>41</v>
      </c>
      <c r="B47" s="4" t="s">
        <v>297</v>
      </c>
      <c r="C47" s="4" t="s">
        <v>298</v>
      </c>
      <c r="D47" s="4" t="s">
        <v>27</v>
      </c>
      <c r="E47" s="5">
        <v>5737</v>
      </c>
      <c r="F47" s="6">
        <v>38.449373999999999</v>
      </c>
      <c r="G47" s="7">
        <v>1.0362082E-2</v>
      </c>
      <c r="H47" s="112"/>
    </row>
    <row r="48" spans="1:8" x14ac:dyDescent="0.2">
      <c r="A48" s="3">
        <v>42</v>
      </c>
      <c r="B48" s="4" t="s">
        <v>238</v>
      </c>
      <c r="C48" s="4" t="s">
        <v>239</v>
      </c>
      <c r="D48" s="4" t="s">
        <v>186</v>
      </c>
      <c r="E48" s="5">
        <v>7372</v>
      </c>
      <c r="F48" s="6">
        <v>38.024776000000003</v>
      </c>
      <c r="G48" s="7">
        <v>1.0247653000000001E-2</v>
      </c>
      <c r="H48" s="112"/>
    </row>
    <row r="49" spans="1:8" x14ac:dyDescent="0.2">
      <c r="A49" s="3">
        <v>43</v>
      </c>
      <c r="B49" s="4" t="s">
        <v>465</v>
      </c>
      <c r="C49" s="4" t="s">
        <v>466</v>
      </c>
      <c r="D49" s="4" t="s">
        <v>50</v>
      </c>
      <c r="E49" s="5">
        <v>6024</v>
      </c>
      <c r="F49" s="6">
        <v>37.915056</v>
      </c>
      <c r="G49" s="7">
        <v>1.0218084000000001E-2</v>
      </c>
      <c r="H49" s="112"/>
    </row>
    <row r="50" spans="1:8" x14ac:dyDescent="0.2">
      <c r="A50" s="3">
        <v>44</v>
      </c>
      <c r="B50" s="4" t="s">
        <v>240</v>
      </c>
      <c r="C50" s="4" t="s">
        <v>241</v>
      </c>
      <c r="D50" s="4" t="s">
        <v>81</v>
      </c>
      <c r="E50" s="5">
        <v>68251</v>
      </c>
      <c r="F50" s="6">
        <v>37.606301000000002</v>
      </c>
      <c r="G50" s="7">
        <v>1.0134874E-2</v>
      </c>
      <c r="H50" s="112"/>
    </row>
    <row r="51" spans="1:8" x14ac:dyDescent="0.2">
      <c r="A51" s="3">
        <v>45</v>
      </c>
      <c r="B51" s="4" t="s">
        <v>227</v>
      </c>
      <c r="C51" s="4" t="s">
        <v>228</v>
      </c>
      <c r="D51" s="4" t="s">
        <v>974</v>
      </c>
      <c r="E51" s="5">
        <v>2196</v>
      </c>
      <c r="F51" s="6">
        <v>37.414349999999999</v>
      </c>
      <c r="G51" s="7">
        <v>1.0083144E-2</v>
      </c>
      <c r="H51" s="112"/>
    </row>
    <row r="52" spans="1:8" ht="25.5" x14ac:dyDescent="0.2">
      <c r="A52" s="3">
        <v>46</v>
      </c>
      <c r="B52" s="4" t="s">
        <v>235</v>
      </c>
      <c r="C52" s="4" t="s">
        <v>236</v>
      </c>
      <c r="D52" s="4" t="s">
        <v>192</v>
      </c>
      <c r="E52" s="5">
        <v>8180</v>
      </c>
      <c r="F52" s="6">
        <v>37.378509999999999</v>
      </c>
      <c r="G52" s="7">
        <v>1.0073485E-2</v>
      </c>
      <c r="H52" s="112"/>
    </row>
    <row r="53" spans="1:8" x14ac:dyDescent="0.2">
      <c r="A53" s="3">
        <v>47</v>
      </c>
      <c r="B53" s="4" t="s">
        <v>244</v>
      </c>
      <c r="C53" s="4" t="s">
        <v>245</v>
      </c>
      <c r="D53" s="4" t="s">
        <v>173</v>
      </c>
      <c r="E53" s="5">
        <v>9322</v>
      </c>
      <c r="F53" s="6">
        <v>36.765968000000001</v>
      </c>
      <c r="G53" s="7">
        <v>9.9084050000000003E-3</v>
      </c>
      <c r="H53" s="112"/>
    </row>
    <row r="54" spans="1:8" x14ac:dyDescent="0.2">
      <c r="A54" s="3">
        <v>48</v>
      </c>
      <c r="B54" s="4" t="s">
        <v>291</v>
      </c>
      <c r="C54" s="4" t="s">
        <v>292</v>
      </c>
      <c r="D54" s="4" t="s">
        <v>27</v>
      </c>
      <c r="E54" s="5">
        <v>10489</v>
      </c>
      <c r="F54" s="6">
        <v>36.176561</v>
      </c>
      <c r="G54" s="7">
        <v>9.7495600000000009E-3</v>
      </c>
      <c r="H54" s="112"/>
    </row>
    <row r="55" spans="1:8" x14ac:dyDescent="0.2">
      <c r="A55" s="3">
        <v>49</v>
      </c>
      <c r="B55" s="4" t="s">
        <v>193</v>
      </c>
      <c r="C55" s="4" t="s">
        <v>194</v>
      </c>
      <c r="D55" s="4" t="s">
        <v>16</v>
      </c>
      <c r="E55" s="5">
        <v>11386</v>
      </c>
      <c r="F55" s="6">
        <v>35.342143999999998</v>
      </c>
      <c r="G55" s="7">
        <v>9.5246849999999997E-3</v>
      </c>
      <c r="H55" s="112"/>
    </row>
    <row r="56" spans="1:8" x14ac:dyDescent="0.2">
      <c r="A56" s="3">
        <v>50</v>
      </c>
      <c r="B56" s="4" t="s">
        <v>248</v>
      </c>
      <c r="C56" s="4" t="s">
        <v>249</v>
      </c>
      <c r="D56" s="4" t="s">
        <v>186</v>
      </c>
      <c r="E56" s="5">
        <v>2084</v>
      </c>
      <c r="F56" s="6">
        <v>34.972645999999997</v>
      </c>
      <c r="G56" s="7">
        <v>9.4251060000000008E-3</v>
      </c>
      <c r="H56" s="112"/>
    </row>
    <row r="57" spans="1:8" ht="25.5" x14ac:dyDescent="0.2">
      <c r="A57" s="3">
        <v>51</v>
      </c>
      <c r="B57" s="4" t="s">
        <v>246</v>
      </c>
      <c r="C57" s="4" t="s">
        <v>247</v>
      </c>
      <c r="D57" s="4" t="s">
        <v>978</v>
      </c>
      <c r="E57" s="5">
        <v>33148</v>
      </c>
      <c r="F57" s="6">
        <v>34.937992000000001</v>
      </c>
      <c r="G57" s="7">
        <v>9.4157670000000002E-3</v>
      </c>
      <c r="H57" s="112"/>
    </row>
    <row r="58" spans="1:8" x14ac:dyDescent="0.2">
      <c r="A58" s="3">
        <v>52</v>
      </c>
      <c r="B58" s="4" t="s">
        <v>179</v>
      </c>
      <c r="C58" s="4" t="s">
        <v>180</v>
      </c>
      <c r="D58" s="4" t="s">
        <v>71</v>
      </c>
      <c r="E58" s="5">
        <v>3383</v>
      </c>
      <c r="F58" s="6">
        <v>34.689281999999999</v>
      </c>
      <c r="G58" s="7">
        <v>9.3487399999999995E-3</v>
      </c>
      <c r="H58" s="112"/>
    </row>
    <row r="59" spans="1:8" x14ac:dyDescent="0.2">
      <c r="A59" s="3">
        <v>53</v>
      </c>
      <c r="B59" s="4" t="s">
        <v>477</v>
      </c>
      <c r="C59" s="4" t="s">
        <v>478</v>
      </c>
      <c r="D59" s="4" t="s">
        <v>974</v>
      </c>
      <c r="E59" s="5">
        <v>35856</v>
      </c>
      <c r="F59" s="6">
        <v>34.475543999999999</v>
      </c>
      <c r="G59" s="7">
        <v>9.2911369999999997E-3</v>
      </c>
      <c r="H59" s="112"/>
    </row>
    <row r="60" spans="1:8" ht="25.5" x14ac:dyDescent="0.2">
      <c r="A60" s="3">
        <v>54</v>
      </c>
      <c r="B60" s="4" t="s">
        <v>181</v>
      </c>
      <c r="C60" s="4" t="s">
        <v>931</v>
      </c>
      <c r="D60" s="4" t="s">
        <v>45</v>
      </c>
      <c r="E60" s="5">
        <v>14626</v>
      </c>
      <c r="F60" s="6">
        <v>34.129770999999998</v>
      </c>
      <c r="G60" s="7">
        <v>9.1979520000000006E-3</v>
      </c>
      <c r="H60" s="112"/>
    </row>
    <row r="61" spans="1:8" x14ac:dyDescent="0.2">
      <c r="A61" s="3">
        <v>55</v>
      </c>
      <c r="B61" s="4" t="s">
        <v>195</v>
      </c>
      <c r="C61" s="4" t="s">
        <v>196</v>
      </c>
      <c r="D61" s="4" t="s">
        <v>34</v>
      </c>
      <c r="E61" s="5">
        <v>8109</v>
      </c>
      <c r="F61" s="6">
        <v>34.078072499999998</v>
      </c>
      <c r="G61" s="7">
        <v>9.1840189999999999E-3</v>
      </c>
      <c r="H61" s="112"/>
    </row>
    <row r="62" spans="1:8" x14ac:dyDescent="0.2">
      <c r="A62" s="3">
        <v>56</v>
      </c>
      <c r="B62" s="4" t="s">
        <v>287</v>
      </c>
      <c r="C62" s="4" t="s">
        <v>288</v>
      </c>
      <c r="D62" s="4" t="s">
        <v>27</v>
      </c>
      <c r="E62" s="5">
        <v>3047</v>
      </c>
      <c r="F62" s="6">
        <v>32.756773500000001</v>
      </c>
      <c r="G62" s="7">
        <v>8.8279299999999995E-3</v>
      </c>
      <c r="H62" s="112"/>
    </row>
    <row r="63" spans="1:8" ht="25.5" x14ac:dyDescent="0.2">
      <c r="A63" s="3">
        <v>57</v>
      </c>
      <c r="B63" s="4" t="s">
        <v>250</v>
      </c>
      <c r="C63" s="4" t="s">
        <v>251</v>
      </c>
      <c r="D63" s="4" t="s">
        <v>192</v>
      </c>
      <c r="E63" s="5">
        <v>8568</v>
      </c>
      <c r="F63" s="6">
        <v>32.601239999999997</v>
      </c>
      <c r="G63" s="7">
        <v>8.786014E-3</v>
      </c>
      <c r="H63" s="112"/>
    </row>
    <row r="64" spans="1:8" x14ac:dyDescent="0.2">
      <c r="A64" s="3">
        <v>58</v>
      </c>
      <c r="B64" s="4" t="s">
        <v>475</v>
      </c>
      <c r="C64" s="4" t="s">
        <v>476</v>
      </c>
      <c r="D64" s="4" t="s">
        <v>212</v>
      </c>
      <c r="E64" s="5">
        <v>4102</v>
      </c>
      <c r="F64" s="6">
        <v>30.717827</v>
      </c>
      <c r="G64" s="7">
        <v>8.2784350000000007E-3</v>
      </c>
      <c r="H64" s="112"/>
    </row>
    <row r="65" spans="1:8" x14ac:dyDescent="0.2">
      <c r="A65" s="3">
        <v>59</v>
      </c>
      <c r="B65" s="4" t="s">
        <v>156</v>
      </c>
      <c r="C65" s="4" t="s">
        <v>157</v>
      </c>
      <c r="D65" s="4" t="s">
        <v>974</v>
      </c>
      <c r="E65" s="5">
        <v>2219</v>
      </c>
      <c r="F65" s="6">
        <v>27.593264999999999</v>
      </c>
      <c r="G65" s="7">
        <v>7.4363670000000002E-3</v>
      </c>
      <c r="H65" s="112"/>
    </row>
    <row r="66" spans="1:8" x14ac:dyDescent="0.2">
      <c r="A66" s="3">
        <v>60</v>
      </c>
      <c r="B66" s="4" t="s">
        <v>65</v>
      </c>
      <c r="C66" s="4" t="s">
        <v>66</v>
      </c>
      <c r="D66" s="4" t="s">
        <v>64</v>
      </c>
      <c r="E66" s="5">
        <v>5816</v>
      </c>
      <c r="F66" s="6">
        <v>26.994964</v>
      </c>
      <c r="G66" s="7">
        <v>7.2751259999999998E-3</v>
      </c>
      <c r="H66" s="112"/>
    </row>
    <row r="67" spans="1:8" x14ac:dyDescent="0.2">
      <c r="A67" s="3">
        <v>61</v>
      </c>
      <c r="B67" s="4" t="s">
        <v>258</v>
      </c>
      <c r="C67" s="4" t="s">
        <v>259</v>
      </c>
      <c r="D67" s="4" t="s">
        <v>53</v>
      </c>
      <c r="E67" s="5">
        <v>2788</v>
      </c>
      <c r="F67" s="6">
        <v>26.672796000000002</v>
      </c>
      <c r="G67" s="7">
        <v>7.1883019999999997E-3</v>
      </c>
      <c r="H67" s="112"/>
    </row>
    <row r="68" spans="1:8" x14ac:dyDescent="0.2">
      <c r="A68" s="3">
        <v>62</v>
      </c>
      <c r="B68" s="4" t="s">
        <v>39</v>
      </c>
      <c r="C68" s="4" t="s">
        <v>40</v>
      </c>
      <c r="D68" s="4" t="s">
        <v>27</v>
      </c>
      <c r="E68" s="5">
        <v>1047</v>
      </c>
      <c r="F68" s="6">
        <v>26.506899000000001</v>
      </c>
      <c r="G68" s="7">
        <v>7.1435930000000002E-3</v>
      </c>
      <c r="H68" s="112"/>
    </row>
    <row r="69" spans="1:8" x14ac:dyDescent="0.2">
      <c r="A69" s="3">
        <v>63</v>
      </c>
      <c r="B69" s="4" t="s">
        <v>260</v>
      </c>
      <c r="C69" s="4" t="s">
        <v>261</v>
      </c>
      <c r="D69" s="4" t="s">
        <v>173</v>
      </c>
      <c r="E69" s="5">
        <v>4265</v>
      </c>
      <c r="F69" s="6">
        <v>25.694492499999999</v>
      </c>
      <c r="G69" s="7">
        <v>6.9246489999999997E-3</v>
      </c>
      <c r="H69" s="112"/>
    </row>
    <row r="70" spans="1:8" x14ac:dyDescent="0.2">
      <c r="A70" s="3">
        <v>64</v>
      </c>
      <c r="B70" s="4" t="s">
        <v>199</v>
      </c>
      <c r="C70" s="4" t="s">
        <v>200</v>
      </c>
      <c r="D70" s="4" t="s">
        <v>64</v>
      </c>
      <c r="E70" s="5">
        <v>24055</v>
      </c>
      <c r="F70" s="6">
        <v>25.185585</v>
      </c>
      <c r="G70" s="7">
        <v>6.7874989999999998E-3</v>
      </c>
      <c r="H70" s="112"/>
    </row>
    <row r="71" spans="1:8" x14ac:dyDescent="0.2">
      <c r="A71" s="3">
        <v>65</v>
      </c>
      <c r="B71" s="4" t="s">
        <v>267</v>
      </c>
      <c r="C71" s="4" t="s">
        <v>268</v>
      </c>
      <c r="D71" s="4" t="s">
        <v>19</v>
      </c>
      <c r="E71" s="5">
        <v>27737</v>
      </c>
      <c r="F71" s="6">
        <v>25.185196000000001</v>
      </c>
      <c r="G71" s="7">
        <v>6.7873940000000004E-3</v>
      </c>
      <c r="H71" s="112"/>
    </row>
    <row r="72" spans="1:8" x14ac:dyDescent="0.2">
      <c r="A72" s="3">
        <v>66</v>
      </c>
      <c r="B72" s="4" t="s">
        <v>242</v>
      </c>
      <c r="C72" s="4" t="s">
        <v>243</v>
      </c>
      <c r="D72" s="4" t="s">
        <v>334</v>
      </c>
      <c r="E72" s="5">
        <v>2029</v>
      </c>
      <c r="F72" s="6">
        <v>24.297274999999999</v>
      </c>
      <c r="G72" s="7">
        <v>6.5481000000000003E-3</v>
      </c>
      <c r="H72" s="112"/>
    </row>
    <row r="73" spans="1:8" x14ac:dyDescent="0.2">
      <c r="A73" s="3">
        <v>67</v>
      </c>
      <c r="B73" s="4" t="s">
        <v>264</v>
      </c>
      <c r="C73" s="4" t="s">
        <v>265</v>
      </c>
      <c r="D73" s="4" t="s">
        <v>266</v>
      </c>
      <c r="E73" s="5">
        <v>10365</v>
      </c>
      <c r="F73" s="6">
        <v>23.7928575</v>
      </c>
      <c r="G73" s="7">
        <v>6.4121600000000001E-3</v>
      </c>
      <c r="H73" s="112"/>
    </row>
    <row r="74" spans="1:8" x14ac:dyDescent="0.2">
      <c r="A74" s="3">
        <v>68</v>
      </c>
      <c r="B74" s="4" t="s">
        <v>473</v>
      </c>
      <c r="C74" s="4" t="s">
        <v>474</v>
      </c>
      <c r="D74" s="4" t="s">
        <v>81</v>
      </c>
      <c r="E74" s="5">
        <v>3781</v>
      </c>
      <c r="F74" s="6">
        <v>23.757913500000001</v>
      </c>
      <c r="G74" s="7">
        <v>6.4027429999999998E-3</v>
      </c>
      <c r="H74" s="112"/>
    </row>
    <row r="75" spans="1:8" x14ac:dyDescent="0.2">
      <c r="A75" s="3">
        <v>69</v>
      </c>
      <c r="B75" s="4" t="s">
        <v>269</v>
      </c>
      <c r="C75" s="4" t="s">
        <v>270</v>
      </c>
      <c r="D75" s="4" t="s">
        <v>186</v>
      </c>
      <c r="E75" s="5">
        <v>411</v>
      </c>
      <c r="F75" s="6">
        <v>22.291612499999999</v>
      </c>
      <c r="G75" s="7">
        <v>6.0075750000000002E-3</v>
      </c>
      <c r="H75" s="112"/>
    </row>
    <row r="76" spans="1:8" x14ac:dyDescent="0.2">
      <c r="A76" s="3">
        <v>70</v>
      </c>
      <c r="B76" s="4" t="s">
        <v>277</v>
      </c>
      <c r="C76" s="4" t="s">
        <v>278</v>
      </c>
      <c r="D76" s="4" t="s">
        <v>186</v>
      </c>
      <c r="E76" s="5">
        <v>6683</v>
      </c>
      <c r="F76" s="6">
        <v>20.610372000000002</v>
      </c>
      <c r="G76" s="7">
        <v>5.5544820000000003E-3</v>
      </c>
      <c r="H76" s="112"/>
    </row>
    <row r="77" spans="1:8" x14ac:dyDescent="0.2">
      <c r="A77" s="3">
        <v>71</v>
      </c>
      <c r="B77" s="4" t="s">
        <v>271</v>
      </c>
      <c r="C77" s="4" t="s">
        <v>272</v>
      </c>
      <c r="D77" s="4" t="s">
        <v>147</v>
      </c>
      <c r="E77" s="5">
        <v>3145</v>
      </c>
      <c r="F77" s="6">
        <v>20.461369999999999</v>
      </c>
      <c r="G77" s="7">
        <v>5.5143259999999999E-3</v>
      </c>
      <c r="H77" s="112"/>
    </row>
    <row r="78" spans="1:8" x14ac:dyDescent="0.2">
      <c r="A78" s="3">
        <v>72</v>
      </c>
      <c r="B78" s="4" t="s">
        <v>299</v>
      </c>
      <c r="C78" s="4" t="s">
        <v>300</v>
      </c>
      <c r="D78" s="4" t="s">
        <v>977</v>
      </c>
      <c r="E78" s="5">
        <v>47427</v>
      </c>
      <c r="F78" s="6">
        <v>17.4768495</v>
      </c>
      <c r="G78" s="7">
        <v>4.7099999999999998E-3</v>
      </c>
      <c r="H78" s="112"/>
    </row>
    <row r="79" spans="1:8" x14ac:dyDescent="0.2">
      <c r="A79" s="3">
        <v>73</v>
      </c>
      <c r="B79" s="4" t="s">
        <v>275</v>
      </c>
      <c r="C79" s="4" t="s">
        <v>276</v>
      </c>
      <c r="D79" s="4" t="s">
        <v>162</v>
      </c>
      <c r="E79" s="5">
        <v>3956</v>
      </c>
      <c r="F79" s="6">
        <v>16.381796000000001</v>
      </c>
      <c r="G79" s="7">
        <v>4.414884E-3</v>
      </c>
      <c r="H79" s="112"/>
    </row>
    <row r="80" spans="1:8" x14ac:dyDescent="0.2">
      <c r="A80" s="3">
        <v>74</v>
      </c>
      <c r="B80" s="4" t="s">
        <v>279</v>
      </c>
      <c r="C80" s="4" t="s">
        <v>280</v>
      </c>
      <c r="D80" s="4" t="s">
        <v>147</v>
      </c>
      <c r="E80" s="5">
        <v>982</v>
      </c>
      <c r="F80" s="6">
        <v>12.858798999999999</v>
      </c>
      <c r="G80" s="7">
        <v>3.4654379999999999E-3</v>
      </c>
      <c r="H80" s="112"/>
    </row>
    <row r="81" spans="1:8" x14ac:dyDescent="0.2">
      <c r="A81" s="3">
        <v>75</v>
      </c>
      <c r="B81" s="4" t="s">
        <v>281</v>
      </c>
      <c r="C81" s="4" t="s">
        <v>282</v>
      </c>
      <c r="D81" s="4" t="s">
        <v>334</v>
      </c>
      <c r="E81" s="5">
        <v>850</v>
      </c>
      <c r="F81" s="6">
        <v>6.7791750000000004</v>
      </c>
      <c r="G81" s="7">
        <v>1.8269829999999999E-3</v>
      </c>
      <c r="H81" s="112"/>
    </row>
    <row r="82" spans="1:8" x14ac:dyDescent="0.2">
      <c r="A82" s="3">
        <v>76</v>
      </c>
      <c r="B82" s="4" t="s">
        <v>283</v>
      </c>
      <c r="C82" s="4" t="s">
        <v>284</v>
      </c>
      <c r="D82" s="4" t="s">
        <v>19</v>
      </c>
      <c r="E82" s="5">
        <v>5971</v>
      </c>
      <c r="F82" s="6">
        <v>3.8363675000000002</v>
      </c>
      <c r="G82" s="7">
        <v>1.033899E-3</v>
      </c>
      <c r="H82" s="112"/>
    </row>
    <row r="83" spans="1:8" x14ac:dyDescent="0.2">
      <c r="A83" s="1"/>
      <c r="B83" s="1"/>
      <c r="C83" s="2" t="s">
        <v>97</v>
      </c>
      <c r="D83" s="1"/>
      <c r="E83" s="1" t="s">
        <v>98</v>
      </c>
      <c r="F83" s="9">
        <v>3542.8962365000002</v>
      </c>
      <c r="G83" s="10">
        <v>0.95480829599999995</v>
      </c>
      <c r="H83" s="112"/>
    </row>
    <row r="84" spans="1:8" x14ac:dyDescent="0.2">
      <c r="A84" s="1"/>
      <c r="B84" s="1"/>
      <c r="C84" s="11"/>
      <c r="D84" s="1"/>
      <c r="E84" s="1"/>
      <c r="F84" s="12"/>
      <c r="G84" s="12"/>
      <c r="H84" s="112"/>
    </row>
    <row r="85" spans="1:8" x14ac:dyDescent="0.2">
      <c r="A85" s="1"/>
      <c r="B85" s="1"/>
      <c r="C85" s="2" t="s">
        <v>99</v>
      </c>
      <c r="D85" s="1"/>
      <c r="E85" s="1"/>
      <c r="F85" s="1"/>
      <c r="G85" s="1"/>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100</v>
      </c>
      <c r="D88" s="1"/>
      <c r="E88" s="1"/>
      <c r="F88" s="1"/>
      <c r="G88" s="1"/>
      <c r="H88" s="112"/>
    </row>
    <row r="89" spans="1:8" x14ac:dyDescent="0.2">
      <c r="A89" s="1"/>
      <c r="B89" s="1"/>
      <c r="C89" s="2" t="s">
        <v>97</v>
      </c>
      <c r="D89" s="1"/>
      <c r="E89" s="1" t="s">
        <v>98</v>
      </c>
      <c r="F89" s="13">
        <v>0</v>
      </c>
      <c r="G89" s="14">
        <v>0</v>
      </c>
      <c r="H89" s="112"/>
    </row>
    <row r="90" spans="1:8" x14ac:dyDescent="0.2">
      <c r="A90" s="1"/>
      <c r="B90" s="1"/>
      <c r="C90" s="11"/>
      <c r="D90" s="1"/>
      <c r="E90" s="1"/>
      <c r="F90" s="12"/>
      <c r="G90" s="12"/>
      <c r="H90" s="112"/>
    </row>
    <row r="91" spans="1:8" x14ac:dyDescent="0.2">
      <c r="A91" s="1"/>
      <c r="B91" s="1"/>
      <c r="C91" s="2" t="s">
        <v>101</v>
      </c>
      <c r="D91" s="1"/>
      <c r="E91" s="1"/>
      <c r="F91" s="1"/>
      <c r="G91" s="1"/>
      <c r="H91" s="112"/>
    </row>
    <row r="92" spans="1:8" x14ac:dyDescent="0.2">
      <c r="A92" s="1"/>
      <c r="B92" s="1"/>
      <c r="C92" s="2" t="s">
        <v>97</v>
      </c>
      <c r="D92" s="1"/>
      <c r="E92" s="1" t="s">
        <v>98</v>
      </c>
      <c r="F92" s="13">
        <v>0</v>
      </c>
      <c r="G92" s="14">
        <v>0</v>
      </c>
      <c r="H92" s="112"/>
    </row>
    <row r="93" spans="1:8" x14ac:dyDescent="0.2">
      <c r="A93" s="1"/>
      <c r="B93" s="1"/>
      <c r="C93" s="11"/>
      <c r="D93" s="1"/>
      <c r="E93" s="1"/>
      <c r="F93" s="12"/>
      <c r="G93" s="12"/>
      <c r="H93" s="112"/>
    </row>
    <row r="94" spans="1:8" x14ac:dyDescent="0.2">
      <c r="A94" s="1"/>
      <c r="B94" s="1"/>
      <c r="C94" s="2" t="s">
        <v>102</v>
      </c>
      <c r="D94" s="1"/>
      <c r="E94" s="1"/>
      <c r="F94" s="12"/>
      <c r="G94" s="12"/>
      <c r="H94" s="112"/>
    </row>
    <row r="95" spans="1:8" x14ac:dyDescent="0.2">
      <c r="A95" s="1"/>
      <c r="B95" s="1"/>
      <c r="C95" s="2" t="s">
        <v>97</v>
      </c>
      <c r="D95" s="1"/>
      <c r="E95" s="1" t="s">
        <v>98</v>
      </c>
      <c r="F95" s="13">
        <v>0</v>
      </c>
      <c r="G95" s="14">
        <v>0</v>
      </c>
      <c r="H95" s="112"/>
    </row>
    <row r="96" spans="1:8" x14ac:dyDescent="0.2">
      <c r="A96" s="1"/>
      <c r="B96" s="1"/>
      <c r="C96" s="11"/>
      <c r="D96" s="1"/>
      <c r="E96" s="1"/>
      <c r="F96" s="12"/>
      <c r="G96" s="12"/>
      <c r="H96" s="112"/>
    </row>
    <row r="97" spans="1:8" x14ac:dyDescent="0.2">
      <c r="A97" s="1"/>
      <c r="B97" s="1"/>
      <c r="C97" s="2" t="s">
        <v>103</v>
      </c>
      <c r="D97" s="1"/>
      <c r="E97" s="1"/>
      <c r="F97" s="12"/>
      <c r="G97" s="12"/>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104</v>
      </c>
      <c r="D100" s="1"/>
      <c r="E100" s="1"/>
      <c r="F100" s="9">
        <v>3542.8962365000002</v>
      </c>
      <c r="G100" s="10">
        <v>0.95480829599999995</v>
      </c>
      <c r="H100" s="112"/>
    </row>
    <row r="101" spans="1:8" x14ac:dyDescent="0.2">
      <c r="A101" s="1"/>
      <c r="B101" s="1"/>
      <c r="C101" s="11"/>
      <c r="D101" s="1"/>
      <c r="E101" s="1"/>
      <c r="F101" s="12"/>
      <c r="G101" s="12"/>
      <c r="H101" s="112"/>
    </row>
    <row r="102" spans="1:8" x14ac:dyDescent="0.2">
      <c r="A102" s="1"/>
      <c r="B102" s="1"/>
      <c r="C102" s="2" t="s">
        <v>105</v>
      </c>
      <c r="D102" s="1"/>
      <c r="E102" s="1"/>
      <c r="F102" s="12"/>
      <c r="G102" s="12"/>
      <c r="H102" s="112"/>
    </row>
    <row r="103" spans="1:8" ht="25.5" x14ac:dyDescent="0.2">
      <c r="A103" s="1"/>
      <c r="B103" s="1"/>
      <c r="C103" s="2" t="s">
        <v>10</v>
      </c>
      <c r="D103" s="1"/>
      <c r="E103" s="1"/>
      <c r="F103" s="12"/>
      <c r="G103" s="12"/>
      <c r="H103" s="112"/>
    </row>
    <row r="104" spans="1:8" x14ac:dyDescent="0.2">
      <c r="A104" s="1"/>
      <c r="B104" s="1"/>
      <c r="C104" s="2" t="s">
        <v>97</v>
      </c>
      <c r="D104" s="1"/>
      <c r="E104" s="1" t="s">
        <v>98</v>
      </c>
      <c r="F104" s="13">
        <v>0</v>
      </c>
      <c r="G104" s="14">
        <v>0</v>
      </c>
      <c r="H104" s="112"/>
    </row>
    <row r="105" spans="1:8" x14ac:dyDescent="0.2">
      <c r="A105" s="1"/>
      <c r="B105" s="1"/>
      <c r="C105" s="11"/>
      <c r="D105" s="1"/>
      <c r="E105" s="1"/>
      <c r="F105" s="12"/>
      <c r="G105" s="12"/>
      <c r="H105" s="112"/>
    </row>
    <row r="106" spans="1:8" x14ac:dyDescent="0.2">
      <c r="A106" s="1"/>
      <c r="B106" s="1"/>
      <c r="C106" s="2" t="s">
        <v>106</v>
      </c>
      <c r="D106" s="1"/>
      <c r="E106" s="1"/>
      <c r="F106" s="1"/>
      <c r="G106" s="1"/>
      <c r="H106" s="112"/>
    </row>
    <row r="107" spans="1:8" x14ac:dyDescent="0.2">
      <c r="A107" s="1"/>
      <c r="B107" s="1"/>
      <c r="C107" s="2" t="s">
        <v>97</v>
      </c>
      <c r="D107" s="1"/>
      <c r="E107" s="1" t="s">
        <v>98</v>
      </c>
      <c r="F107" s="13">
        <v>0</v>
      </c>
      <c r="G107" s="14">
        <v>0</v>
      </c>
      <c r="H107" s="112"/>
    </row>
    <row r="108" spans="1:8" x14ac:dyDescent="0.2">
      <c r="A108" s="1"/>
      <c r="B108" s="1"/>
      <c r="C108" s="11"/>
      <c r="D108" s="1"/>
      <c r="E108" s="1"/>
      <c r="F108" s="12"/>
      <c r="G108" s="12"/>
      <c r="H108" s="112"/>
    </row>
    <row r="109" spans="1:8" x14ac:dyDescent="0.2">
      <c r="A109" s="1"/>
      <c r="B109" s="1"/>
      <c r="C109" s="2" t="s">
        <v>107</v>
      </c>
      <c r="D109" s="1"/>
      <c r="E109" s="1"/>
      <c r="F109" s="1"/>
      <c r="G109" s="1"/>
      <c r="H109" s="112"/>
    </row>
    <row r="110" spans="1:8" x14ac:dyDescent="0.2">
      <c r="A110" s="1"/>
      <c r="B110" s="1"/>
      <c r="C110" s="2" t="s">
        <v>97</v>
      </c>
      <c r="D110" s="1"/>
      <c r="E110" s="1" t="s">
        <v>98</v>
      </c>
      <c r="F110" s="13">
        <v>0</v>
      </c>
      <c r="G110" s="14">
        <v>0</v>
      </c>
      <c r="H110" s="112"/>
    </row>
    <row r="111" spans="1:8" x14ac:dyDescent="0.2">
      <c r="A111" s="1"/>
      <c r="B111" s="1"/>
      <c r="C111" s="11"/>
      <c r="D111" s="1"/>
      <c r="E111" s="1"/>
      <c r="F111" s="12"/>
      <c r="G111" s="12"/>
      <c r="H111" s="112"/>
    </row>
    <row r="112" spans="1:8" x14ac:dyDescent="0.2">
      <c r="A112" s="1"/>
      <c r="B112" s="1"/>
      <c r="C112" s="2" t="s">
        <v>108</v>
      </c>
      <c r="D112" s="1"/>
      <c r="E112" s="1"/>
      <c r="F112" s="12"/>
      <c r="G112" s="12"/>
      <c r="H112" s="112"/>
    </row>
    <row r="113" spans="1:8" x14ac:dyDescent="0.2">
      <c r="A113" s="1"/>
      <c r="B113" s="1"/>
      <c r="C113" s="2" t="s">
        <v>97</v>
      </c>
      <c r="D113" s="1"/>
      <c r="E113" s="1" t="s">
        <v>98</v>
      </c>
      <c r="F113" s="13">
        <v>0</v>
      </c>
      <c r="G113" s="14">
        <v>0</v>
      </c>
      <c r="H113" s="112"/>
    </row>
    <row r="114" spans="1:8" x14ac:dyDescent="0.2">
      <c r="A114" s="1"/>
      <c r="B114" s="1"/>
      <c r="C114" s="11"/>
      <c r="D114" s="1"/>
      <c r="E114" s="1"/>
      <c r="F114" s="12"/>
      <c r="G114" s="12"/>
      <c r="H114" s="112"/>
    </row>
    <row r="115" spans="1:8" x14ac:dyDescent="0.2">
      <c r="A115" s="1"/>
      <c r="B115" s="1"/>
      <c r="C115" s="2" t="s">
        <v>109</v>
      </c>
      <c r="D115" s="1"/>
      <c r="E115" s="1"/>
      <c r="F115" s="9">
        <v>0</v>
      </c>
      <c r="G115" s="10">
        <v>0</v>
      </c>
      <c r="H115" s="112"/>
    </row>
    <row r="116" spans="1:8" x14ac:dyDescent="0.2">
      <c r="A116" s="1"/>
      <c r="B116" s="1"/>
      <c r="C116" s="11"/>
      <c r="D116" s="1"/>
      <c r="E116" s="1"/>
      <c r="F116" s="12"/>
      <c r="G116" s="12"/>
      <c r="H116" s="112"/>
    </row>
    <row r="117" spans="1:8" x14ac:dyDescent="0.2">
      <c r="A117" s="1"/>
      <c r="B117" s="1"/>
      <c r="C117" s="2" t="s">
        <v>110</v>
      </c>
      <c r="D117" s="1"/>
      <c r="E117" s="1"/>
      <c r="F117" s="12"/>
      <c r="G117" s="12"/>
      <c r="H117" s="112"/>
    </row>
    <row r="118" spans="1:8" x14ac:dyDescent="0.2">
      <c r="A118" s="1"/>
      <c r="B118" s="1"/>
      <c r="C118" s="2" t="s">
        <v>111</v>
      </c>
      <c r="D118" s="1"/>
      <c r="E118" s="1"/>
      <c r="F118" s="12"/>
      <c r="G118" s="12"/>
      <c r="H118" s="112"/>
    </row>
    <row r="119" spans="1:8" x14ac:dyDescent="0.2">
      <c r="A119" s="1"/>
      <c r="B119" s="1"/>
      <c r="C119" s="2" t="s">
        <v>97</v>
      </c>
      <c r="D119" s="1"/>
      <c r="E119" s="1" t="s">
        <v>98</v>
      </c>
      <c r="F119" s="13">
        <v>0</v>
      </c>
      <c r="G119" s="14">
        <v>0</v>
      </c>
      <c r="H119" s="112"/>
    </row>
    <row r="120" spans="1:8" x14ac:dyDescent="0.2">
      <c r="A120" s="1"/>
      <c r="B120" s="1"/>
      <c r="C120" s="11"/>
      <c r="D120" s="1"/>
      <c r="E120" s="1"/>
      <c r="F120" s="12"/>
      <c r="G120" s="12"/>
      <c r="H120" s="112"/>
    </row>
    <row r="121" spans="1:8" x14ac:dyDescent="0.2">
      <c r="A121" s="1"/>
      <c r="B121" s="1"/>
      <c r="C121" s="2" t="s">
        <v>112</v>
      </c>
      <c r="D121" s="1"/>
      <c r="E121" s="1"/>
      <c r="F121" s="12"/>
      <c r="G121" s="12"/>
      <c r="H121" s="112"/>
    </row>
    <row r="122" spans="1:8" x14ac:dyDescent="0.2">
      <c r="A122" s="1"/>
      <c r="B122" s="1"/>
      <c r="C122" s="2" t="s">
        <v>97</v>
      </c>
      <c r="D122" s="1"/>
      <c r="E122" s="1" t="s">
        <v>98</v>
      </c>
      <c r="F122" s="13">
        <v>0</v>
      </c>
      <c r="G122" s="14">
        <v>0</v>
      </c>
      <c r="H122" s="112"/>
    </row>
    <row r="123" spans="1:8" x14ac:dyDescent="0.2">
      <c r="A123" s="1"/>
      <c r="B123" s="1"/>
      <c r="C123" s="11"/>
      <c r="D123" s="1"/>
      <c r="E123" s="1"/>
      <c r="F123" s="12"/>
      <c r="G123" s="12"/>
      <c r="H123" s="112"/>
    </row>
    <row r="124" spans="1:8" x14ac:dyDescent="0.2">
      <c r="A124" s="1"/>
      <c r="B124" s="1"/>
      <c r="C124" s="2" t="s">
        <v>113</v>
      </c>
      <c r="D124" s="1"/>
      <c r="E124" s="1"/>
      <c r="F124" s="12"/>
      <c r="G124" s="12"/>
      <c r="H124" s="112"/>
    </row>
    <row r="125" spans="1:8" x14ac:dyDescent="0.2">
      <c r="A125" s="1"/>
      <c r="B125" s="1"/>
      <c r="C125" s="2" t="s">
        <v>97</v>
      </c>
      <c r="D125" s="1"/>
      <c r="E125" s="1" t="s">
        <v>98</v>
      </c>
      <c r="F125" s="13">
        <v>0</v>
      </c>
      <c r="G125" s="14">
        <v>0</v>
      </c>
      <c r="H125" s="112"/>
    </row>
    <row r="126" spans="1:8" x14ac:dyDescent="0.2">
      <c r="A126" s="1"/>
      <c r="B126" s="1"/>
      <c r="C126" s="11"/>
      <c r="D126" s="1"/>
      <c r="E126" s="1"/>
      <c r="F126" s="12"/>
      <c r="G126" s="12"/>
      <c r="H126" s="112"/>
    </row>
    <row r="127" spans="1:8" x14ac:dyDescent="0.2">
      <c r="A127" s="1"/>
      <c r="B127" s="1"/>
      <c r="C127" s="2" t="s">
        <v>114</v>
      </c>
      <c r="D127" s="1"/>
      <c r="E127" s="1"/>
      <c r="F127" s="12"/>
      <c r="G127" s="12"/>
      <c r="H127" s="112"/>
    </row>
    <row r="128" spans="1:8" x14ac:dyDescent="0.2">
      <c r="A128" s="3">
        <v>1</v>
      </c>
      <c r="B128" s="4"/>
      <c r="C128" s="4" t="s">
        <v>115</v>
      </c>
      <c r="D128" s="4"/>
      <c r="E128" s="8"/>
      <c r="F128" s="6">
        <v>120.99066747748846</v>
      </c>
      <c r="G128" s="7">
        <v>3.2606908358143769E-2</v>
      </c>
      <c r="H128" s="6">
        <v>3.3211324282253978</v>
      </c>
    </row>
    <row r="129" spans="1:8" x14ac:dyDescent="0.2">
      <c r="A129" s="3">
        <v>2</v>
      </c>
      <c r="B129" s="4"/>
      <c r="C129" s="4" t="s">
        <v>116</v>
      </c>
      <c r="D129" s="4"/>
      <c r="E129" s="8"/>
      <c r="F129" s="6">
        <v>47.527969770007765</v>
      </c>
      <c r="G129" s="7">
        <v>1.2808757791402508E-2</v>
      </c>
      <c r="H129" s="6">
        <v>3.35</v>
      </c>
    </row>
    <row r="130" spans="1:8" x14ac:dyDescent="0.2">
      <c r="A130" s="1"/>
      <c r="B130" s="1"/>
      <c r="C130" s="2" t="s">
        <v>97</v>
      </c>
      <c r="D130" s="1"/>
      <c r="E130" s="1" t="s">
        <v>98</v>
      </c>
      <c r="F130" s="9">
        <v>168.51863724749623</v>
      </c>
      <c r="G130" s="10">
        <v>4.5415666149546279E-2</v>
      </c>
      <c r="H130" s="112"/>
    </row>
    <row r="131" spans="1:8" x14ac:dyDescent="0.2">
      <c r="A131" s="1"/>
      <c r="B131" s="1"/>
      <c r="C131" s="11"/>
      <c r="D131" s="1"/>
      <c r="E131" s="1"/>
      <c r="F131" s="12"/>
      <c r="G131" s="12"/>
      <c r="H131" s="112"/>
    </row>
    <row r="132" spans="1:8" x14ac:dyDescent="0.2">
      <c r="A132" s="1"/>
      <c r="B132" s="1"/>
      <c r="C132" s="2" t="s">
        <v>117</v>
      </c>
      <c r="D132" s="1"/>
      <c r="E132" s="1"/>
      <c r="F132" s="9">
        <v>168.51863724749623</v>
      </c>
      <c r="G132" s="10">
        <v>4.5415666149546279E-2</v>
      </c>
      <c r="H132" s="112"/>
    </row>
    <row r="133" spans="1:8" x14ac:dyDescent="0.2">
      <c r="A133" s="1"/>
      <c r="B133" s="1"/>
      <c r="C133" s="12"/>
      <c r="D133" s="1"/>
      <c r="E133" s="1"/>
      <c r="F133" s="1"/>
      <c r="G133" s="1"/>
      <c r="H133" s="112"/>
    </row>
    <row r="134" spans="1:8" x14ac:dyDescent="0.2">
      <c r="A134" s="1"/>
      <c r="B134" s="1"/>
      <c r="C134" s="2" t="s">
        <v>118</v>
      </c>
      <c r="D134" s="1"/>
      <c r="E134" s="1"/>
      <c r="F134" s="1"/>
      <c r="G134" s="1"/>
      <c r="H134" s="112"/>
    </row>
    <row r="135" spans="1:8" x14ac:dyDescent="0.2">
      <c r="A135" s="1"/>
      <c r="B135" s="1"/>
      <c r="C135" s="2" t="s">
        <v>119</v>
      </c>
      <c r="D135" s="1"/>
      <c r="E135" s="1"/>
      <c r="F135" s="1"/>
      <c r="G135" s="1"/>
      <c r="H135" s="112"/>
    </row>
    <row r="136" spans="1:8" x14ac:dyDescent="0.2">
      <c r="A136" s="1"/>
      <c r="B136" s="1"/>
      <c r="C136" s="2" t="s">
        <v>97</v>
      </c>
      <c r="D136" s="1"/>
      <c r="E136" s="1" t="s">
        <v>98</v>
      </c>
      <c r="F136" s="13">
        <v>0</v>
      </c>
      <c r="G136" s="14">
        <v>0</v>
      </c>
      <c r="H136" s="112"/>
    </row>
    <row r="137" spans="1:8" x14ac:dyDescent="0.2">
      <c r="A137" s="1"/>
      <c r="B137" s="1"/>
      <c r="C137" s="11"/>
      <c r="D137" s="1"/>
      <c r="E137" s="1"/>
      <c r="F137" s="12"/>
      <c r="G137" s="12"/>
      <c r="H137" s="112"/>
    </row>
    <row r="138" spans="1:8" x14ac:dyDescent="0.2">
      <c r="A138" s="1"/>
      <c r="B138" s="1"/>
      <c r="C138" s="2" t="s">
        <v>120</v>
      </c>
      <c r="D138" s="1"/>
      <c r="E138" s="1"/>
      <c r="F138" s="1"/>
      <c r="G138" s="1"/>
      <c r="H138" s="112"/>
    </row>
    <row r="139" spans="1:8" x14ac:dyDescent="0.2">
      <c r="A139" s="1"/>
      <c r="B139" s="1"/>
      <c r="C139" s="2" t="s">
        <v>121</v>
      </c>
      <c r="D139" s="1"/>
      <c r="E139" s="1"/>
      <c r="F139" s="1"/>
      <c r="G139" s="1"/>
      <c r="H139" s="112"/>
    </row>
    <row r="140" spans="1:8" x14ac:dyDescent="0.2">
      <c r="A140" s="1"/>
      <c r="B140" s="1"/>
      <c r="C140" s="2" t="s">
        <v>97</v>
      </c>
      <c r="D140" s="1"/>
      <c r="E140" s="1" t="s">
        <v>98</v>
      </c>
      <c r="F140" s="13">
        <v>0</v>
      </c>
      <c r="G140" s="14">
        <v>0</v>
      </c>
      <c r="H140" s="112"/>
    </row>
    <row r="141" spans="1:8" x14ac:dyDescent="0.2">
      <c r="A141" s="1"/>
      <c r="B141" s="1"/>
      <c r="C141" s="11"/>
      <c r="D141" s="1"/>
      <c r="E141" s="1"/>
      <c r="F141" s="12"/>
      <c r="G141" s="12"/>
      <c r="H141" s="112"/>
    </row>
    <row r="142" spans="1:8" x14ac:dyDescent="0.2">
      <c r="A142" s="1"/>
      <c r="B142" s="1"/>
      <c r="C142" s="11"/>
      <c r="D142" s="1"/>
      <c r="E142" s="1"/>
      <c r="F142" s="12"/>
      <c r="G142" s="12"/>
      <c r="H142" s="112"/>
    </row>
    <row r="143" spans="1:8" ht="25.5" x14ac:dyDescent="0.2">
      <c r="A143" s="1"/>
      <c r="B143" s="1"/>
      <c r="C143" s="2" t="s">
        <v>122</v>
      </c>
      <c r="D143" s="1"/>
      <c r="E143" s="1"/>
      <c r="F143" s="12"/>
      <c r="G143" s="12"/>
      <c r="H143" s="112"/>
    </row>
    <row r="144" spans="1:8" x14ac:dyDescent="0.2">
      <c r="A144" s="1"/>
      <c r="B144" s="1"/>
      <c r="C144" s="2" t="s">
        <v>97</v>
      </c>
      <c r="D144" s="1"/>
      <c r="E144" s="1" t="s">
        <v>98</v>
      </c>
      <c r="F144" s="13">
        <v>0</v>
      </c>
      <c r="G144" s="14">
        <v>0</v>
      </c>
      <c r="H144" s="112"/>
    </row>
    <row r="145" spans="1:8" x14ac:dyDescent="0.2">
      <c r="A145" s="1"/>
      <c r="B145" s="1"/>
      <c r="C145" s="11"/>
      <c r="D145" s="1"/>
      <c r="E145" s="1"/>
      <c r="F145" s="12"/>
      <c r="G145" s="12"/>
      <c r="H145" s="112"/>
    </row>
    <row r="146" spans="1:8" x14ac:dyDescent="0.2">
      <c r="A146" s="1"/>
      <c r="B146" s="4"/>
      <c r="C146" s="4"/>
      <c r="D146" s="2"/>
      <c r="E146" s="1"/>
      <c r="F146" s="4"/>
      <c r="G146" s="8"/>
      <c r="H146" s="112"/>
    </row>
    <row r="147" spans="1:8" x14ac:dyDescent="0.2">
      <c r="A147" s="8"/>
      <c r="B147" s="4"/>
      <c r="C147" s="4" t="s">
        <v>123</v>
      </c>
      <c r="D147" s="4"/>
      <c r="E147" s="8"/>
      <c r="F147" s="6">
        <v>-0.83102603749648551</v>
      </c>
      <c r="G147" s="7">
        <v>-2.2396099147829691E-4</v>
      </c>
      <c r="H147" s="112"/>
    </row>
    <row r="148" spans="1:8" x14ac:dyDescent="0.2">
      <c r="A148" s="11"/>
      <c r="B148" s="11"/>
      <c r="C148" s="2" t="s">
        <v>124</v>
      </c>
      <c r="D148" s="15"/>
      <c r="E148" s="15"/>
      <c r="F148" s="9">
        <v>3710.5838477100001</v>
      </c>
      <c r="G148" s="10">
        <v>1.0000000010000001</v>
      </c>
      <c r="H148" s="112"/>
    </row>
    <row r="149" spans="1:8" ht="14.1" customHeight="1" x14ac:dyDescent="0.2">
      <c r="A149" s="16"/>
      <c r="B149" s="16"/>
      <c r="C149" s="16"/>
      <c r="D149" s="17"/>
      <c r="E149" s="17"/>
      <c r="F149" s="17"/>
      <c r="G149" s="17"/>
    </row>
    <row r="150" spans="1:8" ht="14.1" customHeight="1" x14ac:dyDescent="0.2">
      <c r="A150" s="18"/>
      <c r="B150" s="205" t="s">
        <v>98</v>
      </c>
      <c r="C150" s="205"/>
      <c r="D150" s="205"/>
      <c r="E150" s="205"/>
      <c r="F150" s="205"/>
      <c r="G150" s="20"/>
    </row>
    <row r="151" spans="1:8" ht="14.1" customHeight="1" x14ac:dyDescent="0.2">
      <c r="A151" s="18"/>
      <c r="B151" s="205" t="s">
        <v>98</v>
      </c>
      <c r="C151" s="205"/>
      <c r="D151" s="205"/>
      <c r="E151" s="205"/>
      <c r="F151" s="205"/>
      <c r="G151" s="20"/>
    </row>
    <row r="152" spans="1:8" ht="14.1" customHeight="1" x14ac:dyDescent="0.2">
      <c r="A152" s="18"/>
      <c r="B152" s="18"/>
      <c r="C152" s="18"/>
      <c r="D152" s="20"/>
      <c r="E152" s="20"/>
      <c r="F152" s="20"/>
      <c r="G152" s="20"/>
    </row>
    <row r="153" spans="1:8" ht="14.1" customHeight="1" x14ac:dyDescent="0.2">
      <c r="A153" s="18"/>
      <c r="B153" s="203" t="s">
        <v>126</v>
      </c>
      <c r="C153" s="204"/>
      <c r="D153" s="12" t="s">
        <v>98</v>
      </c>
      <c r="E153" s="21"/>
      <c r="F153" s="20"/>
      <c r="G153" s="20"/>
    </row>
    <row r="154" spans="1:8" ht="29.1" customHeight="1" x14ac:dyDescent="0.2">
      <c r="A154" s="18"/>
      <c r="B154" s="198" t="s">
        <v>127</v>
      </c>
      <c r="C154" s="199"/>
      <c r="D154" s="2" t="s">
        <v>128</v>
      </c>
      <c r="E154" s="21"/>
      <c r="F154" s="20"/>
      <c r="G154" s="20"/>
    </row>
    <row r="155" spans="1:8" ht="17.100000000000001" customHeight="1" x14ac:dyDescent="0.2">
      <c r="A155" s="18"/>
      <c r="B155" s="198" t="s">
        <v>129</v>
      </c>
      <c r="C155" s="199"/>
      <c r="D155" s="2" t="s">
        <v>128</v>
      </c>
      <c r="E155" s="21"/>
      <c r="F155" s="20"/>
      <c r="G155" s="20"/>
    </row>
    <row r="156" spans="1:8" ht="17.100000000000001" customHeight="1" x14ac:dyDescent="0.2">
      <c r="A156" s="18"/>
      <c r="B156" s="198" t="s">
        <v>130</v>
      </c>
      <c r="C156" s="199"/>
      <c r="D156" s="12" t="s">
        <v>98</v>
      </c>
      <c r="E156" s="21"/>
      <c r="F156" s="20"/>
      <c r="G156" s="20"/>
    </row>
    <row r="157" spans="1:8" ht="24" customHeight="1" x14ac:dyDescent="0.2">
      <c r="A157" s="22"/>
      <c r="B157" s="23" t="s">
        <v>98</v>
      </c>
      <c r="C157" s="23" t="s">
        <v>131</v>
      </c>
      <c r="D157" s="23" t="s">
        <v>132</v>
      </c>
      <c r="E157" s="22"/>
      <c r="F157" s="22"/>
      <c r="G157" s="22"/>
    </row>
    <row r="158" spans="1:8" ht="18" customHeight="1" x14ac:dyDescent="0.2">
      <c r="A158" s="22"/>
      <c r="B158" s="23" t="s">
        <v>133</v>
      </c>
      <c r="C158" s="23" t="s">
        <v>134</v>
      </c>
      <c r="D158" s="23" t="s">
        <v>135</v>
      </c>
      <c r="E158" s="22"/>
      <c r="F158" s="22"/>
      <c r="G158" s="22"/>
    </row>
    <row r="159" spans="1:8" ht="17.100000000000001" customHeight="1" x14ac:dyDescent="0.2">
      <c r="A159" s="22"/>
      <c r="B159" s="4" t="s">
        <v>136</v>
      </c>
      <c r="C159" s="24">
        <v>19.851299999999998</v>
      </c>
      <c r="D159" s="24">
        <v>20.288699999999999</v>
      </c>
      <c r="E159" s="22"/>
      <c r="F159" s="19"/>
      <c r="G159" s="25"/>
    </row>
    <row r="160" spans="1:8" ht="17.100000000000001" customHeight="1" x14ac:dyDescent="0.2">
      <c r="A160" s="22"/>
      <c r="B160" s="4" t="s">
        <v>980</v>
      </c>
      <c r="C160" s="24">
        <v>18.6099</v>
      </c>
      <c r="D160" s="24">
        <v>19.02</v>
      </c>
      <c r="E160" s="22"/>
      <c r="F160" s="19"/>
      <c r="G160" s="25"/>
    </row>
    <row r="161" spans="1:15" ht="17.100000000000001" customHeight="1" x14ac:dyDescent="0.2">
      <c r="A161" s="22"/>
      <c r="B161" s="4" t="s">
        <v>137</v>
      </c>
      <c r="C161" s="24">
        <v>19.519300000000001</v>
      </c>
      <c r="D161" s="24">
        <v>19.940000000000001</v>
      </c>
      <c r="E161" s="22"/>
      <c r="F161" s="19"/>
      <c r="G161" s="25"/>
    </row>
    <row r="162" spans="1:15" ht="17.100000000000001" customHeight="1" x14ac:dyDescent="0.2">
      <c r="A162" s="22"/>
      <c r="B162" s="4" t="s">
        <v>981</v>
      </c>
      <c r="C162" s="24">
        <v>18.2804</v>
      </c>
      <c r="D162" s="24">
        <v>18.674399999999999</v>
      </c>
      <c r="E162" s="22"/>
      <c r="F162" s="19"/>
      <c r="G162" s="25"/>
      <c r="I162" s="113"/>
      <c r="J162" s="113"/>
      <c r="K162" s="113"/>
      <c r="L162" s="113"/>
      <c r="M162" s="113"/>
      <c r="N162" s="113"/>
      <c r="O162" s="113"/>
    </row>
    <row r="163" spans="1:15" ht="14.1" customHeight="1" x14ac:dyDescent="0.2">
      <c r="A163" s="22"/>
      <c r="B163" s="22"/>
      <c r="C163" s="22"/>
      <c r="D163" s="22"/>
      <c r="E163" s="22"/>
      <c r="F163" s="22"/>
      <c r="G163" s="22"/>
    </row>
    <row r="164" spans="1:15" ht="17.100000000000001" customHeight="1" x14ac:dyDescent="0.2">
      <c r="A164" s="22"/>
      <c r="B164" s="198" t="s">
        <v>982</v>
      </c>
      <c r="C164" s="199"/>
      <c r="D164" s="91" t="s">
        <v>128</v>
      </c>
      <c r="E164" s="22"/>
      <c r="F164" s="22"/>
      <c r="G164" s="22"/>
    </row>
    <row r="165" spans="1:15" ht="18" customHeight="1" x14ac:dyDescent="0.2">
      <c r="A165" s="22"/>
      <c r="B165" s="26"/>
      <c r="C165" s="26"/>
      <c r="D165" s="27"/>
      <c r="E165" s="22"/>
      <c r="F165" s="22"/>
      <c r="G165" s="22"/>
    </row>
    <row r="166" spans="1:15" s="113" customFormat="1" x14ac:dyDescent="0.2">
      <c r="B166" s="202" t="s">
        <v>984</v>
      </c>
      <c r="C166" s="202"/>
      <c r="D166" s="202"/>
      <c r="E166" s="202"/>
      <c r="F166" s="202"/>
      <c r="I166"/>
      <c r="J166"/>
      <c r="K166"/>
      <c r="L166"/>
      <c r="M166"/>
      <c r="N166"/>
      <c r="O166"/>
    </row>
    <row r="167" spans="1:15" ht="14.1" customHeight="1" x14ac:dyDescent="0.2">
      <c r="A167" s="22"/>
      <c r="B167" s="19"/>
      <c r="C167" s="19"/>
      <c r="D167" s="22"/>
      <c r="E167" s="22"/>
      <c r="F167" s="22"/>
      <c r="G167" s="22"/>
    </row>
    <row r="168" spans="1:15" ht="29.1" customHeight="1" x14ac:dyDescent="0.2">
      <c r="A168" s="22"/>
      <c r="B168" s="198" t="s">
        <v>138</v>
      </c>
      <c r="C168" s="199"/>
      <c r="D168" s="2" t="s">
        <v>128</v>
      </c>
      <c r="E168" s="22"/>
      <c r="F168" s="22"/>
      <c r="G168" s="22"/>
    </row>
    <row r="169" spans="1:15" ht="29.1" customHeight="1" x14ac:dyDescent="0.2">
      <c r="A169" s="22"/>
      <c r="B169" s="198" t="s">
        <v>139</v>
      </c>
      <c r="C169" s="199"/>
      <c r="D169" s="2" t="s">
        <v>128</v>
      </c>
      <c r="E169" s="22"/>
      <c r="F169" s="22"/>
      <c r="G169" s="22"/>
    </row>
    <row r="170" spans="1:15" ht="17.100000000000001" customHeight="1" x14ac:dyDescent="0.2">
      <c r="A170" s="22"/>
      <c r="B170" s="198" t="s">
        <v>140</v>
      </c>
      <c r="C170" s="199"/>
      <c r="D170" s="28">
        <v>0.4144967881843552</v>
      </c>
      <c r="E170" s="22"/>
      <c r="F170" s="19"/>
      <c r="G170" s="25"/>
    </row>
    <row r="171" spans="1:15" ht="17.100000000000001" customHeight="1" x14ac:dyDescent="0.2">
      <c r="A171" s="22"/>
      <c r="B171" s="198" t="s">
        <v>141</v>
      </c>
      <c r="C171" s="199"/>
      <c r="D171" s="2" t="s">
        <v>128</v>
      </c>
      <c r="E171" s="22"/>
      <c r="F171" s="22"/>
      <c r="G171" s="22"/>
    </row>
  </sheetData>
  <mergeCells count="16">
    <mergeCell ref="B171:C171"/>
    <mergeCell ref="B154:C154"/>
    <mergeCell ref="B155:C155"/>
    <mergeCell ref="B156:C156"/>
    <mergeCell ref="B164:C164"/>
    <mergeCell ref="B168:C168"/>
    <mergeCell ref="B169:C169"/>
    <mergeCell ref="B166:F166"/>
    <mergeCell ref="A1:H1"/>
    <mergeCell ref="A2:H2"/>
    <mergeCell ref="A3:H3"/>
    <mergeCell ref="J2:N2"/>
    <mergeCell ref="B170:C170"/>
    <mergeCell ref="B153:C153"/>
    <mergeCell ref="B150:F150"/>
    <mergeCell ref="B151:F151"/>
  </mergeCells>
  <pageMargins left="5.000000074505806E-2" right="5.000000074505806E-2" top="0.30000001192092896" bottom="0.20000000298023224" header="0" footer="0"/>
  <pageSetup paperSize="9"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165"/>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486</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41</v>
      </c>
      <c r="C7" s="4" t="s">
        <v>42</v>
      </c>
      <c r="D7" s="4" t="s">
        <v>27</v>
      </c>
      <c r="E7" s="5">
        <v>37713</v>
      </c>
      <c r="F7" s="6">
        <v>499.86695850000001</v>
      </c>
      <c r="G7" s="7">
        <v>3.9232931999999998E-2</v>
      </c>
      <c r="H7" s="112"/>
    </row>
    <row r="8" spans="1:14" x14ac:dyDescent="0.2">
      <c r="A8" s="3">
        <v>2</v>
      </c>
      <c r="B8" s="4" t="s">
        <v>25</v>
      </c>
      <c r="C8" s="4" t="s">
        <v>26</v>
      </c>
      <c r="D8" s="4" t="s">
        <v>27</v>
      </c>
      <c r="E8" s="5">
        <v>28091</v>
      </c>
      <c r="F8" s="6">
        <v>454.96183600000001</v>
      </c>
      <c r="G8" s="7">
        <v>3.5708475000000003E-2</v>
      </c>
      <c r="H8" s="112"/>
    </row>
    <row r="9" spans="1:14" ht="25.5" x14ac:dyDescent="0.2">
      <c r="A9" s="3">
        <v>3</v>
      </c>
      <c r="B9" s="4" t="s">
        <v>467</v>
      </c>
      <c r="C9" s="4" t="s">
        <v>468</v>
      </c>
      <c r="D9" s="4" t="s">
        <v>45</v>
      </c>
      <c r="E9" s="5">
        <v>25868</v>
      </c>
      <c r="F9" s="6">
        <v>359.13837799999999</v>
      </c>
      <c r="G9" s="7">
        <v>2.8187602999999999E-2</v>
      </c>
      <c r="H9" s="112"/>
    </row>
    <row r="10" spans="1:14" x14ac:dyDescent="0.2">
      <c r="A10" s="3">
        <v>4</v>
      </c>
      <c r="B10" s="4" t="s">
        <v>148</v>
      </c>
      <c r="C10" s="4" t="s">
        <v>149</v>
      </c>
      <c r="D10" s="4" t="s">
        <v>81</v>
      </c>
      <c r="E10" s="5">
        <v>270712</v>
      </c>
      <c r="F10" s="6">
        <v>351.38417600000002</v>
      </c>
      <c r="G10" s="7">
        <v>2.7579000999999999E-2</v>
      </c>
      <c r="H10" s="112"/>
    </row>
    <row r="11" spans="1:14" x14ac:dyDescent="0.2">
      <c r="A11" s="3">
        <v>5</v>
      </c>
      <c r="B11" s="4" t="s">
        <v>465</v>
      </c>
      <c r="C11" s="4" t="s">
        <v>466</v>
      </c>
      <c r="D11" s="4" t="s">
        <v>50</v>
      </c>
      <c r="E11" s="5">
        <v>53500</v>
      </c>
      <c r="F11" s="6">
        <v>336.72899999999998</v>
      </c>
      <c r="G11" s="7">
        <v>2.6428764E-2</v>
      </c>
      <c r="H11" s="112"/>
    </row>
    <row r="12" spans="1:14" x14ac:dyDescent="0.2">
      <c r="A12" s="3">
        <v>6</v>
      </c>
      <c r="B12" s="4" t="s">
        <v>74</v>
      </c>
      <c r="C12" s="4" t="s">
        <v>75</v>
      </c>
      <c r="D12" s="4" t="s">
        <v>71</v>
      </c>
      <c r="E12" s="5">
        <v>86338</v>
      </c>
      <c r="F12" s="6">
        <v>332.96249699999998</v>
      </c>
      <c r="G12" s="7">
        <v>2.6133144000000001E-2</v>
      </c>
      <c r="H12" s="112"/>
    </row>
    <row r="13" spans="1:14" x14ac:dyDescent="0.2">
      <c r="A13" s="3">
        <v>7</v>
      </c>
      <c r="B13" s="4" t="s">
        <v>145</v>
      </c>
      <c r="C13" s="4" t="s">
        <v>146</v>
      </c>
      <c r="D13" s="4" t="s">
        <v>147</v>
      </c>
      <c r="E13" s="5">
        <v>9882</v>
      </c>
      <c r="F13" s="6">
        <v>329.900688</v>
      </c>
      <c r="G13" s="7">
        <v>2.5892832000000001E-2</v>
      </c>
      <c r="H13" s="112"/>
    </row>
    <row r="14" spans="1:14" x14ac:dyDescent="0.2">
      <c r="A14" s="3">
        <v>8</v>
      </c>
      <c r="B14" s="4" t="s">
        <v>213</v>
      </c>
      <c r="C14" s="4" t="s">
        <v>214</v>
      </c>
      <c r="D14" s="4" t="s">
        <v>977</v>
      </c>
      <c r="E14" s="5">
        <v>54458</v>
      </c>
      <c r="F14" s="6">
        <v>316.01977399999998</v>
      </c>
      <c r="G14" s="7">
        <v>2.4803364000000001E-2</v>
      </c>
      <c r="H14" s="112"/>
    </row>
    <row r="15" spans="1:14" ht="15" x14ac:dyDescent="0.2">
      <c r="A15" s="3">
        <v>9</v>
      </c>
      <c r="B15" s="4" t="s">
        <v>463</v>
      </c>
      <c r="C15" s="4" t="s">
        <v>464</v>
      </c>
      <c r="D15" s="4" t="s">
        <v>71</v>
      </c>
      <c r="E15" s="5">
        <v>90401</v>
      </c>
      <c r="F15" s="6">
        <v>312.74225949999999</v>
      </c>
      <c r="G15" s="7">
        <v>2.4546123E-2</v>
      </c>
      <c r="H15" s="112"/>
      <c r="J15" s="188" t="s">
        <v>1016</v>
      </c>
    </row>
    <row r="16" spans="1:14" ht="25.5" x14ac:dyDescent="0.2">
      <c r="A16" s="3">
        <v>10</v>
      </c>
      <c r="B16" s="4" t="s">
        <v>152</v>
      </c>
      <c r="C16" s="4" t="s">
        <v>153</v>
      </c>
      <c r="D16" s="4" t="s">
        <v>45</v>
      </c>
      <c r="E16" s="5">
        <v>202669</v>
      </c>
      <c r="F16" s="6">
        <v>296.50474700000001</v>
      </c>
      <c r="G16" s="7">
        <v>2.3271693E-2</v>
      </c>
      <c r="H16" s="112"/>
    </row>
    <row r="17" spans="1:8" x14ac:dyDescent="0.2">
      <c r="A17" s="3">
        <v>11</v>
      </c>
      <c r="B17" s="4" t="s">
        <v>187</v>
      </c>
      <c r="C17" s="4" t="s">
        <v>188</v>
      </c>
      <c r="D17" s="4" t="s">
        <v>189</v>
      </c>
      <c r="E17" s="5">
        <v>127326</v>
      </c>
      <c r="F17" s="6">
        <v>287.247456</v>
      </c>
      <c r="G17" s="7">
        <v>2.2545118999999999E-2</v>
      </c>
      <c r="H17" s="112"/>
    </row>
    <row r="18" spans="1:8" x14ac:dyDescent="0.2">
      <c r="A18" s="3">
        <v>12</v>
      </c>
      <c r="B18" s="4" t="s">
        <v>223</v>
      </c>
      <c r="C18" s="4" t="s">
        <v>224</v>
      </c>
      <c r="D18" s="4" t="s">
        <v>27</v>
      </c>
      <c r="E18" s="5">
        <v>15895</v>
      </c>
      <c r="F18" s="6">
        <v>285.7841525</v>
      </c>
      <c r="G18" s="7">
        <v>2.2430268999999999E-2</v>
      </c>
      <c r="H18" s="112"/>
    </row>
    <row r="19" spans="1:8" ht="25.5" x14ac:dyDescent="0.2">
      <c r="A19" s="3">
        <v>13</v>
      </c>
      <c r="B19" s="4" t="s">
        <v>197</v>
      </c>
      <c r="C19" s="4" t="s">
        <v>198</v>
      </c>
      <c r="D19" s="4" t="s">
        <v>971</v>
      </c>
      <c r="E19" s="5">
        <v>112163</v>
      </c>
      <c r="F19" s="6">
        <v>267.95740699999999</v>
      </c>
      <c r="G19" s="7">
        <v>2.1031106000000001E-2</v>
      </c>
      <c r="H19" s="112"/>
    </row>
    <row r="20" spans="1:8" x14ac:dyDescent="0.2">
      <c r="A20" s="3">
        <v>14</v>
      </c>
      <c r="B20" s="4" t="s">
        <v>150</v>
      </c>
      <c r="C20" s="4" t="s">
        <v>151</v>
      </c>
      <c r="D20" s="4" t="s">
        <v>27</v>
      </c>
      <c r="E20" s="5">
        <v>30000</v>
      </c>
      <c r="F20" s="6">
        <v>255.345</v>
      </c>
      <c r="G20" s="7">
        <v>2.0041198999999999E-2</v>
      </c>
      <c r="H20" s="112"/>
    </row>
    <row r="21" spans="1:8" x14ac:dyDescent="0.2">
      <c r="A21" s="3">
        <v>15</v>
      </c>
      <c r="B21" s="4" t="s">
        <v>167</v>
      </c>
      <c r="C21" s="4" t="s">
        <v>168</v>
      </c>
      <c r="D21" s="4" t="s">
        <v>81</v>
      </c>
      <c r="E21" s="5">
        <v>31556</v>
      </c>
      <c r="F21" s="6">
        <v>222.54868999999999</v>
      </c>
      <c r="G21" s="7">
        <v>1.7467123000000001E-2</v>
      </c>
      <c r="H21" s="112"/>
    </row>
    <row r="22" spans="1:8" x14ac:dyDescent="0.2">
      <c r="A22" s="3">
        <v>16</v>
      </c>
      <c r="B22" s="4" t="s">
        <v>171</v>
      </c>
      <c r="C22" s="4" t="s">
        <v>172</v>
      </c>
      <c r="D22" s="4" t="s">
        <v>173</v>
      </c>
      <c r="E22" s="5">
        <v>15563</v>
      </c>
      <c r="F22" s="6">
        <v>217.33729500000001</v>
      </c>
      <c r="G22" s="7">
        <v>1.7058098000000001E-2</v>
      </c>
      <c r="H22" s="112"/>
    </row>
    <row r="23" spans="1:8" x14ac:dyDescent="0.2">
      <c r="A23" s="3">
        <v>17</v>
      </c>
      <c r="B23" s="4" t="s">
        <v>287</v>
      </c>
      <c r="C23" s="4" t="s">
        <v>288</v>
      </c>
      <c r="D23" s="4" t="s">
        <v>27</v>
      </c>
      <c r="E23" s="5">
        <v>20093</v>
      </c>
      <c r="F23" s="6">
        <v>216.00979649999999</v>
      </c>
      <c r="G23" s="7">
        <v>1.6953907000000001E-2</v>
      </c>
      <c r="H23" s="112"/>
    </row>
    <row r="24" spans="1:8" x14ac:dyDescent="0.2">
      <c r="A24" s="3">
        <v>18</v>
      </c>
      <c r="B24" s="4" t="s">
        <v>205</v>
      </c>
      <c r="C24" s="4" t="s">
        <v>206</v>
      </c>
      <c r="D24" s="4" t="s">
        <v>975</v>
      </c>
      <c r="E24" s="5">
        <v>24745</v>
      </c>
      <c r="F24" s="6">
        <v>214.37830750000001</v>
      </c>
      <c r="G24" s="7">
        <v>1.6825856E-2</v>
      </c>
      <c r="H24" s="112"/>
    </row>
    <row r="25" spans="1:8" x14ac:dyDescent="0.2">
      <c r="A25" s="3">
        <v>19</v>
      </c>
      <c r="B25" s="4" t="s">
        <v>165</v>
      </c>
      <c r="C25" s="4" t="s">
        <v>166</v>
      </c>
      <c r="D25" s="4" t="s">
        <v>976</v>
      </c>
      <c r="E25" s="5">
        <v>50602</v>
      </c>
      <c r="F25" s="6">
        <v>212.04768100000001</v>
      </c>
      <c r="G25" s="7">
        <v>1.6642932999999999E-2</v>
      </c>
      <c r="H25" s="112"/>
    </row>
    <row r="26" spans="1:8" x14ac:dyDescent="0.2">
      <c r="A26" s="3">
        <v>20</v>
      </c>
      <c r="B26" s="4" t="s">
        <v>182</v>
      </c>
      <c r="C26" s="4" t="s">
        <v>183</v>
      </c>
      <c r="D26" s="4" t="s">
        <v>162</v>
      </c>
      <c r="E26" s="5">
        <v>19362</v>
      </c>
      <c r="F26" s="6">
        <v>206.834565</v>
      </c>
      <c r="G26" s="7">
        <v>1.6233772E-2</v>
      </c>
      <c r="H26" s="112"/>
    </row>
    <row r="27" spans="1:8" x14ac:dyDescent="0.2">
      <c r="A27" s="3">
        <v>21</v>
      </c>
      <c r="B27" s="4" t="s">
        <v>174</v>
      </c>
      <c r="C27" s="4" t="s">
        <v>175</v>
      </c>
      <c r="D27" s="4" t="s">
        <v>162</v>
      </c>
      <c r="E27" s="5">
        <v>19400</v>
      </c>
      <c r="F27" s="6">
        <v>203.7</v>
      </c>
      <c r="G27" s="7">
        <v>1.5987751000000001E-2</v>
      </c>
      <c r="H27" s="112"/>
    </row>
    <row r="28" spans="1:8" x14ac:dyDescent="0.2">
      <c r="A28" s="3">
        <v>22</v>
      </c>
      <c r="B28" s="4" t="s">
        <v>487</v>
      </c>
      <c r="C28" s="4" t="s">
        <v>488</v>
      </c>
      <c r="D28" s="4" t="s">
        <v>186</v>
      </c>
      <c r="E28" s="5">
        <v>2436</v>
      </c>
      <c r="F28" s="6">
        <v>203.33048400000001</v>
      </c>
      <c r="G28" s="7">
        <v>1.5958749000000001E-2</v>
      </c>
      <c r="H28" s="112"/>
    </row>
    <row r="29" spans="1:8" ht="25.5" x14ac:dyDescent="0.2">
      <c r="A29" s="3">
        <v>23</v>
      </c>
      <c r="B29" s="4" t="s">
        <v>229</v>
      </c>
      <c r="C29" s="4" t="s">
        <v>230</v>
      </c>
      <c r="D29" s="4" t="s">
        <v>71</v>
      </c>
      <c r="E29" s="5">
        <v>9500</v>
      </c>
      <c r="F29" s="6">
        <v>196.935</v>
      </c>
      <c r="G29" s="7">
        <v>1.5456788000000001E-2</v>
      </c>
      <c r="H29" s="112"/>
    </row>
    <row r="30" spans="1:8" ht="25.5" x14ac:dyDescent="0.2">
      <c r="A30" s="3">
        <v>24</v>
      </c>
      <c r="B30" s="4" t="s">
        <v>489</v>
      </c>
      <c r="C30" s="4" t="s">
        <v>490</v>
      </c>
      <c r="D30" s="4" t="s">
        <v>192</v>
      </c>
      <c r="E30" s="5">
        <v>20000</v>
      </c>
      <c r="F30" s="6">
        <v>189.47</v>
      </c>
      <c r="G30" s="7">
        <v>1.4870883999999999E-2</v>
      </c>
      <c r="H30" s="112"/>
    </row>
    <row r="31" spans="1:8" x14ac:dyDescent="0.2">
      <c r="A31" s="3">
        <v>25</v>
      </c>
      <c r="B31" s="4" t="s">
        <v>219</v>
      </c>
      <c r="C31" s="4" t="s">
        <v>220</v>
      </c>
      <c r="D31" s="4" t="s">
        <v>64</v>
      </c>
      <c r="E31" s="5">
        <v>19637</v>
      </c>
      <c r="F31" s="6">
        <v>189.31049849999999</v>
      </c>
      <c r="G31" s="7">
        <v>1.4858365E-2</v>
      </c>
      <c r="H31" s="112"/>
    </row>
    <row r="32" spans="1:8" x14ac:dyDescent="0.2">
      <c r="A32" s="3">
        <v>26</v>
      </c>
      <c r="B32" s="4" t="s">
        <v>291</v>
      </c>
      <c r="C32" s="4" t="s">
        <v>292</v>
      </c>
      <c r="D32" s="4" t="s">
        <v>27</v>
      </c>
      <c r="E32" s="5">
        <v>54251</v>
      </c>
      <c r="F32" s="6">
        <v>187.11169899999999</v>
      </c>
      <c r="G32" s="7">
        <v>1.4685788999999999E-2</v>
      </c>
      <c r="H32" s="112"/>
    </row>
    <row r="33" spans="1:8" x14ac:dyDescent="0.2">
      <c r="A33" s="3">
        <v>27</v>
      </c>
      <c r="B33" s="4" t="s">
        <v>382</v>
      </c>
      <c r="C33" s="4" t="s">
        <v>383</v>
      </c>
      <c r="D33" s="4" t="s">
        <v>71</v>
      </c>
      <c r="E33" s="5">
        <v>8109</v>
      </c>
      <c r="F33" s="6">
        <v>179.39540700000001</v>
      </c>
      <c r="G33" s="7">
        <v>1.4080162E-2</v>
      </c>
      <c r="H33" s="112"/>
    </row>
    <row r="34" spans="1:8" x14ac:dyDescent="0.2">
      <c r="A34" s="3">
        <v>28</v>
      </c>
      <c r="B34" s="4" t="s">
        <v>169</v>
      </c>
      <c r="C34" s="4" t="s">
        <v>170</v>
      </c>
      <c r="D34" s="4" t="s">
        <v>19</v>
      </c>
      <c r="E34" s="5">
        <v>98212</v>
      </c>
      <c r="F34" s="6">
        <v>177.321766</v>
      </c>
      <c r="G34" s="7">
        <v>1.3917409E-2</v>
      </c>
      <c r="H34" s="112"/>
    </row>
    <row r="35" spans="1:8" x14ac:dyDescent="0.2">
      <c r="A35" s="3">
        <v>29</v>
      </c>
      <c r="B35" s="4" t="s">
        <v>203</v>
      </c>
      <c r="C35" s="4" t="s">
        <v>204</v>
      </c>
      <c r="D35" s="4" t="s">
        <v>81</v>
      </c>
      <c r="E35" s="5">
        <v>27174</v>
      </c>
      <c r="F35" s="6">
        <v>170.34021899999999</v>
      </c>
      <c r="G35" s="7">
        <v>1.336945E-2</v>
      </c>
      <c r="H35" s="112"/>
    </row>
    <row r="36" spans="1:8" x14ac:dyDescent="0.2">
      <c r="A36" s="3">
        <v>30</v>
      </c>
      <c r="B36" s="4" t="s">
        <v>471</v>
      </c>
      <c r="C36" s="4" t="s">
        <v>472</v>
      </c>
      <c r="D36" s="4" t="s">
        <v>27</v>
      </c>
      <c r="E36" s="5">
        <v>19126</v>
      </c>
      <c r="F36" s="6">
        <v>160.524518</v>
      </c>
      <c r="G36" s="7">
        <v>1.2599047E-2</v>
      </c>
      <c r="H36" s="112"/>
    </row>
    <row r="37" spans="1:8" x14ac:dyDescent="0.2">
      <c r="A37" s="3">
        <v>31</v>
      </c>
      <c r="B37" s="4" t="s">
        <v>481</v>
      </c>
      <c r="C37" s="4" t="s">
        <v>482</v>
      </c>
      <c r="D37" s="4" t="s">
        <v>186</v>
      </c>
      <c r="E37" s="5">
        <v>27833</v>
      </c>
      <c r="F37" s="6">
        <v>160.23458099999999</v>
      </c>
      <c r="G37" s="7">
        <v>1.2576291E-2</v>
      </c>
      <c r="H37" s="112"/>
    </row>
    <row r="38" spans="1:8" x14ac:dyDescent="0.2">
      <c r="A38" s="3">
        <v>32</v>
      </c>
      <c r="B38" s="4" t="s">
        <v>491</v>
      </c>
      <c r="C38" s="4" t="s">
        <v>492</v>
      </c>
      <c r="D38" s="4" t="s">
        <v>16</v>
      </c>
      <c r="E38" s="5">
        <v>108924</v>
      </c>
      <c r="F38" s="6">
        <v>150.47850600000001</v>
      </c>
      <c r="G38" s="7">
        <v>1.1810569E-2</v>
      </c>
      <c r="H38" s="112"/>
    </row>
    <row r="39" spans="1:8" x14ac:dyDescent="0.2">
      <c r="A39" s="3">
        <v>33</v>
      </c>
      <c r="B39" s="4" t="s">
        <v>39</v>
      </c>
      <c r="C39" s="4" t="s">
        <v>40</v>
      </c>
      <c r="D39" s="4" t="s">
        <v>27</v>
      </c>
      <c r="E39" s="5">
        <v>5688</v>
      </c>
      <c r="F39" s="6">
        <v>144.003096</v>
      </c>
      <c r="G39" s="7">
        <v>1.1302335E-2</v>
      </c>
      <c r="H39" s="112"/>
    </row>
    <row r="40" spans="1:8" x14ac:dyDescent="0.2">
      <c r="A40" s="3">
        <v>34</v>
      </c>
      <c r="B40" s="4" t="s">
        <v>238</v>
      </c>
      <c r="C40" s="4" t="s">
        <v>239</v>
      </c>
      <c r="D40" s="4" t="s">
        <v>186</v>
      </c>
      <c r="E40" s="5">
        <v>27841</v>
      </c>
      <c r="F40" s="6">
        <v>143.60387800000001</v>
      </c>
      <c r="G40" s="7">
        <v>1.1271000999999999E-2</v>
      </c>
      <c r="H40" s="112"/>
    </row>
    <row r="41" spans="1:8" x14ac:dyDescent="0.2">
      <c r="A41" s="3">
        <v>35</v>
      </c>
      <c r="B41" s="4" t="s">
        <v>176</v>
      </c>
      <c r="C41" s="4" t="s">
        <v>177</v>
      </c>
      <c r="D41" s="4" t="s">
        <v>178</v>
      </c>
      <c r="E41" s="5">
        <v>14087</v>
      </c>
      <c r="F41" s="6">
        <v>143.50426899999999</v>
      </c>
      <c r="G41" s="7">
        <v>1.1263183E-2</v>
      </c>
      <c r="H41" s="112"/>
    </row>
    <row r="42" spans="1:8" x14ac:dyDescent="0.2">
      <c r="A42" s="3">
        <v>36</v>
      </c>
      <c r="B42" s="4" t="s">
        <v>231</v>
      </c>
      <c r="C42" s="4" t="s">
        <v>232</v>
      </c>
      <c r="D42" s="4" t="s">
        <v>71</v>
      </c>
      <c r="E42" s="5">
        <v>51244</v>
      </c>
      <c r="F42" s="6">
        <v>143.150114</v>
      </c>
      <c r="G42" s="7">
        <v>1.1235386999999999E-2</v>
      </c>
      <c r="H42" s="112"/>
    </row>
    <row r="43" spans="1:8" x14ac:dyDescent="0.2">
      <c r="A43" s="3">
        <v>37</v>
      </c>
      <c r="B43" s="4" t="s">
        <v>143</v>
      </c>
      <c r="C43" s="4" t="s">
        <v>144</v>
      </c>
      <c r="D43" s="4" t="s">
        <v>27</v>
      </c>
      <c r="E43" s="5">
        <v>15638</v>
      </c>
      <c r="F43" s="6">
        <v>142.782759</v>
      </c>
      <c r="G43" s="7">
        <v>1.1206554000000001E-2</v>
      </c>
      <c r="H43" s="112"/>
    </row>
    <row r="44" spans="1:8" x14ac:dyDescent="0.2">
      <c r="A44" s="3">
        <v>38</v>
      </c>
      <c r="B44" s="4" t="s">
        <v>240</v>
      </c>
      <c r="C44" s="4" t="s">
        <v>241</v>
      </c>
      <c r="D44" s="4" t="s">
        <v>81</v>
      </c>
      <c r="E44" s="5">
        <v>254112</v>
      </c>
      <c r="F44" s="6">
        <v>140.01571200000001</v>
      </c>
      <c r="G44" s="7">
        <v>1.0989377999999999E-2</v>
      </c>
      <c r="H44" s="112"/>
    </row>
    <row r="45" spans="1:8" x14ac:dyDescent="0.2">
      <c r="A45" s="3">
        <v>39</v>
      </c>
      <c r="B45" s="4" t="s">
        <v>207</v>
      </c>
      <c r="C45" s="4" t="s">
        <v>208</v>
      </c>
      <c r="D45" s="4" t="s">
        <v>209</v>
      </c>
      <c r="E45" s="5">
        <v>29888</v>
      </c>
      <c r="F45" s="6">
        <v>139.18841599999999</v>
      </c>
      <c r="G45" s="7">
        <v>1.0924446000000001E-2</v>
      </c>
      <c r="H45" s="112"/>
    </row>
    <row r="46" spans="1:8" x14ac:dyDescent="0.2">
      <c r="A46" s="3">
        <v>40</v>
      </c>
      <c r="B46" s="4" t="s">
        <v>210</v>
      </c>
      <c r="C46" s="4" t="s">
        <v>211</v>
      </c>
      <c r="D46" s="4" t="s">
        <v>212</v>
      </c>
      <c r="E46" s="5">
        <v>54852</v>
      </c>
      <c r="F46" s="6">
        <v>136.142664</v>
      </c>
      <c r="G46" s="7">
        <v>1.0685395E-2</v>
      </c>
      <c r="H46" s="112"/>
    </row>
    <row r="47" spans="1:8" x14ac:dyDescent="0.2">
      <c r="A47" s="3">
        <v>41</v>
      </c>
      <c r="B47" s="4" t="s">
        <v>244</v>
      </c>
      <c r="C47" s="4" t="s">
        <v>245</v>
      </c>
      <c r="D47" s="4" t="s">
        <v>173</v>
      </c>
      <c r="E47" s="5">
        <v>33876</v>
      </c>
      <c r="F47" s="6">
        <v>133.606944</v>
      </c>
      <c r="G47" s="7">
        <v>1.0486374999999999E-2</v>
      </c>
      <c r="H47" s="112"/>
    </row>
    <row r="48" spans="1:8" ht="25.5" x14ac:dyDescent="0.2">
      <c r="A48" s="3">
        <v>42</v>
      </c>
      <c r="B48" s="4" t="s">
        <v>235</v>
      </c>
      <c r="C48" s="4" t="s">
        <v>236</v>
      </c>
      <c r="D48" s="4" t="s">
        <v>192</v>
      </c>
      <c r="E48" s="5">
        <v>28703</v>
      </c>
      <c r="F48" s="6">
        <v>131.15835849999999</v>
      </c>
      <c r="G48" s="7">
        <v>1.0294193E-2</v>
      </c>
      <c r="H48" s="112"/>
    </row>
    <row r="49" spans="1:8" x14ac:dyDescent="0.2">
      <c r="A49" s="3">
        <v>43</v>
      </c>
      <c r="B49" s="4" t="s">
        <v>248</v>
      </c>
      <c r="C49" s="4" t="s">
        <v>249</v>
      </c>
      <c r="D49" s="4" t="s">
        <v>186</v>
      </c>
      <c r="E49" s="5">
        <v>7795</v>
      </c>
      <c r="F49" s="6">
        <v>130.8117925</v>
      </c>
      <c r="G49" s="7">
        <v>1.0266992000000001E-2</v>
      </c>
      <c r="H49" s="112"/>
    </row>
    <row r="50" spans="1:8" x14ac:dyDescent="0.2">
      <c r="A50" s="3">
        <v>44</v>
      </c>
      <c r="B50" s="4" t="s">
        <v>227</v>
      </c>
      <c r="C50" s="4" t="s">
        <v>228</v>
      </c>
      <c r="D50" s="4" t="s">
        <v>974</v>
      </c>
      <c r="E50" s="5">
        <v>7527</v>
      </c>
      <c r="F50" s="6">
        <v>128.2412625</v>
      </c>
      <c r="G50" s="7">
        <v>1.006524E-2</v>
      </c>
      <c r="H50" s="112"/>
    </row>
    <row r="51" spans="1:8" x14ac:dyDescent="0.2">
      <c r="A51" s="3">
        <v>45</v>
      </c>
      <c r="B51" s="4" t="s">
        <v>163</v>
      </c>
      <c r="C51" s="4" t="s">
        <v>164</v>
      </c>
      <c r="D51" s="4" t="s">
        <v>162</v>
      </c>
      <c r="E51" s="5">
        <v>40028</v>
      </c>
      <c r="F51" s="6">
        <v>123.566436</v>
      </c>
      <c r="G51" s="7">
        <v>9.6983280000000009E-3</v>
      </c>
      <c r="H51" s="112"/>
    </row>
    <row r="52" spans="1:8" ht="25.5" x14ac:dyDescent="0.2">
      <c r="A52" s="3">
        <v>46</v>
      </c>
      <c r="B52" s="4" t="s">
        <v>335</v>
      </c>
      <c r="C52" s="4" t="s">
        <v>336</v>
      </c>
      <c r="D52" s="4" t="s">
        <v>71</v>
      </c>
      <c r="E52" s="5">
        <v>26486</v>
      </c>
      <c r="F52" s="6">
        <v>123.318816</v>
      </c>
      <c r="G52" s="7">
        <v>9.6788929999999992E-3</v>
      </c>
      <c r="H52" s="112"/>
    </row>
    <row r="53" spans="1:8" ht="25.5" x14ac:dyDescent="0.2">
      <c r="A53" s="3">
        <v>47</v>
      </c>
      <c r="B53" s="4" t="s">
        <v>246</v>
      </c>
      <c r="C53" s="4" t="s">
        <v>247</v>
      </c>
      <c r="D53" s="4" t="s">
        <v>978</v>
      </c>
      <c r="E53" s="5">
        <v>115940</v>
      </c>
      <c r="F53" s="6">
        <v>122.20076</v>
      </c>
      <c r="G53" s="7">
        <v>9.5911399999999997E-3</v>
      </c>
      <c r="H53" s="112"/>
    </row>
    <row r="54" spans="1:8" x14ac:dyDescent="0.2">
      <c r="A54" s="3">
        <v>48</v>
      </c>
      <c r="B54" s="4" t="s">
        <v>193</v>
      </c>
      <c r="C54" s="4" t="s">
        <v>194</v>
      </c>
      <c r="D54" s="4" t="s">
        <v>16</v>
      </c>
      <c r="E54" s="5">
        <v>38906</v>
      </c>
      <c r="F54" s="6">
        <v>120.764224</v>
      </c>
      <c r="G54" s="7">
        <v>9.4783909999999992E-3</v>
      </c>
      <c r="H54" s="112"/>
    </row>
    <row r="55" spans="1:8" x14ac:dyDescent="0.2">
      <c r="A55" s="3">
        <v>49</v>
      </c>
      <c r="B55" s="4" t="s">
        <v>179</v>
      </c>
      <c r="C55" s="4" t="s">
        <v>180</v>
      </c>
      <c r="D55" s="4" t="s">
        <v>71</v>
      </c>
      <c r="E55" s="5">
        <v>11620</v>
      </c>
      <c r="F55" s="6">
        <v>119.15148000000001</v>
      </c>
      <c r="G55" s="7">
        <v>9.3518119999999993E-3</v>
      </c>
      <c r="H55" s="112"/>
    </row>
    <row r="56" spans="1:8" ht="25.5" x14ac:dyDescent="0.2">
      <c r="A56" s="3">
        <v>50</v>
      </c>
      <c r="B56" s="4" t="s">
        <v>181</v>
      </c>
      <c r="C56" s="4" t="s">
        <v>931</v>
      </c>
      <c r="D56" s="4" t="s">
        <v>45</v>
      </c>
      <c r="E56" s="5">
        <v>50508</v>
      </c>
      <c r="F56" s="6">
        <v>117.860418</v>
      </c>
      <c r="G56" s="7">
        <v>9.2504809999999996E-3</v>
      </c>
      <c r="H56" s="112"/>
    </row>
    <row r="57" spans="1:8" ht="25.5" x14ac:dyDescent="0.2">
      <c r="A57" s="3">
        <v>51</v>
      </c>
      <c r="B57" s="4" t="s">
        <v>250</v>
      </c>
      <c r="C57" s="4" t="s">
        <v>251</v>
      </c>
      <c r="D57" s="4" t="s">
        <v>192</v>
      </c>
      <c r="E57" s="5">
        <v>30368</v>
      </c>
      <c r="F57" s="6">
        <v>115.55024</v>
      </c>
      <c r="G57" s="7">
        <v>9.0691629999999999E-3</v>
      </c>
      <c r="H57" s="112"/>
    </row>
    <row r="58" spans="1:8" x14ac:dyDescent="0.2">
      <c r="A58" s="3">
        <v>52</v>
      </c>
      <c r="B58" s="4" t="s">
        <v>493</v>
      </c>
      <c r="C58" s="4" t="s">
        <v>494</v>
      </c>
      <c r="D58" s="4" t="s">
        <v>50</v>
      </c>
      <c r="E58" s="5">
        <v>103230</v>
      </c>
      <c r="F58" s="6">
        <v>115.359525</v>
      </c>
      <c r="G58" s="7">
        <v>9.0541939999999998E-3</v>
      </c>
      <c r="H58" s="112"/>
    </row>
    <row r="59" spans="1:8" x14ac:dyDescent="0.2">
      <c r="A59" s="3">
        <v>53</v>
      </c>
      <c r="B59" s="4" t="s">
        <v>473</v>
      </c>
      <c r="C59" s="4" t="s">
        <v>474</v>
      </c>
      <c r="D59" s="4" t="s">
        <v>81</v>
      </c>
      <c r="E59" s="5">
        <v>17966</v>
      </c>
      <c r="F59" s="6">
        <v>112.88936099999999</v>
      </c>
      <c r="G59" s="7">
        <v>8.8603190000000002E-3</v>
      </c>
      <c r="H59" s="112"/>
    </row>
    <row r="60" spans="1:8" x14ac:dyDescent="0.2">
      <c r="A60" s="3">
        <v>54</v>
      </c>
      <c r="B60" s="4" t="s">
        <v>495</v>
      </c>
      <c r="C60" s="4" t="s">
        <v>496</v>
      </c>
      <c r="D60" s="4" t="s">
        <v>64</v>
      </c>
      <c r="E60" s="5">
        <v>138600</v>
      </c>
      <c r="F60" s="6">
        <v>112.4046</v>
      </c>
      <c r="G60" s="7">
        <v>8.8222720000000008E-3</v>
      </c>
      <c r="H60" s="112"/>
    </row>
    <row r="61" spans="1:8" x14ac:dyDescent="0.2">
      <c r="A61" s="3">
        <v>55</v>
      </c>
      <c r="B61" s="4" t="s">
        <v>254</v>
      </c>
      <c r="C61" s="4" t="s">
        <v>255</v>
      </c>
      <c r="D61" s="4" t="s">
        <v>162</v>
      </c>
      <c r="E61" s="5">
        <v>8261</v>
      </c>
      <c r="F61" s="6">
        <v>105.278184</v>
      </c>
      <c r="G61" s="7">
        <v>8.2629420000000006E-3</v>
      </c>
      <c r="H61" s="112"/>
    </row>
    <row r="62" spans="1:8" x14ac:dyDescent="0.2">
      <c r="A62" s="3">
        <v>56</v>
      </c>
      <c r="B62" s="4" t="s">
        <v>497</v>
      </c>
      <c r="C62" s="4" t="s">
        <v>498</v>
      </c>
      <c r="D62" s="4" t="s">
        <v>186</v>
      </c>
      <c r="E62" s="5">
        <v>2024</v>
      </c>
      <c r="F62" s="6">
        <v>102.15836400000001</v>
      </c>
      <c r="G62" s="7">
        <v>8.0180779999999997E-3</v>
      </c>
      <c r="H62" s="112"/>
    </row>
    <row r="63" spans="1:8" x14ac:dyDescent="0.2">
      <c r="A63" s="3">
        <v>57</v>
      </c>
      <c r="B63" s="4" t="s">
        <v>499</v>
      </c>
      <c r="C63" s="4" t="s">
        <v>500</v>
      </c>
      <c r="D63" s="4" t="s">
        <v>173</v>
      </c>
      <c r="E63" s="5">
        <v>27485</v>
      </c>
      <c r="F63" s="6">
        <v>99.262077500000004</v>
      </c>
      <c r="G63" s="7">
        <v>7.7907580000000001E-3</v>
      </c>
      <c r="H63" s="112"/>
    </row>
    <row r="64" spans="1:8" x14ac:dyDescent="0.2">
      <c r="A64" s="3">
        <v>58</v>
      </c>
      <c r="B64" s="4" t="s">
        <v>260</v>
      </c>
      <c r="C64" s="4" t="s">
        <v>261</v>
      </c>
      <c r="D64" s="4" t="s">
        <v>173</v>
      </c>
      <c r="E64" s="5">
        <v>16139</v>
      </c>
      <c r="F64" s="6">
        <v>97.229405499999999</v>
      </c>
      <c r="G64" s="7">
        <v>7.6312200000000002E-3</v>
      </c>
      <c r="H64" s="112"/>
    </row>
    <row r="65" spans="1:8" x14ac:dyDescent="0.2">
      <c r="A65" s="3">
        <v>59</v>
      </c>
      <c r="B65" s="4" t="s">
        <v>156</v>
      </c>
      <c r="C65" s="4" t="s">
        <v>157</v>
      </c>
      <c r="D65" s="4" t="s">
        <v>974</v>
      </c>
      <c r="E65" s="5">
        <v>7565</v>
      </c>
      <c r="F65" s="6">
        <v>94.070774999999998</v>
      </c>
      <c r="G65" s="7">
        <v>7.3833090000000002E-3</v>
      </c>
      <c r="H65" s="112"/>
    </row>
    <row r="66" spans="1:8" x14ac:dyDescent="0.2">
      <c r="A66" s="3">
        <v>60</v>
      </c>
      <c r="B66" s="4" t="s">
        <v>258</v>
      </c>
      <c r="C66" s="4" t="s">
        <v>259</v>
      </c>
      <c r="D66" s="4" t="s">
        <v>53</v>
      </c>
      <c r="E66" s="5">
        <v>9697</v>
      </c>
      <c r="F66" s="6">
        <v>92.771198999999996</v>
      </c>
      <c r="G66" s="7">
        <v>7.28131E-3</v>
      </c>
      <c r="H66" s="112"/>
    </row>
    <row r="67" spans="1:8" x14ac:dyDescent="0.2">
      <c r="A67" s="3">
        <v>61</v>
      </c>
      <c r="B67" s="4" t="s">
        <v>264</v>
      </c>
      <c r="C67" s="4" t="s">
        <v>265</v>
      </c>
      <c r="D67" s="4" t="s">
        <v>266</v>
      </c>
      <c r="E67" s="5">
        <v>36994</v>
      </c>
      <c r="F67" s="6">
        <v>84.919726999999995</v>
      </c>
      <c r="G67" s="7">
        <v>6.6650729999999997E-3</v>
      </c>
      <c r="H67" s="112"/>
    </row>
    <row r="68" spans="1:8" x14ac:dyDescent="0.2">
      <c r="A68" s="3">
        <v>62</v>
      </c>
      <c r="B68" s="4" t="s">
        <v>242</v>
      </c>
      <c r="C68" s="4" t="s">
        <v>243</v>
      </c>
      <c r="D68" s="4" t="s">
        <v>334</v>
      </c>
      <c r="E68" s="5">
        <v>7010</v>
      </c>
      <c r="F68" s="6">
        <v>83.944749999999999</v>
      </c>
      <c r="G68" s="7">
        <v>6.5885500000000003E-3</v>
      </c>
      <c r="H68" s="112"/>
    </row>
    <row r="69" spans="1:8" x14ac:dyDescent="0.2">
      <c r="A69" s="3">
        <v>63</v>
      </c>
      <c r="B69" s="4" t="s">
        <v>269</v>
      </c>
      <c r="C69" s="4" t="s">
        <v>270</v>
      </c>
      <c r="D69" s="4" t="s">
        <v>186</v>
      </c>
      <c r="E69" s="5">
        <v>1438</v>
      </c>
      <c r="F69" s="6">
        <v>77.993525000000005</v>
      </c>
      <c r="G69" s="7">
        <v>6.1214579999999998E-3</v>
      </c>
      <c r="H69" s="112"/>
    </row>
    <row r="70" spans="1:8" x14ac:dyDescent="0.2">
      <c r="A70" s="3">
        <v>64</v>
      </c>
      <c r="B70" s="4" t="s">
        <v>277</v>
      </c>
      <c r="C70" s="4" t="s">
        <v>278</v>
      </c>
      <c r="D70" s="4" t="s">
        <v>186</v>
      </c>
      <c r="E70" s="5">
        <v>23079</v>
      </c>
      <c r="F70" s="6">
        <v>71.175635999999997</v>
      </c>
      <c r="G70" s="7">
        <v>5.586344E-3</v>
      </c>
      <c r="H70" s="112"/>
    </row>
    <row r="71" spans="1:8" x14ac:dyDescent="0.2">
      <c r="A71" s="3">
        <v>65</v>
      </c>
      <c r="B71" s="4" t="s">
        <v>271</v>
      </c>
      <c r="C71" s="4" t="s">
        <v>272</v>
      </c>
      <c r="D71" s="4" t="s">
        <v>147</v>
      </c>
      <c r="E71" s="5">
        <v>10835</v>
      </c>
      <c r="F71" s="6">
        <v>70.492509999999996</v>
      </c>
      <c r="G71" s="7">
        <v>5.5327279999999998E-3</v>
      </c>
      <c r="H71" s="112"/>
    </row>
    <row r="72" spans="1:8" x14ac:dyDescent="0.2">
      <c r="A72" s="3">
        <v>66</v>
      </c>
      <c r="B72" s="4" t="s">
        <v>275</v>
      </c>
      <c r="C72" s="4" t="s">
        <v>276</v>
      </c>
      <c r="D72" s="4" t="s">
        <v>162</v>
      </c>
      <c r="E72" s="5">
        <v>14362</v>
      </c>
      <c r="F72" s="6">
        <v>59.473042</v>
      </c>
      <c r="G72" s="7">
        <v>4.6678459999999998E-3</v>
      </c>
      <c r="H72" s="112"/>
    </row>
    <row r="73" spans="1:8" x14ac:dyDescent="0.2">
      <c r="A73" s="3">
        <v>67</v>
      </c>
      <c r="B73" s="4" t="s">
        <v>469</v>
      </c>
      <c r="C73" s="4" t="s">
        <v>470</v>
      </c>
      <c r="D73" s="4" t="s">
        <v>71</v>
      </c>
      <c r="E73" s="5">
        <v>6000</v>
      </c>
      <c r="F73" s="6">
        <v>57.606000000000002</v>
      </c>
      <c r="G73" s="7">
        <v>4.5213079999999999E-3</v>
      </c>
      <c r="H73" s="112"/>
    </row>
    <row r="74" spans="1:8" x14ac:dyDescent="0.2">
      <c r="A74" s="3">
        <v>68</v>
      </c>
      <c r="B74" s="4" t="s">
        <v>199</v>
      </c>
      <c r="C74" s="4" t="s">
        <v>200</v>
      </c>
      <c r="D74" s="4" t="s">
        <v>64</v>
      </c>
      <c r="E74" s="5">
        <v>54714</v>
      </c>
      <c r="F74" s="6">
        <v>57.285558000000002</v>
      </c>
      <c r="G74" s="7">
        <v>4.4961569999999998E-3</v>
      </c>
      <c r="H74" s="112"/>
    </row>
    <row r="75" spans="1:8" x14ac:dyDescent="0.2">
      <c r="A75" s="3">
        <v>69</v>
      </c>
      <c r="B75" s="4" t="s">
        <v>281</v>
      </c>
      <c r="C75" s="4" t="s">
        <v>282</v>
      </c>
      <c r="D75" s="4" t="s">
        <v>334</v>
      </c>
      <c r="E75" s="5">
        <v>2959</v>
      </c>
      <c r="F75" s="6">
        <v>23.599504499999998</v>
      </c>
      <c r="G75" s="7">
        <v>1.8522479999999999E-3</v>
      </c>
      <c r="H75" s="112"/>
    </row>
    <row r="76" spans="1:8" x14ac:dyDescent="0.2">
      <c r="A76" s="3">
        <v>70</v>
      </c>
      <c r="B76" s="4" t="s">
        <v>283</v>
      </c>
      <c r="C76" s="4" t="s">
        <v>284</v>
      </c>
      <c r="D76" s="4" t="s">
        <v>19</v>
      </c>
      <c r="E76" s="5">
        <v>20600</v>
      </c>
      <c r="F76" s="6">
        <v>13.2355</v>
      </c>
      <c r="G76" s="7">
        <v>1.0388109999999999E-3</v>
      </c>
      <c r="H76" s="112"/>
    </row>
    <row r="77" spans="1:8" x14ac:dyDescent="0.2">
      <c r="A77" s="1"/>
      <c r="B77" s="1"/>
      <c r="C77" s="2" t="s">
        <v>97</v>
      </c>
      <c r="D77" s="1"/>
      <c r="E77" s="1" t="s">
        <v>98</v>
      </c>
      <c r="F77" s="9">
        <v>12173.624226</v>
      </c>
      <c r="G77" s="10">
        <v>0.95546817900000003</v>
      </c>
      <c r="H77" s="112"/>
    </row>
    <row r="78" spans="1:8" x14ac:dyDescent="0.2">
      <c r="A78" s="1"/>
      <c r="B78" s="1"/>
      <c r="C78" s="11"/>
      <c r="D78" s="1"/>
      <c r="E78" s="1"/>
      <c r="F78" s="12"/>
      <c r="G78" s="12"/>
      <c r="H78" s="112"/>
    </row>
    <row r="79" spans="1:8" x14ac:dyDescent="0.2">
      <c r="A79" s="1"/>
      <c r="B79" s="1"/>
      <c r="C79" s="2" t="s">
        <v>99</v>
      </c>
      <c r="D79" s="1"/>
      <c r="E79" s="1"/>
      <c r="F79" s="1"/>
      <c r="G79" s="1"/>
      <c r="H79" s="112"/>
    </row>
    <row r="80" spans="1:8" x14ac:dyDescent="0.2">
      <c r="A80" s="1"/>
      <c r="B80" s="1"/>
      <c r="C80" s="2" t="s">
        <v>97</v>
      </c>
      <c r="D80" s="1"/>
      <c r="E80" s="1" t="s">
        <v>98</v>
      </c>
      <c r="F80" s="13">
        <v>0</v>
      </c>
      <c r="G80" s="14">
        <v>0</v>
      </c>
      <c r="H80" s="112"/>
    </row>
    <row r="81" spans="1:8" x14ac:dyDescent="0.2">
      <c r="A81" s="1"/>
      <c r="B81" s="1"/>
      <c r="C81" s="11"/>
      <c r="D81" s="1"/>
      <c r="E81" s="1"/>
      <c r="F81" s="12"/>
      <c r="G81" s="12"/>
      <c r="H81" s="112"/>
    </row>
    <row r="82" spans="1:8" x14ac:dyDescent="0.2">
      <c r="A82" s="1"/>
      <c r="B82" s="1"/>
      <c r="C82" s="2" t="s">
        <v>100</v>
      </c>
      <c r="D82" s="1"/>
      <c r="E82" s="1"/>
      <c r="F82" s="1"/>
      <c r="G82" s="1"/>
      <c r="H82" s="112"/>
    </row>
    <row r="83" spans="1:8" x14ac:dyDescent="0.2">
      <c r="A83" s="1"/>
      <c r="B83" s="1"/>
      <c r="C83" s="2" t="s">
        <v>97</v>
      </c>
      <c r="D83" s="1"/>
      <c r="E83" s="1" t="s">
        <v>98</v>
      </c>
      <c r="F83" s="13">
        <v>0</v>
      </c>
      <c r="G83" s="14">
        <v>0</v>
      </c>
      <c r="H83" s="112"/>
    </row>
    <row r="84" spans="1:8" x14ac:dyDescent="0.2">
      <c r="A84" s="1"/>
      <c r="B84" s="1"/>
      <c r="C84" s="11"/>
      <c r="D84" s="1"/>
      <c r="E84" s="1"/>
      <c r="F84" s="12"/>
      <c r="G84" s="12"/>
      <c r="H84" s="112"/>
    </row>
    <row r="85" spans="1:8" x14ac:dyDescent="0.2">
      <c r="A85" s="1"/>
      <c r="B85" s="1"/>
      <c r="C85" s="2" t="s">
        <v>101</v>
      </c>
      <c r="D85" s="1"/>
      <c r="E85" s="1"/>
      <c r="F85" s="1"/>
      <c r="G85" s="1"/>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102</v>
      </c>
      <c r="D88" s="1"/>
      <c r="E88" s="1"/>
      <c r="F88" s="12"/>
      <c r="G88" s="12"/>
      <c r="H88" s="112"/>
    </row>
    <row r="89" spans="1:8" x14ac:dyDescent="0.2">
      <c r="A89" s="1"/>
      <c r="B89" s="1"/>
      <c r="C89" s="2" t="s">
        <v>97</v>
      </c>
      <c r="D89" s="1"/>
      <c r="E89" s="1" t="s">
        <v>98</v>
      </c>
      <c r="F89" s="13">
        <v>0</v>
      </c>
      <c r="G89" s="14">
        <v>0</v>
      </c>
      <c r="H89" s="112"/>
    </row>
    <row r="90" spans="1:8" x14ac:dyDescent="0.2">
      <c r="A90" s="1"/>
      <c r="B90" s="1"/>
      <c r="C90" s="11"/>
      <c r="D90" s="1"/>
      <c r="E90" s="1"/>
      <c r="F90" s="12"/>
      <c r="G90" s="12"/>
      <c r="H90" s="112"/>
    </row>
    <row r="91" spans="1:8" x14ac:dyDescent="0.2">
      <c r="A91" s="1"/>
      <c r="B91" s="1"/>
      <c r="C91" s="2" t="s">
        <v>103</v>
      </c>
      <c r="D91" s="1"/>
      <c r="E91" s="1"/>
      <c r="F91" s="12"/>
      <c r="G91" s="12"/>
      <c r="H91" s="112"/>
    </row>
    <row r="92" spans="1:8" x14ac:dyDescent="0.2">
      <c r="A92" s="1"/>
      <c r="B92" s="1"/>
      <c r="C92" s="2" t="s">
        <v>97</v>
      </c>
      <c r="D92" s="1"/>
      <c r="E92" s="1" t="s">
        <v>98</v>
      </c>
      <c r="F92" s="13">
        <v>0</v>
      </c>
      <c r="G92" s="14">
        <v>0</v>
      </c>
      <c r="H92" s="112"/>
    </row>
    <row r="93" spans="1:8" x14ac:dyDescent="0.2">
      <c r="A93" s="1"/>
      <c r="B93" s="1"/>
      <c r="C93" s="11"/>
      <c r="D93" s="1"/>
      <c r="E93" s="1"/>
      <c r="F93" s="12"/>
      <c r="G93" s="12"/>
      <c r="H93" s="112"/>
    </row>
    <row r="94" spans="1:8" x14ac:dyDescent="0.2">
      <c r="A94" s="1"/>
      <c r="B94" s="1"/>
      <c r="C94" s="2" t="s">
        <v>104</v>
      </c>
      <c r="D94" s="1"/>
      <c r="E94" s="1"/>
      <c r="F94" s="9">
        <v>12173.624226</v>
      </c>
      <c r="G94" s="10">
        <v>0.95546817900000003</v>
      </c>
      <c r="H94" s="112"/>
    </row>
    <row r="95" spans="1:8" x14ac:dyDescent="0.2">
      <c r="A95" s="1"/>
      <c r="B95" s="1"/>
      <c r="C95" s="11"/>
      <c r="D95" s="1"/>
      <c r="E95" s="1"/>
      <c r="F95" s="12"/>
      <c r="G95" s="12"/>
      <c r="H95" s="112"/>
    </row>
    <row r="96" spans="1:8" x14ac:dyDescent="0.2">
      <c r="A96" s="1"/>
      <c r="B96" s="1"/>
      <c r="C96" s="2" t="s">
        <v>105</v>
      </c>
      <c r="D96" s="1"/>
      <c r="E96" s="1"/>
      <c r="F96" s="12"/>
      <c r="G96" s="12"/>
      <c r="H96" s="112"/>
    </row>
    <row r="97" spans="1:8" ht="25.5" x14ac:dyDescent="0.2">
      <c r="A97" s="1"/>
      <c r="B97" s="1"/>
      <c r="C97" s="2" t="s">
        <v>10</v>
      </c>
      <c r="D97" s="1"/>
      <c r="E97" s="1"/>
      <c r="F97" s="12"/>
      <c r="G97" s="12"/>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106</v>
      </c>
      <c r="D100" s="1"/>
      <c r="E100" s="1"/>
      <c r="F100" s="1"/>
      <c r="G100" s="1"/>
      <c r="H100" s="112"/>
    </row>
    <row r="101" spans="1:8" x14ac:dyDescent="0.2">
      <c r="A101" s="1"/>
      <c r="B101" s="1"/>
      <c r="C101" s="2" t="s">
        <v>97</v>
      </c>
      <c r="D101" s="1"/>
      <c r="E101" s="1" t="s">
        <v>98</v>
      </c>
      <c r="F101" s="13">
        <v>0</v>
      </c>
      <c r="G101" s="14">
        <v>0</v>
      </c>
      <c r="H101" s="112"/>
    </row>
    <row r="102" spans="1:8" x14ac:dyDescent="0.2">
      <c r="A102" s="1"/>
      <c r="B102" s="1"/>
      <c r="C102" s="11"/>
      <c r="D102" s="1"/>
      <c r="E102" s="1"/>
      <c r="F102" s="12"/>
      <c r="G102" s="12"/>
      <c r="H102" s="112"/>
    </row>
    <row r="103" spans="1:8" x14ac:dyDescent="0.2">
      <c r="A103" s="1"/>
      <c r="B103" s="1"/>
      <c r="C103" s="2" t="s">
        <v>107</v>
      </c>
      <c r="D103" s="1"/>
      <c r="E103" s="1"/>
      <c r="F103" s="1"/>
      <c r="G103" s="1"/>
      <c r="H103" s="112"/>
    </row>
    <row r="104" spans="1:8" x14ac:dyDescent="0.2">
      <c r="A104" s="1"/>
      <c r="B104" s="1"/>
      <c r="C104" s="2" t="s">
        <v>97</v>
      </c>
      <c r="D104" s="1"/>
      <c r="E104" s="1" t="s">
        <v>98</v>
      </c>
      <c r="F104" s="13">
        <v>0</v>
      </c>
      <c r="G104" s="14">
        <v>0</v>
      </c>
      <c r="H104" s="112"/>
    </row>
    <row r="105" spans="1:8" x14ac:dyDescent="0.2">
      <c r="A105" s="1"/>
      <c r="B105" s="1"/>
      <c r="C105" s="11"/>
      <c r="D105" s="1"/>
      <c r="E105" s="1"/>
      <c r="F105" s="12"/>
      <c r="G105" s="12"/>
      <c r="H105" s="112"/>
    </row>
    <row r="106" spans="1:8" x14ac:dyDescent="0.2">
      <c r="A106" s="1"/>
      <c r="B106" s="1"/>
      <c r="C106" s="2" t="s">
        <v>108</v>
      </c>
      <c r="D106" s="1"/>
      <c r="E106" s="1"/>
      <c r="F106" s="12"/>
      <c r="G106" s="12"/>
      <c r="H106" s="112"/>
    </row>
    <row r="107" spans="1:8" x14ac:dyDescent="0.2">
      <c r="A107" s="1"/>
      <c r="B107" s="1"/>
      <c r="C107" s="2" t="s">
        <v>97</v>
      </c>
      <c r="D107" s="1"/>
      <c r="E107" s="1" t="s">
        <v>98</v>
      </c>
      <c r="F107" s="13">
        <v>0</v>
      </c>
      <c r="G107" s="14">
        <v>0</v>
      </c>
      <c r="H107" s="112"/>
    </row>
    <row r="108" spans="1:8" x14ac:dyDescent="0.2">
      <c r="A108" s="1"/>
      <c r="B108" s="1"/>
      <c r="C108" s="11"/>
      <c r="D108" s="1"/>
      <c r="E108" s="1"/>
      <c r="F108" s="12"/>
      <c r="G108" s="12"/>
      <c r="H108" s="112"/>
    </row>
    <row r="109" spans="1:8" x14ac:dyDescent="0.2">
      <c r="A109" s="1"/>
      <c r="B109" s="1"/>
      <c r="C109" s="2" t="s">
        <v>109</v>
      </c>
      <c r="D109" s="1"/>
      <c r="E109" s="1"/>
      <c r="F109" s="9">
        <v>0</v>
      </c>
      <c r="G109" s="10">
        <v>0</v>
      </c>
      <c r="H109" s="112"/>
    </row>
    <row r="110" spans="1:8" x14ac:dyDescent="0.2">
      <c r="A110" s="1"/>
      <c r="B110" s="1"/>
      <c r="C110" s="11"/>
      <c r="D110" s="1"/>
      <c r="E110" s="1"/>
      <c r="F110" s="12"/>
      <c r="G110" s="12"/>
      <c r="H110" s="112"/>
    </row>
    <row r="111" spans="1:8" x14ac:dyDescent="0.2">
      <c r="A111" s="1"/>
      <c r="B111" s="1"/>
      <c r="C111" s="2" t="s">
        <v>110</v>
      </c>
      <c r="D111" s="1"/>
      <c r="E111" s="1"/>
      <c r="F111" s="12"/>
      <c r="G111" s="12"/>
      <c r="H111" s="112"/>
    </row>
    <row r="112" spans="1:8" x14ac:dyDescent="0.2">
      <c r="A112" s="1"/>
      <c r="B112" s="1"/>
      <c r="C112" s="2" t="s">
        <v>111</v>
      </c>
      <c r="D112" s="1"/>
      <c r="E112" s="1"/>
      <c r="F112" s="12"/>
      <c r="G112" s="12"/>
      <c r="H112" s="112"/>
    </row>
    <row r="113" spans="1:8" x14ac:dyDescent="0.2">
      <c r="A113" s="1"/>
      <c r="B113" s="1"/>
      <c r="C113" s="2" t="s">
        <v>97</v>
      </c>
      <c r="D113" s="1"/>
      <c r="E113" s="1" t="s">
        <v>98</v>
      </c>
      <c r="F113" s="13">
        <v>0</v>
      </c>
      <c r="G113" s="14">
        <v>0</v>
      </c>
      <c r="H113" s="112"/>
    </row>
    <row r="114" spans="1:8" x14ac:dyDescent="0.2">
      <c r="A114" s="1"/>
      <c r="B114" s="1"/>
      <c r="C114" s="11"/>
      <c r="D114" s="1"/>
      <c r="E114" s="1"/>
      <c r="F114" s="12"/>
      <c r="G114" s="12"/>
      <c r="H114" s="112"/>
    </row>
    <row r="115" spans="1:8" x14ac:dyDescent="0.2">
      <c r="A115" s="1"/>
      <c r="B115" s="1"/>
      <c r="C115" s="2" t="s">
        <v>112</v>
      </c>
      <c r="D115" s="1"/>
      <c r="E115" s="1"/>
      <c r="F115" s="12"/>
      <c r="G115" s="12"/>
      <c r="H115" s="112"/>
    </row>
    <row r="116" spans="1:8" x14ac:dyDescent="0.2">
      <c r="A116" s="1"/>
      <c r="B116" s="1"/>
      <c r="C116" s="2" t="s">
        <v>97</v>
      </c>
      <c r="D116" s="1"/>
      <c r="E116" s="1" t="s">
        <v>98</v>
      </c>
      <c r="F116" s="13">
        <v>0</v>
      </c>
      <c r="G116" s="14">
        <v>0</v>
      </c>
      <c r="H116" s="112"/>
    </row>
    <row r="117" spans="1:8" x14ac:dyDescent="0.2">
      <c r="A117" s="1"/>
      <c r="B117" s="1"/>
      <c r="C117" s="11"/>
      <c r="D117" s="1"/>
      <c r="E117" s="1"/>
      <c r="F117" s="12"/>
      <c r="G117" s="12"/>
      <c r="H117" s="112"/>
    </row>
    <row r="118" spans="1:8" x14ac:dyDescent="0.2">
      <c r="A118" s="1"/>
      <c r="B118" s="1"/>
      <c r="C118" s="2" t="s">
        <v>113</v>
      </c>
      <c r="D118" s="1"/>
      <c r="E118" s="1"/>
      <c r="F118" s="12"/>
      <c r="G118" s="12"/>
      <c r="H118" s="112"/>
    </row>
    <row r="119" spans="1:8" x14ac:dyDescent="0.2">
      <c r="A119" s="1"/>
      <c r="B119" s="1"/>
      <c r="C119" s="2" t="s">
        <v>97</v>
      </c>
      <c r="D119" s="1"/>
      <c r="E119" s="1" t="s">
        <v>98</v>
      </c>
      <c r="F119" s="13">
        <v>0</v>
      </c>
      <c r="G119" s="14">
        <v>0</v>
      </c>
      <c r="H119" s="112"/>
    </row>
    <row r="120" spans="1:8" x14ac:dyDescent="0.2">
      <c r="A120" s="1"/>
      <c r="B120" s="1"/>
      <c r="C120" s="11"/>
      <c r="D120" s="1"/>
      <c r="E120" s="1"/>
      <c r="F120" s="12"/>
      <c r="G120" s="12"/>
      <c r="H120" s="112"/>
    </row>
    <row r="121" spans="1:8" x14ac:dyDescent="0.2">
      <c r="A121" s="1"/>
      <c r="B121" s="1"/>
      <c r="C121" s="2" t="s">
        <v>114</v>
      </c>
      <c r="D121" s="1"/>
      <c r="E121" s="1"/>
      <c r="F121" s="12"/>
      <c r="G121" s="12"/>
      <c r="H121" s="112"/>
    </row>
    <row r="122" spans="1:8" x14ac:dyDescent="0.2">
      <c r="A122" s="3">
        <v>1</v>
      </c>
      <c r="B122" s="4"/>
      <c r="C122" s="4" t="s">
        <v>115</v>
      </c>
      <c r="D122" s="4"/>
      <c r="E122" s="8"/>
      <c r="F122" s="6">
        <v>409.70028472792313</v>
      </c>
      <c r="G122" s="7">
        <v>3.2156043088251055E-2</v>
      </c>
      <c r="H122" s="6">
        <v>3.3211324282253978</v>
      </c>
    </row>
    <row r="123" spans="1:8" x14ac:dyDescent="0.2">
      <c r="A123" s="3">
        <v>2</v>
      </c>
      <c r="B123" s="4"/>
      <c r="C123" s="4" t="s">
        <v>116</v>
      </c>
      <c r="D123" s="4"/>
      <c r="E123" s="8"/>
      <c r="F123" s="6">
        <v>160.93987441002631</v>
      </c>
      <c r="G123" s="7">
        <v>1.2631647399472272E-2</v>
      </c>
      <c r="H123" s="6">
        <v>3.35</v>
      </c>
    </row>
    <row r="124" spans="1:8" x14ac:dyDescent="0.2">
      <c r="A124" s="1"/>
      <c r="B124" s="1"/>
      <c r="C124" s="2" t="s">
        <v>97</v>
      </c>
      <c r="D124" s="1"/>
      <c r="E124" s="1" t="s">
        <v>98</v>
      </c>
      <c r="F124" s="9">
        <v>570.64015913794947</v>
      </c>
      <c r="G124" s="10">
        <v>4.4787690487723325E-2</v>
      </c>
      <c r="H124" s="112"/>
    </row>
    <row r="125" spans="1:8" x14ac:dyDescent="0.2">
      <c r="A125" s="1"/>
      <c r="B125" s="1"/>
      <c r="C125" s="11"/>
      <c r="D125" s="1"/>
      <c r="E125" s="1"/>
      <c r="F125" s="12"/>
      <c r="G125" s="12"/>
      <c r="H125" s="112"/>
    </row>
    <row r="126" spans="1:8" x14ac:dyDescent="0.2">
      <c r="A126" s="1"/>
      <c r="B126" s="1"/>
      <c r="C126" s="2" t="s">
        <v>117</v>
      </c>
      <c r="D126" s="1"/>
      <c r="E126" s="1"/>
      <c r="F126" s="9">
        <v>570.64015913794947</v>
      </c>
      <c r="G126" s="10">
        <v>4.4787690487723325E-2</v>
      </c>
      <c r="H126" s="112"/>
    </row>
    <row r="127" spans="1:8" x14ac:dyDescent="0.2">
      <c r="A127" s="1"/>
      <c r="B127" s="1"/>
      <c r="C127" s="12"/>
      <c r="D127" s="1"/>
      <c r="E127" s="1"/>
      <c r="F127" s="1"/>
      <c r="G127" s="1"/>
      <c r="H127" s="112"/>
    </row>
    <row r="128" spans="1:8" x14ac:dyDescent="0.2">
      <c r="A128" s="1"/>
      <c r="B128" s="1"/>
      <c r="C128" s="2" t="s">
        <v>118</v>
      </c>
      <c r="D128" s="1"/>
      <c r="E128" s="1"/>
      <c r="F128" s="1"/>
      <c r="G128" s="1"/>
      <c r="H128" s="112"/>
    </row>
    <row r="129" spans="1:8" x14ac:dyDescent="0.2">
      <c r="A129" s="1"/>
      <c r="B129" s="1"/>
      <c r="C129" s="2" t="s">
        <v>119</v>
      </c>
      <c r="D129" s="1"/>
      <c r="E129" s="1"/>
      <c r="F129" s="1"/>
      <c r="G129" s="1"/>
      <c r="H129" s="112"/>
    </row>
    <row r="130" spans="1:8" x14ac:dyDescent="0.2">
      <c r="A130" s="1"/>
      <c r="B130" s="1"/>
      <c r="C130" s="2" t="s">
        <v>97</v>
      </c>
      <c r="D130" s="1"/>
      <c r="E130" s="1" t="s">
        <v>98</v>
      </c>
      <c r="F130" s="13">
        <v>0</v>
      </c>
      <c r="G130" s="14">
        <v>0</v>
      </c>
      <c r="H130" s="112"/>
    </row>
    <row r="131" spans="1:8" x14ac:dyDescent="0.2">
      <c r="A131" s="1"/>
      <c r="B131" s="1"/>
      <c r="C131" s="11"/>
      <c r="D131" s="1"/>
      <c r="E131" s="1"/>
      <c r="F131" s="12"/>
      <c r="G131" s="12"/>
      <c r="H131" s="112"/>
    </row>
    <row r="132" spans="1:8" x14ac:dyDescent="0.2">
      <c r="A132" s="1"/>
      <c r="B132" s="1"/>
      <c r="C132" s="2" t="s">
        <v>120</v>
      </c>
      <c r="D132" s="1"/>
      <c r="E132" s="1"/>
      <c r="F132" s="1"/>
      <c r="G132" s="1"/>
      <c r="H132" s="112"/>
    </row>
    <row r="133" spans="1:8" x14ac:dyDescent="0.2">
      <c r="A133" s="1"/>
      <c r="B133" s="1"/>
      <c r="C133" s="2" t="s">
        <v>121</v>
      </c>
      <c r="D133" s="1"/>
      <c r="E133" s="1"/>
      <c r="F133" s="1"/>
      <c r="G133" s="1"/>
      <c r="H133" s="112"/>
    </row>
    <row r="134" spans="1:8" x14ac:dyDescent="0.2">
      <c r="A134" s="1"/>
      <c r="B134" s="1"/>
      <c r="C134" s="2" t="s">
        <v>97</v>
      </c>
      <c r="D134" s="1"/>
      <c r="E134" s="1" t="s">
        <v>98</v>
      </c>
      <c r="F134" s="13">
        <v>0</v>
      </c>
      <c r="G134" s="14">
        <v>0</v>
      </c>
      <c r="H134" s="112"/>
    </row>
    <row r="135" spans="1:8" x14ac:dyDescent="0.2">
      <c r="A135" s="1"/>
      <c r="B135" s="1"/>
      <c r="C135" s="11"/>
      <c r="D135" s="1"/>
      <c r="E135" s="1"/>
      <c r="F135" s="12"/>
      <c r="G135" s="12"/>
      <c r="H135" s="112"/>
    </row>
    <row r="136" spans="1:8" x14ac:dyDescent="0.2">
      <c r="A136" s="1"/>
      <c r="B136" s="1"/>
      <c r="C136" s="11"/>
      <c r="D136" s="1"/>
      <c r="E136" s="1"/>
      <c r="F136" s="12"/>
      <c r="G136" s="12"/>
      <c r="H136" s="112"/>
    </row>
    <row r="137" spans="1:8" ht="25.5" x14ac:dyDescent="0.2">
      <c r="A137" s="1"/>
      <c r="B137" s="1"/>
      <c r="C137" s="2" t="s">
        <v>122</v>
      </c>
      <c r="D137" s="1"/>
      <c r="E137" s="1"/>
      <c r="F137" s="12"/>
      <c r="G137" s="12"/>
      <c r="H137" s="112"/>
    </row>
    <row r="138" spans="1:8" x14ac:dyDescent="0.2">
      <c r="A138" s="1"/>
      <c r="B138" s="1"/>
      <c r="C138" s="2" t="s">
        <v>97</v>
      </c>
      <c r="D138" s="1"/>
      <c r="E138" s="1" t="s">
        <v>98</v>
      </c>
      <c r="F138" s="13">
        <v>0</v>
      </c>
      <c r="G138" s="14">
        <v>0</v>
      </c>
      <c r="H138" s="112"/>
    </row>
    <row r="139" spans="1:8" x14ac:dyDescent="0.2">
      <c r="A139" s="1"/>
      <c r="B139" s="1"/>
      <c r="C139" s="11"/>
      <c r="D139" s="1"/>
      <c r="E139" s="1"/>
      <c r="F139" s="12"/>
      <c r="G139" s="12"/>
      <c r="H139" s="112"/>
    </row>
    <row r="140" spans="1:8" x14ac:dyDescent="0.2">
      <c r="A140" s="1"/>
      <c r="B140" s="4"/>
      <c r="C140" s="4"/>
      <c r="D140" s="2"/>
      <c r="E140" s="1"/>
      <c r="F140" s="4"/>
      <c r="G140" s="8"/>
      <c r="H140" s="112"/>
    </row>
    <row r="141" spans="1:8" x14ac:dyDescent="0.2">
      <c r="A141" s="8"/>
      <c r="B141" s="4"/>
      <c r="C141" s="4" t="s">
        <v>123</v>
      </c>
      <c r="D141" s="4"/>
      <c r="E141" s="8"/>
      <c r="F141" s="6">
        <v>-3.25994901002632</v>
      </c>
      <c r="G141" s="7">
        <v>-2.55862797121369E-4</v>
      </c>
      <c r="H141" s="112"/>
    </row>
    <row r="142" spans="1:8" x14ac:dyDescent="0.2">
      <c r="A142" s="11"/>
      <c r="B142" s="11"/>
      <c r="C142" s="2" t="s">
        <v>124</v>
      </c>
      <c r="D142" s="15"/>
      <c r="E142" s="15"/>
      <c r="F142" s="9">
        <v>12741.004345699999</v>
      </c>
      <c r="G142" s="10">
        <v>1</v>
      </c>
      <c r="H142" s="112"/>
    </row>
    <row r="143" spans="1:8" ht="14.1" customHeight="1" x14ac:dyDescent="0.2">
      <c r="A143" s="16"/>
      <c r="B143" s="16"/>
      <c r="C143" s="16"/>
      <c r="D143" s="17"/>
      <c r="E143" s="17"/>
      <c r="F143" s="17"/>
      <c r="G143" s="17"/>
    </row>
    <row r="144" spans="1:8" ht="14.1" customHeight="1" x14ac:dyDescent="0.2">
      <c r="A144" s="18"/>
      <c r="B144" s="205" t="s">
        <v>98</v>
      </c>
      <c r="C144" s="205"/>
      <c r="D144" s="205"/>
      <c r="E144" s="205"/>
      <c r="F144" s="205"/>
      <c r="G144" s="20"/>
    </row>
    <row r="145" spans="1:15" ht="14.1" customHeight="1" x14ac:dyDescent="0.2">
      <c r="A145" s="18"/>
      <c r="B145" s="205" t="s">
        <v>98</v>
      </c>
      <c r="C145" s="205"/>
      <c r="D145" s="205"/>
      <c r="E145" s="205"/>
      <c r="F145" s="205"/>
      <c r="G145" s="20"/>
    </row>
    <row r="146" spans="1:15" ht="14.1" customHeight="1" x14ac:dyDescent="0.2">
      <c r="A146" s="18"/>
      <c r="B146" s="18"/>
      <c r="C146" s="18"/>
      <c r="D146" s="20"/>
      <c r="E146" s="20"/>
      <c r="F146" s="20"/>
      <c r="G146" s="20"/>
    </row>
    <row r="147" spans="1:15" ht="14.1" customHeight="1" x14ac:dyDescent="0.2">
      <c r="A147" s="18"/>
      <c r="B147" s="203" t="s">
        <v>126</v>
      </c>
      <c r="C147" s="204"/>
      <c r="D147" s="12" t="s">
        <v>98</v>
      </c>
      <c r="E147" s="21"/>
      <c r="F147" s="20"/>
      <c r="G147" s="20"/>
    </row>
    <row r="148" spans="1:15" ht="29.1" customHeight="1" x14ac:dyDescent="0.2">
      <c r="A148" s="18"/>
      <c r="B148" s="198" t="s">
        <v>127</v>
      </c>
      <c r="C148" s="199"/>
      <c r="D148" s="2" t="s">
        <v>128</v>
      </c>
      <c r="E148" s="21"/>
      <c r="F148" s="20"/>
      <c r="G148" s="20"/>
    </row>
    <row r="149" spans="1:15" ht="17.100000000000001" customHeight="1" x14ac:dyDescent="0.2">
      <c r="A149" s="18"/>
      <c r="B149" s="198" t="s">
        <v>129</v>
      </c>
      <c r="C149" s="199"/>
      <c r="D149" s="2" t="s">
        <v>128</v>
      </c>
      <c r="E149" s="21"/>
      <c r="F149" s="20"/>
      <c r="G149" s="20"/>
    </row>
    <row r="150" spans="1:15" ht="17.100000000000001" customHeight="1" x14ac:dyDescent="0.2">
      <c r="A150" s="18"/>
      <c r="B150" s="198" t="s">
        <v>130</v>
      </c>
      <c r="C150" s="199"/>
      <c r="D150" s="12" t="s">
        <v>98</v>
      </c>
      <c r="E150" s="21"/>
      <c r="F150" s="20"/>
      <c r="G150" s="20"/>
    </row>
    <row r="151" spans="1:15" ht="24" customHeight="1" x14ac:dyDescent="0.2">
      <c r="A151" s="22"/>
      <c r="B151" s="23" t="s">
        <v>98</v>
      </c>
      <c r="C151" s="23" t="s">
        <v>131</v>
      </c>
      <c r="D151" s="23" t="s">
        <v>132</v>
      </c>
      <c r="E151" s="22"/>
      <c r="F151" s="22"/>
      <c r="G151" s="22"/>
    </row>
    <row r="152" spans="1:15" ht="18" customHeight="1" x14ac:dyDescent="0.2">
      <c r="A152" s="22"/>
      <c r="B152" s="23" t="s">
        <v>133</v>
      </c>
      <c r="C152" s="23" t="s">
        <v>134</v>
      </c>
      <c r="D152" s="23" t="s">
        <v>135</v>
      </c>
      <c r="E152" s="22"/>
      <c r="F152" s="22"/>
      <c r="G152" s="22"/>
    </row>
    <row r="153" spans="1:15" ht="17.100000000000001" customHeight="1" x14ac:dyDescent="0.2">
      <c r="A153" s="22"/>
      <c r="B153" s="4" t="s">
        <v>136</v>
      </c>
      <c r="C153" s="24">
        <v>19.630800000000001</v>
      </c>
      <c r="D153" s="24">
        <v>20.047899999999998</v>
      </c>
      <c r="E153" s="22"/>
      <c r="F153" s="19"/>
      <c r="G153" s="25"/>
    </row>
    <row r="154" spans="1:15" ht="17.100000000000001" customHeight="1" x14ac:dyDescent="0.2">
      <c r="A154" s="22"/>
      <c r="B154" s="4" t="s">
        <v>980</v>
      </c>
      <c r="C154" s="24">
        <v>18.4254</v>
      </c>
      <c r="D154" s="24">
        <v>18.8169</v>
      </c>
      <c r="E154" s="22"/>
      <c r="F154" s="19"/>
      <c r="G154" s="25"/>
    </row>
    <row r="155" spans="1:15" ht="17.100000000000001" customHeight="1" x14ac:dyDescent="0.2">
      <c r="A155" s="22"/>
      <c r="B155" s="4" t="s">
        <v>137</v>
      </c>
      <c r="C155" s="24">
        <v>19.351700000000001</v>
      </c>
      <c r="D155" s="24">
        <v>19.7559</v>
      </c>
      <c r="E155" s="22"/>
      <c r="F155" s="19"/>
      <c r="G155" s="25"/>
    </row>
    <row r="156" spans="1:15" ht="17.100000000000001" customHeight="1" x14ac:dyDescent="0.2">
      <c r="A156" s="22"/>
      <c r="B156" s="4" t="s">
        <v>981</v>
      </c>
      <c r="C156" s="24">
        <v>18.148199999999999</v>
      </c>
      <c r="D156" s="24">
        <v>18.5273</v>
      </c>
      <c r="E156" s="22"/>
      <c r="F156" s="19"/>
      <c r="G156" s="25"/>
      <c r="I156" s="113"/>
      <c r="J156" s="113"/>
      <c r="K156" s="113"/>
      <c r="L156" s="113"/>
      <c r="M156" s="113"/>
      <c r="N156" s="113"/>
      <c r="O156" s="113"/>
    </row>
    <row r="157" spans="1:15" ht="14.1" customHeight="1" x14ac:dyDescent="0.2">
      <c r="A157" s="22"/>
      <c r="B157" s="22"/>
      <c r="C157" s="22"/>
      <c r="D157" s="22"/>
      <c r="E157" s="22"/>
      <c r="F157" s="22"/>
      <c r="G157" s="22"/>
    </row>
    <row r="158" spans="1:15" ht="17.100000000000001" customHeight="1" x14ac:dyDescent="0.2">
      <c r="A158" s="22"/>
      <c r="B158" s="198" t="s">
        <v>982</v>
      </c>
      <c r="C158" s="199"/>
      <c r="D158" s="91" t="s">
        <v>128</v>
      </c>
      <c r="E158" s="22"/>
      <c r="F158" s="22"/>
      <c r="G158" s="22"/>
    </row>
    <row r="159" spans="1:15" ht="18" customHeight="1" x14ac:dyDescent="0.2">
      <c r="A159" s="22"/>
      <c r="B159" s="26"/>
      <c r="C159" s="26"/>
      <c r="D159" s="27"/>
      <c r="E159" s="22"/>
      <c r="F159" s="22"/>
      <c r="G159" s="22"/>
    </row>
    <row r="160" spans="1:15" s="113" customFormat="1" x14ac:dyDescent="0.2">
      <c r="B160" s="202" t="s">
        <v>984</v>
      </c>
      <c r="C160" s="202"/>
      <c r="D160" s="202"/>
      <c r="E160" s="202"/>
      <c r="F160" s="202"/>
      <c r="I160"/>
      <c r="J160"/>
      <c r="K160"/>
      <c r="L160"/>
      <c r="M160"/>
      <c r="N160"/>
      <c r="O160"/>
    </row>
    <row r="161" spans="1:7" ht="14.1" customHeight="1" x14ac:dyDescent="0.2">
      <c r="A161" s="22"/>
      <c r="B161" s="19"/>
      <c r="C161" s="19"/>
      <c r="D161" s="22"/>
      <c r="E161" s="22"/>
      <c r="F161" s="22"/>
      <c r="G161" s="22"/>
    </row>
    <row r="162" spans="1:7" ht="29.1" customHeight="1" x14ac:dyDescent="0.2">
      <c r="A162" s="22"/>
      <c r="B162" s="198" t="s">
        <v>138</v>
      </c>
      <c r="C162" s="199"/>
      <c r="D162" s="2" t="s">
        <v>128</v>
      </c>
      <c r="E162" s="22"/>
      <c r="F162" s="22"/>
      <c r="G162" s="22"/>
    </row>
    <row r="163" spans="1:7" ht="29.1" customHeight="1" x14ac:dyDescent="0.2">
      <c r="A163" s="22"/>
      <c r="B163" s="198" t="s">
        <v>139</v>
      </c>
      <c r="C163" s="199"/>
      <c r="D163" s="2" t="s">
        <v>128</v>
      </c>
      <c r="E163" s="22"/>
      <c r="F163" s="22"/>
      <c r="G163" s="22"/>
    </row>
    <row r="164" spans="1:7" ht="17.100000000000001" customHeight="1" x14ac:dyDescent="0.2">
      <c r="A164" s="22"/>
      <c r="B164" s="198" t="s">
        <v>140</v>
      </c>
      <c r="C164" s="199"/>
      <c r="D164" s="28">
        <v>0.52248107647889197</v>
      </c>
      <c r="E164" s="22"/>
      <c r="F164" s="19"/>
      <c r="G164" s="25"/>
    </row>
    <row r="165" spans="1:7" ht="17.100000000000001" customHeight="1" x14ac:dyDescent="0.2">
      <c r="A165" s="22"/>
      <c r="B165" s="198" t="s">
        <v>141</v>
      </c>
      <c r="C165" s="199"/>
      <c r="D165" s="2" t="s">
        <v>128</v>
      </c>
      <c r="E165" s="22"/>
      <c r="F165" s="22"/>
      <c r="G165" s="22"/>
    </row>
  </sheetData>
  <mergeCells count="16">
    <mergeCell ref="B165:C165"/>
    <mergeCell ref="B148:C148"/>
    <mergeCell ref="B149:C149"/>
    <mergeCell ref="B150:C150"/>
    <mergeCell ref="B158:C158"/>
    <mergeCell ref="B162:C162"/>
    <mergeCell ref="B163:C163"/>
    <mergeCell ref="B160:F160"/>
    <mergeCell ref="A1:H1"/>
    <mergeCell ref="A2:H2"/>
    <mergeCell ref="A3:H3"/>
    <mergeCell ref="J2:N2"/>
    <mergeCell ref="B164:C164"/>
    <mergeCell ref="B147:C147"/>
    <mergeCell ref="B144:F144"/>
    <mergeCell ref="B145:F145"/>
  </mergeCells>
  <pageMargins left="5.000000074505806E-2" right="5.000000074505806E-2" top="0.30000001192092896" bottom="0.20000000298023224" header="0" footer="0"/>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26"/>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501</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17</v>
      </c>
      <c r="C7" s="4" t="s">
        <v>18</v>
      </c>
      <c r="D7" s="4" t="s">
        <v>19</v>
      </c>
      <c r="E7" s="5">
        <v>1716502</v>
      </c>
      <c r="F7" s="6">
        <v>13767.204291</v>
      </c>
      <c r="G7" s="7">
        <v>9.8145884000000003E-2</v>
      </c>
      <c r="H7" s="112"/>
    </row>
    <row r="8" spans="1:14" x14ac:dyDescent="0.2">
      <c r="A8" s="3">
        <v>2</v>
      </c>
      <c r="B8" s="4" t="s">
        <v>414</v>
      </c>
      <c r="C8" s="4" t="s">
        <v>415</v>
      </c>
      <c r="D8" s="4" t="s">
        <v>162</v>
      </c>
      <c r="E8" s="5">
        <v>773887</v>
      </c>
      <c r="F8" s="6">
        <v>12906.500442500001</v>
      </c>
      <c r="G8" s="7">
        <v>9.2009958000000003E-2</v>
      </c>
      <c r="H8" s="112"/>
    </row>
    <row r="9" spans="1:14" x14ac:dyDescent="0.2">
      <c r="A9" s="3">
        <v>3</v>
      </c>
      <c r="B9" s="4" t="s">
        <v>412</v>
      </c>
      <c r="C9" s="4" t="s">
        <v>413</v>
      </c>
      <c r="D9" s="4" t="s">
        <v>19</v>
      </c>
      <c r="E9" s="5">
        <v>780385</v>
      </c>
      <c r="F9" s="6">
        <v>12352.3239725</v>
      </c>
      <c r="G9" s="7">
        <v>8.8059255000000003E-2</v>
      </c>
      <c r="H9" s="112"/>
    </row>
    <row r="10" spans="1:14" x14ac:dyDescent="0.2">
      <c r="A10" s="3">
        <v>4</v>
      </c>
      <c r="B10" s="4" t="s">
        <v>14</v>
      </c>
      <c r="C10" s="4" t="s">
        <v>15</v>
      </c>
      <c r="D10" s="4" t="s">
        <v>16</v>
      </c>
      <c r="E10" s="5">
        <v>358799</v>
      </c>
      <c r="F10" s="6">
        <v>9100.0396375</v>
      </c>
      <c r="G10" s="7">
        <v>6.4873842000000001E-2</v>
      </c>
      <c r="H10" s="112"/>
    </row>
    <row r="11" spans="1:14" x14ac:dyDescent="0.2">
      <c r="A11" s="3">
        <v>5</v>
      </c>
      <c r="B11" s="4" t="s">
        <v>11</v>
      </c>
      <c r="C11" s="4" t="s">
        <v>12</v>
      </c>
      <c r="D11" s="4" t="s">
        <v>13</v>
      </c>
      <c r="E11" s="5">
        <v>471874</v>
      </c>
      <c r="F11" s="6">
        <v>8336.3620210000008</v>
      </c>
      <c r="G11" s="7">
        <v>5.9429612999999999E-2</v>
      </c>
      <c r="H11" s="112"/>
    </row>
    <row r="12" spans="1:14" x14ac:dyDescent="0.2">
      <c r="A12" s="3">
        <v>6</v>
      </c>
      <c r="B12" s="4" t="s">
        <v>418</v>
      </c>
      <c r="C12" s="4" t="s">
        <v>419</v>
      </c>
      <c r="D12" s="4" t="s">
        <v>19</v>
      </c>
      <c r="E12" s="5">
        <v>1616281</v>
      </c>
      <c r="F12" s="6">
        <v>8116.1550415000002</v>
      </c>
      <c r="G12" s="7">
        <v>5.7859765000000001E-2</v>
      </c>
      <c r="H12" s="112"/>
    </row>
    <row r="13" spans="1:14" x14ac:dyDescent="0.2">
      <c r="A13" s="3">
        <v>7</v>
      </c>
      <c r="B13" s="4" t="s">
        <v>322</v>
      </c>
      <c r="C13" s="4" t="s">
        <v>323</v>
      </c>
      <c r="D13" s="4" t="s">
        <v>19</v>
      </c>
      <c r="E13" s="5">
        <v>901060</v>
      </c>
      <c r="F13" s="6">
        <v>6685.8652000000002</v>
      </c>
      <c r="G13" s="7">
        <v>4.7663283000000001E-2</v>
      </c>
      <c r="H13" s="112"/>
    </row>
    <row r="14" spans="1:14" x14ac:dyDescent="0.2">
      <c r="A14" s="3">
        <v>8</v>
      </c>
      <c r="B14" s="4" t="s">
        <v>422</v>
      </c>
      <c r="C14" s="4" t="s">
        <v>423</v>
      </c>
      <c r="D14" s="4" t="s">
        <v>162</v>
      </c>
      <c r="E14" s="5">
        <v>193388</v>
      </c>
      <c r="F14" s="6">
        <v>6570.8407699999998</v>
      </c>
      <c r="G14" s="7">
        <v>4.6843278000000002E-2</v>
      </c>
      <c r="H14" s="112"/>
    </row>
    <row r="15" spans="1:14" ht="25.5" x14ac:dyDescent="0.2">
      <c r="A15" s="3">
        <v>9</v>
      </c>
      <c r="B15" s="4" t="s">
        <v>416</v>
      </c>
      <c r="C15" s="4" t="s">
        <v>417</v>
      </c>
      <c r="D15" s="4" t="s">
        <v>81</v>
      </c>
      <c r="E15" s="5">
        <v>227621</v>
      </c>
      <c r="F15" s="6">
        <v>6475.1345869999996</v>
      </c>
      <c r="G15" s="7">
        <v>4.6160991999999998E-2</v>
      </c>
      <c r="H15" s="112"/>
    </row>
    <row r="16" spans="1:14" ht="15" x14ac:dyDescent="0.2">
      <c r="A16" s="3">
        <v>10</v>
      </c>
      <c r="B16" s="4" t="s">
        <v>376</v>
      </c>
      <c r="C16" s="4" t="s">
        <v>377</v>
      </c>
      <c r="D16" s="4" t="s">
        <v>162</v>
      </c>
      <c r="E16" s="5">
        <v>481547</v>
      </c>
      <c r="F16" s="6">
        <v>5507.6938124999997</v>
      </c>
      <c r="G16" s="7">
        <v>3.9264143000000001E-2</v>
      </c>
      <c r="H16" s="112"/>
      <c r="J16" s="188" t="s">
        <v>1017</v>
      </c>
    </row>
    <row r="17" spans="1:8" x14ac:dyDescent="0.2">
      <c r="A17" s="3">
        <v>11</v>
      </c>
      <c r="B17" s="4" t="s">
        <v>386</v>
      </c>
      <c r="C17" s="4" t="s">
        <v>387</v>
      </c>
      <c r="D17" s="4" t="s">
        <v>973</v>
      </c>
      <c r="E17" s="5">
        <v>30046</v>
      </c>
      <c r="F17" s="6">
        <v>5354.5427289999998</v>
      </c>
      <c r="G17" s="7">
        <v>3.8172335000000002E-2</v>
      </c>
      <c r="H17" s="112"/>
    </row>
    <row r="18" spans="1:8" x14ac:dyDescent="0.2">
      <c r="A18" s="3">
        <v>12</v>
      </c>
      <c r="B18" s="4" t="s">
        <v>35</v>
      </c>
      <c r="C18" s="4" t="s">
        <v>36</v>
      </c>
      <c r="D18" s="4" t="s">
        <v>16</v>
      </c>
      <c r="E18" s="5">
        <v>1017395</v>
      </c>
      <c r="F18" s="6">
        <v>4249.658915</v>
      </c>
      <c r="G18" s="7">
        <v>3.0295658999999999E-2</v>
      </c>
      <c r="H18" s="112"/>
    </row>
    <row r="19" spans="1:8" x14ac:dyDescent="0.2">
      <c r="A19" s="3">
        <v>13</v>
      </c>
      <c r="B19" s="4" t="s">
        <v>22</v>
      </c>
      <c r="C19" s="4" t="s">
        <v>23</v>
      </c>
      <c r="D19" s="4" t="s">
        <v>24</v>
      </c>
      <c r="E19" s="5">
        <v>587991</v>
      </c>
      <c r="F19" s="6">
        <v>4029.7963184999999</v>
      </c>
      <c r="G19" s="7">
        <v>2.8728266999999998E-2</v>
      </c>
      <c r="H19" s="112"/>
    </row>
    <row r="20" spans="1:8" ht="25.5" x14ac:dyDescent="0.2">
      <c r="A20" s="3">
        <v>14</v>
      </c>
      <c r="B20" s="4" t="s">
        <v>326</v>
      </c>
      <c r="C20" s="4" t="s">
        <v>327</v>
      </c>
      <c r="D20" s="4" t="s">
        <v>192</v>
      </c>
      <c r="E20" s="5">
        <v>466265</v>
      </c>
      <c r="F20" s="6">
        <v>3960.2217774999999</v>
      </c>
      <c r="G20" s="7">
        <v>2.8232272999999999E-2</v>
      </c>
      <c r="H20" s="112"/>
    </row>
    <row r="21" spans="1:8" x14ac:dyDescent="0.2">
      <c r="A21" s="3">
        <v>15</v>
      </c>
      <c r="B21" s="4" t="s">
        <v>428</v>
      </c>
      <c r="C21" s="4" t="s">
        <v>429</v>
      </c>
      <c r="D21" s="4" t="s">
        <v>186</v>
      </c>
      <c r="E21" s="5">
        <v>439696</v>
      </c>
      <c r="F21" s="6">
        <v>3495.5832</v>
      </c>
      <c r="G21" s="7">
        <v>2.4919882000000001E-2</v>
      </c>
      <c r="H21" s="112"/>
    </row>
    <row r="22" spans="1:8" x14ac:dyDescent="0.2">
      <c r="A22" s="3">
        <v>16</v>
      </c>
      <c r="B22" s="4" t="s">
        <v>339</v>
      </c>
      <c r="C22" s="4" t="s">
        <v>340</v>
      </c>
      <c r="D22" s="4" t="s">
        <v>81</v>
      </c>
      <c r="E22" s="5">
        <v>208642</v>
      </c>
      <c r="F22" s="6">
        <v>2996.516404</v>
      </c>
      <c r="G22" s="7">
        <v>2.1362052999999999E-2</v>
      </c>
      <c r="H22" s="112"/>
    </row>
    <row r="23" spans="1:8" x14ac:dyDescent="0.2">
      <c r="A23" s="3">
        <v>17</v>
      </c>
      <c r="B23" s="4" t="s">
        <v>76</v>
      </c>
      <c r="C23" s="4" t="s">
        <v>77</v>
      </c>
      <c r="D23" s="4" t="s">
        <v>78</v>
      </c>
      <c r="E23" s="5">
        <v>2034820</v>
      </c>
      <c r="F23" s="6">
        <v>2897.5836800000002</v>
      </c>
      <c r="G23" s="7">
        <v>2.0656766E-2</v>
      </c>
      <c r="H23" s="112"/>
    </row>
    <row r="24" spans="1:8" ht="25.5" x14ac:dyDescent="0.2">
      <c r="A24" s="3">
        <v>18</v>
      </c>
      <c r="B24" s="4" t="s">
        <v>424</v>
      </c>
      <c r="C24" s="4" t="s">
        <v>425</v>
      </c>
      <c r="D24" s="4" t="s">
        <v>192</v>
      </c>
      <c r="E24" s="5">
        <v>111297</v>
      </c>
      <c r="F24" s="6">
        <v>2663.5041554999998</v>
      </c>
      <c r="G24" s="7">
        <v>1.8988021000000001E-2</v>
      </c>
      <c r="H24" s="112"/>
    </row>
    <row r="25" spans="1:8" ht="25.5" x14ac:dyDescent="0.2">
      <c r="A25" s="3">
        <v>19</v>
      </c>
      <c r="B25" s="4" t="s">
        <v>28</v>
      </c>
      <c r="C25" s="4" t="s">
        <v>29</v>
      </c>
      <c r="D25" s="4" t="s">
        <v>971</v>
      </c>
      <c r="E25" s="5">
        <v>31653</v>
      </c>
      <c r="F25" s="6">
        <v>2417.0389064999999</v>
      </c>
      <c r="G25" s="7">
        <v>1.723098E-2</v>
      </c>
      <c r="H25" s="112"/>
    </row>
    <row r="26" spans="1:8" x14ac:dyDescent="0.2">
      <c r="A26" s="3">
        <v>20</v>
      </c>
      <c r="B26" s="4" t="s">
        <v>349</v>
      </c>
      <c r="C26" s="4" t="s">
        <v>350</v>
      </c>
      <c r="D26" s="4" t="s">
        <v>351</v>
      </c>
      <c r="E26" s="5">
        <v>77635</v>
      </c>
      <c r="F26" s="6">
        <v>2329.0111824999999</v>
      </c>
      <c r="G26" s="7">
        <v>1.6603433000000001E-2</v>
      </c>
      <c r="H26" s="112"/>
    </row>
    <row r="27" spans="1:8" x14ac:dyDescent="0.2">
      <c r="A27" s="3">
        <v>21</v>
      </c>
      <c r="B27" s="4" t="s">
        <v>84</v>
      </c>
      <c r="C27" s="4" t="s">
        <v>85</v>
      </c>
      <c r="D27" s="4" t="s">
        <v>61</v>
      </c>
      <c r="E27" s="5">
        <v>458430</v>
      </c>
      <c r="F27" s="6">
        <v>2172.4997699999999</v>
      </c>
      <c r="G27" s="7">
        <v>1.5487669000000001E-2</v>
      </c>
      <c r="H27" s="112"/>
    </row>
    <row r="28" spans="1:8" ht="25.5" x14ac:dyDescent="0.2">
      <c r="A28" s="3">
        <v>22</v>
      </c>
      <c r="B28" s="4" t="s">
        <v>400</v>
      </c>
      <c r="C28" s="4" t="s">
        <v>401</v>
      </c>
      <c r="D28" s="4" t="s">
        <v>192</v>
      </c>
      <c r="E28" s="5">
        <v>256497</v>
      </c>
      <c r="F28" s="6">
        <v>2076.3432149999999</v>
      </c>
      <c r="G28" s="7">
        <v>1.4802173E-2</v>
      </c>
      <c r="H28" s="112"/>
    </row>
    <row r="29" spans="1:8" x14ac:dyDescent="0.2">
      <c r="A29" s="3">
        <v>23</v>
      </c>
      <c r="B29" s="4" t="s">
        <v>302</v>
      </c>
      <c r="C29" s="4" t="s">
        <v>303</v>
      </c>
      <c r="D29" s="4" t="s">
        <v>162</v>
      </c>
      <c r="E29" s="5">
        <v>43660</v>
      </c>
      <c r="F29" s="6">
        <v>1961.38184</v>
      </c>
      <c r="G29" s="7">
        <v>1.3982618E-2</v>
      </c>
      <c r="H29" s="112"/>
    </row>
    <row r="30" spans="1:8" x14ac:dyDescent="0.2">
      <c r="A30" s="3">
        <v>24</v>
      </c>
      <c r="B30" s="4" t="s">
        <v>445</v>
      </c>
      <c r="C30" s="4" t="s">
        <v>446</v>
      </c>
      <c r="D30" s="4" t="s">
        <v>19</v>
      </c>
      <c r="E30" s="5">
        <v>73240</v>
      </c>
      <c r="F30" s="6">
        <v>1487.6142600000001</v>
      </c>
      <c r="G30" s="7">
        <v>1.0605145999999999E-2</v>
      </c>
      <c r="H30" s="112"/>
    </row>
    <row r="31" spans="1:8" x14ac:dyDescent="0.2">
      <c r="A31" s="3">
        <v>25</v>
      </c>
      <c r="B31" s="4" t="s">
        <v>458</v>
      </c>
      <c r="C31" s="4" t="s">
        <v>459</v>
      </c>
      <c r="D31" s="4" t="s">
        <v>173</v>
      </c>
      <c r="E31" s="5">
        <v>637374</v>
      </c>
      <c r="F31" s="6">
        <v>1424.212203</v>
      </c>
      <c r="G31" s="7">
        <v>1.0153155000000001E-2</v>
      </c>
      <c r="H31" s="112"/>
    </row>
    <row r="32" spans="1:8" x14ac:dyDescent="0.2">
      <c r="A32" s="3">
        <v>26</v>
      </c>
      <c r="B32" s="4" t="s">
        <v>308</v>
      </c>
      <c r="C32" s="4" t="s">
        <v>309</v>
      </c>
      <c r="D32" s="4" t="s">
        <v>189</v>
      </c>
      <c r="E32" s="5">
        <v>30656</v>
      </c>
      <c r="F32" s="6">
        <v>1306.5740479999999</v>
      </c>
      <c r="G32" s="7">
        <v>9.3145169999999996E-3</v>
      </c>
      <c r="H32" s="112"/>
    </row>
    <row r="33" spans="1:8" ht="25.5" x14ac:dyDescent="0.2">
      <c r="A33" s="3">
        <v>27</v>
      </c>
      <c r="B33" s="4" t="s">
        <v>502</v>
      </c>
      <c r="C33" s="4" t="s">
        <v>503</v>
      </c>
      <c r="D33" s="4" t="s">
        <v>192</v>
      </c>
      <c r="E33" s="5">
        <v>200000</v>
      </c>
      <c r="F33" s="6">
        <v>1171.7</v>
      </c>
      <c r="G33" s="7">
        <v>8.3530050000000002E-3</v>
      </c>
      <c r="H33" s="112"/>
    </row>
    <row r="34" spans="1:8" x14ac:dyDescent="0.2">
      <c r="A34" s="3">
        <v>28</v>
      </c>
      <c r="B34" s="4" t="s">
        <v>456</v>
      </c>
      <c r="C34" s="4" t="s">
        <v>457</v>
      </c>
      <c r="D34" s="4" t="s">
        <v>186</v>
      </c>
      <c r="E34" s="5">
        <v>82273</v>
      </c>
      <c r="F34" s="6">
        <v>744.61178649999999</v>
      </c>
      <c r="G34" s="7">
        <v>5.3083100000000001E-3</v>
      </c>
      <c r="H34" s="112"/>
    </row>
    <row r="35" spans="1:8" x14ac:dyDescent="0.2">
      <c r="A35" s="3">
        <v>29</v>
      </c>
      <c r="B35" s="4" t="s">
        <v>437</v>
      </c>
      <c r="C35" s="4" t="s">
        <v>438</v>
      </c>
      <c r="D35" s="4" t="s">
        <v>186</v>
      </c>
      <c r="E35" s="5">
        <v>14345</v>
      </c>
      <c r="F35" s="6">
        <v>738.7890175</v>
      </c>
      <c r="G35" s="7">
        <v>5.266799E-3</v>
      </c>
      <c r="H35" s="112"/>
    </row>
    <row r="36" spans="1:8" ht="25.5" x14ac:dyDescent="0.2">
      <c r="A36" s="3">
        <v>30</v>
      </c>
      <c r="B36" s="4" t="s">
        <v>447</v>
      </c>
      <c r="C36" s="70" t="s">
        <v>1030</v>
      </c>
      <c r="D36" s="40" t="s">
        <v>24</v>
      </c>
      <c r="E36" s="5">
        <v>41999</v>
      </c>
      <c r="F36" s="6">
        <v>107.38724310000001</v>
      </c>
      <c r="G36" s="7">
        <v>7.6555999999999998E-4</v>
      </c>
      <c r="H36" s="112"/>
    </row>
    <row r="37" spans="1:8" x14ac:dyDescent="0.2">
      <c r="A37" s="1"/>
      <c r="B37" s="1"/>
      <c r="C37" s="2" t="s">
        <v>97</v>
      </c>
      <c r="D37" s="1"/>
      <c r="E37" s="1" t="s">
        <v>98</v>
      </c>
      <c r="F37" s="9">
        <v>137402.69042709999</v>
      </c>
      <c r="G37" s="10">
        <v>0.97953863399999996</v>
      </c>
      <c r="H37" s="112"/>
    </row>
    <row r="38" spans="1:8" x14ac:dyDescent="0.2">
      <c r="A38" s="1"/>
      <c r="B38" s="1"/>
      <c r="C38" s="11"/>
      <c r="D38" s="1"/>
      <c r="E38" s="1"/>
      <c r="F38" s="12"/>
      <c r="G38" s="12"/>
      <c r="H38" s="112"/>
    </row>
    <row r="39" spans="1:8" x14ac:dyDescent="0.2">
      <c r="A39" s="1"/>
      <c r="B39" s="1"/>
      <c r="C39" s="2" t="s">
        <v>99</v>
      </c>
      <c r="D39" s="1"/>
      <c r="E39" s="1"/>
      <c r="F39" s="1"/>
      <c r="G39" s="1"/>
      <c r="H39" s="112"/>
    </row>
    <row r="40" spans="1:8" x14ac:dyDescent="0.2">
      <c r="A40" s="1"/>
      <c r="B40" s="1"/>
      <c r="C40" s="2" t="s">
        <v>97</v>
      </c>
      <c r="D40" s="1"/>
      <c r="E40" s="1" t="s">
        <v>98</v>
      </c>
      <c r="F40" s="13">
        <v>0</v>
      </c>
      <c r="G40" s="14">
        <v>0</v>
      </c>
      <c r="H40" s="112"/>
    </row>
    <row r="41" spans="1:8" x14ac:dyDescent="0.2">
      <c r="A41" s="1"/>
      <c r="B41" s="1"/>
      <c r="C41" s="11"/>
      <c r="D41" s="1"/>
      <c r="E41" s="1"/>
      <c r="F41" s="12"/>
      <c r="G41" s="12"/>
      <c r="H41" s="112"/>
    </row>
    <row r="42" spans="1:8" x14ac:dyDescent="0.2">
      <c r="A42" s="1"/>
      <c r="B42" s="1"/>
      <c r="C42" s="2" t="s">
        <v>100</v>
      </c>
      <c r="D42" s="1"/>
      <c r="E42" s="1"/>
      <c r="F42" s="1"/>
      <c r="G42" s="1"/>
      <c r="H42" s="112"/>
    </row>
    <row r="43" spans="1:8" x14ac:dyDescent="0.2">
      <c r="A43" s="1"/>
      <c r="B43" s="1"/>
      <c r="C43" s="2" t="s">
        <v>97</v>
      </c>
      <c r="D43" s="1"/>
      <c r="E43" s="1" t="s">
        <v>98</v>
      </c>
      <c r="F43" s="13">
        <v>0</v>
      </c>
      <c r="G43" s="14">
        <v>0</v>
      </c>
      <c r="H43" s="112"/>
    </row>
    <row r="44" spans="1:8" x14ac:dyDescent="0.2">
      <c r="A44" s="1"/>
      <c r="B44" s="1"/>
      <c r="C44" s="11"/>
      <c r="D44" s="1"/>
      <c r="E44" s="1"/>
      <c r="F44" s="12"/>
      <c r="G44" s="12"/>
      <c r="H44" s="112"/>
    </row>
    <row r="45" spans="1:8" x14ac:dyDescent="0.2">
      <c r="A45" s="1"/>
      <c r="B45" s="1"/>
      <c r="C45" s="2" t="s">
        <v>101</v>
      </c>
      <c r="D45" s="1"/>
      <c r="E45" s="1"/>
      <c r="F45" s="1"/>
      <c r="G45" s="1"/>
      <c r="H45" s="112"/>
    </row>
    <row r="46" spans="1:8" x14ac:dyDescent="0.2">
      <c r="A46" s="1"/>
      <c r="B46" s="1"/>
      <c r="C46" s="2" t="s">
        <v>97</v>
      </c>
      <c r="D46" s="1"/>
      <c r="E46" s="1" t="s">
        <v>98</v>
      </c>
      <c r="F46" s="13">
        <v>0</v>
      </c>
      <c r="G46" s="14">
        <v>0</v>
      </c>
      <c r="H46" s="112"/>
    </row>
    <row r="47" spans="1:8" x14ac:dyDescent="0.2">
      <c r="A47" s="1"/>
      <c r="B47" s="1"/>
      <c r="C47" s="11"/>
      <c r="D47" s="1"/>
      <c r="E47" s="1"/>
      <c r="F47" s="12"/>
      <c r="G47" s="12"/>
      <c r="H47" s="112"/>
    </row>
    <row r="48" spans="1:8" x14ac:dyDescent="0.2">
      <c r="A48" s="1"/>
      <c r="B48" s="1"/>
      <c r="C48" s="2" t="s">
        <v>102</v>
      </c>
      <c r="D48" s="1"/>
      <c r="E48" s="1"/>
      <c r="F48" s="12"/>
      <c r="G48" s="12"/>
      <c r="H48" s="112"/>
    </row>
    <row r="49" spans="1:8" x14ac:dyDescent="0.2">
      <c r="A49" s="1"/>
      <c r="B49" s="1"/>
      <c r="C49" s="2" t="s">
        <v>97</v>
      </c>
      <c r="D49" s="1"/>
      <c r="E49" s="1" t="s">
        <v>98</v>
      </c>
      <c r="F49" s="13">
        <v>0</v>
      </c>
      <c r="G49" s="14">
        <v>0</v>
      </c>
      <c r="H49" s="112"/>
    </row>
    <row r="50" spans="1:8" x14ac:dyDescent="0.2">
      <c r="A50" s="1"/>
      <c r="B50" s="1"/>
      <c r="C50" s="11"/>
      <c r="D50" s="1"/>
      <c r="E50" s="1"/>
      <c r="F50" s="12"/>
      <c r="G50" s="12"/>
      <c r="H50" s="112"/>
    </row>
    <row r="51" spans="1:8" x14ac:dyDescent="0.2">
      <c r="A51" s="1"/>
      <c r="B51" s="1"/>
      <c r="C51" s="2" t="s">
        <v>103</v>
      </c>
      <c r="D51" s="1"/>
      <c r="E51" s="1"/>
      <c r="F51" s="12"/>
      <c r="G51" s="12"/>
      <c r="H51" s="112"/>
    </row>
    <row r="52" spans="1:8" x14ac:dyDescent="0.2">
      <c r="A52" s="1"/>
      <c r="B52" s="1"/>
      <c r="C52" s="2" t="s">
        <v>97</v>
      </c>
      <c r="D52" s="1"/>
      <c r="E52" s="1" t="s">
        <v>98</v>
      </c>
      <c r="F52" s="13">
        <v>0</v>
      </c>
      <c r="G52" s="14">
        <v>0</v>
      </c>
      <c r="H52" s="112"/>
    </row>
    <row r="53" spans="1:8" x14ac:dyDescent="0.2">
      <c r="A53" s="1"/>
      <c r="B53" s="1"/>
      <c r="C53" s="11"/>
      <c r="D53" s="1"/>
      <c r="E53" s="1"/>
      <c r="F53" s="12"/>
      <c r="G53" s="12"/>
      <c r="H53" s="112"/>
    </row>
    <row r="54" spans="1:8" x14ac:dyDescent="0.2">
      <c r="A54" s="1"/>
      <c r="B54" s="1"/>
      <c r="C54" s="2" t="s">
        <v>104</v>
      </c>
      <c r="D54" s="1"/>
      <c r="E54" s="1"/>
      <c r="F54" s="9">
        <v>137402.69042709999</v>
      </c>
      <c r="G54" s="10">
        <v>0.97953863399999996</v>
      </c>
      <c r="H54" s="112"/>
    </row>
    <row r="55" spans="1:8" x14ac:dyDescent="0.2">
      <c r="A55" s="1"/>
      <c r="B55" s="1"/>
      <c r="C55" s="11"/>
      <c r="D55" s="1"/>
      <c r="E55" s="1"/>
      <c r="F55" s="12"/>
      <c r="G55" s="12"/>
      <c r="H55" s="112"/>
    </row>
    <row r="56" spans="1:8" x14ac:dyDescent="0.2">
      <c r="A56" s="1"/>
      <c r="B56" s="1"/>
      <c r="C56" s="2" t="s">
        <v>105</v>
      </c>
      <c r="D56" s="1"/>
      <c r="E56" s="1"/>
      <c r="F56" s="12"/>
      <c r="G56" s="12"/>
      <c r="H56" s="112"/>
    </row>
    <row r="57" spans="1:8" ht="25.5" x14ac:dyDescent="0.2">
      <c r="A57" s="1"/>
      <c r="B57" s="1"/>
      <c r="C57" s="2" t="s">
        <v>10</v>
      </c>
      <c r="D57" s="1"/>
      <c r="E57" s="1"/>
      <c r="F57" s="12"/>
      <c r="G57" s="12"/>
      <c r="H57" s="112"/>
    </row>
    <row r="58" spans="1:8" x14ac:dyDescent="0.2">
      <c r="A58" s="1"/>
      <c r="B58" s="1"/>
      <c r="C58" s="2" t="s">
        <v>97</v>
      </c>
      <c r="D58" s="1"/>
      <c r="E58" s="1" t="s">
        <v>98</v>
      </c>
      <c r="F58" s="13">
        <v>0</v>
      </c>
      <c r="G58" s="14">
        <v>0</v>
      </c>
      <c r="H58" s="112"/>
    </row>
    <row r="59" spans="1:8" x14ac:dyDescent="0.2">
      <c r="A59" s="1"/>
      <c r="B59" s="1"/>
      <c r="C59" s="11"/>
      <c r="D59" s="1"/>
      <c r="E59" s="1"/>
      <c r="F59" s="12"/>
      <c r="G59" s="12"/>
      <c r="H59" s="112"/>
    </row>
    <row r="60" spans="1:8" x14ac:dyDescent="0.2">
      <c r="A60" s="1"/>
      <c r="B60" s="1"/>
      <c r="C60" s="2" t="s">
        <v>106</v>
      </c>
      <c r="D60" s="1"/>
      <c r="E60" s="1"/>
      <c r="F60" s="1"/>
      <c r="G60" s="1"/>
      <c r="H60" s="112"/>
    </row>
    <row r="61" spans="1:8" x14ac:dyDescent="0.2">
      <c r="A61" s="1"/>
      <c r="B61" s="1"/>
      <c r="C61" s="2" t="s">
        <v>97</v>
      </c>
      <c r="D61" s="1"/>
      <c r="E61" s="1" t="s">
        <v>98</v>
      </c>
      <c r="F61" s="13">
        <v>0</v>
      </c>
      <c r="G61" s="14">
        <v>0</v>
      </c>
      <c r="H61" s="112"/>
    </row>
    <row r="62" spans="1:8" x14ac:dyDescent="0.2">
      <c r="A62" s="1"/>
      <c r="B62" s="1"/>
      <c r="C62" s="11"/>
      <c r="D62" s="1"/>
      <c r="E62" s="1"/>
      <c r="F62" s="12"/>
      <c r="G62" s="12"/>
      <c r="H62" s="112"/>
    </row>
    <row r="63" spans="1:8" x14ac:dyDescent="0.2">
      <c r="A63" s="1"/>
      <c r="B63" s="1"/>
      <c r="C63" s="2" t="s">
        <v>107</v>
      </c>
      <c r="D63" s="1"/>
      <c r="E63" s="1"/>
      <c r="F63" s="1"/>
      <c r="G63" s="1"/>
      <c r="H63" s="112"/>
    </row>
    <row r="64" spans="1:8" x14ac:dyDescent="0.2">
      <c r="A64" s="1"/>
      <c r="B64" s="1"/>
      <c r="C64" s="2" t="s">
        <v>97</v>
      </c>
      <c r="D64" s="1"/>
      <c r="E64" s="1" t="s">
        <v>98</v>
      </c>
      <c r="F64" s="13">
        <v>0</v>
      </c>
      <c r="G64" s="14">
        <v>0</v>
      </c>
      <c r="H64" s="112"/>
    </row>
    <row r="65" spans="1:8" x14ac:dyDescent="0.2">
      <c r="A65" s="1"/>
      <c r="B65" s="1"/>
      <c r="C65" s="11"/>
      <c r="D65" s="1"/>
      <c r="E65" s="1"/>
      <c r="F65" s="12"/>
      <c r="G65" s="12"/>
      <c r="H65" s="112"/>
    </row>
    <row r="66" spans="1:8" x14ac:dyDescent="0.2">
      <c r="A66" s="1"/>
      <c r="B66" s="1"/>
      <c r="C66" s="2" t="s">
        <v>108</v>
      </c>
      <c r="D66" s="1"/>
      <c r="E66" s="1"/>
      <c r="F66" s="12"/>
      <c r="G66" s="12"/>
      <c r="H66" s="112"/>
    </row>
    <row r="67" spans="1:8" x14ac:dyDescent="0.2">
      <c r="A67" s="1"/>
      <c r="B67" s="1"/>
      <c r="C67" s="2" t="s">
        <v>97</v>
      </c>
      <c r="D67" s="1"/>
      <c r="E67" s="1" t="s">
        <v>98</v>
      </c>
      <c r="F67" s="13">
        <v>0</v>
      </c>
      <c r="G67" s="14">
        <v>0</v>
      </c>
      <c r="H67" s="112"/>
    </row>
    <row r="68" spans="1:8" x14ac:dyDescent="0.2">
      <c r="A68" s="1"/>
      <c r="B68" s="1"/>
      <c r="C68" s="11"/>
      <c r="D68" s="1"/>
      <c r="E68" s="1"/>
      <c r="F68" s="12"/>
      <c r="G68" s="12"/>
      <c r="H68" s="112"/>
    </row>
    <row r="69" spans="1:8" x14ac:dyDescent="0.2">
      <c r="A69" s="1"/>
      <c r="B69" s="1"/>
      <c r="C69" s="2" t="s">
        <v>109</v>
      </c>
      <c r="D69" s="1"/>
      <c r="E69" s="1"/>
      <c r="F69" s="9">
        <v>0</v>
      </c>
      <c r="G69" s="10">
        <v>0</v>
      </c>
      <c r="H69" s="112"/>
    </row>
    <row r="70" spans="1:8" x14ac:dyDescent="0.2">
      <c r="A70" s="1"/>
      <c r="B70" s="1"/>
      <c r="C70" s="11"/>
      <c r="D70" s="1"/>
      <c r="E70" s="1"/>
      <c r="F70" s="12"/>
      <c r="G70" s="12"/>
      <c r="H70" s="112"/>
    </row>
    <row r="71" spans="1:8" x14ac:dyDescent="0.2">
      <c r="A71" s="1"/>
      <c r="B71" s="1"/>
      <c r="C71" s="2" t="s">
        <v>110</v>
      </c>
      <c r="D71" s="1"/>
      <c r="E71" s="1"/>
      <c r="F71" s="12"/>
      <c r="G71" s="12"/>
      <c r="H71" s="112"/>
    </row>
    <row r="72" spans="1:8" x14ac:dyDescent="0.2">
      <c r="A72" s="1"/>
      <c r="B72" s="1"/>
      <c r="C72" s="2" t="s">
        <v>111</v>
      </c>
      <c r="D72" s="1"/>
      <c r="E72" s="1"/>
      <c r="F72" s="12"/>
      <c r="G72" s="12"/>
      <c r="H72" s="112"/>
    </row>
    <row r="73" spans="1:8" x14ac:dyDescent="0.2">
      <c r="A73" s="1"/>
      <c r="B73" s="1"/>
      <c r="C73" s="2" t="s">
        <v>97</v>
      </c>
      <c r="D73" s="1"/>
      <c r="E73" s="1" t="s">
        <v>98</v>
      </c>
      <c r="F73" s="13">
        <v>0</v>
      </c>
      <c r="G73" s="14">
        <v>0</v>
      </c>
      <c r="H73" s="112"/>
    </row>
    <row r="74" spans="1:8" x14ac:dyDescent="0.2">
      <c r="A74" s="1"/>
      <c r="B74" s="1"/>
      <c r="C74" s="11"/>
      <c r="D74" s="1"/>
      <c r="E74" s="1"/>
      <c r="F74" s="12"/>
      <c r="G74" s="12"/>
      <c r="H74" s="112"/>
    </row>
    <row r="75" spans="1:8" x14ac:dyDescent="0.2">
      <c r="A75" s="1"/>
      <c r="B75" s="1"/>
      <c r="C75" s="2" t="s">
        <v>112</v>
      </c>
      <c r="D75" s="1"/>
      <c r="E75" s="1"/>
      <c r="F75" s="12"/>
      <c r="G75" s="12"/>
      <c r="H75" s="112"/>
    </row>
    <row r="76" spans="1:8" x14ac:dyDescent="0.2">
      <c r="A76" s="1"/>
      <c r="B76" s="1"/>
      <c r="C76" s="2" t="s">
        <v>97</v>
      </c>
      <c r="D76" s="1"/>
      <c r="E76" s="1" t="s">
        <v>98</v>
      </c>
      <c r="F76" s="13">
        <v>0</v>
      </c>
      <c r="G76" s="14">
        <v>0</v>
      </c>
      <c r="H76" s="112"/>
    </row>
    <row r="77" spans="1:8" x14ac:dyDescent="0.2">
      <c r="A77" s="1"/>
      <c r="B77" s="1"/>
      <c r="C77" s="11"/>
      <c r="D77" s="1"/>
      <c r="E77" s="1"/>
      <c r="F77" s="12"/>
      <c r="G77" s="12"/>
      <c r="H77" s="112"/>
    </row>
    <row r="78" spans="1:8" x14ac:dyDescent="0.2">
      <c r="A78" s="1"/>
      <c r="B78" s="1"/>
      <c r="C78" s="2" t="s">
        <v>113</v>
      </c>
      <c r="D78" s="1"/>
      <c r="E78" s="1"/>
      <c r="F78" s="12"/>
      <c r="G78" s="12"/>
      <c r="H78" s="112"/>
    </row>
    <row r="79" spans="1:8" x14ac:dyDescent="0.2">
      <c r="A79" s="1"/>
      <c r="B79" s="1"/>
      <c r="C79" s="2" t="s">
        <v>97</v>
      </c>
      <c r="D79" s="1"/>
      <c r="E79" s="1" t="s">
        <v>98</v>
      </c>
      <c r="F79" s="13">
        <v>0</v>
      </c>
      <c r="G79" s="14">
        <v>0</v>
      </c>
      <c r="H79" s="112"/>
    </row>
    <row r="80" spans="1:8" x14ac:dyDescent="0.2">
      <c r="A80" s="1"/>
      <c r="B80" s="1"/>
      <c r="C80" s="11"/>
      <c r="D80" s="1"/>
      <c r="E80" s="1"/>
      <c r="F80" s="12"/>
      <c r="G80" s="12"/>
      <c r="H80" s="112"/>
    </row>
    <row r="81" spans="1:8" x14ac:dyDescent="0.2">
      <c r="A81" s="1"/>
      <c r="B81" s="1"/>
      <c r="C81" s="2" t="s">
        <v>114</v>
      </c>
      <c r="D81" s="1"/>
      <c r="E81" s="1"/>
      <c r="F81" s="12"/>
      <c r="G81" s="12"/>
      <c r="H81" s="112"/>
    </row>
    <row r="82" spans="1:8" x14ac:dyDescent="0.2">
      <c r="A82" s="3">
        <v>1</v>
      </c>
      <c r="B82" s="4"/>
      <c r="C82" s="4" t="s">
        <v>115</v>
      </c>
      <c r="D82" s="4"/>
      <c r="E82" s="8"/>
      <c r="F82" s="6">
        <v>1087.7075979051515</v>
      </c>
      <c r="G82" s="7">
        <v>7.7542267290085518E-3</v>
      </c>
      <c r="H82" s="6">
        <v>3.3211324282253978</v>
      </c>
    </row>
    <row r="83" spans="1:8" x14ac:dyDescent="0.2">
      <c r="A83" s="3">
        <v>2</v>
      </c>
      <c r="B83" s="4"/>
      <c r="C83" s="4" t="s">
        <v>116</v>
      </c>
      <c r="D83" s="4"/>
      <c r="E83" s="8"/>
      <c r="F83" s="6">
        <v>427.27704022006981</v>
      </c>
      <c r="G83" s="7">
        <v>3.0460420174936022E-3</v>
      </c>
      <c r="H83" s="6">
        <v>3.35</v>
      </c>
    </row>
    <row r="84" spans="1:8" x14ac:dyDescent="0.2">
      <c r="A84" s="1"/>
      <c r="B84" s="1"/>
      <c r="C84" s="2" t="s">
        <v>97</v>
      </c>
      <c r="D84" s="1"/>
      <c r="E84" s="1" t="s">
        <v>98</v>
      </c>
      <c r="F84" s="9">
        <v>1514.9846381252214</v>
      </c>
      <c r="G84" s="10">
        <v>1.0800268746502154E-2</v>
      </c>
      <c r="H84" s="112"/>
    </row>
    <row r="85" spans="1:8" x14ac:dyDescent="0.2">
      <c r="A85" s="1"/>
      <c r="B85" s="1"/>
      <c r="C85" s="11"/>
      <c r="D85" s="1"/>
      <c r="E85" s="1"/>
      <c r="F85" s="12"/>
      <c r="G85" s="12"/>
      <c r="H85" s="112"/>
    </row>
    <row r="86" spans="1:8" x14ac:dyDescent="0.2">
      <c r="A86" s="1"/>
      <c r="B86" s="1"/>
      <c r="C86" s="2" t="s">
        <v>117</v>
      </c>
      <c r="D86" s="1"/>
      <c r="E86" s="1"/>
      <c r="F86" s="9">
        <v>1514.9846381252214</v>
      </c>
      <c r="G86" s="10">
        <v>1.0800268746502154E-2</v>
      </c>
      <c r="H86" s="112"/>
    </row>
    <row r="87" spans="1:8" x14ac:dyDescent="0.2">
      <c r="A87" s="1"/>
      <c r="B87" s="1"/>
      <c r="C87" s="12"/>
      <c r="D87" s="1"/>
      <c r="E87" s="1"/>
      <c r="F87" s="1"/>
      <c r="G87" s="1"/>
      <c r="H87" s="112"/>
    </row>
    <row r="88" spans="1:8" x14ac:dyDescent="0.2">
      <c r="A88" s="1"/>
      <c r="B88" s="1"/>
      <c r="C88" s="2" t="s">
        <v>118</v>
      </c>
      <c r="D88" s="1"/>
      <c r="E88" s="1"/>
      <c r="F88" s="1"/>
      <c r="G88" s="1"/>
      <c r="H88" s="112"/>
    </row>
    <row r="89" spans="1:8" x14ac:dyDescent="0.2">
      <c r="A89" s="1"/>
      <c r="B89" s="1"/>
      <c r="C89" s="2" t="s">
        <v>119</v>
      </c>
      <c r="D89" s="1"/>
      <c r="E89" s="1"/>
      <c r="F89" s="1"/>
      <c r="G89" s="1"/>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120</v>
      </c>
      <c r="D92" s="1"/>
      <c r="E92" s="1"/>
      <c r="F92" s="1"/>
      <c r="G92" s="1"/>
      <c r="H92" s="112"/>
    </row>
    <row r="93" spans="1:8" x14ac:dyDescent="0.2">
      <c r="A93" s="1"/>
      <c r="B93" s="1"/>
      <c r="C93" s="2" t="s">
        <v>121</v>
      </c>
      <c r="D93" s="1"/>
      <c r="E93" s="1"/>
      <c r="F93" s="1"/>
      <c r="G93" s="1"/>
      <c r="H93" s="112"/>
    </row>
    <row r="94" spans="1:8" x14ac:dyDescent="0.2">
      <c r="A94" s="1"/>
      <c r="B94" s="1"/>
      <c r="C94" s="2" t="s">
        <v>97</v>
      </c>
      <c r="D94" s="1"/>
      <c r="E94" s="1" t="s">
        <v>98</v>
      </c>
      <c r="F94" s="13">
        <v>0</v>
      </c>
      <c r="G94" s="14">
        <v>0</v>
      </c>
      <c r="H94" s="112"/>
    </row>
    <row r="95" spans="1:8" x14ac:dyDescent="0.2">
      <c r="A95" s="1"/>
      <c r="B95" s="1"/>
      <c r="C95" s="11"/>
      <c r="D95" s="1"/>
      <c r="E95" s="1"/>
      <c r="F95" s="12"/>
      <c r="G95" s="12"/>
      <c r="H95" s="112"/>
    </row>
    <row r="96" spans="1:8" x14ac:dyDescent="0.2">
      <c r="A96" s="1"/>
      <c r="B96" s="1"/>
      <c r="C96" s="11"/>
      <c r="D96" s="1"/>
      <c r="E96" s="1"/>
      <c r="F96" s="12"/>
      <c r="G96" s="12"/>
      <c r="H96" s="112"/>
    </row>
    <row r="97" spans="1:8" ht="25.5" x14ac:dyDescent="0.2">
      <c r="A97" s="1"/>
      <c r="B97" s="1"/>
      <c r="C97" s="2" t="s">
        <v>122</v>
      </c>
      <c r="D97" s="1"/>
      <c r="E97" s="1"/>
      <c r="F97" s="12"/>
      <c r="G97" s="12"/>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4"/>
      <c r="C100" s="4"/>
      <c r="D100" s="2"/>
      <c r="E100" s="1"/>
      <c r="F100" s="4"/>
      <c r="G100" s="8"/>
      <c r="H100" s="112"/>
    </row>
    <row r="101" spans="1:8" x14ac:dyDescent="0.2">
      <c r="A101" s="8"/>
      <c r="B101" s="4"/>
      <c r="C101" s="4" t="s">
        <v>123</v>
      </c>
      <c r="D101" s="4"/>
      <c r="E101" s="8"/>
      <c r="F101" s="6">
        <v>1355.1898086299302</v>
      </c>
      <c r="G101" s="7">
        <v>9.6610973916121615E-3</v>
      </c>
      <c r="H101" s="112"/>
    </row>
    <row r="102" spans="1:8" x14ac:dyDescent="0.2">
      <c r="A102" s="11"/>
      <c r="B102" s="11"/>
      <c r="C102" s="2" t="s">
        <v>124</v>
      </c>
      <c r="D102" s="15"/>
      <c r="E102" s="15"/>
      <c r="F102" s="9">
        <v>140272.86487385514</v>
      </c>
      <c r="G102" s="10">
        <v>1.0000000001381142</v>
      </c>
      <c r="H102" s="112"/>
    </row>
    <row r="103" spans="1:8" ht="14.1" customHeight="1" x14ac:dyDescent="0.2">
      <c r="A103" s="16"/>
      <c r="B103" s="16"/>
      <c r="C103" s="16"/>
      <c r="D103" s="17"/>
      <c r="E103" s="17"/>
    </row>
    <row r="104" spans="1:8" ht="14.1" customHeight="1" x14ac:dyDescent="0.2">
      <c r="A104" s="18"/>
      <c r="B104" s="205" t="s">
        <v>98</v>
      </c>
      <c r="C104" s="205"/>
      <c r="D104" s="205"/>
      <c r="E104" s="205"/>
      <c r="F104" s="205"/>
      <c r="G104" s="20"/>
    </row>
    <row r="105" spans="1:8" ht="14.1" customHeight="1" x14ac:dyDescent="0.2">
      <c r="A105" s="18"/>
      <c r="B105" s="205" t="s">
        <v>98</v>
      </c>
      <c r="C105" s="205"/>
      <c r="D105" s="205"/>
      <c r="E105" s="205"/>
      <c r="F105" s="205"/>
      <c r="G105" s="20"/>
    </row>
    <row r="106" spans="1:8" ht="14.1" customHeight="1" x14ac:dyDescent="0.2">
      <c r="A106" s="18"/>
      <c r="B106" s="18"/>
      <c r="C106" s="18"/>
      <c r="D106" s="20"/>
      <c r="E106" s="20"/>
      <c r="F106" s="20"/>
      <c r="G106" s="20"/>
    </row>
    <row r="107" spans="1:8" ht="14.1" customHeight="1" x14ac:dyDescent="0.2">
      <c r="A107" s="18"/>
      <c r="B107" s="203" t="s">
        <v>126</v>
      </c>
      <c r="C107" s="204"/>
      <c r="D107" s="12" t="s">
        <v>98</v>
      </c>
      <c r="E107" s="21"/>
      <c r="F107" s="20"/>
      <c r="G107" s="20"/>
    </row>
    <row r="108" spans="1:8" ht="29.1" customHeight="1" x14ac:dyDescent="0.2">
      <c r="A108" s="18"/>
      <c r="B108" s="198" t="s">
        <v>127</v>
      </c>
      <c r="C108" s="199"/>
      <c r="D108" s="2" t="s">
        <v>128</v>
      </c>
      <c r="E108" s="21"/>
      <c r="F108" s="20"/>
      <c r="G108" s="20"/>
    </row>
    <row r="109" spans="1:8" ht="17.100000000000001" customHeight="1" x14ac:dyDescent="0.2">
      <c r="A109" s="18"/>
      <c r="B109" s="198" t="s">
        <v>129</v>
      </c>
      <c r="C109" s="199"/>
      <c r="D109" s="2" t="s">
        <v>128</v>
      </c>
      <c r="E109" s="21"/>
      <c r="F109" s="20"/>
      <c r="G109" s="20"/>
    </row>
    <row r="110" spans="1:8" ht="17.100000000000001" customHeight="1" x14ac:dyDescent="0.2">
      <c r="A110" s="18"/>
      <c r="B110" s="198" t="s">
        <v>130</v>
      </c>
      <c r="C110" s="199"/>
      <c r="D110" s="12" t="s">
        <v>98</v>
      </c>
      <c r="E110" s="21"/>
      <c r="F110" s="20"/>
      <c r="G110" s="20"/>
    </row>
    <row r="111" spans="1:8" ht="24" customHeight="1" x14ac:dyDescent="0.2">
      <c r="A111" s="22"/>
      <c r="B111" s="23" t="s">
        <v>98</v>
      </c>
      <c r="C111" s="23" t="s">
        <v>131</v>
      </c>
      <c r="D111" s="23" t="s">
        <v>132</v>
      </c>
      <c r="E111" s="22"/>
      <c r="F111" s="22"/>
      <c r="G111" s="22"/>
    </row>
    <row r="112" spans="1:8" ht="18" customHeight="1" x14ac:dyDescent="0.2">
      <c r="A112" s="22"/>
      <c r="B112" s="23" t="s">
        <v>133</v>
      </c>
      <c r="C112" s="23" t="s">
        <v>134</v>
      </c>
      <c r="D112" s="23" t="s">
        <v>135</v>
      </c>
      <c r="E112" s="22"/>
      <c r="F112" s="22"/>
      <c r="G112" s="22"/>
    </row>
    <row r="113" spans="1:7" ht="17.100000000000001" customHeight="1" x14ac:dyDescent="0.2">
      <c r="A113" s="22"/>
      <c r="B113" s="4" t="s">
        <v>136</v>
      </c>
      <c r="C113" s="24">
        <v>291.76459999999997</v>
      </c>
      <c r="D113" s="24">
        <v>292.74329999999998</v>
      </c>
      <c r="E113" s="22"/>
      <c r="F113" s="19"/>
      <c r="G113" s="25"/>
    </row>
    <row r="114" spans="1:7" ht="17.100000000000001" customHeight="1" x14ac:dyDescent="0.2">
      <c r="A114" s="22"/>
      <c r="B114" s="4" t="s">
        <v>980</v>
      </c>
      <c r="C114" s="24">
        <v>19.2776</v>
      </c>
      <c r="D114" s="24">
        <v>19.342300000000002</v>
      </c>
      <c r="E114" s="22"/>
      <c r="F114" s="19"/>
      <c r="G114" s="25"/>
    </row>
    <row r="115" spans="1:7" ht="29.1" customHeight="1" x14ac:dyDescent="0.2">
      <c r="A115" s="22"/>
      <c r="B115" s="4" t="s">
        <v>410</v>
      </c>
      <c r="C115" s="24">
        <v>298.20839999999998</v>
      </c>
      <c r="D115" s="24">
        <v>299.20859999999999</v>
      </c>
      <c r="E115" s="22"/>
      <c r="F115" s="19"/>
      <c r="G115" s="25"/>
    </row>
    <row r="116" spans="1:7" ht="17.100000000000001" customHeight="1" x14ac:dyDescent="0.2">
      <c r="A116" s="22"/>
      <c r="B116" s="4" t="s">
        <v>137</v>
      </c>
      <c r="C116" s="24">
        <v>273.30180000000001</v>
      </c>
      <c r="D116" s="24">
        <v>273.99209999999999</v>
      </c>
      <c r="E116" s="22"/>
      <c r="F116" s="19"/>
      <c r="G116" s="25"/>
    </row>
    <row r="117" spans="1:7" ht="17.100000000000001" customHeight="1" x14ac:dyDescent="0.2">
      <c r="A117" s="22"/>
      <c r="B117" s="4" t="s">
        <v>981</v>
      </c>
      <c r="C117" s="24">
        <v>17.8462</v>
      </c>
      <c r="D117" s="24">
        <v>17.891300000000001</v>
      </c>
      <c r="E117" s="22"/>
      <c r="F117" s="19"/>
      <c r="G117" s="25"/>
    </row>
    <row r="118" spans="1:7" ht="14.1" customHeight="1" x14ac:dyDescent="0.2">
      <c r="A118" s="22"/>
      <c r="B118" s="22"/>
      <c r="C118" s="22"/>
      <c r="D118" s="22"/>
      <c r="E118" s="22"/>
      <c r="F118" s="22"/>
      <c r="G118" s="22"/>
    </row>
    <row r="119" spans="1:7" ht="17.100000000000001" customHeight="1" x14ac:dyDescent="0.2">
      <c r="A119" s="22"/>
      <c r="B119" s="198" t="s">
        <v>982</v>
      </c>
      <c r="C119" s="199"/>
      <c r="D119" s="91" t="s">
        <v>128</v>
      </c>
      <c r="E119" s="22"/>
      <c r="F119" s="22"/>
      <c r="G119" s="22"/>
    </row>
    <row r="120" spans="1:7" ht="18" customHeight="1" x14ac:dyDescent="0.2">
      <c r="A120" s="22"/>
      <c r="B120" s="26"/>
      <c r="C120" s="26"/>
      <c r="D120" s="27"/>
      <c r="E120" s="22"/>
      <c r="F120" s="22"/>
      <c r="G120" s="22"/>
    </row>
    <row r="121" spans="1:7" s="113" customFormat="1" x14ac:dyDescent="0.2">
      <c r="B121" s="202" t="s">
        <v>984</v>
      </c>
      <c r="C121" s="202"/>
      <c r="D121" s="202"/>
      <c r="E121" s="202"/>
      <c r="F121" s="202"/>
    </row>
    <row r="122" spans="1:7" ht="14.1" customHeight="1" x14ac:dyDescent="0.2">
      <c r="A122" s="22"/>
      <c r="B122" s="19"/>
      <c r="C122" s="19"/>
      <c r="D122" s="22"/>
      <c r="E122" s="22"/>
      <c r="F122" s="22"/>
      <c r="G122" s="22"/>
    </row>
    <row r="123" spans="1:7" ht="29.1" customHeight="1" x14ac:dyDescent="0.2">
      <c r="A123" s="22"/>
      <c r="B123" s="198" t="s">
        <v>138</v>
      </c>
      <c r="C123" s="199"/>
      <c r="D123" s="2" t="s">
        <v>128</v>
      </c>
      <c r="E123" s="22"/>
      <c r="F123" s="22"/>
      <c r="G123" s="22"/>
    </row>
    <row r="124" spans="1:7" ht="29.1" customHeight="1" x14ac:dyDescent="0.2">
      <c r="A124" s="22"/>
      <c r="B124" s="198" t="s">
        <v>139</v>
      </c>
      <c r="C124" s="199"/>
      <c r="D124" s="2" t="s">
        <v>128</v>
      </c>
      <c r="E124" s="22"/>
      <c r="F124" s="22"/>
      <c r="G124" s="22"/>
    </row>
    <row r="125" spans="1:7" ht="17.100000000000001" customHeight="1" x14ac:dyDescent="0.2">
      <c r="A125" s="22"/>
      <c r="B125" s="198" t="s">
        <v>140</v>
      </c>
      <c r="C125" s="199"/>
      <c r="D125" s="28">
        <v>0.4613554091348816</v>
      </c>
      <c r="E125" s="22"/>
      <c r="F125" s="19"/>
      <c r="G125" s="25"/>
    </row>
    <row r="126" spans="1:7" ht="17.100000000000001" customHeight="1" x14ac:dyDescent="0.2">
      <c r="A126" s="22"/>
      <c r="B126" s="198" t="s">
        <v>141</v>
      </c>
      <c r="C126" s="199"/>
      <c r="D126" s="2" t="s">
        <v>128</v>
      </c>
      <c r="E126" s="22"/>
      <c r="F126" s="22"/>
      <c r="G126" s="22"/>
    </row>
  </sheetData>
  <mergeCells count="16">
    <mergeCell ref="B126:C126"/>
    <mergeCell ref="B108:C108"/>
    <mergeCell ref="B109:C109"/>
    <mergeCell ref="B110:C110"/>
    <mergeCell ref="B119:C119"/>
    <mergeCell ref="B123:C123"/>
    <mergeCell ref="B124:C124"/>
    <mergeCell ref="B121:F121"/>
    <mergeCell ref="A1:H1"/>
    <mergeCell ref="A2:H2"/>
    <mergeCell ref="A3:H3"/>
    <mergeCell ref="J2:N2"/>
    <mergeCell ref="B125:C125"/>
    <mergeCell ref="B107:C107"/>
    <mergeCell ref="B104:F104"/>
    <mergeCell ref="B105:F105"/>
  </mergeCells>
  <pageMargins left="5.000000074505806E-2" right="5.000000074505806E-2" top="0.30000001192092896" bottom="0.20000000298023224" header="0" footer="0"/>
  <pageSetup paperSize="9"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O159"/>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504</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41</v>
      </c>
      <c r="C7" s="4" t="s">
        <v>42</v>
      </c>
      <c r="D7" s="4" t="s">
        <v>27</v>
      </c>
      <c r="E7" s="5">
        <v>10772</v>
      </c>
      <c r="F7" s="6">
        <v>142.77747400000001</v>
      </c>
      <c r="G7" s="7">
        <v>3.4461827E-2</v>
      </c>
      <c r="H7" s="112"/>
    </row>
    <row r="8" spans="1:14" x14ac:dyDescent="0.2">
      <c r="A8" s="3">
        <v>2</v>
      </c>
      <c r="B8" s="4" t="s">
        <v>150</v>
      </c>
      <c r="C8" s="4" t="s">
        <v>151</v>
      </c>
      <c r="D8" s="4" t="s">
        <v>27</v>
      </c>
      <c r="E8" s="5">
        <v>16187</v>
      </c>
      <c r="F8" s="6">
        <v>137.77565050000001</v>
      </c>
      <c r="G8" s="7">
        <v>3.3254550000000001E-2</v>
      </c>
      <c r="H8" s="112"/>
    </row>
    <row r="9" spans="1:14" x14ac:dyDescent="0.2">
      <c r="A9" s="3">
        <v>3</v>
      </c>
      <c r="B9" s="4" t="s">
        <v>154</v>
      </c>
      <c r="C9" s="4" t="s">
        <v>155</v>
      </c>
      <c r="D9" s="4" t="s">
        <v>71</v>
      </c>
      <c r="E9" s="5">
        <v>23528</v>
      </c>
      <c r="F9" s="6">
        <v>127.07472799999999</v>
      </c>
      <c r="G9" s="7">
        <v>3.0671695999999998E-2</v>
      </c>
      <c r="H9" s="112"/>
    </row>
    <row r="10" spans="1:14" x14ac:dyDescent="0.2">
      <c r="A10" s="3">
        <v>4</v>
      </c>
      <c r="B10" s="4" t="s">
        <v>148</v>
      </c>
      <c r="C10" s="4" t="s">
        <v>149</v>
      </c>
      <c r="D10" s="4" t="s">
        <v>81</v>
      </c>
      <c r="E10" s="5">
        <v>96249</v>
      </c>
      <c r="F10" s="6">
        <v>124.931202</v>
      </c>
      <c r="G10" s="7">
        <v>3.0154318999999999E-2</v>
      </c>
      <c r="H10" s="112"/>
    </row>
    <row r="11" spans="1:14" x14ac:dyDescent="0.2">
      <c r="A11" s="3">
        <v>5</v>
      </c>
      <c r="B11" s="4" t="s">
        <v>143</v>
      </c>
      <c r="C11" s="4" t="s">
        <v>144</v>
      </c>
      <c r="D11" s="4" t="s">
        <v>27</v>
      </c>
      <c r="E11" s="5">
        <v>13341</v>
      </c>
      <c r="F11" s="6">
        <v>121.8100005</v>
      </c>
      <c r="G11" s="7">
        <v>2.9400961999999999E-2</v>
      </c>
      <c r="H11" s="112"/>
    </row>
    <row r="12" spans="1:14" x14ac:dyDescent="0.2">
      <c r="A12" s="3">
        <v>6</v>
      </c>
      <c r="B12" s="4" t="s">
        <v>463</v>
      </c>
      <c r="C12" s="4" t="s">
        <v>464</v>
      </c>
      <c r="D12" s="4" t="s">
        <v>71</v>
      </c>
      <c r="E12" s="5">
        <v>33367</v>
      </c>
      <c r="F12" s="6">
        <v>115.4331365</v>
      </c>
      <c r="G12" s="7">
        <v>2.7861795000000002E-2</v>
      </c>
      <c r="H12" s="112"/>
    </row>
    <row r="13" spans="1:14" x14ac:dyDescent="0.2">
      <c r="A13" s="3">
        <v>7</v>
      </c>
      <c r="B13" s="4" t="s">
        <v>297</v>
      </c>
      <c r="C13" s="4" t="s">
        <v>298</v>
      </c>
      <c r="D13" s="4" t="s">
        <v>27</v>
      </c>
      <c r="E13" s="5">
        <v>17031</v>
      </c>
      <c r="F13" s="6">
        <v>114.141762</v>
      </c>
      <c r="G13" s="7">
        <v>2.7550100000000001E-2</v>
      </c>
      <c r="H13" s="112"/>
    </row>
    <row r="14" spans="1:14" x14ac:dyDescent="0.2">
      <c r="A14" s="3">
        <v>8</v>
      </c>
      <c r="B14" s="4" t="s">
        <v>145</v>
      </c>
      <c r="C14" s="4" t="s">
        <v>146</v>
      </c>
      <c r="D14" s="4" t="s">
        <v>147</v>
      </c>
      <c r="E14" s="5">
        <v>3284</v>
      </c>
      <c r="F14" s="6">
        <v>109.633056</v>
      </c>
      <c r="G14" s="7">
        <v>2.6461845000000001E-2</v>
      </c>
      <c r="H14" s="112"/>
    </row>
    <row r="15" spans="1:14" x14ac:dyDescent="0.2">
      <c r="A15" s="3">
        <v>9</v>
      </c>
      <c r="B15" s="4" t="s">
        <v>74</v>
      </c>
      <c r="C15" s="4" t="s">
        <v>75</v>
      </c>
      <c r="D15" s="4" t="s">
        <v>71</v>
      </c>
      <c r="E15" s="5">
        <v>27627</v>
      </c>
      <c r="F15" s="6">
        <v>106.5435255</v>
      </c>
      <c r="G15" s="7">
        <v>2.5716132999999999E-2</v>
      </c>
      <c r="H15" s="112"/>
    </row>
    <row r="16" spans="1:14" ht="25.5" x14ac:dyDescent="0.2">
      <c r="A16" s="3">
        <v>10</v>
      </c>
      <c r="B16" s="4" t="s">
        <v>152</v>
      </c>
      <c r="C16" s="4" t="s">
        <v>153</v>
      </c>
      <c r="D16" s="4" t="s">
        <v>45</v>
      </c>
      <c r="E16" s="5">
        <v>70289</v>
      </c>
      <c r="F16" s="6">
        <v>102.832807</v>
      </c>
      <c r="G16" s="7">
        <v>2.4820486999999999E-2</v>
      </c>
      <c r="H16" s="112"/>
      <c r="J16" s="188" t="s">
        <v>1014</v>
      </c>
    </row>
    <row r="17" spans="1:8" x14ac:dyDescent="0.2">
      <c r="A17" s="3">
        <v>11</v>
      </c>
      <c r="B17" s="4" t="s">
        <v>25</v>
      </c>
      <c r="C17" s="4" t="s">
        <v>26</v>
      </c>
      <c r="D17" s="4" t="s">
        <v>27</v>
      </c>
      <c r="E17" s="5">
        <v>6334</v>
      </c>
      <c r="F17" s="6">
        <v>102.585464</v>
      </c>
      <c r="G17" s="7">
        <v>2.4760786E-2</v>
      </c>
      <c r="H17" s="112"/>
    </row>
    <row r="18" spans="1:8" ht="25.5" x14ac:dyDescent="0.2">
      <c r="A18" s="3">
        <v>12</v>
      </c>
      <c r="B18" s="4" t="s">
        <v>190</v>
      </c>
      <c r="C18" s="4" t="s">
        <v>191</v>
      </c>
      <c r="D18" s="4" t="s">
        <v>192</v>
      </c>
      <c r="E18" s="5">
        <v>18151</v>
      </c>
      <c r="F18" s="6">
        <v>94.956956500000004</v>
      </c>
      <c r="G18" s="7">
        <v>2.2919512999999999E-2</v>
      </c>
      <c r="H18" s="112"/>
    </row>
    <row r="19" spans="1:8" x14ac:dyDescent="0.2">
      <c r="A19" s="3">
        <v>13</v>
      </c>
      <c r="B19" s="4" t="s">
        <v>364</v>
      </c>
      <c r="C19" s="4" t="s">
        <v>365</v>
      </c>
      <c r="D19" s="4" t="s">
        <v>173</v>
      </c>
      <c r="E19" s="5">
        <v>2466</v>
      </c>
      <c r="F19" s="6">
        <v>94.666041000000007</v>
      </c>
      <c r="G19" s="7">
        <v>2.2849296000000002E-2</v>
      </c>
      <c r="H19" s="112"/>
    </row>
    <row r="20" spans="1:8" x14ac:dyDescent="0.2">
      <c r="A20" s="3">
        <v>14</v>
      </c>
      <c r="B20" s="4" t="s">
        <v>167</v>
      </c>
      <c r="C20" s="4" t="s">
        <v>168</v>
      </c>
      <c r="D20" s="4" t="s">
        <v>81</v>
      </c>
      <c r="E20" s="5">
        <v>12129</v>
      </c>
      <c r="F20" s="6">
        <v>85.539772499999998</v>
      </c>
      <c r="G20" s="7">
        <v>2.0646511999999999E-2</v>
      </c>
      <c r="H20" s="112"/>
    </row>
    <row r="21" spans="1:8" ht="25.5" x14ac:dyDescent="0.2">
      <c r="A21" s="3">
        <v>15</v>
      </c>
      <c r="B21" s="4" t="s">
        <v>37</v>
      </c>
      <c r="C21" s="4" t="s">
        <v>38</v>
      </c>
      <c r="D21" s="4" t="s">
        <v>971</v>
      </c>
      <c r="E21" s="5">
        <v>2520</v>
      </c>
      <c r="F21" s="6">
        <v>83.556899999999999</v>
      </c>
      <c r="G21" s="7">
        <v>2.0167911E-2</v>
      </c>
      <c r="H21" s="112"/>
    </row>
    <row r="22" spans="1:8" x14ac:dyDescent="0.2">
      <c r="A22" s="3">
        <v>16</v>
      </c>
      <c r="B22" s="4" t="s">
        <v>160</v>
      </c>
      <c r="C22" s="4" t="s">
        <v>161</v>
      </c>
      <c r="D22" s="4" t="s">
        <v>162</v>
      </c>
      <c r="E22" s="5">
        <v>2123</v>
      </c>
      <c r="F22" s="6">
        <v>83.300151</v>
      </c>
      <c r="G22" s="7">
        <v>2.0105939999999999E-2</v>
      </c>
      <c r="H22" s="112"/>
    </row>
    <row r="23" spans="1:8" x14ac:dyDescent="0.2">
      <c r="A23" s="3">
        <v>17</v>
      </c>
      <c r="B23" s="4" t="s">
        <v>163</v>
      </c>
      <c r="C23" s="4" t="s">
        <v>164</v>
      </c>
      <c r="D23" s="4" t="s">
        <v>162</v>
      </c>
      <c r="E23" s="5">
        <v>25698</v>
      </c>
      <c r="F23" s="6">
        <v>79.329725999999994</v>
      </c>
      <c r="G23" s="7">
        <v>1.9147608999999999E-2</v>
      </c>
      <c r="H23" s="112"/>
    </row>
    <row r="24" spans="1:8" x14ac:dyDescent="0.2">
      <c r="A24" s="3">
        <v>18</v>
      </c>
      <c r="B24" s="4" t="s">
        <v>176</v>
      </c>
      <c r="C24" s="4" t="s">
        <v>177</v>
      </c>
      <c r="D24" s="4" t="s">
        <v>178</v>
      </c>
      <c r="E24" s="5">
        <v>7639</v>
      </c>
      <c r="F24" s="6">
        <v>77.818493000000004</v>
      </c>
      <c r="G24" s="7">
        <v>1.8782846999999998E-2</v>
      </c>
      <c r="H24" s="112"/>
    </row>
    <row r="25" spans="1:8" x14ac:dyDescent="0.2">
      <c r="A25" s="3">
        <v>19</v>
      </c>
      <c r="B25" s="4" t="s">
        <v>199</v>
      </c>
      <c r="C25" s="4" t="s">
        <v>200</v>
      </c>
      <c r="D25" s="4" t="s">
        <v>64</v>
      </c>
      <c r="E25" s="5">
        <v>72425</v>
      </c>
      <c r="F25" s="6">
        <v>75.828975</v>
      </c>
      <c r="G25" s="7">
        <v>1.8302642000000001E-2</v>
      </c>
      <c r="H25" s="112"/>
    </row>
    <row r="26" spans="1:8" x14ac:dyDescent="0.2">
      <c r="A26" s="3">
        <v>20</v>
      </c>
      <c r="B26" s="4" t="s">
        <v>165</v>
      </c>
      <c r="C26" s="4" t="s">
        <v>166</v>
      </c>
      <c r="D26" s="4" t="s">
        <v>976</v>
      </c>
      <c r="E26" s="5">
        <v>17100</v>
      </c>
      <c r="F26" s="6">
        <v>71.657550000000001</v>
      </c>
      <c r="G26" s="7">
        <v>1.7295795999999999E-2</v>
      </c>
      <c r="H26" s="112"/>
    </row>
    <row r="27" spans="1:8" x14ac:dyDescent="0.2">
      <c r="A27" s="3">
        <v>21</v>
      </c>
      <c r="B27" s="4" t="s">
        <v>225</v>
      </c>
      <c r="C27" s="4" t="s">
        <v>226</v>
      </c>
      <c r="D27" s="4" t="s">
        <v>71</v>
      </c>
      <c r="E27" s="5">
        <v>8499</v>
      </c>
      <c r="F27" s="6">
        <v>70.677683999999999</v>
      </c>
      <c r="G27" s="7">
        <v>1.7059287999999999E-2</v>
      </c>
      <c r="H27" s="112"/>
    </row>
    <row r="28" spans="1:8" x14ac:dyDescent="0.2">
      <c r="A28" s="3">
        <v>22</v>
      </c>
      <c r="B28" s="4" t="s">
        <v>219</v>
      </c>
      <c r="C28" s="4" t="s">
        <v>220</v>
      </c>
      <c r="D28" s="4" t="s">
        <v>64</v>
      </c>
      <c r="E28" s="5">
        <v>6936</v>
      </c>
      <c r="F28" s="6">
        <v>66.866507999999996</v>
      </c>
      <c r="G28" s="7">
        <v>1.6139395000000001E-2</v>
      </c>
      <c r="H28" s="112"/>
    </row>
    <row r="29" spans="1:8" x14ac:dyDescent="0.2">
      <c r="A29" s="3">
        <v>23</v>
      </c>
      <c r="B29" s="4" t="s">
        <v>203</v>
      </c>
      <c r="C29" s="4" t="s">
        <v>204</v>
      </c>
      <c r="D29" s="4" t="s">
        <v>81</v>
      </c>
      <c r="E29" s="5">
        <v>10566</v>
      </c>
      <c r="F29" s="6">
        <v>66.232971000000006</v>
      </c>
      <c r="G29" s="7">
        <v>1.5986480000000001E-2</v>
      </c>
      <c r="H29" s="112"/>
    </row>
    <row r="30" spans="1:8" x14ac:dyDescent="0.2">
      <c r="A30" s="3">
        <v>24</v>
      </c>
      <c r="B30" s="4" t="s">
        <v>187</v>
      </c>
      <c r="C30" s="4" t="s">
        <v>188</v>
      </c>
      <c r="D30" s="4" t="s">
        <v>189</v>
      </c>
      <c r="E30" s="5">
        <v>28774</v>
      </c>
      <c r="F30" s="6">
        <v>64.914143999999993</v>
      </c>
      <c r="G30" s="7">
        <v>1.5668158000000001E-2</v>
      </c>
      <c r="H30" s="112"/>
    </row>
    <row r="31" spans="1:8" x14ac:dyDescent="0.2">
      <c r="A31" s="3">
        <v>25</v>
      </c>
      <c r="B31" s="4" t="s">
        <v>182</v>
      </c>
      <c r="C31" s="4" t="s">
        <v>183</v>
      </c>
      <c r="D31" s="4" t="s">
        <v>162</v>
      </c>
      <c r="E31" s="5">
        <v>6040</v>
      </c>
      <c r="F31" s="6">
        <v>64.522300000000001</v>
      </c>
      <c r="G31" s="7">
        <v>1.5573579000000001E-2</v>
      </c>
      <c r="H31" s="112"/>
    </row>
    <row r="32" spans="1:8" x14ac:dyDescent="0.2">
      <c r="A32" s="3">
        <v>26</v>
      </c>
      <c r="B32" s="4" t="s">
        <v>238</v>
      </c>
      <c r="C32" s="4" t="s">
        <v>239</v>
      </c>
      <c r="D32" s="4" t="s">
        <v>186</v>
      </c>
      <c r="E32" s="5">
        <v>12470</v>
      </c>
      <c r="F32" s="6">
        <v>64.320260000000005</v>
      </c>
      <c r="G32" s="7">
        <v>1.5524814E-2</v>
      </c>
      <c r="H32" s="112"/>
    </row>
    <row r="33" spans="1:8" x14ac:dyDescent="0.2">
      <c r="A33" s="3">
        <v>27</v>
      </c>
      <c r="B33" s="4" t="s">
        <v>184</v>
      </c>
      <c r="C33" s="4" t="s">
        <v>185</v>
      </c>
      <c r="D33" s="4" t="s">
        <v>186</v>
      </c>
      <c r="E33" s="5">
        <v>13550</v>
      </c>
      <c r="F33" s="6">
        <v>63.129449999999999</v>
      </c>
      <c r="G33" s="7">
        <v>1.5237390999999999E-2</v>
      </c>
      <c r="H33" s="112"/>
    </row>
    <row r="34" spans="1:8" x14ac:dyDescent="0.2">
      <c r="A34" s="3">
        <v>28</v>
      </c>
      <c r="B34" s="4" t="s">
        <v>240</v>
      </c>
      <c r="C34" s="4" t="s">
        <v>241</v>
      </c>
      <c r="D34" s="4" t="s">
        <v>81</v>
      </c>
      <c r="E34" s="5">
        <v>114515</v>
      </c>
      <c r="F34" s="6">
        <v>63.097765000000003</v>
      </c>
      <c r="G34" s="7">
        <v>1.5229743E-2</v>
      </c>
      <c r="H34" s="112"/>
    </row>
    <row r="35" spans="1:8" x14ac:dyDescent="0.2">
      <c r="A35" s="3">
        <v>29</v>
      </c>
      <c r="B35" s="4" t="s">
        <v>195</v>
      </c>
      <c r="C35" s="4" t="s">
        <v>196</v>
      </c>
      <c r="D35" s="4" t="s">
        <v>34</v>
      </c>
      <c r="E35" s="5">
        <v>14751</v>
      </c>
      <c r="F35" s="6">
        <v>61.991077500000003</v>
      </c>
      <c r="G35" s="7">
        <v>1.4962625E-2</v>
      </c>
      <c r="H35" s="112"/>
    </row>
    <row r="36" spans="1:8" x14ac:dyDescent="0.2">
      <c r="A36" s="3">
        <v>30</v>
      </c>
      <c r="B36" s="4" t="s">
        <v>65</v>
      </c>
      <c r="C36" s="4" t="s">
        <v>66</v>
      </c>
      <c r="D36" s="4" t="s">
        <v>64</v>
      </c>
      <c r="E36" s="5">
        <v>13250</v>
      </c>
      <c r="F36" s="6">
        <v>61.499875000000003</v>
      </c>
      <c r="G36" s="7">
        <v>1.4844065E-2</v>
      </c>
      <c r="H36" s="112"/>
    </row>
    <row r="37" spans="1:8" x14ac:dyDescent="0.2">
      <c r="A37" s="3">
        <v>31</v>
      </c>
      <c r="B37" s="4" t="s">
        <v>213</v>
      </c>
      <c r="C37" s="4" t="s">
        <v>214</v>
      </c>
      <c r="D37" s="4" t="s">
        <v>977</v>
      </c>
      <c r="E37" s="5">
        <v>10548</v>
      </c>
      <c r="F37" s="6">
        <v>61.210044000000003</v>
      </c>
      <c r="G37" s="7">
        <v>1.4774109000000001E-2</v>
      </c>
      <c r="H37" s="112"/>
    </row>
    <row r="38" spans="1:8" ht="25.5" x14ac:dyDescent="0.2">
      <c r="A38" s="3">
        <v>32</v>
      </c>
      <c r="B38" s="4" t="s">
        <v>467</v>
      </c>
      <c r="C38" s="4" t="s">
        <v>468</v>
      </c>
      <c r="D38" s="4" t="s">
        <v>45</v>
      </c>
      <c r="E38" s="5">
        <v>4269</v>
      </c>
      <c r="F38" s="6">
        <v>59.2686615</v>
      </c>
      <c r="G38" s="7">
        <v>1.4305521999999999E-2</v>
      </c>
      <c r="H38" s="112"/>
    </row>
    <row r="39" spans="1:8" x14ac:dyDescent="0.2">
      <c r="A39" s="3">
        <v>33</v>
      </c>
      <c r="B39" s="4" t="s">
        <v>248</v>
      </c>
      <c r="C39" s="4" t="s">
        <v>249</v>
      </c>
      <c r="D39" s="4" t="s">
        <v>186</v>
      </c>
      <c r="E39" s="5">
        <v>3496</v>
      </c>
      <c r="F39" s="6">
        <v>58.668123999999999</v>
      </c>
      <c r="G39" s="7">
        <v>1.4160572E-2</v>
      </c>
      <c r="H39" s="112"/>
    </row>
    <row r="40" spans="1:8" x14ac:dyDescent="0.2">
      <c r="A40" s="3">
        <v>34</v>
      </c>
      <c r="B40" s="4" t="s">
        <v>210</v>
      </c>
      <c r="C40" s="4" t="s">
        <v>211</v>
      </c>
      <c r="D40" s="4" t="s">
        <v>212</v>
      </c>
      <c r="E40" s="5">
        <v>23472</v>
      </c>
      <c r="F40" s="6">
        <v>58.257503999999997</v>
      </c>
      <c r="G40" s="7">
        <v>1.4061462E-2</v>
      </c>
      <c r="H40" s="112"/>
    </row>
    <row r="41" spans="1:8" x14ac:dyDescent="0.2">
      <c r="A41" s="3">
        <v>35</v>
      </c>
      <c r="B41" s="4" t="s">
        <v>287</v>
      </c>
      <c r="C41" s="4" t="s">
        <v>288</v>
      </c>
      <c r="D41" s="4" t="s">
        <v>27</v>
      </c>
      <c r="E41" s="5">
        <v>5065</v>
      </c>
      <c r="F41" s="6">
        <v>54.451282499999998</v>
      </c>
      <c r="G41" s="7">
        <v>1.3142763999999999E-2</v>
      </c>
      <c r="H41" s="112"/>
    </row>
    <row r="42" spans="1:8" x14ac:dyDescent="0.2">
      <c r="A42" s="3">
        <v>36</v>
      </c>
      <c r="B42" s="4" t="s">
        <v>231</v>
      </c>
      <c r="C42" s="4" t="s">
        <v>232</v>
      </c>
      <c r="D42" s="4" t="s">
        <v>71</v>
      </c>
      <c r="E42" s="5">
        <v>19491</v>
      </c>
      <c r="F42" s="6">
        <v>54.448108499999996</v>
      </c>
      <c r="G42" s="7">
        <v>1.3141998E-2</v>
      </c>
      <c r="H42" s="112"/>
    </row>
    <row r="43" spans="1:8" x14ac:dyDescent="0.2">
      <c r="A43" s="3">
        <v>37</v>
      </c>
      <c r="B43" s="4" t="s">
        <v>205</v>
      </c>
      <c r="C43" s="4" t="s">
        <v>206</v>
      </c>
      <c r="D43" s="4" t="s">
        <v>975</v>
      </c>
      <c r="E43" s="5">
        <v>6263</v>
      </c>
      <c r="F43" s="6">
        <v>54.259500500000001</v>
      </c>
      <c r="G43" s="7">
        <v>1.3096474E-2</v>
      </c>
      <c r="H43" s="112"/>
    </row>
    <row r="44" spans="1:8" ht="25.5" x14ac:dyDescent="0.2">
      <c r="A44" s="3">
        <v>38</v>
      </c>
      <c r="B44" s="4" t="s">
        <v>246</v>
      </c>
      <c r="C44" s="4" t="s">
        <v>247</v>
      </c>
      <c r="D44" s="4" t="s">
        <v>978</v>
      </c>
      <c r="E44" s="5">
        <v>49629</v>
      </c>
      <c r="F44" s="6">
        <v>52.308965999999998</v>
      </c>
      <c r="G44" s="7">
        <v>1.2625679000000001E-2</v>
      </c>
      <c r="H44" s="112"/>
    </row>
    <row r="45" spans="1:8" ht="25.5" x14ac:dyDescent="0.2">
      <c r="A45" s="3">
        <v>39</v>
      </c>
      <c r="B45" s="4" t="s">
        <v>250</v>
      </c>
      <c r="C45" s="4" t="s">
        <v>251</v>
      </c>
      <c r="D45" s="4" t="s">
        <v>192</v>
      </c>
      <c r="E45" s="5">
        <v>13540</v>
      </c>
      <c r="F45" s="6">
        <v>51.5197</v>
      </c>
      <c r="G45" s="7">
        <v>1.2435175999999999E-2</v>
      </c>
      <c r="H45" s="112"/>
    </row>
    <row r="46" spans="1:8" x14ac:dyDescent="0.2">
      <c r="A46" s="3">
        <v>40</v>
      </c>
      <c r="B46" s="4" t="s">
        <v>264</v>
      </c>
      <c r="C46" s="4" t="s">
        <v>265</v>
      </c>
      <c r="D46" s="4" t="s">
        <v>266</v>
      </c>
      <c r="E46" s="5">
        <v>20978</v>
      </c>
      <c r="F46" s="6">
        <v>48.154998999999997</v>
      </c>
      <c r="G46" s="7">
        <v>1.1623046999999999E-2</v>
      </c>
      <c r="H46" s="112"/>
    </row>
    <row r="47" spans="1:8" x14ac:dyDescent="0.2">
      <c r="A47" s="3">
        <v>41</v>
      </c>
      <c r="B47" s="4" t="s">
        <v>465</v>
      </c>
      <c r="C47" s="4" t="s">
        <v>466</v>
      </c>
      <c r="D47" s="4" t="s">
        <v>50</v>
      </c>
      <c r="E47" s="5">
        <v>7178</v>
      </c>
      <c r="F47" s="6">
        <v>45.178331999999997</v>
      </c>
      <c r="G47" s="7">
        <v>1.0904575999999999E-2</v>
      </c>
      <c r="H47" s="112"/>
    </row>
    <row r="48" spans="1:8" x14ac:dyDescent="0.2">
      <c r="A48" s="3">
        <v>42</v>
      </c>
      <c r="B48" s="4" t="s">
        <v>481</v>
      </c>
      <c r="C48" s="4" t="s">
        <v>482</v>
      </c>
      <c r="D48" s="4" t="s">
        <v>186</v>
      </c>
      <c r="E48" s="5">
        <v>7830</v>
      </c>
      <c r="F48" s="6">
        <v>45.077309999999997</v>
      </c>
      <c r="G48" s="7">
        <v>1.0880193E-2</v>
      </c>
      <c r="H48" s="112"/>
    </row>
    <row r="49" spans="1:8" x14ac:dyDescent="0.2">
      <c r="A49" s="3">
        <v>43</v>
      </c>
      <c r="B49" s="4" t="s">
        <v>244</v>
      </c>
      <c r="C49" s="4" t="s">
        <v>245</v>
      </c>
      <c r="D49" s="4" t="s">
        <v>173</v>
      </c>
      <c r="E49" s="5">
        <v>11027</v>
      </c>
      <c r="F49" s="6">
        <v>43.490487999999999</v>
      </c>
      <c r="G49" s="7">
        <v>1.0497186E-2</v>
      </c>
      <c r="H49" s="112"/>
    </row>
    <row r="50" spans="1:8" x14ac:dyDescent="0.2">
      <c r="A50" s="3">
        <v>44</v>
      </c>
      <c r="B50" s="4" t="s">
        <v>227</v>
      </c>
      <c r="C50" s="4" t="s">
        <v>228</v>
      </c>
      <c r="D50" s="4" t="s">
        <v>974</v>
      </c>
      <c r="E50" s="5">
        <v>2499</v>
      </c>
      <c r="F50" s="6">
        <v>42.576712499999999</v>
      </c>
      <c r="G50" s="7">
        <v>1.027663E-2</v>
      </c>
      <c r="H50" s="112"/>
    </row>
    <row r="51" spans="1:8" ht="25.5" x14ac:dyDescent="0.2">
      <c r="A51" s="3">
        <v>45</v>
      </c>
      <c r="B51" s="4" t="s">
        <v>235</v>
      </c>
      <c r="C51" s="4" t="s">
        <v>236</v>
      </c>
      <c r="D51" s="4" t="s">
        <v>192</v>
      </c>
      <c r="E51" s="5">
        <v>9101</v>
      </c>
      <c r="F51" s="6">
        <v>41.587019499999997</v>
      </c>
      <c r="G51" s="7">
        <v>1.0037750999999999E-2</v>
      </c>
      <c r="H51" s="112"/>
    </row>
    <row r="52" spans="1:8" x14ac:dyDescent="0.2">
      <c r="A52" s="3">
        <v>46</v>
      </c>
      <c r="B52" s="4" t="s">
        <v>179</v>
      </c>
      <c r="C52" s="4" t="s">
        <v>180</v>
      </c>
      <c r="D52" s="4" t="s">
        <v>71</v>
      </c>
      <c r="E52" s="5">
        <v>4052</v>
      </c>
      <c r="F52" s="6">
        <v>41.549208</v>
      </c>
      <c r="G52" s="7">
        <v>1.0028624E-2</v>
      </c>
      <c r="H52" s="112"/>
    </row>
    <row r="53" spans="1:8" ht="25.5" x14ac:dyDescent="0.2">
      <c r="A53" s="3">
        <v>47</v>
      </c>
      <c r="B53" s="4" t="s">
        <v>181</v>
      </c>
      <c r="C53" s="4" t="s">
        <v>931</v>
      </c>
      <c r="D53" s="4" t="s">
        <v>45</v>
      </c>
      <c r="E53" s="5">
        <v>17679</v>
      </c>
      <c r="F53" s="6">
        <v>41.253946499999998</v>
      </c>
      <c r="G53" s="7">
        <v>9.9573579999999995E-3</v>
      </c>
      <c r="H53" s="112"/>
    </row>
    <row r="54" spans="1:8" ht="25.5" x14ac:dyDescent="0.2">
      <c r="A54" s="3">
        <v>48</v>
      </c>
      <c r="B54" s="4" t="s">
        <v>197</v>
      </c>
      <c r="C54" s="4" t="s">
        <v>198</v>
      </c>
      <c r="D54" s="4" t="s">
        <v>971</v>
      </c>
      <c r="E54" s="5">
        <v>17243</v>
      </c>
      <c r="F54" s="6">
        <v>41.193527000000003</v>
      </c>
      <c r="G54" s="7">
        <v>9.9427739999999997E-3</v>
      </c>
      <c r="H54" s="112"/>
    </row>
    <row r="55" spans="1:8" x14ac:dyDescent="0.2">
      <c r="A55" s="3">
        <v>49</v>
      </c>
      <c r="B55" s="4" t="s">
        <v>473</v>
      </c>
      <c r="C55" s="4" t="s">
        <v>474</v>
      </c>
      <c r="D55" s="4" t="s">
        <v>81</v>
      </c>
      <c r="E55" s="5">
        <v>6433</v>
      </c>
      <c r="F55" s="6">
        <v>40.421755500000003</v>
      </c>
      <c r="G55" s="7">
        <v>9.7564939999999992E-3</v>
      </c>
      <c r="H55" s="112"/>
    </row>
    <row r="56" spans="1:8" x14ac:dyDescent="0.2">
      <c r="A56" s="3">
        <v>50</v>
      </c>
      <c r="B56" s="4" t="s">
        <v>267</v>
      </c>
      <c r="C56" s="4" t="s">
        <v>268</v>
      </c>
      <c r="D56" s="4" t="s">
        <v>19</v>
      </c>
      <c r="E56" s="5">
        <v>44477</v>
      </c>
      <c r="F56" s="6">
        <v>40.385115999999996</v>
      </c>
      <c r="G56" s="7">
        <v>9.7476500000000001E-3</v>
      </c>
      <c r="H56" s="112"/>
    </row>
    <row r="57" spans="1:8" x14ac:dyDescent="0.2">
      <c r="A57" s="3">
        <v>51</v>
      </c>
      <c r="B57" s="4" t="s">
        <v>258</v>
      </c>
      <c r="C57" s="4" t="s">
        <v>259</v>
      </c>
      <c r="D57" s="4" t="s">
        <v>53</v>
      </c>
      <c r="E57" s="5">
        <v>3908</v>
      </c>
      <c r="F57" s="6">
        <v>37.387836</v>
      </c>
      <c r="G57" s="7">
        <v>9.0242050000000004E-3</v>
      </c>
      <c r="H57" s="112"/>
    </row>
    <row r="58" spans="1:8" x14ac:dyDescent="0.2">
      <c r="A58" s="3">
        <v>52</v>
      </c>
      <c r="B58" s="4" t="s">
        <v>169</v>
      </c>
      <c r="C58" s="4" t="s">
        <v>170</v>
      </c>
      <c r="D58" s="4" t="s">
        <v>19</v>
      </c>
      <c r="E58" s="5">
        <v>19874</v>
      </c>
      <c r="F58" s="6">
        <v>35.882506999999997</v>
      </c>
      <c r="G58" s="7">
        <v>8.6608669999999992E-3</v>
      </c>
      <c r="H58" s="112"/>
    </row>
    <row r="59" spans="1:8" x14ac:dyDescent="0.2">
      <c r="A59" s="3">
        <v>53</v>
      </c>
      <c r="B59" s="4" t="s">
        <v>223</v>
      </c>
      <c r="C59" s="4" t="s">
        <v>224</v>
      </c>
      <c r="D59" s="4" t="s">
        <v>27</v>
      </c>
      <c r="E59" s="5">
        <v>1901</v>
      </c>
      <c r="F59" s="6">
        <v>34.179029499999999</v>
      </c>
      <c r="G59" s="7">
        <v>8.2497030000000006E-3</v>
      </c>
      <c r="H59" s="112"/>
    </row>
    <row r="60" spans="1:8" x14ac:dyDescent="0.2">
      <c r="A60" s="3">
        <v>54</v>
      </c>
      <c r="B60" s="4" t="s">
        <v>260</v>
      </c>
      <c r="C60" s="4" t="s">
        <v>261</v>
      </c>
      <c r="D60" s="4" t="s">
        <v>173</v>
      </c>
      <c r="E60" s="5">
        <v>5643</v>
      </c>
      <c r="F60" s="6">
        <v>33.996253500000002</v>
      </c>
      <c r="G60" s="7">
        <v>8.2055870000000003E-3</v>
      </c>
      <c r="H60" s="112"/>
    </row>
    <row r="61" spans="1:8" x14ac:dyDescent="0.2">
      <c r="A61" s="3">
        <v>55</v>
      </c>
      <c r="B61" s="4" t="s">
        <v>471</v>
      </c>
      <c r="C61" s="4" t="s">
        <v>472</v>
      </c>
      <c r="D61" s="4" t="s">
        <v>27</v>
      </c>
      <c r="E61" s="5">
        <v>3895</v>
      </c>
      <c r="F61" s="6">
        <v>32.690734999999997</v>
      </c>
      <c r="G61" s="7">
        <v>7.8904779999999994E-3</v>
      </c>
      <c r="H61" s="112"/>
    </row>
    <row r="62" spans="1:8" x14ac:dyDescent="0.2">
      <c r="A62" s="3">
        <v>56</v>
      </c>
      <c r="B62" s="4" t="s">
        <v>156</v>
      </c>
      <c r="C62" s="4" t="s">
        <v>157</v>
      </c>
      <c r="D62" s="4" t="s">
        <v>974</v>
      </c>
      <c r="E62" s="5">
        <v>2624</v>
      </c>
      <c r="F62" s="6">
        <v>32.629440000000002</v>
      </c>
      <c r="G62" s="7">
        <v>7.8756829999999996E-3</v>
      </c>
      <c r="H62" s="112"/>
    </row>
    <row r="63" spans="1:8" x14ac:dyDescent="0.2">
      <c r="A63" s="3">
        <v>57</v>
      </c>
      <c r="B63" s="4" t="s">
        <v>269</v>
      </c>
      <c r="C63" s="4" t="s">
        <v>270</v>
      </c>
      <c r="D63" s="4" t="s">
        <v>186</v>
      </c>
      <c r="E63" s="5">
        <v>596</v>
      </c>
      <c r="F63" s="6">
        <v>32.32555</v>
      </c>
      <c r="G63" s="7">
        <v>7.8023340000000002E-3</v>
      </c>
      <c r="H63" s="112"/>
    </row>
    <row r="64" spans="1:8" x14ac:dyDescent="0.2">
      <c r="A64" s="3">
        <v>58</v>
      </c>
      <c r="B64" s="4" t="s">
        <v>279</v>
      </c>
      <c r="C64" s="4" t="s">
        <v>280</v>
      </c>
      <c r="D64" s="4" t="s">
        <v>147</v>
      </c>
      <c r="E64" s="5">
        <v>2348</v>
      </c>
      <c r="F64" s="6">
        <v>30.745885999999999</v>
      </c>
      <c r="G64" s="7">
        <v>7.4210539999999998E-3</v>
      </c>
      <c r="H64" s="112"/>
    </row>
    <row r="65" spans="1:8" x14ac:dyDescent="0.2">
      <c r="A65" s="3">
        <v>59</v>
      </c>
      <c r="B65" s="4" t="s">
        <v>242</v>
      </c>
      <c r="C65" s="4" t="s">
        <v>243</v>
      </c>
      <c r="D65" s="4" t="s">
        <v>334</v>
      </c>
      <c r="E65" s="5">
        <v>2232</v>
      </c>
      <c r="F65" s="6">
        <v>26.728200000000001</v>
      </c>
      <c r="G65" s="7">
        <v>6.4513160000000003E-3</v>
      </c>
      <c r="H65" s="112"/>
    </row>
    <row r="66" spans="1:8" x14ac:dyDescent="0.2">
      <c r="A66" s="3">
        <v>60</v>
      </c>
      <c r="B66" s="4" t="s">
        <v>277</v>
      </c>
      <c r="C66" s="4" t="s">
        <v>278</v>
      </c>
      <c r="D66" s="4" t="s">
        <v>186</v>
      </c>
      <c r="E66" s="5">
        <v>8117</v>
      </c>
      <c r="F66" s="6">
        <v>25.032827999999999</v>
      </c>
      <c r="G66" s="7">
        <v>6.042108E-3</v>
      </c>
      <c r="H66" s="112"/>
    </row>
    <row r="67" spans="1:8" x14ac:dyDescent="0.2">
      <c r="A67" s="3">
        <v>61</v>
      </c>
      <c r="B67" s="4" t="s">
        <v>271</v>
      </c>
      <c r="C67" s="4" t="s">
        <v>272</v>
      </c>
      <c r="D67" s="4" t="s">
        <v>147</v>
      </c>
      <c r="E67" s="5">
        <v>3797</v>
      </c>
      <c r="F67" s="6">
        <v>24.703282000000002</v>
      </c>
      <c r="G67" s="7">
        <v>5.9625670000000002E-3</v>
      </c>
      <c r="H67" s="112"/>
    </row>
    <row r="68" spans="1:8" x14ac:dyDescent="0.2">
      <c r="A68" s="3">
        <v>62</v>
      </c>
      <c r="B68" s="4" t="s">
        <v>477</v>
      </c>
      <c r="C68" s="4" t="s">
        <v>478</v>
      </c>
      <c r="D68" s="4" t="s">
        <v>974</v>
      </c>
      <c r="E68" s="5">
        <v>25242</v>
      </c>
      <c r="F68" s="6">
        <v>24.270182999999999</v>
      </c>
      <c r="G68" s="7">
        <v>5.8580309999999997E-3</v>
      </c>
      <c r="H68" s="112"/>
    </row>
    <row r="69" spans="1:8" x14ac:dyDescent="0.2">
      <c r="A69" s="3">
        <v>63</v>
      </c>
      <c r="B69" s="4" t="s">
        <v>275</v>
      </c>
      <c r="C69" s="4" t="s">
        <v>276</v>
      </c>
      <c r="D69" s="4" t="s">
        <v>162</v>
      </c>
      <c r="E69" s="5">
        <v>4487</v>
      </c>
      <c r="F69" s="6">
        <v>18.580666999999998</v>
      </c>
      <c r="G69" s="7">
        <v>4.4847669999999997E-3</v>
      </c>
      <c r="H69" s="112"/>
    </row>
    <row r="70" spans="1:8" x14ac:dyDescent="0.2">
      <c r="A70" s="3">
        <v>64</v>
      </c>
      <c r="B70" s="4" t="s">
        <v>283</v>
      </c>
      <c r="C70" s="4" t="s">
        <v>284</v>
      </c>
      <c r="D70" s="4" t="s">
        <v>19</v>
      </c>
      <c r="E70" s="5">
        <v>7384</v>
      </c>
      <c r="F70" s="6">
        <v>4.7442200000000003</v>
      </c>
      <c r="G70" s="7">
        <v>1.1451E-3</v>
      </c>
      <c r="H70" s="112"/>
    </row>
    <row r="71" spans="1:8" x14ac:dyDescent="0.2">
      <c r="A71" s="1"/>
      <c r="B71" s="1"/>
      <c r="C71" s="2" t="s">
        <v>97</v>
      </c>
      <c r="D71" s="1"/>
      <c r="E71" s="1" t="s">
        <v>98</v>
      </c>
      <c r="F71" s="9">
        <v>4068.6023274999998</v>
      </c>
      <c r="G71" s="10">
        <v>0.98202794299999996</v>
      </c>
      <c r="H71" s="112"/>
    </row>
    <row r="72" spans="1:8" x14ac:dyDescent="0.2">
      <c r="A72" s="1"/>
      <c r="B72" s="1"/>
      <c r="C72" s="11"/>
      <c r="D72" s="1"/>
      <c r="E72" s="1"/>
      <c r="F72" s="12"/>
      <c r="G72" s="12"/>
      <c r="H72" s="112"/>
    </row>
    <row r="73" spans="1:8" x14ac:dyDescent="0.2">
      <c r="A73" s="1"/>
      <c r="B73" s="1"/>
      <c r="C73" s="2" t="s">
        <v>99</v>
      </c>
      <c r="D73" s="1"/>
      <c r="E73" s="1"/>
      <c r="F73" s="1"/>
      <c r="G73" s="1"/>
      <c r="H73" s="112"/>
    </row>
    <row r="74" spans="1:8" x14ac:dyDescent="0.2">
      <c r="A74" s="1"/>
      <c r="B74" s="1"/>
      <c r="C74" s="2" t="s">
        <v>97</v>
      </c>
      <c r="D74" s="1"/>
      <c r="E74" s="1" t="s">
        <v>98</v>
      </c>
      <c r="F74" s="13">
        <v>0</v>
      </c>
      <c r="G74" s="14">
        <v>0</v>
      </c>
      <c r="H74" s="112"/>
    </row>
    <row r="75" spans="1:8" x14ac:dyDescent="0.2">
      <c r="A75" s="1"/>
      <c r="B75" s="1"/>
      <c r="C75" s="11"/>
      <c r="D75" s="1"/>
      <c r="E75" s="1"/>
      <c r="F75" s="12"/>
      <c r="G75" s="12"/>
      <c r="H75" s="112"/>
    </row>
    <row r="76" spans="1:8" x14ac:dyDescent="0.2">
      <c r="A76" s="1"/>
      <c r="B76" s="1"/>
      <c r="C76" s="2" t="s">
        <v>100</v>
      </c>
      <c r="D76" s="1"/>
      <c r="E76" s="1"/>
      <c r="F76" s="1"/>
      <c r="G76" s="1"/>
      <c r="H76" s="112"/>
    </row>
    <row r="77" spans="1:8" x14ac:dyDescent="0.2">
      <c r="A77" s="1"/>
      <c r="B77" s="1"/>
      <c r="C77" s="2" t="s">
        <v>97</v>
      </c>
      <c r="D77" s="1"/>
      <c r="E77" s="1" t="s">
        <v>98</v>
      </c>
      <c r="F77" s="13">
        <v>0</v>
      </c>
      <c r="G77" s="14">
        <v>0</v>
      </c>
      <c r="H77" s="112"/>
    </row>
    <row r="78" spans="1:8" x14ac:dyDescent="0.2">
      <c r="A78" s="1"/>
      <c r="B78" s="1"/>
      <c r="C78" s="11"/>
      <c r="D78" s="1"/>
      <c r="E78" s="1"/>
      <c r="F78" s="12"/>
      <c r="G78" s="12"/>
      <c r="H78" s="112"/>
    </row>
    <row r="79" spans="1:8" x14ac:dyDescent="0.2">
      <c r="A79" s="1"/>
      <c r="B79" s="1"/>
      <c r="C79" s="2" t="s">
        <v>101</v>
      </c>
      <c r="D79" s="1"/>
      <c r="E79" s="1"/>
      <c r="F79" s="1"/>
      <c r="G79" s="1"/>
      <c r="H79" s="112"/>
    </row>
    <row r="80" spans="1:8" x14ac:dyDescent="0.2">
      <c r="A80" s="1"/>
      <c r="B80" s="1"/>
      <c r="C80" s="2" t="s">
        <v>97</v>
      </c>
      <c r="D80" s="1"/>
      <c r="E80" s="1" t="s">
        <v>98</v>
      </c>
      <c r="F80" s="13">
        <v>0</v>
      </c>
      <c r="G80" s="14">
        <v>0</v>
      </c>
      <c r="H80" s="112"/>
    </row>
    <row r="81" spans="1:8" x14ac:dyDescent="0.2">
      <c r="A81" s="1"/>
      <c r="B81" s="1"/>
      <c r="C81" s="11"/>
      <c r="D81" s="1"/>
      <c r="E81" s="1"/>
      <c r="F81" s="12"/>
      <c r="G81" s="12"/>
      <c r="H81" s="112"/>
    </row>
    <row r="82" spans="1:8" x14ac:dyDescent="0.2">
      <c r="A82" s="1"/>
      <c r="B82" s="1"/>
      <c r="C82" s="2" t="s">
        <v>102</v>
      </c>
      <c r="D82" s="1"/>
      <c r="E82" s="1"/>
      <c r="F82" s="12"/>
      <c r="G82" s="12"/>
      <c r="H82" s="112"/>
    </row>
    <row r="83" spans="1:8" x14ac:dyDescent="0.2">
      <c r="A83" s="1"/>
      <c r="B83" s="1"/>
      <c r="C83" s="2" t="s">
        <v>97</v>
      </c>
      <c r="D83" s="1"/>
      <c r="E83" s="1" t="s">
        <v>98</v>
      </c>
      <c r="F83" s="13">
        <v>0</v>
      </c>
      <c r="G83" s="14">
        <v>0</v>
      </c>
      <c r="H83" s="112"/>
    </row>
    <row r="84" spans="1:8" x14ac:dyDescent="0.2">
      <c r="A84" s="1"/>
      <c r="B84" s="1"/>
      <c r="C84" s="11"/>
      <c r="D84" s="1"/>
      <c r="E84" s="1"/>
      <c r="F84" s="12"/>
      <c r="G84" s="12"/>
      <c r="H84" s="112"/>
    </row>
    <row r="85" spans="1:8" x14ac:dyDescent="0.2">
      <c r="A85" s="1"/>
      <c r="B85" s="1"/>
      <c r="C85" s="2" t="s">
        <v>103</v>
      </c>
      <c r="D85" s="1"/>
      <c r="E85" s="1"/>
      <c r="F85" s="12"/>
      <c r="G85" s="12"/>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104</v>
      </c>
      <c r="D88" s="1"/>
      <c r="E88" s="1"/>
      <c r="F88" s="9">
        <v>4068.6023274999998</v>
      </c>
      <c r="G88" s="10">
        <v>0.98202794299999996</v>
      </c>
      <c r="H88" s="112"/>
    </row>
    <row r="89" spans="1:8" x14ac:dyDescent="0.2">
      <c r="A89" s="1"/>
      <c r="B89" s="1"/>
      <c r="C89" s="11"/>
      <c r="D89" s="1"/>
      <c r="E89" s="1"/>
      <c r="F89" s="12"/>
      <c r="G89" s="12"/>
      <c r="H89" s="112"/>
    </row>
    <row r="90" spans="1:8" x14ac:dyDescent="0.2">
      <c r="A90" s="1"/>
      <c r="B90" s="1"/>
      <c r="C90" s="2" t="s">
        <v>105</v>
      </c>
      <c r="D90" s="1"/>
      <c r="E90" s="1"/>
      <c r="F90" s="12"/>
      <c r="G90" s="12"/>
      <c r="H90" s="112"/>
    </row>
    <row r="91" spans="1:8" ht="25.5" x14ac:dyDescent="0.2">
      <c r="A91" s="1"/>
      <c r="B91" s="1"/>
      <c r="C91" s="2" t="s">
        <v>10</v>
      </c>
      <c r="D91" s="1"/>
      <c r="E91" s="1"/>
      <c r="F91" s="12"/>
      <c r="G91" s="12"/>
      <c r="H91" s="112"/>
    </row>
    <row r="92" spans="1:8" x14ac:dyDescent="0.2">
      <c r="A92" s="1"/>
      <c r="B92" s="1"/>
      <c r="C92" s="2" t="s">
        <v>97</v>
      </c>
      <c r="D92" s="1"/>
      <c r="E92" s="1" t="s">
        <v>98</v>
      </c>
      <c r="F92" s="13">
        <v>0</v>
      </c>
      <c r="G92" s="14">
        <v>0</v>
      </c>
      <c r="H92" s="112"/>
    </row>
    <row r="93" spans="1:8" x14ac:dyDescent="0.2">
      <c r="A93" s="1"/>
      <c r="B93" s="1"/>
      <c r="C93" s="11"/>
      <c r="D93" s="1"/>
      <c r="E93" s="1"/>
      <c r="F93" s="12"/>
      <c r="G93" s="12"/>
      <c r="H93" s="112"/>
    </row>
    <row r="94" spans="1:8" x14ac:dyDescent="0.2">
      <c r="A94" s="1"/>
      <c r="B94" s="1"/>
      <c r="C94" s="2" t="s">
        <v>106</v>
      </c>
      <c r="D94" s="1"/>
      <c r="E94" s="1"/>
      <c r="F94" s="1"/>
      <c r="G94" s="1"/>
      <c r="H94" s="112"/>
    </row>
    <row r="95" spans="1:8" x14ac:dyDescent="0.2">
      <c r="A95" s="1"/>
      <c r="B95" s="1"/>
      <c r="C95" s="2" t="s">
        <v>97</v>
      </c>
      <c r="D95" s="1"/>
      <c r="E95" s="1" t="s">
        <v>98</v>
      </c>
      <c r="F95" s="13">
        <v>0</v>
      </c>
      <c r="G95" s="14">
        <v>0</v>
      </c>
      <c r="H95" s="112"/>
    </row>
    <row r="96" spans="1:8" x14ac:dyDescent="0.2">
      <c r="A96" s="1"/>
      <c r="B96" s="1"/>
      <c r="C96" s="11"/>
      <c r="D96" s="1"/>
      <c r="E96" s="1"/>
      <c r="F96" s="12"/>
      <c r="G96" s="12"/>
      <c r="H96" s="112"/>
    </row>
    <row r="97" spans="1:8" x14ac:dyDescent="0.2">
      <c r="A97" s="1"/>
      <c r="B97" s="1"/>
      <c r="C97" s="2" t="s">
        <v>107</v>
      </c>
      <c r="D97" s="1"/>
      <c r="E97" s="1"/>
      <c r="F97" s="1"/>
      <c r="G97" s="1"/>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108</v>
      </c>
      <c r="D100" s="1"/>
      <c r="E100" s="1"/>
      <c r="F100" s="12"/>
      <c r="G100" s="12"/>
      <c r="H100" s="112"/>
    </row>
    <row r="101" spans="1:8" x14ac:dyDescent="0.2">
      <c r="A101" s="1"/>
      <c r="B101" s="1"/>
      <c r="C101" s="2" t="s">
        <v>97</v>
      </c>
      <c r="D101" s="1"/>
      <c r="E101" s="1" t="s">
        <v>98</v>
      </c>
      <c r="F101" s="13">
        <v>0</v>
      </c>
      <c r="G101" s="14">
        <v>0</v>
      </c>
      <c r="H101" s="112"/>
    </row>
    <row r="102" spans="1:8" x14ac:dyDescent="0.2">
      <c r="A102" s="1"/>
      <c r="B102" s="1"/>
      <c r="C102" s="11"/>
      <c r="D102" s="1"/>
      <c r="E102" s="1"/>
      <c r="F102" s="12"/>
      <c r="G102" s="12"/>
      <c r="H102" s="112"/>
    </row>
    <row r="103" spans="1:8" x14ac:dyDescent="0.2">
      <c r="A103" s="1"/>
      <c r="B103" s="1"/>
      <c r="C103" s="2" t="s">
        <v>109</v>
      </c>
      <c r="D103" s="1"/>
      <c r="E103" s="1"/>
      <c r="F103" s="9">
        <v>0</v>
      </c>
      <c r="G103" s="10">
        <v>0</v>
      </c>
      <c r="H103" s="112"/>
    </row>
    <row r="104" spans="1:8" x14ac:dyDescent="0.2">
      <c r="A104" s="1"/>
      <c r="B104" s="1"/>
      <c r="C104" s="11"/>
      <c r="D104" s="1"/>
      <c r="E104" s="1"/>
      <c r="F104" s="12"/>
      <c r="G104" s="12"/>
      <c r="H104" s="112"/>
    </row>
    <row r="105" spans="1:8" x14ac:dyDescent="0.2">
      <c r="A105" s="1"/>
      <c r="B105" s="1"/>
      <c r="C105" s="2" t="s">
        <v>110</v>
      </c>
      <c r="D105" s="1"/>
      <c r="E105" s="1"/>
      <c r="F105" s="12"/>
      <c r="G105" s="12"/>
      <c r="H105" s="112"/>
    </row>
    <row r="106" spans="1:8" x14ac:dyDescent="0.2">
      <c r="A106" s="1"/>
      <c r="B106" s="1"/>
      <c r="C106" s="2" t="s">
        <v>111</v>
      </c>
      <c r="D106" s="1"/>
      <c r="E106" s="1"/>
      <c r="F106" s="12"/>
      <c r="G106" s="12"/>
      <c r="H106" s="112"/>
    </row>
    <row r="107" spans="1:8" x14ac:dyDescent="0.2">
      <c r="A107" s="1"/>
      <c r="B107" s="1"/>
      <c r="C107" s="2" t="s">
        <v>97</v>
      </c>
      <c r="D107" s="1"/>
      <c r="E107" s="1" t="s">
        <v>98</v>
      </c>
      <c r="F107" s="13">
        <v>0</v>
      </c>
      <c r="G107" s="14">
        <v>0</v>
      </c>
      <c r="H107" s="112"/>
    </row>
    <row r="108" spans="1:8" x14ac:dyDescent="0.2">
      <c r="A108" s="1"/>
      <c r="B108" s="1"/>
      <c r="C108" s="11"/>
      <c r="D108" s="1"/>
      <c r="E108" s="1"/>
      <c r="F108" s="12"/>
      <c r="G108" s="12"/>
      <c r="H108" s="112"/>
    </row>
    <row r="109" spans="1:8" x14ac:dyDescent="0.2">
      <c r="A109" s="1"/>
      <c r="B109" s="1"/>
      <c r="C109" s="2" t="s">
        <v>112</v>
      </c>
      <c r="D109" s="1"/>
      <c r="E109" s="1"/>
      <c r="F109" s="12"/>
      <c r="G109" s="12"/>
      <c r="H109" s="112"/>
    </row>
    <row r="110" spans="1:8" x14ac:dyDescent="0.2">
      <c r="A110" s="1"/>
      <c r="B110" s="1"/>
      <c r="C110" s="2" t="s">
        <v>97</v>
      </c>
      <c r="D110" s="1"/>
      <c r="E110" s="1" t="s">
        <v>98</v>
      </c>
      <c r="F110" s="13">
        <v>0</v>
      </c>
      <c r="G110" s="14">
        <v>0</v>
      </c>
      <c r="H110" s="112"/>
    </row>
    <row r="111" spans="1:8" x14ac:dyDescent="0.2">
      <c r="A111" s="1"/>
      <c r="B111" s="1"/>
      <c r="C111" s="11"/>
      <c r="D111" s="1"/>
      <c r="E111" s="1"/>
      <c r="F111" s="12"/>
      <c r="G111" s="12"/>
      <c r="H111" s="112"/>
    </row>
    <row r="112" spans="1:8" x14ac:dyDescent="0.2">
      <c r="A112" s="1"/>
      <c r="B112" s="1"/>
      <c r="C112" s="2" t="s">
        <v>113</v>
      </c>
      <c r="D112" s="1"/>
      <c r="E112" s="1"/>
      <c r="F112" s="12"/>
      <c r="G112" s="12"/>
      <c r="H112" s="112"/>
    </row>
    <row r="113" spans="1:8" x14ac:dyDescent="0.2">
      <c r="A113" s="1"/>
      <c r="B113" s="1"/>
      <c r="C113" s="2" t="s">
        <v>97</v>
      </c>
      <c r="D113" s="1"/>
      <c r="E113" s="1" t="s">
        <v>98</v>
      </c>
      <c r="F113" s="13">
        <v>0</v>
      </c>
      <c r="G113" s="14">
        <v>0</v>
      </c>
      <c r="H113" s="112"/>
    </row>
    <row r="114" spans="1:8" x14ac:dyDescent="0.2">
      <c r="A114" s="1"/>
      <c r="B114" s="1"/>
      <c r="C114" s="11"/>
      <c r="D114" s="1"/>
      <c r="E114" s="1"/>
      <c r="F114" s="12"/>
      <c r="G114" s="12"/>
      <c r="H114" s="112"/>
    </row>
    <row r="115" spans="1:8" x14ac:dyDescent="0.2">
      <c r="A115" s="1"/>
      <c r="B115" s="1"/>
      <c r="C115" s="2" t="s">
        <v>114</v>
      </c>
      <c r="D115" s="1"/>
      <c r="E115" s="1"/>
      <c r="F115" s="12"/>
      <c r="G115" s="12"/>
      <c r="H115" s="112"/>
    </row>
    <row r="116" spans="1:8" x14ac:dyDescent="0.2">
      <c r="A116" s="3">
        <v>1</v>
      </c>
      <c r="B116" s="4"/>
      <c r="C116" s="4" t="s">
        <v>115</v>
      </c>
      <c r="D116" s="4"/>
      <c r="E116" s="8"/>
      <c r="F116" s="6">
        <v>80.564380902306198</v>
      </c>
      <c r="G116" s="7">
        <v>1.9445614668280663E-2</v>
      </c>
      <c r="H116" s="6">
        <v>3.3211324282253978</v>
      </c>
    </row>
    <row r="117" spans="1:8" x14ac:dyDescent="0.2">
      <c r="A117" s="3">
        <v>2</v>
      </c>
      <c r="B117" s="4"/>
      <c r="C117" s="4" t="s">
        <v>116</v>
      </c>
      <c r="D117" s="4"/>
      <c r="E117" s="8"/>
      <c r="F117" s="6">
        <v>31.647575050005166</v>
      </c>
      <c r="G117" s="7">
        <v>7.6386927165014353E-3</v>
      </c>
      <c r="H117" s="6">
        <v>3.35</v>
      </c>
    </row>
    <row r="118" spans="1:8" x14ac:dyDescent="0.2">
      <c r="A118" s="1"/>
      <c r="B118" s="1"/>
      <c r="C118" s="2" t="s">
        <v>97</v>
      </c>
      <c r="D118" s="1"/>
      <c r="E118" s="1" t="s">
        <v>98</v>
      </c>
      <c r="F118" s="9">
        <v>112.21195595231137</v>
      </c>
      <c r="G118" s="10">
        <v>2.7084307384782097E-2</v>
      </c>
      <c r="H118" s="112"/>
    </row>
    <row r="119" spans="1:8" x14ac:dyDescent="0.2">
      <c r="A119" s="1"/>
      <c r="B119" s="1"/>
      <c r="C119" s="11"/>
      <c r="D119" s="1"/>
      <c r="E119" s="1"/>
      <c r="F119" s="12"/>
      <c r="G119" s="12"/>
      <c r="H119" s="112"/>
    </row>
    <row r="120" spans="1:8" x14ac:dyDescent="0.2">
      <c r="A120" s="1"/>
      <c r="B120" s="1"/>
      <c r="C120" s="2" t="s">
        <v>117</v>
      </c>
      <c r="D120" s="1"/>
      <c r="E120" s="1"/>
      <c r="F120" s="9">
        <v>112.21195595231137</v>
      </c>
      <c r="G120" s="10">
        <v>2.7084307384782097E-2</v>
      </c>
      <c r="H120" s="112"/>
    </row>
    <row r="121" spans="1:8" x14ac:dyDescent="0.2">
      <c r="A121" s="1"/>
      <c r="B121" s="1"/>
      <c r="C121" s="12"/>
      <c r="D121" s="1"/>
      <c r="E121" s="1"/>
      <c r="F121" s="1"/>
      <c r="G121" s="1"/>
      <c r="H121" s="112"/>
    </row>
    <row r="122" spans="1:8" x14ac:dyDescent="0.2">
      <c r="A122" s="1"/>
      <c r="B122" s="1"/>
      <c r="C122" s="2" t="s">
        <v>118</v>
      </c>
      <c r="D122" s="1"/>
      <c r="E122" s="1"/>
      <c r="F122" s="1"/>
      <c r="G122" s="1"/>
      <c r="H122" s="112"/>
    </row>
    <row r="123" spans="1:8" x14ac:dyDescent="0.2">
      <c r="A123" s="1"/>
      <c r="B123" s="1"/>
      <c r="C123" s="2" t="s">
        <v>119</v>
      </c>
      <c r="D123" s="1"/>
      <c r="E123" s="1"/>
      <c r="F123" s="1"/>
      <c r="G123" s="1"/>
      <c r="H123" s="112"/>
    </row>
    <row r="124" spans="1:8" x14ac:dyDescent="0.2">
      <c r="A124" s="1"/>
      <c r="B124" s="1"/>
      <c r="C124" s="2" t="s">
        <v>97</v>
      </c>
      <c r="D124" s="1"/>
      <c r="E124" s="1" t="s">
        <v>98</v>
      </c>
      <c r="F124" s="13">
        <v>0</v>
      </c>
      <c r="G124" s="14">
        <v>0</v>
      </c>
      <c r="H124" s="112"/>
    </row>
    <row r="125" spans="1:8" x14ac:dyDescent="0.2">
      <c r="A125" s="1"/>
      <c r="B125" s="1"/>
      <c r="C125" s="11"/>
      <c r="D125" s="1"/>
      <c r="E125" s="1"/>
      <c r="F125" s="12"/>
      <c r="G125" s="12"/>
      <c r="H125" s="112"/>
    </row>
    <row r="126" spans="1:8" x14ac:dyDescent="0.2">
      <c r="A126" s="1"/>
      <c r="B126" s="1"/>
      <c r="C126" s="2" t="s">
        <v>120</v>
      </c>
      <c r="D126" s="1"/>
      <c r="E126" s="1"/>
      <c r="F126" s="1"/>
      <c r="G126" s="1"/>
      <c r="H126" s="112"/>
    </row>
    <row r="127" spans="1:8" x14ac:dyDescent="0.2">
      <c r="A127" s="1"/>
      <c r="B127" s="1"/>
      <c r="C127" s="2" t="s">
        <v>121</v>
      </c>
      <c r="D127" s="1"/>
      <c r="E127" s="1"/>
      <c r="F127" s="1"/>
      <c r="G127" s="1"/>
      <c r="H127" s="112"/>
    </row>
    <row r="128" spans="1:8" x14ac:dyDescent="0.2">
      <c r="A128" s="1"/>
      <c r="B128" s="1"/>
      <c r="C128" s="2" t="s">
        <v>97</v>
      </c>
      <c r="D128" s="1"/>
      <c r="E128" s="1" t="s">
        <v>98</v>
      </c>
      <c r="F128" s="13">
        <v>0</v>
      </c>
      <c r="G128" s="14">
        <v>0</v>
      </c>
      <c r="H128" s="112"/>
    </row>
    <row r="129" spans="1:8" x14ac:dyDescent="0.2">
      <c r="A129" s="1"/>
      <c r="B129" s="1"/>
      <c r="C129" s="11"/>
      <c r="D129" s="1"/>
      <c r="E129" s="1"/>
      <c r="F129" s="12"/>
      <c r="G129" s="12"/>
      <c r="H129" s="112"/>
    </row>
    <row r="130" spans="1:8" x14ac:dyDescent="0.2">
      <c r="A130" s="1"/>
      <c r="B130" s="1"/>
      <c r="C130" s="11"/>
      <c r="D130" s="1"/>
      <c r="E130" s="1"/>
      <c r="F130" s="12"/>
      <c r="G130" s="12"/>
      <c r="H130" s="112"/>
    </row>
    <row r="131" spans="1:8" ht="25.5" x14ac:dyDescent="0.2">
      <c r="A131" s="1"/>
      <c r="B131" s="1"/>
      <c r="C131" s="2" t="s">
        <v>122</v>
      </c>
      <c r="D131" s="1"/>
      <c r="E131" s="1"/>
      <c r="F131" s="12"/>
      <c r="G131" s="12"/>
      <c r="H131" s="112"/>
    </row>
    <row r="132" spans="1:8" x14ac:dyDescent="0.2">
      <c r="A132" s="1"/>
      <c r="B132" s="1"/>
      <c r="C132" s="2" t="s">
        <v>97</v>
      </c>
      <c r="D132" s="1"/>
      <c r="E132" s="1" t="s">
        <v>98</v>
      </c>
      <c r="F132" s="13">
        <v>0</v>
      </c>
      <c r="G132" s="14">
        <v>0</v>
      </c>
      <c r="H132" s="112"/>
    </row>
    <row r="133" spans="1:8" x14ac:dyDescent="0.2">
      <c r="A133" s="1"/>
      <c r="B133" s="1"/>
      <c r="C133" s="11"/>
      <c r="D133" s="1"/>
      <c r="E133" s="1"/>
      <c r="F133" s="12"/>
      <c r="G133" s="12"/>
      <c r="H133" s="112"/>
    </row>
    <row r="134" spans="1:8" x14ac:dyDescent="0.2">
      <c r="A134" s="1"/>
      <c r="B134" s="4"/>
      <c r="C134" s="4"/>
      <c r="D134" s="2"/>
      <c r="E134" s="1"/>
      <c r="F134" s="4"/>
      <c r="G134" s="8"/>
      <c r="H134" s="112"/>
    </row>
    <row r="135" spans="1:8" x14ac:dyDescent="0.2">
      <c r="A135" s="8"/>
      <c r="B135" s="4"/>
      <c r="C135" s="4" t="s">
        <v>123</v>
      </c>
      <c r="D135" s="4"/>
      <c r="E135" s="8"/>
      <c r="F135" s="6">
        <v>-37.752599450005171</v>
      </c>
      <c r="G135" s="7">
        <v>-9.1122465462864424E-3</v>
      </c>
      <c r="H135" s="112"/>
    </row>
    <row r="136" spans="1:8" x14ac:dyDescent="0.2">
      <c r="A136" s="11"/>
      <c r="B136" s="11"/>
      <c r="C136" s="2" t="s">
        <v>124</v>
      </c>
      <c r="D136" s="15"/>
      <c r="E136" s="15"/>
      <c r="F136" s="9">
        <v>4143.0616762</v>
      </c>
      <c r="G136" s="10">
        <v>1.0000000019999999</v>
      </c>
      <c r="H136" s="112"/>
    </row>
    <row r="137" spans="1:8" ht="14.1" customHeight="1" x14ac:dyDescent="0.2">
      <c r="A137" s="16"/>
      <c r="B137" s="16"/>
      <c r="C137" s="16"/>
      <c r="D137" s="17"/>
      <c r="E137" s="17"/>
      <c r="F137" s="17"/>
      <c r="G137" s="17"/>
    </row>
    <row r="138" spans="1:8" ht="14.1" customHeight="1" x14ac:dyDescent="0.2">
      <c r="A138" s="18"/>
      <c r="B138" s="205" t="s">
        <v>98</v>
      </c>
      <c r="C138" s="205"/>
      <c r="D138" s="205"/>
      <c r="E138" s="205"/>
      <c r="F138" s="205"/>
      <c r="G138" s="20"/>
    </row>
    <row r="139" spans="1:8" ht="14.1" customHeight="1" x14ac:dyDescent="0.2">
      <c r="A139" s="18"/>
      <c r="B139" s="205" t="s">
        <v>98</v>
      </c>
      <c r="C139" s="205"/>
      <c r="D139" s="205"/>
      <c r="E139" s="205"/>
      <c r="F139" s="205"/>
      <c r="G139" s="20"/>
    </row>
    <row r="140" spans="1:8" ht="14.1" customHeight="1" x14ac:dyDescent="0.2">
      <c r="A140" s="18"/>
      <c r="B140" s="18"/>
      <c r="C140" s="18"/>
      <c r="D140" s="20"/>
      <c r="E140" s="20"/>
      <c r="F140" s="20"/>
      <c r="G140" s="20"/>
    </row>
    <row r="141" spans="1:8" ht="14.1" customHeight="1" x14ac:dyDescent="0.2">
      <c r="A141" s="18"/>
      <c r="B141" s="203" t="s">
        <v>126</v>
      </c>
      <c r="C141" s="204"/>
      <c r="D141" s="12" t="s">
        <v>98</v>
      </c>
      <c r="E141" s="21"/>
      <c r="F141" s="20"/>
      <c r="G141" s="20"/>
    </row>
    <row r="142" spans="1:8" ht="29.1" customHeight="1" x14ac:dyDescent="0.2">
      <c r="A142" s="18"/>
      <c r="B142" s="198" t="s">
        <v>127</v>
      </c>
      <c r="C142" s="199"/>
      <c r="D142" s="2" t="s">
        <v>128</v>
      </c>
      <c r="E142" s="21"/>
      <c r="F142" s="20"/>
      <c r="G142" s="20"/>
    </row>
    <row r="143" spans="1:8" ht="17.100000000000001" customHeight="1" x14ac:dyDescent="0.2">
      <c r="A143" s="18"/>
      <c r="B143" s="198" t="s">
        <v>129</v>
      </c>
      <c r="C143" s="199"/>
      <c r="D143" s="2" t="s">
        <v>128</v>
      </c>
      <c r="E143" s="21"/>
      <c r="F143" s="20"/>
      <c r="G143" s="20"/>
    </row>
    <row r="144" spans="1:8" ht="17.100000000000001" customHeight="1" x14ac:dyDescent="0.2">
      <c r="A144" s="18"/>
      <c r="B144" s="198" t="s">
        <v>130</v>
      </c>
      <c r="C144" s="199"/>
      <c r="D144" s="12" t="s">
        <v>98</v>
      </c>
      <c r="E144" s="21"/>
      <c r="F144" s="20"/>
      <c r="G144" s="20"/>
    </row>
    <row r="145" spans="1:15" ht="24" customHeight="1" x14ac:dyDescent="0.2">
      <c r="A145" s="22"/>
      <c r="B145" s="23" t="s">
        <v>98</v>
      </c>
      <c r="C145" s="23" t="s">
        <v>131</v>
      </c>
      <c r="D145" s="23" t="s">
        <v>132</v>
      </c>
      <c r="E145" s="22"/>
      <c r="F145" s="22"/>
      <c r="G145" s="22"/>
    </row>
    <row r="146" spans="1:15" ht="18" customHeight="1" x14ac:dyDescent="0.2">
      <c r="A146" s="22"/>
      <c r="B146" s="23" t="s">
        <v>133</v>
      </c>
      <c r="C146" s="23" t="s">
        <v>134</v>
      </c>
      <c r="D146" s="23" t="s">
        <v>135</v>
      </c>
      <c r="E146" s="22"/>
      <c r="F146" s="22"/>
      <c r="G146" s="22"/>
    </row>
    <row r="147" spans="1:15" ht="17.100000000000001" customHeight="1" x14ac:dyDescent="0.2">
      <c r="A147" s="22"/>
      <c r="B147" s="4" t="s">
        <v>136</v>
      </c>
      <c r="C147" s="24">
        <v>14.875</v>
      </c>
      <c r="D147" s="24">
        <v>15.2775</v>
      </c>
      <c r="E147" s="22"/>
      <c r="F147" s="19"/>
      <c r="G147" s="25"/>
    </row>
    <row r="148" spans="1:15" ht="17.100000000000001" customHeight="1" x14ac:dyDescent="0.2">
      <c r="A148" s="22"/>
      <c r="B148" s="4" t="s">
        <v>980</v>
      </c>
      <c r="C148" s="24">
        <v>14.875</v>
      </c>
      <c r="D148" s="24">
        <v>15.2774</v>
      </c>
      <c r="E148" s="22"/>
      <c r="F148" s="19"/>
      <c r="G148" s="25"/>
    </row>
    <row r="149" spans="1:15" ht="17.100000000000001" customHeight="1" x14ac:dyDescent="0.2">
      <c r="A149" s="22"/>
      <c r="B149" s="4" t="s">
        <v>137</v>
      </c>
      <c r="C149" s="24">
        <v>14.5343</v>
      </c>
      <c r="D149" s="24">
        <v>14.922499999999999</v>
      </c>
      <c r="E149" s="22"/>
      <c r="F149" s="19"/>
      <c r="G149" s="25"/>
    </row>
    <row r="150" spans="1:15" ht="17.100000000000001" customHeight="1" x14ac:dyDescent="0.2">
      <c r="A150" s="22"/>
      <c r="B150" s="4" t="s">
        <v>981</v>
      </c>
      <c r="C150" s="24">
        <v>14.5344</v>
      </c>
      <c r="D150" s="24">
        <v>14.922499999999999</v>
      </c>
      <c r="E150" s="22"/>
      <c r="F150" s="19"/>
      <c r="G150" s="25"/>
    </row>
    <row r="151" spans="1:15" ht="14.1" customHeight="1" x14ac:dyDescent="0.2">
      <c r="A151" s="22"/>
      <c r="B151" s="22"/>
      <c r="C151" s="22"/>
      <c r="D151" s="22"/>
      <c r="E151" s="22"/>
      <c r="F151" s="22"/>
      <c r="G151" s="22"/>
    </row>
    <row r="152" spans="1:15" ht="17.100000000000001" customHeight="1" x14ac:dyDescent="0.2">
      <c r="A152" s="22"/>
      <c r="B152" s="198" t="s">
        <v>982</v>
      </c>
      <c r="C152" s="199"/>
      <c r="D152" s="91" t="s">
        <v>128</v>
      </c>
      <c r="E152" s="22"/>
      <c r="F152" s="22"/>
      <c r="G152" s="22"/>
    </row>
    <row r="153" spans="1:15" ht="18" customHeight="1" x14ac:dyDescent="0.2">
      <c r="A153" s="22"/>
      <c r="B153" s="26"/>
      <c r="C153" s="26"/>
      <c r="D153" s="27"/>
      <c r="E153" s="22"/>
      <c r="F153" s="22"/>
      <c r="G153" s="22"/>
    </row>
    <row r="154" spans="1:15" s="113" customFormat="1" x14ac:dyDescent="0.2">
      <c r="B154" s="202" t="s">
        <v>984</v>
      </c>
      <c r="C154" s="202"/>
      <c r="D154" s="202"/>
      <c r="E154" s="202"/>
      <c r="F154" s="202"/>
      <c r="I154"/>
      <c r="J154"/>
      <c r="K154"/>
      <c r="L154"/>
      <c r="M154"/>
      <c r="N154"/>
      <c r="O154"/>
    </row>
    <row r="155" spans="1:15" ht="14.1" customHeight="1" x14ac:dyDescent="0.2">
      <c r="A155" s="22"/>
      <c r="B155" s="19"/>
      <c r="C155" s="19"/>
      <c r="D155" s="22"/>
      <c r="E155" s="22"/>
      <c r="F155" s="22"/>
      <c r="G155" s="22"/>
      <c r="I155" s="113"/>
      <c r="J155" s="113"/>
      <c r="K155" s="113"/>
      <c r="L155" s="113"/>
      <c r="M155" s="113"/>
      <c r="N155" s="113"/>
      <c r="O155" s="113"/>
    </row>
    <row r="156" spans="1:15" ht="29.1" customHeight="1" x14ac:dyDescent="0.2">
      <c r="A156" s="22"/>
      <c r="B156" s="198" t="s">
        <v>138</v>
      </c>
      <c r="C156" s="199"/>
      <c r="D156" s="2" t="s">
        <v>128</v>
      </c>
      <c r="E156" s="22"/>
      <c r="F156" s="22"/>
      <c r="G156" s="22"/>
    </row>
    <row r="157" spans="1:15" ht="29.1" customHeight="1" x14ac:dyDescent="0.2">
      <c r="A157" s="22"/>
      <c r="B157" s="198" t="s">
        <v>139</v>
      </c>
      <c r="C157" s="199"/>
      <c r="D157" s="2" t="s">
        <v>128</v>
      </c>
      <c r="E157" s="22"/>
      <c r="F157" s="22"/>
      <c r="G157" s="22"/>
    </row>
    <row r="158" spans="1:15" ht="17.100000000000001" customHeight="1" x14ac:dyDescent="0.2">
      <c r="A158" s="22"/>
      <c r="B158" s="198" t="s">
        <v>140</v>
      </c>
      <c r="C158" s="199"/>
      <c r="D158" s="28">
        <v>0.31744031427626063</v>
      </c>
      <c r="E158" s="22"/>
      <c r="F158" s="19"/>
      <c r="G158" s="25"/>
    </row>
    <row r="159" spans="1:15" ht="17.100000000000001" customHeight="1" x14ac:dyDescent="0.2">
      <c r="A159" s="22"/>
      <c r="B159" s="198" t="s">
        <v>141</v>
      </c>
      <c r="C159" s="199"/>
      <c r="D159" s="2" t="s">
        <v>128</v>
      </c>
      <c r="E159" s="22"/>
      <c r="F159" s="22"/>
      <c r="G159" s="22"/>
    </row>
  </sheetData>
  <mergeCells count="16">
    <mergeCell ref="B159:C159"/>
    <mergeCell ref="B142:C142"/>
    <mergeCell ref="B143:C143"/>
    <mergeCell ref="B144:C144"/>
    <mergeCell ref="B152:C152"/>
    <mergeCell ref="B156:C156"/>
    <mergeCell ref="B157:C157"/>
    <mergeCell ref="B154:F154"/>
    <mergeCell ref="A1:H1"/>
    <mergeCell ref="A2:H2"/>
    <mergeCell ref="A3:H3"/>
    <mergeCell ref="J2:N2"/>
    <mergeCell ref="B158:C158"/>
    <mergeCell ref="B141:C141"/>
    <mergeCell ref="B138:F138"/>
    <mergeCell ref="B139:F139"/>
  </mergeCells>
  <pageMargins left="5.000000074505806E-2" right="5.000000074505806E-2" top="0.30000001192092896" bottom="0.20000000298023224" header="0" footer="0"/>
  <pageSetup paperSize="9"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O16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505</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154</v>
      </c>
      <c r="C7" s="4" t="s">
        <v>155</v>
      </c>
      <c r="D7" s="4" t="s">
        <v>71</v>
      </c>
      <c r="E7" s="5">
        <v>17452</v>
      </c>
      <c r="F7" s="6">
        <v>94.258251999999999</v>
      </c>
      <c r="G7" s="7">
        <v>3.3911137000000001E-2</v>
      </c>
      <c r="H7" s="112"/>
    </row>
    <row r="8" spans="1:14" x14ac:dyDescent="0.2">
      <c r="A8" s="3">
        <v>2</v>
      </c>
      <c r="B8" s="4" t="s">
        <v>41</v>
      </c>
      <c r="C8" s="4" t="s">
        <v>42</v>
      </c>
      <c r="D8" s="4" t="s">
        <v>27</v>
      </c>
      <c r="E8" s="5">
        <v>6510</v>
      </c>
      <c r="F8" s="6">
        <v>86.286794999999998</v>
      </c>
      <c r="G8" s="7">
        <v>3.1043259E-2</v>
      </c>
      <c r="H8" s="112"/>
    </row>
    <row r="9" spans="1:14" x14ac:dyDescent="0.2">
      <c r="A9" s="3">
        <v>3</v>
      </c>
      <c r="B9" s="4" t="s">
        <v>150</v>
      </c>
      <c r="C9" s="4" t="s">
        <v>151</v>
      </c>
      <c r="D9" s="4" t="s">
        <v>27</v>
      </c>
      <c r="E9" s="5">
        <v>9617</v>
      </c>
      <c r="F9" s="6">
        <v>81.855095500000004</v>
      </c>
      <c r="G9" s="7">
        <v>2.9448873E-2</v>
      </c>
      <c r="H9" s="112"/>
    </row>
    <row r="10" spans="1:14" x14ac:dyDescent="0.2">
      <c r="A10" s="3">
        <v>4</v>
      </c>
      <c r="B10" s="4" t="s">
        <v>148</v>
      </c>
      <c r="C10" s="4" t="s">
        <v>149</v>
      </c>
      <c r="D10" s="4" t="s">
        <v>81</v>
      </c>
      <c r="E10" s="5">
        <v>62977</v>
      </c>
      <c r="F10" s="6">
        <v>81.744146000000001</v>
      </c>
      <c r="G10" s="7">
        <v>2.9408956999999999E-2</v>
      </c>
      <c r="H10" s="112"/>
    </row>
    <row r="11" spans="1:14" x14ac:dyDescent="0.2">
      <c r="A11" s="3">
        <v>5</v>
      </c>
      <c r="B11" s="4" t="s">
        <v>74</v>
      </c>
      <c r="C11" s="4" t="s">
        <v>75</v>
      </c>
      <c r="D11" s="4" t="s">
        <v>71</v>
      </c>
      <c r="E11" s="5">
        <v>20288</v>
      </c>
      <c r="F11" s="6">
        <v>78.240672000000004</v>
      </c>
      <c r="G11" s="7">
        <v>2.8148518000000001E-2</v>
      </c>
      <c r="H11" s="112"/>
    </row>
    <row r="12" spans="1:14" x14ac:dyDescent="0.2">
      <c r="A12" s="3">
        <v>6</v>
      </c>
      <c r="B12" s="4" t="s">
        <v>463</v>
      </c>
      <c r="C12" s="4" t="s">
        <v>464</v>
      </c>
      <c r="D12" s="4" t="s">
        <v>71</v>
      </c>
      <c r="E12" s="5">
        <v>21003</v>
      </c>
      <c r="F12" s="6">
        <v>72.659878500000005</v>
      </c>
      <c r="G12" s="7">
        <v>2.6140725E-2</v>
      </c>
      <c r="H12" s="112"/>
    </row>
    <row r="13" spans="1:14" x14ac:dyDescent="0.2">
      <c r="A13" s="3">
        <v>7</v>
      </c>
      <c r="B13" s="4" t="s">
        <v>143</v>
      </c>
      <c r="C13" s="4" t="s">
        <v>144</v>
      </c>
      <c r="D13" s="4" t="s">
        <v>27</v>
      </c>
      <c r="E13" s="5">
        <v>7844</v>
      </c>
      <c r="F13" s="6">
        <v>71.619641999999999</v>
      </c>
      <c r="G13" s="7">
        <v>2.5766481000000001E-2</v>
      </c>
      <c r="H13" s="112"/>
    </row>
    <row r="14" spans="1:14" ht="25.5" x14ac:dyDescent="0.2">
      <c r="A14" s="3">
        <v>8</v>
      </c>
      <c r="B14" s="4" t="s">
        <v>152</v>
      </c>
      <c r="C14" s="4" t="s">
        <v>153</v>
      </c>
      <c r="D14" s="4" t="s">
        <v>45</v>
      </c>
      <c r="E14" s="5">
        <v>45390</v>
      </c>
      <c r="F14" s="6">
        <v>66.405569999999997</v>
      </c>
      <c r="G14" s="7">
        <v>2.3890623E-2</v>
      </c>
      <c r="H14" s="112"/>
    </row>
    <row r="15" spans="1:14" x14ac:dyDescent="0.2">
      <c r="A15" s="3">
        <v>9</v>
      </c>
      <c r="B15" s="4" t="s">
        <v>25</v>
      </c>
      <c r="C15" s="4" t="s">
        <v>26</v>
      </c>
      <c r="D15" s="4" t="s">
        <v>27</v>
      </c>
      <c r="E15" s="5">
        <v>4088</v>
      </c>
      <c r="F15" s="6">
        <v>66.209248000000002</v>
      </c>
      <c r="G15" s="7">
        <v>2.3819992000000002E-2</v>
      </c>
      <c r="H15" s="112"/>
    </row>
    <row r="16" spans="1:14" ht="15" x14ac:dyDescent="0.2">
      <c r="A16" s="3">
        <v>10</v>
      </c>
      <c r="B16" s="4" t="s">
        <v>145</v>
      </c>
      <c r="C16" s="4" t="s">
        <v>146</v>
      </c>
      <c r="D16" s="4" t="s">
        <v>147</v>
      </c>
      <c r="E16" s="5">
        <v>1972</v>
      </c>
      <c r="F16" s="6">
        <v>65.833247999999998</v>
      </c>
      <c r="G16" s="7">
        <v>2.3684719999999999E-2</v>
      </c>
      <c r="H16" s="112"/>
      <c r="J16" s="188" t="s">
        <v>1014</v>
      </c>
    </row>
    <row r="17" spans="1:8" x14ac:dyDescent="0.2">
      <c r="A17" s="3">
        <v>11</v>
      </c>
      <c r="B17" s="4" t="s">
        <v>297</v>
      </c>
      <c r="C17" s="4" t="s">
        <v>298</v>
      </c>
      <c r="D17" s="4" t="s">
        <v>27</v>
      </c>
      <c r="E17" s="5">
        <v>9764</v>
      </c>
      <c r="F17" s="6">
        <v>65.438327999999998</v>
      </c>
      <c r="G17" s="7">
        <v>2.354264E-2</v>
      </c>
      <c r="H17" s="112"/>
    </row>
    <row r="18" spans="1:8" x14ac:dyDescent="0.2">
      <c r="A18" s="3">
        <v>12</v>
      </c>
      <c r="B18" s="4" t="s">
        <v>160</v>
      </c>
      <c r="C18" s="4" t="s">
        <v>161</v>
      </c>
      <c r="D18" s="4" t="s">
        <v>162</v>
      </c>
      <c r="E18" s="5">
        <v>1666</v>
      </c>
      <c r="F18" s="6">
        <v>65.368842000000001</v>
      </c>
      <c r="G18" s="7">
        <v>2.3517640999999999E-2</v>
      </c>
      <c r="H18" s="112"/>
    </row>
    <row r="19" spans="1:8" x14ac:dyDescent="0.2">
      <c r="A19" s="3">
        <v>13</v>
      </c>
      <c r="B19" s="4" t="s">
        <v>465</v>
      </c>
      <c r="C19" s="4" t="s">
        <v>466</v>
      </c>
      <c r="D19" s="4" t="s">
        <v>50</v>
      </c>
      <c r="E19" s="5">
        <v>9534</v>
      </c>
      <c r="F19" s="6">
        <v>60.006996000000001</v>
      </c>
      <c r="G19" s="7">
        <v>2.1588618E-2</v>
      </c>
      <c r="H19" s="112"/>
    </row>
    <row r="20" spans="1:8" x14ac:dyDescent="0.2">
      <c r="A20" s="3">
        <v>14</v>
      </c>
      <c r="B20" s="4" t="s">
        <v>163</v>
      </c>
      <c r="C20" s="4" t="s">
        <v>164</v>
      </c>
      <c r="D20" s="4" t="s">
        <v>162</v>
      </c>
      <c r="E20" s="5">
        <v>18815</v>
      </c>
      <c r="F20" s="6">
        <v>58.081904999999999</v>
      </c>
      <c r="G20" s="7">
        <v>2.0896031999999998E-2</v>
      </c>
      <c r="H20" s="112"/>
    </row>
    <row r="21" spans="1:8" x14ac:dyDescent="0.2">
      <c r="A21" s="3">
        <v>15</v>
      </c>
      <c r="B21" s="4" t="s">
        <v>364</v>
      </c>
      <c r="C21" s="4" t="s">
        <v>365</v>
      </c>
      <c r="D21" s="4" t="s">
        <v>173</v>
      </c>
      <c r="E21" s="5">
        <v>1511</v>
      </c>
      <c r="F21" s="6">
        <v>58.0050235</v>
      </c>
      <c r="G21" s="7">
        <v>2.0868372E-2</v>
      </c>
      <c r="H21" s="112"/>
    </row>
    <row r="22" spans="1:8" x14ac:dyDescent="0.2">
      <c r="A22" s="3">
        <v>16</v>
      </c>
      <c r="B22" s="4" t="s">
        <v>167</v>
      </c>
      <c r="C22" s="4" t="s">
        <v>168</v>
      </c>
      <c r="D22" s="4" t="s">
        <v>81</v>
      </c>
      <c r="E22" s="5">
        <v>8031</v>
      </c>
      <c r="F22" s="6">
        <v>56.638627499999998</v>
      </c>
      <c r="G22" s="7">
        <v>2.0376786000000001E-2</v>
      </c>
      <c r="H22" s="112"/>
    </row>
    <row r="23" spans="1:8" ht="25.5" x14ac:dyDescent="0.2">
      <c r="A23" s="3">
        <v>17</v>
      </c>
      <c r="B23" s="4" t="s">
        <v>190</v>
      </c>
      <c r="C23" s="4" t="s">
        <v>191</v>
      </c>
      <c r="D23" s="4" t="s">
        <v>192</v>
      </c>
      <c r="E23" s="5">
        <v>10546</v>
      </c>
      <c r="F23" s="6">
        <v>55.171399000000001</v>
      </c>
      <c r="G23" s="7">
        <v>1.9848924E-2</v>
      </c>
      <c r="H23" s="112"/>
    </row>
    <row r="24" spans="1:8" ht="25.5" x14ac:dyDescent="0.2">
      <c r="A24" s="3">
        <v>18</v>
      </c>
      <c r="B24" s="4" t="s">
        <v>37</v>
      </c>
      <c r="C24" s="4" t="s">
        <v>38</v>
      </c>
      <c r="D24" s="4" t="s">
        <v>971</v>
      </c>
      <c r="E24" s="5">
        <v>1653</v>
      </c>
      <c r="F24" s="6">
        <v>54.809347500000001</v>
      </c>
      <c r="G24" s="7">
        <v>1.9718669000000001E-2</v>
      </c>
      <c r="H24" s="112"/>
    </row>
    <row r="25" spans="1:8" x14ac:dyDescent="0.2">
      <c r="A25" s="3">
        <v>19</v>
      </c>
      <c r="B25" s="4" t="s">
        <v>210</v>
      </c>
      <c r="C25" s="4" t="s">
        <v>211</v>
      </c>
      <c r="D25" s="4" t="s">
        <v>212</v>
      </c>
      <c r="E25" s="5">
        <v>21111</v>
      </c>
      <c r="F25" s="6">
        <v>52.397502000000003</v>
      </c>
      <c r="G25" s="7">
        <v>1.8850962999999998E-2</v>
      </c>
      <c r="H25" s="112"/>
    </row>
    <row r="26" spans="1:8" x14ac:dyDescent="0.2">
      <c r="A26" s="3">
        <v>20</v>
      </c>
      <c r="B26" s="4" t="s">
        <v>199</v>
      </c>
      <c r="C26" s="4" t="s">
        <v>200</v>
      </c>
      <c r="D26" s="4" t="s">
        <v>64</v>
      </c>
      <c r="E26" s="5">
        <v>45511</v>
      </c>
      <c r="F26" s="6">
        <v>47.650016999999998</v>
      </c>
      <c r="G26" s="7">
        <v>1.7142968000000001E-2</v>
      </c>
      <c r="H26" s="112"/>
    </row>
    <row r="27" spans="1:8" x14ac:dyDescent="0.2">
      <c r="A27" s="3">
        <v>21</v>
      </c>
      <c r="B27" s="4" t="s">
        <v>176</v>
      </c>
      <c r="C27" s="4" t="s">
        <v>177</v>
      </c>
      <c r="D27" s="4" t="s">
        <v>178</v>
      </c>
      <c r="E27" s="5">
        <v>4594</v>
      </c>
      <c r="F27" s="6">
        <v>46.799078000000002</v>
      </c>
      <c r="G27" s="7">
        <v>1.6836826999999999E-2</v>
      </c>
      <c r="H27" s="112"/>
    </row>
    <row r="28" spans="1:8" x14ac:dyDescent="0.2">
      <c r="A28" s="3">
        <v>22</v>
      </c>
      <c r="B28" s="4" t="s">
        <v>165</v>
      </c>
      <c r="C28" s="4" t="s">
        <v>166</v>
      </c>
      <c r="D28" s="4" t="s">
        <v>976</v>
      </c>
      <c r="E28" s="5">
        <v>11155</v>
      </c>
      <c r="F28" s="6">
        <v>46.745027499999999</v>
      </c>
      <c r="G28" s="7">
        <v>1.6817381999999999E-2</v>
      </c>
      <c r="H28" s="112"/>
    </row>
    <row r="29" spans="1:8" x14ac:dyDescent="0.2">
      <c r="A29" s="3">
        <v>23</v>
      </c>
      <c r="B29" s="4" t="s">
        <v>219</v>
      </c>
      <c r="C29" s="4" t="s">
        <v>220</v>
      </c>
      <c r="D29" s="4" t="s">
        <v>64</v>
      </c>
      <c r="E29" s="5">
        <v>4724</v>
      </c>
      <c r="F29" s="6">
        <v>45.541722</v>
      </c>
      <c r="G29" s="7">
        <v>1.6384471000000001E-2</v>
      </c>
      <c r="H29" s="112"/>
    </row>
    <row r="30" spans="1:8" x14ac:dyDescent="0.2">
      <c r="A30" s="3">
        <v>24</v>
      </c>
      <c r="B30" s="4" t="s">
        <v>182</v>
      </c>
      <c r="C30" s="4" t="s">
        <v>183</v>
      </c>
      <c r="D30" s="4" t="s">
        <v>162</v>
      </c>
      <c r="E30" s="5">
        <v>3995</v>
      </c>
      <c r="F30" s="6">
        <v>42.676587499999997</v>
      </c>
      <c r="G30" s="7">
        <v>1.5353686E-2</v>
      </c>
      <c r="H30" s="112"/>
    </row>
    <row r="31" spans="1:8" x14ac:dyDescent="0.2">
      <c r="A31" s="3">
        <v>25</v>
      </c>
      <c r="B31" s="4" t="s">
        <v>205</v>
      </c>
      <c r="C31" s="4" t="s">
        <v>206</v>
      </c>
      <c r="D31" s="4" t="s">
        <v>975</v>
      </c>
      <c r="E31" s="5">
        <v>4682</v>
      </c>
      <c r="F31" s="6">
        <v>40.562506999999997</v>
      </c>
      <c r="G31" s="7">
        <v>1.4593106999999999E-2</v>
      </c>
      <c r="H31" s="112"/>
    </row>
    <row r="32" spans="1:8" x14ac:dyDescent="0.2">
      <c r="A32" s="3">
        <v>26</v>
      </c>
      <c r="B32" s="4" t="s">
        <v>238</v>
      </c>
      <c r="C32" s="4" t="s">
        <v>239</v>
      </c>
      <c r="D32" s="4" t="s">
        <v>186</v>
      </c>
      <c r="E32" s="5">
        <v>7790</v>
      </c>
      <c r="F32" s="6">
        <v>40.180819999999997</v>
      </c>
      <c r="G32" s="7">
        <v>1.4455788000000001E-2</v>
      </c>
      <c r="H32" s="112"/>
    </row>
    <row r="33" spans="1:8" x14ac:dyDescent="0.2">
      <c r="A33" s="3">
        <v>27</v>
      </c>
      <c r="B33" s="4" t="s">
        <v>65</v>
      </c>
      <c r="C33" s="4" t="s">
        <v>66</v>
      </c>
      <c r="D33" s="4" t="s">
        <v>64</v>
      </c>
      <c r="E33" s="5">
        <v>8602</v>
      </c>
      <c r="F33" s="6">
        <v>39.926183000000002</v>
      </c>
      <c r="G33" s="7">
        <v>1.4364177000000001E-2</v>
      </c>
      <c r="H33" s="112"/>
    </row>
    <row r="34" spans="1:8" x14ac:dyDescent="0.2">
      <c r="A34" s="3">
        <v>28</v>
      </c>
      <c r="B34" s="4" t="s">
        <v>174</v>
      </c>
      <c r="C34" s="4" t="s">
        <v>175</v>
      </c>
      <c r="D34" s="4" t="s">
        <v>162</v>
      </c>
      <c r="E34" s="5">
        <v>3750</v>
      </c>
      <c r="F34" s="6">
        <v>39.375</v>
      </c>
      <c r="G34" s="7">
        <v>1.4165878999999999E-2</v>
      </c>
      <c r="H34" s="112"/>
    </row>
    <row r="35" spans="1:8" ht="25.5" x14ac:dyDescent="0.2">
      <c r="A35" s="3">
        <v>29</v>
      </c>
      <c r="B35" s="4" t="s">
        <v>467</v>
      </c>
      <c r="C35" s="4" t="s">
        <v>468</v>
      </c>
      <c r="D35" s="4" t="s">
        <v>45</v>
      </c>
      <c r="E35" s="5">
        <v>2832</v>
      </c>
      <c r="F35" s="6">
        <v>39.318072000000001</v>
      </c>
      <c r="G35" s="7">
        <v>1.4145398E-2</v>
      </c>
      <c r="H35" s="112"/>
    </row>
    <row r="36" spans="1:8" x14ac:dyDescent="0.2">
      <c r="A36" s="3">
        <v>30</v>
      </c>
      <c r="B36" s="4" t="s">
        <v>187</v>
      </c>
      <c r="C36" s="4" t="s">
        <v>188</v>
      </c>
      <c r="D36" s="4" t="s">
        <v>189</v>
      </c>
      <c r="E36" s="5">
        <v>17383</v>
      </c>
      <c r="F36" s="6">
        <v>39.216048000000001</v>
      </c>
      <c r="G36" s="7">
        <v>1.4108693E-2</v>
      </c>
      <c r="H36" s="112"/>
    </row>
    <row r="37" spans="1:8" x14ac:dyDescent="0.2">
      <c r="A37" s="3">
        <v>31</v>
      </c>
      <c r="B37" s="4" t="s">
        <v>225</v>
      </c>
      <c r="C37" s="4" t="s">
        <v>226</v>
      </c>
      <c r="D37" s="4" t="s">
        <v>71</v>
      </c>
      <c r="E37" s="5">
        <v>4578</v>
      </c>
      <c r="F37" s="6">
        <v>38.070647999999998</v>
      </c>
      <c r="G37" s="7">
        <v>1.3696615000000001E-2</v>
      </c>
      <c r="H37" s="112"/>
    </row>
    <row r="38" spans="1:8" x14ac:dyDescent="0.2">
      <c r="A38" s="3">
        <v>32</v>
      </c>
      <c r="B38" s="4" t="s">
        <v>184</v>
      </c>
      <c r="C38" s="4" t="s">
        <v>185</v>
      </c>
      <c r="D38" s="4" t="s">
        <v>186</v>
      </c>
      <c r="E38" s="5">
        <v>7956</v>
      </c>
      <c r="F38" s="6">
        <v>37.067003999999997</v>
      </c>
      <c r="G38" s="7">
        <v>1.3335535000000001E-2</v>
      </c>
      <c r="H38" s="112"/>
    </row>
    <row r="39" spans="1:8" x14ac:dyDescent="0.2">
      <c r="A39" s="3">
        <v>33</v>
      </c>
      <c r="B39" s="4" t="s">
        <v>231</v>
      </c>
      <c r="C39" s="4" t="s">
        <v>232</v>
      </c>
      <c r="D39" s="4" t="s">
        <v>71</v>
      </c>
      <c r="E39" s="5">
        <v>13253</v>
      </c>
      <c r="F39" s="6">
        <v>37.0222555</v>
      </c>
      <c r="G39" s="7">
        <v>1.3319436E-2</v>
      </c>
      <c r="H39" s="112"/>
    </row>
    <row r="40" spans="1:8" x14ac:dyDescent="0.2">
      <c r="A40" s="3">
        <v>34</v>
      </c>
      <c r="B40" s="4" t="s">
        <v>203</v>
      </c>
      <c r="C40" s="4" t="s">
        <v>204</v>
      </c>
      <c r="D40" s="4" t="s">
        <v>81</v>
      </c>
      <c r="E40" s="5">
        <v>5860</v>
      </c>
      <c r="F40" s="6">
        <v>36.733409999999999</v>
      </c>
      <c r="G40" s="7">
        <v>1.3215519E-2</v>
      </c>
      <c r="H40" s="112"/>
    </row>
    <row r="41" spans="1:8" ht="25.5" x14ac:dyDescent="0.2">
      <c r="A41" s="3">
        <v>35</v>
      </c>
      <c r="B41" s="4" t="s">
        <v>235</v>
      </c>
      <c r="C41" s="4" t="s">
        <v>236</v>
      </c>
      <c r="D41" s="4" t="s">
        <v>192</v>
      </c>
      <c r="E41" s="5">
        <v>7956</v>
      </c>
      <c r="F41" s="6">
        <v>36.354942000000001</v>
      </c>
      <c r="G41" s="7">
        <v>1.3079357999999999E-2</v>
      </c>
      <c r="H41" s="112"/>
    </row>
    <row r="42" spans="1:8" x14ac:dyDescent="0.2">
      <c r="A42" s="3">
        <v>36</v>
      </c>
      <c r="B42" s="4" t="s">
        <v>195</v>
      </c>
      <c r="C42" s="4" t="s">
        <v>196</v>
      </c>
      <c r="D42" s="4" t="s">
        <v>34</v>
      </c>
      <c r="E42" s="5">
        <v>8553</v>
      </c>
      <c r="F42" s="6">
        <v>35.943982499999997</v>
      </c>
      <c r="G42" s="7">
        <v>1.2931508E-2</v>
      </c>
      <c r="H42" s="112"/>
    </row>
    <row r="43" spans="1:8" ht="25.5" x14ac:dyDescent="0.2">
      <c r="A43" s="3">
        <v>37</v>
      </c>
      <c r="B43" s="4" t="s">
        <v>246</v>
      </c>
      <c r="C43" s="4" t="s">
        <v>247</v>
      </c>
      <c r="D43" s="4" t="s">
        <v>978</v>
      </c>
      <c r="E43" s="5">
        <v>34070</v>
      </c>
      <c r="F43" s="6">
        <v>35.909779999999998</v>
      </c>
      <c r="G43" s="7">
        <v>1.2919203000000001E-2</v>
      </c>
      <c r="H43" s="112"/>
    </row>
    <row r="44" spans="1:8" x14ac:dyDescent="0.2">
      <c r="A44" s="3">
        <v>38</v>
      </c>
      <c r="B44" s="4" t="s">
        <v>240</v>
      </c>
      <c r="C44" s="4" t="s">
        <v>241</v>
      </c>
      <c r="D44" s="4" t="s">
        <v>81</v>
      </c>
      <c r="E44" s="5">
        <v>64507</v>
      </c>
      <c r="F44" s="6">
        <v>35.543357</v>
      </c>
      <c r="G44" s="7">
        <v>1.2787375E-2</v>
      </c>
      <c r="H44" s="112"/>
    </row>
    <row r="45" spans="1:8" x14ac:dyDescent="0.2">
      <c r="A45" s="3">
        <v>39</v>
      </c>
      <c r="B45" s="4" t="s">
        <v>213</v>
      </c>
      <c r="C45" s="4" t="s">
        <v>214</v>
      </c>
      <c r="D45" s="4" t="s">
        <v>977</v>
      </c>
      <c r="E45" s="5">
        <v>5772</v>
      </c>
      <c r="F45" s="6">
        <v>33.494916000000003</v>
      </c>
      <c r="G45" s="7">
        <v>1.2050411E-2</v>
      </c>
      <c r="H45" s="112"/>
    </row>
    <row r="46" spans="1:8" x14ac:dyDescent="0.2">
      <c r="A46" s="3">
        <v>40</v>
      </c>
      <c r="B46" s="4" t="s">
        <v>248</v>
      </c>
      <c r="C46" s="4" t="s">
        <v>249</v>
      </c>
      <c r="D46" s="4" t="s">
        <v>186</v>
      </c>
      <c r="E46" s="5">
        <v>1980</v>
      </c>
      <c r="F46" s="6">
        <v>33.227370000000001</v>
      </c>
      <c r="G46" s="7">
        <v>1.1954156000000001E-2</v>
      </c>
      <c r="H46" s="112"/>
    </row>
    <row r="47" spans="1:8" x14ac:dyDescent="0.2">
      <c r="A47" s="3">
        <v>41</v>
      </c>
      <c r="B47" s="4" t="s">
        <v>287</v>
      </c>
      <c r="C47" s="4" t="s">
        <v>288</v>
      </c>
      <c r="D47" s="4" t="s">
        <v>27</v>
      </c>
      <c r="E47" s="5">
        <v>3052</v>
      </c>
      <c r="F47" s="6">
        <v>32.810526000000003</v>
      </c>
      <c r="G47" s="7">
        <v>1.1804189E-2</v>
      </c>
      <c r="H47" s="112"/>
    </row>
    <row r="48" spans="1:8" x14ac:dyDescent="0.2">
      <c r="A48" s="3">
        <v>42</v>
      </c>
      <c r="B48" s="4" t="s">
        <v>223</v>
      </c>
      <c r="C48" s="4" t="s">
        <v>224</v>
      </c>
      <c r="D48" s="4" t="s">
        <v>27</v>
      </c>
      <c r="E48" s="5">
        <v>1766</v>
      </c>
      <c r="F48" s="6">
        <v>31.751797</v>
      </c>
      <c r="G48" s="7">
        <v>1.1423292E-2</v>
      </c>
      <c r="H48" s="112"/>
    </row>
    <row r="49" spans="1:8" ht="25.5" x14ac:dyDescent="0.2">
      <c r="A49" s="3">
        <v>43</v>
      </c>
      <c r="B49" s="4" t="s">
        <v>250</v>
      </c>
      <c r="C49" s="4" t="s">
        <v>251</v>
      </c>
      <c r="D49" s="4" t="s">
        <v>192</v>
      </c>
      <c r="E49" s="5">
        <v>8336</v>
      </c>
      <c r="F49" s="6">
        <v>31.71848</v>
      </c>
      <c r="G49" s="7">
        <v>1.1411305E-2</v>
      </c>
      <c r="H49" s="112"/>
    </row>
    <row r="50" spans="1:8" x14ac:dyDescent="0.2">
      <c r="A50" s="3">
        <v>44</v>
      </c>
      <c r="B50" s="4" t="s">
        <v>227</v>
      </c>
      <c r="C50" s="4" t="s">
        <v>228</v>
      </c>
      <c r="D50" s="4" t="s">
        <v>974</v>
      </c>
      <c r="E50" s="5">
        <v>1654</v>
      </c>
      <c r="F50" s="6">
        <v>28.180025000000001</v>
      </c>
      <c r="G50" s="7">
        <v>1.0138281000000001E-2</v>
      </c>
      <c r="H50" s="112"/>
    </row>
    <row r="51" spans="1:8" x14ac:dyDescent="0.2">
      <c r="A51" s="3">
        <v>45</v>
      </c>
      <c r="B51" s="4" t="s">
        <v>244</v>
      </c>
      <c r="C51" s="4" t="s">
        <v>245</v>
      </c>
      <c r="D51" s="4" t="s">
        <v>173</v>
      </c>
      <c r="E51" s="5">
        <v>7134</v>
      </c>
      <c r="F51" s="6">
        <v>28.136496000000001</v>
      </c>
      <c r="G51" s="7">
        <v>1.0122621E-2</v>
      </c>
      <c r="H51" s="112"/>
    </row>
    <row r="52" spans="1:8" x14ac:dyDescent="0.2">
      <c r="A52" s="3">
        <v>46</v>
      </c>
      <c r="B52" s="4" t="s">
        <v>481</v>
      </c>
      <c r="C52" s="4" t="s">
        <v>482</v>
      </c>
      <c r="D52" s="4" t="s">
        <v>186</v>
      </c>
      <c r="E52" s="5">
        <v>4884</v>
      </c>
      <c r="F52" s="6">
        <v>28.117187999999999</v>
      </c>
      <c r="G52" s="7">
        <v>1.0115674999999999E-2</v>
      </c>
      <c r="H52" s="112"/>
    </row>
    <row r="53" spans="1:8" x14ac:dyDescent="0.2">
      <c r="A53" s="3">
        <v>47</v>
      </c>
      <c r="B53" s="4" t="s">
        <v>269</v>
      </c>
      <c r="C53" s="4" t="s">
        <v>270</v>
      </c>
      <c r="D53" s="4" t="s">
        <v>186</v>
      </c>
      <c r="E53" s="5">
        <v>514</v>
      </c>
      <c r="F53" s="6">
        <v>27.878074999999999</v>
      </c>
      <c r="G53" s="7">
        <v>1.0029649E-2</v>
      </c>
      <c r="H53" s="112"/>
    </row>
    <row r="54" spans="1:8" ht="25.5" x14ac:dyDescent="0.2">
      <c r="A54" s="3">
        <v>48</v>
      </c>
      <c r="B54" s="4" t="s">
        <v>197</v>
      </c>
      <c r="C54" s="4" t="s">
        <v>198</v>
      </c>
      <c r="D54" s="4" t="s">
        <v>971</v>
      </c>
      <c r="E54" s="5">
        <v>11598</v>
      </c>
      <c r="F54" s="6">
        <v>27.707622000000001</v>
      </c>
      <c r="G54" s="7">
        <v>9.9683259999999996E-3</v>
      </c>
      <c r="H54" s="112"/>
    </row>
    <row r="55" spans="1:8" x14ac:dyDescent="0.2">
      <c r="A55" s="3">
        <v>49</v>
      </c>
      <c r="B55" s="4" t="s">
        <v>260</v>
      </c>
      <c r="C55" s="4" t="s">
        <v>261</v>
      </c>
      <c r="D55" s="4" t="s">
        <v>173</v>
      </c>
      <c r="E55" s="5">
        <v>4540</v>
      </c>
      <c r="F55" s="6">
        <v>27.351230000000001</v>
      </c>
      <c r="G55" s="7">
        <v>9.8401070000000007E-3</v>
      </c>
      <c r="H55" s="112"/>
    </row>
    <row r="56" spans="1:8" x14ac:dyDescent="0.2">
      <c r="A56" s="3">
        <v>50</v>
      </c>
      <c r="B56" s="4" t="s">
        <v>179</v>
      </c>
      <c r="C56" s="4" t="s">
        <v>180</v>
      </c>
      <c r="D56" s="4" t="s">
        <v>71</v>
      </c>
      <c r="E56" s="5">
        <v>2611</v>
      </c>
      <c r="F56" s="6">
        <v>26.773194</v>
      </c>
      <c r="G56" s="7">
        <v>9.6321480000000001E-3</v>
      </c>
      <c r="H56" s="112"/>
    </row>
    <row r="57" spans="1:8" ht="25.5" x14ac:dyDescent="0.2">
      <c r="A57" s="3">
        <v>51</v>
      </c>
      <c r="B57" s="4" t="s">
        <v>181</v>
      </c>
      <c r="C57" s="4" t="s">
        <v>931</v>
      </c>
      <c r="D57" s="4" t="s">
        <v>45</v>
      </c>
      <c r="E57" s="5">
        <v>11408</v>
      </c>
      <c r="F57" s="6">
        <v>26.620567999999999</v>
      </c>
      <c r="G57" s="7">
        <v>9.5772380000000001E-3</v>
      </c>
      <c r="H57" s="112"/>
    </row>
    <row r="58" spans="1:8" x14ac:dyDescent="0.2">
      <c r="A58" s="3">
        <v>52</v>
      </c>
      <c r="B58" s="4" t="s">
        <v>264</v>
      </c>
      <c r="C58" s="4" t="s">
        <v>265</v>
      </c>
      <c r="D58" s="4" t="s">
        <v>266</v>
      </c>
      <c r="E58" s="5">
        <v>10967</v>
      </c>
      <c r="F58" s="6">
        <v>25.1747485</v>
      </c>
      <c r="G58" s="7">
        <v>9.0570779999999997E-3</v>
      </c>
      <c r="H58" s="112"/>
    </row>
    <row r="59" spans="1:8" x14ac:dyDescent="0.2">
      <c r="A59" s="3">
        <v>53</v>
      </c>
      <c r="B59" s="4" t="s">
        <v>258</v>
      </c>
      <c r="C59" s="4" t="s">
        <v>259</v>
      </c>
      <c r="D59" s="4" t="s">
        <v>53</v>
      </c>
      <c r="E59" s="5">
        <v>2549</v>
      </c>
      <c r="F59" s="6">
        <v>24.386282999999999</v>
      </c>
      <c r="G59" s="7">
        <v>8.7734130000000007E-3</v>
      </c>
      <c r="H59" s="112"/>
    </row>
    <row r="60" spans="1:8" x14ac:dyDescent="0.2">
      <c r="A60" s="3">
        <v>54</v>
      </c>
      <c r="B60" s="4" t="s">
        <v>267</v>
      </c>
      <c r="C60" s="4" t="s">
        <v>268</v>
      </c>
      <c r="D60" s="4" t="s">
        <v>19</v>
      </c>
      <c r="E60" s="5">
        <v>26378</v>
      </c>
      <c r="F60" s="6">
        <v>23.951224</v>
      </c>
      <c r="G60" s="7">
        <v>8.6168930000000005E-3</v>
      </c>
      <c r="H60" s="112"/>
    </row>
    <row r="61" spans="1:8" x14ac:dyDescent="0.2">
      <c r="A61" s="3">
        <v>55</v>
      </c>
      <c r="B61" s="4" t="s">
        <v>169</v>
      </c>
      <c r="C61" s="4" t="s">
        <v>170</v>
      </c>
      <c r="D61" s="4" t="s">
        <v>19</v>
      </c>
      <c r="E61" s="5">
        <v>13162</v>
      </c>
      <c r="F61" s="6">
        <v>23.763991000000001</v>
      </c>
      <c r="G61" s="7">
        <v>8.5495320000000003E-3</v>
      </c>
      <c r="H61" s="112"/>
    </row>
    <row r="62" spans="1:8" x14ac:dyDescent="0.2">
      <c r="A62" s="3">
        <v>56</v>
      </c>
      <c r="B62" s="4" t="s">
        <v>473</v>
      </c>
      <c r="C62" s="4" t="s">
        <v>474</v>
      </c>
      <c r="D62" s="4" t="s">
        <v>81</v>
      </c>
      <c r="E62" s="5">
        <v>3631</v>
      </c>
      <c r="F62" s="6">
        <v>22.815388500000001</v>
      </c>
      <c r="G62" s="7">
        <v>8.2082549999999994E-3</v>
      </c>
      <c r="H62" s="112"/>
    </row>
    <row r="63" spans="1:8" x14ac:dyDescent="0.2">
      <c r="A63" s="3">
        <v>57</v>
      </c>
      <c r="B63" s="4" t="s">
        <v>471</v>
      </c>
      <c r="C63" s="4" t="s">
        <v>472</v>
      </c>
      <c r="D63" s="4" t="s">
        <v>27</v>
      </c>
      <c r="E63" s="5">
        <v>2616</v>
      </c>
      <c r="F63" s="6">
        <v>21.956088000000001</v>
      </c>
      <c r="G63" s="7">
        <v>7.8991059999999995E-3</v>
      </c>
      <c r="H63" s="112"/>
    </row>
    <row r="64" spans="1:8" x14ac:dyDescent="0.2">
      <c r="A64" s="3">
        <v>58</v>
      </c>
      <c r="B64" s="4" t="s">
        <v>156</v>
      </c>
      <c r="C64" s="4" t="s">
        <v>157</v>
      </c>
      <c r="D64" s="4" t="s">
        <v>974</v>
      </c>
      <c r="E64" s="5">
        <v>1699</v>
      </c>
      <c r="F64" s="6">
        <v>21.127065000000002</v>
      </c>
      <c r="G64" s="7">
        <v>7.6008489999999998E-3</v>
      </c>
      <c r="H64" s="112"/>
    </row>
    <row r="65" spans="1:8" x14ac:dyDescent="0.2">
      <c r="A65" s="3">
        <v>59</v>
      </c>
      <c r="B65" s="4" t="s">
        <v>242</v>
      </c>
      <c r="C65" s="4" t="s">
        <v>243</v>
      </c>
      <c r="D65" s="4" t="s">
        <v>334</v>
      </c>
      <c r="E65" s="5">
        <v>1566</v>
      </c>
      <c r="F65" s="6">
        <v>18.752849999999999</v>
      </c>
      <c r="G65" s="7">
        <v>6.7466820000000004E-3</v>
      </c>
      <c r="H65" s="112"/>
    </row>
    <row r="66" spans="1:8" x14ac:dyDescent="0.2">
      <c r="A66" s="3">
        <v>60</v>
      </c>
      <c r="B66" s="4" t="s">
        <v>277</v>
      </c>
      <c r="C66" s="4" t="s">
        <v>278</v>
      </c>
      <c r="D66" s="4" t="s">
        <v>186</v>
      </c>
      <c r="E66" s="5">
        <v>5701</v>
      </c>
      <c r="F66" s="6">
        <v>17.581883999999999</v>
      </c>
      <c r="G66" s="7">
        <v>6.3254060000000004E-3</v>
      </c>
      <c r="H66" s="112"/>
    </row>
    <row r="67" spans="1:8" x14ac:dyDescent="0.2">
      <c r="A67" s="3">
        <v>61</v>
      </c>
      <c r="B67" s="4" t="s">
        <v>477</v>
      </c>
      <c r="C67" s="4" t="s">
        <v>478</v>
      </c>
      <c r="D67" s="4" t="s">
        <v>974</v>
      </c>
      <c r="E67" s="5">
        <v>17964</v>
      </c>
      <c r="F67" s="6">
        <v>17.272386000000001</v>
      </c>
      <c r="G67" s="7">
        <v>6.2140579999999997E-3</v>
      </c>
      <c r="H67" s="112"/>
    </row>
    <row r="68" spans="1:8" x14ac:dyDescent="0.2">
      <c r="A68" s="3">
        <v>62</v>
      </c>
      <c r="B68" s="4" t="s">
        <v>279</v>
      </c>
      <c r="C68" s="4" t="s">
        <v>280</v>
      </c>
      <c r="D68" s="4" t="s">
        <v>147</v>
      </c>
      <c r="E68" s="5">
        <v>1227</v>
      </c>
      <c r="F68" s="6">
        <v>16.066951499999998</v>
      </c>
      <c r="G68" s="7">
        <v>5.7803810000000002E-3</v>
      </c>
      <c r="H68" s="112"/>
    </row>
    <row r="69" spans="1:8" x14ac:dyDescent="0.2">
      <c r="A69" s="3">
        <v>63</v>
      </c>
      <c r="B69" s="4" t="s">
        <v>271</v>
      </c>
      <c r="C69" s="4" t="s">
        <v>272</v>
      </c>
      <c r="D69" s="4" t="s">
        <v>147</v>
      </c>
      <c r="E69" s="5">
        <v>2449</v>
      </c>
      <c r="F69" s="6">
        <v>15.933194</v>
      </c>
      <c r="G69" s="7">
        <v>5.732259E-3</v>
      </c>
      <c r="H69" s="112"/>
    </row>
    <row r="70" spans="1:8" x14ac:dyDescent="0.2">
      <c r="A70" s="3">
        <v>64</v>
      </c>
      <c r="B70" s="4" t="s">
        <v>275</v>
      </c>
      <c r="C70" s="4" t="s">
        <v>276</v>
      </c>
      <c r="D70" s="4" t="s">
        <v>162</v>
      </c>
      <c r="E70" s="5">
        <v>2982</v>
      </c>
      <c r="F70" s="6">
        <v>12.348462</v>
      </c>
      <c r="G70" s="7">
        <v>4.4425860000000001E-3</v>
      </c>
      <c r="H70" s="112"/>
    </row>
    <row r="71" spans="1:8" x14ac:dyDescent="0.2">
      <c r="A71" s="3">
        <v>65</v>
      </c>
      <c r="B71" s="4" t="s">
        <v>281</v>
      </c>
      <c r="C71" s="4" t="s">
        <v>282</v>
      </c>
      <c r="D71" s="4" t="s">
        <v>334</v>
      </c>
      <c r="E71" s="5">
        <v>483</v>
      </c>
      <c r="F71" s="6">
        <v>3.8521665</v>
      </c>
      <c r="G71" s="7">
        <v>1.3858880000000001E-3</v>
      </c>
      <c r="H71" s="112"/>
    </row>
    <row r="72" spans="1:8" x14ac:dyDescent="0.2">
      <c r="A72" s="3">
        <v>66</v>
      </c>
      <c r="B72" s="4" t="s">
        <v>283</v>
      </c>
      <c r="C72" s="4" t="s">
        <v>284</v>
      </c>
      <c r="D72" s="4" t="s">
        <v>19</v>
      </c>
      <c r="E72" s="5">
        <v>4810</v>
      </c>
      <c r="F72" s="6">
        <v>3.0904250000000002</v>
      </c>
      <c r="G72" s="7">
        <v>1.1118370000000001E-3</v>
      </c>
      <c r="H72" s="112"/>
    </row>
    <row r="73" spans="1:8" x14ac:dyDescent="0.2">
      <c r="A73" s="1"/>
      <c r="B73" s="1"/>
      <c r="C73" s="2" t="s">
        <v>97</v>
      </c>
      <c r="D73" s="1"/>
      <c r="E73" s="1" t="s">
        <v>98</v>
      </c>
      <c r="F73" s="9">
        <v>2703.5075525000002</v>
      </c>
      <c r="G73" s="10">
        <v>0.97263647600000003</v>
      </c>
      <c r="H73" s="112"/>
    </row>
    <row r="74" spans="1:8" x14ac:dyDescent="0.2">
      <c r="A74" s="1"/>
      <c r="B74" s="1"/>
      <c r="C74" s="11"/>
      <c r="D74" s="1"/>
      <c r="E74" s="1"/>
      <c r="F74" s="12"/>
      <c r="G74" s="12"/>
      <c r="H74" s="112"/>
    </row>
    <row r="75" spans="1:8" x14ac:dyDescent="0.2">
      <c r="A75" s="1"/>
      <c r="B75" s="1"/>
      <c r="C75" s="2" t="s">
        <v>99</v>
      </c>
      <c r="D75" s="1"/>
      <c r="E75" s="1"/>
      <c r="F75" s="1"/>
      <c r="G75" s="1"/>
      <c r="H75" s="112"/>
    </row>
    <row r="76" spans="1:8" x14ac:dyDescent="0.2">
      <c r="A76" s="1"/>
      <c r="B76" s="1"/>
      <c r="C76" s="2" t="s">
        <v>97</v>
      </c>
      <c r="D76" s="1"/>
      <c r="E76" s="1" t="s">
        <v>98</v>
      </c>
      <c r="F76" s="13">
        <v>0</v>
      </c>
      <c r="G76" s="14">
        <v>0</v>
      </c>
      <c r="H76" s="112"/>
    </row>
    <row r="77" spans="1:8" x14ac:dyDescent="0.2">
      <c r="A77" s="1"/>
      <c r="B77" s="1"/>
      <c r="C77" s="11"/>
      <c r="D77" s="1"/>
      <c r="E77" s="1"/>
      <c r="F77" s="12"/>
      <c r="G77" s="12"/>
      <c r="H77" s="112"/>
    </row>
    <row r="78" spans="1:8" x14ac:dyDescent="0.2">
      <c r="A78" s="1"/>
      <c r="B78" s="1"/>
      <c r="C78" s="2" t="s">
        <v>100</v>
      </c>
      <c r="D78" s="1"/>
      <c r="E78" s="1"/>
      <c r="F78" s="1"/>
      <c r="G78" s="1"/>
      <c r="H78" s="112"/>
    </row>
    <row r="79" spans="1:8" x14ac:dyDescent="0.2">
      <c r="A79" s="1"/>
      <c r="B79" s="1"/>
      <c r="C79" s="2" t="s">
        <v>97</v>
      </c>
      <c r="D79" s="1"/>
      <c r="E79" s="1" t="s">
        <v>98</v>
      </c>
      <c r="F79" s="13">
        <v>0</v>
      </c>
      <c r="G79" s="14">
        <v>0</v>
      </c>
      <c r="H79" s="112"/>
    </row>
    <row r="80" spans="1:8" x14ac:dyDescent="0.2">
      <c r="A80" s="1"/>
      <c r="B80" s="1"/>
      <c r="C80" s="11"/>
      <c r="D80" s="1"/>
      <c r="E80" s="1"/>
      <c r="F80" s="12"/>
      <c r="G80" s="12"/>
      <c r="H80" s="112"/>
    </row>
    <row r="81" spans="1:8" x14ac:dyDescent="0.2">
      <c r="A81" s="1"/>
      <c r="B81" s="1"/>
      <c r="C81" s="2" t="s">
        <v>101</v>
      </c>
      <c r="D81" s="1"/>
      <c r="E81" s="1"/>
      <c r="F81" s="1"/>
      <c r="G81" s="1"/>
      <c r="H81" s="112"/>
    </row>
    <row r="82" spans="1:8" x14ac:dyDescent="0.2">
      <c r="A82" s="1"/>
      <c r="B82" s="1"/>
      <c r="C82" s="2" t="s">
        <v>97</v>
      </c>
      <c r="D82" s="1"/>
      <c r="E82" s="1" t="s">
        <v>98</v>
      </c>
      <c r="F82" s="13">
        <v>0</v>
      </c>
      <c r="G82" s="14">
        <v>0</v>
      </c>
      <c r="H82" s="112"/>
    </row>
    <row r="83" spans="1:8" x14ac:dyDescent="0.2">
      <c r="A83" s="1"/>
      <c r="B83" s="1"/>
      <c r="C83" s="11"/>
      <c r="D83" s="1"/>
      <c r="E83" s="1"/>
      <c r="F83" s="12"/>
      <c r="G83" s="12"/>
      <c r="H83" s="112"/>
    </row>
    <row r="84" spans="1:8" x14ac:dyDescent="0.2">
      <c r="A84" s="1"/>
      <c r="B84" s="1"/>
      <c r="C84" s="2" t="s">
        <v>102</v>
      </c>
      <c r="D84" s="1"/>
      <c r="E84" s="1"/>
      <c r="F84" s="12"/>
      <c r="G84" s="12"/>
      <c r="H84" s="112"/>
    </row>
    <row r="85" spans="1:8" x14ac:dyDescent="0.2">
      <c r="A85" s="1"/>
      <c r="B85" s="1"/>
      <c r="C85" s="2" t="s">
        <v>97</v>
      </c>
      <c r="D85" s="1"/>
      <c r="E85" s="1" t="s">
        <v>98</v>
      </c>
      <c r="F85" s="13">
        <v>0</v>
      </c>
      <c r="G85" s="14">
        <v>0</v>
      </c>
      <c r="H85" s="112"/>
    </row>
    <row r="86" spans="1:8" x14ac:dyDescent="0.2">
      <c r="A86" s="1"/>
      <c r="B86" s="1"/>
      <c r="C86" s="11"/>
      <c r="D86" s="1"/>
      <c r="E86" s="1"/>
      <c r="F86" s="12"/>
      <c r="G86" s="12"/>
      <c r="H86" s="112"/>
    </row>
    <row r="87" spans="1:8" x14ac:dyDescent="0.2">
      <c r="A87" s="1"/>
      <c r="B87" s="1"/>
      <c r="C87" s="2" t="s">
        <v>103</v>
      </c>
      <c r="D87" s="1"/>
      <c r="E87" s="1"/>
      <c r="F87" s="12"/>
      <c r="G87" s="12"/>
      <c r="H87" s="112"/>
    </row>
    <row r="88" spans="1:8" x14ac:dyDescent="0.2">
      <c r="A88" s="1"/>
      <c r="B88" s="1"/>
      <c r="C88" s="2" t="s">
        <v>97</v>
      </c>
      <c r="D88" s="1"/>
      <c r="E88" s="1" t="s">
        <v>98</v>
      </c>
      <c r="F88" s="13">
        <v>0</v>
      </c>
      <c r="G88" s="14">
        <v>0</v>
      </c>
      <c r="H88" s="112"/>
    </row>
    <row r="89" spans="1:8" x14ac:dyDescent="0.2">
      <c r="A89" s="1"/>
      <c r="B89" s="1"/>
      <c r="C89" s="11"/>
      <c r="D89" s="1"/>
      <c r="E89" s="1"/>
      <c r="F89" s="12"/>
      <c r="G89" s="12"/>
      <c r="H89" s="112"/>
    </row>
    <row r="90" spans="1:8" x14ac:dyDescent="0.2">
      <c r="A90" s="1"/>
      <c r="B90" s="1"/>
      <c r="C90" s="2" t="s">
        <v>104</v>
      </c>
      <c r="D90" s="1"/>
      <c r="E90" s="1"/>
      <c r="F90" s="9">
        <v>2703.5075525000002</v>
      </c>
      <c r="G90" s="10">
        <v>0.97263647600000003</v>
      </c>
      <c r="H90" s="112"/>
    </row>
    <row r="91" spans="1:8" x14ac:dyDescent="0.2">
      <c r="A91" s="1"/>
      <c r="B91" s="1"/>
      <c r="C91" s="11"/>
      <c r="D91" s="1"/>
      <c r="E91" s="1"/>
      <c r="F91" s="12"/>
      <c r="G91" s="12"/>
      <c r="H91" s="112"/>
    </row>
    <row r="92" spans="1:8" x14ac:dyDescent="0.2">
      <c r="A92" s="1"/>
      <c r="B92" s="1"/>
      <c r="C92" s="2" t="s">
        <v>105</v>
      </c>
      <c r="D92" s="1"/>
      <c r="E92" s="1"/>
      <c r="F92" s="12"/>
      <c r="G92" s="12"/>
      <c r="H92" s="112"/>
    </row>
    <row r="93" spans="1:8" ht="25.5" x14ac:dyDescent="0.2">
      <c r="A93" s="1"/>
      <c r="B93" s="1"/>
      <c r="C93" s="2" t="s">
        <v>10</v>
      </c>
      <c r="D93" s="1"/>
      <c r="E93" s="1"/>
      <c r="F93" s="12"/>
      <c r="G93" s="12"/>
      <c r="H93" s="112"/>
    </row>
    <row r="94" spans="1:8" x14ac:dyDescent="0.2">
      <c r="A94" s="1"/>
      <c r="B94" s="1"/>
      <c r="C94" s="2" t="s">
        <v>97</v>
      </c>
      <c r="D94" s="1"/>
      <c r="E94" s="1" t="s">
        <v>98</v>
      </c>
      <c r="F94" s="13">
        <v>0</v>
      </c>
      <c r="G94" s="14">
        <v>0</v>
      </c>
      <c r="H94" s="112"/>
    </row>
    <row r="95" spans="1:8" x14ac:dyDescent="0.2">
      <c r="A95" s="1"/>
      <c r="B95" s="1"/>
      <c r="C95" s="11"/>
      <c r="D95" s="1"/>
      <c r="E95" s="1"/>
      <c r="F95" s="12"/>
      <c r="G95" s="12"/>
      <c r="H95" s="112"/>
    </row>
    <row r="96" spans="1:8" x14ac:dyDescent="0.2">
      <c r="A96" s="1"/>
      <c r="B96" s="1"/>
      <c r="C96" s="2" t="s">
        <v>106</v>
      </c>
      <c r="D96" s="1"/>
      <c r="E96" s="1"/>
      <c r="F96" s="1"/>
      <c r="G96" s="1"/>
      <c r="H96" s="112"/>
    </row>
    <row r="97" spans="1:8" x14ac:dyDescent="0.2">
      <c r="A97" s="1"/>
      <c r="B97" s="1"/>
      <c r="C97" s="2" t="s">
        <v>97</v>
      </c>
      <c r="D97" s="1"/>
      <c r="E97" s="1" t="s">
        <v>98</v>
      </c>
      <c r="F97" s="13">
        <v>0</v>
      </c>
      <c r="G97" s="14">
        <v>0</v>
      </c>
      <c r="H97" s="112"/>
    </row>
    <row r="98" spans="1:8" x14ac:dyDescent="0.2">
      <c r="A98" s="1"/>
      <c r="B98" s="1"/>
      <c r="C98" s="11"/>
      <c r="D98" s="1"/>
      <c r="E98" s="1"/>
      <c r="F98" s="12"/>
      <c r="G98" s="12"/>
      <c r="H98" s="112"/>
    </row>
    <row r="99" spans="1:8" x14ac:dyDescent="0.2">
      <c r="A99" s="1"/>
      <c r="B99" s="1"/>
      <c r="C99" s="2" t="s">
        <v>107</v>
      </c>
      <c r="D99" s="1"/>
      <c r="E99" s="1"/>
      <c r="F99" s="1"/>
      <c r="G99" s="1"/>
      <c r="H99" s="112"/>
    </row>
    <row r="100" spans="1:8" x14ac:dyDescent="0.2">
      <c r="A100" s="1"/>
      <c r="B100" s="1"/>
      <c r="C100" s="2" t="s">
        <v>97</v>
      </c>
      <c r="D100" s="1"/>
      <c r="E100" s="1" t="s">
        <v>98</v>
      </c>
      <c r="F100" s="13">
        <v>0</v>
      </c>
      <c r="G100" s="14">
        <v>0</v>
      </c>
      <c r="H100" s="112"/>
    </row>
    <row r="101" spans="1:8" x14ac:dyDescent="0.2">
      <c r="A101" s="1"/>
      <c r="B101" s="1"/>
      <c r="C101" s="11"/>
      <c r="D101" s="1"/>
      <c r="E101" s="1"/>
      <c r="F101" s="12"/>
      <c r="G101" s="12"/>
      <c r="H101" s="112"/>
    </row>
    <row r="102" spans="1:8" x14ac:dyDescent="0.2">
      <c r="A102" s="1"/>
      <c r="B102" s="1"/>
      <c r="C102" s="2" t="s">
        <v>108</v>
      </c>
      <c r="D102" s="1"/>
      <c r="E102" s="1"/>
      <c r="F102" s="12"/>
      <c r="G102" s="12"/>
      <c r="H102" s="112"/>
    </row>
    <row r="103" spans="1:8" x14ac:dyDescent="0.2">
      <c r="A103" s="1"/>
      <c r="B103" s="1"/>
      <c r="C103" s="2" t="s">
        <v>97</v>
      </c>
      <c r="D103" s="1"/>
      <c r="E103" s="1" t="s">
        <v>98</v>
      </c>
      <c r="F103" s="13">
        <v>0</v>
      </c>
      <c r="G103" s="14">
        <v>0</v>
      </c>
      <c r="H103" s="112"/>
    </row>
    <row r="104" spans="1:8" x14ac:dyDescent="0.2">
      <c r="A104" s="1"/>
      <c r="B104" s="1"/>
      <c r="C104" s="11"/>
      <c r="D104" s="1"/>
      <c r="E104" s="1"/>
      <c r="F104" s="12"/>
      <c r="G104" s="12"/>
      <c r="H104" s="112"/>
    </row>
    <row r="105" spans="1:8" x14ac:dyDescent="0.2">
      <c r="A105" s="1"/>
      <c r="B105" s="1"/>
      <c r="C105" s="2" t="s">
        <v>109</v>
      </c>
      <c r="D105" s="1"/>
      <c r="E105" s="1"/>
      <c r="F105" s="9">
        <v>0</v>
      </c>
      <c r="G105" s="10">
        <v>0</v>
      </c>
      <c r="H105" s="112"/>
    </row>
    <row r="106" spans="1:8" x14ac:dyDescent="0.2">
      <c r="A106" s="1"/>
      <c r="B106" s="1"/>
      <c r="C106" s="11"/>
      <c r="D106" s="1"/>
      <c r="E106" s="1"/>
      <c r="F106" s="12"/>
      <c r="G106" s="12"/>
      <c r="H106" s="112"/>
    </row>
    <row r="107" spans="1:8" x14ac:dyDescent="0.2">
      <c r="A107" s="1"/>
      <c r="B107" s="1"/>
      <c r="C107" s="2" t="s">
        <v>110</v>
      </c>
      <c r="D107" s="1"/>
      <c r="E107" s="1"/>
      <c r="F107" s="12"/>
      <c r="G107" s="12"/>
      <c r="H107" s="112"/>
    </row>
    <row r="108" spans="1:8" x14ac:dyDescent="0.2">
      <c r="A108" s="1"/>
      <c r="B108" s="1"/>
      <c r="C108" s="2" t="s">
        <v>111</v>
      </c>
      <c r="D108" s="1"/>
      <c r="E108" s="1"/>
      <c r="F108" s="12"/>
      <c r="G108" s="12"/>
      <c r="H108" s="112"/>
    </row>
    <row r="109" spans="1:8" x14ac:dyDescent="0.2">
      <c r="A109" s="1"/>
      <c r="B109" s="1"/>
      <c r="C109" s="2" t="s">
        <v>97</v>
      </c>
      <c r="D109" s="1"/>
      <c r="E109" s="1" t="s">
        <v>98</v>
      </c>
      <c r="F109" s="13">
        <v>0</v>
      </c>
      <c r="G109" s="14">
        <v>0</v>
      </c>
      <c r="H109" s="112"/>
    </row>
    <row r="110" spans="1:8" x14ac:dyDescent="0.2">
      <c r="A110" s="1"/>
      <c r="B110" s="1"/>
      <c r="C110" s="11"/>
      <c r="D110" s="1"/>
      <c r="E110" s="1"/>
      <c r="F110" s="12"/>
      <c r="G110" s="12"/>
      <c r="H110" s="112"/>
    </row>
    <row r="111" spans="1:8" x14ac:dyDescent="0.2">
      <c r="A111" s="1"/>
      <c r="B111" s="1"/>
      <c r="C111" s="2" t="s">
        <v>112</v>
      </c>
      <c r="D111" s="1"/>
      <c r="E111" s="1"/>
      <c r="F111" s="12"/>
      <c r="G111" s="12"/>
      <c r="H111" s="112"/>
    </row>
    <row r="112" spans="1:8" x14ac:dyDescent="0.2">
      <c r="A112" s="1"/>
      <c r="B112" s="1"/>
      <c r="C112" s="2" t="s">
        <v>97</v>
      </c>
      <c r="D112" s="1"/>
      <c r="E112" s="1" t="s">
        <v>98</v>
      </c>
      <c r="F112" s="13">
        <v>0</v>
      </c>
      <c r="G112" s="14">
        <v>0</v>
      </c>
      <c r="H112" s="112"/>
    </row>
    <row r="113" spans="1:8" x14ac:dyDescent="0.2">
      <c r="A113" s="1"/>
      <c r="B113" s="1"/>
      <c r="C113" s="11"/>
      <c r="D113" s="1"/>
      <c r="E113" s="1"/>
      <c r="F113" s="12"/>
      <c r="G113" s="12"/>
      <c r="H113" s="112"/>
    </row>
    <row r="114" spans="1:8" x14ac:dyDescent="0.2">
      <c r="A114" s="1"/>
      <c r="B114" s="1"/>
      <c r="C114" s="2" t="s">
        <v>113</v>
      </c>
      <c r="D114" s="1"/>
      <c r="E114" s="1"/>
      <c r="F114" s="12"/>
      <c r="G114" s="12"/>
      <c r="H114" s="112"/>
    </row>
    <row r="115" spans="1:8" x14ac:dyDescent="0.2">
      <c r="A115" s="1"/>
      <c r="B115" s="1"/>
      <c r="C115" s="2" t="s">
        <v>97</v>
      </c>
      <c r="D115" s="1"/>
      <c r="E115" s="1" t="s">
        <v>98</v>
      </c>
      <c r="F115" s="13">
        <v>0</v>
      </c>
      <c r="G115" s="14">
        <v>0</v>
      </c>
      <c r="H115" s="112"/>
    </row>
    <row r="116" spans="1:8" x14ac:dyDescent="0.2">
      <c r="A116" s="1"/>
      <c r="B116" s="1"/>
      <c r="C116" s="11"/>
      <c r="D116" s="1"/>
      <c r="E116" s="1"/>
      <c r="F116" s="12"/>
      <c r="G116" s="12"/>
      <c r="H116" s="112"/>
    </row>
    <row r="117" spans="1:8" x14ac:dyDescent="0.2">
      <c r="A117" s="1"/>
      <c r="B117" s="1"/>
      <c r="C117" s="2" t="s">
        <v>114</v>
      </c>
      <c r="D117" s="1"/>
      <c r="E117" s="1"/>
      <c r="F117" s="12"/>
      <c r="G117" s="12"/>
      <c r="H117" s="112"/>
    </row>
    <row r="118" spans="1:8" x14ac:dyDescent="0.2">
      <c r="A118" s="3">
        <v>1</v>
      </c>
      <c r="B118" s="4"/>
      <c r="C118" s="4" t="s">
        <v>115</v>
      </c>
      <c r="D118" s="4"/>
      <c r="E118" s="8"/>
      <c r="F118" s="6">
        <v>65.298300042216354</v>
      </c>
      <c r="G118" s="7">
        <v>2.3492262226076553E-2</v>
      </c>
      <c r="H118" s="6">
        <v>3.3211324282253978</v>
      </c>
    </row>
    <row r="119" spans="1:8" x14ac:dyDescent="0.2">
      <c r="A119" s="3">
        <v>2</v>
      </c>
      <c r="B119" s="4"/>
      <c r="C119" s="4" t="s">
        <v>116</v>
      </c>
      <c r="D119" s="4"/>
      <c r="E119" s="8"/>
      <c r="F119" s="6">
        <v>25.650705210004187</v>
      </c>
      <c r="G119" s="7">
        <v>9.2283121105391826E-3</v>
      </c>
      <c r="H119" s="6">
        <v>3.35</v>
      </c>
    </row>
    <row r="120" spans="1:8" x14ac:dyDescent="0.2">
      <c r="A120" s="1"/>
      <c r="B120" s="1"/>
      <c r="C120" s="2" t="s">
        <v>97</v>
      </c>
      <c r="D120" s="1"/>
      <c r="E120" s="1" t="s">
        <v>98</v>
      </c>
      <c r="F120" s="9">
        <v>90.949005252220545</v>
      </c>
      <c r="G120" s="10">
        <v>3.2720574336615738E-2</v>
      </c>
      <c r="H120" s="112"/>
    </row>
    <row r="121" spans="1:8" x14ac:dyDescent="0.2">
      <c r="A121" s="1"/>
      <c r="B121" s="1"/>
      <c r="C121" s="11"/>
      <c r="D121" s="1"/>
      <c r="E121" s="1"/>
      <c r="F121" s="12"/>
      <c r="G121" s="12"/>
      <c r="H121" s="112"/>
    </row>
    <row r="122" spans="1:8" x14ac:dyDescent="0.2">
      <c r="A122" s="1"/>
      <c r="B122" s="1"/>
      <c r="C122" s="2" t="s">
        <v>117</v>
      </c>
      <c r="D122" s="1"/>
      <c r="E122" s="1"/>
      <c r="F122" s="9">
        <v>90.949005252220545</v>
      </c>
      <c r="G122" s="10">
        <v>3.2720574336615738E-2</v>
      </c>
      <c r="H122" s="112"/>
    </row>
    <row r="123" spans="1:8" x14ac:dyDescent="0.2">
      <c r="A123" s="1"/>
      <c r="B123" s="1"/>
      <c r="C123" s="12"/>
      <c r="D123" s="1"/>
      <c r="E123" s="1"/>
      <c r="F123" s="1"/>
      <c r="G123" s="1"/>
      <c r="H123" s="112"/>
    </row>
    <row r="124" spans="1:8" x14ac:dyDescent="0.2">
      <c r="A124" s="1"/>
      <c r="B124" s="1"/>
      <c r="C124" s="2" t="s">
        <v>118</v>
      </c>
      <c r="D124" s="1"/>
      <c r="E124" s="1"/>
      <c r="F124" s="1"/>
      <c r="G124" s="1"/>
      <c r="H124" s="112"/>
    </row>
    <row r="125" spans="1:8" x14ac:dyDescent="0.2">
      <c r="A125" s="1"/>
      <c r="B125" s="1"/>
      <c r="C125" s="2" t="s">
        <v>119</v>
      </c>
      <c r="D125" s="1"/>
      <c r="E125" s="1"/>
      <c r="F125" s="1"/>
      <c r="G125" s="1"/>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120</v>
      </c>
      <c r="D128" s="1"/>
      <c r="E128" s="1"/>
      <c r="F128" s="1"/>
      <c r="G128" s="1"/>
      <c r="H128" s="112"/>
    </row>
    <row r="129" spans="1:8" x14ac:dyDescent="0.2">
      <c r="A129" s="1"/>
      <c r="B129" s="1"/>
      <c r="C129" s="2" t="s">
        <v>121</v>
      </c>
      <c r="D129" s="1"/>
      <c r="E129" s="1"/>
      <c r="F129" s="1"/>
      <c r="G129" s="1"/>
      <c r="H129" s="112"/>
    </row>
    <row r="130" spans="1:8" x14ac:dyDescent="0.2">
      <c r="A130" s="1"/>
      <c r="B130" s="1"/>
      <c r="C130" s="2" t="s">
        <v>97</v>
      </c>
      <c r="D130" s="1"/>
      <c r="E130" s="1" t="s">
        <v>98</v>
      </c>
      <c r="F130" s="13">
        <v>0</v>
      </c>
      <c r="G130" s="14">
        <v>0</v>
      </c>
      <c r="H130" s="112"/>
    </row>
    <row r="131" spans="1:8" x14ac:dyDescent="0.2">
      <c r="A131" s="1"/>
      <c r="B131" s="1"/>
      <c r="C131" s="11"/>
      <c r="D131" s="1"/>
      <c r="E131" s="1"/>
      <c r="F131" s="12"/>
      <c r="G131" s="12"/>
      <c r="H131" s="112"/>
    </row>
    <row r="132" spans="1:8" x14ac:dyDescent="0.2">
      <c r="A132" s="1"/>
      <c r="B132" s="1"/>
      <c r="C132" s="11"/>
      <c r="D132" s="1"/>
      <c r="E132" s="1"/>
      <c r="F132" s="12"/>
      <c r="G132" s="12"/>
      <c r="H132" s="112"/>
    </row>
    <row r="133" spans="1:8" ht="25.5" x14ac:dyDescent="0.2">
      <c r="A133" s="1"/>
      <c r="B133" s="1"/>
      <c r="C133" s="2" t="s">
        <v>122</v>
      </c>
      <c r="D133" s="1"/>
      <c r="E133" s="1"/>
      <c r="F133" s="12"/>
      <c r="G133" s="12"/>
      <c r="H133" s="112"/>
    </row>
    <row r="134" spans="1:8" x14ac:dyDescent="0.2">
      <c r="A134" s="1"/>
      <c r="B134" s="1"/>
      <c r="C134" s="2" t="s">
        <v>97</v>
      </c>
      <c r="D134" s="1"/>
      <c r="E134" s="1" t="s">
        <v>98</v>
      </c>
      <c r="F134" s="13">
        <v>0</v>
      </c>
      <c r="G134" s="14">
        <v>0</v>
      </c>
      <c r="H134" s="112"/>
    </row>
    <row r="135" spans="1:8" x14ac:dyDescent="0.2">
      <c r="A135" s="1"/>
      <c r="B135" s="1"/>
      <c r="C135" s="11"/>
      <c r="D135" s="1"/>
      <c r="E135" s="1"/>
      <c r="F135" s="12"/>
      <c r="G135" s="12"/>
      <c r="H135" s="112"/>
    </row>
    <row r="136" spans="1:8" x14ac:dyDescent="0.2">
      <c r="A136" s="1"/>
      <c r="B136" s="4"/>
      <c r="C136" s="4"/>
      <c r="D136" s="2"/>
      <c r="E136" s="1"/>
      <c r="F136" s="4"/>
      <c r="G136" s="8"/>
      <c r="H136" s="112"/>
    </row>
    <row r="137" spans="1:8" x14ac:dyDescent="0.2">
      <c r="A137" s="8"/>
      <c r="B137" s="4"/>
      <c r="C137" s="4" t="s">
        <v>123</v>
      </c>
      <c r="D137" s="4"/>
      <c r="E137" s="8"/>
      <c r="F137" s="6">
        <v>-14.890101100004186</v>
      </c>
      <c r="G137" s="7">
        <v>-5.3569872322546961E-3</v>
      </c>
      <c r="H137" s="112"/>
    </row>
    <row r="138" spans="1:8" x14ac:dyDescent="0.2">
      <c r="A138" s="11"/>
      <c r="B138" s="11"/>
      <c r="C138" s="2" t="s">
        <v>124</v>
      </c>
      <c r="D138" s="15"/>
      <c r="E138" s="15"/>
      <c r="F138" s="9">
        <v>2779.5662850099998</v>
      </c>
      <c r="G138" s="10">
        <v>1.0000000010000001</v>
      </c>
      <c r="H138" s="112"/>
    </row>
    <row r="139" spans="1:8" ht="14.1" customHeight="1" x14ac:dyDescent="0.2">
      <c r="A139" s="16"/>
      <c r="B139" s="16"/>
      <c r="C139" s="16"/>
      <c r="D139" s="17"/>
      <c r="E139" s="17"/>
      <c r="F139" s="17"/>
      <c r="G139" s="17"/>
    </row>
    <row r="140" spans="1:8" ht="14.1" customHeight="1" x14ac:dyDescent="0.2">
      <c r="A140" s="18"/>
      <c r="B140" s="205" t="s">
        <v>98</v>
      </c>
      <c r="C140" s="205"/>
      <c r="D140" s="205"/>
      <c r="E140" s="205"/>
      <c r="F140" s="205"/>
      <c r="G140" s="20"/>
    </row>
    <row r="141" spans="1:8" ht="14.1" customHeight="1" x14ac:dyDescent="0.2">
      <c r="A141" s="18"/>
      <c r="B141" s="205" t="s">
        <v>98</v>
      </c>
      <c r="C141" s="205"/>
      <c r="D141" s="205"/>
      <c r="E141" s="205"/>
      <c r="F141" s="205"/>
      <c r="G141" s="20"/>
    </row>
    <row r="142" spans="1:8" ht="14.1" customHeight="1" x14ac:dyDescent="0.2">
      <c r="A142" s="18"/>
      <c r="B142" s="18"/>
      <c r="C142" s="18"/>
      <c r="D142" s="20"/>
      <c r="E142" s="20"/>
      <c r="F142" s="20"/>
      <c r="G142" s="20"/>
    </row>
    <row r="143" spans="1:8" ht="14.1" customHeight="1" x14ac:dyDescent="0.2">
      <c r="A143" s="18"/>
      <c r="B143" s="203" t="s">
        <v>126</v>
      </c>
      <c r="C143" s="204"/>
      <c r="D143" s="12" t="s">
        <v>98</v>
      </c>
      <c r="E143" s="21"/>
      <c r="F143" s="20"/>
      <c r="G143" s="20"/>
    </row>
    <row r="144" spans="1:8" ht="29.1" customHeight="1" x14ac:dyDescent="0.2">
      <c r="A144" s="18"/>
      <c r="B144" s="198" t="s">
        <v>127</v>
      </c>
      <c r="C144" s="199"/>
      <c r="D144" s="2" t="s">
        <v>128</v>
      </c>
      <c r="E144" s="21"/>
      <c r="F144" s="20"/>
      <c r="G144" s="20"/>
    </row>
    <row r="145" spans="1:15" ht="17.100000000000001" customHeight="1" x14ac:dyDescent="0.2">
      <c r="A145" s="18"/>
      <c r="B145" s="198" t="s">
        <v>129</v>
      </c>
      <c r="C145" s="199"/>
      <c r="D145" s="2" t="s">
        <v>128</v>
      </c>
      <c r="E145" s="21"/>
      <c r="F145" s="20"/>
      <c r="G145" s="20"/>
    </row>
    <row r="146" spans="1:15" ht="17.100000000000001" customHeight="1" x14ac:dyDescent="0.2">
      <c r="A146" s="18"/>
      <c r="B146" s="198" t="s">
        <v>130</v>
      </c>
      <c r="C146" s="199"/>
      <c r="D146" s="12" t="s">
        <v>98</v>
      </c>
      <c r="E146" s="21"/>
      <c r="F146" s="20"/>
      <c r="G146" s="20"/>
    </row>
    <row r="147" spans="1:15" ht="24" customHeight="1" x14ac:dyDescent="0.2">
      <c r="A147" s="22"/>
      <c r="B147" s="23" t="s">
        <v>98</v>
      </c>
      <c r="C147" s="23" t="s">
        <v>131</v>
      </c>
      <c r="D147" s="23" t="s">
        <v>132</v>
      </c>
      <c r="E147" s="22"/>
      <c r="F147" s="22"/>
      <c r="G147" s="22"/>
    </row>
    <row r="148" spans="1:15" ht="18" customHeight="1" x14ac:dyDescent="0.2">
      <c r="A148" s="22"/>
      <c r="B148" s="23" t="s">
        <v>133</v>
      </c>
      <c r="C148" s="23" t="s">
        <v>134</v>
      </c>
      <c r="D148" s="23" t="s">
        <v>135</v>
      </c>
      <c r="E148" s="22"/>
      <c r="F148" s="22"/>
      <c r="G148" s="22"/>
    </row>
    <row r="149" spans="1:15" ht="17.100000000000001" customHeight="1" x14ac:dyDescent="0.2">
      <c r="A149" s="22"/>
      <c r="B149" s="4" t="s">
        <v>136</v>
      </c>
      <c r="C149" s="24">
        <v>17.025300000000001</v>
      </c>
      <c r="D149" s="24">
        <v>17.4999</v>
      </c>
      <c r="E149" s="22"/>
      <c r="F149" s="19"/>
      <c r="G149" s="25"/>
    </row>
    <row r="150" spans="1:15" ht="17.100000000000001" customHeight="1" x14ac:dyDescent="0.2">
      <c r="A150" s="22"/>
      <c r="B150" s="4" t="s">
        <v>980</v>
      </c>
      <c r="C150" s="24">
        <v>16.4406</v>
      </c>
      <c r="D150" s="24">
        <v>16.898900000000001</v>
      </c>
      <c r="E150" s="22"/>
      <c r="F150" s="19"/>
      <c r="G150" s="25"/>
    </row>
    <row r="151" spans="1:15" ht="17.100000000000001" customHeight="1" x14ac:dyDescent="0.2">
      <c r="A151" s="22"/>
      <c r="B151" s="4" t="s">
        <v>137</v>
      </c>
      <c r="C151" s="24">
        <v>16.825700000000001</v>
      </c>
      <c r="D151" s="24">
        <v>17.292999999999999</v>
      </c>
      <c r="E151" s="22"/>
      <c r="F151" s="19"/>
      <c r="G151" s="25"/>
    </row>
    <row r="152" spans="1:15" ht="17.100000000000001" customHeight="1" x14ac:dyDescent="0.2">
      <c r="A152" s="22"/>
      <c r="B152" s="4" t="s">
        <v>981</v>
      </c>
      <c r="C152" s="24">
        <v>16.242000000000001</v>
      </c>
      <c r="D152" s="24">
        <v>16.693000000000001</v>
      </c>
      <c r="E152" s="22"/>
      <c r="F152" s="19"/>
      <c r="G152" s="25"/>
    </row>
    <row r="153" spans="1:15" ht="14.1" customHeight="1" x14ac:dyDescent="0.2">
      <c r="A153" s="22"/>
      <c r="B153" s="22"/>
      <c r="C153" s="22"/>
      <c r="D153" s="22"/>
      <c r="E153" s="22"/>
      <c r="F153" s="22"/>
      <c r="G153" s="22"/>
    </row>
    <row r="154" spans="1:15" ht="17.100000000000001" customHeight="1" x14ac:dyDescent="0.2">
      <c r="A154" s="22"/>
      <c r="B154" s="198" t="s">
        <v>982</v>
      </c>
      <c r="C154" s="199"/>
      <c r="D154" s="91" t="s">
        <v>128</v>
      </c>
      <c r="E154" s="22"/>
      <c r="F154" s="22"/>
      <c r="G154" s="22"/>
    </row>
    <row r="155" spans="1:15" ht="18" customHeight="1" x14ac:dyDescent="0.2">
      <c r="A155" s="22"/>
      <c r="B155" s="26"/>
      <c r="C155" s="26"/>
      <c r="D155" s="27"/>
      <c r="E155" s="22"/>
      <c r="F155" s="22"/>
      <c r="G155" s="22"/>
      <c r="I155" s="113"/>
      <c r="J155" s="113"/>
      <c r="K155" s="113"/>
      <c r="L155" s="113"/>
      <c r="M155" s="113"/>
      <c r="N155" s="113"/>
      <c r="O155" s="113"/>
    </row>
    <row r="156" spans="1:15" s="113" customFormat="1" x14ac:dyDescent="0.2">
      <c r="B156" s="202" t="s">
        <v>984</v>
      </c>
      <c r="C156" s="202"/>
      <c r="D156" s="202"/>
      <c r="E156" s="202"/>
      <c r="F156" s="202"/>
      <c r="I156"/>
      <c r="J156"/>
      <c r="K156"/>
      <c r="L156"/>
      <c r="M156"/>
      <c r="N156"/>
      <c r="O156"/>
    </row>
    <row r="157" spans="1:15" ht="14.1" customHeight="1" x14ac:dyDescent="0.2">
      <c r="A157" s="22"/>
      <c r="B157" s="19"/>
      <c r="C157" s="19"/>
      <c r="D157" s="22"/>
      <c r="E157" s="22"/>
      <c r="F157" s="22"/>
      <c r="G157" s="22"/>
    </row>
    <row r="158" spans="1:15" ht="29.1" customHeight="1" x14ac:dyDescent="0.2">
      <c r="A158" s="22"/>
      <c r="B158" s="198" t="s">
        <v>138</v>
      </c>
      <c r="C158" s="199"/>
      <c r="D158" s="2" t="s">
        <v>128</v>
      </c>
      <c r="E158" s="22"/>
      <c r="F158" s="22"/>
      <c r="G158" s="22"/>
    </row>
    <row r="159" spans="1:15" ht="29.1" customHeight="1" x14ac:dyDescent="0.2">
      <c r="A159" s="22"/>
      <c r="B159" s="198" t="s">
        <v>139</v>
      </c>
      <c r="C159" s="199"/>
      <c r="D159" s="2" t="s">
        <v>128</v>
      </c>
      <c r="E159" s="22"/>
      <c r="F159" s="22"/>
      <c r="G159" s="22"/>
    </row>
    <row r="160" spans="1:15" ht="17.100000000000001" customHeight="1" x14ac:dyDescent="0.2">
      <c r="A160" s="22"/>
      <c r="B160" s="198" t="s">
        <v>140</v>
      </c>
      <c r="C160" s="199"/>
      <c r="D160" s="28">
        <v>0.33953885022933122</v>
      </c>
      <c r="E160" s="22"/>
      <c r="F160" s="19"/>
      <c r="G160" s="25"/>
    </row>
    <row r="161" spans="1:7" ht="17.100000000000001" customHeight="1" x14ac:dyDescent="0.2">
      <c r="A161" s="22"/>
      <c r="B161" s="198" t="s">
        <v>141</v>
      </c>
      <c r="C161" s="199"/>
      <c r="D161" s="2" t="s">
        <v>128</v>
      </c>
      <c r="E161" s="22"/>
      <c r="F161" s="22"/>
      <c r="G161" s="22"/>
    </row>
  </sheetData>
  <mergeCells count="16">
    <mergeCell ref="B161:C161"/>
    <mergeCell ref="B144:C144"/>
    <mergeCell ref="B145:C145"/>
    <mergeCell ref="B146:C146"/>
    <mergeCell ref="B154:C154"/>
    <mergeCell ref="B158:C158"/>
    <mergeCell ref="B159:C159"/>
    <mergeCell ref="B156:F156"/>
    <mergeCell ref="A1:H1"/>
    <mergeCell ref="A2:H2"/>
    <mergeCell ref="A3:H3"/>
    <mergeCell ref="J2:N2"/>
    <mergeCell ref="B160:C160"/>
    <mergeCell ref="B143:C143"/>
    <mergeCell ref="B140:F140"/>
    <mergeCell ref="B141:F141"/>
  </mergeCells>
  <pageMargins left="5.000000074505806E-2" right="5.000000074505806E-2" top="0.30000001192092896" bottom="0.20000000298023224" header="0" footer="0"/>
  <pageSetup paperSize="9"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35"/>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506</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17</v>
      </c>
      <c r="C7" s="4" t="s">
        <v>18</v>
      </c>
      <c r="D7" s="4" t="s">
        <v>19</v>
      </c>
      <c r="E7" s="5">
        <v>19709</v>
      </c>
      <c r="F7" s="6">
        <v>158.07603449999999</v>
      </c>
      <c r="G7" s="7">
        <v>8.5447991000000001E-2</v>
      </c>
      <c r="H7" s="112"/>
    </row>
    <row r="8" spans="1:14" x14ac:dyDescent="0.2">
      <c r="A8" s="3">
        <v>2</v>
      </c>
      <c r="B8" s="4" t="s">
        <v>14</v>
      </c>
      <c r="C8" s="4" t="s">
        <v>15</v>
      </c>
      <c r="D8" s="4" t="s">
        <v>16</v>
      </c>
      <c r="E8" s="5">
        <v>5610</v>
      </c>
      <c r="F8" s="6">
        <v>142.283625</v>
      </c>
      <c r="G8" s="7">
        <v>7.6911405000000002E-2</v>
      </c>
      <c r="H8" s="112"/>
    </row>
    <row r="9" spans="1:14" x14ac:dyDescent="0.2">
      <c r="A9" s="3">
        <v>3</v>
      </c>
      <c r="B9" s="4" t="s">
        <v>414</v>
      </c>
      <c r="C9" s="4" t="s">
        <v>415</v>
      </c>
      <c r="D9" s="4" t="s">
        <v>162</v>
      </c>
      <c r="E9" s="5">
        <v>8300</v>
      </c>
      <c r="F9" s="6">
        <v>138.42325</v>
      </c>
      <c r="G9" s="7">
        <v>7.4824679000000005E-2</v>
      </c>
      <c r="H9" s="112"/>
    </row>
    <row r="10" spans="1:14" x14ac:dyDescent="0.2">
      <c r="A10" s="3">
        <v>4</v>
      </c>
      <c r="B10" s="4" t="s">
        <v>412</v>
      </c>
      <c r="C10" s="4" t="s">
        <v>413</v>
      </c>
      <c r="D10" s="4" t="s">
        <v>19</v>
      </c>
      <c r="E10" s="5">
        <v>7820</v>
      </c>
      <c r="F10" s="6">
        <v>123.77887</v>
      </c>
      <c r="G10" s="7">
        <v>6.6908660999999994E-2</v>
      </c>
      <c r="H10" s="112"/>
    </row>
    <row r="11" spans="1:14" ht="25.5" x14ac:dyDescent="0.2">
      <c r="A11" s="3">
        <v>5</v>
      </c>
      <c r="B11" s="4" t="s">
        <v>416</v>
      </c>
      <c r="C11" s="4" t="s">
        <v>417</v>
      </c>
      <c r="D11" s="4" t="s">
        <v>81</v>
      </c>
      <c r="E11" s="5">
        <v>3376</v>
      </c>
      <c r="F11" s="6">
        <v>96.037071999999995</v>
      </c>
      <c r="G11" s="7">
        <v>5.1912832999999999E-2</v>
      </c>
      <c r="H11" s="112"/>
    </row>
    <row r="12" spans="1:14" x14ac:dyDescent="0.2">
      <c r="A12" s="3">
        <v>6</v>
      </c>
      <c r="B12" s="4" t="s">
        <v>418</v>
      </c>
      <c r="C12" s="4" t="s">
        <v>419</v>
      </c>
      <c r="D12" s="4" t="s">
        <v>19</v>
      </c>
      <c r="E12" s="5">
        <v>16051</v>
      </c>
      <c r="F12" s="6">
        <v>80.600096500000006</v>
      </c>
      <c r="G12" s="7">
        <v>4.3568376999999998E-2</v>
      </c>
      <c r="H12" s="112"/>
    </row>
    <row r="13" spans="1:14" ht="25.5" x14ac:dyDescent="0.2">
      <c r="A13" s="3">
        <v>7</v>
      </c>
      <c r="B13" s="4" t="s">
        <v>326</v>
      </c>
      <c r="C13" s="4" t="s">
        <v>327</v>
      </c>
      <c r="D13" s="4" t="s">
        <v>192</v>
      </c>
      <c r="E13" s="5">
        <v>7963</v>
      </c>
      <c r="F13" s="6">
        <v>67.633740500000002</v>
      </c>
      <c r="G13" s="7">
        <v>3.6559413999999998E-2</v>
      </c>
      <c r="H13" s="112"/>
    </row>
    <row r="14" spans="1:14" x14ac:dyDescent="0.2">
      <c r="A14" s="3">
        <v>8</v>
      </c>
      <c r="B14" s="4" t="s">
        <v>322</v>
      </c>
      <c r="C14" s="4" t="s">
        <v>323</v>
      </c>
      <c r="D14" s="4" t="s">
        <v>19</v>
      </c>
      <c r="E14" s="5">
        <v>8341</v>
      </c>
      <c r="F14" s="6">
        <v>61.890219999999999</v>
      </c>
      <c r="G14" s="7">
        <v>3.3454755000000003E-2</v>
      </c>
      <c r="H14" s="112"/>
    </row>
    <row r="15" spans="1:14" ht="15" x14ac:dyDescent="0.2">
      <c r="A15" s="3">
        <v>9</v>
      </c>
      <c r="B15" s="4" t="s">
        <v>11</v>
      </c>
      <c r="C15" s="4" t="s">
        <v>12</v>
      </c>
      <c r="D15" s="4" t="s">
        <v>13</v>
      </c>
      <c r="E15" s="5">
        <v>3340</v>
      </c>
      <c r="F15" s="6">
        <v>59.00611</v>
      </c>
      <c r="G15" s="7">
        <v>3.1895749000000001E-2</v>
      </c>
      <c r="H15" s="112"/>
      <c r="J15" s="188" t="s">
        <v>1014</v>
      </c>
    </row>
    <row r="16" spans="1:14" ht="25.5" x14ac:dyDescent="0.2">
      <c r="A16" s="3">
        <v>10</v>
      </c>
      <c r="B16" s="4" t="s">
        <v>28</v>
      </c>
      <c r="C16" s="4" t="s">
        <v>29</v>
      </c>
      <c r="D16" s="4" t="s">
        <v>971</v>
      </c>
      <c r="E16" s="5">
        <v>746</v>
      </c>
      <c r="F16" s="6">
        <v>56.964933000000002</v>
      </c>
      <c r="G16" s="7">
        <v>3.0792390999999999E-2</v>
      </c>
      <c r="H16" s="112"/>
    </row>
    <row r="17" spans="1:8" x14ac:dyDescent="0.2">
      <c r="A17" s="3">
        <v>11</v>
      </c>
      <c r="B17" s="4" t="s">
        <v>145</v>
      </c>
      <c r="C17" s="4" t="s">
        <v>146</v>
      </c>
      <c r="D17" s="4" t="s">
        <v>147</v>
      </c>
      <c r="E17" s="5">
        <v>1505</v>
      </c>
      <c r="F17" s="6">
        <v>50.242919999999998</v>
      </c>
      <c r="G17" s="7">
        <v>2.7158807E-2</v>
      </c>
      <c r="H17" s="112"/>
    </row>
    <row r="18" spans="1:8" x14ac:dyDescent="0.2">
      <c r="A18" s="3">
        <v>12</v>
      </c>
      <c r="B18" s="4" t="s">
        <v>22</v>
      </c>
      <c r="C18" s="4" t="s">
        <v>23</v>
      </c>
      <c r="D18" s="4" t="s">
        <v>24</v>
      </c>
      <c r="E18" s="5">
        <v>6757</v>
      </c>
      <c r="F18" s="6">
        <v>46.309099500000002</v>
      </c>
      <c r="G18" s="7">
        <v>2.5032380999999999E-2</v>
      </c>
      <c r="H18" s="112"/>
    </row>
    <row r="19" spans="1:8" x14ac:dyDescent="0.2">
      <c r="A19" s="3">
        <v>13</v>
      </c>
      <c r="B19" s="4" t="s">
        <v>507</v>
      </c>
      <c r="C19" s="4" t="s">
        <v>508</v>
      </c>
      <c r="D19" s="4" t="s">
        <v>78</v>
      </c>
      <c r="E19" s="5">
        <v>9000</v>
      </c>
      <c r="F19" s="6">
        <v>43.533000000000001</v>
      </c>
      <c r="G19" s="7">
        <v>2.3531759999999999E-2</v>
      </c>
      <c r="H19" s="112"/>
    </row>
    <row r="20" spans="1:8" ht="25.5" x14ac:dyDescent="0.2">
      <c r="A20" s="3">
        <v>14</v>
      </c>
      <c r="B20" s="4" t="s">
        <v>509</v>
      </c>
      <c r="C20" s="4" t="s">
        <v>510</v>
      </c>
      <c r="D20" s="4" t="s">
        <v>971</v>
      </c>
      <c r="E20" s="5">
        <v>2750</v>
      </c>
      <c r="F20" s="6">
        <v>42.02825</v>
      </c>
      <c r="G20" s="7">
        <v>2.2718367999999999E-2</v>
      </c>
      <c r="H20" s="112"/>
    </row>
    <row r="21" spans="1:8" x14ac:dyDescent="0.2">
      <c r="A21" s="3">
        <v>15</v>
      </c>
      <c r="B21" s="4" t="s">
        <v>420</v>
      </c>
      <c r="C21" s="4" t="s">
        <v>421</v>
      </c>
      <c r="D21" s="4" t="s">
        <v>973</v>
      </c>
      <c r="E21" s="5">
        <v>3435</v>
      </c>
      <c r="F21" s="6">
        <v>39.349642500000002</v>
      </c>
      <c r="G21" s="7">
        <v>2.1270447000000001E-2</v>
      </c>
      <c r="H21" s="112"/>
    </row>
    <row r="22" spans="1:8" x14ac:dyDescent="0.2">
      <c r="A22" s="3">
        <v>16</v>
      </c>
      <c r="B22" s="4" t="s">
        <v>372</v>
      </c>
      <c r="C22" s="4" t="s">
        <v>373</v>
      </c>
      <c r="D22" s="4" t="s">
        <v>237</v>
      </c>
      <c r="E22" s="5">
        <v>4800</v>
      </c>
      <c r="F22" s="6">
        <v>37.708799999999997</v>
      </c>
      <c r="G22" s="7">
        <v>2.0383490000000001E-2</v>
      </c>
      <c r="H22" s="112"/>
    </row>
    <row r="23" spans="1:8" x14ac:dyDescent="0.2">
      <c r="A23" s="3">
        <v>17</v>
      </c>
      <c r="B23" s="4" t="s">
        <v>376</v>
      </c>
      <c r="C23" s="4" t="s">
        <v>377</v>
      </c>
      <c r="D23" s="4" t="s">
        <v>162</v>
      </c>
      <c r="E23" s="5">
        <v>3252</v>
      </c>
      <c r="F23" s="6">
        <v>37.194749999999999</v>
      </c>
      <c r="G23" s="7">
        <v>2.0105620000000001E-2</v>
      </c>
      <c r="H23" s="112"/>
    </row>
    <row r="24" spans="1:8" x14ac:dyDescent="0.2">
      <c r="A24" s="3">
        <v>18</v>
      </c>
      <c r="B24" s="4" t="s">
        <v>187</v>
      </c>
      <c r="C24" s="4" t="s">
        <v>188</v>
      </c>
      <c r="D24" s="4" t="s">
        <v>189</v>
      </c>
      <c r="E24" s="5">
        <v>16375</v>
      </c>
      <c r="F24" s="6">
        <v>36.942</v>
      </c>
      <c r="G24" s="7">
        <v>1.9968995999999999E-2</v>
      </c>
      <c r="H24" s="112"/>
    </row>
    <row r="25" spans="1:8" x14ac:dyDescent="0.2">
      <c r="A25" s="3">
        <v>19</v>
      </c>
      <c r="B25" s="4" t="s">
        <v>205</v>
      </c>
      <c r="C25" s="4" t="s">
        <v>206</v>
      </c>
      <c r="D25" s="4" t="s">
        <v>975</v>
      </c>
      <c r="E25" s="5">
        <v>4000</v>
      </c>
      <c r="F25" s="6">
        <v>34.654000000000003</v>
      </c>
      <c r="G25" s="7">
        <v>1.8732217999999998E-2</v>
      </c>
      <c r="H25" s="112"/>
    </row>
    <row r="26" spans="1:8" x14ac:dyDescent="0.2">
      <c r="A26" s="3">
        <v>20</v>
      </c>
      <c r="B26" s="4" t="s">
        <v>35</v>
      </c>
      <c r="C26" s="4" t="s">
        <v>36</v>
      </c>
      <c r="D26" s="4" t="s">
        <v>16</v>
      </c>
      <c r="E26" s="5">
        <v>8136</v>
      </c>
      <c r="F26" s="6">
        <v>33.984071999999998</v>
      </c>
      <c r="G26" s="7">
        <v>1.8370088E-2</v>
      </c>
      <c r="H26" s="112"/>
    </row>
    <row r="27" spans="1:8" x14ac:dyDescent="0.2">
      <c r="A27" s="3">
        <v>21</v>
      </c>
      <c r="B27" s="4" t="s">
        <v>452</v>
      </c>
      <c r="C27" s="4" t="s">
        <v>453</v>
      </c>
      <c r="D27" s="4" t="s">
        <v>71</v>
      </c>
      <c r="E27" s="5">
        <v>1421</v>
      </c>
      <c r="F27" s="6">
        <v>33.870245500000003</v>
      </c>
      <c r="G27" s="7">
        <v>1.8308558999999999E-2</v>
      </c>
      <c r="H27" s="112"/>
    </row>
    <row r="28" spans="1:8" x14ac:dyDescent="0.2">
      <c r="A28" s="3">
        <v>22</v>
      </c>
      <c r="B28" s="4" t="s">
        <v>422</v>
      </c>
      <c r="C28" s="4" t="s">
        <v>423</v>
      </c>
      <c r="D28" s="4" t="s">
        <v>162</v>
      </c>
      <c r="E28" s="5">
        <v>969</v>
      </c>
      <c r="F28" s="6">
        <v>32.924197499999998</v>
      </c>
      <c r="G28" s="7">
        <v>1.7797172999999999E-2</v>
      </c>
      <c r="H28" s="112"/>
    </row>
    <row r="29" spans="1:8" x14ac:dyDescent="0.2">
      <c r="A29" s="3">
        <v>23</v>
      </c>
      <c r="B29" s="4" t="s">
        <v>445</v>
      </c>
      <c r="C29" s="4" t="s">
        <v>446</v>
      </c>
      <c r="D29" s="4" t="s">
        <v>19</v>
      </c>
      <c r="E29" s="5">
        <v>1570</v>
      </c>
      <c r="F29" s="6">
        <v>31.889054999999999</v>
      </c>
      <c r="G29" s="7">
        <v>1.7237626999999998E-2</v>
      </c>
      <c r="H29" s="112"/>
    </row>
    <row r="30" spans="1:8" x14ac:dyDescent="0.2">
      <c r="A30" s="3">
        <v>24</v>
      </c>
      <c r="B30" s="4" t="s">
        <v>320</v>
      </c>
      <c r="C30" s="4" t="s">
        <v>321</v>
      </c>
      <c r="D30" s="4" t="s">
        <v>27</v>
      </c>
      <c r="E30" s="5">
        <v>3462</v>
      </c>
      <c r="F30" s="6">
        <v>31.009134</v>
      </c>
      <c r="G30" s="7">
        <v>1.6761985E-2</v>
      </c>
      <c r="H30" s="112"/>
    </row>
    <row r="31" spans="1:8" ht="25.5" x14ac:dyDescent="0.2">
      <c r="A31" s="3">
        <v>25</v>
      </c>
      <c r="B31" s="4" t="s">
        <v>443</v>
      </c>
      <c r="C31" s="4" t="s">
        <v>444</v>
      </c>
      <c r="D31" s="4" t="s">
        <v>192</v>
      </c>
      <c r="E31" s="5">
        <v>12606</v>
      </c>
      <c r="F31" s="6">
        <v>28.136592</v>
      </c>
      <c r="G31" s="7">
        <v>1.5209233000000001E-2</v>
      </c>
      <c r="H31" s="112"/>
    </row>
    <row r="32" spans="1:8" x14ac:dyDescent="0.2">
      <c r="A32" s="3">
        <v>26</v>
      </c>
      <c r="B32" s="4" t="s">
        <v>343</v>
      </c>
      <c r="C32" s="4" t="s">
        <v>344</v>
      </c>
      <c r="D32" s="4" t="s">
        <v>53</v>
      </c>
      <c r="E32" s="5">
        <v>6000</v>
      </c>
      <c r="F32" s="6">
        <v>25.038</v>
      </c>
      <c r="G32" s="7">
        <v>1.3534289E-2</v>
      </c>
      <c r="H32" s="112"/>
    </row>
    <row r="33" spans="1:8" x14ac:dyDescent="0.2">
      <c r="A33" s="3">
        <v>27</v>
      </c>
      <c r="B33" s="4" t="s">
        <v>337</v>
      </c>
      <c r="C33" s="4" t="s">
        <v>338</v>
      </c>
      <c r="D33" s="4" t="s">
        <v>19</v>
      </c>
      <c r="E33" s="5">
        <v>25574</v>
      </c>
      <c r="F33" s="6">
        <v>24.934650000000001</v>
      </c>
      <c r="G33" s="7">
        <v>1.3478423999999999E-2</v>
      </c>
      <c r="H33" s="112"/>
    </row>
    <row r="34" spans="1:8" x14ac:dyDescent="0.2">
      <c r="A34" s="3">
        <v>28</v>
      </c>
      <c r="B34" s="4" t="s">
        <v>316</v>
      </c>
      <c r="C34" s="4" t="s">
        <v>317</v>
      </c>
      <c r="D34" s="4" t="s">
        <v>19</v>
      </c>
      <c r="E34" s="5">
        <v>25000</v>
      </c>
      <c r="F34" s="6">
        <v>24.362500000000001</v>
      </c>
      <c r="G34" s="7">
        <v>1.3169148E-2</v>
      </c>
      <c r="H34" s="112"/>
    </row>
    <row r="35" spans="1:8" x14ac:dyDescent="0.2">
      <c r="A35" s="3">
        <v>29</v>
      </c>
      <c r="B35" s="4" t="s">
        <v>358</v>
      </c>
      <c r="C35" s="4" t="s">
        <v>359</v>
      </c>
      <c r="D35" s="4" t="s">
        <v>50</v>
      </c>
      <c r="E35" s="5">
        <v>3551</v>
      </c>
      <c r="F35" s="6">
        <v>23.262601</v>
      </c>
      <c r="G35" s="7">
        <v>1.2574597999999999E-2</v>
      </c>
      <c r="H35" s="112"/>
    </row>
    <row r="36" spans="1:8" x14ac:dyDescent="0.2">
      <c r="A36" s="3">
        <v>30</v>
      </c>
      <c r="B36" s="4" t="s">
        <v>428</v>
      </c>
      <c r="C36" s="4" t="s">
        <v>429</v>
      </c>
      <c r="D36" s="4" t="s">
        <v>186</v>
      </c>
      <c r="E36" s="5">
        <v>2650</v>
      </c>
      <c r="F36" s="6">
        <v>21.067499999999999</v>
      </c>
      <c r="G36" s="7">
        <v>1.1388036000000001E-2</v>
      </c>
      <c r="H36" s="112"/>
    </row>
    <row r="37" spans="1:8" x14ac:dyDescent="0.2">
      <c r="A37" s="3">
        <v>31</v>
      </c>
      <c r="B37" s="4" t="s">
        <v>402</v>
      </c>
      <c r="C37" s="4" t="s">
        <v>403</v>
      </c>
      <c r="D37" s="4" t="s">
        <v>334</v>
      </c>
      <c r="E37" s="5">
        <v>7968</v>
      </c>
      <c r="F37" s="6">
        <v>20.955839999999998</v>
      </c>
      <c r="G37" s="7">
        <v>1.1327678000000001E-2</v>
      </c>
      <c r="H37" s="112"/>
    </row>
    <row r="38" spans="1:8" ht="25.5" x14ac:dyDescent="0.2">
      <c r="A38" s="3">
        <v>32</v>
      </c>
      <c r="B38" s="4" t="s">
        <v>400</v>
      </c>
      <c r="C38" s="4" t="s">
        <v>401</v>
      </c>
      <c r="D38" s="4" t="s">
        <v>192</v>
      </c>
      <c r="E38" s="5">
        <v>2500</v>
      </c>
      <c r="F38" s="6">
        <v>20.237500000000001</v>
      </c>
      <c r="G38" s="7">
        <v>1.0939379000000001E-2</v>
      </c>
      <c r="H38" s="112"/>
    </row>
    <row r="39" spans="1:8" x14ac:dyDescent="0.2">
      <c r="A39" s="3">
        <v>33</v>
      </c>
      <c r="B39" s="4" t="s">
        <v>433</v>
      </c>
      <c r="C39" s="4" t="s">
        <v>434</v>
      </c>
      <c r="D39" s="4" t="s">
        <v>53</v>
      </c>
      <c r="E39" s="5">
        <v>1501</v>
      </c>
      <c r="F39" s="6">
        <v>19.752409499999999</v>
      </c>
      <c r="G39" s="7">
        <v>1.0677163999999999E-2</v>
      </c>
      <c r="H39" s="112"/>
    </row>
    <row r="40" spans="1:8" x14ac:dyDescent="0.2">
      <c r="A40" s="3">
        <v>34</v>
      </c>
      <c r="B40" s="4" t="s">
        <v>456</v>
      </c>
      <c r="C40" s="4" t="s">
        <v>457</v>
      </c>
      <c r="D40" s="4" t="s">
        <v>186</v>
      </c>
      <c r="E40" s="5">
        <v>2158</v>
      </c>
      <c r="F40" s="6">
        <v>19.530978999999999</v>
      </c>
      <c r="G40" s="7">
        <v>1.0557469999999999E-2</v>
      </c>
      <c r="H40" s="112"/>
    </row>
    <row r="41" spans="1:8" ht="25.5" x14ac:dyDescent="0.2">
      <c r="A41" s="3">
        <v>35</v>
      </c>
      <c r="B41" s="4" t="s">
        <v>424</v>
      </c>
      <c r="C41" s="4" t="s">
        <v>425</v>
      </c>
      <c r="D41" s="4" t="s">
        <v>192</v>
      </c>
      <c r="E41" s="5">
        <v>788</v>
      </c>
      <c r="F41" s="6">
        <v>18.858021999999998</v>
      </c>
      <c r="G41" s="7">
        <v>1.0193703E-2</v>
      </c>
      <c r="H41" s="112"/>
    </row>
    <row r="42" spans="1:8" x14ac:dyDescent="0.2">
      <c r="A42" s="3">
        <v>36</v>
      </c>
      <c r="B42" s="4" t="s">
        <v>90</v>
      </c>
      <c r="C42" s="4" t="s">
        <v>91</v>
      </c>
      <c r="D42" s="4" t="s">
        <v>27</v>
      </c>
      <c r="E42" s="5">
        <v>248</v>
      </c>
      <c r="F42" s="6">
        <v>18.356339999999999</v>
      </c>
      <c r="G42" s="7">
        <v>9.922518E-3</v>
      </c>
      <c r="H42" s="112"/>
    </row>
    <row r="43" spans="1:8" x14ac:dyDescent="0.2">
      <c r="A43" s="3">
        <v>37</v>
      </c>
      <c r="B43" s="4" t="s">
        <v>426</v>
      </c>
      <c r="C43" s="4" t="s">
        <v>427</v>
      </c>
      <c r="D43" s="4" t="s">
        <v>162</v>
      </c>
      <c r="E43" s="5">
        <v>2582</v>
      </c>
      <c r="F43" s="6">
        <v>16.699085</v>
      </c>
      <c r="G43" s="7">
        <v>9.0266889999999992E-3</v>
      </c>
      <c r="H43" s="112"/>
    </row>
    <row r="44" spans="1:8" x14ac:dyDescent="0.2">
      <c r="A44" s="3">
        <v>38</v>
      </c>
      <c r="B44" s="4" t="s">
        <v>59</v>
      </c>
      <c r="C44" s="4" t="s">
        <v>60</v>
      </c>
      <c r="D44" s="4" t="s">
        <v>61</v>
      </c>
      <c r="E44" s="5">
        <v>10893</v>
      </c>
      <c r="F44" s="6">
        <v>16.214230499999999</v>
      </c>
      <c r="G44" s="7">
        <v>8.7646010000000003E-3</v>
      </c>
      <c r="H44" s="112"/>
    </row>
    <row r="45" spans="1:8" x14ac:dyDescent="0.2">
      <c r="A45" s="3">
        <v>39</v>
      </c>
      <c r="B45" s="4" t="s">
        <v>345</v>
      </c>
      <c r="C45" s="4" t="s">
        <v>346</v>
      </c>
      <c r="D45" s="4" t="s">
        <v>186</v>
      </c>
      <c r="E45" s="5">
        <v>280</v>
      </c>
      <c r="F45" s="6">
        <v>10.36056</v>
      </c>
      <c r="G45" s="7">
        <v>5.6004000000000002E-3</v>
      </c>
      <c r="H45" s="112"/>
    </row>
    <row r="46" spans="1:8" ht="25.5" x14ac:dyDescent="0.2">
      <c r="A46" s="3">
        <v>40</v>
      </c>
      <c r="B46" s="4" t="s">
        <v>447</v>
      </c>
      <c r="C46" s="70" t="s">
        <v>1030</v>
      </c>
      <c r="D46" s="40" t="s">
        <v>24</v>
      </c>
      <c r="E46" s="5">
        <v>482</v>
      </c>
      <c r="F46" s="6">
        <v>1.2324257999999999</v>
      </c>
      <c r="G46" s="7">
        <v>6.6618799999999996E-4</v>
      </c>
      <c r="H46" s="112"/>
    </row>
    <row r="47" spans="1:8" x14ac:dyDescent="0.2">
      <c r="A47" s="1"/>
      <c r="B47" s="1"/>
      <c r="C47" s="2" t="s">
        <v>97</v>
      </c>
      <c r="D47" s="1"/>
      <c r="E47" s="1" t="s">
        <v>98</v>
      </c>
      <c r="F47" s="9">
        <v>1825.3323522999999</v>
      </c>
      <c r="G47" s="10">
        <v>0.98668329200000005</v>
      </c>
      <c r="H47" s="112"/>
    </row>
    <row r="48" spans="1:8" x14ac:dyDescent="0.2">
      <c r="A48" s="1"/>
      <c r="B48" s="1"/>
      <c r="C48" s="11"/>
      <c r="D48" s="1"/>
      <c r="E48" s="1"/>
      <c r="F48" s="12"/>
      <c r="G48" s="12"/>
      <c r="H48" s="112"/>
    </row>
    <row r="49" spans="1:8" x14ac:dyDescent="0.2">
      <c r="A49" s="1"/>
      <c r="B49" s="1"/>
      <c r="C49" s="2" t="s">
        <v>99</v>
      </c>
      <c r="D49" s="1"/>
      <c r="E49" s="1"/>
      <c r="F49" s="1"/>
      <c r="G49" s="1"/>
      <c r="H49" s="112"/>
    </row>
    <row r="50" spans="1:8" x14ac:dyDescent="0.2">
      <c r="A50" s="1"/>
      <c r="B50" s="1"/>
      <c r="C50" s="2" t="s">
        <v>97</v>
      </c>
      <c r="D50" s="1"/>
      <c r="E50" s="1" t="s">
        <v>98</v>
      </c>
      <c r="F50" s="13">
        <v>0</v>
      </c>
      <c r="G50" s="14">
        <v>0</v>
      </c>
      <c r="H50" s="112"/>
    </row>
    <row r="51" spans="1:8" x14ac:dyDescent="0.2">
      <c r="A51" s="1"/>
      <c r="B51" s="1"/>
      <c r="C51" s="11"/>
      <c r="D51" s="1"/>
      <c r="E51" s="1"/>
      <c r="F51" s="12"/>
      <c r="G51" s="12"/>
      <c r="H51" s="112"/>
    </row>
    <row r="52" spans="1:8" x14ac:dyDescent="0.2">
      <c r="A52" s="1"/>
      <c r="B52" s="1"/>
      <c r="C52" s="2" t="s">
        <v>100</v>
      </c>
      <c r="D52" s="1"/>
      <c r="E52" s="1"/>
      <c r="F52" s="1"/>
      <c r="G52" s="1"/>
      <c r="H52" s="112"/>
    </row>
    <row r="53" spans="1:8" x14ac:dyDescent="0.2">
      <c r="A53" s="1"/>
      <c r="B53" s="1"/>
      <c r="C53" s="2" t="s">
        <v>97</v>
      </c>
      <c r="D53" s="1"/>
      <c r="E53" s="1" t="s">
        <v>98</v>
      </c>
      <c r="F53" s="13">
        <v>0</v>
      </c>
      <c r="G53" s="14">
        <v>0</v>
      </c>
      <c r="H53" s="112"/>
    </row>
    <row r="54" spans="1:8" x14ac:dyDescent="0.2">
      <c r="A54" s="1"/>
      <c r="B54" s="1"/>
      <c r="C54" s="11"/>
      <c r="D54" s="1"/>
      <c r="E54" s="1"/>
      <c r="F54" s="12"/>
      <c r="G54" s="12"/>
      <c r="H54" s="112"/>
    </row>
    <row r="55" spans="1:8" x14ac:dyDescent="0.2">
      <c r="A55" s="1"/>
      <c r="B55" s="1"/>
      <c r="C55" s="2" t="s">
        <v>101</v>
      </c>
      <c r="D55" s="1"/>
      <c r="E55" s="1"/>
      <c r="F55" s="1"/>
      <c r="G55" s="1"/>
      <c r="H55" s="112"/>
    </row>
    <row r="56" spans="1:8" x14ac:dyDescent="0.2">
      <c r="A56" s="1"/>
      <c r="B56" s="1"/>
      <c r="C56" s="2" t="s">
        <v>97</v>
      </c>
      <c r="D56" s="1"/>
      <c r="E56" s="1" t="s">
        <v>98</v>
      </c>
      <c r="F56" s="13">
        <v>0</v>
      </c>
      <c r="G56" s="14">
        <v>0</v>
      </c>
      <c r="H56" s="112"/>
    </row>
    <row r="57" spans="1:8" x14ac:dyDescent="0.2">
      <c r="A57" s="1"/>
      <c r="B57" s="1"/>
      <c r="C57" s="11"/>
      <c r="D57" s="1"/>
      <c r="E57" s="1"/>
      <c r="F57" s="12"/>
      <c r="G57" s="12"/>
      <c r="H57" s="112"/>
    </row>
    <row r="58" spans="1:8" x14ac:dyDescent="0.2">
      <c r="A58" s="1"/>
      <c r="B58" s="1"/>
      <c r="C58" s="2" t="s">
        <v>102</v>
      </c>
      <c r="D58" s="1"/>
      <c r="E58" s="1"/>
      <c r="F58" s="12"/>
      <c r="G58" s="12"/>
      <c r="H58" s="112"/>
    </row>
    <row r="59" spans="1:8" x14ac:dyDescent="0.2">
      <c r="A59" s="1"/>
      <c r="B59" s="1"/>
      <c r="C59" s="2" t="s">
        <v>97</v>
      </c>
      <c r="D59" s="1"/>
      <c r="E59" s="1" t="s">
        <v>98</v>
      </c>
      <c r="F59" s="13">
        <v>0</v>
      </c>
      <c r="G59" s="14">
        <v>0</v>
      </c>
      <c r="H59" s="112"/>
    </row>
    <row r="60" spans="1:8" x14ac:dyDescent="0.2">
      <c r="A60" s="1"/>
      <c r="B60" s="1"/>
      <c r="C60" s="11"/>
      <c r="D60" s="1"/>
      <c r="E60" s="1"/>
      <c r="F60" s="12"/>
      <c r="G60" s="12"/>
      <c r="H60" s="112"/>
    </row>
    <row r="61" spans="1:8" x14ac:dyDescent="0.2">
      <c r="A61" s="1"/>
      <c r="B61" s="1"/>
      <c r="C61" s="2" t="s">
        <v>103</v>
      </c>
      <c r="D61" s="1"/>
      <c r="E61" s="1"/>
      <c r="F61" s="12"/>
      <c r="G61" s="12"/>
      <c r="H61" s="112"/>
    </row>
    <row r="62" spans="1:8" x14ac:dyDescent="0.2">
      <c r="A62" s="1"/>
      <c r="B62" s="1"/>
      <c r="C62" s="2" t="s">
        <v>97</v>
      </c>
      <c r="D62" s="1"/>
      <c r="E62" s="1" t="s">
        <v>98</v>
      </c>
      <c r="F62" s="13">
        <v>0</v>
      </c>
      <c r="G62" s="14">
        <v>0</v>
      </c>
      <c r="H62" s="112"/>
    </row>
    <row r="63" spans="1:8" x14ac:dyDescent="0.2">
      <c r="A63" s="1"/>
      <c r="B63" s="1"/>
      <c r="C63" s="11"/>
      <c r="D63" s="1"/>
      <c r="E63" s="1"/>
      <c r="F63" s="12"/>
      <c r="G63" s="12"/>
      <c r="H63" s="112"/>
    </row>
    <row r="64" spans="1:8" x14ac:dyDescent="0.2">
      <c r="A64" s="1"/>
      <c r="B64" s="1"/>
      <c r="C64" s="2" t="s">
        <v>104</v>
      </c>
      <c r="D64" s="1"/>
      <c r="E64" s="1"/>
      <c r="F64" s="9">
        <v>1825.3323522999999</v>
      </c>
      <c r="G64" s="10">
        <v>0.98668329200000005</v>
      </c>
      <c r="H64" s="112"/>
    </row>
    <row r="65" spans="1:8" x14ac:dyDescent="0.2">
      <c r="A65" s="1"/>
      <c r="B65" s="1"/>
      <c r="C65" s="11"/>
      <c r="D65" s="1"/>
      <c r="E65" s="1"/>
      <c r="F65" s="12"/>
      <c r="G65" s="12"/>
      <c r="H65" s="112"/>
    </row>
    <row r="66" spans="1:8" x14ac:dyDescent="0.2">
      <c r="A66" s="1"/>
      <c r="B66" s="1"/>
      <c r="C66" s="2" t="s">
        <v>105</v>
      </c>
      <c r="D66" s="1"/>
      <c r="E66" s="1"/>
      <c r="F66" s="12"/>
      <c r="G66" s="12"/>
      <c r="H66" s="112"/>
    </row>
    <row r="67" spans="1:8" ht="25.5" x14ac:dyDescent="0.2">
      <c r="A67" s="1"/>
      <c r="B67" s="1"/>
      <c r="C67" s="2" t="s">
        <v>10</v>
      </c>
      <c r="D67" s="1"/>
      <c r="E67" s="1"/>
      <c r="F67" s="12"/>
      <c r="G67" s="12"/>
      <c r="H67" s="112"/>
    </row>
    <row r="68" spans="1:8" x14ac:dyDescent="0.2">
      <c r="A68" s="1"/>
      <c r="B68" s="1"/>
      <c r="C68" s="2" t="s">
        <v>97</v>
      </c>
      <c r="D68" s="1"/>
      <c r="E68" s="1" t="s">
        <v>98</v>
      </c>
      <c r="F68" s="13">
        <v>0</v>
      </c>
      <c r="G68" s="14">
        <v>0</v>
      </c>
      <c r="H68" s="112"/>
    </row>
    <row r="69" spans="1:8" x14ac:dyDescent="0.2">
      <c r="A69" s="1"/>
      <c r="B69" s="1"/>
      <c r="C69" s="11"/>
      <c r="D69" s="1"/>
      <c r="E69" s="1"/>
      <c r="F69" s="12"/>
      <c r="G69" s="12"/>
      <c r="H69" s="112"/>
    </row>
    <row r="70" spans="1:8" x14ac:dyDescent="0.2">
      <c r="A70" s="1"/>
      <c r="B70" s="1"/>
      <c r="C70" s="2" t="s">
        <v>106</v>
      </c>
      <c r="D70" s="1"/>
      <c r="E70" s="1"/>
      <c r="F70" s="1"/>
      <c r="G70" s="1"/>
      <c r="H70" s="112"/>
    </row>
    <row r="71" spans="1:8" x14ac:dyDescent="0.2">
      <c r="A71" s="1"/>
      <c r="B71" s="1"/>
      <c r="C71" s="2" t="s">
        <v>97</v>
      </c>
      <c r="D71" s="1"/>
      <c r="E71" s="1" t="s">
        <v>98</v>
      </c>
      <c r="F71" s="13">
        <v>0</v>
      </c>
      <c r="G71" s="14">
        <v>0</v>
      </c>
      <c r="H71" s="112"/>
    </row>
    <row r="72" spans="1:8" x14ac:dyDescent="0.2">
      <c r="A72" s="1"/>
      <c r="B72" s="1"/>
      <c r="C72" s="11"/>
      <c r="D72" s="1"/>
      <c r="E72" s="1"/>
      <c r="F72" s="12"/>
      <c r="G72" s="12"/>
      <c r="H72" s="112"/>
    </row>
    <row r="73" spans="1:8" x14ac:dyDescent="0.2">
      <c r="A73" s="1"/>
      <c r="B73" s="1"/>
      <c r="C73" s="2" t="s">
        <v>107</v>
      </c>
      <c r="D73" s="1"/>
      <c r="E73" s="1"/>
      <c r="F73" s="1"/>
      <c r="G73" s="1"/>
      <c r="H73" s="112"/>
    </row>
    <row r="74" spans="1:8" x14ac:dyDescent="0.2">
      <c r="A74" s="1"/>
      <c r="B74" s="1"/>
      <c r="C74" s="2" t="s">
        <v>97</v>
      </c>
      <c r="D74" s="1"/>
      <c r="E74" s="1" t="s">
        <v>98</v>
      </c>
      <c r="F74" s="13">
        <v>0</v>
      </c>
      <c r="G74" s="14">
        <v>0</v>
      </c>
      <c r="H74" s="112"/>
    </row>
    <row r="75" spans="1:8" x14ac:dyDescent="0.2">
      <c r="A75" s="1"/>
      <c r="B75" s="1"/>
      <c r="C75" s="11"/>
      <c r="D75" s="1"/>
      <c r="E75" s="1"/>
      <c r="F75" s="12"/>
      <c r="G75" s="12"/>
      <c r="H75" s="112"/>
    </row>
    <row r="76" spans="1:8" x14ac:dyDescent="0.2">
      <c r="A76" s="1"/>
      <c r="B76" s="1"/>
      <c r="C76" s="2" t="s">
        <v>108</v>
      </c>
      <c r="D76" s="1"/>
      <c r="E76" s="1"/>
      <c r="F76" s="12"/>
      <c r="G76" s="12"/>
      <c r="H76" s="112"/>
    </row>
    <row r="77" spans="1:8" x14ac:dyDescent="0.2">
      <c r="A77" s="1"/>
      <c r="B77" s="1"/>
      <c r="C77" s="2" t="s">
        <v>97</v>
      </c>
      <c r="D77" s="1"/>
      <c r="E77" s="1" t="s">
        <v>98</v>
      </c>
      <c r="F77" s="13">
        <v>0</v>
      </c>
      <c r="G77" s="14">
        <v>0</v>
      </c>
      <c r="H77" s="112"/>
    </row>
    <row r="78" spans="1:8" x14ac:dyDescent="0.2">
      <c r="A78" s="1"/>
      <c r="B78" s="1"/>
      <c r="C78" s="11"/>
      <c r="D78" s="1"/>
      <c r="E78" s="1"/>
      <c r="F78" s="12"/>
      <c r="G78" s="12"/>
      <c r="H78" s="112"/>
    </row>
    <row r="79" spans="1:8" x14ac:dyDescent="0.2">
      <c r="A79" s="1"/>
      <c r="B79" s="1"/>
      <c r="C79" s="2" t="s">
        <v>109</v>
      </c>
      <c r="D79" s="1"/>
      <c r="E79" s="1"/>
      <c r="F79" s="9">
        <v>0</v>
      </c>
      <c r="G79" s="10">
        <v>0</v>
      </c>
      <c r="H79" s="112"/>
    </row>
    <row r="80" spans="1:8" x14ac:dyDescent="0.2">
      <c r="A80" s="1"/>
      <c r="B80" s="1"/>
      <c r="C80" s="11"/>
      <c r="D80" s="1"/>
      <c r="E80" s="1"/>
      <c r="F80" s="12"/>
      <c r="G80" s="12"/>
      <c r="H80" s="112"/>
    </row>
    <row r="81" spans="1:8" x14ac:dyDescent="0.2">
      <c r="A81" s="1"/>
      <c r="B81" s="1"/>
      <c r="C81" s="2" t="s">
        <v>110</v>
      </c>
      <c r="D81" s="1"/>
      <c r="E81" s="1"/>
      <c r="F81" s="12"/>
      <c r="G81" s="12"/>
      <c r="H81" s="112"/>
    </row>
    <row r="82" spans="1:8" x14ac:dyDescent="0.2">
      <c r="A82" s="1"/>
      <c r="B82" s="1"/>
      <c r="C82" s="2" t="s">
        <v>111</v>
      </c>
      <c r="D82" s="1"/>
      <c r="E82" s="1"/>
      <c r="F82" s="12"/>
      <c r="G82" s="12"/>
      <c r="H82" s="112"/>
    </row>
    <row r="83" spans="1:8" x14ac:dyDescent="0.2">
      <c r="A83" s="1"/>
      <c r="B83" s="1"/>
      <c r="C83" s="2" t="s">
        <v>97</v>
      </c>
      <c r="D83" s="1"/>
      <c r="E83" s="1" t="s">
        <v>98</v>
      </c>
      <c r="F83" s="13">
        <v>0</v>
      </c>
      <c r="G83" s="14">
        <v>0</v>
      </c>
      <c r="H83" s="112"/>
    </row>
    <row r="84" spans="1:8" x14ac:dyDescent="0.2">
      <c r="A84" s="1"/>
      <c r="B84" s="1"/>
      <c r="C84" s="11"/>
      <c r="D84" s="1"/>
      <c r="E84" s="1"/>
      <c r="F84" s="12"/>
      <c r="G84" s="12"/>
      <c r="H84" s="112"/>
    </row>
    <row r="85" spans="1:8" x14ac:dyDescent="0.2">
      <c r="A85" s="1"/>
      <c r="B85" s="1"/>
      <c r="C85" s="2" t="s">
        <v>112</v>
      </c>
      <c r="D85" s="1"/>
      <c r="E85" s="1"/>
      <c r="F85" s="12"/>
      <c r="G85" s="12"/>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113</v>
      </c>
      <c r="D88" s="1"/>
      <c r="E88" s="1"/>
      <c r="F88" s="12"/>
      <c r="G88" s="12"/>
      <c r="H88" s="112"/>
    </row>
    <row r="89" spans="1:8" x14ac:dyDescent="0.2">
      <c r="A89" s="1"/>
      <c r="B89" s="1"/>
      <c r="C89" s="2" t="s">
        <v>97</v>
      </c>
      <c r="D89" s="1"/>
      <c r="E89" s="1" t="s">
        <v>98</v>
      </c>
      <c r="F89" s="13">
        <v>0</v>
      </c>
      <c r="G89" s="14">
        <v>0</v>
      </c>
      <c r="H89" s="112"/>
    </row>
    <row r="90" spans="1:8" x14ac:dyDescent="0.2">
      <c r="A90" s="1"/>
      <c r="B90" s="1"/>
      <c r="C90" s="11"/>
      <c r="D90" s="1"/>
      <c r="E90" s="1"/>
      <c r="F90" s="12"/>
      <c r="G90" s="12"/>
      <c r="H90" s="112"/>
    </row>
    <row r="91" spans="1:8" x14ac:dyDescent="0.2">
      <c r="A91" s="1"/>
      <c r="B91" s="1"/>
      <c r="C91" s="2" t="s">
        <v>114</v>
      </c>
      <c r="D91" s="1"/>
      <c r="E91" s="1"/>
      <c r="F91" s="12"/>
      <c r="G91" s="12"/>
      <c r="H91" s="112"/>
    </row>
    <row r="92" spans="1:8" x14ac:dyDescent="0.2">
      <c r="A92" s="3">
        <v>1</v>
      </c>
      <c r="B92" s="4"/>
      <c r="C92" s="4" t="s">
        <v>115</v>
      </c>
      <c r="D92" s="4"/>
      <c r="E92" s="8"/>
      <c r="F92" s="6">
        <v>6.3602496842873109</v>
      </c>
      <c r="G92" s="7">
        <v>3.4380325780146862E-3</v>
      </c>
      <c r="H92" s="6">
        <v>3.3211324282253978</v>
      </c>
    </row>
    <row r="93" spans="1:8" x14ac:dyDescent="0.2">
      <c r="A93" s="3">
        <v>2</v>
      </c>
      <c r="B93" s="4"/>
      <c r="C93" s="4" t="s">
        <v>116</v>
      </c>
      <c r="D93" s="4"/>
      <c r="E93" s="8"/>
      <c r="F93" s="6">
        <v>2.4984545200004078</v>
      </c>
      <c r="G93" s="7">
        <v>1.3505394380459706E-3</v>
      </c>
      <c r="H93" s="6">
        <v>3.35</v>
      </c>
    </row>
    <row r="94" spans="1:8" x14ac:dyDescent="0.2">
      <c r="A94" s="1"/>
      <c r="B94" s="1"/>
      <c r="C94" s="2" t="s">
        <v>97</v>
      </c>
      <c r="D94" s="1"/>
      <c r="E94" s="1" t="s">
        <v>98</v>
      </c>
      <c r="F94" s="9">
        <v>8.8587042042877187</v>
      </c>
      <c r="G94" s="10">
        <v>4.7885720160606568E-3</v>
      </c>
      <c r="H94" s="112"/>
    </row>
    <row r="95" spans="1:8" x14ac:dyDescent="0.2">
      <c r="A95" s="1"/>
      <c r="B95" s="1"/>
      <c r="C95" s="11"/>
      <c r="D95" s="1"/>
      <c r="E95" s="1"/>
      <c r="F95" s="12"/>
      <c r="G95" s="12"/>
      <c r="H95" s="112"/>
    </row>
    <row r="96" spans="1:8" x14ac:dyDescent="0.2">
      <c r="A96" s="1"/>
      <c r="B96" s="1"/>
      <c r="C96" s="2" t="s">
        <v>117</v>
      </c>
      <c r="D96" s="1"/>
      <c r="E96" s="1"/>
      <c r="F96" s="9">
        <v>8.8587042042877187</v>
      </c>
      <c r="G96" s="10">
        <v>4.7885720160606568E-3</v>
      </c>
      <c r="H96" s="112"/>
    </row>
    <row r="97" spans="1:8" x14ac:dyDescent="0.2">
      <c r="A97" s="1"/>
      <c r="B97" s="1"/>
      <c r="C97" s="12"/>
      <c r="D97" s="1"/>
      <c r="E97" s="1"/>
      <c r="F97" s="1"/>
      <c r="G97" s="1"/>
      <c r="H97" s="112"/>
    </row>
    <row r="98" spans="1:8" x14ac:dyDescent="0.2">
      <c r="A98" s="1"/>
      <c r="B98" s="1"/>
      <c r="C98" s="2" t="s">
        <v>118</v>
      </c>
      <c r="D98" s="1"/>
      <c r="E98" s="1"/>
      <c r="F98" s="1"/>
      <c r="G98" s="1"/>
      <c r="H98" s="112"/>
    </row>
    <row r="99" spans="1:8" x14ac:dyDescent="0.2">
      <c r="A99" s="1"/>
      <c r="B99" s="1"/>
      <c r="C99" s="2" t="s">
        <v>119</v>
      </c>
      <c r="D99" s="1"/>
      <c r="E99" s="1"/>
      <c r="F99" s="1"/>
      <c r="G99" s="1"/>
      <c r="H99" s="112"/>
    </row>
    <row r="100" spans="1:8" x14ac:dyDescent="0.2">
      <c r="A100" s="1"/>
      <c r="B100" s="1"/>
      <c r="C100" s="2" t="s">
        <v>97</v>
      </c>
      <c r="D100" s="1"/>
      <c r="E100" s="1" t="s">
        <v>98</v>
      </c>
      <c r="F100" s="13">
        <v>0</v>
      </c>
      <c r="G100" s="14">
        <v>0</v>
      </c>
      <c r="H100" s="112"/>
    </row>
    <row r="101" spans="1:8" x14ac:dyDescent="0.2">
      <c r="A101" s="1"/>
      <c r="B101" s="1"/>
      <c r="C101" s="11"/>
      <c r="D101" s="1"/>
      <c r="E101" s="1"/>
      <c r="F101" s="12"/>
      <c r="G101" s="12"/>
      <c r="H101" s="112"/>
    </row>
    <row r="102" spans="1:8" x14ac:dyDescent="0.2">
      <c r="A102" s="1"/>
      <c r="B102" s="1"/>
      <c r="C102" s="2" t="s">
        <v>120</v>
      </c>
      <c r="D102" s="1"/>
      <c r="E102" s="1"/>
      <c r="F102" s="1"/>
      <c r="G102" s="1"/>
      <c r="H102" s="112"/>
    </row>
    <row r="103" spans="1:8" x14ac:dyDescent="0.2">
      <c r="A103" s="1"/>
      <c r="B103" s="1"/>
      <c r="C103" s="2" t="s">
        <v>121</v>
      </c>
      <c r="D103" s="1"/>
      <c r="E103" s="1"/>
      <c r="F103" s="1"/>
      <c r="G103" s="1"/>
      <c r="H103" s="112"/>
    </row>
    <row r="104" spans="1:8" x14ac:dyDescent="0.2">
      <c r="A104" s="1"/>
      <c r="B104" s="1"/>
      <c r="C104" s="2" t="s">
        <v>97</v>
      </c>
      <c r="D104" s="1"/>
      <c r="E104" s="1" t="s">
        <v>98</v>
      </c>
      <c r="F104" s="13">
        <v>0</v>
      </c>
      <c r="G104" s="14">
        <v>0</v>
      </c>
      <c r="H104" s="112"/>
    </row>
    <row r="105" spans="1:8" x14ac:dyDescent="0.2">
      <c r="A105" s="1"/>
      <c r="B105" s="1"/>
      <c r="C105" s="11"/>
      <c r="D105" s="1"/>
      <c r="E105" s="1"/>
      <c r="F105" s="12"/>
      <c r="G105" s="12"/>
      <c r="H105" s="112"/>
    </row>
    <row r="106" spans="1:8" x14ac:dyDescent="0.2">
      <c r="A106" s="1"/>
      <c r="B106" s="1"/>
      <c r="C106" s="11"/>
      <c r="D106" s="1"/>
      <c r="E106" s="1"/>
      <c r="F106" s="12"/>
      <c r="G106" s="12"/>
      <c r="H106" s="112"/>
    </row>
    <row r="107" spans="1:8" ht="25.5" x14ac:dyDescent="0.2">
      <c r="A107" s="1"/>
      <c r="B107" s="1"/>
      <c r="C107" s="2" t="s">
        <v>122</v>
      </c>
      <c r="D107" s="1"/>
      <c r="E107" s="1"/>
      <c r="F107" s="12"/>
      <c r="G107" s="12"/>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4"/>
      <c r="C110" s="4"/>
      <c r="D110" s="2"/>
      <c r="E110" s="1"/>
      <c r="F110" s="4"/>
      <c r="G110" s="8"/>
      <c r="H110" s="112"/>
    </row>
    <row r="111" spans="1:8" x14ac:dyDescent="0.2">
      <c r="A111" s="8"/>
      <c r="B111" s="4"/>
      <c r="C111" s="4" t="s">
        <v>123</v>
      </c>
      <c r="D111" s="4"/>
      <c r="E111" s="8"/>
      <c r="F111" s="6">
        <v>15.776858969999591</v>
      </c>
      <c r="G111" s="7">
        <v>8.5281801517324805E-3</v>
      </c>
      <c r="H111" s="112"/>
    </row>
    <row r="112" spans="1:8" x14ac:dyDescent="0.2">
      <c r="A112" s="11"/>
      <c r="B112" s="11"/>
      <c r="C112" s="2" t="s">
        <v>124</v>
      </c>
      <c r="D112" s="15"/>
      <c r="E112" s="15"/>
      <c r="F112" s="9">
        <v>1849.9678347900001</v>
      </c>
      <c r="G112" s="10">
        <v>1.0000000010000001</v>
      </c>
      <c r="H112" s="112"/>
    </row>
    <row r="113" spans="1:7" ht="14.1" customHeight="1" x14ac:dyDescent="0.2">
      <c r="A113" s="16"/>
      <c r="B113" s="16"/>
      <c r="C113" s="16"/>
      <c r="D113" s="17"/>
      <c r="E113" s="17"/>
      <c r="F113" s="17"/>
      <c r="G113" s="17"/>
    </row>
    <row r="114" spans="1:7" ht="14.1" customHeight="1" x14ac:dyDescent="0.2">
      <c r="A114" s="18"/>
      <c r="B114" s="205" t="s">
        <v>98</v>
      </c>
      <c r="C114" s="205"/>
      <c r="D114" s="205"/>
      <c r="E114" s="205"/>
      <c r="F114" s="205"/>
      <c r="G114" s="20"/>
    </row>
    <row r="115" spans="1:7" ht="14.1" customHeight="1" x14ac:dyDescent="0.2">
      <c r="A115" s="18"/>
      <c r="B115" s="205" t="s">
        <v>98</v>
      </c>
      <c r="C115" s="205"/>
      <c r="D115" s="205"/>
      <c r="E115" s="205"/>
      <c r="F115" s="205"/>
      <c r="G115" s="20"/>
    </row>
    <row r="116" spans="1:7" ht="14.1" customHeight="1" x14ac:dyDescent="0.2">
      <c r="A116" s="18"/>
      <c r="B116" s="18"/>
      <c r="C116" s="18"/>
      <c r="D116" s="20"/>
      <c r="E116" s="20"/>
      <c r="F116" s="20"/>
      <c r="G116" s="20"/>
    </row>
    <row r="117" spans="1:7" ht="14.1" customHeight="1" x14ac:dyDescent="0.2">
      <c r="A117" s="18"/>
      <c r="B117" s="203" t="s">
        <v>126</v>
      </c>
      <c r="C117" s="204"/>
      <c r="D117" s="12" t="s">
        <v>98</v>
      </c>
      <c r="E117" s="21"/>
      <c r="F117" s="20"/>
      <c r="G117" s="20"/>
    </row>
    <row r="118" spans="1:7" ht="29.1" customHeight="1" x14ac:dyDescent="0.2">
      <c r="A118" s="18"/>
      <c r="B118" s="198" t="s">
        <v>127</v>
      </c>
      <c r="C118" s="199"/>
      <c r="D118" s="2" t="s">
        <v>128</v>
      </c>
      <c r="E118" s="21"/>
      <c r="F118" s="20"/>
      <c r="G118" s="20"/>
    </row>
    <row r="119" spans="1:7" ht="17.100000000000001" customHeight="1" x14ac:dyDescent="0.2">
      <c r="A119" s="18"/>
      <c r="B119" s="198" t="s">
        <v>129</v>
      </c>
      <c r="C119" s="199"/>
      <c r="D119" s="2" t="s">
        <v>128</v>
      </c>
      <c r="E119" s="21"/>
      <c r="F119" s="20"/>
      <c r="G119" s="20"/>
    </row>
    <row r="120" spans="1:7" ht="17.100000000000001" customHeight="1" x14ac:dyDescent="0.2">
      <c r="A120" s="18"/>
      <c r="B120" s="198" t="s">
        <v>130</v>
      </c>
      <c r="C120" s="199"/>
      <c r="D120" s="12" t="s">
        <v>98</v>
      </c>
      <c r="E120" s="21"/>
      <c r="F120" s="20"/>
      <c r="G120" s="20"/>
    </row>
    <row r="121" spans="1:7" ht="24" customHeight="1" x14ac:dyDescent="0.2">
      <c r="A121" s="22"/>
      <c r="B121" s="23" t="s">
        <v>98</v>
      </c>
      <c r="C121" s="23" t="s">
        <v>131</v>
      </c>
      <c r="D121" s="23" t="s">
        <v>132</v>
      </c>
      <c r="E121" s="22"/>
      <c r="F121" s="22"/>
      <c r="G121" s="22"/>
    </row>
    <row r="122" spans="1:7" ht="18" customHeight="1" x14ac:dyDescent="0.2">
      <c r="A122" s="22"/>
      <c r="B122" s="23" t="s">
        <v>133</v>
      </c>
      <c r="C122" s="23" t="s">
        <v>134</v>
      </c>
      <c r="D122" s="23" t="s">
        <v>135</v>
      </c>
      <c r="E122" s="22"/>
      <c r="F122" s="22"/>
      <c r="G122" s="22"/>
    </row>
    <row r="123" spans="1:7" ht="17.100000000000001" customHeight="1" x14ac:dyDescent="0.2">
      <c r="A123" s="22"/>
      <c r="B123" s="4" t="s">
        <v>136</v>
      </c>
      <c r="C123" s="24">
        <v>21.742899999999999</v>
      </c>
      <c r="D123" s="24">
        <v>21.9955</v>
      </c>
      <c r="E123" s="22"/>
      <c r="F123" s="19"/>
      <c r="G123" s="25"/>
    </row>
    <row r="124" spans="1:7" ht="17.100000000000001" customHeight="1" x14ac:dyDescent="0.2">
      <c r="A124" s="22"/>
      <c r="B124" s="4" t="s">
        <v>980</v>
      </c>
      <c r="C124" s="24">
        <v>18.1127</v>
      </c>
      <c r="D124" s="24">
        <v>18.3231</v>
      </c>
      <c r="E124" s="22"/>
      <c r="F124" s="19"/>
      <c r="G124" s="25"/>
    </row>
    <row r="125" spans="1:7" ht="17.100000000000001" customHeight="1" x14ac:dyDescent="0.2">
      <c r="A125" s="22"/>
      <c r="B125" s="4" t="s">
        <v>137</v>
      </c>
      <c r="C125" s="24">
        <v>21.267499999999998</v>
      </c>
      <c r="D125" s="24">
        <v>21.508099999999999</v>
      </c>
      <c r="E125" s="22"/>
      <c r="F125" s="19"/>
      <c r="G125" s="25"/>
    </row>
    <row r="126" spans="1:7" ht="17.100000000000001" customHeight="1" x14ac:dyDescent="0.2">
      <c r="A126" s="22"/>
      <c r="B126" s="4" t="s">
        <v>981</v>
      </c>
      <c r="C126" s="24">
        <v>17.656199999999998</v>
      </c>
      <c r="D126" s="24">
        <v>17.855899999999998</v>
      </c>
      <c r="E126" s="22"/>
      <c r="F126" s="19"/>
      <c r="G126" s="25"/>
    </row>
    <row r="127" spans="1:7" ht="14.1" customHeight="1" x14ac:dyDescent="0.2">
      <c r="A127" s="22"/>
      <c r="B127" s="22"/>
      <c r="C127" s="22"/>
      <c r="D127" s="22"/>
      <c r="E127" s="22"/>
      <c r="F127" s="22"/>
      <c r="G127" s="22"/>
    </row>
    <row r="128" spans="1:7" ht="17.100000000000001" customHeight="1" x14ac:dyDescent="0.2">
      <c r="A128" s="22"/>
      <c r="B128" s="198" t="s">
        <v>982</v>
      </c>
      <c r="C128" s="199"/>
      <c r="D128" s="91" t="s">
        <v>128</v>
      </c>
      <c r="E128" s="22"/>
      <c r="F128" s="22"/>
      <c r="G128" s="22"/>
    </row>
    <row r="129" spans="1:7" ht="18" customHeight="1" x14ac:dyDescent="0.2">
      <c r="A129" s="22"/>
      <c r="B129" s="26"/>
      <c r="C129" s="26"/>
      <c r="D129" s="27"/>
      <c r="E129" s="22"/>
      <c r="F129" s="22"/>
      <c r="G129" s="22"/>
    </row>
    <row r="130" spans="1:7" s="113" customFormat="1" x14ac:dyDescent="0.2">
      <c r="B130" s="202" t="s">
        <v>984</v>
      </c>
      <c r="C130" s="202"/>
      <c r="D130" s="202"/>
      <c r="E130" s="202"/>
      <c r="F130" s="202"/>
    </row>
    <row r="131" spans="1:7" ht="14.1" customHeight="1" x14ac:dyDescent="0.2">
      <c r="A131" s="22"/>
      <c r="B131" s="19"/>
      <c r="C131" s="19"/>
      <c r="D131" s="22"/>
      <c r="E131" s="22"/>
      <c r="F131" s="22"/>
      <c r="G131" s="22"/>
    </row>
    <row r="132" spans="1:7" ht="29.1" customHeight="1" x14ac:dyDescent="0.2">
      <c r="A132" s="22"/>
      <c r="B132" s="198" t="s">
        <v>138</v>
      </c>
      <c r="C132" s="199"/>
      <c r="D132" s="2" t="s">
        <v>128</v>
      </c>
      <c r="E132" s="22"/>
      <c r="F132" s="22"/>
      <c r="G132" s="22"/>
    </row>
    <row r="133" spans="1:7" ht="29.1" customHeight="1" x14ac:dyDescent="0.2">
      <c r="A133" s="22"/>
      <c r="B133" s="198" t="s">
        <v>139</v>
      </c>
      <c r="C133" s="199"/>
      <c r="D133" s="2" t="s">
        <v>128</v>
      </c>
      <c r="E133" s="22"/>
      <c r="F133" s="22"/>
      <c r="G133" s="22"/>
    </row>
    <row r="134" spans="1:7" ht="17.100000000000001" customHeight="1" x14ac:dyDescent="0.2">
      <c r="A134" s="22"/>
      <c r="B134" s="198" t="s">
        <v>140</v>
      </c>
      <c r="C134" s="199"/>
      <c r="D134" s="28">
        <v>0.22227968077652477</v>
      </c>
      <c r="E134" s="22"/>
      <c r="F134" s="19"/>
      <c r="G134" s="25"/>
    </row>
    <row r="135" spans="1:7" ht="17.100000000000001" customHeight="1" x14ac:dyDescent="0.2">
      <c r="A135" s="22"/>
      <c r="B135" s="198" t="s">
        <v>141</v>
      </c>
      <c r="C135" s="199"/>
      <c r="D135" s="2" t="s">
        <v>128</v>
      </c>
      <c r="E135" s="22"/>
      <c r="F135" s="22"/>
      <c r="G135" s="22"/>
    </row>
  </sheetData>
  <mergeCells count="16">
    <mergeCell ref="B135:C135"/>
    <mergeCell ref="B118:C118"/>
    <mergeCell ref="B119:C119"/>
    <mergeCell ref="B120:C120"/>
    <mergeCell ref="B128:C128"/>
    <mergeCell ref="B132:C132"/>
    <mergeCell ref="B133:C133"/>
    <mergeCell ref="B130:F130"/>
    <mergeCell ref="A1:H1"/>
    <mergeCell ref="A2:H2"/>
    <mergeCell ref="A3:H3"/>
    <mergeCell ref="J2:N2"/>
    <mergeCell ref="B134:C134"/>
    <mergeCell ref="B117:C117"/>
    <mergeCell ref="B114:F114"/>
    <mergeCell ref="B115:F115"/>
  </mergeCells>
  <pageMargins left="5.000000074505806E-2" right="5.000000074505806E-2" top="0.30000001192092896" bottom="0.20000000298023224" header="0" footer="0"/>
  <pageSetup paperSize="9"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3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511</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17</v>
      </c>
      <c r="C7" s="4" t="s">
        <v>18</v>
      </c>
      <c r="D7" s="4" t="s">
        <v>19</v>
      </c>
      <c r="E7" s="5">
        <v>14156</v>
      </c>
      <c r="F7" s="6">
        <v>113.53819799999999</v>
      </c>
      <c r="G7" s="7">
        <v>8.5370700999999993E-2</v>
      </c>
      <c r="H7" s="112"/>
    </row>
    <row r="8" spans="1:14" x14ac:dyDescent="0.2">
      <c r="A8" s="3">
        <v>2</v>
      </c>
      <c r="B8" s="4" t="s">
        <v>414</v>
      </c>
      <c r="C8" s="4" t="s">
        <v>415</v>
      </c>
      <c r="D8" s="4" t="s">
        <v>162</v>
      </c>
      <c r="E8" s="5">
        <v>6220</v>
      </c>
      <c r="F8" s="6">
        <v>103.73405</v>
      </c>
      <c r="G8" s="7">
        <v>7.7998846999999996E-2</v>
      </c>
      <c r="H8" s="112"/>
    </row>
    <row r="9" spans="1:14" x14ac:dyDescent="0.2">
      <c r="A9" s="3">
        <v>3</v>
      </c>
      <c r="B9" s="4" t="s">
        <v>14</v>
      </c>
      <c r="C9" s="4" t="s">
        <v>15</v>
      </c>
      <c r="D9" s="4" t="s">
        <v>16</v>
      </c>
      <c r="E9" s="5">
        <v>4029</v>
      </c>
      <c r="F9" s="6">
        <v>102.1855125</v>
      </c>
      <c r="G9" s="7">
        <v>7.6834482999999995E-2</v>
      </c>
      <c r="H9" s="112"/>
    </row>
    <row r="10" spans="1:14" x14ac:dyDescent="0.2">
      <c r="A10" s="3">
        <v>4</v>
      </c>
      <c r="B10" s="4" t="s">
        <v>412</v>
      </c>
      <c r="C10" s="4" t="s">
        <v>413</v>
      </c>
      <c r="D10" s="4" t="s">
        <v>19</v>
      </c>
      <c r="E10" s="5">
        <v>5620</v>
      </c>
      <c r="F10" s="6">
        <v>88.95617</v>
      </c>
      <c r="G10" s="7">
        <v>6.6887186000000001E-2</v>
      </c>
      <c r="H10" s="112"/>
    </row>
    <row r="11" spans="1:14" ht="25.5" x14ac:dyDescent="0.2">
      <c r="A11" s="3">
        <v>5</v>
      </c>
      <c r="B11" s="4" t="s">
        <v>416</v>
      </c>
      <c r="C11" s="4" t="s">
        <v>417</v>
      </c>
      <c r="D11" s="4" t="s">
        <v>81</v>
      </c>
      <c r="E11" s="5">
        <v>2400</v>
      </c>
      <c r="F11" s="6">
        <v>68.272800000000004</v>
      </c>
      <c r="G11" s="7">
        <v>5.1335117999999999E-2</v>
      </c>
      <c r="H11" s="112"/>
    </row>
    <row r="12" spans="1:14" x14ac:dyDescent="0.2">
      <c r="A12" s="3">
        <v>6</v>
      </c>
      <c r="B12" s="4" t="s">
        <v>418</v>
      </c>
      <c r="C12" s="4" t="s">
        <v>419</v>
      </c>
      <c r="D12" s="4" t="s">
        <v>19</v>
      </c>
      <c r="E12" s="5">
        <v>12121</v>
      </c>
      <c r="F12" s="6">
        <v>60.865601499999997</v>
      </c>
      <c r="G12" s="7">
        <v>4.5765558999999997E-2</v>
      </c>
      <c r="H12" s="112"/>
    </row>
    <row r="13" spans="1:14" ht="25.5" x14ac:dyDescent="0.2">
      <c r="A13" s="3">
        <v>7</v>
      </c>
      <c r="B13" s="4" t="s">
        <v>326</v>
      </c>
      <c r="C13" s="4" t="s">
        <v>327</v>
      </c>
      <c r="D13" s="4" t="s">
        <v>192</v>
      </c>
      <c r="E13" s="5">
        <v>5800</v>
      </c>
      <c r="F13" s="6">
        <v>49.262300000000003</v>
      </c>
      <c r="G13" s="7">
        <v>3.7040900000000002E-2</v>
      </c>
      <c r="H13" s="112"/>
    </row>
    <row r="14" spans="1:14" x14ac:dyDescent="0.2">
      <c r="A14" s="3">
        <v>8</v>
      </c>
      <c r="B14" s="4" t="s">
        <v>322</v>
      </c>
      <c r="C14" s="4" t="s">
        <v>323</v>
      </c>
      <c r="D14" s="4" t="s">
        <v>19</v>
      </c>
      <c r="E14" s="5">
        <v>5742</v>
      </c>
      <c r="F14" s="6">
        <v>42.605640000000001</v>
      </c>
      <c r="G14" s="7">
        <v>3.2035679999999997E-2</v>
      </c>
      <c r="H14" s="112"/>
    </row>
    <row r="15" spans="1:14" ht="15" x14ac:dyDescent="0.2">
      <c r="A15" s="3">
        <v>9</v>
      </c>
      <c r="B15" s="4" t="s">
        <v>11</v>
      </c>
      <c r="C15" s="4" t="s">
        <v>12</v>
      </c>
      <c r="D15" s="4" t="s">
        <v>13</v>
      </c>
      <c r="E15" s="5">
        <v>2403</v>
      </c>
      <c r="F15" s="6">
        <v>42.452599499999998</v>
      </c>
      <c r="G15" s="7">
        <v>3.1920606999999997E-2</v>
      </c>
      <c r="H15" s="112"/>
      <c r="J15" s="188" t="s">
        <v>1014</v>
      </c>
    </row>
    <row r="16" spans="1:14" ht="25.5" x14ac:dyDescent="0.2">
      <c r="A16" s="3">
        <v>10</v>
      </c>
      <c r="B16" s="4" t="s">
        <v>28</v>
      </c>
      <c r="C16" s="4" t="s">
        <v>29</v>
      </c>
      <c r="D16" s="4" t="s">
        <v>971</v>
      </c>
      <c r="E16" s="5">
        <v>539</v>
      </c>
      <c r="F16" s="6">
        <v>41.158309500000001</v>
      </c>
      <c r="G16" s="7">
        <v>3.0947414999999999E-2</v>
      </c>
      <c r="H16" s="112"/>
    </row>
    <row r="17" spans="1:8" x14ac:dyDescent="0.2">
      <c r="A17" s="3">
        <v>11</v>
      </c>
      <c r="B17" s="4" t="s">
        <v>507</v>
      </c>
      <c r="C17" s="4" t="s">
        <v>508</v>
      </c>
      <c r="D17" s="4" t="s">
        <v>78</v>
      </c>
      <c r="E17" s="5">
        <v>8169</v>
      </c>
      <c r="F17" s="6">
        <v>39.513452999999998</v>
      </c>
      <c r="G17" s="7">
        <v>2.9710627999999999E-2</v>
      </c>
      <c r="H17" s="112"/>
    </row>
    <row r="18" spans="1:8" ht="25.5" x14ac:dyDescent="0.2">
      <c r="A18" s="3">
        <v>12</v>
      </c>
      <c r="B18" s="4" t="s">
        <v>509</v>
      </c>
      <c r="C18" s="4" t="s">
        <v>510</v>
      </c>
      <c r="D18" s="4" t="s">
        <v>971</v>
      </c>
      <c r="E18" s="5">
        <v>2456</v>
      </c>
      <c r="F18" s="6">
        <v>37.535048000000003</v>
      </c>
      <c r="G18" s="7">
        <v>2.8223042E-2</v>
      </c>
      <c r="H18" s="112"/>
    </row>
    <row r="19" spans="1:8" x14ac:dyDescent="0.2">
      <c r="A19" s="3">
        <v>13</v>
      </c>
      <c r="B19" s="4" t="s">
        <v>145</v>
      </c>
      <c r="C19" s="4" t="s">
        <v>146</v>
      </c>
      <c r="D19" s="4" t="s">
        <v>147</v>
      </c>
      <c r="E19" s="5">
        <v>1104</v>
      </c>
      <c r="F19" s="6">
        <v>36.855936</v>
      </c>
      <c r="G19" s="7">
        <v>2.771241E-2</v>
      </c>
      <c r="H19" s="112"/>
    </row>
    <row r="20" spans="1:8" x14ac:dyDescent="0.2">
      <c r="A20" s="3">
        <v>14</v>
      </c>
      <c r="B20" s="4" t="s">
        <v>22</v>
      </c>
      <c r="C20" s="4" t="s">
        <v>23</v>
      </c>
      <c r="D20" s="4" t="s">
        <v>24</v>
      </c>
      <c r="E20" s="5">
        <v>4918</v>
      </c>
      <c r="F20" s="6">
        <v>33.705513000000003</v>
      </c>
      <c r="G20" s="7">
        <v>2.5343569999999999E-2</v>
      </c>
      <c r="H20" s="112"/>
    </row>
    <row r="21" spans="1:8" x14ac:dyDescent="0.2">
      <c r="A21" s="3">
        <v>15</v>
      </c>
      <c r="B21" s="4" t="s">
        <v>372</v>
      </c>
      <c r="C21" s="4" t="s">
        <v>373</v>
      </c>
      <c r="D21" s="4" t="s">
        <v>237</v>
      </c>
      <c r="E21" s="5">
        <v>4040</v>
      </c>
      <c r="F21" s="6">
        <v>31.738240000000001</v>
      </c>
      <c r="G21" s="7">
        <v>2.3864354000000001E-2</v>
      </c>
      <c r="H21" s="112"/>
    </row>
    <row r="22" spans="1:8" x14ac:dyDescent="0.2">
      <c r="A22" s="3">
        <v>16</v>
      </c>
      <c r="B22" s="4" t="s">
        <v>205</v>
      </c>
      <c r="C22" s="4" t="s">
        <v>206</v>
      </c>
      <c r="D22" s="4" t="s">
        <v>975</v>
      </c>
      <c r="E22" s="5">
        <v>3606</v>
      </c>
      <c r="F22" s="6">
        <v>31.240580999999999</v>
      </c>
      <c r="G22" s="7">
        <v>2.3490159E-2</v>
      </c>
      <c r="H22" s="112"/>
    </row>
    <row r="23" spans="1:8" x14ac:dyDescent="0.2">
      <c r="A23" s="3">
        <v>17</v>
      </c>
      <c r="B23" s="4" t="s">
        <v>376</v>
      </c>
      <c r="C23" s="4" t="s">
        <v>377</v>
      </c>
      <c r="D23" s="4" t="s">
        <v>162</v>
      </c>
      <c r="E23" s="5">
        <v>2354</v>
      </c>
      <c r="F23" s="6">
        <v>26.923874999999999</v>
      </c>
      <c r="G23" s="7">
        <v>2.0244377000000001E-2</v>
      </c>
      <c r="H23" s="112"/>
    </row>
    <row r="24" spans="1:8" x14ac:dyDescent="0.2">
      <c r="A24" s="3">
        <v>18</v>
      </c>
      <c r="B24" s="4" t="s">
        <v>445</v>
      </c>
      <c r="C24" s="4" t="s">
        <v>446</v>
      </c>
      <c r="D24" s="4" t="s">
        <v>19</v>
      </c>
      <c r="E24" s="5">
        <v>1305</v>
      </c>
      <c r="F24" s="6">
        <v>26.506507500000001</v>
      </c>
      <c r="G24" s="7">
        <v>1.9930553E-2</v>
      </c>
      <c r="H24" s="112"/>
    </row>
    <row r="25" spans="1:8" x14ac:dyDescent="0.2">
      <c r="A25" s="3">
        <v>19</v>
      </c>
      <c r="B25" s="4" t="s">
        <v>420</v>
      </c>
      <c r="C25" s="4" t="s">
        <v>421</v>
      </c>
      <c r="D25" s="4" t="s">
        <v>973</v>
      </c>
      <c r="E25" s="5">
        <v>2300</v>
      </c>
      <c r="F25" s="6">
        <v>26.347650000000002</v>
      </c>
      <c r="G25" s="7">
        <v>1.9811107000000001E-2</v>
      </c>
      <c r="H25" s="112"/>
    </row>
    <row r="26" spans="1:8" x14ac:dyDescent="0.2">
      <c r="A26" s="3">
        <v>20</v>
      </c>
      <c r="B26" s="4" t="s">
        <v>35</v>
      </c>
      <c r="C26" s="4" t="s">
        <v>36</v>
      </c>
      <c r="D26" s="4" t="s">
        <v>16</v>
      </c>
      <c r="E26" s="5">
        <v>6145</v>
      </c>
      <c r="F26" s="6">
        <v>25.667665</v>
      </c>
      <c r="G26" s="7">
        <v>1.9299818E-2</v>
      </c>
      <c r="H26" s="112"/>
    </row>
    <row r="27" spans="1:8" x14ac:dyDescent="0.2">
      <c r="A27" s="3">
        <v>21</v>
      </c>
      <c r="B27" s="4" t="s">
        <v>320</v>
      </c>
      <c r="C27" s="4" t="s">
        <v>321</v>
      </c>
      <c r="D27" s="4" t="s">
        <v>27</v>
      </c>
      <c r="E27" s="5">
        <v>2788</v>
      </c>
      <c r="F27" s="6">
        <v>24.972116</v>
      </c>
      <c r="G27" s="7">
        <v>1.8776826E-2</v>
      </c>
      <c r="H27" s="112"/>
    </row>
    <row r="28" spans="1:8" x14ac:dyDescent="0.2">
      <c r="A28" s="3">
        <v>22</v>
      </c>
      <c r="B28" s="4" t="s">
        <v>187</v>
      </c>
      <c r="C28" s="4" t="s">
        <v>188</v>
      </c>
      <c r="D28" s="4" t="s">
        <v>189</v>
      </c>
      <c r="E28" s="5">
        <v>11000</v>
      </c>
      <c r="F28" s="6">
        <v>24.815999999999999</v>
      </c>
      <c r="G28" s="7">
        <v>1.8659440999999999E-2</v>
      </c>
      <c r="H28" s="112"/>
    </row>
    <row r="29" spans="1:8" x14ac:dyDescent="0.2">
      <c r="A29" s="3">
        <v>23</v>
      </c>
      <c r="B29" s="4" t="s">
        <v>422</v>
      </c>
      <c r="C29" s="4" t="s">
        <v>423</v>
      </c>
      <c r="D29" s="4" t="s">
        <v>162</v>
      </c>
      <c r="E29" s="5">
        <v>729</v>
      </c>
      <c r="F29" s="6">
        <v>24.7695975</v>
      </c>
      <c r="G29" s="7">
        <v>1.862455E-2</v>
      </c>
      <c r="H29" s="112"/>
    </row>
    <row r="30" spans="1:8" x14ac:dyDescent="0.2">
      <c r="A30" s="3">
        <v>24</v>
      </c>
      <c r="B30" s="4" t="s">
        <v>452</v>
      </c>
      <c r="C30" s="4" t="s">
        <v>453</v>
      </c>
      <c r="D30" s="4" t="s">
        <v>71</v>
      </c>
      <c r="E30" s="5">
        <v>1032</v>
      </c>
      <c r="F30" s="6">
        <v>24.598236</v>
      </c>
      <c r="G30" s="7">
        <v>1.8495701999999999E-2</v>
      </c>
      <c r="H30" s="112"/>
    </row>
    <row r="31" spans="1:8" x14ac:dyDescent="0.2">
      <c r="A31" s="3">
        <v>25</v>
      </c>
      <c r="B31" s="4" t="s">
        <v>316</v>
      </c>
      <c r="C31" s="4" t="s">
        <v>317</v>
      </c>
      <c r="D31" s="4" t="s">
        <v>19</v>
      </c>
      <c r="E31" s="5">
        <v>22387</v>
      </c>
      <c r="F31" s="6">
        <v>21.816131500000001</v>
      </c>
      <c r="G31" s="7">
        <v>1.6403805E-2</v>
      </c>
      <c r="H31" s="112"/>
    </row>
    <row r="32" spans="1:8" ht="25.5" x14ac:dyDescent="0.2">
      <c r="A32" s="3">
        <v>26</v>
      </c>
      <c r="B32" s="4" t="s">
        <v>443</v>
      </c>
      <c r="C32" s="4" t="s">
        <v>444</v>
      </c>
      <c r="D32" s="4" t="s">
        <v>192</v>
      </c>
      <c r="E32" s="5">
        <v>9339</v>
      </c>
      <c r="F32" s="6">
        <v>20.844647999999999</v>
      </c>
      <c r="G32" s="7">
        <v>1.5673335E-2</v>
      </c>
      <c r="H32" s="112"/>
    </row>
    <row r="33" spans="1:8" ht="25.5" x14ac:dyDescent="0.2">
      <c r="A33" s="3">
        <v>27</v>
      </c>
      <c r="B33" s="4" t="s">
        <v>400</v>
      </c>
      <c r="C33" s="4" t="s">
        <v>401</v>
      </c>
      <c r="D33" s="4" t="s">
        <v>192</v>
      </c>
      <c r="E33" s="5">
        <v>2443</v>
      </c>
      <c r="F33" s="6">
        <v>19.776084999999998</v>
      </c>
      <c r="G33" s="7">
        <v>1.486987E-2</v>
      </c>
      <c r="H33" s="112"/>
    </row>
    <row r="34" spans="1:8" x14ac:dyDescent="0.2">
      <c r="A34" s="3">
        <v>28</v>
      </c>
      <c r="B34" s="4" t="s">
        <v>343</v>
      </c>
      <c r="C34" s="4" t="s">
        <v>344</v>
      </c>
      <c r="D34" s="4" t="s">
        <v>53</v>
      </c>
      <c r="E34" s="5">
        <v>4100</v>
      </c>
      <c r="F34" s="6">
        <v>17.109300000000001</v>
      </c>
      <c r="G34" s="7">
        <v>1.2864683E-2</v>
      </c>
      <c r="H34" s="112"/>
    </row>
    <row r="35" spans="1:8" x14ac:dyDescent="0.2">
      <c r="A35" s="3">
        <v>29</v>
      </c>
      <c r="B35" s="4" t="s">
        <v>358</v>
      </c>
      <c r="C35" s="4" t="s">
        <v>359</v>
      </c>
      <c r="D35" s="4" t="s">
        <v>50</v>
      </c>
      <c r="E35" s="5">
        <v>2553</v>
      </c>
      <c r="F35" s="6">
        <v>16.724703000000002</v>
      </c>
      <c r="G35" s="7">
        <v>1.25755E-2</v>
      </c>
      <c r="H35" s="112"/>
    </row>
    <row r="36" spans="1:8" x14ac:dyDescent="0.2">
      <c r="A36" s="3">
        <v>30</v>
      </c>
      <c r="B36" s="4" t="s">
        <v>402</v>
      </c>
      <c r="C36" s="4" t="s">
        <v>403</v>
      </c>
      <c r="D36" s="4" t="s">
        <v>334</v>
      </c>
      <c r="E36" s="5">
        <v>5689</v>
      </c>
      <c r="F36" s="6">
        <v>14.962070000000001</v>
      </c>
      <c r="G36" s="7">
        <v>1.1250156000000001E-2</v>
      </c>
      <c r="H36" s="112"/>
    </row>
    <row r="37" spans="1:8" x14ac:dyDescent="0.2">
      <c r="A37" s="3">
        <v>31</v>
      </c>
      <c r="B37" s="4" t="s">
        <v>456</v>
      </c>
      <c r="C37" s="4" t="s">
        <v>457</v>
      </c>
      <c r="D37" s="4" t="s">
        <v>186</v>
      </c>
      <c r="E37" s="5">
        <v>1593</v>
      </c>
      <c r="F37" s="6">
        <v>14.4174465</v>
      </c>
      <c r="G37" s="7">
        <v>1.0840647E-2</v>
      </c>
      <c r="H37" s="112"/>
    </row>
    <row r="38" spans="1:8" ht="25.5" x14ac:dyDescent="0.2">
      <c r="A38" s="3">
        <v>32</v>
      </c>
      <c r="B38" s="4" t="s">
        <v>424</v>
      </c>
      <c r="C38" s="4" t="s">
        <v>425</v>
      </c>
      <c r="D38" s="4" t="s">
        <v>192</v>
      </c>
      <c r="E38" s="5">
        <v>556</v>
      </c>
      <c r="F38" s="6">
        <v>13.305914</v>
      </c>
      <c r="G38" s="7">
        <v>1.0004872999999999E-2</v>
      </c>
      <c r="H38" s="112"/>
    </row>
    <row r="39" spans="1:8" x14ac:dyDescent="0.2">
      <c r="A39" s="3">
        <v>33</v>
      </c>
      <c r="B39" s="4" t="s">
        <v>90</v>
      </c>
      <c r="C39" s="4" t="s">
        <v>91</v>
      </c>
      <c r="D39" s="4" t="s">
        <v>27</v>
      </c>
      <c r="E39" s="5">
        <v>178</v>
      </c>
      <c r="F39" s="6">
        <v>13.175115</v>
      </c>
      <c r="G39" s="7">
        <v>9.9065230000000004E-3</v>
      </c>
      <c r="H39" s="112"/>
    </row>
    <row r="40" spans="1:8" x14ac:dyDescent="0.2">
      <c r="A40" s="3">
        <v>34</v>
      </c>
      <c r="B40" s="4" t="s">
        <v>337</v>
      </c>
      <c r="C40" s="4" t="s">
        <v>338</v>
      </c>
      <c r="D40" s="4" t="s">
        <v>19</v>
      </c>
      <c r="E40" s="5">
        <v>13106</v>
      </c>
      <c r="F40" s="6">
        <v>12.77835</v>
      </c>
      <c r="G40" s="7">
        <v>9.6081910000000003E-3</v>
      </c>
      <c r="H40" s="112"/>
    </row>
    <row r="41" spans="1:8" x14ac:dyDescent="0.2">
      <c r="A41" s="3">
        <v>35</v>
      </c>
      <c r="B41" s="4" t="s">
        <v>426</v>
      </c>
      <c r="C41" s="4" t="s">
        <v>427</v>
      </c>
      <c r="D41" s="4" t="s">
        <v>162</v>
      </c>
      <c r="E41" s="5">
        <v>1875</v>
      </c>
      <c r="F41" s="6">
        <v>12.1265625</v>
      </c>
      <c r="G41" s="7">
        <v>9.1181040000000001E-3</v>
      </c>
      <c r="H41" s="112"/>
    </row>
    <row r="42" spans="1:8" x14ac:dyDescent="0.2">
      <c r="A42" s="3">
        <v>36</v>
      </c>
      <c r="B42" s="4" t="s">
        <v>345</v>
      </c>
      <c r="C42" s="4" t="s">
        <v>346</v>
      </c>
      <c r="D42" s="4" t="s">
        <v>186</v>
      </c>
      <c r="E42" s="5">
        <v>202</v>
      </c>
      <c r="F42" s="6">
        <v>7.4744039999999998</v>
      </c>
      <c r="G42" s="7">
        <v>5.6200920000000001E-3</v>
      </c>
      <c r="H42" s="112"/>
    </row>
    <row r="43" spans="1:8" ht="25.5" x14ac:dyDescent="0.2">
      <c r="A43" s="3">
        <v>37</v>
      </c>
      <c r="B43" s="4" t="s">
        <v>447</v>
      </c>
      <c r="C43" s="70" t="s">
        <v>1030</v>
      </c>
      <c r="D43" s="40" t="s">
        <v>24</v>
      </c>
      <c r="E43" s="5">
        <v>351</v>
      </c>
      <c r="F43" s="6">
        <v>0.89747189999999999</v>
      </c>
      <c r="G43" s="7">
        <v>6.7482000000000002E-4</v>
      </c>
      <c r="H43" s="112"/>
    </row>
    <row r="44" spans="1:8" x14ac:dyDescent="0.2">
      <c r="A44" s="1"/>
      <c r="B44" s="1"/>
      <c r="C44" s="2" t="s">
        <v>97</v>
      </c>
      <c r="D44" s="1"/>
      <c r="E44" s="1" t="s">
        <v>98</v>
      </c>
      <c r="F44" s="9">
        <v>1313.6298004</v>
      </c>
      <c r="G44" s="10">
        <v>0.98773363199999997</v>
      </c>
      <c r="H44" s="112"/>
    </row>
    <row r="45" spans="1:8" x14ac:dyDescent="0.2">
      <c r="A45" s="1"/>
      <c r="B45" s="1"/>
      <c r="C45" s="11"/>
      <c r="D45" s="1"/>
      <c r="E45" s="1"/>
      <c r="F45" s="12"/>
      <c r="G45" s="12"/>
      <c r="H45" s="112"/>
    </row>
    <row r="46" spans="1:8" x14ac:dyDescent="0.2">
      <c r="A46" s="1"/>
      <c r="B46" s="1"/>
      <c r="C46" s="2" t="s">
        <v>99</v>
      </c>
      <c r="D46" s="1"/>
      <c r="E46" s="1"/>
      <c r="F46" s="1"/>
      <c r="G46" s="1"/>
      <c r="H46" s="112"/>
    </row>
    <row r="47" spans="1:8" x14ac:dyDescent="0.2">
      <c r="A47" s="1"/>
      <c r="B47" s="1"/>
      <c r="C47" s="2" t="s">
        <v>97</v>
      </c>
      <c r="D47" s="1"/>
      <c r="E47" s="1" t="s">
        <v>98</v>
      </c>
      <c r="F47" s="13">
        <v>0</v>
      </c>
      <c r="G47" s="14">
        <v>0</v>
      </c>
      <c r="H47" s="112"/>
    </row>
    <row r="48" spans="1:8" x14ac:dyDescent="0.2">
      <c r="A48" s="1"/>
      <c r="B48" s="1"/>
      <c r="C48" s="11"/>
      <c r="D48" s="1"/>
      <c r="E48" s="1"/>
      <c r="F48" s="12"/>
      <c r="G48" s="12"/>
      <c r="H48" s="112"/>
    </row>
    <row r="49" spans="1:8" x14ac:dyDescent="0.2">
      <c r="A49" s="1"/>
      <c r="B49" s="1"/>
      <c r="C49" s="2" t="s">
        <v>100</v>
      </c>
      <c r="D49" s="1"/>
      <c r="E49" s="1"/>
      <c r="F49" s="1"/>
      <c r="G49" s="1"/>
      <c r="H49" s="112"/>
    </row>
    <row r="50" spans="1:8" x14ac:dyDescent="0.2">
      <c r="A50" s="1"/>
      <c r="B50" s="1"/>
      <c r="C50" s="2" t="s">
        <v>97</v>
      </c>
      <c r="D50" s="1"/>
      <c r="E50" s="1" t="s">
        <v>98</v>
      </c>
      <c r="F50" s="13">
        <v>0</v>
      </c>
      <c r="G50" s="14">
        <v>0</v>
      </c>
      <c r="H50" s="112"/>
    </row>
    <row r="51" spans="1:8" x14ac:dyDescent="0.2">
      <c r="A51" s="1"/>
      <c r="B51" s="1"/>
      <c r="C51" s="11"/>
      <c r="D51" s="1"/>
      <c r="E51" s="1"/>
      <c r="F51" s="12"/>
      <c r="G51" s="12"/>
      <c r="H51" s="112"/>
    </row>
    <row r="52" spans="1:8" x14ac:dyDescent="0.2">
      <c r="A52" s="1"/>
      <c r="B52" s="1"/>
      <c r="C52" s="2" t="s">
        <v>101</v>
      </c>
      <c r="D52" s="1"/>
      <c r="E52" s="1"/>
      <c r="F52" s="1"/>
      <c r="G52" s="1"/>
      <c r="H52" s="112"/>
    </row>
    <row r="53" spans="1:8" x14ac:dyDescent="0.2">
      <c r="A53" s="1"/>
      <c r="B53" s="1"/>
      <c r="C53" s="2" t="s">
        <v>97</v>
      </c>
      <c r="D53" s="1"/>
      <c r="E53" s="1" t="s">
        <v>98</v>
      </c>
      <c r="F53" s="13">
        <v>0</v>
      </c>
      <c r="G53" s="14">
        <v>0</v>
      </c>
      <c r="H53" s="112"/>
    </row>
    <row r="54" spans="1:8" x14ac:dyDescent="0.2">
      <c r="A54" s="1"/>
      <c r="B54" s="1"/>
      <c r="C54" s="11"/>
      <c r="D54" s="1"/>
      <c r="E54" s="1"/>
      <c r="F54" s="12"/>
      <c r="G54" s="12"/>
      <c r="H54" s="112"/>
    </row>
    <row r="55" spans="1:8" x14ac:dyDescent="0.2">
      <c r="A55" s="1"/>
      <c r="B55" s="1"/>
      <c r="C55" s="2" t="s">
        <v>102</v>
      </c>
      <c r="D55" s="1"/>
      <c r="E55" s="1"/>
      <c r="F55" s="12"/>
      <c r="G55" s="12"/>
      <c r="H55" s="112"/>
    </row>
    <row r="56" spans="1:8" x14ac:dyDescent="0.2">
      <c r="A56" s="1"/>
      <c r="B56" s="1"/>
      <c r="C56" s="2" t="s">
        <v>97</v>
      </c>
      <c r="D56" s="1"/>
      <c r="E56" s="1" t="s">
        <v>98</v>
      </c>
      <c r="F56" s="13">
        <v>0</v>
      </c>
      <c r="G56" s="14">
        <v>0</v>
      </c>
      <c r="H56" s="112"/>
    </row>
    <row r="57" spans="1:8" x14ac:dyDescent="0.2">
      <c r="A57" s="1"/>
      <c r="B57" s="1"/>
      <c r="C57" s="11"/>
      <c r="D57" s="1"/>
      <c r="E57" s="1"/>
      <c r="F57" s="12"/>
      <c r="G57" s="12"/>
      <c r="H57" s="112"/>
    </row>
    <row r="58" spans="1:8" x14ac:dyDescent="0.2">
      <c r="A58" s="1"/>
      <c r="B58" s="1"/>
      <c r="C58" s="2" t="s">
        <v>103</v>
      </c>
      <c r="D58" s="1"/>
      <c r="E58" s="1"/>
      <c r="F58" s="12"/>
      <c r="G58" s="12"/>
      <c r="H58" s="112"/>
    </row>
    <row r="59" spans="1:8" x14ac:dyDescent="0.2">
      <c r="A59" s="1"/>
      <c r="B59" s="1"/>
      <c r="C59" s="2" t="s">
        <v>97</v>
      </c>
      <c r="D59" s="1"/>
      <c r="E59" s="1" t="s">
        <v>98</v>
      </c>
      <c r="F59" s="13">
        <v>0</v>
      </c>
      <c r="G59" s="14">
        <v>0</v>
      </c>
      <c r="H59" s="112"/>
    </row>
    <row r="60" spans="1:8" x14ac:dyDescent="0.2">
      <c r="A60" s="1"/>
      <c r="B60" s="1"/>
      <c r="C60" s="11"/>
      <c r="D60" s="1"/>
      <c r="E60" s="1"/>
      <c r="F60" s="12"/>
      <c r="G60" s="12"/>
      <c r="H60" s="112"/>
    </row>
    <row r="61" spans="1:8" x14ac:dyDescent="0.2">
      <c r="A61" s="1"/>
      <c r="B61" s="1"/>
      <c r="C61" s="2" t="s">
        <v>104</v>
      </c>
      <c r="D61" s="1"/>
      <c r="E61" s="1"/>
      <c r="F61" s="9">
        <v>1313.6298004</v>
      </c>
      <c r="G61" s="10">
        <v>0.98773363199999997</v>
      </c>
      <c r="H61" s="112"/>
    </row>
    <row r="62" spans="1:8" x14ac:dyDescent="0.2">
      <c r="A62" s="1"/>
      <c r="B62" s="1"/>
      <c r="C62" s="11"/>
      <c r="D62" s="1"/>
      <c r="E62" s="1"/>
      <c r="F62" s="12"/>
      <c r="G62" s="12"/>
      <c r="H62" s="112"/>
    </row>
    <row r="63" spans="1:8" x14ac:dyDescent="0.2">
      <c r="A63" s="1"/>
      <c r="B63" s="1"/>
      <c r="C63" s="2" t="s">
        <v>105</v>
      </c>
      <c r="D63" s="1"/>
      <c r="E63" s="1"/>
      <c r="F63" s="12"/>
      <c r="G63" s="12"/>
      <c r="H63" s="112"/>
    </row>
    <row r="64" spans="1:8" ht="25.5" x14ac:dyDescent="0.2">
      <c r="A64" s="1"/>
      <c r="B64" s="1"/>
      <c r="C64" s="2" t="s">
        <v>10</v>
      </c>
      <c r="D64" s="1"/>
      <c r="E64" s="1"/>
      <c r="F64" s="12"/>
      <c r="G64" s="12"/>
      <c r="H64" s="112"/>
    </row>
    <row r="65" spans="1:8" x14ac:dyDescent="0.2">
      <c r="A65" s="1"/>
      <c r="B65" s="1"/>
      <c r="C65" s="2" t="s">
        <v>97</v>
      </c>
      <c r="D65" s="1"/>
      <c r="E65" s="1" t="s">
        <v>98</v>
      </c>
      <c r="F65" s="13">
        <v>0</v>
      </c>
      <c r="G65" s="14">
        <v>0</v>
      </c>
      <c r="H65" s="112"/>
    </row>
    <row r="66" spans="1:8" x14ac:dyDescent="0.2">
      <c r="A66" s="1"/>
      <c r="B66" s="1"/>
      <c r="C66" s="11"/>
      <c r="D66" s="1"/>
      <c r="E66" s="1"/>
      <c r="F66" s="12"/>
      <c r="G66" s="12"/>
      <c r="H66" s="112"/>
    </row>
    <row r="67" spans="1:8" x14ac:dyDescent="0.2">
      <c r="A67" s="1"/>
      <c r="B67" s="1"/>
      <c r="C67" s="2" t="s">
        <v>106</v>
      </c>
      <c r="D67" s="1"/>
      <c r="E67" s="1"/>
      <c r="F67" s="1"/>
      <c r="G67" s="1"/>
      <c r="H67" s="112"/>
    </row>
    <row r="68" spans="1:8" x14ac:dyDescent="0.2">
      <c r="A68" s="1"/>
      <c r="B68" s="1"/>
      <c r="C68" s="2" t="s">
        <v>97</v>
      </c>
      <c r="D68" s="1"/>
      <c r="E68" s="1" t="s">
        <v>98</v>
      </c>
      <c r="F68" s="13">
        <v>0</v>
      </c>
      <c r="G68" s="14">
        <v>0</v>
      </c>
      <c r="H68" s="112"/>
    </row>
    <row r="69" spans="1:8" x14ac:dyDescent="0.2">
      <c r="A69" s="1"/>
      <c r="B69" s="1"/>
      <c r="C69" s="11"/>
      <c r="D69" s="1"/>
      <c r="E69" s="1"/>
      <c r="F69" s="12"/>
      <c r="G69" s="12"/>
      <c r="H69" s="112"/>
    </row>
    <row r="70" spans="1:8" x14ac:dyDescent="0.2">
      <c r="A70" s="1"/>
      <c r="B70" s="1"/>
      <c r="C70" s="2" t="s">
        <v>107</v>
      </c>
      <c r="D70" s="1"/>
      <c r="E70" s="1"/>
      <c r="F70" s="1"/>
      <c r="G70" s="1"/>
      <c r="H70" s="112"/>
    </row>
    <row r="71" spans="1:8" x14ac:dyDescent="0.2">
      <c r="A71" s="1"/>
      <c r="B71" s="1"/>
      <c r="C71" s="2" t="s">
        <v>97</v>
      </c>
      <c r="D71" s="1"/>
      <c r="E71" s="1" t="s">
        <v>98</v>
      </c>
      <c r="F71" s="13">
        <v>0</v>
      </c>
      <c r="G71" s="14">
        <v>0</v>
      </c>
      <c r="H71" s="112"/>
    </row>
    <row r="72" spans="1:8" x14ac:dyDescent="0.2">
      <c r="A72" s="1"/>
      <c r="B72" s="1"/>
      <c r="C72" s="11"/>
      <c r="D72" s="1"/>
      <c r="E72" s="1"/>
      <c r="F72" s="12"/>
      <c r="G72" s="12"/>
      <c r="H72" s="112"/>
    </row>
    <row r="73" spans="1:8" x14ac:dyDescent="0.2">
      <c r="A73" s="1"/>
      <c r="B73" s="1"/>
      <c r="C73" s="2" t="s">
        <v>108</v>
      </c>
      <c r="D73" s="1"/>
      <c r="E73" s="1"/>
      <c r="F73" s="12"/>
      <c r="G73" s="12"/>
      <c r="H73" s="112"/>
    </row>
    <row r="74" spans="1:8" x14ac:dyDescent="0.2">
      <c r="A74" s="1"/>
      <c r="B74" s="1"/>
      <c r="C74" s="2" t="s">
        <v>97</v>
      </c>
      <c r="D74" s="1"/>
      <c r="E74" s="1" t="s">
        <v>98</v>
      </c>
      <c r="F74" s="13">
        <v>0</v>
      </c>
      <c r="G74" s="14">
        <v>0</v>
      </c>
      <c r="H74" s="112"/>
    </row>
    <row r="75" spans="1:8" x14ac:dyDescent="0.2">
      <c r="A75" s="1"/>
      <c r="B75" s="1"/>
      <c r="C75" s="11"/>
      <c r="D75" s="1"/>
      <c r="E75" s="1"/>
      <c r="F75" s="12"/>
      <c r="G75" s="12"/>
      <c r="H75" s="112"/>
    </row>
    <row r="76" spans="1:8" x14ac:dyDescent="0.2">
      <c r="A76" s="1"/>
      <c r="B76" s="1"/>
      <c r="C76" s="2" t="s">
        <v>109</v>
      </c>
      <c r="D76" s="1"/>
      <c r="E76" s="1"/>
      <c r="F76" s="9">
        <v>0</v>
      </c>
      <c r="G76" s="10">
        <v>0</v>
      </c>
      <c r="H76" s="112"/>
    </row>
    <row r="77" spans="1:8" x14ac:dyDescent="0.2">
      <c r="A77" s="1"/>
      <c r="B77" s="1"/>
      <c r="C77" s="11"/>
      <c r="D77" s="1"/>
      <c r="E77" s="1"/>
      <c r="F77" s="12"/>
      <c r="G77" s="12"/>
      <c r="H77" s="112"/>
    </row>
    <row r="78" spans="1:8" x14ac:dyDescent="0.2">
      <c r="A78" s="1"/>
      <c r="B78" s="1"/>
      <c r="C78" s="2" t="s">
        <v>110</v>
      </c>
      <c r="D78" s="1"/>
      <c r="E78" s="1"/>
      <c r="F78" s="12"/>
      <c r="G78" s="12"/>
      <c r="H78" s="112"/>
    </row>
    <row r="79" spans="1:8" x14ac:dyDescent="0.2">
      <c r="A79" s="1"/>
      <c r="B79" s="1"/>
      <c r="C79" s="2" t="s">
        <v>111</v>
      </c>
      <c r="D79" s="1"/>
      <c r="E79" s="1"/>
      <c r="F79" s="12"/>
      <c r="G79" s="12"/>
      <c r="H79" s="112"/>
    </row>
    <row r="80" spans="1:8" x14ac:dyDescent="0.2">
      <c r="A80" s="1"/>
      <c r="B80" s="1"/>
      <c r="C80" s="2" t="s">
        <v>97</v>
      </c>
      <c r="D80" s="1"/>
      <c r="E80" s="1" t="s">
        <v>98</v>
      </c>
      <c r="F80" s="13">
        <v>0</v>
      </c>
      <c r="G80" s="14">
        <v>0</v>
      </c>
      <c r="H80" s="112"/>
    </row>
    <row r="81" spans="1:8" x14ac:dyDescent="0.2">
      <c r="A81" s="1"/>
      <c r="B81" s="1"/>
      <c r="C81" s="11"/>
      <c r="D81" s="1"/>
      <c r="E81" s="1"/>
      <c r="F81" s="12"/>
      <c r="G81" s="12"/>
      <c r="H81" s="112"/>
    </row>
    <row r="82" spans="1:8" x14ac:dyDescent="0.2">
      <c r="A82" s="1"/>
      <c r="B82" s="1"/>
      <c r="C82" s="2" t="s">
        <v>112</v>
      </c>
      <c r="D82" s="1"/>
      <c r="E82" s="1"/>
      <c r="F82" s="12"/>
      <c r="G82" s="12"/>
      <c r="H82" s="112"/>
    </row>
    <row r="83" spans="1:8" x14ac:dyDescent="0.2">
      <c r="A83" s="1"/>
      <c r="B83" s="1"/>
      <c r="C83" s="2" t="s">
        <v>97</v>
      </c>
      <c r="D83" s="1"/>
      <c r="E83" s="1" t="s">
        <v>98</v>
      </c>
      <c r="F83" s="13">
        <v>0</v>
      </c>
      <c r="G83" s="14">
        <v>0</v>
      </c>
      <c r="H83" s="112"/>
    </row>
    <row r="84" spans="1:8" x14ac:dyDescent="0.2">
      <c r="A84" s="1"/>
      <c r="B84" s="1"/>
      <c r="C84" s="11"/>
      <c r="D84" s="1"/>
      <c r="E84" s="1"/>
      <c r="F84" s="12"/>
      <c r="G84" s="12"/>
      <c r="H84" s="112"/>
    </row>
    <row r="85" spans="1:8" x14ac:dyDescent="0.2">
      <c r="A85" s="1"/>
      <c r="B85" s="1"/>
      <c r="C85" s="2" t="s">
        <v>113</v>
      </c>
      <c r="D85" s="1"/>
      <c r="E85" s="1"/>
      <c r="F85" s="12"/>
      <c r="G85" s="12"/>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114</v>
      </c>
      <c r="D88" s="1"/>
      <c r="E88" s="1"/>
      <c r="F88" s="12"/>
      <c r="G88" s="12"/>
      <c r="H88" s="112"/>
    </row>
    <row r="89" spans="1:8" x14ac:dyDescent="0.2">
      <c r="A89" s="3">
        <v>1</v>
      </c>
      <c r="B89" s="4"/>
      <c r="C89" s="4" t="s">
        <v>115</v>
      </c>
      <c r="D89" s="4"/>
      <c r="E89" s="8"/>
      <c r="F89" s="6">
        <v>14.624526748959997</v>
      </c>
      <c r="G89" s="7">
        <v>1.0996352915681937E-2</v>
      </c>
      <c r="H89" s="6">
        <v>3.3211324282253978</v>
      </c>
    </row>
    <row r="90" spans="1:8" x14ac:dyDescent="0.2">
      <c r="A90" s="3">
        <v>2</v>
      </c>
      <c r="B90" s="4"/>
      <c r="C90" s="4" t="s">
        <v>116</v>
      </c>
      <c r="D90" s="4"/>
      <c r="E90" s="8"/>
      <c r="F90" s="6">
        <v>5.7448575800009376</v>
      </c>
      <c r="G90" s="7">
        <v>4.3196256866577382E-3</v>
      </c>
      <c r="H90" s="6">
        <v>3.35</v>
      </c>
    </row>
    <row r="91" spans="1:8" x14ac:dyDescent="0.2">
      <c r="A91" s="1"/>
      <c r="B91" s="1"/>
      <c r="C91" s="2" t="s">
        <v>97</v>
      </c>
      <c r="D91" s="1"/>
      <c r="E91" s="1" t="s">
        <v>98</v>
      </c>
      <c r="F91" s="9">
        <v>20.369384328960933</v>
      </c>
      <c r="G91" s="10">
        <v>1.5315978602339676E-2</v>
      </c>
      <c r="H91" s="112"/>
    </row>
    <row r="92" spans="1:8" x14ac:dyDescent="0.2">
      <c r="A92" s="1"/>
      <c r="B92" s="1"/>
      <c r="C92" s="11"/>
      <c r="D92" s="1"/>
      <c r="E92" s="1"/>
      <c r="F92" s="12"/>
      <c r="G92" s="12"/>
      <c r="H92" s="112"/>
    </row>
    <row r="93" spans="1:8" x14ac:dyDescent="0.2">
      <c r="A93" s="1"/>
      <c r="B93" s="1"/>
      <c r="C93" s="2" t="s">
        <v>117</v>
      </c>
      <c r="D93" s="1"/>
      <c r="E93" s="1"/>
      <c r="F93" s="9">
        <v>20.369384328960933</v>
      </c>
      <c r="G93" s="10">
        <v>1.5315978602339676E-2</v>
      </c>
      <c r="H93" s="112"/>
    </row>
    <row r="94" spans="1:8" x14ac:dyDescent="0.2">
      <c r="A94" s="1"/>
      <c r="B94" s="1"/>
      <c r="C94" s="12"/>
      <c r="D94" s="1"/>
      <c r="E94" s="1"/>
      <c r="F94" s="1"/>
      <c r="G94" s="1"/>
      <c r="H94" s="112"/>
    </row>
    <row r="95" spans="1:8" x14ac:dyDescent="0.2">
      <c r="A95" s="1"/>
      <c r="B95" s="1"/>
      <c r="C95" s="2" t="s">
        <v>118</v>
      </c>
      <c r="D95" s="1"/>
      <c r="E95" s="1"/>
      <c r="F95" s="1"/>
      <c r="G95" s="1"/>
      <c r="H95" s="112"/>
    </row>
    <row r="96" spans="1:8" x14ac:dyDescent="0.2">
      <c r="A96" s="1"/>
      <c r="B96" s="1"/>
      <c r="C96" s="2" t="s">
        <v>119</v>
      </c>
      <c r="D96" s="1"/>
      <c r="E96" s="1"/>
      <c r="F96" s="1"/>
      <c r="G96" s="1"/>
      <c r="H96" s="112"/>
    </row>
    <row r="97" spans="1:8" x14ac:dyDescent="0.2">
      <c r="A97" s="1"/>
      <c r="B97" s="1"/>
      <c r="C97" s="2" t="s">
        <v>97</v>
      </c>
      <c r="D97" s="1"/>
      <c r="E97" s="1" t="s">
        <v>98</v>
      </c>
      <c r="F97" s="13">
        <v>0</v>
      </c>
      <c r="G97" s="14">
        <v>0</v>
      </c>
      <c r="H97" s="112"/>
    </row>
    <row r="98" spans="1:8" x14ac:dyDescent="0.2">
      <c r="A98" s="1"/>
      <c r="B98" s="1"/>
      <c r="C98" s="11"/>
      <c r="D98" s="1"/>
      <c r="E98" s="1"/>
      <c r="F98" s="12"/>
      <c r="G98" s="12"/>
      <c r="H98" s="112"/>
    </row>
    <row r="99" spans="1:8" x14ac:dyDescent="0.2">
      <c r="A99" s="1"/>
      <c r="B99" s="1"/>
      <c r="C99" s="2" t="s">
        <v>120</v>
      </c>
      <c r="D99" s="1"/>
      <c r="E99" s="1"/>
      <c r="F99" s="1"/>
      <c r="G99" s="1"/>
      <c r="H99" s="112"/>
    </row>
    <row r="100" spans="1:8" x14ac:dyDescent="0.2">
      <c r="A100" s="1"/>
      <c r="B100" s="1"/>
      <c r="C100" s="2" t="s">
        <v>121</v>
      </c>
      <c r="D100" s="1"/>
      <c r="E100" s="1"/>
      <c r="F100" s="1"/>
      <c r="G100" s="1"/>
      <c r="H100" s="112"/>
    </row>
    <row r="101" spans="1:8" x14ac:dyDescent="0.2">
      <c r="A101" s="1"/>
      <c r="B101" s="1"/>
      <c r="C101" s="2" t="s">
        <v>97</v>
      </c>
      <c r="D101" s="1"/>
      <c r="E101" s="1" t="s">
        <v>98</v>
      </c>
      <c r="F101" s="13">
        <v>0</v>
      </c>
      <c r="G101" s="14">
        <v>0</v>
      </c>
      <c r="H101" s="112"/>
    </row>
    <row r="102" spans="1:8" x14ac:dyDescent="0.2">
      <c r="A102" s="1"/>
      <c r="B102" s="1"/>
      <c r="C102" s="11"/>
      <c r="D102" s="1"/>
      <c r="E102" s="1"/>
      <c r="F102" s="12"/>
      <c r="G102" s="12"/>
      <c r="H102" s="112"/>
    </row>
    <row r="103" spans="1:8" x14ac:dyDescent="0.2">
      <c r="A103" s="1"/>
      <c r="B103" s="1"/>
      <c r="C103" s="11"/>
      <c r="D103" s="1"/>
      <c r="E103" s="1"/>
      <c r="F103" s="12"/>
      <c r="G103" s="12"/>
      <c r="H103" s="112"/>
    </row>
    <row r="104" spans="1:8" ht="25.5" x14ac:dyDescent="0.2">
      <c r="A104" s="1"/>
      <c r="B104" s="1"/>
      <c r="C104" s="2" t="s">
        <v>122</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4"/>
      <c r="C107" s="4"/>
      <c r="D107" s="2"/>
      <c r="E107" s="1"/>
      <c r="F107" s="4"/>
      <c r="G107" s="8"/>
      <c r="H107" s="112"/>
    </row>
    <row r="108" spans="1:8" x14ac:dyDescent="0.2">
      <c r="A108" s="8"/>
      <c r="B108" s="4"/>
      <c r="C108" s="4" t="s">
        <v>123</v>
      </c>
      <c r="D108" s="4"/>
      <c r="E108" s="8"/>
      <c r="F108" s="6">
        <v>-4.0556991800009374</v>
      </c>
      <c r="G108" s="7">
        <v>-3.0495277056608802E-3</v>
      </c>
      <c r="H108" s="112"/>
    </row>
    <row r="109" spans="1:8" x14ac:dyDescent="0.2">
      <c r="A109" s="11"/>
      <c r="B109" s="11"/>
      <c r="C109" s="2" t="s">
        <v>124</v>
      </c>
      <c r="D109" s="15"/>
      <c r="E109" s="15"/>
      <c r="F109" s="9">
        <v>1329.9433786</v>
      </c>
      <c r="G109" s="10">
        <v>1.0000000019999999</v>
      </c>
      <c r="H109" s="112"/>
    </row>
    <row r="110" spans="1:8" ht="14.1" customHeight="1" x14ac:dyDescent="0.2">
      <c r="A110" s="16"/>
      <c r="B110" s="16"/>
      <c r="C110" s="16"/>
      <c r="D110" s="17"/>
      <c r="E110" s="17"/>
      <c r="F110" s="17"/>
      <c r="G110" s="17"/>
    </row>
    <row r="111" spans="1:8" ht="14.1" customHeight="1" x14ac:dyDescent="0.2">
      <c r="A111" s="18"/>
      <c r="B111" s="205" t="s">
        <v>98</v>
      </c>
      <c r="C111" s="205"/>
      <c r="D111" s="205"/>
      <c r="E111" s="205"/>
      <c r="F111" s="205"/>
      <c r="G111" s="20"/>
    </row>
    <row r="112" spans="1:8" ht="14.1" customHeight="1" x14ac:dyDescent="0.2">
      <c r="A112" s="18"/>
      <c r="B112" s="205" t="s">
        <v>98</v>
      </c>
      <c r="C112" s="205"/>
      <c r="D112" s="205"/>
      <c r="E112" s="205"/>
      <c r="F112" s="205"/>
      <c r="G112" s="20"/>
    </row>
    <row r="113" spans="1:7" ht="14.1" customHeight="1" x14ac:dyDescent="0.2">
      <c r="A113" s="18"/>
      <c r="B113" s="18"/>
      <c r="C113" s="18"/>
      <c r="D113" s="20"/>
      <c r="E113" s="20"/>
      <c r="F113" s="20"/>
      <c r="G113" s="20"/>
    </row>
    <row r="114" spans="1:7" ht="14.1" customHeight="1" x14ac:dyDescent="0.2">
      <c r="A114" s="18"/>
      <c r="B114" s="203" t="s">
        <v>126</v>
      </c>
      <c r="C114" s="204"/>
      <c r="D114" s="12" t="s">
        <v>98</v>
      </c>
      <c r="E114" s="21"/>
      <c r="F114" s="20"/>
      <c r="G114" s="20"/>
    </row>
    <row r="115" spans="1:7" ht="29.1" customHeight="1" x14ac:dyDescent="0.2">
      <c r="A115" s="18"/>
      <c r="B115" s="198" t="s">
        <v>127</v>
      </c>
      <c r="C115" s="199"/>
      <c r="D115" s="2" t="s">
        <v>128</v>
      </c>
      <c r="E115" s="21"/>
      <c r="F115" s="20"/>
      <c r="G115" s="20"/>
    </row>
    <row r="116" spans="1:7" ht="17.100000000000001" customHeight="1" x14ac:dyDescent="0.2">
      <c r="A116" s="18"/>
      <c r="B116" s="198" t="s">
        <v>129</v>
      </c>
      <c r="C116" s="199"/>
      <c r="D116" s="2" t="s">
        <v>128</v>
      </c>
      <c r="E116" s="21"/>
      <c r="F116" s="20"/>
      <c r="G116" s="20"/>
    </row>
    <row r="117" spans="1:7" ht="17.100000000000001" customHeight="1" x14ac:dyDescent="0.2">
      <c r="A117" s="18"/>
      <c r="B117" s="198" t="s">
        <v>130</v>
      </c>
      <c r="C117" s="199"/>
      <c r="D117" s="12" t="s">
        <v>98</v>
      </c>
      <c r="E117" s="21"/>
      <c r="F117" s="20"/>
      <c r="G117" s="20"/>
    </row>
    <row r="118" spans="1:7" ht="24" customHeight="1" x14ac:dyDescent="0.2">
      <c r="A118" s="22"/>
      <c r="B118" s="23" t="s">
        <v>98</v>
      </c>
      <c r="C118" s="23" t="s">
        <v>131</v>
      </c>
      <c r="D118" s="23" t="s">
        <v>132</v>
      </c>
      <c r="E118" s="22"/>
      <c r="F118" s="22"/>
      <c r="G118" s="22"/>
    </row>
    <row r="119" spans="1:7" ht="18" customHeight="1" x14ac:dyDescent="0.2">
      <c r="A119" s="22"/>
      <c r="B119" s="23" t="s">
        <v>133</v>
      </c>
      <c r="C119" s="23" t="s">
        <v>134</v>
      </c>
      <c r="D119" s="23" t="s">
        <v>135</v>
      </c>
      <c r="E119" s="22"/>
      <c r="F119" s="22"/>
      <c r="G119" s="22"/>
    </row>
    <row r="120" spans="1:7" ht="17.100000000000001" customHeight="1" x14ac:dyDescent="0.2">
      <c r="A120" s="22"/>
      <c r="B120" s="4" t="s">
        <v>136</v>
      </c>
      <c r="C120" s="24">
        <v>23.683900000000001</v>
      </c>
      <c r="D120" s="24">
        <v>24.014500000000002</v>
      </c>
      <c r="E120" s="22"/>
      <c r="F120" s="19"/>
      <c r="G120" s="25"/>
    </row>
    <row r="121" spans="1:7" ht="17.100000000000001" customHeight="1" x14ac:dyDescent="0.2">
      <c r="A121" s="22"/>
      <c r="B121" s="4" t="s">
        <v>980</v>
      </c>
      <c r="C121" s="24">
        <v>19.189599999999999</v>
      </c>
      <c r="D121" s="24">
        <v>19.4575</v>
      </c>
      <c r="E121" s="22"/>
      <c r="F121" s="19"/>
      <c r="G121" s="25"/>
    </row>
    <row r="122" spans="1:7" ht="17.100000000000001" customHeight="1" x14ac:dyDescent="0.2">
      <c r="A122" s="22"/>
      <c r="B122" s="4" t="s">
        <v>137</v>
      </c>
      <c r="C122" s="24">
        <v>23.1554</v>
      </c>
      <c r="D122" s="24">
        <v>23.475000000000001</v>
      </c>
      <c r="E122" s="22"/>
      <c r="F122" s="19"/>
      <c r="G122" s="25"/>
    </row>
    <row r="123" spans="1:7" ht="17.100000000000001" customHeight="1" x14ac:dyDescent="0.2">
      <c r="A123" s="22"/>
      <c r="B123" s="4" t="s">
        <v>981</v>
      </c>
      <c r="C123" s="24">
        <v>18.689299999999999</v>
      </c>
      <c r="D123" s="24">
        <v>18.947299999999998</v>
      </c>
      <c r="E123" s="22"/>
      <c r="F123" s="19"/>
      <c r="G123" s="25"/>
    </row>
    <row r="124" spans="1:7" ht="14.1" customHeight="1" x14ac:dyDescent="0.2">
      <c r="A124" s="22"/>
      <c r="B124" s="22"/>
      <c r="C124" s="22"/>
      <c r="D124" s="22"/>
      <c r="E124" s="22"/>
      <c r="F124" s="22"/>
      <c r="G124" s="22"/>
    </row>
    <row r="125" spans="1:7" ht="17.100000000000001" customHeight="1" x14ac:dyDescent="0.2">
      <c r="A125" s="22"/>
      <c r="B125" s="198" t="s">
        <v>982</v>
      </c>
      <c r="C125" s="199"/>
      <c r="D125" s="91" t="s">
        <v>128</v>
      </c>
      <c r="E125" s="22"/>
      <c r="F125" s="22"/>
      <c r="G125" s="22"/>
    </row>
    <row r="126" spans="1:7" ht="18" customHeight="1" x14ac:dyDescent="0.2">
      <c r="A126" s="22"/>
      <c r="B126" s="26"/>
      <c r="C126" s="26"/>
      <c r="D126" s="27"/>
      <c r="E126" s="22"/>
      <c r="F126" s="22"/>
      <c r="G126" s="22"/>
    </row>
    <row r="127" spans="1:7" s="113" customFormat="1" x14ac:dyDescent="0.2">
      <c r="B127" s="202" t="s">
        <v>984</v>
      </c>
      <c r="C127" s="202"/>
      <c r="D127" s="202"/>
      <c r="E127" s="202"/>
      <c r="F127" s="202"/>
    </row>
    <row r="128" spans="1:7" ht="14.1" customHeight="1" x14ac:dyDescent="0.2">
      <c r="A128" s="22"/>
      <c r="B128" s="19"/>
      <c r="C128" s="19"/>
      <c r="D128" s="22"/>
      <c r="E128" s="22"/>
      <c r="F128" s="22"/>
      <c r="G128" s="22"/>
    </row>
    <row r="129" spans="1:7" ht="29.1" customHeight="1" x14ac:dyDescent="0.2">
      <c r="A129" s="22"/>
      <c r="B129" s="198" t="s">
        <v>138</v>
      </c>
      <c r="C129" s="199"/>
      <c r="D129" s="2" t="s">
        <v>128</v>
      </c>
      <c r="E129" s="22"/>
      <c r="F129" s="22"/>
      <c r="G129" s="22"/>
    </row>
    <row r="130" spans="1:7" ht="29.1" customHeight="1" x14ac:dyDescent="0.2">
      <c r="A130" s="22"/>
      <c r="B130" s="198" t="s">
        <v>139</v>
      </c>
      <c r="C130" s="199"/>
      <c r="D130" s="2" t="s">
        <v>128</v>
      </c>
      <c r="E130" s="22"/>
      <c r="F130" s="22"/>
      <c r="G130" s="22"/>
    </row>
    <row r="131" spans="1:7" ht="17.100000000000001" customHeight="1" x14ac:dyDescent="0.2">
      <c r="A131" s="22"/>
      <c r="B131" s="198" t="s">
        <v>140</v>
      </c>
      <c r="C131" s="199"/>
      <c r="D131" s="28">
        <v>0.21806889287630071</v>
      </c>
      <c r="E131" s="22"/>
      <c r="F131" s="19"/>
      <c r="G131" s="25"/>
    </row>
    <row r="132" spans="1:7" ht="17.100000000000001" customHeight="1" x14ac:dyDescent="0.2">
      <c r="A132" s="22"/>
      <c r="B132" s="198" t="s">
        <v>141</v>
      </c>
      <c r="C132" s="199"/>
      <c r="D132" s="2" t="s">
        <v>128</v>
      </c>
      <c r="E132" s="22"/>
      <c r="F132" s="22"/>
      <c r="G132" s="22"/>
    </row>
  </sheetData>
  <mergeCells count="16">
    <mergeCell ref="B132:C132"/>
    <mergeCell ref="B115:C115"/>
    <mergeCell ref="B116:C116"/>
    <mergeCell ref="B117:C117"/>
    <mergeCell ref="B125:C125"/>
    <mergeCell ref="B129:C129"/>
    <mergeCell ref="B130:C130"/>
    <mergeCell ref="B127:F127"/>
    <mergeCell ref="A1:H1"/>
    <mergeCell ref="A2:H2"/>
    <mergeCell ref="A3:H3"/>
    <mergeCell ref="J2:N2"/>
    <mergeCell ref="B131:C131"/>
    <mergeCell ref="B114:C114"/>
    <mergeCell ref="B111:F111"/>
    <mergeCell ref="B112:F112"/>
  </mergeCells>
  <pageMargins left="5.000000074505806E-2" right="5.000000074505806E-2" top="0.30000001192092896" bottom="0.20000000298023224" header="0" footer="0"/>
  <pageSetup paperSize="9"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16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512</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143</v>
      </c>
      <c r="C7" s="4" t="s">
        <v>144</v>
      </c>
      <c r="D7" s="4" t="s">
        <v>27</v>
      </c>
      <c r="E7" s="5">
        <v>30438</v>
      </c>
      <c r="F7" s="6">
        <v>277.91415899999998</v>
      </c>
      <c r="G7" s="7">
        <v>3.4174248999999997E-2</v>
      </c>
      <c r="H7" s="112"/>
    </row>
    <row r="8" spans="1:14" x14ac:dyDescent="0.2">
      <c r="A8" s="3">
        <v>2</v>
      </c>
      <c r="B8" s="4" t="s">
        <v>154</v>
      </c>
      <c r="C8" s="4" t="s">
        <v>155</v>
      </c>
      <c r="D8" s="4" t="s">
        <v>71</v>
      </c>
      <c r="E8" s="5">
        <v>47942</v>
      </c>
      <c r="F8" s="6">
        <v>258.93474200000003</v>
      </c>
      <c r="G8" s="7">
        <v>3.1840408000000001E-2</v>
      </c>
      <c r="H8" s="112"/>
    </row>
    <row r="9" spans="1:14" x14ac:dyDescent="0.2">
      <c r="A9" s="3">
        <v>3</v>
      </c>
      <c r="B9" s="4" t="s">
        <v>150</v>
      </c>
      <c r="C9" s="4" t="s">
        <v>151</v>
      </c>
      <c r="D9" s="4" t="s">
        <v>27</v>
      </c>
      <c r="E9" s="5">
        <v>29750</v>
      </c>
      <c r="F9" s="6">
        <v>253.21712500000001</v>
      </c>
      <c r="G9" s="7">
        <v>3.1137331000000001E-2</v>
      </c>
      <c r="H9" s="112"/>
    </row>
    <row r="10" spans="1:14" x14ac:dyDescent="0.2">
      <c r="A10" s="3">
        <v>4</v>
      </c>
      <c r="B10" s="4" t="s">
        <v>25</v>
      </c>
      <c r="C10" s="4" t="s">
        <v>26</v>
      </c>
      <c r="D10" s="4" t="s">
        <v>27</v>
      </c>
      <c r="E10" s="5">
        <v>14971</v>
      </c>
      <c r="F10" s="6">
        <v>242.470316</v>
      </c>
      <c r="G10" s="7">
        <v>2.9815828999999999E-2</v>
      </c>
      <c r="H10" s="112"/>
    </row>
    <row r="11" spans="1:14" x14ac:dyDescent="0.2">
      <c r="A11" s="3">
        <v>5</v>
      </c>
      <c r="B11" s="4" t="s">
        <v>156</v>
      </c>
      <c r="C11" s="4" t="s">
        <v>157</v>
      </c>
      <c r="D11" s="4" t="s">
        <v>974</v>
      </c>
      <c r="E11" s="5">
        <v>19498</v>
      </c>
      <c r="F11" s="6">
        <v>242.45762999999999</v>
      </c>
      <c r="G11" s="7">
        <v>2.9814269000000001E-2</v>
      </c>
      <c r="H11" s="112"/>
    </row>
    <row r="12" spans="1:14" x14ac:dyDescent="0.2">
      <c r="A12" s="3">
        <v>6</v>
      </c>
      <c r="B12" s="4" t="s">
        <v>148</v>
      </c>
      <c r="C12" s="4" t="s">
        <v>149</v>
      </c>
      <c r="D12" s="4" t="s">
        <v>81</v>
      </c>
      <c r="E12" s="5">
        <v>186375</v>
      </c>
      <c r="F12" s="6">
        <v>241.91475</v>
      </c>
      <c r="G12" s="7">
        <v>2.9747512E-2</v>
      </c>
      <c r="H12" s="112"/>
    </row>
    <row r="13" spans="1:14" x14ac:dyDescent="0.2">
      <c r="A13" s="3">
        <v>7</v>
      </c>
      <c r="B13" s="4" t="s">
        <v>74</v>
      </c>
      <c r="C13" s="4" t="s">
        <v>75</v>
      </c>
      <c r="D13" s="4" t="s">
        <v>71</v>
      </c>
      <c r="E13" s="5">
        <v>57623</v>
      </c>
      <c r="F13" s="6">
        <v>222.22309949999999</v>
      </c>
      <c r="G13" s="7">
        <v>2.7326091E-2</v>
      </c>
      <c r="H13" s="112"/>
    </row>
    <row r="14" spans="1:14" x14ac:dyDescent="0.2">
      <c r="A14" s="3">
        <v>8</v>
      </c>
      <c r="B14" s="4" t="s">
        <v>163</v>
      </c>
      <c r="C14" s="4" t="s">
        <v>164</v>
      </c>
      <c r="D14" s="4" t="s">
        <v>162</v>
      </c>
      <c r="E14" s="5">
        <v>70770</v>
      </c>
      <c r="F14" s="6">
        <v>218.46699000000001</v>
      </c>
      <c r="G14" s="7">
        <v>2.6864213000000001E-2</v>
      </c>
      <c r="H14" s="112"/>
    </row>
    <row r="15" spans="1:14" ht="15" x14ac:dyDescent="0.2">
      <c r="A15" s="3">
        <v>9</v>
      </c>
      <c r="B15" s="4" t="s">
        <v>210</v>
      </c>
      <c r="C15" s="4" t="s">
        <v>211</v>
      </c>
      <c r="D15" s="4" t="s">
        <v>212</v>
      </c>
      <c r="E15" s="5">
        <v>83608</v>
      </c>
      <c r="F15" s="6">
        <v>207.51505599999999</v>
      </c>
      <c r="G15" s="7">
        <v>2.5517488000000001E-2</v>
      </c>
      <c r="H15" s="112"/>
      <c r="J15" s="188" t="s">
        <v>1018</v>
      </c>
    </row>
    <row r="16" spans="1:14" x14ac:dyDescent="0.2">
      <c r="A16" s="3">
        <v>10</v>
      </c>
      <c r="B16" s="4" t="s">
        <v>145</v>
      </c>
      <c r="C16" s="4" t="s">
        <v>146</v>
      </c>
      <c r="D16" s="4" t="s">
        <v>147</v>
      </c>
      <c r="E16" s="5">
        <v>6170</v>
      </c>
      <c r="F16" s="6">
        <v>205.97927999999999</v>
      </c>
      <c r="G16" s="7">
        <v>2.5328638000000001E-2</v>
      </c>
      <c r="H16" s="112"/>
    </row>
    <row r="17" spans="1:8" ht="25.5" x14ac:dyDescent="0.2">
      <c r="A17" s="3">
        <v>11</v>
      </c>
      <c r="B17" s="4" t="s">
        <v>190</v>
      </c>
      <c r="C17" s="4" t="s">
        <v>191</v>
      </c>
      <c r="D17" s="4" t="s">
        <v>192</v>
      </c>
      <c r="E17" s="5">
        <v>38459</v>
      </c>
      <c r="F17" s="6">
        <v>201.19825850000001</v>
      </c>
      <c r="G17" s="7">
        <v>2.4740730999999998E-2</v>
      </c>
      <c r="H17" s="112"/>
    </row>
    <row r="18" spans="1:8" x14ac:dyDescent="0.2">
      <c r="A18" s="3">
        <v>12</v>
      </c>
      <c r="B18" s="4" t="s">
        <v>184</v>
      </c>
      <c r="C18" s="4" t="s">
        <v>185</v>
      </c>
      <c r="D18" s="4" t="s">
        <v>186</v>
      </c>
      <c r="E18" s="5">
        <v>42854</v>
      </c>
      <c r="F18" s="6">
        <v>199.65678600000001</v>
      </c>
      <c r="G18" s="7">
        <v>2.4551180999999998E-2</v>
      </c>
      <c r="H18" s="112"/>
    </row>
    <row r="19" spans="1:8" x14ac:dyDescent="0.2">
      <c r="A19" s="3">
        <v>13</v>
      </c>
      <c r="B19" s="4" t="s">
        <v>195</v>
      </c>
      <c r="C19" s="4" t="s">
        <v>196</v>
      </c>
      <c r="D19" s="4" t="s">
        <v>34</v>
      </c>
      <c r="E19" s="5">
        <v>44883</v>
      </c>
      <c r="F19" s="6">
        <v>188.62080750000001</v>
      </c>
      <c r="G19" s="7">
        <v>2.3194119999999999E-2</v>
      </c>
      <c r="H19" s="112"/>
    </row>
    <row r="20" spans="1:8" x14ac:dyDescent="0.2">
      <c r="A20" s="3">
        <v>14</v>
      </c>
      <c r="B20" s="4" t="s">
        <v>65</v>
      </c>
      <c r="C20" s="4" t="s">
        <v>66</v>
      </c>
      <c r="D20" s="4" t="s">
        <v>64</v>
      </c>
      <c r="E20" s="5">
        <v>40332</v>
      </c>
      <c r="F20" s="6">
        <v>187.20097799999999</v>
      </c>
      <c r="G20" s="7">
        <v>2.3019528000000001E-2</v>
      </c>
      <c r="H20" s="112"/>
    </row>
    <row r="21" spans="1:8" x14ac:dyDescent="0.2">
      <c r="A21" s="3">
        <v>15</v>
      </c>
      <c r="B21" s="4" t="s">
        <v>187</v>
      </c>
      <c r="C21" s="4" t="s">
        <v>188</v>
      </c>
      <c r="D21" s="4" t="s">
        <v>189</v>
      </c>
      <c r="E21" s="5">
        <v>82902</v>
      </c>
      <c r="F21" s="6">
        <v>187.02691200000001</v>
      </c>
      <c r="G21" s="7">
        <v>2.2998124000000002E-2</v>
      </c>
      <c r="H21" s="112"/>
    </row>
    <row r="22" spans="1:8" ht="25.5" x14ac:dyDescent="0.2">
      <c r="A22" s="3">
        <v>16</v>
      </c>
      <c r="B22" s="4" t="s">
        <v>37</v>
      </c>
      <c r="C22" s="4" t="s">
        <v>38</v>
      </c>
      <c r="D22" s="4" t="s">
        <v>971</v>
      </c>
      <c r="E22" s="5">
        <v>5414</v>
      </c>
      <c r="F22" s="6">
        <v>179.51470499999999</v>
      </c>
      <c r="G22" s="7">
        <v>2.2074370999999999E-2</v>
      </c>
      <c r="H22" s="112"/>
    </row>
    <row r="23" spans="1:8" ht="25.5" x14ac:dyDescent="0.2">
      <c r="A23" s="3">
        <v>17</v>
      </c>
      <c r="B23" s="4" t="s">
        <v>152</v>
      </c>
      <c r="C23" s="4" t="s">
        <v>153</v>
      </c>
      <c r="D23" s="4" t="s">
        <v>45</v>
      </c>
      <c r="E23" s="5">
        <v>120530</v>
      </c>
      <c r="F23" s="6">
        <v>176.33538999999999</v>
      </c>
      <c r="G23" s="7">
        <v>2.1683419999999998E-2</v>
      </c>
      <c r="H23" s="112"/>
    </row>
    <row r="24" spans="1:8" x14ac:dyDescent="0.2">
      <c r="A24" s="3">
        <v>18</v>
      </c>
      <c r="B24" s="4" t="s">
        <v>41</v>
      </c>
      <c r="C24" s="4" t="s">
        <v>42</v>
      </c>
      <c r="D24" s="4" t="s">
        <v>27</v>
      </c>
      <c r="E24" s="5">
        <v>12434</v>
      </c>
      <c r="F24" s="6">
        <v>164.806453</v>
      </c>
      <c r="G24" s="7">
        <v>2.0265742E-2</v>
      </c>
      <c r="H24" s="112"/>
    </row>
    <row r="25" spans="1:8" x14ac:dyDescent="0.2">
      <c r="A25" s="3">
        <v>19</v>
      </c>
      <c r="B25" s="4" t="s">
        <v>167</v>
      </c>
      <c r="C25" s="4" t="s">
        <v>168</v>
      </c>
      <c r="D25" s="4" t="s">
        <v>81</v>
      </c>
      <c r="E25" s="5">
        <v>23275</v>
      </c>
      <c r="F25" s="6">
        <v>164.14693750000001</v>
      </c>
      <c r="G25" s="7">
        <v>2.0184644000000002E-2</v>
      </c>
      <c r="H25" s="112"/>
    </row>
    <row r="26" spans="1:8" ht="25.5" x14ac:dyDescent="0.2">
      <c r="A26" s="3">
        <v>20</v>
      </c>
      <c r="B26" s="4" t="s">
        <v>467</v>
      </c>
      <c r="C26" s="4" t="s">
        <v>468</v>
      </c>
      <c r="D26" s="4" t="s">
        <v>45</v>
      </c>
      <c r="E26" s="5">
        <v>11046</v>
      </c>
      <c r="F26" s="6">
        <v>153.35714100000001</v>
      </c>
      <c r="G26" s="7">
        <v>1.8857855999999999E-2</v>
      </c>
      <c r="H26" s="112"/>
    </row>
    <row r="27" spans="1:8" x14ac:dyDescent="0.2">
      <c r="A27" s="3">
        <v>21</v>
      </c>
      <c r="B27" s="4" t="s">
        <v>69</v>
      </c>
      <c r="C27" s="4" t="s">
        <v>70</v>
      </c>
      <c r="D27" s="4" t="s">
        <v>71</v>
      </c>
      <c r="E27" s="5">
        <v>4397</v>
      </c>
      <c r="F27" s="6">
        <v>145.35382749999999</v>
      </c>
      <c r="G27" s="7">
        <v>1.7873712999999999E-2</v>
      </c>
      <c r="H27" s="112"/>
    </row>
    <row r="28" spans="1:8" x14ac:dyDescent="0.2">
      <c r="A28" s="3">
        <v>22</v>
      </c>
      <c r="B28" s="4" t="s">
        <v>165</v>
      </c>
      <c r="C28" s="4" t="s">
        <v>166</v>
      </c>
      <c r="D28" s="4" t="s">
        <v>976</v>
      </c>
      <c r="E28" s="5">
        <v>32952</v>
      </c>
      <c r="F28" s="6">
        <v>138.08535599999999</v>
      </c>
      <c r="G28" s="7">
        <v>1.6979931E-2</v>
      </c>
      <c r="H28" s="112"/>
    </row>
    <row r="29" spans="1:8" ht="25.5" x14ac:dyDescent="0.2">
      <c r="A29" s="3">
        <v>23</v>
      </c>
      <c r="B29" s="4" t="s">
        <v>197</v>
      </c>
      <c r="C29" s="4" t="s">
        <v>198</v>
      </c>
      <c r="D29" s="4" t="s">
        <v>971</v>
      </c>
      <c r="E29" s="5">
        <v>54769</v>
      </c>
      <c r="F29" s="6">
        <v>130.843141</v>
      </c>
      <c r="G29" s="7">
        <v>1.6089378000000001E-2</v>
      </c>
      <c r="H29" s="112"/>
    </row>
    <row r="30" spans="1:8" x14ac:dyDescent="0.2">
      <c r="A30" s="3">
        <v>24</v>
      </c>
      <c r="B30" s="4" t="s">
        <v>203</v>
      </c>
      <c r="C30" s="4" t="s">
        <v>204</v>
      </c>
      <c r="D30" s="4" t="s">
        <v>81</v>
      </c>
      <c r="E30" s="5">
        <v>19955</v>
      </c>
      <c r="F30" s="6">
        <v>125.0879175</v>
      </c>
      <c r="G30" s="7">
        <v>1.5381676E-2</v>
      </c>
      <c r="H30" s="112"/>
    </row>
    <row r="31" spans="1:8" x14ac:dyDescent="0.2">
      <c r="A31" s="3">
        <v>25</v>
      </c>
      <c r="B31" s="4" t="s">
        <v>182</v>
      </c>
      <c r="C31" s="4" t="s">
        <v>183</v>
      </c>
      <c r="D31" s="4" t="s">
        <v>162</v>
      </c>
      <c r="E31" s="5">
        <v>11519</v>
      </c>
      <c r="F31" s="6">
        <v>123.0517175</v>
      </c>
      <c r="G31" s="7">
        <v>1.5131291E-2</v>
      </c>
      <c r="H31" s="112"/>
    </row>
    <row r="32" spans="1:8" x14ac:dyDescent="0.2">
      <c r="A32" s="3">
        <v>26</v>
      </c>
      <c r="B32" s="4" t="s">
        <v>199</v>
      </c>
      <c r="C32" s="4" t="s">
        <v>200</v>
      </c>
      <c r="D32" s="4" t="s">
        <v>64</v>
      </c>
      <c r="E32" s="5">
        <v>108993</v>
      </c>
      <c r="F32" s="6">
        <v>114.11567100000001</v>
      </c>
      <c r="G32" s="7">
        <v>1.4032453E-2</v>
      </c>
      <c r="H32" s="112"/>
    </row>
    <row r="33" spans="1:8" ht="25.5" x14ac:dyDescent="0.2">
      <c r="A33" s="3">
        <v>27</v>
      </c>
      <c r="B33" s="4" t="s">
        <v>246</v>
      </c>
      <c r="C33" s="4" t="s">
        <v>247</v>
      </c>
      <c r="D33" s="4" t="s">
        <v>978</v>
      </c>
      <c r="E33" s="5">
        <v>107569</v>
      </c>
      <c r="F33" s="6">
        <v>113.377726</v>
      </c>
      <c r="G33" s="7">
        <v>1.394171E-2</v>
      </c>
      <c r="H33" s="112"/>
    </row>
    <row r="34" spans="1:8" x14ac:dyDescent="0.2">
      <c r="A34" s="3">
        <v>28</v>
      </c>
      <c r="B34" s="4" t="s">
        <v>213</v>
      </c>
      <c r="C34" s="4" t="s">
        <v>214</v>
      </c>
      <c r="D34" s="4" t="s">
        <v>977</v>
      </c>
      <c r="E34" s="5">
        <v>18393</v>
      </c>
      <c r="F34" s="6">
        <v>106.734579</v>
      </c>
      <c r="G34" s="7">
        <v>1.3124823000000001E-2</v>
      </c>
      <c r="H34" s="112"/>
    </row>
    <row r="35" spans="1:8" x14ac:dyDescent="0.2">
      <c r="A35" s="3">
        <v>29</v>
      </c>
      <c r="B35" s="4" t="s">
        <v>176</v>
      </c>
      <c r="C35" s="4" t="s">
        <v>177</v>
      </c>
      <c r="D35" s="4" t="s">
        <v>178</v>
      </c>
      <c r="E35" s="5">
        <v>10328</v>
      </c>
      <c r="F35" s="6">
        <v>105.211336</v>
      </c>
      <c r="G35" s="7">
        <v>1.2937514000000001E-2</v>
      </c>
      <c r="H35" s="112"/>
    </row>
    <row r="36" spans="1:8" ht="25.5" x14ac:dyDescent="0.2">
      <c r="A36" s="3">
        <v>30</v>
      </c>
      <c r="B36" s="4" t="s">
        <v>229</v>
      </c>
      <c r="C36" s="4" t="s">
        <v>230</v>
      </c>
      <c r="D36" s="4" t="s">
        <v>71</v>
      </c>
      <c r="E36" s="5">
        <v>5046</v>
      </c>
      <c r="F36" s="6">
        <v>104.60357999999999</v>
      </c>
      <c r="G36" s="7">
        <v>1.2862780000000001E-2</v>
      </c>
      <c r="H36" s="112"/>
    </row>
    <row r="37" spans="1:8" x14ac:dyDescent="0.2">
      <c r="A37" s="3">
        <v>31</v>
      </c>
      <c r="B37" s="4" t="s">
        <v>244</v>
      </c>
      <c r="C37" s="4" t="s">
        <v>245</v>
      </c>
      <c r="D37" s="4" t="s">
        <v>173</v>
      </c>
      <c r="E37" s="5">
        <v>25572</v>
      </c>
      <c r="F37" s="6">
        <v>100.855968</v>
      </c>
      <c r="G37" s="7">
        <v>1.2401947999999999E-2</v>
      </c>
      <c r="H37" s="112"/>
    </row>
    <row r="38" spans="1:8" x14ac:dyDescent="0.2">
      <c r="A38" s="3">
        <v>32</v>
      </c>
      <c r="B38" s="4" t="s">
        <v>481</v>
      </c>
      <c r="C38" s="4" t="s">
        <v>482</v>
      </c>
      <c r="D38" s="4" t="s">
        <v>186</v>
      </c>
      <c r="E38" s="5">
        <v>16923</v>
      </c>
      <c r="F38" s="6">
        <v>97.425711000000007</v>
      </c>
      <c r="G38" s="7">
        <v>1.198014E-2</v>
      </c>
      <c r="H38" s="112"/>
    </row>
    <row r="39" spans="1:8" ht="25.5" x14ac:dyDescent="0.2">
      <c r="A39" s="3">
        <v>33</v>
      </c>
      <c r="B39" s="4" t="s">
        <v>235</v>
      </c>
      <c r="C39" s="4" t="s">
        <v>236</v>
      </c>
      <c r="D39" s="4" t="s">
        <v>192</v>
      </c>
      <c r="E39" s="5">
        <v>21059</v>
      </c>
      <c r="F39" s="6">
        <v>96.229100500000001</v>
      </c>
      <c r="G39" s="7">
        <v>1.1832996E-2</v>
      </c>
      <c r="H39" s="112"/>
    </row>
    <row r="40" spans="1:8" x14ac:dyDescent="0.2">
      <c r="A40" s="3">
        <v>34</v>
      </c>
      <c r="B40" s="4" t="s">
        <v>179</v>
      </c>
      <c r="C40" s="4" t="s">
        <v>180</v>
      </c>
      <c r="D40" s="4" t="s">
        <v>71</v>
      </c>
      <c r="E40" s="5">
        <v>9272</v>
      </c>
      <c r="F40" s="6">
        <v>95.075087999999994</v>
      </c>
      <c r="G40" s="7">
        <v>1.1691091000000001E-2</v>
      </c>
      <c r="H40" s="112"/>
    </row>
    <row r="41" spans="1:8" x14ac:dyDescent="0.2">
      <c r="A41" s="3">
        <v>35</v>
      </c>
      <c r="B41" s="4" t="s">
        <v>262</v>
      </c>
      <c r="C41" s="4" t="s">
        <v>263</v>
      </c>
      <c r="D41" s="4" t="s">
        <v>977</v>
      </c>
      <c r="E41" s="5">
        <v>65797</v>
      </c>
      <c r="F41" s="6">
        <v>94.780578500000004</v>
      </c>
      <c r="G41" s="7">
        <v>1.1654876E-2</v>
      </c>
      <c r="H41" s="112"/>
    </row>
    <row r="42" spans="1:8" x14ac:dyDescent="0.2">
      <c r="A42" s="3">
        <v>36</v>
      </c>
      <c r="B42" s="4" t="s">
        <v>221</v>
      </c>
      <c r="C42" s="4" t="s">
        <v>222</v>
      </c>
      <c r="D42" s="4" t="s">
        <v>173</v>
      </c>
      <c r="E42" s="5">
        <v>10808</v>
      </c>
      <c r="F42" s="6">
        <v>93.154151999999996</v>
      </c>
      <c r="G42" s="7">
        <v>1.1454878999999999E-2</v>
      </c>
      <c r="H42" s="112"/>
    </row>
    <row r="43" spans="1:8" x14ac:dyDescent="0.2">
      <c r="A43" s="3">
        <v>37</v>
      </c>
      <c r="B43" s="4" t="s">
        <v>207</v>
      </c>
      <c r="C43" s="4" t="s">
        <v>208</v>
      </c>
      <c r="D43" s="4" t="s">
        <v>209</v>
      </c>
      <c r="E43" s="5">
        <v>19323</v>
      </c>
      <c r="F43" s="6">
        <v>89.987211000000002</v>
      </c>
      <c r="G43" s="7">
        <v>1.1065449999999999E-2</v>
      </c>
      <c r="H43" s="112"/>
    </row>
    <row r="44" spans="1:8" x14ac:dyDescent="0.2">
      <c r="A44" s="3">
        <v>38</v>
      </c>
      <c r="B44" s="4" t="s">
        <v>287</v>
      </c>
      <c r="C44" s="4" t="s">
        <v>288</v>
      </c>
      <c r="D44" s="4" t="s">
        <v>27</v>
      </c>
      <c r="E44" s="5">
        <v>8330</v>
      </c>
      <c r="F44" s="6">
        <v>89.551665</v>
      </c>
      <c r="G44" s="7">
        <v>1.1011893E-2</v>
      </c>
      <c r="H44" s="112"/>
    </row>
    <row r="45" spans="1:8" x14ac:dyDescent="0.2">
      <c r="A45" s="3">
        <v>39</v>
      </c>
      <c r="B45" s="4" t="s">
        <v>260</v>
      </c>
      <c r="C45" s="4" t="s">
        <v>261</v>
      </c>
      <c r="D45" s="4" t="s">
        <v>173</v>
      </c>
      <c r="E45" s="5">
        <v>14616</v>
      </c>
      <c r="F45" s="6">
        <v>88.054091999999997</v>
      </c>
      <c r="G45" s="7">
        <v>1.0827741E-2</v>
      </c>
      <c r="H45" s="112"/>
    </row>
    <row r="46" spans="1:8" ht="25.5" x14ac:dyDescent="0.2">
      <c r="A46" s="3">
        <v>40</v>
      </c>
      <c r="B46" s="4" t="s">
        <v>250</v>
      </c>
      <c r="C46" s="4" t="s">
        <v>251</v>
      </c>
      <c r="D46" s="4" t="s">
        <v>192</v>
      </c>
      <c r="E46" s="5">
        <v>22731</v>
      </c>
      <c r="F46" s="6">
        <v>86.491455000000002</v>
      </c>
      <c r="G46" s="7">
        <v>1.0635588E-2</v>
      </c>
      <c r="H46" s="112"/>
    </row>
    <row r="47" spans="1:8" x14ac:dyDescent="0.2">
      <c r="A47" s="3">
        <v>41</v>
      </c>
      <c r="B47" s="4" t="s">
        <v>227</v>
      </c>
      <c r="C47" s="4" t="s">
        <v>228</v>
      </c>
      <c r="D47" s="4" t="s">
        <v>974</v>
      </c>
      <c r="E47" s="5">
        <v>4895</v>
      </c>
      <c r="F47" s="6">
        <v>83.398562499999997</v>
      </c>
      <c r="G47" s="7">
        <v>1.0255265E-2</v>
      </c>
      <c r="H47" s="112"/>
    </row>
    <row r="48" spans="1:8" x14ac:dyDescent="0.2">
      <c r="A48" s="3">
        <v>42</v>
      </c>
      <c r="B48" s="4" t="s">
        <v>254</v>
      </c>
      <c r="C48" s="4" t="s">
        <v>255</v>
      </c>
      <c r="D48" s="4" t="s">
        <v>162</v>
      </c>
      <c r="E48" s="5">
        <v>6375</v>
      </c>
      <c r="F48" s="6">
        <v>81.242999999999995</v>
      </c>
      <c r="G48" s="7">
        <v>9.9902020000000001E-3</v>
      </c>
      <c r="H48" s="112"/>
    </row>
    <row r="49" spans="1:8" ht="25.5" x14ac:dyDescent="0.2">
      <c r="A49" s="3">
        <v>43</v>
      </c>
      <c r="B49" s="4" t="s">
        <v>181</v>
      </c>
      <c r="C49" s="4" t="s">
        <v>931</v>
      </c>
      <c r="D49" s="4" t="s">
        <v>45</v>
      </c>
      <c r="E49" s="5">
        <v>33472</v>
      </c>
      <c r="F49" s="6">
        <v>78.106911999999994</v>
      </c>
      <c r="G49" s="7">
        <v>9.6045669999999996E-3</v>
      </c>
      <c r="H49" s="112"/>
    </row>
    <row r="50" spans="1:8" x14ac:dyDescent="0.2">
      <c r="A50" s="3">
        <v>44</v>
      </c>
      <c r="B50" s="4" t="s">
        <v>169</v>
      </c>
      <c r="C50" s="4" t="s">
        <v>170</v>
      </c>
      <c r="D50" s="4" t="s">
        <v>19</v>
      </c>
      <c r="E50" s="5">
        <v>43070</v>
      </c>
      <c r="F50" s="6">
        <v>77.762884999999997</v>
      </c>
      <c r="G50" s="7">
        <v>9.5622629999999997E-3</v>
      </c>
      <c r="H50" s="112"/>
    </row>
    <row r="51" spans="1:8" x14ac:dyDescent="0.2">
      <c r="A51" s="3">
        <v>45</v>
      </c>
      <c r="B51" s="4" t="s">
        <v>264</v>
      </c>
      <c r="C51" s="4" t="s">
        <v>265</v>
      </c>
      <c r="D51" s="4" t="s">
        <v>266</v>
      </c>
      <c r="E51" s="5">
        <v>33525</v>
      </c>
      <c r="F51" s="6">
        <v>76.956637499999999</v>
      </c>
      <c r="G51" s="7">
        <v>9.4631209999999997E-3</v>
      </c>
      <c r="H51" s="112"/>
    </row>
    <row r="52" spans="1:8" x14ac:dyDescent="0.2">
      <c r="A52" s="3">
        <v>46</v>
      </c>
      <c r="B52" s="4" t="s">
        <v>267</v>
      </c>
      <c r="C52" s="4" t="s">
        <v>268</v>
      </c>
      <c r="D52" s="4" t="s">
        <v>19</v>
      </c>
      <c r="E52" s="5">
        <v>82133</v>
      </c>
      <c r="F52" s="6">
        <v>74.576763999999997</v>
      </c>
      <c r="G52" s="7">
        <v>9.1704750000000008E-3</v>
      </c>
      <c r="H52" s="112"/>
    </row>
    <row r="53" spans="1:8" x14ac:dyDescent="0.2">
      <c r="A53" s="3">
        <v>47</v>
      </c>
      <c r="B53" s="4" t="s">
        <v>223</v>
      </c>
      <c r="C53" s="4" t="s">
        <v>224</v>
      </c>
      <c r="D53" s="4" t="s">
        <v>27</v>
      </c>
      <c r="E53" s="5">
        <v>3837</v>
      </c>
      <c r="F53" s="6">
        <v>68.987341499999999</v>
      </c>
      <c r="G53" s="7">
        <v>8.4831609999999995E-3</v>
      </c>
      <c r="H53" s="112"/>
    </row>
    <row r="54" spans="1:8" x14ac:dyDescent="0.2">
      <c r="A54" s="3">
        <v>48</v>
      </c>
      <c r="B54" s="4" t="s">
        <v>258</v>
      </c>
      <c r="C54" s="4" t="s">
        <v>259</v>
      </c>
      <c r="D54" s="4" t="s">
        <v>53</v>
      </c>
      <c r="E54" s="5">
        <v>7165</v>
      </c>
      <c r="F54" s="6">
        <v>68.547555000000003</v>
      </c>
      <c r="G54" s="7">
        <v>8.4290819999999992E-3</v>
      </c>
      <c r="H54" s="112"/>
    </row>
    <row r="55" spans="1:8" x14ac:dyDescent="0.2">
      <c r="A55" s="3">
        <v>49</v>
      </c>
      <c r="B55" s="4" t="s">
        <v>62</v>
      </c>
      <c r="C55" s="4" t="s">
        <v>63</v>
      </c>
      <c r="D55" s="4" t="s">
        <v>64</v>
      </c>
      <c r="E55" s="5">
        <v>39491</v>
      </c>
      <c r="F55" s="6">
        <v>64.903458499999999</v>
      </c>
      <c r="G55" s="7">
        <v>7.9809789999999992E-3</v>
      </c>
      <c r="H55" s="112"/>
    </row>
    <row r="56" spans="1:8" x14ac:dyDescent="0.2">
      <c r="A56" s="3">
        <v>50</v>
      </c>
      <c r="B56" s="4" t="s">
        <v>158</v>
      </c>
      <c r="C56" s="4" t="s">
        <v>159</v>
      </c>
      <c r="D56" s="4" t="s">
        <v>979</v>
      </c>
      <c r="E56" s="5">
        <v>29418</v>
      </c>
      <c r="F56" s="6">
        <v>64.778435999999999</v>
      </c>
      <c r="G56" s="7">
        <v>7.9656050000000006E-3</v>
      </c>
      <c r="H56" s="112"/>
    </row>
    <row r="57" spans="1:8" x14ac:dyDescent="0.2">
      <c r="A57" s="3">
        <v>51</v>
      </c>
      <c r="B57" s="4" t="s">
        <v>273</v>
      </c>
      <c r="C57" s="4" t="s">
        <v>274</v>
      </c>
      <c r="D57" s="4" t="s">
        <v>71</v>
      </c>
      <c r="E57" s="5">
        <v>46361</v>
      </c>
      <c r="F57" s="6">
        <v>61.799213000000002</v>
      </c>
      <c r="G57" s="7">
        <v>7.5992589999999997E-3</v>
      </c>
      <c r="H57" s="112"/>
    </row>
    <row r="58" spans="1:8" x14ac:dyDescent="0.2">
      <c r="A58" s="3">
        <v>52</v>
      </c>
      <c r="B58" s="4" t="s">
        <v>269</v>
      </c>
      <c r="C58" s="4" t="s">
        <v>270</v>
      </c>
      <c r="D58" s="4" t="s">
        <v>186</v>
      </c>
      <c r="E58" s="5">
        <v>1052</v>
      </c>
      <c r="F58" s="6">
        <v>57.057850000000002</v>
      </c>
      <c r="G58" s="7">
        <v>7.0162280000000002E-3</v>
      </c>
      <c r="H58" s="112"/>
    </row>
    <row r="59" spans="1:8" x14ac:dyDescent="0.2">
      <c r="A59" s="3">
        <v>53</v>
      </c>
      <c r="B59" s="4" t="s">
        <v>231</v>
      </c>
      <c r="C59" s="4" t="s">
        <v>232</v>
      </c>
      <c r="D59" s="4" t="s">
        <v>71</v>
      </c>
      <c r="E59" s="5">
        <v>20113</v>
      </c>
      <c r="F59" s="6">
        <v>56.185665499999999</v>
      </c>
      <c r="G59" s="7">
        <v>6.9089779999999996E-3</v>
      </c>
      <c r="H59" s="112"/>
    </row>
    <row r="60" spans="1:8" x14ac:dyDescent="0.2">
      <c r="A60" s="3">
        <v>54</v>
      </c>
      <c r="B60" s="4" t="s">
        <v>215</v>
      </c>
      <c r="C60" s="4" t="s">
        <v>216</v>
      </c>
      <c r="D60" s="4" t="s">
        <v>53</v>
      </c>
      <c r="E60" s="5">
        <v>23492</v>
      </c>
      <c r="F60" s="6">
        <v>55.276676000000002</v>
      </c>
      <c r="G60" s="7">
        <v>6.7972029999999999E-3</v>
      </c>
      <c r="H60" s="112"/>
    </row>
    <row r="61" spans="1:8" x14ac:dyDescent="0.2">
      <c r="A61" s="3">
        <v>55</v>
      </c>
      <c r="B61" s="4" t="s">
        <v>240</v>
      </c>
      <c r="C61" s="4" t="s">
        <v>241</v>
      </c>
      <c r="D61" s="4" t="s">
        <v>81</v>
      </c>
      <c r="E61" s="5">
        <v>94633</v>
      </c>
      <c r="F61" s="6">
        <v>52.142783000000001</v>
      </c>
      <c r="G61" s="7">
        <v>6.4118380000000004E-3</v>
      </c>
      <c r="H61" s="112"/>
    </row>
    <row r="62" spans="1:8" x14ac:dyDescent="0.2">
      <c r="A62" s="3">
        <v>56</v>
      </c>
      <c r="B62" s="4" t="s">
        <v>477</v>
      </c>
      <c r="C62" s="4" t="s">
        <v>478</v>
      </c>
      <c r="D62" s="4" t="s">
        <v>974</v>
      </c>
      <c r="E62" s="5">
        <v>54229</v>
      </c>
      <c r="F62" s="6">
        <v>52.141183499999997</v>
      </c>
      <c r="G62" s="7">
        <v>6.411641E-3</v>
      </c>
      <c r="H62" s="112"/>
    </row>
    <row r="63" spans="1:8" x14ac:dyDescent="0.2">
      <c r="A63" s="3">
        <v>57</v>
      </c>
      <c r="B63" s="4" t="s">
        <v>242</v>
      </c>
      <c r="C63" s="4" t="s">
        <v>243</v>
      </c>
      <c r="D63" s="4" t="s">
        <v>334</v>
      </c>
      <c r="E63" s="5">
        <v>4284</v>
      </c>
      <c r="F63" s="6">
        <v>51.300899999999999</v>
      </c>
      <c r="G63" s="7">
        <v>6.3083139999999998E-3</v>
      </c>
      <c r="H63" s="112"/>
    </row>
    <row r="64" spans="1:8" x14ac:dyDescent="0.2">
      <c r="A64" s="3">
        <v>58</v>
      </c>
      <c r="B64" s="4" t="s">
        <v>252</v>
      </c>
      <c r="C64" s="4" t="s">
        <v>253</v>
      </c>
      <c r="D64" s="4" t="s">
        <v>34</v>
      </c>
      <c r="E64" s="5">
        <v>40010</v>
      </c>
      <c r="F64" s="6">
        <v>50.512625</v>
      </c>
      <c r="G64" s="7">
        <v>6.2113819999999997E-3</v>
      </c>
      <c r="H64" s="112"/>
    </row>
    <row r="65" spans="1:8" x14ac:dyDescent="0.2">
      <c r="A65" s="3">
        <v>59</v>
      </c>
      <c r="B65" s="4" t="s">
        <v>279</v>
      </c>
      <c r="C65" s="4" t="s">
        <v>280</v>
      </c>
      <c r="D65" s="4" t="s">
        <v>147</v>
      </c>
      <c r="E65" s="5">
        <v>3563</v>
      </c>
      <c r="F65" s="6">
        <v>46.655703500000001</v>
      </c>
      <c r="G65" s="7">
        <v>5.7371080000000003E-3</v>
      </c>
      <c r="H65" s="112"/>
    </row>
    <row r="66" spans="1:8" x14ac:dyDescent="0.2">
      <c r="A66" s="3">
        <v>60</v>
      </c>
      <c r="B66" s="4" t="s">
        <v>271</v>
      </c>
      <c r="C66" s="4" t="s">
        <v>272</v>
      </c>
      <c r="D66" s="4" t="s">
        <v>147</v>
      </c>
      <c r="E66" s="5">
        <v>7147</v>
      </c>
      <c r="F66" s="6">
        <v>46.498381999999999</v>
      </c>
      <c r="G66" s="7">
        <v>5.7177629999999998E-3</v>
      </c>
      <c r="H66" s="112"/>
    </row>
    <row r="67" spans="1:8" x14ac:dyDescent="0.2">
      <c r="A67" s="3">
        <v>61</v>
      </c>
      <c r="B67" s="4" t="s">
        <v>217</v>
      </c>
      <c r="C67" s="4" t="s">
        <v>218</v>
      </c>
      <c r="D67" s="4" t="s">
        <v>979</v>
      </c>
      <c r="E67" s="5">
        <v>2309</v>
      </c>
      <c r="F67" s="6">
        <v>37.357311000000003</v>
      </c>
      <c r="G67" s="7">
        <v>4.5937139999999996E-3</v>
      </c>
      <c r="H67" s="112"/>
    </row>
    <row r="68" spans="1:8" ht="25.5" x14ac:dyDescent="0.2">
      <c r="A68" s="3">
        <v>62</v>
      </c>
      <c r="B68" s="4" t="s">
        <v>92</v>
      </c>
      <c r="C68" s="4" t="s">
        <v>93</v>
      </c>
      <c r="D68" s="4" t="s">
        <v>45</v>
      </c>
      <c r="E68" s="5">
        <v>4928</v>
      </c>
      <c r="F68" s="6">
        <v>32.736704000000003</v>
      </c>
      <c r="G68" s="7">
        <v>4.0255320000000001E-3</v>
      </c>
      <c r="H68" s="112"/>
    </row>
    <row r="69" spans="1:8" x14ac:dyDescent="0.2">
      <c r="A69" s="3">
        <v>63</v>
      </c>
      <c r="B69" s="4" t="s">
        <v>275</v>
      </c>
      <c r="C69" s="4" t="s">
        <v>276</v>
      </c>
      <c r="D69" s="4" t="s">
        <v>162</v>
      </c>
      <c r="E69" s="5">
        <v>7394</v>
      </c>
      <c r="F69" s="6">
        <v>30.618554</v>
      </c>
      <c r="G69" s="7">
        <v>3.7650689999999998E-3</v>
      </c>
      <c r="H69" s="112"/>
    </row>
    <row r="70" spans="1:8" x14ac:dyDescent="0.2">
      <c r="A70" s="3">
        <v>64</v>
      </c>
      <c r="B70" s="4" t="s">
        <v>281</v>
      </c>
      <c r="C70" s="4" t="s">
        <v>282</v>
      </c>
      <c r="D70" s="4" t="s">
        <v>334</v>
      </c>
      <c r="E70" s="5">
        <v>1364</v>
      </c>
      <c r="F70" s="6">
        <v>10.878582</v>
      </c>
      <c r="G70" s="7">
        <v>1.3377059999999999E-3</v>
      </c>
      <c r="H70" s="112"/>
    </row>
    <row r="71" spans="1:8" x14ac:dyDescent="0.2">
      <c r="A71" s="3">
        <v>65</v>
      </c>
      <c r="B71" s="4" t="s">
        <v>283</v>
      </c>
      <c r="C71" s="4" t="s">
        <v>284</v>
      </c>
      <c r="D71" s="4" t="s">
        <v>19</v>
      </c>
      <c r="E71" s="5">
        <v>13808</v>
      </c>
      <c r="F71" s="6">
        <v>8.8716399999999993</v>
      </c>
      <c r="G71" s="7">
        <v>1.090918E-3</v>
      </c>
      <c r="H71" s="112"/>
    </row>
    <row r="72" spans="1:8" x14ac:dyDescent="0.2">
      <c r="A72" s="3">
        <v>66</v>
      </c>
      <c r="B72" s="4" t="s">
        <v>277</v>
      </c>
      <c r="C72" s="4" t="s">
        <v>278</v>
      </c>
      <c r="D72" s="4" t="s">
        <v>186</v>
      </c>
      <c r="E72" s="5">
        <v>1627</v>
      </c>
      <c r="F72" s="6">
        <v>5.0176679999999996</v>
      </c>
      <c r="G72" s="7">
        <v>6.1700700000000004E-4</v>
      </c>
      <c r="H72" s="112"/>
    </row>
    <row r="73" spans="1:8" x14ac:dyDescent="0.2">
      <c r="A73" s="1"/>
      <c r="B73" s="1"/>
      <c r="C73" s="2" t="s">
        <v>97</v>
      </c>
      <c r="D73" s="1"/>
      <c r="E73" s="1" t="s">
        <v>98</v>
      </c>
      <c r="F73" s="9">
        <v>7705.340381</v>
      </c>
      <c r="G73" s="10">
        <v>0.94750199599999996</v>
      </c>
      <c r="H73" s="112"/>
    </row>
    <row r="74" spans="1:8" x14ac:dyDescent="0.2">
      <c r="A74" s="1"/>
      <c r="B74" s="1"/>
      <c r="C74" s="11"/>
      <c r="D74" s="1"/>
      <c r="E74" s="1"/>
      <c r="F74" s="12"/>
      <c r="G74" s="12"/>
      <c r="H74" s="112"/>
    </row>
    <row r="75" spans="1:8" x14ac:dyDescent="0.2">
      <c r="A75" s="1"/>
      <c r="B75" s="1"/>
      <c r="C75" s="2" t="s">
        <v>99</v>
      </c>
      <c r="D75" s="1"/>
      <c r="E75" s="1"/>
      <c r="F75" s="1"/>
      <c r="G75" s="1"/>
      <c r="H75" s="112"/>
    </row>
    <row r="76" spans="1:8" x14ac:dyDescent="0.2">
      <c r="A76" s="1"/>
      <c r="B76" s="1"/>
      <c r="C76" s="2" t="s">
        <v>97</v>
      </c>
      <c r="D76" s="1"/>
      <c r="E76" s="1" t="s">
        <v>98</v>
      </c>
      <c r="F76" s="13">
        <v>0</v>
      </c>
      <c r="G76" s="14">
        <v>0</v>
      </c>
      <c r="H76" s="112"/>
    </row>
    <row r="77" spans="1:8" x14ac:dyDescent="0.2">
      <c r="A77" s="1"/>
      <c r="B77" s="1"/>
      <c r="C77" s="11"/>
      <c r="D77" s="1"/>
      <c r="E77" s="1"/>
      <c r="F77" s="12"/>
      <c r="G77" s="12"/>
      <c r="H77" s="112"/>
    </row>
    <row r="78" spans="1:8" x14ac:dyDescent="0.2">
      <c r="A78" s="1"/>
      <c r="B78" s="1"/>
      <c r="C78" s="2" t="s">
        <v>100</v>
      </c>
      <c r="D78" s="1"/>
      <c r="E78" s="1"/>
      <c r="F78" s="1"/>
      <c r="G78" s="1"/>
      <c r="H78" s="112"/>
    </row>
    <row r="79" spans="1:8" x14ac:dyDescent="0.2">
      <c r="A79" s="1"/>
      <c r="B79" s="1"/>
      <c r="C79" s="2" t="s">
        <v>97</v>
      </c>
      <c r="D79" s="1"/>
      <c r="E79" s="1" t="s">
        <v>98</v>
      </c>
      <c r="F79" s="13">
        <v>0</v>
      </c>
      <c r="G79" s="14">
        <v>0</v>
      </c>
      <c r="H79" s="112"/>
    </row>
    <row r="80" spans="1:8" x14ac:dyDescent="0.2">
      <c r="A80" s="1"/>
      <c r="B80" s="1"/>
      <c r="C80" s="11"/>
      <c r="D80" s="1"/>
      <c r="E80" s="1"/>
      <c r="F80" s="12"/>
      <c r="G80" s="12"/>
      <c r="H80" s="112"/>
    </row>
    <row r="81" spans="1:8" x14ac:dyDescent="0.2">
      <c r="A81" s="1"/>
      <c r="B81" s="1"/>
      <c r="C81" s="2" t="s">
        <v>101</v>
      </c>
      <c r="D81" s="1"/>
      <c r="E81" s="1"/>
      <c r="F81" s="1"/>
      <c r="G81" s="1"/>
      <c r="H81" s="112"/>
    </row>
    <row r="82" spans="1:8" x14ac:dyDescent="0.2">
      <c r="A82" s="1"/>
      <c r="B82" s="1"/>
      <c r="C82" s="2" t="s">
        <v>97</v>
      </c>
      <c r="D82" s="1"/>
      <c r="E82" s="1" t="s">
        <v>98</v>
      </c>
      <c r="F82" s="13">
        <v>0</v>
      </c>
      <c r="G82" s="14">
        <v>0</v>
      </c>
      <c r="H82" s="112"/>
    </row>
    <row r="83" spans="1:8" x14ac:dyDescent="0.2">
      <c r="A83" s="1"/>
      <c r="B83" s="1"/>
      <c r="C83" s="11"/>
      <c r="D83" s="1"/>
      <c r="E83" s="1"/>
      <c r="F83" s="12"/>
      <c r="G83" s="12"/>
      <c r="H83" s="112"/>
    </row>
    <row r="84" spans="1:8" x14ac:dyDescent="0.2">
      <c r="A84" s="1"/>
      <c r="B84" s="1"/>
      <c r="C84" s="2" t="s">
        <v>102</v>
      </c>
      <c r="D84" s="1"/>
      <c r="E84" s="1"/>
      <c r="F84" s="12"/>
      <c r="G84" s="12"/>
      <c r="H84" s="112"/>
    </row>
    <row r="85" spans="1:8" x14ac:dyDescent="0.2">
      <c r="A85" s="1"/>
      <c r="B85" s="1"/>
      <c r="C85" s="2" t="s">
        <v>97</v>
      </c>
      <c r="D85" s="1"/>
      <c r="E85" s="1" t="s">
        <v>98</v>
      </c>
      <c r="F85" s="13">
        <v>0</v>
      </c>
      <c r="G85" s="14">
        <v>0</v>
      </c>
      <c r="H85" s="112"/>
    </row>
    <row r="86" spans="1:8" x14ac:dyDescent="0.2">
      <c r="A86" s="1"/>
      <c r="B86" s="1"/>
      <c r="C86" s="11"/>
      <c r="D86" s="1"/>
      <c r="E86" s="1"/>
      <c r="F86" s="12"/>
      <c r="G86" s="12"/>
      <c r="H86" s="112"/>
    </row>
    <row r="87" spans="1:8" x14ac:dyDescent="0.2">
      <c r="A87" s="1"/>
      <c r="B87" s="1"/>
      <c r="C87" s="2" t="s">
        <v>103</v>
      </c>
      <c r="D87" s="1"/>
      <c r="E87" s="1"/>
      <c r="F87" s="12"/>
      <c r="G87" s="12"/>
      <c r="H87" s="112"/>
    </row>
    <row r="88" spans="1:8" x14ac:dyDescent="0.2">
      <c r="A88" s="1"/>
      <c r="B88" s="1"/>
      <c r="C88" s="2" t="s">
        <v>97</v>
      </c>
      <c r="D88" s="1"/>
      <c r="E88" s="1" t="s">
        <v>98</v>
      </c>
      <c r="F88" s="13">
        <v>0</v>
      </c>
      <c r="G88" s="14">
        <v>0</v>
      </c>
      <c r="H88" s="112"/>
    </row>
    <row r="89" spans="1:8" x14ac:dyDescent="0.2">
      <c r="A89" s="1"/>
      <c r="B89" s="1"/>
      <c r="C89" s="11"/>
      <c r="D89" s="1"/>
      <c r="E89" s="1"/>
      <c r="F89" s="12"/>
      <c r="G89" s="12"/>
      <c r="H89" s="112"/>
    </row>
    <row r="90" spans="1:8" x14ac:dyDescent="0.2">
      <c r="A90" s="1"/>
      <c r="B90" s="1"/>
      <c r="C90" s="2" t="s">
        <v>104</v>
      </c>
      <c r="D90" s="1"/>
      <c r="E90" s="1"/>
      <c r="F90" s="9">
        <v>7705.340381</v>
      </c>
      <c r="G90" s="10">
        <v>0.94750199599999996</v>
      </c>
      <c r="H90" s="112"/>
    </row>
    <row r="91" spans="1:8" x14ac:dyDescent="0.2">
      <c r="A91" s="1"/>
      <c r="B91" s="1"/>
      <c r="C91" s="11"/>
      <c r="D91" s="1"/>
      <c r="E91" s="1"/>
      <c r="F91" s="12"/>
      <c r="G91" s="12"/>
      <c r="H91" s="112"/>
    </row>
    <row r="92" spans="1:8" x14ac:dyDescent="0.2">
      <c r="A92" s="1"/>
      <c r="B92" s="1"/>
      <c r="C92" s="2" t="s">
        <v>105</v>
      </c>
      <c r="D92" s="1"/>
      <c r="E92" s="1"/>
      <c r="F92" s="12"/>
      <c r="G92" s="12"/>
      <c r="H92" s="112"/>
    </row>
    <row r="93" spans="1:8" ht="25.5" x14ac:dyDescent="0.2">
      <c r="A93" s="1"/>
      <c r="B93" s="1"/>
      <c r="C93" s="2" t="s">
        <v>10</v>
      </c>
      <c r="D93" s="1"/>
      <c r="E93" s="1"/>
      <c r="F93" s="12"/>
      <c r="G93" s="12"/>
      <c r="H93" s="112"/>
    </row>
    <row r="94" spans="1:8" x14ac:dyDescent="0.2">
      <c r="A94" s="1"/>
      <c r="B94" s="1"/>
      <c r="C94" s="2" t="s">
        <v>97</v>
      </c>
      <c r="D94" s="1"/>
      <c r="E94" s="1" t="s">
        <v>98</v>
      </c>
      <c r="F94" s="13">
        <v>0</v>
      </c>
      <c r="G94" s="14">
        <v>0</v>
      </c>
      <c r="H94" s="112"/>
    </row>
    <row r="95" spans="1:8" x14ac:dyDescent="0.2">
      <c r="A95" s="1"/>
      <c r="B95" s="1"/>
      <c r="C95" s="11"/>
      <c r="D95" s="1"/>
      <c r="E95" s="1"/>
      <c r="F95" s="12"/>
      <c r="G95" s="12"/>
      <c r="H95" s="112"/>
    </row>
    <row r="96" spans="1:8" x14ac:dyDescent="0.2">
      <c r="A96" s="1"/>
      <c r="B96" s="1"/>
      <c r="C96" s="2" t="s">
        <v>106</v>
      </c>
      <c r="D96" s="1"/>
      <c r="E96" s="1"/>
      <c r="F96" s="1"/>
      <c r="G96" s="1"/>
      <c r="H96" s="112"/>
    </row>
    <row r="97" spans="1:8" x14ac:dyDescent="0.2">
      <c r="A97" s="1"/>
      <c r="B97" s="1"/>
      <c r="C97" s="2" t="s">
        <v>97</v>
      </c>
      <c r="D97" s="1"/>
      <c r="E97" s="1" t="s">
        <v>98</v>
      </c>
      <c r="F97" s="13">
        <v>0</v>
      </c>
      <c r="G97" s="14">
        <v>0</v>
      </c>
      <c r="H97" s="112"/>
    </row>
    <row r="98" spans="1:8" x14ac:dyDescent="0.2">
      <c r="A98" s="1"/>
      <c r="B98" s="1"/>
      <c r="C98" s="11"/>
      <c r="D98" s="1"/>
      <c r="E98" s="1"/>
      <c r="F98" s="12"/>
      <c r="G98" s="12"/>
      <c r="H98" s="112"/>
    </row>
    <row r="99" spans="1:8" x14ac:dyDescent="0.2">
      <c r="A99" s="1"/>
      <c r="B99" s="1"/>
      <c r="C99" s="2" t="s">
        <v>107</v>
      </c>
      <c r="D99" s="1"/>
      <c r="E99" s="1"/>
      <c r="F99" s="1"/>
      <c r="G99" s="1"/>
      <c r="H99" s="112"/>
    </row>
    <row r="100" spans="1:8" x14ac:dyDescent="0.2">
      <c r="A100" s="1"/>
      <c r="B100" s="1"/>
      <c r="C100" s="2" t="s">
        <v>97</v>
      </c>
      <c r="D100" s="1"/>
      <c r="E100" s="1" t="s">
        <v>98</v>
      </c>
      <c r="F100" s="13">
        <v>0</v>
      </c>
      <c r="G100" s="14">
        <v>0</v>
      </c>
      <c r="H100" s="112"/>
    </row>
    <row r="101" spans="1:8" x14ac:dyDescent="0.2">
      <c r="A101" s="1"/>
      <c r="B101" s="1"/>
      <c r="C101" s="11"/>
      <c r="D101" s="1"/>
      <c r="E101" s="1"/>
      <c r="F101" s="12"/>
      <c r="G101" s="12"/>
      <c r="H101" s="112"/>
    </row>
    <row r="102" spans="1:8" x14ac:dyDescent="0.2">
      <c r="A102" s="1"/>
      <c r="B102" s="1"/>
      <c r="C102" s="2" t="s">
        <v>108</v>
      </c>
      <c r="D102" s="1"/>
      <c r="E102" s="1"/>
      <c r="F102" s="12"/>
      <c r="G102" s="12"/>
      <c r="H102" s="112"/>
    </row>
    <row r="103" spans="1:8" x14ac:dyDescent="0.2">
      <c r="A103" s="1"/>
      <c r="B103" s="1"/>
      <c r="C103" s="2" t="s">
        <v>97</v>
      </c>
      <c r="D103" s="1"/>
      <c r="E103" s="1" t="s">
        <v>98</v>
      </c>
      <c r="F103" s="13">
        <v>0</v>
      </c>
      <c r="G103" s="14">
        <v>0</v>
      </c>
      <c r="H103" s="112"/>
    </row>
    <row r="104" spans="1:8" x14ac:dyDescent="0.2">
      <c r="A104" s="1"/>
      <c r="B104" s="1"/>
      <c r="C104" s="11"/>
      <c r="D104" s="1"/>
      <c r="E104" s="1"/>
      <c r="F104" s="12"/>
      <c r="G104" s="12"/>
      <c r="H104" s="112"/>
    </row>
    <row r="105" spans="1:8" x14ac:dyDescent="0.2">
      <c r="A105" s="1"/>
      <c r="B105" s="1"/>
      <c r="C105" s="2" t="s">
        <v>109</v>
      </c>
      <c r="D105" s="1"/>
      <c r="E105" s="1"/>
      <c r="F105" s="9">
        <v>0</v>
      </c>
      <c r="G105" s="10">
        <v>0</v>
      </c>
      <c r="H105" s="112"/>
    </row>
    <row r="106" spans="1:8" x14ac:dyDescent="0.2">
      <c r="A106" s="1"/>
      <c r="B106" s="1"/>
      <c r="C106" s="11"/>
      <c r="D106" s="1"/>
      <c r="E106" s="1"/>
      <c r="F106" s="12"/>
      <c r="G106" s="12"/>
      <c r="H106" s="112"/>
    </row>
    <row r="107" spans="1:8" x14ac:dyDescent="0.2">
      <c r="A107" s="1"/>
      <c r="B107" s="1"/>
      <c r="C107" s="2" t="s">
        <v>110</v>
      </c>
      <c r="D107" s="1"/>
      <c r="E107" s="1"/>
      <c r="F107" s="12"/>
      <c r="G107" s="12"/>
      <c r="H107" s="112"/>
    </row>
    <row r="108" spans="1:8" x14ac:dyDescent="0.2">
      <c r="A108" s="1"/>
      <c r="B108" s="1"/>
      <c r="C108" s="2" t="s">
        <v>111</v>
      </c>
      <c r="D108" s="1"/>
      <c r="E108" s="1"/>
      <c r="F108" s="12"/>
      <c r="G108" s="12"/>
      <c r="H108" s="112"/>
    </row>
    <row r="109" spans="1:8" x14ac:dyDescent="0.2">
      <c r="A109" s="1"/>
      <c r="B109" s="1"/>
      <c r="C109" s="2" t="s">
        <v>97</v>
      </c>
      <c r="D109" s="1"/>
      <c r="E109" s="1" t="s">
        <v>98</v>
      </c>
      <c r="F109" s="13">
        <v>0</v>
      </c>
      <c r="G109" s="14">
        <v>0</v>
      </c>
      <c r="H109" s="112"/>
    </row>
    <row r="110" spans="1:8" x14ac:dyDescent="0.2">
      <c r="A110" s="1"/>
      <c r="B110" s="1"/>
      <c r="C110" s="11"/>
      <c r="D110" s="1"/>
      <c r="E110" s="1"/>
      <c r="F110" s="12"/>
      <c r="G110" s="12"/>
      <c r="H110" s="112"/>
    </row>
    <row r="111" spans="1:8" x14ac:dyDescent="0.2">
      <c r="A111" s="1"/>
      <c r="B111" s="1"/>
      <c r="C111" s="2" t="s">
        <v>112</v>
      </c>
      <c r="D111" s="1"/>
      <c r="E111" s="1"/>
      <c r="F111" s="12"/>
      <c r="G111" s="12"/>
      <c r="H111" s="112"/>
    </row>
    <row r="112" spans="1:8" x14ac:dyDescent="0.2">
      <c r="A112" s="1"/>
      <c r="B112" s="1"/>
      <c r="C112" s="2" t="s">
        <v>97</v>
      </c>
      <c r="D112" s="1"/>
      <c r="E112" s="1" t="s">
        <v>98</v>
      </c>
      <c r="F112" s="13">
        <v>0</v>
      </c>
      <c r="G112" s="14">
        <v>0</v>
      </c>
      <c r="H112" s="112"/>
    </row>
    <row r="113" spans="1:8" x14ac:dyDescent="0.2">
      <c r="A113" s="1"/>
      <c r="B113" s="1"/>
      <c r="C113" s="11"/>
      <c r="D113" s="1"/>
      <c r="E113" s="1"/>
      <c r="F113" s="12"/>
      <c r="G113" s="12"/>
      <c r="H113" s="112"/>
    </row>
    <row r="114" spans="1:8" x14ac:dyDescent="0.2">
      <c r="A114" s="1"/>
      <c r="B114" s="1"/>
      <c r="C114" s="2" t="s">
        <v>113</v>
      </c>
      <c r="D114" s="1"/>
      <c r="E114" s="1"/>
      <c r="F114" s="12"/>
      <c r="G114" s="12"/>
      <c r="H114" s="112"/>
    </row>
    <row r="115" spans="1:8" x14ac:dyDescent="0.2">
      <c r="A115" s="1"/>
      <c r="B115" s="1"/>
      <c r="C115" s="2" t="s">
        <v>97</v>
      </c>
      <c r="D115" s="1"/>
      <c r="E115" s="1" t="s">
        <v>98</v>
      </c>
      <c r="F115" s="13">
        <v>0</v>
      </c>
      <c r="G115" s="14">
        <v>0</v>
      </c>
      <c r="H115" s="112"/>
    </row>
    <row r="116" spans="1:8" x14ac:dyDescent="0.2">
      <c r="A116" s="1"/>
      <c r="B116" s="1"/>
      <c r="C116" s="11"/>
      <c r="D116" s="1"/>
      <c r="E116" s="1"/>
      <c r="F116" s="12"/>
      <c r="G116" s="12"/>
      <c r="H116" s="112"/>
    </row>
    <row r="117" spans="1:8" x14ac:dyDescent="0.2">
      <c r="A117" s="1"/>
      <c r="B117" s="1"/>
      <c r="C117" s="2" t="s">
        <v>114</v>
      </c>
      <c r="D117" s="1"/>
      <c r="E117" s="1"/>
      <c r="F117" s="12"/>
      <c r="G117" s="12"/>
      <c r="H117" s="112"/>
    </row>
    <row r="118" spans="1:8" x14ac:dyDescent="0.2">
      <c r="A118" s="3">
        <v>1</v>
      </c>
      <c r="B118" s="4"/>
      <c r="C118" s="4" t="s">
        <v>115</v>
      </c>
      <c r="D118" s="4"/>
      <c r="E118" s="8"/>
      <c r="F118" s="6">
        <v>330.62047100591747</v>
      </c>
      <c r="G118" s="7">
        <v>4.0655381859449634E-2</v>
      </c>
      <c r="H118" s="6">
        <v>3.3211324282253978</v>
      </c>
    </row>
    <row r="119" spans="1:8" x14ac:dyDescent="0.2">
      <c r="A119" s="3">
        <v>2</v>
      </c>
      <c r="B119" s="4"/>
      <c r="C119" s="4" t="s">
        <v>116</v>
      </c>
      <c r="D119" s="4"/>
      <c r="E119" s="8"/>
      <c r="F119" s="6">
        <v>129.87547180002124</v>
      </c>
      <c r="G119" s="7">
        <v>1.597038708504998E-2</v>
      </c>
      <c r="H119" s="6">
        <v>3.35</v>
      </c>
    </row>
    <row r="120" spans="1:8" x14ac:dyDescent="0.2">
      <c r="A120" s="1"/>
      <c r="B120" s="1"/>
      <c r="C120" s="2" t="s">
        <v>97</v>
      </c>
      <c r="D120" s="1"/>
      <c r="E120" s="1" t="s">
        <v>98</v>
      </c>
      <c r="F120" s="9">
        <v>460.49594280593874</v>
      </c>
      <c r="G120" s="10">
        <v>5.662576894449961E-2</v>
      </c>
      <c r="H120" s="112"/>
    </row>
    <row r="121" spans="1:8" x14ac:dyDescent="0.2">
      <c r="A121" s="1"/>
      <c r="B121" s="1"/>
      <c r="C121" s="11"/>
      <c r="D121" s="1"/>
      <c r="E121" s="1"/>
      <c r="F121" s="12"/>
      <c r="G121" s="12"/>
      <c r="H121" s="112"/>
    </row>
    <row r="122" spans="1:8" x14ac:dyDescent="0.2">
      <c r="A122" s="1"/>
      <c r="B122" s="1"/>
      <c r="C122" s="2" t="s">
        <v>117</v>
      </c>
      <c r="D122" s="1"/>
      <c r="E122" s="1"/>
      <c r="F122" s="9">
        <v>460.49594280593874</v>
      </c>
      <c r="G122" s="10">
        <v>5.662576894449961E-2</v>
      </c>
      <c r="H122" s="112"/>
    </row>
    <row r="123" spans="1:8" x14ac:dyDescent="0.2">
      <c r="A123" s="1"/>
      <c r="B123" s="1"/>
      <c r="C123" s="12"/>
      <c r="D123" s="1"/>
      <c r="E123" s="1"/>
      <c r="F123" s="1"/>
      <c r="G123" s="1"/>
      <c r="H123" s="112"/>
    </row>
    <row r="124" spans="1:8" x14ac:dyDescent="0.2">
      <c r="A124" s="1"/>
      <c r="B124" s="1"/>
      <c r="C124" s="2" t="s">
        <v>118</v>
      </c>
      <c r="D124" s="1"/>
      <c r="E124" s="1"/>
      <c r="F124" s="1"/>
      <c r="G124" s="1"/>
      <c r="H124" s="112"/>
    </row>
    <row r="125" spans="1:8" x14ac:dyDescent="0.2">
      <c r="A125" s="1"/>
      <c r="B125" s="1"/>
      <c r="C125" s="2" t="s">
        <v>119</v>
      </c>
      <c r="D125" s="1"/>
      <c r="E125" s="1"/>
      <c r="F125" s="1"/>
      <c r="G125" s="1"/>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120</v>
      </c>
      <c r="D128" s="1"/>
      <c r="E128" s="1"/>
      <c r="F128" s="1"/>
      <c r="G128" s="1"/>
      <c r="H128" s="112"/>
    </row>
    <row r="129" spans="1:8" x14ac:dyDescent="0.2">
      <c r="A129" s="1"/>
      <c r="B129" s="1"/>
      <c r="C129" s="2" t="s">
        <v>121</v>
      </c>
      <c r="D129" s="1"/>
      <c r="E129" s="1"/>
      <c r="F129" s="1"/>
      <c r="G129" s="1"/>
      <c r="H129" s="112"/>
    </row>
    <row r="130" spans="1:8" x14ac:dyDescent="0.2">
      <c r="A130" s="1"/>
      <c r="B130" s="1"/>
      <c r="C130" s="2" t="s">
        <v>97</v>
      </c>
      <c r="D130" s="1"/>
      <c r="E130" s="1" t="s">
        <v>98</v>
      </c>
      <c r="F130" s="13">
        <v>0</v>
      </c>
      <c r="G130" s="14">
        <v>0</v>
      </c>
      <c r="H130" s="112"/>
    </row>
    <row r="131" spans="1:8" x14ac:dyDescent="0.2">
      <c r="A131" s="1"/>
      <c r="B131" s="1"/>
      <c r="C131" s="11"/>
      <c r="D131" s="1"/>
      <c r="E131" s="1"/>
      <c r="F131" s="12"/>
      <c r="G131" s="12"/>
      <c r="H131" s="112"/>
    </row>
    <row r="132" spans="1:8" x14ac:dyDescent="0.2">
      <c r="A132" s="1"/>
      <c r="B132" s="1"/>
      <c r="C132" s="11"/>
      <c r="D132" s="1"/>
      <c r="E132" s="1"/>
      <c r="F132" s="12"/>
      <c r="G132" s="12"/>
      <c r="H132" s="112"/>
    </row>
    <row r="133" spans="1:8" ht="25.5" x14ac:dyDescent="0.2">
      <c r="A133" s="1"/>
      <c r="B133" s="1"/>
      <c r="C133" s="2" t="s">
        <v>122</v>
      </c>
      <c r="D133" s="1"/>
      <c r="E133" s="1"/>
      <c r="F133" s="12"/>
      <c r="G133" s="12"/>
      <c r="H133" s="112"/>
    </row>
    <row r="134" spans="1:8" x14ac:dyDescent="0.2">
      <c r="A134" s="1"/>
      <c r="B134" s="1"/>
      <c r="C134" s="2" t="s">
        <v>97</v>
      </c>
      <c r="D134" s="1"/>
      <c r="E134" s="1" t="s">
        <v>98</v>
      </c>
      <c r="F134" s="13">
        <v>0</v>
      </c>
      <c r="G134" s="14">
        <v>0</v>
      </c>
      <c r="H134" s="112"/>
    </row>
    <row r="135" spans="1:8" x14ac:dyDescent="0.2">
      <c r="A135" s="1"/>
      <c r="B135" s="1"/>
      <c r="C135" s="11"/>
      <c r="D135" s="1"/>
      <c r="E135" s="1"/>
      <c r="F135" s="12"/>
      <c r="G135" s="12"/>
      <c r="H135" s="112"/>
    </row>
    <row r="136" spans="1:8" x14ac:dyDescent="0.2">
      <c r="A136" s="1"/>
      <c r="B136" s="4"/>
      <c r="C136" s="4"/>
      <c r="D136" s="2"/>
      <c r="E136" s="1"/>
      <c r="F136" s="4"/>
      <c r="G136" s="8"/>
      <c r="H136" s="112"/>
    </row>
    <row r="137" spans="1:8" x14ac:dyDescent="0.2">
      <c r="A137" s="8"/>
      <c r="B137" s="4"/>
      <c r="C137" s="4" t="s">
        <v>123</v>
      </c>
      <c r="D137" s="4"/>
      <c r="E137" s="8"/>
      <c r="F137" s="6">
        <v>-33.568021900021243</v>
      </c>
      <c r="G137" s="7">
        <v>-4.1277563499306303E-3</v>
      </c>
      <c r="H137" s="112"/>
    </row>
    <row r="138" spans="1:8" x14ac:dyDescent="0.2">
      <c r="A138" s="11"/>
      <c r="B138" s="11"/>
      <c r="C138" s="2" t="s">
        <v>124</v>
      </c>
      <c r="D138" s="15"/>
      <c r="E138" s="15"/>
      <c r="F138" s="9">
        <v>8132.2682480000003</v>
      </c>
      <c r="G138" s="10">
        <v>1.0000000019999999</v>
      </c>
      <c r="H138" s="112"/>
    </row>
    <row r="139" spans="1:8" ht="14.1" customHeight="1" x14ac:dyDescent="0.2">
      <c r="A139" s="16"/>
      <c r="B139" s="16"/>
      <c r="C139" s="16"/>
      <c r="D139" s="17"/>
      <c r="E139" s="17"/>
      <c r="F139" s="17"/>
      <c r="G139" s="17"/>
    </row>
    <row r="140" spans="1:8" ht="14.1" customHeight="1" x14ac:dyDescent="0.2">
      <c r="A140" s="18"/>
      <c r="B140" s="205" t="s">
        <v>98</v>
      </c>
      <c r="C140" s="205"/>
      <c r="D140" s="205"/>
      <c r="E140" s="205"/>
      <c r="F140" s="205"/>
      <c r="G140" s="20"/>
    </row>
    <row r="141" spans="1:8" ht="14.1" customHeight="1" x14ac:dyDescent="0.2">
      <c r="A141" s="18"/>
      <c r="B141" s="205" t="s">
        <v>98</v>
      </c>
      <c r="C141" s="205"/>
      <c r="D141" s="205"/>
      <c r="E141" s="205"/>
      <c r="F141" s="205"/>
      <c r="G141" s="20"/>
    </row>
    <row r="142" spans="1:8" ht="14.1" customHeight="1" x14ac:dyDescent="0.2">
      <c r="A142" s="18"/>
      <c r="B142" s="18"/>
      <c r="C142" s="18"/>
      <c r="D142" s="20"/>
      <c r="E142" s="20"/>
      <c r="F142" s="20"/>
      <c r="G142" s="20"/>
    </row>
    <row r="143" spans="1:8" ht="14.1" customHeight="1" x14ac:dyDescent="0.2">
      <c r="A143" s="18"/>
      <c r="B143" s="203" t="s">
        <v>126</v>
      </c>
      <c r="C143" s="204"/>
      <c r="D143" s="12" t="s">
        <v>98</v>
      </c>
      <c r="E143" s="21"/>
      <c r="F143" s="20"/>
      <c r="G143" s="20"/>
    </row>
    <row r="144" spans="1:8" ht="29.1" customHeight="1" x14ac:dyDescent="0.2">
      <c r="A144" s="18"/>
      <c r="B144" s="198" t="s">
        <v>127</v>
      </c>
      <c r="C144" s="199"/>
      <c r="D144" s="2" t="s">
        <v>128</v>
      </c>
      <c r="E144" s="21"/>
      <c r="F144" s="20"/>
      <c r="G144" s="20"/>
    </row>
    <row r="145" spans="1:7" ht="17.100000000000001" customHeight="1" x14ac:dyDescent="0.2">
      <c r="A145" s="18"/>
      <c r="B145" s="198" t="s">
        <v>129</v>
      </c>
      <c r="C145" s="199"/>
      <c r="D145" s="2" t="s">
        <v>128</v>
      </c>
      <c r="E145" s="21"/>
      <c r="F145" s="20"/>
      <c r="G145" s="20"/>
    </row>
    <row r="146" spans="1:7" ht="17.100000000000001" customHeight="1" x14ac:dyDescent="0.2">
      <c r="A146" s="18"/>
      <c r="B146" s="198" t="s">
        <v>130</v>
      </c>
      <c r="C146" s="199"/>
      <c r="D146" s="12" t="s">
        <v>98</v>
      </c>
      <c r="E146" s="21"/>
      <c r="F146" s="20"/>
      <c r="G146" s="20"/>
    </row>
    <row r="147" spans="1:7" ht="24" customHeight="1" x14ac:dyDescent="0.2">
      <c r="A147" s="22"/>
      <c r="B147" s="23" t="s">
        <v>98</v>
      </c>
      <c r="C147" s="23" t="s">
        <v>131</v>
      </c>
      <c r="D147" s="23" t="s">
        <v>132</v>
      </c>
      <c r="E147" s="22"/>
      <c r="F147" s="22"/>
      <c r="G147" s="22"/>
    </row>
    <row r="148" spans="1:7" ht="18" customHeight="1" x14ac:dyDescent="0.2">
      <c r="A148" s="22"/>
      <c r="B148" s="23" t="s">
        <v>133</v>
      </c>
      <c r="C148" s="23" t="s">
        <v>134</v>
      </c>
      <c r="D148" s="23" t="s">
        <v>135</v>
      </c>
      <c r="E148" s="22"/>
      <c r="F148" s="22"/>
      <c r="G148" s="22"/>
    </row>
    <row r="149" spans="1:7" ht="17.100000000000001" customHeight="1" x14ac:dyDescent="0.2">
      <c r="A149" s="22"/>
      <c r="B149" s="4" t="s">
        <v>136</v>
      </c>
      <c r="C149" s="24">
        <v>18.3049</v>
      </c>
      <c r="D149" s="24">
        <v>18.621300000000002</v>
      </c>
      <c r="E149" s="22"/>
      <c r="F149" s="19"/>
      <c r="G149" s="25"/>
    </row>
    <row r="150" spans="1:7" ht="17.100000000000001" customHeight="1" x14ac:dyDescent="0.2">
      <c r="A150" s="22"/>
      <c r="B150" s="4" t="s">
        <v>980</v>
      </c>
      <c r="C150" s="24">
        <v>16.860199999999999</v>
      </c>
      <c r="D150" s="24">
        <v>17.151599999999998</v>
      </c>
      <c r="E150" s="22"/>
      <c r="F150" s="19"/>
      <c r="G150" s="25"/>
    </row>
    <row r="151" spans="1:7" ht="17.100000000000001" customHeight="1" x14ac:dyDescent="0.2">
      <c r="A151" s="22"/>
      <c r="B151" s="4" t="s">
        <v>137</v>
      </c>
      <c r="C151" s="24">
        <v>17.8949</v>
      </c>
      <c r="D151" s="24">
        <v>18.201499999999999</v>
      </c>
      <c r="E151" s="22"/>
      <c r="F151" s="19"/>
      <c r="G151" s="25"/>
    </row>
    <row r="152" spans="1:7" ht="17.100000000000001" customHeight="1" x14ac:dyDescent="0.2">
      <c r="A152" s="22"/>
      <c r="B152" s="4" t="s">
        <v>981</v>
      </c>
      <c r="C152" s="24">
        <v>16.466999999999999</v>
      </c>
      <c r="D152" s="24">
        <v>16.749199999999998</v>
      </c>
      <c r="E152" s="22"/>
      <c r="F152" s="19"/>
      <c r="G152" s="25"/>
    </row>
    <row r="153" spans="1:7" ht="14.1" customHeight="1" x14ac:dyDescent="0.2">
      <c r="A153" s="22"/>
      <c r="B153" s="22"/>
      <c r="C153" s="22"/>
      <c r="D153" s="22"/>
      <c r="E153" s="22"/>
      <c r="F153" s="22"/>
      <c r="G153" s="22"/>
    </row>
    <row r="154" spans="1:7" ht="17.100000000000001" customHeight="1" x14ac:dyDescent="0.2">
      <c r="A154" s="22"/>
      <c r="B154" s="198" t="s">
        <v>982</v>
      </c>
      <c r="C154" s="199"/>
      <c r="D154" s="2" t="s">
        <v>128</v>
      </c>
      <c r="E154" s="22"/>
      <c r="F154" s="22"/>
      <c r="G154" s="22"/>
    </row>
    <row r="155" spans="1:7" ht="18" customHeight="1" x14ac:dyDescent="0.2">
      <c r="A155" s="22"/>
      <c r="B155" s="26"/>
      <c r="C155" s="26"/>
      <c r="D155" s="27"/>
      <c r="E155" s="22"/>
      <c r="F155" s="22"/>
      <c r="G155" s="22"/>
    </row>
    <row r="156" spans="1:7" s="113" customFormat="1" x14ac:dyDescent="0.2">
      <c r="B156" s="202" t="s">
        <v>984</v>
      </c>
      <c r="C156" s="202"/>
      <c r="D156" s="202"/>
      <c r="E156" s="202"/>
      <c r="F156" s="202"/>
    </row>
    <row r="157" spans="1:7" ht="14.1" customHeight="1" x14ac:dyDescent="0.2">
      <c r="A157" s="22"/>
      <c r="B157" s="19"/>
      <c r="C157" s="19"/>
      <c r="D157" s="22"/>
      <c r="E157" s="22"/>
      <c r="F157" s="22"/>
      <c r="G157" s="22"/>
    </row>
    <row r="158" spans="1:7" ht="29.1" customHeight="1" x14ac:dyDescent="0.2">
      <c r="A158" s="22"/>
      <c r="B158" s="198" t="s">
        <v>138</v>
      </c>
      <c r="C158" s="199"/>
      <c r="D158" s="2" t="s">
        <v>128</v>
      </c>
      <c r="E158" s="22"/>
      <c r="F158" s="22"/>
      <c r="G158" s="22"/>
    </row>
    <row r="159" spans="1:7" ht="29.1" customHeight="1" x14ac:dyDescent="0.2">
      <c r="A159" s="22"/>
      <c r="B159" s="198" t="s">
        <v>139</v>
      </c>
      <c r="C159" s="199"/>
      <c r="D159" s="2" t="s">
        <v>128</v>
      </c>
      <c r="E159" s="22"/>
      <c r="F159" s="22"/>
      <c r="G159" s="22"/>
    </row>
    <row r="160" spans="1:7" ht="17.100000000000001" customHeight="1" x14ac:dyDescent="0.2">
      <c r="A160" s="22"/>
      <c r="B160" s="198" t="s">
        <v>140</v>
      </c>
      <c r="C160" s="199"/>
      <c r="D160" s="28">
        <v>0.29676956391834902</v>
      </c>
      <c r="E160" s="22"/>
      <c r="F160" s="19"/>
      <c r="G160" s="25"/>
    </row>
    <row r="161" spans="1:7" ht="17.100000000000001" customHeight="1" x14ac:dyDescent="0.2">
      <c r="A161" s="22"/>
      <c r="B161" s="198" t="s">
        <v>141</v>
      </c>
      <c r="C161" s="199"/>
      <c r="D161" s="2" t="s">
        <v>128</v>
      </c>
      <c r="E161" s="22"/>
      <c r="F161" s="22"/>
      <c r="G161" s="22"/>
    </row>
  </sheetData>
  <mergeCells count="16">
    <mergeCell ref="B161:C161"/>
    <mergeCell ref="B144:C144"/>
    <mergeCell ref="B145:C145"/>
    <mergeCell ref="B146:C146"/>
    <mergeCell ref="B154:C154"/>
    <mergeCell ref="B158:C158"/>
    <mergeCell ref="B159:C159"/>
    <mergeCell ref="B156:F156"/>
    <mergeCell ref="A1:H1"/>
    <mergeCell ref="A2:H2"/>
    <mergeCell ref="A3:H3"/>
    <mergeCell ref="J2:N2"/>
    <mergeCell ref="B160:C160"/>
    <mergeCell ref="B143:C143"/>
    <mergeCell ref="B140:F140"/>
    <mergeCell ref="B141:F141"/>
  </mergeCells>
  <pageMargins left="5.000000074505806E-2" right="5.000000074505806E-2" top="0.30000001192092896" bottom="0.20000000298023224" header="0" footer="0"/>
  <pageSetup paperSize="9"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O159"/>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513</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143</v>
      </c>
      <c r="C7" s="4" t="s">
        <v>144</v>
      </c>
      <c r="D7" s="4" t="s">
        <v>27</v>
      </c>
      <c r="E7" s="5">
        <v>16510</v>
      </c>
      <c r="F7" s="6">
        <v>150.74455499999999</v>
      </c>
      <c r="G7" s="7">
        <v>3.6284839999999999E-2</v>
      </c>
      <c r="H7" s="112"/>
    </row>
    <row r="8" spans="1:14" x14ac:dyDescent="0.2">
      <c r="A8" s="3">
        <v>2</v>
      </c>
      <c r="B8" s="4" t="s">
        <v>25</v>
      </c>
      <c r="C8" s="4" t="s">
        <v>26</v>
      </c>
      <c r="D8" s="4" t="s">
        <v>27</v>
      </c>
      <c r="E8" s="5">
        <v>9233</v>
      </c>
      <c r="F8" s="6">
        <v>149.537668</v>
      </c>
      <c r="G8" s="7">
        <v>3.5994338000000001E-2</v>
      </c>
      <c r="H8" s="112"/>
    </row>
    <row r="9" spans="1:14" x14ac:dyDescent="0.2">
      <c r="A9" s="3">
        <v>3</v>
      </c>
      <c r="B9" s="4" t="s">
        <v>154</v>
      </c>
      <c r="C9" s="4" t="s">
        <v>155</v>
      </c>
      <c r="D9" s="4" t="s">
        <v>71</v>
      </c>
      <c r="E9" s="5">
        <v>24349</v>
      </c>
      <c r="F9" s="6">
        <v>131.508949</v>
      </c>
      <c r="G9" s="7">
        <v>3.1654750000000002E-2</v>
      </c>
      <c r="H9" s="112"/>
    </row>
    <row r="10" spans="1:14" x14ac:dyDescent="0.2">
      <c r="A10" s="3">
        <v>4</v>
      </c>
      <c r="B10" s="4" t="s">
        <v>156</v>
      </c>
      <c r="C10" s="4" t="s">
        <v>157</v>
      </c>
      <c r="D10" s="4" t="s">
        <v>974</v>
      </c>
      <c r="E10" s="5">
        <v>10528</v>
      </c>
      <c r="F10" s="6">
        <v>130.91568000000001</v>
      </c>
      <c r="G10" s="7">
        <v>3.1511947999999998E-2</v>
      </c>
      <c r="H10" s="112"/>
    </row>
    <row r="11" spans="1:14" x14ac:dyDescent="0.2">
      <c r="A11" s="3">
        <v>5</v>
      </c>
      <c r="B11" s="4" t="s">
        <v>150</v>
      </c>
      <c r="C11" s="4" t="s">
        <v>151</v>
      </c>
      <c r="D11" s="4" t="s">
        <v>27</v>
      </c>
      <c r="E11" s="5">
        <v>14420</v>
      </c>
      <c r="F11" s="6">
        <v>122.73583000000001</v>
      </c>
      <c r="G11" s="7">
        <v>2.9543024000000001E-2</v>
      </c>
      <c r="H11" s="112"/>
    </row>
    <row r="12" spans="1:14" x14ac:dyDescent="0.2">
      <c r="A12" s="3">
        <v>6</v>
      </c>
      <c r="B12" s="4" t="s">
        <v>148</v>
      </c>
      <c r="C12" s="4" t="s">
        <v>149</v>
      </c>
      <c r="D12" s="4" t="s">
        <v>81</v>
      </c>
      <c r="E12" s="5">
        <v>91180</v>
      </c>
      <c r="F12" s="6">
        <v>118.35164</v>
      </c>
      <c r="G12" s="7">
        <v>2.8487730999999999E-2</v>
      </c>
      <c r="H12" s="112"/>
    </row>
    <row r="13" spans="1:14" x14ac:dyDescent="0.2">
      <c r="A13" s="3">
        <v>7</v>
      </c>
      <c r="B13" s="4" t="s">
        <v>145</v>
      </c>
      <c r="C13" s="4" t="s">
        <v>146</v>
      </c>
      <c r="D13" s="4" t="s">
        <v>147</v>
      </c>
      <c r="E13" s="5">
        <v>3479</v>
      </c>
      <c r="F13" s="6">
        <v>116.14293600000001</v>
      </c>
      <c r="G13" s="7">
        <v>2.7956087000000001E-2</v>
      </c>
      <c r="H13" s="112"/>
    </row>
    <row r="14" spans="1:14" x14ac:dyDescent="0.2">
      <c r="A14" s="3">
        <v>8</v>
      </c>
      <c r="B14" s="4" t="s">
        <v>74</v>
      </c>
      <c r="C14" s="4" t="s">
        <v>75</v>
      </c>
      <c r="D14" s="4" t="s">
        <v>71</v>
      </c>
      <c r="E14" s="5">
        <v>28801</v>
      </c>
      <c r="F14" s="6">
        <v>111.0710565</v>
      </c>
      <c r="G14" s="7">
        <v>2.6735265000000001E-2</v>
      </c>
      <c r="H14" s="112"/>
    </row>
    <row r="15" spans="1:14" ht="15" x14ac:dyDescent="0.2">
      <c r="A15" s="3">
        <v>9</v>
      </c>
      <c r="B15" s="4" t="s">
        <v>210</v>
      </c>
      <c r="C15" s="4" t="s">
        <v>211</v>
      </c>
      <c r="D15" s="4" t="s">
        <v>212</v>
      </c>
      <c r="E15" s="5">
        <v>40589</v>
      </c>
      <c r="F15" s="6">
        <v>100.74189800000001</v>
      </c>
      <c r="G15" s="7">
        <v>2.4248993E-2</v>
      </c>
      <c r="H15" s="112"/>
      <c r="J15" s="188" t="s">
        <v>1018</v>
      </c>
    </row>
    <row r="16" spans="1:14" x14ac:dyDescent="0.2">
      <c r="A16" s="3">
        <v>10</v>
      </c>
      <c r="B16" s="4" t="s">
        <v>184</v>
      </c>
      <c r="C16" s="4" t="s">
        <v>185</v>
      </c>
      <c r="D16" s="4" t="s">
        <v>186</v>
      </c>
      <c r="E16" s="5">
        <v>21423</v>
      </c>
      <c r="F16" s="6">
        <v>99.809757000000005</v>
      </c>
      <c r="G16" s="7">
        <v>2.4024622999999998E-2</v>
      </c>
      <c r="H16" s="112"/>
    </row>
    <row r="17" spans="1:8" ht="25.5" x14ac:dyDescent="0.2">
      <c r="A17" s="3">
        <v>11</v>
      </c>
      <c r="B17" s="4" t="s">
        <v>190</v>
      </c>
      <c r="C17" s="4" t="s">
        <v>191</v>
      </c>
      <c r="D17" s="4" t="s">
        <v>192</v>
      </c>
      <c r="E17" s="5">
        <v>19076</v>
      </c>
      <c r="F17" s="6">
        <v>99.796093999999997</v>
      </c>
      <c r="G17" s="7">
        <v>2.4021333999999998E-2</v>
      </c>
      <c r="H17" s="112"/>
    </row>
    <row r="18" spans="1:8" x14ac:dyDescent="0.2">
      <c r="A18" s="3">
        <v>12</v>
      </c>
      <c r="B18" s="4" t="s">
        <v>163</v>
      </c>
      <c r="C18" s="4" t="s">
        <v>164</v>
      </c>
      <c r="D18" s="4" t="s">
        <v>162</v>
      </c>
      <c r="E18" s="5">
        <v>32178</v>
      </c>
      <c r="F18" s="6">
        <v>99.333485999999994</v>
      </c>
      <c r="G18" s="7">
        <v>2.3909982999999999E-2</v>
      </c>
      <c r="H18" s="112"/>
    </row>
    <row r="19" spans="1:8" x14ac:dyDescent="0.2">
      <c r="A19" s="3">
        <v>13</v>
      </c>
      <c r="B19" s="4" t="s">
        <v>187</v>
      </c>
      <c r="C19" s="4" t="s">
        <v>188</v>
      </c>
      <c r="D19" s="4" t="s">
        <v>189</v>
      </c>
      <c r="E19" s="5">
        <v>42955</v>
      </c>
      <c r="F19" s="6">
        <v>96.906480000000002</v>
      </c>
      <c r="G19" s="7">
        <v>2.3325792000000001E-2</v>
      </c>
      <c r="H19" s="112"/>
    </row>
    <row r="20" spans="1:8" x14ac:dyDescent="0.2">
      <c r="A20" s="3">
        <v>14</v>
      </c>
      <c r="B20" s="4" t="s">
        <v>65</v>
      </c>
      <c r="C20" s="4" t="s">
        <v>66</v>
      </c>
      <c r="D20" s="4" t="s">
        <v>64</v>
      </c>
      <c r="E20" s="5">
        <v>19628</v>
      </c>
      <c r="F20" s="6">
        <v>91.103362000000004</v>
      </c>
      <c r="G20" s="7">
        <v>2.1928957999999998E-2</v>
      </c>
      <c r="H20" s="112"/>
    </row>
    <row r="21" spans="1:8" ht="25.5" x14ac:dyDescent="0.2">
      <c r="A21" s="3">
        <v>15</v>
      </c>
      <c r="B21" s="4" t="s">
        <v>152</v>
      </c>
      <c r="C21" s="4" t="s">
        <v>153</v>
      </c>
      <c r="D21" s="4" t="s">
        <v>45</v>
      </c>
      <c r="E21" s="5">
        <v>60291</v>
      </c>
      <c r="F21" s="6">
        <v>88.205732999999995</v>
      </c>
      <c r="G21" s="7">
        <v>2.1231486000000001E-2</v>
      </c>
      <c r="H21" s="112"/>
    </row>
    <row r="22" spans="1:8" ht="25.5" x14ac:dyDescent="0.2">
      <c r="A22" s="3">
        <v>16</v>
      </c>
      <c r="B22" s="4" t="s">
        <v>37</v>
      </c>
      <c r="C22" s="4" t="s">
        <v>38</v>
      </c>
      <c r="D22" s="4" t="s">
        <v>971</v>
      </c>
      <c r="E22" s="5">
        <v>2641</v>
      </c>
      <c r="F22" s="6">
        <v>87.568957499999996</v>
      </c>
      <c r="G22" s="7">
        <v>2.1078211999999999E-2</v>
      </c>
      <c r="H22" s="112"/>
    </row>
    <row r="23" spans="1:8" x14ac:dyDescent="0.2">
      <c r="A23" s="3">
        <v>17</v>
      </c>
      <c r="B23" s="4" t="s">
        <v>41</v>
      </c>
      <c r="C23" s="4" t="s">
        <v>42</v>
      </c>
      <c r="D23" s="4" t="s">
        <v>27</v>
      </c>
      <c r="E23" s="5">
        <v>6141</v>
      </c>
      <c r="F23" s="6">
        <v>81.395884499999994</v>
      </c>
      <c r="G23" s="7">
        <v>1.9592327E-2</v>
      </c>
      <c r="H23" s="112"/>
    </row>
    <row r="24" spans="1:8" x14ac:dyDescent="0.2">
      <c r="A24" s="3">
        <v>18</v>
      </c>
      <c r="B24" s="4" t="s">
        <v>167</v>
      </c>
      <c r="C24" s="4" t="s">
        <v>168</v>
      </c>
      <c r="D24" s="4" t="s">
        <v>81</v>
      </c>
      <c r="E24" s="5">
        <v>11263</v>
      </c>
      <c r="F24" s="6">
        <v>79.432307499999993</v>
      </c>
      <c r="G24" s="7">
        <v>1.9119686E-2</v>
      </c>
      <c r="H24" s="112"/>
    </row>
    <row r="25" spans="1:8" x14ac:dyDescent="0.2">
      <c r="A25" s="3">
        <v>19</v>
      </c>
      <c r="B25" s="4" t="s">
        <v>165</v>
      </c>
      <c r="C25" s="4" t="s">
        <v>166</v>
      </c>
      <c r="D25" s="4" t="s">
        <v>976</v>
      </c>
      <c r="E25" s="5">
        <v>18494</v>
      </c>
      <c r="F25" s="6">
        <v>77.499106999999995</v>
      </c>
      <c r="G25" s="7">
        <v>1.8654357E-2</v>
      </c>
      <c r="H25" s="112"/>
    </row>
    <row r="26" spans="1:8" x14ac:dyDescent="0.2">
      <c r="A26" s="3">
        <v>20</v>
      </c>
      <c r="B26" s="4" t="s">
        <v>195</v>
      </c>
      <c r="C26" s="4" t="s">
        <v>196</v>
      </c>
      <c r="D26" s="4" t="s">
        <v>34</v>
      </c>
      <c r="E26" s="5">
        <v>18293</v>
      </c>
      <c r="F26" s="6">
        <v>76.876332500000004</v>
      </c>
      <c r="G26" s="7">
        <v>1.8504453000000001E-2</v>
      </c>
      <c r="H26" s="112"/>
    </row>
    <row r="27" spans="1:8" ht="25.5" x14ac:dyDescent="0.2">
      <c r="A27" s="3">
        <v>21</v>
      </c>
      <c r="B27" s="4" t="s">
        <v>467</v>
      </c>
      <c r="C27" s="4" t="s">
        <v>468</v>
      </c>
      <c r="D27" s="4" t="s">
        <v>45</v>
      </c>
      <c r="E27" s="5">
        <v>5475</v>
      </c>
      <c r="F27" s="6">
        <v>76.012162500000002</v>
      </c>
      <c r="G27" s="7">
        <v>1.8296442999999999E-2</v>
      </c>
      <c r="H27" s="112"/>
    </row>
    <row r="28" spans="1:8" x14ac:dyDescent="0.2">
      <c r="A28" s="3">
        <v>22</v>
      </c>
      <c r="B28" s="4" t="s">
        <v>179</v>
      </c>
      <c r="C28" s="4" t="s">
        <v>180</v>
      </c>
      <c r="D28" s="4" t="s">
        <v>71</v>
      </c>
      <c r="E28" s="5">
        <v>7179</v>
      </c>
      <c r="F28" s="6">
        <v>73.613466000000003</v>
      </c>
      <c r="G28" s="7">
        <v>1.7719067000000002E-2</v>
      </c>
      <c r="H28" s="112"/>
    </row>
    <row r="29" spans="1:8" ht="25.5" x14ac:dyDescent="0.2">
      <c r="A29" s="3">
        <v>23</v>
      </c>
      <c r="B29" s="4" t="s">
        <v>197</v>
      </c>
      <c r="C29" s="4" t="s">
        <v>198</v>
      </c>
      <c r="D29" s="4" t="s">
        <v>971</v>
      </c>
      <c r="E29" s="5">
        <v>29729</v>
      </c>
      <c r="F29" s="6">
        <v>71.022581000000002</v>
      </c>
      <c r="G29" s="7">
        <v>1.7095429999999998E-2</v>
      </c>
      <c r="H29" s="112"/>
    </row>
    <row r="30" spans="1:8" x14ac:dyDescent="0.2">
      <c r="A30" s="3">
        <v>24</v>
      </c>
      <c r="B30" s="4" t="s">
        <v>69</v>
      </c>
      <c r="C30" s="4" t="s">
        <v>70</v>
      </c>
      <c r="D30" s="4" t="s">
        <v>71</v>
      </c>
      <c r="E30" s="5">
        <v>2133</v>
      </c>
      <c r="F30" s="6">
        <v>70.511647499999995</v>
      </c>
      <c r="G30" s="7">
        <v>1.6972445999999999E-2</v>
      </c>
      <c r="H30" s="112"/>
    </row>
    <row r="31" spans="1:8" x14ac:dyDescent="0.2">
      <c r="A31" s="3">
        <v>25</v>
      </c>
      <c r="B31" s="4" t="s">
        <v>158</v>
      </c>
      <c r="C31" s="4" t="s">
        <v>159</v>
      </c>
      <c r="D31" s="4" t="s">
        <v>979</v>
      </c>
      <c r="E31" s="5">
        <v>28389</v>
      </c>
      <c r="F31" s="6">
        <v>62.512577999999998</v>
      </c>
      <c r="G31" s="7">
        <v>1.5047036999999999E-2</v>
      </c>
      <c r="H31" s="112"/>
    </row>
    <row r="32" spans="1:8" x14ac:dyDescent="0.2">
      <c r="A32" s="3">
        <v>26</v>
      </c>
      <c r="B32" s="4" t="s">
        <v>182</v>
      </c>
      <c r="C32" s="4" t="s">
        <v>183</v>
      </c>
      <c r="D32" s="4" t="s">
        <v>162</v>
      </c>
      <c r="E32" s="5">
        <v>5845</v>
      </c>
      <c r="F32" s="6">
        <v>62.439212499999996</v>
      </c>
      <c r="G32" s="7">
        <v>1.5029377999999999E-2</v>
      </c>
      <c r="H32" s="112"/>
    </row>
    <row r="33" spans="1:8" x14ac:dyDescent="0.2">
      <c r="A33" s="3">
        <v>27</v>
      </c>
      <c r="B33" s="4" t="s">
        <v>203</v>
      </c>
      <c r="C33" s="4" t="s">
        <v>204</v>
      </c>
      <c r="D33" s="4" t="s">
        <v>81</v>
      </c>
      <c r="E33" s="5">
        <v>9689</v>
      </c>
      <c r="F33" s="6">
        <v>60.735496500000004</v>
      </c>
      <c r="G33" s="7">
        <v>1.4619286E-2</v>
      </c>
      <c r="H33" s="112"/>
    </row>
    <row r="34" spans="1:8" x14ac:dyDescent="0.2">
      <c r="A34" s="3">
        <v>28</v>
      </c>
      <c r="B34" s="4" t="s">
        <v>199</v>
      </c>
      <c r="C34" s="4" t="s">
        <v>200</v>
      </c>
      <c r="D34" s="4" t="s">
        <v>64</v>
      </c>
      <c r="E34" s="5">
        <v>55673</v>
      </c>
      <c r="F34" s="6">
        <v>58.289631</v>
      </c>
      <c r="G34" s="7">
        <v>1.4030556E-2</v>
      </c>
      <c r="H34" s="112"/>
    </row>
    <row r="35" spans="1:8" x14ac:dyDescent="0.2">
      <c r="A35" s="3">
        <v>29</v>
      </c>
      <c r="B35" s="4" t="s">
        <v>223</v>
      </c>
      <c r="C35" s="4" t="s">
        <v>224</v>
      </c>
      <c r="D35" s="4" t="s">
        <v>27</v>
      </c>
      <c r="E35" s="5">
        <v>3019</v>
      </c>
      <c r="F35" s="6">
        <v>54.280110499999999</v>
      </c>
      <c r="G35" s="7">
        <v>1.3065448E-2</v>
      </c>
      <c r="H35" s="112"/>
    </row>
    <row r="36" spans="1:8" x14ac:dyDescent="0.2">
      <c r="A36" s="3">
        <v>30</v>
      </c>
      <c r="B36" s="4" t="s">
        <v>213</v>
      </c>
      <c r="C36" s="4" t="s">
        <v>214</v>
      </c>
      <c r="D36" s="4" t="s">
        <v>977</v>
      </c>
      <c r="E36" s="5">
        <v>9270</v>
      </c>
      <c r="F36" s="6">
        <v>53.793810000000001</v>
      </c>
      <c r="G36" s="7">
        <v>1.2948393000000001E-2</v>
      </c>
      <c r="H36" s="112"/>
    </row>
    <row r="37" spans="1:8" x14ac:dyDescent="0.2">
      <c r="A37" s="3">
        <v>31</v>
      </c>
      <c r="B37" s="4" t="s">
        <v>176</v>
      </c>
      <c r="C37" s="4" t="s">
        <v>177</v>
      </c>
      <c r="D37" s="4" t="s">
        <v>178</v>
      </c>
      <c r="E37" s="5">
        <v>5085</v>
      </c>
      <c r="F37" s="6">
        <v>51.800894999999997</v>
      </c>
      <c r="G37" s="7">
        <v>1.2468691E-2</v>
      </c>
      <c r="H37" s="112"/>
    </row>
    <row r="38" spans="1:8" ht="25.5" x14ac:dyDescent="0.2">
      <c r="A38" s="3">
        <v>32</v>
      </c>
      <c r="B38" s="4" t="s">
        <v>246</v>
      </c>
      <c r="C38" s="4" t="s">
        <v>247</v>
      </c>
      <c r="D38" s="4" t="s">
        <v>978</v>
      </c>
      <c r="E38" s="5">
        <v>47409</v>
      </c>
      <c r="F38" s="6">
        <v>49.969085999999997</v>
      </c>
      <c r="G38" s="7">
        <v>1.2027767E-2</v>
      </c>
      <c r="H38" s="112"/>
    </row>
    <row r="39" spans="1:8" x14ac:dyDescent="0.2">
      <c r="A39" s="3">
        <v>33</v>
      </c>
      <c r="B39" s="4" t="s">
        <v>262</v>
      </c>
      <c r="C39" s="4" t="s">
        <v>263</v>
      </c>
      <c r="D39" s="4" t="s">
        <v>977</v>
      </c>
      <c r="E39" s="5">
        <v>33289</v>
      </c>
      <c r="F39" s="6">
        <v>47.952804499999999</v>
      </c>
      <c r="G39" s="7">
        <v>1.1542439E-2</v>
      </c>
      <c r="H39" s="112"/>
    </row>
    <row r="40" spans="1:8" x14ac:dyDescent="0.2">
      <c r="A40" s="3">
        <v>34</v>
      </c>
      <c r="B40" s="4" t="s">
        <v>481</v>
      </c>
      <c r="C40" s="4" t="s">
        <v>482</v>
      </c>
      <c r="D40" s="4" t="s">
        <v>186</v>
      </c>
      <c r="E40" s="5">
        <v>8309</v>
      </c>
      <c r="F40" s="6">
        <v>47.834913</v>
      </c>
      <c r="G40" s="7">
        <v>1.1514062E-2</v>
      </c>
      <c r="H40" s="112"/>
    </row>
    <row r="41" spans="1:8" ht="25.5" x14ac:dyDescent="0.2">
      <c r="A41" s="3">
        <v>35</v>
      </c>
      <c r="B41" s="4" t="s">
        <v>235</v>
      </c>
      <c r="C41" s="4" t="s">
        <v>236</v>
      </c>
      <c r="D41" s="4" t="s">
        <v>192</v>
      </c>
      <c r="E41" s="5">
        <v>10229</v>
      </c>
      <c r="F41" s="6">
        <v>46.741415500000002</v>
      </c>
      <c r="G41" s="7">
        <v>1.1250853E-2</v>
      </c>
      <c r="H41" s="112"/>
    </row>
    <row r="42" spans="1:8" x14ac:dyDescent="0.2">
      <c r="A42" s="3">
        <v>36</v>
      </c>
      <c r="B42" s="4" t="s">
        <v>221</v>
      </c>
      <c r="C42" s="4" t="s">
        <v>222</v>
      </c>
      <c r="D42" s="4" t="s">
        <v>173</v>
      </c>
      <c r="E42" s="5">
        <v>5414</v>
      </c>
      <c r="F42" s="6">
        <v>46.663266</v>
      </c>
      <c r="G42" s="7">
        <v>1.1232041999999999E-2</v>
      </c>
      <c r="H42" s="112"/>
    </row>
    <row r="43" spans="1:8" ht="25.5" x14ac:dyDescent="0.2">
      <c r="A43" s="3">
        <v>37</v>
      </c>
      <c r="B43" s="4" t="s">
        <v>229</v>
      </c>
      <c r="C43" s="4" t="s">
        <v>230</v>
      </c>
      <c r="D43" s="4" t="s">
        <v>71</v>
      </c>
      <c r="E43" s="5">
        <v>2210</v>
      </c>
      <c r="F43" s="6">
        <v>45.813299999999998</v>
      </c>
      <c r="G43" s="7">
        <v>1.1027452E-2</v>
      </c>
      <c r="H43" s="112"/>
    </row>
    <row r="44" spans="1:8" x14ac:dyDescent="0.2">
      <c r="A44" s="3">
        <v>38</v>
      </c>
      <c r="B44" s="4" t="s">
        <v>217</v>
      </c>
      <c r="C44" s="4" t="s">
        <v>218</v>
      </c>
      <c r="D44" s="4" t="s">
        <v>979</v>
      </c>
      <c r="E44" s="5">
        <v>2822</v>
      </c>
      <c r="F44" s="6">
        <v>45.657138000000003</v>
      </c>
      <c r="G44" s="7">
        <v>1.0989863000000001E-2</v>
      </c>
      <c r="H44" s="112"/>
    </row>
    <row r="45" spans="1:8" x14ac:dyDescent="0.2">
      <c r="A45" s="3">
        <v>39</v>
      </c>
      <c r="B45" s="4" t="s">
        <v>207</v>
      </c>
      <c r="C45" s="4" t="s">
        <v>208</v>
      </c>
      <c r="D45" s="4" t="s">
        <v>209</v>
      </c>
      <c r="E45" s="5">
        <v>9440</v>
      </c>
      <c r="F45" s="6">
        <v>43.96208</v>
      </c>
      <c r="G45" s="7">
        <v>1.0581854999999999E-2</v>
      </c>
      <c r="H45" s="112"/>
    </row>
    <row r="46" spans="1:8" x14ac:dyDescent="0.2">
      <c r="A46" s="3">
        <v>40</v>
      </c>
      <c r="B46" s="4" t="s">
        <v>260</v>
      </c>
      <c r="C46" s="4" t="s">
        <v>261</v>
      </c>
      <c r="D46" s="4" t="s">
        <v>173</v>
      </c>
      <c r="E46" s="5">
        <v>7210</v>
      </c>
      <c r="F46" s="6">
        <v>43.436644999999999</v>
      </c>
      <c r="G46" s="7">
        <v>1.0455381E-2</v>
      </c>
      <c r="H46" s="112"/>
    </row>
    <row r="47" spans="1:8" ht="25.5" x14ac:dyDescent="0.2">
      <c r="A47" s="3">
        <v>41</v>
      </c>
      <c r="B47" s="4" t="s">
        <v>250</v>
      </c>
      <c r="C47" s="4" t="s">
        <v>251</v>
      </c>
      <c r="D47" s="4" t="s">
        <v>192</v>
      </c>
      <c r="E47" s="5">
        <v>11256</v>
      </c>
      <c r="F47" s="6">
        <v>42.829079999999998</v>
      </c>
      <c r="G47" s="7">
        <v>1.0309136999999999E-2</v>
      </c>
      <c r="H47" s="112"/>
    </row>
    <row r="48" spans="1:8" x14ac:dyDescent="0.2">
      <c r="A48" s="3">
        <v>42</v>
      </c>
      <c r="B48" s="4" t="s">
        <v>227</v>
      </c>
      <c r="C48" s="4" t="s">
        <v>228</v>
      </c>
      <c r="D48" s="4" t="s">
        <v>974</v>
      </c>
      <c r="E48" s="5">
        <v>2486</v>
      </c>
      <c r="F48" s="6">
        <v>42.355224999999997</v>
      </c>
      <c r="G48" s="7">
        <v>1.0195078999999999E-2</v>
      </c>
      <c r="H48" s="112"/>
    </row>
    <row r="49" spans="1:8" x14ac:dyDescent="0.2">
      <c r="A49" s="3">
        <v>43</v>
      </c>
      <c r="B49" s="4" t="s">
        <v>287</v>
      </c>
      <c r="C49" s="4" t="s">
        <v>288</v>
      </c>
      <c r="D49" s="4" t="s">
        <v>27</v>
      </c>
      <c r="E49" s="5">
        <v>3789</v>
      </c>
      <c r="F49" s="6">
        <v>40.733644499999997</v>
      </c>
      <c r="G49" s="7">
        <v>9.8047570000000007E-3</v>
      </c>
      <c r="H49" s="112"/>
    </row>
    <row r="50" spans="1:8" x14ac:dyDescent="0.2">
      <c r="A50" s="3">
        <v>44</v>
      </c>
      <c r="B50" s="4" t="s">
        <v>264</v>
      </c>
      <c r="C50" s="4" t="s">
        <v>265</v>
      </c>
      <c r="D50" s="4" t="s">
        <v>266</v>
      </c>
      <c r="E50" s="5">
        <v>17355</v>
      </c>
      <c r="F50" s="6">
        <v>39.838402500000001</v>
      </c>
      <c r="G50" s="7">
        <v>9.5892689999999992E-3</v>
      </c>
      <c r="H50" s="112"/>
    </row>
    <row r="51" spans="1:8" x14ac:dyDescent="0.2">
      <c r="A51" s="3">
        <v>45</v>
      </c>
      <c r="B51" s="4" t="s">
        <v>169</v>
      </c>
      <c r="C51" s="4" t="s">
        <v>170</v>
      </c>
      <c r="D51" s="4" t="s">
        <v>19</v>
      </c>
      <c r="E51" s="5">
        <v>21914</v>
      </c>
      <c r="F51" s="6">
        <v>39.565727000000003</v>
      </c>
      <c r="G51" s="7">
        <v>9.5236350000000008E-3</v>
      </c>
      <c r="H51" s="112"/>
    </row>
    <row r="52" spans="1:8" x14ac:dyDescent="0.2">
      <c r="A52" s="3">
        <v>46</v>
      </c>
      <c r="B52" s="4" t="s">
        <v>254</v>
      </c>
      <c r="C52" s="4" t="s">
        <v>255</v>
      </c>
      <c r="D52" s="4" t="s">
        <v>162</v>
      </c>
      <c r="E52" s="5">
        <v>3077</v>
      </c>
      <c r="F52" s="6">
        <v>39.213287999999999</v>
      </c>
      <c r="G52" s="7">
        <v>9.4388010000000001E-3</v>
      </c>
      <c r="H52" s="112"/>
    </row>
    <row r="53" spans="1:8" ht="25.5" x14ac:dyDescent="0.2">
      <c r="A53" s="3">
        <v>47</v>
      </c>
      <c r="B53" s="4" t="s">
        <v>181</v>
      </c>
      <c r="C53" s="4" t="s">
        <v>931</v>
      </c>
      <c r="D53" s="4" t="s">
        <v>45</v>
      </c>
      <c r="E53" s="5">
        <v>16742</v>
      </c>
      <c r="F53" s="6">
        <v>39.067456999999997</v>
      </c>
      <c r="G53" s="7">
        <v>9.4036989999999997E-3</v>
      </c>
      <c r="H53" s="112"/>
    </row>
    <row r="54" spans="1:8" x14ac:dyDescent="0.2">
      <c r="A54" s="3">
        <v>48</v>
      </c>
      <c r="B54" s="4" t="s">
        <v>242</v>
      </c>
      <c r="C54" s="4" t="s">
        <v>243</v>
      </c>
      <c r="D54" s="4" t="s">
        <v>334</v>
      </c>
      <c r="E54" s="5">
        <v>3231</v>
      </c>
      <c r="F54" s="6">
        <v>38.691225000000003</v>
      </c>
      <c r="G54" s="7">
        <v>9.3131389999999998E-3</v>
      </c>
      <c r="H54" s="112"/>
    </row>
    <row r="55" spans="1:8" x14ac:dyDescent="0.2">
      <c r="A55" s="3">
        <v>49</v>
      </c>
      <c r="B55" s="4" t="s">
        <v>244</v>
      </c>
      <c r="C55" s="4" t="s">
        <v>245</v>
      </c>
      <c r="D55" s="4" t="s">
        <v>173</v>
      </c>
      <c r="E55" s="5">
        <v>9613</v>
      </c>
      <c r="F55" s="6">
        <v>37.913671999999998</v>
      </c>
      <c r="G55" s="7">
        <v>9.1259779999999999E-3</v>
      </c>
      <c r="H55" s="112"/>
    </row>
    <row r="56" spans="1:8" x14ac:dyDescent="0.2">
      <c r="A56" s="3">
        <v>50</v>
      </c>
      <c r="B56" s="4" t="s">
        <v>267</v>
      </c>
      <c r="C56" s="4" t="s">
        <v>268</v>
      </c>
      <c r="D56" s="4" t="s">
        <v>19</v>
      </c>
      <c r="E56" s="5">
        <v>41278</v>
      </c>
      <c r="F56" s="6">
        <v>37.480423999999999</v>
      </c>
      <c r="G56" s="7">
        <v>9.0216940000000002E-3</v>
      </c>
      <c r="H56" s="112"/>
    </row>
    <row r="57" spans="1:8" x14ac:dyDescent="0.2">
      <c r="A57" s="3">
        <v>51</v>
      </c>
      <c r="B57" s="4" t="s">
        <v>258</v>
      </c>
      <c r="C57" s="4" t="s">
        <v>259</v>
      </c>
      <c r="D57" s="4" t="s">
        <v>53</v>
      </c>
      <c r="E57" s="5">
        <v>3459</v>
      </c>
      <c r="F57" s="6">
        <v>33.092252999999999</v>
      </c>
      <c r="G57" s="7">
        <v>7.9654429999999991E-3</v>
      </c>
      <c r="H57" s="112"/>
    </row>
    <row r="58" spans="1:8" x14ac:dyDescent="0.2">
      <c r="A58" s="3">
        <v>52</v>
      </c>
      <c r="B58" s="4" t="s">
        <v>273</v>
      </c>
      <c r="C58" s="4" t="s">
        <v>274</v>
      </c>
      <c r="D58" s="4" t="s">
        <v>71</v>
      </c>
      <c r="E58" s="5">
        <v>23153</v>
      </c>
      <c r="F58" s="6">
        <v>30.862949</v>
      </c>
      <c r="G58" s="7">
        <v>7.4288399999999999E-3</v>
      </c>
      <c r="H58" s="112"/>
    </row>
    <row r="59" spans="1:8" x14ac:dyDescent="0.2">
      <c r="A59" s="3">
        <v>53</v>
      </c>
      <c r="B59" s="4" t="s">
        <v>215</v>
      </c>
      <c r="C59" s="4" t="s">
        <v>216</v>
      </c>
      <c r="D59" s="4" t="s">
        <v>53</v>
      </c>
      <c r="E59" s="5">
        <v>12807</v>
      </c>
      <c r="F59" s="6">
        <v>30.134871</v>
      </c>
      <c r="G59" s="7">
        <v>7.2535890000000004E-3</v>
      </c>
      <c r="H59" s="112"/>
    </row>
    <row r="60" spans="1:8" x14ac:dyDescent="0.2">
      <c r="A60" s="3">
        <v>54</v>
      </c>
      <c r="B60" s="4" t="s">
        <v>62</v>
      </c>
      <c r="C60" s="4" t="s">
        <v>63</v>
      </c>
      <c r="D60" s="4" t="s">
        <v>64</v>
      </c>
      <c r="E60" s="5">
        <v>17008</v>
      </c>
      <c r="F60" s="6">
        <v>27.952648</v>
      </c>
      <c r="G60" s="7">
        <v>6.7283179999999996E-3</v>
      </c>
      <c r="H60" s="112"/>
    </row>
    <row r="61" spans="1:8" x14ac:dyDescent="0.2">
      <c r="A61" s="3">
        <v>55</v>
      </c>
      <c r="B61" s="4" t="s">
        <v>269</v>
      </c>
      <c r="C61" s="4" t="s">
        <v>270</v>
      </c>
      <c r="D61" s="4" t="s">
        <v>186</v>
      </c>
      <c r="E61" s="5">
        <v>513</v>
      </c>
      <c r="F61" s="6">
        <v>27.8238375</v>
      </c>
      <c r="G61" s="7">
        <v>6.6973129999999999E-3</v>
      </c>
      <c r="H61" s="112"/>
    </row>
    <row r="62" spans="1:8" x14ac:dyDescent="0.2">
      <c r="A62" s="3">
        <v>56</v>
      </c>
      <c r="B62" s="4" t="s">
        <v>240</v>
      </c>
      <c r="C62" s="4" t="s">
        <v>241</v>
      </c>
      <c r="D62" s="4" t="s">
        <v>81</v>
      </c>
      <c r="E62" s="5">
        <v>47615</v>
      </c>
      <c r="F62" s="6">
        <v>26.235865</v>
      </c>
      <c r="G62" s="7">
        <v>6.3150819999999996E-3</v>
      </c>
      <c r="H62" s="112"/>
    </row>
    <row r="63" spans="1:8" x14ac:dyDescent="0.2">
      <c r="A63" s="3">
        <v>57</v>
      </c>
      <c r="B63" s="4" t="s">
        <v>477</v>
      </c>
      <c r="C63" s="4" t="s">
        <v>478</v>
      </c>
      <c r="D63" s="4" t="s">
        <v>974</v>
      </c>
      <c r="E63" s="5">
        <v>26290</v>
      </c>
      <c r="F63" s="6">
        <v>25.277835</v>
      </c>
      <c r="G63" s="7">
        <v>6.0844799999999997E-3</v>
      </c>
      <c r="H63" s="112"/>
    </row>
    <row r="64" spans="1:8" x14ac:dyDescent="0.2">
      <c r="A64" s="3">
        <v>58</v>
      </c>
      <c r="B64" s="4" t="s">
        <v>279</v>
      </c>
      <c r="C64" s="4" t="s">
        <v>280</v>
      </c>
      <c r="D64" s="4" t="s">
        <v>147</v>
      </c>
      <c r="E64" s="5">
        <v>1858</v>
      </c>
      <c r="F64" s="6">
        <v>24.329581000000001</v>
      </c>
      <c r="G64" s="7">
        <v>5.8562309999999999E-3</v>
      </c>
      <c r="H64" s="112"/>
    </row>
    <row r="65" spans="1:8" x14ac:dyDescent="0.2">
      <c r="A65" s="3">
        <v>59</v>
      </c>
      <c r="B65" s="4" t="s">
        <v>271</v>
      </c>
      <c r="C65" s="4" t="s">
        <v>272</v>
      </c>
      <c r="D65" s="4" t="s">
        <v>147</v>
      </c>
      <c r="E65" s="5">
        <v>3604</v>
      </c>
      <c r="F65" s="6">
        <v>23.447624000000001</v>
      </c>
      <c r="G65" s="7">
        <v>5.6439400000000001E-3</v>
      </c>
      <c r="H65" s="112"/>
    </row>
    <row r="66" spans="1:8" ht="25.5" x14ac:dyDescent="0.2">
      <c r="A66" s="3">
        <v>60</v>
      </c>
      <c r="B66" s="4" t="s">
        <v>92</v>
      </c>
      <c r="C66" s="4" t="s">
        <v>93</v>
      </c>
      <c r="D66" s="4" t="s">
        <v>45</v>
      </c>
      <c r="E66" s="5">
        <v>2467</v>
      </c>
      <c r="F66" s="6">
        <v>16.388280999999999</v>
      </c>
      <c r="G66" s="7">
        <v>3.9447270000000003E-3</v>
      </c>
      <c r="H66" s="112"/>
    </row>
    <row r="67" spans="1:8" x14ac:dyDescent="0.2">
      <c r="A67" s="3">
        <v>61</v>
      </c>
      <c r="B67" s="4" t="s">
        <v>275</v>
      </c>
      <c r="C67" s="4" t="s">
        <v>276</v>
      </c>
      <c r="D67" s="4" t="s">
        <v>162</v>
      </c>
      <c r="E67" s="5">
        <v>3644</v>
      </c>
      <c r="F67" s="6">
        <v>15.089804000000001</v>
      </c>
      <c r="G67" s="7">
        <v>3.6321779999999998E-3</v>
      </c>
      <c r="H67" s="112"/>
    </row>
    <row r="68" spans="1:8" x14ac:dyDescent="0.2">
      <c r="A68" s="3">
        <v>62</v>
      </c>
      <c r="B68" s="4" t="s">
        <v>281</v>
      </c>
      <c r="C68" s="4" t="s">
        <v>282</v>
      </c>
      <c r="D68" s="4" t="s">
        <v>334</v>
      </c>
      <c r="E68" s="5">
        <v>659</v>
      </c>
      <c r="F68" s="6">
        <v>5.2558544999999999</v>
      </c>
      <c r="G68" s="7">
        <v>1.265106E-3</v>
      </c>
      <c r="H68" s="112"/>
    </row>
    <row r="69" spans="1:8" x14ac:dyDescent="0.2">
      <c r="A69" s="3">
        <v>63</v>
      </c>
      <c r="B69" s="4" t="s">
        <v>283</v>
      </c>
      <c r="C69" s="4" t="s">
        <v>284</v>
      </c>
      <c r="D69" s="4" t="s">
        <v>19</v>
      </c>
      <c r="E69" s="5">
        <v>6914</v>
      </c>
      <c r="F69" s="6">
        <v>4.4422449999999998</v>
      </c>
      <c r="G69" s="7">
        <v>1.069267E-3</v>
      </c>
      <c r="H69" s="112"/>
    </row>
    <row r="70" spans="1:8" x14ac:dyDescent="0.2">
      <c r="A70" s="3">
        <v>64</v>
      </c>
      <c r="B70" s="4" t="s">
        <v>277</v>
      </c>
      <c r="C70" s="4" t="s">
        <v>278</v>
      </c>
      <c r="D70" s="4" t="s">
        <v>186</v>
      </c>
      <c r="E70" s="5">
        <v>800</v>
      </c>
      <c r="F70" s="6">
        <v>2.4672000000000001</v>
      </c>
      <c r="G70" s="7">
        <v>5.9386499999999995E-4</v>
      </c>
      <c r="H70" s="112"/>
    </row>
    <row r="71" spans="1:8" x14ac:dyDescent="0.2">
      <c r="A71" s="1"/>
      <c r="B71" s="1"/>
      <c r="C71" s="2" t="s">
        <v>97</v>
      </c>
      <c r="D71" s="1"/>
      <c r="E71" s="1" t="s">
        <v>98</v>
      </c>
      <c r="F71" s="9">
        <v>3913.2089449999999</v>
      </c>
      <c r="G71" s="10">
        <v>0.94192564300000003</v>
      </c>
      <c r="H71" s="112"/>
    </row>
    <row r="72" spans="1:8" x14ac:dyDescent="0.2">
      <c r="A72" s="1"/>
      <c r="B72" s="1"/>
      <c r="C72" s="11"/>
      <c r="D72" s="1"/>
      <c r="E72" s="1"/>
      <c r="F72" s="12"/>
      <c r="G72" s="12"/>
      <c r="H72" s="112"/>
    </row>
    <row r="73" spans="1:8" x14ac:dyDescent="0.2">
      <c r="A73" s="1"/>
      <c r="B73" s="1"/>
      <c r="C73" s="2" t="s">
        <v>99</v>
      </c>
      <c r="D73" s="1"/>
      <c r="E73" s="1"/>
      <c r="F73" s="1"/>
      <c r="G73" s="1"/>
      <c r="H73" s="112"/>
    </row>
    <row r="74" spans="1:8" x14ac:dyDescent="0.2">
      <c r="A74" s="1"/>
      <c r="B74" s="1"/>
      <c r="C74" s="2" t="s">
        <v>97</v>
      </c>
      <c r="D74" s="1"/>
      <c r="E74" s="1" t="s">
        <v>98</v>
      </c>
      <c r="F74" s="13">
        <v>0</v>
      </c>
      <c r="G74" s="14">
        <v>0</v>
      </c>
      <c r="H74" s="112"/>
    </row>
    <row r="75" spans="1:8" x14ac:dyDescent="0.2">
      <c r="A75" s="1"/>
      <c r="B75" s="1"/>
      <c r="C75" s="11"/>
      <c r="D75" s="1"/>
      <c r="E75" s="1"/>
      <c r="F75" s="12"/>
      <c r="G75" s="12"/>
      <c r="H75" s="112"/>
    </row>
    <row r="76" spans="1:8" x14ac:dyDescent="0.2">
      <c r="A76" s="1"/>
      <c r="B76" s="1"/>
      <c r="C76" s="2" t="s">
        <v>100</v>
      </c>
      <c r="D76" s="1"/>
      <c r="E76" s="1"/>
      <c r="F76" s="1"/>
      <c r="G76" s="1"/>
      <c r="H76" s="112"/>
    </row>
    <row r="77" spans="1:8" x14ac:dyDescent="0.2">
      <c r="A77" s="1"/>
      <c r="B77" s="1"/>
      <c r="C77" s="2" t="s">
        <v>97</v>
      </c>
      <c r="D77" s="1"/>
      <c r="E77" s="1" t="s">
        <v>98</v>
      </c>
      <c r="F77" s="13">
        <v>0</v>
      </c>
      <c r="G77" s="14">
        <v>0</v>
      </c>
      <c r="H77" s="112"/>
    </row>
    <row r="78" spans="1:8" x14ac:dyDescent="0.2">
      <c r="A78" s="1"/>
      <c r="B78" s="1"/>
      <c r="C78" s="11"/>
      <c r="D78" s="1"/>
      <c r="E78" s="1"/>
      <c r="F78" s="12"/>
      <c r="G78" s="12"/>
      <c r="H78" s="112"/>
    </row>
    <row r="79" spans="1:8" x14ac:dyDescent="0.2">
      <c r="A79" s="1"/>
      <c r="B79" s="1"/>
      <c r="C79" s="2" t="s">
        <v>101</v>
      </c>
      <c r="D79" s="1"/>
      <c r="E79" s="1"/>
      <c r="F79" s="1"/>
      <c r="G79" s="1"/>
      <c r="H79" s="112"/>
    </row>
    <row r="80" spans="1:8" x14ac:dyDescent="0.2">
      <c r="A80" s="1"/>
      <c r="B80" s="1"/>
      <c r="C80" s="2" t="s">
        <v>97</v>
      </c>
      <c r="D80" s="1"/>
      <c r="E80" s="1" t="s">
        <v>98</v>
      </c>
      <c r="F80" s="13">
        <v>0</v>
      </c>
      <c r="G80" s="14">
        <v>0</v>
      </c>
      <c r="H80" s="112"/>
    </row>
    <row r="81" spans="1:8" x14ac:dyDescent="0.2">
      <c r="A81" s="1"/>
      <c r="B81" s="1"/>
      <c r="C81" s="11"/>
      <c r="D81" s="1"/>
      <c r="E81" s="1"/>
      <c r="F81" s="12"/>
      <c r="G81" s="12"/>
      <c r="H81" s="112"/>
    </row>
    <row r="82" spans="1:8" x14ac:dyDescent="0.2">
      <c r="A82" s="1"/>
      <c r="B82" s="1"/>
      <c r="C82" s="2" t="s">
        <v>102</v>
      </c>
      <c r="D82" s="1"/>
      <c r="E82" s="1"/>
      <c r="F82" s="12"/>
      <c r="G82" s="12"/>
      <c r="H82" s="112"/>
    </row>
    <row r="83" spans="1:8" x14ac:dyDescent="0.2">
      <c r="A83" s="1"/>
      <c r="B83" s="1"/>
      <c r="C83" s="2" t="s">
        <v>97</v>
      </c>
      <c r="D83" s="1"/>
      <c r="E83" s="1" t="s">
        <v>98</v>
      </c>
      <c r="F83" s="13">
        <v>0</v>
      </c>
      <c r="G83" s="14">
        <v>0</v>
      </c>
      <c r="H83" s="112"/>
    </row>
    <row r="84" spans="1:8" x14ac:dyDescent="0.2">
      <c r="A84" s="1"/>
      <c r="B84" s="1"/>
      <c r="C84" s="11"/>
      <c r="D84" s="1"/>
      <c r="E84" s="1"/>
      <c r="F84" s="12"/>
      <c r="G84" s="12"/>
      <c r="H84" s="112"/>
    </row>
    <row r="85" spans="1:8" x14ac:dyDescent="0.2">
      <c r="A85" s="1"/>
      <c r="B85" s="1"/>
      <c r="C85" s="2" t="s">
        <v>103</v>
      </c>
      <c r="D85" s="1"/>
      <c r="E85" s="1"/>
      <c r="F85" s="12"/>
      <c r="G85" s="12"/>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104</v>
      </c>
      <c r="D88" s="1"/>
      <c r="E88" s="1"/>
      <c r="F88" s="9">
        <v>3913.2089449999999</v>
      </c>
      <c r="G88" s="10">
        <v>0.94192564300000003</v>
      </c>
      <c r="H88" s="112"/>
    </row>
    <row r="89" spans="1:8" x14ac:dyDescent="0.2">
      <c r="A89" s="1"/>
      <c r="B89" s="1"/>
      <c r="C89" s="11"/>
      <c r="D89" s="1"/>
      <c r="E89" s="1"/>
      <c r="F89" s="12"/>
      <c r="G89" s="12"/>
      <c r="H89" s="112"/>
    </row>
    <row r="90" spans="1:8" x14ac:dyDescent="0.2">
      <c r="A90" s="1"/>
      <c r="B90" s="1"/>
      <c r="C90" s="2" t="s">
        <v>105</v>
      </c>
      <c r="D90" s="1"/>
      <c r="E90" s="1"/>
      <c r="F90" s="12"/>
      <c r="G90" s="12"/>
      <c r="H90" s="112"/>
    </row>
    <row r="91" spans="1:8" ht="25.5" x14ac:dyDescent="0.2">
      <c r="A91" s="1"/>
      <c r="B91" s="1"/>
      <c r="C91" s="2" t="s">
        <v>10</v>
      </c>
      <c r="D91" s="1"/>
      <c r="E91" s="1"/>
      <c r="F91" s="12"/>
      <c r="G91" s="12"/>
      <c r="H91" s="112"/>
    </row>
    <row r="92" spans="1:8" x14ac:dyDescent="0.2">
      <c r="A92" s="1"/>
      <c r="B92" s="1"/>
      <c r="C92" s="2" t="s">
        <v>97</v>
      </c>
      <c r="D92" s="1"/>
      <c r="E92" s="1" t="s">
        <v>98</v>
      </c>
      <c r="F92" s="13">
        <v>0</v>
      </c>
      <c r="G92" s="14">
        <v>0</v>
      </c>
      <c r="H92" s="112"/>
    </row>
    <row r="93" spans="1:8" x14ac:dyDescent="0.2">
      <c r="A93" s="1"/>
      <c r="B93" s="1"/>
      <c r="C93" s="11"/>
      <c r="D93" s="1"/>
      <c r="E93" s="1"/>
      <c r="F93" s="12"/>
      <c r="G93" s="12"/>
      <c r="H93" s="112"/>
    </row>
    <row r="94" spans="1:8" x14ac:dyDescent="0.2">
      <c r="A94" s="1"/>
      <c r="B94" s="1"/>
      <c r="C94" s="2" t="s">
        <v>106</v>
      </c>
      <c r="D94" s="1"/>
      <c r="E94" s="1"/>
      <c r="F94" s="1"/>
      <c r="G94" s="1"/>
      <c r="H94" s="112"/>
    </row>
    <row r="95" spans="1:8" x14ac:dyDescent="0.2">
      <c r="A95" s="1"/>
      <c r="B95" s="1"/>
      <c r="C95" s="2" t="s">
        <v>97</v>
      </c>
      <c r="D95" s="1"/>
      <c r="E95" s="1" t="s">
        <v>98</v>
      </c>
      <c r="F95" s="13">
        <v>0</v>
      </c>
      <c r="G95" s="14">
        <v>0</v>
      </c>
      <c r="H95" s="112"/>
    </row>
    <row r="96" spans="1:8" x14ac:dyDescent="0.2">
      <c r="A96" s="1"/>
      <c r="B96" s="1"/>
      <c r="C96" s="11"/>
      <c r="D96" s="1"/>
      <c r="E96" s="1"/>
      <c r="F96" s="12"/>
      <c r="G96" s="12"/>
      <c r="H96" s="112"/>
    </row>
    <row r="97" spans="1:8" x14ac:dyDescent="0.2">
      <c r="A97" s="1"/>
      <c r="B97" s="1"/>
      <c r="C97" s="2" t="s">
        <v>107</v>
      </c>
      <c r="D97" s="1"/>
      <c r="E97" s="1"/>
      <c r="F97" s="1"/>
      <c r="G97" s="1"/>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108</v>
      </c>
      <c r="D100" s="1"/>
      <c r="E100" s="1"/>
      <c r="F100" s="12"/>
      <c r="G100" s="12"/>
      <c r="H100" s="112"/>
    </row>
    <row r="101" spans="1:8" x14ac:dyDescent="0.2">
      <c r="A101" s="1"/>
      <c r="B101" s="1"/>
      <c r="C101" s="2" t="s">
        <v>97</v>
      </c>
      <c r="D101" s="1"/>
      <c r="E101" s="1" t="s">
        <v>98</v>
      </c>
      <c r="F101" s="13">
        <v>0</v>
      </c>
      <c r="G101" s="14">
        <v>0</v>
      </c>
      <c r="H101" s="112"/>
    </row>
    <row r="102" spans="1:8" x14ac:dyDescent="0.2">
      <c r="A102" s="1"/>
      <c r="B102" s="1"/>
      <c r="C102" s="11"/>
      <c r="D102" s="1"/>
      <c r="E102" s="1"/>
      <c r="F102" s="12"/>
      <c r="G102" s="12"/>
      <c r="H102" s="112"/>
    </row>
    <row r="103" spans="1:8" x14ac:dyDescent="0.2">
      <c r="A103" s="1"/>
      <c r="B103" s="1"/>
      <c r="C103" s="2" t="s">
        <v>109</v>
      </c>
      <c r="D103" s="1"/>
      <c r="E103" s="1"/>
      <c r="F103" s="9">
        <v>0</v>
      </c>
      <c r="G103" s="10">
        <v>0</v>
      </c>
      <c r="H103" s="112"/>
    </row>
    <row r="104" spans="1:8" x14ac:dyDescent="0.2">
      <c r="A104" s="1"/>
      <c r="B104" s="1"/>
      <c r="C104" s="11"/>
      <c r="D104" s="1"/>
      <c r="E104" s="1"/>
      <c r="F104" s="12"/>
      <c r="G104" s="12"/>
      <c r="H104" s="112"/>
    </row>
    <row r="105" spans="1:8" x14ac:dyDescent="0.2">
      <c r="A105" s="1"/>
      <c r="B105" s="1"/>
      <c r="C105" s="2" t="s">
        <v>110</v>
      </c>
      <c r="D105" s="1"/>
      <c r="E105" s="1"/>
      <c r="F105" s="12"/>
      <c r="G105" s="12"/>
      <c r="H105" s="112"/>
    </row>
    <row r="106" spans="1:8" x14ac:dyDescent="0.2">
      <c r="A106" s="1"/>
      <c r="B106" s="1"/>
      <c r="C106" s="2" t="s">
        <v>111</v>
      </c>
      <c r="D106" s="1"/>
      <c r="E106" s="1"/>
      <c r="F106" s="12"/>
      <c r="G106" s="12"/>
      <c r="H106" s="112"/>
    </row>
    <row r="107" spans="1:8" x14ac:dyDescent="0.2">
      <c r="A107" s="1"/>
      <c r="B107" s="1"/>
      <c r="C107" s="2" t="s">
        <v>97</v>
      </c>
      <c r="D107" s="1"/>
      <c r="E107" s="1" t="s">
        <v>98</v>
      </c>
      <c r="F107" s="13">
        <v>0</v>
      </c>
      <c r="G107" s="14">
        <v>0</v>
      </c>
      <c r="H107" s="112"/>
    </row>
    <row r="108" spans="1:8" x14ac:dyDescent="0.2">
      <c r="A108" s="1"/>
      <c r="B108" s="1"/>
      <c r="C108" s="11"/>
      <c r="D108" s="1"/>
      <c r="E108" s="1"/>
      <c r="F108" s="12"/>
      <c r="G108" s="12"/>
      <c r="H108" s="112"/>
    </row>
    <row r="109" spans="1:8" x14ac:dyDescent="0.2">
      <c r="A109" s="1"/>
      <c r="B109" s="1"/>
      <c r="C109" s="2" t="s">
        <v>112</v>
      </c>
      <c r="D109" s="1"/>
      <c r="E109" s="1"/>
      <c r="F109" s="12"/>
      <c r="G109" s="12"/>
      <c r="H109" s="112"/>
    </row>
    <row r="110" spans="1:8" x14ac:dyDescent="0.2">
      <c r="A110" s="1"/>
      <c r="B110" s="1"/>
      <c r="C110" s="2" t="s">
        <v>97</v>
      </c>
      <c r="D110" s="1"/>
      <c r="E110" s="1" t="s">
        <v>98</v>
      </c>
      <c r="F110" s="13">
        <v>0</v>
      </c>
      <c r="G110" s="14">
        <v>0</v>
      </c>
      <c r="H110" s="112"/>
    </row>
    <row r="111" spans="1:8" x14ac:dyDescent="0.2">
      <c r="A111" s="1"/>
      <c r="B111" s="1"/>
      <c r="C111" s="11"/>
      <c r="D111" s="1"/>
      <c r="E111" s="1"/>
      <c r="F111" s="12"/>
      <c r="G111" s="12"/>
      <c r="H111" s="112"/>
    </row>
    <row r="112" spans="1:8" x14ac:dyDescent="0.2">
      <c r="A112" s="1"/>
      <c r="B112" s="1"/>
      <c r="C112" s="2" t="s">
        <v>113</v>
      </c>
      <c r="D112" s="1"/>
      <c r="E112" s="1"/>
      <c r="F112" s="12"/>
      <c r="G112" s="12"/>
      <c r="H112" s="112"/>
    </row>
    <row r="113" spans="1:8" x14ac:dyDescent="0.2">
      <c r="A113" s="1"/>
      <c r="B113" s="1"/>
      <c r="C113" s="2" t="s">
        <v>97</v>
      </c>
      <c r="D113" s="1"/>
      <c r="E113" s="1" t="s">
        <v>98</v>
      </c>
      <c r="F113" s="13">
        <v>0</v>
      </c>
      <c r="G113" s="14">
        <v>0</v>
      </c>
      <c r="H113" s="112"/>
    </row>
    <row r="114" spans="1:8" x14ac:dyDescent="0.2">
      <c r="A114" s="1"/>
      <c r="B114" s="1"/>
      <c r="C114" s="11"/>
      <c r="D114" s="1"/>
      <c r="E114" s="1"/>
      <c r="F114" s="12"/>
      <c r="G114" s="12"/>
      <c r="H114" s="112"/>
    </row>
    <row r="115" spans="1:8" x14ac:dyDescent="0.2">
      <c r="A115" s="1"/>
      <c r="B115" s="1"/>
      <c r="C115" s="2" t="s">
        <v>114</v>
      </c>
      <c r="D115" s="1"/>
      <c r="E115" s="1"/>
      <c r="F115" s="12"/>
      <c r="G115" s="12"/>
      <c r="H115" s="112"/>
    </row>
    <row r="116" spans="1:8" x14ac:dyDescent="0.2">
      <c r="A116" s="3">
        <v>1</v>
      </c>
      <c r="B116" s="4"/>
      <c r="C116" s="4" t="s">
        <v>115</v>
      </c>
      <c r="D116" s="4"/>
      <c r="E116" s="8"/>
      <c r="F116" s="6">
        <v>180.6321133375599</v>
      </c>
      <c r="G116" s="7">
        <v>4.3478899920818673E-2</v>
      </c>
      <c r="H116" s="6">
        <v>3.3211324282253978</v>
      </c>
    </row>
    <row r="117" spans="1:8" x14ac:dyDescent="0.2">
      <c r="A117" s="3">
        <v>2</v>
      </c>
      <c r="B117" s="4"/>
      <c r="C117" s="4" t="s">
        <v>116</v>
      </c>
      <c r="D117" s="4"/>
      <c r="E117" s="8"/>
      <c r="F117" s="6">
        <v>70.956529100011593</v>
      </c>
      <c r="G117" s="7">
        <v>1.7079531266418264E-2</v>
      </c>
      <c r="H117" s="6">
        <v>3.35</v>
      </c>
    </row>
    <row r="118" spans="1:8" x14ac:dyDescent="0.2">
      <c r="A118" s="1"/>
      <c r="B118" s="1"/>
      <c r="C118" s="2" t="s">
        <v>97</v>
      </c>
      <c r="D118" s="1"/>
      <c r="E118" s="1" t="s">
        <v>98</v>
      </c>
      <c r="F118" s="9">
        <v>251.58864243757148</v>
      </c>
      <c r="G118" s="10">
        <v>6.0558431187236937E-2</v>
      </c>
      <c r="H118" s="112"/>
    </row>
    <row r="119" spans="1:8" x14ac:dyDescent="0.2">
      <c r="A119" s="1"/>
      <c r="B119" s="1"/>
      <c r="C119" s="11"/>
      <c r="D119" s="1"/>
      <c r="E119" s="1"/>
      <c r="F119" s="12"/>
      <c r="G119" s="12"/>
      <c r="H119" s="112"/>
    </row>
    <row r="120" spans="1:8" x14ac:dyDescent="0.2">
      <c r="A120" s="1"/>
      <c r="B120" s="1"/>
      <c r="C120" s="2" t="s">
        <v>117</v>
      </c>
      <c r="D120" s="1"/>
      <c r="E120" s="1"/>
      <c r="F120" s="9">
        <v>251.58864243757148</v>
      </c>
      <c r="G120" s="10">
        <v>6.0558431187236937E-2</v>
      </c>
      <c r="H120" s="112"/>
    </row>
    <row r="121" spans="1:8" x14ac:dyDescent="0.2">
      <c r="A121" s="1"/>
      <c r="B121" s="1"/>
      <c r="C121" s="12"/>
      <c r="D121" s="1"/>
      <c r="E121" s="1"/>
      <c r="F121" s="1"/>
      <c r="G121" s="1"/>
      <c r="H121" s="112"/>
    </row>
    <row r="122" spans="1:8" x14ac:dyDescent="0.2">
      <c r="A122" s="1"/>
      <c r="B122" s="1"/>
      <c r="C122" s="2" t="s">
        <v>118</v>
      </c>
      <c r="D122" s="1"/>
      <c r="E122" s="1"/>
      <c r="F122" s="1"/>
      <c r="G122" s="1"/>
      <c r="H122" s="112"/>
    </row>
    <row r="123" spans="1:8" x14ac:dyDescent="0.2">
      <c r="A123" s="1"/>
      <c r="B123" s="1"/>
      <c r="C123" s="2" t="s">
        <v>119</v>
      </c>
      <c r="D123" s="1"/>
      <c r="E123" s="1"/>
      <c r="F123" s="1"/>
      <c r="G123" s="1"/>
      <c r="H123" s="112"/>
    </row>
    <row r="124" spans="1:8" x14ac:dyDescent="0.2">
      <c r="A124" s="1"/>
      <c r="B124" s="1"/>
      <c r="C124" s="2" t="s">
        <v>97</v>
      </c>
      <c r="D124" s="1"/>
      <c r="E124" s="1" t="s">
        <v>98</v>
      </c>
      <c r="F124" s="13">
        <v>0</v>
      </c>
      <c r="G124" s="14">
        <v>0</v>
      </c>
      <c r="H124" s="112"/>
    </row>
    <row r="125" spans="1:8" x14ac:dyDescent="0.2">
      <c r="A125" s="1"/>
      <c r="B125" s="1"/>
      <c r="C125" s="11"/>
      <c r="D125" s="1"/>
      <c r="E125" s="1"/>
      <c r="F125" s="12"/>
      <c r="G125" s="12"/>
      <c r="H125" s="112"/>
    </row>
    <row r="126" spans="1:8" x14ac:dyDescent="0.2">
      <c r="A126" s="1"/>
      <c r="B126" s="1"/>
      <c r="C126" s="2" t="s">
        <v>120</v>
      </c>
      <c r="D126" s="1"/>
      <c r="E126" s="1"/>
      <c r="F126" s="1"/>
      <c r="G126" s="1"/>
      <c r="H126" s="112"/>
    </row>
    <row r="127" spans="1:8" x14ac:dyDescent="0.2">
      <c r="A127" s="1"/>
      <c r="B127" s="1"/>
      <c r="C127" s="2" t="s">
        <v>121</v>
      </c>
      <c r="D127" s="1"/>
      <c r="E127" s="1"/>
      <c r="F127" s="1"/>
      <c r="G127" s="1"/>
      <c r="H127" s="112"/>
    </row>
    <row r="128" spans="1:8" x14ac:dyDescent="0.2">
      <c r="A128" s="1"/>
      <c r="B128" s="1"/>
      <c r="C128" s="2" t="s">
        <v>97</v>
      </c>
      <c r="D128" s="1"/>
      <c r="E128" s="1" t="s">
        <v>98</v>
      </c>
      <c r="F128" s="13">
        <v>0</v>
      </c>
      <c r="G128" s="14">
        <v>0</v>
      </c>
      <c r="H128" s="112"/>
    </row>
    <row r="129" spans="1:8" x14ac:dyDescent="0.2">
      <c r="A129" s="1"/>
      <c r="B129" s="1"/>
      <c r="C129" s="11"/>
      <c r="D129" s="1"/>
      <c r="E129" s="1"/>
      <c r="F129" s="12"/>
      <c r="G129" s="12"/>
      <c r="H129" s="112"/>
    </row>
    <row r="130" spans="1:8" x14ac:dyDescent="0.2">
      <c r="A130" s="1"/>
      <c r="B130" s="1"/>
      <c r="C130" s="11"/>
      <c r="D130" s="1"/>
      <c r="E130" s="1"/>
      <c r="F130" s="12"/>
      <c r="G130" s="12"/>
      <c r="H130" s="112"/>
    </row>
    <row r="131" spans="1:8" ht="25.5" x14ac:dyDescent="0.2">
      <c r="A131" s="1"/>
      <c r="B131" s="1"/>
      <c r="C131" s="2" t="s">
        <v>122</v>
      </c>
      <c r="D131" s="1"/>
      <c r="E131" s="1"/>
      <c r="F131" s="12"/>
      <c r="G131" s="12"/>
      <c r="H131" s="112"/>
    </row>
    <row r="132" spans="1:8" x14ac:dyDescent="0.2">
      <c r="A132" s="1"/>
      <c r="B132" s="1"/>
      <c r="C132" s="2" t="s">
        <v>97</v>
      </c>
      <c r="D132" s="1"/>
      <c r="E132" s="1" t="s">
        <v>98</v>
      </c>
      <c r="F132" s="13">
        <v>0</v>
      </c>
      <c r="G132" s="14">
        <v>0</v>
      </c>
      <c r="H132" s="112"/>
    </row>
    <row r="133" spans="1:8" x14ac:dyDescent="0.2">
      <c r="A133" s="1"/>
      <c r="B133" s="1"/>
      <c r="C133" s="11"/>
      <c r="D133" s="1"/>
      <c r="E133" s="1"/>
      <c r="F133" s="12"/>
      <c r="G133" s="12"/>
      <c r="H133" s="112"/>
    </row>
    <row r="134" spans="1:8" x14ac:dyDescent="0.2">
      <c r="A134" s="1"/>
      <c r="B134" s="4"/>
      <c r="C134" s="4"/>
      <c r="D134" s="2"/>
      <c r="E134" s="1"/>
      <c r="F134" s="4"/>
      <c r="G134" s="8"/>
      <c r="H134" s="112"/>
    </row>
    <row r="135" spans="1:8" x14ac:dyDescent="0.2">
      <c r="A135" s="8"/>
      <c r="B135" s="4"/>
      <c r="C135" s="4" t="s">
        <v>123</v>
      </c>
      <c r="D135" s="4"/>
      <c r="E135" s="8"/>
      <c r="F135" s="6">
        <v>-10.320169190011596</v>
      </c>
      <c r="G135" s="7">
        <v>-2.4841075880006752E-3</v>
      </c>
      <c r="H135" s="112"/>
    </row>
    <row r="136" spans="1:8" x14ac:dyDescent="0.2">
      <c r="A136" s="11"/>
      <c r="B136" s="11"/>
      <c r="C136" s="2" t="s">
        <v>124</v>
      </c>
      <c r="D136" s="15"/>
      <c r="E136" s="15"/>
      <c r="F136" s="9">
        <v>4154.47754351</v>
      </c>
      <c r="G136" s="10">
        <v>0.99999999699999997</v>
      </c>
      <c r="H136" s="112"/>
    </row>
    <row r="137" spans="1:8" ht="14.1" customHeight="1" x14ac:dyDescent="0.2">
      <c r="A137" s="16"/>
      <c r="B137" s="16"/>
      <c r="C137" s="16"/>
      <c r="D137" s="17"/>
      <c r="E137" s="17"/>
      <c r="F137" s="17"/>
      <c r="G137" s="17"/>
    </row>
    <row r="138" spans="1:8" ht="14.1" customHeight="1" x14ac:dyDescent="0.2">
      <c r="A138" s="18"/>
      <c r="B138" s="205" t="s">
        <v>98</v>
      </c>
      <c r="C138" s="205"/>
      <c r="D138" s="205"/>
      <c r="E138" s="205"/>
      <c r="F138" s="205"/>
      <c r="G138" s="20"/>
    </row>
    <row r="139" spans="1:8" ht="14.1" customHeight="1" x14ac:dyDescent="0.2">
      <c r="A139" s="18"/>
      <c r="B139" s="205" t="s">
        <v>98</v>
      </c>
      <c r="C139" s="205"/>
      <c r="D139" s="205"/>
      <c r="E139" s="205"/>
      <c r="F139" s="205"/>
      <c r="G139" s="20"/>
    </row>
    <row r="140" spans="1:8" ht="14.1" customHeight="1" x14ac:dyDescent="0.2">
      <c r="A140" s="18"/>
      <c r="B140" s="18"/>
      <c r="C140" s="18"/>
      <c r="D140" s="20"/>
      <c r="E140" s="20"/>
      <c r="F140" s="20"/>
      <c r="G140" s="20"/>
    </row>
    <row r="141" spans="1:8" ht="14.1" customHeight="1" x14ac:dyDescent="0.2">
      <c r="A141" s="18"/>
      <c r="B141" s="203" t="s">
        <v>126</v>
      </c>
      <c r="C141" s="204"/>
      <c r="D141" s="12" t="s">
        <v>98</v>
      </c>
      <c r="E141" s="21"/>
      <c r="F141" s="20"/>
      <c r="G141" s="20"/>
    </row>
    <row r="142" spans="1:8" ht="29.1" customHeight="1" x14ac:dyDescent="0.2">
      <c r="A142" s="18"/>
      <c r="B142" s="198" t="s">
        <v>127</v>
      </c>
      <c r="C142" s="199"/>
      <c r="D142" s="2" t="s">
        <v>128</v>
      </c>
      <c r="E142" s="21"/>
      <c r="F142" s="20"/>
      <c r="G142" s="20"/>
    </row>
    <row r="143" spans="1:8" ht="17.100000000000001" customHeight="1" x14ac:dyDescent="0.2">
      <c r="A143" s="18"/>
      <c r="B143" s="198" t="s">
        <v>129</v>
      </c>
      <c r="C143" s="199"/>
      <c r="D143" s="2" t="s">
        <v>128</v>
      </c>
      <c r="E143" s="21"/>
      <c r="F143" s="20"/>
      <c r="G143" s="20"/>
    </row>
    <row r="144" spans="1:8" ht="17.100000000000001" customHeight="1" x14ac:dyDescent="0.2">
      <c r="A144" s="18"/>
      <c r="B144" s="198" t="s">
        <v>130</v>
      </c>
      <c r="C144" s="199"/>
      <c r="D144" s="12" t="s">
        <v>98</v>
      </c>
      <c r="E144" s="21"/>
      <c r="F144" s="20"/>
      <c r="G144" s="20"/>
    </row>
    <row r="145" spans="1:15" ht="24" customHeight="1" x14ac:dyDescent="0.2">
      <c r="A145" s="22"/>
      <c r="B145" s="23" t="s">
        <v>98</v>
      </c>
      <c r="C145" s="23" t="s">
        <v>131</v>
      </c>
      <c r="D145" s="23" t="s">
        <v>132</v>
      </c>
      <c r="E145" s="22"/>
      <c r="F145" s="22"/>
      <c r="G145" s="22"/>
    </row>
    <row r="146" spans="1:15" ht="18" customHeight="1" x14ac:dyDescent="0.2">
      <c r="A146" s="22"/>
      <c r="B146" s="23" t="s">
        <v>133</v>
      </c>
      <c r="C146" s="23" t="s">
        <v>134</v>
      </c>
      <c r="D146" s="23" t="s">
        <v>135</v>
      </c>
      <c r="E146" s="22"/>
      <c r="F146" s="22"/>
      <c r="G146" s="22"/>
    </row>
    <row r="147" spans="1:15" ht="17.100000000000001" customHeight="1" x14ac:dyDescent="0.2">
      <c r="A147" s="22"/>
      <c r="B147" s="4" t="s">
        <v>136</v>
      </c>
      <c r="C147" s="24">
        <v>15.726900000000001</v>
      </c>
      <c r="D147" s="24">
        <v>15.981299999999999</v>
      </c>
      <c r="E147" s="22"/>
      <c r="F147" s="19"/>
      <c r="G147" s="25"/>
    </row>
    <row r="148" spans="1:15" ht="17.100000000000001" customHeight="1" x14ac:dyDescent="0.2">
      <c r="A148" s="22"/>
      <c r="B148" s="4" t="s">
        <v>980</v>
      </c>
      <c r="C148" s="24">
        <v>15.726900000000001</v>
      </c>
      <c r="D148" s="24">
        <v>15.981299999999999</v>
      </c>
      <c r="E148" s="22"/>
      <c r="F148" s="19"/>
      <c r="G148" s="25"/>
    </row>
    <row r="149" spans="1:15" ht="17.100000000000001" customHeight="1" x14ac:dyDescent="0.2">
      <c r="A149" s="22"/>
      <c r="B149" s="4" t="s">
        <v>137</v>
      </c>
      <c r="C149" s="24">
        <v>15.445</v>
      </c>
      <c r="D149" s="24">
        <v>15.6934</v>
      </c>
      <c r="E149" s="22"/>
      <c r="F149" s="19"/>
      <c r="G149" s="25"/>
    </row>
    <row r="150" spans="1:15" ht="17.100000000000001" customHeight="1" x14ac:dyDescent="0.2">
      <c r="A150" s="22"/>
      <c r="B150" s="4" t="s">
        <v>981</v>
      </c>
      <c r="C150" s="24">
        <v>15.444900000000001</v>
      </c>
      <c r="D150" s="24">
        <v>15.693300000000001</v>
      </c>
      <c r="E150" s="22"/>
      <c r="F150" s="19"/>
      <c r="G150" s="25"/>
    </row>
    <row r="151" spans="1:15" ht="14.1" customHeight="1" x14ac:dyDescent="0.2">
      <c r="A151" s="22"/>
      <c r="B151" s="22"/>
      <c r="C151" s="22"/>
      <c r="D151" s="22"/>
      <c r="E151" s="22"/>
      <c r="F151" s="22"/>
      <c r="G151" s="22"/>
    </row>
    <row r="152" spans="1:15" ht="17.100000000000001" customHeight="1" x14ac:dyDescent="0.2">
      <c r="A152" s="22"/>
      <c r="B152" s="198" t="s">
        <v>982</v>
      </c>
      <c r="C152" s="199"/>
      <c r="D152" s="2" t="s">
        <v>128</v>
      </c>
      <c r="E152" s="22"/>
      <c r="F152" s="22"/>
      <c r="G152" s="22"/>
    </row>
    <row r="153" spans="1:15" ht="18" customHeight="1" x14ac:dyDescent="0.2">
      <c r="A153" s="22"/>
      <c r="B153" s="26"/>
      <c r="C153" s="26"/>
      <c r="D153" s="27"/>
      <c r="E153" s="22"/>
      <c r="F153" s="22"/>
      <c r="G153" s="22"/>
    </row>
    <row r="154" spans="1:15" s="113" customFormat="1" x14ac:dyDescent="0.2">
      <c r="B154" s="202" t="s">
        <v>984</v>
      </c>
      <c r="C154" s="202"/>
      <c r="D154" s="202"/>
      <c r="E154" s="202"/>
      <c r="F154" s="202"/>
      <c r="I154"/>
      <c r="J154"/>
      <c r="K154"/>
      <c r="L154"/>
      <c r="M154"/>
      <c r="N154"/>
      <c r="O154"/>
    </row>
    <row r="155" spans="1:15" ht="14.1" customHeight="1" x14ac:dyDescent="0.2">
      <c r="A155" s="22"/>
      <c r="B155" s="19"/>
      <c r="C155" s="19"/>
      <c r="D155" s="22"/>
      <c r="E155" s="22"/>
      <c r="F155" s="22"/>
      <c r="G155" s="22"/>
      <c r="I155" s="113"/>
      <c r="J155" s="113"/>
      <c r="K155" s="113"/>
      <c r="L155" s="113"/>
      <c r="M155" s="113"/>
      <c r="N155" s="113"/>
      <c r="O155" s="113"/>
    </row>
    <row r="156" spans="1:15" ht="29.1" customHeight="1" x14ac:dyDescent="0.2">
      <c r="A156" s="22"/>
      <c r="B156" s="198" t="s">
        <v>138</v>
      </c>
      <c r="C156" s="199"/>
      <c r="D156" s="2" t="s">
        <v>128</v>
      </c>
      <c r="E156" s="22"/>
      <c r="F156" s="22"/>
      <c r="G156" s="22"/>
    </row>
    <row r="157" spans="1:15" ht="29.1" customHeight="1" x14ac:dyDescent="0.2">
      <c r="A157" s="22"/>
      <c r="B157" s="198" t="s">
        <v>139</v>
      </c>
      <c r="C157" s="199"/>
      <c r="D157" s="2" t="s">
        <v>128</v>
      </c>
      <c r="E157" s="22"/>
      <c r="F157" s="22"/>
      <c r="G157" s="22"/>
    </row>
    <row r="158" spans="1:15" ht="17.100000000000001" customHeight="1" x14ac:dyDescent="0.2">
      <c r="A158" s="22"/>
      <c r="B158" s="198" t="s">
        <v>140</v>
      </c>
      <c r="C158" s="199"/>
      <c r="D158" s="28">
        <v>0.28043024303378716</v>
      </c>
      <c r="E158" s="22"/>
      <c r="F158" s="19"/>
      <c r="G158" s="25"/>
    </row>
    <row r="159" spans="1:15" ht="17.100000000000001" customHeight="1" x14ac:dyDescent="0.2">
      <c r="A159" s="22"/>
      <c r="B159" s="198" t="s">
        <v>141</v>
      </c>
      <c r="C159" s="199"/>
      <c r="D159" s="2" t="s">
        <v>128</v>
      </c>
      <c r="E159" s="22"/>
      <c r="F159" s="22"/>
      <c r="G159" s="22"/>
    </row>
  </sheetData>
  <mergeCells count="16">
    <mergeCell ref="B159:C159"/>
    <mergeCell ref="B142:C142"/>
    <mergeCell ref="B143:C143"/>
    <mergeCell ref="B144:C144"/>
    <mergeCell ref="B152:C152"/>
    <mergeCell ref="B156:C156"/>
    <mergeCell ref="B157:C157"/>
    <mergeCell ref="B154:F154"/>
    <mergeCell ref="A1:H1"/>
    <mergeCell ref="A2:H2"/>
    <mergeCell ref="A3:H3"/>
    <mergeCell ref="J2:N2"/>
    <mergeCell ref="B158:C158"/>
    <mergeCell ref="B141:C141"/>
    <mergeCell ref="B138:F138"/>
    <mergeCell ref="B139:F139"/>
  </mergeCells>
  <pageMargins left="5.000000074505806E-2" right="5.000000074505806E-2" top="0.30000001192092896" bottom="0.20000000298023224" header="0" footer="0"/>
  <pageSetup paperSize="9"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N161"/>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514</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154</v>
      </c>
      <c r="C7" s="4" t="s">
        <v>155</v>
      </c>
      <c r="D7" s="4" t="s">
        <v>71</v>
      </c>
      <c r="E7" s="5">
        <v>24926</v>
      </c>
      <c r="F7" s="6">
        <v>134.625326</v>
      </c>
      <c r="G7" s="7">
        <v>3.3830605E-2</v>
      </c>
      <c r="H7" s="112"/>
    </row>
    <row r="8" spans="1:14" x14ac:dyDescent="0.2">
      <c r="A8" s="3">
        <v>2</v>
      </c>
      <c r="B8" s="4" t="s">
        <v>143</v>
      </c>
      <c r="C8" s="4" t="s">
        <v>144</v>
      </c>
      <c r="D8" s="4" t="s">
        <v>27</v>
      </c>
      <c r="E8" s="5">
        <v>14488</v>
      </c>
      <c r="F8" s="6">
        <v>132.28268399999999</v>
      </c>
      <c r="G8" s="7">
        <v>3.3241911999999998E-2</v>
      </c>
      <c r="H8" s="112"/>
    </row>
    <row r="9" spans="1:14" x14ac:dyDescent="0.2">
      <c r="A9" s="3">
        <v>3</v>
      </c>
      <c r="B9" s="4" t="s">
        <v>148</v>
      </c>
      <c r="C9" s="4" t="s">
        <v>149</v>
      </c>
      <c r="D9" s="4" t="s">
        <v>81</v>
      </c>
      <c r="E9" s="5">
        <v>96350</v>
      </c>
      <c r="F9" s="6">
        <v>125.06229999999999</v>
      </c>
      <c r="G9" s="7">
        <v>3.1427469E-2</v>
      </c>
      <c r="H9" s="112"/>
    </row>
    <row r="10" spans="1:14" x14ac:dyDescent="0.2">
      <c r="A10" s="3">
        <v>4</v>
      </c>
      <c r="B10" s="4" t="s">
        <v>150</v>
      </c>
      <c r="C10" s="4" t="s">
        <v>151</v>
      </c>
      <c r="D10" s="4" t="s">
        <v>27</v>
      </c>
      <c r="E10" s="5">
        <v>14411</v>
      </c>
      <c r="F10" s="6">
        <v>122.6592265</v>
      </c>
      <c r="G10" s="7">
        <v>3.0823590000000001E-2</v>
      </c>
      <c r="H10" s="112"/>
    </row>
    <row r="11" spans="1:14" x14ac:dyDescent="0.2">
      <c r="A11" s="3">
        <v>5</v>
      </c>
      <c r="B11" s="4" t="s">
        <v>25</v>
      </c>
      <c r="C11" s="4" t="s">
        <v>26</v>
      </c>
      <c r="D11" s="4" t="s">
        <v>27</v>
      </c>
      <c r="E11" s="5">
        <v>6974</v>
      </c>
      <c r="F11" s="6">
        <v>112.95090399999999</v>
      </c>
      <c r="G11" s="7">
        <v>2.8383941999999999E-2</v>
      </c>
      <c r="H11" s="112"/>
    </row>
    <row r="12" spans="1:14" x14ac:dyDescent="0.2">
      <c r="A12" s="3">
        <v>6</v>
      </c>
      <c r="B12" s="4" t="s">
        <v>145</v>
      </c>
      <c r="C12" s="4" t="s">
        <v>146</v>
      </c>
      <c r="D12" s="4" t="s">
        <v>147</v>
      </c>
      <c r="E12" s="5">
        <v>3099</v>
      </c>
      <c r="F12" s="6">
        <v>103.457016</v>
      </c>
      <c r="G12" s="7">
        <v>2.5998179999999999E-2</v>
      </c>
      <c r="H12" s="112"/>
    </row>
    <row r="13" spans="1:14" x14ac:dyDescent="0.2">
      <c r="A13" s="3">
        <v>7</v>
      </c>
      <c r="B13" s="4" t="s">
        <v>74</v>
      </c>
      <c r="C13" s="4" t="s">
        <v>75</v>
      </c>
      <c r="D13" s="4" t="s">
        <v>71</v>
      </c>
      <c r="E13" s="5">
        <v>26776</v>
      </c>
      <c r="F13" s="6">
        <v>103.261644</v>
      </c>
      <c r="G13" s="7">
        <v>2.5949084000000001E-2</v>
      </c>
      <c r="H13" s="112"/>
    </row>
    <row r="14" spans="1:14" x14ac:dyDescent="0.2">
      <c r="A14" s="3">
        <v>8</v>
      </c>
      <c r="B14" s="4" t="s">
        <v>156</v>
      </c>
      <c r="C14" s="4" t="s">
        <v>157</v>
      </c>
      <c r="D14" s="4" t="s">
        <v>974</v>
      </c>
      <c r="E14" s="5">
        <v>8070</v>
      </c>
      <c r="F14" s="6">
        <v>100.35045</v>
      </c>
      <c r="G14" s="7">
        <v>2.5217516999999998E-2</v>
      </c>
      <c r="H14" s="112"/>
    </row>
    <row r="15" spans="1:14" ht="25.5" x14ac:dyDescent="0.2">
      <c r="A15" s="3">
        <v>9</v>
      </c>
      <c r="B15" s="4" t="s">
        <v>190</v>
      </c>
      <c r="C15" s="4" t="s">
        <v>191</v>
      </c>
      <c r="D15" s="4" t="s">
        <v>192</v>
      </c>
      <c r="E15" s="5">
        <v>18738</v>
      </c>
      <c r="F15" s="6">
        <v>98.027846999999994</v>
      </c>
      <c r="G15" s="7">
        <v>2.463386E-2</v>
      </c>
      <c r="H15" s="112"/>
      <c r="J15" s="188" t="s">
        <v>1018</v>
      </c>
    </row>
    <row r="16" spans="1:14" ht="25.5" x14ac:dyDescent="0.2">
      <c r="A16" s="3">
        <v>10</v>
      </c>
      <c r="B16" s="4" t="s">
        <v>152</v>
      </c>
      <c r="C16" s="4" t="s">
        <v>153</v>
      </c>
      <c r="D16" s="4" t="s">
        <v>45</v>
      </c>
      <c r="E16" s="5">
        <v>65865</v>
      </c>
      <c r="F16" s="6">
        <v>96.360495</v>
      </c>
      <c r="G16" s="7">
        <v>2.4214863E-2</v>
      </c>
      <c r="H16" s="112"/>
    </row>
    <row r="17" spans="1:8" x14ac:dyDescent="0.2">
      <c r="A17" s="3">
        <v>11</v>
      </c>
      <c r="B17" s="4" t="s">
        <v>65</v>
      </c>
      <c r="C17" s="4" t="s">
        <v>66</v>
      </c>
      <c r="D17" s="4" t="s">
        <v>64</v>
      </c>
      <c r="E17" s="5">
        <v>20448</v>
      </c>
      <c r="F17" s="6">
        <v>94.909391999999997</v>
      </c>
      <c r="G17" s="7">
        <v>2.3850209000000001E-2</v>
      </c>
      <c r="H17" s="112"/>
    </row>
    <row r="18" spans="1:8" x14ac:dyDescent="0.2">
      <c r="A18" s="3">
        <v>12</v>
      </c>
      <c r="B18" s="4" t="s">
        <v>160</v>
      </c>
      <c r="C18" s="4" t="s">
        <v>161</v>
      </c>
      <c r="D18" s="4" t="s">
        <v>162</v>
      </c>
      <c r="E18" s="5">
        <v>2343</v>
      </c>
      <c r="F18" s="6">
        <v>91.932291000000006</v>
      </c>
      <c r="G18" s="7">
        <v>2.3102080000000001E-2</v>
      </c>
      <c r="H18" s="112"/>
    </row>
    <row r="19" spans="1:8" x14ac:dyDescent="0.2">
      <c r="A19" s="3">
        <v>13</v>
      </c>
      <c r="B19" s="4" t="s">
        <v>41</v>
      </c>
      <c r="C19" s="4" t="s">
        <v>42</v>
      </c>
      <c r="D19" s="4" t="s">
        <v>27</v>
      </c>
      <c r="E19" s="5">
        <v>6458</v>
      </c>
      <c r="F19" s="6">
        <v>85.597560999999999</v>
      </c>
      <c r="G19" s="7">
        <v>2.1510197000000002E-2</v>
      </c>
      <c r="H19" s="112"/>
    </row>
    <row r="20" spans="1:8" x14ac:dyDescent="0.2">
      <c r="A20" s="3">
        <v>14</v>
      </c>
      <c r="B20" s="4" t="s">
        <v>163</v>
      </c>
      <c r="C20" s="4" t="s">
        <v>164</v>
      </c>
      <c r="D20" s="4" t="s">
        <v>162</v>
      </c>
      <c r="E20" s="5">
        <v>27156</v>
      </c>
      <c r="F20" s="6">
        <v>83.830572000000004</v>
      </c>
      <c r="G20" s="7">
        <v>2.1066161999999999E-2</v>
      </c>
      <c r="H20" s="112"/>
    </row>
    <row r="21" spans="1:8" x14ac:dyDescent="0.2">
      <c r="A21" s="3">
        <v>15</v>
      </c>
      <c r="B21" s="4" t="s">
        <v>167</v>
      </c>
      <c r="C21" s="4" t="s">
        <v>168</v>
      </c>
      <c r="D21" s="4" t="s">
        <v>81</v>
      </c>
      <c r="E21" s="5">
        <v>11753</v>
      </c>
      <c r="F21" s="6">
        <v>82.888032499999994</v>
      </c>
      <c r="G21" s="7">
        <v>2.0829306999999998E-2</v>
      </c>
      <c r="H21" s="112"/>
    </row>
    <row r="22" spans="1:8" x14ac:dyDescent="0.2">
      <c r="A22" s="3">
        <v>16</v>
      </c>
      <c r="B22" s="4" t="s">
        <v>184</v>
      </c>
      <c r="C22" s="4" t="s">
        <v>185</v>
      </c>
      <c r="D22" s="4" t="s">
        <v>186</v>
      </c>
      <c r="E22" s="5">
        <v>17579</v>
      </c>
      <c r="F22" s="6">
        <v>81.900560999999996</v>
      </c>
      <c r="G22" s="7">
        <v>2.0581161000000001E-2</v>
      </c>
      <c r="H22" s="112"/>
    </row>
    <row r="23" spans="1:8" x14ac:dyDescent="0.2">
      <c r="A23" s="3">
        <v>17</v>
      </c>
      <c r="B23" s="4" t="s">
        <v>165</v>
      </c>
      <c r="C23" s="4" t="s">
        <v>166</v>
      </c>
      <c r="D23" s="4" t="s">
        <v>976</v>
      </c>
      <c r="E23" s="5">
        <v>19524</v>
      </c>
      <c r="F23" s="6">
        <v>81.815321999999995</v>
      </c>
      <c r="G23" s="7">
        <v>2.0559740999999999E-2</v>
      </c>
      <c r="H23" s="112"/>
    </row>
    <row r="24" spans="1:8" x14ac:dyDescent="0.2">
      <c r="A24" s="3">
        <v>18</v>
      </c>
      <c r="B24" s="4" t="s">
        <v>187</v>
      </c>
      <c r="C24" s="4" t="s">
        <v>188</v>
      </c>
      <c r="D24" s="4" t="s">
        <v>189</v>
      </c>
      <c r="E24" s="5">
        <v>35495</v>
      </c>
      <c r="F24" s="6">
        <v>80.076719999999995</v>
      </c>
      <c r="G24" s="7">
        <v>2.0122839999999999E-2</v>
      </c>
      <c r="H24" s="112"/>
    </row>
    <row r="25" spans="1:8" x14ac:dyDescent="0.2">
      <c r="A25" s="3">
        <v>19</v>
      </c>
      <c r="B25" s="4" t="s">
        <v>195</v>
      </c>
      <c r="C25" s="4" t="s">
        <v>196</v>
      </c>
      <c r="D25" s="4" t="s">
        <v>34</v>
      </c>
      <c r="E25" s="5">
        <v>19016</v>
      </c>
      <c r="F25" s="6">
        <v>79.914739999999995</v>
      </c>
      <c r="G25" s="7">
        <v>2.0082135000000001E-2</v>
      </c>
      <c r="H25" s="112"/>
    </row>
    <row r="26" spans="1:8" x14ac:dyDescent="0.2">
      <c r="A26" s="3">
        <v>20</v>
      </c>
      <c r="B26" s="4" t="s">
        <v>210</v>
      </c>
      <c r="C26" s="4" t="s">
        <v>211</v>
      </c>
      <c r="D26" s="4" t="s">
        <v>212</v>
      </c>
      <c r="E26" s="5">
        <v>32045</v>
      </c>
      <c r="F26" s="6">
        <v>79.535690000000002</v>
      </c>
      <c r="G26" s="7">
        <v>1.9986882000000001E-2</v>
      </c>
      <c r="H26" s="112"/>
    </row>
    <row r="27" spans="1:8" ht="25.5" x14ac:dyDescent="0.2">
      <c r="A27" s="3">
        <v>21</v>
      </c>
      <c r="B27" s="4" t="s">
        <v>37</v>
      </c>
      <c r="C27" s="4" t="s">
        <v>38</v>
      </c>
      <c r="D27" s="4" t="s">
        <v>971</v>
      </c>
      <c r="E27" s="5">
        <v>2325</v>
      </c>
      <c r="F27" s="6">
        <v>77.091187500000004</v>
      </c>
      <c r="G27" s="7">
        <v>1.9372592000000001E-2</v>
      </c>
      <c r="H27" s="112"/>
    </row>
    <row r="28" spans="1:8" x14ac:dyDescent="0.2">
      <c r="A28" s="3">
        <v>22</v>
      </c>
      <c r="B28" s="4" t="s">
        <v>69</v>
      </c>
      <c r="C28" s="4" t="s">
        <v>70</v>
      </c>
      <c r="D28" s="4" t="s">
        <v>71</v>
      </c>
      <c r="E28" s="5">
        <v>2243</v>
      </c>
      <c r="F28" s="6">
        <v>74.147972499999995</v>
      </c>
      <c r="G28" s="7">
        <v>1.8632978000000001E-2</v>
      </c>
      <c r="H28" s="112"/>
    </row>
    <row r="29" spans="1:8" ht="25.5" x14ac:dyDescent="0.2">
      <c r="A29" s="3">
        <v>23</v>
      </c>
      <c r="B29" s="4" t="s">
        <v>467</v>
      </c>
      <c r="C29" s="4" t="s">
        <v>468</v>
      </c>
      <c r="D29" s="4" t="s">
        <v>45</v>
      </c>
      <c r="E29" s="5">
        <v>4818</v>
      </c>
      <c r="F29" s="6">
        <v>66.890703000000002</v>
      </c>
      <c r="G29" s="7">
        <v>1.6809266E-2</v>
      </c>
      <c r="H29" s="112"/>
    </row>
    <row r="30" spans="1:8" x14ac:dyDescent="0.2">
      <c r="A30" s="3">
        <v>24</v>
      </c>
      <c r="B30" s="4" t="s">
        <v>179</v>
      </c>
      <c r="C30" s="4" t="s">
        <v>180</v>
      </c>
      <c r="D30" s="4" t="s">
        <v>71</v>
      </c>
      <c r="E30" s="5">
        <v>6322</v>
      </c>
      <c r="F30" s="6">
        <v>64.825788000000003</v>
      </c>
      <c r="G30" s="7">
        <v>1.6290365000000001E-2</v>
      </c>
      <c r="H30" s="112"/>
    </row>
    <row r="31" spans="1:8" x14ac:dyDescent="0.2">
      <c r="A31" s="3">
        <v>25</v>
      </c>
      <c r="B31" s="4" t="s">
        <v>182</v>
      </c>
      <c r="C31" s="4" t="s">
        <v>183</v>
      </c>
      <c r="D31" s="4" t="s">
        <v>162</v>
      </c>
      <c r="E31" s="5">
        <v>6046</v>
      </c>
      <c r="F31" s="6">
        <v>64.586394999999996</v>
      </c>
      <c r="G31" s="7">
        <v>1.6230206E-2</v>
      </c>
      <c r="H31" s="112"/>
    </row>
    <row r="32" spans="1:8" x14ac:dyDescent="0.2">
      <c r="A32" s="3">
        <v>26</v>
      </c>
      <c r="B32" s="4" t="s">
        <v>203</v>
      </c>
      <c r="C32" s="4" t="s">
        <v>204</v>
      </c>
      <c r="D32" s="4" t="s">
        <v>81</v>
      </c>
      <c r="E32" s="5">
        <v>10108</v>
      </c>
      <c r="F32" s="6">
        <v>63.361998</v>
      </c>
      <c r="G32" s="7">
        <v>1.5922522000000001E-2</v>
      </c>
      <c r="H32" s="112"/>
    </row>
    <row r="33" spans="1:8" x14ac:dyDescent="0.2">
      <c r="A33" s="3">
        <v>27</v>
      </c>
      <c r="B33" s="4" t="s">
        <v>213</v>
      </c>
      <c r="C33" s="4" t="s">
        <v>214</v>
      </c>
      <c r="D33" s="4" t="s">
        <v>977</v>
      </c>
      <c r="E33" s="5">
        <v>10737</v>
      </c>
      <c r="F33" s="6">
        <v>62.306811000000003</v>
      </c>
      <c r="G33" s="7">
        <v>1.5657359999999999E-2</v>
      </c>
      <c r="H33" s="112"/>
    </row>
    <row r="34" spans="1:8" x14ac:dyDescent="0.2">
      <c r="A34" s="3">
        <v>28</v>
      </c>
      <c r="B34" s="4" t="s">
        <v>205</v>
      </c>
      <c r="C34" s="4" t="s">
        <v>206</v>
      </c>
      <c r="D34" s="4" t="s">
        <v>975</v>
      </c>
      <c r="E34" s="5">
        <v>7162</v>
      </c>
      <c r="F34" s="6">
        <v>62.047986999999999</v>
      </c>
      <c r="G34" s="7">
        <v>1.5592318000000001E-2</v>
      </c>
      <c r="H34" s="112"/>
    </row>
    <row r="35" spans="1:8" x14ac:dyDescent="0.2">
      <c r="A35" s="3">
        <v>29</v>
      </c>
      <c r="B35" s="4" t="s">
        <v>240</v>
      </c>
      <c r="C35" s="4" t="s">
        <v>241</v>
      </c>
      <c r="D35" s="4" t="s">
        <v>81</v>
      </c>
      <c r="E35" s="5">
        <v>108845</v>
      </c>
      <c r="F35" s="6">
        <v>59.973595000000003</v>
      </c>
      <c r="G35" s="7">
        <v>1.5071035E-2</v>
      </c>
      <c r="H35" s="112"/>
    </row>
    <row r="36" spans="1:8" x14ac:dyDescent="0.2">
      <c r="A36" s="3">
        <v>30</v>
      </c>
      <c r="B36" s="4" t="s">
        <v>238</v>
      </c>
      <c r="C36" s="4" t="s">
        <v>239</v>
      </c>
      <c r="D36" s="4" t="s">
        <v>186</v>
      </c>
      <c r="E36" s="5">
        <v>11402</v>
      </c>
      <c r="F36" s="6">
        <v>58.811515999999997</v>
      </c>
      <c r="G36" s="7">
        <v>1.4779011E-2</v>
      </c>
      <c r="H36" s="112"/>
    </row>
    <row r="37" spans="1:8" x14ac:dyDescent="0.2">
      <c r="A37" s="3">
        <v>31</v>
      </c>
      <c r="B37" s="4" t="s">
        <v>199</v>
      </c>
      <c r="C37" s="4" t="s">
        <v>200</v>
      </c>
      <c r="D37" s="4" t="s">
        <v>64</v>
      </c>
      <c r="E37" s="5">
        <v>54093</v>
      </c>
      <c r="F37" s="6">
        <v>56.635370999999999</v>
      </c>
      <c r="G37" s="7">
        <v>1.4232158E-2</v>
      </c>
      <c r="H37" s="112"/>
    </row>
    <row r="38" spans="1:8" x14ac:dyDescent="0.2">
      <c r="A38" s="3">
        <v>32</v>
      </c>
      <c r="B38" s="4" t="s">
        <v>176</v>
      </c>
      <c r="C38" s="4" t="s">
        <v>177</v>
      </c>
      <c r="D38" s="4" t="s">
        <v>178</v>
      </c>
      <c r="E38" s="5">
        <v>5370</v>
      </c>
      <c r="F38" s="6">
        <v>54.704189999999997</v>
      </c>
      <c r="G38" s="7">
        <v>1.3746863E-2</v>
      </c>
      <c r="H38" s="112"/>
    </row>
    <row r="39" spans="1:8" x14ac:dyDescent="0.2">
      <c r="A39" s="3">
        <v>33</v>
      </c>
      <c r="B39" s="4" t="s">
        <v>169</v>
      </c>
      <c r="C39" s="4" t="s">
        <v>170</v>
      </c>
      <c r="D39" s="4" t="s">
        <v>19</v>
      </c>
      <c r="E39" s="5">
        <v>28705</v>
      </c>
      <c r="F39" s="6">
        <v>51.826877500000002</v>
      </c>
      <c r="G39" s="7">
        <v>1.302381E-2</v>
      </c>
      <c r="H39" s="112"/>
    </row>
    <row r="40" spans="1:8" ht="25.5" x14ac:dyDescent="0.2">
      <c r="A40" s="3">
        <v>34</v>
      </c>
      <c r="B40" s="4" t="s">
        <v>235</v>
      </c>
      <c r="C40" s="4" t="s">
        <v>236</v>
      </c>
      <c r="D40" s="4" t="s">
        <v>192</v>
      </c>
      <c r="E40" s="5">
        <v>10717</v>
      </c>
      <c r="F40" s="6">
        <v>48.971331499999998</v>
      </c>
      <c r="G40" s="7">
        <v>1.2306226999999999E-2</v>
      </c>
      <c r="H40" s="112"/>
    </row>
    <row r="41" spans="1:8" x14ac:dyDescent="0.2">
      <c r="A41" s="3">
        <v>35</v>
      </c>
      <c r="B41" s="4" t="s">
        <v>262</v>
      </c>
      <c r="C41" s="4" t="s">
        <v>263</v>
      </c>
      <c r="D41" s="4" t="s">
        <v>977</v>
      </c>
      <c r="E41" s="5">
        <v>33431</v>
      </c>
      <c r="F41" s="6">
        <v>48.157355500000001</v>
      </c>
      <c r="G41" s="7">
        <v>1.2101679000000001E-2</v>
      </c>
      <c r="H41" s="112"/>
    </row>
    <row r="42" spans="1:8" ht="25.5" x14ac:dyDescent="0.2">
      <c r="A42" s="3">
        <v>36</v>
      </c>
      <c r="B42" s="4" t="s">
        <v>229</v>
      </c>
      <c r="C42" s="4" t="s">
        <v>230</v>
      </c>
      <c r="D42" s="4" t="s">
        <v>71</v>
      </c>
      <c r="E42" s="5">
        <v>2262</v>
      </c>
      <c r="F42" s="6">
        <v>46.891260000000003</v>
      </c>
      <c r="G42" s="7">
        <v>1.1783516000000001E-2</v>
      </c>
      <c r="H42" s="112"/>
    </row>
    <row r="43" spans="1:8" x14ac:dyDescent="0.2">
      <c r="A43" s="3">
        <v>37</v>
      </c>
      <c r="B43" s="4" t="s">
        <v>207</v>
      </c>
      <c r="C43" s="4" t="s">
        <v>208</v>
      </c>
      <c r="D43" s="4" t="s">
        <v>209</v>
      </c>
      <c r="E43" s="5">
        <v>9854</v>
      </c>
      <c r="F43" s="6">
        <v>45.890078000000003</v>
      </c>
      <c r="G43" s="7">
        <v>1.1531925E-2</v>
      </c>
      <c r="H43" s="112"/>
    </row>
    <row r="44" spans="1:8" ht="25.5" x14ac:dyDescent="0.2">
      <c r="A44" s="3">
        <v>38</v>
      </c>
      <c r="B44" s="4" t="s">
        <v>246</v>
      </c>
      <c r="C44" s="4" t="s">
        <v>247</v>
      </c>
      <c r="D44" s="4" t="s">
        <v>978</v>
      </c>
      <c r="E44" s="5">
        <v>43509</v>
      </c>
      <c r="F44" s="6">
        <v>45.858485999999999</v>
      </c>
      <c r="G44" s="7">
        <v>1.1523986E-2</v>
      </c>
      <c r="H44" s="112"/>
    </row>
    <row r="45" spans="1:8" x14ac:dyDescent="0.2">
      <c r="A45" s="3">
        <v>39</v>
      </c>
      <c r="B45" s="4" t="s">
        <v>221</v>
      </c>
      <c r="C45" s="4" t="s">
        <v>222</v>
      </c>
      <c r="D45" s="4" t="s">
        <v>173</v>
      </c>
      <c r="E45" s="5">
        <v>5294</v>
      </c>
      <c r="F45" s="6">
        <v>45.628985999999998</v>
      </c>
      <c r="G45" s="7">
        <v>1.1466314E-2</v>
      </c>
      <c r="H45" s="112"/>
    </row>
    <row r="46" spans="1:8" x14ac:dyDescent="0.2">
      <c r="A46" s="3">
        <v>40</v>
      </c>
      <c r="B46" s="4" t="s">
        <v>481</v>
      </c>
      <c r="C46" s="4" t="s">
        <v>482</v>
      </c>
      <c r="D46" s="4" t="s">
        <v>186</v>
      </c>
      <c r="E46" s="5">
        <v>7914</v>
      </c>
      <c r="F46" s="6">
        <v>45.560898000000002</v>
      </c>
      <c r="G46" s="7">
        <v>1.1449203999999999E-2</v>
      </c>
      <c r="H46" s="112"/>
    </row>
    <row r="47" spans="1:8" ht="25.5" x14ac:dyDescent="0.2">
      <c r="A47" s="3">
        <v>41</v>
      </c>
      <c r="B47" s="4" t="s">
        <v>250</v>
      </c>
      <c r="C47" s="4" t="s">
        <v>251</v>
      </c>
      <c r="D47" s="4" t="s">
        <v>192</v>
      </c>
      <c r="E47" s="5">
        <v>11863</v>
      </c>
      <c r="F47" s="6">
        <v>45.138714999999998</v>
      </c>
      <c r="G47" s="7">
        <v>1.1343110999999999E-2</v>
      </c>
      <c r="H47" s="112"/>
    </row>
    <row r="48" spans="1:8" x14ac:dyDescent="0.2">
      <c r="A48" s="3">
        <v>42</v>
      </c>
      <c r="B48" s="4" t="s">
        <v>260</v>
      </c>
      <c r="C48" s="4" t="s">
        <v>261</v>
      </c>
      <c r="D48" s="4" t="s">
        <v>173</v>
      </c>
      <c r="E48" s="5">
        <v>7135</v>
      </c>
      <c r="F48" s="6">
        <v>42.984807500000002</v>
      </c>
      <c r="G48" s="7">
        <v>1.0801846E-2</v>
      </c>
      <c r="H48" s="112"/>
    </row>
    <row r="49" spans="1:8" x14ac:dyDescent="0.2">
      <c r="A49" s="3">
        <v>43</v>
      </c>
      <c r="B49" s="4" t="s">
        <v>287</v>
      </c>
      <c r="C49" s="4" t="s">
        <v>288</v>
      </c>
      <c r="D49" s="4" t="s">
        <v>27</v>
      </c>
      <c r="E49" s="5">
        <v>3843</v>
      </c>
      <c r="F49" s="6">
        <v>41.3141715</v>
      </c>
      <c r="G49" s="7">
        <v>1.0382024E-2</v>
      </c>
      <c r="H49" s="112"/>
    </row>
    <row r="50" spans="1:8" x14ac:dyDescent="0.2">
      <c r="A50" s="3">
        <v>44</v>
      </c>
      <c r="B50" s="4" t="s">
        <v>227</v>
      </c>
      <c r="C50" s="4" t="s">
        <v>228</v>
      </c>
      <c r="D50" s="4" t="s">
        <v>974</v>
      </c>
      <c r="E50" s="5">
        <v>2418</v>
      </c>
      <c r="F50" s="6">
        <v>41.196674999999999</v>
      </c>
      <c r="G50" s="7">
        <v>1.0352498E-2</v>
      </c>
      <c r="H50" s="112"/>
    </row>
    <row r="51" spans="1:8" ht="25.5" x14ac:dyDescent="0.2">
      <c r="A51" s="3">
        <v>45</v>
      </c>
      <c r="B51" s="4" t="s">
        <v>197</v>
      </c>
      <c r="C51" s="4" t="s">
        <v>198</v>
      </c>
      <c r="D51" s="4" t="s">
        <v>971</v>
      </c>
      <c r="E51" s="5">
        <v>16531</v>
      </c>
      <c r="F51" s="6">
        <v>39.492559</v>
      </c>
      <c r="G51" s="7">
        <v>9.9242629999999991E-3</v>
      </c>
      <c r="H51" s="112"/>
    </row>
    <row r="52" spans="1:8" x14ac:dyDescent="0.2">
      <c r="A52" s="3">
        <v>46</v>
      </c>
      <c r="B52" s="4" t="s">
        <v>244</v>
      </c>
      <c r="C52" s="4" t="s">
        <v>245</v>
      </c>
      <c r="D52" s="4" t="s">
        <v>173</v>
      </c>
      <c r="E52" s="5">
        <v>10008</v>
      </c>
      <c r="F52" s="6">
        <v>39.471552000000003</v>
      </c>
      <c r="G52" s="7">
        <v>9.9189840000000005E-3</v>
      </c>
      <c r="H52" s="112"/>
    </row>
    <row r="53" spans="1:8" x14ac:dyDescent="0.2">
      <c r="A53" s="3">
        <v>47</v>
      </c>
      <c r="B53" s="4" t="s">
        <v>264</v>
      </c>
      <c r="C53" s="4" t="s">
        <v>265</v>
      </c>
      <c r="D53" s="4" t="s">
        <v>266</v>
      </c>
      <c r="E53" s="5">
        <v>17156</v>
      </c>
      <c r="F53" s="6">
        <v>39.381597999999997</v>
      </c>
      <c r="G53" s="7">
        <v>9.8963790000000003E-3</v>
      </c>
      <c r="H53" s="112"/>
    </row>
    <row r="54" spans="1:8" ht="25.5" x14ac:dyDescent="0.2">
      <c r="A54" s="3">
        <v>48</v>
      </c>
      <c r="B54" s="4" t="s">
        <v>181</v>
      </c>
      <c r="C54" s="4" t="s">
        <v>931</v>
      </c>
      <c r="D54" s="4" t="s">
        <v>45</v>
      </c>
      <c r="E54" s="5">
        <v>16461</v>
      </c>
      <c r="F54" s="6">
        <v>38.4117435</v>
      </c>
      <c r="G54" s="7">
        <v>9.6526600000000004E-3</v>
      </c>
      <c r="H54" s="112"/>
    </row>
    <row r="55" spans="1:8" x14ac:dyDescent="0.2">
      <c r="A55" s="3">
        <v>49</v>
      </c>
      <c r="B55" s="4" t="s">
        <v>267</v>
      </c>
      <c r="C55" s="4" t="s">
        <v>268</v>
      </c>
      <c r="D55" s="4" t="s">
        <v>19</v>
      </c>
      <c r="E55" s="5">
        <v>41531</v>
      </c>
      <c r="F55" s="6">
        <v>37.710147999999997</v>
      </c>
      <c r="G55" s="7">
        <v>9.4763529999999999E-3</v>
      </c>
      <c r="H55" s="112"/>
    </row>
    <row r="56" spans="1:8" x14ac:dyDescent="0.2">
      <c r="A56" s="3">
        <v>50</v>
      </c>
      <c r="B56" s="4" t="s">
        <v>258</v>
      </c>
      <c r="C56" s="4" t="s">
        <v>259</v>
      </c>
      <c r="D56" s="4" t="s">
        <v>53</v>
      </c>
      <c r="E56" s="5">
        <v>3629</v>
      </c>
      <c r="F56" s="6">
        <v>34.718643</v>
      </c>
      <c r="G56" s="7">
        <v>8.7246040000000004E-3</v>
      </c>
      <c r="H56" s="112"/>
    </row>
    <row r="57" spans="1:8" x14ac:dyDescent="0.2">
      <c r="A57" s="3">
        <v>51</v>
      </c>
      <c r="B57" s="4" t="s">
        <v>248</v>
      </c>
      <c r="C57" s="4" t="s">
        <v>249</v>
      </c>
      <c r="D57" s="4" t="s">
        <v>186</v>
      </c>
      <c r="E57" s="5">
        <v>1976</v>
      </c>
      <c r="F57" s="6">
        <v>33.160243999999999</v>
      </c>
      <c r="G57" s="7">
        <v>8.332987E-3</v>
      </c>
      <c r="H57" s="112"/>
    </row>
    <row r="58" spans="1:8" x14ac:dyDescent="0.2">
      <c r="A58" s="3">
        <v>52</v>
      </c>
      <c r="B58" s="4" t="s">
        <v>254</v>
      </c>
      <c r="C58" s="4" t="s">
        <v>255</v>
      </c>
      <c r="D58" s="4" t="s">
        <v>162</v>
      </c>
      <c r="E58" s="5">
        <v>2474</v>
      </c>
      <c r="F58" s="6">
        <v>31.528656000000002</v>
      </c>
      <c r="G58" s="7">
        <v>7.9229780000000007E-3</v>
      </c>
      <c r="H58" s="112"/>
    </row>
    <row r="59" spans="1:8" x14ac:dyDescent="0.2">
      <c r="A59" s="3">
        <v>53</v>
      </c>
      <c r="B59" s="4" t="s">
        <v>231</v>
      </c>
      <c r="C59" s="4" t="s">
        <v>232</v>
      </c>
      <c r="D59" s="4" t="s">
        <v>71</v>
      </c>
      <c r="E59" s="5">
        <v>11000</v>
      </c>
      <c r="F59" s="6">
        <v>30.7285</v>
      </c>
      <c r="G59" s="7">
        <v>7.7219029999999996E-3</v>
      </c>
      <c r="H59" s="112"/>
    </row>
    <row r="60" spans="1:8" x14ac:dyDescent="0.2">
      <c r="A60" s="3">
        <v>54</v>
      </c>
      <c r="B60" s="4" t="s">
        <v>273</v>
      </c>
      <c r="C60" s="4" t="s">
        <v>274</v>
      </c>
      <c r="D60" s="4" t="s">
        <v>71</v>
      </c>
      <c r="E60" s="5">
        <v>23010</v>
      </c>
      <c r="F60" s="6">
        <v>30.672329999999999</v>
      </c>
      <c r="G60" s="7">
        <v>7.7077880000000001E-3</v>
      </c>
      <c r="H60" s="112"/>
    </row>
    <row r="61" spans="1:8" x14ac:dyDescent="0.2">
      <c r="A61" s="3">
        <v>55</v>
      </c>
      <c r="B61" s="4" t="s">
        <v>269</v>
      </c>
      <c r="C61" s="4" t="s">
        <v>270</v>
      </c>
      <c r="D61" s="4" t="s">
        <v>186</v>
      </c>
      <c r="E61" s="5">
        <v>536</v>
      </c>
      <c r="F61" s="6">
        <v>29.071300000000001</v>
      </c>
      <c r="G61" s="7">
        <v>7.3054579999999999E-3</v>
      </c>
      <c r="H61" s="112"/>
    </row>
    <row r="62" spans="1:8" x14ac:dyDescent="0.2">
      <c r="A62" s="3">
        <v>56</v>
      </c>
      <c r="B62" s="4" t="s">
        <v>242</v>
      </c>
      <c r="C62" s="4" t="s">
        <v>243</v>
      </c>
      <c r="D62" s="4" t="s">
        <v>334</v>
      </c>
      <c r="E62" s="5">
        <v>2169</v>
      </c>
      <c r="F62" s="6">
        <v>25.973775</v>
      </c>
      <c r="G62" s="7">
        <v>6.5270670000000001E-3</v>
      </c>
      <c r="H62" s="112"/>
    </row>
    <row r="63" spans="1:8" x14ac:dyDescent="0.2">
      <c r="A63" s="3">
        <v>57</v>
      </c>
      <c r="B63" s="4" t="s">
        <v>62</v>
      </c>
      <c r="C63" s="4" t="s">
        <v>63</v>
      </c>
      <c r="D63" s="4" t="s">
        <v>64</v>
      </c>
      <c r="E63" s="5">
        <v>15361</v>
      </c>
      <c r="F63" s="6">
        <v>25.245803500000001</v>
      </c>
      <c r="G63" s="7">
        <v>6.3441319999999997E-3</v>
      </c>
      <c r="H63" s="112"/>
    </row>
    <row r="64" spans="1:8" x14ac:dyDescent="0.2">
      <c r="A64" s="3">
        <v>58</v>
      </c>
      <c r="B64" s="4" t="s">
        <v>279</v>
      </c>
      <c r="C64" s="4" t="s">
        <v>280</v>
      </c>
      <c r="D64" s="4" t="s">
        <v>147</v>
      </c>
      <c r="E64" s="5">
        <v>1926</v>
      </c>
      <c r="F64" s="6">
        <v>25.220006999999999</v>
      </c>
      <c r="G64" s="7">
        <v>6.3376489999999999E-3</v>
      </c>
      <c r="H64" s="112"/>
    </row>
    <row r="65" spans="1:8" x14ac:dyDescent="0.2">
      <c r="A65" s="3">
        <v>59</v>
      </c>
      <c r="B65" s="4" t="s">
        <v>271</v>
      </c>
      <c r="C65" s="4" t="s">
        <v>272</v>
      </c>
      <c r="D65" s="4" t="s">
        <v>147</v>
      </c>
      <c r="E65" s="5">
        <v>3534</v>
      </c>
      <c r="F65" s="6">
        <v>22.992204000000001</v>
      </c>
      <c r="G65" s="7">
        <v>5.7778150000000004E-3</v>
      </c>
      <c r="H65" s="112"/>
    </row>
    <row r="66" spans="1:8" x14ac:dyDescent="0.2">
      <c r="A66" s="3">
        <v>60</v>
      </c>
      <c r="B66" s="4" t="s">
        <v>215</v>
      </c>
      <c r="C66" s="4" t="s">
        <v>216</v>
      </c>
      <c r="D66" s="4" t="s">
        <v>53</v>
      </c>
      <c r="E66" s="5">
        <v>8751</v>
      </c>
      <c r="F66" s="6">
        <v>20.591103</v>
      </c>
      <c r="G66" s="7">
        <v>5.1744310000000002E-3</v>
      </c>
      <c r="H66" s="112"/>
    </row>
    <row r="67" spans="1:8" x14ac:dyDescent="0.2">
      <c r="A67" s="3">
        <v>61</v>
      </c>
      <c r="B67" s="4" t="s">
        <v>477</v>
      </c>
      <c r="C67" s="4" t="s">
        <v>478</v>
      </c>
      <c r="D67" s="4" t="s">
        <v>974</v>
      </c>
      <c r="E67" s="5">
        <v>18476</v>
      </c>
      <c r="F67" s="6">
        <v>17.764673999999999</v>
      </c>
      <c r="G67" s="7">
        <v>4.464165E-3</v>
      </c>
      <c r="H67" s="112"/>
    </row>
    <row r="68" spans="1:8" x14ac:dyDescent="0.2">
      <c r="A68" s="3">
        <v>62</v>
      </c>
      <c r="B68" s="4" t="s">
        <v>275</v>
      </c>
      <c r="C68" s="4" t="s">
        <v>276</v>
      </c>
      <c r="D68" s="4" t="s">
        <v>162</v>
      </c>
      <c r="E68" s="5">
        <v>3830</v>
      </c>
      <c r="F68" s="6">
        <v>15.86003</v>
      </c>
      <c r="G68" s="7">
        <v>3.9855380000000003E-3</v>
      </c>
      <c r="H68" s="112"/>
    </row>
    <row r="69" spans="1:8" ht="25.5" x14ac:dyDescent="0.2">
      <c r="A69" s="3">
        <v>63</v>
      </c>
      <c r="B69" s="4" t="s">
        <v>92</v>
      </c>
      <c r="C69" s="4" t="s">
        <v>93</v>
      </c>
      <c r="D69" s="4" t="s">
        <v>45</v>
      </c>
      <c r="E69" s="5">
        <v>972</v>
      </c>
      <c r="F69" s="6">
        <v>6.4569960000000002</v>
      </c>
      <c r="G69" s="7">
        <v>1.622608E-3</v>
      </c>
      <c r="H69" s="112"/>
    </row>
    <row r="70" spans="1:8" x14ac:dyDescent="0.2">
      <c r="A70" s="3">
        <v>64</v>
      </c>
      <c r="B70" s="4" t="s">
        <v>281</v>
      </c>
      <c r="C70" s="4" t="s">
        <v>282</v>
      </c>
      <c r="D70" s="4" t="s">
        <v>334</v>
      </c>
      <c r="E70" s="5">
        <v>687</v>
      </c>
      <c r="F70" s="6">
        <v>5.4791685000000001</v>
      </c>
      <c r="G70" s="7">
        <v>1.376885E-3</v>
      </c>
      <c r="H70" s="112"/>
    </row>
    <row r="71" spans="1:8" x14ac:dyDescent="0.2">
      <c r="A71" s="3">
        <v>65</v>
      </c>
      <c r="B71" s="4" t="s">
        <v>283</v>
      </c>
      <c r="C71" s="4" t="s">
        <v>284</v>
      </c>
      <c r="D71" s="4" t="s">
        <v>19</v>
      </c>
      <c r="E71" s="5">
        <v>6820</v>
      </c>
      <c r="F71" s="6">
        <v>4.38185</v>
      </c>
      <c r="G71" s="7">
        <v>1.101135E-3</v>
      </c>
      <c r="H71" s="112"/>
    </row>
    <row r="72" spans="1:8" x14ac:dyDescent="0.2">
      <c r="A72" s="3">
        <v>66</v>
      </c>
      <c r="B72" s="4" t="s">
        <v>277</v>
      </c>
      <c r="C72" s="4" t="s">
        <v>278</v>
      </c>
      <c r="D72" s="4" t="s">
        <v>186</v>
      </c>
      <c r="E72" s="5">
        <v>831</v>
      </c>
      <c r="F72" s="6">
        <v>2.5628039999999999</v>
      </c>
      <c r="G72" s="7">
        <v>6.4401900000000002E-4</v>
      </c>
      <c r="H72" s="112"/>
    </row>
    <row r="73" spans="1:8" x14ac:dyDescent="0.2">
      <c r="A73" s="1"/>
      <c r="B73" s="1"/>
      <c r="C73" s="2" t="s">
        <v>97</v>
      </c>
      <c r="D73" s="1"/>
      <c r="E73" s="1" t="s">
        <v>98</v>
      </c>
      <c r="F73" s="9">
        <v>3843.1176180000002</v>
      </c>
      <c r="G73" s="10">
        <v>0.96575435099999996</v>
      </c>
      <c r="H73" s="112"/>
    </row>
    <row r="74" spans="1:8" x14ac:dyDescent="0.2">
      <c r="A74" s="1"/>
      <c r="B74" s="1"/>
      <c r="C74" s="11"/>
      <c r="D74" s="1"/>
      <c r="E74" s="1"/>
      <c r="F74" s="12"/>
      <c r="G74" s="12"/>
      <c r="H74" s="112"/>
    </row>
    <row r="75" spans="1:8" x14ac:dyDescent="0.2">
      <c r="A75" s="1"/>
      <c r="B75" s="1"/>
      <c r="C75" s="2" t="s">
        <v>99</v>
      </c>
      <c r="D75" s="1"/>
      <c r="E75" s="1"/>
      <c r="F75" s="1"/>
      <c r="G75" s="1"/>
      <c r="H75" s="112"/>
    </row>
    <row r="76" spans="1:8" x14ac:dyDescent="0.2">
      <c r="A76" s="1"/>
      <c r="B76" s="1"/>
      <c r="C76" s="2" t="s">
        <v>97</v>
      </c>
      <c r="D76" s="1"/>
      <c r="E76" s="1" t="s">
        <v>98</v>
      </c>
      <c r="F76" s="13">
        <v>0</v>
      </c>
      <c r="G76" s="14">
        <v>0</v>
      </c>
      <c r="H76" s="112"/>
    </row>
    <row r="77" spans="1:8" x14ac:dyDescent="0.2">
      <c r="A77" s="1"/>
      <c r="B77" s="1"/>
      <c r="C77" s="11"/>
      <c r="D77" s="1"/>
      <c r="E77" s="1"/>
      <c r="F77" s="12"/>
      <c r="G77" s="12"/>
      <c r="H77" s="112"/>
    </row>
    <row r="78" spans="1:8" x14ac:dyDescent="0.2">
      <c r="A78" s="1"/>
      <c r="B78" s="1"/>
      <c r="C78" s="2" t="s">
        <v>100</v>
      </c>
      <c r="D78" s="1"/>
      <c r="E78" s="1"/>
      <c r="F78" s="1"/>
      <c r="G78" s="1"/>
      <c r="H78" s="112"/>
    </row>
    <row r="79" spans="1:8" x14ac:dyDescent="0.2">
      <c r="A79" s="1"/>
      <c r="B79" s="1"/>
      <c r="C79" s="2" t="s">
        <v>97</v>
      </c>
      <c r="D79" s="1"/>
      <c r="E79" s="1" t="s">
        <v>98</v>
      </c>
      <c r="F79" s="13">
        <v>0</v>
      </c>
      <c r="G79" s="14">
        <v>0</v>
      </c>
      <c r="H79" s="112"/>
    </row>
    <row r="80" spans="1:8" x14ac:dyDescent="0.2">
      <c r="A80" s="1"/>
      <c r="B80" s="1"/>
      <c r="C80" s="11"/>
      <c r="D80" s="1"/>
      <c r="E80" s="1"/>
      <c r="F80" s="12"/>
      <c r="G80" s="12"/>
      <c r="H80" s="112"/>
    </row>
    <row r="81" spans="1:8" x14ac:dyDescent="0.2">
      <c r="A81" s="1"/>
      <c r="B81" s="1"/>
      <c r="C81" s="2" t="s">
        <v>101</v>
      </c>
      <c r="D81" s="1"/>
      <c r="E81" s="1"/>
      <c r="F81" s="1"/>
      <c r="G81" s="1"/>
      <c r="H81" s="112"/>
    </row>
    <row r="82" spans="1:8" x14ac:dyDescent="0.2">
      <c r="A82" s="1"/>
      <c r="B82" s="1"/>
      <c r="C82" s="2" t="s">
        <v>97</v>
      </c>
      <c r="D82" s="1"/>
      <c r="E82" s="1" t="s">
        <v>98</v>
      </c>
      <c r="F82" s="13">
        <v>0</v>
      </c>
      <c r="G82" s="14">
        <v>0</v>
      </c>
      <c r="H82" s="112"/>
    </row>
    <row r="83" spans="1:8" x14ac:dyDescent="0.2">
      <c r="A83" s="1"/>
      <c r="B83" s="1"/>
      <c r="C83" s="11"/>
      <c r="D83" s="1"/>
      <c r="E83" s="1"/>
      <c r="F83" s="12"/>
      <c r="G83" s="12"/>
      <c r="H83" s="112"/>
    </row>
    <row r="84" spans="1:8" x14ac:dyDescent="0.2">
      <c r="A84" s="1"/>
      <c r="B84" s="1"/>
      <c r="C84" s="2" t="s">
        <v>102</v>
      </c>
      <c r="D84" s="1"/>
      <c r="E84" s="1"/>
      <c r="F84" s="12"/>
      <c r="G84" s="12"/>
      <c r="H84" s="112"/>
    </row>
    <row r="85" spans="1:8" x14ac:dyDescent="0.2">
      <c r="A85" s="1"/>
      <c r="B85" s="1"/>
      <c r="C85" s="2" t="s">
        <v>97</v>
      </c>
      <c r="D85" s="1"/>
      <c r="E85" s="1" t="s">
        <v>98</v>
      </c>
      <c r="F85" s="13">
        <v>0</v>
      </c>
      <c r="G85" s="14">
        <v>0</v>
      </c>
      <c r="H85" s="112"/>
    </row>
    <row r="86" spans="1:8" x14ac:dyDescent="0.2">
      <c r="A86" s="1"/>
      <c r="B86" s="1"/>
      <c r="C86" s="11"/>
      <c r="D86" s="1"/>
      <c r="E86" s="1"/>
      <c r="F86" s="12"/>
      <c r="G86" s="12"/>
      <c r="H86" s="112"/>
    </row>
    <row r="87" spans="1:8" x14ac:dyDescent="0.2">
      <c r="A87" s="1"/>
      <c r="B87" s="1"/>
      <c r="C87" s="2" t="s">
        <v>103</v>
      </c>
      <c r="D87" s="1"/>
      <c r="E87" s="1"/>
      <c r="F87" s="12"/>
      <c r="G87" s="12"/>
      <c r="H87" s="112"/>
    </row>
    <row r="88" spans="1:8" x14ac:dyDescent="0.2">
      <c r="A88" s="1"/>
      <c r="B88" s="1"/>
      <c r="C88" s="2" t="s">
        <v>97</v>
      </c>
      <c r="D88" s="1"/>
      <c r="E88" s="1" t="s">
        <v>98</v>
      </c>
      <c r="F88" s="13">
        <v>0</v>
      </c>
      <c r="G88" s="14">
        <v>0</v>
      </c>
      <c r="H88" s="112"/>
    </row>
    <row r="89" spans="1:8" x14ac:dyDescent="0.2">
      <c r="A89" s="1"/>
      <c r="B89" s="1"/>
      <c r="C89" s="11"/>
      <c r="D89" s="1"/>
      <c r="E89" s="1"/>
      <c r="F89" s="12"/>
      <c r="G89" s="12"/>
      <c r="H89" s="112"/>
    </row>
    <row r="90" spans="1:8" x14ac:dyDescent="0.2">
      <c r="A90" s="1"/>
      <c r="B90" s="1"/>
      <c r="C90" s="2" t="s">
        <v>104</v>
      </c>
      <c r="D90" s="1"/>
      <c r="E90" s="1"/>
      <c r="F90" s="9">
        <v>3843.1176180000002</v>
      </c>
      <c r="G90" s="10">
        <v>0.96575435099999996</v>
      </c>
      <c r="H90" s="112"/>
    </row>
    <row r="91" spans="1:8" x14ac:dyDescent="0.2">
      <c r="A91" s="1"/>
      <c r="B91" s="1"/>
      <c r="C91" s="11"/>
      <c r="D91" s="1"/>
      <c r="E91" s="1"/>
      <c r="F91" s="12"/>
      <c r="G91" s="12"/>
      <c r="H91" s="112"/>
    </row>
    <row r="92" spans="1:8" x14ac:dyDescent="0.2">
      <c r="A92" s="1"/>
      <c r="B92" s="1"/>
      <c r="C92" s="2" t="s">
        <v>105</v>
      </c>
      <c r="D92" s="1"/>
      <c r="E92" s="1"/>
      <c r="F92" s="12"/>
      <c r="G92" s="12"/>
      <c r="H92" s="112"/>
    </row>
    <row r="93" spans="1:8" ht="25.5" x14ac:dyDescent="0.2">
      <c r="A93" s="1"/>
      <c r="B93" s="1"/>
      <c r="C93" s="2" t="s">
        <v>10</v>
      </c>
      <c r="D93" s="1"/>
      <c r="E93" s="1"/>
      <c r="F93" s="12"/>
      <c r="G93" s="12"/>
      <c r="H93" s="112"/>
    </row>
    <row r="94" spans="1:8" x14ac:dyDescent="0.2">
      <c r="A94" s="1"/>
      <c r="B94" s="1"/>
      <c r="C94" s="2" t="s">
        <v>97</v>
      </c>
      <c r="D94" s="1"/>
      <c r="E94" s="1" t="s">
        <v>98</v>
      </c>
      <c r="F94" s="13">
        <v>0</v>
      </c>
      <c r="G94" s="14">
        <v>0</v>
      </c>
      <c r="H94" s="112"/>
    </row>
    <row r="95" spans="1:8" x14ac:dyDescent="0.2">
      <c r="A95" s="1"/>
      <c r="B95" s="1"/>
      <c r="C95" s="11"/>
      <c r="D95" s="1"/>
      <c r="E95" s="1"/>
      <c r="F95" s="12"/>
      <c r="G95" s="12"/>
      <c r="H95" s="112"/>
    </row>
    <row r="96" spans="1:8" x14ac:dyDescent="0.2">
      <c r="A96" s="1"/>
      <c r="B96" s="1"/>
      <c r="C96" s="2" t="s">
        <v>106</v>
      </c>
      <c r="D96" s="1"/>
      <c r="E96" s="1"/>
      <c r="F96" s="1"/>
      <c r="G96" s="1"/>
      <c r="H96" s="112"/>
    </row>
    <row r="97" spans="1:8" x14ac:dyDescent="0.2">
      <c r="A97" s="1"/>
      <c r="B97" s="1"/>
      <c r="C97" s="2" t="s">
        <v>97</v>
      </c>
      <c r="D97" s="1"/>
      <c r="E97" s="1" t="s">
        <v>98</v>
      </c>
      <c r="F97" s="13">
        <v>0</v>
      </c>
      <c r="G97" s="14">
        <v>0</v>
      </c>
      <c r="H97" s="112"/>
    </row>
    <row r="98" spans="1:8" x14ac:dyDescent="0.2">
      <c r="A98" s="1"/>
      <c r="B98" s="1"/>
      <c r="C98" s="11"/>
      <c r="D98" s="1"/>
      <c r="E98" s="1"/>
      <c r="F98" s="12"/>
      <c r="G98" s="12"/>
      <c r="H98" s="112"/>
    </row>
    <row r="99" spans="1:8" x14ac:dyDescent="0.2">
      <c r="A99" s="1"/>
      <c r="B99" s="1"/>
      <c r="C99" s="2" t="s">
        <v>107</v>
      </c>
      <c r="D99" s="1"/>
      <c r="E99" s="1"/>
      <c r="F99" s="1"/>
      <c r="G99" s="1"/>
      <c r="H99" s="112"/>
    </row>
    <row r="100" spans="1:8" x14ac:dyDescent="0.2">
      <c r="A100" s="1"/>
      <c r="B100" s="1"/>
      <c r="C100" s="2" t="s">
        <v>97</v>
      </c>
      <c r="D100" s="1"/>
      <c r="E100" s="1" t="s">
        <v>98</v>
      </c>
      <c r="F100" s="13">
        <v>0</v>
      </c>
      <c r="G100" s="14">
        <v>0</v>
      </c>
      <c r="H100" s="112"/>
    </row>
    <row r="101" spans="1:8" x14ac:dyDescent="0.2">
      <c r="A101" s="1"/>
      <c r="B101" s="1"/>
      <c r="C101" s="11"/>
      <c r="D101" s="1"/>
      <c r="E101" s="1"/>
      <c r="F101" s="12"/>
      <c r="G101" s="12"/>
      <c r="H101" s="112"/>
    </row>
    <row r="102" spans="1:8" x14ac:dyDescent="0.2">
      <c r="A102" s="1"/>
      <c r="B102" s="1"/>
      <c r="C102" s="2" t="s">
        <v>108</v>
      </c>
      <c r="D102" s="1"/>
      <c r="E102" s="1"/>
      <c r="F102" s="12"/>
      <c r="G102" s="12"/>
      <c r="H102" s="112"/>
    </row>
    <row r="103" spans="1:8" x14ac:dyDescent="0.2">
      <c r="A103" s="1"/>
      <c r="B103" s="1"/>
      <c r="C103" s="2" t="s">
        <v>97</v>
      </c>
      <c r="D103" s="1"/>
      <c r="E103" s="1" t="s">
        <v>98</v>
      </c>
      <c r="F103" s="13">
        <v>0</v>
      </c>
      <c r="G103" s="14">
        <v>0</v>
      </c>
      <c r="H103" s="112"/>
    </row>
    <row r="104" spans="1:8" x14ac:dyDescent="0.2">
      <c r="A104" s="1"/>
      <c r="B104" s="1"/>
      <c r="C104" s="11"/>
      <c r="D104" s="1"/>
      <c r="E104" s="1"/>
      <c r="F104" s="12"/>
      <c r="G104" s="12"/>
      <c r="H104" s="112"/>
    </row>
    <row r="105" spans="1:8" x14ac:dyDescent="0.2">
      <c r="A105" s="1"/>
      <c r="B105" s="1"/>
      <c r="C105" s="2" t="s">
        <v>109</v>
      </c>
      <c r="D105" s="1"/>
      <c r="E105" s="1"/>
      <c r="F105" s="9">
        <v>0</v>
      </c>
      <c r="G105" s="10">
        <v>0</v>
      </c>
      <c r="H105" s="112"/>
    </row>
    <row r="106" spans="1:8" x14ac:dyDescent="0.2">
      <c r="A106" s="1"/>
      <c r="B106" s="1"/>
      <c r="C106" s="11"/>
      <c r="D106" s="1"/>
      <c r="E106" s="1"/>
      <c r="F106" s="12"/>
      <c r="G106" s="12"/>
      <c r="H106" s="112"/>
    </row>
    <row r="107" spans="1:8" x14ac:dyDescent="0.2">
      <c r="A107" s="1"/>
      <c r="B107" s="1"/>
      <c r="C107" s="2" t="s">
        <v>110</v>
      </c>
      <c r="D107" s="1"/>
      <c r="E107" s="1"/>
      <c r="F107" s="12"/>
      <c r="G107" s="12"/>
      <c r="H107" s="112"/>
    </row>
    <row r="108" spans="1:8" x14ac:dyDescent="0.2">
      <c r="A108" s="1"/>
      <c r="B108" s="1"/>
      <c r="C108" s="2" t="s">
        <v>111</v>
      </c>
      <c r="D108" s="1"/>
      <c r="E108" s="1"/>
      <c r="F108" s="12"/>
      <c r="G108" s="12"/>
      <c r="H108" s="112"/>
    </row>
    <row r="109" spans="1:8" x14ac:dyDescent="0.2">
      <c r="A109" s="1"/>
      <c r="B109" s="1"/>
      <c r="C109" s="2" t="s">
        <v>97</v>
      </c>
      <c r="D109" s="1"/>
      <c r="E109" s="1" t="s">
        <v>98</v>
      </c>
      <c r="F109" s="13">
        <v>0</v>
      </c>
      <c r="G109" s="14">
        <v>0</v>
      </c>
      <c r="H109" s="112"/>
    </row>
    <row r="110" spans="1:8" x14ac:dyDescent="0.2">
      <c r="A110" s="1"/>
      <c r="B110" s="1"/>
      <c r="C110" s="11"/>
      <c r="D110" s="1"/>
      <c r="E110" s="1"/>
      <c r="F110" s="12"/>
      <c r="G110" s="12"/>
      <c r="H110" s="112"/>
    </row>
    <row r="111" spans="1:8" x14ac:dyDescent="0.2">
      <c r="A111" s="1"/>
      <c r="B111" s="1"/>
      <c r="C111" s="2" t="s">
        <v>112</v>
      </c>
      <c r="D111" s="1"/>
      <c r="E111" s="1"/>
      <c r="F111" s="12"/>
      <c r="G111" s="12"/>
      <c r="H111" s="112"/>
    </row>
    <row r="112" spans="1:8" x14ac:dyDescent="0.2">
      <c r="A112" s="1"/>
      <c r="B112" s="1"/>
      <c r="C112" s="2" t="s">
        <v>97</v>
      </c>
      <c r="D112" s="1"/>
      <c r="E112" s="1" t="s">
        <v>98</v>
      </c>
      <c r="F112" s="13">
        <v>0</v>
      </c>
      <c r="G112" s="14">
        <v>0</v>
      </c>
      <c r="H112" s="112"/>
    </row>
    <row r="113" spans="1:8" x14ac:dyDescent="0.2">
      <c r="A113" s="1"/>
      <c r="B113" s="1"/>
      <c r="C113" s="11"/>
      <c r="D113" s="1"/>
      <c r="E113" s="1"/>
      <c r="F113" s="12"/>
      <c r="G113" s="12"/>
      <c r="H113" s="112"/>
    </row>
    <row r="114" spans="1:8" x14ac:dyDescent="0.2">
      <c r="A114" s="1"/>
      <c r="B114" s="1"/>
      <c r="C114" s="2" t="s">
        <v>113</v>
      </c>
      <c r="D114" s="1"/>
      <c r="E114" s="1"/>
      <c r="F114" s="12"/>
      <c r="G114" s="12"/>
      <c r="H114" s="112"/>
    </row>
    <row r="115" spans="1:8" x14ac:dyDescent="0.2">
      <c r="A115" s="1"/>
      <c r="B115" s="1"/>
      <c r="C115" s="2" t="s">
        <v>97</v>
      </c>
      <c r="D115" s="1"/>
      <c r="E115" s="1" t="s">
        <v>98</v>
      </c>
      <c r="F115" s="13">
        <v>0</v>
      </c>
      <c r="G115" s="14">
        <v>0</v>
      </c>
      <c r="H115" s="112"/>
    </row>
    <row r="116" spans="1:8" x14ac:dyDescent="0.2">
      <c r="A116" s="1"/>
      <c r="B116" s="1"/>
      <c r="C116" s="11"/>
      <c r="D116" s="1"/>
      <c r="E116" s="1"/>
      <c r="F116" s="12"/>
      <c r="G116" s="12"/>
      <c r="H116" s="112"/>
    </row>
    <row r="117" spans="1:8" x14ac:dyDescent="0.2">
      <c r="A117" s="1"/>
      <c r="B117" s="1"/>
      <c r="C117" s="2" t="s">
        <v>114</v>
      </c>
      <c r="D117" s="1"/>
      <c r="E117" s="1"/>
      <c r="F117" s="12"/>
      <c r="G117" s="12"/>
      <c r="H117" s="112"/>
    </row>
    <row r="118" spans="1:8" x14ac:dyDescent="0.2">
      <c r="A118" s="3">
        <v>1</v>
      </c>
      <c r="B118" s="4"/>
      <c r="C118" s="4" t="s">
        <v>115</v>
      </c>
      <c r="D118" s="4"/>
      <c r="E118" s="8"/>
      <c r="F118" s="6">
        <v>128.02443173191213</v>
      </c>
      <c r="G118" s="7">
        <v>3.2171836783646442E-2</v>
      </c>
      <c r="H118" s="6">
        <v>3.3211324282253978</v>
      </c>
    </row>
    <row r="119" spans="1:8" x14ac:dyDescent="0.2">
      <c r="A119" s="3">
        <v>2</v>
      </c>
      <c r="B119" s="4"/>
      <c r="C119" s="4" t="s">
        <v>116</v>
      </c>
      <c r="D119" s="4"/>
      <c r="E119" s="8"/>
      <c r="F119" s="6">
        <v>50.290999030008201</v>
      </c>
      <c r="G119" s="7">
        <v>1.2637851936480374E-2</v>
      </c>
      <c r="H119" s="6">
        <v>3.35</v>
      </c>
    </row>
    <row r="120" spans="1:8" x14ac:dyDescent="0.2">
      <c r="A120" s="1"/>
      <c r="B120" s="1"/>
      <c r="C120" s="2" t="s">
        <v>97</v>
      </c>
      <c r="D120" s="1"/>
      <c r="E120" s="1" t="s">
        <v>98</v>
      </c>
      <c r="F120" s="9">
        <v>178.31543076192034</v>
      </c>
      <c r="G120" s="10">
        <v>4.480968872012682E-2</v>
      </c>
      <c r="H120" s="112"/>
    </row>
    <row r="121" spans="1:8" x14ac:dyDescent="0.2">
      <c r="A121" s="1"/>
      <c r="B121" s="1"/>
      <c r="C121" s="11"/>
      <c r="D121" s="1"/>
      <c r="E121" s="1"/>
      <c r="F121" s="12"/>
      <c r="G121" s="12"/>
      <c r="H121" s="112"/>
    </row>
    <row r="122" spans="1:8" x14ac:dyDescent="0.2">
      <c r="A122" s="1"/>
      <c r="B122" s="1"/>
      <c r="C122" s="2" t="s">
        <v>117</v>
      </c>
      <c r="D122" s="1"/>
      <c r="E122" s="1"/>
      <c r="F122" s="9">
        <v>178.31543076192034</v>
      </c>
      <c r="G122" s="10">
        <v>4.480968872012682E-2</v>
      </c>
      <c r="H122" s="112"/>
    </row>
    <row r="123" spans="1:8" x14ac:dyDescent="0.2">
      <c r="A123" s="1"/>
      <c r="B123" s="1"/>
      <c r="C123" s="12"/>
      <c r="D123" s="1"/>
      <c r="E123" s="1"/>
      <c r="F123" s="1"/>
      <c r="G123" s="1"/>
      <c r="H123" s="112"/>
    </row>
    <row r="124" spans="1:8" x14ac:dyDescent="0.2">
      <c r="A124" s="1"/>
      <c r="B124" s="1"/>
      <c r="C124" s="2" t="s">
        <v>118</v>
      </c>
      <c r="D124" s="1"/>
      <c r="E124" s="1"/>
      <c r="F124" s="1"/>
      <c r="G124" s="1"/>
      <c r="H124" s="112"/>
    </row>
    <row r="125" spans="1:8" x14ac:dyDescent="0.2">
      <c r="A125" s="1"/>
      <c r="B125" s="1"/>
      <c r="C125" s="2" t="s">
        <v>119</v>
      </c>
      <c r="D125" s="1"/>
      <c r="E125" s="1"/>
      <c r="F125" s="1"/>
      <c r="G125" s="1"/>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120</v>
      </c>
      <c r="D128" s="1"/>
      <c r="E128" s="1"/>
      <c r="F128" s="1"/>
      <c r="G128" s="1"/>
      <c r="H128" s="112"/>
    </row>
    <row r="129" spans="1:8" x14ac:dyDescent="0.2">
      <c r="A129" s="1"/>
      <c r="B129" s="1"/>
      <c r="C129" s="2" t="s">
        <v>121</v>
      </c>
      <c r="D129" s="1"/>
      <c r="E129" s="1"/>
      <c r="F129" s="1"/>
      <c r="G129" s="1"/>
      <c r="H129" s="112"/>
    </row>
    <row r="130" spans="1:8" x14ac:dyDescent="0.2">
      <c r="A130" s="1"/>
      <c r="B130" s="1"/>
      <c r="C130" s="2" t="s">
        <v>97</v>
      </c>
      <c r="D130" s="1"/>
      <c r="E130" s="1" t="s">
        <v>98</v>
      </c>
      <c r="F130" s="13">
        <v>0</v>
      </c>
      <c r="G130" s="14">
        <v>0</v>
      </c>
      <c r="H130" s="112"/>
    </row>
    <row r="131" spans="1:8" x14ac:dyDescent="0.2">
      <c r="A131" s="1"/>
      <c r="B131" s="1"/>
      <c r="C131" s="11"/>
      <c r="D131" s="1"/>
      <c r="E131" s="1"/>
      <c r="F131" s="12"/>
      <c r="G131" s="12"/>
      <c r="H131" s="112"/>
    </row>
    <row r="132" spans="1:8" x14ac:dyDescent="0.2">
      <c r="A132" s="1"/>
      <c r="B132" s="1"/>
      <c r="C132" s="11"/>
      <c r="D132" s="1"/>
      <c r="E132" s="1"/>
      <c r="F132" s="12"/>
      <c r="G132" s="12"/>
      <c r="H132" s="112"/>
    </row>
    <row r="133" spans="1:8" ht="25.5" x14ac:dyDescent="0.2">
      <c r="A133" s="1"/>
      <c r="B133" s="1"/>
      <c r="C133" s="2" t="s">
        <v>122</v>
      </c>
      <c r="D133" s="1"/>
      <c r="E133" s="1"/>
      <c r="F133" s="12"/>
      <c r="G133" s="12"/>
      <c r="H133" s="112"/>
    </row>
    <row r="134" spans="1:8" x14ac:dyDescent="0.2">
      <c r="A134" s="1"/>
      <c r="B134" s="1"/>
      <c r="C134" s="2" t="s">
        <v>97</v>
      </c>
      <c r="D134" s="1"/>
      <c r="E134" s="1" t="s">
        <v>98</v>
      </c>
      <c r="F134" s="13">
        <v>0</v>
      </c>
      <c r="G134" s="14">
        <v>0</v>
      </c>
      <c r="H134" s="112"/>
    </row>
    <row r="135" spans="1:8" x14ac:dyDescent="0.2">
      <c r="A135" s="1"/>
      <c r="B135" s="1"/>
      <c r="C135" s="11"/>
      <c r="D135" s="1"/>
      <c r="E135" s="1"/>
      <c r="F135" s="12"/>
      <c r="G135" s="12"/>
      <c r="H135" s="112"/>
    </row>
    <row r="136" spans="1:8" x14ac:dyDescent="0.2">
      <c r="A136" s="1"/>
      <c r="B136" s="4"/>
      <c r="C136" s="4"/>
      <c r="D136" s="2"/>
      <c r="E136" s="1"/>
      <c r="F136" s="4"/>
      <c r="G136" s="8"/>
      <c r="H136" s="112"/>
    </row>
    <row r="137" spans="1:8" x14ac:dyDescent="0.2">
      <c r="A137" s="8"/>
      <c r="B137" s="4"/>
      <c r="C137" s="4" t="s">
        <v>123</v>
      </c>
      <c r="D137" s="4"/>
      <c r="E137" s="8"/>
      <c r="F137" s="6">
        <v>-42.0384306300082</v>
      </c>
      <c r="G137" s="7">
        <v>-1.0564026807799892E-2</v>
      </c>
      <c r="H137" s="112"/>
    </row>
    <row r="138" spans="1:8" x14ac:dyDescent="0.2">
      <c r="A138" s="11"/>
      <c r="B138" s="11"/>
      <c r="C138" s="2" t="s">
        <v>124</v>
      </c>
      <c r="D138" s="15"/>
      <c r="E138" s="15"/>
      <c r="F138" s="9">
        <v>3979.3945429</v>
      </c>
      <c r="G138" s="10">
        <v>0.99999999399999995</v>
      </c>
      <c r="H138" s="112"/>
    </row>
    <row r="139" spans="1:8" ht="14.1" customHeight="1" x14ac:dyDescent="0.2">
      <c r="A139" s="16"/>
      <c r="B139" s="16"/>
      <c r="C139" s="16"/>
      <c r="D139" s="17"/>
      <c r="E139" s="17"/>
      <c r="F139" s="17"/>
      <c r="G139" s="17"/>
    </row>
    <row r="140" spans="1:8" ht="14.1" customHeight="1" x14ac:dyDescent="0.2">
      <c r="A140" s="18"/>
      <c r="B140" s="205" t="s">
        <v>98</v>
      </c>
      <c r="C140" s="205"/>
      <c r="D140" s="205"/>
      <c r="E140" s="205"/>
      <c r="F140" s="205"/>
      <c r="G140" s="20"/>
    </row>
    <row r="141" spans="1:8" ht="14.1" customHeight="1" x14ac:dyDescent="0.2">
      <c r="A141" s="18"/>
      <c r="B141" s="205" t="s">
        <v>98</v>
      </c>
      <c r="C141" s="205"/>
      <c r="D141" s="205"/>
      <c r="E141" s="205"/>
      <c r="F141" s="205"/>
      <c r="G141" s="20"/>
    </row>
    <row r="142" spans="1:8" ht="14.1" customHeight="1" x14ac:dyDescent="0.2">
      <c r="A142" s="18"/>
      <c r="B142" s="18"/>
      <c r="C142" s="18"/>
      <c r="D142" s="20"/>
      <c r="E142" s="20"/>
      <c r="F142" s="20"/>
      <c r="G142" s="20"/>
    </row>
    <row r="143" spans="1:8" ht="14.1" customHeight="1" x14ac:dyDescent="0.2">
      <c r="A143" s="18"/>
      <c r="B143" s="203" t="s">
        <v>126</v>
      </c>
      <c r="C143" s="204"/>
      <c r="D143" s="12" t="s">
        <v>98</v>
      </c>
      <c r="E143" s="21"/>
      <c r="F143" s="20"/>
      <c r="G143" s="20"/>
    </row>
    <row r="144" spans="1:8" ht="29.1" customHeight="1" x14ac:dyDescent="0.2">
      <c r="A144" s="18"/>
      <c r="B144" s="198" t="s">
        <v>127</v>
      </c>
      <c r="C144" s="199"/>
      <c r="D144" s="2" t="s">
        <v>128</v>
      </c>
      <c r="E144" s="21"/>
      <c r="F144" s="20"/>
      <c r="G144" s="20"/>
    </row>
    <row r="145" spans="1:7" ht="17.100000000000001" customHeight="1" x14ac:dyDescent="0.2">
      <c r="A145" s="18"/>
      <c r="B145" s="198" t="s">
        <v>129</v>
      </c>
      <c r="C145" s="199"/>
      <c r="D145" s="2" t="s">
        <v>128</v>
      </c>
      <c r="E145" s="21"/>
      <c r="F145" s="20"/>
      <c r="G145" s="20"/>
    </row>
    <row r="146" spans="1:7" ht="17.100000000000001" customHeight="1" x14ac:dyDescent="0.2">
      <c r="A146" s="18"/>
      <c r="B146" s="198" t="s">
        <v>130</v>
      </c>
      <c r="C146" s="199"/>
      <c r="D146" s="12" t="s">
        <v>98</v>
      </c>
      <c r="E146" s="21"/>
      <c r="F146" s="20"/>
      <c r="G146" s="20"/>
    </row>
    <row r="147" spans="1:7" ht="24" customHeight="1" x14ac:dyDescent="0.2">
      <c r="A147" s="22"/>
      <c r="B147" s="23" t="s">
        <v>98</v>
      </c>
      <c r="C147" s="23" t="s">
        <v>131</v>
      </c>
      <c r="D147" s="23" t="s">
        <v>132</v>
      </c>
      <c r="E147" s="22"/>
      <c r="F147" s="22"/>
      <c r="G147" s="22"/>
    </row>
    <row r="148" spans="1:7" ht="18" customHeight="1" x14ac:dyDescent="0.2">
      <c r="A148" s="22"/>
      <c r="B148" s="23" t="s">
        <v>133</v>
      </c>
      <c r="C148" s="23" t="s">
        <v>134</v>
      </c>
      <c r="D148" s="23" t="s">
        <v>135</v>
      </c>
      <c r="E148" s="22"/>
      <c r="F148" s="22"/>
      <c r="G148" s="22"/>
    </row>
    <row r="149" spans="1:7" ht="17.100000000000001" customHeight="1" x14ac:dyDescent="0.2">
      <c r="A149" s="22"/>
      <c r="B149" s="4" t="s">
        <v>136</v>
      </c>
      <c r="C149" s="24">
        <v>15.694800000000001</v>
      </c>
      <c r="D149" s="24">
        <v>15.9122</v>
      </c>
      <c r="E149" s="22"/>
      <c r="F149" s="19"/>
      <c r="G149" s="25"/>
    </row>
    <row r="150" spans="1:7" ht="17.100000000000001" customHeight="1" x14ac:dyDescent="0.2">
      <c r="A150" s="22"/>
      <c r="B150" s="4" t="s">
        <v>980</v>
      </c>
      <c r="C150" s="24">
        <v>15.694800000000001</v>
      </c>
      <c r="D150" s="24">
        <v>15.9122</v>
      </c>
      <c r="E150" s="22"/>
      <c r="F150" s="19"/>
      <c r="G150" s="25"/>
    </row>
    <row r="151" spans="1:7" ht="17.100000000000001" customHeight="1" x14ac:dyDescent="0.2">
      <c r="A151" s="22"/>
      <c r="B151" s="4" t="s">
        <v>137</v>
      </c>
      <c r="C151" s="24">
        <v>15.389099999999999</v>
      </c>
      <c r="D151" s="24">
        <v>15.5998</v>
      </c>
      <c r="E151" s="22"/>
      <c r="F151" s="19"/>
      <c r="G151" s="25"/>
    </row>
    <row r="152" spans="1:7" ht="17.100000000000001" customHeight="1" x14ac:dyDescent="0.2">
      <c r="A152" s="22"/>
      <c r="B152" s="4" t="s">
        <v>981</v>
      </c>
      <c r="C152" s="24">
        <v>15.389099999999999</v>
      </c>
      <c r="D152" s="24">
        <v>15.5998</v>
      </c>
      <c r="E152" s="22"/>
      <c r="F152" s="19"/>
      <c r="G152" s="25"/>
    </row>
    <row r="153" spans="1:7" ht="14.1" customHeight="1" x14ac:dyDescent="0.2">
      <c r="A153" s="22"/>
      <c r="B153" s="22"/>
      <c r="C153" s="22"/>
      <c r="D153" s="22"/>
      <c r="E153" s="22"/>
      <c r="F153" s="22"/>
      <c r="G153" s="22"/>
    </row>
    <row r="154" spans="1:7" ht="17.100000000000001" customHeight="1" x14ac:dyDescent="0.2">
      <c r="A154" s="22"/>
      <c r="B154" s="198" t="s">
        <v>982</v>
      </c>
      <c r="C154" s="199"/>
      <c r="D154" s="2" t="s">
        <v>128</v>
      </c>
      <c r="E154" s="22"/>
      <c r="F154" s="22"/>
      <c r="G154" s="22"/>
    </row>
    <row r="155" spans="1:7" ht="18" customHeight="1" x14ac:dyDescent="0.2">
      <c r="A155" s="22"/>
      <c r="B155" s="26"/>
      <c r="C155" s="26"/>
      <c r="D155" s="27"/>
      <c r="E155" s="22"/>
      <c r="F155" s="22"/>
      <c r="G155" s="22"/>
    </row>
    <row r="156" spans="1:7" s="113" customFormat="1" x14ac:dyDescent="0.2">
      <c r="B156" s="202" t="s">
        <v>984</v>
      </c>
      <c r="C156" s="202"/>
      <c r="D156" s="202"/>
      <c r="E156" s="202"/>
      <c r="F156" s="202"/>
    </row>
    <row r="157" spans="1:7" ht="14.1" customHeight="1" x14ac:dyDescent="0.2">
      <c r="A157" s="22"/>
      <c r="B157" s="19"/>
      <c r="C157" s="19"/>
      <c r="D157" s="22"/>
      <c r="E157" s="22"/>
      <c r="F157" s="22"/>
      <c r="G157" s="22"/>
    </row>
    <row r="158" spans="1:7" ht="29.1" customHeight="1" x14ac:dyDescent="0.2">
      <c r="A158" s="22"/>
      <c r="B158" s="198" t="s">
        <v>138</v>
      </c>
      <c r="C158" s="199"/>
      <c r="D158" s="2" t="s">
        <v>128</v>
      </c>
      <c r="E158" s="22"/>
      <c r="F158" s="22"/>
      <c r="G158" s="22"/>
    </row>
    <row r="159" spans="1:7" ht="29.1" customHeight="1" x14ac:dyDescent="0.2">
      <c r="A159" s="22"/>
      <c r="B159" s="198" t="s">
        <v>139</v>
      </c>
      <c r="C159" s="199"/>
      <c r="D159" s="2" t="s">
        <v>128</v>
      </c>
      <c r="E159" s="22"/>
      <c r="F159" s="22"/>
      <c r="G159" s="22"/>
    </row>
    <row r="160" spans="1:7" ht="17.100000000000001" customHeight="1" x14ac:dyDescent="0.2">
      <c r="A160" s="22"/>
      <c r="B160" s="198" t="s">
        <v>140</v>
      </c>
      <c r="C160" s="199"/>
      <c r="D160" s="28">
        <v>0.30356342273346076</v>
      </c>
      <c r="E160" s="22"/>
      <c r="F160" s="19"/>
      <c r="G160" s="25"/>
    </row>
    <row r="161" spans="1:7" ht="17.100000000000001" customHeight="1" x14ac:dyDescent="0.2">
      <c r="A161" s="22"/>
      <c r="B161" s="198" t="s">
        <v>141</v>
      </c>
      <c r="C161" s="199"/>
      <c r="D161" s="2" t="s">
        <v>128</v>
      </c>
      <c r="E161" s="22"/>
      <c r="F161" s="22"/>
      <c r="G161" s="22"/>
    </row>
  </sheetData>
  <mergeCells count="16">
    <mergeCell ref="B161:C161"/>
    <mergeCell ref="B144:C144"/>
    <mergeCell ref="B145:C145"/>
    <mergeCell ref="B146:C146"/>
    <mergeCell ref="B154:C154"/>
    <mergeCell ref="B158:C158"/>
    <mergeCell ref="B159:C159"/>
    <mergeCell ref="B156:F156"/>
    <mergeCell ref="A1:H1"/>
    <mergeCell ref="A2:H2"/>
    <mergeCell ref="A3:H3"/>
    <mergeCell ref="J2:N2"/>
    <mergeCell ref="B160:C160"/>
    <mergeCell ref="B143:C143"/>
    <mergeCell ref="B140:F140"/>
    <mergeCell ref="B141:F141"/>
  </mergeCells>
  <pageMargins left="5.000000074505806E-2" right="5.000000074505806E-2" top="0.30000001192092896" bottom="0.20000000298023224" header="0" footer="0"/>
  <pageSetup paperSize="9" orientation="landscape"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6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515</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143</v>
      </c>
      <c r="C7" s="4" t="s">
        <v>144</v>
      </c>
      <c r="D7" s="4" t="s">
        <v>27</v>
      </c>
      <c r="E7" s="5">
        <v>15010</v>
      </c>
      <c r="F7" s="6">
        <v>137.04880499999999</v>
      </c>
      <c r="G7" s="7">
        <v>3.3296442000000002E-2</v>
      </c>
      <c r="H7" s="112"/>
    </row>
    <row r="8" spans="1:14" x14ac:dyDescent="0.2">
      <c r="A8" s="3">
        <v>2</v>
      </c>
      <c r="B8" s="4" t="s">
        <v>154</v>
      </c>
      <c r="C8" s="4" t="s">
        <v>155</v>
      </c>
      <c r="D8" s="4" t="s">
        <v>71</v>
      </c>
      <c r="E8" s="5">
        <v>25103</v>
      </c>
      <c r="F8" s="6">
        <v>135.58130299999999</v>
      </c>
      <c r="G8" s="7">
        <v>3.2939906999999997E-2</v>
      </c>
      <c r="H8" s="112"/>
    </row>
    <row r="9" spans="1:14" x14ac:dyDescent="0.2">
      <c r="A9" s="3">
        <v>3</v>
      </c>
      <c r="B9" s="4" t="s">
        <v>148</v>
      </c>
      <c r="C9" s="4" t="s">
        <v>149</v>
      </c>
      <c r="D9" s="4" t="s">
        <v>81</v>
      </c>
      <c r="E9" s="5">
        <v>98273</v>
      </c>
      <c r="F9" s="6">
        <v>127.55835399999999</v>
      </c>
      <c r="G9" s="7">
        <v>3.0990706999999999E-2</v>
      </c>
      <c r="H9" s="112"/>
    </row>
    <row r="10" spans="1:14" x14ac:dyDescent="0.2">
      <c r="A10" s="3">
        <v>4</v>
      </c>
      <c r="B10" s="4" t="s">
        <v>150</v>
      </c>
      <c r="C10" s="4" t="s">
        <v>151</v>
      </c>
      <c r="D10" s="4" t="s">
        <v>27</v>
      </c>
      <c r="E10" s="5">
        <v>14589</v>
      </c>
      <c r="F10" s="6">
        <v>124.1742735</v>
      </c>
      <c r="G10" s="7">
        <v>3.0168533000000001E-2</v>
      </c>
      <c r="H10" s="112"/>
    </row>
    <row r="11" spans="1:14" x14ac:dyDescent="0.2">
      <c r="A11" s="3">
        <v>5</v>
      </c>
      <c r="B11" s="4" t="s">
        <v>74</v>
      </c>
      <c r="C11" s="4" t="s">
        <v>75</v>
      </c>
      <c r="D11" s="4" t="s">
        <v>71</v>
      </c>
      <c r="E11" s="5">
        <v>29035</v>
      </c>
      <c r="F11" s="6">
        <v>111.9734775</v>
      </c>
      <c r="G11" s="7">
        <v>2.7204310999999998E-2</v>
      </c>
      <c r="H11" s="112"/>
    </row>
    <row r="12" spans="1:14" x14ac:dyDescent="0.2">
      <c r="A12" s="3">
        <v>6</v>
      </c>
      <c r="B12" s="4" t="s">
        <v>145</v>
      </c>
      <c r="C12" s="4" t="s">
        <v>146</v>
      </c>
      <c r="D12" s="4" t="s">
        <v>147</v>
      </c>
      <c r="E12" s="5">
        <v>3069</v>
      </c>
      <c r="F12" s="6">
        <v>102.455496</v>
      </c>
      <c r="G12" s="7">
        <v>2.4891888000000001E-2</v>
      </c>
      <c r="H12" s="112"/>
    </row>
    <row r="13" spans="1:14" ht="25.5" x14ac:dyDescent="0.2">
      <c r="A13" s="3">
        <v>7</v>
      </c>
      <c r="B13" s="4" t="s">
        <v>152</v>
      </c>
      <c r="C13" s="4" t="s">
        <v>153</v>
      </c>
      <c r="D13" s="4" t="s">
        <v>45</v>
      </c>
      <c r="E13" s="5">
        <v>67686</v>
      </c>
      <c r="F13" s="6">
        <v>99.024618000000004</v>
      </c>
      <c r="G13" s="7">
        <v>2.4058344999999998E-2</v>
      </c>
      <c r="H13" s="112"/>
    </row>
    <row r="14" spans="1:14" ht="25.5" x14ac:dyDescent="0.2">
      <c r="A14" s="3">
        <v>8</v>
      </c>
      <c r="B14" s="4" t="s">
        <v>190</v>
      </c>
      <c r="C14" s="4" t="s">
        <v>191</v>
      </c>
      <c r="D14" s="4" t="s">
        <v>192</v>
      </c>
      <c r="E14" s="5">
        <v>18670</v>
      </c>
      <c r="F14" s="6">
        <v>97.672105000000002</v>
      </c>
      <c r="G14" s="7">
        <v>2.3729747999999998E-2</v>
      </c>
      <c r="H14" s="112"/>
    </row>
    <row r="15" spans="1:14" ht="15" x14ac:dyDescent="0.2">
      <c r="A15" s="3">
        <v>9</v>
      </c>
      <c r="B15" s="4" t="s">
        <v>160</v>
      </c>
      <c r="C15" s="4" t="s">
        <v>161</v>
      </c>
      <c r="D15" s="4" t="s">
        <v>162</v>
      </c>
      <c r="E15" s="5">
        <v>2353</v>
      </c>
      <c r="F15" s="6">
        <v>92.324661000000006</v>
      </c>
      <c r="G15" s="7">
        <v>2.2430569000000001E-2</v>
      </c>
      <c r="H15" s="112"/>
      <c r="J15" s="188" t="s">
        <v>1018</v>
      </c>
    </row>
    <row r="16" spans="1:14" ht="25.5" x14ac:dyDescent="0.2">
      <c r="A16" s="3">
        <v>10</v>
      </c>
      <c r="B16" s="4" t="s">
        <v>37</v>
      </c>
      <c r="C16" s="4" t="s">
        <v>38</v>
      </c>
      <c r="D16" s="4" t="s">
        <v>971</v>
      </c>
      <c r="E16" s="5">
        <v>2709</v>
      </c>
      <c r="F16" s="6">
        <v>89.823667499999999</v>
      </c>
      <c r="G16" s="7">
        <v>2.1822945E-2</v>
      </c>
      <c r="H16" s="112"/>
    </row>
    <row r="17" spans="1:8" x14ac:dyDescent="0.2">
      <c r="A17" s="3">
        <v>11</v>
      </c>
      <c r="B17" s="4" t="s">
        <v>41</v>
      </c>
      <c r="C17" s="4" t="s">
        <v>42</v>
      </c>
      <c r="D17" s="4" t="s">
        <v>27</v>
      </c>
      <c r="E17" s="5">
        <v>6666</v>
      </c>
      <c r="F17" s="6">
        <v>88.354496999999995</v>
      </c>
      <c r="G17" s="7">
        <v>2.1466005E-2</v>
      </c>
      <c r="H17" s="112"/>
    </row>
    <row r="18" spans="1:8" x14ac:dyDescent="0.2">
      <c r="A18" s="3">
        <v>12</v>
      </c>
      <c r="B18" s="4" t="s">
        <v>156</v>
      </c>
      <c r="C18" s="4" t="s">
        <v>157</v>
      </c>
      <c r="D18" s="4" t="s">
        <v>974</v>
      </c>
      <c r="E18" s="5">
        <v>6933</v>
      </c>
      <c r="F18" s="6">
        <v>86.211855</v>
      </c>
      <c r="G18" s="7">
        <v>2.0945443000000001E-2</v>
      </c>
      <c r="H18" s="112"/>
    </row>
    <row r="19" spans="1:8" x14ac:dyDescent="0.2">
      <c r="A19" s="3">
        <v>13</v>
      </c>
      <c r="B19" s="4" t="s">
        <v>165</v>
      </c>
      <c r="C19" s="4" t="s">
        <v>166</v>
      </c>
      <c r="D19" s="4" t="s">
        <v>976</v>
      </c>
      <c r="E19" s="5">
        <v>19759</v>
      </c>
      <c r="F19" s="6">
        <v>82.800089499999999</v>
      </c>
      <c r="G19" s="7">
        <v>2.0116544E-2</v>
      </c>
      <c r="H19" s="112"/>
    </row>
    <row r="20" spans="1:8" x14ac:dyDescent="0.2">
      <c r="A20" s="3">
        <v>14</v>
      </c>
      <c r="B20" s="4" t="s">
        <v>184</v>
      </c>
      <c r="C20" s="4" t="s">
        <v>185</v>
      </c>
      <c r="D20" s="4" t="s">
        <v>186</v>
      </c>
      <c r="E20" s="5">
        <v>17769</v>
      </c>
      <c r="F20" s="6">
        <v>82.785770999999997</v>
      </c>
      <c r="G20" s="7">
        <v>2.0113065999999999E-2</v>
      </c>
      <c r="H20" s="112"/>
    </row>
    <row r="21" spans="1:8" x14ac:dyDescent="0.2">
      <c r="A21" s="3">
        <v>15</v>
      </c>
      <c r="B21" s="4" t="s">
        <v>195</v>
      </c>
      <c r="C21" s="4" t="s">
        <v>196</v>
      </c>
      <c r="D21" s="4" t="s">
        <v>34</v>
      </c>
      <c r="E21" s="5">
        <v>19575</v>
      </c>
      <c r="F21" s="6">
        <v>82.263937499999997</v>
      </c>
      <c r="G21" s="7">
        <v>1.9986284E-2</v>
      </c>
      <c r="H21" s="112"/>
    </row>
    <row r="22" spans="1:8" x14ac:dyDescent="0.2">
      <c r="A22" s="3">
        <v>16</v>
      </c>
      <c r="B22" s="4" t="s">
        <v>167</v>
      </c>
      <c r="C22" s="4" t="s">
        <v>168</v>
      </c>
      <c r="D22" s="4" t="s">
        <v>81</v>
      </c>
      <c r="E22" s="5">
        <v>11616</v>
      </c>
      <c r="F22" s="6">
        <v>81.921840000000003</v>
      </c>
      <c r="G22" s="7">
        <v>1.9903171000000001E-2</v>
      </c>
      <c r="H22" s="112"/>
    </row>
    <row r="23" spans="1:8" x14ac:dyDescent="0.2">
      <c r="A23" s="3">
        <v>17</v>
      </c>
      <c r="B23" s="4" t="s">
        <v>187</v>
      </c>
      <c r="C23" s="4" t="s">
        <v>188</v>
      </c>
      <c r="D23" s="4" t="s">
        <v>189</v>
      </c>
      <c r="E23" s="5">
        <v>36249</v>
      </c>
      <c r="F23" s="6">
        <v>81.777743999999998</v>
      </c>
      <c r="G23" s="7">
        <v>1.9868162000000002E-2</v>
      </c>
      <c r="H23" s="112"/>
    </row>
    <row r="24" spans="1:8" x14ac:dyDescent="0.2">
      <c r="A24" s="3">
        <v>18</v>
      </c>
      <c r="B24" s="4" t="s">
        <v>210</v>
      </c>
      <c r="C24" s="4" t="s">
        <v>211</v>
      </c>
      <c r="D24" s="4" t="s">
        <v>212</v>
      </c>
      <c r="E24" s="5">
        <v>32633</v>
      </c>
      <c r="F24" s="6">
        <v>80.995106000000007</v>
      </c>
      <c r="G24" s="7">
        <v>1.9678017999999999E-2</v>
      </c>
      <c r="H24" s="112"/>
    </row>
    <row r="25" spans="1:8" x14ac:dyDescent="0.2">
      <c r="A25" s="3">
        <v>19</v>
      </c>
      <c r="B25" s="4" t="s">
        <v>65</v>
      </c>
      <c r="C25" s="4" t="s">
        <v>66</v>
      </c>
      <c r="D25" s="4" t="s">
        <v>64</v>
      </c>
      <c r="E25" s="5">
        <v>17357</v>
      </c>
      <c r="F25" s="6">
        <v>80.562515500000003</v>
      </c>
      <c r="G25" s="7">
        <v>1.9572919000000001E-2</v>
      </c>
      <c r="H25" s="112"/>
    </row>
    <row r="26" spans="1:8" x14ac:dyDescent="0.2">
      <c r="A26" s="3">
        <v>20</v>
      </c>
      <c r="B26" s="4" t="s">
        <v>163</v>
      </c>
      <c r="C26" s="4" t="s">
        <v>164</v>
      </c>
      <c r="D26" s="4" t="s">
        <v>162</v>
      </c>
      <c r="E26" s="5">
        <v>25859</v>
      </c>
      <c r="F26" s="6">
        <v>79.826733000000004</v>
      </c>
      <c r="G26" s="7">
        <v>1.9394158000000002E-2</v>
      </c>
      <c r="H26" s="112"/>
    </row>
    <row r="27" spans="1:8" ht="25.5" x14ac:dyDescent="0.2">
      <c r="A27" s="3">
        <v>21</v>
      </c>
      <c r="B27" s="4" t="s">
        <v>467</v>
      </c>
      <c r="C27" s="4" t="s">
        <v>468</v>
      </c>
      <c r="D27" s="4" t="s">
        <v>45</v>
      </c>
      <c r="E27" s="5">
        <v>5634</v>
      </c>
      <c r="F27" s="6">
        <v>78.219639000000001</v>
      </c>
      <c r="G27" s="7">
        <v>1.9003709000000001E-2</v>
      </c>
      <c r="H27" s="112"/>
    </row>
    <row r="28" spans="1:8" x14ac:dyDescent="0.2">
      <c r="A28" s="3">
        <v>22</v>
      </c>
      <c r="B28" s="4" t="s">
        <v>69</v>
      </c>
      <c r="C28" s="4" t="s">
        <v>70</v>
      </c>
      <c r="D28" s="4" t="s">
        <v>71</v>
      </c>
      <c r="E28" s="5">
        <v>2279</v>
      </c>
      <c r="F28" s="6">
        <v>75.3380425</v>
      </c>
      <c r="G28" s="7">
        <v>1.8303616000000002E-2</v>
      </c>
      <c r="H28" s="112"/>
    </row>
    <row r="29" spans="1:8" x14ac:dyDescent="0.2">
      <c r="A29" s="3">
        <v>23</v>
      </c>
      <c r="B29" s="4" t="s">
        <v>294</v>
      </c>
      <c r="C29" s="4" t="s">
        <v>295</v>
      </c>
      <c r="D29" s="4" t="s">
        <v>64</v>
      </c>
      <c r="E29" s="5">
        <v>3603</v>
      </c>
      <c r="F29" s="6">
        <v>70.916047500000005</v>
      </c>
      <c r="G29" s="7">
        <v>1.7229279E-2</v>
      </c>
      <c r="H29" s="112"/>
    </row>
    <row r="30" spans="1:8" x14ac:dyDescent="0.2">
      <c r="A30" s="3">
        <v>24</v>
      </c>
      <c r="B30" s="4" t="s">
        <v>179</v>
      </c>
      <c r="C30" s="4" t="s">
        <v>180</v>
      </c>
      <c r="D30" s="4" t="s">
        <v>71</v>
      </c>
      <c r="E30" s="5">
        <v>6426</v>
      </c>
      <c r="F30" s="6">
        <v>65.892204000000007</v>
      </c>
      <c r="G30" s="7">
        <v>1.6008720000000001E-2</v>
      </c>
      <c r="H30" s="112"/>
    </row>
    <row r="31" spans="1:8" x14ac:dyDescent="0.2">
      <c r="A31" s="3">
        <v>25</v>
      </c>
      <c r="B31" s="4" t="s">
        <v>203</v>
      </c>
      <c r="C31" s="4" t="s">
        <v>204</v>
      </c>
      <c r="D31" s="4" t="s">
        <v>81</v>
      </c>
      <c r="E31" s="5">
        <v>10036</v>
      </c>
      <c r="F31" s="6">
        <v>62.910665999999999</v>
      </c>
      <c r="G31" s="7">
        <v>1.5284346000000001E-2</v>
      </c>
      <c r="H31" s="112"/>
    </row>
    <row r="32" spans="1:8" x14ac:dyDescent="0.2">
      <c r="A32" s="3">
        <v>26</v>
      </c>
      <c r="B32" s="4" t="s">
        <v>297</v>
      </c>
      <c r="C32" s="4" t="s">
        <v>298</v>
      </c>
      <c r="D32" s="4" t="s">
        <v>27</v>
      </c>
      <c r="E32" s="5">
        <v>9335</v>
      </c>
      <c r="F32" s="6">
        <v>62.56317</v>
      </c>
      <c r="G32" s="7">
        <v>1.5199921E-2</v>
      </c>
      <c r="H32" s="112"/>
    </row>
    <row r="33" spans="1:8" x14ac:dyDescent="0.2">
      <c r="A33" s="3">
        <v>27</v>
      </c>
      <c r="B33" s="4" t="s">
        <v>182</v>
      </c>
      <c r="C33" s="4" t="s">
        <v>183</v>
      </c>
      <c r="D33" s="4" t="s">
        <v>162</v>
      </c>
      <c r="E33" s="5">
        <v>5785</v>
      </c>
      <c r="F33" s="6">
        <v>61.7982625</v>
      </c>
      <c r="G33" s="7">
        <v>1.5014084E-2</v>
      </c>
      <c r="H33" s="112"/>
    </row>
    <row r="34" spans="1:8" x14ac:dyDescent="0.2">
      <c r="A34" s="3">
        <v>28</v>
      </c>
      <c r="B34" s="4" t="s">
        <v>219</v>
      </c>
      <c r="C34" s="4" t="s">
        <v>220</v>
      </c>
      <c r="D34" s="4" t="s">
        <v>64</v>
      </c>
      <c r="E34" s="5">
        <v>6312</v>
      </c>
      <c r="F34" s="6">
        <v>60.850836000000001</v>
      </c>
      <c r="G34" s="7">
        <v>1.4783904E-2</v>
      </c>
      <c r="H34" s="112"/>
    </row>
    <row r="35" spans="1:8" x14ac:dyDescent="0.2">
      <c r="A35" s="3">
        <v>29</v>
      </c>
      <c r="B35" s="4" t="s">
        <v>205</v>
      </c>
      <c r="C35" s="4" t="s">
        <v>206</v>
      </c>
      <c r="D35" s="4" t="s">
        <v>975</v>
      </c>
      <c r="E35" s="5">
        <v>7019</v>
      </c>
      <c r="F35" s="6">
        <v>60.809106499999999</v>
      </c>
      <c r="G35" s="7">
        <v>1.4773764999999999E-2</v>
      </c>
      <c r="H35" s="112"/>
    </row>
    <row r="36" spans="1:8" x14ac:dyDescent="0.2">
      <c r="A36" s="3">
        <v>30</v>
      </c>
      <c r="B36" s="4" t="s">
        <v>240</v>
      </c>
      <c r="C36" s="4" t="s">
        <v>241</v>
      </c>
      <c r="D36" s="4" t="s">
        <v>81</v>
      </c>
      <c r="E36" s="5">
        <v>108798</v>
      </c>
      <c r="F36" s="6">
        <v>59.947698000000003</v>
      </c>
      <c r="G36" s="7">
        <v>1.4564483E-2</v>
      </c>
      <c r="H36" s="112"/>
    </row>
    <row r="37" spans="1:8" x14ac:dyDescent="0.2">
      <c r="A37" s="3">
        <v>31</v>
      </c>
      <c r="B37" s="4" t="s">
        <v>213</v>
      </c>
      <c r="C37" s="4" t="s">
        <v>214</v>
      </c>
      <c r="D37" s="4" t="s">
        <v>977</v>
      </c>
      <c r="E37" s="5">
        <v>10181</v>
      </c>
      <c r="F37" s="6">
        <v>59.080342999999999</v>
      </c>
      <c r="G37" s="7">
        <v>1.4353757E-2</v>
      </c>
      <c r="H37" s="112"/>
    </row>
    <row r="38" spans="1:8" x14ac:dyDescent="0.2">
      <c r="A38" s="3">
        <v>32</v>
      </c>
      <c r="B38" s="4" t="s">
        <v>238</v>
      </c>
      <c r="C38" s="4" t="s">
        <v>239</v>
      </c>
      <c r="D38" s="4" t="s">
        <v>186</v>
      </c>
      <c r="E38" s="5">
        <v>11300</v>
      </c>
      <c r="F38" s="6">
        <v>58.285400000000003</v>
      </c>
      <c r="G38" s="7">
        <v>1.4160623000000001E-2</v>
      </c>
      <c r="H38" s="112"/>
    </row>
    <row r="39" spans="1:8" x14ac:dyDescent="0.2">
      <c r="A39" s="3">
        <v>33</v>
      </c>
      <c r="B39" s="4" t="s">
        <v>169</v>
      </c>
      <c r="C39" s="4" t="s">
        <v>170</v>
      </c>
      <c r="D39" s="4" t="s">
        <v>19</v>
      </c>
      <c r="E39" s="5">
        <v>29578</v>
      </c>
      <c r="F39" s="6">
        <v>53.403078999999998</v>
      </c>
      <c r="G39" s="7">
        <v>1.2974447E-2</v>
      </c>
      <c r="H39" s="112"/>
    </row>
    <row r="40" spans="1:8" x14ac:dyDescent="0.2">
      <c r="A40" s="3">
        <v>34</v>
      </c>
      <c r="B40" s="4" t="s">
        <v>199</v>
      </c>
      <c r="C40" s="4" t="s">
        <v>200</v>
      </c>
      <c r="D40" s="4" t="s">
        <v>64</v>
      </c>
      <c r="E40" s="5">
        <v>50979</v>
      </c>
      <c r="F40" s="6">
        <v>53.375013000000003</v>
      </c>
      <c r="G40" s="7">
        <v>1.2967629E-2</v>
      </c>
      <c r="H40" s="112"/>
    </row>
    <row r="41" spans="1:8" x14ac:dyDescent="0.2">
      <c r="A41" s="3">
        <v>35</v>
      </c>
      <c r="B41" s="4" t="s">
        <v>223</v>
      </c>
      <c r="C41" s="4" t="s">
        <v>224</v>
      </c>
      <c r="D41" s="4" t="s">
        <v>27</v>
      </c>
      <c r="E41" s="5">
        <v>2911</v>
      </c>
      <c r="F41" s="6">
        <v>52.338324499999999</v>
      </c>
      <c r="G41" s="7">
        <v>1.2715762E-2</v>
      </c>
      <c r="H41" s="112"/>
    </row>
    <row r="42" spans="1:8" ht="25.5" x14ac:dyDescent="0.2">
      <c r="A42" s="3">
        <v>36</v>
      </c>
      <c r="B42" s="4" t="s">
        <v>235</v>
      </c>
      <c r="C42" s="4" t="s">
        <v>236</v>
      </c>
      <c r="D42" s="4" t="s">
        <v>192</v>
      </c>
      <c r="E42" s="5">
        <v>11006</v>
      </c>
      <c r="F42" s="6">
        <v>50.291916999999998</v>
      </c>
      <c r="G42" s="7">
        <v>1.2218580999999999E-2</v>
      </c>
      <c r="H42" s="112"/>
    </row>
    <row r="43" spans="1:8" x14ac:dyDescent="0.2">
      <c r="A43" s="3">
        <v>37</v>
      </c>
      <c r="B43" s="4" t="s">
        <v>221</v>
      </c>
      <c r="C43" s="4" t="s">
        <v>222</v>
      </c>
      <c r="D43" s="4" t="s">
        <v>173</v>
      </c>
      <c r="E43" s="5">
        <v>5781</v>
      </c>
      <c r="F43" s="6">
        <v>49.826439000000001</v>
      </c>
      <c r="G43" s="7">
        <v>1.2105490999999999E-2</v>
      </c>
      <c r="H43" s="112"/>
    </row>
    <row r="44" spans="1:8" ht="25.5" x14ac:dyDescent="0.2">
      <c r="A44" s="3">
        <v>38</v>
      </c>
      <c r="B44" s="4" t="s">
        <v>229</v>
      </c>
      <c r="C44" s="4" t="s">
        <v>230</v>
      </c>
      <c r="D44" s="4" t="s">
        <v>71</v>
      </c>
      <c r="E44" s="5">
        <v>2285</v>
      </c>
      <c r="F44" s="6">
        <v>47.368049999999997</v>
      </c>
      <c r="G44" s="7">
        <v>1.1508218000000001E-2</v>
      </c>
      <c r="H44" s="112"/>
    </row>
    <row r="45" spans="1:8" x14ac:dyDescent="0.2">
      <c r="A45" s="3">
        <v>39</v>
      </c>
      <c r="B45" s="4" t="s">
        <v>481</v>
      </c>
      <c r="C45" s="4" t="s">
        <v>482</v>
      </c>
      <c r="D45" s="4" t="s">
        <v>186</v>
      </c>
      <c r="E45" s="5">
        <v>8154</v>
      </c>
      <c r="F45" s="6">
        <v>46.942577999999997</v>
      </c>
      <c r="G45" s="7">
        <v>1.1404848E-2</v>
      </c>
      <c r="H45" s="112"/>
    </row>
    <row r="46" spans="1:8" x14ac:dyDescent="0.2">
      <c r="A46" s="3">
        <v>40</v>
      </c>
      <c r="B46" s="4" t="s">
        <v>231</v>
      </c>
      <c r="C46" s="4" t="s">
        <v>232</v>
      </c>
      <c r="D46" s="4" t="s">
        <v>71</v>
      </c>
      <c r="E46" s="5">
        <v>16672</v>
      </c>
      <c r="F46" s="6">
        <v>46.573231999999997</v>
      </c>
      <c r="G46" s="7">
        <v>1.1315113999999999E-2</v>
      </c>
      <c r="H46" s="112"/>
    </row>
    <row r="47" spans="1:8" ht="25.5" x14ac:dyDescent="0.2">
      <c r="A47" s="3">
        <v>41</v>
      </c>
      <c r="B47" s="4" t="s">
        <v>246</v>
      </c>
      <c r="C47" s="4" t="s">
        <v>247</v>
      </c>
      <c r="D47" s="4" t="s">
        <v>978</v>
      </c>
      <c r="E47" s="5">
        <v>44136</v>
      </c>
      <c r="F47" s="6">
        <v>46.519343999999997</v>
      </c>
      <c r="G47" s="7">
        <v>1.1302022E-2</v>
      </c>
      <c r="H47" s="112"/>
    </row>
    <row r="48" spans="1:8" x14ac:dyDescent="0.2">
      <c r="A48" s="3">
        <v>42</v>
      </c>
      <c r="B48" s="4" t="s">
        <v>287</v>
      </c>
      <c r="C48" s="4" t="s">
        <v>288</v>
      </c>
      <c r="D48" s="4" t="s">
        <v>27</v>
      </c>
      <c r="E48" s="5">
        <v>4326</v>
      </c>
      <c r="F48" s="6">
        <v>46.506663000000003</v>
      </c>
      <c r="G48" s="7">
        <v>1.1298941E-2</v>
      </c>
      <c r="H48" s="112"/>
    </row>
    <row r="49" spans="1:8" x14ac:dyDescent="0.2">
      <c r="A49" s="3">
        <v>43</v>
      </c>
      <c r="B49" s="4" t="s">
        <v>207</v>
      </c>
      <c r="C49" s="4" t="s">
        <v>208</v>
      </c>
      <c r="D49" s="4" t="s">
        <v>209</v>
      </c>
      <c r="E49" s="5">
        <v>9975</v>
      </c>
      <c r="F49" s="6">
        <v>46.453575000000001</v>
      </c>
      <c r="G49" s="7">
        <v>1.1286043000000001E-2</v>
      </c>
      <c r="H49" s="112"/>
    </row>
    <row r="50" spans="1:8" x14ac:dyDescent="0.2">
      <c r="A50" s="3">
        <v>44</v>
      </c>
      <c r="B50" s="4" t="s">
        <v>262</v>
      </c>
      <c r="C50" s="4" t="s">
        <v>263</v>
      </c>
      <c r="D50" s="4" t="s">
        <v>977</v>
      </c>
      <c r="E50" s="5">
        <v>32152</v>
      </c>
      <c r="F50" s="6">
        <v>46.314956000000002</v>
      </c>
      <c r="G50" s="7">
        <v>1.1252365E-2</v>
      </c>
      <c r="H50" s="112"/>
    </row>
    <row r="51" spans="1:8" ht="25.5" x14ac:dyDescent="0.2">
      <c r="A51" s="3">
        <v>45</v>
      </c>
      <c r="B51" s="4" t="s">
        <v>250</v>
      </c>
      <c r="C51" s="4" t="s">
        <v>251</v>
      </c>
      <c r="D51" s="4" t="s">
        <v>192</v>
      </c>
      <c r="E51" s="5">
        <v>12063</v>
      </c>
      <c r="F51" s="6">
        <v>45.899715</v>
      </c>
      <c r="G51" s="7">
        <v>1.1151481E-2</v>
      </c>
      <c r="H51" s="112"/>
    </row>
    <row r="52" spans="1:8" x14ac:dyDescent="0.2">
      <c r="A52" s="3">
        <v>46</v>
      </c>
      <c r="B52" s="4" t="s">
        <v>260</v>
      </c>
      <c r="C52" s="4" t="s">
        <v>261</v>
      </c>
      <c r="D52" s="4" t="s">
        <v>173</v>
      </c>
      <c r="E52" s="5">
        <v>7112</v>
      </c>
      <c r="F52" s="6">
        <v>42.846243999999999</v>
      </c>
      <c r="G52" s="7">
        <v>1.0409631000000001E-2</v>
      </c>
      <c r="H52" s="112"/>
    </row>
    <row r="53" spans="1:8" x14ac:dyDescent="0.2">
      <c r="A53" s="3">
        <v>47</v>
      </c>
      <c r="B53" s="4" t="s">
        <v>227</v>
      </c>
      <c r="C53" s="4" t="s">
        <v>228</v>
      </c>
      <c r="D53" s="4" t="s">
        <v>974</v>
      </c>
      <c r="E53" s="5">
        <v>2495</v>
      </c>
      <c r="F53" s="6">
        <v>42.508562499999996</v>
      </c>
      <c r="G53" s="7">
        <v>1.0327589999999999E-2</v>
      </c>
      <c r="H53" s="112"/>
    </row>
    <row r="54" spans="1:8" x14ac:dyDescent="0.2">
      <c r="A54" s="3">
        <v>48</v>
      </c>
      <c r="B54" s="4" t="s">
        <v>244</v>
      </c>
      <c r="C54" s="4" t="s">
        <v>245</v>
      </c>
      <c r="D54" s="4" t="s">
        <v>173</v>
      </c>
      <c r="E54" s="5">
        <v>10105</v>
      </c>
      <c r="F54" s="6">
        <v>39.854120000000002</v>
      </c>
      <c r="G54" s="7">
        <v>9.6826849999999999E-3</v>
      </c>
      <c r="H54" s="112"/>
    </row>
    <row r="55" spans="1:8" ht="25.5" x14ac:dyDescent="0.2">
      <c r="A55" s="3">
        <v>49</v>
      </c>
      <c r="B55" s="4" t="s">
        <v>181</v>
      </c>
      <c r="C55" s="4" t="s">
        <v>931</v>
      </c>
      <c r="D55" s="4" t="s">
        <v>45</v>
      </c>
      <c r="E55" s="5">
        <v>17050</v>
      </c>
      <c r="F55" s="6">
        <v>39.786175</v>
      </c>
      <c r="G55" s="7">
        <v>9.6661769999999998E-3</v>
      </c>
      <c r="H55" s="112"/>
    </row>
    <row r="56" spans="1:8" ht="25.5" x14ac:dyDescent="0.2">
      <c r="A56" s="3">
        <v>50</v>
      </c>
      <c r="B56" s="4" t="s">
        <v>197</v>
      </c>
      <c r="C56" s="4" t="s">
        <v>198</v>
      </c>
      <c r="D56" s="4" t="s">
        <v>971</v>
      </c>
      <c r="E56" s="5">
        <v>16405</v>
      </c>
      <c r="F56" s="6">
        <v>39.191544999999998</v>
      </c>
      <c r="G56" s="7">
        <v>9.5217099999999992E-3</v>
      </c>
      <c r="H56" s="112"/>
    </row>
    <row r="57" spans="1:8" x14ac:dyDescent="0.2">
      <c r="A57" s="3">
        <v>51</v>
      </c>
      <c r="B57" s="4" t="s">
        <v>264</v>
      </c>
      <c r="C57" s="4" t="s">
        <v>265</v>
      </c>
      <c r="D57" s="4" t="s">
        <v>266</v>
      </c>
      <c r="E57" s="5">
        <v>16931</v>
      </c>
      <c r="F57" s="6">
        <v>38.8651105</v>
      </c>
      <c r="G57" s="7">
        <v>9.4424020000000008E-3</v>
      </c>
      <c r="H57" s="112"/>
    </row>
    <row r="58" spans="1:8" x14ac:dyDescent="0.2">
      <c r="A58" s="3">
        <v>52</v>
      </c>
      <c r="B58" s="4" t="s">
        <v>267</v>
      </c>
      <c r="C58" s="4" t="s">
        <v>268</v>
      </c>
      <c r="D58" s="4" t="s">
        <v>19</v>
      </c>
      <c r="E58" s="5">
        <v>42227</v>
      </c>
      <c r="F58" s="6">
        <v>38.342115999999997</v>
      </c>
      <c r="G58" s="7">
        <v>9.3153390000000006E-3</v>
      </c>
      <c r="H58" s="112"/>
    </row>
    <row r="59" spans="1:8" x14ac:dyDescent="0.2">
      <c r="A59" s="3">
        <v>53</v>
      </c>
      <c r="B59" s="4" t="s">
        <v>273</v>
      </c>
      <c r="C59" s="4" t="s">
        <v>274</v>
      </c>
      <c r="D59" s="4" t="s">
        <v>71</v>
      </c>
      <c r="E59" s="5">
        <v>23018</v>
      </c>
      <c r="F59" s="6">
        <v>30.682994000000001</v>
      </c>
      <c r="G59" s="7">
        <v>7.4545310000000004E-3</v>
      </c>
      <c r="H59" s="112"/>
    </row>
    <row r="60" spans="1:8" x14ac:dyDescent="0.2">
      <c r="A60" s="3">
        <v>54</v>
      </c>
      <c r="B60" s="4" t="s">
        <v>248</v>
      </c>
      <c r="C60" s="4" t="s">
        <v>249</v>
      </c>
      <c r="D60" s="4" t="s">
        <v>186</v>
      </c>
      <c r="E60" s="5">
        <v>1825</v>
      </c>
      <c r="F60" s="6">
        <v>30.626237499999998</v>
      </c>
      <c r="G60" s="7">
        <v>7.4407409999999998E-3</v>
      </c>
      <c r="H60" s="112"/>
    </row>
    <row r="61" spans="1:8" x14ac:dyDescent="0.2">
      <c r="A61" s="3">
        <v>55</v>
      </c>
      <c r="B61" s="4" t="s">
        <v>269</v>
      </c>
      <c r="C61" s="4" t="s">
        <v>270</v>
      </c>
      <c r="D61" s="4" t="s">
        <v>186</v>
      </c>
      <c r="E61" s="5">
        <v>546</v>
      </c>
      <c r="F61" s="6">
        <v>29.613675000000001</v>
      </c>
      <c r="G61" s="7">
        <v>7.1947360000000002E-3</v>
      </c>
      <c r="H61" s="112"/>
    </row>
    <row r="62" spans="1:8" x14ac:dyDescent="0.2">
      <c r="A62" s="3">
        <v>56</v>
      </c>
      <c r="B62" s="4" t="s">
        <v>158</v>
      </c>
      <c r="C62" s="4" t="s">
        <v>159</v>
      </c>
      <c r="D62" s="4" t="s">
        <v>979</v>
      </c>
      <c r="E62" s="5">
        <v>13147</v>
      </c>
      <c r="F62" s="6">
        <v>28.949694000000001</v>
      </c>
      <c r="G62" s="7">
        <v>7.0334200000000003E-3</v>
      </c>
      <c r="H62" s="112"/>
    </row>
    <row r="63" spans="1:8" x14ac:dyDescent="0.2">
      <c r="A63" s="3">
        <v>57</v>
      </c>
      <c r="B63" s="4" t="s">
        <v>62</v>
      </c>
      <c r="C63" s="4" t="s">
        <v>63</v>
      </c>
      <c r="D63" s="4" t="s">
        <v>64</v>
      </c>
      <c r="E63" s="5">
        <v>15702</v>
      </c>
      <c r="F63" s="6">
        <v>25.806236999999999</v>
      </c>
      <c r="G63" s="7">
        <v>6.2697070000000002E-3</v>
      </c>
      <c r="H63" s="112"/>
    </row>
    <row r="64" spans="1:8" x14ac:dyDescent="0.2">
      <c r="A64" s="3">
        <v>58</v>
      </c>
      <c r="B64" s="4" t="s">
        <v>242</v>
      </c>
      <c r="C64" s="4" t="s">
        <v>243</v>
      </c>
      <c r="D64" s="4" t="s">
        <v>334</v>
      </c>
      <c r="E64" s="5">
        <v>2142</v>
      </c>
      <c r="F64" s="6">
        <v>25.650449999999999</v>
      </c>
      <c r="G64" s="7">
        <v>6.2318579999999998E-3</v>
      </c>
      <c r="H64" s="112"/>
    </row>
    <row r="65" spans="1:8" x14ac:dyDescent="0.2">
      <c r="A65" s="3">
        <v>59</v>
      </c>
      <c r="B65" s="4" t="s">
        <v>215</v>
      </c>
      <c r="C65" s="4" t="s">
        <v>216</v>
      </c>
      <c r="D65" s="4" t="s">
        <v>53</v>
      </c>
      <c r="E65" s="5">
        <v>10387</v>
      </c>
      <c r="F65" s="6">
        <v>24.440611000000001</v>
      </c>
      <c r="G65" s="7">
        <v>5.9379239999999998E-3</v>
      </c>
      <c r="H65" s="112"/>
    </row>
    <row r="66" spans="1:8" x14ac:dyDescent="0.2">
      <c r="A66" s="3">
        <v>60</v>
      </c>
      <c r="B66" s="4" t="s">
        <v>271</v>
      </c>
      <c r="C66" s="4" t="s">
        <v>272</v>
      </c>
      <c r="D66" s="4" t="s">
        <v>147</v>
      </c>
      <c r="E66" s="5">
        <v>3667</v>
      </c>
      <c r="F66" s="6">
        <v>23.857502</v>
      </c>
      <c r="G66" s="7">
        <v>5.7962559999999996E-3</v>
      </c>
      <c r="H66" s="112"/>
    </row>
    <row r="67" spans="1:8" x14ac:dyDescent="0.2">
      <c r="A67" s="3">
        <v>61</v>
      </c>
      <c r="B67" s="4" t="s">
        <v>279</v>
      </c>
      <c r="C67" s="4" t="s">
        <v>280</v>
      </c>
      <c r="D67" s="4" t="s">
        <v>147</v>
      </c>
      <c r="E67" s="5">
        <v>1792</v>
      </c>
      <c r="F67" s="6">
        <v>23.465344000000002</v>
      </c>
      <c r="G67" s="7">
        <v>5.7009799999999996E-3</v>
      </c>
      <c r="H67" s="112"/>
    </row>
    <row r="68" spans="1:8" x14ac:dyDescent="0.2">
      <c r="A68" s="3">
        <v>62</v>
      </c>
      <c r="B68" s="4" t="s">
        <v>254</v>
      </c>
      <c r="C68" s="4" t="s">
        <v>255</v>
      </c>
      <c r="D68" s="4" t="s">
        <v>162</v>
      </c>
      <c r="E68" s="5">
        <v>1721</v>
      </c>
      <c r="F68" s="6">
        <v>21.932424000000001</v>
      </c>
      <c r="G68" s="7">
        <v>5.3285520000000003E-3</v>
      </c>
      <c r="H68" s="112"/>
    </row>
    <row r="69" spans="1:8" x14ac:dyDescent="0.2">
      <c r="A69" s="3">
        <v>63</v>
      </c>
      <c r="B69" s="4" t="s">
        <v>275</v>
      </c>
      <c r="C69" s="4" t="s">
        <v>276</v>
      </c>
      <c r="D69" s="4" t="s">
        <v>162</v>
      </c>
      <c r="E69" s="5">
        <v>3970</v>
      </c>
      <c r="F69" s="6">
        <v>16.439769999999999</v>
      </c>
      <c r="G69" s="7">
        <v>3.9940940000000001E-3</v>
      </c>
      <c r="H69" s="112"/>
    </row>
    <row r="70" spans="1:8" x14ac:dyDescent="0.2">
      <c r="A70" s="3">
        <v>64</v>
      </c>
      <c r="B70" s="4" t="s">
        <v>477</v>
      </c>
      <c r="C70" s="4" t="s">
        <v>478</v>
      </c>
      <c r="D70" s="4" t="s">
        <v>974</v>
      </c>
      <c r="E70" s="5">
        <v>14500</v>
      </c>
      <c r="F70" s="6">
        <v>13.941750000000001</v>
      </c>
      <c r="G70" s="7">
        <v>3.3871919999999998E-3</v>
      </c>
      <c r="H70" s="112"/>
    </row>
    <row r="71" spans="1:8" x14ac:dyDescent="0.2">
      <c r="A71" s="3">
        <v>65</v>
      </c>
      <c r="B71" s="4" t="s">
        <v>281</v>
      </c>
      <c r="C71" s="4" t="s">
        <v>282</v>
      </c>
      <c r="D71" s="4" t="s">
        <v>334</v>
      </c>
      <c r="E71" s="5">
        <v>678</v>
      </c>
      <c r="F71" s="6">
        <v>5.4073890000000002</v>
      </c>
      <c r="G71" s="7">
        <v>1.3137419999999999E-3</v>
      </c>
      <c r="H71" s="112"/>
    </row>
    <row r="72" spans="1:8" ht="25.5" x14ac:dyDescent="0.2">
      <c r="A72" s="3">
        <v>66</v>
      </c>
      <c r="B72" s="4" t="s">
        <v>92</v>
      </c>
      <c r="C72" s="4" t="s">
        <v>93</v>
      </c>
      <c r="D72" s="4" t="s">
        <v>45</v>
      </c>
      <c r="E72" s="5">
        <v>680</v>
      </c>
      <c r="F72" s="6">
        <v>4.5172400000000001</v>
      </c>
      <c r="G72" s="7">
        <v>1.097478E-3</v>
      </c>
      <c r="H72" s="112"/>
    </row>
    <row r="73" spans="1:8" x14ac:dyDescent="0.2">
      <c r="A73" s="3">
        <v>67</v>
      </c>
      <c r="B73" s="4" t="s">
        <v>283</v>
      </c>
      <c r="C73" s="4" t="s">
        <v>284</v>
      </c>
      <c r="D73" s="4" t="s">
        <v>19</v>
      </c>
      <c r="E73" s="5">
        <v>7002</v>
      </c>
      <c r="F73" s="6">
        <v>4.4987849999999998</v>
      </c>
      <c r="G73" s="7">
        <v>1.0929939999999999E-3</v>
      </c>
      <c r="H73" s="112"/>
    </row>
    <row r="74" spans="1:8" x14ac:dyDescent="0.2">
      <c r="A74" s="3">
        <v>68</v>
      </c>
      <c r="B74" s="4" t="s">
        <v>277</v>
      </c>
      <c r="C74" s="4" t="s">
        <v>278</v>
      </c>
      <c r="D74" s="4" t="s">
        <v>186</v>
      </c>
      <c r="E74" s="5">
        <v>829</v>
      </c>
      <c r="F74" s="6">
        <v>2.5566360000000001</v>
      </c>
      <c r="G74" s="7">
        <v>6.21143E-4</v>
      </c>
      <c r="H74" s="112"/>
    </row>
    <row r="75" spans="1:8" x14ac:dyDescent="0.2">
      <c r="A75" s="1"/>
      <c r="B75" s="1"/>
      <c r="C75" s="2" t="s">
        <v>97</v>
      </c>
      <c r="D75" s="1"/>
      <c r="E75" s="1" t="s">
        <v>98</v>
      </c>
      <c r="F75" s="9">
        <v>3947.3417610000001</v>
      </c>
      <c r="G75" s="10">
        <v>0.95901919599999996</v>
      </c>
      <c r="H75" s="112"/>
    </row>
    <row r="76" spans="1:8" x14ac:dyDescent="0.2">
      <c r="A76" s="1"/>
      <c r="B76" s="1"/>
      <c r="C76" s="11"/>
      <c r="D76" s="1"/>
      <c r="E76" s="1"/>
      <c r="F76" s="12"/>
      <c r="G76" s="12"/>
      <c r="H76" s="112"/>
    </row>
    <row r="77" spans="1:8" x14ac:dyDescent="0.2">
      <c r="A77" s="1"/>
      <c r="B77" s="1"/>
      <c r="C77" s="2" t="s">
        <v>99</v>
      </c>
      <c r="D77" s="1"/>
      <c r="E77" s="1"/>
      <c r="F77" s="1"/>
      <c r="G77" s="1"/>
      <c r="H77" s="112"/>
    </row>
    <row r="78" spans="1:8" x14ac:dyDescent="0.2">
      <c r="A78" s="1"/>
      <c r="B78" s="1"/>
      <c r="C78" s="2" t="s">
        <v>97</v>
      </c>
      <c r="D78" s="1"/>
      <c r="E78" s="1" t="s">
        <v>98</v>
      </c>
      <c r="F78" s="13">
        <v>0</v>
      </c>
      <c r="G78" s="14">
        <v>0</v>
      </c>
      <c r="H78" s="112"/>
    </row>
    <row r="79" spans="1:8" x14ac:dyDescent="0.2">
      <c r="A79" s="1"/>
      <c r="B79" s="1"/>
      <c r="C79" s="11"/>
      <c r="D79" s="1"/>
      <c r="E79" s="1"/>
      <c r="F79" s="12"/>
      <c r="G79" s="12"/>
      <c r="H79" s="112"/>
    </row>
    <row r="80" spans="1:8" x14ac:dyDescent="0.2">
      <c r="A80" s="1"/>
      <c r="B80" s="1"/>
      <c r="C80" s="2" t="s">
        <v>100</v>
      </c>
      <c r="D80" s="1"/>
      <c r="E80" s="1"/>
      <c r="F80" s="1"/>
      <c r="G80" s="1"/>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2" t="s">
        <v>101</v>
      </c>
      <c r="D83" s="1"/>
      <c r="E83" s="1"/>
      <c r="F83" s="1"/>
      <c r="G83" s="1"/>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102</v>
      </c>
      <c r="D86" s="1"/>
      <c r="E86" s="1"/>
      <c r="F86" s="12"/>
      <c r="G86" s="12"/>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103</v>
      </c>
      <c r="D89" s="1"/>
      <c r="E89" s="1"/>
      <c r="F89" s="12"/>
      <c r="G89" s="12"/>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104</v>
      </c>
      <c r="D92" s="1"/>
      <c r="E92" s="1"/>
      <c r="F92" s="9">
        <v>3947.3417610000001</v>
      </c>
      <c r="G92" s="10">
        <v>0.95901919599999996</v>
      </c>
      <c r="H92" s="112"/>
    </row>
    <row r="93" spans="1:8" x14ac:dyDescent="0.2">
      <c r="A93" s="1"/>
      <c r="B93" s="1"/>
      <c r="C93" s="11"/>
      <c r="D93" s="1"/>
      <c r="E93" s="1"/>
      <c r="F93" s="12"/>
      <c r="G93" s="12"/>
      <c r="H93" s="112"/>
    </row>
    <row r="94" spans="1:8" x14ac:dyDescent="0.2">
      <c r="A94" s="1"/>
      <c r="B94" s="1"/>
      <c r="C94" s="2" t="s">
        <v>105</v>
      </c>
      <c r="D94" s="1"/>
      <c r="E94" s="1"/>
      <c r="F94" s="12"/>
      <c r="G94" s="12"/>
      <c r="H94" s="112"/>
    </row>
    <row r="95" spans="1:8" ht="25.5" x14ac:dyDescent="0.2">
      <c r="A95" s="1"/>
      <c r="B95" s="1"/>
      <c r="C95" s="2" t="s">
        <v>10</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106</v>
      </c>
      <c r="D98" s="1"/>
      <c r="E98" s="1"/>
      <c r="F98" s="1"/>
      <c r="G98" s="1"/>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107</v>
      </c>
      <c r="D101" s="1"/>
      <c r="E101" s="1"/>
      <c r="F101" s="1"/>
      <c r="G101" s="1"/>
      <c r="H101" s="112"/>
    </row>
    <row r="102" spans="1:8" x14ac:dyDescent="0.2">
      <c r="A102" s="1"/>
      <c r="B102" s="1"/>
      <c r="C102" s="2" t="s">
        <v>97</v>
      </c>
      <c r="D102" s="1"/>
      <c r="E102" s="1" t="s">
        <v>98</v>
      </c>
      <c r="F102" s="13">
        <v>0</v>
      </c>
      <c r="G102" s="14">
        <v>0</v>
      </c>
      <c r="H102" s="112"/>
    </row>
    <row r="103" spans="1:8" x14ac:dyDescent="0.2">
      <c r="A103" s="1"/>
      <c r="B103" s="1"/>
      <c r="C103" s="11"/>
      <c r="D103" s="1"/>
      <c r="E103" s="1"/>
      <c r="F103" s="12"/>
      <c r="G103" s="12"/>
      <c r="H103" s="112"/>
    </row>
    <row r="104" spans="1:8" x14ac:dyDescent="0.2">
      <c r="A104" s="1"/>
      <c r="B104" s="1"/>
      <c r="C104" s="2" t="s">
        <v>108</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109</v>
      </c>
      <c r="D107" s="1"/>
      <c r="E107" s="1"/>
      <c r="F107" s="9">
        <v>0</v>
      </c>
      <c r="G107" s="10">
        <v>0</v>
      </c>
      <c r="H107" s="112"/>
    </row>
    <row r="108" spans="1:8" x14ac:dyDescent="0.2">
      <c r="A108" s="1"/>
      <c r="B108" s="1"/>
      <c r="C108" s="11"/>
      <c r="D108" s="1"/>
      <c r="E108" s="1"/>
      <c r="F108" s="12"/>
      <c r="G108" s="12"/>
      <c r="H108" s="112"/>
    </row>
    <row r="109" spans="1:8" x14ac:dyDescent="0.2">
      <c r="A109" s="1"/>
      <c r="B109" s="1"/>
      <c r="C109" s="2" t="s">
        <v>110</v>
      </c>
      <c r="D109" s="1"/>
      <c r="E109" s="1"/>
      <c r="F109" s="12"/>
      <c r="G109" s="12"/>
      <c r="H109" s="112"/>
    </row>
    <row r="110" spans="1:8" x14ac:dyDescent="0.2">
      <c r="A110" s="1"/>
      <c r="B110" s="1"/>
      <c r="C110" s="2" t="s">
        <v>111</v>
      </c>
      <c r="D110" s="1"/>
      <c r="E110" s="1"/>
      <c r="F110" s="12"/>
      <c r="G110" s="12"/>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112</v>
      </c>
      <c r="D113" s="1"/>
      <c r="E113" s="1"/>
      <c r="F113" s="12"/>
      <c r="G113" s="12"/>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2" t="s">
        <v>113</v>
      </c>
      <c r="D116" s="1"/>
      <c r="E116" s="1"/>
      <c r="F116" s="12"/>
      <c r="G116" s="12"/>
      <c r="H116" s="112"/>
    </row>
    <row r="117" spans="1:8" x14ac:dyDescent="0.2">
      <c r="A117" s="1"/>
      <c r="B117" s="1"/>
      <c r="C117" s="2" t="s">
        <v>97</v>
      </c>
      <c r="D117" s="1"/>
      <c r="E117" s="1" t="s">
        <v>98</v>
      </c>
      <c r="F117" s="13">
        <v>0</v>
      </c>
      <c r="G117" s="14">
        <v>0</v>
      </c>
      <c r="H117" s="112"/>
    </row>
    <row r="118" spans="1:8" x14ac:dyDescent="0.2">
      <c r="A118" s="1"/>
      <c r="B118" s="1"/>
      <c r="C118" s="11"/>
      <c r="D118" s="1"/>
      <c r="E118" s="1"/>
      <c r="F118" s="12"/>
      <c r="G118" s="12"/>
      <c r="H118" s="112"/>
    </row>
    <row r="119" spans="1:8" x14ac:dyDescent="0.2">
      <c r="A119" s="1"/>
      <c r="B119" s="1"/>
      <c r="C119" s="2" t="s">
        <v>114</v>
      </c>
      <c r="D119" s="1"/>
      <c r="E119" s="1"/>
      <c r="F119" s="12"/>
      <c r="G119" s="12"/>
      <c r="H119" s="112"/>
    </row>
    <row r="120" spans="1:8" x14ac:dyDescent="0.2">
      <c r="A120" s="3">
        <v>1</v>
      </c>
      <c r="B120" s="4"/>
      <c r="C120" s="4" t="s">
        <v>115</v>
      </c>
      <c r="D120" s="4"/>
      <c r="E120" s="8"/>
      <c r="F120" s="6">
        <v>145.56032092346135</v>
      </c>
      <c r="G120" s="7">
        <v>3.5364341449366427E-2</v>
      </c>
      <c r="H120" s="6">
        <v>3.3211324282253978</v>
      </c>
    </row>
    <row r="121" spans="1:8" x14ac:dyDescent="0.2">
      <c r="A121" s="3">
        <v>2</v>
      </c>
      <c r="B121" s="4"/>
      <c r="C121" s="4" t="s">
        <v>116</v>
      </c>
      <c r="D121" s="4"/>
      <c r="E121" s="8"/>
      <c r="F121" s="6">
        <v>57.179507280009339</v>
      </c>
      <c r="G121" s="7">
        <v>1.3891942574240779E-2</v>
      </c>
      <c r="H121" s="6">
        <v>3.35</v>
      </c>
    </row>
    <row r="122" spans="1:8" x14ac:dyDescent="0.2">
      <c r="A122" s="1"/>
      <c r="B122" s="1"/>
      <c r="C122" s="2" t="s">
        <v>97</v>
      </c>
      <c r="D122" s="1"/>
      <c r="E122" s="1" t="s">
        <v>98</v>
      </c>
      <c r="F122" s="9">
        <v>202.73982820347069</v>
      </c>
      <c r="G122" s="10">
        <v>4.9256284023607204E-2</v>
      </c>
      <c r="H122" s="112"/>
    </row>
    <row r="123" spans="1:8" x14ac:dyDescent="0.2">
      <c r="A123" s="1"/>
      <c r="B123" s="1"/>
      <c r="C123" s="11"/>
      <c r="D123" s="1"/>
      <c r="E123" s="1"/>
      <c r="F123" s="12"/>
      <c r="G123" s="12"/>
      <c r="H123" s="112"/>
    </row>
    <row r="124" spans="1:8" x14ac:dyDescent="0.2">
      <c r="A124" s="1"/>
      <c r="B124" s="1"/>
      <c r="C124" s="2" t="s">
        <v>117</v>
      </c>
      <c r="D124" s="1"/>
      <c r="E124" s="1"/>
      <c r="F124" s="9">
        <v>202.73982820347069</v>
      </c>
      <c r="G124" s="10">
        <v>4.9256284023607204E-2</v>
      </c>
      <c r="H124" s="112"/>
    </row>
    <row r="125" spans="1:8" x14ac:dyDescent="0.2">
      <c r="A125" s="1"/>
      <c r="B125" s="1"/>
      <c r="C125" s="12"/>
      <c r="D125" s="1"/>
      <c r="E125" s="1"/>
      <c r="F125" s="1"/>
      <c r="G125" s="1"/>
      <c r="H125" s="112"/>
    </row>
    <row r="126" spans="1:8" x14ac:dyDescent="0.2">
      <c r="A126" s="1"/>
      <c r="B126" s="1"/>
      <c r="C126" s="2" t="s">
        <v>118</v>
      </c>
      <c r="D126" s="1"/>
      <c r="E126" s="1"/>
      <c r="F126" s="1"/>
      <c r="G126" s="1"/>
      <c r="H126" s="112"/>
    </row>
    <row r="127" spans="1:8" x14ac:dyDescent="0.2">
      <c r="A127" s="1"/>
      <c r="B127" s="1"/>
      <c r="C127" s="2" t="s">
        <v>119</v>
      </c>
      <c r="D127" s="1"/>
      <c r="E127" s="1"/>
      <c r="F127" s="1"/>
      <c r="G127" s="1"/>
      <c r="H127" s="112"/>
    </row>
    <row r="128" spans="1:8" x14ac:dyDescent="0.2">
      <c r="A128" s="1"/>
      <c r="B128" s="1"/>
      <c r="C128" s="2" t="s">
        <v>97</v>
      </c>
      <c r="D128" s="1"/>
      <c r="E128" s="1" t="s">
        <v>98</v>
      </c>
      <c r="F128" s="13">
        <v>0</v>
      </c>
      <c r="G128" s="14">
        <v>0</v>
      </c>
      <c r="H128" s="112"/>
    </row>
    <row r="129" spans="1:8" x14ac:dyDescent="0.2">
      <c r="A129" s="1"/>
      <c r="B129" s="1"/>
      <c r="C129" s="11"/>
      <c r="D129" s="1"/>
      <c r="E129" s="1"/>
      <c r="F129" s="12"/>
      <c r="G129" s="12"/>
      <c r="H129" s="112"/>
    </row>
    <row r="130" spans="1:8" x14ac:dyDescent="0.2">
      <c r="A130" s="1"/>
      <c r="B130" s="1"/>
      <c r="C130" s="2" t="s">
        <v>120</v>
      </c>
      <c r="D130" s="1"/>
      <c r="E130" s="1"/>
      <c r="F130" s="1"/>
      <c r="G130" s="1"/>
      <c r="H130" s="112"/>
    </row>
    <row r="131" spans="1:8" x14ac:dyDescent="0.2">
      <c r="A131" s="1"/>
      <c r="B131" s="1"/>
      <c r="C131" s="2" t="s">
        <v>121</v>
      </c>
      <c r="D131" s="1"/>
      <c r="E131" s="1"/>
      <c r="F131" s="1"/>
      <c r="G131" s="1"/>
      <c r="H131" s="112"/>
    </row>
    <row r="132" spans="1:8" x14ac:dyDescent="0.2">
      <c r="A132" s="1"/>
      <c r="B132" s="1"/>
      <c r="C132" s="2" t="s">
        <v>97</v>
      </c>
      <c r="D132" s="1"/>
      <c r="E132" s="1" t="s">
        <v>98</v>
      </c>
      <c r="F132" s="13">
        <v>0</v>
      </c>
      <c r="G132" s="14">
        <v>0</v>
      </c>
      <c r="H132" s="112"/>
    </row>
    <row r="133" spans="1:8" x14ac:dyDescent="0.2">
      <c r="A133" s="1"/>
      <c r="B133" s="1"/>
      <c r="C133" s="11"/>
      <c r="D133" s="1"/>
      <c r="E133" s="1"/>
      <c r="F133" s="12"/>
      <c r="G133" s="12"/>
      <c r="H133" s="112"/>
    </row>
    <row r="134" spans="1:8" x14ac:dyDescent="0.2">
      <c r="A134" s="1"/>
      <c r="B134" s="1"/>
      <c r="C134" s="11"/>
      <c r="D134" s="1"/>
      <c r="E134" s="1"/>
      <c r="F134" s="12"/>
      <c r="G134" s="12"/>
      <c r="H134" s="112"/>
    </row>
    <row r="135" spans="1:8" ht="25.5" x14ac:dyDescent="0.2">
      <c r="A135" s="1"/>
      <c r="B135" s="1"/>
      <c r="C135" s="2" t="s">
        <v>122</v>
      </c>
      <c r="D135" s="1"/>
      <c r="E135" s="1"/>
      <c r="F135" s="12"/>
      <c r="G135" s="12"/>
      <c r="H135" s="112"/>
    </row>
    <row r="136" spans="1:8" x14ac:dyDescent="0.2">
      <c r="A136" s="1"/>
      <c r="B136" s="1"/>
      <c r="C136" s="2" t="s">
        <v>97</v>
      </c>
      <c r="D136" s="1"/>
      <c r="E136" s="1" t="s">
        <v>98</v>
      </c>
      <c r="F136" s="13">
        <v>0</v>
      </c>
      <c r="G136" s="14">
        <v>0</v>
      </c>
      <c r="H136" s="112"/>
    </row>
    <row r="137" spans="1:8" x14ac:dyDescent="0.2">
      <c r="A137" s="1"/>
      <c r="B137" s="1"/>
      <c r="C137" s="11"/>
      <c r="D137" s="1"/>
      <c r="E137" s="1"/>
      <c r="F137" s="12"/>
      <c r="G137" s="12"/>
      <c r="H137" s="112"/>
    </row>
    <row r="138" spans="1:8" x14ac:dyDescent="0.2">
      <c r="A138" s="1"/>
      <c r="B138" s="4"/>
      <c r="C138" s="4"/>
      <c r="D138" s="2"/>
      <c r="E138" s="1"/>
      <c r="F138" s="4"/>
      <c r="G138" s="8"/>
      <c r="H138" s="112"/>
    </row>
    <row r="139" spans="1:8" x14ac:dyDescent="0.2">
      <c r="A139" s="8"/>
      <c r="B139" s="4"/>
      <c r="C139" s="4" t="s">
        <v>123</v>
      </c>
      <c r="D139" s="4"/>
      <c r="E139" s="8"/>
      <c r="F139" s="6">
        <v>-34.061997980009338</v>
      </c>
      <c r="G139" s="7">
        <v>-8.2754703985990323E-3</v>
      </c>
      <c r="H139" s="112"/>
    </row>
    <row r="140" spans="1:8" x14ac:dyDescent="0.2">
      <c r="A140" s="11"/>
      <c r="B140" s="11"/>
      <c r="C140" s="2" t="s">
        <v>124</v>
      </c>
      <c r="D140" s="15"/>
      <c r="E140" s="15"/>
      <c r="F140" s="9">
        <v>4116.0195541000003</v>
      </c>
      <c r="G140" s="10">
        <v>1</v>
      </c>
      <c r="H140" s="112"/>
    </row>
    <row r="141" spans="1:8" ht="14.1" customHeight="1" x14ac:dyDescent="0.2">
      <c r="A141" s="16"/>
      <c r="B141" s="16"/>
      <c r="C141" s="16"/>
      <c r="D141" s="17"/>
      <c r="E141" s="17"/>
      <c r="F141" s="17"/>
      <c r="G141" s="17"/>
    </row>
    <row r="142" spans="1:8" ht="14.1" customHeight="1" x14ac:dyDescent="0.2">
      <c r="A142" s="18"/>
      <c r="B142" s="205" t="s">
        <v>98</v>
      </c>
      <c r="C142" s="205"/>
      <c r="D142" s="205"/>
      <c r="E142" s="205"/>
      <c r="F142" s="205"/>
      <c r="G142" s="20"/>
    </row>
    <row r="143" spans="1:8" ht="14.1" customHeight="1" x14ac:dyDescent="0.2">
      <c r="A143" s="18"/>
      <c r="B143" s="205" t="s">
        <v>98</v>
      </c>
      <c r="C143" s="205"/>
      <c r="D143" s="205"/>
      <c r="E143" s="205"/>
      <c r="F143" s="205"/>
      <c r="G143" s="20"/>
    </row>
    <row r="144" spans="1:8" ht="14.1" customHeight="1" x14ac:dyDescent="0.2">
      <c r="A144" s="18"/>
      <c r="B144" s="18"/>
      <c r="C144" s="18"/>
      <c r="D144" s="20"/>
      <c r="E144" s="20"/>
      <c r="F144" s="20"/>
      <c r="G144" s="20"/>
    </row>
    <row r="145" spans="1:7" ht="14.1" customHeight="1" x14ac:dyDescent="0.2">
      <c r="A145" s="18"/>
      <c r="B145" s="203" t="s">
        <v>126</v>
      </c>
      <c r="C145" s="204"/>
      <c r="D145" s="12" t="s">
        <v>98</v>
      </c>
      <c r="E145" s="21"/>
      <c r="F145" s="20"/>
      <c r="G145" s="20"/>
    </row>
    <row r="146" spans="1:7" ht="29.1" customHeight="1" x14ac:dyDescent="0.2">
      <c r="A146" s="18"/>
      <c r="B146" s="198" t="s">
        <v>127</v>
      </c>
      <c r="C146" s="199"/>
      <c r="D146" s="2" t="s">
        <v>128</v>
      </c>
      <c r="E146" s="21"/>
      <c r="F146" s="20"/>
      <c r="G146" s="20"/>
    </row>
    <row r="147" spans="1:7" ht="17.100000000000001" customHeight="1" x14ac:dyDescent="0.2">
      <c r="A147" s="18"/>
      <c r="B147" s="198" t="s">
        <v>129</v>
      </c>
      <c r="C147" s="199"/>
      <c r="D147" s="2" t="s">
        <v>128</v>
      </c>
      <c r="E147" s="21"/>
      <c r="F147" s="20"/>
      <c r="G147" s="20"/>
    </row>
    <row r="148" spans="1:7" ht="17.100000000000001" customHeight="1" x14ac:dyDescent="0.2">
      <c r="A148" s="18"/>
      <c r="B148" s="198" t="s">
        <v>130</v>
      </c>
      <c r="C148" s="199"/>
      <c r="D148" s="12" t="s">
        <v>98</v>
      </c>
      <c r="E148" s="21"/>
      <c r="F148" s="20"/>
      <c r="G148" s="20"/>
    </row>
    <row r="149" spans="1:7" ht="24" customHeight="1" x14ac:dyDescent="0.2">
      <c r="A149" s="22"/>
      <c r="B149" s="23" t="s">
        <v>98</v>
      </c>
      <c r="C149" s="23" t="s">
        <v>131</v>
      </c>
      <c r="D149" s="23" t="s">
        <v>132</v>
      </c>
      <c r="E149" s="22"/>
      <c r="F149" s="22"/>
      <c r="G149" s="22"/>
    </row>
    <row r="150" spans="1:7" ht="18" customHeight="1" x14ac:dyDescent="0.2">
      <c r="A150" s="22"/>
      <c r="B150" s="23" t="s">
        <v>133</v>
      </c>
      <c r="C150" s="23" t="s">
        <v>134</v>
      </c>
      <c r="D150" s="23" t="s">
        <v>135</v>
      </c>
      <c r="E150" s="22"/>
      <c r="F150" s="22"/>
      <c r="G150" s="22"/>
    </row>
    <row r="151" spans="1:7" ht="17.100000000000001" customHeight="1" x14ac:dyDescent="0.2">
      <c r="A151" s="22"/>
      <c r="B151" s="4" t="s">
        <v>136</v>
      </c>
      <c r="C151" s="24">
        <v>15.004099999999999</v>
      </c>
      <c r="D151" s="24">
        <v>15.224299999999999</v>
      </c>
      <c r="E151" s="22"/>
      <c r="F151" s="19"/>
      <c r="G151" s="25"/>
    </row>
    <row r="152" spans="1:7" ht="17.100000000000001" customHeight="1" x14ac:dyDescent="0.2">
      <c r="A152" s="22"/>
      <c r="B152" s="4" t="s">
        <v>980</v>
      </c>
      <c r="C152" s="24">
        <v>15.004</v>
      </c>
      <c r="D152" s="24">
        <v>15.224299999999999</v>
      </c>
      <c r="E152" s="22"/>
      <c r="F152" s="19"/>
      <c r="G152" s="25"/>
    </row>
    <row r="153" spans="1:7" ht="17.100000000000001" customHeight="1" x14ac:dyDescent="0.2">
      <c r="A153" s="22"/>
      <c r="B153" s="4" t="s">
        <v>137</v>
      </c>
      <c r="C153" s="24">
        <v>14.443899999999999</v>
      </c>
      <c r="D153" s="24">
        <v>14.653700000000001</v>
      </c>
      <c r="E153" s="22"/>
      <c r="F153" s="19"/>
      <c r="G153" s="25"/>
    </row>
    <row r="154" spans="1:7" ht="17.100000000000001" customHeight="1" x14ac:dyDescent="0.2">
      <c r="A154" s="22"/>
      <c r="B154" s="4" t="s">
        <v>981</v>
      </c>
      <c r="C154" s="24">
        <v>14.443899999999999</v>
      </c>
      <c r="D154" s="24">
        <v>14.653600000000001</v>
      </c>
      <c r="E154" s="22"/>
      <c r="F154" s="19"/>
      <c r="G154" s="25"/>
    </row>
    <row r="155" spans="1:7" ht="14.1" customHeight="1" x14ac:dyDescent="0.2">
      <c r="A155" s="22"/>
      <c r="B155" s="22"/>
      <c r="C155" s="22"/>
      <c r="D155" s="22"/>
      <c r="E155" s="22"/>
      <c r="F155" s="22"/>
      <c r="G155" s="22"/>
    </row>
    <row r="156" spans="1:7" ht="17.100000000000001" customHeight="1" x14ac:dyDescent="0.2">
      <c r="A156" s="22"/>
      <c r="B156" s="198" t="s">
        <v>982</v>
      </c>
      <c r="C156" s="199"/>
      <c r="D156" s="2" t="s">
        <v>128</v>
      </c>
      <c r="E156" s="22"/>
      <c r="F156" s="22"/>
      <c r="G156" s="22"/>
    </row>
    <row r="157" spans="1:7" ht="18" customHeight="1" x14ac:dyDescent="0.2">
      <c r="A157" s="22"/>
      <c r="B157" s="26"/>
      <c r="C157" s="26"/>
      <c r="D157" s="27"/>
      <c r="E157" s="22"/>
      <c r="F157" s="22"/>
      <c r="G157" s="22"/>
    </row>
    <row r="158" spans="1:7" s="113" customFormat="1" x14ac:dyDescent="0.2">
      <c r="B158" s="202" t="s">
        <v>984</v>
      </c>
      <c r="C158" s="202"/>
      <c r="D158" s="202"/>
      <c r="E158" s="202"/>
      <c r="F158" s="202"/>
    </row>
    <row r="159" spans="1:7" ht="14.1" customHeight="1" x14ac:dyDescent="0.2">
      <c r="A159" s="22"/>
      <c r="B159" s="19"/>
      <c r="C159" s="19"/>
      <c r="D159" s="22"/>
      <c r="E159" s="22"/>
      <c r="F159" s="22"/>
      <c r="G159" s="22"/>
    </row>
    <row r="160" spans="1:7" ht="29.1" customHeight="1" x14ac:dyDescent="0.2">
      <c r="A160" s="22"/>
      <c r="B160" s="198" t="s">
        <v>138</v>
      </c>
      <c r="C160" s="199"/>
      <c r="D160" s="2" t="s">
        <v>128</v>
      </c>
      <c r="E160" s="22"/>
      <c r="F160" s="22"/>
      <c r="G160" s="22"/>
    </row>
    <row r="161" spans="1:7" ht="29.1" customHeight="1" x14ac:dyDescent="0.2">
      <c r="A161" s="22"/>
      <c r="B161" s="198" t="s">
        <v>139</v>
      </c>
      <c r="C161" s="199"/>
      <c r="D161" s="2" t="s">
        <v>128</v>
      </c>
      <c r="E161" s="22"/>
      <c r="F161" s="22"/>
      <c r="G161" s="22"/>
    </row>
    <row r="162" spans="1:7" ht="17.100000000000001" customHeight="1" x14ac:dyDescent="0.2">
      <c r="A162" s="22"/>
      <c r="B162" s="198" t="s">
        <v>140</v>
      </c>
      <c r="C162" s="199"/>
      <c r="D162" s="28">
        <v>0.30755477545043708</v>
      </c>
      <c r="E162" s="22"/>
      <c r="F162" s="19"/>
      <c r="G162" s="25"/>
    </row>
    <row r="163" spans="1:7" ht="17.100000000000001" customHeight="1" x14ac:dyDescent="0.2">
      <c r="A163" s="22"/>
      <c r="B163" s="198" t="s">
        <v>141</v>
      </c>
      <c r="C163" s="199"/>
      <c r="D163" s="2" t="s">
        <v>128</v>
      </c>
      <c r="E163" s="22"/>
      <c r="F163" s="22"/>
      <c r="G163" s="22"/>
    </row>
  </sheetData>
  <mergeCells count="16">
    <mergeCell ref="B163:C163"/>
    <mergeCell ref="B146:C146"/>
    <mergeCell ref="B147:C147"/>
    <mergeCell ref="B148:C148"/>
    <mergeCell ref="B156:C156"/>
    <mergeCell ref="B160:C160"/>
    <mergeCell ref="B161:C161"/>
    <mergeCell ref="B158:F158"/>
    <mergeCell ref="A1:H1"/>
    <mergeCell ref="A2:H2"/>
    <mergeCell ref="A3:H3"/>
    <mergeCell ref="J2:N2"/>
    <mergeCell ref="B162:C162"/>
    <mergeCell ref="B145:C145"/>
    <mergeCell ref="B142:F142"/>
    <mergeCell ref="B143:F143"/>
  </mergeCells>
  <pageMargins left="5.000000074505806E-2" right="5.000000074505806E-2" top="0.30000001192092896" bottom="0.20000000298023224" header="0" footer="0"/>
  <pageSetup paperSize="9" orientation="landscape"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16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516</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227</v>
      </c>
      <c r="C7" s="4" t="s">
        <v>228</v>
      </c>
      <c r="D7" s="4" t="s">
        <v>974</v>
      </c>
      <c r="E7" s="5">
        <v>305795</v>
      </c>
      <c r="F7" s="6">
        <v>5209.9823125000003</v>
      </c>
      <c r="G7" s="7">
        <v>3.3812562999999997E-2</v>
      </c>
      <c r="H7" s="112"/>
    </row>
    <row r="8" spans="1:14" x14ac:dyDescent="0.2">
      <c r="A8" s="3">
        <v>2</v>
      </c>
      <c r="B8" s="4" t="s">
        <v>182</v>
      </c>
      <c r="C8" s="4" t="s">
        <v>183</v>
      </c>
      <c r="D8" s="4" t="s">
        <v>162</v>
      </c>
      <c r="E8" s="5">
        <v>475853</v>
      </c>
      <c r="F8" s="6">
        <v>5083.2996725000003</v>
      </c>
      <c r="G8" s="7">
        <v>3.2990398999999997E-2</v>
      </c>
      <c r="H8" s="112"/>
    </row>
    <row r="9" spans="1:14" x14ac:dyDescent="0.2">
      <c r="A9" s="3">
        <v>3</v>
      </c>
      <c r="B9" s="4" t="s">
        <v>41</v>
      </c>
      <c r="C9" s="4" t="s">
        <v>42</v>
      </c>
      <c r="D9" s="4" t="s">
        <v>27</v>
      </c>
      <c r="E9" s="5">
        <v>372482</v>
      </c>
      <c r="F9" s="6">
        <v>4937.0626689999999</v>
      </c>
      <c r="G9" s="7">
        <v>3.2041327000000001E-2</v>
      </c>
      <c r="H9" s="112"/>
    </row>
    <row r="10" spans="1:14" x14ac:dyDescent="0.2">
      <c r="A10" s="3">
        <v>4</v>
      </c>
      <c r="B10" s="4" t="s">
        <v>517</v>
      </c>
      <c r="C10" s="4" t="s">
        <v>518</v>
      </c>
      <c r="D10" s="4" t="s">
        <v>186</v>
      </c>
      <c r="E10" s="5">
        <v>521420</v>
      </c>
      <c r="F10" s="6">
        <v>4756.3932400000003</v>
      </c>
      <c r="G10" s="7">
        <v>3.086879E-2</v>
      </c>
      <c r="H10" s="112"/>
    </row>
    <row r="11" spans="1:14" x14ac:dyDescent="0.2">
      <c r="A11" s="3">
        <v>5</v>
      </c>
      <c r="B11" s="4" t="s">
        <v>203</v>
      </c>
      <c r="C11" s="4" t="s">
        <v>204</v>
      </c>
      <c r="D11" s="4" t="s">
        <v>81</v>
      </c>
      <c r="E11" s="5">
        <v>756537</v>
      </c>
      <c r="F11" s="6">
        <v>4742.3521844999996</v>
      </c>
      <c r="G11" s="7">
        <v>3.0777664E-2</v>
      </c>
      <c r="H11" s="112"/>
    </row>
    <row r="12" spans="1:14" x14ac:dyDescent="0.2">
      <c r="A12" s="3">
        <v>6</v>
      </c>
      <c r="B12" s="4" t="s">
        <v>160</v>
      </c>
      <c r="C12" s="4" t="s">
        <v>161</v>
      </c>
      <c r="D12" s="4" t="s">
        <v>162</v>
      </c>
      <c r="E12" s="5">
        <v>117585</v>
      </c>
      <c r="F12" s="6">
        <v>4613.6826449999999</v>
      </c>
      <c r="G12" s="7">
        <v>2.9942604000000001E-2</v>
      </c>
      <c r="H12" s="112"/>
    </row>
    <row r="13" spans="1:14" x14ac:dyDescent="0.2">
      <c r="A13" s="3">
        <v>7</v>
      </c>
      <c r="B13" s="4" t="s">
        <v>362</v>
      </c>
      <c r="C13" s="4" t="s">
        <v>363</v>
      </c>
      <c r="D13" s="4" t="s">
        <v>19</v>
      </c>
      <c r="E13" s="5">
        <v>2552643</v>
      </c>
      <c r="F13" s="6">
        <v>4292.2692045000003</v>
      </c>
      <c r="G13" s="7">
        <v>2.7856644E-2</v>
      </c>
      <c r="H13" s="112"/>
    </row>
    <row r="14" spans="1:14" x14ac:dyDescent="0.2">
      <c r="A14" s="3">
        <v>8</v>
      </c>
      <c r="B14" s="4" t="s">
        <v>471</v>
      </c>
      <c r="C14" s="4" t="s">
        <v>472</v>
      </c>
      <c r="D14" s="4" t="s">
        <v>27</v>
      </c>
      <c r="E14" s="5">
        <v>490032</v>
      </c>
      <c r="F14" s="6">
        <v>4112.8385760000001</v>
      </c>
      <c r="G14" s="7">
        <v>2.6692146999999999E-2</v>
      </c>
      <c r="H14" s="112"/>
    </row>
    <row r="15" spans="1:14" ht="15" x14ac:dyDescent="0.2">
      <c r="A15" s="3">
        <v>9</v>
      </c>
      <c r="B15" s="4" t="s">
        <v>213</v>
      </c>
      <c r="C15" s="4" t="s">
        <v>214</v>
      </c>
      <c r="D15" s="4" t="s">
        <v>977</v>
      </c>
      <c r="E15" s="5">
        <v>668744</v>
      </c>
      <c r="F15" s="6">
        <v>3880.7214319999998</v>
      </c>
      <c r="G15" s="7">
        <v>2.5185717E-2</v>
      </c>
      <c r="H15" s="112"/>
      <c r="J15" s="188" t="s">
        <v>1018</v>
      </c>
    </row>
    <row r="16" spans="1:14" x14ac:dyDescent="0.2">
      <c r="A16" s="3">
        <v>10</v>
      </c>
      <c r="B16" s="4" t="s">
        <v>150</v>
      </c>
      <c r="C16" s="4" t="s">
        <v>151</v>
      </c>
      <c r="D16" s="4" t="s">
        <v>27</v>
      </c>
      <c r="E16" s="5">
        <v>433735</v>
      </c>
      <c r="F16" s="6">
        <v>3691.7354525000001</v>
      </c>
      <c r="G16" s="7">
        <v>2.3959206E-2</v>
      </c>
      <c r="H16" s="112"/>
    </row>
    <row r="17" spans="1:8" x14ac:dyDescent="0.2">
      <c r="A17" s="3">
        <v>11</v>
      </c>
      <c r="B17" s="4" t="s">
        <v>171</v>
      </c>
      <c r="C17" s="4" t="s">
        <v>172</v>
      </c>
      <c r="D17" s="4" t="s">
        <v>173</v>
      </c>
      <c r="E17" s="5">
        <v>261830</v>
      </c>
      <c r="F17" s="6">
        <v>3656.45595</v>
      </c>
      <c r="G17" s="7">
        <v>2.3730243000000002E-2</v>
      </c>
      <c r="H17" s="112"/>
    </row>
    <row r="18" spans="1:8" x14ac:dyDescent="0.2">
      <c r="A18" s="3">
        <v>12</v>
      </c>
      <c r="B18" s="4" t="s">
        <v>145</v>
      </c>
      <c r="C18" s="4" t="s">
        <v>146</v>
      </c>
      <c r="D18" s="4" t="s">
        <v>147</v>
      </c>
      <c r="E18" s="5">
        <v>102039</v>
      </c>
      <c r="F18" s="6">
        <v>3406.4699759999999</v>
      </c>
      <c r="G18" s="7">
        <v>2.2107845000000001E-2</v>
      </c>
      <c r="H18" s="112"/>
    </row>
    <row r="19" spans="1:8" x14ac:dyDescent="0.2">
      <c r="A19" s="3">
        <v>13</v>
      </c>
      <c r="B19" s="4" t="s">
        <v>450</v>
      </c>
      <c r="C19" s="4" t="s">
        <v>451</v>
      </c>
      <c r="D19" s="4" t="s">
        <v>81</v>
      </c>
      <c r="E19" s="5">
        <v>483280</v>
      </c>
      <c r="F19" s="6">
        <v>3385.1347599999999</v>
      </c>
      <c r="G19" s="7">
        <v>2.1969381E-2</v>
      </c>
      <c r="H19" s="112"/>
    </row>
    <row r="20" spans="1:8" x14ac:dyDescent="0.2">
      <c r="A20" s="3">
        <v>14</v>
      </c>
      <c r="B20" s="4" t="s">
        <v>248</v>
      </c>
      <c r="C20" s="4" t="s">
        <v>249</v>
      </c>
      <c r="D20" s="4" t="s">
        <v>186</v>
      </c>
      <c r="E20" s="5">
        <v>200691</v>
      </c>
      <c r="F20" s="6">
        <v>3367.8960164999999</v>
      </c>
      <c r="G20" s="7">
        <v>2.1857502000000001E-2</v>
      </c>
      <c r="H20" s="112"/>
    </row>
    <row r="21" spans="1:8" x14ac:dyDescent="0.2">
      <c r="A21" s="3">
        <v>15</v>
      </c>
      <c r="B21" s="4" t="s">
        <v>163</v>
      </c>
      <c r="C21" s="4" t="s">
        <v>164</v>
      </c>
      <c r="D21" s="4" t="s">
        <v>162</v>
      </c>
      <c r="E21" s="5">
        <v>1039378</v>
      </c>
      <c r="F21" s="6">
        <v>3208.559886</v>
      </c>
      <c r="G21" s="7">
        <v>2.0823417E-2</v>
      </c>
      <c r="H21" s="112"/>
    </row>
    <row r="22" spans="1:8" x14ac:dyDescent="0.2">
      <c r="A22" s="3">
        <v>16</v>
      </c>
      <c r="B22" s="4" t="s">
        <v>368</v>
      </c>
      <c r="C22" s="4" t="s">
        <v>369</v>
      </c>
      <c r="D22" s="4" t="s">
        <v>71</v>
      </c>
      <c r="E22" s="5">
        <v>62113</v>
      </c>
      <c r="F22" s="6">
        <v>3101.6437114999999</v>
      </c>
      <c r="G22" s="7">
        <v>2.0129536E-2</v>
      </c>
      <c r="H22" s="112"/>
    </row>
    <row r="23" spans="1:8" x14ac:dyDescent="0.2">
      <c r="A23" s="3">
        <v>17</v>
      </c>
      <c r="B23" s="4" t="s">
        <v>210</v>
      </c>
      <c r="C23" s="4" t="s">
        <v>211</v>
      </c>
      <c r="D23" s="4" t="s">
        <v>212</v>
      </c>
      <c r="E23" s="5">
        <v>1225926</v>
      </c>
      <c r="F23" s="6">
        <v>3042.7483320000001</v>
      </c>
      <c r="G23" s="7">
        <v>1.9747306999999999E-2</v>
      </c>
      <c r="H23" s="112"/>
    </row>
    <row r="24" spans="1:8" x14ac:dyDescent="0.2">
      <c r="A24" s="3">
        <v>18</v>
      </c>
      <c r="B24" s="4" t="s">
        <v>238</v>
      </c>
      <c r="C24" s="4" t="s">
        <v>239</v>
      </c>
      <c r="D24" s="4" t="s">
        <v>186</v>
      </c>
      <c r="E24" s="5">
        <v>586262</v>
      </c>
      <c r="F24" s="6">
        <v>3023.9393960000002</v>
      </c>
      <c r="G24" s="7">
        <v>1.9625238E-2</v>
      </c>
      <c r="H24" s="112"/>
    </row>
    <row r="25" spans="1:8" x14ac:dyDescent="0.2">
      <c r="A25" s="3">
        <v>19</v>
      </c>
      <c r="B25" s="4" t="s">
        <v>154</v>
      </c>
      <c r="C25" s="4" t="s">
        <v>155</v>
      </c>
      <c r="D25" s="4" t="s">
        <v>71</v>
      </c>
      <c r="E25" s="5">
        <v>555659</v>
      </c>
      <c r="F25" s="6">
        <v>3001.1142589999999</v>
      </c>
      <c r="G25" s="7">
        <v>1.9477103999999999E-2</v>
      </c>
      <c r="H25" s="112"/>
    </row>
    <row r="26" spans="1:8" x14ac:dyDescent="0.2">
      <c r="A26" s="3">
        <v>20</v>
      </c>
      <c r="B26" s="4" t="s">
        <v>519</v>
      </c>
      <c r="C26" s="4" t="s">
        <v>520</v>
      </c>
      <c r="D26" s="4" t="s">
        <v>19</v>
      </c>
      <c r="E26" s="5">
        <v>870071</v>
      </c>
      <c r="F26" s="6">
        <v>2559.3138465000002</v>
      </c>
      <c r="G26" s="7">
        <v>1.6609837999999998E-2</v>
      </c>
      <c r="H26" s="112"/>
    </row>
    <row r="27" spans="1:8" x14ac:dyDescent="0.2">
      <c r="A27" s="3">
        <v>21</v>
      </c>
      <c r="B27" s="4" t="s">
        <v>174</v>
      </c>
      <c r="C27" s="4" t="s">
        <v>175</v>
      </c>
      <c r="D27" s="4" t="s">
        <v>162</v>
      </c>
      <c r="E27" s="5">
        <v>243425</v>
      </c>
      <c r="F27" s="6">
        <v>2555.9625000000001</v>
      </c>
      <c r="G27" s="7">
        <v>1.6588088000000001E-2</v>
      </c>
      <c r="H27" s="112"/>
    </row>
    <row r="28" spans="1:8" ht="25.5" x14ac:dyDescent="0.2">
      <c r="A28" s="3">
        <v>22</v>
      </c>
      <c r="B28" s="4" t="s">
        <v>235</v>
      </c>
      <c r="C28" s="4" t="s">
        <v>236</v>
      </c>
      <c r="D28" s="4" t="s">
        <v>192</v>
      </c>
      <c r="E28" s="5">
        <v>546642</v>
      </c>
      <c r="F28" s="6">
        <v>2497.880619</v>
      </c>
      <c r="G28" s="7">
        <v>1.6211138999999999E-2</v>
      </c>
      <c r="H28" s="112"/>
    </row>
    <row r="29" spans="1:8" ht="25.5" x14ac:dyDescent="0.2">
      <c r="A29" s="3">
        <v>23</v>
      </c>
      <c r="B29" s="4" t="s">
        <v>509</v>
      </c>
      <c r="C29" s="4" t="s">
        <v>510</v>
      </c>
      <c r="D29" s="4" t="s">
        <v>971</v>
      </c>
      <c r="E29" s="5">
        <v>159286</v>
      </c>
      <c r="F29" s="6">
        <v>2434.3679379999999</v>
      </c>
      <c r="G29" s="7">
        <v>1.5798943999999999E-2</v>
      </c>
      <c r="H29" s="112"/>
    </row>
    <row r="30" spans="1:8" x14ac:dyDescent="0.2">
      <c r="A30" s="3">
        <v>24</v>
      </c>
      <c r="B30" s="4" t="s">
        <v>69</v>
      </c>
      <c r="C30" s="4" t="s">
        <v>70</v>
      </c>
      <c r="D30" s="4" t="s">
        <v>71</v>
      </c>
      <c r="E30" s="5">
        <v>73290</v>
      </c>
      <c r="F30" s="6">
        <v>2422.7841749999998</v>
      </c>
      <c r="G30" s="7">
        <v>1.5723766E-2</v>
      </c>
      <c r="H30" s="112"/>
    </row>
    <row r="31" spans="1:8" x14ac:dyDescent="0.2">
      <c r="A31" s="3">
        <v>25</v>
      </c>
      <c r="B31" s="4" t="s">
        <v>521</v>
      </c>
      <c r="C31" s="4" t="s">
        <v>522</v>
      </c>
      <c r="D31" s="4" t="s">
        <v>162</v>
      </c>
      <c r="E31" s="5">
        <v>593075</v>
      </c>
      <c r="F31" s="6">
        <v>2410.5533375</v>
      </c>
      <c r="G31" s="7">
        <v>1.5644389000000002E-2</v>
      </c>
      <c r="H31" s="112"/>
    </row>
    <row r="32" spans="1:8" ht="25.5" x14ac:dyDescent="0.2">
      <c r="A32" s="3">
        <v>26</v>
      </c>
      <c r="B32" s="4" t="s">
        <v>37</v>
      </c>
      <c r="C32" s="4" t="s">
        <v>38</v>
      </c>
      <c r="D32" s="4" t="s">
        <v>971</v>
      </c>
      <c r="E32" s="5">
        <v>72630</v>
      </c>
      <c r="F32" s="6">
        <v>2408.229225</v>
      </c>
      <c r="G32" s="7">
        <v>1.5629305E-2</v>
      </c>
      <c r="H32" s="112"/>
    </row>
    <row r="33" spans="1:8" x14ac:dyDescent="0.2">
      <c r="A33" s="3">
        <v>27</v>
      </c>
      <c r="B33" s="4" t="s">
        <v>205</v>
      </c>
      <c r="C33" s="4" t="s">
        <v>206</v>
      </c>
      <c r="D33" s="4" t="s">
        <v>975</v>
      </c>
      <c r="E33" s="5">
        <v>275421</v>
      </c>
      <c r="F33" s="6">
        <v>2386.1098335000001</v>
      </c>
      <c r="G33" s="7">
        <v>1.5485751000000001E-2</v>
      </c>
      <c r="H33" s="112"/>
    </row>
    <row r="34" spans="1:8" x14ac:dyDescent="0.2">
      <c r="A34" s="3">
        <v>28</v>
      </c>
      <c r="B34" s="4" t="s">
        <v>523</v>
      </c>
      <c r="C34" s="4" t="s">
        <v>524</v>
      </c>
      <c r="D34" s="4" t="s">
        <v>147</v>
      </c>
      <c r="E34" s="5">
        <v>197214</v>
      </c>
      <c r="F34" s="6">
        <v>2341.6204290000001</v>
      </c>
      <c r="G34" s="7">
        <v>1.5197017E-2</v>
      </c>
      <c r="H34" s="112"/>
    </row>
    <row r="35" spans="1:8" x14ac:dyDescent="0.2">
      <c r="A35" s="3">
        <v>29</v>
      </c>
      <c r="B35" s="4" t="s">
        <v>74</v>
      </c>
      <c r="C35" s="4" t="s">
        <v>75</v>
      </c>
      <c r="D35" s="4" t="s">
        <v>71</v>
      </c>
      <c r="E35" s="5">
        <v>600000</v>
      </c>
      <c r="F35" s="6">
        <v>2313.9</v>
      </c>
      <c r="G35" s="7">
        <v>1.5017113E-2</v>
      </c>
      <c r="H35" s="112"/>
    </row>
    <row r="36" spans="1:8" x14ac:dyDescent="0.2">
      <c r="A36" s="3">
        <v>30</v>
      </c>
      <c r="B36" s="4" t="s">
        <v>525</v>
      </c>
      <c r="C36" s="4" t="s">
        <v>526</v>
      </c>
      <c r="D36" s="4" t="s">
        <v>237</v>
      </c>
      <c r="E36" s="5">
        <v>605404</v>
      </c>
      <c r="F36" s="6">
        <v>2238.1785880000002</v>
      </c>
      <c r="G36" s="7">
        <v>1.4525684000000001E-2</v>
      </c>
      <c r="H36" s="112"/>
    </row>
    <row r="37" spans="1:8" x14ac:dyDescent="0.2">
      <c r="A37" s="3">
        <v>31</v>
      </c>
      <c r="B37" s="4" t="s">
        <v>527</v>
      </c>
      <c r="C37" s="4" t="s">
        <v>528</v>
      </c>
      <c r="D37" s="4" t="s">
        <v>34</v>
      </c>
      <c r="E37" s="5">
        <v>466310</v>
      </c>
      <c r="F37" s="6">
        <v>2227.3297149999999</v>
      </c>
      <c r="G37" s="7">
        <v>1.4455275E-2</v>
      </c>
      <c r="H37" s="112"/>
    </row>
    <row r="38" spans="1:8" x14ac:dyDescent="0.2">
      <c r="A38" s="3">
        <v>32</v>
      </c>
      <c r="B38" s="4" t="s">
        <v>223</v>
      </c>
      <c r="C38" s="4" t="s">
        <v>224</v>
      </c>
      <c r="D38" s="4" t="s">
        <v>27</v>
      </c>
      <c r="E38" s="5">
        <v>123319</v>
      </c>
      <c r="F38" s="6">
        <v>2217.2139605000002</v>
      </c>
      <c r="G38" s="7">
        <v>1.4389624E-2</v>
      </c>
      <c r="H38" s="112"/>
    </row>
    <row r="39" spans="1:8" ht="25.5" x14ac:dyDescent="0.2">
      <c r="A39" s="3">
        <v>33</v>
      </c>
      <c r="B39" s="4" t="s">
        <v>529</v>
      </c>
      <c r="C39" s="4" t="s">
        <v>530</v>
      </c>
      <c r="D39" s="4" t="s">
        <v>192</v>
      </c>
      <c r="E39" s="5">
        <v>670786</v>
      </c>
      <c r="F39" s="6">
        <v>2193.1348269999999</v>
      </c>
      <c r="G39" s="7">
        <v>1.4233351999999999E-2</v>
      </c>
      <c r="H39" s="112"/>
    </row>
    <row r="40" spans="1:8" x14ac:dyDescent="0.2">
      <c r="A40" s="3">
        <v>34</v>
      </c>
      <c r="B40" s="4" t="s">
        <v>269</v>
      </c>
      <c r="C40" s="4" t="s">
        <v>270</v>
      </c>
      <c r="D40" s="4" t="s">
        <v>186</v>
      </c>
      <c r="E40" s="5">
        <v>40215</v>
      </c>
      <c r="F40" s="6">
        <v>2181.1610624999998</v>
      </c>
      <c r="G40" s="7">
        <v>1.4155642E-2</v>
      </c>
      <c r="H40" s="112"/>
    </row>
    <row r="41" spans="1:8" x14ac:dyDescent="0.2">
      <c r="A41" s="3">
        <v>35</v>
      </c>
      <c r="B41" s="4" t="s">
        <v>531</v>
      </c>
      <c r="C41" s="4" t="s">
        <v>532</v>
      </c>
      <c r="D41" s="4" t="s">
        <v>71</v>
      </c>
      <c r="E41" s="5">
        <v>167736</v>
      </c>
      <c r="F41" s="6">
        <v>2048.4758999999999</v>
      </c>
      <c r="G41" s="7">
        <v>1.3294521E-2</v>
      </c>
      <c r="H41" s="112"/>
    </row>
    <row r="42" spans="1:8" x14ac:dyDescent="0.2">
      <c r="A42" s="3">
        <v>36</v>
      </c>
      <c r="B42" s="4" t="s">
        <v>62</v>
      </c>
      <c r="C42" s="4" t="s">
        <v>63</v>
      </c>
      <c r="D42" s="4" t="s">
        <v>64</v>
      </c>
      <c r="E42" s="5">
        <v>1129503</v>
      </c>
      <c r="F42" s="6">
        <v>1856.3381804999999</v>
      </c>
      <c r="G42" s="7">
        <v>1.2047555999999999E-2</v>
      </c>
      <c r="H42" s="112"/>
    </row>
    <row r="43" spans="1:8" x14ac:dyDescent="0.2">
      <c r="A43" s="3">
        <v>37</v>
      </c>
      <c r="B43" s="4" t="s">
        <v>533</v>
      </c>
      <c r="C43" s="4" t="s">
        <v>534</v>
      </c>
      <c r="D43" s="4" t="s">
        <v>977</v>
      </c>
      <c r="E43" s="5">
        <v>3249123</v>
      </c>
      <c r="F43" s="6">
        <v>1770.772035</v>
      </c>
      <c r="G43" s="7">
        <v>1.1492235E-2</v>
      </c>
      <c r="H43" s="112"/>
    </row>
    <row r="44" spans="1:8" x14ac:dyDescent="0.2">
      <c r="A44" s="3">
        <v>38</v>
      </c>
      <c r="B44" s="4" t="s">
        <v>281</v>
      </c>
      <c r="C44" s="4" t="s">
        <v>282</v>
      </c>
      <c r="D44" s="4" t="s">
        <v>334</v>
      </c>
      <c r="E44" s="5">
        <v>215000</v>
      </c>
      <c r="F44" s="6">
        <v>1714.7325000000001</v>
      </c>
      <c r="G44" s="7">
        <v>1.1128541E-2</v>
      </c>
      <c r="H44" s="112"/>
    </row>
    <row r="45" spans="1:8" x14ac:dyDescent="0.2">
      <c r="A45" s="3">
        <v>39</v>
      </c>
      <c r="B45" s="4" t="s">
        <v>291</v>
      </c>
      <c r="C45" s="4" t="s">
        <v>292</v>
      </c>
      <c r="D45" s="4" t="s">
        <v>27</v>
      </c>
      <c r="E45" s="5">
        <v>484687</v>
      </c>
      <c r="F45" s="6">
        <v>1671.685463</v>
      </c>
      <c r="G45" s="7">
        <v>1.0849167E-2</v>
      </c>
      <c r="H45" s="112"/>
    </row>
    <row r="46" spans="1:8" x14ac:dyDescent="0.2">
      <c r="A46" s="3">
        <v>40</v>
      </c>
      <c r="B46" s="4" t="s">
        <v>256</v>
      </c>
      <c r="C46" s="4" t="s">
        <v>257</v>
      </c>
      <c r="D46" s="4" t="s">
        <v>186</v>
      </c>
      <c r="E46" s="5">
        <v>322636</v>
      </c>
      <c r="F46" s="6">
        <v>1640.926696</v>
      </c>
      <c r="G46" s="7">
        <v>1.0649544E-2</v>
      </c>
      <c r="H46" s="112"/>
    </row>
    <row r="47" spans="1:8" x14ac:dyDescent="0.2">
      <c r="A47" s="3">
        <v>41</v>
      </c>
      <c r="B47" s="4" t="s">
        <v>79</v>
      </c>
      <c r="C47" s="4" t="s">
        <v>80</v>
      </c>
      <c r="D47" s="4" t="s">
        <v>81</v>
      </c>
      <c r="E47" s="5">
        <v>611312</v>
      </c>
      <c r="F47" s="6">
        <v>1633.7313200000001</v>
      </c>
      <c r="G47" s="7">
        <v>1.0602847E-2</v>
      </c>
      <c r="H47" s="112"/>
    </row>
    <row r="48" spans="1:8" ht="25.5" x14ac:dyDescent="0.2">
      <c r="A48" s="3">
        <v>42</v>
      </c>
      <c r="B48" s="4" t="s">
        <v>190</v>
      </c>
      <c r="C48" s="4" t="s">
        <v>191</v>
      </c>
      <c r="D48" s="4" t="s">
        <v>192</v>
      </c>
      <c r="E48" s="5">
        <v>311384</v>
      </c>
      <c r="F48" s="6">
        <v>1629.005396</v>
      </c>
      <c r="G48" s="7">
        <v>1.0572176000000001E-2</v>
      </c>
      <c r="H48" s="112"/>
    </row>
    <row r="49" spans="1:8" x14ac:dyDescent="0.2">
      <c r="A49" s="3">
        <v>43</v>
      </c>
      <c r="B49" s="4" t="s">
        <v>65</v>
      </c>
      <c r="C49" s="4" t="s">
        <v>66</v>
      </c>
      <c r="D49" s="4" t="s">
        <v>64</v>
      </c>
      <c r="E49" s="5">
        <v>350000</v>
      </c>
      <c r="F49" s="6">
        <v>1624.5250000000001</v>
      </c>
      <c r="G49" s="7">
        <v>1.0543098000000001E-2</v>
      </c>
      <c r="H49" s="112"/>
    </row>
    <row r="50" spans="1:8" x14ac:dyDescent="0.2">
      <c r="A50" s="3">
        <v>44</v>
      </c>
      <c r="B50" s="4" t="s">
        <v>535</v>
      </c>
      <c r="C50" s="4" t="s">
        <v>536</v>
      </c>
      <c r="D50" s="4" t="s">
        <v>189</v>
      </c>
      <c r="E50" s="5">
        <v>94501</v>
      </c>
      <c r="F50" s="6">
        <v>1581.4742349999999</v>
      </c>
      <c r="G50" s="7">
        <v>1.0263700000000001E-2</v>
      </c>
      <c r="H50" s="112"/>
    </row>
    <row r="51" spans="1:8" x14ac:dyDescent="0.2">
      <c r="A51" s="3">
        <v>45</v>
      </c>
      <c r="B51" s="4" t="s">
        <v>72</v>
      </c>
      <c r="C51" s="4" t="s">
        <v>73</v>
      </c>
      <c r="D51" s="4" t="s">
        <v>53</v>
      </c>
      <c r="E51" s="5">
        <v>189736</v>
      </c>
      <c r="F51" s="6">
        <v>1518.077736</v>
      </c>
      <c r="G51" s="7">
        <v>9.8522599999999998E-3</v>
      </c>
      <c r="H51" s="112"/>
    </row>
    <row r="52" spans="1:8" x14ac:dyDescent="0.2">
      <c r="A52" s="3">
        <v>46</v>
      </c>
      <c r="B52" s="4" t="s">
        <v>537</v>
      </c>
      <c r="C52" s="4" t="s">
        <v>538</v>
      </c>
      <c r="D52" s="4" t="s">
        <v>147</v>
      </c>
      <c r="E52" s="5">
        <v>181328</v>
      </c>
      <c r="F52" s="6">
        <v>1455.7918480000001</v>
      </c>
      <c r="G52" s="7">
        <v>9.4480269999999995E-3</v>
      </c>
      <c r="H52" s="112"/>
    </row>
    <row r="53" spans="1:8" x14ac:dyDescent="0.2">
      <c r="A53" s="3">
        <v>47</v>
      </c>
      <c r="B53" s="4" t="s">
        <v>275</v>
      </c>
      <c r="C53" s="4" t="s">
        <v>276</v>
      </c>
      <c r="D53" s="4" t="s">
        <v>162</v>
      </c>
      <c r="E53" s="5">
        <v>342266</v>
      </c>
      <c r="F53" s="6">
        <v>1417.323506</v>
      </c>
      <c r="G53" s="7">
        <v>9.1983689999999996E-3</v>
      </c>
      <c r="H53" s="112"/>
    </row>
    <row r="54" spans="1:8" x14ac:dyDescent="0.2">
      <c r="A54" s="3">
        <v>48</v>
      </c>
      <c r="B54" s="4" t="s">
        <v>225</v>
      </c>
      <c r="C54" s="4" t="s">
        <v>226</v>
      </c>
      <c r="D54" s="4" t="s">
        <v>71</v>
      </c>
      <c r="E54" s="5">
        <v>169950</v>
      </c>
      <c r="F54" s="6">
        <v>1413.3042</v>
      </c>
      <c r="G54" s="7">
        <v>9.1722839999999993E-3</v>
      </c>
      <c r="H54" s="112"/>
    </row>
    <row r="55" spans="1:8" x14ac:dyDescent="0.2">
      <c r="A55" s="3">
        <v>49</v>
      </c>
      <c r="B55" s="4" t="s">
        <v>539</v>
      </c>
      <c r="C55" s="4" t="s">
        <v>540</v>
      </c>
      <c r="D55" s="4" t="s">
        <v>71</v>
      </c>
      <c r="E55" s="5">
        <v>12190</v>
      </c>
      <c r="F55" s="6">
        <v>1333.2263949999999</v>
      </c>
      <c r="G55" s="7">
        <v>8.6525830000000001E-3</v>
      </c>
      <c r="H55" s="112"/>
    </row>
    <row r="56" spans="1:8" x14ac:dyDescent="0.2">
      <c r="A56" s="3">
        <v>50</v>
      </c>
      <c r="B56" s="4" t="s">
        <v>541</v>
      </c>
      <c r="C56" s="4" t="s">
        <v>542</v>
      </c>
      <c r="D56" s="4" t="s">
        <v>71</v>
      </c>
      <c r="E56" s="5">
        <v>169897</v>
      </c>
      <c r="F56" s="6">
        <v>1299.5421530000001</v>
      </c>
      <c r="G56" s="7">
        <v>8.4339730000000009E-3</v>
      </c>
      <c r="H56" s="112"/>
    </row>
    <row r="57" spans="1:8" x14ac:dyDescent="0.2">
      <c r="A57" s="3">
        <v>51</v>
      </c>
      <c r="B57" s="4" t="s">
        <v>264</v>
      </c>
      <c r="C57" s="4" t="s">
        <v>265</v>
      </c>
      <c r="D57" s="4" t="s">
        <v>266</v>
      </c>
      <c r="E57" s="5">
        <v>520000</v>
      </c>
      <c r="F57" s="6">
        <v>1193.6600000000001</v>
      </c>
      <c r="G57" s="7">
        <v>7.746803E-3</v>
      </c>
      <c r="H57" s="112"/>
    </row>
    <row r="58" spans="1:8" ht="25.5" x14ac:dyDescent="0.2">
      <c r="A58" s="3">
        <v>52</v>
      </c>
      <c r="B58" s="4" t="s">
        <v>229</v>
      </c>
      <c r="C58" s="4" t="s">
        <v>230</v>
      </c>
      <c r="D58" s="4" t="s">
        <v>71</v>
      </c>
      <c r="E58" s="5">
        <v>52141</v>
      </c>
      <c r="F58" s="6">
        <v>1080.88293</v>
      </c>
      <c r="G58" s="7">
        <v>7.0148839999999999E-3</v>
      </c>
      <c r="H58" s="112"/>
    </row>
    <row r="59" spans="1:8" x14ac:dyDescent="0.2">
      <c r="A59" s="3">
        <v>53</v>
      </c>
      <c r="B59" s="4" t="s">
        <v>543</v>
      </c>
      <c r="C59" s="4" t="s">
        <v>544</v>
      </c>
      <c r="D59" s="4" t="s">
        <v>27</v>
      </c>
      <c r="E59" s="5">
        <v>491611</v>
      </c>
      <c r="F59" s="6">
        <v>991.579387</v>
      </c>
      <c r="G59" s="7">
        <v>6.4353079999999998E-3</v>
      </c>
      <c r="H59" s="112"/>
    </row>
    <row r="60" spans="1:8" x14ac:dyDescent="0.2">
      <c r="A60" s="3">
        <v>54</v>
      </c>
      <c r="B60" s="4" t="s">
        <v>545</v>
      </c>
      <c r="C60" s="4" t="s">
        <v>546</v>
      </c>
      <c r="D60" s="4" t="s">
        <v>976</v>
      </c>
      <c r="E60" s="5">
        <v>36660</v>
      </c>
      <c r="F60" s="6">
        <v>972.25986</v>
      </c>
      <c r="G60" s="7">
        <v>6.3099250000000001E-3</v>
      </c>
      <c r="H60" s="112"/>
    </row>
    <row r="61" spans="1:8" x14ac:dyDescent="0.2">
      <c r="A61" s="3">
        <v>55</v>
      </c>
      <c r="B61" s="4" t="s">
        <v>547</v>
      </c>
      <c r="C61" s="4" t="s">
        <v>548</v>
      </c>
      <c r="D61" s="4" t="s">
        <v>974</v>
      </c>
      <c r="E61" s="5">
        <v>31067</v>
      </c>
      <c r="F61" s="6">
        <v>935.76910699999996</v>
      </c>
      <c r="G61" s="7">
        <v>6.0731020000000004E-3</v>
      </c>
      <c r="H61" s="112"/>
    </row>
    <row r="62" spans="1:8" ht="25.5" x14ac:dyDescent="0.2">
      <c r="A62" s="3">
        <v>56</v>
      </c>
      <c r="B62" s="4" t="s">
        <v>335</v>
      </c>
      <c r="C62" s="4" t="s">
        <v>336</v>
      </c>
      <c r="D62" s="4" t="s">
        <v>71</v>
      </c>
      <c r="E62" s="5">
        <v>192724</v>
      </c>
      <c r="F62" s="6">
        <v>897.32294400000001</v>
      </c>
      <c r="G62" s="7">
        <v>5.8235880000000002E-3</v>
      </c>
      <c r="H62" s="112"/>
    </row>
    <row r="63" spans="1:8" x14ac:dyDescent="0.2">
      <c r="A63" s="3">
        <v>57</v>
      </c>
      <c r="B63" s="4" t="s">
        <v>549</v>
      </c>
      <c r="C63" s="4" t="s">
        <v>550</v>
      </c>
      <c r="D63" s="4" t="s">
        <v>173</v>
      </c>
      <c r="E63" s="5">
        <v>33457</v>
      </c>
      <c r="F63" s="6">
        <v>879.55107299999997</v>
      </c>
      <c r="G63" s="7">
        <v>5.7082490000000003E-3</v>
      </c>
      <c r="H63" s="112"/>
    </row>
    <row r="64" spans="1:8" x14ac:dyDescent="0.2">
      <c r="A64" s="3">
        <v>58</v>
      </c>
      <c r="B64" s="4" t="s">
        <v>551</v>
      </c>
      <c r="C64" s="4" t="s">
        <v>552</v>
      </c>
      <c r="D64" s="4" t="s">
        <v>974</v>
      </c>
      <c r="E64" s="5">
        <v>84421</v>
      </c>
      <c r="F64" s="6">
        <v>874.17945499999996</v>
      </c>
      <c r="G64" s="7">
        <v>5.6733870000000002E-3</v>
      </c>
      <c r="H64" s="112"/>
    </row>
    <row r="65" spans="1:8" x14ac:dyDescent="0.2">
      <c r="A65" s="3">
        <v>59</v>
      </c>
      <c r="B65" s="4" t="s">
        <v>553</v>
      </c>
      <c r="C65" s="4" t="s">
        <v>554</v>
      </c>
      <c r="D65" s="4" t="s">
        <v>19</v>
      </c>
      <c r="E65" s="5">
        <v>444529</v>
      </c>
      <c r="F65" s="6">
        <v>765.03440899999998</v>
      </c>
      <c r="G65" s="7">
        <v>4.9650409999999999E-3</v>
      </c>
      <c r="H65" s="112"/>
    </row>
    <row r="66" spans="1:8" x14ac:dyDescent="0.2">
      <c r="A66" s="3">
        <v>60</v>
      </c>
      <c r="B66" s="4" t="s">
        <v>184</v>
      </c>
      <c r="C66" s="4" t="s">
        <v>185</v>
      </c>
      <c r="D66" s="4" t="s">
        <v>186</v>
      </c>
      <c r="E66" s="5">
        <v>151791</v>
      </c>
      <c r="F66" s="6">
        <v>707.19426899999996</v>
      </c>
      <c r="G66" s="7">
        <v>4.5896610000000001E-3</v>
      </c>
      <c r="H66" s="112"/>
    </row>
    <row r="67" spans="1:8" x14ac:dyDescent="0.2">
      <c r="A67" s="3">
        <v>61</v>
      </c>
      <c r="B67" s="4" t="s">
        <v>555</v>
      </c>
      <c r="C67" s="4" t="s">
        <v>556</v>
      </c>
      <c r="D67" s="4" t="s">
        <v>186</v>
      </c>
      <c r="E67" s="5">
        <v>63554</v>
      </c>
      <c r="F67" s="6">
        <v>651.55560800000001</v>
      </c>
      <c r="G67" s="7">
        <v>4.2285680000000003E-3</v>
      </c>
      <c r="H67" s="112"/>
    </row>
    <row r="68" spans="1:8" x14ac:dyDescent="0.2">
      <c r="A68" s="3">
        <v>62</v>
      </c>
      <c r="B68" s="4" t="s">
        <v>48</v>
      </c>
      <c r="C68" s="4" t="s">
        <v>49</v>
      </c>
      <c r="D68" s="4" t="s">
        <v>50</v>
      </c>
      <c r="E68" s="5">
        <v>58005</v>
      </c>
      <c r="F68" s="6">
        <v>375.9594075</v>
      </c>
      <c r="G68" s="7">
        <v>2.439961E-3</v>
      </c>
      <c r="H68" s="112"/>
    </row>
    <row r="69" spans="1:8" x14ac:dyDescent="0.2">
      <c r="A69" s="3">
        <v>63</v>
      </c>
      <c r="B69" s="4" t="s">
        <v>201</v>
      </c>
      <c r="C69" s="4" t="s">
        <v>202</v>
      </c>
      <c r="D69" s="4" t="s">
        <v>147</v>
      </c>
      <c r="E69" s="5">
        <v>24254</v>
      </c>
      <c r="F69" s="6">
        <v>343.14559200000002</v>
      </c>
      <c r="G69" s="7">
        <v>2.2269999999999998E-3</v>
      </c>
      <c r="H69" s="112"/>
    </row>
    <row r="70" spans="1:8" x14ac:dyDescent="0.2">
      <c r="A70" s="3">
        <v>64</v>
      </c>
      <c r="B70" s="4" t="s">
        <v>557</v>
      </c>
      <c r="C70" s="4" t="s">
        <v>558</v>
      </c>
      <c r="D70" s="4" t="s">
        <v>237</v>
      </c>
      <c r="E70" s="5">
        <v>200000</v>
      </c>
      <c r="F70" s="6">
        <v>263.89999999999998</v>
      </c>
      <c r="G70" s="7">
        <v>1.7126999999999999E-3</v>
      </c>
      <c r="H70" s="112"/>
    </row>
    <row r="71" spans="1:8" x14ac:dyDescent="0.2">
      <c r="A71" s="3">
        <v>65</v>
      </c>
      <c r="B71" s="4" t="s">
        <v>559</v>
      </c>
      <c r="C71" s="4" t="s">
        <v>560</v>
      </c>
      <c r="D71" s="4" t="s">
        <v>974</v>
      </c>
      <c r="E71" s="5">
        <v>16923</v>
      </c>
      <c r="F71" s="6">
        <v>228.99357449999999</v>
      </c>
      <c r="G71" s="7">
        <v>1.4861589999999999E-3</v>
      </c>
      <c r="H71" s="112"/>
    </row>
    <row r="72" spans="1:8" x14ac:dyDescent="0.2">
      <c r="A72" s="1"/>
      <c r="B72" s="1"/>
      <c r="C72" s="2" t="s">
        <v>97</v>
      </c>
      <c r="D72" s="1"/>
      <c r="E72" s="1" t="s">
        <v>98</v>
      </c>
      <c r="F72" s="9">
        <v>146671.95991901899</v>
      </c>
      <c r="G72" s="10">
        <v>0.951894778</v>
      </c>
      <c r="H72" s="112"/>
    </row>
    <row r="73" spans="1:8" x14ac:dyDescent="0.2">
      <c r="A73" s="1"/>
      <c r="B73" s="1"/>
      <c r="C73" s="11"/>
      <c r="D73" s="1"/>
      <c r="E73" s="1"/>
      <c r="F73" s="12"/>
      <c r="G73" s="12"/>
      <c r="H73" s="112"/>
    </row>
    <row r="74" spans="1:8" x14ac:dyDescent="0.2">
      <c r="A74" s="1"/>
      <c r="B74" s="1"/>
      <c r="C74" s="2" t="s">
        <v>99</v>
      </c>
      <c r="D74" s="1"/>
      <c r="E74" s="1"/>
      <c r="F74" s="1"/>
      <c r="G74" s="1"/>
      <c r="H74" s="112"/>
    </row>
    <row r="75" spans="1:8" x14ac:dyDescent="0.2">
      <c r="A75" s="1"/>
      <c r="B75" s="1"/>
      <c r="C75" s="2" t="s">
        <v>97</v>
      </c>
      <c r="D75" s="1"/>
      <c r="E75" s="1" t="s">
        <v>98</v>
      </c>
      <c r="F75" s="13">
        <v>0</v>
      </c>
      <c r="G75" s="14">
        <v>0</v>
      </c>
      <c r="H75" s="112"/>
    </row>
    <row r="76" spans="1:8" x14ac:dyDescent="0.2">
      <c r="A76" s="1"/>
      <c r="B76" s="1"/>
      <c r="C76" s="11"/>
      <c r="D76" s="1"/>
      <c r="E76" s="1"/>
      <c r="F76" s="12"/>
      <c r="G76" s="12"/>
      <c r="H76" s="112"/>
    </row>
    <row r="77" spans="1:8" x14ac:dyDescent="0.2">
      <c r="A77" s="1"/>
      <c r="B77" s="1"/>
      <c r="C77" s="2" t="s">
        <v>100</v>
      </c>
      <c r="D77" s="1"/>
      <c r="E77" s="1"/>
      <c r="F77" s="1"/>
      <c r="G77" s="1"/>
      <c r="H77" s="112"/>
    </row>
    <row r="78" spans="1:8" x14ac:dyDescent="0.2">
      <c r="A78" s="3"/>
      <c r="B78" s="4" t="s">
        <v>94</v>
      </c>
      <c r="C78" s="70" t="s">
        <v>875</v>
      </c>
      <c r="D78" s="4" t="s">
        <v>95</v>
      </c>
      <c r="E78" s="5">
        <v>375961</v>
      </c>
      <c r="F78" s="6">
        <v>7.5190000000000003E-6</v>
      </c>
      <c r="G78" s="8" t="s">
        <v>96</v>
      </c>
      <c r="H78" s="112"/>
    </row>
    <row r="79" spans="1:8" x14ac:dyDescent="0.2">
      <c r="A79" s="1"/>
      <c r="B79" s="1"/>
      <c r="C79" s="2" t="s">
        <v>97</v>
      </c>
      <c r="D79" s="1"/>
      <c r="E79" s="1" t="s">
        <v>98</v>
      </c>
      <c r="F79" s="13">
        <v>0</v>
      </c>
      <c r="G79" s="14">
        <v>0</v>
      </c>
      <c r="H79" s="112"/>
    </row>
    <row r="80" spans="1:8" x14ac:dyDescent="0.2">
      <c r="A80" s="1"/>
      <c r="B80" s="1"/>
      <c r="C80" s="11"/>
      <c r="D80" s="1"/>
      <c r="E80" s="1"/>
      <c r="F80" s="12"/>
      <c r="G80" s="12"/>
      <c r="H80" s="112"/>
    </row>
    <row r="81" spans="1:8" x14ac:dyDescent="0.2">
      <c r="A81" s="1"/>
      <c r="B81" s="1"/>
      <c r="C81" s="2" t="s">
        <v>101</v>
      </c>
      <c r="D81" s="1"/>
      <c r="E81" s="1"/>
      <c r="F81" s="1"/>
      <c r="G81" s="1"/>
      <c r="H81" s="112"/>
    </row>
    <row r="82" spans="1:8" x14ac:dyDescent="0.2">
      <c r="A82" s="1"/>
      <c r="B82" s="1"/>
      <c r="C82" s="2" t="s">
        <v>97</v>
      </c>
      <c r="D82" s="1"/>
      <c r="E82" s="1" t="s">
        <v>98</v>
      </c>
      <c r="F82" s="13">
        <v>0</v>
      </c>
      <c r="G82" s="14">
        <v>0</v>
      </c>
      <c r="H82" s="112"/>
    </row>
    <row r="83" spans="1:8" x14ac:dyDescent="0.2">
      <c r="A83" s="1"/>
      <c r="B83" s="1"/>
      <c r="C83" s="11"/>
      <c r="D83" s="1"/>
      <c r="E83" s="1"/>
      <c r="F83" s="12"/>
      <c r="G83" s="12"/>
      <c r="H83" s="112"/>
    </row>
    <row r="84" spans="1:8" x14ac:dyDescent="0.2">
      <c r="A84" s="1"/>
      <c r="B84" s="1"/>
      <c r="C84" s="2" t="s">
        <v>102</v>
      </c>
      <c r="D84" s="1"/>
      <c r="E84" s="1"/>
      <c r="F84" s="12"/>
      <c r="G84" s="12"/>
      <c r="H84" s="112"/>
    </row>
    <row r="85" spans="1:8" x14ac:dyDescent="0.2">
      <c r="A85" s="1"/>
      <c r="B85" s="1"/>
      <c r="C85" s="2" t="s">
        <v>97</v>
      </c>
      <c r="D85" s="1"/>
      <c r="E85" s="1" t="s">
        <v>98</v>
      </c>
      <c r="F85" s="13">
        <v>0</v>
      </c>
      <c r="G85" s="14">
        <v>0</v>
      </c>
      <c r="H85" s="112"/>
    </row>
    <row r="86" spans="1:8" x14ac:dyDescent="0.2">
      <c r="A86" s="1"/>
      <c r="B86" s="1"/>
      <c r="C86" s="11"/>
      <c r="D86" s="1"/>
      <c r="E86" s="1"/>
      <c r="F86" s="12"/>
      <c r="G86" s="12"/>
      <c r="H86" s="112"/>
    </row>
    <row r="87" spans="1:8" x14ac:dyDescent="0.2">
      <c r="A87" s="1"/>
      <c r="B87" s="1"/>
      <c r="C87" s="2" t="s">
        <v>103</v>
      </c>
      <c r="D87" s="1"/>
      <c r="E87" s="1"/>
      <c r="F87" s="12"/>
      <c r="G87" s="12"/>
      <c r="H87" s="112"/>
    </row>
    <row r="88" spans="1:8" x14ac:dyDescent="0.2">
      <c r="A88" s="1"/>
      <c r="B88" s="1"/>
      <c r="C88" s="2" t="s">
        <v>97</v>
      </c>
      <c r="D88" s="1"/>
      <c r="E88" s="1" t="s">
        <v>98</v>
      </c>
      <c r="F88" s="13">
        <v>0</v>
      </c>
      <c r="G88" s="14">
        <v>0</v>
      </c>
      <c r="H88" s="112"/>
    </row>
    <row r="89" spans="1:8" x14ac:dyDescent="0.2">
      <c r="A89" s="1"/>
      <c r="B89" s="1"/>
      <c r="C89" s="11"/>
      <c r="D89" s="1"/>
      <c r="E89" s="1"/>
      <c r="F89" s="12"/>
      <c r="G89" s="12"/>
      <c r="H89" s="112"/>
    </row>
    <row r="90" spans="1:8" x14ac:dyDescent="0.2">
      <c r="A90" s="1"/>
      <c r="B90" s="1"/>
      <c r="C90" s="2" t="s">
        <v>104</v>
      </c>
      <c r="D90" s="1"/>
      <c r="E90" s="1"/>
      <c r="F90" s="9">
        <v>146671.95991901899</v>
      </c>
      <c r="G90" s="10">
        <v>0.951894778</v>
      </c>
      <c r="H90" s="112"/>
    </row>
    <row r="91" spans="1:8" x14ac:dyDescent="0.2">
      <c r="A91" s="1"/>
      <c r="B91" s="1"/>
      <c r="C91" s="11"/>
      <c r="D91" s="1"/>
      <c r="E91" s="1"/>
      <c r="F91" s="12"/>
      <c r="G91" s="12"/>
      <c r="H91" s="112"/>
    </row>
    <row r="92" spans="1:8" x14ac:dyDescent="0.2">
      <c r="A92" s="1"/>
      <c r="B92" s="1"/>
      <c r="C92" s="2" t="s">
        <v>105</v>
      </c>
      <c r="D92" s="1"/>
      <c r="E92" s="1"/>
      <c r="F92" s="12"/>
      <c r="G92" s="12"/>
      <c r="H92" s="112"/>
    </row>
    <row r="93" spans="1:8" ht="25.5" x14ac:dyDescent="0.2">
      <c r="A93" s="1"/>
      <c r="B93" s="1"/>
      <c r="C93" s="2" t="s">
        <v>10</v>
      </c>
      <c r="D93" s="1"/>
      <c r="E93" s="1"/>
      <c r="F93" s="12"/>
      <c r="G93" s="12"/>
      <c r="H93" s="112"/>
    </row>
    <row r="94" spans="1:8" x14ac:dyDescent="0.2">
      <c r="A94" s="1"/>
      <c r="B94" s="1"/>
      <c r="C94" s="2" t="s">
        <v>97</v>
      </c>
      <c r="D94" s="1"/>
      <c r="E94" s="1" t="s">
        <v>98</v>
      </c>
      <c r="F94" s="13">
        <v>0</v>
      </c>
      <c r="G94" s="14">
        <v>0</v>
      </c>
      <c r="H94" s="112"/>
    </row>
    <row r="95" spans="1:8" x14ac:dyDescent="0.2">
      <c r="A95" s="1"/>
      <c r="B95" s="1"/>
      <c r="C95" s="11"/>
      <c r="D95" s="1"/>
      <c r="E95" s="1"/>
      <c r="F95" s="12"/>
      <c r="G95" s="12"/>
      <c r="H95" s="112"/>
    </row>
    <row r="96" spans="1:8" x14ac:dyDescent="0.2">
      <c r="A96" s="1"/>
      <c r="B96" s="1"/>
      <c r="C96" s="2" t="s">
        <v>106</v>
      </c>
      <c r="D96" s="1"/>
      <c r="E96" s="1"/>
      <c r="F96" s="1"/>
      <c r="G96" s="1"/>
      <c r="H96" s="112"/>
    </row>
    <row r="97" spans="1:8" x14ac:dyDescent="0.2">
      <c r="A97" s="1"/>
      <c r="B97" s="1"/>
      <c r="C97" s="2" t="s">
        <v>97</v>
      </c>
      <c r="D97" s="1"/>
      <c r="E97" s="1" t="s">
        <v>98</v>
      </c>
      <c r="F97" s="13">
        <v>0</v>
      </c>
      <c r="G97" s="14">
        <v>0</v>
      </c>
      <c r="H97" s="112"/>
    </row>
    <row r="98" spans="1:8" x14ac:dyDescent="0.2">
      <c r="A98" s="1"/>
      <c r="B98" s="1"/>
      <c r="C98" s="11"/>
      <c r="D98" s="1"/>
      <c r="E98" s="1"/>
      <c r="F98" s="12"/>
      <c r="G98" s="12"/>
      <c r="H98" s="112"/>
    </row>
    <row r="99" spans="1:8" x14ac:dyDescent="0.2">
      <c r="A99" s="1"/>
      <c r="B99" s="1"/>
      <c r="C99" s="2" t="s">
        <v>107</v>
      </c>
      <c r="D99" s="1"/>
      <c r="E99" s="1"/>
      <c r="F99" s="1"/>
      <c r="G99" s="1"/>
      <c r="H99" s="112"/>
    </row>
    <row r="100" spans="1:8" x14ac:dyDescent="0.2">
      <c r="A100" s="1"/>
      <c r="B100" s="1"/>
      <c r="C100" s="2" t="s">
        <v>97</v>
      </c>
      <c r="D100" s="1"/>
      <c r="E100" s="1" t="s">
        <v>98</v>
      </c>
      <c r="F100" s="13">
        <v>0</v>
      </c>
      <c r="G100" s="14">
        <v>0</v>
      </c>
      <c r="H100" s="112"/>
    </row>
    <row r="101" spans="1:8" x14ac:dyDescent="0.2">
      <c r="A101" s="1"/>
      <c r="B101" s="1"/>
      <c r="C101" s="11"/>
      <c r="D101" s="1"/>
      <c r="E101" s="1"/>
      <c r="F101" s="12"/>
      <c r="G101" s="12"/>
      <c r="H101" s="112"/>
    </row>
    <row r="102" spans="1:8" x14ac:dyDescent="0.2">
      <c r="A102" s="1"/>
      <c r="B102" s="1"/>
      <c r="C102" s="2" t="s">
        <v>108</v>
      </c>
      <c r="D102" s="1"/>
      <c r="E102" s="1"/>
      <c r="F102" s="12"/>
      <c r="G102" s="12"/>
      <c r="H102" s="112"/>
    </row>
    <row r="103" spans="1:8" x14ac:dyDescent="0.2">
      <c r="A103" s="1"/>
      <c r="B103" s="1"/>
      <c r="C103" s="2" t="s">
        <v>97</v>
      </c>
      <c r="D103" s="1"/>
      <c r="E103" s="1" t="s">
        <v>98</v>
      </c>
      <c r="F103" s="13">
        <v>0</v>
      </c>
      <c r="G103" s="14">
        <v>0</v>
      </c>
      <c r="H103" s="112"/>
    </row>
    <row r="104" spans="1:8" x14ac:dyDescent="0.2">
      <c r="A104" s="1"/>
      <c r="B104" s="1"/>
      <c r="C104" s="11"/>
      <c r="D104" s="1"/>
      <c r="E104" s="1"/>
      <c r="F104" s="12"/>
      <c r="G104" s="12"/>
      <c r="H104" s="112"/>
    </row>
    <row r="105" spans="1:8" x14ac:dyDescent="0.2">
      <c r="A105" s="1"/>
      <c r="B105" s="1"/>
      <c r="C105" s="2" t="s">
        <v>109</v>
      </c>
      <c r="D105" s="1"/>
      <c r="E105" s="1"/>
      <c r="F105" s="9">
        <v>0</v>
      </c>
      <c r="G105" s="10">
        <v>0</v>
      </c>
      <c r="H105" s="112"/>
    </row>
    <row r="106" spans="1:8" x14ac:dyDescent="0.2">
      <c r="A106" s="1"/>
      <c r="B106" s="1"/>
      <c r="C106" s="11"/>
      <c r="D106" s="1"/>
      <c r="E106" s="1"/>
      <c r="F106" s="12"/>
      <c r="G106" s="12"/>
      <c r="H106" s="112"/>
    </row>
    <row r="107" spans="1:8" x14ac:dyDescent="0.2">
      <c r="A107" s="1"/>
      <c r="B107" s="1"/>
      <c r="C107" s="2" t="s">
        <v>110</v>
      </c>
      <c r="D107" s="1"/>
      <c r="E107" s="1"/>
      <c r="F107" s="12"/>
      <c r="G107" s="12"/>
      <c r="H107" s="112"/>
    </row>
    <row r="108" spans="1:8" x14ac:dyDescent="0.2">
      <c r="A108" s="1"/>
      <c r="B108" s="1"/>
      <c r="C108" s="2" t="s">
        <v>111</v>
      </c>
      <c r="D108" s="1"/>
      <c r="E108" s="1"/>
      <c r="F108" s="12"/>
      <c r="G108" s="12"/>
      <c r="H108" s="112"/>
    </row>
    <row r="109" spans="1:8" x14ac:dyDescent="0.2">
      <c r="A109" s="1"/>
      <c r="B109" s="1"/>
      <c r="C109" s="2" t="s">
        <v>97</v>
      </c>
      <c r="D109" s="1"/>
      <c r="E109" s="1" t="s">
        <v>98</v>
      </c>
      <c r="F109" s="13">
        <v>0</v>
      </c>
      <c r="G109" s="14">
        <v>0</v>
      </c>
      <c r="H109" s="112"/>
    </row>
    <row r="110" spans="1:8" x14ac:dyDescent="0.2">
      <c r="A110" s="1"/>
      <c r="B110" s="1"/>
      <c r="C110" s="11"/>
      <c r="D110" s="1"/>
      <c r="E110" s="1"/>
      <c r="F110" s="12"/>
      <c r="G110" s="12"/>
      <c r="H110" s="112"/>
    </row>
    <row r="111" spans="1:8" x14ac:dyDescent="0.2">
      <c r="A111" s="1"/>
      <c r="B111" s="1"/>
      <c r="C111" s="2" t="s">
        <v>112</v>
      </c>
      <c r="D111" s="1"/>
      <c r="E111" s="1"/>
      <c r="F111" s="12"/>
      <c r="G111" s="12"/>
      <c r="H111" s="112"/>
    </row>
    <row r="112" spans="1:8" x14ac:dyDescent="0.2">
      <c r="A112" s="1"/>
      <c r="B112" s="1"/>
      <c r="C112" s="2" t="s">
        <v>97</v>
      </c>
      <c r="D112" s="1"/>
      <c r="E112" s="1" t="s">
        <v>98</v>
      </c>
      <c r="F112" s="13">
        <v>0</v>
      </c>
      <c r="G112" s="14">
        <v>0</v>
      </c>
      <c r="H112" s="112"/>
    </row>
    <row r="113" spans="1:8" x14ac:dyDescent="0.2">
      <c r="A113" s="1"/>
      <c r="B113" s="1"/>
      <c r="C113" s="11"/>
      <c r="D113" s="1"/>
      <c r="E113" s="1"/>
      <c r="F113" s="12"/>
      <c r="G113" s="12"/>
      <c r="H113" s="112"/>
    </row>
    <row r="114" spans="1:8" x14ac:dyDescent="0.2">
      <c r="A114" s="1"/>
      <c r="B114" s="1"/>
      <c r="C114" s="2" t="s">
        <v>113</v>
      </c>
      <c r="D114" s="1"/>
      <c r="E114" s="1"/>
      <c r="F114" s="12"/>
      <c r="G114" s="12"/>
      <c r="H114" s="112"/>
    </row>
    <row r="115" spans="1:8" x14ac:dyDescent="0.2">
      <c r="A115" s="1"/>
      <c r="B115" s="1"/>
      <c r="C115" s="2" t="s">
        <v>97</v>
      </c>
      <c r="D115" s="1"/>
      <c r="E115" s="1" t="s">
        <v>98</v>
      </c>
      <c r="F115" s="13">
        <v>0</v>
      </c>
      <c r="G115" s="14">
        <v>0</v>
      </c>
      <c r="H115" s="112"/>
    </row>
    <row r="116" spans="1:8" x14ac:dyDescent="0.2">
      <c r="A116" s="1"/>
      <c r="B116" s="1"/>
      <c r="C116" s="11"/>
      <c r="D116" s="1"/>
      <c r="E116" s="1"/>
      <c r="F116" s="12"/>
      <c r="G116" s="12"/>
      <c r="H116" s="112"/>
    </row>
    <row r="117" spans="1:8" x14ac:dyDescent="0.2">
      <c r="A117" s="1"/>
      <c r="B117" s="1"/>
      <c r="C117" s="2" t="s">
        <v>114</v>
      </c>
      <c r="D117" s="1"/>
      <c r="E117" s="1"/>
      <c r="F117" s="12"/>
      <c r="G117" s="12"/>
      <c r="H117" s="112"/>
    </row>
    <row r="118" spans="1:8" x14ac:dyDescent="0.2">
      <c r="A118" s="3">
        <v>1</v>
      </c>
      <c r="B118" s="4"/>
      <c r="C118" s="4" t="s">
        <v>115</v>
      </c>
      <c r="D118" s="4"/>
      <c r="E118" s="8"/>
      <c r="F118" s="6">
        <v>5247.4020714270719</v>
      </c>
      <c r="G118" s="7">
        <v>3.4055416085767079E-2</v>
      </c>
      <c r="H118" s="6">
        <v>3.3211324282253978</v>
      </c>
    </row>
    <row r="119" spans="1:8" x14ac:dyDescent="0.2">
      <c r="A119" s="3">
        <v>2</v>
      </c>
      <c r="B119" s="4"/>
      <c r="C119" s="4" t="s">
        <v>116</v>
      </c>
      <c r="D119" s="4"/>
      <c r="E119" s="8"/>
      <c r="F119" s="6">
        <v>2061.302533300337</v>
      </c>
      <c r="G119" s="7">
        <v>1.3377765700941933E-2</v>
      </c>
      <c r="H119" s="6">
        <v>3.35</v>
      </c>
    </row>
    <row r="120" spans="1:8" x14ac:dyDescent="0.2">
      <c r="A120" s="1"/>
      <c r="B120" s="1"/>
      <c r="C120" s="2" t="s">
        <v>97</v>
      </c>
      <c r="D120" s="1"/>
      <c r="E120" s="1" t="s">
        <v>98</v>
      </c>
      <c r="F120" s="9">
        <v>7308.7046047274089</v>
      </c>
      <c r="G120" s="10">
        <v>4.7433181786709008E-2</v>
      </c>
      <c r="H120" s="112"/>
    </row>
    <row r="121" spans="1:8" x14ac:dyDescent="0.2">
      <c r="A121" s="1"/>
      <c r="B121" s="1"/>
      <c r="C121" s="11"/>
      <c r="D121" s="1"/>
      <c r="E121" s="1"/>
      <c r="F121" s="12"/>
      <c r="G121" s="12"/>
      <c r="H121" s="112"/>
    </row>
    <row r="122" spans="1:8" x14ac:dyDescent="0.2">
      <c r="A122" s="1"/>
      <c r="B122" s="1"/>
      <c r="C122" s="2" t="s">
        <v>117</v>
      </c>
      <c r="D122" s="1"/>
      <c r="E122" s="1"/>
      <c r="F122" s="9">
        <v>7308.7046047274089</v>
      </c>
      <c r="G122" s="10">
        <v>4.7433181786709008E-2</v>
      </c>
      <c r="H122" s="112"/>
    </row>
    <row r="123" spans="1:8" x14ac:dyDescent="0.2">
      <c r="A123" s="1"/>
      <c r="B123" s="1"/>
      <c r="C123" s="12"/>
      <c r="D123" s="1"/>
      <c r="E123" s="1"/>
      <c r="F123" s="1"/>
      <c r="G123" s="1"/>
      <c r="H123" s="112"/>
    </row>
    <row r="124" spans="1:8" x14ac:dyDescent="0.2">
      <c r="A124" s="1"/>
      <c r="B124" s="1"/>
      <c r="C124" s="2" t="s">
        <v>118</v>
      </c>
      <c r="D124" s="1"/>
      <c r="E124" s="1"/>
      <c r="F124" s="1"/>
      <c r="G124" s="1"/>
      <c r="H124" s="112"/>
    </row>
    <row r="125" spans="1:8" x14ac:dyDescent="0.2">
      <c r="A125" s="1"/>
      <c r="B125" s="1"/>
      <c r="C125" s="2" t="s">
        <v>119</v>
      </c>
      <c r="D125" s="1"/>
      <c r="E125" s="1"/>
      <c r="F125" s="1"/>
      <c r="G125" s="1"/>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2" t="s">
        <v>120</v>
      </c>
      <c r="D128" s="1"/>
      <c r="E128" s="1"/>
      <c r="F128" s="1"/>
      <c r="G128" s="1"/>
      <c r="H128" s="112"/>
    </row>
    <row r="129" spans="1:8" x14ac:dyDescent="0.2">
      <c r="A129" s="1"/>
      <c r="B129" s="1"/>
      <c r="C129" s="2" t="s">
        <v>121</v>
      </c>
      <c r="D129" s="1"/>
      <c r="E129" s="1"/>
      <c r="F129" s="1"/>
      <c r="G129" s="1"/>
      <c r="H129" s="112"/>
    </row>
    <row r="130" spans="1:8" x14ac:dyDescent="0.2">
      <c r="A130" s="1"/>
      <c r="B130" s="1"/>
      <c r="C130" s="2" t="s">
        <v>97</v>
      </c>
      <c r="D130" s="1"/>
      <c r="E130" s="1" t="s">
        <v>98</v>
      </c>
      <c r="F130" s="13">
        <v>0</v>
      </c>
      <c r="G130" s="14">
        <v>0</v>
      </c>
      <c r="H130" s="112"/>
    </row>
    <row r="131" spans="1:8" x14ac:dyDescent="0.2">
      <c r="A131" s="1"/>
      <c r="B131" s="1"/>
      <c r="C131" s="11"/>
      <c r="D131" s="1"/>
      <c r="E131" s="1"/>
      <c r="F131" s="12"/>
      <c r="G131" s="12"/>
      <c r="H131" s="112"/>
    </row>
    <row r="132" spans="1:8" x14ac:dyDescent="0.2">
      <c r="A132" s="1"/>
      <c r="B132" s="1"/>
      <c r="C132" s="11"/>
      <c r="D132" s="1"/>
      <c r="E132" s="1"/>
      <c r="F132" s="12"/>
      <c r="G132" s="12"/>
      <c r="H132" s="112"/>
    </row>
    <row r="133" spans="1:8" ht="25.5" x14ac:dyDescent="0.2">
      <c r="A133" s="1"/>
      <c r="B133" s="1"/>
      <c r="C133" s="2" t="s">
        <v>122</v>
      </c>
      <c r="D133" s="1"/>
      <c r="E133" s="1"/>
      <c r="F133" s="12"/>
      <c r="G133" s="12"/>
      <c r="H133" s="112"/>
    </row>
    <row r="134" spans="1:8" x14ac:dyDescent="0.2">
      <c r="A134" s="1"/>
      <c r="B134" s="1"/>
      <c r="C134" s="2" t="s">
        <v>97</v>
      </c>
      <c r="D134" s="1"/>
      <c r="E134" s="1" t="s">
        <v>98</v>
      </c>
      <c r="F134" s="13">
        <v>0</v>
      </c>
      <c r="G134" s="14">
        <v>0</v>
      </c>
      <c r="H134" s="112"/>
    </row>
    <row r="135" spans="1:8" x14ac:dyDescent="0.2">
      <c r="A135" s="1"/>
      <c r="B135" s="1"/>
      <c r="C135" s="11"/>
      <c r="D135" s="1"/>
      <c r="E135" s="1"/>
      <c r="F135" s="12"/>
      <c r="G135" s="12"/>
      <c r="H135" s="112"/>
    </row>
    <row r="136" spans="1:8" x14ac:dyDescent="0.2">
      <c r="A136" s="1"/>
      <c r="B136" s="4"/>
      <c r="C136" s="4"/>
      <c r="D136" s="2"/>
      <c r="E136" s="1"/>
      <c r="F136" s="4"/>
      <c r="G136" s="8"/>
      <c r="H136" s="112"/>
    </row>
    <row r="137" spans="1:8" x14ac:dyDescent="0.2">
      <c r="A137" s="8"/>
      <c r="B137" s="4"/>
      <c r="C137" s="4" t="s">
        <v>123</v>
      </c>
      <c r="D137" s="4"/>
      <c r="E137" s="8"/>
      <c r="F137" s="6">
        <v>103.5511107596632</v>
      </c>
      <c r="G137" s="7">
        <v>6.7204230113524161E-4</v>
      </c>
      <c r="H137" s="112"/>
    </row>
    <row r="138" spans="1:8" x14ac:dyDescent="0.2">
      <c r="A138" s="11"/>
      <c r="B138" s="11"/>
      <c r="C138" s="2" t="s">
        <v>124</v>
      </c>
      <c r="D138" s="15"/>
      <c r="E138" s="15"/>
      <c r="F138" s="9">
        <v>154084.21563450605</v>
      </c>
      <c r="G138" s="10">
        <v>1.0000000020878443</v>
      </c>
      <c r="H138" s="112"/>
    </row>
    <row r="139" spans="1:8" ht="14.1" customHeight="1" x14ac:dyDescent="0.2">
      <c r="A139" s="16"/>
      <c r="B139" s="16"/>
      <c r="C139" s="16"/>
      <c r="D139" s="17"/>
      <c r="E139" s="17"/>
      <c r="F139" s="78"/>
      <c r="G139" s="78"/>
    </row>
    <row r="140" spans="1:8" ht="14.1" customHeight="1" x14ac:dyDescent="0.2">
      <c r="A140" s="18"/>
      <c r="B140" s="205" t="s">
        <v>98</v>
      </c>
      <c r="C140" s="205"/>
      <c r="D140" s="205"/>
      <c r="E140" s="205"/>
      <c r="F140" s="205"/>
      <c r="G140" s="20"/>
    </row>
    <row r="141" spans="1:8" ht="17.100000000000001" customHeight="1" x14ac:dyDescent="0.2">
      <c r="A141" s="18"/>
      <c r="B141" s="205" t="s">
        <v>125</v>
      </c>
      <c r="C141" s="205"/>
      <c r="D141" s="205"/>
      <c r="E141" s="205"/>
      <c r="F141" s="205"/>
      <c r="G141" s="20"/>
    </row>
    <row r="142" spans="1:8" ht="14.1" customHeight="1" x14ac:dyDescent="0.2">
      <c r="A142" s="18"/>
      <c r="B142" s="18"/>
      <c r="C142" s="18"/>
      <c r="D142" s="20"/>
      <c r="E142" s="20"/>
      <c r="F142" s="20"/>
      <c r="G142" s="20"/>
    </row>
    <row r="143" spans="1:8" ht="14.1" customHeight="1" x14ac:dyDescent="0.2">
      <c r="A143" s="18"/>
      <c r="B143" s="203" t="s">
        <v>126</v>
      </c>
      <c r="C143" s="204"/>
      <c r="D143" s="12" t="s">
        <v>98</v>
      </c>
      <c r="E143" s="21"/>
      <c r="F143" s="20"/>
      <c r="G143" s="20"/>
    </row>
    <row r="144" spans="1:8" ht="29.1" customHeight="1" x14ac:dyDescent="0.2">
      <c r="A144" s="18"/>
      <c r="B144" s="198" t="s">
        <v>127</v>
      </c>
      <c r="C144" s="199"/>
      <c r="D144" s="2" t="s">
        <v>128</v>
      </c>
      <c r="E144" s="21"/>
      <c r="F144" s="20"/>
      <c r="G144" s="20"/>
    </row>
    <row r="145" spans="1:15" ht="17.100000000000001" customHeight="1" x14ac:dyDescent="0.2">
      <c r="A145" s="18"/>
      <c r="B145" s="198" t="s">
        <v>876</v>
      </c>
      <c r="C145" s="199"/>
      <c r="D145" s="2" t="s">
        <v>877</v>
      </c>
      <c r="E145" s="21"/>
      <c r="F145" s="20"/>
      <c r="G145" s="20"/>
    </row>
    <row r="146" spans="1:15" ht="17.100000000000001" customHeight="1" x14ac:dyDescent="0.2">
      <c r="A146" s="18"/>
      <c r="B146" s="198" t="s">
        <v>130</v>
      </c>
      <c r="C146" s="199"/>
      <c r="D146" s="12" t="s">
        <v>98</v>
      </c>
      <c r="E146" s="21"/>
      <c r="F146" s="20"/>
      <c r="G146" s="20"/>
    </row>
    <row r="147" spans="1:15" ht="24" customHeight="1" x14ac:dyDescent="0.2">
      <c r="A147" s="22"/>
      <c r="B147" s="23" t="s">
        <v>98</v>
      </c>
      <c r="C147" s="23" t="s">
        <v>131</v>
      </c>
      <c r="D147" s="23" t="s">
        <v>132</v>
      </c>
      <c r="E147" s="22"/>
      <c r="F147" s="22"/>
      <c r="G147" s="22"/>
    </row>
    <row r="148" spans="1:15" ht="18" customHeight="1" x14ac:dyDescent="0.2">
      <c r="A148" s="22"/>
      <c r="B148" s="23" t="s">
        <v>133</v>
      </c>
      <c r="C148" s="23" t="s">
        <v>134</v>
      </c>
      <c r="D148" s="23" t="s">
        <v>135</v>
      </c>
      <c r="E148" s="22"/>
      <c r="F148" s="22"/>
      <c r="G148" s="22"/>
    </row>
    <row r="149" spans="1:15" ht="17.100000000000001" customHeight="1" x14ac:dyDescent="0.2">
      <c r="A149" s="22"/>
      <c r="B149" s="4" t="s">
        <v>136</v>
      </c>
      <c r="C149" s="24">
        <v>154.67250000000001</v>
      </c>
      <c r="D149" s="24">
        <v>155.71369999999999</v>
      </c>
      <c r="E149" s="22"/>
      <c r="F149" s="19"/>
      <c r="G149" s="25"/>
    </row>
    <row r="150" spans="1:15" ht="17.100000000000001" customHeight="1" x14ac:dyDescent="0.2">
      <c r="A150" s="22"/>
      <c r="B150" s="4" t="s">
        <v>980</v>
      </c>
      <c r="C150" s="24">
        <v>27.1065</v>
      </c>
      <c r="D150" s="24">
        <v>27.288900000000002</v>
      </c>
      <c r="E150" s="22"/>
      <c r="F150" s="19"/>
      <c r="G150" s="25"/>
    </row>
    <row r="151" spans="1:15" ht="29.1" customHeight="1" x14ac:dyDescent="0.2">
      <c r="A151" s="22"/>
      <c r="B151" s="4" t="s">
        <v>410</v>
      </c>
      <c r="C151" s="24">
        <v>157.88800000000001</v>
      </c>
      <c r="D151" s="24">
        <v>158.95150000000001</v>
      </c>
      <c r="E151" s="22"/>
      <c r="F151" s="19"/>
      <c r="G151" s="25"/>
    </row>
    <row r="152" spans="1:15" ht="29.1" customHeight="1" x14ac:dyDescent="0.2">
      <c r="A152" s="22"/>
      <c r="B152" s="4" t="s">
        <v>983</v>
      </c>
      <c r="C152" s="24">
        <v>28.174299999999999</v>
      </c>
      <c r="D152" s="24">
        <v>28.363900000000001</v>
      </c>
      <c r="E152" s="22"/>
      <c r="F152" s="19"/>
      <c r="G152" s="25"/>
    </row>
    <row r="153" spans="1:15" ht="17.100000000000001" customHeight="1" x14ac:dyDescent="0.2">
      <c r="A153" s="22"/>
      <c r="B153" s="4" t="s">
        <v>137</v>
      </c>
      <c r="C153" s="24">
        <v>145.81870000000001</v>
      </c>
      <c r="D153" s="24">
        <v>146.67599999999999</v>
      </c>
      <c r="E153" s="22"/>
      <c r="F153" s="19"/>
      <c r="G153" s="25"/>
    </row>
    <row r="154" spans="1:15" ht="17.100000000000001" customHeight="1" x14ac:dyDescent="0.2">
      <c r="A154" s="22"/>
      <c r="B154" s="4" t="s">
        <v>981</v>
      </c>
      <c r="C154" s="24">
        <v>24.8718</v>
      </c>
      <c r="D154" s="24">
        <v>25.018000000000001</v>
      </c>
      <c r="E154" s="22"/>
      <c r="F154" s="19"/>
      <c r="G154" s="25"/>
    </row>
    <row r="155" spans="1:15" ht="14.1" customHeight="1" x14ac:dyDescent="0.2">
      <c r="A155" s="22"/>
      <c r="B155" s="22"/>
      <c r="C155" s="22"/>
      <c r="D155" s="22"/>
      <c r="E155" s="22"/>
      <c r="F155" s="22"/>
      <c r="G155" s="22"/>
    </row>
    <row r="156" spans="1:15" ht="17.100000000000001" customHeight="1" x14ac:dyDescent="0.2">
      <c r="A156" s="22"/>
      <c r="B156" s="198" t="s">
        <v>982</v>
      </c>
      <c r="C156" s="199"/>
      <c r="D156" s="2" t="s">
        <v>128</v>
      </c>
      <c r="E156" s="22"/>
      <c r="F156" s="22"/>
      <c r="G156" s="22"/>
    </row>
    <row r="157" spans="1:15" ht="18" customHeight="1" x14ac:dyDescent="0.2">
      <c r="A157" s="22"/>
      <c r="B157" s="26"/>
      <c r="C157" s="26"/>
      <c r="D157" s="27"/>
      <c r="E157" s="22"/>
      <c r="F157" s="22"/>
      <c r="G157" s="22"/>
      <c r="I157" s="113"/>
      <c r="J157" s="113"/>
      <c r="K157" s="113"/>
      <c r="L157" s="113"/>
      <c r="M157" s="113"/>
      <c r="N157" s="113"/>
      <c r="O157" s="113"/>
    </row>
    <row r="158" spans="1:15" s="113" customFormat="1" x14ac:dyDescent="0.2">
      <c r="B158" s="202" t="s">
        <v>984</v>
      </c>
      <c r="C158" s="202"/>
      <c r="D158" s="202"/>
      <c r="E158" s="202"/>
      <c r="F158" s="202"/>
      <c r="I158"/>
      <c r="J158"/>
      <c r="K158"/>
      <c r="L158"/>
      <c r="M158"/>
      <c r="N158"/>
      <c r="O158"/>
    </row>
    <row r="159" spans="1:15" ht="14.1" customHeight="1" x14ac:dyDescent="0.2">
      <c r="A159" s="22"/>
      <c r="B159" s="19"/>
      <c r="C159" s="19"/>
      <c r="D159" s="22"/>
      <c r="E159" s="22"/>
      <c r="F159" s="22"/>
      <c r="G159" s="22"/>
    </row>
    <row r="160" spans="1:15" ht="29.1" customHeight="1" x14ac:dyDescent="0.2">
      <c r="A160" s="22"/>
      <c r="B160" s="198" t="s">
        <v>138</v>
      </c>
      <c r="C160" s="199"/>
      <c r="D160" s="2" t="s">
        <v>128</v>
      </c>
      <c r="E160" s="22"/>
      <c r="F160" s="22"/>
      <c r="G160" s="22"/>
    </row>
    <row r="161" spans="1:7" ht="29.1" customHeight="1" x14ac:dyDescent="0.2">
      <c r="A161" s="22"/>
      <c r="B161" s="198" t="s">
        <v>139</v>
      </c>
      <c r="C161" s="199"/>
      <c r="D161" s="2" t="s">
        <v>128</v>
      </c>
      <c r="E161" s="22"/>
      <c r="F161" s="22"/>
      <c r="G161" s="22"/>
    </row>
    <row r="162" spans="1:7" ht="17.100000000000001" customHeight="1" x14ac:dyDescent="0.2">
      <c r="A162" s="22"/>
      <c r="B162" s="198" t="s">
        <v>140</v>
      </c>
      <c r="C162" s="199"/>
      <c r="D162" s="28">
        <v>0.51466397376563</v>
      </c>
      <c r="E162" s="22"/>
      <c r="F162" s="19"/>
      <c r="G162" s="25"/>
    </row>
    <row r="163" spans="1:7" ht="17.100000000000001" customHeight="1" x14ac:dyDescent="0.2">
      <c r="A163" s="22"/>
      <c r="B163" s="198" t="s">
        <v>141</v>
      </c>
      <c r="C163" s="199"/>
      <c r="D163" s="2" t="s">
        <v>128</v>
      </c>
      <c r="E163" s="22"/>
      <c r="F163" s="22"/>
      <c r="G163" s="22"/>
    </row>
  </sheetData>
  <mergeCells count="16">
    <mergeCell ref="B163:C163"/>
    <mergeCell ref="B144:C144"/>
    <mergeCell ref="B145:C145"/>
    <mergeCell ref="B146:C146"/>
    <mergeCell ref="B156:C156"/>
    <mergeCell ref="B160:C160"/>
    <mergeCell ref="B161:C161"/>
    <mergeCell ref="B158:F158"/>
    <mergeCell ref="A1:H1"/>
    <mergeCell ref="A2:H2"/>
    <mergeCell ref="A3:H3"/>
    <mergeCell ref="J2:N2"/>
    <mergeCell ref="B162:C162"/>
    <mergeCell ref="B143:C143"/>
    <mergeCell ref="B140:F140"/>
    <mergeCell ref="B141:F141"/>
  </mergeCells>
  <pageMargins left="5.000000074505806E-2" right="5.000000074505806E-2" top="0.30000001192092896" bottom="0.20000000298023224" header="0" footer="0"/>
  <pageSetup paperSize="9" orientation="landscape"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13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20.7109375" customWidth="1"/>
    <col min="5" max="6" width="19.140625" customWidth="1"/>
    <col min="7" max="7" width="16.42578125" customWidth="1"/>
  </cols>
  <sheetData>
    <row r="1" spans="1:15" ht="15" x14ac:dyDescent="0.2">
      <c r="A1" s="193" t="s">
        <v>0</v>
      </c>
      <c r="B1" s="193"/>
      <c r="C1" s="193"/>
      <c r="D1" s="193"/>
      <c r="E1" s="193"/>
      <c r="F1" s="193"/>
      <c r="G1" s="193"/>
      <c r="H1" s="193"/>
    </row>
    <row r="2" spans="1:15" ht="15" x14ac:dyDescent="0.2">
      <c r="A2" s="194" t="s">
        <v>561</v>
      </c>
      <c r="B2" s="195"/>
      <c r="C2" s="195"/>
      <c r="D2" s="195"/>
      <c r="E2" s="195"/>
      <c r="F2" s="195"/>
      <c r="G2" s="195"/>
      <c r="H2" s="196"/>
      <c r="J2" s="197" t="s">
        <v>1010</v>
      </c>
      <c r="K2" s="197"/>
      <c r="L2" s="197"/>
      <c r="M2" s="197"/>
      <c r="N2" s="197"/>
    </row>
    <row r="3" spans="1:15" ht="15" x14ac:dyDescent="0.2">
      <c r="A3" s="193" t="s">
        <v>934</v>
      </c>
      <c r="B3" s="193"/>
      <c r="C3" s="193"/>
      <c r="D3" s="193"/>
      <c r="E3" s="193"/>
      <c r="F3" s="193"/>
      <c r="G3" s="193"/>
      <c r="H3" s="193"/>
    </row>
    <row r="4" spans="1:15" s="119" customFormat="1" ht="30" x14ac:dyDescent="0.2">
      <c r="A4" s="118" t="s">
        <v>2</v>
      </c>
      <c r="B4" s="118" t="s">
        <v>3</v>
      </c>
      <c r="C4" s="118" t="s">
        <v>4</v>
      </c>
      <c r="D4" s="118" t="s">
        <v>5</v>
      </c>
      <c r="E4" s="118" t="s">
        <v>6</v>
      </c>
      <c r="F4" s="118" t="s">
        <v>7</v>
      </c>
      <c r="G4" s="118" t="s">
        <v>8</v>
      </c>
      <c r="H4" s="111" t="s">
        <v>970</v>
      </c>
    </row>
    <row r="5" spans="1:15" x14ac:dyDescent="0.2">
      <c r="A5" s="1"/>
      <c r="B5" s="1"/>
      <c r="C5" s="2" t="s">
        <v>9</v>
      </c>
      <c r="D5" s="1"/>
      <c r="E5" s="1"/>
      <c r="F5" s="1"/>
      <c r="G5" s="1"/>
      <c r="H5" s="112"/>
    </row>
    <row r="6" spans="1:15" ht="25.5" x14ac:dyDescent="0.2">
      <c r="A6" s="1"/>
      <c r="B6" s="1"/>
      <c r="C6" s="2" t="s">
        <v>10</v>
      </c>
      <c r="D6" s="1"/>
      <c r="E6" s="1"/>
      <c r="F6" s="1"/>
      <c r="G6" s="1"/>
      <c r="H6" s="112"/>
    </row>
    <row r="7" spans="1:15" x14ac:dyDescent="0.2">
      <c r="A7" s="3">
        <v>1</v>
      </c>
      <c r="B7" s="4" t="s">
        <v>424</v>
      </c>
      <c r="C7" s="4" t="s">
        <v>425</v>
      </c>
      <c r="D7" s="4" t="s">
        <v>192</v>
      </c>
      <c r="E7" s="5">
        <v>330000</v>
      </c>
      <c r="F7" s="6">
        <v>7897.3950000000004</v>
      </c>
      <c r="G7" s="7">
        <v>6.1288316000000002E-2</v>
      </c>
      <c r="H7" s="112"/>
    </row>
    <row r="8" spans="1:15" x14ac:dyDescent="0.2">
      <c r="A8" s="3">
        <v>2</v>
      </c>
      <c r="B8" s="4" t="s">
        <v>326</v>
      </c>
      <c r="C8" s="4" t="s">
        <v>327</v>
      </c>
      <c r="D8" s="4" t="s">
        <v>192</v>
      </c>
      <c r="E8" s="5">
        <v>920000</v>
      </c>
      <c r="F8" s="6">
        <v>7814.02</v>
      </c>
      <c r="G8" s="7">
        <v>6.0641278E-2</v>
      </c>
      <c r="H8" s="112"/>
    </row>
    <row r="9" spans="1:15" x14ac:dyDescent="0.2">
      <c r="A9" s="3">
        <v>3</v>
      </c>
      <c r="B9" s="4" t="s">
        <v>17</v>
      </c>
      <c r="C9" s="4" t="s">
        <v>18</v>
      </c>
      <c r="D9" s="4" t="s">
        <v>19</v>
      </c>
      <c r="E9" s="5">
        <v>900000</v>
      </c>
      <c r="F9" s="6">
        <v>7218.45</v>
      </c>
      <c r="G9" s="7">
        <v>5.6019313000000001E-2</v>
      </c>
      <c r="H9" s="112"/>
    </row>
    <row r="10" spans="1:15" x14ac:dyDescent="0.2">
      <c r="A10" s="3">
        <v>4</v>
      </c>
      <c r="B10" s="4" t="s">
        <v>562</v>
      </c>
      <c r="C10" s="4" t="s">
        <v>563</v>
      </c>
      <c r="D10" s="4" t="s">
        <v>192</v>
      </c>
      <c r="E10" s="5">
        <v>216000</v>
      </c>
      <c r="F10" s="6">
        <v>6696.2160000000003</v>
      </c>
      <c r="G10" s="7">
        <v>5.1966478000000003E-2</v>
      </c>
      <c r="H10" s="112"/>
    </row>
    <row r="11" spans="1:15" x14ac:dyDescent="0.2">
      <c r="A11" s="3">
        <v>5</v>
      </c>
      <c r="B11" s="4" t="s">
        <v>443</v>
      </c>
      <c r="C11" s="4" t="s">
        <v>444</v>
      </c>
      <c r="D11" s="4" t="s">
        <v>192</v>
      </c>
      <c r="E11" s="5">
        <v>3000000</v>
      </c>
      <c r="F11" s="6">
        <v>6696</v>
      </c>
      <c r="G11" s="7">
        <v>5.1964801999999997E-2</v>
      </c>
      <c r="H11" s="112"/>
    </row>
    <row r="12" spans="1:15" ht="15" x14ac:dyDescent="0.2">
      <c r="A12" s="3">
        <v>6</v>
      </c>
      <c r="B12" s="4" t="s">
        <v>412</v>
      </c>
      <c r="C12" s="4" t="s">
        <v>413</v>
      </c>
      <c r="D12" s="4" t="s">
        <v>19</v>
      </c>
      <c r="E12" s="5">
        <v>395000</v>
      </c>
      <c r="F12" s="6">
        <v>6252.2574999999997</v>
      </c>
      <c r="G12" s="7">
        <v>4.8521105000000002E-2</v>
      </c>
      <c r="H12" s="112"/>
      <c r="J12" s="188" t="s">
        <v>1019</v>
      </c>
    </row>
    <row r="13" spans="1:15" x14ac:dyDescent="0.2">
      <c r="A13" s="3">
        <v>7</v>
      </c>
      <c r="B13" s="4" t="s">
        <v>400</v>
      </c>
      <c r="C13" s="4" t="s">
        <v>401</v>
      </c>
      <c r="D13" s="4" t="s">
        <v>192</v>
      </c>
      <c r="E13" s="5">
        <v>750000</v>
      </c>
      <c r="F13" s="6">
        <v>6071.25</v>
      </c>
      <c r="G13" s="7">
        <v>4.7116382999999998E-2</v>
      </c>
      <c r="H13" s="112"/>
    </row>
    <row r="14" spans="1:15" x14ac:dyDescent="0.2">
      <c r="A14" s="3">
        <v>8</v>
      </c>
      <c r="B14" s="4" t="s">
        <v>435</v>
      </c>
      <c r="C14" s="4" t="s">
        <v>436</v>
      </c>
      <c r="D14" s="4" t="s">
        <v>78</v>
      </c>
      <c r="E14" s="5">
        <v>650000</v>
      </c>
      <c r="F14" s="6">
        <v>5747.625</v>
      </c>
      <c r="G14" s="7">
        <v>4.4604866999999999E-2</v>
      </c>
      <c r="H14" s="112"/>
    </row>
    <row r="15" spans="1:15" ht="25.5" x14ac:dyDescent="0.2">
      <c r="A15" s="3">
        <v>9</v>
      </c>
      <c r="B15" s="4" t="s">
        <v>335</v>
      </c>
      <c r="C15" s="4" t="s">
        <v>336</v>
      </c>
      <c r="D15" s="4" t="s">
        <v>71</v>
      </c>
      <c r="E15" s="5">
        <v>1225000</v>
      </c>
      <c r="F15" s="6">
        <v>5703.6</v>
      </c>
      <c r="G15" s="7">
        <v>4.4263207999999998E-2</v>
      </c>
      <c r="H15" s="112"/>
      <c r="J15" s="191" t="s">
        <v>1019</v>
      </c>
      <c r="K15" s="130"/>
      <c r="L15" s="130"/>
      <c r="M15" s="130"/>
      <c r="N15" s="130"/>
      <c r="O15" s="130"/>
    </row>
    <row r="16" spans="1:15" ht="25.5" x14ac:dyDescent="0.2">
      <c r="A16" s="3">
        <v>10</v>
      </c>
      <c r="B16" s="4" t="s">
        <v>20</v>
      </c>
      <c r="C16" s="4" t="s">
        <v>21</v>
      </c>
      <c r="D16" s="4" t="s">
        <v>971</v>
      </c>
      <c r="E16" s="5">
        <v>500000</v>
      </c>
      <c r="F16" s="6">
        <v>5332.5</v>
      </c>
      <c r="G16" s="7">
        <v>4.1383258999999999E-2</v>
      </c>
      <c r="H16" s="112"/>
    </row>
    <row r="17" spans="1:8" x14ac:dyDescent="0.2">
      <c r="A17" s="3">
        <v>11</v>
      </c>
      <c r="B17" s="4" t="s">
        <v>310</v>
      </c>
      <c r="C17" s="4" t="s">
        <v>311</v>
      </c>
      <c r="D17" s="4" t="s">
        <v>71</v>
      </c>
      <c r="E17" s="5">
        <v>440000</v>
      </c>
      <c r="F17" s="6">
        <v>5300.02</v>
      </c>
      <c r="G17" s="7">
        <v>4.1131196000000002E-2</v>
      </c>
      <c r="H17" s="112"/>
    </row>
    <row r="18" spans="1:8" x14ac:dyDescent="0.2">
      <c r="A18" s="3">
        <v>12</v>
      </c>
      <c r="B18" s="4" t="s">
        <v>312</v>
      </c>
      <c r="C18" s="4" t="s">
        <v>313</v>
      </c>
      <c r="D18" s="4" t="s">
        <v>212</v>
      </c>
      <c r="E18" s="5">
        <v>12350</v>
      </c>
      <c r="F18" s="6">
        <v>4648.0521749999998</v>
      </c>
      <c r="G18" s="7">
        <v>3.6071552E-2</v>
      </c>
      <c r="H18" s="112"/>
    </row>
    <row r="19" spans="1:8" x14ac:dyDescent="0.2">
      <c r="A19" s="3">
        <v>13</v>
      </c>
      <c r="B19" s="4" t="s">
        <v>539</v>
      </c>
      <c r="C19" s="4" t="s">
        <v>540</v>
      </c>
      <c r="D19" s="4" t="s">
        <v>71</v>
      </c>
      <c r="E19" s="5">
        <v>40000</v>
      </c>
      <c r="F19" s="6">
        <v>4374.82</v>
      </c>
      <c r="G19" s="7">
        <v>3.3951112999999998E-2</v>
      </c>
      <c r="H19" s="112"/>
    </row>
    <row r="20" spans="1:8" x14ac:dyDescent="0.2">
      <c r="A20" s="3">
        <v>14</v>
      </c>
      <c r="B20" s="4" t="s">
        <v>564</v>
      </c>
      <c r="C20" s="4" t="s">
        <v>565</v>
      </c>
      <c r="D20" s="4" t="s">
        <v>78</v>
      </c>
      <c r="E20" s="5">
        <v>48000</v>
      </c>
      <c r="F20" s="6">
        <v>3591.5520000000001</v>
      </c>
      <c r="G20" s="7">
        <v>2.7872503999999999E-2</v>
      </c>
      <c r="H20" s="112"/>
    </row>
    <row r="21" spans="1:8" x14ac:dyDescent="0.2">
      <c r="A21" s="3">
        <v>15</v>
      </c>
      <c r="B21" s="4" t="s">
        <v>420</v>
      </c>
      <c r="C21" s="4" t="s">
        <v>421</v>
      </c>
      <c r="D21" s="4" t="s">
        <v>973</v>
      </c>
      <c r="E21" s="5">
        <v>300000</v>
      </c>
      <c r="F21" s="6">
        <v>3436.65</v>
      </c>
      <c r="G21" s="7">
        <v>2.6670375999999999E-2</v>
      </c>
      <c r="H21" s="112"/>
    </row>
    <row r="22" spans="1:8" x14ac:dyDescent="0.2">
      <c r="A22" s="3">
        <v>16</v>
      </c>
      <c r="B22" s="4" t="s">
        <v>452</v>
      </c>
      <c r="C22" s="4" t="s">
        <v>453</v>
      </c>
      <c r="D22" s="4" t="s">
        <v>71</v>
      </c>
      <c r="E22" s="5">
        <v>140000</v>
      </c>
      <c r="F22" s="6">
        <v>3336.97</v>
      </c>
      <c r="G22" s="7">
        <v>2.5896802E-2</v>
      </c>
      <c r="H22" s="112"/>
    </row>
    <row r="23" spans="1:8" x14ac:dyDescent="0.2">
      <c r="A23" s="3">
        <v>17</v>
      </c>
      <c r="B23" s="4" t="s">
        <v>566</v>
      </c>
      <c r="C23" s="4" t="s">
        <v>567</v>
      </c>
      <c r="D23" s="4" t="s">
        <v>81</v>
      </c>
      <c r="E23" s="5">
        <v>44000</v>
      </c>
      <c r="F23" s="6">
        <v>3256.0880000000002</v>
      </c>
      <c r="G23" s="7">
        <v>2.5269111E-2</v>
      </c>
      <c r="H23" s="112"/>
    </row>
    <row r="24" spans="1:8" x14ac:dyDescent="0.2">
      <c r="A24" s="3">
        <v>18</v>
      </c>
      <c r="B24" s="4" t="s">
        <v>372</v>
      </c>
      <c r="C24" s="4" t="s">
        <v>373</v>
      </c>
      <c r="D24" s="4" t="s">
        <v>237</v>
      </c>
      <c r="E24" s="5">
        <v>400000</v>
      </c>
      <c r="F24" s="6">
        <v>3142.4</v>
      </c>
      <c r="G24" s="7">
        <v>2.4386827E-2</v>
      </c>
      <c r="H24" s="112"/>
    </row>
    <row r="25" spans="1:8" x14ac:dyDescent="0.2">
      <c r="A25" s="3">
        <v>19</v>
      </c>
      <c r="B25" s="4" t="s">
        <v>489</v>
      </c>
      <c r="C25" s="4" t="s">
        <v>490</v>
      </c>
      <c r="D25" s="4" t="s">
        <v>192</v>
      </c>
      <c r="E25" s="5">
        <v>325000</v>
      </c>
      <c r="F25" s="6">
        <v>3078.8874999999998</v>
      </c>
      <c r="G25" s="7">
        <v>2.3893932999999999E-2</v>
      </c>
      <c r="H25" s="112"/>
    </row>
    <row r="26" spans="1:8" x14ac:dyDescent="0.2">
      <c r="A26" s="3">
        <v>20</v>
      </c>
      <c r="B26" s="4" t="s">
        <v>402</v>
      </c>
      <c r="C26" s="4" t="s">
        <v>403</v>
      </c>
      <c r="D26" s="4" t="s">
        <v>334</v>
      </c>
      <c r="E26" s="5">
        <v>1000000</v>
      </c>
      <c r="F26" s="6">
        <v>2630</v>
      </c>
      <c r="G26" s="7">
        <v>2.0410309000000001E-2</v>
      </c>
      <c r="H26" s="112"/>
    </row>
    <row r="27" spans="1:8" ht="25.5" x14ac:dyDescent="0.2">
      <c r="A27" s="3">
        <v>21</v>
      </c>
      <c r="B27" s="4" t="s">
        <v>568</v>
      </c>
      <c r="C27" s="4" t="s">
        <v>569</v>
      </c>
      <c r="D27" s="4" t="s">
        <v>192</v>
      </c>
      <c r="E27" s="5">
        <v>17000</v>
      </c>
      <c r="F27" s="6">
        <v>2418.7345</v>
      </c>
      <c r="G27" s="7">
        <v>1.8770767000000001E-2</v>
      </c>
      <c r="H27" s="112"/>
    </row>
    <row r="28" spans="1:8" x14ac:dyDescent="0.2">
      <c r="A28" s="3">
        <v>22</v>
      </c>
      <c r="B28" s="4" t="s">
        <v>190</v>
      </c>
      <c r="C28" s="4" t="s">
        <v>191</v>
      </c>
      <c r="D28" s="4" t="s">
        <v>192</v>
      </c>
      <c r="E28" s="5">
        <v>425000</v>
      </c>
      <c r="F28" s="6">
        <v>2223.3874999999998</v>
      </c>
      <c r="G28" s="7">
        <v>1.7254762999999999E-2</v>
      </c>
      <c r="H28" s="112"/>
    </row>
    <row r="29" spans="1:8" x14ac:dyDescent="0.2">
      <c r="A29" s="3">
        <v>23</v>
      </c>
      <c r="B29" s="4" t="s">
        <v>382</v>
      </c>
      <c r="C29" s="4" t="s">
        <v>383</v>
      </c>
      <c r="D29" s="4" t="s">
        <v>71</v>
      </c>
      <c r="E29" s="5">
        <v>100000</v>
      </c>
      <c r="F29" s="6">
        <v>2212.3000000000002</v>
      </c>
      <c r="G29" s="7">
        <v>1.7168717E-2</v>
      </c>
      <c r="H29" s="112"/>
    </row>
    <row r="30" spans="1:8" x14ac:dyDescent="0.2">
      <c r="A30" s="3">
        <v>24</v>
      </c>
      <c r="B30" s="4" t="s">
        <v>370</v>
      </c>
      <c r="C30" s="4" t="s">
        <v>371</v>
      </c>
      <c r="D30" s="4" t="s">
        <v>71</v>
      </c>
      <c r="E30" s="5">
        <v>2700040</v>
      </c>
      <c r="F30" s="6">
        <v>2058.7804999999998</v>
      </c>
      <c r="G30" s="7">
        <v>1.5977318000000001E-2</v>
      </c>
      <c r="H30" s="112"/>
    </row>
    <row r="31" spans="1:8" x14ac:dyDescent="0.2">
      <c r="A31" s="3">
        <v>25</v>
      </c>
      <c r="B31" s="4" t="s">
        <v>570</v>
      </c>
      <c r="C31" s="4" t="s">
        <v>571</v>
      </c>
      <c r="D31" s="4" t="s">
        <v>192</v>
      </c>
      <c r="E31" s="5">
        <v>10000</v>
      </c>
      <c r="F31" s="6">
        <v>1900.0150000000001</v>
      </c>
      <c r="G31" s="7">
        <v>1.4745206E-2</v>
      </c>
      <c r="H31" s="112"/>
    </row>
    <row r="32" spans="1:8" x14ac:dyDescent="0.2">
      <c r="A32" s="3">
        <v>26</v>
      </c>
      <c r="B32" s="4" t="s">
        <v>213</v>
      </c>
      <c r="C32" s="4" t="s">
        <v>214</v>
      </c>
      <c r="D32" s="4" t="s">
        <v>977</v>
      </c>
      <c r="E32" s="5">
        <v>320000</v>
      </c>
      <c r="F32" s="6">
        <v>1856.96</v>
      </c>
      <c r="G32" s="7">
        <v>1.4411075000000001E-2</v>
      </c>
      <c r="H32" s="112"/>
    </row>
    <row r="33" spans="1:8" x14ac:dyDescent="0.2">
      <c r="A33" s="3">
        <v>27</v>
      </c>
      <c r="B33" s="4" t="s">
        <v>406</v>
      </c>
      <c r="C33" s="4" t="s">
        <v>407</v>
      </c>
      <c r="D33" s="4" t="s">
        <v>71</v>
      </c>
      <c r="E33" s="5">
        <v>84000</v>
      </c>
      <c r="F33" s="6">
        <v>1662.7380000000001</v>
      </c>
      <c r="G33" s="7">
        <v>1.2903800999999999E-2</v>
      </c>
      <c r="H33" s="112"/>
    </row>
    <row r="34" spans="1:8" x14ac:dyDescent="0.2">
      <c r="A34" s="3">
        <v>28</v>
      </c>
      <c r="B34" s="4" t="s">
        <v>219</v>
      </c>
      <c r="C34" s="4" t="s">
        <v>220</v>
      </c>
      <c r="D34" s="4" t="s">
        <v>64</v>
      </c>
      <c r="E34" s="5">
        <v>160000</v>
      </c>
      <c r="F34" s="6">
        <v>1542.48</v>
      </c>
      <c r="G34" s="7">
        <v>1.197053E-2</v>
      </c>
      <c r="H34" s="112"/>
    </row>
    <row r="35" spans="1:8" x14ac:dyDescent="0.2">
      <c r="A35" s="3">
        <v>29</v>
      </c>
      <c r="B35" s="4" t="s">
        <v>572</v>
      </c>
      <c r="C35" s="4" t="s">
        <v>573</v>
      </c>
      <c r="D35" s="4" t="s">
        <v>192</v>
      </c>
      <c r="E35" s="5">
        <v>235000</v>
      </c>
      <c r="F35" s="6">
        <v>1335.8575000000001</v>
      </c>
      <c r="G35" s="7">
        <v>1.0367021000000001E-2</v>
      </c>
      <c r="H35" s="112"/>
    </row>
    <row r="36" spans="1:8" x14ac:dyDescent="0.2">
      <c r="A36" s="3">
        <v>30</v>
      </c>
      <c r="B36" s="4" t="s">
        <v>533</v>
      </c>
      <c r="C36" s="4" t="s">
        <v>534</v>
      </c>
      <c r="D36" s="4" t="s">
        <v>977</v>
      </c>
      <c r="E36" s="5">
        <v>2400000</v>
      </c>
      <c r="F36" s="6">
        <v>1308</v>
      </c>
      <c r="G36" s="7">
        <v>1.015083E-2</v>
      </c>
      <c r="H36" s="112"/>
    </row>
    <row r="37" spans="1:8" x14ac:dyDescent="0.2">
      <c r="A37" s="3">
        <v>31</v>
      </c>
      <c r="B37" s="4" t="s">
        <v>574</v>
      </c>
      <c r="C37" s="4" t="s">
        <v>575</v>
      </c>
      <c r="D37" s="4" t="s">
        <v>71</v>
      </c>
      <c r="E37" s="5">
        <v>500000</v>
      </c>
      <c r="F37" s="6">
        <v>1284.5</v>
      </c>
      <c r="G37" s="7">
        <v>9.968457E-3</v>
      </c>
      <c r="H37" s="112"/>
    </row>
    <row r="38" spans="1:8" x14ac:dyDescent="0.2">
      <c r="A38" s="3">
        <v>32</v>
      </c>
      <c r="B38" s="4" t="s">
        <v>210</v>
      </c>
      <c r="C38" s="4" t="s">
        <v>211</v>
      </c>
      <c r="D38" s="4" t="s">
        <v>212</v>
      </c>
      <c r="E38" s="5">
        <v>500000</v>
      </c>
      <c r="F38" s="6">
        <v>1241</v>
      </c>
      <c r="G38" s="7">
        <v>9.6308720000000004E-3</v>
      </c>
      <c r="H38" s="112"/>
    </row>
    <row r="39" spans="1:8" x14ac:dyDescent="0.2">
      <c r="A39" s="3">
        <v>33</v>
      </c>
      <c r="B39" s="4" t="s">
        <v>576</v>
      </c>
      <c r="C39" s="4" t="s">
        <v>577</v>
      </c>
      <c r="D39" s="4" t="s">
        <v>78</v>
      </c>
      <c r="E39" s="5">
        <v>30000</v>
      </c>
      <c r="F39" s="6">
        <v>1112.175</v>
      </c>
      <c r="G39" s="7">
        <v>8.6311159999999994E-3</v>
      </c>
      <c r="H39" s="112"/>
    </row>
    <row r="40" spans="1:8" x14ac:dyDescent="0.2">
      <c r="A40" s="3">
        <v>34</v>
      </c>
      <c r="B40" s="4" t="s">
        <v>390</v>
      </c>
      <c r="C40" s="4" t="s">
        <v>391</v>
      </c>
      <c r="D40" s="4" t="s">
        <v>334</v>
      </c>
      <c r="E40" s="5">
        <v>725000</v>
      </c>
      <c r="F40" s="6">
        <v>953.73749999999995</v>
      </c>
      <c r="G40" s="7">
        <v>7.4015499999999998E-3</v>
      </c>
      <c r="H40" s="112"/>
    </row>
    <row r="41" spans="1:8" x14ac:dyDescent="0.2">
      <c r="A41" s="3">
        <v>35</v>
      </c>
      <c r="B41" s="4" t="s">
        <v>578</v>
      </c>
      <c r="C41" s="4" t="s">
        <v>579</v>
      </c>
      <c r="D41" s="4" t="s">
        <v>71</v>
      </c>
      <c r="E41" s="5">
        <v>170000</v>
      </c>
      <c r="F41" s="6">
        <v>923.61</v>
      </c>
      <c r="G41" s="7">
        <v>7.1677429999999999E-3</v>
      </c>
      <c r="H41" s="112"/>
    </row>
    <row r="42" spans="1:8" x14ac:dyDescent="0.2">
      <c r="A42" s="3">
        <v>36</v>
      </c>
      <c r="B42" s="4" t="s">
        <v>580</v>
      </c>
      <c r="C42" s="4" t="s">
        <v>581</v>
      </c>
      <c r="D42" s="4" t="s">
        <v>977</v>
      </c>
      <c r="E42" s="5">
        <v>505154</v>
      </c>
      <c r="F42" s="6">
        <v>619.82395799999995</v>
      </c>
      <c r="G42" s="7">
        <v>4.8101899999999998E-3</v>
      </c>
      <c r="H42" s="112"/>
    </row>
    <row r="43" spans="1:8" ht="25.5" x14ac:dyDescent="0.2">
      <c r="A43" s="3">
        <v>37</v>
      </c>
      <c r="B43" s="4" t="s">
        <v>289</v>
      </c>
      <c r="C43" s="4" t="s">
        <v>290</v>
      </c>
      <c r="D43" s="4" t="s">
        <v>972</v>
      </c>
      <c r="E43" s="5">
        <v>17772</v>
      </c>
      <c r="F43" s="6">
        <v>199.935</v>
      </c>
      <c r="G43" s="7">
        <v>1.5516099999999999E-3</v>
      </c>
      <c r="H43" s="112"/>
    </row>
    <row r="44" spans="1:8" x14ac:dyDescent="0.2">
      <c r="A44" s="3">
        <v>38</v>
      </c>
      <c r="B44" s="4" t="s">
        <v>582</v>
      </c>
      <c r="C44" s="4" t="s">
        <v>583</v>
      </c>
      <c r="D44" s="4" t="s">
        <v>334</v>
      </c>
      <c r="E44" s="5">
        <v>3974</v>
      </c>
      <c r="F44" s="6">
        <v>184.212783</v>
      </c>
      <c r="G44" s="7">
        <v>1.4295969999999999E-3</v>
      </c>
      <c r="H44" s="112"/>
    </row>
    <row r="45" spans="1:8" x14ac:dyDescent="0.2">
      <c r="A45" s="1"/>
      <c r="B45" s="1"/>
      <c r="C45" s="2" t="s">
        <v>97</v>
      </c>
      <c r="D45" s="1"/>
      <c r="E45" s="1" t="s">
        <v>98</v>
      </c>
      <c r="F45" s="9">
        <v>127263.000416</v>
      </c>
      <c r="G45" s="10">
        <v>0.98763389499999998</v>
      </c>
      <c r="H45" s="112"/>
    </row>
    <row r="46" spans="1:8" x14ac:dyDescent="0.2">
      <c r="A46" s="1"/>
      <c r="B46" s="1"/>
      <c r="C46" s="11"/>
      <c r="D46" s="1"/>
      <c r="E46" s="1"/>
      <c r="F46" s="12"/>
      <c r="G46" s="12"/>
      <c r="H46" s="112"/>
    </row>
    <row r="47" spans="1:8" x14ac:dyDescent="0.2">
      <c r="A47" s="1"/>
      <c r="B47" s="1"/>
      <c r="C47" s="2" t="s">
        <v>99</v>
      </c>
      <c r="D47" s="1"/>
      <c r="E47" s="1"/>
      <c r="F47" s="1"/>
      <c r="G47" s="1"/>
      <c r="H47" s="112"/>
    </row>
    <row r="48" spans="1:8" x14ac:dyDescent="0.2">
      <c r="A48" s="1"/>
      <c r="B48" s="1"/>
      <c r="C48" s="2" t="s">
        <v>97</v>
      </c>
      <c r="D48" s="1"/>
      <c r="E48" s="1" t="s">
        <v>98</v>
      </c>
      <c r="F48" s="13">
        <v>0</v>
      </c>
      <c r="G48" s="14">
        <v>0</v>
      </c>
      <c r="H48" s="112"/>
    </row>
    <row r="49" spans="1:8" x14ac:dyDescent="0.2">
      <c r="A49" s="1"/>
      <c r="B49" s="1"/>
      <c r="C49" s="11"/>
      <c r="D49" s="1"/>
      <c r="E49" s="1"/>
      <c r="F49" s="12"/>
      <c r="G49" s="12"/>
      <c r="H49" s="112"/>
    </row>
    <row r="50" spans="1:8" x14ac:dyDescent="0.2">
      <c r="A50" s="1"/>
      <c r="B50" s="1"/>
      <c r="C50" s="2" t="s">
        <v>100</v>
      </c>
      <c r="D50" s="1"/>
      <c r="E50" s="1"/>
      <c r="F50" s="1"/>
      <c r="G50" s="1"/>
      <c r="H50" s="112"/>
    </row>
    <row r="51" spans="1:8" x14ac:dyDescent="0.2">
      <c r="A51" s="1"/>
      <c r="B51" s="1"/>
      <c r="C51" s="2" t="s">
        <v>97</v>
      </c>
      <c r="D51" s="1"/>
      <c r="E51" s="1" t="s">
        <v>98</v>
      </c>
      <c r="F51" s="13">
        <v>0</v>
      </c>
      <c r="G51" s="14">
        <v>0</v>
      </c>
      <c r="H51" s="112"/>
    </row>
    <row r="52" spans="1:8" x14ac:dyDescent="0.2">
      <c r="A52" s="1"/>
      <c r="B52" s="1"/>
      <c r="C52" s="11"/>
      <c r="D52" s="1"/>
      <c r="E52" s="1"/>
      <c r="F52" s="12"/>
      <c r="G52" s="12"/>
      <c r="H52" s="112"/>
    </row>
    <row r="53" spans="1:8" x14ac:dyDescent="0.2">
      <c r="A53" s="1"/>
      <c r="B53" s="1"/>
      <c r="C53" s="2" t="s">
        <v>101</v>
      </c>
      <c r="D53" s="1"/>
      <c r="E53" s="1"/>
      <c r="F53" s="1"/>
      <c r="G53" s="1"/>
      <c r="H53" s="112"/>
    </row>
    <row r="54" spans="1:8" x14ac:dyDescent="0.2">
      <c r="A54" s="1"/>
      <c r="B54" s="1"/>
      <c r="C54" s="2" t="s">
        <v>97</v>
      </c>
      <c r="D54" s="1"/>
      <c r="E54" s="1" t="s">
        <v>98</v>
      </c>
      <c r="F54" s="13">
        <v>0</v>
      </c>
      <c r="G54" s="14">
        <v>0</v>
      </c>
      <c r="H54" s="112"/>
    </row>
    <row r="55" spans="1:8" x14ac:dyDescent="0.2">
      <c r="A55" s="1"/>
      <c r="B55" s="1"/>
      <c r="C55" s="11"/>
      <c r="D55" s="1"/>
      <c r="E55" s="1"/>
      <c r="F55" s="12"/>
      <c r="G55" s="12"/>
      <c r="H55" s="112"/>
    </row>
    <row r="56" spans="1:8" x14ac:dyDescent="0.2">
      <c r="A56" s="1"/>
      <c r="B56" s="1"/>
      <c r="C56" s="2" t="s">
        <v>102</v>
      </c>
      <c r="D56" s="1"/>
      <c r="E56" s="1"/>
      <c r="F56" s="12"/>
      <c r="G56" s="12"/>
      <c r="H56" s="112"/>
    </row>
    <row r="57" spans="1:8" x14ac:dyDescent="0.2">
      <c r="A57" s="1"/>
      <c r="B57" s="1"/>
      <c r="C57" s="2" t="s">
        <v>97</v>
      </c>
      <c r="D57" s="1"/>
      <c r="E57" s="1" t="s">
        <v>98</v>
      </c>
      <c r="F57" s="13">
        <v>0</v>
      </c>
      <c r="G57" s="14">
        <v>0</v>
      </c>
      <c r="H57" s="112"/>
    </row>
    <row r="58" spans="1:8" x14ac:dyDescent="0.2">
      <c r="A58" s="1"/>
      <c r="B58" s="1"/>
      <c r="C58" s="11"/>
      <c r="D58" s="1"/>
      <c r="E58" s="1"/>
      <c r="F58" s="12"/>
      <c r="G58" s="12"/>
      <c r="H58" s="112"/>
    </row>
    <row r="59" spans="1:8" x14ac:dyDescent="0.2">
      <c r="A59" s="1"/>
      <c r="B59" s="1"/>
      <c r="C59" s="2" t="s">
        <v>103</v>
      </c>
      <c r="D59" s="1"/>
      <c r="E59" s="1"/>
      <c r="F59" s="12"/>
      <c r="G59" s="12"/>
      <c r="H59" s="112"/>
    </row>
    <row r="60" spans="1:8" x14ac:dyDescent="0.2">
      <c r="A60" s="1"/>
      <c r="B60" s="1"/>
      <c r="C60" s="2" t="s">
        <v>97</v>
      </c>
      <c r="D60" s="1"/>
      <c r="E60" s="1" t="s">
        <v>98</v>
      </c>
      <c r="F60" s="13">
        <v>0</v>
      </c>
      <c r="G60" s="14">
        <v>0</v>
      </c>
      <c r="H60" s="112"/>
    </row>
    <row r="61" spans="1:8" x14ac:dyDescent="0.2">
      <c r="A61" s="1"/>
      <c r="B61" s="1"/>
      <c r="C61" s="11"/>
      <c r="D61" s="1"/>
      <c r="E61" s="1"/>
      <c r="F61" s="12"/>
      <c r="G61" s="12"/>
      <c r="H61" s="112"/>
    </row>
    <row r="62" spans="1:8" x14ac:dyDescent="0.2">
      <c r="A62" s="1"/>
      <c r="B62" s="1"/>
      <c r="C62" s="2" t="s">
        <v>104</v>
      </c>
      <c r="D62" s="1"/>
      <c r="E62" s="1"/>
      <c r="F62" s="9">
        <v>127263.000416</v>
      </c>
      <c r="G62" s="10">
        <v>0.98763389499999998</v>
      </c>
      <c r="H62" s="112"/>
    </row>
    <row r="63" spans="1:8" x14ac:dyDescent="0.2">
      <c r="A63" s="1"/>
      <c r="B63" s="1"/>
      <c r="C63" s="11"/>
      <c r="D63" s="1"/>
      <c r="E63" s="1"/>
      <c r="F63" s="12"/>
      <c r="G63" s="12"/>
      <c r="H63" s="112"/>
    </row>
    <row r="64" spans="1:8" x14ac:dyDescent="0.2">
      <c r="A64" s="1"/>
      <c r="B64" s="1"/>
      <c r="C64" s="2" t="s">
        <v>105</v>
      </c>
      <c r="D64" s="1"/>
      <c r="E64" s="1"/>
      <c r="F64" s="12"/>
      <c r="G64" s="12"/>
      <c r="H64" s="112"/>
    </row>
    <row r="65" spans="1:8" ht="25.5" x14ac:dyDescent="0.2">
      <c r="A65" s="1"/>
      <c r="B65" s="1"/>
      <c r="C65" s="2" t="s">
        <v>10</v>
      </c>
      <c r="D65" s="1"/>
      <c r="E65" s="1"/>
      <c r="F65" s="12"/>
      <c r="G65" s="12"/>
      <c r="H65" s="112"/>
    </row>
    <row r="66" spans="1:8" x14ac:dyDescent="0.2">
      <c r="A66" s="1"/>
      <c r="B66" s="1"/>
      <c r="C66" s="2" t="s">
        <v>97</v>
      </c>
      <c r="D66" s="1"/>
      <c r="E66" s="1" t="s">
        <v>98</v>
      </c>
      <c r="F66" s="13">
        <v>0</v>
      </c>
      <c r="G66" s="14">
        <v>0</v>
      </c>
      <c r="H66" s="112"/>
    </row>
    <row r="67" spans="1:8" x14ac:dyDescent="0.2">
      <c r="A67" s="1"/>
      <c r="B67" s="1"/>
      <c r="C67" s="11"/>
      <c r="D67" s="1"/>
      <c r="E67" s="1"/>
      <c r="F67" s="12"/>
      <c r="G67" s="12"/>
      <c r="H67" s="112"/>
    </row>
    <row r="68" spans="1:8" x14ac:dyDescent="0.2">
      <c r="A68" s="1"/>
      <c r="B68" s="1"/>
      <c r="C68" s="2" t="s">
        <v>106</v>
      </c>
      <c r="D68" s="1"/>
      <c r="E68" s="1"/>
      <c r="F68" s="1"/>
      <c r="G68" s="1"/>
      <c r="H68" s="112"/>
    </row>
    <row r="69" spans="1:8" x14ac:dyDescent="0.2">
      <c r="A69" s="1"/>
      <c r="B69" s="1"/>
      <c r="C69" s="2" t="s">
        <v>97</v>
      </c>
      <c r="D69" s="1"/>
      <c r="E69" s="1" t="s">
        <v>98</v>
      </c>
      <c r="F69" s="13">
        <v>0</v>
      </c>
      <c r="G69" s="14">
        <v>0</v>
      </c>
      <c r="H69" s="112"/>
    </row>
    <row r="70" spans="1:8" x14ac:dyDescent="0.2">
      <c r="A70" s="1"/>
      <c r="B70" s="1"/>
      <c r="C70" s="11"/>
      <c r="D70" s="1"/>
      <c r="E70" s="1"/>
      <c r="F70" s="12"/>
      <c r="G70" s="12"/>
      <c r="H70" s="112"/>
    </row>
    <row r="71" spans="1:8" x14ac:dyDescent="0.2">
      <c r="A71" s="1"/>
      <c r="B71" s="1"/>
      <c r="C71" s="2" t="s">
        <v>107</v>
      </c>
      <c r="D71" s="1"/>
      <c r="E71" s="1"/>
      <c r="F71" s="1"/>
      <c r="G71" s="1"/>
      <c r="H71" s="112"/>
    </row>
    <row r="72" spans="1:8" x14ac:dyDescent="0.2">
      <c r="A72" s="1"/>
      <c r="B72" s="1"/>
      <c r="C72" s="2" t="s">
        <v>97</v>
      </c>
      <c r="D72" s="1"/>
      <c r="E72" s="1" t="s">
        <v>98</v>
      </c>
      <c r="F72" s="13">
        <v>0</v>
      </c>
      <c r="G72" s="14">
        <v>0</v>
      </c>
      <c r="H72" s="112"/>
    </row>
    <row r="73" spans="1:8" x14ac:dyDescent="0.2">
      <c r="A73" s="1"/>
      <c r="B73" s="1"/>
      <c r="C73" s="11"/>
      <c r="D73" s="1"/>
      <c r="E73" s="1"/>
      <c r="F73" s="12"/>
      <c r="G73" s="12"/>
      <c r="H73" s="112"/>
    </row>
    <row r="74" spans="1:8" x14ac:dyDescent="0.2">
      <c r="A74" s="1"/>
      <c r="B74" s="1"/>
      <c r="C74" s="2" t="s">
        <v>108</v>
      </c>
      <c r="D74" s="1"/>
      <c r="E74" s="1"/>
      <c r="F74" s="12"/>
      <c r="G74" s="12"/>
      <c r="H74" s="112"/>
    </row>
    <row r="75" spans="1:8" x14ac:dyDescent="0.2">
      <c r="A75" s="1"/>
      <c r="B75" s="1"/>
      <c r="C75" s="2" t="s">
        <v>97</v>
      </c>
      <c r="D75" s="1"/>
      <c r="E75" s="1" t="s">
        <v>98</v>
      </c>
      <c r="F75" s="13">
        <v>0</v>
      </c>
      <c r="G75" s="14">
        <v>0</v>
      </c>
      <c r="H75" s="112"/>
    </row>
    <row r="76" spans="1:8" x14ac:dyDescent="0.2">
      <c r="A76" s="1"/>
      <c r="B76" s="1"/>
      <c r="C76" s="11"/>
      <c r="D76" s="1"/>
      <c r="E76" s="1"/>
      <c r="F76" s="12"/>
      <c r="G76" s="12"/>
      <c r="H76" s="112"/>
    </row>
    <row r="77" spans="1:8" x14ac:dyDescent="0.2">
      <c r="A77" s="1"/>
      <c r="B77" s="1"/>
      <c r="C77" s="2" t="s">
        <v>109</v>
      </c>
      <c r="D77" s="1"/>
      <c r="E77" s="1"/>
      <c r="F77" s="9">
        <v>0</v>
      </c>
      <c r="G77" s="10">
        <v>0</v>
      </c>
      <c r="H77" s="112"/>
    </row>
    <row r="78" spans="1:8" x14ac:dyDescent="0.2">
      <c r="A78" s="1"/>
      <c r="B78" s="1"/>
      <c r="C78" s="11"/>
      <c r="D78" s="1"/>
      <c r="E78" s="1"/>
      <c r="F78" s="12"/>
      <c r="G78" s="12"/>
      <c r="H78" s="112"/>
    </row>
    <row r="79" spans="1:8" x14ac:dyDescent="0.2">
      <c r="A79" s="1"/>
      <c r="B79" s="1"/>
      <c r="C79" s="2" t="s">
        <v>110</v>
      </c>
      <c r="D79" s="1"/>
      <c r="E79" s="1"/>
      <c r="F79" s="12"/>
      <c r="G79" s="12"/>
      <c r="H79" s="112"/>
    </row>
    <row r="80" spans="1:8" x14ac:dyDescent="0.2">
      <c r="A80" s="1"/>
      <c r="B80" s="1"/>
      <c r="C80" s="2" t="s">
        <v>111</v>
      </c>
      <c r="D80" s="1"/>
      <c r="E80" s="1"/>
      <c r="F80" s="12"/>
      <c r="G80" s="12"/>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2" t="s">
        <v>112</v>
      </c>
      <c r="D83" s="1"/>
      <c r="E83" s="1"/>
      <c r="F83" s="12"/>
      <c r="G83" s="12"/>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113</v>
      </c>
      <c r="D86" s="1"/>
      <c r="E86" s="1"/>
      <c r="F86" s="12"/>
      <c r="G86" s="12"/>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114</v>
      </c>
      <c r="D89" s="1"/>
      <c r="E89" s="1"/>
      <c r="F89" s="12"/>
      <c r="G89" s="12"/>
      <c r="H89" s="112"/>
    </row>
    <row r="90" spans="1:8" x14ac:dyDescent="0.2">
      <c r="A90" s="3">
        <v>1</v>
      </c>
      <c r="B90" s="4"/>
      <c r="C90" s="4" t="s">
        <v>115</v>
      </c>
      <c r="D90" s="4"/>
      <c r="E90" s="8"/>
      <c r="F90" s="6">
        <v>452.51869559658962</v>
      </c>
      <c r="G90" s="7">
        <v>3.511804692410202E-3</v>
      </c>
      <c r="H90" s="6">
        <v>3.3211324282253978</v>
      </c>
    </row>
    <row r="91" spans="1:8" x14ac:dyDescent="0.2">
      <c r="A91" s="3">
        <v>2</v>
      </c>
      <c r="B91" s="4"/>
      <c r="C91" s="4" t="s">
        <v>116</v>
      </c>
      <c r="D91" s="4"/>
      <c r="E91" s="8"/>
      <c r="F91" s="6">
        <v>177.75995005002909</v>
      </c>
      <c r="G91" s="7">
        <v>1.3795191950805225E-3</v>
      </c>
      <c r="H91" s="6">
        <v>3.35</v>
      </c>
    </row>
    <row r="92" spans="1:8" x14ac:dyDescent="0.2">
      <c r="A92" s="1"/>
      <c r="B92" s="1"/>
      <c r="C92" s="2" t="s">
        <v>97</v>
      </c>
      <c r="D92" s="1"/>
      <c r="E92" s="1" t="s">
        <v>98</v>
      </c>
      <c r="F92" s="9">
        <v>630.27864564661877</v>
      </c>
      <c r="G92" s="10">
        <v>4.8913238874907245E-3</v>
      </c>
      <c r="H92" s="112"/>
    </row>
    <row r="93" spans="1:8" x14ac:dyDescent="0.2">
      <c r="A93" s="1"/>
      <c r="B93" s="1"/>
      <c r="C93" s="11"/>
      <c r="D93" s="1"/>
      <c r="E93" s="1"/>
      <c r="F93" s="12"/>
      <c r="G93" s="12"/>
      <c r="H93" s="112"/>
    </row>
    <row r="94" spans="1:8" x14ac:dyDescent="0.2">
      <c r="A94" s="1"/>
      <c r="B94" s="1"/>
      <c r="C94" s="2" t="s">
        <v>117</v>
      </c>
      <c r="D94" s="1"/>
      <c r="E94" s="1"/>
      <c r="F94" s="9">
        <v>630.27864564661877</v>
      </c>
      <c r="G94" s="10">
        <v>4.8913238874907245E-3</v>
      </c>
      <c r="H94" s="112"/>
    </row>
    <row r="95" spans="1:8" x14ac:dyDescent="0.2">
      <c r="A95" s="1"/>
      <c r="B95" s="1"/>
      <c r="C95" s="12"/>
      <c r="D95" s="1"/>
      <c r="E95" s="1"/>
      <c r="F95" s="1"/>
      <c r="G95" s="1"/>
      <c r="H95" s="112"/>
    </row>
    <row r="96" spans="1:8" x14ac:dyDescent="0.2">
      <c r="A96" s="1"/>
      <c r="B96" s="1"/>
      <c r="C96" s="2" t="s">
        <v>118</v>
      </c>
      <c r="D96" s="1"/>
      <c r="E96" s="1"/>
      <c r="F96" s="1"/>
      <c r="G96" s="1"/>
      <c r="H96" s="112"/>
    </row>
    <row r="97" spans="1:8" x14ac:dyDescent="0.2">
      <c r="A97" s="1"/>
      <c r="B97" s="1"/>
      <c r="C97" s="2" t="s">
        <v>119</v>
      </c>
      <c r="D97" s="1"/>
      <c r="E97" s="1"/>
      <c r="F97" s="1"/>
      <c r="G97" s="1"/>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120</v>
      </c>
      <c r="D100" s="1"/>
      <c r="E100" s="1"/>
      <c r="F100" s="1"/>
      <c r="G100" s="1"/>
      <c r="H100" s="112"/>
    </row>
    <row r="101" spans="1:8" x14ac:dyDescent="0.2">
      <c r="A101" s="1"/>
      <c r="B101" s="1"/>
      <c r="C101" s="2" t="s">
        <v>121</v>
      </c>
      <c r="D101" s="1"/>
      <c r="E101" s="1"/>
      <c r="F101" s="1"/>
      <c r="G101" s="1"/>
      <c r="H101" s="112"/>
    </row>
    <row r="102" spans="1:8" x14ac:dyDescent="0.2">
      <c r="A102" s="1"/>
      <c r="B102" s="1"/>
      <c r="C102" s="2" t="s">
        <v>97</v>
      </c>
      <c r="D102" s="1"/>
      <c r="E102" s="1" t="s">
        <v>98</v>
      </c>
      <c r="F102" s="13">
        <v>0</v>
      </c>
      <c r="G102" s="14">
        <v>0</v>
      </c>
      <c r="H102" s="112"/>
    </row>
    <row r="103" spans="1:8" x14ac:dyDescent="0.2">
      <c r="A103" s="1"/>
      <c r="B103" s="1"/>
      <c r="C103" s="11"/>
      <c r="D103" s="1"/>
      <c r="E103" s="1"/>
      <c r="F103" s="12"/>
      <c r="G103" s="12"/>
      <c r="H103" s="112"/>
    </row>
    <row r="104" spans="1:8" x14ac:dyDescent="0.2">
      <c r="A104" s="1"/>
      <c r="B104" s="1"/>
      <c r="C104" s="11"/>
      <c r="D104" s="1"/>
      <c r="E104" s="1"/>
      <c r="F104" s="12"/>
      <c r="G104" s="12"/>
      <c r="H104" s="112"/>
    </row>
    <row r="105" spans="1:8" ht="25.5" x14ac:dyDescent="0.2">
      <c r="A105" s="1"/>
      <c r="B105" s="1"/>
      <c r="C105" s="2" t="s">
        <v>122</v>
      </c>
      <c r="D105" s="1"/>
      <c r="E105" s="1"/>
      <c r="F105" s="12"/>
      <c r="G105" s="12"/>
      <c r="H105" s="112"/>
    </row>
    <row r="106" spans="1:8" x14ac:dyDescent="0.2">
      <c r="A106" s="1"/>
      <c r="B106" s="1"/>
      <c r="C106" s="2" t="s">
        <v>97</v>
      </c>
      <c r="D106" s="1"/>
      <c r="E106" s="1" t="s">
        <v>98</v>
      </c>
      <c r="F106" s="13">
        <v>0</v>
      </c>
      <c r="G106" s="14">
        <v>0</v>
      </c>
      <c r="H106" s="112"/>
    </row>
    <row r="107" spans="1:8" x14ac:dyDescent="0.2">
      <c r="A107" s="1"/>
      <c r="B107" s="1"/>
      <c r="C107" s="11"/>
      <c r="D107" s="1"/>
      <c r="E107" s="1"/>
      <c r="F107" s="12"/>
      <c r="G107" s="12"/>
      <c r="H107" s="112"/>
    </row>
    <row r="108" spans="1:8" x14ac:dyDescent="0.2">
      <c r="A108" s="1"/>
      <c r="B108" s="4"/>
      <c r="C108" s="4"/>
      <c r="D108" s="2"/>
      <c r="E108" s="1"/>
      <c r="F108" s="4"/>
      <c r="G108" s="8"/>
      <c r="H108" s="112"/>
    </row>
    <row r="109" spans="1:8" x14ac:dyDescent="0.2">
      <c r="A109" s="8"/>
      <c r="B109" s="4"/>
      <c r="C109" s="4" t="s">
        <v>123</v>
      </c>
      <c r="D109" s="4"/>
      <c r="E109" s="8"/>
      <c r="F109" s="6">
        <v>963.17369504997089</v>
      </c>
      <c r="G109" s="7">
        <v>7.4747804561382473E-3</v>
      </c>
      <c r="H109" s="112"/>
    </row>
    <row r="110" spans="1:8" x14ac:dyDescent="0.2">
      <c r="A110" s="11"/>
      <c r="B110" s="11"/>
      <c r="C110" s="2" t="s">
        <v>124</v>
      </c>
      <c r="D110" s="15"/>
      <c r="E110" s="15"/>
      <c r="F110" s="9">
        <v>128856.45275669658</v>
      </c>
      <c r="G110" s="10">
        <v>0.99999999934362893</v>
      </c>
      <c r="H110" s="112"/>
    </row>
    <row r="111" spans="1:8" ht="14.1" customHeight="1" x14ac:dyDescent="0.2">
      <c r="A111" s="16"/>
      <c r="B111" s="16"/>
      <c r="C111" s="16"/>
      <c r="D111" s="17"/>
      <c r="E111" s="17"/>
      <c r="F111" s="77"/>
      <c r="G111" s="77"/>
    </row>
    <row r="112" spans="1:8" ht="14.1" customHeight="1" x14ac:dyDescent="0.2">
      <c r="A112" s="18"/>
      <c r="B112" s="205" t="s">
        <v>98</v>
      </c>
      <c r="C112" s="205"/>
      <c r="D112" s="205"/>
      <c r="E112" s="205"/>
      <c r="F112" s="205"/>
      <c r="G112" s="20"/>
    </row>
    <row r="113" spans="1:15" ht="14.1" customHeight="1" x14ac:dyDescent="0.2">
      <c r="A113" s="18"/>
      <c r="B113" s="205" t="s">
        <v>98</v>
      </c>
      <c r="C113" s="205"/>
      <c r="D113" s="205"/>
      <c r="E113" s="205"/>
      <c r="F113" s="205"/>
      <c r="G113" s="20"/>
    </row>
    <row r="114" spans="1:15" ht="14.1" customHeight="1" x14ac:dyDescent="0.2">
      <c r="A114" s="18"/>
      <c r="B114" s="18"/>
      <c r="C114" s="18"/>
      <c r="D114" s="20"/>
      <c r="E114" s="20"/>
      <c r="F114" s="20"/>
      <c r="G114" s="20"/>
    </row>
    <row r="115" spans="1:15" ht="14.1" customHeight="1" x14ac:dyDescent="0.2">
      <c r="A115" s="18"/>
      <c r="B115" s="203" t="s">
        <v>126</v>
      </c>
      <c r="C115" s="204"/>
      <c r="D115" s="12" t="s">
        <v>98</v>
      </c>
      <c r="E115" s="21"/>
      <c r="F115" s="20"/>
      <c r="G115" s="20"/>
    </row>
    <row r="116" spans="1:15" ht="29.1" customHeight="1" x14ac:dyDescent="0.2">
      <c r="A116" s="18"/>
      <c r="B116" s="198" t="s">
        <v>127</v>
      </c>
      <c r="C116" s="199"/>
      <c r="D116" s="2" t="s">
        <v>128</v>
      </c>
      <c r="E116" s="21"/>
      <c r="F116" s="20"/>
      <c r="G116" s="20"/>
    </row>
    <row r="117" spans="1:15" ht="17.100000000000001" customHeight="1" x14ac:dyDescent="0.2">
      <c r="A117" s="18"/>
      <c r="B117" s="198" t="s">
        <v>129</v>
      </c>
      <c r="C117" s="199"/>
      <c r="D117" s="2" t="s">
        <v>128</v>
      </c>
      <c r="E117" s="21"/>
      <c r="F117" s="20"/>
      <c r="G117" s="20"/>
    </row>
    <row r="118" spans="1:15" ht="17.100000000000001" customHeight="1" x14ac:dyDescent="0.2">
      <c r="A118" s="18"/>
      <c r="B118" s="198" t="s">
        <v>130</v>
      </c>
      <c r="C118" s="199"/>
      <c r="D118" s="12" t="s">
        <v>98</v>
      </c>
      <c r="E118" s="21"/>
      <c r="F118" s="20"/>
      <c r="G118" s="20"/>
    </row>
    <row r="119" spans="1:15" ht="24" customHeight="1" x14ac:dyDescent="0.2">
      <c r="A119" s="22"/>
      <c r="B119" s="23" t="s">
        <v>98</v>
      </c>
      <c r="C119" s="23" t="s">
        <v>131</v>
      </c>
      <c r="D119" s="23" t="s">
        <v>132</v>
      </c>
      <c r="E119" s="22"/>
      <c r="F119" s="22"/>
      <c r="G119" s="22"/>
    </row>
    <row r="120" spans="1:15" ht="18" customHeight="1" x14ac:dyDescent="0.2">
      <c r="A120" s="22"/>
      <c r="B120" s="23" t="s">
        <v>133</v>
      </c>
      <c r="C120" s="23" t="s">
        <v>134</v>
      </c>
      <c r="D120" s="23" t="s">
        <v>135</v>
      </c>
      <c r="E120" s="22"/>
      <c r="F120" s="22"/>
      <c r="G120" s="22"/>
    </row>
    <row r="121" spans="1:15" ht="17.100000000000001" customHeight="1" x14ac:dyDescent="0.2">
      <c r="A121" s="22"/>
      <c r="B121" s="4" t="s">
        <v>136</v>
      </c>
      <c r="C121" s="24">
        <v>61.579700000000003</v>
      </c>
      <c r="D121" s="24">
        <v>62.440300000000001</v>
      </c>
      <c r="E121" s="22"/>
      <c r="F121" s="19"/>
      <c r="G121" s="25"/>
    </row>
    <row r="122" spans="1:15" ht="17.100000000000001" customHeight="1" x14ac:dyDescent="0.2">
      <c r="A122" s="22"/>
      <c r="B122" s="4" t="s">
        <v>980</v>
      </c>
      <c r="C122" s="24">
        <v>23.7181</v>
      </c>
      <c r="D122" s="24">
        <v>24.049600000000002</v>
      </c>
      <c r="E122" s="22"/>
      <c r="F122" s="19"/>
      <c r="G122" s="25"/>
    </row>
    <row r="123" spans="1:15" ht="17.100000000000001" customHeight="1" x14ac:dyDescent="0.2">
      <c r="A123" s="22"/>
      <c r="B123" s="4" t="s">
        <v>137</v>
      </c>
      <c r="C123" s="24">
        <v>58.113300000000002</v>
      </c>
      <c r="D123" s="24">
        <v>58.875900000000001</v>
      </c>
      <c r="E123" s="22"/>
      <c r="F123" s="19"/>
      <c r="G123" s="25"/>
    </row>
    <row r="124" spans="1:15" ht="17.100000000000001" customHeight="1" x14ac:dyDescent="0.2">
      <c r="A124" s="22"/>
      <c r="B124" s="4" t="s">
        <v>981</v>
      </c>
      <c r="C124" s="24">
        <v>22.014199999999999</v>
      </c>
      <c r="D124" s="24">
        <v>22.3032</v>
      </c>
      <c r="E124" s="22"/>
      <c r="F124" s="19"/>
      <c r="G124" s="25"/>
    </row>
    <row r="125" spans="1:15" ht="14.1" customHeight="1" x14ac:dyDescent="0.2">
      <c r="A125" s="22"/>
      <c r="B125" s="22"/>
      <c r="C125" s="22"/>
      <c r="D125" s="22"/>
      <c r="E125" s="22"/>
      <c r="F125" s="22"/>
      <c r="G125" s="22"/>
    </row>
    <row r="126" spans="1:15" ht="17.100000000000001" customHeight="1" x14ac:dyDescent="0.2">
      <c r="A126" s="22"/>
      <c r="B126" s="198" t="s">
        <v>982</v>
      </c>
      <c r="C126" s="199"/>
      <c r="D126" s="2" t="s">
        <v>128</v>
      </c>
      <c r="E126" s="22"/>
      <c r="F126" s="22"/>
      <c r="G126" s="22"/>
      <c r="I126" s="113"/>
      <c r="J126" s="113"/>
      <c r="K126" s="113"/>
      <c r="L126" s="113"/>
      <c r="M126" s="113"/>
      <c r="N126" s="113"/>
      <c r="O126" s="113"/>
    </row>
    <row r="127" spans="1:15" ht="18" customHeight="1" x14ac:dyDescent="0.2">
      <c r="A127" s="22"/>
      <c r="B127" s="26"/>
      <c r="C127" s="26"/>
      <c r="D127" s="27"/>
      <c r="E127" s="22"/>
      <c r="F127" s="22"/>
      <c r="G127" s="22"/>
    </row>
    <row r="128" spans="1:15" s="113" customFormat="1" x14ac:dyDescent="0.2">
      <c r="B128" s="202" t="s">
        <v>984</v>
      </c>
      <c r="C128" s="202"/>
      <c r="D128" s="202"/>
      <c r="E128" s="202"/>
      <c r="F128" s="202"/>
      <c r="I128"/>
      <c r="J128"/>
      <c r="K128"/>
      <c r="L128"/>
      <c r="M128"/>
      <c r="N128"/>
      <c r="O128"/>
    </row>
    <row r="129" spans="1:7" ht="14.1" customHeight="1" x14ac:dyDescent="0.2">
      <c r="A129" s="22"/>
      <c r="B129" s="19"/>
      <c r="C129" s="19"/>
      <c r="D129" s="22"/>
      <c r="E129" s="22"/>
      <c r="F129" s="22"/>
      <c r="G129" s="22"/>
    </row>
    <row r="130" spans="1:7" ht="29.1" customHeight="1" x14ac:dyDescent="0.2">
      <c r="A130" s="22"/>
      <c r="B130" s="198" t="s">
        <v>138</v>
      </c>
      <c r="C130" s="199"/>
      <c r="D130" s="2" t="s">
        <v>128</v>
      </c>
      <c r="E130" s="22"/>
      <c r="F130" s="22"/>
      <c r="G130" s="22"/>
    </row>
    <row r="131" spans="1:7" ht="29.1" customHeight="1" x14ac:dyDescent="0.2">
      <c r="A131" s="22"/>
      <c r="B131" s="198" t="s">
        <v>139</v>
      </c>
      <c r="C131" s="199"/>
      <c r="D131" s="2" t="s">
        <v>128</v>
      </c>
      <c r="E131" s="22"/>
      <c r="F131" s="22"/>
      <c r="G131" s="22"/>
    </row>
    <row r="132" spans="1:7" ht="17.100000000000001" customHeight="1" x14ac:dyDescent="0.2">
      <c r="A132" s="22"/>
      <c r="B132" s="198" t="s">
        <v>140</v>
      </c>
      <c r="C132" s="199"/>
      <c r="D132" s="28">
        <v>0.1653590354576854</v>
      </c>
      <c r="E132" s="22"/>
      <c r="F132" s="19"/>
      <c r="G132" s="25"/>
    </row>
    <row r="133" spans="1:7" ht="17.100000000000001" customHeight="1" x14ac:dyDescent="0.2">
      <c r="A133" s="22"/>
      <c r="B133" s="198" t="s">
        <v>141</v>
      </c>
      <c r="C133" s="199"/>
      <c r="D133" s="2" t="s">
        <v>128</v>
      </c>
      <c r="E133" s="22"/>
      <c r="F133" s="22"/>
      <c r="G133" s="22"/>
    </row>
  </sheetData>
  <mergeCells count="16">
    <mergeCell ref="B133:C133"/>
    <mergeCell ref="B116:C116"/>
    <mergeCell ref="B117:C117"/>
    <mergeCell ref="B118:C118"/>
    <mergeCell ref="B126:C126"/>
    <mergeCell ref="B130:C130"/>
    <mergeCell ref="B131:C131"/>
    <mergeCell ref="B128:F128"/>
    <mergeCell ref="A1:H1"/>
    <mergeCell ref="A2:H2"/>
    <mergeCell ref="A3:H3"/>
    <mergeCell ref="J2:N2"/>
    <mergeCell ref="B132:C132"/>
    <mergeCell ref="B115:C115"/>
    <mergeCell ref="B112:F112"/>
    <mergeCell ref="B113:F113"/>
  </mergeCells>
  <pageMargins left="5.000000074505806E-2" right="5.000000074505806E-2" top="0.30000001192092896" bottom="0.20000000298023224" header="0" footer="0"/>
  <pageSetup paperSize="9" orientation="landscape"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O144"/>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584</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17</v>
      </c>
      <c r="C7" s="4" t="s">
        <v>18</v>
      </c>
      <c r="D7" s="4" t="s">
        <v>19</v>
      </c>
      <c r="E7" s="5">
        <v>2018224</v>
      </c>
      <c r="F7" s="6">
        <v>16187.165591999999</v>
      </c>
      <c r="G7" s="7">
        <v>8.4168516999999998E-2</v>
      </c>
      <c r="H7" s="112"/>
    </row>
    <row r="8" spans="1:14" x14ac:dyDescent="0.2">
      <c r="A8" s="3">
        <v>2</v>
      </c>
      <c r="B8" s="4" t="s">
        <v>412</v>
      </c>
      <c r="C8" s="4" t="s">
        <v>413</v>
      </c>
      <c r="D8" s="4" t="s">
        <v>19</v>
      </c>
      <c r="E8" s="5">
        <v>870509</v>
      </c>
      <c r="F8" s="6">
        <v>13778.8517065</v>
      </c>
      <c r="G8" s="7">
        <v>7.1645990000000007E-2</v>
      </c>
      <c r="H8" s="112"/>
    </row>
    <row r="9" spans="1:14" x14ac:dyDescent="0.2">
      <c r="A9" s="3">
        <v>3</v>
      </c>
      <c r="B9" s="4" t="s">
        <v>302</v>
      </c>
      <c r="C9" s="4" t="s">
        <v>303</v>
      </c>
      <c r="D9" s="4" t="s">
        <v>162</v>
      </c>
      <c r="E9" s="5">
        <v>279273</v>
      </c>
      <c r="F9" s="6">
        <v>12546.060251999999</v>
      </c>
      <c r="G9" s="7">
        <v>6.5235836000000005E-2</v>
      </c>
      <c r="H9" s="112"/>
    </row>
    <row r="10" spans="1:14" x14ac:dyDescent="0.2">
      <c r="A10" s="3">
        <v>4</v>
      </c>
      <c r="B10" s="4" t="s">
        <v>14</v>
      </c>
      <c r="C10" s="4" t="s">
        <v>15</v>
      </c>
      <c r="D10" s="4" t="s">
        <v>16</v>
      </c>
      <c r="E10" s="5">
        <v>446065</v>
      </c>
      <c r="F10" s="6">
        <v>11313.3235625</v>
      </c>
      <c r="G10" s="7">
        <v>5.8825967E-2</v>
      </c>
      <c r="H10" s="112"/>
    </row>
    <row r="11" spans="1:14" x14ac:dyDescent="0.2">
      <c r="A11" s="3">
        <v>5</v>
      </c>
      <c r="B11" s="4" t="s">
        <v>22</v>
      </c>
      <c r="C11" s="4" t="s">
        <v>23</v>
      </c>
      <c r="D11" s="4" t="s">
        <v>24</v>
      </c>
      <c r="E11" s="5">
        <v>1404065</v>
      </c>
      <c r="F11" s="6">
        <v>9622.7594774999998</v>
      </c>
      <c r="G11" s="7">
        <v>5.0035529000000002E-2</v>
      </c>
      <c r="H11" s="112"/>
    </row>
    <row r="12" spans="1:14" ht="25.5" x14ac:dyDescent="0.2">
      <c r="A12" s="3">
        <v>6</v>
      </c>
      <c r="B12" s="4" t="s">
        <v>416</v>
      </c>
      <c r="C12" s="4" t="s">
        <v>417</v>
      </c>
      <c r="D12" s="4" t="s">
        <v>81</v>
      </c>
      <c r="E12" s="5">
        <v>305220</v>
      </c>
      <c r="F12" s="6">
        <v>8682.5933399999994</v>
      </c>
      <c r="G12" s="7">
        <v>4.5146940000000003E-2</v>
      </c>
      <c r="H12" s="112"/>
    </row>
    <row r="13" spans="1:14" x14ac:dyDescent="0.2">
      <c r="A13" s="3">
        <v>7</v>
      </c>
      <c r="B13" s="4" t="s">
        <v>322</v>
      </c>
      <c r="C13" s="4" t="s">
        <v>323</v>
      </c>
      <c r="D13" s="4" t="s">
        <v>19</v>
      </c>
      <c r="E13" s="5">
        <v>785346</v>
      </c>
      <c r="F13" s="6">
        <v>5827.2673199999999</v>
      </c>
      <c r="G13" s="7">
        <v>3.0300081999999999E-2</v>
      </c>
      <c r="H13" s="112"/>
    </row>
    <row r="14" spans="1:14" x14ac:dyDescent="0.2">
      <c r="A14" s="3">
        <v>8</v>
      </c>
      <c r="B14" s="4" t="s">
        <v>445</v>
      </c>
      <c r="C14" s="4" t="s">
        <v>446</v>
      </c>
      <c r="D14" s="4" t="s">
        <v>19</v>
      </c>
      <c r="E14" s="5">
        <v>254049</v>
      </c>
      <c r="F14" s="6">
        <v>5160.1162635000001</v>
      </c>
      <c r="G14" s="7">
        <v>2.6831092000000001E-2</v>
      </c>
      <c r="H14" s="112"/>
    </row>
    <row r="15" spans="1:14" ht="15" x14ac:dyDescent="0.2">
      <c r="A15" s="3">
        <v>9</v>
      </c>
      <c r="B15" s="4" t="s">
        <v>358</v>
      </c>
      <c r="C15" s="4" t="s">
        <v>359</v>
      </c>
      <c r="D15" s="4" t="s">
        <v>50</v>
      </c>
      <c r="E15" s="5">
        <v>774290</v>
      </c>
      <c r="F15" s="6">
        <v>5072.3737899999996</v>
      </c>
      <c r="G15" s="7">
        <v>2.6374857000000002E-2</v>
      </c>
      <c r="H15" s="112"/>
      <c r="J15" s="188" t="s">
        <v>1020</v>
      </c>
    </row>
    <row r="16" spans="1:14" x14ac:dyDescent="0.2">
      <c r="A16" s="3">
        <v>10</v>
      </c>
      <c r="B16" s="4" t="s">
        <v>84</v>
      </c>
      <c r="C16" s="4" t="s">
        <v>85</v>
      </c>
      <c r="D16" s="4" t="s">
        <v>61</v>
      </c>
      <c r="E16" s="5">
        <v>974973</v>
      </c>
      <c r="F16" s="6">
        <v>4620.3970470000004</v>
      </c>
      <c r="G16" s="7">
        <v>2.4024710000000001E-2</v>
      </c>
      <c r="H16" s="112"/>
    </row>
    <row r="17" spans="1:8" x14ac:dyDescent="0.2">
      <c r="A17" s="3">
        <v>11</v>
      </c>
      <c r="B17" s="4" t="s">
        <v>386</v>
      </c>
      <c r="C17" s="4" t="s">
        <v>387</v>
      </c>
      <c r="D17" s="4" t="s">
        <v>973</v>
      </c>
      <c r="E17" s="5">
        <v>25000</v>
      </c>
      <c r="F17" s="6">
        <v>4455.2875000000004</v>
      </c>
      <c r="G17" s="7">
        <v>2.3166189E-2</v>
      </c>
      <c r="H17" s="112"/>
    </row>
    <row r="18" spans="1:8" x14ac:dyDescent="0.2">
      <c r="A18" s="3">
        <v>12</v>
      </c>
      <c r="B18" s="4" t="s">
        <v>167</v>
      </c>
      <c r="C18" s="4" t="s">
        <v>168</v>
      </c>
      <c r="D18" s="4" t="s">
        <v>81</v>
      </c>
      <c r="E18" s="5">
        <v>609563</v>
      </c>
      <c r="F18" s="6">
        <v>4298.9430574999997</v>
      </c>
      <c r="G18" s="7">
        <v>2.2353244000000001E-2</v>
      </c>
      <c r="H18" s="112"/>
    </row>
    <row r="19" spans="1:8" x14ac:dyDescent="0.2">
      <c r="A19" s="3">
        <v>13</v>
      </c>
      <c r="B19" s="4" t="s">
        <v>308</v>
      </c>
      <c r="C19" s="4" t="s">
        <v>309</v>
      </c>
      <c r="D19" s="4" t="s">
        <v>189</v>
      </c>
      <c r="E19" s="5">
        <v>95620</v>
      </c>
      <c r="F19" s="6">
        <v>4075.37221</v>
      </c>
      <c r="G19" s="7">
        <v>2.1190740999999999E-2</v>
      </c>
      <c r="H19" s="112"/>
    </row>
    <row r="20" spans="1:8" x14ac:dyDescent="0.2">
      <c r="A20" s="3">
        <v>14</v>
      </c>
      <c r="B20" s="4" t="s">
        <v>213</v>
      </c>
      <c r="C20" s="4" t="s">
        <v>214</v>
      </c>
      <c r="D20" s="4" t="s">
        <v>977</v>
      </c>
      <c r="E20" s="5">
        <v>667345</v>
      </c>
      <c r="F20" s="6">
        <v>3872.6030350000001</v>
      </c>
      <c r="G20" s="7">
        <v>2.0136401000000002E-2</v>
      </c>
      <c r="H20" s="112"/>
    </row>
    <row r="21" spans="1:8" x14ac:dyDescent="0.2">
      <c r="A21" s="3">
        <v>15</v>
      </c>
      <c r="B21" s="4" t="s">
        <v>174</v>
      </c>
      <c r="C21" s="4" t="s">
        <v>175</v>
      </c>
      <c r="D21" s="4" t="s">
        <v>162</v>
      </c>
      <c r="E21" s="5">
        <v>306735</v>
      </c>
      <c r="F21" s="6">
        <v>3220.7175000000002</v>
      </c>
      <c r="G21" s="7">
        <v>1.6746786999999999E-2</v>
      </c>
      <c r="H21" s="112"/>
    </row>
    <row r="22" spans="1:8" x14ac:dyDescent="0.2">
      <c r="A22" s="3">
        <v>16</v>
      </c>
      <c r="B22" s="4" t="s">
        <v>566</v>
      </c>
      <c r="C22" s="4" t="s">
        <v>567</v>
      </c>
      <c r="D22" s="4" t="s">
        <v>81</v>
      </c>
      <c r="E22" s="5">
        <v>39471</v>
      </c>
      <c r="F22" s="6">
        <v>2920.9329419999999</v>
      </c>
      <c r="G22" s="7">
        <v>1.5187994999999999E-2</v>
      </c>
      <c r="H22" s="112"/>
    </row>
    <row r="23" spans="1:8" x14ac:dyDescent="0.2">
      <c r="A23" s="3">
        <v>17</v>
      </c>
      <c r="B23" s="4" t="s">
        <v>465</v>
      </c>
      <c r="C23" s="4" t="s">
        <v>466</v>
      </c>
      <c r="D23" s="4" t="s">
        <v>50</v>
      </c>
      <c r="E23" s="5">
        <v>450000</v>
      </c>
      <c r="F23" s="6">
        <v>2832.3</v>
      </c>
      <c r="G23" s="7">
        <v>1.472713E-2</v>
      </c>
      <c r="H23" s="112"/>
    </row>
    <row r="24" spans="1:8" x14ac:dyDescent="0.2">
      <c r="A24" s="3">
        <v>18</v>
      </c>
      <c r="B24" s="4" t="s">
        <v>156</v>
      </c>
      <c r="C24" s="4" t="s">
        <v>157</v>
      </c>
      <c r="D24" s="4" t="s">
        <v>974</v>
      </c>
      <c r="E24" s="5">
        <v>226032</v>
      </c>
      <c r="F24" s="6">
        <v>2810.7079199999998</v>
      </c>
      <c r="G24" s="7">
        <v>1.4614857E-2</v>
      </c>
      <c r="H24" s="112"/>
    </row>
    <row r="25" spans="1:8" x14ac:dyDescent="0.2">
      <c r="A25" s="3">
        <v>19</v>
      </c>
      <c r="B25" s="4" t="s">
        <v>312</v>
      </c>
      <c r="C25" s="4" t="s">
        <v>313</v>
      </c>
      <c r="D25" s="4" t="s">
        <v>212</v>
      </c>
      <c r="E25" s="5">
        <v>7154</v>
      </c>
      <c r="F25" s="6">
        <v>2692.483017</v>
      </c>
      <c r="G25" s="7">
        <v>1.4000123E-2</v>
      </c>
      <c r="H25" s="112"/>
    </row>
    <row r="26" spans="1:8" x14ac:dyDescent="0.2">
      <c r="A26" s="3">
        <v>20</v>
      </c>
      <c r="B26" s="4" t="s">
        <v>205</v>
      </c>
      <c r="C26" s="4" t="s">
        <v>206</v>
      </c>
      <c r="D26" s="4" t="s">
        <v>975</v>
      </c>
      <c r="E26" s="5">
        <v>308429</v>
      </c>
      <c r="F26" s="6">
        <v>2672.0746414999999</v>
      </c>
      <c r="G26" s="7">
        <v>1.3894004999999999E-2</v>
      </c>
      <c r="H26" s="112"/>
    </row>
    <row r="27" spans="1:8" x14ac:dyDescent="0.2">
      <c r="A27" s="3">
        <v>21</v>
      </c>
      <c r="B27" s="4" t="s">
        <v>420</v>
      </c>
      <c r="C27" s="4" t="s">
        <v>421</v>
      </c>
      <c r="D27" s="4" t="s">
        <v>973</v>
      </c>
      <c r="E27" s="5">
        <v>232605</v>
      </c>
      <c r="F27" s="6">
        <v>2664.6065775000002</v>
      </c>
      <c r="G27" s="7">
        <v>1.3855173E-2</v>
      </c>
      <c r="H27" s="112"/>
    </row>
    <row r="28" spans="1:8" x14ac:dyDescent="0.2">
      <c r="A28" s="3">
        <v>22</v>
      </c>
      <c r="B28" s="4" t="s">
        <v>585</v>
      </c>
      <c r="C28" s="4" t="s">
        <v>586</v>
      </c>
      <c r="D28" s="4" t="s">
        <v>162</v>
      </c>
      <c r="E28" s="5">
        <v>45000</v>
      </c>
      <c r="F28" s="6">
        <v>2642.5349999999999</v>
      </c>
      <c r="G28" s="7">
        <v>1.3740407E-2</v>
      </c>
      <c r="H28" s="112"/>
    </row>
    <row r="29" spans="1:8" x14ac:dyDescent="0.2">
      <c r="A29" s="3">
        <v>23</v>
      </c>
      <c r="B29" s="4" t="s">
        <v>452</v>
      </c>
      <c r="C29" s="4" t="s">
        <v>453</v>
      </c>
      <c r="D29" s="4" t="s">
        <v>71</v>
      </c>
      <c r="E29" s="5">
        <v>102611</v>
      </c>
      <c r="F29" s="6">
        <v>2445.7844905000002</v>
      </c>
      <c r="G29" s="7">
        <v>1.2717361999999999E-2</v>
      </c>
      <c r="H29" s="112"/>
    </row>
    <row r="30" spans="1:8" x14ac:dyDescent="0.2">
      <c r="A30" s="3">
        <v>24</v>
      </c>
      <c r="B30" s="4" t="s">
        <v>219</v>
      </c>
      <c r="C30" s="4" t="s">
        <v>220</v>
      </c>
      <c r="D30" s="4" t="s">
        <v>64</v>
      </c>
      <c r="E30" s="5">
        <v>237112</v>
      </c>
      <c r="F30" s="6">
        <v>2285.878236</v>
      </c>
      <c r="G30" s="7">
        <v>1.1885896999999999E-2</v>
      </c>
      <c r="H30" s="112"/>
    </row>
    <row r="31" spans="1:8" x14ac:dyDescent="0.2">
      <c r="A31" s="3">
        <v>25</v>
      </c>
      <c r="B31" s="4" t="s">
        <v>227</v>
      </c>
      <c r="C31" s="4" t="s">
        <v>228</v>
      </c>
      <c r="D31" s="4" t="s">
        <v>974</v>
      </c>
      <c r="E31" s="5">
        <v>122830</v>
      </c>
      <c r="F31" s="6">
        <v>2092.7161249999999</v>
      </c>
      <c r="G31" s="7">
        <v>1.088151E-2</v>
      </c>
      <c r="H31" s="112"/>
    </row>
    <row r="32" spans="1:8" x14ac:dyDescent="0.2">
      <c r="A32" s="3">
        <v>26</v>
      </c>
      <c r="B32" s="4" t="s">
        <v>587</v>
      </c>
      <c r="C32" s="4" t="s">
        <v>588</v>
      </c>
      <c r="D32" s="4" t="s">
        <v>977</v>
      </c>
      <c r="E32" s="5">
        <v>1358497</v>
      </c>
      <c r="F32" s="6">
        <v>2073.7456705</v>
      </c>
      <c r="G32" s="7">
        <v>1.078287E-2</v>
      </c>
      <c r="H32" s="112"/>
    </row>
    <row r="33" spans="1:8" x14ac:dyDescent="0.2">
      <c r="A33" s="3">
        <v>27</v>
      </c>
      <c r="B33" s="4" t="s">
        <v>48</v>
      </c>
      <c r="C33" s="4" t="s">
        <v>49</v>
      </c>
      <c r="D33" s="4" t="s">
        <v>50</v>
      </c>
      <c r="E33" s="5">
        <v>298141</v>
      </c>
      <c r="F33" s="6">
        <v>1932.4008914999999</v>
      </c>
      <c r="G33" s="7">
        <v>1.0047917999999999E-2</v>
      </c>
      <c r="H33" s="112"/>
    </row>
    <row r="34" spans="1:8" x14ac:dyDescent="0.2">
      <c r="A34" s="3">
        <v>28</v>
      </c>
      <c r="B34" s="4" t="s">
        <v>394</v>
      </c>
      <c r="C34" s="4" t="s">
        <v>395</v>
      </c>
      <c r="D34" s="4" t="s">
        <v>976</v>
      </c>
      <c r="E34" s="5">
        <v>610000</v>
      </c>
      <c r="F34" s="6">
        <v>1835.7950000000001</v>
      </c>
      <c r="G34" s="7">
        <v>9.5455959999999999E-3</v>
      </c>
      <c r="H34" s="112"/>
    </row>
    <row r="35" spans="1:8" x14ac:dyDescent="0.2">
      <c r="A35" s="3">
        <v>29</v>
      </c>
      <c r="B35" s="4" t="s">
        <v>254</v>
      </c>
      <c r="C35" s="4" t="s">
        <v>255</v>
      </c>
      <c r="D35" s="4" t="s">
        <v>162</v>
      </c>
      <c r="E35" s="5">
        <v>139876</v>
      </c>
      <c r="F35" s="6">
        <v>1782.5797439999999</v>
      </c>
      <c r="G35" s="7">
        <v>9.2688920000000008E-3</v>
      </c>
      <c r="H35" s="112"/>
    </row>
    <row r="36" spans="1:8" x14ac:dyDescent="0.2">
      <c r="A36" s="3">
        <v>30</v>
      </c>
      <c r="B36" s="4" t="s">
        <v>207</v>
      </c>
      <c r="C36" s="4" t="s">
        <v>208</v>
      </c>
      <c r="D36" s="4" t="s">
        <v>209</v>
      </c>
      <c r="E36" s="5">
        <v>380798</v>
      </c>
      <c r="F36" s="6">
        <v>1773.3762859999999</v>
      </c>
      <c r="G36" s="7">
        <v>9.2210369999999996E-3</v>
      </c>
      <c r="H36" s="112"/>
    </row>
    <row r="37" spans="1:8" x14ac:dyDescent="0.2">
      <c r="A37" s="3">
        <v>31</v>
      </c>
      <c r="B37" s="4" t="s">
        <v>551</v>
      </c>
      <c r="C37" s="4" t="s">
        <v>552</v>
      </c>
      <c r="D37" s="4" t="s">
        <v>974</v>
      </c>
      <c r="E37" s="5">
        <v>168338</v>
      </c>
      <c r="F37" s="6">
        <v>1743.1399899999999</v>
      </c>
      <c r="G37" s="7">
        <v>9.0638170000000001E-3</v>
      </c>
      <c r="H37" s="112"/>
    </row>
    <row r="38" spans="1:8" x14ac:dyDescent="0.2">
      <c r="A38" s="3">
        <v>32</v>
      </c>
      <c r="B38" s="4" t="s">
        <v>165</v>
      </c>
      <c r="C38" s="4" t="s">
        <v>166</v>
      </c>
      <c r="D38" s="4" t="s">
        <v>976</v>
      </c>
      <c r="E38" s="5">
        <v>404089</v>
      </c>
      <c r="F38" s="6">
        <v>1693.3349545000001</v>
      </c>
      <c r="G38" s="7">
        <v>8.8048450000000004E-3</v>
      </c>
      <c r="H38" s="112"/>
    </row>
    <row r="39" spans="1:8" x14ac:dyDescent="0.2">
      <c r="A39" s="3">
        <v>33</v>
      </c>
      <c r="B39" s="4" t="s">
        <v>332</v>
      </c>
      <c r="C39" s="4" t="s">
        <v>333</v>
      </c>
      <c r="D39" s="4" t="s">
        <v>334</v>
      </c>
      <c r="E39" s="5">
        <v>166156</v>
      </c>
      <c r="F39" s="6">
        <v>1666.7939140000001</v>
      </c>
      <c r="G39" s="7">
        <v>8.6668400000000003E-3</v>
      </c>
      <c r="H39" s="112"/>
    </row>
    <row r="40" spans="1:8" x14ac:dyDescent="0.2">
      <c r="A40" s="3">
        <v>34</v>
      </c>
      <c r="B40" s="4" t="s">
        <v>187</v>
      </c>
      <c r="C40" s="4" t="s">
        <v>188</v>
      </c>
      <c r="D40" s="4" t="s">
        <v>189</v>
      </c>
      <c r="E40" s="5">
        <v>652856</v>
      </c>
      <c r="F40" s="6">
        <v>1472.843136</v>
      </c>
      <c r="G40" s="7">
        <v>7.6583529999999997E-3</v>
      </c>
      <c r="H40" s="112"/>
    </row>
    <row r="41" spans="1:8" ht="25.5" x14ac:dyDescent="0.2">
      <c r="A41" s="3">
        <v>35</v>
      </c>
      <c r="B41" s="4" t="s">
        <v>460</v>
      </c>
      <c r="C41" s="4" t="s">
        <v>461</v>
      </c>
      <c r="D41" s="4" t="s">
        <v>973</v>
      </c>
      <c r="E41" s="5">
        <v>92987</v>
      </c>
      <c r="F41" s="6">
        <v>1377.6488985000001</v>
      </c>
      <c r="G41" s="7">
        <v>7.1633699999999996E-3</v>
      </c>
      <c r="H41" s="112"/>
    </row>
    <row r="42" spans="1:8" x14ac:dyDescent="0.2">
      <c r="A42" s="3">
        <v>36</v>
      </c>
      <c r="B42" s="4" t="s">
        <v>589</v>
      </c>
      <c r="C42" s="4" t="s">
        <v>590</v>
      </c>
      <c r="D42" s="4" t="s">
        <v>334</v>
      </c>
      <c r="E42" s="5">
        <v>22186</v>
      </c>
      <c r="F42" s="6">
        <v>1347.8771509999999</v>
      </c>
      <c r="G42" s="7">
        <v>7.0085659999999999E-3</v>
      </c>
      <c r="H42" s="112"/>
    </row>
    <row r="43" spans="1:8" x14ac:dyDescent="0.2">
      <c r="A43" s="3">
        <v>37</v>
      </c>
      <c r="B43" s="4" t="s">
        <v>328</v>
      </c>
      <c r="C43" s="4" t="s">
        <v>329</v>
      </c>
      <c r="D43" s="4" t="s">
        <v>162</v>
      </c>
      <c r="E43" s="5">
        <v>28492</v>
      </c>
      <c r="F43" s="6">
        <v>1346.2470000000001</v>
      </c>
      <c r="G43" s="7">
        <v>7.0000899999999996E-3</v>
      </c>
      <c r="H43" s="112"/>
    </row>
    <row r="44" spans="1:8" x14ac:dyDescent="0.2">
      <c r="A44" s="3">
        <v>38</v>
      </c>
      <c r="B44" s="4" t="s">
        <v>533</v>
      </c>
      <c r="C44" s="4" t="s">
        <v>534</v>
      </c>
      <c r="D44" s="4" t="s">
        <v>977</v>
      </c>
      <c r="E44" s="5">
        <v>2164038</v>
      </c>
      <c r="F44" s="6">
        <v>1179.4007099999999</v>
      </c>
      <c r="G44" s="7">
        <v>6.1325379999999999E-3</v>
      </c>
      <c r="H44" s="112"/>
    </row>
    <row r="45" spans="1:8" x14ac:dyDescent="0.2">
      <c r="A45" s="3">
        <v>39</v>
      </c>
      <c r="B45" s="4" t="s">
        <v>390</v>
      </c>
      <c r="C45" s="4" t="s">
        <v>391</v>
      </c>
      <c r="D45" s="4" t="s">
        <v>334</v>
      </c>
      <c r="E45" s="5">
        <v>868907</v>
      </c>
      <c r="F45" s="6">
        <v>1143.0471585</v>
      </c>
      <c r="G45" s="7">
        <v>5.9435099999999999E-3</v>
      </c>
      <c r="H45" s="112"/>
    </row>
    <row r="46" spans="1:8" x14ac:dyDescent="0.2">
      <c r="A46" s="3">
        <v>40</v>
      </c>
      <c r="B46" s="4" t="s">
        <v>591</v>
      </c>
      <c r="C46" s="4" t="s">
        <v>592</v>
      </c>
      <c r="D46" s="4" t="s">
        <v>973</v>
      </c>
      <c r="E46" s="5">
        <v>165838</v>
      </c>
      <c r="F46" s="6">
        <v>1128.444671</v>
      </c>
      <c r="G46" s="7">
        <v>5.8675819999999997E-3</v>
      </c>
      <c r="H46" s="112"/>
    </row>
    <row r="47" spans="1:8" x14ac:dyDescent="0.2">
      <c r="A47" s="3">
        <v>41</v>
      </c>
      <c r="B47" s="4" t="s">
        <v>582</v>
      </c>
      <c r="C47" s="4" t="s">
        <v>583</v>
      </c>
      <c r="D47" s="4" t="s">
        <v>334</v>
      </c>
      <c r="E47" s="5">
        <v>22461</v>
      </c>
      <c r="F47" s="6">
        <v>1041.1684244999999</v>
      </c>
      <c r="G47" s="7">
        <v>5.4137710000000004E-3</v>
      </c>
      <c r="H47" s="112"/>
    </row>
    <row r="48" spans="1:8" x14ac:dyDescent="0.2">
      <c r="A48" s="3">
        <v>42</v>
      </c>
      <c r="B48" s="4" t="s">
        <v>593</v>
      </c>
      <c r="C48" s="4" t="s">
        <v>594</v>
      </c>
      <c r="D48" s="4" t="s">
        <v>189</v>
      </c>
      <c r="E48" s="5">
        <v>30137</v>
      </c>
      <c r="F48" s="6">
        <v>892.71821399999999</v>
      </c>
      <c r="G48" s="7">
        <v>4.6418730000000004E-3</v>
      </c>
      <c r="H48" s="112"/>
    </row>
    <row r="49" spans="1:8" x14ac:dyDescent="0.2">
      <c r="A49" s="3">
        <v>43</v>
      </c>
      <c r="B49" s="4" t="s">
        <v>595</v>
      </c>
      <c r="C49" s="4" t="s">
        <v>596</v>
      </c>
      <c r="D49" s="4" t="s">
        <v>334</v>
      </c>
      <c r="E49" s="5">
        <v>12431</v>
      </c>
      <c r="F49" s="6">
        <v>888.38141499999995</v>
      </c>
      <c r="G49" s="7">
        <v>4.6193229999999998E-3</v>
      </c>
      <c r="H49" s="112"/>
    </row>
    <row r="50" spans="1:8" x14ac:dyDescent="0.2">
      <c r="A50" s="3">
        <v>44</v>
      </c>
      <c r="B50" s="4" t="s">
        <v>299</v>
      </c>
      <c r="C50" s="4" t="s">
        <v>300</v>
      </c>
      <c r="D50" s="4" t="s">
        <v>977</v>
      </c>
      <c r="E50" s="5">
        <v>2402077</v>
      </c>
      <c r="F50" s="6">
        <v>885.16537449999998</v>
      </c>
      <c r="G50" s="7">
        <v>4.6026009999999996E-3</v>
      </c>
      <c r="H50" s="112"/>
    </row>
    <row r="51" spans="1:8" ht="38.25" x14ac:dyDescent="0.2">
      <c r="A51" s="3">
        <v>45</v>
      </c>
      <c r="B51" s="4" t="s">
        <v>289</v>
      </c>
      <c r="C51" s="4" t="s">
        <v>290</v>
      </c>
      <c r="D51" s="4" t="s">
        <v>972</v>
      </c>
      <c r="E51" s="5">
        <v>26676</v>
      </c>
      <c r="F51" s="6">
        <v>300.10500000000002</v>
      </c>
      <c r="G51" s="7">
        <v>1.560458E-3</v>
      </c>
      <c r="H51" s="112"/>
    </row>
    <row r="52" spans="1:8" ht="25.5" x14ac:dyDescent="0.2">
      <c r="A52" s="3">
        <v>46</v>
      </c>
      <c r="B52" s="4" t="s">
        <v>447</v>
      </c>
      <c r="C52" s="70" t="s">
        <v>1030</v>
      </c>
      <c r="D52" s="40" t="s">
        <v>24</v>
      </c>
      <c r="E52" s="5">
        <v>92315</v>
      </c>
      <c r="F52" s="6">
        <v>236.0402235</v>
      </c>
      <c r="G52" s="7">
        <v>1.2273399999999999E-3</v>
      </c>
      <c r="H52" s="112"/>
    </row>
    <row r="53" spans="1:8" x14ac:dyDescent="0.2">
      <c r="A53" s="3">
        <v>47</v>
      </c>
      <c r="B53" s="4" t="s">
        <v>160</v>
      </c>
      <c r="C53" s="4" t="s">
        <v>161</v>
      </c>
      <c r="D53" s="4" t="s">
        <v>162</v>
      </c>
      <c r="E53" s="5">
        <v>4921</v>
      </c>
      <c r="F53" s="6">
        <v>193.08527699999999</v>
      </c>
      <c r="G53" s="7">
        <v>1.003987E-3</v>
      </c>
      <c r="H53" s="112"/>
    </row>
    <row r="54" spans="1:8" x14ac:dyDescent="0.2">
      <c r="A54" s="1"/>
      <c r="B54" s="1"/>
      <c r="C54" s="2" t="s">
        <v>97</v>
      </c>
      <c r="D54" s="1"/>
      <c r="E54" s="1" t="s">
        <v>98</v>
      </c>
      <c r="F54" s="9">
        <v>166727.18970700004</v>
      </c>
      <c r="G54" s="10">
        <v>0.86693251800000026</v>
      </c>
      <c r="H54" s="112"/>
    </row>
    <row r="55" spans="1:8" x14ac:dyDescent="0.2">
      <c r="A55" s="1"/>
      <c r="B55" s="1"/>
      <c r="C55" s="11"/>
      <c r="D55" s="1"/>
      <c r="E55" s="1"/>
      <c r="F55" s="12"/>
      <c r="G55" s="12"/>
      <c r="H55" s="112"/>
    </row>
    <row r="56" spans="1:8" x14ac:dyDescent="0.2">
      <c r="A56" s="1"/>
      <c r="B56" s="1"/>
      <c r="C56" s="2" t="s">
        <v>99</v>
      </c>
      <c r="D56" s="1"/>
      <c r="E56" s="1"/>
      <c r="F56" s="1"/>
      <c r="G56" s="1"/>
      <c r="H56" s="112"/>
    </row>
    <row r="57" spans="1:8" x14ac:dyDescent="0.2">
      <c r="A57" s="3">
        <v>1</v>
      </c>
      <c r="B57" s="4" t="s">
        <v>597</v>
      </c>
      <c r="C57" s="4" t="s">
        <v>598</v>
      </c>
      <c r="D57" s="4"/>
      <c r="E57" s="5">
        <v>37829</v>
      </c>
      <c r="F57" s="6">
        <v>979.14182896</v>
      </c>
      <c r="G57" s="7">
        <v>5.0912509999999998E-3</v>
      </c>
      <c r="H57" s="112"/>
    </row>
    <row r="58" spans="1:8" x14ac:dyDescent="0.2">
      <c r="A58" s="1"/>
      <c r="B58" s="1"/>
      <c r="C58" s="2" t="s">
        <v>97</v>
      </c>
      <c r="D58" s="1"/>
      <c r="E58" s="1" t="s">
        <v>98</v>
      </c>
      <c r="F58" s="9">
        <v>979.14182896</v>
      </c>
      <c r="G58" s="10">
        <v>5.0912509999999998E-3</v>
      </c>
      <c r="H58" s="112"/>
    </row>
    <row r="59" spans="1:8" x14ac:dyDescent="0.2">
      <c r="A59" s="1"/>
      <c r="B59" s="1"/>
      <c r="C59" s="11"/>
      <c r="D59" s="1"/>
      <c r="E59" s="1"/>
      <c r="F59" s="12"/>
      <c r="G59" s="12"/>
      <c r="H59" s="112"/>
    </row>
    <row r="60" spans="1:8" x14ac:dyDescent="0.2">
      <c r="A60" s="1"/>
      <c r="B60" s="1"/>
      <c r="C60" s="2" t="s">
        <v>100</v>
      </c>
      <c r="D60" s="1"/>
      <c r="E60" s="1"/>
      <c r="F60" s="1"/>
      <c r="G60" s="1"/>
      <c r="H60" s="112"/>
    </row>
    <row r="61" spans="1:8" x14ac:dyDescent="0.2">
      <c r="A61" s="1"/>
      <c r="B61" s="1"/>
      <c r="C61" s="2" t="s">
        <v>97</v>
      </c>
      <c r="D61" s="1"/>
      <c r="E61" s="1" t="s">
        <v>98</v>
      </c>
      <c r="F61" s="13">
        <v>0</v>
      </c>
      <c r="G61" s="14">
        <v>0</v>
      </c>
      <c r="H61" s="112"/>
    </row>
    <row r="62" spans="1:8" x14ac:dyDescent="0.2">
      <c r="A62" s="1"/>
      <c r="B62" s="1"/>
      <c r="C62" s="11"/>
      <c r="D62" s="1"/>
      <c r="E62" s="1"/>
      <c r="F62" s="12"/>
      <c r="G62" s="12"/>
      <c r="H62" s="112"/>
    </row>
    <row r="63" spans="1:8" x14ac:dyDescent="0.2">
      <c r="A63" s="1"/>
      <c r="B63" s="1"/>
      <c r="C63" s="2" t="s">
        <v>101</v>
      </c>
      <c r="D63" s="1"/>
      <c r="E63" s="1"/>
      <c r="F63" s="1"/>
      <c r="G63" s="1"/>
      <c r="H63" s="112"/>
    </row>
    <row r="64" spans="1:8" x14ac:dyDescent="0.2">
      <c r="A64" s="1"/>
      <c r="B64" s="1"/>
      <c r="C64" s="2" t="s">
        <v>97</v>
      </c>
      <c r="D64" s="1"/>
      <c r="E64" s="1" t="s">
        <v>98</v>
      </c>
      <c r="F64" s="13">
        <v>0</v>
      </c>
      <c r="G64" s="14">
        <v>0</v>
      </c>
      <c r="H64" s="112"/>
    </row>
    <row r="65" spans="1:8" x14ac:dyDescent="0.2">
      <c r="A65" s="1"/>
      <c r="B65" s="1"/>
      <c r="C65" s="11"/>
      <c r="D65" s="1"/>
      <c r="E65" s="1"/>
      <c r="F65" s="12"/>
      <c r="G65" s="12"/>
      <c r="H65" s="112"/>
    </row>
    <row r="66" spans="1:8" x14ac:dyDescent="0.2">
      <c r="A66" s="1"/>
      <c r="B66" s="1"/>
      <c r="C66" s="2" t="s">
        <v>102</v>
      </c>
      <c r="D66" s="1"/>
      <c r="E66" s="1"/>
      <c r="F66" s="12"/>
      <c r="G66" s="12"/>
      <c r="H66" s="112"/>
    </row>
    <row r="67" spans="1:8" x14ac:dyDescent="0.2">
      <c r="A67" s="1"/>
      <c r="B67" s="1"/>
      <c r="C67" s="2" t="s">
        <v>97</v>
      </c>
      <c r="D67" s="1"/>
      <c r="E67" s="1" t="s">
        <v>98</v>
      </c>
      <c r="F67" s="13">
        <v>0</v>
      </c>
      <c r="G67" s="14">
        <v>0</v>
      </c>
      <c r="H67" s="112"/>
    </row>
    <row r="68" spans="1:8" x14ac:dyDescent="0.2">
      <c r="A68" s="1"/>
      <c r="B68" s="1"/>
      <c r="C68" s="11"/>
      <c r="D68" s="1"/>
      <c r="E68" s="1"/>
      <c r="F68" s="12"/>
      <c r="G68" s="12"/>
      <c r="H68" s="112"/>
    </row>
    <row r="69" spans="1:8" x14ac:dyDescent="0.2">
      <c r="A69" s="1"/>
      <c r="B69" s="1"/>
      <c r="C69" s="2" t="s">
        <v>103</v>
      </c>
      <c r="D69" s="1"/>
      <c r="E69" s="1"/>
      <c r="F69" s="12"/>
      <c r="G69" s="12"/>
      <c r="H69" s="112"/>
    </row>
    <row r="70" spans="1:8" x14ac:dyDescent="0.2">
      <c r="A70" s="1"/>
      <c r="B70" s="1"/>
      <c r="C70" s="2" t="s">
        <v>97</v>
      </c>
      <c r="D70" s="1"/>
      <c r="E70" s="1" t="s">
        <v>98</v>
      </c>
      <c r="F70" s="13">
        <v>0</v>
      </c>
      <c r="G70" s="14">
        <v>0</v>
      </c>
      <c r="H70" s="112"/>
    </row>
    <row r="71" spans="1:8" x14ac:dyDescent="0.2">
      <c r="A71" s="1"/>
      <c r="B71" s="1"/>
      <c r="C71" s="11"/>
      <c r="D71" s="1"/>
      <c r="E71" s="1"/>
      <c r="F71" s="12"/>
      <c r="G71" s="12"/>
      <c r="H71" s="112"/>
    </row>
    <row r="72" spans="1:8" x14ac:dyDescent="0.2">
      <c r="A72" s="1"/>
      <c r="B72" s="1"/>
      <c r="C72" s="2" t="s">
        <v>104</v>
      </c>
      <c r="D72" s="1"/>
      <c r="E72" s="1"/>
      <c r="F72" s="9">
        <v>167706.33153595999</v>
      </c>
      <c r="G72" s="10">
        <v>0.872023769</v>
      </c>
      <c r="H72" s="112"/>
    </row>
    <row r="73" spans="1:8" x14ac:dyDescent="0.2">
      <c r="A73" s="1"/>
      <c r="B73" s="1"/>
      <c r="C73" s="11"/>
      <c r="D73" s="1"/>
      <c r="E73" s="1"/>
      <c r="F73" s="12"/>
      <c r="G73" s="12"/>
      <c r="H73" s="112"/>
    </row>
    <row r="74" spans="1:8" x14ac:dyDescent="0.2">
      <c r="A74" s="1"/>
      <c r="B74" s="1"/>
      <c r="C74" s="2" t="s">
        <v>105</v>
      </c>
      <c r="D74" s="1"/>
      <c r="E74" s="1"/>
      <c r="F74" s="12"/>
      <c r="G74" s="12"/>
      <c r="H74" s="112"/>
    </row>
    <row r="75" spans="1:8" ht="25.5" x14ac:dyDescent="0.2">
      <c r="A75" s="1"/>
      <c r="B75" s="1"/>
      <c r="C75" s="2" t="s">
        <v>10</v>
      </c>
      <c r="D75" s="1"/>
      <c r="E75" s="1"/>
      <c r="F75" s="12"/>
      <c r="G75" s="12"/>
      <c r="H75" s="112"/>
    </row>
    <row r="76" spans="1:8" x14ac:dyDescent="0.2">
      <c r="A76" s="1"/>
      <c r="B76" s="1"/>
      <c r="C76" s="2" t="s">
        <v>97</v>
      </c>
      <c r="D76" s="1"/>
      <c r="E76" s="1" t="s">
        <v>98</v>
      </c>
      <c r="F76" s="13">
        <v>0</v>
      </c>
      <c r="G76" s="14">
        <v>0</v>
      </c>
      <c r="H76" s="112"/>
    </row>
    <row r="77" spans="1:8" x14ac:dyDescent="0.2">
      <c r="A77" s="1"/>
      <c r="B77" s="1"/>
      <c r="C77" s="11"/>
      <c r="D77" s="1"/>
      <c r="E77" s="1"/>
      <c r="F77" s="12"/>
      <c r="G77" s="12"/>
      <c r="H77" s="112"/>
    </row>
    <row r="78" spans="1:8" x14ac:dyDescent="0.2">
      <c r="A78" s="1"/>
      <c r="B78" s="1"/>
      <c r="C78" s="2" t="s">
        <v>106</v>
      </c>
      <c r="D78" s="1"/>
      <c r="E78" s="1"/>
      <c r="F78" s="1"/>
      <c r="G78" s="1"/>
      <c r="H78" s="112"/>
    </row>
    <row r="79" spans="1:8" x14ac:dyDescent="0.2">
      <c r="A79" s="1"/>
      <c r="B79" s="1"/>
      <c r="C79" s="2" t="s">
        <v>97</v>
      </c>
      <c r="D79" s="1"/>
      <c r="E79" s="1" t="s">
        <v>98</v>
      </c>
      <c r="F79" s="13">
        <v>0</v>
      </c>
      <c r="G79" s="14">
        <v>0</v>
      </c>
      <c r="H79" s="112"/>
    </row>
    <row r="80" spans="1:8" x14ac:dyDescent="0.2">
      <c r="A80" s="1"/>
      <c r="B80" s="1"/>
      <c r="C80" s="11"/>
      <c r="D80" s="1"/>
      <c r="E80" s="1"/>
      <c r="F80" s="12"/>
      <c r="G80" s="12"/>
      <c r="H80" s="112"/>
    </row>
    <row r="81" spans="1:8" x14ac:dyDescent="0.2">
      <c r="A81" s="1"/>
      <c r="B81" s="1"/>
      <c r="C81" s="2" t="s">
        <v>107</v>
      </c>
      <c r="D81" s="1"/>
      <c r="E81" s="1"/>
      <c r="F81" s="1"/>
      <c r="G81" s="1"/>
      <c r="H81" s="112"/>
    </row>
    <row r="82" spans="1:8" x14ac:dyDescent="0.2">
      <c r="A82" s="1"/>
      <c r="B82" s="1"/>
      <c r="C82" s="2" t="s">
        <v>97</v>
      </c>
      <c r="D82" s="1"/>
      <c r="E82" s="1" t="s">
        <v>98</v>
      </c>
      <c r="F82" s="13">
        <v>0</v>
      </c>
      <c r="G82" s="14">
        <v>0</v>
      </c>
      <c r="H82" s="112"/>
    </row>
    <row r="83" spans="1:8" x14ac:dyDescent="0.2">
      <c r="A83" s="1"/>
      <c r="B83" s="1"/>
      <c r="C83" s="11"/>
      <c r="D83" s="1"/>
      <c r="E83" s="1"/>
      <c r="F83" s="12"/>
      <c r="G83" s="12"/>
      <c r="H83" s="112"/>
    </row>
    <row r="84" spans="1:8" x14ac:dyDescent="0.2">
      <c r="A84" s="1"/>
      <c r="B84" s="1"/>
      <c r="C84" s="2" t="s">
        <v>108</v>
      </c>
      <c r="D84" s="1"/>
      <c r="E84" s="1"/>
      <c r="F84" s="12"/>
      <c r="G84" s="12"/>
      <c r="H84" s="112"/>
    </row>
    <row r="85" spans="1:8" x14ac:dyDescent="0.2">
      <c r="A85" s="1"/>
      <c r="B85" s="1"/>
      <c r="C85" s="2" t="s">
        <v>97</v>
      </c>
      <c r="D85" s="1"/>
      <c r="E85" s="1" t="s">
        <v>98</v>
      </c>
      <c r="F85" s="13">
        <v>0</v>
      </c>
      <c r="G85" s="14">
        <v>0</v>
      </c>
      <c r="H85" s="112"/>
    </row>
    <row r="86" spans="1:8" x14ac:dyDescent="0.2">
      <c r="A86" s="1"/>
      <c r="B86" s="1"/>
      <c r="C86" s="11"/>
      <c r="D86" s="1"/>
      <c r="E86" s="1"/>
      <c r="F86" s="12"/>
      <c r="G86" s="12"/>
      <c r="H86" s="112"/>
    </row>
    <row r="87" spans="1:8" x14ac:dyDescent="0.2">
      <c r="A87" s="1"/>
      <c r="B87" s="1"/>
      <c r="C87" s="2" t="s">
        <v>109</v>
      </c>
      <c r="D87" s="1"/>
      <c r="E87" s="1"/>
      <c r="F87" s="9">
        <v>0</v>
      </c>
      <c r="G87" s="10">
        <v>0</v>
      </c>
      <c r="H87" s="112"/>
    </row>
    <row r="88" spans="1:8" x14ac:dyDescent="0.2">
      <c r="A88" s="1"/>
      <c r="B88" s="1"/>
      <c r="C88" s="11"/>
      <c r="D88" s="1"/>
      <c r="E88" s="1"/>
      <c r="F88" s="12"/>
      <c r="G88" s="12"/>
      <c r="H88" s="112"/>
    </row>
    <row r="89" spans="1:8" x14ac:dyDescent="0.2">
      <c r="A89" s="1"/>
      <c r="B89" s="1"/>
      <c r="C89" s="2" t="s">
        <v>110</v>
      </c>
      <c r="D89" s="1"/>
      <c r="E89" s="1"/>
      <c r="F89" s="12"/>
      <c r="G89" s="12"/>
      <c r="H89" s="112"/>
    </row>
    <row r="90" spans="1:8" x14ac:dyDescent="0.2">
      <c r="A90" s="1"/>
      <c r="B90" s="1"/>
      <c r="C90" s="2" t="s">
        <v>111</v>
      </c>
      <c r="D90" s="1"/>
      <c r="E90" s="1"/>
      <c r="F90" s="12"/>
      <c r="G90" s="12"/>
      <c r="H90" s="112"/>
    </row>
    <row r="91" spans="1:8" x14ac:dyDescent="0.2">
      <c r="A91" s="1"/>
      <c r="B91" s="1"/>
      <c r="C91" s="2" t="s">
        <v>97</v>
      </c>
      <c r="D91" s="1"/>
      <c r="E91" s="1" t="s">
        <v>98</v>
      </c>
      <c r="F91" s="13">
        <v>0</v>
      </c>
      <c r="G91" s="14">
        <v>0</v>
      </c>
      <c r="H91" s="112"/>
    </row>
    <row r="92" spans="1:8" x14ac:dyDescent="0.2">
      <c r="A92" s="1"/>
      <c r="B92" s="1"/>
      <c r="C92" s="11"/>
      <c r="D92" s="1"/>
      <c r="E92" s="1"/>
      <c r="F92" s="12"/>
      <c r="G92" s="12"/>
      <c r="H92" s="112"/>
    </row>
    <row r="93" spans="1:8" x14ac:dyDescent="0.2">
      <c r="A93" s="1"/>
      <c r="B93" s="1"/>
      <c r="C93" s="2" t="s">
        <v>112</v>
      </c>
      <c r="D93" s="1"/>
      <c r="E93" s="1"/>
      <c r="F93" s="12"/>
      <c r="G93" s="12"/>
      <c r="H93" s="112"/>
    </row>
    <row r="94" spans="1:8" x14ac:dyDescent="0.2">
      <c r="A94" s="1"/>
      <c r="B94" s="1"/>
      <c r="C94" s="2" t="s">
        <v>97</v>
      </c>
      <c r="D94" s="1"/>
      <c r="E94" s="1" t="s">
        <v>98</v>
      </c>
      <c r="F94" s="13">
        <v>0</v>
      </c>
      <c r="G94" s="14">
        <v>0</v>
      </c>
      <c r="H94" s="112"/>
    </row>
    <row r="95" spans="1:8" x14ac:dyDescent="0.2">
      <c r="A95" s="1"/>
      <c r="B95" s="1"/>
      <c r="C95" s="11"/>
      <c r="D95" s="1"/>
      <c r="E95" s="1"/>
      <c r="F95" s="12"/>
      <c r="G95" s="12"/>
      <c r="H95" s="112"/>
    </row>
    <row r="96" spans="1:8" x14ac:dyDescent="0.2">
      <c r="A96" s="1"/>
      <c r="B96" s="1"/>
      <c r="C96" s="2" t="s">
        <v>113</v>
      </c>
      <c r="D96" s="1"/>
      <c r="E96" s="1"/>
      <c r="F96" s="12"/>
      <c r="G96" s="12"/>
      <c r="H96" s="112"/>
    </row>
    <row r="97" spans="1:8" x14ac:dyDescent="0.2">
      <c r="A97" s="1"/>
      <c r="B97" s="1"/>
      <c r="C97" s="2" t="s">
        <v>97</v>
      </c>
      <c r="D97" s="1"/>
      <c r="E97" s="1" t="s">
        <v>98</v>
      </c>
      <c r="F97" s="13">
        <v>0</v>
      </c>
      <c r="G97" s="14">
        <v>0</v>
      </c>
      <c r="H97" s="112"/>
    </row>
    <row r="98" spans="1:8" x14ac:dyDescent="0.2">
      <c r="A98" s="1"/>
      <c r="B98" s="1"/>
      <c r="C98" s="11"/>
      <c r="D98" s="1"/>
      <c r="E98" s="1"/>
      <c r="F98" s="12"/>
      <c r="G98" s="12"/>
      <c r="H98" s="112"/>
    </row>
    <row r="99" spans="1:8" x14ac:dyDescent="0.2">
      <c r="A99" s="1"/>
      <c r="B99" s="1"/>
      <c r="C99" s="2" t="s">
        <v>114</v>
      </c>
      <c r="D99" s="1"/>
      <c r="E99" s="1"/>
      <c r="F99" s="12"/>
      <c r="G99" s="12"/>
      <c r="H99" s="112"/>
    </row>
    <row r="100" spans="1:8" x14ac:dyDescent="0.2">
      <c r="A100" s="3">
        <v>1</v>
      </c>
      <c r="B100" s="4"/>
      <c r="C100" s="4" t="s">
        <v>115</v>
      </c>
      <c r="D100" s="4"/>
      <c r="E100" s="8"/>
      <c r="F100" s="6">
        <v>15779.448773760752</v>
      </c>
      <c r="G100" s="7">
        <v>8.2048508585515129E-2</v>
      </c>
      <c r="H100" s="6">
        <v>3.3211324282253978</v>
      </c>
    </row>
    <row r="101" spans="1:8" x14ac:dyDescent="0.2">
      <c r="A101" s="3">
        <v>2</v>
      </c>
      <c r="B101" s="4"/>
      <c r="C101" s="4" t="s">
        <v>116</v>
      </c>
      <c r="D101" s="4"/>
      <c r="E101" s="8"/>
      <c r="F101" s="6">
        <v>6198.5373470910145</v>
      </c>
      <c r="G101" s="7">
        <v>3.2230577381520409E-2</v>
      </c>
      <c r="H101" s="6">
        <v>3.35</v>
      </c>
    </row>
    <row r="102" spans="1:8" x14ac:dyDescent="0.2">
      <c r="A102" s="1"/>
      <c r="B102" s="1"/>
      <c r="C102" s="2" t="s">
        <v>97</v>
      </c>
      <c r="D102" s="1"/>
      <c r="E102" s="1" t="s">
        <v>98</v>
      </c>
      <c r="F102" s="9">
        <v>21977.986120851769</v>
      </c>
      <c r="G102" s="10">
        <v>0.11427908596703555</v>
      </c>
      <c r="H102" s="112"/>
    </row>
    <row r="103" spans="1:8" x14ac:dyDescent="0.2">
      <c r="A103" s="1"/>
      <c r="B103" s="1"/>
      <c r="C103" s="11"/>
      <c r="D103" s="1"/>
      <c r="E103" s="1"/>
      <c r="F103" s="12"/>
      <c r="G103" s="12"/>
      <c r="H103" s="112"/>
    </row>
    <row r="104" spans="1:8" x14ac:dyDescent="0.2">
      <c r="A104" s="1"/>
      <c r="B104" s="1"/>
      <c r="C104" s="2" t="s">
        <v>117</v>
      </c>
      <c r="D104" s="1"/>
      <c r="E104" s="1"/>
      <c r="F104" s="9">
        <v>21977.986120851769</v>
      </c>
      <c r="G104" s="10">
        <v>0.11427908596703555</v>
      </c>
      <c r="H104" s="112"/>
    </row>
    <row r="105" spans="1:8" x14ac:dyDescent="0.2">
      <c r="A105" s="1"/>
      <c r="B105" s="1"/>
      <c r="C105" s="12"/>
      <c r="D105" s="1"/>
      <c r="E105" s="1"/>
      <c r="F105" s="1"/>
      <c r="G105" s="1"/>
      <c r="H105" s="112"/>
    </row>
    <row r="106" spans="1:8" x14ac:dyDescent="0.2">
      <c r="A106" s="1"/>
      <c r="B106" s="1"/>
      <c r="C106" s="2" t="s">
        <v>118</v>
      </c>
      <c r="D106" s="1"/>
      <c r="E106" s="1"/>
      <c r="F106" s="1"/>
      <c r="G106" s="1"/>
      <c r="H106" s="112"/>
    </row>
    <row r="107" spans="1:8" x14ac:dyDescent="0.2">
      <c r="A107" s="1"/>
      <c r="B107" s="1"/>
      <c r="C107" s="2" t="s">
        <v>119</v>
      </c>
      <c r="D107" s="1"/>
      <c r="E107" s="1"/>
      <c r="F107" s="1"/>
      <c r="G107" s="1"/>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1"/>
      <c r="C110" s="2" t="s">
        <v>120</v>
      </c>
      <c r="D110" s="1"/>
      <c r="E110" s="1"/>
      <c r="F110" s="1"/>
      <c r="G110" s="1"/>
      <c r="H110" s="112"/>
    </row>
    <row r="111" spans="1:8" x14ac:dyDescent="0.2">
      <c r="A111" s="1"/>
      <c r="B111" s="1"/>
      <c r="C111" s="2" t="s">
        <v>121</v>
      </c>
      <c r="D111" s="1"/>
      <c r="E111" s="1"/>
      <c r="F111" s="1"/>
      <c r="G111" s="1"/>
      <c r="H111" s="112"/>
    </row>
    <row r="112" spans="1:8" x14ac:dyDescent="0.2">
      <c r="A112" s="1"/>
      <c r="B112" s="1"/>
      <c r="C112" s="2" t="s">
        <v>97</v>
      </c>
      <c r="D112" s="1"/>
      <c r="E112" s="1" t="s">
        <v>98</v>
      </c>
      <c r="F112" s="13">
        <v>0</v>
      </c>
      <c r="G112" s="14">
        <v>0</v>
      </c>
      <c r="H112" s="112"/>
    </row>
    <row r="113" spans="1:8" x14ac:dyDescent="0.2">
      <c r="A113" s="1"/>
      <c r="B113" s="1"/>
      <c r="C113" s="11"/>
      <c r="D113" s="1"/>
      <c r="E113" s="1"/>
      <c r="F113" s="12"/>
      <c r="G113" s="12"/>
      <c r="H113" s="112"/>
    </row>
    <row r="114" spans="1:8" x14ac:dyDescent="0.2">
      <c r="A114" s="1"/>
      <c r="B114" s="1"/>
      <c r="C114" s="11"/>
      <c r="D114" s="1"/>
      <c r="E114" s="1"/>
      <c r="F114" s="12"/>
      <c r="G114" s="12"/>
      <c r="H114" s="112"/>
    </row>
    <row r="115" spans="1:8" ht="25.5" x14ac:dyDescent="0.2">
      <c r="A115" s="1"/>
      <c r="B115" s="1"/>
      <c r="C115" s="2" t="s">
        <v>122</v>
      </c>
      <c r="D115" s="1"/>
      <c r="E115" s="1"/>
      <c r="F115" s="12"/>
      <c r="G115" s="12"/>
      <c r="H115" s="112"/>
    </row>
    <row r="116" spans="1:8" ht="25.5" x14ac:dyDescent="0.2">
      <c r="A116" s="3">
        <v>1</v>
      </c>
      <c r="B116" s="4"/>
      <c r="C116" s="4" t="s">
        <v>285</v>
      </c>
      <c r="D116" s="4"/>
      <c r="E116" s="8"/>
      <c r="F116" s="6">
        <v>230.49600000000001</v>
      </c>
      <c r="G116" s="7">
        <v>1.1985120000000001E-3</v>
      </c>
      <c r="H116" s="112"/>
    </row>
    <row r="117" spans="1:8" x14ac:dyDescent="0.2">
      <c r="A117" s="1"/>
      <c r="B117" s="1"/>
      <c r="C117" s="2" t="s">
        <v>97</v>
      </c>
      <c r="D117" s="1"/>
      <c r="E117" s="1" t="s">
        <v>98</v>
      </c>
      <c r="F117" s="9">
        <v>230.49600000000001</v>
      </c>
      <c r="G117" s="10">
        <v>1.1985120000000001E-3</v>
      </c>
      <c r="H117" s="112"/>
    </row>
    <row r="118" spans="1:8" x14ac:dyDescent="0.2">
      <c r="A118" s="1"/>
      <c r="B118" s="1"/>
      <c r="C118" s="11"/>
      <c r="D118" s="1"/>
      <c r="E118" s="1"/>
      <c r="F118" s="12"/>
      <c r="G118" s="12"/>
      <c r="H118" s="112"/>
    </row>
    <row r="119" spans="1:8" x14ac:dyDescent="0.2">
      <c r="A119" s="1"/>
      <c r="B119" s="4"/>
      <c r="C119" s="4"/>
      <c r="D119" s="2"/>
      <c r="E119" s="1"/>
      <c r="F119" s="4"/>
      <c r="G119" s="8"/>
      <c r="H119" s="112"/>
    </row>
    <row r="120" spans="1:8" x14ac:dyDescent="0.2">
      <c r="A120" s="8"/>
      <c r="B120" s="4"/>
      <c r="C120" s="4" t="s">
        <v>123</v>
      </c>
      <c r="D120" s="4"/>
      <c r="E120" s="8"/>
      <c r="F120" s="6">
        <v>2403.7189502082201</v>
      </c>
      <c r="G120" s="7">
        <v>1.2498633998627327E-2</v>
      </c>
      <c r="H120" s="112"/>
    </row>
    <row r="121" spans="1:8" x14ac:dyDescent="0.2">
      <c r="A121" s="11"/>
      <c r="B121" s="11"/>
      <c r="C121" s="2" t="s">
        <v>124</v>
      </c>
      <c r="D121" s="15"/>
      <c r="E121" s="15"/>
      <c r="F121" s="9">
        <v>192318.53260702</v>
      </c>
      <c r="G121" s="10">
        <v>1.0000000009656629</v>
      </c>
      <c r="H121" s="112"/>
    </row>
    <row r="122" spans="1:8" ht="14.1" customHeight="1" x14ac:dyDescent="0.2">
      <c r="A122" s="16"/>
      <c r="B122" s="16"/>
      <c r="C122" s="16"/>
      <c r="D122" s="17"/>
      <c r="E122" s="17"/>
      <c r="F122" s="77"/>
      <c r="G122" s="77"/>
    </row>
    <row r="123" spans="1:8" ht="14.1" customHeight="1" x14ac:dyDescent="0.2">
      <c r="A123" s="18"/>
      <c r="B123" s="205" t="s">
        <v>98</v>
      </c>
      <c r="C123" s="205"/>
      <c r="D123" s="205"/>
      <c r="E123" s="205"/>
      <c r="F123" s="205"/>
      <c r="G123" s="20"/>
    </row>
    <row r="124" spans="1:8" ht="14.1" customHeight="1" x14ac:dyDescent="0.2">
      <c r="A124" s="18"/>
      <c r="B124" s="205" t="s">
        <v>98</v>
      </c>
      <c r="C124" s="205"/>
      <c r="D124" s="205"/>
      <c r="E124" s="205"/>
      <c r="F124" s="205"/>
      <c r="G124" s="20"/>
    </row>
    <row r="125" spans="1:8" ht="14.1" customHeight="1" x14ac:dyDescent="0.2">
      <c r="A125" s="18"/>
      <c r="B125" s="18"/>
      <c r="C125" s="18"/>
      <c r="D125" s="20"/>
      <c r="E125" s="20"/>
      <c r="F125" s="20"/>
      <c r="G125" s="20"/>
    </row>
    <row r="126" spans="1:8" ht="14.1" customHeight="1" x14ac:dyDescent="0.2">
      <c r="A126" s="18"/>
      <c r="B126" s="203" t="s">
        <v>126</v>
      </c>
      <c r="C126" s="204"/>
      <c r="D126" s="12" t="s">
        <v>98</v>
      </c>
      <c r="E126" s="21"/>
      <c r="F126" s="20"/>
      <c r="G126" s="20"/>
    </row>
    <row r="127" spans="1:8" ht="29.1" customHeight="1" x14ac:dyDescent="0.2">
      <c r="A127" s="18"/>
      <c r="B127" s="198" t="s">
        <v>127</v>
      </c>
      <c r="C127" s="199"/>
      <c r="D127" s="2" t="s">
        <v>128</v>
      </c>
      <c r="E127" s="21"/>
      <c r="F127" s="20"/>
      <c r="G127" s="20"/>
    </row>
    <row r="128" spans="1:8" ht="17.100000000000001" customHeight="1" x14ac:dyDescent="0.2">
      <c r="A128" s="18"/>
      <c r="B128" s="198" t="s">
        <v>129</v>
      </c>
      <c r="C128" s="199"/>
      <c r="D128" s="2" t="s">
        <v>128</v>
      </c>
      <c r="E128" s="21"/>
      <c r="F128" s="20"/>
      <c r="G128" s="20"/>
    </row>
    <row r="129" spans="1:15" ht="17.100000000000001" customHeight="1" x14ac:dyDescent="0.2">
      <c r="A129" s="18"/>
      <c r="B129" s="198" t="s">
        <v>130</v>
      </c>
      <c r="C129" s="199"/>
      <c r="D129" s="12" t="s">
        <v>98</v>
      </c>
      <c r="E129" s="21"/>
      <c r="F129" s="20"/>
      <c r="G129" s="20"/>
    </row>
    <row r="130" spans="1:15" ht="24" customHeight="1" x14ac:dyDescent="0.2">
      <c r="A130" s="22"/>
      <c r="B130" s="23" t="s">
        <v>98</v>
      </c>
      <c r="C130" s="23" t="s">
        <v>131</v>
      </c>
      <c r="D130" s="23" t="s">
        <v>132</v>
      </c>
      <c r="E130" s="22"/>
      <c r="F130" s="22"/>
      <c r="G130" s="22"/>
    </row>
    <row r="131" spans="1:15" ht="18" customHeight="1" x14ac:dyDescent="0.2">
      <c r="A131" s="22"/>
      <c r="B131" s="23" t="s">
        <v>133</v>
      </c>
      <c r="C131" s="23" t="s">
        <v>134</v>
      </c>
      <c r="D131" s="23" t="s">
        <v>135</v>
      </c>
      <c r="E131" s="22"/>
      <c r="F131" s="22"/>
      <c r="G131" s="22"/>
    </row>
    <row r="132" spans="1:15" ht="17.100000000000001" customHeight="1" x14ac:dyDescent="0.2">
      <c r="A132" s="22"/>
      <c r="B132" s="4" t="s">
        <v>136</v>
      </c>
      <c r="C132" s="24">
        <v>21.395399999999999</v>
      </c>
      <c r="D132" s="24">
        <v>21.931699999999999</v>
      </c>
      <c r="E132" s="22"/>
      <c r="F132" s="19"/>
      <c r="G132" s="25"/>
    </row>
    <row r="133" spans="1:15" ht="17.100000000000001" customHeight="1" x14ac:dyDescent="0.2">
      <c r="A133" s="22"/>
      <c r="B133" s="4" t="s">
        <v>980</v>
      </c>
      <c r="C133" s="24">
        <v>18.234000000000002</v>
      </c>
      <c r="D133" s="24">
        <v>18.691099999999999</v>
      </c>
      <c r="E133" s="22"/>
      <c r="F133" s="19"/>
      <c r="G133" s="25"/>
    </row>
    <row r="134" spans="1:15" ht="17.100000000000001" customHeight="1" x14ac:dyDescent="0.2">
      <c r="A134" s="22"/>
      <c r="B134" s="4" t="s">
        <v>137</v>
      </c>
      <c r="C134" s="24">
        <v>20.729399999999998</v>
      </c>
      <c r="D134" s="24">
        <v>21.223700000000001</v>
      </c>
      <c r="E134" s="22"/>
      <c r="F134" s="19"/>
      <c r="G134" s="25"/>
    </row>
    <row r="135" spans="1:15" ht="17.100000000000001" customHeight="1" x14ac:dyDescent="0.2">
      <c r="A135" s="22"/>
      <c r="B135" s="4" t="s">
        <v>981</v>
      </c>
      <c r="C135" s="24">
        <v>17.650200000000002</v>
      </c>
      <c r="D135" s="24">
        <v>18.071200000000001</v>
      </c>
      <c r="E135" s="22"/>
      <c r="F135" s="19"/>
      <c r="G135" s="25"/>
    </row>
    <row r="136" spans="1:15" ht="14.1" customHeight="1" x14ac:dyDescent="0.2">
      <c r="A136" s="22"/>
      <c r="B136" s="22"/>
      <c r="C136" s="22"/>
      <c r="D136" s="22"/>
      <c r="E136" s="22"/>
      <c r="F136" s="22"/>
      <c r="G136" s="22"/>
    </row>
    <row r="137" spans="1:15" ht="17.100000000000001" customHeight="1" x14ac:dyDescent="0.2">
      <c r="A137" s="22"/>
      <c r="B137" s="198" t="s">
        <v>982</v>
      </c>
      <c r="C137" s="199"/>
      <c r="D137" s="2" t="s">
        <v>128</v>
      </c>
      <c r="E137" s="22"/>
      <c r="F137" s="22"/>
      <c r="G137" s="22"/>
    </row>
    <row r="138" spans="1:15" ht="18" customHeight="1" x14ac:dyDescent="0.2">
      <c r="A138" s="22"/>
      <c r="B138" s="26"/>
      <c r="C138" s="26"/>
      <c r="D138" s="27"/>
      <c r="E138" s="22"/>
      <c r="F138" s="22"/>
      <c r="G138" s="22"/>
      <c r="I138" s="113"/>
      <c r="J138" s="113"/>
      <c r="K138" s="113"/>
      <c r="L138" s="113"/>
      <c r="M138" s="113"/>
      <c r="N138" s="113"/>
      <c r="O138" s="113"/>
    </row>
    <row r="139" spans="1:15" s="113" customFormat="1" x14ac:dyDescent="0.2">
      <c r="B139" s="202" t="s">
        <v>984</v>
      </c>
      <c r="C139" s="202"/>
      <c r="D139" s="202"/>
      <c r="E139" s="202"/>
      <c r="F139" s="202"/>
      <c r="I139"/>
      <c r="J139"/>
      <c r="K139"/>
      <c r="L139"/>
      <c r="M139"/>
      <c r="N139"/>
      <c r="O139"/>
    </row>
    <row r="140" spans="1:15" ht="14.1" customHeight="1" x14ac:dyDescent="0.2">
      <c r="A140" s="22"/>
      <c r="B140" s="19"/>
      <c r="C140" s="19"/>
      <c r="D140" s="22"/>
      <c r="E140" s="22"/>
      <c r="F140" s="22"/>
      <c r="G140" s="22"/>
    </row>
    <row r="141" spans="1:15" ht="29.1" customHeight="1" x14ac:dyDescent="0.2">
      <c r="A141" s="22"/>
      <c r="B141" s="198" t="s">
        <v>138</v>
      </c>
      <c r="C141" s="199"/>
      <c r="D141" s="2" t="s">
        <v>128</v>
      </c>
      <c r="E141" s="22"/>
      <c r="F141" s="22"/>
      <c r="G141" s="22"/>
    </row>
    <row r="142" spans="1:15" ht="29.1" customHeight="1" x14ac:dyDescent="0.2">
      <c r="A142" s="22"/>
      <c r="B142" s="198" t="s">
        <v>139</v>
      </c>
      <c r="C142" s="199"/>
      <c r="D142" s="2" t="s">
        <v>937</v>
      </c>
      <c r="E142" s="22"/>
      <c r="F142" s="22"/>
      <c r="G142" s="22"/>
    </row>
    <row r="143" spans="1:15" ht="17.100000000000001" customHeight="1" x14ac:dyDescent="0.2">
      <c r="A143" s="22"/>
      <c r="B143" s="198" t="s">
        <v>140</v>
      </c>
      <c r="C143" s="199"/>
      <c r="D143" s="28">
        <v>0.47808314696825627</v>
      </c>
      <c r="E143" s="22"/>
      <c r="F143" s="19"/>
      <c r="G143" s="25"/>
    </row>
    <row r="144" spans="1:15" ht="17.100000000000001" customHeight="1" x14ac:dyDescent="0.2">
      <c r="A144" s="22"/>
      <c r="B144" s="198" t="s">
        <v>141</v>
      </c>
      <c r="C144" s="199"/>
      <c r="D144" s="2" t="s">
        <v>128</v>
      </c>
      <c r="E144" s="22"/>
      <c r="F144" s="22"/>
      <c r="G144" s="22"/>
    </row>
  </sheetData>
  <mergeCells count="16">
    <mergeCell ref="B144:C144"/>
    <mergeCell ref="B127:C127"/>
    <mergeCell ref="B128:C128"/>
    <mergeCell ref="B129:C129"/>
    <mergeCell ref="B137:C137"/>
    <mergeCell ref="B141:C141"/>
    <mergeCell ref="B142:C142"/>
    <mergeCell ref="B139:F139"/>
    <mergeCell ref="A1:H1"/>
    <mergeCell ref="A2:H2"/>
    <mergeCell ref="A3:H3"/>
    <mergeCell ref="J2:N2"/>
    <mergeCell ref="B143:C143"/>
    <mergeCell ref="B126:C126"/>
    <mergeCell ref="B123:F123"/>
    <mergeCell ref="B124:F124"/>
  </mergeCells>
  <pageMargins left="5.000000074505806E-2" right="5.000000074505806E-2" top="0.30000001192092896" bottom="0.20000000298023224" header="0" footer="0"/>
  <pageSetup paperSize="9"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O199"/>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599</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507</v>
      </c>
      <c r="C7" s="4" t="s">
        <v>508</v>
      </c>
      <c r="D7" s="4" t="s">
        <v>78</v>
      </c>
      <c r="E7" s="5">
        <v>11367</v>
      </c>
      <c r="F7" s="6">
        <v>54.982179000000002</v>
      </c>
      <c r="G7" s="7">
        <v>1.4409449E-2</v>
      </c>
      <c r="H7" s="112"/>
    </row>
    <row r="8" spans="1:14" x14ac:dyDescent="0.2">
      <c r="A8" s="3">
        <v>2</v>
      </c>
      <c r="B8" s="4" t="s">
        <v>337</v>
      </c>
      <c r="C8" s="4" t="s">
        <v>338</v>
      </c>
      <c r="D8" s="4" t="s">
        <v>19</v>
      </c>
      <c r="E8" s="5">
        <v>48547</v>
      </c>
      <c r="F8" s="6">
        <v>47.333325000000002</v>
      </c>
      <c r="G8" s="7">
        <v>1.2404877E-2</v>
      </c>
      <c r="H8" s="112"/>
    </row>
    <row r="9" spans="1:14" x14ac:dyDescent="0.2">
      <c r="A9" s="3">
        <v>3</v>
      </c>
      <c r="B9" s="4" t="s">
        <v>343</v>
      </c>
      <c r="C9" s="4" t="s">
        <v>344</v>
      </c>
      <c r="D9" s="4" t="s">
        <v>53</v>
      </c>
      <c r="E9" s="5">
        <v>10581</v>
      </c>
      <c r="F9" s="6">
        <v>44.154513000000001</v>
      </c>
      <c r="G9" s="7">
        <v>1.157179E-2</v>
      </c>
      <c r="H9" s="112"/>
    </row>
    <row r="10" spans="1:14" ht="25.5" x14ac:dyDescent="0.2">
      <c r="A10" s="3">
        <v>4</v>
      </c>
      <c r="B10" s="4" t="s">
        <v>489</v>
      </c>
      <c r="C10" s="4" t="s">
        <v>490</v>
      </c>
      <c r="D10" s="4" t="s">
        <v>192</v>
      </c>
      <c r="E10" s="5">
        <v>4622</v>
      </c>
      <c r="F10" s="6">
        <v>43.786517000000003</v>
      </c>
      <c r="G10" s="7">
        <v>1.1475347E-2</v>
      </c>
      <c r="H10" s="112"/>
    </row>
    <row r="11" spans="1:14" x14ac:dyDescent="0.2">
      <c r="A11" s="3">
        <v>5</v>
      </c>
      <c r="B11" s="4" t="s">
        <v>452</v>
      </c>
      <c r="C11" s="4" t="s">
        <v>453</v>
      </c>
      <c r="D11" s="4" t="s">
        <v>71</v>
      </c>
      <c r="E11" s="5">
        <v>1817</v>
      </c>
      <c r="F11" s="6">
        <v>43.309103499999999</v>
      </c>
      <c r="G11" s="7">
        <v>1.1350229E-2</v>
      </c>
      <c r="H11" s="112"/>
    </row>
    <row r="12" spans="1:14" x14ac:dyDescent="0.2">
      <c r="A12" s="3">
        <v>6</v>
      </c>
      <c r="B12" s="4" t="s">
        <v>600</v>
      </c>
      <c r="C12" s="4" t="s">
        <v>601</v>
      </c>
      <c r="D12" s="4" t="s">
        <v>162</v>
      </c>
      <c r="E12" s="5">
        <v>636</v>
      </c>
      <c r="F12" s="6">
        <v>42.499428000000002</v>
      </c>
      <c r="G12" s="7">
        <v>1.1138034E-2</v>
      </c>
      <c r="H12" s="112"/>
    </row>
    <row r="13" spans="1:14" x14ac:dyDescent="0.2">
      <c r="A13" s="3">
        <v>7</v>
      </c>
      <c r="B13" s="4" t="s">
        <v>602</v>
      </c>
      <c r="C13" s="4" t="s">
        <v>603</v>
      </c>
      <c r="D13" s="4" t="s">
        <v>34</v>
      </c>
      <c r="E13" s="5">
        <v>2390</v>
      </c>
      <c r="F13" s="6">
        <v>42.240859999999998</v>
      </c>
      <c r="G13" s="7">
        <v>1.1070269000000001E-2</v>
      </c>
      <c r="H13" s="112"/>
    </row>
    <row r="14" spans="1:14" x14ac:dyDescent="0.2">
      <c r="A14" s="3">
        <v>8</v>
      </c>
      <c r="B14" s="4" t="s">
        <v>418</v>
      </c>
      <c r="C14" s="4" t="s">
        <v>419</v>
      </c>
      <c r="D14" s="4" t="s">
        <v>19</v>
      </c>
      <c r="E14" s="5">
        <v>8411</v>
      </c>
      <c r="F14" s="6">
        <v>42.235836499999998</v>
      </c>
      <c r="G14" s="7">
        <v>1.1068952999999999E-2</v>
      </c>
      <c r="H14" s="112"/>
    </row>
    <row r="15" spans="1:14" ht="15" x14ac:dyDescent="0.2">
      <c r="A15" s="3">
        <v>9</v>
      </c>
      <c r="B15" s="4" t="s">
        <v>193</v>
      </c>
      <c r="C15" s="4" t="s">
        <v>194</v>
      </c>
      <c r="D15" s="4" t="s">
        <v>16</v>
      </c>
      <c r="E15" s="5">
        <v>13449</v>
      </c>
      <c r="F15" s="6">
        <v>41.745696000000002</v>
      </c>
      <c r="G15" s="7">
        <v>1.0940498999999999E-2</v>
      </c>
      <c r="H15" s="112"/>
      <c r="J15" s="188" t="s">
        <v>1021</v>
      </c>
    </row>
    <row r="16" spans="1:14" x14ac:dyDescent="0.2">
      <c r="A16" s="3">
        <v>10</v>
      </c>
      <c r="B16" s="4" t="s">
        <v>17</v>
      </c>
      <c r="C16" s="4" t="s">
        <v>18</v>
      </c>
      <c r="D16" s="4" t="s">
        <v>19</v>
      </c>
      <c r="E16" s="5">
        <v>5165</v>
      </c>
      <c r="F16" s="6">
        <v>41.4258825</v>
      </c>
      <c r="G16" s="7">
        <v>1.0856684E-2</v>
      </c>
      <c r="H16" s="112"/>
    </row>
    <row r="17" spans="1:8" x14ac:dyDescent="0.2">
      <c r="A17" s="3">
        <v>11</v>
      </c>
      <c r="B17" s="4" t="s">
        <v>604</v>
      </c>
      <c r="C17" s="4" t="s">
        <v>605</v>
      </c>
      <c r="D17" s="4" t="s">
        <v>19</v>
      </c>
      <c r="E17" s="5">
        <v>97640</v>
      </c>
      <c r="F17" s="6">
        <v>41.106439999999999</v>
      </c>
      <c r="G17" s="7">
        <v>1.0772966E-2</v>
      </c>
      <c r="H17" s="112"/>
    </row>
    <row r="18" spans="1:8" x14ac:dyDescent="0.2">
      <c r="A18" s="3">
        <v>12</v>
      </c>
      <c r="B18" s="4" t="s">
        <v>435</v>
      </c>
      <c r="C18" s="4" t="s">
        <v>436</v>
      </c>
      <c r="D18" s="4" t="s">
        <v>78</v>
      </c>
      <c r="E18" s="5">
        <v>4628</v>
      </c>
      <c r="F18" s="6">
        <v>40.923090000000002</v>
      </c>
      <c r="G18" s="7">
        <v>1.0724915E-2</v>
      </c>
      <c r="H18" s="112"/>
    </row>
    <row r="19" spans="1:8" x14ac:dyDescent="0.2">
      <c r="A19" s="3">
        <v>13</v>
      </c>
      <c r="B19" s="4" t="s">
        <v>606</v>
      </c>
      <c r="C19" s="4" t="s">
        <v>607</v>
      </c>
      <c r="D19" s="4" t="s">
        <v>173</v>
      </c>
      <c r="E19" s="5">
        <v>240</v>
      </c>
      <c r="F19" s="6">
        <v>40.685519999999997</v>
      </c>
      <c r="G19" s="7">
        <v>1.0662654000000001E-2</v>
      </c>
      <c r="H19" s="112"/>
    </row>
    <row r="20" spans="1:8" ht="25.5" x14ac:dyDescent="0.2">
      <c r="A20" s="3">
        <v>14</v>
      </c>
      <c r="B20" s="4" t="s">
        <v>304</v>
      </c>
      <c r="C20" s="4" t="s">
        <v>305</v>
      </c>
      <c r="D20" s="4" t="s">
        <v>81</v>
      </c>
      <c r="E20" s="5">
        <v>6615</v>
      </c>
      <c r="F20" s="6">
        <v>40.665712499999998</v>
      </c>
      <c r="G20" s="7">
        <v>1.0657463000000001E-2</v>
      </c>
      <c r="H20" s="112"/>
    </row>
    <row r="21" spans="1:8" x14ac:dyDescent="0.2">
      <c r="A21" s="3">
        <v>15</v>
      </c>
      <c r="B21" s="4" t="s">
        <v>582</v>
      </c>
      <c r="C21" s="4" t="s">
        <v>583</v>
      </c>
      <c r="D21" s="4" t="s">
        <v>334</v>
      </c>
      <c r="E21" s="5">
        <v>869</v>
      </c>
      <c r="F21" s="6">
        <v>40.2820605</v>
      </c>
      <c r="G21" s="7">
        <v>1.0556917000000001E-2</v>
      </c>
      <c r="H21" s="112"/>
    </row>
    <row r="22" spans="1:8" x14ac:dyDescent="0.2">
      <c r="A22" s="3">
        <v>16</v>
      </c>
      <c r="B22" s="4" t="s">
        <v>608</v>
      </c>
      <c r="C22" s="4" t="s">
        <v>609</v>
      </c>
      <c r="D22" s="4" t="s">
        <v>50</v>
      </c>
      <c r="E22" s="5">
        <v>1839</v>
      </c>
      <c r="F22" s="6">
        <v>40.001927999999999</v>
      </c>
      <c r="G22" s="7">
        <v>1.0483500999999999E-2</v>
      </c>
      <c r="H22" s="112"/>
    </row>
    <row r="23" spans="1:8" x14ac:dyDescent="0.2">
      <c r="A23" s="3">
        <v>17</v>
      </c>
      <c r="B23" s="4" t="s">
        <v>51</v>
      </c>
      <c r="C23" s="4" t="s">
        <v>52</v>
      </c>
      <c r="D23" s="4" t="s">
        <v>53</v>
      </c>
      <c r="E23" s="5">
        <v>34661</v>
      </c>
      <c r="F23" s="6">
        <v>39.894810999999997</v>
      </c>
      <c r="G23" s="7">
        <v>1.0455429E-2</v>
      </c>
      <c r="H23" s="112"/>
    </row>
    <row r="24" spans="1:8" x14ac:dyDescent="0.2">
      <c r="A24" s="3">
        <v>18</v>
      </c>
      <c r="B24" s="4" t="s">
        <v>46</v>
      </c>
      <c r="C24" s="4" t="s">
        <v>47</v>
      </c>
      <c r="D24" s="4" t="s">
        <v>16</v>
      </c>
      <c r="E24" s="5">
        <v>31095</v>
      </c>
      <c r="F24" s="6">
        <v>39.786052499999997</v>
      </c>
      <c r="G24" s="7">
        <v>1.0426926E-2</v>
      </c>
      <c r="H24" s="112"/>
    </row>
    <row r="25" spans="1:8" ht="25.5" x14ac:dyDescent="0.2">
      <c r="A25" s="3">
        <v>19</v>
      </c>
      <c r="B25" s="4" t="s">
        <v>572</v>
      </c>
      <c r="C25" s="4" t="s">
        <v>573</v>
      </c>
      <c r="D25" s="4" t="s">
        <v>192</v>
      </c>
      <c r="E25" s="5">
        <v>6972</v>
      </c>
      <c r="F25" s="6">
        <v>39.632334</v>
      </c>
      <c r="G25" s="7">
        <v>1.0386640000000001E-2</v>
      </c>
      <c r="H25" s="112"/>
    </row>
    <row r="26" spans="1:8" x14ac:dyDescent="0.2">
      <c r="A26" s="3">
        <v>20</v>
      </c>
      <c r="B26" s="4" t="s">
        <v>610</v>
      </c>
      <c r="C26" s="4" t="s">
        <v>611</v>
      </c>
      <c r="D26" s="4" t="s">
        <v>432</v>
      </c>
      <c r="E26" s="5">
        <v>13023</v>
      </c>
      <c r="F26" s="6">
        <v>39.589919999999999</v>
      </c>
      <c r="G26" s="7">
        <v>1.0375525E-2</v>
      </c>
      <c r="H26" s="112"/>
    </row>
    <row r="27" spans="1:8" x14ac:dyDescent="0.2">
      <c r="A27" s="3">
        <v>21</v>
      </c>
      <c r="B27" s="4" t="s">
        <v>612</v>
      </c>
      <c r="C27" s="4" t="s">
        <v>613</v>
      </c>
      <c r="D27" s="4" t="s">
        <v>34</v>
      </c>
      <c r="E27" s="5">
        <v>21352</v>
      </c>
      <c r="F27" s="6">
        <v>39.511876000000001</v>
      </c>
      <c r="G27" s="7">
        <v>1.0355071E-2</v>
      </c>
      <c r="H27" s="112"/>
    </row>
    <row r="28" spans="1:8" x14ac:dyDescent="0.2">
      <c r="A28" s="3">
        <v>22</v>
      </c>
      <c r="B28" s="4" t="s">
        <v>56</v>
      </c>
      <c r="C28" s="4" t="s">
        <v>57</v>
      </c>
      <c r="D28" s="4" t="s">
        <v>58</v>
      </c>
      <c r="E28" s="5">
        <v>26457</v>
      </c>
      <c r="F28" s="6">
        <v>39.434158500000002</v>
      </c>
      <c r="G28" s="7">
        <v>1.0334703000000001E-2</v>
      </c>
      <c r="H28" s="112"/>
    </row>
    <row r="29" spans="1:8" ht="25.5" x14ac:dyDescent="0.2">
      <c r="A29" s="3">
        <v>23</v>
      </c>
      <c r="B29" s="4" t="s">
        <v>614</v>
      </c>
      <c r="C29" s="4" t="s">
        <v>615</v>
      </c>
      <c r="D29" s="4" t="s">
        <v>45</v>
      </c>
      <c r="E29" s="5">
        <v>1801</v>
      </c>
      <c r="F29" s="6">
        <v>39.381566499999998</v>
      </c>
      <c r="G29" s="7">
        <v>1.0320920000000001E-2</v>
      </c>
      <c r="H29" s="112"/>
    </row>
    <row r="30" spans="1:8" x14ac:dyDescent="0.2">
      <c r="A30" s="3">
        <v>24</v>
      </c>
      <c r="B30" s="4" t="s">
        <v>437</v>
      </c>
      <c r="C30" s="4" t="s">
        <v>438</v>
      </c>
      <c r="D30" s="4" t="s">
        <v>186</v>
      </c>
      <c r="E30" s="5">
        <v>763</v>
      </c>
      <c r="F30" s="6">
        <v>39.295644500000002</v>
      </c>
      <c r="G30" s="7">
        <v>1.0298402E-2</v>
      </c>
      <c r="H30" s="112"/>
    </row>
    <row r="31" spans="1:8" x14ac:dyDescent="0.2">
      <c r="A31" s="3">
        <v>25</v>
      </c>
      <c r="B31" s="4" t="s">
        <v>616</v>
      </c>
      <c r="C31" s="4" t="s">
        <v>617</v>
      </c>
      <c r="D31" s="4" t="s">
        <v>34</v>
      </c>
      <c r="E31" s="5">
        <v>29610</v>
      </c>
      <c r="F31" s="6">
        <v>39.277664999999999</v>
      </c>
      <c r="G31" s="7">
        <v>1.0293689999999999E-2</v>
      </c>
      <c r="H31" s="112"/>
    </row>
    <row r="32" spans="1:8" ht="25.5" x14ac:dyDescent="0.2">
      <c r="A32" s="3">
        <v>26</v>
      </c>
      <c r="B32" s="4" t="s">
        <v>618</v>
      </c>
      <c r="C32" s="4" t="s">
        <v>619</v>
      </c>
      <c r="D32" s="4" t="s">
        <v>971</v>
      </c>
      <c r="E32" s="5">
        <v>2279</v>
      </c>
      <c r="F32" s="6">
        <v>39.223869000000001</v>
      </c>
      <c r="G32" s="7">
        <v>1.0279592000000001E-2</v>
      </c>
      <c r="H32" s="112"/>
    </row>
    <row r="33" spans="1:8" x14ac:dyDescent="0.2">
      <c r="A33" s="3">
        <v>27</v>
      </c>
      <c r="B33" s="4" t="s">
        <v>428</v>
      </c>
      <c r="C33" s="4" t="s">
        <v>429</v>
      </c>
      <c r="D33" s="4" t="s">
        <v>186</v>
      </c>
      <c r="E33" s="5">
        <v>4928</v>
      </c>
      <c r="F33" s="6">
        <v>39.177599999999998</v>
      </c>
      <c r="G33" s="7">
        <v>1.0267465999999999E-2</v>
      </c>
      <c r="H33" s="112"/>
    </row>
    <row r="34" spans="1:8" ht="25.5" x14ac:dyDescent="0.2">
      <c r="A34" s="3">
        <v>28</v>
      </c>
      <c r="B34" s="4" t="s">
        <v>568</v>
      </c>
      <c r="C34" s="4" t="s">
        <v>569</v>
      </c>
      <c r="D34" s="4" t="s">
        <v>192</v>
      </c>
      <c r="E34" s="5">
        <v>274</v>
      </c>
      <c r="F34" s="6">
        <v>38.984309000000003</v>
      </c>
      <c r="G34" s="7">
        <v>1.0216809E-2</v>
      </c>
      <c r="H34" s="112"/>
    </row>
    <row r="35" spans="1:8" x14ac:dyDescent="0.2">
      <c r="A35" s="3">
        <v>29</v>
      </c>
      <c r="B35" s="4" t="s">
        <v>433</v>
      </c>
      <c r="C35" s="4" t="s">
        <v>434</v>
      </c>
      <c r="D35" s="4" t="s">
        <v>53</v>
      </c>
      <c r="E35" s="5">
        <v>2956</v>
      </c>
      <c r="F35" s="6">
        <v>38.899481999999999</v>
      </c>
      <c r="G35" s="7">
        <v>1.0194577999999999E-2</v>
      </c>
      <c r="H35" s="112"/>
    </row>
    <row r="36" spans="1:8" x14ac:dyDescent="0.2">
      <c r="A36" s="3">
        <v>30</v>
      </c>
      <c r="B36" s="4" t="s">
        <v>620</v>
      </c>
      <c r="C36" s="4" t="s">
        <v>621</v>
      </c>
      <c r="D36" s="4" t="s">
        <v>53</v>
      </c>
      <c r="E36" s="5">
        <v>5810</v>
      </c>
      <c r="F36" s="6">
        <v>38.877614999999999</v>
      </c>
      <c r="G36" s="7">
        <v>1.0188846999999999E-2</v>
      </c>
      <c r="H36" s="112"/>
    </row>
    <row r="37" spans="1:8" x14ac:dyDescent="0.2">
      <c r="A37" s="3">
        <v>31</v>
      </c>
      <c r="B37" s="4" t="s">
        <v>622</v>
      </c>
      <c r="C37" s="4" t="s">
        <v>623</v>
      </c>
      <c r="D37" s="4" t="s">
        <v>351</v>
      </c>
      <c r="E37" s="5">
        <v>5211</v>
      </c>
      <c r="F37" s="6">
        <v>38.571821999999997</v>
      </c>
      <c r="G37" s="7">
        <v>1.0108707E-2</v>
      </c>
      <c r="H37" s="112"/>
    </row>
    <row r="38" spans="1:8" x14ac:dyDescent="0.2">
      <c r="A38" s="3">
        <v>32</v>
      </c>
      <c r="B38" s="4" t="s">
        <v>624</v>
      </c>
      <c r="C38" s="4" t="s">
        <v>625</v>
      </c>
      <c r="D38" s="4" t="s">
        <v>81</v>
      </c>
      <c r="E38" s="5">
        <v>3648</v>
      </c>
      <c r="F38" s="6">
        <v>38.490048000000002</v>
      </c>
      <c r="G38" s="7">
        <v>1.0087275999999999E-2</v>
      </c>
      <c r="H38" s="112"/>
    </row>
    <row r="39" spans="1:8" x14ac:dyDescent="0.2">
      <c r="A39" s="3">
        <v>33</v>
      </c>
      <c r="B39" s="4" t="s">
        <v>11</v>
      </c>
      <c r="C39" s="4" t="s">
        <v>12</v>
      </c>
      <c r="D39" s="4" t="s">
        <v>13</v>
      </c>
      <c r="E39" s="5">
        <v>2168</v>
      </c>
      <c r="F39" s="6">
        <v>38.300972000000002</v>
      </c>
      <c r="G39" s="7">
        <v>1.0037724E-2</v>
      </c>
      <c r="H39" s="112"/>
    </row>
    <row r="40" spans="1:8" x14ac:dyDescent="0.2">
      <c r="A40" s="3">
        <v>34</v>
      </c>
      <c r="B40" s="4" t="s">
        <v>626</v>
      </c>
      <c r="C40" s="4" t="s">
        <v>627</v>
      </c>
      <c r="D40" s="4" t="s">
        <v>19</v>
      </c>
      <c r="E40" s="5">
        <v>13138</v>
      </c>
      <c r="F40" s="6">
        <v>38.290700999999999</v>
      </c>
      <c r="G40" s="7">
        <v>1.0035031999999999E-2</v>
      </c>
      <c r="H40" s="112"/>
    </row>
    <row r="41" spans="1:8" x14ac:dyDescent="0.2">
      <c r="A41" s="3">
        <v>35</v>
      </c>
      <c r="B41" s="4" t="s">
        <v>439</v>
      </c>
      <c r="C41" s="4" t="s">
        <v>440</v>
      </c>
      <c r="D41" s="4" t="s">
        <v>162</v>
      </c>
      <c r="E41" s="5">
        <v>2588</v>
      </c>
      <c r="F41" s="6">
        <v>38.246758</v>
      </c>
      <c r="G41" s="7">
        <v>1.0023515E-2</v>
      </c>
      <c r="H41" s="112"/>
    </row>
    <row r="42" spans="1:8" x14ac:dyDescent="0.2">
      <c r="A42" s="3">
        <v>36</v>
      </c>
      <c r="B42" s="4" t="s">
        <v>564</v>
      </c>
      <c r="C42" s="4" t="s">
        <v>565</v>
      </c>
      <c r="D42" s="4" t="s">
        <v>78</v>
      </c>
      <c r="E42" s="5">
        <v>510</v>
      </c>
      <c r="F42" s="6">
        <v>38.160240000000002</v>
      </c>
      <c r="G42" s="7">
        <v>1.0000841E-2</v>
      </c>
      <c r="H42" s="112"/>
    </row>
    <row r="43" spans="1:8" x14ac:dyDescent="0.2">
      <c r="A43" s="3">
        <v>37</v>
      </c>
      <c r="B43" s="4" t="s">
        <v>628</v>
      </c>
      <c r="C43" s="4" t="s">
        <v>629</v>
      </c>
      <c r="D43" s="4" t="s">
        <v>630</v>
      </c>
      <c r="E43" s="5">
        <v>26604</v>
      </c>
      <c r="F43" s="6">
        <v>38.083626000000002</v>
      </c>
      <c r="G43" s="7">
        <v>9.9807630000000001E-3</v>
      </c>
      <c r="H43" s="112"/>
    </row>
    <row r="44" spans="1:8" ht="25.5" x14ac:dyDescent="0.2">
      <c r="A44" s="3">
        <v>38</v>
      </c>
      <c r="B44" s="4" t="s">
        <v>416</v>
      </c>
      <c r="C44" s="4" t="s">
        <v>417</v>
      </c>
      <c r="D44" s="4" t="s">
        <v>81</v>
      </c>
      <c r="E44" s="5">
        <v>1333</v>
      </c>
      <c r="F44" s="6">
        <v>37.919851000000001</v>
      </c>
      <c r="G44" s="7">
        <v>9.9378409999999993E-3</v>
      </c>
      <c r="H44" s="112"/>
    </row>
    <row r="45" spans="1:8" x14ac:dyDescent="0.2">
      <c r="A45" s="3">
        <v>39</v>
      </c>
      <c r="B45" s="4" t="s">
        <v>14</v>
      </c>
      <c r="C45" s="4" t="s">
        <v>15</v>
      </c>
      <c r="D45" s="4" t="s">
        <v>16</v>
      </c>
      <c r="E45" s="5">
        <v>1494</v>
      </c>
      <c r="F45" s="6">
        <v>37.891575000000003</v>
      </c>
      <c r="G45" s="7">
        <v>9.930431E-3</v>
      </c>
      <c r="H45" s="112"/>
    </row>
    <row r="46" spans="1:8" ht="25.5" x14ac:dyDescent="0.2">
      <c r="A46" s="3">
        <v>40</v>
      </c>
      <c r="B46" s="4" t="s">
        <v>28</v>
      </c>
      <c r="C46" s="4" t="s">
        <v>29</v>
      </c>
      <c r="D46" s="4" t="s">
        <v>971</v>
      </c>
      <c r="E46" s="5">
        <v>495</v>
      </c>
      <c r="F46" s="6">
        <v>37.798447500000002</v>
      </c>
      <c r="G46" s="7">
        <v>9.9060250000000006E-3</v>
      </c>
      <c r="H46" s="112"/>
    </row>
    <row r="47" spans="1:8" ht="25.5" x14ac:dyDescent="0.2">
      <c r="A47" s="3">
        <v>41</v>
      </c>
      <c r="B47" s="4" t="s">
        <v>631</v>
      </c>
      <c r="C47" s="4" t="s">
        <v>632</v>
      </c>
      <c r="D47" s="4" t="s">
        <v>971</v>
      </c>
      <c r="E47" s="5">
        <v>1618</v>
      </c>
      <c r="F47" s="6">
        <v>37.754412000000002</v>
      </c>
      <c r="G47" s="7">
        <v>9.8944840000000003E-3</v>
      </c>
      <c r="H47" s="112"/>
    </row>
    <row r="48" spans="1:8" x14ac:dyDescent="0.2">
      <c r="A48" s="3">
        <v>42</v>
      </c>
      <c r="B48" s="4" t="s">
        <v>445</v>
      </c>
      <c r="C48" s="4" t="s">
        <v>446</v>
      </c>
      <c r="D48" s="4" t="s">
        <v>19</v>
      </c>
      <c r="E48" s="5">
        <v>1853</v>
      </c>
      <c r="F48" s="6">
        <v>37.637209499999997</v>
      </c>
      <c r="G48" s="7">
        <v>9.8637680000000002E-3</v>
      </c>
      <c r="H48" s="112"/>
    </row>
    <row r="49" spans="1:8" x14ac:dyDescent="0.2">
      <c r="A49" s="3">
        <v>43</v>
      </c>
      <c r="B49" s="4" t="s">
        <v>633</v>
      </c>
      <c r="C49" s="4" t="s">
        <v>634</v>
      </c>
      <c r="D49" s="4" t="s">
        <v>34</v>
      </c>
      <c r="E49" s="5">
        <v>3262</v>
      </c>
      <c r="F49" s="6">
        <v>37.605967</v>
      </c>
      <c r="G49" s="7">
        <v>9.8555799999999992E-3</v>
      </c>
      <c r="H49" s="112"/>
    </row>
    <row r="50" spans="1:8" x14ac:dyDescent="0.2">
      <c r="A50" s="3">
        <v>44</v>
      </c>
      <c r="B50" s="4" t="s">
        <v>426</v>
      </c>
      <c r="C50" s="4" t="s">
        <v>427</v>
      </c>
      <c r="D50" s="4" t="s">
        <v>162</v>
      </c>
      <c r="E50" s="5">
        <v>5789</v>
      </c>
      <c r="F50" s="6">
        <v>37.440357499999998</v>
      </c>
      <c r="G50" s="7">
        <v>9.8121779999999995E-3</v>
      </c>
      <c r="H50" s="112"/>
    </row>
    <row r="51" spans="1:8" x14ac:dyDescent="0.2">
      <c r="A51" s="3">
        <v>45</v>
      </c>
      <c r="B51" s="4" t="s">
        <v>386</v>
      </c>
      <c r="C51" s="4" t="s">
        <v>387</v>
      </c>
      <c r="D51" s="4" t="s">
        <v>973</v>
      </c>
      <c r="E51" s="5">
        <v>210</v>
      </c>
      <c r="F51" s="6">
        <v>37.424415000000003</v>
      </c>
      <c r="G51" s="7">
        <v>9.8080000000000007E-3</v>
      </c>
      <c r="H51" s="112"/>
    </row>
    <row r="52" spans="1:8" x14ac:dyDescent="0.2">
      <c r="A52" s="3">
        <v>46</v>
      </c>
      <c r="B52" s="4" t="s">
        <v>35</v>
      </c>
      <c r="C52" s="4" t="s">
        <v>36</v>
      </c>
      <c r="D52" s="4" t="s">
        <v>16</v>
      </c>
      <c r="E52" s="5">
        <v>8940</v>
      </c>
      <c r="F52" s="6">
        <v>37.342379999999999</v>
      </c>
      <c r="G52" s="7">
        <v>9.7865009999999995E-3</v>
      </c>
      <c r="H52" s="112"/>
    </row>
    <row r="53" spans="1:8" x14ac:dyDescent="0.2">
      <c r="A53" s="3">
        <v>47</v>
      </c>
      <c r="B53" s="4" t="s">
        <v>635</v>
      </c>
      <c r="C53" s="4" t="s">
        <v>636</v>
      </c>
      <c r="D53" s="4" t="s">
        <v>19</v>
      </c>
      <c r="E53" s="5">
        <v>291443</v>
      </c>
      <c r="F53" s="6">
        <v>37.304704000000001</v>
      </c>
      <c r="G53" s="7">
        <v>9.7766269999999995E-3</v>
      </c>
      <c r="H53" s="112"/>
    </row>
    <row r="54" spans="1:8" x14ac:dyDescent="0.2">
      <c r="A54" s="3">
        <v>48</v>
      </c>
      <c r="B54" s="4" t="s">
        <v>637</v>
      </c>
      <c r="C54" s="4" t="s">
        <v>638</v>
      </c>
      <c r="D54" s="4" t="s">
        <v>19</v>
      </c>
      <c r="E54" s="5">
        <v>3262</v>
      </c>
      <c r="F54" s="6">
        <v>37.193323999999997</v>
      </c>
      <c r="G54" s="7">
        <v>9.7474369999999994E-3</v>
      </c>
      <c r="H54" s="112"/>
    </row>
    <row r="55" spans="1:8" x14ac:dyDescent="0.2">
      <c r="A55" s="3">
        <v>49</v>
      </c>
      <c r="B55" s="4" t="s">
        <v>639</v>
      </c>
      <c r="C55" s="4" t="s">
        <v>640</v>
      </c>
      <c r="D55" s="4" t="s">
        <v>186</v>
      </c>
      <c r="E55" s="5">
        <v>4022</v>
      </c>
      <c r="F55" s="6">
        <v>37.119038000000003</v>
      </c>
      <c r="G55" s="7">
        <v>9.727968E-3</v>
      </c>
      <c r="H55" s="112"/>
    </row>
    <row r="56" spans="1:8" ht="25.5" x14ac:dyDescent="0.2">
      <c r="A56" s="3">
        <v>50</v>
      </c>
      <c r="B56" s="4" t="s">
        <v>400</v>
      </c>
      <c r="C56" s="4" t="s">
        <v>401</v>
      </c>
      <c r="D56" s="4" t="s">
        <v>192</v>
      </c>
      <c r="E56" s="5">
        <v>4578</v>
      </c>
      <c r="F56" s="6">
        <v>37.058909999999997</v>
      </c>
      <c r="G56" s="7">
        <v>9.7122100000000006E-3</v>
      </c>
      <c r="H56" s="112"/>
    </row>
    <row r="57" spans="1:8" x14ac:dyDescent="0.2">
      <c r="A57" s="3">
        <v>51</v>
      </c>
      <c r="B57" s="4" t="s">
        <v>641</v>
      </c>
      <c r="C57" s="4" t="s">
        <v>642</v>
      </c>
      <c r="D57" s="4" t="s">
        <v>81</v>
      </c>
      <c r="E57" s="5">
        <v>2523</v>
      </c>
      <c r="F57" s="6">
        <v>37.031332499999998</v>
      </c>
      <c r="G57" s="7">
        <v>9.7049830000000004E-3</v>
      </c>
      <c r="H57" s="112"/>
    </row>
    <row r="58" spans="1:8" x14ac:dyDescent="0.2">
      <c r="A58" s="3">
        <v>52</v>
      </c>
      <c r="B58" s="4" t="s">
        <v>643</v>
      </c>
      <c r="C58" s="4" t="s">
        <v>644</v>
      </c>
      <c r="D58" s="4" t="s">
        <v>186</v>
      </c>
      <c r="E58" s="5">
        <v>10544</v>
      </c>
      <c r="F58" s="6">
        <v>37.019984000000001</v>
      </c>
      <c r="G58" s="7">
        <v>9.7020089999999993E-3</v>
      </c>
      <c r="H58" s="112"/>
    </row>
    <row r="59" spans="1:8" x14ac:dyDescent="0.2">
      <c r="A59" s="3">
        <v>53</v>
      </c>
      <c r="B59" s="4" t="s">
        <v>412</v>
      </c>
      <c r="C59" s="4" t="s">
        <v>413</v>
      </c>
      <c r="D59" s="4" t="s">
        <v>19</v>
      </c>
      <c r="E59" s="5">
        <v>2334</v>
      </c>
      <c r="F59" s="6">
        <v>36.943719000000002</v>
      </c>
      <c r="G59" s="7">
        <v>9.6820220000000002E-3</v>
      </c>
      <c r="H59" s="112"/>
    </row>
    <row r="60" spans="1:8" x14ac:dyDescent="0.2">
      <c r="A60" s="3">
        <v>54</v>
      </c>
      <c r="B60" s="4" t="s">
        <v>414</v>
      </c>
      <c r="C60" s="4" t="s">
        <v>415</v>
      </c>
      <c r="D60" s="4" t="s">
        <v>162</v>
      </c>
      <c r="E60" s="5">
        <v>2202</v>
      </c>
      <c r="F60" s="6">
        <v>36.723855</v>
      </c>
      <c r="G60" s="7">
        <v>9.6244009999999994E-3</v>
      </c>
      <c r="H60" s="112"/>
    </row>
    <row r="61" spans="1:8" x14ac:dyDescent="0.2">
      <c r="A61" s="3">
        <v>55</v>
      </c>
      <c r="B61" s="4" t="s">
        <v>645</v>
      </c>
      <c r="C61" s="4" t="s">
        <v>646</v>
      </c>
      <c r="D61" s="4" t="s">
        <v>186</v>
      </c>
      <c r="E61" s="5">
        <v>788</v>
      </c>
      <c r="F61" s="6">
        <v>36.714495999999997</v>
      </c>
      <c r="G61" s="7">
        <v>9.621948E-3</v>
      </c>
      <c r="H61" s="112"/>
    </row>
    <row r="62" spans="1:8" ht="25.5" x14ac:dyDescent="0.2">
      <c r="A62" s="3">
        <v>56</v>
      </c>
      <c r="B62" s="4" t="s">
        <v>647</v>
      </c>
      <c r="C62" s="4" t="s">
        <v>648</v>
      </c>
      <c r="D62" s="4" t="s">
        <v>971</v>
      </c>
      <c r="E62" s="5">
        <v>9016</v>
      </c>
      <c r="F62" s="6">
        <v>36.496768000000003</v>
      </c>
      <c r="G62" s="7">
        <v>9.5648869999999993E-3</v>
      </c>
      <c r="H62" s="112"/>
    </row>
    <row r="63" spans="1:8" x14ac:dyDescent="0.2">
      <c r="A63" s="3">
        <v>57</v>
      </c>
      <c r="B63" s="4" t="s">
        <v>649</v>
      </c>
      <c r="C63" s="4" t="s">
        <v>650</v>
      </c>
      <c r="D63" s="4" t="s">
        <v>630</v>
      </c>
      <c r="E63" s="5">
        <v>22119</v>
      </c>
      <c r="F63" s="6">
        <v>36.374695500000001</v>
      </c>
      <c r="G63" s="7">
        <v>9.5328949999999996E-3</v>
      </c>
      <c r="H63" s="112"/>
    </row>
    <row r="64" spans="1:8" ht="25.5" x14ac:dyDescent="0.2">
      <c r="A64" s="3">
        <v>58</v>
      </c>
      <c r="B64" s="4" t="s">
        <v>651</v>
      </c>
      <c r="C64" s="4" t="s">
        <v>652</v>
      </c>
      <c r="D64" s="4" t="s">
        <v>971</v>
      </c>
      <c r="E64" s="5">
        <v>127</v>
      </c>
      <c r="F64" s="6">
        <v>36.366767500000002</v>
      </c>
      <c r="G64" s="7">
        <v>9.5308170000000005E-3</v>
      </c>
      <c r="H64" s="112"/>
    </row>
    <row r="65" spans="1:8" ht="25.5" x14ac:dyDescent="0.2">
      <c r="A65" s="3">
        <v>59</v>
      </c>
      <c r="B65" s="4" t="s">
        <v>460</v>
      </c>
      <c r="C65" s="4" t="s">
        <v>461</v>
      </c>
      <c r="D65" s="4" t="s">
        <v>973</v>
      </c>
      <c r="E65" s="5">
        <v>2453</v>
      </c>
      <c r="F65" s="6">
        <v>36.3424215</v>
      </c>
      <c r="G65" s="7">
        <v>9.5244370000000002E-3</v>
      </c>
      <c r="H65" s="112"/>
    </row>
    <row r="66" spans="1:8" ht="25.5" x14ac:dyDescent="0.2">
      <c r="A66" s="3">
        <v>60</v>
      </c>
      <c r="B66" s="4" t="s">
        <v>570</v>
      </c>
      <c r="C66" s="4" t="s">
        <v>571</v>
      </c>
      <c r="D66" s="4" t="s">
        <v>192</v>
      </c>
      <c r="E66" s="5">
        <v>191</v>
      </c>
      <c r="F66" s="6">
        <v>36.290286500000001</v>
      </c>
      <c r="G66" s="7">
        <v>9.5107730000000001E-3</v>
      </c>
      <c r="H66" s="112"/>
    </row>
    <row r="67" spans="1:8" x14ac:dyDescent="0.2">
      <c r="A67" s="3">
        <v>61</v>
      </c>
      <c r="B67" s="4" t="s">
        <v>653</v>
      </c>
      <c r="C67" s="4" t="s">
        <v>654</v>
      </c>
      <c r="D67" s="4" t="s">
        <v>147</v>
      </c>
      <c r="E67" s="5">
        <v>1568</v>
      </c>
      <c r="F67" s="6">
        <v>36.278032000000003</v>
      </c>
      <c r="G67" s="7">
        <v>9.5075620000000007E-3</v>
      </c>
      <c r="H67" s="112"/>
    </row>
    <row r="68" spans="1:8" x14ac:dyDescent="0.2">
      <c r="A68" s="3">
        <v>62</v>
      </c>
      <c r="B68" s="4" t="s">
        <v>345</v>
      </c>
      <c r="C68" s="4" t="s">
        <v>346</v>
      </c>
      <c r="D68" s="4" t="s">
        <v>186</v>
      </c>
      <c r="E68" s="5">
        <v>980</v>
      </c>
      <c r="F68" s="6">
        <v>36.261960000000002</v>
      </c>
      <c r="G68" s="7">
        <v>9.5033500000000007E-3</v>
      </c>
      <c r="H68" s="112"/>
    </row>
    <row r="69" spans="1:8" x14ac:dyDescent="0.2">
      <c r="A69" s="3">
        <v>63</v>
      </c>
      <c r="B69" s="4" t="s">
        <v>655</v>
      </c>
      <c r="C69" s="4" t="s">
        <v>656</v>
      </c>
      <c r="D69" s="4" t="s">
        <v>81</v>
      </c>
      <c r="E69" s="5">
        <v>749</v>
      </c>
      <c r="F69" s="6">
        <v>36.174453</v>
      </c>
      <c r="G69" s="7">
        <v>9.4804160000000002E-3</v>
      </c>
      <c r="H69" s="112"/>
    </row>
    <row r="70" spans="1:8" x14ac:dyDescent="0.2">
      <c r="A70" s="3">
        <v>64</v>
      </c>
      <c r="B70" s="4" t="s">
        <v>430</v>
      </c>
      <c r="C70" s="4" t="s">
        <v>431</v>
      </c>
      <c r="D70" s="4" t="s">
        <v>432</v>
      </c>
      <c r="E70" s="5">
        <v>7848</v>
      </c>
      <c r="F70" s="6">
        <v>36.085104000000001</v>
      </c>
      <c r="G70" s="7">
        <v>9.4570000000000001E-3</v>
      </c>
      <c r="H70" s="112"/>
    </row>
    <row r="71" spans="1:8" x14ac:dyDescent="0.2">
      <c r="A71" s="3">
        <v>65</v>
      </c>
      <c r="B71" s="4" t="s">
        <v>349</v>
      </c>
      <c r="C71" s="4" t="s">
        <v>350</v>
      </c>
      <c r="D71" s="4" t="s">
        <v>351</v>
      </c>
      <c r="E71" s="5">
        <v>1201</v>
      </c>
      <c r="F71" s="6">
        <v>36.029399499999997</v>
      </c>
      <c r="G71" s="7">
        <v>9.4424009999999996E-3</v>
      </c>
      <c r="H71" s="112"/>
    </row>
    <row r="72" spans="1:8" x14ac:dyDescent="0.2">
      <c r="A72" s="3">
        <v>66</v>
      </c>
      <c r="B72" s="4" t="s">
        <v>657</v>
      </c>
      <c r="C72" s="4" t="s">
        <v>658</v>
      </c>
      <c r="D72" s="4" t="s">
        <v>186</v>
      </c>
      <c r="E72" s="5">
        <v>5222</v>
      </c>
      <c r="F72" s="6">
        <v>35.997857000000003</v>
      </c>
      <c r="G72" s="7">
        <v>9.4341349999999997E-3</v>
      </c>
      <c r="H72" s="112"/>
    </row>
    <row r="73" spans="1:8" x14ac:dyDescent="0.2">
      <c r="A73" s="3">
        <v>67</v>
      </c>
      <c r="B73" s="4" t="s">
        <v>591</v>
      </c>
      <c r="C73" s="4" t="s">
        <v>592</v>
      </c>
      <c r="D73" s="4" t="s">
        <v>973</v>
      </c>
      <c r="E73" s="5">
        <v>5279</v>
      </c>
      <c r="F73" s="6">
        <v>35.920955499999998</v>
      </c>
      <c r="G73" s="7">
        <v>9.4139810000000001E-3</v>
      </c>
      <c r="H73" s="112"/>
    </row>
    <row r="74" spans="1:8" x14ac:dyDescent="0.2">
      <c r="A74" s="3">
        <v>68</v>
      </c>
      <c r="B74" s="4" t="s">
        <v>566</v>
      </c>
      <c r="C74" s="4" t="s">
        <v>567</v>
      </c>
      <c r="D74" s="4" t="s">
        <v>81</v>
      </c>
      <c r="E74" s="5">
        <v>485</v>
      </c>
      <c r="F74" s="6">
        <v>35.890970000000003</v>
      </c>
      <c r="G74" s="7">
        <v>9.4061230000000006E-3</v>
      </c>
      <c r="H74" s="112"/>
    </row>
    <row r="75" spans="1:8" x14ac:dyDescent="0.2">
      <c r="A75" s="3">
        <v>69</v>
      </c>
      <c r="B75" s="4" t="s">
        <v>22</v>
      </c>
      <c r="C75" s="4" t="s">
        <v>23</v>
      </c>
      <c r="D75" s="4" t="s">
        <v>24</v>
      </c>
      <c r="E75" s="5">
        <v>5222</v>
      </c>
      <c r="F75" s="6">
        <v>35.788977000000003</v>
      </c>
      <c r="G75" s="7">
        <v>9.3793929999999998E-3</v>
      </c>
      <c r="H75" s="112"/>
    </row>
    <row r="76" spans="1:8" x14ac:dyDescent="0.2">
      <c r="A76" s="3">
        <v>70</v>
      </c>
      <c r="B76" s="4" t="s">
        <v>576</v>
      </c>
      <c r="C76" s="4" t="s">
        <v>577</v>
      </c>
      <c r="D76" s="4" t="s">
        <v>78</v>
      </c>
      <c r="E76" s="5">
        <v>964</v>
      </c>
      <c r="F76" s="6">
        <v>35.73789</v>
      </c>
      <c r="G76" s="7">
        <v>9.3660040000000007E-3</v>
      </c>
      <c r="H76" s="112"/>
    </row>
    <row r="77" spans="1:8" x14ac:dyDescent="0.2">
      <c r="A77" s="3">
        <v>71</v>
      </c>
      <c r="B77" s="4" t="s">
        <v>456</v>
      </c>
      <c r="C77" s="4" t="s">
        <v>457</v>
      </c>
      <c r="D77" s="4" t="s">
        <v>186</v>
      </c>
      <c r="E77" s="5">
        <v>3941</v>
      </c>
      <c r="F77" s="6">
        <v>35.668020499999997</v>
      </c>
      <c r="G77" s="7">
        <v>9.3476930000000007E-3</v>
      </c>
      <c r="H77" s="112"/>
    </row>
    <row r="78" spans="1:8" x14ac:dyDescent="0.2">
      <c r="A78" s="3">
        <v>72</v>
      </c>
      <c r="B78" s="4" t="s">
        <v>659</v>
      </c>
      <c r="C78" s="4" t="s">
        <v>660</v>
      </c>
      <c r="D78" s="4" t="s">
        <v>81</v>
      </c>
      <c r="E78" s="5">
        <v>1370</v>
      </c>
      <c r="F78" s="6">
        <v>35.643974999999998</v>
      </c>
      <c r="G78" s="7">
        <v>9.3413909999999992E-3</v>
      </c>
      <c r="H78" s="112"/>
    </row>
    <row r="79" spans="1:8" ht="25.5" x14ac:dyDescent="0.2">
      <c r="A79" s="3">
        <v>73</v>
      </c>
      <c r="B79" s="4" t="s">
        <v>661</v>
      </c>
      <c r="C79" s="4" t="s">
        <v>662</v>
      </c>
      <c r="D79" s="4" t="s">
        <v>973</v>
      </c>
      <c r="E79" s="5">
        <v>5753</v>
      </c>
      <c r="F79" s="6">
        <v>35.576552</v>
      </c>
      <c r="G79" s="7">
        <v>9.3237210000000001E-3</v>
      </c>
      <c r="H79" s="112"/>
    </row>
    <row r="80" spans="1:8" x14ac:dyDescent="0.2">
      <c r="A80" s="3">
        <v>74</v>
      </c>
      <c r="B80" s="4" t="s">
        <v>663</v>
      </c>
      <c r="C80" s="4" t="s">
        <v>664</v>
      </c>
      <c r="D80" s="4" t="s">
        <v>64</v>
      </c>
      <c r="E80" s="5">
        <v>8921</v>
      </c>
      <c r="F80" s="6">
        <v>35.559106</v>
      </c>
      <c r="G80" s="7">
        <v>9.3191490000000005E-3</v>
      </c>
      <c r="H80" s="112"/>
    </row>
    <row r="81" spans="1:8" x14ac:dyDescent="0.2">
      <c r="A81" s="3">
        <v>75</v>
      </c>
      <c r="B81" s="4" t="s">
        <v>420</v>
      </c>
      <c r="C81" s="4" t="s">
        <v>421</v>
      </c>
      <c r="D81" s="4" t="s">
        <v>973</v>
      </c>
      <c r="E81" s="5">
        <v>3103</v>
      </c>
      <c r="F81" s="6">
        <v>35.546416499999999</v>
      </c>
      <c r="G81" s="7">
        <v>9.3158240000000003E-3</v>
      </c>
      <c r="H81" s="112"/>
    </row>
    <row r="82" spans="1:8" x14ac:dyDescent="0.2">
      <c r="A82" s="3">
        <v>76</v>
      </c>
      <c r="B82" s="4" t="s">
        <v>665</v>
      </c>
      <c r="C82" s="4" t="s">
        <v>666</v>
      </c>
      <c r="D82" s="4" t="s">
        <v>630</v>
      </c>
      <c r="E82" s="5">
        <v>2496</v>
      </c>
      <c r="F82" s="6">
        <v>35.533056000000002</v>
      </c>
      <c r="G82" s="7">
        <v>9.3123219999999996E-3</v>
      </c>
      <c r="H82" s="112"/>
    </row>
    <row r="83" spans="1:8" ht="25.5" x14ac:dyDescent="0.2">
      <c r="A83" s="3">
        <v>77</v>
      </c>
      <c r="B83" s="4" t="s">
        <v>443</v>
      </c>
      <c r="C83" s="4" t="s">
        <v>444</v>
      </c>
      <c r="D83" s="4" t="s">
        <v>192</v>
      </c>
      <c r="E83" s="5">
        <v>15863</v>
      </c>
      <c r="F83" s="6">
        <v>35.406216000000001</v>
      </c>
      <c r="G83" s="7">
        <v>9.2790809999999998E-3</v>
      </c>
      <c r="H83" s="112"/>
    </row>
    <row r="84" spans="1:8" ht="25.5" x14ac:dyDescent="0.2">
      <c r="A84" s="3">
        <v>78</v>
      </c>
      <c r="B84" s="4" t="s">
        <v>667</v>
      </c>
      <c r="C84" s="4" t="s">
        <v>668</v>
      </c>
      <c r="D84" s="4" t="s">
        <v>192</v>
      </c>
      <c r="E84" s="5">
        <v>3699</v>
      </c>
      <c r="F84" s="6">
        <v>35.386483499999997</v>
      </c>
      <c r="G84" s="7">
        <v>9.2739090000000003E-3</v>
      </c>
      <c r="H84" s="112"/>
    </row>
    <row r="85" spans="1:8" x14ac:dyDescent="0.2">
      <c r="A85" s="3">
        <v>79</v>
      </c>
      <c r="B85" s="4" t="s">
        <v>669</v>
      </c>
      <c r="C85" s="4" t="s">
        <v>670</v>
      </c>
      <c r="D85" s="4" t="s">
        <v>186</v>
      </c>
      <c r="E85" s="5">
        <v>1235</v>
      </c>
      <c r="F85" s="6">
        <v>35.325940000000003</v>
      </c>
      <c r="G85" s="7">
        <v>9.2580419999999993E-3</v>
      </c>
      <c r="H85" s="112"/>
    </row>
    <row r="86" spans="1:8" ht="25.5" x14ac:dyDescent="0.2">
      <c r="A86" s="3">
        <v>80</v>
      </c>
      <c r="B86" s="4" t="s">
        <v>502</v>
      </c>
      <c r="C86" s="4" t="s">
        <v>503</v>
      </c>
      <c r="D86" s="4" t="s">
        <v>192</v>
      </c>
      <c r="E86" s="5">
        <v>6027</v>
      </c>
      <c r="F86" s="6">
        <v>35.309179499999999</v>
      </c>
      <c r="G86" s="7">
        <v>9.2536500000000004E-3</v>
      </c>
      <c r="H86" s="112"/>
    </row>
    <row r="87" spans="1:8" x14ac:dyDescent="0.2">
      <c r="A87" s="3">
        <v>81</v>
      </c>
      <c r="B87" s="4" t="s">
        <v>308</v>
      </c>
      <c r="C87" s="4" t="s">
        <v>309</v>
      </c>
      <c r="D87" s="4" t="s">
        <v>189</v>
      </c>
      <c r="E87" s="5">
        <v>826</v>
      </c>
      <c r="F87" s="6">
        <v>35.204532999999998</v>
      </c>
      <c r="G87" s="7">
        <v>9.2262249999999994E-3</v>
      </c>
      <c r="H87" s="112"/>
    </row>
    <row r="88" spans="1:8" x14ac:dyDescent="0.2">
      <c r="A88" s="3">
        <v>82</v>
      </c>
      <c r="B88" s="4" t="s">
        <v>59</v>
      </c>
      <c r="C88" s="4" t="s">
        <v>60</v>
      </c>
      <c r="D88" s="4" t="s">
        <v>61</v>
      </c>
      <c r="E88" s="5">
        <v>23564</v>
      </c>
      <c r="F88" s="6">
        <v>35.075014000000003</v>
      </c>
      <c r="G88" s="7">
        <v>9.1922810000000001E-3</v>
      </c>
      <c r="H88" s="112"/>
    </row>
    <row r="89" spans="1:8" ht="25.5" x14ac:dyDescent="0.2">
      <c r="A89" s="3">
        <v>83</v>
      </c>
      <c r="B89" s="4" t="s">
        <v>82</v>
      </c>
      <c r="C89" s="4" t="s">
        <v>83</v>
      </c>
      <c r="D89" s="4" t="s">
        <v>50</v>
      </c>
      <c r="E89" s="5">
        <v>5061</v>
      </c>
      <c r="F89" s="6">
        <v>35.07273</v>
      </c>
      <c r="G89" s="7">
        <v>9.1916819999999996E-3</v>
      </c>
      <c r="H89" s="112"/>
    </row>
    <row r="90" spans="1:8" x14ac:dyDescent="0.2">
      <c r="A90" s="3">
        <v>84</v>
      </c>
      <c r="B90" s="4" t="s">
        <v>322</v>
      </c>
      <c r="C90" s="4" t="s">
        <v>323</v>
      </c>
      <c r="D90" s="4" t="s">
        <v>19</v>
      </c>
      <c r="E90" s="5">
        <v>4717</v>
      </c>
      <c r="F90" s="6">
        <v>35.000140000000002</v>
      </c>
      <c r="G90" s="7">
        <v>9.1726580000000002E-3</v>
      </c>
      <c r="H90" s="112"/>
    </row>
    <row r="91" spans="1:8" x14ac:dyDescent="0.2">
      <c r="A91" s="3">
        <v>85</v>
      </c>
      <c r="B91" s="4" t="s">
        <v>671</v>
      </c>
      <c r="C91" s="4" t="s">
        <v>672</v>
      </c>
      <c r="D91" s="4" t="s">
        <v>71</v>
      </c>
      <c r="E91" s="5">
        <v>2768</v>
      </c>
      <c r="F91" s="6">
        <v>34.958455999999998</v>
      </c>
      <c r="G91" s="7">
        <v>9.1617339999999995E-3</v>
      </c>
      <c r="H91" s="112"/>
    </row>
    <row r="92" spans="1:8" ht="25.5" x14ac:dyDescent="0.2">
      <c r="A92" s="3">
        <v>86</v>
      </c>
      <c r="B92" s="4" t="s">
        <v>673</v>
      </c>
      <c r="C92" s="4" t="s">
        <v>674</v>
      </c>
      <c r="D92" s="4" t="s">
        <v>192</v>
      </c>
      <c r="E92" s="5">
        <v>2261</v>
      </c>
      <c r="F92" s="6">
        <v>34.878185999999999</v>
      </c>
      <c r="G92" s="7">
        <v>9.1406969999999997E-3</v>
      </c>
      <c r="H92" s="112"/>
    </row>
    <row r="93" spans="1:8" ht="25.5" x14ac:dyDescent="0.2">
      <c r="A93" s="3">
        <v>87</v>
      </c>
      <c r="B93" s="4" t="s">
        <v>675</v>
      </c>
      <c r="C93" s="4" t="s">
        <v>676</v>
      </c>
      <c r="D93" s="4" t="s">
        <v>192</v>
      </c>
      <c r="E93" s="5">
        <v>947</v>
      </c>
      <c r="F93" s="6">
        <v>34.809352500000003</v>
      </c>
      <c r="G93" s="7">
        <v>9.1226580000000005E-3</v>
      </c>
      <c r="H93" s="112"/>
    </row>
    <row r="94" spans="1:8" x14ac:dyDescent="0.2">
      <c r="A94" s="3">
        <v>88</v>
      </c>
      <c r="B94" s="4" t="s">
        <v>677</v>
      </c>
      <c r="C94" s="4" t="s">
        <v>678</v>
      </c>
      <c r="D94" s="4" t="s">
        <v>78</v>
      </c>
      <c r="E94" s="5">
        <v>1295</v>
      </c>
      <c r="F94" s="6">
        <v>34.409444999999998</v>
      </c>
      <c r="G94" s="7">
        <v>9.0178519999999998E-3</v>
      </c>
      <c r="H94" s="112"/>
    </row>
    <row r="95" spans="1:8" ht="25.5" x14ac:dyDescent="0.2">
      <c r="A95" s="3">
        <v>89</v>
      </c>
      <c r="B95" s="4" t="s">
        <v>562</v>
      </c>
      <c r="C95" s="4" t="s">
        <v>563</v>
      </c>
      <c r="D95" s="4" t="s">
        <v>192</v>
      </c>
      <c r="E95" s="5">
        <v>1105</v>
      </c>
      <c r="F95" s="6">
        <v>34.256104999999998</v>
      </c>
      <c r="G95" s="7">
        <v>8.9776649999999993E-3</v>
      </c>
      <c r="H95" s="112"/>
    </row>
    <row r="96" spans="1:8" x14ac:dyDescent="0.2">
      <c r="A96" s="3">
        <v>90</v>
      </c>
      <c r="B96" s="4" t="s">
        <v>679</v>
      </c>
      <c r="C96" s="4" t="s">
        <v>680</v>
      </c>
      <c r="D96" s="4" t="s">
        <v>186</v>
      </c>
      <c r="E96" s="5">
        <v>6813</v>
      </c>
      <c r="F96" s="6">
        <v>34.255763999999999</v>
      </c>
      <c r="G96" s="7">
        <v>8.9775759999999993E-3</v>
      </c>
      <c r="H96" s="112"/>
    </row>
    <row r="97" spans="1:8" x14ac:dyDescent="0.2">
      <c r="A97" s="3">
        <v>91</v>
      </c>
      <c r="B97" s="4" t="s">
        <v>589</v>
      </c>
      <c r="C97" s="4" t="s">
        <v>590</v>
      </c>
      <c r="D97" s="4" t="s">
        <v>334</v>
      </c>
      <c r="E97" s="5">
        <v>563</v>
      </c>
      <c r="F97" s="6">
        <v>34.204220499999998</v>
      </c>
      <c r="G97" s="7">
        <v>8.9640680000000004E-3</v>
      </c>
      <c r="H97" s="112"/>
    </row>
    <row r="98" spans="1:8" x14ac:dyDescent="0.2">
      <c r="A98" s="3">
        <v>92</v>
      </c>
      <c r="B98" s="4" t="s">
        <v>84</v>
      </c>
      <c r="C98" s="4" t="s">
        <v>85</v>
      </c>
      <c r="D98" s="4" t="s">
        <v>61</v>
      </c>
      <c r="E98" s="5">
        <v>7217</v>
      </c>
      <c r="F98" s="6">
        <v>34.201363000000001</v>
      </c>
      <c r="G98" s="7">
        <v>8.9633190000000008E-3</v>
      </c>
      <c r="H98" s="112"/>
    </row>
    <row r="99" spans="1:8" x14ac:dyDescent="0.2">
      <c r="A99" s="3">
        <v>93</v>
      </c>
      <c r="B99" s="4" t="s">
        <v>318</v>
      </c>
      <c r="C99" s="4" t="s">
        <v>319</v>
      </c>
      <c r="D99" s="4" t="s">
        <v>977</v>
      </c>
      <c r="E99" s="5">
        <v>924</v>
      </c>
      <c r="F99" s="6">
        <v>34.089131999999999</v>
      </c>
      <c r="G99" s="7">
        <v>8.9339060000000001E-3</v>
      </c>
      <c r="H99" s="112"/>
    </row>
    <row r="100" spans="1:8" ht="25.5" x14ac:dyDescent="0.2">
      <c r="A100" s="3">
        <v>94</v>
      </c>
      <c r="B100" s="4" t="s">
        <v>681</v>
      </c>
      <c r="C100" s="4" t="s">
        <v>682</v>
      </c>
      <c r="D100" s="4" t="s">
        <v>192</v>
      </c>
      <c r="E100" s="5">
        <v>4560</v>
      </c>
      <c r="F100" s="6">
        <v>33.812399999999997</v>
      </c>
      <c r="G100" s="7">
        <v>8.8613809999999998E-3</v>
      </c>
      <c r="H100" s="112"/>
    </row>
    <row r="101" spans="1:8" x14ac:dyDescent="0.2">
      <c r="A101" s="3">
        <v>95</v>
      </c>
      <c r="B101" s="4" t="s">
        <v>422</v>
      </c>
      <c r="C101" s="4" t="s">
        <v>423</v>
      </c>
      <c r="D101" s="4" t="s">
        <v>162</v>
      </c>
      <c r="E101" s="5">
        <v>995</v>
      </c>
      <c r="F101" s="6">
        <v>33.807612499999998</v>
      </c>
      <c r="G101" s="7">
        <v>8.8601270000000006E-3</v>
      </c>
      <c r="H101" s="112"/>
    </row>
    <row r="102" spans="1:8" x14ac:dyDescent="0.2">
      <c r="A102" s="3">
        <v>96</v>
      </c>
      <c r="B102" s="4" t="s">
        <v>376</v>
      </c>
      <c r="C102" s="4" t="s">
        <v>377</v>
      </c>
      <c r="D102" s="4" t="s">
        <v>162</v>
      </c>
      <c r="E102" s="5">
        <v>2938</v>
      </c>
      <c r="F102" s="6">
        <v>33.603375</v>
      </c>
      <c r="G102" s="7">
        <v>8.8066010000000007E-3</v>
      </c>
      <c r="H102" s="112"/>
    </row>
    <row r="103" spans="1:8" ht="25.5" x14ac:dyDescent="0.2">
      <c r="A103" s="3">
        <v>97</v>
      </c>
      <c r="B103" s="4" t="s">
        <v>424</v>
      </c>
      <c r="C103" s="4" t="s">
        <v>425</v>
      </c>
      <c r="D103" s="4" t="s">
        <v>192</v>
      </c>
      <c r="E103" s="5">
        <v>1403</v>
      </c>
      <c r="F103" s="6">
        <v>33.575894499999997</v>
      </c>
      <c r="G103" s="7">
        <v>8.7993989999999994E-3</v>
      </c>
      <c r="H103" s="112"/>
    </row>
    <row r="104" spans="1:8" x14ac:dyDescent="0.2">
      <c r="A104" s="3">
        <v>98</v>
      </c>
      <c r="B104" s="4" t="s">
        <v>683</v>
      </c>
      <c r="C104" s="4" t="s">
        <v>684</v>
      </c>
      <c r="D104" s="4" t="s">
        <v>24</v>
      </c>
      <c r="E104" s="5">
        <v>12205</v>
      </c>
      <c r="F104" s="6">
        <v>33.136575000000001</v>
      </c>
      <c r="G104" s="7">
        <v>8.684265E-3</v>
      </c>
      <c r="H104" s="112"/>
    </row>
    <row r="105" spans="1:8" x14ac:dyDescent="0.2">
      <c r="A105" s="3">
        <v>99</v>
      </c>
      <c r="B105" s="4" t="s">
        <v>685</v>
      </c>
      <c r="C105" s="4" t="s">
        <v>686</v>
      </c>
      <c r="D105" s="4" t="s">
        <v>78</v>
      </c>
      <c r="E105" s="5">
        <v>1317</v>
      </c>
      <c r="F105" s="6">
        <v>32.724815999999997</v>
      </c>
      <c r="G105" s="7">
        <v>8.5763530000000001E-3</v>
      </c>
      <c r="H105" s="112"/>
    </row>
    <row r="106" spans="1:8" x14ac:dyDescent="0.2">
      <c r="A106" s="3">
        <v>100</v>
      </c>
      <c r="B106" s="4" t="s">
        <v>687</v>
      </c>
      <c r="C106" s="4" t="s">
        <v>688</v>
      </c>
      <c r="D106" s="4" t="s">
        <v>974</v>
      </c>
      <c r="E106" s="5">
        <v>1191</v>
      </c>
      <c r="F106" s="6">
        <v>31.528151999999999</v>
      </c>
      <c r="G106" s="7">
        <v>8.2627369999999992E-3</v>
      </c>
      <c r="H106" s="112"/>
    </row>
    <row r="107" spans="1:8" ht="25.5" x14ac:dyDescent="0.2">
      <c r="A107" s="3">
        <v>101</v>
      </c>
      <c r="B107" s="4" t="s">
        <v>447</v>
      </c>
      <c r="C107" s="70" t="s">
        <v>1030</v>
      </c>
      <c r="D107" s="40" t="s">
        <v>24</v>
      </c>
      <c r="E107" s="5">
        <v>438</v>
      </c>
      <c r="F107" s="6">
        <v>1.1199222</v>
      </c>
      <c r="G107" s="7">
        <v>2.9350399999999999E-4</v>
      </c>
      <c r="H107" s="112"/>
    </row>
    <row r="108" spans="1:8" x14ac:dyDescent="0.2">
      <c r="A108" s="1"/>
      <c r="B108" s="1"/>
      <c r="C108" s="2" t="s">
        <v>97</v>
      </c>
      <c r="D108" s="1"/>
      <c r="E108" s="1" t="s">
        <v>98</v>
      </c>
      <c r="F108" s="9">
        <v>3759.1278087000001</v>
      </c>
      <c r="G108" s="10">
        <v>0.98517306000000004</v>
      </c>
      <c r="H108" s="112"/>
    </row>
    <row r="109" spans="1:8" x14ac:dyDescent="0.2">
      <c r="A109" s="1"/>
      <c r="B109" s="1"/>
      <c r="C109" s="11"/>
      <c r="D109" s="1"/>
      <c r="E109" s="1"/>
      <c r="F109" s="12"/>
      <c r="G109" s="12"/>
      <c r="H109" s="112"/>
    </row>
    <row r="110" spans="1:8" x14ac:dyDescent="0.2">
      <c r="A110" s="1"/>
      <c r="B110" s="1"/>
      <c r="C110" s="2" t="s">
        <v>99</v>
      </c>
      <c r="D110" s="1"/>
      <c r="E110" s="1"/>
      <c r="F110" s="1"/>
      <c r="G110" s="1"/>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100</v>
      </c>
      <c r="D113" s="1"/>
      <c r="E113" s="1"/>
      <c r="F113" s="1"/>
      <c r="G113" s="1"/>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2" t="s">
        <v>101</v>
      </c>
      <c r="D116" s="1"/>
      <c r="E116" s="1"/>
      <c r="F116" s="1"/>
      <c r="G116" s="1"/>
      <c r="H116" s="112"/>
    </row>
    <row r="117" spans="1:8" x14ac:dyDescent="0.2">
      <c r="A117" s="1"/>
      <c r="B117" s="1"/>
      <c r="C117" s="2" t="s">
        <v>97</v>
      </c>
      <c r="D117" s="1"/>
      <c r="E117" s="1" t="s">
        <v>98</v>
      </c>
      <c r="F117" s="9">
        <v>0</v>
      </c>
      <c r="G117" s="10">
        <v>0</v>
      </c>
      <c r="H117" s="112"/>
    </row>
    <row r="118" spans="1:8" x14ac:dyDescent="0.2">
      <c r="A118" s="1"/>
      <c r="B118" s="1"/>
      <c r="C118" s="11"/>
      <c r="D118" s="1"/>
      <c r="E118" s="1"/>
      <c r="F118" s="12"/>
      <c r="G118" s="12"/>
      <c r="H118" s="112"/>
    </row>
    <row r="119" spans="1:8" x14ac:dyDescent="0.2">
      <c r="A119" s="1"/>
      <c r="B119" s="1"/>
      <c r="C119" s="2" t="s">
        <v>102</v>
      </c>
      <c r="D119" s="1"/>
      <c r="E119" s="1"/>
      <c r="F119" s="12"/>
      <c r="G119" s="12"/>
      <c r="H119" s="112"/>
    </row>
    <row r="120" spans="1:8" x14ac:dyDescent="0.2">
      <c r="A120" s="1"/>
      <c r="B120" s="1"/>
      <c r="C120" s="2" t="s">
        <v>97</v>
      </c>
      <c r="D120" s="1"/>
      <c r="E120" s="1" t="s">
        <v>98</v>
      </c>
      <c r="F120" s="13">
        <v>0</v>
      </c>
      <c r="G120" s="14">
        <v>0</v>
      </c>
      <c r="H120" s="112"/>
    </row>
    <row r="121" spans="1:8" x14ac:dyDescent="0.2">
      <c r="A121" s="1"/>
      <c r="B121" s="1"/>
      <c r="C121" s="11"/>
      <c r="D121" s="1"/>
      <c r="E121" s="1"/>
      <c r="F121" s="12"/>
      <c r="G121" s="12"/>
      <c r="H121" s="112"/>
    </row>
    <row r="122" spans="1:8" x14ac:dyDescent="0.2">
      <c r="A122" s="1"/>
      <c r="B122" s="1"/>
      <c r="C122" s="2" t="s">
        <v>103</v>
      </c>
      <c r="D122" s="1"/>
      <c r="E122" s="1"/>
      <c r="F122" s="12"/>
      <c r="G122" s="12"/>
      <c r="H122" s="112"/>
    </row>
    <row r="123" spans="1:8" x14ac:dyDescent="0.2">
      <c r="A123" s="1"/>
      <c r="B123" s="1"/>
      <c r="C123" s="2" t="s">
        <v>97</v>
      </c>
      <c r="D123" s="1"/>
      <c r="E123" s="1" t="s">
        <v>98</v>
      </c>
      <c r="F123" s="13">
        <v>0</v>
      </c>
      <c r="G123" s="14">
        <v>0</v>
      </c>
      <c r="H123" s="112"/>
    </row>
    <row r="124" spans="1:8" x14ac:dyDescent="0.2">
      <c r="A124" s="1"/>
      <c r="B124" s="1"/>
      <c r="C124" s="11"/>
      <c r="D124" s="1"/>
      <c r="E124" s="1"/>
      <c r="F124" s="12"/>
      <c r="G124" s="12"/>
      <c r="H124" s="112"/>
    </row>
    <row r="125" spans="1:8" x14ac:dyDescent="0.2">
      <c r="A125" s="1"/>
      <c r="B125" s="1"/>
      <c r="C125" s="2" t="s">
        <v>104</v>
      </c>
      <c r="D125" s="1"/>
      <c r="E125" s="1"/>
      <c r="F125" s="9">
        <v>3759.1278087000001</v>
      </c>
      <c r="G125" s="10">
        <v>0.98517306000000004</v>
      </c>
      <c r="H125" s="112"/>
    </row>
    <row r="126" spans="1:8" x14ac:dyDescent="0.2">
      <c r="A126" s="1"/>
      <c r="B126" s="1"/>
      <c r="C126" s="11"/>
      <c r="D126" s="1"/>
      <c r="E126" s="1"/>
      <c r="F126" s="12"/>
      <c r="G126" s="12"/>
      <c r="H126" s="112"/>
    </row>
    <row r="127" spans="1:8" x14ac:dyDescent="0.2">
      <c r="A127" s="1"/>
      <c r="B127" s="1"/>
      <c r="C127" s="2" t="s">
        <v>105</v>
      </c>
      <c r="D127" s="1"/>
      <c r="E127" s="1"/>
      <c r="F127" s="12"/>
      <c r="G127" s="12"/>
      <c r="H127" s="112"/>
    </row>
    <row r="128" spans="1:8" ht="25.5" x14ac:dyDescent="0.2">
      <c r="A128" s="1"/>
      <c r="B128" s="1"/>
      <c r="C128" s="2" t="s">
        <v>10</v>
      </c>
      <c r="D128" s="1"/>
      <c r="E128" s="1"/>
      <c r="F128" s="12"/>
      <c r="G128" s="12"/>
      <c r="H128" s="112"/>
    </row>
    <row r="129" spans="1:8" ht="25.5" x14ac:dyDescent="0.2">
      <c r="A129" s="3">
        <v>1</v>
      </c>
      <c r="B129" s="4" t="s">
        <v>689</v>
      </c>
      <c r="C129" s="4" t="s">
        <v>690</v>
      </c>
      <c r="D129" s="4" t="s">
        <v>691</v>
      </c>
      <c r="E129" s="5">
        <v>828</v>
      </c>
      <c r="F129" s="6">
        <v>0.23989312800000001</v>
      </c>
      <c r="G129" s="7">
        <v>6.2869999999999999E-5</v>
      </c>
      <c r="H129" s="6">
        <v>5.5250000000000004</v>
      </c>
    </row>
    <row r="130" spans="1:8" x14ac:dyDescent="0.2">
      <c r="A130" s="1"/>
      <c r="B130" s="1"/>
      <c r="C130" s="2" t="s">
        <v>97</v>
      </c>
      <c r="D130" s="1"/>
      <c r="E130" s="1" t="s">
        <v>98</v>
      </c>
      <c r="F130" s="9">
        <v>0.23989312800000001</v>
      </c>
      <c r="G130" s="10">
        <v>6.2869999999999999E-5</v>
      </c>
      <c r="H130" s="112"/>
    </row>
    <row r="131" spans="1:8" x14ac:dyDescent="0.2">
      <c r="A131" s="1"/>
      <c r="B131" s="1"/>
      <c r="C131" s="11"/>
      <c r="D131" s="1"/>
      <c r="E131" s="1"/>
      <c r="F131" s="12"/>
      <c r="G131" s="12"/>
      <c r="H131" s="112"/>
    </row>
    <row r="132" spans="1:8" x14ac:dyDescent="0.2">
      <c r="A132" s="1"/>
      <c r="B132" s="1"/>
      <c r="C132" s="2" t="s">
        <v>106</v>
      </c>
      <c r="D132" s="1"/>
      <c r="E132" s="1"/>
      <c r="F132" s="1"/>
      <c r="G132" s="1"/>
      <c r="H132" s="112"/>
    </row>
    <row r="133" spans="1:8" x14ac:dyDescent="0.2">
      <c r="A133" s="1"/>
      <c r="B133" s="1"/>
      <c r="C133" s="2" t="s">
        <v>97</v>
      </c>
      <c r="D133" s="1"/>
      <c r="E133" s="1" t="s">
        <v>98</v>
      </c>
      <c r="F133" s="13">
        <v>0</v>
      </c>
      <c r="G133" s="14">
        <v>0</v>
      </c>
      <c r="H133" s="112"/>
    </row>
    <row r="134" spans="1:8" x14ac:dyDescent="0.2">
      <c r="A134" s="1"/>
      <c r="B134" s="1"/>
      <c r="C134" s="11"/>
      <c r="D134" s="1"/>
      <c r="E134" s="1"/>
      <c r="F134" s="12"/>
      <c r="G134" s="12"/>
      <c r="H134" s="112"/>
    </row>
    <row r="135" spans="1:8" x14ac:dyDescent="0.2">
      <c r="A135" s="1"/>
      <c r="B135" s="1"/>
      <c r="C135" s="2" t="s">
        <v>107</v>
      </c>
      <c r="D135" s="1"/>
      <c r="E135" s="1"/>
      <c r="F135" s="1"/>
      <c r="G135" s="1"/>
      <c r="H135" s="112"/>
    </row>
    <row r="136" spans="1:8" x14ac:dyDescent="0.2">
      <c r="A136" s="1"/>
      <c r="B136" s="1"/>
      <c r="C136" s="2" t="s">
        <v>97</v>
      </c>
      <c r="D136" s="1"/>
      <c r="E136" s="1" t="s">
        <v>98</v>
      </c>
      <c r="F136" s="13">
        <v>0</v>
      </c>
      <c r="G136" s="14">
        <v>0</v>
      </c>
      <c r="H136" s="112"/>
    </row>
    <row r="137" spans="1:8" x14ac:dyDescent="0.2">
      <c r="A137" s="1"/>
      <c r="B137" s="1"/>
      <c r="C137" s="11"/>
      <c r="D137" s="1"/>
      <c r="E137" s="1"/>
      <c r="F137" s="12"/>
      <c r="G137" s="12"/>
      <c r="H137" s="112"/>
    </row>
    <row r="138" spans="1:8" x14ac:dyDescent="0.2">
      <c r="A138" s="1"/>
      <c r="B138" s="1"/>
      <c r="C138" s="2" t="s">
        <v>108</v>
      </c>
      <c r="D138" s="1"/>
      <c r="E138" s="1"/>
      <c r="F138" s="12"/>
      <c r="G138" s="12"/>
      <c r="H138" s="112"/>
    </row>
    <row r="139" spans="1:8" x14ac:dyDescent="0.2">
      <c r="A139" s="1"/>
      <c r="B139" s="1"/>
      <c r="C139" s="2" t="s">
        <v>97</v>
      </c>
      <c r="D139" s="1"/>
      <c r="E139" s="1" t="s">
        <v>98</v>
      </c>
      <c r="F139" s="13">
        <v>0</v>
      </c>
      <c r="G139" s="14">
        <v>0</v>
      </c>
      <c r="H139" s="112"/>
    </row>
    <row r="140" spans="1:8" x14ac:dyDescent="0.2">
      <c r="A140" s="1"/>
      <c r="B140" s="1"/>
      <c r="C140" s="11"/>
      <c r="D140" s="1"/>
      <c r="E140" s="1"/>
      <c r="F140" s="12"/>
      <c r="G140" s="12"/>
      <c r="H140" s="112"/>
    </row>
    <row r="141" spans="1:8" x14ac:dyDescent="0.2">
      <c r="A141" s="1"/>
      <c r="B141" s="1"/>
      <c r="C141" s="2" t="s">
        <v>109</v>
      </c>
      <c r="D141" s="1"/>
      <c r="E141" s="1"/>
      <c r="F141" s="9">
        <v>0.23989312800000001</v>
      </c>
      <c r="G141" s="10">
        <v>6.2869999999999999E-5</v>
      </c>
      <c r="H141" s="112"/>
    </row>
    <row r="142" spans="1:8" x14ac:dyDescent="0.2">
      <c r="A142" s="1"/>
      <c r="B142" s="1"/>
      <c r="C142" s="11"/>
      <c r="D142" s="1"/>
      <c r="E142" s="1"/>
      <c r="F142" s="12"/>
      <c r="G142" s="12"/>
      <c r="H142" s="112"/>
    </row>
    <row r="143" spans="1:8" x14ac:dyDescent="0.2">
      <c r="A143" s="1"/>
      <c r="B143" s="1"/>
      <c r="C143" s="2" t="s">
        <v>110</v>
      </c>
      <c r="D143" s="1"/>
      <c r="E143" s="1"/>
      <c r="F143" s="12"/>
      <c r="G143" s="12"/>
      <c r="H143" s="112"/>
    </row>
    <row r="144" spans="1:8" x14ac:dyDescent="0.2">
      <c r="A144" s="1"/>
      <c r="B144" s="1"/>
      <c r="C144" s="2" t="s">
        <v>111</v>
      </c>
      <c r="D144" s="1"/>
      <c r="E144" s="1"/>
      <c r="F144" s="12"/>
      <c r="G144" s="12"/>
      <c r="H144" s="112"/>
    </row>
    <row r="145" spans="1:8" x14ac:dyDescent="0.2">
      <c r="A145" s="1"/>
      <c r="B145" s="1"/>
      <c r="C145" s="2" t="s">
        <v>97</v>
      </c>
      <c r="D145" s="1"/>
      <c r="E145" s="1" t="s">
        <v>98</v>
      </c>
      <c r="F145" s="13">
        <v>0</v>
      </c>
      <c r="G145" s="14">
        <v>0</v>
      </c>
      <c r="H145" s="112"/>
    </row>
    <row r="146" spans="1:8" x14ac:dyDescent="0.2">
      <c r="A146" s="1"/>
      <c r="B146" s="1"/>
      <c r="C146" s="11"/>
      <c r="D146" s="1"/>
      <c r="E146" s="1"/>
      <c r="F146" s="12"/>
      <c r="G146" s="12"/>
      <c r="H146" s="112"/>
    </row>
    <row r="147" spans="1:8" x14ac:dyDescent="0.2">
      <c r="A147" s="1"/>
      <c r="B147" s="1"/>
      <c r="C147" s="2" t="s">
        <v>112</v>
      </c>
      <c r="D147" s="1"/>
      <c r="E147" s="1"/>
      <c r="F147" s="12"/>
      <c r="G147" s="12"/>
      <c r="H147" s="112"/>
    </row>
    <row r="148" spans="1:8" x14ac:dyDescent="0.2">
      <c r="A148" s="1"/>
      <c r="B148" s="1"/>
      <c r="C148" s="2" t="s">
        <v>97</v>
      </c>
      <c r="D148" s="1"/>
      <c r="E148" s="1" t="s">
        <v>98</v>
      </c>
      <c r="F148" s="13">
        <v>0</v>
      </c>
      <c r="G148" s="14">
        <v>0</v>
      </c>
      <c r="H148" s="112"/>
    </row>
    <row r="149" spans="1:8" x14ac:dyDescent="0.2">
      <c r="A149" s="1"/>
      <c r="B149" s="1"/>
      <c r="C149" s="11"/>
      <c r="D149" s="1"/>
      <c r="E149" s="1"/>
      <c r="F149" s="12"/>
      <c r="G149" s="12"/>
      <c r="H149" s="112"/>
    </row>
    <row r="150" spans="1:8" x14ac:dyDescent="0.2">
      <c r="A150" s="1"/>
      <c r="B150" s="1"/>
      <c r="C150" s="2" t="s">
        <v>113</v>
      </c>
      <c r="D150" s="1"/>
      <c r="E150" s="1"/>
      <c r="F150" s="12"/>
      <c r="G150" s="12"/>
      <c r="H150" s="112"/>
    </row>
    <row r="151" spans="1:8" x14ac:dyDescent="0.2">
      <c r="A151" s="1"/>
      <c r="B151" s="1"/>
      <c r="C151" s="2" t="s">
        <v>97</v>
      </c>
      <c r="D151" s="1"/>
      <c r="E151" s="1" t="s">
        <v>98</v>
      </c>
      <c r="F151" s="13">
        <v>0</v>
      </c>
      <c r="G151" s="14">
        <v>0</v>
      </c>
      <c r="H151" s="112"/>
    </row>
    <row r="152" spans="1:8" x14ac:dyDescent="0.2">
      <c r="A152" s="1"/>
      <c r="B152" s="1"/>
      <c r="C152" s="11"/>
      <c r="D152" s="1"/>
      <c r="E152" s="1"/>
      <c r="F152" s="12"/>
      <c r="G152" s="12"/>
      <c r="H152" s="112"/>
    </row>
    <row r="153" spans="1:8" x14ac:dyDescent="0.2">
      <c r="A153" s="1"/>
      <c r="B153" s="1"/>
      <c r="C153" s="2" t="s">
        <v>114</v>
      </c>
      <c r="D153" s="1"/>
      <c r="E153" s="1"/>
      <c r="F153" s="12"/>
      <c r="G153" s="12"/>
      <c r="H153" s="112"/>
    </row>
    <row r="154" spans="1:8" x14ac:dyDescent="0.2">
      <c r="A154" s="3">
        <v>1</v>
      </c>
      <c r="B154" s="4"/>
      <c r="C154" s="4" t="s">
        <v>115</v>
      </c>
      <c r="D154" s="4"/>
      <c r="E154" s="8"/>
      <c r="F154" s="6">
        <v>62.89683069073029</v>
      </c>
      <c r="G154" s="7">
        <v>1.6483680891771095E-2</v>
      </c>
      <c r="H154" s="6">
        <v>3.3211324282253978</v>
      </c>
    </row>
    <row r="155" spans="1:8" x14ac:dyDescent="0.2">
      <c r="A155" s="3">
        <v>2</v>
      </c>
      <c r="B155" s="4"/>
      <c r="C155" s="4" t="s">
        <v>116</v>
      </c>
      <c r="D155" s="4"/>
      <c r="E155" s="8"/>
      <c r="F155" s="6">
        <v>24.70734957000403</v>
      </c>
      <c r="G155" s="7">
        <v>6.4751762770998761E-3</v>
      </c>
      <c r="H155" s="6">
        <v>3.35</v>
      </c>
    </row>
    <row r="156" spans="1:8" x14ac:dyDescent="0.2">
      <c r="A156" s="1"/>
      <c r="B156" s="1"/>
      <c r="C156" s="2" t="s">
        <v>97</v>
      </c>
      <c r="D156" s="1"/>
      <c r="E156" s="1" t="s">
        <v>98</v>
      </c>
      <c r="F156" s="9">
        <v>87.604180260734324</v>
      </c>
      <c r="G156" s="10">
        <v>2.2958857168870972E-2</v>
      </c>
      <c r="H156" s="112"/>
    </row>
    <row r="157" spans="1:8" x14ac:dyDescent="0.2">
      <c r="A157" s="1"/>
      <c r="B157" s="1"/>
      <c r="C157" s="11"/>
      <c r="D157" s="1"/>
      <c r="E157" s="1"/>
      <c r="F157" s="12"/>
      <c r="G157" s="12"/>
      <c r="H157" s="112"/>
    </row>
    <row r="158" spans="1:8" x14ac:dyDescent="0.2">
      <c r="A158" s="1"/>
      <c r="B158" s="1"/>
      <c r="C158" s="2" t="s">
        <v>117</v>
      </c>
      <c r="D158" s="1"/>
      <c r="E158" s="1"/>
      <c r="F158" s="9">
        <v>87.604180260734324</v>
      </c>
      <c r="G158" s="10">
        <v>2.2958857168870972E-2</v>
      </c>
      <c r="H158" s="112"/>
    </row>
    <row r="159" spans="1:8" x14ac:dyDescent="0.2">
      <c r="A159" s="1"/>
      <c r="B159" s="1"/>
      <c r="C159" s="12"/>
      <c r="D159" s="1"/>
      <c r="E159" s="1"/>
      <c r="F159" s="1"/>
      <c r="G159" s="1"/>
      <c r="H159" s="112"/>
    </row>
    <row r="160" spans="1:8" x14ac:dyDescent="0.2">
      <c r="A160" s="1"/>
      <c r="B160" s="1"/>
      <c r="C160" s="2" t="s">
        <v>118</v>
      </c>
      <c r="D160" s="1"/>
      <c r="E160" s="1"/>
      <c r="F160" s="1"/>
      <c r="G160" s="1"/>
      <c r="H160" s="112"/>
    </row>
    <row r="161" spans="1:15" x14ac:dyDescent="0.2">
      <c r="A161" s="1"/>
      <c r="B161" s="1"/>
      <c r="C161" s="2" t="s">
        <v>119</v>
      </c>
      <c r="D161" s="1"/>
      <c r="E161" s="1"/>
      <c r="F161" s="1"/>
      <c r="G161" s="1"/>
      <c r="H161" s="112"/>
    </row>
    <row r="162" spans="1:15" x14ac:dyDescent="0.2">
      <c r="A162" s="1"/>
      <c r="B162" s="1"/>
      <c r="C162" s="2" t="s">
        <v>97</v>
      </c>
      <c r="D162" s="1"/>
      <c r="E162" s="1" t="s">
        <v>98</v>
      </c>
      <c r="F162" s="13">
        <v>0</v>
      </c>
      <c r="G162" s="14">
        <v>0</v>
      </c>
      <c r="H162" s="112"/>
    </row>
    <row r="163" spans="1:15" x14ac:dyDescent="0.2">
      <c r="A163" s="1"/>
      <c r="B163" s="1"/>
      <c r="C163" s="11"/>
      <c r="D163" s="1"/>
      <c r="E163" s="1"/>
      <c r="F163" s="12"/>
      <c r="G163" s="12"/>
      <c r="H163" s="112"/>
    </row>
    <row r="164" spans="1:15" x14ac:dyDescent="0.2">
      <c r="A164" s="1"/>
      <c r="B164" s="1"/>
      <c r="C164" s="2" t="s">
        <v>120</v>
      </c>
      <c r="D164" s="1"/>
      <c r="E164" s="1"/>
      <c r="F164" s="1"/>
      <c r="G164" s="1"/>
      <c r="H164" s="112"/>
    </row>
    <row r="165" spans="1:15" x14ac:dyDescent="0.2">
      <c r="A165" s="1"/>
      <c r="B165" s="1"/>
      <c r="C165" s="2" t="s">
        <v>121</v>
      </c>
      <c r="D165" s="1"/>
      <c r="E165" s="1"/>
      <c r="F165" s="1"/>
      <c r="G165" s="1"/>
      <c r="H165" s="112"/>
    </row>
    <row r="166" spans="1:15" x14ac:dyDescent="0.2">
      <c r="A166" s="1"/>
      <c r="B166" s="1"/>
      <c r="C166" s="2" t="s">
        <v>97</v>
      </c>
      <c r="D166" s="1"/>
      <c r="E166" s="1" t="s">
        <v>98</v>
      </c>
      <c r="F166" s="13">
        <v>0</v>
      </c>
      <c r="G166" s="14">
        <v>0</v>
      </c>
      <c r="H166" s="112"/>
    </row>
    <row r="167" spans="1:15" x14ac:dyDescent="0.2">
      <c r="A167" s="1"/>
      <c r="B167" s="1"/>
      <c r="C167" s="11"/>
      <c r="D167" s="1"/>
      <c r="E167" s="1"/>
      <c r="F167" s="12"/>
      <c r="G167" s="12"/>
      <c r="H167" s="112"/>
    </row>
    <row r="168" spans="1:15" x14ac:dyDescent="0.2">
      <c r="A168" s="1"/>
      <c r="B168" s="1"/>
      <c r="C168" s="11"/>
      <c r="D168" s="1"/>
      <c r="E168" s="1"/>
      <c r="F168" s="12"/>
      <c r="G168" s="12"/>
      <c r="H168" s="112"/>
    </row>
    <row r="169" spans="1:15" ht="25.5" x14ac:dyDescent="0.2">
      <c r="A169" s="1"/>
      <c r="B169" s="1"/>
      <c r="C169" s="2" t="s">
        <v>122</v>
      </c>
      <c r="D169" s="1"/>
      <c r="E169" s="1"/>
      <c r="F169" s="12"/>
      <c r="G169" s="12"/>
      <c r="H169" s="112"/>
    </row>
    <row r="170" spans="1:15" x14ac:dyDescent="0.2">
      <c r="A170" s="1"/>
      <c r="B170" s="1"/>
      <c r="C170" s="2" t="s">
        <v>97</v>
      </c>
      <c r="D170" s="1"/>
      <c r="E170" s="1" t="s">
        <v>98</v>
      </c>
      <c r="F170" s="13">
        <v>0</v>
      </c>
      <c r="G170" s="14">
        <v>0</v>
      </c>
      <c r="H170" s="112"/>
    </row>
    <row r="171" spans="1:15" x14ac:dyDescent="0.2">
      <c r="A171" s="1"/>
      <c r="B171" s="1"/>
      <c r="C171" s="11"/>
      <c r="D171" s="1"/>
      <c r="E171" s="1"/>
      <c r="F171" s="12"/>
      <c r="G171" s="12"/>
      <c r="H171" s="112"/>
    </row>
    <row r="172" spans="1:15" x14ac:dyDescent="0.2">
      <c r="A172" s="1"/>
      <c r="B172" s="4"/>
      <c r="C172" s="4"/>
      <c r="D172" s="2"/>
      <c r="E172" s="1"/>
      <c r="F172" s="4"/>
      <c r="G172" s="8"/>
      <c r="H172" s="112"/>
    </row>
    <row r="173" spans="1:15" x14ac:dyDescent="0.2">
      <c r="A173" s="8"/>
      <c r="B173" s="4"/>
      <c r="C173" s="4" t="s">
        <v>818</v>
      </c>
      <c r="D173" s="4"/>
      <c r="E173" s="8"/>
      <c r="F173" s="6">
        <v>-31.268929300004029</v>
      </c>
      <c r="G173" s="7">
        <v>-8.1948016577023039E-3</v>
      </c>
      <c r="H173" s="112"/>
    </row>
    <row r="174" spans="1:15" x14ac:dyDescent="0.2">
      <c r="A174" s="11"/>
      <c r="B174" s="11"/>
      <c r="C174" s="2" t="s">
        <v>124</v>
      </c>
      <c r="D174" s="15"/>
      <c r="E174" s="15"/>
      <c r="F174" s="9">
        <v>3815.703003698</v>
      </c>
      <c r="G174" s="10">
        <v>0.99999999900000003</v>
      </c>
      <c r="H174" s="112"/>
    </row>
    <row r="175" spans="1:15" ht="14.1" customHeight="1" x14ac:dyDescent="0.2">
      <c r="A175" s="16"/>
      <c r="B175" s="16"/>
      <c r="C175" s="16"/>
      <c r="D175" s="17"/>
      <c r="E175" s="17"/>
      <c r="F175" s="17"/>
      <c r="G175" s="17"/>
    </row>
    <row r="176" spans="1:15" ht="17.100000000000001" customHeight="1" x14ac:dyDescent="0.2">
      <c r="A176" s="18"/>
      <c r="B176" s="205" t="s">
        <v>692</v>
      </c>
      <c r="C176" s="205"/>
      <c r="D176" s="205"/>
      <c r="E176" s="205"/>
      <c r="F176" s="205"/>
      <c r="G176" s="20"/>
      <c r="I176" s="36"/>
      <c r="J176" s="36"/>
      <c r="K176" s="36"/>
      <c r="L176" s="36"/>
      <c r="M176" s="36"/>
      <c r="N176" s="36"/>
      <c r="O176" s="36"/>
    </row>
    <row r="177" spans="1:15" s="36" customFormat="1" ht="17.100000000000001" customHeight="1" x14ac:dyDescent="0.2">
      <c r="A177" s="53"/>
      <c r="B177" s="206" t="s">
        <v>820</v>
      </c>
      <c r="C177" s="206"/>
      <c r="D177" s="206"/>
      <c r="E177" s="206"/>
      <c r="F177" s="206"/>
      <c r="G177" s="54"/>
      <c r="I177"/>
      <c r="J177"/>
      <c r="K177"/>
      <c r="L177"/>
      <c r="M177"/>
      <c r="N177"/>
      <c r="O177"/>
    </row>
    <row r="178" spans="1:15" ht="14.1" customHeight="1" x14ac:dyDescent="0.2">
      <c r="A178" s="18"/>
      <c r="B178" s="18"/>
      <c r="C178" s="18"/>
      <c r="D178" s="20"/>
      <c r="E178" s="20"/>
      <c r="F178" s="20"/>
      <c r="G178" s="20"/>
    </row>
    <row r="179" spans="1:15" ht="14.1" customHeight="1" x14ac:dyDescent="0.2">
      <c r="A179" s="18"/>
      <c r="B179" s="203" t="s">
        <v>126</v>
      </c>
      <c r="C179" s="204"/>
      <c r="D179" s="12" t="s">
        <v>98</v>
      </c>
      <c r="E179" s="21"/>
      <c r="F179" s="20"/>
      <c r="G179" s="20"/>
    </row>
    <row r="180" spans="1:15" ht="29.1" customHeight="1" x14ac:dyDescent="0.2">
      <c r="A180" s="18"/>
      <c r="B180" s="198" t="s">
        <v>127</v>
      </c>
      <c r="C180" s="199"/>
      <c r="D180" s="2" t="s">
        <v>128</v>
      </c>
      <c r="E180" s="21"/>
      <c r="F180" s="20"/>
      <c r="G180" s="20"/>
    </row>
    <row r="181" spans="1:15" ht="17.100000000000001" customHeight="1" x14ac:dyDescent="0.2">
      <c r="A181" s="18"/>
      <c r="B181" s="198" t="s">
        <v>129</v>
      </c>
      <c r="C181" s="199"/>
      <c r="D181" s="2" t="s">
        <v>128</v>
      </c>
      <c r="E181" s="21"/>
      <c r="F181" s="20"/>
      <c r="G181" s="20"/>
    </row>
    <row r="182" spans="1:15" ht="17.100000000000001" customHeight="1" x14ac:dyDescent="0.2">
      <c r="A182" s="18"/>
      <c r="B182" s="198" t="s">
        <v>130</v>
      </c>
      <c r="C182" s="199"/>
      <c r="D182" s="12" t="s">
        <v>98</v>
      </c>
      <c r="E182" s="21"/>
      <c r="F182" s="20"/>
      <c r="G182" s="20"/>
    </row>
    <row r="183" spans="1:15" ht="24" customHeight="1" x14ac:dyDescent="0.2">
      <c r="A183" s="22"/>
      <c r="B183" s="23" t="s">
        <v>98</v>
      </c>
      <c r="C183" s="23" t="s">
        <v>131</v>
      </c>
      <c r="D183" s="23" t="s">
        <v>132</v>
      </c>
      <c r="E183" s="22"/>
      <c r="F183" s="22"/>
      <c r="G183" s="22"/>
    </row>
    <row r="184" spans="1:15" ht="18" customHeight="1" x14ac:dyDescent="0.2">
      <c r="A184" s="22"/>
      <c r="B184" s="23" t="s">
        <v>133</v>
      </c>
      <c r="C184" s="23" t="s">
        <v>134</v>
      </c>
      <c r="D184" s="23" t="s">
        <v>135</v>
      </c>
      <c r="E184" s="22"/>
      <c r="F184" s="22"/>
      <c r="G184" s="22"/>
    </row>
    <row r="185" spans="1:15" ht="17.100000000000001" customHeight="1" x14ac:dyDescent="0.2">
      <c r="A185" s="22"/>
      <c r="B185" s="4" t="s">
        <v>136</v>
      </c>
      <c r="C185" s="24">
        <v>18.8309</v>
      </c>
      <c r="D185" s="24">
        <v>18.774699999999999</v>
      </c>
      <c r="E185" s="22"/>
      <c r="F185" s="19"/>
      <c r="G185" s="25"/>
    </row>
    <row r="186" spans="1:15" ht="17.100000000000001" customHeight="1" x14ac:dyDescent="0.2">
      <c r="A186" s="22"/>
      <c r="B186" s="4" t="s">
        <v>980</v>
      </c>
      <c r="C186" s="24">
        <v>16.756799999999998</v>
      </c>
      <c r="D186" s="24">
        <v>16.706700000000001</v>
      </c>
      <c r="E186" s="22"/>
      <c r="F186" s="19"/>
      <c r="G186" s="25"/>
    </row>
    <row r="187" spans="1:15" ht="17.100000000000001" customHeight="1" x14ac:dyDescent="0.2">
      <c r="A187" s="22"/>
      <c r="B187" s="4" t="s">
        <v>137</v>
      </c>
      <c r="C187" s="24">
        <v>18.253299999999999</v>
      </c>
      <c r="D187" s="24">
        <v>18.191400000000002</v>
      </c>
      <c r="E187" s="22"/>
      <c r="F187" s="19"/>
      <c r="G187" s="25"/>
    </row>
    <row r="188" spans="1:15" ht="17.100000000000001" customHeight="1" x14ac:dyDescent="0.2">
      <c r="A188" s="22"/>
      <c r="B188" s="4" t="s">
        <v>981</v>
      </c>
      <c r="C188" s="24">
        <v>16.235399999999998</v>
      </c>
      <c r="D188" s="24">
        <v>16.180399999999999</v>
      </c>
      <c r="E188" s="22"/>
      <c r="F188" s="19"/>
      <c r="G188" s="25"/>
    </row>
    <row r="189" spans="1:15" ht="14.1" customHeight="1" x14ac:dyDescent="0.2">
      <c r="A189" s="22"/>
      <c r="B189" s="22"/>
      <c r="C189" s="22"/>
      <c r="D189" s="22"/>
      <c r="E189" s="22"/>
      <c r="F189" s="22"/>
      <c r="G189" s="22"/>
    </row>
    <row r="190" spans="1:15" ht="17.100000000000001" customHeight="1" x14ac:dyDescent="0.2">
      <c r="A190" s="22"/>
      <c r="B190" s="198" t="s">
        <v>982</v>
      </c>
      <c r="C190" s="199"/>
      <c r="D190" s="2" t="s">
        <v>128</v>
      </c>
      <c r="E190" s="22"/>
      <c r="F190" s="22"/>
      <c r="G190" s="22"/>
    </row>
    <row r="191" spans="1:15" ht="18" customHeight="1" x14ac:dyDescent="0.2">
      <c r="A191" s="22"/>
      <c r="B191" s="26"/>
      <c r="C191" s="26"/>
      <c r="D191" s="27"/>
      <c r="E191" s="22"/>
      <c r="F191" s="22"/>
      <c r="G191" s="22"/>
    </row>
    <row r="192" spans="1:15" s="113" customFormat="1" x14ac:dyDescent="0.2">
      <c r="B192" s="202" t="s">
        <v>984</v>
      </c>
      <c r="C192" s="202"/>
      <c r="D192" s="202"/>
      <c r="E192" s="202"/>
      <c r="F192" s="202"/>
    </row>
    <row r="193" spans="1:7" ht="14.1" customHeight="1" x14ac:dyDescent="0.2">
      <c r="A193" s="22"/>
      <c r="B193" s="19"/>
      <c r="C193" s="19"/>
      <c r="D193" s="22"/>
      <c r="E193" s="22"/>
      <c r="F193" s="22"/>
      <c r="G193" s="22"/>
    </row>
    <row r="194" spans="1:7" ht="29.1" customHeight="1" x14ac:dyDescent="0.2">
      <c r="A194" s="92"/>
      <c r="B194" s="200" t="s">
        <v>138</v>
      </c>
      <c r="C194" s="201"/>
      <c r="D194" s="91" t="s">
        <v>128</v>
      </c>
      <c r="E194" s="92"/>
      <c r="F194" s="92"/>
      <c r="G194" s="92"/>
    </row>
    <row r="195" spans="1:7" ht="29.1" customHeight="1" x14ac:dyDescent="0.2">
      <c r="A195" s="92"/>
      <c r="B195" s="200" t="s">
        <v>139</v>
      </c>
      <c r="C195" s="201"/>
      <c r="D195" s="91" t="s">
        <v>128</v>
      </c>
      <c r="E195" s="92"/>
      <c r="F195" s="92"/>
      <c r="G195" s="92"/>
    </row>
    <row r="196" spans="1:7" s="36" customFormat="1" ht="17.100000000000001" customHeight="1" x14ac:dyDescent="0.2">
      <c r="A196" s="56"/>
      <c r="B196" s="207" t="s">
        <v>938</v>
      </c>
      <c r="C196" s="208"/>
      <c r="D196" s="64">
        <v>1.9346081607891656E-4</v>
      </c>
      <c r="E196" s="63"/>
      <c r="F196" s="56"/>
      <c r="G196" s="56"/>
    </row>
    <row r="197" spans="1:7" s="36" customFormat="1" ht="17.100000000000001" customHeight="1" x14ac:dyDescent="0.2">
      <c r="A197" s="56"/>
      <c r="B197" s="207" t="s">
        <v>939</v>
      </c>
      <c r="C197" s="208"/>
      <c r="D197" s="64">
        <v>0</v>
      </c>
      <c r="E197" s="63"/>
      <c r="F197" s="56"/>
      <c r="G197" s="56"/>
    </row>
    <row r="198" spans="1:7" ht="17.100000000000001" customHeight="1" x14ac:dyDescent="0.2">
      <c r="A198" s="92"/>
      <c r="B198" s="200" t="s">
        <v>941</v>
      </c>
      <c r="C198" s="201"/>
      <c r="D198" s="28">
        <v>0.57120432556879241</v>
      </c>
      <c r="E198" s="92"/>
      <c r="F198" s="93"/>
      <c r="G198" s="94"/>
    </row>
    <row r="199" spans="1:7" ht="17.100000000000001" customHeight="1" x14ac:dyDescent="0.2">
      <c r="A199" s="92"/>
      <c r="B199" s="200" t="s">
        <v>942</v>
      </c>
      <c r="C199" s="201"/>
      <c r="D199" s="91" t="s">
        <v>128</v>
      </c>
      <c r="E199" s="92"/>
      <c r="F199" s="92"/>
      <c r="G199" s="92"/>
    </row>
  </sheetData>
  <mergeCells count="18">
    <mergeCell ref="J2:N2"/>
    <mergeCell ref="B199:C199"/>
    <mergeCell ref="B179:C179"/>
    <mergeCell ref="B176:F176"/>
    <mergeCell ref="B177:F177"/>
    <mergeCell ref="B196:C196"/>
    <mergeCell ref="B197:C197"/>
    <mergeCell ref="B180:C180"/>
    <mergeCell ref="B181:C181"/>
    <mergeCell ref="B182:C182"/>
    <mergeCell ref="B190:C190"/>
    <mergeCell ref="B194:C194"/>
    <mergeCell ref="B195:C195"/>
    <mergeCell ref="A1:H1"/>
    <mergeCell ref="A2:H2"/>
    <mergeCell ref="A3:H3"/>
    <mergeCell ref="B192:F192"/>
    <mergeCell ref="B198:C198"/>
  </mergeCells>
  <pageMargins left="5.000000074505806E-2" right="5.000000074505806E-2" top="0.30000001192092896" bottom="0.20000000298023224" header="0" footer="0"/>
  <pageSetup paperSize="9"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O146"/>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693</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ht="14.1" customHeight="1"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17</v>
      </c>
      <c r="C7" s="4" t="s">
        <v>18</v>
      </c>
      <c r="D7" s="4" t="s">
        <v>19</v>
      </c>
      <c r="E7" s="5">
        <v>2200000</v>
      </c>
      <c r="F7" s="6">
        <v>17645.099999999999</v>
      </c>
      <c r="G7" s="7">
        <v>8.1037411000000004E-2</v>
      </c>
      <c r="H7" s="112"/>
    </row>
    <row r="8" spans="1:14" x14ac:dyDescent="0.2">
      <c r="A8" s="3">
        <v>2</v>
      </c>
      <c r="B8" s="4" t="s">
        <v>14</v>
      </c>
      <c r="C8" s="4" t="s">
        <v>15</v>
      </c>
      <c r="D8" s="4" t="s">
        <v>16</v>
      </c>
      <c r="E8" s="5">
        <v>686500</v>
      </c>
      <c r="F8" s="6">
        <v>17411.356250000001</v>
      </c>
      <c r="G8" s="7">
        <v>7.9963911999999998E-2</v>
      </c>
      <c r="H8" s="112"/>
    </row>
    <row r="9" spans="1:14" x14ac:dyDescent="0.2">
      <c r="A9" s="3">
        <v>3</v>
      </c>
      <c r="B9" s="4" t="s">
        <v>414</v>
      </c>
      <c r="C9" s="4" t="s">
        <v>415</v>
      </c>
      <c r="D9" s="4" t="s">
        <v>162</v>
      </c>
      <c r="E9" s="5">
        <v>950000</v>
      </c>
      <c r="F9" s="6">
        <v>15843.625</v>
      </c>
      <c r="G9" s="7">
        <v>7.2763903000000005E-2</v>
      </c>
      <c r="H9" s="112"/>
    </row>
    <row r="10" spans="1:14" x14ac:dyDescent="0.2">
      <c r="A10" s="3">
        <v>4</v>
      </c>
      <c r="B10" s="4" t="s">
        <v>412</v>
      </c>
      <c r="C10" s="4" t="s">
        <v>413</v>
      </c>
      <c r="D10" s="4" t="s">
        <v>19</v>
      </c>
      <c r="E10" s="5">
        <v>880000</v>
      </c>
      <c r="F10" s="6">
        <v>13929.08</v>
      </c>
      <c r="G10" s="7">
        <v>6.3971106999999999E-2</v>
      </c>
      <c r="H10" s="112"/>
    </row>
    <row r="11" spans="1:14" ht="25.5" x14ac:dyDescent="0.2">
      <c r="A11" s="3">
        <v>5</v>
      </c>
      <c r="B11" s="4" t="s">
        <v>416</v>
      </c>
      <c r="C11" s="4" t="s">
        <v>417</v>
      </c>
      <c r="D11" s="4" t="s">
        <v>81</v>
      </c>
      <c r="E11" s="5">
        <v>328500</v>
      </c>
      <c r="F11" s="6">
        <v>9344.8395</v>
      </c>
      <c r="G11" s="7">
        <v>4.2917388000000001E-2</v>
      </c>
      <c r="H11" s="112"/>
    </row>
    <row r="12" spans="1:14" x14ac:dyDescent="0.2">
      <c r="A12" s="3">
        <v>6</v>
      </c>
      <c r="B12" s="4" t="s">
        <v>322</v>
      </c>
      <c r="C12" s="4" t="s">
        <v>323</v>
      </c>
      <c r="D12" s="4" t="s">
        <v>19</v>
      </c>
      <c r="E12" s="5">
        <v>1175000</v>
      </c>
      <c r="F12" s="6">
        <v>8718.5</v>
      </c>
      <c r="G12" s="7">
        <v>4.0040842E-2</v>
      </c>
      <c r="H12" s="112"/>
    </row>
    <row r="13" spans="1:14" x14ac:dyDescent="0.2">
      <c r="A13" s="3">
        <v>7</v>
      </c>
      <c r="B13" s="4" t="s">
        <v>418</v>
      </c>
      <c r="C13" s="4" t="s">
        <v>419</v>
      </c>
      <c r="D13" s="4" t="s">
        <v>19</v>
      </c>
      <c r="E13" s="5">
        <v>1675000</v>
      </c>
      <c r="F13" s="6">
        <v>8411.0125000000007</v>
      </c>
      <c r="G13" s="7">
        <v>3.8628665999999999E-2</v>
      </c>
      <c r="H13" s="112"/>
    </row>
    <row r="14" spans="1:14" x14ac:dyDescent="0.2">
      <c r="A14" s="3">
        <v>8</v>
      </c>
      <c r="B14" s="4" t="s">
        <v>25</v>
      </c>
      <c r="C14" s="4" t="s">
        <v>26</v>
      </c>
      <c r="D14" s="4" t="s">
        <v>27</v>
      </c>
      <c r="E14" s="5">
        <v>505000</v>
      </c>
      <c r="F14" s="6">
        <v>8178.98</v>
      </c>
      <c r="G14" s="7">
        <v>3.7563026999999999E-2</v>
      </c>
      <c r="H14" s="112"/>
    </row>
    <row r="15" spans="1:14" ht="15" x14ac:dyDescent="0.2">
      <c r="A15" s="3">
        <v>9</v>
      </c>
      <c r="B15" s="4" t="s">
        <v>422</v>
      </c>
      <c r="C15" s="4" t="s">
        <v>423</v>
      </c>
      <c r="D15" s="4" t="s">
        <v>162</v>
      </c>
      <c r="E15" s="5">
        <v>200000</v>
      </c>
      <c r="F15" s="6">
        <v>6795.5</v>
      </c>
      <c r="G15" s="7">
        <v>3.1209214999999998E-2</v>
      </c>
      <c r="H15" s="112"/>
      <c r="J15" s="188" t="s">
        <v>1020</v>
      </c>
    </row>
    <row r="16" spans="1:14" x14ac:dyDescent="0.2">
      <c r="A16" s="3">
        <v>10</v>
      </c>
      <c r="B16" s="4" t="s">
        <v>376</v>
      </c>
      <c r="C16" s="4" t="s">
        <v>377</v>
      </c>
      <c r="D16" s="4" t="s">
        <v>162</v>
      </c>
      <c r="E16" s="5">
        <v>570000</v>
      </c>
      <c r="F16" s="6">
        <v>6519.375</v>
      </c>
      <c r="G16" s="7">
        <v>2.9941075000000001E-2</v>
      </c>
      <c r="H16" s="112"/>
    </row>
    <row r="17" spans="1:8" ht="25.5" x14ac:dyDescent="0.2">
      <c r="A17" s="3">
        <v>11</v>
      </c>
      <c r="B17" s="4" t="s">
        <v>326</v>
      </c>
      <c r="C17" s="4" t="s">
        <v>327</v>
      </c>
      <c r="D17" s="4" t="s">
        <v>192</v>
      </c>
      <c r="E17" s="5">
        <v>740000</v>
      </c>
      <c r="F17" s="6">
        <v>6285.19</v>
      </c>
      <c r="G17" s="7">
        <v>2.886555E-2</v>
      </c>
      <c r="H17" s="112"/>
    </row>
    <row r="18" spans="1:8" x14ac:dyDescent="0.2">
      <c r="A18" s="3">
        <v>12</v>
      </c>
      <c r="B18" s="4" t="s">
        <v>11</v>
      </c>
      <c r="C18" s="4" t="s">
        <v>12</v>
      </c>
      <c r="D18" s="4" t="s">
        <v>13</v>
      </c>
      <c r="E18" s="5">
        <v>330000</v>
      </c>
      <c r="F18" s="6">
        <v>5829.9449999999997</v>
      </c>
      <c r="G18" s="7">
        <v>2.6774778999999999E-2</v>
      </c>
      <c r="H18" s="112"/>
    </row>
    <row r="19" spans="1:8" x14ac:dyDescent="0.2">
      <c r="A19" s="3">
        <v>13</v>
      </c>
      <c r="B19" s="4" t="s">
        <v>205</v>
      </c>
      <c r="C19" s="4" t="s">
        <v>206</v>
      </c>
      <c r="D19" s="4" t="s">
        <v>975</v>
      </c>
      <c r="E19" s="5">
        <v>620000</v>
      </c>
      <c r="F19" s="6">
        <v>5371.37</v>
      </c>
      <c r="G19" s="7">
        <v>2.4668714000000001E-2</v>
      </c>
      <c r="H19" s="112"/>
    </row>
    <row r="20" spans="1:8" x14ac:dyDescent="0.2">
      <c r="A20" s="3">
        <v>14</v>
      </c>
      <c r="B20" s="4" t="s">
        <v>22</v>
      </c>
      <c r="C20" s="4" t="s">
        <v>23</v>
      </c>
      <c r="D20" s="4" t="s">
        <v>24</v>
      </c>
      <c r="E20" s="5">
        <v>755000</v>
      </c>
      <c r="F20" s="6">
        <v>5174.3924999999999</v>
      </c>
      <c r="G20" s="7">
        <v>2.3764068999999999E-2</v>
      </c>
      <c r="H20" s="112"/>
    </row>
    <row r="21" spans="1:8" x14ac:dyDescent="0.2">
      <c r="A21" s="3">
        <v>15</v>
      </c>
      <c r="B21" s="4" t="s">
        <v>145</v>
      </c>
      <c r="C21" s="4" t="s">
        <v>146</v>
      </c>
      <c r="D21" s="4" t="s">
        <v>147</v>
      </c>
      <c r="E21" s="5">
        <v>150000</v>
      </c>
      <c r="F21" s="6">
        <v>5007.6000000000004</v>
      </c>
      <c r="G21" s="7">
        <v>2.2998053000000001E-2</v>
      </c>
      <c r="H21" s="112"/>
    </row>
    <row r="22" spans="1:8" x14ac:dyDescent="0.2">
      <c r="A22" s="3">
        <v>16</v>
      </c>
      <c r="B22" s="4" t="s">
        <v>318</v>
      </c>
      <c r="C22" s="4" t="s">
        <v>319</v>
      </c>
      <c r="D22" s="4" t="s">
        <v>977</v>
      </c>
      <c r="E22" s="5">
        <v>125000</v>
      </c>
      <c r="F22" s="6">
        <v>4611.625</v>
      </c>
      <c r="G22" s="7">
        <v>2.1179486000000001E-2</v>
      </c>
      <c r="H22" s="112"/>
    </row>
    <row r="23" spans="1:8" x14ac:dyDescent="0.2">
      <c r="A23" s="3">
        <v>17</v>
      </c>
      <c r="B23" s="4" t="s">
        <v>90</v>
      </c>
      <c r="C23" s="4" t="s">
        <v>91</v>
      </c>
      <c r="D23" s="4" t="s">
        <v>27</v>
      </c>
      <c r="E23" s="5">
        <v>59500</v>
      </c>
      <c r="F23" s="6">
        <v>4404.0412500000002</v>
      </c>
      <c r="G23" s="7">
        <v>2.0226131000000001E-2</v>
      </c>
      <c r="H23" s="112"/>
    </row>
    <row r="24" spans="1:8" x14ac:dyDescent="0.2">
      <c r="A24" s="3">
        <v>18</v>
      </c>
      <c r="B24" s="4" t="s">
        <v>420</v>
      </c>
      <c r="C24" s="4" t="s">
        <v>421</v>
      </c>
      <c r="D24" s="4" t="s">
        <v>973</v>
      </c>
      <c r="E24" s="5">
        <v>375000</v>
      </c>
      <c r="F24" s="6">
        <v>4295.8125</v>
      </c>
      <c r="G24" s="7">
        <v>1.9729076000000002E-2</v>
      </c>
      <c r="H24" s="112"/>
    </row>
    <row r="25" spans="1:8" ht="25.5" x14ac:dyDescent="0.2">
      <c r="A25" s="3">
        <v>19</v>
      </c>
      <c r="B25" s="4" t="s">
        <v>20</v>
      </c>
      <c r="C25" s="4" t="s">
        <v>21</v>
      </c>
      <c r="D25" s="4" t="s">
        <v>971</v>
      </c>
      <c r="E25" s="5">
        <v>400000</v>
      </c>
      <c r="F25" s="6">
        <v>4266</v>
      </c>
      <c r="G25" s="7">
        <v>1.9592157999999998E-2</v>
      </c>
      <c r="H25" s="112"/>
    </row>
    <row r="26" spans="1:8" x14ac:dyDescent="0.2">
      <c r="A26" s="3">
        <v>20</v>
      </c>
      <c r="B26" s="4" t="s">
        <v>386</v>
      </c>
      <c r="C26" s="4" t="s">
        <v>387</v>
      </c>
      <c r="D26" s="4" t="s">
        <v>973</v>
      </c>
      <c r="E26" s="5">
        <v>21600</v>
      </c>
      <c r="F26" s="6">
        <v>3849.3683999999998</v>
      </c>
      <c r="G26" s="7">
        <v>1.7678724E-2</v>
      </c>
      <c r="H26" s="112"/>
    </row>
    <row r="27" spans="1:8" x14ac:dyDescent="0.2">
      <c r="A27" s="3">
        <v>21</v>
      </c>
      <c r="B27" s="4" t="s">
        <v>441</v>
      </c>
      <c r="C27" s="4" t="s">
        <v>442</v>
      </c>
      <c r="D27" s="4" t="s">
        <v>173</v>
      </c>
      <c r="E27" s="5">
        <v>580000</v>
      </c>
      <c r="F27" s="6">
        <v>3756.66</v>
      </c>
      <c r="G27" s="7">
        <v>1.7252948000000001E-2</v>
      </c>
      <c r="H27" s="112"/>
    </row>
    <row r="28" spans="1:8" ht="25.5" x14ac:dyDescent="0.2">
      <c r="A28" s="3">
        <v>22</v>
      </c>
      <c r="B28" s="4" t="s">
        <v>335</v>
      </c>
      <c r="C28" s="4" t="s">
        <v>336</v>
      </c>
      <c r="D28" s="4" t="s">
        <v>71</v>
      </c>
      <c r="E28" s="5">
        <v>800000</v>
      </c>
      <c r="F28" s="6">
        <v>3724.8</v>
      </c>
      <c r="G28" s="7">
        <v>1.7106626999999999E-2</v>
      </c>
      <c r="H28" s="112"/>
    </row>
    <row r="29" spans="1:8" ht="25.5" x14ac:dyDescent="0.2">
      <c r="A29" s="3">
        <v>23</v>
      </c>
      <c r="B29" s="4" t="s">
        <v>424</v>
      </c>
      <c r="C29" s="4" t="s">
        <v>425</v>
      </c>
      <c r="D29" s="4" t="s">
        <v>192</v>
      </c>
      <c r="E29" s="5">
        <v>150000</v>
      </c>
      <c r="F29" s="6">
        <v>3589.7249999999999</v>
      </c>
      <c r="G29" s="7">
        <v>1.6486278E-2</v>
      </c>
      <c r="H29" s="112"/>
    </row>
    <row r="30" spans="1:8" x14ac:dyDescent="0.2">
      <c r="A30" s="3">
        <v>24</v>
      </c>
      <c r="B30" s="4" t="s">
        <v>343</v>
      </c>
      <c r="C30" s="4" t="s">
        <v>344</v>
      </c>
      <c r="D30" s="4" t="s">
        <v>53</v>
      </c>
      <c r="E30" s="5">
        <v>740000</v>
      </c>
      <c r="F30" s="6">
        <v>3088.02</v>
      </c>
      <c r="G30" s="7">
        <v>1.4182132E-2</v>
      </c>
      <c r="H30" s="112"/>
    </row>
    <row r="31" spans="1:8" x14ac:dyDescent="0.2">
      <c r="A31" s="3">
        <v>25</v>
      </c>
      <c r="B31" s="4" t="s">
        <v>430</v>
      </c>
      <c r="C31" s="4" t="s">
        <v>431</v>
      </c>
      <c r="D31" s="4" t="s">
        <v>432</v>
      </c>
      <c r="E31" s="5">
        <v>650000</v>
      </c>
      <c r="F31" s="6">
        <v>2988.7</v>
      </c>
      <c r="G31" s="7">
        <v>1.3725991999999999E-2</v>
      </c>
      <c r="H31" s="112"/>
    </row>
    <row r="32" spans="1:8" ht="25.5" x14ac:dyDescent="0.2">
      <c r="A32" s="3">
        <v>26</v>
      </c>
      <c r="B32" s="4" t="s">
        <v>28</v>
      </c>
      <c r="C32" s="4" t="s">
        <v>29</v>
      </c>
      <c r="D32" s="4" t="s">
        <v>971</v>
      </c>
      <c r="E32" s="5">
        <v>38000</v>
      </c>
      <c r="F32" s="6">
        <v>2901.6990000000001</v>
      </c>
      <c r="G32" s="7">
        <v>1.3326429000000001E-2</v>
      </c>
      <c r="H32" s="112"/>
    </row>
    <row r="33" spans="1:8" x14ac:dyDescent="0.2">
      <c r="A33" s="3">
        <v>27</v>
      </c>
      <c r="B33" s="4" t="s">
        <v>35</v>
      </c>
      <c r="C33" s="4" t="s">
        <v>36</v>
      </c>
      <c r="D33" s="4" t="s">
        <v>16</v>
      </c>
      <c r="E33" s="5">
        <v>656000</v>
      </c>
      <c r="F33" s="6">
        <v>2740.1120000000001</v>
      </c>
      <c r="G33" s="7">
        <v>1.258432E-2</v>
      </c>
      <c r="H33" s="112"/>
    </row>
    <row r="34" spans="1:8" x14ac:dyDescent="0.2">
      <c r="A34" s="3">
        <v>28</v>
      </c>
      <c r="B34" s="4" t="s">
        <v>437</v>
      </c>
      <c r="C34" s="4" t="s">
        <v>438</v>
      </c>
      <c r="D34" s="4" t="s">
        <v>186</v>
      </c>
      <c r="E34" s="5">
        <v>50000</v>
      </c>
      <c r="F34" s="6">
        <v>2575.0749999999998</v>
      </c>
      <c r="G34" s="7">
        <v>1.1826366E-2</v>
      </c>
      <c r="H34" s="112"/>
    </row>
    <row r="35" spans="1:8" x14ac:dyDescent="0.2">
      <c r="A35" s="3">
        <v>29</v>
      </c>
      <c r="B35" s="4" t="s">
        <v>345</v>
      </c>
      <c r="C35" s="4" t="s">
        <v>346</v>
      </c>
      <c r="D35" s="4" t="s">
        <v>186</v>
      </c>
      <c r="E35" s="5">
        <v>69000</v>
      </c>
      <c r="F35" s="6">
        <v>2553.1379999999999</v>
      </c>
      <c r="G35" s="7">
        <v>1.1725617000000001E-2</v>
      </c>
      <c r="H35" s="112"/>
    </row>
    <row r="36" spans="1:8" ht="25.5" x14ac:dyDescent="0.2">
      <c r="A36" s="3">
        <v>30</v>
      </c>
      <c r="B36" s="4" t="s">
        <v>352</v>
      </c>
      <c r="C36" s="4" t="s">
        <v>353</v>
      </c>
      <c r="D36" s="4" t="s">
        <v>192</v>
      </c>
      <c r="E36" s="5">
        <v>460000</v>
      </c>
      <c r="F36" s="6">
        <v>2443.75</v>
      </c>
      <c r="G36" s="7">
        <v>1.1223238999999999E-2</v>
      </c>
      <c r="H36" s="112"/>
    </row>
    <row r="37" spans="1:8" x14ac:dyDescent="0.2">
      <c r="A37" s="3">
        <v>31</v>
      </c>
      <c r="B37" s="4" t="s">
        <v>154</v>
      </c>
      <c r="C37" s="4" t="s">
        <v>155</v>
      </c>
      <c r="D37" s="4" t="s">
        <v>71</v>
      </c>
      <c r="E37" s="5">
        <v>450000</v>
      </c>
      <c r="F37" s="6">
        <v>2430.4499999999998</v>
      </c>
      <c r="G37" s="7">
        <v>1.1162157000000001E-2</v>
      </c>
      <c r="H37" s="112"/>
    </row>
    <row r="38" spans="1:8" x14ac:dyDescent="0.2">
      <c r="A38" s="3">
        <v>32</v>
      </c>
      <c r="B38" s="4" t="s">
        <v>428</v>
      </c>
      <c r="C38" s="4" t="s">
        <v>429</v>
      </c>
      <c r="D38" s="4" t="s">
        <v>186</v>
      </c>
      <c r="E38" s="5">
        <v>280000</v>
      </c>
      <c r="F38" s="6">
        <v>2226</v>
      </c>
      <c r="G38" s="7">
        <v>1.0223194E-2</v>
      </c>
      <c r="H38" s="112"/>
    </row>
    <row r="39" spans="1:8" x14ac:dyDescent="0.2">
      <c r="A39" s="3">
        <v>33</v>
      </c>
      <c r="B39" s="4" t="s">
        <v>435</v>
      </c>
      <c r="C39" s="4" t="s">
        <v>436</v>
      </c>
      <c r="D39" s="4" t="s">
        <v>78</v>
      </c>
      <c r="E39" s="5">
        <v>222500</v>
      </c>
      <c r="F39" s="6">
        <v>1967.45625</v>
      </c>
      <c r="G39" s="7">
        <v>9.0357979999999994E-3</v>
      </c>
      <c r="H39" s="112"/>
    </row>
    <row r="40" spans="1:8" x14ac:dyDescent="0.2">
      <c r="A40" s="3">
        <v>34</v>
      </c>
      <c r="B40" s="4" t="s">
        <v>439</v>
      </c>
      <c r="C40" s="4" t="s">
        <v>440</v>
      </c>
      <c r="D40" s="4" t="s">
        <v>162</v>
      </c>
      <c r="E40" s="5">
        <v>130000</v>
      </c>
      <c r="F40" s="6">
        <v>1921.2049999999999</v>
      </c>
      <c r="G40" s="7">
        <v>8.8233830000000006E-3</v>
      </c>
      <c r="H40" s="112"/>
    </row>
    <row r="41" spans="1:8" x14ac:dyDescent="0.2">
      <c r="A41" s="3">
        <v>35</v>
      </c>
      <c r="B41" s="4" t="s">
        <v>271</v>
      </c>
      <c r="C41" s="4" t="s">
        <v>272</v>
      </c>
      <c r="D41" s="4" t="s">
        <v>147</v>
      </c>
      <c r="E41" s="5">
        <v>280000</v>
      </c>
      <c r="F41" s="6">
        <v>1821.68</v>
      </c>
      <c r="G41" s="7">
        <v>8.3663020000000008E-3</v>
      </c>
      <c r="H41" s="112"/>
    </row>
    <row r="42" spans="1:8" x14ac:dyDescent="0.2">
      <c r="A42" s="3">
        <v>36</v>
      </c>
      <c r="B42" s="4" t="s">
        <v>445</v>
      </c>
      <c r="C42" s="4" t="s">
        <v>446</v>
      </c>
      <c r="D42" s="4" t="s">
        <v>19</v>
      </c>
      <c r="E42" s="5">
        <v>86500</v>
      </c>
      <c r="F42" s="6">
        <v>1756.9447500000001</v>
      </c>
      <c r="G42" s="7">
        <v>8.0689969999999996E-3</v>
      </c>
      <c r="H42" s="112"/>
    </row>
    <row r="43" spans="1:8" ht="25.5" x14ac:dyDescent="0.2">
      <c r="A43" s="3">
        <v>37</v>
      </c>
      <c r="B43" s="4" t="s">
        <v>443</v>
      </c>
      <c r="C43" s="4" t="s">
        <v>444</v>
      </c>
      <c r="D43" s="4" t="s">
        <v>192</v>
      </c>
      <c r="E43" s="5">
        <v>775000</v>
      </c>
      <c r="F43" s="6">
        <v>1729.8</v>
      </c>
      <c r="G43" s="7">
        <v>7.9443310000000007E-3</v>
      </c>
      <c r="H43" s="112"/>
    </row>
    <row r="44" spans="1:8" x14ac:dyDescent="0.2">
      <c r="A44" s="3">
        <v>38</v>
      </c>
      <c r="B44" s="4" t="s">
        <v>358</v>
      </c>
      <c r="C44" s="4" t="s">
        <v>359</v>
      </c>
      <c r="D44" s="4" t="s">
        <v>50</v>
      </c>
      <c r="E44" s="5">
        <v>240000</v>
      </c>
      <c r="F44" s="6">
        <v>1572.24</v>
      </c>
      <c r="G44" s="7">
        <v>7.2207160000000003E-3</v>
      </c>
      <c r="H44" s="112"/>
    </row>
    <row r="45" spans="1:8" x14ac:dyDescent="0.2">
      <c r="A45" s="3">
        <v>39</v>
      </c>
      <c r="B45" s="4" t="s">
        <v>339</v>
      </c>
      <c r="C45" s="4" t="s">
        <v>340</v>
      </c>
      <c r="D45" s="4" t="s">
        <v>81</v>
      </c>
      <c r="E45" s="5">
        <v>95000</v>
      </c>
      <c r="F45" s="6">
        <v>1364.39</v>
      </c>
      <c r="G45" s="7">
        <v>6.2661380000000001E-3</v>
      </c>
      <c r="H45" s="112"/>
    </row>
    <row r="46" spans="1:8" x14ac:dyDescent="0.2">
      <c r="A46" s="3">
        <v>40</v>
      </c>
      <c r="B46" s="4" t="s">
        <v>312</v>
      </c>
      <c r="C46" s="4" t="s">
        <v>313</v>
      </c>
      <c r="D46" s="4" t="s">
        <v>212</v>
      </c>
      <c r="E46" s="5">
        <v>3400</v>
      </c>
      <c r="F46" s="6">
        <v>1279.6257000000001</v>
      </c>
      <c r="G46" s="7">
        <v>5.8768470000000001E-3</v>
      </c>
      <c r="H46" s="112"/>
    </row>
    <row r="47" spans="1:8" x14ac:dyDescent="0.2">
      <c r="A47" s="3">
        <v>41</v>
      </c>
      <c r="B47" s="4" t="s">
        <v>370</v>
      </c>
      <c r="C47" s="4" t="s">
        <v>371</v>
      </c>
      <c r="D47" s="4" t="s">
        <v>71</v>
      </c>
      <c r="E47" s="5">
        <v>1332873</v>
      </c>
      <c r="F47" s="6">
        <v>1016.3156625</v>
      </c>
      <c r="G47" s="7">
        <v>4.6675620000000001E-3</v>
      </c>
      <c r="H47" s="112"/>
    </row>
    <row r="48" spans="1:8" x14ac:dyDescent="0.2">
      <c r="A48" s="3">
        <v>42</v>
      </c>
      <c r="B48" s="4" t="s">
        <v>193</v>
      </c>
      <c r="C48" s="4" t="s">
        <v>194</v>
      </c>
      <c r="D48" s="4" t="s">
        <v>16</v>
      </c>
      <c r="E48" s="5">
        <v>325000</v>
      </c>
      <c r="F48" s="6">
        <v>1008.8</v>
      </c>
      <c r="G48" s="7">
        <v>4.6330449999999997E-3</v>
      </c>
      <c r="H48" s="112"/>
    </row>
    <row r="49" spans="1:8" x14ac:dyDescent="0.2">
      <c r="A49" s="3">
        <v>43</v>
      </c>
      <c r="B49" s="4" t="s">
        <v>337</v>
      </c>
      <c r="C49" s="4" t="s">
        <v>338</v>
      </c>
      <c r="D49" s="4" t="s">
        <v>19</v>
      </c>
      <c r="E49" s="5">
        <v>1000000</v>
      </c>
      <c r="F49" s="6">
        <v>975</v>
      </c>
      <c r="G49" s="7">
        <v>4.4778140000000001E-3</v>
      </c>
      <c r="H49" s="112"/>
    </row>
    <row r="50" spans="1:8" x14ac:dyDescent="0.2">
      <c r="A50" s="3">
        <v>44</v>
      </c>
      <c r="B50" s="4" t="s">
        <v>456</v>
      </c>
      <c r="C50" s="4" t="s">
        <v>457</v>
      </c>
      <c r="D50" s="4" t="s">
        <v>186</v>
      </c>
      <c r="E50" s="5">
        <v>100000</v>
      </c>
      <c r="F50" s="6">
        <v>905.05</v>
      </c>
      <c r="G50" s="7">
        <v>4.1565600000000001E-3</v>
      </c>
      <c r="H50" s="112"/>
    </row>
    <row r="51" spans="1:8" x14ac:dyDescent="0.2">
      <c r="A51" s="3">
        <v>45</v>
      </c>
      <c r="B51" s="4" t="s">
        <v>171</v>
      </c>
      <c r="C51" s="4" t="s">
        <v>172</v>
      </c>
      <c r="D51" s="4" t="s">
        <v>173</v>
      </c>
      <c r="E51" s="5">
        <v>55000</v>
      </c>
      <c r="F51" s="6">
        <v>768.07500000000005</v>
      </c>
      <c r="G51" s="7">
        <v>3.527484E-3</v>
      </c>
      <c r="H51" s="112"/>
    </row>
    <row r="52" spans="1:8" x14ac:dyDescent="0.2">
      <c r="A52" s="3">
        <v>46</v>
      </c>
      <c r="B52" s="4" t="s">
        <v>308</v>
      </c>
      <c r="C52" s="4" t="s">
        <v>309</v>
      </c>
      <c r="D52" s="4" t="s">
        <v>189</v>
      </c>
      <c r="E52" s="5">
        <v>17000</v>
      </c>
      <c r="F52" s="6">
        <v>724.54849999999999</v>
      </c>
      <c r="G52" s="7">
        <v>3.3275829999999998E-3</v>
      </c>
      <c r="H52" s="112"/>
    </row>
    <row r="53" spans="1:8" x14ac:dyDescent="0.2">
      <c r="A53" s="3">
        <v>47</v>
      </c>
      <c r="B53" s="4" t="s">
        <v>316</v>
      </c>
      <c r="C53" s="4" t="s">
        <v>317</v>
      </c>
      <c r="D53" s="4" t="s">
        <v>19</v>
      </c>
      <c r="E53" s="5">
        <v>700000</v>
      </c>
      <c r="F53" s="6">
        <v>682.15</v>
      </c>
      <c r="G53" s="7">
        <v>3.1328620000000001E-3</v>
      </c>
      <c r="H53" s="112"/>
    </row>
    <row r="54" spans="1:8" x14ac:dyDescent="0.2">
      <c r="A54" s="3">
        <v>48</v>
      </c>
      <c r="B54" s="4" t="s">
        <v>390</v>
      </c>
      <c r="C54" s="4" t="s">
        <v>391</v>
      </c>
      <c r="D54" s="4" t="s">
        <v>334</v>
      </c>
      <c r="E54" s="5">
        <v>300000</v>
      </c>
      <c r="F54" s="6">
        <v>394.65</v>
      </c>
      <c r="G54" s="7">
        <v>1.8124809999999999E-3</v>
      </c>
      <c r="H54" s="112"/>
    </row>
    <row r="55" spans="1:8" ht="25.5" x14ac:dyDescent="0.2">
      <c r="A55" s="3">
        <v>49</v>
      </c>
      <c r="B55" s="4" t="s">
        <v>447</v>
      </c>
      <c r="C55" s="70" t="s">
        <v>1030</v>
      </c>
      <c r="D55" s="40" t="s">
        <v>24</v>
      </c>
      <c r="E55" s="5">
        <v>55357</v>
      </c>
      <c r="F55" s="6">
        <v>141.54231329999999</v>
      </c>
      <c r="G55" s="7">
        <v>6.5005100000000001E-4</v>
      </c>
      <c r="H55" s="112"/>
    </row>
    <row r="56" spans="1:8" x14ac:dyDescent="0.2">
      <c r="A56" s="1"/>
      <c r="B56" s="1"/>
      <c r="C56" s="2" t="s">
        <v>97</v>
      </c>
      <c r="D56" s="1"/>
      <c r="E56" s="1" t="s">
        <v>98</v>
      </c>
      <c r="F56" s="9">
        <v>216940.31507579997</v>
      </c>
      <c r="G56" s="10">
        <v>0.9963265389999999</v>
      </c>
      <c r="H56" s="112"/>
    </row>
    <row r="57" spans="1:8" x14ac:dyDescent="0.2">
      <c r="A57" s="1"/>
      <c r="B57" s="1"/>
      <c r="C57" s="11"/>
      <c r="D57" s="1"/>
      <c r="E57" s="1"/>
      <c r="F57" s="12"/>
      <c r="G57" s="12"/>
      <c r="H57" s="112"/>
    </row>
    <row r="58" spans="1:8" x14ac:dyDescent="0.2">
      <c r="A58" s="1"/>
      <c r="B58" s="1"/>
      <c r="C58" s="2" t="s">
        <v>99</v>
      </c>
      <c r="D58" s="1"/>
      <c r="E58" s="1"/>
      <c r="F58" s="1"/>
      <c r="G58" s="1"/>
      <c r="H58" s="112"/>
    </row>
    <row r="59" spans="1:8" x14ac:dyDescent="0.2">
      <c r="A59" s="1"/>
      <c r="B59" s="1"/>
      <c r="C59" s="2" t="s">
        <v>97</v>
      </c>
      <c r="D59" s="1"/>
      <c r="E59" s="1" t="s">
        <v>98</v>
      </c>
      <c r="F59" s="13">
        <v>0</v>
      </c>
      <c r="G59" s="14">
        <v>0</v>
      </c>
      <c r="H59" s="112"/>
    </row>
    <row r="60" spans="1:8" x14ac:dyDescent="0.2">
      <c r="A60" s="1"/>
      <c r="B60" s="1"/>
      <c r="C60" s="11"/>
      <c r="D60" s="1"/>
      <c r="E60" s="1"/>
      <c r="F60" s="12"/>
      <c r="G60" s="12"/>
      <c r="H60" s="112"/>
    </row>
    <row r="61" spans="1:8" x14ac:dyDescent="0.2">
      <c r="A61" s="1"/>
      <c r="B61" s="1"/>
      <c r="C61" s="2" t="s">
        <v>100</v>
      </c>
      <c r="D61" s="1"/>
      <c r="E61" s="1"/>
      <c r="F61" s="1"/>
      <c r="G61" s="1"/>
      <c r="H61" s="112"/>
    </row>
    <row r="62" spans="1:8" x14ac:dyDescent="0.2">
      <c r="A62" s="1"/>
      <c r="B62" s="1"/>
      <c r="C62" s="2" t="s">
        <v>97</v>
      </c>
      <c r="D62" s="1"/>
      <c r="E62" s="1" t="s">
        <v>98</v>
      </c>
      <c r="F62" s="13">
        <v>0</v>
      </c>
      <c r="G62" s="14">
        <v>0</v>
      </c>
      <c r="H62" s="112"/>
    </row>
    <row r="63" spans="1:8" x14ac:dyDescent="0.2">
      <c r="A63" s="1"/>
      <c r="B63" s="1"/>
      <c r="C63" s="11"/>
      <c r="D63" s="1"/>
      <c r="E63" s="1"/>
      <c r="F63" s="12"/>
      <c r="G63" s="12"/>
      <c r="H63" s="112"/>
    </row>
    <row r="64" spans="1:8" x14ac:dyDescent="0.2">
      <c r="A64" s="1"/>
      <c r="B64" s="1"/>
      <c r="C64" s="2" t="s">
        <v>101</v>
      </c>
      <c r="D64" s="1"/>
      <c r="E64" s="1"/>
      <c r="F64" s="1"/>
      <c r="G64" s="1"/>
      <c r="H64" s="112"/>
    </row>
    <row r="65" spans="1:15" x14ac:dyDescent="0.2">
      <c r="A65" s="1"/>
      <c r="B65" s="1"/>
      <c r="C65" s="2" t="s">
        <v>97</v>
      </c>
      <c r="D65" s="1"/>
      <c r="E65" s="1" t="s">
        <v>98</v>
      </c>
      <c r="F65" s="9">
        <v>0</v>
      </c>
      <c r="G65" s="10">
        <v>0</v>
      </c>
      <c r="H65" s="112"/>
    </row>
    <row r="66" spans="1:15" x14ac:dyDescent="0.2">
      <c r="A66" s="1"/>
      <c r="B66" s="1"/>
      <c r="C66" s="11"/>
      <c r="D66" s="1"/>
      <c r="E66" s="1"/>
      <c r="F66" s="12"/>
      <c r="G66" s="12"/>
      <c r="H66" s="112"/>
    </row>
    <row r="67" spans="1:15" x14ac:dyDescent="0.2">
      <c r="A67" s="1"/>
      <c r="B67" s="1"/>
      <c r="C67" s="2" t="s">
        <v>102</v>
      </c>
      <c r="D67" s="1"/>
      <c r="E67" s="1"/>
      <c r="F67" s="12"/>
      <c r="G67" s="12"/>
      <c r="H67" s="112"/>
    </row>
    <row r="68" spans="1:15" s="36" customFormat="1" ht="25.5" x14ac:dyDescent="0.2">
      <c r="A68" s="80">
        <v>1</v>
      </c>
      <c r="B68" s="81" t="s">
        <v>932</v>
      </c>
      <c r="C68" s="81" t="s">
        <v>933</v>
      </c>
      <c r="D68" s="81" t="s">
        <v>81</v>
      </c>
      <c r="E68" s="82">
        <v>42600</v>
      </c>
      <c r="F68" s="83">
        <v>362.1</v>
      </c>
      <c r="G68" s="84">
        <v>1.66299E-3</v>
      </c>
      <c r="H68" s="112"/>
      <c r="I68"/>
      <c r="J68"/>
      <c r="K68"/>
      <c r="L68"/>
      <c r="M68"/>
      <c r="N68"/>
      <c r="O68"/>
    </row>
    <row r="69" spans="1:15" x14ac:dyDescent="0.2">
      <c r="A69" s="1"/>
      <c r="B69" s="1"/>
      <c r="C69" s="2" t="s">
        <v>97</v>
      </c>
      <c r="D69" s="1"/>
      <c r="E69" s="1" t="s">
        <v>98</v>
      </c>
      <c r="F69" s="83">
        <v>362.1</v>
      </c>
      <c r="G69" s="14">
        <v>1.66299E-3</v>
      </c>
      <c r="H69" s="112"/>
      <c r="I69" s="36"/>
      <c r="J69" s="36"/>
      <c r="K69" s="36"/>
      <c r="L69" s="36"/>
      <c r="M69" s="36"/>
      <c r="N69" s="36"/>
      <c r="O69" s="36"/>
    </row>
    <row r="70" spans="1:15" x14ac:dyDescent="0.2">
      <c r="A70" s="1"/>
      <c r="B70" s="1"/>
      <c r="C70" s="11"/>
      <c r="D70" s="1"/>
      <c r="E70" s="1"/>
      <c r="F70" s="12"/>
      <c r="G70" s="12"/>
      <c r="H70" s="112"/>
    </row>
    <row r="71" spans="1:15" x14ac:dyDescent="0.2">
      <c r="A71" s="1"/>
      <c r="B71" s="1"/>
      <c r="C71" s="2" t="s">
        <v>103</v>
      </c>
      <c r="D71" s="1"/>
      <c r="E71" s="1"/>
      <c r="F71" s="12"/>
      <c r="G71" s="12"/>
      <c r="H71" s="112"/>
    </row>
    <row r="72" spans="1:15" x14ac:dyDescent="0.2">
      <c r="A72" s="1"/>
      <c r="B72" s="1"/>
      <c r="C72" s="2" t="s">
        <v>97</v>
      </c>
      <c r="D72" s="1"/>
      <c r="E72" s="1" t="s">
        <v>98</v>
      </c>
      <c r="F72" s="13">
        <v>0</v>
      </c>
      <c r="G72" s="14">
        <v>0</v>
      </c>
      <c r="H72" s="112"/>
    </row>
    <row r="73" spans="1:15" x14ac:dyDescent="0.2">
      <c r="A73" s="1"/>
      <c r="B73" s="1"/>
      <c r="C73" s="11"/>
      <c r="D73" s="1"/>
      <c r="E73" s="1"/>
      <c r="F73" s="12"/>
      <c r="G73" s="12"/>
      <c r="H73" s="112"/>
    </row>
    <row r="74" spans="1:15" x14ac:dyDescent="0.2">
      <c r="A74" s="1"/>
      <c r="B74" s="1"/>
      <c r="C74" s="2" t="s">
        <v>104</v>
      </c>
      <c r="D74" s="1"/>
      <c r="E74" s="1"/>
      <c r="F74" s="9">
        <v>217302.41507579997</v>
      </c>
      <c r="G74" s="10">
        <v>0.99798952899999982</v>
      </c>
      <c r="H74" s="112"/>
    </row>
    <row r="75" spans="1:15" x14ac:dyDescent="0.2">
      <c r="A75" s="1"/>
      <c r="B75" s="1"/>
      <c r="C75" s="11"/>
      <c r="D75" s="1"/>
      <c r="E75" s="1"/>
      <c r="F75" s="12"/>
      <c r="G75" s="12"/>
      <c r="H75" s="112"/>
    </row>
    <row r="76" spans="1:15" x14ac:dyDescent="0.2">
      <c r="A76" s="1"/>
      <c r="B76" s="1"/>
      <c r="C76" s="2" t="s">
        <v>105</v>
      </c>
      <c r="D76" s="1"/>
      <c r="E76" s="1"/>
      <c r="F76" s="12"/>
      <c r="G76" s="12"/>
      <c r="H76" s="112"/>
    </row>
    <row r="77" spans="1:15" ht="25.5" x14ac:dyDescent="0.2">
      <c r="A77" s="1"/>
      <c r="B77" s="1"/>
      <c r="C77" s="2" t="s">
        <v>10</v>
      </c>
      <c r="D77" s="1"/>
      <c r="E77" s="1"/>
      <c r="F77" s="12"/>
      <c r="G77" s="12"/>
      <c r="H77" s="112"/>
    </row>
    <row r="78" spans="1:15" x14ac:dyDescent="0.2">
      <c r="A78" s="1"/>
      <c r="B78" s="1"/>
      <c r="C78" s="2" t="s">
        <v>97</v>
      </c>
      <c r="D78" s="1"/>
      <c r="E78" s="1" t="s">
        <v>98</v>
      </c>
      <c r="F78" s="13">
        <v>0</v>
      </c>
      <c r="G78" s="14">
        <v>0</v>
      </c>
      <c r="H78" s="112"/>
    </row>
    <row r="79" spans="1:15" x14ac:dyDescent="0.2">
      <c r="A79" s="1"/>
      <c r="B79" s="1"/>
      <c r="C79" s="11"/>
      <c r="D79" s="1"/>
      <c r="E79" s="1"/>
      <c r="F79" s="12"/>
      <c r="G79" s="12"/>
      <c r="H79" s="112"/>
    </row>
    <row r="80" spans="1:15" x14ac:dyDescent="0.2">
      <c r="A80" s="1"/>
      <c r="B80" s="1"/>
      <c r="C80" s="2" t="s">
        <v>106</v>
      </c>
      <c r="D80" s="1"/>
      <c r="E80" s="1"/>
      <c r="F80" s="1"/>
      <c r="G80" s="1"/>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2" t="s">
        <v>107</v>
      </c>
      <c r="D83" s="1"/>
      <c r="E83" s="1"/>
      <c r="F83" s="1"/>
      <c r="G83" s="1"/>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108</v>
      </c>
      <c r="D86" s="1"/>
      <c r="E86" s="1"/>
      <c r="F86" s="12"/>
      <c r="G86" s="12"/>
      <c r="H86" s="112"/>
    </row>
    <row r="87" spans="1:8" x14ac:dyDescent="0.2">
      <c r="A87" s="1"/>
      <c r="B87" s="1"/>
      <c r="C87" s="2" t="s">
        <v>97</v>
      </c>
      <c r="D87" s="1"/>
      <c r="E87" s="1" t="s">
        <v>98</v>
      </c>
      <c r="F87" s="13">
        <v>0</v>
      </c>
      <c r="G87" s="14">
        <v>0</v>
      </c>
      <c r="H87" s="112"/>
    </row>
    <row r="88" spans="1:8" x14ac:dyDescent="0.2">
      <c r="A88" s="1"/>
      <c r="B88" s="1"/>
      <c r="C88" s="11"/>
      <c r="D88" s="1"/>
      <c r="E88" s="1"/>
      <c r="F88" s="12"/>
      <c r="G88" s="12"/>
      <c r="H88" s="112"/>
    </row>
    <row r="89" spans="1:8" x14ac:dyDescent="0.2">
      <c r="A89" s="1"/>
      <c r="B89" s="1"/>
      <c r="C89" s="2" t="s">
        <v>109</v>
      </c>
      <c r="D89" s="1"/>
      <c r="E89" s="1"/>
      <c r="F89" s="9">
        <v>0</v>
      </c>
      <c r="G89" s="10">
        <v>0</v>
      </c>
      <c r="H89" s="112"/>
    </row>
    <row r="90" spans="1:8" x14ac:dyDescent="0.2">
      <c r="A90" s="1"/>
      <c r="B90" s="1"/>
      <c r="C90" s="11"/>
      <c r="D90" s="1"/>
      <c r="E90" s="1"/>
      <c r="F90" s="12"/>
      <c r="G90" s="12"/>
      <c r="H90" s="112"/>
    </row>
    <row r="91" spans="1:8" x14ac:dyDescent="0.2">
      <c r="A91" s="1"/>
      <c r="B91" s="1"/>
      <c r="C91" s="2" t="s">
        <v>110</v>
      </c>
      <c r="D91" s="1"/>
      <c r="E91" s="1"/>
      <c r="F91" s="12"/>
      <c r="G91" s="12"/>
      <c r="H91" s="112"/>
    </row>
    <row r="92" spans="1:8" x14ac:dyDescent="0.2">
      <c r="A92" s="1"/>
      <c r="B92" s="1"/>
      <c r="C92" s="2" t="s">
        <v>111</v>
      </c>
      <c r="D92" s="1"/>
      <c r="E92" s="1"/>
      <c r="F92" s="12"/>
      <c r="G92" s="12"/>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112</v>
      </c>
      <c r="D95" s="1"/>
      <c r="E95" s="1"/>
      <c r="F95" s="12"/>
      <c r="G95" s="12"/>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113</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114</v>
      </c>
      <c r="D101" s="1"/>
      <c r="E101" s="1"/>
      <c r="F101" s="12"/>
      <c r="G101" s="12"/>
      <c r="H101" s="112"/>
    </row>
    <row r="102" spans="1:8" x14ac:dyDescent="0.2">
      <c r="A102" s="3">
        <v>1</v>
      </c>
      <c r="B102" s="4"/>
      <c r="C102" s="4" t="s">
        <v>115</v>
      </c>
      <c r="D102" s="4"/>
      <c r="E102" s="8"/>
      <c r="F102" s="6">
        <v>339.39633430069364</v>
      </c>
      <c r="G102" s="7">
        <v>1.5587216957332376E-3</v>
      </c>
      <c r="H102" s="6">
        <v>3.3211324282253978</v>
      </c>
    </row>
    <row r="103" spans="1:8" x14ac:dyDescent="0.2">
      <c r="A103" s="3">
        <v>2</v>
      </c>
      <c r="B103" s="4"/>
      <c r="C103" s="4" t="s">
        <v>116</v>
      </c>
      <c r="D103" s="4"/>
      <c r="E103" s="8"/>
      <c r="F103" s="6">
        <v>133.32283553002179</v>
      </c>
      <c r="G103" s="7">
        <v>6.1230241836732289E-4</v>
      </c>
      <c r="H103" s="6">
        <v>3.35</v>
      </c>
    </row>
    <row r="104" spans="1:8" x14ac:dyDescent="0.2">
      <c r="A104" s="1"/>
      <c r="B104" s="1"/>
      <c r="C104" s="2" t="s">
        <v>97</v>
      </c>
      <c r="D104" s="1"/>
      <c r="E104" s="1" t="s">
        <v>98</v>
      </c>
      <c r="F104" s="9">
        <v>472.71916983071543</v>
      </c>
      <c r="G104" s="10">
        <v>2.1710241141005603E-3</v>
      </c>
      <c r="H104" s="112"/>
    </row>
    <row r="105" spans="1:8" x14ac:dyDescent="0.2">
      <c r="A105" s="1"/>
      <c r="B105" s="1"/>
      <c r="C105" s="11"/>
      <c r="D105" s="1"/>
      <c r="E105" s="1"/>
      <c r="F105" s="12"/>
      <c r="G105" s="12"/>
      <c r="H105" s="112"/>
    </row>
    <row r="106" spans="1:8" x14ac:dyDescent="0.2">
      <c r="A106" s="1"/>
      <c r="B106" s="1"/>
      <c r="C106" s="2" t="s">
        <v>117</v>
      </c>
      <c r="D106" s="1"/>
      <c r="E106" s="1"/>
      <c r="F106" s="9">
        <v>472.71916983071543</v>
      </c>
      <c r="G106" s="10">
        <v>2.1710241141005603E-3</v>
      </c>
      <c r="H106" s="112"/>
    </row>
    <row r="107" spans="1:8" x14ac:dyDescent="0.2">
      <c r="A107" s="1"/>
      <c r="B107" s="1"/>
      <c r="C107" s="12"/>
      <c r="D107" s="1"/>
      <c r="E107" s="1"/>
      <c r="F107" s="1"/>
      <c r="G107" s="1"/>
      <c r="H107" s="112"/>
    </row>
    <row r="108" spans="1:8" x14ac:dyDescent="0.2">
      <c r="A108" s="1"/>
      <c r="B108" s="1"/>
      <c r="C108" s="2" t="s">
        <v>118</v>
      </c>
      <c r="D108" s="1"/>
      <c r="E108" s="1"/>
      <c r="F108" s="1"/>
      <c r="G108" s="1"/>
      <c r="H108" s="112"/>
    </row>
    <row r="109" spans="1:8" x14ac:dyDescent="0.2">
      <c r="A109" s="1"/>
      <c r="B109" s="1"/>
      <c r="C109" s="2" t="s">
        <v>119</v>
      </c>
      <c r="D109" s="1"/>
      <c r="E109" s="1"/>
      <c r="F109" s="1"/>
      <c r="G109" s="1"/>
      <c r="H109" s="112"/>
    </row>
    <row r="110" spans="1:8" x14ac:dyDescent="0.2">
      <c r="A110" s="1"/>
      <c r="B110" s="1"/>
      <c r="C110" s="2" t="s">
        <v>97</v>
      </c>
      <c r="D110" s="1"/>
      <c r="E110" s="1" t="s">
        <v>98</v>
      </c>
      <c r="F110" s="13">
        <v>0</v>
      </c>
      <c r="G110" s="14">
        <v>0</v>
      </c>
      <c r="H110" s="112"/>
    </row>
    <row r="111" spans="1:8" x14ac:dyDescent="0.2">
      <c r="A111" s="1"/>
      <c r="B111" s="1"/>
      <c r="C111" s="11"/>
      <c r="D111" s="1"/>
      <c r="E111" s="1"/>
      <c r="F111" s="12"/>
      <c r="G111" s="12"/>
      <c r="H111" s="112"/>
    </row>
    <row r="112" spans="1:8" x14ac:dyDescent="0.2">
      <c r="A112" s="1"/>
      <c r="B112" s="1"/>
      <c r="C112" s="2" t="s">
        <v>120</v>
      </c>
      <c r="D112" s="1"/>
      <c r="E112" s="1"/>
      <c r="F112" s="1"/>
      <c r="G112" s="1"/>
      <c r="H112" s="112"/>
    </row>
    <row r="113" spans="1:8" x14ac:dyDescent="0.2">
      <c r="A113" s="1"/>
      <c r="B113" s="1"/>
      <c r="C113" s="2" t="s">
        <v>121</v>
      </c>
      <c r="D113" s="1"/>
      <c r="E113" s="1"/>
      <c r="F113" s="1"/>
      <c r="G113" s="1"/>
      <c r="H113" s="112"/>
    </row>
    <row r="114" spans="1:8" x14ac:dyDescent="0.2">
      <c r="A114" s="1"/>
      <c r="B114" s="1"/>
      <c r="C114" s="2" t="s">
        <v>97</v>
      </c>
      <c r="D114" s="1"/>
      <c r="E114" s="1" t="s">
        <v>98</v>
      </c>
      <c r="F114" s="13">
        <v>0</v>
      </c>
      <c r="G114" s="14">
        <v>0</v>
      </c>
      <c r="H114" s="112"/>
    </row>
    <row r="115" spans="1:8" x14ac:dyDescent="0.2">
      <c r="A115" s="1"/>
      <c r="B115" s="1"/>
      <c r="C115" s="11"/>
      <c r="D115" s="1"/>
      <c r="E115" s="1"/>
      <c r="F115" s="12"/>
      <c r="G115" s="12"/>
      <c r="H115" s="112"/>
    </row>
    <row r="116" spans="1:8" x14ac:dyDescent="0.2">
      <c r="A116" s="1"/>
      <c r="B116" s="1"/>
      <c r="C116" s="11"/>
      <c r="D116" s="1"/>
      <c r="E116" s="1"/>
      <c r="F116" s="12"/>
      <c r="G116" s="12"/>
      <c r="H116" s="112"/>
    </row>
    <row r="117" spans="1:8" ht="25.5" x14ac:dyDescent="0.2">
      <c r="A117" s="1"/>
      <c r="B117" s="1"/>
      <c r="C117" s="2" t="s">
        <v>122</v>
      </c>
      <c r="D117" s="1"/>
      <c r="E117" s="1"/>
      <c r="F117" s="12"/>
      <c r="G117" s="12"/>
      <c r="H117" s="112"/>
    </row>
    <row r="118" spans="1:8" ht="25.5" x14ac:dyDescent="0.2">
      <c r="A118" s="3">
        <v>1</v>
      </c>
      <c r="B118" s="4"/>
      <c r="C118" s="4" t="s">
        <v>285</v>
      </c>
      <c r="D118" s="4"/>
      <c r="E118" s="8"/>
      <c r="F118" s="6">
        <v>114.95399999999999</v>
      </c>
      <c r="G118" s="7">
        <v>5.2794099999999998E-4</v>
      </c>
      <c r="H118" s="112"/>
    </row>
    <row r="119" spans="1:8" x14ac:dyDescent="0.2">
      <c r="A119" s="1"/>
      <c r="B119" s="1"/>
      <c r="C119" s="2" t="s">
        <v>97</v>
      </c>
      <c r="D119" s="1"/>
      <c r="E119" s="1" t="s">
        <v>98</v>
      </c>
      <c r="F119" s="9">
        <v>114.95399999999999</v>
      </c>
      <c r="G119" s="10">
        <v>5.2794099999999998E-4</v>
      </c>
      <c r="H119" s="112"/>
    </row>
    <row r="120" spans="1:8" x14ac:dyDescent="0.2">
      <c r="A120" s="1"/>
      <c r="B120" s="1"/>
      <c r="C120" s="11"/>
      <c r="D120" s="1"/>
      <c r="E120" s="1"/>
      <c r="F120" s="12"/>
      <c r="G120" s="12"/>
      <c r="H120" s="112"/>
    </row>
    <row r="121" spans="1:8" x14ac:dyDescent="0.2">
      <c r="A121" s="1"/>
      <c r="B121" s="4"/>
      <c r="C121" s="4"/>
      <c r="D121" s="2"/>
      <c r="E121" s="1"/>
      <c r="F121" s="4"/>
      <c r="G121" s="8"/>
      <c r="H121" s="112"/>
    </row>
    <row r="122" spans="1:8" x14ac:dyDescent="0.2">
      <c r="A122" s="8"/>
      <c r="B122" s="4"/>
      <c r="C122" s="4" t="s">
        <v>123</v>
      </c>
      <c r="D122" s="4"/>
      <c r="E122" s="8"/>
      <c r="F122" s="6">
        <v>-149.91356933076167</v>
      </c>
      <c r="G122" s="7">
        <v>-6.8849751569102183E-4</v>
      </c>
      <c r="H122" s="112"/>
    </row>
    <row r="123" spans="1:8" x14ac:dyDescent="0.2">
      <c r="A123" s="11"/>
      <c r="B123" s="11"/>
      <c r="C123" s="2" t="s">
        <v>124</v>
      </c>
      <c r="D123" s="15"/>
      <c r="E123" s="15"/>
      <c r="F123" s="9">
        <v>217740.17467629994</v>
      </c>
      <c r="G123" s="10">
        <v>0.99999999659840932</v>
      </c>
      <c r="H123" s="112"/>
    </row>
    <row r="124" spans="1:8" ht="14.1" customHeight="1" x14ac:dyDescent="0.2">
      <c r="A124" s="16"/>
      <c r="B124" s="16"/>
      <c r="C124" s="16"/>
      <c r="D124" s="17"/>
      <c r="E124" s="17"/>
      <c r="F124" s="77"/>
      <c r="G124" s="77"/>
    </row>
    <row r="125" spans="1:8" ht="14.1" customHeight="1" x14ac:dyDescent="0.2">
      <c r="A125" s="18"/>
      <c r="B125" s="205" t="s">
        <v>98</v>
      </c>
      <c r="C125" s="205"/>
      <c r="D125" s="205"/>
      <c r="E125" s="205"/>
      <c r="F125" s="205"/>
      <c r="G125" s="20"/>
    </row>
    <row r="126" spans="1:8" ht="14.1" customHeight="1" x14ac:dyDescent="0.2">
      <c r="A126" s="18"/>
      <c r="B126" s="205" t="s">
        <v>98</v>
      </c>
      <c r="C126" s="205"/>
      <c r="D126" s="205"/>
      <c r="E126" s="205"/>
      <c r="F126" s="205"/>
      <c r="G126" s="20"/>
    </row>
    <row r="127" spans="1:8" ht="14.1" customHeight="1" x14ac:dyDescent="0.2">
      <c r="A127" s="18"/>
      <c r="B127" s="18"/>
      <c r="C127" s="18"/>
      <c r="D127" s="20"/>
      <c r="E127" s="20"/>
      <c r="F127" s="20"/>
      <c r="G127" s="20"/>
    </row>
    <row r="128" spans="1:8" ht="14.1" customHeight="1" x14ac:dyDescent="0.2">
      <c r="A128" s="18"/>
      <c r="B128" s="203" t="s">
        <v>126</v>
      </c>
      <c r="C128" s="204"/>
      <c r="D128" s="12" t="s">
        <v>98</v>
      </c>
      <c r="E128" s="21"/>
      <c r="F128" s="20"/>
      <c r="G128" s="20"/>
    </row>
    <row r="129" spans="1:15" ht="29.1" customHeight="1" x14ac:dyDescent="0.2">
      <c r="A129" s="18"/>
      <c r="B129" s="198" t="s">
        <v>127</v>
      </c>
      <c r="C129" s="199"/>
      <c r="D129" s="2" t="s">
        <v>128</v>
      </c>
      <c r="E129" s="21"/>
      <c r="F129" s="20"/>
      <c r="G129" s="20"/>
    </row>
    <row r="130" spans="1:15" ht="17.100000000000001" customHeight="1" x14ac:dyDescent="0.2">
      <c r="A130" s="18"/>
      <c r="B130" s="198" t="s">
        <v>129</v>
      </c>
      <c r="C130" s="199"/>
      <c r="D130" s="2" t="s">
        <v>128</v>
      </c>
      <c r="E130" s="21"/>
      <c r="F130" s="20"/>
      <c r="G130" s="20"/>
    </row>
    <row r="131" spans="1:15" ht="17.100000000000001" customHeight="1" x14ac:dyDescent="0.2">
      <c r="A131" s="18"/>
      <c r="B131" s="198" t="s">
        <v>130</v>
      </c>
      <c r="C131" s="199"/>
      <c r="D131" s="12" t="s">
        <v>98</v>
      </c>
      <c r="E131" s="21"/>
      <c r="F131" s="20"/>
      <c r="G131" s="20"/>
    </row>
    <row r="132" spans="1:15" ht="24" customHeight="1" x14ac:dyDescent="0.2">
      <c r="A132" s="22"/>
      <c r="B132" s="23" t="s">
        <v>98</v>
      </c>
      <c r="C132" s="23" t="s">
        <v>131</v>
      </c>
      <c r="D132" s="23" t="s">
        <v>132</v>
      </c>
      <c r="E132" s="22"/>
      <c r="F132" s="22"/>
      <c r="G132" s="22"/>
    </row>
    <row r="133" spans="1:15" ht="18" customHeight="1" x14ac:dyDescent="0.2">
      <c r="A133" s="22"/>
      <c r="B133" s="23" t="s">
        <v>133</v>
      </c>
      <c r="C133" s="23" t="s">
        <v>134</v>
      </c>
      <c r="D133" s="23" t="s">
        <v>135</v>
      </c>
      <c r="E133" s="22"/>
      <c r="F133" s="22"/>
      <c r="G133" s="22"/>
    </row>
    <row r="134" spans="1:15" ht="17.100000000000001" customHeight="1" x14ac:dyDescent="0.2">
      <c r="A134" s="22"/>
      <c r="B134" s="4" t="s">
        <v>136</v>
      </c>
      <c r="C134" s="24">
        <v>152.20959999999999</v>
      </c>
      <c r="D134" s="24">
        <v>153.36539999999999</v>
      </c>
      <c r="E134" s="22"/>
      <c r="F134" s="19"/>
      <c r="G134" s="25"/>
    </row>
    <row r="135" spans="1:15" ht="17.100000000000001" customHeight="1" x14ac:dyDescent="0.2">
      <c r="A135" s="22"/>
      <c r="B135" s="4" t="s">
        <v>980</v>
      </c>
      <c r="C135" s="24">
        <v>16.9191</v>
      </c>
      <c r="D135" s="24">
        <v>17.047499999999999</v>
      </c>
      <c r="E135" s="22"/>
      <c r="F135" s="19"/>
      <c r="G135" s="25"/>
    </row>
    <row r="136" spans="1:15" ht="17.100000000000001" customHeight="1" x14ac:dyDescent="0.2">
      <c r="A136" s="22"/>
      <c r="B136" s="4" t="s">
        <v>137</v>
      </c>
      <c r="C136" s="24">
        <v>146.80709999999999</v>
      </c>
      <c r="D136" s="24">
        <v>147.87719999999999</v>
      </c>
      <c r="E136" s="22"/>
      <c r="F136" s="19"/>
      <c r="G136" s="25"/>
    </row>
    <row r="137" spans="1:15" ht="17.100000000000001" customHeight="1" x14ac:dyDescent="0.2">
      <c r="A137" s="22"/>
      <c r="B137" s="4" t="s">
        <v>981</v>
      </c>
      <c r="C137" s="24">
        <v>14.228199999999999</v>
      </c>
      <c r="D137" s="24">
        <v>14.331899999999999</v>
      </c>
      <c r="E137" s="22"/>
      <c r="F137" s="19"/>
      <c r="G137" s="25"/>
    </row>
    <row r="138" spans="1:15" ht="14.1" customHeight="1" x14ac:dyDescent="0.2">
      <c r="A138" s="22"/>
      <c r="B138" s="22"/>
      <c r="C138" s="22"/>
      <c r="D138" s="22"/>
      <c r="E138" s="22"/>
      <c r="F138" s="22"/>
      <c r="G138" s="22"/>
    </row>
    <row r="139" spans="1:15" ht="17.100000000000001" customHeight="1" x14ac:dyDescent="0.2">
      <c r="A139" s="22"/>
      <c r="B139" s="198" t="s">
        <v>982</v>
      </c>
      <c r="C139" s="199"/>
      <c r="D139" s="2" t="s">
        <v>128</v>
      </c>
      <c r="E139" s="22"/>
      <c r="F139" s="22"/>
      <c r="G139" s="22"/>
      <c r="I139" s="36"/>
      <c r="J139" s="36"/>
      <c r="K139" s="36"/>
      <c r="L139" s="36"/>
      <c r="M139" s="36"/>
      <c r="N139" s="36"/>
      <c r="O139" s="36"/>
    </row>
    <row r="140" spans="1:15" ht="18" customHeight="1" x14ac:dyDescent="0.2">
      <c r="A140" s="22"/>
      <c r="B140" s="26"/>
      <c r="C140" s="26"/>
      <c r="D140" s="27"/>
      <c r="E140" s="22"/>
      <c r="F140" s="22"/>
      <c r="G140" s="22"/>
    </row>
    <row r="141" spans="1:15" s="113" customFormat="1" x14ac:dyDescent="0.2">
      <c r="B141" s="202" t="s">
        <v>984</v>
      </c>
      <c r="C141" s="202"/>
      <c r="D141" s="202"/>
      <c r="E141" s="202"/>
      <c r="F141" s="202"/>
      <c r="I141"/>
      <c r="J141"/>
      <c r="K141"/>
      <c r="L141"/>
      <c r="M141"/>
      <c r="N141"/>
      <c r="O141"/>
    </row>
    <row r="142" spans="1:15" ht="14.1" customHeight="1" x14ac:dyDescent="0.2">
      <c r="A142" s="22"/>
      <c r="B142" s="19"/>
      <c r="C142" s="19"/>
      <c r="D142" s="22"/>
      <c r="E142" s="22"/>
      <c r="F142" s="22"/>
      <c r="G142" s="22"/>
    </row>
    <row r="143" spans="1:15" ht="29.1" customHeight="1" x14ac:dyDescent="0.2">
      <c r="A143" s="22"/>
      <c r="B143" s="198" t="s">
        <v>138</v>
      </c>
      <c r="C143" s="199"/>
      <c r="D143" s="2" t="s">
        <v>128</v>
      </c>
      <c r="E143" s="22"/>
      <c r="F143" s="22"/>
      <c r="G143" s="22"/>
      <c r="I143" s="113"/>
      <c r="J143" s="113"/>
      <c r="K143" s="113"/>
      <c r="L143" s="113"/>
      <c r="M143" s="113"/>
      <c r="N143" s="113"/>
      <c r="O143" s="113"/>
    </row>
    <row r="144" spans="1:15" ht="29.1" customHeight="1" x14ac:dyDescent="0.2">
      <c r="A144" s="22"/>
      <c r="B144" s="198" t="s">
        <v>139</v>
      </c>
      <c r="C144" s="199"/>
      <c r="D144" s="2" t="s">
        <v>128</v>
      </c>
      <c r="E144" s="22"/>
      <c r="F144" s="22"/>
      <c r="G144" s="22"/>
    </row>
    <row r="145" spans="1:7" ht="17.100000000000001" customHeight="1" x14ac:dyDescent="0.2">
      <c r="A145" s="22"/>
      <c r="B145" s="198" t="s">
        <v>140</v>
      </c>
      <c r="C145" s="199"/>
      <c r="D145" s="28">
        <v>0.51941915812079842</v>
      </c>
      <c r="E145" s="22"/>
      <c r="F145" s="19"/>
      <c r="G145" s="25"/>
    </row>
    <row r="146" spans="1:7" ht="17.100000000000001" customHeight="1" x14ac:dyDescent="0.2">
      <c r="A146" s="22"/>
      <c r="B146" s="198" t="s">
        <v>141</v>
      </c>
      <c r="C146" s="199"/>
      <c r="D146" s="2" t="s">
        <v>128</v>
      </c>
      <c r="E146" s="22"/>
      <c r="F146" s="22"/>
      <c r="G146" s="22"/>
    </row>
  </sheetData>
  <mergeCells count="16">
    <mergeCell ref="B146:C146"/>
    <mergeCell ref="B129:C129"/>
    <mergeCell ref="B130:C130"/>
    <mergeCell ref="B131:C131"/>
    <mergeCell ref="B139:C139"/>
    <mergeCell ref="B143:C143"/>
    <mergeCell ref="B144:C144"/>
    <mergeCell ref="B141:F141"/>
    <mergeCell ref="A1:H1"/>
    <mergeCell ref="A2:H2"/>
    <mergeCell ref="A3:H3"/>
    <mergeCell ref="J2:N2"/>
    <mergeCell ref="B145:C145"/>
    <mergeCell ref="B128:C128"/>
    <mergeCell ref="B125:F125"/>
    <mergeCell ref="B126:F126"/>
  </mergeCells>
  <pageMargins left="5.000000074505806E-2" right="5.000000074505806E-2" top="0.30000001192092896" bottom="0.20000000298023224" header="0" footer="0"/>
  <pageSetup paperSize="9"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O148"/>
  <sheetViews>
    <sheetView showGridLines="0" workbookViewId="0">
      <selection activeCell="A4" sqref="A4"/>
    </sheetView>
  </sheetViews>
  <sheetFormatPr defaultRowHeight="12.75" x14ac:dyDescent="0.2"/>
  <cols>
    <col min="1" max="1" width="6.85546875" customWidth="1"/>
    <col min="2" max="2" width="20.5703125" customWidth="1"/>
    <col min="3" max="3" width="42"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694</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x14ac:dyDescent="0.2">
      <c r="A6" s="1"/>
      <c r="B6" s="1"/>
      <c r="C6" s="2" t="s">
        <v>10</v>
      </c>
      <c r="D6" s="1"/>
      <c r="E6" s="1"/>
      <c r="F6" s="1"/>
      <c r="G6" s="1"/>
      <c r="H6" s="112"/>
    </row>
    <row r="7" spans="1:14" x14ac:dyDescent="0.2">
      <c r="A7" s="3">
        <v>1</v>
      </c>
      <c r="B7" s="4" t="s">
        <v>322</v>
      </c>
      <c r="C7" s="4" t="s">
        <v>323</v>
      </c>
      <c r="D7" s="4" t="s">
        <v>19</v>
      </c>
      <c r="E7" s="5">
        <v>75600</v>
      </c>
      <c r="F7" s="6">
        <v>560.952</v>
      </c>
      <c r="G7" s="7">
        <v>6.6033664000000006E-2</v>
      </c>
      <c r="H7" s="112"/>
    </row>
    <row r="8" spans="1:14" x14ac:dyDescent="0.2">
      <c r="A8" s="3">
        <v>2</v>
      </c>
      <c r="B8" s="4" t="s">
        <v>14</v>
      </c>
      <c r="C8" s="4" t="s">
        <v>15</v>
      </c>
      <c r="D8" s="4" t="s">
        <v>16</v>
      </c>
      <c r="E8" s="5">
        <v>21250</v>
      </c>
      <c r="F8" s="6">
        <v>538.953125</v>
      </c>
      <c r="G8" s="7">
        <v>6.3444020000000004E-2</v>
      </c>
      <c r="H8" s="112"/>
    </row>
    <row r="9" spans="1:14" x14ac:dyDescent="0.2">
      <c r="A9" s="3">
        <v>3</v>
      </c>
      <c r="B9" s="4" t="s">
        <v>343</v>
      </c>
      <c r="C9" s="4" t="s">
        <v>344</v>
      </c>
      <c r="D9" s="4" t="s">
        <v>53</v>
      </c>
      <c r="E9" s="5">
        <v>90000</v>
      </c>
      <c r="F9" s="6">
        <v>375.57</v>
      </c>
      <c r="G9" s="7">
        <v>4.4211026E-2</v>
      </c>
      <c r="H9" s="112"/>
    </row>
    <row r="10" spans="1:14" x14ac:dyDescent="0.2">
      <c r="A10" s="3">
        <v>4</v>
      </c>
      <c r="B10" s="4" t="s">
        <v>418</v>
      </c>
      <c r="C10" s="4" t="s">
        <v>419</v>
      </c>
      <c r="D10" s="4" t="s">
        <v>19</v>
      </c>
      <c r="E10" s="5">
        <v>60000</v>
      </c>
      <c r="F10" s="6">
        <v>301.29000000000002</v>
      </c>
      <c r="G10" s="7">
        <v>3.5466997E-2</v>
      </c>
      <c r="H10" s="112"/>
    </row>
    <row r="11" spans="1:14" ht="25.5" x14ac:dyDescent="0.2">
      <c r="A11" s="3">
        <v>5</v>
      </c>
      <c r="B11" s="4" t="s">
        <v>424</v>
      </c>
      <c r="C11" s="4" t="s">
        <v>425</v>
      </c>
      <c r="D11" s="4" t="s">
        <v>192</v>
      </c>
      <c r="E11" s="5">
        <v>12300</v>
      </c>
      <c r="F11" s="6">
        <v>294.35744999999997</v>
      </c>
      <c r="G11" s="7">
        <v>3.4650917000000003E-2</v>
      </c>
      <c r="H11" s="112"/>
    </row>
    <row r="12" spans="1:14" x14ac:dyDescent="0.2">
      <c r="A12" s="3">
        <v>6</v>
      </c>
      <c r="B12" s="4" t="s">
        <v>339</v>
      </c>
      <c r="C12" s="4" t="s">
        <v>340</v>
      </c>
      <c r="D12" s="4" t="s">
        <v>81</v>
      </c>
      <c r="E12" s="5">
        <v>20400</v>
      </c>
      <c r="F12" s="6">
        <v>292.98480000000001</v>
      </c>
      <c r="G12" s="7">
        <v>3.4489331999999998E-2</v>
      </c>
      <c r="H12" s="112"/>
    </row>
    <row r="13" spans="1:14" x14ac:dyDescent="0.2">
      <c r="A13" s="3">
        <v>7</v>
      </c>
      <c r="B13" s="4" t="s">
        <v>380</v>
      </c>
      <c r="C13" s="4" t="s">
        <v>381</v>
      </c>
      <c r="D13" s="4" t="s">
        <v>81</v>
      </c>
      <c r="E13" s="5">
        <v>72000</v>
      </c>
      <c r="F13" s="6">
        <v>292.93200000000002</v>
      </c>
      <c r="G13" s="7">
        <v>3.4483117000000001E-2</v>
      </c>
      <c r="H13" s="112"/>
    </row>
    <row r="14" spans="1:14" ht="25.5" x14ac:dyDescent="0.2">
      <c r="A14" s="3">
        <v>8</v>
      </c>
      <c r="B14" s="4" t="s">
        <v>443</v>
      </c>
      <c r="C14" s="4" t="s">
        <v>444</v>
      </c>
      <c r="D14" s="4" t="s">
        <v>192</v>
      </c>
      <c r="E14" s="5">
        <v>131200</v>
      </c>
      <c r="F14" s="6">
        <v>292.83839999999998</v>
      </c>
      <c r="G14" s="7">
        <v>3.4472098999999999E-2</v>
      </c>
      <c r="H14" s="112"/>
    </row>
    <row r="15" spans="1:14" ht="15" x14ac:dyDescent="0.2">
      <c r="A15" s="3">
        <v>9</v>
      </c>
      <c r="B15" s="4" t="s">
        <v>624</v>
      </c>
      <c r="C15" s="4" t="s">
        <v>625</v>
      </c>
      <c r="D15" s="4" t="s">
        <v>81</v>
      </c>
      <c r="E15" s="5">
        <v>25000</v>
      </c>
      <c r="F15" s="6">
        <v>263.77499999999998</v>
      </c>
      <c r="G15" s="7">
        <v>3.1050838000000001E-2</v>
      </c>
      <c r="H15" s="112"/>
      <c r="J15" s="188" t="s">
        <v>1022</v>
      </c>
    </row>
    <row r="16" spans="1:14" x14ac:dyDescent="0.2">
      <c r="A16" s="3">
        <v>10</v>
      </c>
      <c r="B16" s="4" t="s">
        <v>84</v>
      </c>
      <c r="C16" s="4" t="s">
        <v>85</v>
      </c>
      <c r="D16" s="4" t="s">
        <v>61</v>
      </c>
      <c r="E16" s="5">
        <v>55000</v>
      </c>
      <c r="F16" s="6">
        <v>260.64499999999998</v>
      </c>
      <c r="G16" s="7">
        <v>3.0682384E-2</v>
      </c>
      <c r="H16" s="112"/>
    </row>
    <row r="17" spans="1:8" x14ac:dyDescent="0.2">
      <c r="A17" s="3">
        <v>11</v>
      </c>
      <c r="B17" s="4" t="s">
        <v>386</v>
      </c>
      <c r="C17" s="4" t="s">
        <v>387</v>
      </c>
      <c r="D17" s="4" t="s">
        <v>973</v>
      </c>
      <c r="E17" s="5">
        <v>1350</v>
      </c>
      <c r="F17" s="6">
        <v>240.58552499999999</v>
      </c>
      <c r="G17" s="7">
        <v>2.8321039999999999E-2</v>
      </c>
      <c r="H17" s="112"/>
    </row>
    <row r="18" spans="1:8" x14ac:dyDescent="0.2">
      <c r="A18" s="3">
        <v>12</v>
      </c>
      <c r="B18" s="4" t="s">
        <v>591</v>
      </c>
      <c r="C18" s="4" t="s">
        <v>592</v>
      </c>
      <c r="D18" s="4" t="s">
        <v>973</v>
      </c>
      <c r="E18" s="5">
        <v>33000</v>
      </c>
      <c r="F18" s="6">
        <v>224.54849999999999</v>
      </c>
      <c r="G18" s="7">
        <v>2.6433207E-2</v>
      </c>
      <c r="H18" s="112"/>
    </row>
    <row r="19" spans="1:8" x14ac:dyDescent="0.2">
      <c r="A19" s="3">
        <v>13</v>
      </c>
      <c r="B19" s="4" t="s">
        <v>308</v>
      </c>
      <c r="C19" s="4" t="s">
        <v>309</v>
      </c>
      <c r="D19" s="4" t="s">
        <v>189</v>
      </c>
      <c r="E19" s="5">
        <v>5250</v>
      </c>
      <c r="F19" s="6">
        <v>223.75762499999999</v>
      </c>
      <c r="G19" s="7">
        <v>2.6340107000000001E-2</v>
      </c>
      <c r="H19" s="112"/>
    </row>
    <row r="20" spans="1:8" x14ac:dyDescent="0.2">
      <c r="A20" s="3">
        <v>14</v>
      </c>
      <c r="B20" s="4" t="s">
        <v>82</v>
      </c>
      <c r="C20" s="4" t="s">
        <v>83</v>
      </c>
      <c r="D20" s="4" t="s">
        <v>50</v>
      </c>
      <c r="E20" s="5">
        <v>30000</v>
      </c>
      <c r="F20" s="6">
        <v>207.9</v>
      </c>
      <c r="G20" s="7">
        <v>2.4473393E-2</v>
      </c>
      <c r="H20" s="112"/>
    </row>
    <row r="21" spans="1:8" x14ac:dyDescent="0.2">
      <c r="A21" s="3">
        <v>15</v>
      </c>
      <c r="B21" s="4" t="s">
        <v>76</v>
      </c>
      <c r="C21" s="4" t="s">
        <v>77</v>
      </c>
      <c r="D21" s="4" t="s">
        <v>78</v>
      </c>
      <c r="E21" s="5">
        <v>135000</v>
      </c>
      <c r="F21" s="6">
        <v>192.24</v>
      </c>
      <c r="G21" s="7">
        <v>2.2629943E-2</v>
      </c>
      <c r="H21" s="112"/>
    </row>
    <row r="22" spans="1:8" x14ac:dyDescent="0.2">
      <c r="A22" s="3">
        <v>16</v>
      </c>
      <c r="B22" s="4" t="s">
        <v>17</v>
      </c>
      <c r="C22" s="4" t="s">
        <v>18</v>
      </c>
      <c r="D22" s="4" t="s">
        <v>19</v>
      </c>
      <c r="E22" s="5">
        <v>23375</v>
      </c>
      <c r="F22" s="6">
        <v>187.47918749999999</v>
      </c>
      <c r="G22" s="7">
        <v>2.2069513999999998E-2</v>
      </c>
      <c r="H22" s="112"/>
    </row>
    <row r="23" spans="1:8" x14ac:dyDescent="0.2">
      <c r="A23" s="3">
        <v>17</v>
      </c>
      <c r="B23" s="4" t="s">
        <v>354</v>
      </c>
      <c r="C23" s="4" t="s">
        <v>355</v>
      </c>
      <c r="D23" s="4" t="s">
        <v>27</v>
      </c>
      <c r="E23" s="5">
        <v>24000</v>
      </c>
      <c r="F23" s="6">
        <v>184.11600000000001</v>
      </c>
      <c r="G23" s="7">
        <v>2.1673609E-2</v>
      </c>
      <c r="H23" s="112"/>
    </row>
    <row r="24" spans="1:8" x14ac:dyDescent="0.2">
      <c r="A24" s="3">
        <v>18</v>
      </c>
      <c r="B24" s="4" t="s">
        <v>687</v>
      </c>
      <c r="C24" s="4" t="s">
        <v>688</v>
      </c>
      <c r="D24" s="4" t="s">
        <v>974</v>
      </c>
      <c r="E24" s="5">
        <v>6800</v>
      </c>
      <c r="F24" s="6">
        <v>180.00960000000001</v>
      </c>
      <c r="G24" s="7">
        <v>2.1190214999999998E-2</v>
      </c>
      <c r="H24" s="112"/>
    </row>
    <row r="25" spans="1:8" x14ac:dyDescent="0.2">
      <c r="A25" s="3">
        <v>19</v>
      </c>
      <c r="B25" s="4" t="s">
        <v>695</v>
      </c>
      <c r="C25" s="4" t="s">
        <v>696</v>
      </c>
      <c r="D25" s="4" t="s">
        <v>19</v>
      </c>
      <c r="E25" s="5">
        <v>64800</v>
      </c>
      <c r="F25" s="6">
        <v>138.99600000000001</v>
      </c>
      <c r="G25" s="7">
        <v>1.6362211000000002E-2</v>
      </c>
      <c r="H25" s="112"/>
    </row>
    <row r="26" spans="1:8" x14ac:dyDescent="0.2">
      <c r="A26" s="3">
        <v>20</v>
      </c>
      <c r="B26" s="4" t="s">
        <v>433</v>
      </c>
      <c r="C26" s="4" t="s">
        <v>434</v>
      </c>
      <c r="D26" s="4" t="s">
        <v>53</v>
      </c>
      <c r="E26" s="5">
        <v>10200</v>
      </c>
      <c r="F26" s="6">
        <v>134.2269</v>
      </c>
      <c r="G26" s="7">
        <v>1.5800807E-2</v>
      </c>
      <c r="H26" s="112"/>
    </row>
    <row r="27" spans="1:8" ht="25.5" x14ac:dyDescent="0.2">
      <c r="A27" s="3">
        <v>21</v>
      </c>
      <c r="B27" s="4" t="s">
        <v>502</v>
      </c>
      <c r="C27" s="4" t="s">
        <v>503</v>
      </c>
      <c r="D27" s="4" t="s">
        <v>192</v>
      </c>
      <c r="E27" s="5">
        <v>20000</v>
      </c>
      <c r="F27" s="6">
        <v>117.17</v>
      </c>
      <c r="G27" s="7">
        <v>1.3792917E-2</v>
      </c>
      <c r="H27" s="112"/>
    </row>
    <row r="28" spans="1:8" x14ac:dyDescent="0.2">
      <c r="A28" s="3">
        <v>22</v>
      </c>
      <c r="B28" s="4" t="s">
        <v>653</v>
      </c>
      <c r="C28" s="4" t="s">
        <v>654</v>
      </c>
      <c r="D28" s="4" t="s">
        <v>147</v>
      </c>
      <c r="E28" s="5">
        <v>5000</v>
      </c>
      <c r="F28" s="6">
        <v>115.6825</v>
      </c>
      <c r="G28" s="7">
        <v>1.3617812999999999E-2</v>
      </c>
      <c r="H28" s="112"/>
    </row>
    <row r="29" spans="1:8" x14ac:dyDescent="0.2">
      <c r="A29" s="3">
        <v>23</v>
      </c>
      <c r="B29" s="4" t="s">
        <v>610</v>
      </c>
      <c r="C29" s="4" t="s">
        <v>611</v>
      </c>
      <c r="D29" s="4" t="s">
        <v>432</v>
      </c>
      <c r="E29" s="5">
        <v>37200</v>
      </c>
      <c r="F29" s="6">
        <v>113.08799999999999</v>
      </c>
      <c r="G29" s="7">
        <v>1.3312396000000001E-2</v>
      </c>
      <c r="H29" s="112"/>
    </row>
    <row r="30" spans="1:8" x14ac:dyDescent="0.2">
      <c r="A30" s="3">
        <v>24</v>
      </c>
      <c r="B30" s="4" t="s">
        <v>312</v>
      </c>
      <c r="C30" s="4" t="s">
        <v>313</v>
      </c>
      <c r="D30" s="4" t="s">
        <v>212</v>
      </c>
      <c r="E30" s="5">
        <v>300</v>
      </c>
      <c r="F30" s="6">
        <v>112.90815000000001</v>
      </c>
      <c r="G30" s="7">
        <v>1.3291224000000001E-2</v>
      </c>
      <c r="H30" s="112"/>
    </row>
    <row r="31" spans="1:8" x14ac:dyDescent="0.2">
      <c r="A31" s="3">
        <v>25</v>
      </c>
      <c r="B31" s="4" t="s">
        <v>430</v>
      </c>
      <c r="C31" s="4" t="s">
        <v>431</v>
      </c>
      <c r="D31" s="4" t="s">
        <v>432</v>
      </c>
      <c r="E31" s="5">
        <v>19350</v>
      </c>
      <c r="F31" s="6">
        <v>88.971299999999999</v>
      </c>
      <c r="G31" s="7">
        <v>1.0473447E-2</v>
      </c>
      <c r="H31" s="112"/>
    </row>
    <row r="32" spans="1:8" x14ac:dyDescent="0.2">
      <c r="A32" s="3">
        <v>26</v>
      </c>
      <c r="B32" s="4" t="s">
        <v>420</v>
      </c>
      <c r="C32" s="4" t="s">
        <v>421</v>
      </c>
      <c r="D32" s="4" t="s">
        <v>973</v>
      </c>
      <c r="E32" s="5">
        <v>750</v>
      </c>
      <c r="F32" s="6">
        <v>8.5916250000000005</v>
      </c>
      <c r="G32" s="7">
        <v>1.0113819999999999E-3</v>
      </c>
      <c r="H32" s="112"/>
    </row>
    <row r="33" spans="1:8" x14ac:dyDescent="0.2">
      <c r="A33" s="1"/>
      <c r="B33" s="1"/>
      <c r="C33" s="2" t="s">
        <v>97</v>
      </c>
      <c r="D33" s="1"/>
      <c r="E33" s="1" t="s">
        <v>98</v>
      </c>
      <c r="F33" s="9">
        <v>5944.5686875000001</v>
      </c>
      <c r="G33" s="10">
        <v>0.69977761900000002</v>
      </c>
      <c r="H33" s="112"/>
    </row>
    <row r="34" spans="1:8" x14ac:dyDescent="0.2">
      <c r="A34" s="1"/>
      <c r="B34" s="1"/>
      <c r="C34" s="11"/>
      <c r="D34" s="1"/>
      <c r="E34" s="1"/>
      <c r="F34" s="12"/>
      <c r="G34" s="12"/>
      <c r="H34" s="112"/>
    </row>
    <row r="35" spans="1:8" x14ac:dyDescent="0.2">
      <c r="A35" s="1"/>
      <c r="B35" s="1"/>
      <c r="C35" s="2" t="s">
        <v>99</v>
      </c>
      <c r="D35" s="1"/>
      <c r="E35" s="1"/>
      <c r="F35" s="1"/>
      <c r="G35" s="1"/>
      <c r="H35" s="112"/>
    </row>
    <row r="36" spans="1:8" x14ac:dyDescent="0.2">
      <c r="A36" s="1"/>
      <c r="B36" s="1"/>
      <c r="C36" s="2" t="s">
        <v>97</v>
      </c>
      <c r="D36" s="1"/>
      <c r="E36" s="1" t="s">
        <v>98</v>
      </c>
      <c r="F36" s="13">
        <v>0</v>
      </c>
      <c r="G36" s="14">
        <v>0</v>
      </c>
      <c r="H36" s="112"/>
    </row>
    <row r="37" spans="1:8" x14ac:dyDescent="0.2">
      <c r="A37" s="1"/>
      <c r="B37" s="1"/>
      <c r="C37" s="11"/>
      <c r="D37" s="1"/>
      <c r="E37" s="1"/>
      <c r="F37" s="12"/>
      <c r="G37" s="12"/>
      <c r="H37" s="112"/>
    </row>
    <row r="38" spans="1:8" x14ac:dyDescent="0.2">
      <c r="A38" s="1"/>
      <c r="B38" s="1"/>
      <c r="C38" s="2" t="s">
        <v>100</v>
      </c>
      <c r="D38" s="1"/>
      <c r="E38" s="1"/>
      <c r="F38" s="1"/>
      <c r="G38" s="1"/>
      <c r="H38" s="112"/>
    </row>
    <row r="39" spans="1:8" x14ac:dyDescent="0.2">
      <c r="A39" s="1"/>
      <c r="B39" s="1"/>
      <c r="C39" s="2" t="s">
        <v>97</v>
      </c>
      <c r="D39" s="1"/>
      <c r="E39" s="1" t="s">
        <v>98</v>
      </c>
      <c r="F39" s="13">
        <v>0</v>
      </c>
      <c r="G39" s="14">
        <v>0</v>
      </c>
      <c r="H39" s="112"/>
    </row>
    <row r="40" spans="1:8" x14ac:dyDescent="0.2">
      <c r="A40" s="1"/>
      <c r="B40" s="1"/>
      <c r="C40" s="11"/>
      <c r="D40" s="1"/>
      <c r="E40" s="1"/>
      <c r="F40" s="12"/>
      <c r="G40" s="12"/>
      <c r="H40" s="112"/>
    </row>
    <row r="41" spans="1:8" x14ac:dyDescent="0.2">
      <c r="A41" s="1"/>
      <c r="B41" s="1"/>
      <c r="C41" s="2" t="s">
        <v>101</v>
      </c>
      <c r="D41" s="1"/>
      <c r="E41" s="1"/>
      <c r="F41" s="1"/>
      <c r="G41" s="1"/>
      <c r="H41" s="112"/>
    </row>
    <row r="42" spans="1:8" x14ac:dyDescent="0.2">
      <c r="A42" s="1"/>
      <c r="B42" s="1"/>
      <c r="C42" s="2" t="s">
        <v>97</v>
      </c>
      <c r="D42" s="1"/>
      <c r="E42" s="1" t="s">
        <v>98</v>
      </c>
      <c r="F42" s="13">
        <v>0</v>
      </c>
      <c r="G42" s="14">
        <v>0</v>
      </c>
      <c r="H42" s="112"/>
    </row>
    <row r="43" spans="1:8" x14ac:dyDescent="0.2">
      <c r="A43" s="1"/>
      <c r="B43" s="1"/>
      <c r="C43" s="11"/>
      <c r="D43" s="1"/>
      <c r="E43" s="1"/>
      <c r="F43" s="12"/>
      <c r="G43" s="12"/>
      <c r="H43" s="112"/>
    </row>
    <row r="44" spans="1:8" x14ac:dyDescent="0.2">
      <c r="A44" s="1"/>
      <c r="B44" s="1"/>
      <c r="C44" s="2" t="s">
        <v>102</v>
      </c>
      <c r="D44" s="1"/>
      <c r="E44" s="1"/>
      <c r="F44" s="12"/>
      <c r="G44" s="12"/>
      <c r="H44" s="112"/>
    </row>
    <row r="45" spans="1:8" x14ac:dyDescent="0.2">
      <c r="A45" s="1"/>
      <c r="B45" s="1"/>
      <c r="C45" s="2" t="s">
        <v>97</v>
      </c>
      <c r="D45" s="1"/>
      <c r="E45" s="1" t="s">
        <v>98</v>
      </c>
      <c r="F45" s="13">
        <v>0</v>
      </c>
      <c r="G45" s="14">
        <v>0</v>
      </c>
      <c r="H45" s="112"/>
    </row>
    <row r="46" spans="1:8" x14ac:dyDescent="0.2">
      <c r="A46" s="1"/>
      <c r="B46" s="1"/>
      <c r="C46" s="11"/>
      <c r="D46" s="1"/>
      <c r="E46" s="1"/>
      <c r="F46" s="12"/>
      <c r="G46" s="12"/>
      <c r="H46" s="112"/>
    </row>
    <row r="47" spans="1:8" x14ac:dyDescent="0.2">
      <c r="A47" s="1"/>
      <c r="B47" s="1"/>
      <c r="C47" s="2" t="s">
        <v>103</v>
      </c>
      <c r="D47" s="1"/>
      <c r="E47" s="1"/>
      <c r="F47" s="12"/>
      <c r="G47" s="12"/>
      <c r="H47" s="112"/>
    </row>
    <row r="48" spans="1:8" x14ac:dyDescent="0.2">
      <c r="A48" s="3">
        <v>1</v>
      </c>
      <c r="B48" s="4"/>
      <c r="C48" s="4" t="s">
        <v>880</v>
      </c>
      <c r="D48" s="4" t="s">
        <v>408</v>
      </c>
      <c r="E48" s="5">
        <v>-750</v>
      </c>
      <c r="F48" s="6">
        <v>-8.6306250000000002</v>
      </c>
      <c r="G48" s="7">
        <v>-1.0159700000000002E-3</v>
      </c>
      <c r="H48" s="112"/>
    </row>
    <row r="49" spans="1:8" x14ac:dyDescent="0.2">
      <c r="A49" s="3">
        <v>2</v>
      </c>
      <c r="B49" s="4"/>
      <c r="C49" s="4" t="s">
        <v>881</v>
      </c>
      <c r="D49" s="4" t="s">
        <v>408</v>
      </c>
      <c r="E49" s="5">
        <v>-19350</v>
      </c>
      <c r="F49" s="6">
        <v>-89.319599999999994</v>
      </c>
      <c r="G49" s="7">
        <v>-1.051445E-2</v>
      </c>
      <c r="H49" s="112"/>
    </row>
    <row r="50" spans="1:8" x14ac:dyDescent="0.2">
      <c r="A50" s="3">
        <v>3</v>
      </c>
      <c r="B50" s="4"/>
      <c r="C50" s="4" t="s">
        <v>882</v>
      </c>
      <c r="D50" s="4" t="s">
        <v>408</v>
      </c>
      <c r="E50" s="5">
        <v>-300</v>
      </c>
      <c r="F50" s="6">
        <v>-113.25449999999999</v>
      </c>
      <c r="G50" s="7">
        <v>-1.3332E-2</v>
      </c>
      <c r="H50" s="112"/>
    </row>
    <row r="51" spans="1:8" x14ac:dyDescent="0.2">
      <c r="A51" s="3">
        <v>4</v>
      </c>
      <c r="B51" s="4"/>
      <c r="C51" s="4" t="s">
        <v>883</v>
      </c>
      <c r="D51" s="4" t="s">
        <v>408</v>
      </c>
      <c r="E51" s="5">
        <v>-37200</v>
      </c>
      <c r="F51" s="6">
        <v>-113.32980000000001</v>
      </c>
      <c r="G51" s="7">
        <v>-1.3340860000000001E-2</v>
      </c>
      <c r="H51" s="112"/>
    </row>
    <row r="52" spans="1:8" x14ac:dyDescent="0.2">
      <c r="A52" s="3">
        <v>5</v>
      </c>
      <c r="B52" s="4"/>
      <c r="C52" s="4" t="s">
        <v>884</v>
      </c>
      <c r="D52" s="4" t="s">
        <v>408</v>
      </c>
      <c r="E52" s="5">
        <v>-5000</v>
      </c>
      <c r="F52" s="6">
        <v>-116.2025</v>
      </c>
      <c r="G52" s="7">
        <v>-1.3679030000000002E-2</v>
      </c>
      <c r="H52" s="112"/>
    </row>
    <row r="53" spans="1:8" x14ac:dyDescent="0.2">
      <c r="A53" s="3">
        <v>6</v>
      </c>
      <c r="B53" s="4"/>
      <c r="C53" s="4" t="s">
        <v>885</v>
      </c>
      <c r="D53" s="4" t="s">
        <v>408</v>
      </c>
      <c r="E53" s="5">
        <v>-20000</v>
      </c>
      <c r="F53" s="6">
        <v>-117.5</v>
      </c>
      <c r="G53" s="7">
        <v>-1.383176E-2</v>
      </c>
      <c r="H53" s="112"/>
    </row>
    <row r="54" spans="1:8" x14ac:dyDescent="0.2">
      <c r="A54" s="3">
        <v>7</v>
      </c>
      <c r="B54" s="4"/>
      <c r="C54" s="4" t="s">
        <v>886</v>
      </c>
      <c r="D54" s="4" t="s">
        <v>408</v>
      </c>
      <c r="E54" s="5">
        <v>-10200</v>
      </c>
      <c r="F54" s="6">
        <v>-134.4819</v>
      </c>
      <c r="G54" s="7">
        <v>-1.5830820000000002E-2</v>
      </c>
      <c r="H54" s="112"/>
    </row>
    <row r="55" spans="1:8" x14ac:dyDescent="0.2">
      <c r="A55" s="3">
        <v>8</v>
      </c>
      <c r="B55" s="4"/>
      <c r="C55" s="4" t="s">
        <v>887</v>
      </c>
      <c r="D55" s="4" t="s">
        <v>408</v>
      </c>
      <c r="E55" s="5">
        <v>-64800</v>
      </c>
      <c r="F55" s="6">
        <v>-139.54679999999999</v>
      </c>
      <c r="G55" s="7">
        <v>-1.6427050000000002E-2</v>
      </c>
      <c r="H55" s="112"/>
    </row>
    <row r="56" spans="1:8" x14ac:dyDescent="0.2">
      <c r="A56" s="3">
        <v>9</v>
      </c>
      <c r="B56" s="4"/>
      <c r="C56" s="4" t="s">
        <v>888</v>
      </c>
      <c r="D56" s="4" t="s">
        <v>408</v>
      </c>
      <c r="E56" s="5">
        <v>-6800</v>
      </c>
      <c r="F56" s="6">
        <v>-180.3836</v>
      </c>
      <c r="G56" s="7">
        <v>-2.1234240000000001E-2</v>
      </c>
      <c r="H56" s="112"/>
    </row>
    <row r="57" spans="1:8" x14ac:dyDescent="0.2">
      <c r="A57" s="3">
        <v>10</v>
      </c>
      <c r="B57" s="4"/>
      <c r="C57" s="4" t="s">
        <v>889</v>
      </c>
      <c r="D57" s="4" t="s">
        <v>408</v>
      </c>
      <c r="E57" s="5">
        <v>-24000</v>
      </c>
      <c r="F57" s="6">
        <v>-185.01599999999999</v>
      </c>
      <c r="G57" s="7">
        <v>-2.1779549999999998E-2</v>
      </c>
      <c r="H57" s="112"/>
    </row>
    <row r="58" spans="1:8" x14ac:dyDescent="0.2">
      <c r="A58" s="3">
        <v>11</v>
      </c>
      <c r="B58" s="4"/>
      <c r="C58" s="4" t="s">
        <v>890</v>
      </c>
      <c r="D58" s="4" t="s">
        <v>408</v>
      </c>
      <c r="E58" s="5">
        <v>-23375</v>
      </c>
      <c r="F58" s="6">
        <v>-188.01681249999999</v>
      </c>
      <c r="G58" s="7">
        <v>-2.2132800000000001E-2</v>
      </c>
      <c r="H58" s="112"/>
    </row>
    <row r="59" spans="1:8" x14ac:dyDescent="0.2">
      <c r="A59" s="3">
        <v>12</v>
      </c>
      <c r="B59" s="4"/>
      <c r="C59" s="4" t="s">
        <v>891</v>
      </c>
      <c r="D59" s="4" t="s">
        <v>408</v>
      </c>
      <c r="E59" s="5">
        <v>-135000</v>
      </c>
      <c r="F59" s="6">
        <v>-192.78</v>
      </c>
      <c r="G59" s="7">
        <v>-2.269351E-2</v>
      </c>
      <c r="H59" s="112"/>
    </row>
    <row r="60" spans="1:8" x14ac:dyDescent="0.2">
      <c r="A60" s="3">
        <v>13</v>
      </c>
      <c r="B60" s="4"/>
      <c r="C60" s="4" t="s">
        <v>892</v>
      </c>
      <c r="D60" s="4" t="s">
        <v>408</v>
      </c>
      <c r="E60" s="5">
        <v>-30000</v>
      </c>
      <c r="F60" s="6">
        <v>-208.23</v>
      </c>
      <c r="G60" s="7">
        <v>-2.4512239999999998E-2</v>
      </c>
      <c r="H60" s="112"/>
    </row>
    <row r="61" spans="1:8" x14ac:dyDescent="0.2">
      <c r="A61" s="3">
        <v>14</v>
      </c>
      <c r="B61" s="4"/>
      <c r="C61" s="4" t="s">
        <v>893</v>
      </c>
      <c r="D61" s="4" t="s">
        <v>408</v>
      </c>
      <c r="E61" s="5">
        <v>-5250</v>
      </c>
      <c r="F61" s="6">
        <v>-224.16974999999999</v>
      </c>
      <c r="G61" s="7">
        <v>-2.6388620000000002E-2</v>
      </c>
      <c r="H61" s="112"/>
    </row>
    <row r="62" spans="1:8" x14ac:dyDescent="0.2">
      <c r="A62" s="3">
        <v>15</v>
      </c>
      <c r="B62" s="4"/>
      <c r="C62" s="4" t="s">
        <v>894</v>
      </c>
      <c r="D62" s="4" t="s">
        <v>408</v>
      </c>
      <c r="E62" s="5">
        <v>-33000</v>
      </c>
      <c r="F62" s="6">
        <v>-225.20849999999999</v>
      </c>
      <c r="G62" s="7">
        <v>-2.65109E-2</v>
      </c>
      <c r="H62" s="112"/>
    </row>
    <row r="63" spans="1:8" x14ac:dyDescent="0.2">
      <c r="A63" s="3">
        <v>16</v>
      </c>
      <c r="B63" s="4"/>
      <c r="C63" s="4" t="s">
        <v>895</v>
      </c>
      <c r="D63" s="4" t="s">
        <v>408</v>
      </c>
      <c r="E63" s="5">
        <v>-1350</v>
      </c>
      <c r="F63" s="6">
        <v>-241.6473</v>
      </c>
      <c r="G63" s="7">
        <v>-2.8446030000000001E-2</v>
      </c>
      <c r="H63" s="112"/>
    </row>
    <row r="64" spans="1:8" x14ac:dyDescent="0.2">
      <c r="A64" s="3">
        <v>17</v>
      </c>
      <c r="B64" s="4"/>
      <c r="C64" s="4" t="s">
        <v>896</v>
      </c>
      <c r="D64" s="4" t="s">
        <v>408</v>
      </c>
      <c r="E64" s="5">
        <v>-55000</v>
      </c>
      <c r="F64" s="6">
        <v>-260.83749999999998</v>
      </c>
      <c r="G64" s="7">
        <v>-3.0705040000000003E-2</v>
      </c>
      <c r="H64" s="112"/>
    </row>
    <row r="65" spans="1:8" x14ac:dyDescent="0.2">
      <c r="A65" s="3">
        <v>18</v>
      </c>
      <c r="B65" s="4"/>
      <c r="C65" s="4" t="s">
        <v>897</v>
      </c>
      <c r="D65" s="4" t="s">
        <v>408</v>
      </c>
      <c r="E65" s="5">
        <v>-25000</v>
      </c>
      <c r="F65" s="6">
        <v>-264.875</v>
      </c>
      <c r="G65" s="7">
        <v>-3.1180329999999999E-2</v>
      </c>
      <c r="H65" s="112"/>
    </row>
    <row r="66" spans="1:8" ht="25.5" x14ac:dyDescent="0.2">
      <c r="A66" s="3">
        <v>19</v>
      </c>
      <c r="B66" s="4"/>
      <c r="C66" s="4" t="s">
        <v>898</v>
      </c>
      <c r="D66" s="4" t="s">
        <v>408</v>
      </c>
      <c r="E66" s="5">
        <v>-20400</v>
      </c>
      <c r="F66" s="6">
        <v>-293.52539999999999</v>
      </c>
      <c r="G66" s="7">
        <v>-3.4552969999999995E-2</v>
      </c>
      <c r="H66" s="112"/>
    </row>
    <row r="67" spans="1:8" x14ac:dyDescent="0.2">
      <c r="A67" s="3">
        <v>20</v>
      </c>
      <c r="B67" s="4"/>
      <c r="C67" s="4" t="s">
        <v>899</v>
      </c>
      <c r="D67" s="4" t="s">
        <v>408</v>
      </c>
      <c r="E67" s="5">
        <v>-131200</v>
      </c>
      <c r="F67" s="6">
        <v>-294.28160000000003</v>
      </c>
      <c r="G67" s="7">
        <v>-3.4641989999999998E-2</v>
      </c>
      <c r="H67" s="112"/>
    </row>
    <row r="68" spans="1:8" x14ac:dyDescent="0.2">
      <c r="A68" s="3">
        <v>21</v>
      </c>
      <c r="B68" s="4"/>
      <c r="C68" s="4" t="s">
        <v>900</v>
      </c>
      <c r="D68" s="4" t="s">
        <v>408</v>
      </c>
      <c r="E68" s="5">
        <v>-72000</v>
      </c>
      <c r="F68" s="6">
        <v>-294.33600000000001</v>
      </c>
      <c r="G68" s="7">
        <v>-3.4648390000000001E-2</v>
      </c>
      <c r="H68" s="112"/>
    </row>
    <row r="69" spans="1:8" x14ac:dyDescent="0.2">
      <c r="A69" s="3">
        <v>22</v>
      </c>
      <c r="B69" s="4"/>
      <c r="C69" s="4" t="s">
        <v>901</v>
      </c>
      <c r="D69" s="4" t="s">
        <v>408</v>
      </c>
      <c r="E69" s="5">
        <v>-12300</v>
      </c>
      <c r="F69" s="6">
        <v>-295.07085000000001</v>
      </c>
      <c r="G69" s="7">
        <v>-3.4734899999999999E-2</v>
      </c>
      <c r="H69" s="112"/>
    </row>
    <row r="70" spans="1:8" x14ac:dyDescent="0.2">
      <c r="A70" s="3">
        <v>23</v>
      </c>
      <c r="B70" s="4"/>
      <c r="C70" s="4" t="s">
        <v>902</v>
      </c>
      <c r="D70" s="4" t="s">
        <v>408</v>
      </c>
      <c r="E70" s="5">
        <v>-60000</v>
      </c>
      <c r="F70" s="6">
        <v>-302.88</v>
      </c>
      <c r="G70" s="7">
        <v>-3.5654169999999999E-2</v>
      </c>
      <c r="H70" s="112"/>
    </row>
    <row r="71" spans="1:8" x14ac:dyDescent="0.2">
      <c r="A71" s="3">
        <v>24</v>
      </c>
      <c r="B71" s="4"/>
      <c r="C71" s="4" t="s">
        <v>903</v>
      </c>
      <c r="D71" s="4" t="s">
        <v>408</v>
      </c>
      <c r="E71" s="5">
        <v>-90000</v>
      </c>
      <c r="F71" s="6">
        <v>-375.93</v>
      </c>
      <c r="G71" s="7">
        <v>-4.4253400000000005E-2</v>
      </c>
      <c r="H71" s="112"/>
    </row>
    <row r="72" spans="1:8" x14ac:dyDescent="0.2">
      <c r="A72" s="3">
        <v>25</v>
      </c>
      <c r="B72" s="4"/>
      <c r="C72" s="4" t="s">
        <v>904</v>
      </c>
      <c r="D72" s="4" t="s">
        <v>408</v>
      </c>
      <c r="E72" s="5">
        <v>-21250</v>
      </c>
      <c r="F72" s="6">
        <v>-541.05687499999999</v>
      </c>
      <c r="G72" s="7">
        <v>-6.3691670000000006E-2</v>
      </c>
      <c r="H72" s="112"/>
    </row>
    <row r="73" spans="1:8" x14ac:dyDescent="0.2">
      <c r="A73" s="3">
        <v>26</v>
      </c>
      <c r="B73" s="4"/>
      <c r="C73" s="4" t="s">
        <v>905</v>
      </c>
      <c r="D73" s="4" t="s">
        <v>408</v>
      </c>
      <c r="E73" s="5">
        <v>-75600</v>
      </c>
      <c r="F73" s="6">
        <v>-563.976</v>
      </c>
      <c r="G73" s="7">
        <v>-6.638964E-2</v>
      </c>
      <c r="H73" s="112"/>
    </row>
    <row r="74" spans="1:8" x14ac:dyDescent="0.2">
      <c r="A74" s="1"/>
      <c r="B74" s="1"/>
      <c r="C74" s="2" t="s">
        <v>97</v>
      </c>
      <c r="D74" s="1"/>
      <c r="E74" s="1" t="s">
        <v>98</v>
      </c>
      <c r="F74" s="9">
        <v>-5964.4869124999996</v>
      </c>
      <c r="G74" s="10">
        <v>-0.70212233000000013</v>
      </c>
      <c r="H74" s="112"/>
    </row>
    <row r="75" spans="1:8" x14ac:dyDescent="0.2">
      <c r="A75" s="1"/>
      <c r="B75" s="1"/>
      <c r="C75" s="11"/>
      <c r="D75" s="1"/>
      <c r="E75" s="1"/>
      <c r="F75" s="12"/>
      <c r="G75" s="12"/>
      <c r="H75" s="112"/>
    </row>
    <row r="76" spans="1:8" x14ac:dyDescent="0.2">
      <c r="A76" s="1"/>
      <c r="B76" s="1"/>
      <c r="C76" s="2" t="s">
        <v>104</v>
      </c>
      <c r="D76" s="1"/>
      <c r="E76" s="1"/>
      <c r="F76" s="9">
        <v>5944.5686875000001</v>
      </c>
      <c r="G76" s="10">
        <v>0.69977761900000002</v>
      </c>
      <c r="H76" s="112"/>
    </row>
    <row r="77" spans="1:8" x14ac:dyDescent="0.2">
      <c r="A77" s="1"/>
      <c r="B77" s="1"/>
      <c r="C77" s="11"/>
      <c r="D77" s="1"/>
      <c r="E77" s="1"/>
      <c r="F77" s="12"/>
      <c r="G77" s="12"/>
      <c r="H77" s="112"/>
    </row>
    <row r="78" spans="1:8" x14ac:dyDescent="0.2">
      <c r="A78" s="1"/>
      <c r="B78" s="1"/>
      <c r="C78" s="2" t="s">
        <v>105</v>
      </c>
      <c r="D78" s="1"/>
      <c r="E78" s="1"/>
      <c r="F78" s="12"/>
      <c r="G78" s="12"/>
      <c r="H78" s="112"/>
    </row>
    <row r="79" spans="1:8" x14ac:dyDescent="0.2">
      <c r="A79" s="1"/>
      <c r="B79" s="1"/>
      <c r="C79" s="2" t="s">
        <v>10</v>
      </c>
      <c r="D79" s="1"/>
      <c r="E79" s="1"/>
      <c r="F79" s="12"/>
      <c r="G79" s="12"/>
      <c r="H79" s="112"/>
    </row>
    <row r="80" spans="1:8" x14ac:dyDescent="0.2">
      <c r="A80" s="1"/>
      <c r="B80" s="1"/>
      <c r="C80" s="2" t="s">
        <v>97</v>
      </c>
      <c r="D80" s="1"/>
      <c r="E80" s="1" t="s">
        <v>98</v>
      </c>
      <c r="F80" s="13">
        <v>0</v>
      </c>
      <c r="G80" s="14">
        <v>0</v>
      </c>
      <c r="H80" s="112"/>
    </row>
    <row r="81" spans="1:8" x14ac:dyDescent="0.2">
      <c r="A81" s="1"/>
      <c r="B81" s="1"/>
      <c r="C81" s="11"/>
      <c r="D81" s="1"/>
      <c r="E81" s="1"/>
      <c r="F81" s="12"/>
      <c r="G81" s="12"/>
      <c r="H81" s="112"/>
    </row>
    <row r="82" spans="1:8" x14ac:dyDescent="0.2">
      <c r="A82" s="1"/>
      <c r="B82" s="1"/>
      <c r="C82" s="2" t="s">
        <v>106</v>
      </c>
      <c r="D82" s="1"/>
      <c r="E82" s="1"/>
      <c r="F82" s="1"/>
      <c r="G82" s="1"/>
      <c r="H82" s="112"/>
    </row>
    <row r="83" spans="1:8" x14ac:dyDescent="0.2">
      <c r="A83" s="1"/>
      <c r="B83" s="1"/>
      <c r="C83" s="2" t="s">
        <v>97</v>
      </c>
      <c r="D83" s="1"/>
      <c r="E83" s="1" t="s">
        <v>98</v>
      </c>
      <c r="F83" s="13">
        <v>0</v>
      </c>
      <c r="G83" s="14">
        <v>0</v>
      </c>
      <c r="H83" s="112"/>
    </row>
    <row r="84" spans="1:8" x14ac:dyDescent="0.2">
      <c r="A84" s="1"/>
      <c r="B84" s="1"/>
      <c r="C84" s="11"/>
      <c r="D84" s="1"/>
      <c r="E84" s="1"/>
      <c r="F84" s="12"/>
      <c r="G84" s="12"/>
      <c r="H84" s="112"/>
    </row>
    <row r="85" spans="1:8" x14ac:dyDescent="0.2">
      <c r="A85" s="1"/>
      <c r="B85" s="1"/>
      <c r="C85" s="2" t="s">
        <v>107</v>
      </c>
      <c r="D85" s="1"/>
      <c r="E85" s="1"/>
      <c r="F85" s="1"/>
      <c r="G85" s="1"/>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108</v>
      </c>
      <c r="D88" s="1"/>
      <c r="E88" s="1"/>
      <c r="F88" s="12"/>
      <c r="G88" s="12"/>
      <c r="H88" s="112"/>
    </row>
    <row r="89" spans="1:8" x14ac:dyDescent="0.2">
      <c r="A89" s="1"/>
      <c r="B89" s="1"/>
      <c r="C89" s="2" t="s">
        <v>97</v>
      </c>
      <c r="D89" s="1"/>
      <c r="E89" s="1" t="s">
        <v>98</v>
      </c>
      <c r="F89" s="13">
        <v>0</v>
      </c>
      <c r="G89" s="14">
        <v>0</v>
      </c>
      <c r="H89" s="112"/>
    </row>
    <row r="90" spans="1:8" x14ac:dyDescent="0.2">
      <c r="A90" s="1"/>
      <c r="B90" s="1"/>
      <c r="C90" s="11"/>
      <c r="D90" s="1"/>
      <c r="E90" s="1"/>
      <c r="F90" s="12"/>
      <c r="G90" s="12"/>
      <c r="H90" s="112"/>
    </row>
    <row r="91" spans="1:8" x14ac:dyDescent="0.2">
      <c r="A91" s="1"/>
      <c r="B91" s="1"/>
      <c r="C91" s="2" t="s">
        <v>109</v>
      </c>
      <c r="D91" s="1"/>
      <c r="E91" s="1"/>
      <c r="F91" s="9">
        <v>0</v>
      </c>
      <c r="G91" s="10">
        <v>0</v>
      </c>
      <c r="H91" s="112"/>
    </row>
    <row r="92" spans="1:8" x14ac:dyDescent="0.2">
      <c r="A92" s="1"/>
      <c r="B92" s="1"/>
      <c r="C92" s="11"/>
      <c r="D92" s="1"/>
      <c r="E92" s="1"/>
      <c r="F92" s="12"/>
      <c r="G92" s="12"/>
      <c r="H92" s="112"/>
    </row>
    <row r="93" spans="1:8" x14ac:dyDescent="0.2">
      <c r="A93" s="1"/>
      <c r="B93" s="1"/>
      <c r="C93" s="2" t="s">
        <v>110</v>
      </c>
      <c r="D93" s="1"/>
      <c r="E93" s="1"/>
      <c r="F93" s="12"/>
      <c r="G93" s="12"/>
      <c r="H93" s="112"/>
    </row>
    <row r="94" spans="1:8" x14ac:dyDescent="0.2">
      <c r="A94" s="1"/>
      <c r="B94" s="1"/>
      <c r="C94" s="2" t="s">
        <v>111</v>
      </c>
      <c r="D94" s="1"/>
      <c r="E94" s="1"/>
      <c r="F94" s="12"/>
      <c r="G94" s="12"/>
      <c r="H94" s="112"/>
    </row>
    <row r="95" spans="1:8" x14ac:dyDescent="0.2">
      <c r="A95" s="1"/>
      <c r="B95" s="1"/>
      <c r="C95" s="2" t="s">
        <v>97</v>
      </c>
      <c r="D95" s="1"/>
      <c r="E95" s="1" t="s">
        <v>98</v>
      </c>
      <c r="F95" s="13">
        <v>0</v>
      </c>
      <c r="G95" s="14">
        <v>0</v>
      </c>
      <c r="H95" s="112"/>
    </row>
    <row r="96" spans="1:8" x14ac:dyDescent="0.2">
      <c r="A96" s="1"/>
      <c r="B96" s="1"/>
      <c r="C96" s="11"/>
      <c r="D96" s="1"/>
      <c r="E96" s="1"/>
      <c r="F96" s="12"/>
      <c r="G96" s="12"/>
      <c r="H96" s="112"/>
    </row>
    <row r="97" spans="1:8" x14ac:dyDescent="0.2">
      <c r="A97" s="1"/>
      <c r="B97" s="1"/>
      <c r="C97" s="2" t="s">
        <v>112</v>
      </c>
      <c r="D97" s="1"/>
      <c r="E97" s="1"/>
      <c r="F97" s="12"/>
      <c r="G97" s="12"/>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113</v>
      </c>
      <c r="D100" s="1"/>
      <c r="E100" s="1"/>
      <c r="F100" s="12"/>
      <c r="G100" s="12"/>
      <c r="H100" s="112"/>
    </row>
    <row r="101" spans="1:8" x14ac:dyDescent="0.2">
      <c r="A101" s="1"/>
      <c r="B101" s="1"/>
      <c r="C101" s="2" t="s">
        <v>97</v>
      </c>
      <c r="D101" s="1"/>
      <c r="E101" s="1" t="s">
        <v>98</v>
      </c>
      <c r="F101" s="13">
        <v>0</v>
      </c>
      <c r="G101" s="14">
        <v>0</v>
      </c>
      <c r="H101" s="112"/>
    </row>
    <row r="102" spans="1:8" x14ac:dyDescent="0.2">
      <c r="A102" s="1"/>
      <c r="B102" s="1"/>
      <c r="C102" s="11"/>
      <c r="D102" s="1"/>
      <c r="E102" s="1"/>
      <c r="F102" s="12"/>
      <c r="G102" s="12"/>
      <c r="H102" s="112"/>
    </row>
    <row r="103" spans="1:8" x14ac:dyDescent="0.2">
      <c r="A103" s="1"/>
      <c r="B103" s="1"/>
      <c r="C103" s="2" t="s">
        <v>114</v>
      </c>
      <c r="D103" s="1"/>
      <c r="E103" s="1"/>
      <c r="F103" s="12"/>
      <c r="G103" s="12"/>
      <c r="H103" s="112"/>
    </row>
    <row r="104" spans="1:8" x14ac:dyDescent="0.2">
      <c r="A104" s="3">
        <v>1</v>
      </c>
      <c r="B104" s="4"/>
      <c r="C104" s="4" t="s">
        <v>115</v>
      </c>
      <c r="D104" s="4"/>
      <c r="E104" s="8"/>
      <c r="F104" s="6">
        <v>466.62556895044492</v>
      </c>
      <c r="G104" s="7">
        <v>5.4929826777934149E-2</v>
      </c>
      <c r="H104" s="6">
        <v>3.3211324282253978</v>
      </c>
    </row>
    <row r="105" spans="1:8" x14ac:dyDescent="0.2">
      <c r="A105" s="3">
        <v>2</v>
      </c>
      <c r="B105" s="4"/>
      <c r="C105" s="4" t="s">
        <v>116</v>
      </c>
      <c r="D105" s="4"/>
      <c r="E105" s="8"/>
      <c r="F105" s="6">
        <v>183.30146155002996</v>
      </c>
      <c r="G105" s="7">
        <v>2.1577723556238701E-2</v>
      </c>
      <c r="H105" s="6">
        <v>3.35</v>
      </c>
    </row>
    <row r="106" spans="1:8" x14ac:dyDescent="0.2">
      <c r="A106" s="1"/>
      <c r="B106" s="1"/>
      <c r="C106" s="2" t="s">
        <v>97</v>
      </c>
      <c r="D106" s="1"/>
      <c r="E106" s="1" t="s">
        <v>98</v>
      </c>
      <c r="F106" s="9">
        <v>649.92703050047487</v>
      </c>
      <c r="G106" s="10">
        <v>7.650755033417285E-2</v>
      </c>
      <c r="H106" s="112"/>
    </row>
    <row r="107" spans="1:8" x14ac:dyDescent="0.2">
      <c r="A107" s="1"/>
      <c r="B107" s="1"/>
      <c r="C107" s="11"/>
      <c r="D107" s="1"/>
      <c r="E107" s="1"/>
      <c r="F107" s="12"/>
      <c r="G107" s="12"/>
      <c r="H107" s="112"/>
    </row>
    <row r="108" spans="1:8" x14ac:dyDescent="0.2">
      <c r="A108" s="1"/>
      <c r="B108" s="1"/>
      <c r="C108" s="2" t="s">
        <v>117</v>
      </c>
      <c r="D108" s="1"/>
      <c r="E108" s="1"/>
      <c r="F108" s="9">
        <v>649.92703050047487</v>
      </c>
      <c r="G108" s="10">
        <v>7.650755033417285E-2</v>
      </c>
      <c r="H108" s="112"/>
    </row>
    <row r="109" spans="1:8" x14ac:dyDescent="0.2">
      <c r="A109" s="1"/>
      <c r="B109" s="1"/>
      <c r="C109" s="12"/>
      <c r="D109" s="1"/>
      <c r="E109" s="1"/>
      <c r="F109" s="1"/>
      <c r="G109" s="1"/>
      <c r="H109" s="112"/>
    </row>
    <row r="110" spans="1:8" x14ac:dyDescent="0.2">
      <c r="A110" s="1"/>
      <c r="B110" s="1"/>
      <c r="C110" s="2" t="s">
        <v>118</v>
      </c>
      <c r="D110" s="1"/>
      <c r="E110" s="1"/>
      <c r="F110" s="1"/>
      <c r="G110" s="1"/>
      <c r="H110" s="112"/>
    </row>
    <row r="111" spans="1:8" x14ac:dyDescent="0.2">
      <c r="A111" s="1"/>
      <c r="B111" s="1"/>
      <c r="C111" s="2" t="s">
        <v>119</v>
      </c>
      <c r="D111" s="1"/>
      <c r="E111" s="1"/>
      <c r="F111" s="1"/>
      <c r="G111" s="1"/>
      <c r="H111" s="112"/>
    </row>
    <row r="112" spans="1:8" x14ac:dyDescent="0.2">
      <c r="A112" s="3">
        <v>1</v>
      </c>
      <c r="B112" s="4" t="s">
        <v>697</v>
      </c>
      <c r="C112" s="70" t="s">
        <v>943</v>
      </c>
      <c r="D112" s="4"/>
      <c r="E112" s="5">
        <v>464328.50199999998</v>
      </c>
      <c r="F112" s="6">
        <v>205.43053749699999</v>
      </c>
      <c r="G112" s="7">
        <v>2.4182695000000001E-2</v>
      </c>
      <c r="H112" s="112"/>
    </row>
    <row r="113" spans="1:8" x14ac:dyDescent="0.2">
      <c r="A113" s="1"/>
      <c r="B113" s="1"/>
      <c r="C113" s="2" t="s">
        <v>97</v>
      </c>
      <c r="D113" s="1"/>
      <c r="E113" s="1" t="s">
        <v>98</v>
      </c>
      <c r="F113" s="9">
        <v>205.43053749699999</v>
      </c>
      <c r="G113" s="10">
        <v>2.4182695000000001E-2</v>
      </c>
      <c r="H113" s="112"/>
    </row>
    <row r="114" spans="1:8" x14ac:dyDescent="0.2">
      <c r="A114" s="1"/>
      <c r="B114" s="1"/>
      <c r="C114" s="11"/>
      <c r="D114" s="1"/>
      <c r="E114" s="1"/>
      <c r="F114" s="12"/>
      <c r="G114" s="12"/>
      <c r="H114" s="112"/>
    </row>
    <row r="115" spans="1:8" x14ac:dyDescent="0.2">
      <c r="A115" s="1"/>
      <c r="B115" s="1"/>
      <c r="C115" s="2" t="s">
        <v>120</v>
      </c>
      <c r="D115" s="1"/>
      <c r="E115" s="1"/>
      <c r="F115" s="1"/>
      <c r="G115" s="1"/>
      <c r="H115" s="112"/>
    </row>
    <row r="116" spans="1:8" x14ac:dyDescent="0.2">
      <c r="A116" s="1"/>
      <c r="B116" s="1"/>
      <c r="C116" s="2" t="s">
        <v>121</v>
      </c>
      <c r="D116" s="1"/>
      <c r="E116" s="1"/>
      <c r="F116" s="1"/>
      <c r="G116" s="1"/>
      <c r="H116" s="112"/>
    </row>
    <row r="117" spans="1:8" x14ac:dyDescent="0.2">
      <c r="A117" s="1"/>
      <c r="B117" s="1"/>
      <c r="C117" s="2" t="s">
        <v>97</v>
      </c>
      <c r="D117" s="1"/>
      <c r="E117" s="1" t="s">
        <v>98</v>
      </c>
      <c r="F117" s="13">
        <v>0</v>
      </c>
      <c r="G117" s="14">
        <v>0</v>
      </c>
      <c r="H117" s="112"/>
    </row>
    <row r="118" spans="1:8" x14ac:dyDescent="0.2">
      <c r="A118" s="1"/>
      <c r="B118" s="1"/>
      <c r="C118" s="11"/>
      <c r="D118" s="1"/>
      <c r="E118" s="1"/>
      <c r="F118" s="12"/>
      <c r="G118" s="12"/>
      <c r="H118" s="112"/>
    </row>
    <row r="119" spans="1:8" x14ac:dyDescent="0.2">
      <c r="A119" s="1"/>
      <c r="B119" s="1"/>
      <c r="C119" s="11"/>
      <c r="D119" s="1"/>
      <c r="E119" s="1"/>
      <c r="F119" s="12"/>
      <c r="G119" s="12"/>
      <c r="H119" s="112"/>
    </row>
    <row r="120" spans="1:8" x14ac:dyDescent="0.2">
      <c r="A120" s="1"/>
      <c r="B120" s="1"/>
      <c r="C120" s="2" t="s">
        <v>122</v>
      </c>
      <c r="D120" s="1"/>
      <c r="E120" s="1"/>
      <c r="F120" s="12"/>
      <c r="G120" s="12"/>
      <c r="H120" s="112"/>
    </row>
    <row r="121" spans="1:8" x14ac:dyDescent="0.2">
      <c r="A121" s="1"/>
      <c r="B121" s="1"/>
      <c r="C121" s="2" t="s">
        <v>97</v>
      </c>
      <c r="D121" s="1"/>
      <c r="E121" s="1" t="s">
        <v>98</v>
      </c>
      <c r="F121" s="13">
        <v>0</v>
      </c>
      <c r="G121" s="14">
        <v>0</v>
      </c>
      <c r="H121" s="112"/>
    </row>
    <row r="122" spans="1:8" x14ac:dyDescent="0.2">
      <c r="A122" s="1"/>
      <c r="B122" s="1"/>
      <c r="C122" s="11"/>
      <c r="D122" s="1"/>
      <c r="E122" s="1"/>
      <c r="F122" s="12"/>
      <c r="G122" s="12"/>
      <c r="H122" s="112"/>
    </row>
    <row r="123" spans="1:8" x14ac:dyDescent="0.2">
      <c r="A123" s="8"/>
      <c r="B123" s="4"/>
      <c r="C123" s="4" t="s">
        <v>409</v>
      </c>
      <c r="D123" s="4"/>
      <c r="E123" s="8"/>
      <c r="F123" s="6">
        <v>2034.8761675000001</v>
      </c>
      <c r="G123" s="7">
        <v>0.23953979985865698</v>
      </c>
      <c r="H123" s="112"/>
    </row>
    <row r="124" spans="1:8" x14ac:dyDescent="0.2">
      <c r="A124" s="8"/>
      <c r="B124" s="4"/>
      <c r="C124" s="4" t="s">
        <v>123</v>
      </c>
      <c r="D124" s="4"/>
      <c r="E124" s="8"/>
      <c r="F124" s="6">
        <v>-339.86280535703099</v>
      </c>
      <c r="G124" s="7">
        <v>-4.000767696574091E-2</v>
      </c>
      <c r="H124" s="112"/>
    </row>
    <row r="125" spans="1:8" x14ac:dyDescent="0.2">
      <c r="A125" s="11"/>
      <c r="B125" s="11"/>
      <c r="C125" s="2" t="s">
        <v>124</v>
      </c>
      <c r="D125" s="15"/>
      <c r="E125" s="15"/>
      <c r="F125" s="9">
        <v>8494.9396176404443</v>
      </c>
      <c r="G125" s="10">
        <v>0.99999998722708894</v>
      </c>
      <c r="H125" s="112"/>
    </row>
    <row r="126" spans="1:8" ht="14.1" customHeight="1" x14ac:dyDescent="0.2">
      <c r="A126" s="16"/>
      <c r="B126" s="16"/>
      <c r="C126" s="16"/>
      <c r="D126" s="17"/>
      <c r="E126" s="17"/>
      <c r="F126" s="77"/>
      <c r="G126" s="77"/>
    </row>
    <row r="127" spans="1:8" ht="14.1" customHeight="1" x14ac:dyDescent="0.2">
      <c r="A127" s="96"/>
      <c r="B127" s="209" t="s">
        <v>944</v>
      </c>
      <c r="C127" s="209"/>
      <c r="D127" s="209"/>
      <c r="E127" s="209"/>
      <c r="F127" s="209"/>
      <c r="G127" s="97"/>
    </row>
    <row r="128" spans="1:8" ht="17.100000000000001" customHeight="1" x14ac:dyDescent="0.2">
      <c r="A128" s="18"/>
      <c r="B128" s="205"/>
      <c r="C128" s="205"/>
      <c r="D128" s="205"/>
      <c r="E128" s="205"/>
      <c r="F128" s="205"/>
      <c r="G128" s="20"/>
    </row>
    <row r="129" spans="1:15" ht="14.1" customHeight="1" x14ac:dyDescent="0.2">
      <c r="A129" s="18"/>
      <c r="B129" s="18"/>
      <c r="C129" s="18"/>
      <c r="D129" s="20"/>
      <c r="E129" s="20"/>
      <c r="F129" s="20"/>
      <c r="G129" s="20"/>
    </row>
    <row r="130" spans="1:15" ht="14.1" customHeight="1" x14ac:dyDescent="0.2">
      <c r="A130" s="18"/>
      <c r="B130" s="203" t="s">
        <v>126</v>
      </c>
      <c r="C130" s="204"/>
      <c r="D130" s="12" t="s">
        <v>98</v>
      </c>
      <c r="E130" s="21"/>
      <c r="F130" s="20"/>
      <c r="G130" s="20"/>
    </row>
    <row r="131" spans="1:15" ht="29.1" customHeight="1" x14ac:dyDescent="0.2">
      <c r="A131" s="18"/>
      <c r="B131" s="198" t="s">
        <v>127</v>
      </c>
      <c r="C131" s="199"/>
      <c r="D131" s="2" t="s">
        <v>128</v>
      </c>
      <c r="E131" s="21"/>
      <c r="F131" s="20"/>
      <c r="G131" s="20"/>
    </row>
    <row r="132" spans="1:15" ht="17.100000000000001" customHeight="1" x14ac:dyDescent="0.2">
      <c r="A132" s="18"/>
      <c r="B132" s="198" t="s">
        <v>129</v>
      </c>
      <c r="C132" s="199"/>
      <c r="D132" s="2" t="s">
        <v>128</v>
      </c>
      <c r="E132" s="21"/>
      <c r="F132" s="20"/>
      <c r="G132" s="20"/>
    </row>
    <row r="133" spans="1:15" ht="17.100000000000001" customHeight="1" x14ac:dyDescent="0.2">
      <c r="A133" s="18"/>
      <c r="B133" s="198" t="s">
        <v>130</v>
      </c>
      <c r="C133" s="199"/>
      <c r="D133" s="12" t="s">
        <v>98</v>
      </c>
      <c r="E133" s="21"/>
      <c r="F133" s="20"/>
      <c r="G133" s="20"/>
    </row>
    <row r="134" spans="1:15" ht="24" customHeight="1" x14ac:dyDescent="0.2">
      <c r="A134" s="22"/>
      <c r="B134" s="23" t="s">
        <v>98</v>
      </c>
      <c r="C134" s="23" t="s">
        <v>131</v>
      </c>
      <c r="D134" s="23" t="s">
        <v>132</v>
      </c>
      <c r="E134" s="22"/>
      <c r="F134" s="22"/>
      <c r="G134" s="22"/>
    </row>
    <row r="135" spans="1:15" ht="18" customHeight="1" x14ac:dyDescent="0.2">
      <c r="A135" s="22"/>
      <c r="B135" s="23" t="s">
        <v>133</v>
      </c>
      <c r="C135" s="23" t="s">
        <v>134</v>
      </c>
      <c r="D135" s="23" t="s">
        <v>135</v>
      </c>
      <c r="E135" s="22"/>
      <c r="F135" s="22"/>
      <c r="G135" s="22"/>
    </row>
    <row r="136" spans="1:15" ht="17.100000000000001" customHeight="1" x14ac:dyDescent="0.2">
      <c r="A136" s="22"/>
      <c r="B136" s="4" t="s">
        <v>136</v>
      </c>
      <c r="C136" s="24">
        <v>10.741400000000001</v>
      </c>
      <c r="D136" s="24">
        <v>10.763500000000001</v>
      </c>
      <c r="E136" s="22"/>
      <c r="F136" s="19"/>
      <c r="G136" s="25"/>
    </row>
    <row r="137" spans="1:15" ht="17.100000000000001" customHeight="1" x14ac:dyDescent="0.2">
      <c r="A137" s="22"/>
      <c r="B137" s="4" t="s">
        <v>980</v>
      </c>
      <c r="C137" s="24">
        <v>10.737299999999999</v>
      </c>
      <c r="D137" s="24">
        <v>10.7592</v>
      </c>
      <c r="E137" s="22"/>
      <c r="F137" s="19"/>
      <c r="G137" s="25"/>
      <c r="I137" s="113"/>
      <c r="J137" s="113"/>
      <c r="K137" s="113"/>
      <c r="L137" s="113"/>
      <c r="M137" s="113"/>
      <c r="N137" s="113"/>
      <c r="O137" s="113"/>
    </row>
    <row r="138" spans="1:15" ht="17.100000000000001" customHeight="1" x14ac:dyDescent="0.2">
      <c r="A138" s="22"/>
      <c r="B138" s="4" t="s">
        <v>137</v>
      </c>
      <c r="C138" s="24">
        <v>10.6173</v>
      </c>
      <c r="D138" s="24">
        <v>10.632</v>
      </c>
      <c r="E138" s="22"/>
      <c r="F138" s="19"/>
      <c r="G138" s="25"/>
    </row>
    <row r="139" spans="1:15" ht="17.100000000000001" customHeight="1" x14ac:dyDescent="0.2">
      <c r="A139" s="22"/>
      <c r="B139" s="4" t="s">
        <v>981</v>
      </c>
      <c r="C139" s="24">
        <v>10.6173</v>
      </c>
      <c r="D139" s="24">
        <v>10.632099999999999</v>
      </c>
      <c r="E139" s="22"/>
      <c r="F139" s="19"/>
      <c r="G139" s="25"/>
    </row>
    <row r="140" spans="1:15" ht="14.1" customHeight="1" x14ac:dyDescent="0.2">
      <c r="A140" s="22"/>
      <c r="B140" s="22"/>
      <c r="C140" s="22"/>
      <c r="D140" s="22"/>
      <c r="E140" s="22"/>
      <c r="F140" s="22"/>
      <c r="G140" s="22"/>
    </row>
    <row r="141" spans="1:15" ht="17.100000000000001" customHeight="1" x14ac:dyDescent="0.2">
      <c r="A141" s="22"/>
      <c r="B141" s="198" t="s">
        <v>982</v>
      </c>
      <c r="C141" s="199"/>
      <c r="D141" s="2" t="s">
        <v>128</v>
      </c>
      <c r="E141" s="22"/>
      <c r="F141" s="22"/>
      <c r="G141" s="22"/>
    </row>
    <row r="142" spans="1:15" ht="18" customHeight="1" x14ac:dyDescent="0.2">
      <c r="A142" s="22"/>
      <c r="B142" s="26"/>
      <c r="C142" s="26"/>
      <c r="D142" s="27"/>
      <c r="E142" s="22"/>
      <c r="F142" s="22"/>
      <c r="G142" s="22"/>
    </row>
    <row r="143" spans="1:15" s="113" customFormat="1" x14ac:dyDescent="0.2">
      <c r="B143" s="202" t="s">
        <v>984</v>
      </c>
      <c r="C143" s="202"/>
      <c r="D143" s="202"/>
      <c r="E143" s="202"/>
      <c r="F143" s="202"/>
      <c r="I143"/>
      <c r="J143"/>
      <c r="K143"/>
      <c r="L143"/>
      <c r="M143"/>
      <c r="N143"/>
      <c r="O143"/>
    </row>
    <row r="144" spans="1:15" ht="14.1" customHeight="1" x14ac:dyDescent="0.2">
      <c r="A144" s="22"/>
      <c r="B144" s="19"/>
      <c r="C144" s="19"/>
      <c r="D144" s="22"/>
      <c r="E144" s="22"/>
      <c r="F144" s="22"/>
      <c r="G144" s="22"/>
    </row>
    <row r="145" spans="1:7" ht="29.1" customHeight="1" x14ac:dyDescent="0.2">
      <c r="A145" s="22"/>
      <c r="B145" s="198" t="s">
        <v>138</v>
      </c>
      <c r="C145" s="199"/>
      <c r="D145" s="91" t="s">
        <v>936</v>
      </c>
      <c r="E145" s="22"/>
      <c r="F145" s="22"/>
      <c r="G145" s="22"/>
    </row>
    <row r="146" spans="1:7" ht="29.1" customHeight="1" x14ac:dyDescent="0.2">
      <c r="A146" s="22"/>
      <c r="B146" s="198" t="s">
        <v>139</v>
      </c>
      <c r="C146" s="199"/>
      <c r="D146" s="2" t="s">
        <v>128</v>
      </c>
      <c r="E146" s="22"/>
      <c r="F146" s="22"/>
      <c r="G146" s="22"/>
    </row>
    <row r="147" spans="1:7" ht="17.100000000000001" customHeight="1" x14ac:dyDescent="0.2">
      <c r="A147" s="22"/>
      <c r="B147" s="198" t="s">
        <v>140</v>
      </c>
      <c r="C147" s="199"/>
      <c r="D147" s="28">
        <v>11.402467889371037</v>
      </c>
      <c r="E147" s="22"/>
      <c r="F147" s="19"/>
      <c r="G147" s="25"/>
    </row>
    <row r="148" spans="1:7" ht="17.100000000000001" customHeight="1" x14ac:dyDescent="0.2">
      <c r="A148" s="22"/>
      <c r="B148" s="198" t="s">
        <v>141</v>
      </c>
      <c r="C148" s="199"/>
      <c r="D148" s="2" t="s">
        <v>128</v>
      </c>
      <c r="E148" s="22"/>
      <c r="F148" s="22"/>
      <c r="G148" s="22"/>
    </row>
  </sheetData>
  <mergeCells count="16">
    <mergeCell ref="B148:C148"/>
    <mergeCell ref="B131:C131"/>
    <mergeCell ref="B132:C132"/>
    <mergeCell ref="B133:C133"/>
    <mergeCell ref="B141:C141"/>
    <mergeCell ref="B145:C145"/>
    <mergeCell ref="B146:C146"/>
    <mergeCell ref="B143:F143"/>
    <mergeCell ref="A1:H1"/>
    <mergeCell ref="A2:H2"/>
    <mergeCell ref="A3:H3"/>
    <mergeCell ref="J2:N2"/>
    <mergeCell ref="B147:C147"/>
    <mergeCell ref="B130:C130"/>
    <mergeCell ref="B127:F127"/>
    <mergeCell ref="B128:F128"/>
  </mergeCells>
  <pageMargins left="5.000000074505806E-2" right="5.000000074505806E-2" top="0.30000001192092896" bottom="0.20000000298023224" header="0" footer="0"/>
  <pageSetup paperSize="9" orientation="landscape"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275C-666B-42D2-9276-D5548728F0AC}">
  <sheetPr>
    <outlinePr summaryBelow="0" summaryRight="0"/>
  </sheetPr>
  <dimension ref="A1:O212"/>
  <sheetViews>
    <sheetView showGridLines="0" workbookViewId="0">
      <selection activeCell="A4" sqref="A4"/>
    </sheetView>
  </sheetViews>
  <sheetFormatPr defaultRowHeight="12.75" x14ac:dyDescent="0.2"/>
  <cols>
    <col min="1" max="1" width="6.85546875" style="36" customWidth="1"/>
    <col min="2" max="2" width="20.5703125" style="36" customWidth="1"/>
    <col min="3" max="3" width="39.5703125" style="36" customWidth="1"/>
    <col min="4" max="4" width="17.85546875" style="36" customWidth="1"/>
    <col min="5" max="6" width="19.140625" style="36" customWidth="1"/>
    <col min="7" max="7" width="16.42578125" style="36" customWidth="1"/>
    <col min="8" max="249" width="9.140625" style="36"/>
    <col min="250" max="250" width="6.85546875" style="36" customWidth="1"/>
    <col min="251" max="251" width="20.5703125" style="36" customWidth="1"/>
    <col min="252" max="252" width="34.28515625" style="36" customWidth="1"/>
    <col min="253" max="253" width="17.85546875" style="36" customWidth="1"/>
    <col min="254" max="255" width="19.140625" style="36" customWidth="1"/>
    <col min="256" max="256" width="16.42578125" style="36" customWidth="1"/>
    <col min="257" max="505" width="9.140625" style="36"/>
    <col min="506" max="506" width="6.85546875" style="36" customWidth="1"/>
    <col min="507" max="507" width="20.5703125" style="36" customWidth="1"/>
    <col min="508" max="508" width="34.28515625" style="36" customWidth="1"/>
    <col min="509" max="509" width="17.85546875" style="36" customWidth="1"/>
    <col min="510" max="511" width="19.140625" style="36" customWidth="1"/>
    <col min="512" max="512" width="16.42578125" style="36" customWidth="1"/>
    <col min="513" max="761" width="9.140625" style="36"/>
    <col min="762" max="762" width="6.85546875" style="36" customWidth="1"/>
    <col min="763" max="763" width="20.5703125" style="36" customWidth="1"/>
    <col min="764" max="764" width="34.28515625" style="36" customWidth="1"/>
    <col min="765" max="765" width="17.85546875" style="36" customWidth="1"/>
    <col min="766" max="767" width="19.140625" style="36" customWidth="1"/>
    <col min="768" max="768" width="16.42578125" style="36" customWidth="1"/>
    <col min="769" max="1017" width="9.140625" style="36"/>
    <col min="1018" max="1018" width="6.85546875" style="36" customWidth="1"/>
    <col min="1019" max="1019" width="20.5703125" style="36" customWidth="1"/>
    <col min="1020" max="1020" width="34.28515625" style="36" customWidth="1"/>
    <col min="1021" max="1021" width="17.85546875" style="36" customWidth="1"/>
    <col min="1022" max="1023" width="19.140625" style="36" customWidth="1"/>
    <col min="1024" max="1024" width="16.42578125" style="36" customWidth="1"/>
    <col min="1025" max="1273" width="9.140625" style="36"/>
    <col min="1274" max="1274" width="6.85546875" style="36" customWidth="1"/>
    <col min="1275" max="1275" width="20.5703125" style="36" customWidth="1"/>
    <col min="1276" max="1276" width="34.28515625" style="36" customWidth="1"/>
    <col min="1277" max="1277" width="17.85546875" style="36" customWidth="1"/>
    <col min="1278" max="1279" width="19.140625" style="36" customWidth="1"/>
    <col min="1280" max="1280" width="16.42578125" style="36" customWidth="1"/>
    <col min="1281" max="1529" width="9.140625" style="36"/>
    <col min="1530" max="1530" width="6.85546875" style="36" customWidth="1"/>
    <col min="1531" max="1531" width="20.5703125" style="36" customWidth="1"/>
    <col min="1532" max="1532" width="34.28515625" style="36" customWidth="1"/>
    <col min="1533" max="1533" width="17.85546875" style="36" customWidth="1"/>
    <col min="1534" max="1535" width="19.140625" style="36" customWidth="1"/>
    <col min="1536" max="1536" width="16.42578125" style="36" customWidth="1"/>
    <col min="1537" max="1785" width="9.140625" style="36"/>
    <col min="1786" max="1786" width="6.85546875" style="36" customWidth="1"/>
    <col min="1787" max="1787" width="20.5703125" style="36" customWidth="1"/>
    <col min="1788" max="1788" width="34.28515625" style="36" customWidth="1"/>
    <col min="1789" max="1789" width="17.85546875" style="36" customWidth="1"/>
    <col min="1790" max="1791" width="19.140625" style="36" customWidth="1"/>
    <col min="1792" max="1792" width="16.42578125" style="36" customWidth="1"/>
    <col min="1793" max="2041" width="9.140625" style="36"/>
    <col min="2042" max="2042" width="6.85546875" style="36" customWidth="1"/>
    <col min="2043" max="2043" width="20.5703125" style="36" customWidth="1"/>
    <col min="2044" max="2044" width="34.28515625" style="36" customWidth="1"/>
    <col min="2045" max="2045" width="17.85546875" style="36" customWidth="1"/>
    <col min="2046" max="2047" width="19.140625" style="36" customWidth="1"/>
    <col min="2048" max="2048" width="16.42578125" style="36" customWidth="1"/>
    <col min="2049" max="2297" width="9.140625" style="36"/>
    <col min="2298" max="2298" width="6.85546875" style="36" customWidth="1"/>
    <col min="2299" max="2299" width="20.5703125" style="36" customWidth="1"/>
    <col min="2300" max="2300" width="34.28515625" style="36" customWidth="1"/>
    <col min="2301" max="2301" width="17.85546875" style="36" customWidth="1"/>
    <col min="2302" max="2303" width="19.140625" style="36" customWidth="1"/>
    <col min="2304" max="2304" width="16.42578125" style="36" customWidth="1"/>
    <col min="2305" max="2553" width="9.140625" style="36"/>
    <col min="2554" max="2554" width="6.85546875" style="36" customWidth="1"/>
    <col min="2555" max="2555" width="20.5703125" style="36" customWidth="1"/>
    <col min="2556" max="2556" width="34.28515625" style="36" customWidth="1"/>
    <col min="2557" max="2557" width="17.85546875" style="36" customWidth="1"/>
    <col min="2558" max="2559" width="19.140625" style="36" customWidth="1"/>
    <col min="2560" max="2560" width="16.42578125" style="36" customWidth="1"/>
    <col min="2561" max="2809" width="9.140625" style="36"/>
    <col min="2810" max="2810" width="6.85546875" style="36" customWidth="1"/>
    <col min="2811" max="2811" width="20.5703125" style="36" customWidth="1"/>
    <col min="2812" max="2812" width="34.28515625" style="36" customWidth="1"/>
    <col min="2813" max="2813" width="17.85546875" style="36" customWidth="1"/>
    <col min="2814" max="2815" width="19.140625" style="36" customWidth="1"/>
    <col min="2816" max="2816" width="16.42578125" style="36" customWidth="1"/>
    <col min="2817" max="3065" width="9.140625" style="36"/>
    <col min="3066" max="3066" width="6.85546875" style="36" customWidth="1"/>
    <col min="3067" max="3067" width="20.5703125" style="36" customWidth="1"/>
    <col min="3068" max="3068" width="34.28515625" style="36" customWidth="1"/>
    <col min="3069" max="3069" width="17.85546875" style="36" customWidth="1"/>
    <col min="3070" max="3071" width="19.140625" style="36" customWidth="1"/>
    <col min="3072" max="3072" width="16.42578125" style="36" customWidth="1"/>
    <col min="3073" max="3321" width="9.140625" style="36"/>
    <col min="3322" max="3322" width="6.85546875" style="36" customWidth="1"/>
    <col min="3323" max="3323" width="20.5703125" style="36" customWidth="1"/>
    <col min="3324" max="3324" width="34.28515625" style="36" customWidth="1"/>
    <col min="3325" max="3325" width="17.85546875" style="36" customWidth="1"/>
    <col min="3326" max="3327" width="19.140625" style="36" customWidth="1"/>
    <col min="3328" max="3328" width="16.42578125" style="36" customWidth="1"/>
    <col min="3329" max="3577" width="9.140625" style="36"/>
    <col min="3578" max="3578" width="6.85546875" style="36" customWidth="1"/>
    <col min="3579" max="3579" width="20.5703125" style="36" customWidth="1"/>
    <col min="3580" max="3580" width="34.28515625" style="36" customWidth="1"/>
    <col min="3581" max="3581" width="17.85546875" style="36" customWidth="1"/>
    <col min="3582" max="3583" width="19.140625" style="36" customWidth="1"/>
    <col min="3584" max="3584" width="16.42578125" style="36" customWidth="1"/>
    <col min="3585" max="3833" width="9.140625" style="36"/>
    <col min="3834" max="3834" width="6.85546875" style="36" customWidth="1"/>
    <col min="3835" max="3835" width="20.5703125" style="36" customWidth="1"/>
    <col min="3836" max="3836" width="34.28515625" style="36" customWidth="1"/>
    <col min="3837" max="3837" width="17.85546875" style="36" customWidth="1"/>
    <col min="3838" max="3839" width="19.140625" style="36" customWidth="1"/>
    <col min="3840" max="3840" width="16.42578125" style="36" customWidth="1"/>
    <col min="3841" max="4089" width="9.140625" style="36"/>
    <col min="4090" max="4090" width="6.85546875" style="36" customWidth="1"/>
    <col min="4091" max="4091" width="20.5703125" style="36" customWidth="1"/>
    <col min="4092" max="4092" width="34.28515625" style="36" customWidth="1"/>
    <col min="4093" max="4093" width="17.85546875" style="36" customWidth="1"/>
    <col min="4094" max="4095" width="19.140625" style="36" customWidth="1"/>
    <col min="4096" max="4096" width="16.42578125" style="36" customWidth="1"/>
    <col min="4097" max="4345" width="9.140625" style="36"/>
    <col min="4346" max="4346" width="6.85546875" style="36" customWidth="1"/>
    <col min="4347" max="4347" width="20.5703125" style="36" customWidth="1"/>
    <col min="4348" max="4348" width="34.28515625" style="36" customWidth="1"/>
    <col min="4349" max="4349" width="17.85546875" style="36" customWidth="1"/>
    <col min="4350" max="4351" width="19.140625" style="36" customWidth="1"/>
    <col min="4352" max="4352" width="16.42578125" style="36" customWidth="1"/>
    <col min="4353" max="4601" width="9.140625" style="36"/>
    <col min="4602" max="4602" width="6.85546875" style="36" customWidth="1"/>
    <col min="4603" max="4603" width="20.5703125" style="36" customWidth="1"/>
    <col min="4604" max="4604" width="34.28515625" style="36" customWidth="1"/>
    <col min="4605" max="4605" width="17.85546875" style="36" customWidth="1"/>
    <col min="4606" max="4607" width="19.140625" style="36" customWidth="1"/>
    <col min="4608" max="4608" width="16.42578125" style="36" customWidth="1"/>
    <col min="4609" max="4857" width="9.140625" style="36"/>
    <col min="4858" max="4858" width="6.85546875" style="36" customWidth="1"/>
    <col min="4859" max="4859" width="20.5703125" style="36" customWidth="1"/>
    <col min="4860" max="4860" width="34.28515625" style="36" customWidth="1"/>
    <col min="4861" max="4861" width="17.85546875" style="36" customWidth="1"/>
    <col min="4862" max="4863" width="19.140625" style="36" customWidth="1"/>
    <col min="4864" max="4864" width="16.42578125" style="36" customWidth="1"/>
    <col min="4865" max="5113" width="9.140625" style="36"/>
    <col min="5114" max="5114" width="6.85546875" style="36" customWidth="1"/>
    <col min="5115" max="5115" width="20.5703125" style="36" customWidth="1"/>
    <col min="5116" max="5116" width="34.28515625" style="36" customWidth="1"/>
    <col min="5117" max="5117" width="17.85546875" style="36" customWidth="1"/>
    <col min="5118" max="5119" width="19.140625" style="36" customWidth="1"/>
    <col min="5120" max="5120" width="16.42578125" style="36" customWidth="1"/>
    <col min="5121" max="5369" width="9.140625" style="36"/>
    <col min="5370" max="5370" width="6.85546875" style="36" customWidth="1"/>
    <col min="5371" max="5371" width="20.5703125" style="36" customWidth="1"/>
    <col min="5372" max="5372" width="34.28515625" style="36" customWidth="1"/>
    <col min="5373" max="5373" width="17.85546875" style="36" customWidth="1"/>
    <col min="5374" max="5375" width="19.140625" style="36" customWidth="1"/>
    <col min="5376" max="5376" width="16.42578125" style="36" customWidth="1"/>
    <col min="5377" max="5625" width="9.140625" style="36"/>
    <col min="5626" max="5626" width="6.85546875" style="36" customWidth="1"/>
    <col min="5627" max="5627" width="20.5703125" style="36" customWidth="1"/>
    <col min="5628" max="5628" width="34.28515625" style="36" customWidth="1"/>
    <col min="5629" max="5629" width="17.85546875" style="36" customWidth="1"/>
    <col min="5630" max="5631" width="19.140625" style="36" customWidth="1"/>
    <col min="5632" max="5632" width="16.42578125" style="36" customWidth="1"/>
    <col min="5633" max="5881" width="9.140625" style="36"/>
    <col min="5882" max="5882" width="6.85546875" style="36" customWidth="1"/>
    <col min="5883" max="5883" width="20.5703125" style="36" customWidth="1"/>
    <col min="5884" max="5884" width="34.28515625" style="36" customWidth="1"/>
    <col min="5885" max="5885" width="17.85546875" style="36" customWidth="1"/>
    <col min="5886" max="5887" width="19.140625" style="36" customWidth="1"/>
    <col min="5888" max="5888" width="16.42578125" style="36" customWidth="1"/>
    <col min="5889" max="6137" width="9.140625" style="36"/>
    <col min="6138" max="6138" width="6.85546875" style="36" customWidth="1"/>
    <col min="6139" max="6139" width="20.5703125" style="36" customWidth="1"/>
    <col min="6140" max="6140" width="34.28515625" style="36" customWidth="1"/>
    <col min="6141" max="6141" width="17.85546875" style="36" customWidth="1"/>
    <col min="6142" max="6143" width="19.140625" style="36" customWidth="1"/>
    <col min="6144" max="6144" width="16.42578125" style="36" customWidth="1"/>
    <col min="6145" max="6393" width="9.140625" style="36"/>
    <col min="6394" max="6394" width="6.85546875" style="36" customWidth="1"/>
    <col min="6395" max="6395" width="20.5703125" style="36" customWidth="1"/>
    <col min="6396" max="6396" width="34.28515625" style="36" customWidth="1"/>
    <col min="6397" max="6397" width="17.85546875" style="36" customWidth="1"/>
    <col min="6398" max="6399" width="19.140625" style="36" customWidth="1"/>
    <col min="6400" max="6400" width="16.42578125" style="36" customWidth="1"/>
    <col min="6401" max="6649" width="9.140625" style="36"/>
    <col min="6650" max="6650" width="6.85546875" style="36" customWidth="1"/>
    <col min="6651" max="6651" width="20.5703125" style="36" customWidth="1"/>
    <col min="6652" max="6652" width="34.28515625" style="36" customWidth="1"/>
    <col min="6653" max="6653" width="17.85546875" style="36" customWidth="1"/>
    <col min="6654" max="6655" width="19.140625" style="36" customWidth="1"/>
    <col min="6656" max="6656" width="16.42578125" style="36" customWidth="1"/>
    <col min="6657" max="6905" width="9.140625" style="36"/>
    <col min="6906" max="6906" width="6.85546875" style="36" customWidth="1"/>
    <col min="6907" max="6907" width="20.5703125" style="36" customWidth="1"/>
    <col min="6908" max="6908" width="34.28515625" style="36" customWidth="1"/>
    <col min="6909" max="6909" width="17.85546875" style="36" customWidth="1"/>
    <col min="6910" max="6911" width="19.140625" style="36" customWidth="1"/>
    <col min="6912" max="6912" width="16.42578125" style="36" customWidth="1"/>
    <col min="6913" max="7161" width="9.140625" style="36"/>
    <col min="7162" max="7162" width="6.85546875" style="36" customWidth="1"/>
    <col min="7163" max="7163" width="20.5703125" style="36" customWidth="1"/>
    <col min="7164" max="7164" width="34.28515625" style="36" customWidth="1"/>
    <col min="7165" max="7165" width="17.85546875" style="36" customWidth="1"/>
    <col min="7166" max="7167" width="19.140625" style="36" customWidth="1"/>
    <col min="7168" max="7168" width="16.42578125" style="36" customWidth="1"/>
    <col min="7169" max="7417" width="9.140625" style="36"/>
    <col min="7418" max="7418" width="6.85546875" style="36" customWidth="1"/>
    <col min="7419" max="7419" width="20.5703125" style="36" customWidth="1"/>
    <col min="7420" max="7420" width="34.28515625" style="36" customWidth="1"/>
    <col min="7421" max="7421" width="17.85546875" style="36" customWidth="1"/>
    <col min="7422" max="7423" width="19.140625" style="36" customWidth="1"/>
    <col min="7424" max="7424" width="16.42578125" style="36" customWidth="1"/>
    <col min="7425" max="7673" width="9.140625" style="36"/>
    <col min="7674" max="7674" width="6.85546875" style="36" customWidth="1"/>
    <col min="7675" max="7675" width="20.5703125" style="36" customWidth="1"/>
    <col min="7676" max="7676" width="34.28515625" style="36" customWidth="1"/>
    <col min="7677" max="7677" width="17.85546875" style="36" customWidth="1"/>
    <col min="7678" max="7679" width="19.140625" style="36" customWidth="1"/>
    <col min="7680" max="7680" width="16.42578125" style="36" customWidth="1"/>
    <col min="7681" max="7929" width="9.140625" style="36"/>
    <col min="7930" max="7930" width="6.85546875" style="36" customWidth="1"/>
    <col min="7931" max="7931" width="20.5703125" style="36" customWidth="1"/>
    <col min="7932" max="7932" width="34.28515625" style="36" customWidth="1"/>
    <col min="7933" max="7933" width="17.85546875" style="36" customWidth="1"/>
    <col min="7934" max="7935" width="19.140625" style="36" customWidth="1"/>
    <col min="7936" max="7936" width="16.42578125" style="36" customWidth="1"/>
    <col min="7937" max="8185" width="9.140625" style="36"/>
    <col min="8186" max="8186" width="6.85546875" style="36" customWidth="1"/>
    <col min="8187" max="8187" width="20.5703125" style="36" customWidth="1"/>
    <col min="8188" max="8188" width="34.28515625" style="36" customWidth="1"/>
    <col min="8189" max="8189" width="17.85546875" style="36" customWidth="1"/>
    <col min="8190" max="8191" width="19.140625" style="36" customWidth="1"/>
    <col min="8192" max="8192" width="16.42578125" style="36" customWidth="1"/>
    <col min="8193" max="8441" width="9.140625" style="36"/>
    <col min="8442" max="8442" width="6.85546875" style="36" customWidth="1"/>
    <col min="8443" max="8443" width="20.5703125" style="36" customWidth="1"/>
    <col min="8444" max="8444" width="34.28515625" style="36" customWidth="1"/>
    <col min="8445" max="8445" width="17.85546875" style="36" customWidth="1"/>
    <col min="8446" max="8447" width="19.140625" style="36" customWidth="1"/>
    <col min="8448" max="8448" width="16.42578125" style="36" customWidth="1"/>
    <col min="8449" max="8697" width="9.140625" style="36"/>
    <col min="8698" max="8698" width="6.85546875" style="36" customWidth="1"/>
    <col min="8699" max="8699" width="20.5703125" style="36" customWidth="1"/>
    <col min="8700" max="8700" width="34.28515625" style="36" customWidth="1"/>
    <col min="8701" max="8701" width="17.85546875" style="36" customWidth="1"/>
    <col min="8702" max="8703" width="19.140625" style="36" customWidth="1"/>
    <col min="8704" max="8704" width="16.42578125" style="36" customWidth="1"/>
    <col min="8705" max="8953" width="9.140625" style="36"/>
    <col min="8954" max="8954" width="6.85546875" style="36" customWidth="1"/>
    <col min="8955" max="8955" width="20.5703125" style="36" customWidth="1"/>
    <col min="8956" max="8956" width="34.28515625" style="36" customWidth="1"/>
    <col min="8957" max="8957" width="17.85546875" style="36" customWidth="1"/>
    <col min="8958" max="8959" width="19.140625" style="36" customWidth="1"/>
    <col min="8960" max="8960" width="16.42578125" style="36" customWidth="1"/>
    <col min="8961" max="9209" width="9.140625" style="36"/>
    <col min="9210" max="9210" width="6.85546875" style="36" customWidth="1"/>
    <col min="9211" max="9211" width="20.5703125" style="36" customWidth="1"/>
    <col min="9212" max="9212" width="34.28515625" style="36" customWidth="1"/>
    <col min="9213" max="9213" width="17.85546875" style="36" customWidth="1"/>
    <col min="9214" max="9215" width="19.140625" style="36" customWidth="1"/>
    <col min="9216" max="9216" width="16.42578125" style="36" customWidth="1"/>
    <col min="9217" max="9465" width="9.140625" style="36"/>
    <col min="9466" max="9466" width="6.85546875" style="36" customWidth="1"/>
    <col min="9467" max="9467" width="20.5703125" style="36" customWidth="1"/>
    <col min="9468" max="9468" width="34.28515625" style="36" customWidth="1"/>
    <col min="9469" max="9469" width="17.85546875" style="36" customWidth="1"/>
    <col min="9470" max="9471" width="19.140625" style="36" customWidth="1"/>
    <col min="9472" max="9472" width="16.42578125" style="36" customWidth="1"/>
    <col min="9473" max="9721" width="9.140625" style="36"/>
    <col min="9722" max="9722" width="6.85546875" style="36" customWidth="1"/>
    <col min="9723" max="9723" width="20.5703125" style="36" customWidth="1"/>
    <col min="9724" max="9724" width="34.28515625" style="36" customWidth="1"/>
    <col min="9725" max="9725" width="17.85546875" style="36" customWidth="1"/>
    <col min="9726" max="9727" width="19.140625" style="36" customWidth="1"/>
    <col min="9728" max="9728" width="16.42578125" style="36" customWidth="1"/>
    <col min="9729" max="9977" width="9.140625" style="36"/>
    <col min="9978" max="9978" width="6.85546875" style="36" customWidth="1"/>
    <col min="9979" max="9979" width="20.5703125" style="36" customWidth="1"/>
    <col min="9980" max="9980" width="34.28515625" style="36" customWidth="1"/>
    <col min="9981" max="9981" width="17.85546875" style="36" customWidth="1"/>
    <col min="9982" max="9983" width="19.140625" style="36" customWidth="1"/>
    <col min="9984" max="9984" width="16.42578125" style="36" customWidth="1"/>
    <col min="9985" max="10233" width="9.140625" style="36"/>
    <col min="10234" max="10234" width="6.85546875" style="36" customWidth="1"/>
    <col min="10235" max="10235" width="20.5703125" style="36" customWidth="1"/>
    <col min="10236" max="10236" width="34.28515625" style="36" customWidth="1"/>
    <col min="10237" max="10237" width="17.85546875" style="36" customWidth="1"/>
    <col min="10238" max="10239" width="19.140625" style="36" customWidth="1"/>
    <col min="10240" max="10240" width="16.42578125" style="36" customWidth="1"/>
    <col min="10241" max="10489" width="9.140625" style="36"/>
    <col min="10490" max="10490" width="6.85546875" style="36" customWidth="1"/>
    <col min="10491" max="10491" width="20.5703125" style="36" customWidth="1"/>
    <col min="10492" max="10492" width="34.28515625" style="36" customWidth="1"/>
    <col min="10493" max="10493" width="17.85546875" style="36" customWidth="1"/>
    <col min="10494" max="10495" width="19.140625" style="36" customWidth="1"/>
    <col min="10496" max="10496" width="16.42578125" style="36" customWidth="1"/>
    <col min="10497" max="10745" width="9.140625" style="36"/>
    <col min="10746" max="10746" width="6.85546875" style="36" customWidth="1"/>
    <col min="10747" max="10747" width="20.5703125" style="36" customWidth="1"/>
    <col min="10748" max="10748" width="34.28515625" style="36" customWidth="1"/>
    <col min="10749" max="10749" width="17.85546875" style="36" customWidth="1"/>
    <col min="10750" max="10751" width="19.140625" style="36" customWidth="1"/>
    <col min="10752" max="10752" width="16.42578125" style="36" customWidth="1"/>
    <col min="10753" max="11001" width="9.140625" style="36"/>
    <col min="11002" max="11002" width="6.85546875" style="36" customWidth="1"/>
    <col min="11003" max="11003" width="20.5703125" style="36" customWidth="1"/>
    <col min="11004" max="11004" width="34.28515625" style="36" customWidth="1"/>
    <col min="11005" max="11005" width="17.85546875" style="36" customWidth="1"/>
    <col min="11006" max="11007" width="19.140625" style="36" customWidth="1"/>
    <col min="11008" max="11008" width="16.42578125" style="36" customWidth="1"/>
    <col min="11009" max="11257" width="9.140625" style="36"/>
    <col min="11258" max="11258" width="6.85546875" style="36" customWidth="1"/>
    <col min="11259" max="11259" width="20.5703125" style="36" customWidth="1"/>
    <col min="11260" max="11260" width="34.28515625" style="36" customWidth="1"/>
    <col min="11261" max="11261" width="17.85546875" style="36" customWidth="1"/>
    <col min="11262" max="11263" width="19.140625" style="36" customWidth="1"/>
    <col min="11264" max="11264" width="16.42578125" style="36" customWidth="1"/>
    <col min="11265" max="11513" width="9.140625" style="36"/>
    <col min="11514" max="11514" width="6.85546875" style="36" customWidth="1"/>
    <col min="11515" max="11515" width="20.5703125" style="36" customWidth="1"/>
    <col min="11516" max="11516" width="34.28515625" style="36" customWidth="1"/>
    <col min="11517" max="11517" width="17.85546875" style="36" customWidth="1"/>
    <col min="11518" max="11519" width="19.140625" style="36" customWidth="1"/>
    <col min="11520" max="11520" width="16.42578125" style="36" customWidth="1"/>
    <col min="11521" max="11769" width="9.140625" style="36"/>
    <col min="11770" max="11770" width="6.85546875" style="36" customWidth="1"/>
    <col min="11771" max="11771" width="20.5703125" style="36" customWidth="1"/>
    <col min="11772" max="11772" width="34.28515625" style="36" customWidth="1"/>
    <col min="11773" max="11773" width="17.85546875" style="36" customWidth="1"/>
    <col min="11774" max="11775" width="19.140625" style="36" customWidth="1"/>
    <col min="11776" max="11776" width="16.42578125" style="36" customWidth="1"/>
    <col min="11777" max="12025" width="9.140625" style="36"/>
    <col min="12026" max="12026" width="6.85546875" style="36" customWidth="1"/>
    <col min="12027" max="12027" width="20.5703125" style="36" customWidth="1"/>
    <col min="12028" max="12028" width="34.28515625" style="36" customWidth="1"/>
    <col min="12029" max="12029" width="17.85546875" style="36" customWidth="1"/>
    <col min="12030" max="12031" width="19.140625" style="36" customWidth="1"/>
    <col min="12032" max="12032" width="16.42578125" style="36" customWidth="1"/>
    <col min="12033" max="12281" width="9.140625" style="36"/>
    <col min="12282" max="12282" width="6.85546875" style="36" customWidth="1"/>
    <col min="12283" max="12283" width="20.5703125" style="36" customWidth="1"/>
    <col min="12284" max="12284" width="34.28515625" style="36" customWidth="1"/>
    <col min="12285" max="12285" width="17.85546875" style="36" customWidth="1"/>
    <col min="12286" max="12287" width="19.140625" style="36" customWidth="1"/>
    <col min="12288" max="12288" width="16.42578125" style="36" customWidth="1"/>
    <col min="12289" max="12537" width="9.140625" style="36"/>
    <col min="12538" max="12538" width="6.85546875" style="36" customWidth="1"/>
    <col min="12539" max="12539" width="20.5703125" style="36" customWidth="1"/>
    <col min="12540" max="12540" width="34.28515625" style="36" customWidth="1"/>
    <col min="12541" max="12541" width="17.85546875" style="36" customWidth="1"/>
    <col min="12542" max="12543" width="19.140625" style="36" customWidth="1"/>
    <col min="12544" max="12544" width="16.42578125" style="36" customWidth="1"/>
    <col min="12545" max="12793" width="9.140625" style="36"/>
    <col min="12794" max="12794" width="6.85546875" style="36" customWidth="1"/>
    <col min="12795" max="12795" width="20.5703125" style="36" customWidth="1"/>
    <col min="12796" max="12796" width="34.28515625" style="36" customWidth="1"/>
    <col min="12797" max="12797" width="17.85546875" style="36" customWidth="1"/>
    <col min="12798" max="12799" width="19.140625" style="36" customWidth="1"/>
    <col min="12800" max="12800" width="16.42578125" style="36" customWidth="1"/>
    <col min="12801" max="13049" width="9.140625" style="36"/>
    <col min="13050" max="13050" width="6.85546875" style="36" customWidth="1"/>
    <col min="13051" max="13051" width="20.5703125" style="36" customWidth="1"/>
    <col min="13052" max="13052" width="34.28515625" style="36" customWidth="1"/>
    <col min="13053" max="13053" width="17.85546875" style="36" customWidth="1"/>
    <col min="13054" max="13055" width="19.140625" style="36" customWidth="1"/>
    <col min="13056" max="13056" width="16.42578125" style="36" customWidth="1"/>
    <col min="13057" max="13305" width="9.140625" style="36"/>
    <col min="13306" max="13306" width="6.85546875" style="36" customWidth="1"/>
    <col min="13307" max="13307" width="20.5703125" style="36" customWidth="1"/>
    <col min="13308" max="13308" width="34.28515625" style="36" customWidth="1"/>
    <col min="13309" max="13309" width="17.85546875" style="36" customWidth="1"/>
    <col min="13310" max="13311" width="19.140625" style="36" customWidth="1"/>
    <col min="13312" max="13312" width="16.42578125" style="36" customWidth="1"/>
    <col min="13313" max="13561" width="9.140625" style="36"/>
    <col min="13562" max="13562" width="6.85546875" style="36" customWidth="1"/>
    <col min="13563" max="13563" width="20.5703125" style="36" customWidth="1"/>
    <col min="13564" max="13564" width="34.28515625" style="36" customWidth="1"/>
    <col min="13565" max="13565" width="17.85546875" style="36" customWidth="1"/>
    <col min="13566" max="13567" width="19.140625" style="36" customWidth="1"/>
    <col min="13568" max="13568" width="16.42578125" style="36" customWidth="1"/>
    <col min="13569" max="13817" width="9.140625" style="36"/>
    <col min="13818" max="13818" width="6.85546875" style="36" customWidth="1"/>
    <col min="13819" max="13819" width="20.5703125" style="36" customWidth="1"/>
    <col min="13820" max="13820" width="34.28515625" style="36" customWidth="1"/>
    <col min="13821" max="13821" width="17.85546875" style="36" customWidth="1"/>
    <col min="13822" max="13823" width="19.140625" style="36" customWidth="1"/>
    <col min="13824" max="13824" width="16.42578125" style="36" customWidth="1"/>
    <col min="13825" max="14073" width="9.140625" style="36"/>
    <col min="14074" max="14074" width="6.85546875" style="36" customWidth="1"/>
    <col min="14075" max="14075" width="20.5703125" style="36" customWidth="1"/>
    <col min="14076" max="14076" width="34.28515625" style="36" customWidth="1"/>
    <col min="14077" max="14077" width="17.85546875" style="36" customWidth="1"/>
    <col min="14078" max="14079" width="19.140625" style="36" customWidth="1"/>
    <col min="14080" max="14080" width="16.42578125" style="36" customWidth="1"/>
    <col min="14081" max="14329" width="9.140625" style="36"/>
    <col min="14330" max="14330" width="6.85546875" style="36" customWidth="1"/>
    <col min="14331" max="14331" width="20.5703125" style="36" customWidth="1"/>
    <col min="14332" max="14332" width="34.28515625" style="36" customWidth="1"/>
    <col min="14333" max="14333" width="17.85546875" style="36" customWidth="1"/>
    <col min="14334" max="14335" width="19.140625" style="36" customWidth="1"/>
    <col min="14336" max="14336" width="16.42578125" style="36" customWidth="1"/>
    <col min="14337" max="14585" width="9.140625" style="36"/>
    <col min="14586" max="14586" width="6.85546875" style="36" customWidth="1"/>
    <col min="14587" max="14587" width="20.5703125" style="36" customWidth="1"/>
    <col min="14588" max="14588" width="34.28515625" style="36" customWidth="1"/>
    <col min="14589" max="14589" width="17.85546875" style="36" customWidth="1"/>
    <col min="14590" max="14591" width="19.140625" style="36" customWidth="1"/>
    <col min="14592" max="14592" width="16.42578125" style="36" customWidth="1"/>
    <col min="14593" max="14841" width="9.140625" style="36"/>
    <col min="14842" max="14842" width="6.85546875" style="36" customWidth="1"/>
    <col min="14843" max="14843" width="20.5703125" style="36" customWidth="1"/>
    <col min="14844" max="14844" width="34.28515625" style="36" customWidth="1"/>
    <col min="14845" max="14845" width="17.85546875" style="36" customWidth="1"/>
    <col min="14846" max="14847" width="19.140625" style="36" customWidth="1"/>
    <col min="14848" max="14848" width="16.42578125" style="36" customWidth="1"/>
    <col min="14849" max="15097" width="9.140625" style="36"/>
    <col min="15098" max="15098" width="6.85546875" style="36" customWidth="1"/>
    <col min="15099" max="15099" width="20.5703125" style="36" customWidth="1"/>
    <col min="15100" max="15100" width="34.28515625" style="36" customWidth="1"/>
    <col min="15101" max="15101" width="17.85546875" style="36" customWidth="1"/>
    <col min="15102" max="15103" width="19.140625" style="36" customWidth="1"/>
    <col min="15104" max="15104" width="16.42578125" style="36" customWidth="1"/>
    <col min="15105" max="15353" width="9.140625" style="36"/>
    <col min="15354" max="15354" width="6.85546875" style="36" customWidth="1"/>
    <col min="15355" max="15355" width="20.5703125" style="36" customWidth="1"/>
    <col min="15356" max="15356" width="34.28515625" style="36" customWidth="1"/>
    <col min="15357" max="15357" width="17.85546875" style="36" customWidth="1"/>
    <col min="15358" max="15359" width="19.140625" style="36" customWidth="1"/>
    <col min="15360" max="15360" width="16.42578125" style="36" customWidth="1"/>
    <col min="15361" max="15609" width="9.140625" style="36"/>
    <col min="15610" max="15610" width="6.85546875" style="36" customWidth="1"/>
    <col min="15611" max="15611" width="20.5703125" style="36" customWidth="1"/>
    <col min="15612" max="15612" width="34.28515625" style="36" customWidth="1"/>
    <col min="15613" max="15613" width="17.85546875" style="36" customWidth="1"/>
    <col min="15614" max="15615" width="19.140625" style="36" customWidth="1"/>
    <col min="15616" max="15616" width="16.42578125" style="36" customWidth="1"/>
    <col min="15617" max="15865" width="9.140625" style="36"/>
    <col min="15866" max="15866" width="6.85546875" style="36" customWidth="1"/>
    <col min="15867" max="15867" width="20.5703125" style="36" customWidth="1"/>
    <col min="15868" max="15868" width="34.28515625" style="36" customWidth="1"/>
    <col min="15869" max="15869" width="17.85546875" style="36" customWidth="1"/>
    <col min="15870" max="15871" width="19.140625" style="36" customWidth="1"/>
    <col min="15872" max="15872" width="16.42578125" style="36" customWidth="1"/>
    <col min="15873" max="16121" width="9.140625" style="36"/>
    <col min="16122" max="16122" width="6.85546875" style="36" customWidth="1"/>
    <col min="16123" max="16123" width="20.5703125" style="36" customWidth="1"/>
    <col min="16124" max="16124" width="34.28515625" style="36" customWidth="1"/>
    <col min="16125" max="16125" width="17.85546875" style="36" customWidth="1"/>
    <col min="16126" max="16127" width="19.140625" style="36" customWidth="1"/>
    <col min="16128" max="16128" width="16.42578125" style="36" customWidth="1"/>
    <col min="16129" max="16384" width="9.140625" style="36"/>
  </cols>
  <sheetData>
    <row r="1" spans="1:15" ht="15" x14ac:dyDescent="0.2">
      <c r="A1" s="193" t="s">
        <v>0</v>
      </c>
      <c r="B1" s="193"/>
      <c r="C1" s="193"/>
      <c r="D1" s="193"/>
      <c r="E1" s="193"/>
      <c r="F1" s="193"/>
      <c r="G1" s="193"/>
      <c r="H1" s="193"/>
    </row>
    <row r="2" spans="1:15" ht="15" x14ac:dyDescent="0.2">
      <c r="A2" s="194" t="s">
        <v>775</v>
      </c>
      <c r="B2" s="195"/>
      <c r="C2" s="195"/>
      <c r="D2" s="195"/>
      <c r="E2" s="195"/>
      <c r="F2" s="195"/>
      <c r="G2" s="195"/>
      <c r="H2" s="196"/>
      <c r="J2" s="197" t="s">
        <v>1010</v>
      </c>
      <c r="K2" s="197"/>
      <c r="L2" s="197"/>
      <c r="M2" s="197"/>
      <c r="N2" s="197"/>
    </row>
    <row r="3" spans="1:15" ht="15" x14ac:dyDescent="0.2">
      <c r="A3" s="193" t="s">
        <v>934</v>
      </c>
      <c r="B3" s="193"/>
      <c r="C3" s="193"/>
      <c r="D3" s="193"/>
      <c r="E3" s="193"/>
      <c r="F3" s="193"/>
      <c r="G3" s="193"/>
      <c r="H3" s="193"/>
    </row>
    <row r="4" spans="1:15" s="121" customFormat="1" ht="30" x14ac:dyDescent="0.2">
      <c r="A4" s="120" t="s">
        <v>2</v>
      </c>
      <c r="B4" s="120" t="s">
        <v>3</v>
      </c>
      <c r="C4" s="120" t="s">
        <v>4</v>
      </c>
      <c r="D4" s="120" t="s">
        <v>5</v>
      </c>
      <c r="E4" s="120" t="s">
        <v>6</v>
      </c>
      <c r="F4" s="120" t="s">
        <v>7</v>
      </c>
      <c r="G4" s="120" t="s">
        <v>8</v>
      </c>
      <c r="H4" s="111" t="s">
        <v>970</v>
      </c>
    </row>
    <row r="5" spans="1:15" x14ac:dyDescent="0.2">
      <c r="A5" s="37"/>
      <c r="B5" s="37"/>
      <c r="C5" s="38" t="s">
        <v>9</v>
      </c>
      <c r="D5" s="37"/>
      <c r="E5" s="37"/>
      <c r="F5" s="37"/>
      <c r="G5" s="37"/>
      <c r="H5" s="112"/>
    </row>
    <row r="6" spans="1:15" x14ac:dyDescent="0.2">
      <c r="A6" s="37"/>
      <c r="B6" s="37"/>
      <c r="C6" s="38" t="s">
        <v>10</v>
      </c>
      <c r="D6" s="37"/>
      <c r="E6" s="37"/>
      <c r="F6" s="37"/>
      <c r="G6" s="37"/>
      <c r="H6" s="112"/>
    </row>
    <row r="7" spans="1:15" x14ac:dyDescent="0.2">
      <c r="A7" s="39">
        <v>1</v>
      </c>
      <c r="B7" s="40" t="s">
        <v>17</v>
      </c>
      <c r="C7" s="40" t="s">
        <v>18</v>
      </c>
      <c r="D7" s="40" t="s">
        <v>19</v>
      </c>
      <c r="E7" s="41">
        <v>984000</v>
      </c>
      <c r="F7" s="42">
        <v>7892.1719999999996</v>
      </c>
      <c r="G7" s="43">
        <v>6.4402411000000007E-2</v>
      </c>
      <c r="H7" s="112"/>
    </row>
    <row r="8" spans="1:15" x14ac:dyDescent="0.2">
      <c r="A8" s="39">
        <v>2</v>
      </c>
      <c r="B8" s="40" t="s">
        <v>14</v>
      </c>
      <c r="C8" s="40" t="s">
        <v>15</v>
      </c>
      <c r="D8" s="40" t="s">
        <v>16</v>
      </c>
      <c r="E8" s="41">
        <v>253500</v>
      </c>
      <c r="F8" s="42">
        <v>6429.3937500000002</v>
      </c>
      <c r="G8" s="43">
        <v>5.2465716000000003E-2</v>
      </c>
      <c r="H8" s="112"/>
    </row>
    <row r="9" spans="1:15" x14ac:dyDescent="0.2">
      <c r="A9" s="39">
        <v>3</v>
      </c>
      <c r="B9" s="40" t="s">
        <v>418</v>
      </c>
      <c r="C9" s="40" t="s">
        <v>419</v>
      </c>
      <c r="D9" s="40" t="s">
        <v>19</v>
      </c>
      <c r="E9" s="41">
        <v>900000</v>
      </c>
      <c r="F9" s="42">
        <v>4519.3500000000004</v>
      </c>
      <c r="G9" s="43">
        <v>3.6879205999999998E-2</v>
      </c>
      <c r="H9" s="112"/>
    </row>
    <row r="10" spans="1:15" x14ac:dyDescent="0.2">
      <c r="A10" s="39">
        <v>4</v>
      </c>
      <c r="B10" s="40" t="s">
        <v>412</v>
      </c>
      <c r="C10" s="40" t="s">
        <v>413</v>
      </c>
      <c r="D10" s="40" t="s">
        <v>19</v>
      </c>
      <c r="E10" s="41">
        <v>244500</v>
      </c>
      <c r="F10" s="42">
        <v>3870.0682499999998</v>
      </c>
      <c r="G10" s="43">
        <v>3.1580878999999999E-2</v>
      </c>
      <c r="H10" s="112"/>
    </row>
    <row r="11" spans="1:15" x14ac:dyDescent="0.2">
      <c r="A11" s="39">
        <v>5</v>
      </c>
      <c r="B11" s="40" t="s">
        <v>416</v>
      </c>
      <c r="C11" s="40" t="s">
        <v>417</v>
      </c>
      <c r="D11" s="40" t="s">
        <v>81</v>
      </c>
      <c r="E11" s="41">
        <v>132500</v>
      </c>
      <c r="F11" s="42">
        <v>3769.2275</v>
      </c>
      <c r="G11" s="43">
        <v>3.0757988999999999E-2</v>
      </c>
      <c r="H11" s="112"/>
      <c r="I11" s="75"/>
      <c r="J11" s="75"/>
      <c r="K11" s="75"/>
      <c r="L11" s="75"/>
      <c r="M11" s="75"/>
      <c r="N11" s="75"/>
      <c r="O11" s="75"/>
    </row>
    <row r="12" spans="1:15" s="75" customFormat="1" x14ac:dyDescent="0.2">
      <c r="A12" s="39">
        <v>6</v>
      </c>
      <c r="B12" s="70" t="s">
        <v>927</v>
      </c>
      <c r="C12" s="70" t="s">
        <v>928</v>
      </c>
      <c r="D12" s="70" t="s">
        <v>64</v>
      </c>
      <c r="E12" s="72">
        <v>1050000</v>
      </c>
      <c r="F12" s="73">
        <v>3671.2200000000003</v>
      </c>
      <c r="G12" s="74">
        <v>2.9958220000000001E-2</v>
      </c>
      <c r="H12" s="112"/>
      <c r="I12" s="36"/>
      <c r="J12" s="36"/>
      <c r="K12" s="36"/>
      <c r="L12" s="36"/>
      <c r="M12" s="36"/>
      <c r="N12" s="36"/>
      <c r="O12" s="36"/>
    </row>
    <row r="13" spans="1:15" x14ac:dyDescent="0.2">
      <c r="A13" s="39">
        <v>7</v>
      </c>
      <c r="B13" s="40" t="s">
        <v>414</v>
      </c>
      <c r="C13" s="40" t="s">
        <v>415</v>
      </c>
      <c r="D13" s="40" t="s">
        <v>162</v>
      </c>
      <c r="E13" s="41">
        <v>212000</v>
      </c>
      <c r="F13" s="42">
        <v>3535.63</v>
      </c>
      <c r="G13" s="43">
        <v>2.8851766000000001E-2</v>
      </c>
      <c r="H13" s="112"/>
    </row>
    <row r="14" spans="1:15" ht="25.5" x14ac:dyDescent="0.2">
      <c r="A14" s="39">
        <v>8</v>
      </c>
      <c r="B14" s="40" t="s">
        <v>489</v>
      </c>
      <c r="C14" s="40" t="s">
        <v>490</v>
      </c>
      <c r="D14" s="40" t="s">
        <v>192</v>
      </c>
      <c r="E14" s="41">
        <v>332000</v>
      </c>
      <c r="F14" s="42">
        <v>3145.2020000000002</v>
      </c>
      <c r="G14" s="43">
        <v>2.5665759999999999E-2</v>
      </c>
      <c r="H14" s="112"/>
    </row>
    <row r="15" spans="1:15" ht="15" x14ac:dyDescent="0.2">
      <c r="A15" s="39">
        <v>9</v>
      </c>
      <c r="B15" s="40" t="s">
        <v>22</v>
      </c>
      <c r="C15" s="40" t="s">
        <v>23</v>
      </c>
      <c r="D15" s="40" t="s">
        <v>24</v>
      </c>
      <c r="E15" s="41">
        <v>458421</v>
      </c>
      <c r="F15" s="42">
        <v>3141.7883234999999</v>
      </c>
      <c r="G15" s="43">
        <v>2.5637903E-2</v>
      </c>
      <c r="H15" s="112"/>
      <c r="J15" s="188" t="s">
        <v>1023</v>
      </c>
    </row>
    <row r="16" spans="1:15" x14ac:dyDescent="0.2">
      <c r="A16" s="39">
        <v>10</v>
      </c>
      <c r="B16" s="40" t="s">
        <v>439</v>
      </c>
      <c r="C16" s="40" t="s">
        <v>440</v>
      </c>
      <c r="D16" s="40" t="s">
        <v>162</v>
      </c>
      <c r="E16" s="41">
        <v>207400</v>
      </c>
      <c r="F16" s="42">
        <v>3065.0608999999999</v>
      </c>
      <c r="G16" s="43">
        <v>2.5011785000000002E-2</v>
      </c>
      <c r="H16" s="112"/>
    </row>
    <row r="17" spans="1:15" x14ac:dyDescent="0.2">
      <c r="A17" s="39">
        <v>11</v>
      </c>
      <c r="B17" s="40" t="s">
        <v>422</v>
      </c>
      <c r="C17" s="40" t="s">
        <v>423</v>
      </c>
      <c r="D17" s="40" t="s">
        <v>162</v>
      </c>
      <c r="E17" s="41">
        <v>84000</v>
      </c>
      <c r="F17" s="42">
        <v>2854.11</v>
      </c>
      <c r="G17" s="43">
        <v>2.3290365E-2</v>
      </c>
      <c r="H17" s="112"/>
    </row>
    <row r="18" spans="1:15" x14ac:dyDescent="0.2">
      <c r="A18" s="39">
        <v>12</v>
      </c>
      <c r="B18" s="40" t="s">
        <v>322</v>
      </c>
      <c r="C18" s="40" t="s">
        <v>323</v>
      </c>
      <c r="D18" s="40" t="s">
        <v>19</v>
      </c>
      <c r="E18" s="41">
        <v>350000</v>
      </c>
      <c r="F18" s="42">
        <v>2597</v>
      </c>
      <c r="G18" s="43">
        <v>2.1192273000000001E-2</v>
      </c>
      <c r="H18" s="112"/>
    </row>
    <row r="19" spans="1:15" x14ac:dyDescent="0.2">
      <c r="A19" s="39">
        <v>13</v>
      </c>
      <c r="B19" s="40" t="s">
        <v>441</v>
      </c>
      <c r="C19" s="40" t="s">
        <v>442</v>
      </c>
      <c r="D19" s="40" t="s">
        <v>173</v>
      </c>
      <c r="E19" s="41">
        <v>342500</v>
      </c>
      <c r="F19" s="42">
        <v>2218.3724999999999</v>
      </c>
      <c r="G19" s="43">
        <v>1.8102562999999999E-2</v>
      </c>
      <c r="H19" s="112"/>
    </row>
    <row r="20" spans="1:15" x14ac:dyDescent="0.2">
      <c r="A20" s="39">
        <v>14</v>
      </c>
      <c r="B20" s="40" t="s">
        <v>25</v>
      </c>
      <c r="C20" s="40" t="s">
        <v>26</v>
      </c>
      <c r="D20" s="40" t="s">
        <v>27</v>
      </c>
      <c r="E20" s="41">
        <v>125000</v>
      </c>
      <c r="F20" s="42">
        <v>2024.5</v>
      </c>
      <c r="G20" s="43">
        <v>1.6520507E-2</v>
      </c>
      <c r="H20" s="112"/>
      <c r="I20" s="75"/>
      <c r="J20" s="75"/>
      <c r="K20" s="75"/>
      <c r="L20" s="75"/>
      <c r="M20" s="75"/>
      <c r="N20" s="75"/>
      <c r="O20" s="75"/>
    </row>
    <row r="21" spans="1:15" s="75" customFormat="1" ht="25.5" x14ac:dyDescent="0.2">
      <c r="A21" s="39">
        <v>15</v>
      </c>
      <c r="B21" s="70" t="s">
        <v>929</v>
      </c>
      <c r="C21" s="70" t="s">
        <v>930</v>
      </c>
      <c r="D21" s="70" t="s">
        <v>34</v>
      </c>
      <c r="E21" s="72">
        <v>1462700</v>
      </c>
      <c r="F21" s="73">
        <v>1770.5983499999998</v>
      </c>
      <c r="G21" s="74">
        <v>1.4448600000000001E-2</v>
      </c>
      <c r="H21" s="112"/>
      <c r="I21" s="36"/>
      <c r="J21" s="36"/>
      <c r="K21" s="36"/>
      <c r="L21" s="36"/>
      <c r="M21" s="36"/>
      <c r="N21" s="36"/>
      <c r="O21" s="36"/>
    </row>
    <row r="22" spans="1:15" x14ac:dyDescent="0.2">
      <c r="A22" s="39">
        <v>16</v>
      </c>
      <c r="B22" s="40" t="s">
        <v>11</v>
      </c>
      <c r="C22" s="40" t="s">
        <v>12</v>
      </c>
      <c r="D22" s="40" t="s">
        <v>13</v>
      </c>
      <c r="E22" s="41">
        <v>80000</v>
      </c>
      <c r="F22" s="42">
        <v>1413.32</v>
      </c>
      <c r="G22" s="43">
        <v>1.1533101E-2</v>
      </c>
      <c r="H22" s="112"/>
    </row>
    <row r="23" spans="1:15" x14ac:dyDescent="0.2">
      <c r="A23" s="39">
        <v>17</v>
      </c>
      <c r="B23" s="40" t="s">
        <v>271</v>
      </c>
      <c r="C23" s="40" t="s">
        <v>272</v>
      </c>
      <c r="D23" s="40" t="s">
        <v>147</v>
      </c>
      <c r="E23" s="41">
        <v>202336</v>
      </c>
      <c r="F23" s="42">
        <v>1316.3980160000001</v>
      </c>
      <c r="G23" s="43">
        <v>1.0742188999999999E-2</v>
      </c>
      <c r="H23" s="112"/>
    </row>
    <row r="24" spans="1:15" x14ac:dyDescent="0.2">
      <c r="A24" s="39">
        <v>18</v>
      </c>
      <c r="B24" s="40" t="s">
        <v>420</v>
      </c>
      <c r="C24" s="40" t="s">
        <v>421</v>
      </c>
      <c r="D24" s="40" t="s">
        <v>973</v>
      </c>
      <c r="E24" s="41">
        <v>110500</v>
      </c>
      <c r="F24" s="42">
        <v>1265.83275</v>
      </c>
      <c r="G24" s="43">
        <v>1.0329562E-2</v>
      </c>
      <c r="H24" s="112"/>
    </row>
    <row r="25" spans="1:15" x14ac:dyDescent="0.2">
      <c r="A25" s="39">
        <v>19</v>
      </c>
      <c r="B25" s="40" t="s">
        <v>90</v>
      </c>
      <c r="C25" s="40" t="s">
        <v>91</v>
      </c>
      <c r="D25" s="40" t="s">
        <v>27</v>
      </c>
      <c r="E25" s="41">
        <v>17000</v>
      </c>
      <c r="F25" s="42">
        <v>1258.2974999999999</v>
      </c>
      <c r="G25" s="43">
        <v>1.0268072E-2</v>
      </c>
      <c r="H25" s="112"/>
    </row>
    <row r="26" spans="1:15" x14ac:dyDescent="0.2">
      <c r="A26" s="39">
        <v>20</v>
      </c>
      <c r="B26" s="40" t="s">
        <v>653</v>
      </c>
      <c r="C26" s="40" t="s">
        <v>654</v>
      </c>
      <c r="D26" s="40" t="s">
        <v>147</v>
      </c>
      <c r="E26" s="41">
        <v>53500</v>
      </c>
      <c r="F26" s="42">
        <v>1237.8027500000001</v>
      </c>
      <c r="G26" s="43">
        <v>1.0100829E-2</v>
      </c>
      <c r="H26" s="112"/>
    </row>
    <row r="27" spans="1:15" ht="25.5" x14ac:dyDescent="0.2">
      <c r="A27" s="39">
        <v>21</v>
      </c>
      <c r="B27" s="40" t="s">
        <v>424</v>
      </c>
      <c r="C27" s="40" t="s">
        <v>425</v>
      </c>
      <c r="D27" s="40" t="s">
        <v>192</v>
      </c>
      <c r="E27" s="41">
        <v>49000</v>
      </c>
      <c r="F27" s="42">
        <v>1172.6434999999999</v>
      </c>
      <c r="G27" s="43">
        <v>9.5691109999999999E-3</v>
      </c>
      <c r="H27" s="112"/>
    </row>
    <row r="28" spans="1:15" ht="25.5" x14ac:dyDescent="0.2">
      <c r="A28" s="39">
        <v>22</v>
      </c>
      <c r="B28" s="40" t="s">
        <v>28</v>
      </c>
      <c r="C28" s="40" t="s">
        <v>29</v>
      </c>
      <c r="D28" s="40" t="s">
        <v>971</v>
      </c>
      <c r="E28" s="41">
        <v>15000</v>
      </c>
      <c r="F28" s="42">
        <v>1145.4075</v>
      </c>
      <c r="G28" s="43">
        <v>9.3468570000000001E-3</v>
      </c>
      <c r="H28" s="112"/>
    </row>
    <row r="29" spans="1:15" x14ac:dyDescent="0.2">
      <c r="A29" s="39">
        <v>23</v>
      </c>
      <c r="B29" s="40" t="s">
        <v>312</v>
      </c>
      <c r="C29" s="40" t="s">
        <v>313</v>
      </c>
      <c r="D29" s="40" t="s">
        <v>212</v>
      </c>
      <c r="E29" s="41">
        <v>3000</v>
      </c>
      <c r="F29" s="42">
        <v>1129.0815</v>
      </c>
      <c r="G29" s="43">
        <v>9.2136319999999994E-3</v>
      </c>
      <c r="H29" s="112"/>
    </row>
    <row r="30" spans="1:15" x14ac:dyDescent="0.2">
      <c r="A30" s="39">
        <v>24</v>
      </c>
      <c r="B30" s="40" t="s">
        <v>386</v>
      </c>
      <c r="C30" s="40" t="s">
        <v>387</v>
      </c>
      <c r="D30" s="40" t="s">
        <v>973</v>
      </c>
      <c r="E30" s="41">
        <v>5750</v>
      </c>
      <c r="F30" s="42">
        <v>1024.7161249999999</v>
      </c>
      <c r="G30" s="43">
        <v>8.3619809999999992E-3</v>
      </c>
      <c r="H30" s="112"/>
    </row>
    <row r="31" spans="1:15" x14ac:dyDescent="0.2">
      <c r="A31" s="39">
        <v>25</v>
      </c>
      <c r="B31" s="40" t="s">
        <v>145</v>
      </c>
      <c r="C31" s="40" t="s">
        <v>146</v>
      </c>
      <c r="D31" s="40" t="s">
        <v>147</v>
      </c>
      <c r="E31" s="41">
        <v>30000</v>
      </c>
      <c r="F31" s="42">
        <v>1001.52</v>
      </c>
      <c r="G31" s="43">
        <v>8.172693E-3</v>
      </c>
      <c r="H31" s="112"/>
    </row>
    <row r="32" spans="1:15" x14ac:dyDescent="0.2">
      <c r="A32" s="39">
        <v>26</v>
      </c>
      <c r="B32" s="40" t="s">
        <v>591</v>
      </c>
      <c r="C32" s="40" t="s">
        <v>592</v>
      </c>
      <c r="D32" s="40" t="s">
        <v>973</v>
      </c>
      <c r="E32" s="41">
        <v>143000</v>
      </c>
      <c r="F32" s="42">
        <v>973.04349999999999</v>
      </c>
      <c r="G32" s="43">
        <v>7.9403170000000006E-3</v>
      </c>
      <c r="H32" s="112"/>
    </row>
    <row r="33" spans="1:8" x14ac:dyDescent="0.2">
      <c r="A33" s="39">
        <v>27</v>
      </c>
      <c r="B33" s="40" t="s">
        <v>430</v>
      </c>
      <c r="C33" s="40" t="s">
        <v>431</v>
      </c>
      <c r="D33" s="40" t="s">
        <v>432</v>
      </c>
      <c r="E33" s="41">
        <v>200000</v>
      </c>
      <c r="F33" s="42">
        <v>919.6</v>
      </c>
      <c r="G33" s="43">
        <v>7.5042030000000001E-3</v>
      </c>
      <c r="H33" s="112"/>
    </row>
    <row r="34" spans="1:8" x14ac:dyDescent="0.2">
      <c r="A34" s="39">
        <v>28</v>
      </c>
      <c r="B34" s="40" t="s">
        <v>445</v>
      </c>
      <c r="C34" s="40" t="s">
        <v>446</v>
      </c>
      <c r="D34" s="40" t="s">
        <v>19</v>
      </c>
      <c r="E34" s="41">
        <v>45000</v>
      </c>
      <c r="F34" s="42">
        <v>914.01750000000004</v>
      </c>
      <c r="G34" s="43">
        <v>7.458648E-3</v>
      </c>
      <c r="H34" s="112"/>
    </row>
    <row r="35" spans="1:8" ht="25.5" x14ac:dyDescent="0.2">
      <c r="A35" s="39">
        <v>29</v>
      </c>
      <c r="B35" s="40" t="s">
        <v>326</v>
      </c>
      <c r="C35" s="40" t="s">
        <v>327</v>
      </c>
      <c r="D35" s="40" t="s">
        <v>192</v>
      </c>
      <c r="E35" s="41">
        <v>100000</v>
      </c>
      <c r="F35" s="42">
        <v>849.35</v>
      </c>
      <c r="G35" s="43">
        <v>6.9309419999999998E-3</v>
      </c>
      <c r="H35" s="112"/>
    </row>
    <row r="36" spans="1:8" x14ac:dyDescent="0.2">
      <c r="A36" s="39">
        <v>30</v>
      </c>
      <c r="B36" s="40" t="s">
        <v>370</v>
      </c>
      <c r="C36" s="40" t="s">
        <v>371</v>
      </c>
      <c r="D36" s="40" t="s">
        <v>71</v>
      </c>
      <c r="E36" s="41">
        <v>1063000</v>
      </c>
      <c r="F36" s="42">
        <v>810.53750000000002</v>
      </c>
      <c r="G36" s="43">
        <v>6.614221E-3</v>
      </c>
      <c r="H36" s="112"/>
    </row>
    <row r="37" spans="1:8" x14ac:dyDescent="0.2">
      <c r="A37" s="39">
        <v>31</v>
      </c>
      <c r="B37" s="40" t="s">
        <v>428</v>
      </c>
      <c r="C37" s="40" t="s">
        <v>429</v>
      </c>
      <c r="D37" s="40" t="s">
        <v>186</v>
      </c>
      <c r="E37" s="41">
        <v>100000</v>
      </c>
      <c r="F37" s="42">
        <v>795</v>
      </c>
      <c r="G37" s="43">
        <v>6.4874299999999998E-3</v>
      </c>
      <c r="H37" s="112"/>
    </row>
    <row r="38" spans="1:8" x14ac:dyDescent="0.2">
      <c r="A38" s="39">
        <v>32</v>
      </c>
      <c r="B38" s="40" t="s">
        <v>171</v>
      </c>
      <c r="C38" s="40" t="s">
        <v>172</v>
      </c>
      <c r="D38" s="40" t="s">
        <v>173</v>
      </c>
      <c r="E38" s="41">
        <v>55500</v>
      </c>
      <c r="F38" s="42">
        <v>775.0575</v>
      </c>
      <c r="G38" s="43">
        <v>6.3246939999999996E-3</v>
      </c>
      <c r="H38" s="112"/>
    </row>
    <row r="39" spans="1:8" x14ac:dyDescent="0.2">
      <c r="A39" s="39">
        <v>33</v>
      </c>
      <c r="B39" s="40" t="s">
        <v>376</v>
      </c>
      <c r="C39" s="40" t="s">
        <v>377</v>
      </c>
      <c r="D39" s="40" t="s">
        <v>162</v>
      </c>
      <c r="E39" s="41">
        <v>66000</v>
      </c>
      <c r="F39" s="42">
        <v>754.875</v>
      </c>
      <c r="G39" s="43">
        <v>6.1599990000000002E-3</v>
      </c>
      <c r="H39" s="112"/>
    </row>
    <row r="40" spans="1:8" x14ac:dyDescent="0.2">
      <c r="A40" s="39">
        <v>34</v>
      </c>
      <c r="B40" s="40" t="s">
        <v>35</v>
      </c>
      <c r="C40" s="40" t="s">
        <v>36</v>
      </c>
      <c r="D40" s="40" t="s">
        <v>16</v>
      </c>
      <c r="E40" s="41">
        <v>180000</v>
      </c>
      <c r="F40" s="42">
        <v>751.86</v>
      </c>
      <c r="G40" s="43">
        <v>6.1353960000000004E-3</v>
      </c>
      <c r="H40" s="112"/>
    </row>
    <row r="41" spans="1:8" x14ac:dyDescent="0.2">
      <c r="A41" s="39">
        <v>35</v>
      </c>
      <c r="B41" s="40" t="s">
        <v>205</v>
      </c>
      <c r="C41" s="40" t="s">
        <v>206</v>
      </c>
      <c r="D41" s="40" t="s">
        <v>975</v>
      </c>
      <c r="E41" s="41">
        <v>86000</v>
      </c>
      <c r="F41" s="42">
        <v>745.06100000000004</v>
      </c>
      <c r="G41" s="43">
        <v>6.0799139999999996E-3</v>
      </c>
      <c r="H41" s="112"/>
    </row>
    <row r="42" spans="1:8" x14ac:dyDescent="0.2">
      <c r="A42" s="39">
        <v>36</v>
      </c>
      <c r="B42" s="40" t="s">
        <v>306</v>
      </c>
      <c r="C42" s="40" t="s">
        <v>307</v>
      </c>
      <c r="D42" s="40" t="s">
        <v>973</v>
      </c>
      <c r="E42" s="41">
        <v>75000</v>
      </c>
      <c r="F42" s="42">
        <v>730.2</v>
      </c>
      <c r="G42" s="43">
        <v>5.9586439999999999E-3</v>
      </c>
      <c r="H42" s="112"/>
    </row>
    <row r="43" spans="1:8" ht="25.5" x14ac:dyDescent="0.2">
      <c r="A43" s="39">
        <v>37</v>
      </c>
      <c r="B43" s="40" t="s">
        <v>443</v>
      </c>
      <c r="C43" s="40" t="s">
        <v>444</v>
      </c>
      <c r="D43" s="40" t="s">
        <v>192</v>
      </c>
      <c r="E43" s="41">
        <v>325000</v>
      </c>
      <c r="F43" s="42">
        <v>725.4</v>
      </c>
      <c r="G43" s="43">
        <v>5.9194740000000001E-3</v>
      </c>
      <c r="H43" s="112"/>
    </row>
    <row r="44" spans="1:8" ht="25.5" x14ac:dyDescent="0.2">
      <c r="A44" s="39">
        <v>38</v>
      </c>
      <c r="B44" s="40" t="s">
        <v>400</v>
      </c>
      <c r="C44" s="40" t="s">
        <v>401</v>
      </c>
      <c r="D44" s="40" t="s">
        <v>192</v>
      </c>
      <c r="E44" s="41">
        <v>87275</v>
      </c>
      <c r="F44" s="42">
        <v>706.49112500000001</v>
      </c>
      <c r="G44" s="43">
        <v>5.7651719999999998E-3</v>
      </c>
      <c r="H44" s="112"/>
    </row>
    <row r="45" spans="1:8" x14ac:dyDescent="0.2">
      <c r="A45" s="39">
        <v>39</v>
      </c>
      <c r="B45" s="40" t="s">
        <v>337</v>
      </c>
      <c r="C45" s="40" t="s">
        <v>338</v>
      </c>
      <c r="D45" s="40" t="s">
        <v>19</v>
      </c>
      <c r="E45" s="41">
        <v>640000</v>
      </c>
      <c r="F45" s="42">
        <v>624</v>
      </c>
      <c r="G45" s="43">
        <v>5.0920210000000004E-3</v>
      </c>
      <c r="H45" s="112"/>
    </row>
    <row r="46" spans="1:8" x14ac:dyDescent="0.2">
      <c r="A46" s="39">
        <v>40</v>
      </c>
      <c r="B46" s="40" t="s">
        <v>628</v>
      </c>
      <c r="C46" s="40" t="s">
        <v>629</v>
      </c>
      <c r="D46" s="40" t="s">
        <v>630</v>
      </c>
      <c r="E46" s="41">
        <v>435500</v>
      </c>
      <c r="F46" s="42">
        <v>623.41824999999994</v>
      </c>
      <c r="G46" s="43">
        <v>5.0872740000000001E-3</v>
      </c>
      <c r="H46" s="112"/>
    </row>
    <row r="47" spans="1:8" x14ac:dyDescent="0.2">
      <c r="A47" s="39">
        <v>41</v>
      </c>
      <c r="B47" s="40" t="s">
        <v>335</v>
      </c>
      <c r="C47" s="40" t="s">
        <v>336</v>
      </c>
      <c r="D47" s="40" t="s">
        <v>71</v>
      </c>
      <c r="E47" s="41">
        <v>130000</v>
      </c>
      <c r="F47" s="42">
        <v>605.28</v>
      </c>
      <c r="G47" s="43">
        <v>4.93926E-3</v>
      </c>
      <c r="H47" s="112"/>
    </row>
    <row r="48" spans="1:8" x14ac:dyDescent="0.2">
      <c r="A48" s="39">
        <v>42</v>
      </c>
      <c r="B48" s="40" t="s">
        <v>433</v>
      </c>
      <c r="C48" s="40" t="s">
        <v>434</v>
      </c>
      <c r="D48" s="40" t="s">
        <v>53</v>
      </c>
      <c r="E48" s="41">
        <v>42500</v>
      </c>
      <c r="F48" s="42">
        <v>559.27874999999995</v>
      </c>
      <c r="G48" s="43">
        <v>4.563877E-3</v>
      </c>
      <c r="H48" s="112"/>
    </row>
    <row r="49" spans="1:8" x14ac:dyDescent="0.2">
      <c r="A49" s="39">
        <v>43</v>
      </c>
      <c r="B49" s="40" t="s">
        <v>310</v>
      </c>
      <c r="C49" s="40" t="s">
        <v>311</v>
      </c>
      <c r="D49" s="40" t="s">
        <v>71</v>
      </c>
      <c r="E49" s="41">
        <v>46000</v>
      </c>
      <c r="F49" s="42">
        <v>554.09299999999996</v>
      </c>
      <c r="G49" s="43">
        <v>4.5215589999999996E-3</v>
      </c>
      <c r="H49" s="112"/>
    </row>
    <row r="50" spans="1:8" x14ac:dyDescent="0.2">
      <c r="A50" s="39">
        <v>44</v>
      </c>
      <c r="B50" s="40" t="s">
        <v>390</v>
      </c>
      <c r="C50" s="40" t="s">
        <v>391</v>
      </c>
      <c r="D50" s="40" t="s">
        <v>334</v>
      </c>
      <c r="E50" s="41">
        <v>400000</v>
      </c>
      <c r="F50" s="42">
        <v>526.20000000000005</v>
      </c>
      <c r="G50" s="43">
        <v>4.2939450000000004E-3</v>
      </c>
      <c r="H50" s="112"/>
    </row>
    <row r="51" spans="1:8" x14ac:dyDescent="0.2">
      <c r="A51" s="39">
        <v>45</v>
      </c>
      <c r="B51" s="40" t="s">
        <v>345</v>
      </c>
      <c r="C51" s="40" t="s">
        <v>346</v>
      </c>
      <c r="D51" s="40" t="s">
        <v>186</v>
      </c>
      <c r="E51" s="41">
        <v>14000</v>
      </c>
      <c r="F51" s="42">
        <v>518.02800000000002</v>
      </c>
      <c r="G51" s="43">
        <v>4.2272589999999997E-3</v>
      </c>
      <c r="H51" s="112"/>
    </row>
    <row r="52" spans="1:8" x14ac:dyDescent="0.2">
      <c r="A52" s="39">
        <v>46</v>
      </c>
      <c r="B52" s="40" t="s">
        <v>339</v>
      </c>
      <c r="C52" s="40" t="s">
        <v>340</v>
      </c>
      <c r="D52" s="40" t="s">
        <v>81</v>
      </c>
      <c r="E52" s="41">
        <v>36000</v>
      </c>
      <c r="F52" s="42">
        <v>517.03200000000004</v>
      </c>
      <c r="G52" s="43">
        <v>4.2191310000000001E-3</v>
      </c>
      <c r="H52" s="112"/>
    </row>
    <row r="53" spans="1:8" x14ac:dyDescent="0.2">
      <c r="A53" s="39">
        <v>47</v>
      </c>
      <c r="B53" s="40" t="s">
        <v>187</v>
      </c>
      <c r="C53" s="40" t="s">
        <v>188</v>
      </c>
      <c r="D53" s="40" t="s">
        <v>189</v>
      </c>
      <c r="E53" s="41">
        <v>225000</v>
      </c>
      <c r="F53" s="42">
        <v>507.6</v>
      </c>
      <c r="G53" s="43">
        <v>4.1421629999999999E-3</v>
      </c>
      <c r="H53" s="112"/>
    </row>
    <row r="54" spans="1:8" ht="25.5" x14ac:dyDescent="0.2">
      <c r="A54" s="39">
        <v>48</v>
      </c>
      <c r="B54" s="40" t="s">
        <v>20</v>
      </c>
      <c r="C54" s="40" t="s">
        <v>21</v>
      </c>
      <c r="D54" s="40" t="s">
        <v>971</v>
      </c>
      <c r="E54" s="41">
        <v>46000</v>
      </c>
      <c r="F54" s="42">
        <v>490.59</v>
      </c>
      <c r="G54" s="43">
        <v>4.0033569999999999E-3</v>
      </c>
      <c r="H54" s="112"/>
    </row>
    <row r="55" spans="1:8" x14ac:dyDescent="0.2">
      <c r="A55" s="39">
        <v>49</v>
      </c>
      <c r="B55" s="40" t="s">
        <v>435</v>
      </c>
      <c r="C55" s="40" t="s">
        <v>436</v>
      </c>
      <c r="D55" s="40" t="s">
        <v>78</v>
      </c>
      <c r="E55" s="41">
        <v>55000</v>
      </c>
      <c r="F55" s="42">
        <v>486.33749999999998</v>
      </c>
      <c r="G55" s="43">
        <v>3.9686549999999998E-3</v>
      </c>
      <c r="H55" s="112"/>
    </row>
    <row r="56" spans="1:8" x14ac:dyDescent="0.2">
      <c r="A56" s="39">
        <v>50</v>
      </c>
      <c r="B56" s="40" t="s">
        <v>328</v>
      </c>
      <c r="C56" s="40" t="s">
        <v>329</v>
      </c>
      <c r="D56" s="40" t="s">
        <v>162</v>
      </c>
      <c r="E56" s="41">
        <v>10000</v>
      </c>
      <c r="F56" s="42">
        <v>472.5</v>
      </c>
      <c r="G56" s="43">
        <v>3.8557370000000001E-3</v>
      </c>
      <c r="H56" s="112"/>
    </row>
    <row r="57" spans="1:8" x14ac:dyDescent="0.2">
      <c r="A57" s="39">
        <v>51</v>
      </c>
      <c r="B57" s="40" t="s">
        <v>437</v>
      </c>
      <c r="C57" s="40" t="s">
        <v>438</v>
      </c>
      <c r="D57" s="40" t="s">
        <v>186</v>
      </c>
      <c r="E57" s="41">
        <v>9000</v>
      </c>
      <c r="F57" s="42">
        <v>463.51350000000002</v>
      </c>
      <c r="G57" s="43">
        <v>3.782405E-3</v>
      </c>
      <c r="H57" s="112"/>
    </row>
    <row r="58" spans="1:8" x14ac:dyDescent="0.2">
      <c r="A58" s="39">
        <v>52</v>
      </c>
      <c r="B58" s="40" t="s">
        <v>576</v>
      </c>
      <c r="C58" s="40" t="s">
        <v>577</v>
      </c>
      <c r="D58" s="40" t="s">
        <v>78</v>
      </c>
      <c r="E58" s="41">
        <v>12500</v>
      </c>
      <c r="F58" s="42">
        <v>463.40625</v>
      </c>
      <c r="G58" s="43">
        <v>3.7815290000000001E-3</v>
      </c>
      <c r="H58" s="112"/>
    </row>
    <row r="59" spans="1:8" x14ac:dyDescent="0.2">
      <c r="A59" s="39">
        <v>53</v>
      </c>
      <c r="B59" s="40" t="s">
        <v>358</v>
      </c>
      <c r="C59" s="40" t="s">
        <v>359</v>
      </c>
      <c r="D59" s="40" t="s">
        <v>50</v>
      </c>
      <c r="E59" s="41">
        <v>70000</v>
      </c>
      <c r="F59" s="42">
        <v>458.57</v>
      </c>
      <c r="G59" s="43">
        <v>3.7420639999999998E-3</v>
      </c>
      <c r="H59" s="112"/>
    </row>
    <row r="60" spans="1:8" x14ac:dyDescent="0.2">
      <c r="A60" s="39">
        <v>54</v>
      </c>
      <c r="B60" s="40" t="s">
        <v>687</v>
      </c>
      <c r="C60" s="40" t="s">
        <v>688</v>
      </c>
      <c r="D60" s="40" t="s">
        <v>974</v>
      </c>
      <c r="E60" s="41">
        <v>17200</v>
      </c>
      <c r="F60" s="42">
        <v>455.3184</v>
      </c>
      <c r="G60" s="43">
        <v>3.7155299999999999E-3</v>
      </c>
      <c r="H60" s="112"/>
    </row>
    <row r="61" spans="1:8" x14ac:dyDescent="0.2">
      <c r="A61" s="39">
        <v>55</v>
      </c>
      <c r="B61" s="40" t="s">
        <v>507</v>
      </c>
      <c r="C61" s="40" t="s">
        <v>508</v>
      </c>
      <c r="D61" s="40" t="s">
        <v>78</v>
      </c>
      <c r="E61" s="41">
        <v>88350</v>
      </c>
      <c r="F61" s="42">
        <v>427.34895</v>
      </c>
      <c r="G61" s="43">
        <v>3.487291E-3</v>
      </c>
      <c r="H61" s="112"/>
    </row>
    <row r="62" spans="1:8" x14ac:dyDescent="0.2">
      <c r="A62" s="39">
        <v>56</v>
      </c>
      <c r="B62" s="40" t="s">
        <v>604</v>
      </c>
      <c r="C62" s="40" t="s">
        <v>605</v>
      </c>
      <c r="D62" s="40" t="s">
        <v>19</v>
      </c>
      <c r="E62" s="41">
        <v>992000</v>
      </c>
      <c r="F62" s="42">
        <v>417.63200000000001</v>
      </c>
      <c r="G62" s="43">
        <v>3.4079980000000002E-3</v>
      </c>
      <c r="H62" s="112"/>
    </row>
    <row r="63" spans="1:8" x14ac:dyDescent="0.2">
      <c r="A63" s="39">
        <v>57</v>
      </c>
      <c r="B63" s="40" t="s">
        <v>343</v>
      </c>
      <c r="C63" s="40" t="s">
        <v>344</v>
      </c>
      <c r="D63" s="40" t="s">
        <v>53</v>
      </c>
      <c r="E63" s="41">
        <v>100000</v>
      </c>
      <c r="F63" s="42">
        <v>417.3</v>
      </c>
      <c r="G63" s="43">
        <v>3.4052890000000001E-3</v>
      </c>
      <c r="H63" s="112"/>
    </row>
    <row r="64" spans="1:8" x14ac:dyDescent="0.2">
      <c r="A64" s="39">
        <v>58</v>
      </c>
      <c r="B64" s="40" t="s">
        <v>639</v>
      </c>
      <c r="C64" s="40" t="s">
        <v>640</v>
      </c>
      <c r="D64" s="40" t="s">
        <v>186</v>
      </c>
      <c r="E64" s="41">
        <v>39950</v>
      </c>
      <c r="F64" s="42">
        <v>368.69855000000001</v>
      </c>
      <c r="G64" s="43">
        <v>3.0086869999999999E-3</v>
      </c>
      <c r="H64" s="112"/>
    </row>
    <row r="65" spans="1:8" ht="25.5" x14ac:dyDescent="0.2">
      <c r="A65" s="39">
        <v>59</v>
      </c>
      <c r="B65" s="40" t="s">
        <v>181</v>
      </c>
      <c r="C65" s="40" t="s">
        <v>931</v>
      </c>
      <c r="D65" s="40" t="s">
        <v>45</v>
      </c>
      <c r="E65" s="41">
        <v>151829</v>
      </c>
      <c r="F65" s="42">
        <v>354.29297150000002</v>
      </c>
      <c r="G65" s="43">
        <v>2.8911330000000002E-3</v>
      </c>
      <c r="H65" s="112"/>
    </row>
    <row r="66" spans="1:8" ht="25.5" x14ac:dyDescent="0.2">
      <c r="A66" s="39">
        <v>60</v>
      </c>
      <c r="B66" s="40" t="s">
        <v>618</v>
      </c>
      <c r="C66" s="40" t="s">
        <v>619</v>
      </c>
      <c r="D66" s="40" t="s">
        <v>971</v>
      </c>
      <c r="E66" s="41">
        <v>18525</v>
      </c>
      <c r="F66" s="42">
        <v>318.833775</v>
      </c>
      <c r="G66" s="43">
        <v>2.6017760000000001E-3</v>
      </c>
      <c r="H66" s="112"/>
    </row>
    <row r="67" spans="1:8" x14ac:dyDescent="0.2">
      <c r="A67" s="39">
        <v>61</v>
      </c>
      <c r="B67" s="40" t="s">
        <v>372</v>
      </c>
      <c r="C67" s="40" t="s">
        <v>373</v>
      </c>
      <c r="D67" s="40" t="s">
        <v>237</v>
      </c>
      <c r="E67" s="41">
        <v>40000</v>
      </c>
      <c r="F67" s="42">
        <v>314.24</v>
      </c>
      <c r="G67" s="43">
        <v>2.564289E-3</v>
      </c>
      <c r="H67" s="112"/>
    </row>
    <row r="68" spans="1:8" x14ac:dyDescent="0.2">
      <c r="A68" s="39">
        <v>62</v>
      </c>
      <c r="B68" s="40" t="s">
        <v>59</v>
      </c>
      <c r="C68" s="40" t="s">
        <v>60</v>
      </c>
      <c r="D68" s="40" t="s">
        <v>61</v>
      </c>
      <c r="E68" s="41">
        <v>200000</v>
      </c>
      <c r="F68" s="42">
        <v>297.7</v>
      </c>
      <c r="G68" s="43">
        <v>2.4293180000000002E-3</v>
      </c>
      <c r="H68" s="112"/>
    </row>
    <row r="69" spans="1:8" x14ac:dyDescent="0.2">
      <c r="A69" s="39">
        <v>63</v>
      </c>
      <c r="B69" s="40" t="s">
        <v>787</v>
      </c>
      <c r="C69" s="40" t="s">
        <v>788</v>
      </c>
      <c r="D69" s="40" t="s">
        <v>147</v>
      </c>
      <c r="E69" s="41">
        <v>28000</v>
      </c>
      <c r="F69" s="42">
        <v>252.37799999999999</v>
      </c>
      <c r="G69" s="43">
        <v>2.059478E-3</v>
      </c>
      <c r="H69" s="112"/>
    </row>
    <row r="70" spans="1:8" x14ac:dyDescent="0.2">
      <c r="A70" s="39">
        <v>64</v>
      </c>
      <c r="B70" s="40" t="s">
        <v>260</v>
      </c>
      <c r="C70" s="40" t="s">
        <v>261</v>
      </c>
      <c r="D70" s="40" t="s">
        <v>173</v>
      </c>
      <c r="E70" s="41">
        <v>41000</v>
      </c>
      <c r="F70" s="42">
        <v>247.00450000000001</v>
      </c>
      <c r="G70" s="43">
        <v>2.0156280000000002E-3</v>
      </c>
      <c r="H70" s="112"/>
    </row>
    <row r="71" spans="1:8" x14ac:dyDescent="0.2">
      <c r="A71" s="39">
        <v>65</v>
      </c>
      <c r="B71" s="40" t="s">
        <v>82</v>
      </c>
      <c r="C71" s="40" t="s">
        <v>83</v>
      </c>
      <c r="D71" s="40" t="s">
        <v>50</v>
      </c>
      <c r="E71" s="41">
        <v>33750</v>
      </c>
      <c r="F71" s="42">
        <v>233.88749999999999</v>
      </c>
      <c r="G71" s="43">
        <v>1.9085899999999999E-3</v>
      </c>
      <c r="H71" s="112"/>
    </row>
    <row r="72" spans="1:8" x14ac:dyDescent="0.2">
      <c r="A72" s="39">
        <v>66</v>
      </c>
      <c r="B72" s="40" t="s">
        <v>456</v>
      </c>
      <c r="C72" s="40" t="s">
        <v>457</v>
      </c>
      <c r="D72" s="40" t="s">
        <v>186</v>
      </c>
      <c r="E72" s="41">
        <v>25000</v>
      </c>
      <c r="F72" s="42">
        <v>226.26249999999999</v>
      </c>
      <c r="G72" s="43">
        <v>1.8463679999999999E-3</v>
      </c>
      <c r="H72" s="112"/>
    </row>
    <row r="73" spans="1:8" x14ac:dyDescent="0.2">
      <c r="A73" s="39">
        <v>67</v>
      </c>
      <c r="B73" s="40" t="s">
        <v>610</v>
      </c>
      <c r="C73" s="40" t="s">
        <v>611</v>
      </c>
      <c r="D73" s="40" t="s">
        <v>432</v>
      </c>
      <c r="E73" s="41">
        <v>52700</v>
      </c>
      <c r="F73" s="42">
        <v>160.208</v>
      </c>
      <c r="G73" s="43">
        <v>1.307344E-3</v>
      </c>
      <c r="H73" s="112"/>
    </row>
    <row r="74" spans="1:8" x14ac:dyDescent="0.2">
      <c r="A74" s="39">
        <v>68</v>
      </c>
      <c r="B74" s="40" t="s">
        <v>447</v>
      </c>
      <c r="C74" s="70" t="s">
        <v>1030</v>
      </c>
      <c r="D74" s="40" t="s">
        <v>24</v>
      </c>
      <c r="E74" s="41">
        <v>28298</v>
      </c>
      <c r="F74" s="42">
        <v>72.355156199999996</v>
      </c>
      <c r="G74" s="43">
        <v>5.90439E-4</v>
      </c>
      <c r="H74" s="112"/>
    </row>
    <row r="75" spans="1:8" x14ac:dyDescent="0.2">
      <c r="A75" s="37"/>
      <c r="B75" s="37"/>
      <c r="C75" s="38" t="s">
        <v>97</v>
      </c>
      <c r="D75" s="37"/>
      <c r="E75" s="37" t="s">
        <v>98</v>
      </c>
      <c r="F75" s="44">
        <v>89352.513892200019</v>
      </c>
      <c r="G75" s="45">
        <v>0.72914241800000001</v>
      </c>
      <c r="H75" s="112"/>
    </row>
    <row r="76" spans="1:8" x14ac:dyDescent="0.2">
      <c r="A76" s="37"/>
      <c r="B76" s="37"/>
      <c r="C76" s="46"/>
      <c r="D76" s="37"/>
      <c r="E76" s="37"/>
      <c r="F76" s="47"/>
      <c r="G76" s="47"/>
      <c r="H76" s="112"/>
    </row>
    <row r="77" spans="1:8" x14ac:dyDescent="0.2">
      <c r="A77" s="37"/>
      <c r="B77" s="37"/>
      <c r="C77" s="38" t="s">
        <v>99</v>
      </c>
      <c r="D77" s="37"/>
      <c r="E77" s="37"/>
      <c r="F77" s="37"/>
      <c r="G77" s="37"/>
      <c r="H77" s="112"/>
    </row>
    <row r="78" spans="1:8" x14ac:dyDescent="0.2">
      <c r="A78" s="37"/>
      <c r="B78" s="37"/>
      <c r="C78" s="38" t="s">
        <v>97</v>
      </c>
      <c r="D78" s="37"/>
      <c r="E78" s="37" t="s">
        <v>98</v>
      </c>
      <c r="F78" s="48">
        <v>0</v>
      </c>
      <c r="G78" s="49">
        <v>0</v>
      </c>
      <c r="H78" s="112"/>
    </row>
    <row r="79" spans="1:8" x14ac:dyDescent="0.2">
      <c r="A79" s="37"/>
      <c r="B79" s="37"/>
      <c r="C79" s="46"/>
      <c r="D79" s="37"/>
      <c r="E79" s="37"/>
      <c r="F79" s="47"/>
      <c r="G79" s="47"/>
      <c r="H79" s="112"/>
    </row>
    <row r="80" spans="1:8" x14ac:dyDescent="0.2">
      <c r="A80" s="37"/>
      <c r="B80" s="37"/>
      <c r="C80" s="38" t="s">
        <v>100</v>
      </c>
      <c r="D80" s="37"/>
      <c r="E80" s="37"/>
      <c r="F80" s="37"/>
      <c r="G80" s="37"/>
      <c r="H80" s="112"/>
    </row>
    <row r="81" spans="1:8" x14ac:dyDescent="0.2">
      <c r="A81" s="37"/>
      <c r="B81" s="37"/>
      <c r="C81" s="38" t="s">
        <v>97</v>
      </c>
      <c r="D81" s="37"/>
      <c r="E81" s="37" t="s">
        <v>98</v>
      </c>
      <c r="F81" s="48">
        <v>0</v>
      </c>
      <c r="G81" s="49">
        <v>0</v>
      </c>
      <c r="H81" s="112"/>
    </row>
    <row r="82" spans="1:8" x14ac:dyDescent="0.2">
      <c r="A82" s="37"/>
      <c r="B82" s="37"/>
      <c r="C82" s="46"/>
      <c r="D82" s="37"/>
      <c r="E82" s="37"/>
      <c r="F82" s="47"/>
      <c r="G82" s="47"/>
      <c r="H82" s="112"/>
    </row>
    <row r="83" spans="1:8" x14ac:dyDescent="0.2">
      <c r="A83" s="37"/>
      <c r="B83" s="37"/>
      <c r="C83" s="38" t="s">
        <v>101</v>
      </c>
      <c r="D83" s="37"/>
      <c r="E83" s="37"/>
      <c r="F83" s="37"/>
      <c r="G83" s="37"/>
      <c r="H83" s="112"/>
    </row>
    <row r="84" spans="1:8" x14ac:dyDescent="0.2">
      <c r="A84" s="37"/>
      <c r="B84" s="37"/>
      <c r="C84" s="38" t="s">
        <v>97</v>
      </c>
      <c r="D84" s="37"/>
      <c r="E84" s="37" t="s">
        <v>98</v>
      </c>
      <c r="F84" s="48">
        <v>0</v>
      </c>
      <c r="G84" s="49">
        <v>0</v>
      </c>
      <c r="H84" s="112"/>
    </row>
    <row r="85" spans="1:8" x14ac:dyDescent="0.2">
      <c r="A85" s="37"/>
      <c r="B85" s="37"/>
      <c r="C85" s="46"/>
      <c r="D85" s="37"/>
      <c r="E85" s="37"/>
      <c r="F85" s="47"/>
      <c r="G85" s="47"/>
      <c r="H85" s="112"/>
    </row>
    <row r="86" spans="1:8" x14ac:dyDescent="0.2">
      <c r="A86" s="37"/>
      <c r="B86" s="37"/>
      <c r="C86" s="38" t="s">
        <v>102</v>
      </c>
      <c r="D86" s="37"/>
      <c r="E86" s="37"/>
      <c r="F86" s="47"/>
      <c r="G86" s="47"/>
      <c r="H86" s="112"/>
    </row>
    <row r="87" spans="1:8" ht="25.5" x14ac:dyDescent="0.2">
      <c r="A87" s="80">
        <v>1</v>
      </c>
      <c r="B87" s="81" t="s">
        <v>932</v>
      </c>
      <c r="C87" s="81" t="s">
        <v>933</v>
      </c>
      <c r="D87" s="81" t="s">
        <v>81</v>
      </c>
      <c r="E87" s="82">
        <v>14400</v>
      </c>
      <c r="F87" s="83">
        <v>122.39999999999999</v>
      </c>
      <c r="G87" s="84">
        <v>9.9882000000000009E-4</v>
      </c>
      <c r="H87" s="112"/>
    </row>
    <row r="88" spans="1:8" x14ac:dyDescent="0.2">
      <c r="A88" s="37"/>
      <c r="B88" s="37"/>
      <c r="C88" s="38" t="s">
        <v>97</v>
      </c>
      <c r="D88" s="37"/>
      <c r="E88" s="37" t="s">
        <v>98</v>
      </c>
      <c r="F88" s="48">
        <v>122.39999999999999</v>
      </c>
      <c r="G88" s="49">
        <v>9.9882000000000009E-4</v>
      </c>
      <c r="H88" s="112"/>
    </row>
    <row r="89" spans="1:8" x14ac:dyDescent="0.2">
      <c r="A89" s="37"/>
      <c r="B89" s="37"/>
      <c r="C89" s="46"/>
      <c r="D89" s="37"/>
      <c r="E89" s="37"/>
      <c r="F89" s="47"/>
      <c r="G89" s="47"/>
      <c r="H89" s="112"/>
    </row>
    <row r="90" spans="1:8" x14ac:dyDescent="0.2">
      <c r="A90" s="37"/>
      <c r="B90" s="37"/>
      <c r="C90" s="38" t="s">
        <v>103</v>
      </c>
      <c r="D90" s="37"/>
      <c r="E90" s="37"/>
      <c r="F90" s="47"/>
      <c r="G90" s="47"/>
      <c r="H90" s="112"/>
    </row>
    <row r="91" spans="1:8" x14ac:dyDescent="0.2">
      <c r="A91" s="39">
        <v>1</v>
      </c>
      <c r="B91" s="40"/>
      <c r="C91" s="40" t="s">
        <v>878</v>
      </c>
      <c r="D91" s="40" t="s">
        <v>408</v>
      </c>
      <c r="E91" s="41">
        <v>216000</v>
      </c>
      <c r="F91" s="42">
        <v>671.65200000000004</v>
      </c>
      <c r="G91" s="43">
        <v>5.4808749999999996E-3</v>
      </c>
      <c r="H91" s="112"/>
    </row>
    <row r="92" spans="1:8" x14ac:dyDescent="0.2">
      <c r="A92" s="39">
        <v>2</v>
      </c>
      <c r="B92" s="40"/>
      <c r="C92" s="40" t="s">
        <v>901</v>
      </c>
      <c r="D92" s="40" t="s">
        <v>408</v>
      </c>
      <c r="E92" s="41">
        <v>-1500</v>
      </c>
      <c r="F92" s="42">
        <v>-35.984250000000003</v>
      </c>
      <c r="G92" s="43">
        <v>-2.9364199999999999E-4</v>
      </c>
      <c r="H92" s="112"/>
    </row>
    <row r="93" spans="1:8" x14ac:dyDescent="0.2">
      <c r="A93" s="39">
        <v>3</v>
      </c>
      <c r="B93" s="40"/>
      <c r="C93" s="40" t="s">
        <v>883</v>
      </c>
      <c r="D93" s="40" t="s">
        <v>408</v>
      </c>
      <c r="E93" s="41">
        <v>-52700</v>
      </c>
      <c r="F93" s="42">
        <v>-160.55054999999999</v>
      </c>
      <c r="G93" s="43">
        <v>-1.3101390000000001E-3</v>
      </c>
      <c r="H93" s="112"/>
    </row>
    <row r="94" spans="1:8" x14ac:dyDescent="0.2">
      <c r="A94" s="39">
        <v>4</v>
      </c>
      <c r="B94" s="40"/>
      <c r="C94" s="40" t="s">
        <v>906</v>
      </c>
      <c r="D94" s="40" t="s">
        <v>408</v>
      </c>
      <c r="E94" s="41">
        <v>-22275</v>
      </c>
      <c r="F94" s="42">
        <v>-180.71707499999999</v>
      </c>
      <c r="G94" s="43">
        <v>-1.4747040000000001E-3</v>
      </c>
      <c r="H94" s="112"/>
    </row>
    <row r="95" spans="1:8" x14ac:dyDescent="0.2">
      <c r="A95" s="39">
        <v>5</v>
      </c>
      <c r="B95" s="40"/>
      <c r="C95" s="40" t="s">
        <v>892</v>
      </c>
      <c r="D95" s="40" t="s">
        <v>408</v>
      </c>
      <c r="E95" s="41">
        <v>-33750</v>
      </c>
      <c r="F95" s="42">
        <v>-234.25874999999999</v>
      </c>
      <c r="G95" s="43">
        <v>-1.911619E-3</v>
      </c>
      <c r="H95" s="112"/>
    </row>
    <row r="96" spans="1:8" x14ac:dyDescent="0.2">
      <c r="A96" s="39">
        <v>6</v>
      </c>
      <c r="B96" s="40"/>
      <c r="C96" s="40" t="s">
        <v>907</v>
      </c>
      <c r="D96" s="40" t="s">
        <v>408</v>
      </c>
      <c r="E96" s="41">
        <v>-28000</v>
      </c>
      <c r="F96" s="42">
        <v>-253.02199999999999</v>
      </c>
      <c r="G96" s="43">
        <v>-2.064733E-3</v>
      </c>
      <c r="H96" s="112"/>
    </row>
    <row r="97" spans="1:8" x14ac:dyDescent="0.2">
      <c r="A97" s="39">
        <v>7</v>
      </c>
      <c r="B97" s="40"/>
      <c r="C97" s="40" t="s">
        <v>908</v>
      </c>
      <c r="D97" s="40" t="s">
        <v>408</v>
      </c>
      <c r="E97" s="41">
        <v>-5000</v>
      </c>
      <c r="F97" s="42">
        <v>-258.77749999999997</v>
      </c>
      <c r="G97" s="43">
        <v>-2.1116989999999999E-3</v>
      </c>
      <c r="H97" s="112"/>
    </row>
    <row r="98" spans="1:8" x14ac:dyDescent="0.2">
      <c r="A98" s="39">
        <v>8</v>
      </c>
      <c r="B98" s="40"/>
      <c r="C98" s="40" t="s">
        <v>880</v>
      </c>
      <c r="D98" s="40" t="s">
        <v>408</v>
      </c>
      <c r="E98" s="41">
        <v>-25500</v>
      </c>
      <c r="F98" s="42">
        <v>-293.44125000000003</v>
      </c>
      <c r="G98" s="43">
        <v>-2.3945659999999999E-3</v>
      </c>
      <c r="H98" s="112"/>
    </row>
    <row r="99" spans="1:8" x14ac:dyDescent="0.2">
      <c r="A99" s="39">
        <v>9</v>
      </c>
      <c r="B99" s="40"/>
      <c r="C99" s="40" t="s">
        <v>909</v>
      </c>
      <c r="D99" s="40" t="s">
        <v>408</v>
      </c>
      <c r="E99" s="41">
        <v>-18525</v>
      </c>
      <c r="F99" s="42">
        <v>-320.10273749999999</v>
      </c>
      <c r="G99" s="43">
        <v>-2.6121310000000002E-3</v>
      </c>
      <c r="H99" s="112"/>
    </row>
    <row r="100" spans="1:8" x14ac:dyDescent="0.2">
      <c r="A100" s="39">
        <v>10</v>
      </c>
      <c r="B100" s="40"/>
      <c r="C100" s="40" t="s">
        <v>910</v>
      </c>
      <c r="D100" s="40" t="s">
        <v>408</v>
      </c>
      <c r="E100" s="41">
        <v>-39950</v>
      </c>
      <c r="F100" s="42">
        <v>-370.39642500000002</v>
      </c>
      <c r="G100" s="43">
        <v>-3.022542E-3</v>
      </c>
      <c r="H100" s="112"/>
    </row>
    <row r="101" spans="1:8" x14ac:dyDescent="0.2">
      <c r="A101" s="39">
        <v>11</v>
      </c>
      <c r="B101" s="40"/>
      <c r="C101" s="40" t="s">
        <v>911</v>
      </c>
      <c r="D101" s="40" t="s">
        <v>408</v>
      </c>
      <c r="E101" s="41">
        <v>-992000</v>
      </c>
      <c r="F101" s="42">
        <v>-419.61599999999999</v>
      </c>
      <c r="G101" s="43">
        <v>-3.4241879999999999E-3</v>
      </c>
      <c r="H101" s="112"/>
    </row>
    <row r="102" spans="1:8" x14ac:dyDescent="0.2">
      <c r="A102" s="39">
        <v>12</v>
      </c>
      <c r="B102" s="40"/>
      <c r="C102" s="40" t="s">
        <v>912</v>
      </c>
      <c r="D102" s="40" t="s">
        <v>408</v>
      </c>
      <c r="E102" s="41">
        <v>-88350</v>
      </c>
      <c r="F102" s="42">
        <v>-429.51352500000002</v>
      </c>
      <c r="G102" s="43">
        <v>-3.5049550000000001E-3</v>
      </c>
      <c r="H102" s="112"/>
    </row>
    <row r="103" spans="1:8" x14ac:dyDescent="0.2">
      <c r="A103" s="39">
        <v>13</v>
      </c>
      <c r="B103" s="40"/>
      <c r="C103" s="40" t="s">
        <v>888</v>
      </c>
      <c r="D103" s="40" t="s">
        <v>408</v>
      </c>
      <c r="E103" s="41">
        <v>-17200</v>
      </c>
      <c r="F103" s="42">
        <v>-456.26440000000002</v>
      </c>
      <c r="G103" s="43">
        <v>-3.72325E-3</v>
      </c>
      <c r="H103" s="112"/>
    </row>
    <row r="104" spans="1:8" x14ac:dyDescent="0.2">
      <c r="A104" s="39">
        <v>14</v>
      </c>
      <c r="B104" s="40"/>
      <c r="C104" s="40" t="s">
        <v>913</v>
      </c>
      <c r="D104" s="40" t="s">
        <v>711</v>
      </c>
      <c r="E104" s="41">
        <v>-12500</v>
      </c>
      <c r="F104" s="42">
        <v>-464.5</v>
      </c>
      <c r="G104" s="43">
        <v>-3.7904549999999999E-3</v>
      </c>
      <c r="H104" s="112"/>
    </row>
    <row r="105" spans="1:8" x14ac:dyDescent="0.2">
      <c r="A105" s="39">
        <v>15</v>
      </c>
      <c r="B105" s="40"/>
      <c r="C105" s="40" t="s">
        <v>905</v>
      </c>
      <c r="D105" s="40" t="s">
        <v>408</v>
      </c>
      <c r="E105" s="41">
        <v>-68400</v>
      </c>
      <c r="F105" s="42">
        <v>-510.26400000000001</v>
      </c>
      <c r="G105" s="43">
        <v>-4.1639019999999997E-3</v>
      </c>
      <c r="H105" s="112"/>
    </row>
    <row r="106" spans="1:8" x14ac:dyDescent="0.2">
      <c r="A106" s="39">
        <v>16</v>
      </c>
      <c r="B106" s="40"/>
      <c r="C106" s="40" t="s">
        <v>886</v>
      </c>
      <c r="D106" s="40" t="s">
        <v>408</v>
      </c>
      <c r="E106" s="41">
        <v>-42500</v>
      </c>
      <c r="F106" s="42">
        <v>-560.34124999999995</v>
      </c>
      <c r="G106" s="43">
        <v>-4.5725469999999997E-3</v>
      </c>
      <c r="H106" s="112"/>
    </row>
    <row r="107" spans="1:8" x14ac:dyDescent="0.2">
      <c r="A107" s="39">
        <v>17</v>
      </c>
      <c r="B107" s="40"/>
      <c r="C107" s="40" t="s">
        <v>914</v>
      </c>
      <c r="D107" s="40" t="s">
        <v>408</v>
      </c>
      <c r="E107" s="41">
        <v>-435500</v>
      </c>
      <c r="F107" s="42">
        <v>-626.03125</v>
      </c>
      <c r="G107" s="43">
        <v>-5.108596E-3</v>
      </c>
      <c r="H107" s="112"/>
    </row>
    <row r="108" spans="1:8" x14ac:dyDescent="0.2">
      <c r="A108" s="39">
        <v>18</v>
      </c>
      <c r="B108" s="40"/>
      <c r="C108" s="40" t="s">
        <v>915</v>
      </c>
      <c r="D108" s="40" t="s">
        <v>408</v>
      </c>
      <c r="E108" s="41">
        <v>-60500</v>
      </c>
      <c r="F108" s="42">
        <v>-961.10299999999995</v>
      </c>
      <c r="G108" s="43">
        <v>-7.8428790000000005E-3</v>
      </c>
      <c r="H108" s="112"/>
    </row>
    <row r="109" spans="1:8" x14ac:dyDescent="0.2">
      <c r="A109" s="39">
        <v>19</v>
      </c>
      <c r="B109" s="40"/>
      <c r="C109" s="40" t="s">
        <v>894</v>
      </c>
      <c r="D109" s="40" t="s">
        <v>408</v>
      </c>
      <c r="E109" s="41">
        <v>-143000</v>
      </c>
      <c r="F109" s="42">
        <v>-975.90350000000001</v>
      </c>
      <c r="G109" s="43">
        <v>-7.963655E-3</v>
      </c>
      <c r="H109" s="112"/>
    </row>
    <row r="110" spans="1:8" x14ac:dyDescent="0.2">
      <c r="A110" s="39">
        <v>20</v>
      </c>
      <c r="B110" s="40"/>
      <c r="C110" s="40" t="s">
        <v>916</v>
      </c>
      <c r="D110" s="40" t="s">
        <v>408</v>
      </c>
      <c r="E110" s="41">
        <v>-31200</v>
      </c>
      <c r="F110" s="42">
        <v>-1064.934</v>
      </c>
      <c r="G110" s="43">
        <v>-8.6901700000000005E-3</v>
      </c>
      <c r="H110" s="112"/>
    </row>
    <row r="111" spans="1:8" x14ac:dyDescent="0.2">
      <c r="A111" s="39">
        <v>21</v>
      </c>
      <c r="B111" s="40"/>
      <c r="C111" s="40" t="s">
        <v>884</v>
      </c>
      <c r="D111" s="40" t="s">
        <v>408</v>
      </c>
      <c r="E111" s="41">
        <v>-53500</v>
      </c>
      <c r="F111" s="42">
        <v>-1243.3667499999999</v>
      </c>
      <c r="G111" s="43">
        <v>-1.0146232999999999E-2</v>
      </c>
      <c r="H111" s="112"/>
    </row>
    <row r="112" spans="1:8" x14ac:dyDescent="0.2">
      <c r="A112" s="39">
        <v>22</v>
      </c>
      <c r="B112" s="40"/>
      <c r="C112" s="40" t="s">
        <v>917</v>
      </c>
      <c r="D112" s="40" t="s">
        <v>408</v>
      </c>
      <c r="E112" s="41">
        <v>-51000</v>
      </c>
      <c r="F112" s="42">
        <v>-1453.5</v>
      </c>
      <c r="G112" s="43">
        <v>-1.1860981E-2</v>
      </c>
      <c r="H112" s="112"/>
    </row>
    <row r="113" spans="1:8" x14ac:dyDescent="0.2">
      <c r="A113" s="39">
        <v>23</v>
      </c>
      <c r="B113" s="40"/>
      <c r="C113" s="40" t="s">
        <v>918</v>
      </c>
      <c r="D113" s="40" t="s">
        <v>408</v>
      </c>
      <c r="E113" s="41">
        <v>-121800</v>
      </c>
      <c r="F113" s="42">
        <v>-1789.3028999999999</v>
      </c>
      <c r="G113" s="43">
        <v>-1.460123E-2</v>
      </c>
      <c r="H113" s="112"/>
    </row>
    <row r="114" spans="1:8" x14ac:dyDescent="0.2">
      <c r="A114" s="39">
        <v>24</v>
      </c>
      <c r="B114" s="40"/>
      <c r="C114" s="40" t="s">
        <v>904</v>
      </c>
      <c r="D114" s="40" t="s">
        <v>408</v>
      </c>
      <c r="E114" s="41">
        <v>-77500</v>
      </c>
      <c r="F114" s="42">
        <v>-1973.2662499999999</v>
      </c>
      <c r="G114" s="43">
        <v>-1.6102425E-2</v>
      </c>
      <c r="H114" s="112"/>
    </row>
    <row r="115" spans="1:8" x14ac:dyDescent="0.2">
      <c r="A115" s="39">
        <v>25</v>
      </c>
      <c r="B115" s="40"/>
      <c r="C115" s="40" t="s">
        <v>919</v>
      </c>
      <c r="D115" s="40" t="s">
        <v>408</v>
      </c>
      <c r="E115" s="41">
        <v>-313076</v>
      </c>
      <c r="F115" s="42">
        <v>-2154.9021080000002</v>
      </c>
      <c r="G115" s="43">
        <v>-1.7584625999999999E-2</v>
      </c>
      <c r="H115" s="112"/>
    </row>
    <row r="116" spans="1:8" x14ac:dyDescent="0.2">
      <c r="A116" s="39">
        <v>26</v>
      </c>
      <c r="B116" s="40"/>
      <c r="C116" s="40" t="s">
        <v>902</v>
      </c>
      <c r="D116" s="40" t="s">
        <v>408</v>
      </c>
      <c r="E116" s="41">
        <v>-450000</v>
      </c>
      <c r="F116" s="42">
        <v>-2271.6</v>
      </c>
      <c r="G116" s="43">
        <v>-1.8536914000000002E-2</v>
      </c>
      <c r="H116" s="112"/>
    </row>
    <row r="117" spans="1:8" x14ac:dyDescent="0.2">
      <c r="A117" s="39">
        <v>27</v>
      </c>
      <c r="B117" s="40"/>
      <c r="C117" s="40" t="s">
        <v>920</v>
      </c>
      <c r="D117" s="40" t="s">
        <v>408</v>
      </c>
      <c r="E117" s="41">
        <v>-300000</v>
      </c>
      <c r="F117" s="42">
        <v>-2854.2</v>
      </c>
      <c r="G117" s="43">
        <v>-2.3291098999999999E-2</v>
      </c>
      <c r="H117" s="112"/>
    </row>
    <row r="118" spans="1:8" x14ac:dyDescent="0.2">
      <c r="A118" s="39">
        <v>28</v>
      </c>
      <c r="B118" s="40"/>
      <c r="C118" s="40" t="s">
        <v>890</v>
      </c>
      <c r="D118" s="40" t="s">
        <v>408</v>
      </c>
      <c r="E118" s="41">
        <v>-484000</v>
      </c>
      <c r="F118" s="42">
        <v>-3893.0540000000001</v>
      </c>
      <c r="G118" s="43">
        <v>-3.1768448999999997E-2</v>
      </c>
      <c r="H118" s="112"/>
    </row>
    <row r="119" spans="1:8" x14ac:dyDescent="0.2">
      <c r="A119" s="39">
        <v>29</v>
      </c>
      <c r="B119" s="40"/>
      <c r="C119" s="40" t="s">
        <v>921</v>
      </c>
      <c r="D119" s="40" t="s">
        <v>711</v>
      </c>
      <c r="E119" s="41">
        <v>-31500</v>
      </c>
      <c r="F119" s="42">
        <v>-5580.3194999999996</v>
      </c>
      <c r="G119" s="43">
        <v>-4.5537024000000002E-2</v>
      </c>
      <c r="H119" s="112"/>
    </row>
    <row r="120" spans="1:8" x14ac:dyDescent="0.2">
      <c r="A120" s="37"/>
      <c r="B120" s="37"/>
      <c r="C120" s="38" t="s">
        <v>97</v>
      </c>
      <c r="D120" s="37"/>
      <c r="E120" s="37" t="s">
        <v>98</v>
      </c>
      <c r="F120" s="44">
        <v>-31117.580970499999</v>
      </c>
      <c r="G120" s="45">
        <v>-0.25392847800000001</v>
      </c>
      <c r="H120" s="112"/>
    </row>
    <row r="121" spans="1:8" x14ac:dyDescent="0.2">
      <c r="A121" s="37"/>
      <c r="B121" s="37"/>
      <c r="C121" s="46"/>
      <c r="D121" s="37"/>
      <c r="E121" s="37"/>
      <c r="F121" s="47"/>
      <c r="G121" s="47"/>
      <c r="H121" s="112"/>
    </row>
    <row r="122" spans="1:8" x14ac:dyDescent="0.2">
      <c r="A122" s="37"/>
      <c r="B122" s="37"/>
      <c r="C122" s="38" t="s">
        <v>104</v>
      </c>
      <c r="D122" s="37"/>
      <c r="E122" s="37"/>
      <c r="F122" s="44">
        <v>89474.913892200013</v>
      </c>
      <c r="G122" s="45">
        <v>0.73014123799999997</v>
      </c>
      <c r="H122" s="112"/>
    </row>
    <row r="123" spans="1:8" x14ac:dyDescent="0.2">
      <c r="A123" s="37"/>
      <c r="B123" s="37"/>
      <c r="C123" s="46"/>
      <c r="D123" s="37"/>
      <c r="E123" s="37"/>
      <c r="F123" s="47"/>
      <c r="G123" s="47"/>
      <c r="H123" s="112"/>
    </row>
    <row r="124" spans="1:8" x14ac:dyDescent="0.2">
      <c r="A124" s="37"/>
      <c r="B124" s="37"/>
      <c r="C124" s="38" t="s">
        <v>105</v>
      </c>
      <c r="D124" s="37"/>
      <c r="E124" s="37"/>
      <c r="F124" s="47"/>
      <c r="G124" s="47"/>
      <c r="H124" s="112"/>
    </row>
    <row r="125" spans="1:8" x14ac:dyDescent="0.2">
      <c r="A125" s="37"/>
      <c r="B125" s="37"/>
      <c r="C125" s="38" t="s">
        <v>10</v>
      </c>
      <c r="D125" s="37"/>
      <c r="E125" s="37"/>
      <c r="F125" s="47"/>
      <c r="G125" s="47"/>
      <c r="H125" s="112"/>
    </row>
    <row r="126" spans="1:8" ht="25.5" x14ac:dyDescent="0.2">
      <c r="A126" s="39">
        <v>1</v>
      </c>
      <c r="B126" s="40" t="s">
        <v>789</v>
      </c>
      <c r="C126" s="40" t="s">
        <v>790</v>
      </c>
      <c r="D126" s="40" t="s">
        <v>691</v>
      </c>
      <c r="E126" s="41">
        <v>250</v>
      </c>
      <c r="F126" s="42">
        <v>2554.9924999999998</v>
      </c>
      <c r="G126" s="43">
        <v>2.0849479000000001E-2</v>
      </c>
      <c r="H126" s="42">
        <v>4.3499999999999996</v>
      </c>
    </row>
    <row r="127" spans="1:8" ht="25.5" x14ac:dyDescent="0.2">
      <c r="A127" s="39">
        <v>2</v>
      </c>
      <c r="B127" s="40" t="s">
        <v>791</v>
      </c>
      <c r="C127" s="40" t="s">
        <v>792</v>
      </c>
      <c r="D127" s="40" t="s">
        <v>691</v>
      </c>
      <c r="E127" s="41">
        <v>250</v>
      </c>
      <c r="F127" s="42">
        <v>2495.3325</v>
      </c>
      <c r="G127" s="43">
        <v>2.0362636E-2</v>
      </c>
      <c r="H127" s="42">
        <v>4.8899999999999997</v>
      </c>
    </row>
    <row r="128" spans="1:8" ht="25.5" x14ac:dyDescent="0.2">
      <c r="A128" s="39">
        <v>3</v>
      </c>
      <c r="B128" s="40" t="s">
        <v>793</v>
      </c>
      <c r="C128" s="40" t="s">
        <v>794</v>
      </c>
      <c r="D128" s="40" t="s">
        <v>945</v>
      </c>
      <c r="E128" s="41">
        <v>150</v>
      </c>
      <c r="F128" s="42">
        <v>1535.9684999999999</v>
      </c>
      <c r="G128" s="43">
        <v>1.2533948E-2</v>
      </c>
      <c r="H128" s="42">
        <v>4.915</v>
      </c>
    </row>
    <row r="129" spans="1:8" x14ac:dyDescent="0.2">
      <c r="A129" s="39">
        <v>4</v>
      </c>
      <c r="B129" s="40" t="s">
        <v>795</v>
      </c>
      <c r="C129" s="40" t="s">
        <v>796</v>
      </c>
      <c r="D129" s="40" t="s">
        <v>691</v>
      </c>
      <c r="E129" s="41">
        <v>100</v>
      </c>
      <c r="F129" s="42">
        <v>1029.548</v>
      </c>
      <c r="G129" s="43">
        <v>8.4014099999999998E-3</v>
      </c>
      <c r="H129" s="42">
        <v>4.9020999999999999</v>
      </c>
    </row>
    <row r="130" spans="1:8" x14ac:dyDescent="0.2">
      <c r="A130" s="39">
        <v>5</v>
      </c>
      <c r="B130" s="40" t="s">
        <v>797</v>
      </c>
      <c r="C130" s="40" t="s">
        <v>798</v>
      </c>
      <c r="D130" s="40" t="s">
        <v>691</v>
      </c>
      <c r="E130" s="41">
        <v>100</v>
      </c>
      <c r="F130" s="42">
        <v>1028.1210000000001</v>
      </c>
      <c r="G130" s="43">
        <v>8.3897650000000004E-3</v>
      </c>
      <c r="H130" s="42">
        <v>4.8</v>
      </c>
    </row>
    <row r="131" spans="1:8" ht="25.5" x14ac:dyDescent="0.2">
      <c r="A131" s="39">
        <v>6</v>
      </c>
      <c r="B131" s="40" t="s">
        <v>799</v>
      </c>
      <c r="C131" s="40" t="s">
        <v>800</v>
      </c>
      <c r="D131" s="40" t="s">
        <v>945</v>
      </c>
      <c r="E131" s="41">
        <v>100</v>
      </c>
      <c r="F131" s="42">
        <v>1025.184</v>
      </c>
      <c r="G131" s="43">
        <v>8.3657990000000002E-3</v>
      </c>
      <c r="H131" s="42">
        <v>4.8499999999999996</v>
      </c>
    </row>
    <row r="132" spans="1:8" ht="25.5" x14ac:dyDescent="0.2">
      <c r="A132" s="39">
        <v>7</v>
      </c>
      <c r="B132" s="40" t="s">
        <v>801</v>
      </c>
      <c r="C132" s="40" t="s">
        <v>802</v>
      </c>
      <c r="D132" s="40" t="s">
        <v>691</v>
      </c>
      <c r="E132" s="41">
        <v>100</v>
      </c>
      <c r="F132" s="42">
        <v>1024.337</v>
      </c>
      <c r="G132" s="43">
        <v>8.3588870000000006E-3</v>
      </c>
      <c r="H132" s="42">
        <v>4.96</v>
      </c>
    </row>
    <row r="133" spans="1:8" x14ac:dyDescent="0.2">
      <c r="A133" s="39">
        <v>8</v>
      </c>
      <c r="B133" s="40" t="s">
        <v>803</v>
      </c>
      <c r="C133" s="40" t="s">
        <v>804</v>
      </c>
      <c r="D133" s="40" t="s">
        <v>691</v>
      </c>
      <c r="E133" s="41">
        <v>100</v>
      </c>
      <c r="F133" s="42">
        <v>1012.5069999999999</v>
      </c>
      <c r="G133" s="43">
        <v>8.2623509999999994E-3</v>
      </c>
      <c r="H133" s="42">
        <v>4.9821</v>
      </c>
    </row>
    <row r="134" spans="1:8" ht="25.5" x14ac:dyDescent="0.2">
      <c r="A134" s="39">
        <v>9</v>
      </c>
      <c r="B134" s="40" t="s">
        <v>805</v>
      </c>
      <c r="C134" s="40" t="s">
        <v>806</v>
      </c>
      <c r="D134" s="40" t="s">
        <v>691</v>
      </c>
      <c r="E134" s="41">
        <v>100</v>
      </c>
      <c r="F134" s="42">
        <v>1002.607</v>
      </c>
      <c r="G134" s="43">
        <v>8.1815640000000005E-3</v>
      </c>
      <c r="H134" s="42">
        <v>4.5999999999999996</v>
      </c>
    </row>
    <row r="135" spans="1:8" x14ac:dyDescent="0.2">
      <c r="A135" s="39">
        <v>10</v>
      </c>
      <c r="B135" s="40" t="s">
        <v>807</v>
      </c>
      <c r="C135" s="40" t="s">
        <v>808</v>
      </c>
      <c r="D135" s="40" t="s">
        <v>691</v>
      </c>
      <c r="E135" s="41">
        <v>50</v>
      </c>
      <c r="F135" s="42">
        <v>519.28099999999995</v>
      </c>
      <c r="G135" s="43">
        <v>4.2374830000000002E-3</v>
      </c>
      <c r="H135" s="42">
        <v>4.625</v>
      </c>
    </row>
    <row r="136" spans="1:8" ht="25.5" x14ac:dyDescent="0.2">
      <c r="A136" s="39">
        <v>11</v>
      </c>
      <c r="B136" s="40" t="s">
        <v>809</v>
      </c>
      <c r="C136" s="40" t="s">
        <v>810</v>
      </c>
      <c r="D136" s="40" t="s">
        <v>691</v>
      </c>
      <c r="E136" s="41">
        <v>50</v>
      </c>
      <c r="F136" s="42">
        <v>514.89800000000002</v>
      </c>
      <c r="G136" s="43">
        <v>4.2017169999999998E-3</v>
      </c>
      <c r="H136" s="42">
        <v>4.8650000000000002</v>
      </c>
    </row>
    <row r="137" spans="1:8" x14ac:dyDescent="0.2">
      <c r="A137" s="39">
        <v>12</v>
      </c>
      <c r="B137" s="40" t="s">
        <v>811</v>
      </c>
      <c r="C137" s="40" t="s">
        <v>812</v>
      </c>
      <c r="D137" s="40" t="s">
        <v>691</v>
      </c>
      <c r="E137" s="41">
        <v>50</v>
      </c>
      <c r="F137" s="42">
        <v>513.18399999999997</v>
      </c>
      <c r="G137" s="43">
        <v>4.1877299999999998E-3</v>
      </c>
      <c r="H137" s="42">
        <v>4.5949999999999998</v>
      </c>
    </row>
    <row r="138" spans="1:8" ht="25.5" x14ac:dyDescent="0.2">
      <c r="A138" s="39">
        <v>13</v>
      </c>
      <c r="B138" s="40" t="s">
        <v>813</v>
      </c>
      <c r="C138" s="40" t="s">
        <v>814</v>
      </c>
      <c r="D138" s="40" t="s">
        <v>691</v>
      </c>
      <c r="E138" s="41">
        <v>50</v>
      </c>
      <c r="F138" s="42">
        <v>512.70849999999996</v>
      </c>
      <c r="G138" s="43">
        <v>4.1838500000000002E-3</v>
      </c>
      <c r="H138" s="42">
        <v>4.7549999999999999</v>
      </c>
    </row>
    <row r="139" spans="1:8" x14ac:dyDescent="0.2">
      <c r="A139" s="37"/>
      <c r="B139" s="37"/>
      <c r="C139" s="38" t="s">
        <v>97</v>
      </c>
      <c r="D139" s="37"/>
      <c r="E139" s="37" t="s">
        <v>98</v>
      </c>
      <c r="F139" s="44">
        <v>14768.669</v>
      </c>
      <c r="G139" s="45">
        <v>0.12051661900000001</v>
      </c>
      <c r="H139" s="42"/>
    </row>
    <row r="140" spans="1:8" x14ac:dyDescent="0.2">
      <c r="A140" s="37"/>
      <c r="B140" s="37"/>
      <c r="C140" s="46"/>
      <c r="D140" s="37"/>
      <c r="E140" s="37"/>
      <c r="F140" s="47"/>
      <c r="G140" s="47"/>
      <c r="H140" s="42"/>
    </row>
    <row r="141" spans="1:8" x14ac:dyDescent="0.2">
      <c r="A141" s="37"/>
      <c r="B141" s="37"/>
      <c r="C141" s="38" t="s">
        <v>106</v>
      </c>
      <c r="D141" s="37"/>
      <c r="E141" s="37"/>
      <c r="F141" s="37"/>
      <c r="G141" s="37"/>
      <c r="H141" s="42"/>
    </row>
    <row r="142" spans="1:8" x14ac:dyDescent="0.2">
      <c r="A142" s="37"/>
      <c r="B142" s="37"/>
      <c r="C142" s="38" t="s">
        <v>97</v>
      </c>
      <c r="D142" s="37"/>
      <c r="E142" s="37" t="s">
        <v>98</v>
      </c>
      <c r="F142" s="48">
        <v>0</v>
      </c>
      <c r="G142" s="49">
        <v>0</v>
      </c>
      <c r="H142" s="42"/>
    </row>
    <row r="143" spans="1:8" x14ac:dyDescent="0.2">
      <c r="A143" s="37"/>
      <c r="B143" s="37"/>
      <c r="C143" s="46"/>
      <c r="D143" s="37"/>
      <c r="E143" s="37"/>
      <c r="F143" s="47"/>
      <c r="G143" s="47"/>
      <c r="H143" s="42"/>
    </row>
    <row r="144" spans="1:8" x14ac:dyDescent="0.2">
      <c r="A144" s="37"/>
      <c r="B144" s="37"/>
      <c r="C144" s="38" t="s">
        <v>107</v>
      </c>
      <c r="D144" s="37"/>
      <c r="E144" s="37"/>
      <c r="F144" s="37"/>
      <c r="G144" s="37"/>
      <c r="H144" s="42"/>
    </row>
    <row r="145" spans="1:8" ht="25.5" x14ac:dyDescent="0.2">
      <c r="A145" s="39">
        <v>1</v>
      </c>
      <c r="B145" s="40" t="s">
        <v>720</v>
      </c>
      <c r="C145" s="40" t="s">
        <v>874</v>
      </c>
      <c r="D145" s="40" t="s">
        <v>719</v>
      </c>
      <c r="E145" s="41">
        <v>1000000</v>
      </c>
      <c r="F145" s="42">
        <v>1051.557</v>
      </c>
      <c r="G145" s="43">
        <v>8.58101E-3</v>
      </c>
      <c r="H145" s="42">
        <v>4.8594999999999997</v>
      </c>
    </row>
    <row r="146" spans="1:8" ht="25.5" x14ac:dyDescent="0.2">
      <c r="A146" s="39">
        <v>2</v>
      </c>
      <c r="B146" s="40" t="s">
        <v>718</v>
      </c>
      <c r="C146" s="40" t="s">
        <v>871</v>
      </c>
      <c r="D146" s="40" t="s">
        <v>719</v>
      </c>
      <c r="E146" s="41">
        <v>1000000</v>
      </c>
      <c r="F146" s="42">
        <v>993.62900000000002</v>
      </c>
      <c r="G146" s="43">
        <v>8.1083010000000001E-3</v>
      </c>
      <c r="H146" s="42">
        <v>5.4141000000000004</v>
      </c>
    </row>
    <row r="147" spans="1:8" x14ac:dyDescent="0.2">
      <c r="A147" s="37"/>
      <c r="B147" s="37"/>
      <c r="C147" s="38" t="s">
        <v>97</v>
      </c>
      <c r="D147" s="37"/>
      <c r="E147" s="37" t="s">
        <v>98</v>
      </c>
      <c r="F147" s="44">
        <v>2045.1859999999999</v>
      </c>
      <c r="G147" s="45">
        <v>1.6689310999999998E-2</v>
      </c>
      <c r="H147" s="42"/>
    </row>
    <row r="148" spans="1:8" x14ac:dyDescent="0.2">
      <c r="A148" s="37"/>
      <c r="B148" s="37"/>
      <c r="C148" s="46"/>
      <c r="D148" s="37"/>
      <c r="E148" s="37"/>
      <c r="F148" s="47"/>
      <c r="G148" s="47"/>
      <c r="H148" s="42"/>
    </row>
    <row r="149" spans="1:8" x14ac:dyDescent="0.2">
      <c r="A149" s="37"/>
      <c r="B149" s="37"/>
      <c r="C149" s="38" t="s">
        <v>108</v>
      </c>
      <c r="D149" s="37"/>
      <c r="E149" s="37"/>
      <c r="F149" s="47"/>
      <c r="G149" s="47"/>
      <c r="H149" s="42"/>
    </row>
    <row r="150" spans="1:8" x14ac:dyDescent="0.2">
      <c r="A150" s="37"/>
      <c r="B150" s="37"/>
      <c r="C150" s="38" t="s">
        <v>97</v>
      </c>
      <c r="D150" s="37"/>
      <c r="E150" s="37" t="s">
        <v>98</v>
      </c>
      <c r="F150" s="48">
        <v>0</v>
      </c>
      <c r="G150" s="49">
        <v>0</v>
      </c>
      <c r="H150" s="42"/>
    </row>
    <row r="151" spans="1:8" x14ac:dyDescent="0.2">
      <c r="A151" s="37"/>
      <c r="B151" s="37"/>
      <c r="C151" s="46"/>
      <c r="D151" s="37"/>
      <c r="E151" s="37"/>
      <c r="F151" s="47"/>
      <c r="G151" s="47"/>
      <c r="H151" s="42"/>
    </row>
    <row r="152" spans="1:8" x14ac:dyDescent="0.2">
      <c r="A152" s="37"/>
      <c r="B152" s="37"/>
      <c r="C152" s="38" t="s">
        <v>109</v>
      </c>
      <c r="D152" s="37"/>
      <c r="E152" s="37"/>
      <c r="F152" s="44">
        <v>16813.855</v>
      </c>
      <c r="G152" s="45">
        <v>0.13720593</v>
      </c>
      <c r="H152" s="42"/>
    </row>
    <row r="153" spans="1:8" x14ac:dyDescent="0.2">
      <c r="A153" s="37"/>
      <c r="B153" s="37"/>
      <c r="C153" s="46"/>
      <c r="D153" s="37"/>
      <c r="E153" s="37"/>
      <c r="F153" s="47"/>
      <c r="G153" s="47"/>
      <c r="H153" s="42"/>
    </row>
    <row r="154" spans="1:8" x14ac:dyDescent="0.2">
      <c r="A154" s="37"/>
      <c r="B154" s="37"/>
      <c r="C154" s="38" t="s">
        <v>110</v>
      </c>
      <c r="D154" s="37"/>
      <c r="E154" s="37"/>
      <c r="F154" s="47"/>
      <c r="G154" s="47"/>
      <c r="H154" s="42"/>
    </row>
    <row r="155" spans="1:8" x14ac:dyDescent="0.2">
      <c r="A155" s="37"/>
      <c r="B155" s="37"/>
      <c r="C155" s="38" t="s">
        <v>111</v>
      </c>
      <c r="D155" s="37"/>
      <c r="E155" s="37"/>
      <c r="F155" s="47"/>
      <c r="G155" s="47"/>
      <c r="H155" s="42"/>
    </row>
    <row r="156" spans="1:8" x14ac:dyDescent="0.2">
      <c r="A156" s="37"/>
      <c r="B156" s="37"/>
      <c r="C156" s="38" t="s">
        <v>97</v>
      </c>
      <c r="D156" s="37"/>
      <c r="E156" s="37" t="s">
        <v>98</v>
      </c>
      <c r="F156" s="48">
        <v>0</v>
      </c>
      <c r="G156" s="49">
        <v>0</v>
      </c>
      <c r="H156" s="42"/>
    </row>
    <row r="157" spans="1:8" x14ac:dyDescent="0.2">
      <c r="A157" s="37"/>
      <c r="B157" s="37"/>
      <c r="C157" s="46"/>
      <c r="D157" s="37"/>
      <c r="E157" s="37"/>
      <c r="F157" s="47"/>
      <c r="G157" s="47"/>
      <c r="H157" s="42"/>
    </row>
    <row r="158" spans="1:8" x14ac:dyDescent="0.2">
      <c r="A158" s="37"/>
      <c r="B158" s="37"/>
      <c r="C158" s="38" t="s">
        <v>112</v>
      </c>
      <c r="D158" s="37"/>
      <c r="E158" s="37"/>
      <c r="F158" s="47"/>
      <c r="G158" s="47"/>
      <c r="H158" s="42"/>
    </row>
    <row r="159" spans="1:8" x14ac:dyDescent="0.2">
      <c r="A159" s="39">
        <v>1</v>
      </c>
      <c r="B159" s="40" t="s">
        <v>815</v>
      </c>
      <c r="C159" s="40" t="s">
        <v>816</v>
      </c>
      <c r="D159" s="40" t="s">
        <v>817</v>
      </c>
      <c r="E159" s="41">
        <v>300</v>
      </c>
      <c r="F159" s="42">
        <v>1483.0425</v>
      </c>
      <c r="G159" s="43">
        <v>1.2102056999999999E-2</v>
      </c>
      <c r="H159" s="42">
        <v>3.9750000000000001</v>
      </c>
    </row>
    <row r="160" spans="1:8" x14ac:dyDescent="0.2">
      <c r="A160" s="37"/>
      <c r="B160" s="37"/>
      <c r="C160" s="38" t="s">
        <v>97</v>
      </c>
      <c r="D160" s="37"/>
      <c r="E160" s="37" t="s">
        <v>98</v>
      </c>
      <c r="F160" s="44">
        <v>1483.0425</v>
      </c>
      <c r="G160" s="45">
        <v>1.2102056999999999E-2</v>
      </c>
      <c r="H160" s="112"/>
    </row>
    <row r="161" spans="1:8" x14ac:dyDescent="0.2">
      <c r="A161" s="37"/>
      <c r="B161" s="37"/>
      <c r="C161" s="46"/>
      <c r="D161" s="37"/>
      <c r="E161" s="37"/>
      <c r="F161" s="47"/>
      <c r="G161" s="47"/>
      <c r="H161" s="112"/>
    </row>
    <row r="162" spans="1:8" x14ac:dyDescent="0.2">
      <c r="A162" s="37"/>
      <c r="B162" s="37"/>
      <c r="C162" s="38" t="s">
        <v>113</v>
      </c>
      <c r="D162" s="37"/>
      <c r="E162" s="37"/>
      <c r="F162" s="47"/>
      <c r="G162" s="47"/>
      <c r="H162" s="112"/>
    </row>
    <row r="163" spans="1:8" x14ac:dyDescent="0.2">
      <c r="A163" s="37"/>
      <c r="B163" s="37"/>
      <c r="C163" s="38" t="s">
        <v>97</v>
      </c>
      <c r="D163" s="37"/>
      <c r="E163" s="37" t="s">
        <v>98</v>
      </c>
      <c r="F163" s="48">
        <v>0</v>
      </c>
      <c r="G163" s="49">
        <v>0</v>
      </c>
      <c r="H163" s="112"/>
    </row>
    <row r="164" spans="1:8" x14ac:dyDescent="0.2">
      <c r="A164" s="37"/>
      <c r="B164" s="37"/>
      <c r="C164" s="46"/>
      <c r="D164" s="37"/>
      <c r="E164" s="37"/>
      <c r="F164" s="47"/>
      <c r="G164" s="47"/>
      <c r="H164" s="112"/>
    </row>
    <row r="165" spans="1:8" x14ac:dyDescent="0.2">
      <c r="A165" s="37"/>
      <c r="B165" s="37"/>
      <c r="C165" s="38" t="s">
        <v>114</v>
      </c>
      <c r="D165" s="37"/>
      <c r="E165" s="37"/>
      <c r="F165" s="47"/>
      <c r="G165" s="47"/>
      <c r="H165" s="112"/>
    </row>
    <row r="166" spans="1:8" x14ac:dyDescent="0.2">
      <c r="A166" s="39">
        <v>1</v>
      </c>
      <c r="B166" s="40"/>
      <c r="C166" s="40" t="s">
        <v>115</v>
      </c>
      <c r="D166" s="40"/>
      <c r="E166" s="50"/>
      <c r="F166" s="42">
        <v>3119.8364048804538</v>
      </c>
      <c r="G166" s="43">
        <v>2.5458769300663361E-2</v>
      </c>
      <c r="H166" s="6">
        <v>3.3211324282253978</v>
      </c>
    </row>
    <row r="167" spans="1:8" x14ac:dyDescent="0.2">
      <c r="A167" s="3">
        <v>2</v>
      </c>
      <c r="B167" s="4"/>
      <c r="C167" s="4" t="s">
        <v>116</v>
      </c>
      <c r="D167" s="4"/>
      <c r="E167" s="8"/>
      <c r="F167" s="6">
        <v>1225.5448687502003</v>
      </c>
      <c r="G167" s="7">
        <v>1.0000801334427234E-2</v>
      </c>
      <c r="H167" s="6">
        <v>3.35</v>
      </c>
    </row>
    <row r="168" spans="1:8" x14ac:dyDescent="0.2">
      <c r="A168" s="37"/>
      <c r="B168" s="37"/>
      <c r="C168" s="38" t="s">
        <v>97</v>
      </c>
      <c r="D168" s="37"/>
      <c r="E168" s="37" t="s">
        <v>98</v>
      </c>
      <c r="F168" s="44">
        <v>4345.3812736306536</v>
      </c>
      <c r="G168" s="45">
        <v>3.5459570635090594E-2</v>
      </c>
      <c r="H168" s="112"/>
    </row>
    <row r="169" spans="1:8" x14ac:dyDescent="0.2">
      <c r="A169" s="37"/>
      <c r="B169" s="37"/>
      <c r="C169" s="46"/>
      <c r="D169" s="37"/>
      <c r="E169" s="37"/>
      <c r="F169" s="47"/>
      <c r="G169" s="47"/>
      <c r="H169" s="112"/>
    </row>
    <row r="170" spans="1:8" x14ac:dyDescent="0.2">
      <c r="A170" s="37"/>
      <c r="B170" s="37"/>
      <c r="C170" s="38" t="s">
        <v>117</v>
      </c>
      <c r="D170" s="37"/>
      <c r="E170" s="37"/>
      <c r="F170" s="44">
        <v>5828.4237736306532</v>
      </c>
      <c r="G170" s="45">
        <v>4.7561627635090593E-2</v>
      </c>
      <c r="H170" s="112"/>
    </row>
    <row r="171" spans="1:8" x14ac:dyDescent="0.2">
      <c r="A171" s="37"/>
      <c r="B171" s="37"/>
      <c r="C171" s="47"/>
      <c r="D171" s="37"/>
      <c r="E171" s="37"/>
      <c r="F171" s="37"/>
      <c r="G171" s="37"/>
      <c r="H171" s="112"/>
    </row>
    <row r="172" spans="1:8" x14ac:dyDescent="0.2">
      <c r="A172" s="37"/>
      <c r="B172" s="37"/>
      <c r="C172" s="38" t="s">
        <v>118</v>
      </c>
      <c r="D172" s="37"/>
      <c r="E172" s="37"/>
      <c r="F172" s="37"/>
      <c r="G172" s="37"/>
      <c r="H172" s="112"/>
    </row>
    <row r="173" spans="1:8" x14ac:dyDescent="0.2">
      <c r="A173" s="37"/>
      <c r="B173" s="37"/>
      <c r="C173" s="38" t="s">
        <v>119</v>
      </c>
      <c r="D173" s="37"/>
      <c r="E173" s="37"/>
      <c r="F173" s="37"/>
      <c r="G173" s="37"/>
      <c r="H173" s="112"/>
    </row>
    <row r="174" spans="1:8" x14ac:dyDescent="0.2">
      <c r="A174" s="37"/>
      <c r="B174" s="37"/>
      <c r="C174" s="38" t="s">
        <v>97</v>
      </c>
      <c r="D174" s="37"/>
      <c r="E174" s="37" t="s">
        <v>98</v>
      </c>
      <c r="F174" s="48">
        <v>0</v>
      </c>
      <c r="G174" s="49">
        <v>0</v>
      </c>
      <c r="H174" s="112"/>
    </row>
    <row r="175" spans="1:8" x14ac:dyDescent="0.2">
      <c r="A175" s="37"/>
      <c r="B175" s="37"/>
      <c r="C175" s="46"/>
      <c r="D175" s="37"/>
      <c r="E175" s="37"/>
      <c r="F175" s="47"/>
      <c r="G175" s="47"/>
      <c r="H175" s="112"/>
    </row>
    <row r="176" spans="1:8" x14ac:dyDescent="0.2">
      <c r="A176" s="37"/>
      <c r="B176" s="37"/>
      <c r="C176" s="38" t="s">
        <v>120</v>
      </c>
      <c r="D176" s="37"/>
      <c r="E176" s="37"/>
      <c r="F176" s="37"/>
      <c r="G176" s="37"/>
      <c r="H176" s="112"/>
    </row>
    <row r="177" spans="1:8" x14ac:dyDescent="0.2">
      <c r="A177" s="37"/>
      <c r="B177" s="37"/>
      <c r="C177" s="38" t="s">
        <v>121</v>
      </c>
      <c r="D177" s="37"/>
      <c r="E177" s="37"/>
      <c r="F177" s="37"/>
      <c r="G177" s="37"/>
      <c r="H177" s="112"/>
    </row>
    <row r="178" spans="1:8" x14ac:dyDescent="0.2">
      <c r="A178" s="37"/>
      <c r="B178" s="37"/>
      <c r="C178" s="38" t="s">
        <v>97</v>
      </c>
      <c r="D178" s="37"/>
      <c r="E178" s="37" t="s">
        <v>98</v>
      </c>
      <c r="F178" s="48">
        <v>0</v>
      </c>
      <c r="G178" s="49">
        <v>0</v>
      </c>
      <c r="H178" s="112"/>
    </row>
    <row r="179" spans="1:8" x14ac:dyDescent="0.2">
      <c r="A179" s="37"/>
      <c r="B179" s="37"/>
      <c r="C179" s="46"/>
      <c r="D179" s="37"/>
      <c r="E179" s="37"/>
      <c r="F179" s="47"/>
      <c r="G179" s="47"/>
      <c r="H179" s="112"/>
    </row>
    <row r="180" spans="1:8" x14ac:dyDescent="0.2">
      <c r="A180" s="37"/>
      <c r="B180" s="37"/>
      <c r="C180" s="38" t="s">
        <v>122</v>
      </c>
      <c r="D180" s="37"/>
      <c r="E180" s="37"/>
      <c r="F180" s="47"/>
      <c r="G180" s="47"/>
      <c r="H180" s="112"/>
    </row>
    <row r="181" spans="1:8" x14ac:dyDescent="0.2">
      <c r="A181" s="37"/>
      <c r="B181" s="37"/>
      <c r="C181" s="38" t="s">
        <v>97</v>
      </c>
      <c r="D181" s="37"/>
      <c r="E181" s="37" t="s">
        <v>98</v>
      </c>
      <c r="F181" s="48">
        <v>0</v>
      </c>
      <c r="G181" s="49">
        <v>0</v>
      </c>
      <c r="H181" s="112"/>
    </row>
    <row r="182" spans="1:8" x14ac:dyDescent="0.2">
      <c r="A182" s="37"/>
      <c r="B182" s="37"/>
      <c r="C182" s="46"/>
      <c r="D182" s="37"/>
      <c r="E182" s="37"/>
      <c r="F182" s="47"/>
      <c r="G182" s="47"/>
      <c r="H182" s="112"/>
    </row>
    <row r="183" spans="1:8" x14ac:dyDescent="0.2">
      <c r="A183" s="50"/>
      <c r="B183" s="40"/>
      <c r="C183" s="40" t="s">
        <v>409</v>
      </c>
      <c r="D183" s="40"/>
      <c r="E183" s="50"/>
      <c r="F183" s="42">
        <v>9245.8750789999995</v>
      </c>
      <c r="G183" s="43">
        <v>7.5449018000000007E-2</v>
      </c>
      <c r="H183" s="112"/>
    </row>
    <row r="184" spans="1:8" x14ac:dyDescent="0.2">
      <c r="A184" s="50"/>
      <c r="B184" s="40"/>
      <c r="C184" s="40" t="s">
        <v>818</v>
      </c>
      <c r="D184" s="40"/>
      <c r="E184" s="50"/>
      <c r="F184" s="42">
        <v>1181.5992041393474</v>
      </c>
      <c r="G184" s="43">
        <v>9.6421919742242911E-3</v>
      </c>
      <c r="H184" s="112"/>
    </row>
    <row r="185" spans="1:8" x14ac:dyDescent="0.2">
      <c r="A185" s="46"/>
      <c r="B185" s="46"/>
      <c r="C185" s="38" t="s">
        <v>124</v>
      </c>
      <c r="D185" s="47"/>
      <c r="E185" s="47"/>
      <c r="F185" s="44">
        <v>122544.66694897001</v>
      </c>
      <c r="G185" s="45">
        <v>1.0000000056093148</v>
      </c>
      <c r="H185" s="112"/>
    </row>
    <row r="186" spans="1:8" ht="14.1" customHeight="1" x14ac:dyDescent="0.2">
      <c r="A186" s="51"/>
      <c r="B186" s="51"/>
      <c r="C186" s="51"/>
      <c r="D186" s="52"/>
      <c r="E186" s="52"/>
      <c r="F186" s="79"/>
      <c r="G186" s="79"/>
    </row>
    <row r="187" spans="1:8" ht="17.100000000000001" customHeight="1" x14ac:dyDescent="0.2">
      <c r="A187" s="53"/>
      <c r="B187" s="206" t="s">
        <v>819</v>
      </c>
      <c r="C187" s="206"/>
      <c r="D187" s="206"/>
      <c r="E187" s="206"/>
      <c r="F187" s="206"/>
      <c r="G187" s="54"/>
    </row>
    <row r="188" spans="1:8" ht="17.100000000000001" customHeight="1" x14ac:dyDescent="0.2">
      <c r="A188" s="53"/>
      <c r="B188" s="206" t="s">
        <v>820</v>
      </c>
      <c r="C188" s="206"/>
      <c r="D188" s="206"/>
      <c r="E188" s="206"/>
      <c r="F188" s="206"/>
      <c r="G188" s="54"/>
    </row>
    <row r="189" spans="1:8" ht="14.1" customHeight="1" x14ac:dyDescent="0.2">
      <c r="A189" s="53"/>
      <c r="B189" s="206" t="s">
        <v>98</v>
      </c>
      <c r="C189" s="206"/>
      <c r="D189" s="206"/>
      <c r="E189" s="206"/>
      <c r="F189" s="206"/>
      <c r="G189" s="54"/>
    </row>
    <row r="190" spans="1:8" ht="14.1" customHeight="1" x14ac:dyDescent="0.2">
      <c r="A190" s="53"/>
      <c r="B190" s="53"/>
      <c r="C190" s="53"/>
      <c r="D190" s="54"/>
      <c r="E190" s="54"/>
      <c r="F190" s="54"/>
      <c r="G190" s="54"/>
    </row>
    <row r="191" spans="1:8" ht="14.1" customHeight="1" x14ac:dyDescent="0.2">
      <c r="A191" s="53"/>
      <c r="B191" s="212" t="s">
        <v>126</v>
      </c>
      <c r="C191" s="213"/>
      <c r="D191" s="214"/>
      <c r="E191" s="55"/>
      <c r="F191" s="54"/>
      <c r="G191" s="54"/>
    </row>
    <row r="192" spans="1:8" ht="29.1" customHeight="1" x14ac:dyDescent="0.2">
      <c r="A192" s="53"/>
      <c r="B192" s="210" t="s">
        <v>127</v>
      </c>
      <c r="C192" s="211"/>
      <c r="D192" s="38" t="s">
        <v>128</v>
      </c>
      <c r="E192" s="55"/>
      <c r="F192" s="54"/>
      <c r="G192" s="54"/>
    </row>
    <row r="193" spans="1:15" ht="17.100000000000001" customHeight="1" x14ac:dyDescent="0.2">
      <c r="A193" s="53"/>
      <c r="B193" s="210" t="s">
        <v>129</v>
      </c>
      <c r="C193" s="211"/>
      <c r="D193" s="38" t="s">
        <v>128</v>
      </c>
      <c r="E193" s="55"/>
      <c r="F193" s="54"/>
      <c r="G193" s="54"/>
    </row>
    <row r="194" spans="1:15" ht="17.100000000000001" customHeight="1" x14ac:dyDescent="0.2">
      <c r="A194" s="53"/>
      <c r="B194" s="210" t="s">
        <v>130</v>
      </c>
      <c r="C194" s="211"/>
      <c r="D194" s="47" t="s">
        <v>98</v>
      </c>
      <c r="E194" s="55"/>
      <c r="F194" s="54"/>
      <c r="G194" s="54"/>
    </row>
    <row r="195" spans="1:15" ht="24" customHeight="1" x14ac:dyDescent="0.2">
      <c r="A195" s="56"/>
      <c r="B195" s="57" t="s">
        <v>98</v>
      </c>
      <c r="C195" s="57" t="s">
        <v>131</v>
      </c>
      <c r="D195" s="57" t="s">
        <v>132</v>
      </c>
      <c r="E195" s="56"/>
      <c r="F195" s="56"/>
      <c r="G195" s="56"/>
    </row>
    <row r="196" spans="1:15" ht="18" customHeight="1" x14ac:dyDescent="0.2">
      <c r="A196" s="56"/>
      <c r="B196" s="58" t="s">
        <v>133</v>
      </c>
      <c r="C196" s="57" t="s">
        <v>134</v>
      </c>
      <c r="D196" s="57" t="s">
        <v>135</v>
      </c>
      <c r="E196" s="56"/>
      <c r="F196" s="56"/>
      <c r="G196" s="56"/>
    </row>
    <row r="197" spans="1:15" ht="17.100000000000001" customHeight="1" x14ac:dyDescent="0.2">
      <c r="A197" s="56"/>
      <c r="B197" s="40" t="s">
        <v>136</v>
      </c>
      <c r="C197" s="59">
        <v>14.914099999999999</v>
      </c>
      <c r="D197" s="59">
        <v>15.0525</v>
      </c>
      <c r="E197" s="56"/>
      <c r="F197" s="60"/>
      <c r="G197" s="61"/>
    </row>
    <row r="198" spans="1:15" ht="17.100000000000001" customHeight="1" x14ac:dyDescent="0.2">
      <c r="A198" s="56"/>
      <c r="B198" s="40" t="s">
        <v>980</v>
      </c>
      <c r="C198" s="59">
        <v>13.8804</v>
      </c>
      <c r="D198" s="59">
        <v>14.0092</v>
      </c>
      <c r="E198" s="56"/>
      <c r="F198" s="60"/>
      <c r="G198" s="61"/>
    </row>
    <row r="199" spans="1:15" ht="17.100000000000001" customHeight="1" x14ac:dyDescent="0.2">
      <c r="A199" s="56"/>
      <c r="B199" s="40" t="s">
        <v>137</v>
      </c>
      <c r="C199" s="59">
        <v>14.474</v>
      </c>
      <c r="D199" s="59">
        <v>14.5848</v>
      </c>
      <c r="E199" s="56"/>
      <c r="F199" s="60"/>
      <c r="G199" s="61"/>
    </row>
    <row r="200" spans="1:15" ht="17.100000000000001" customHeight="1" x14ac:dyDescent="0.2">
      <c r="A200" s="56"/>
      <c r="B200" s="40" t="s">
        <v>981</v>
      </c>
      <c r="C200" s="59">
        <v>13.4695</v>
      </c>
      <c r="D200" s="59">
        <v>13.5726</v>
      </c>
      <c r="E200" s="56"/>
      <c r="F200" s="60"/>
      <c r="G200" s="61"/>
    </row>
    <row r="201" spans="1:15" ht="14.1" customHeight="1" x14ac:dyDescent="0.2">
      <c r="A201" s="56"/>
      <c r="B201" s="56"/>
      <c r="C201" s="56"/>
      <c r="D201" s="56"/>
      <c r="E201" s="56"/>
      <c r="F201" s="56"/>
      <c r="G201" s="56"/>
    </row>
    <row r="202" spans="1:15" ht="17.100000000000001" customHeight="1" x14ac:dyDescent="0.2">
      <c r="A202" s="56"/>
      <c r="B202" s="210" t="s">
        <v>982</v>
      </c>
      <c r="C202" s="211"/>
      <c r="D202" s="38" t="s">
        <v>128</v>
      </c>
      <c r="E202" s="56"/>
      <c r="F202" s="56"/>
      <c r="G202" s="56"/>
    </row>
    <row r="203" spans="1:15" ht="18" customHeight="1" x14ac:dyDescent="0.2">
      <c r="A203" s="56"/>
      <c r="B203" s="62"/>
      <c r="C203" s="62"/>
      <c r="D203" s="62"/>
      <c r="E203" s="56"/>
      <c r="F203" s="56"/>
      <c r="G203" s="56"/>
      <c r="I203" s="113"/>
      <c r="J203" s="113"/>
      <c r="K203" s="113"/>
      <c r="L203" s="113"/>
      <c r="M203" s="113"/>
      <c r="N203" s="113"/>
      <c r="O203" s="113"/>
    </row>
    <row r="204" spans="1:15" s="113" customFormat="1" x14ac:dyDescent="0.2">
      <c r="B204" s="202" t="s">
        <v>984</v>
      </c>
      <c r="C204" s="202"/>
      <c r="D204" s="202"/>
      <c r="E204" s="202"/>
      <c r="F204" s="202"/>
      <c r="I204" s="36"/>
      <c r="J204" s="36"/>
      <c r="K204" s="36"/>
      <c r="L204" s="36"/>
      <c r="M204" s="36"/>
      <c r="N204" s="36"/>
      <c r="O204" s="36"/>
    </row>
    <row r="205" spans="1:15" ht="14.1" customHeight="1" x14ac:dyDescent="0.2">
      <c r="A205" s="56"/>
      <c r="B205" s="60"/>
      <c r="C205" s="60"/>
      <c r="D205" s="56"/>
      <c r="E205" s="56"/>
      <c r="F205" s="56"/>
      <c r="G205" s="56"/>
    </row>
    <row r="206" spans="1:15" ht="29.1" customHeight="1" x14ac:dyDescent="0.2">
      <c r="A206" s="56"/>
      <c r="B206" s="210" t="s">
        <v>138</v>
      </c>
      <c r="C206" s="211"/>
      <c r="D206" s="91" t="s">
        <v>936</v>
      </c>
      <c r="E206" s="63"/>
      <c r="F206" s="56"/>
      <c r="G206" s="56"/>
    </row>
    <row r="207" spans="1:15" ht="29.1" customHeight="1" x14ac:dyDescent="0.2">
      <c r="A207" s="56"/>
      <c r="B207" s="210" t="s">
        <v>139</v>
      </c>
      <c r="C207" s="211"/>
      <c r="D207" s="38" t="s">
        <v>128</v>
      </c>
      <c r="E207" s="63"/>
      <c r="F207" s="56"/>
      <c r="G207" s="56"/>
    </row>
    <row r="208" spans="1:15" ht="17.100000000000001" customHeight="1" x14ac:dyDescent="0.2">
      <c r="A208" s="56"/>
      <c r="B208" s="207" t="s">
        <v>938</v>
      </c>
      <c r="C208" s="208"/>
      <c r="D208" s="64">
        <v>0.82117134962052685</v>
      </c>
      <c r="E208" s="63"/>
      <c r="F208" s="56"/>
      <c r="G208" s="56"/>
    </row>
    <row r="209" spans="1:7" ht="17.100000000000001" customHeight="1" x14ac:dyDescent="0.2">
      <c r="A209" s="56"/>
      <c r="B209" s="207" t="s">
        <v>939</v>
      </c>
      <c r="C209" s="208"/>
      <c r="D209" s="64">
        <v>0.78297470443429174</v>
      </c>
      <c r="E209" s="63"/>
      <c r="F209" s="56"/>
      <c r="G209" s="56"/>
    </row>
    <row r="210" spans="1:7" ht="17.100000000000001" customHeight="1" x14ac:dyDescent="0.2">
      <c r="A210" s="56"/>
      <c r="B210" s="210" t="s">
        <v>821</v>
      </c>
      <c r="C210" s="211"/>
      <c r="D210" s="38" t="s">
        <v>128</v>
      </c>
      <c r="E210" s="63"/>
      <c r="F210" s="56"/>
      <c r="G210" s="56"/>
    </row>
    <row r="211" spans="1:7" ht="17.100000000000001" customHeight="1" x14ac:dyDescent="0.2">
      <c r="A211" s="56"/>
      <c r="B211" s="210" t="s">
        <v>940</v>
      </c>
      <c r="C211" s="211"/>
      <c r="D211" s="28">
        <v>3.9060472813428699</v>
      </c>
      <c r="E211" s="56"/>
      <c r="F211" s="60"/>
      <c r="G211" s="61"/>
    </row>
    <row r="212" spans="1:7" ht="11.1" customHeight="1" x14ac:dyDescent="0.2">
      <c r="A212" s="62"/>
      <c r="B212" s="62"/>
      <c r="C212" s="62"/>
      <c r="D212" s="62"/>
      <c r="E212" s="62"/>
      <c r="F212" s="62"/>
      <c r="G212" s="62"/>
    </row>
  </sheetData>
  <mergeCells count="19">
    <mergeCell ref="J2:N2"/>
    <mergeCell ref="B209:C209"/>
    <mergeCell ref="B210:C210"/>
    <mergeCell ref="B211:C211"/>
    <mergeCell ref="B206:C206"/>
    <mergeCell ref="B187:F187"/>
    <mergeCell ref="B188:F188"/>
    <mergeCell ref="B189:F189"/>
    <mergeCell ref="B191:D191"/>
    <mergeCell ref="B192:C192"/>
    <mergeCell ref="B193:C193"/>
    <mergeCell ref="B194:C194"/>
    <mergeCell ref="B202:C202"/>
    <mergeCell ref="B204:F204"/>
    <mergeCell ref="A1:H1"/>
    <mergeCell ref="A2:H2"/>
    <mergeCell ref="A3:H3"/>
    <mergeCell ref="B207:C207"/>
    <mergeCell ref="B208:C208"/>
  </mergeCells>
  <pageMargins left="5.000000074505806E-2" right="5.000000074505806E-2" top="0.30000001192092896" bottom="0.20000000298023224" header="0" footer="0"/>
  <pageSetup paperSize="9"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2DE0B-9479-4DE1-A3B0-FA90B2684E9F}">
  <sheetPr>
    <outlinePr summaryBelow="0" summaryRight="0"/>
  </sheetPr>
  <dimension ref="A1:P188"/>
  <sheetViews>
    <sheetView showGridLines="0" workbookViewId="0">
      <selection activeCell="A4" sqref="A4"/>
    </sheetView>
  </sheetViews>
  <sheetFormatPr defaultRowHeight="12.75" x14ac:dyDescent="0.2"/>
  <cols>
    <col min="1" max="1" width="6.85546875" style="36" customWidth="1"/>
    <col min="2" max="2" width="20.5703125" style="36" customWidth="1"/>
    <col min="3" max="3" width="41.140625" style="36" customWidth="1"/>
    <col min="4" max="4" width="17.85546875" style="36" customWidth="1"/>
    <col min="5" max="6" width="19.140625" style="36" customWidth="1"/>
    <col min="7" max="7" width="16.42578125" style="36" customWidth="1"/>
    <col min="8" max="8" width="10.140625" style="36" customWidth="1"/>
    <col min="9" max="9" width="11.140625" style="36" customWidth="1"/>
    <col min="10" max="250" width="9.140625" style="36"/>
    <col min="251" max="251" width="6.85546875" style="36" customWidth="1"/>
    <col min="252" max="252" width="20.5703125" style="36" customWidth="1"/>
    <col min="253" max="253" width="34.28515625" style="36" customWidth="1"/>
    <col min="254" max="254" width="17.85546875" style="36" customWidth="1"/>
    <col min="255" max="256" width="19.140625" style="36" customWidth="1"/>
    <col min="257" max="257" width="16.42578125" style="36" customWidth="1"/>
    <col min="258" max="506" width="9.140625" style="36"/>
    <col min="507" max="507" width="6.85546875" style="36" customWidth="1"/>
    <col min="508" max="508" width="20.5703125" style="36" customWidth="1"/>
    <col min="509" max="509" width="34.28515625" style="36" customWidth="1"/>
    <col min="510" max="510" width="17.85546875" style="36" customWidth="1"/>
    <col min="511" max="512" width="19.140625" style="36" customWidth="1"/>
    <col min="513" max="513" width="16.42578125" style="36" customWidth="1"/>
    <col min="514" max="762" width="9.140625" style="36"/>
    <col min="763" max="763" width="6.85546875" style="36" customWidth="1"/>
    <col min="764" max="764" width="20.5703125" style="36" customWidth="1"/>
    <col min="765" max="765" width="34.28515625" style="36" customWidth="1"/>
    <col min="766" max="766" width="17.85546875" style="36" customWidth="1"/>
    <col min="767" max="768" width="19.140625" style="36" customWidth="1"/>
    <col min="769" max="769" width="16.42578125" style="36" customWidth="1"/>
    <col min="770" max="1018" width="9.140625" style="36"/>
    <col min="1019" max="1019" width="6.85546875" style="36" customWidth="1"/>
    <col min="1020" max="1020" width="20.5703125" style="36" customWidth="1"/>
    <col min="1021" max="1021" width="34.28515625" style="36" customWidth="1"/>
    <col min="1022" max="1022" width="17.85546875" style="36" customWidth="1"/>
    <col min="1023" max="1024" width="19.140625" style="36" customWidth="1"/>
    <col min="1025" max="1025" width="16.42578125" style="36" customWidth="1"/>
    <col min="1026" max="1274" width="9.140625" style="36"/>
    <col min="1275" max="1275" width="6.85546875" style="36" customWidth="1"/>
    <col min="1276" max="1276" width="20.5703125" style="36" customWidth="1"/>
    <col min="1277" max="1277" width="34.28515625" style="36" customWidth="1"/>
    <col min="1278" max="1278" width="17.85546875" style="36" customWidth="1"/>
    <col min="1279" max="1280" width="19.140625" style="36" customWidth="1"/>
    <col min="1281" max="1281" width="16.42578125" style="36" customWidth="1"/>
    <col min="1282" max="1530" width="9.140625" style="36"/>
    <col min="1531" max="1531" width="6.85546875" style="36" customWidth="1"/>
    <col min="1532" max="1532" width="20.5703125" style="36" customWidth="1"/>
    <col min="1533" max="1533" width="34.28515625" style="36" customWidth="1"/>
    <col min="1534" max="1534" width="17.85546875" style="36" customWidth="1"/>
    <col min="1535" max="1536" width="19.140625" style="36" customWidth="1"/>
    <col min="1537" max="1537" width="16.42578125" style="36" customWidth="1"/>
    <col min="1538" max="1786" width="9.140625" style="36"/>
    <col min="1787" max="1787" width="6.85546875" style="36" customWidth="1"/>
    <col min="1788" max="1788" width="20.5703125" style="36" customWidth="1"/>
    <col min="1789" max="1789" width="34.28515625" style="36" customWidth="1"/>
    <col min="1790" max="1790" width="17.85546875" style="36" customWidth="1"/>
    <col min="1791" max="1792" width="19.140625" style="36" customWidth="1"/>
    <col min="1793" max="1793" width="16.42578125" style="36" customWidth="1"/>
    <col min="1794" max="2042" width="9.140625" style="36"/>
    <col min="2043" max="2043" width="6.85546875" style="36" customWidth="1"/>
    <col min="2044" max="2044" width="20.5703125" style="36" customWidth="1"/>
    <col min="2045" max="2045" width="34.28515625" style="36" customWidth="1"/>
    <col min="2046" max="2046" width="17.85546875" style="36" customWidth="1"/>
    <col min="2047" max="2048" width="19.140625" style="36" customWidth="1"/>
    <col min="2049" max="2049" width="16.42578125" style="36" customWidth="1"/>
    <col min="2050" max="2298" width="9.140625" style="36"/>
    <col min="2299" max="2299" width="6.85546875" style="36" customWidth="1"/>
    <col min="2300" max="2300" width="20.5703125" style="36" customWidth="1"/>
    <col min="2301" max="2301" width="34.28515625" style="36" customWidth="1"/>
    <col min="2302" max="2302" width="17.85546875" style="36" customWidth="1"/>
    <col min="2303" max="2304" width="19.140625" style="36" customWidth="1"/>
    <col min="2305" max="2305" width="16.42578125" style="36" customWidth="1"/>
    <col min="2306" max="2554" width="9.140625" style="36"/>
    <col min="2555" max="2555" width="6.85546875" style="36" customWidth="1"/>
    <col min="2556" max="2556" width="20.5703125" style="36" customWidth="1"/>
    <col min="2557" max="2557" width="34.28515625" style="36" customWidth="1"/>
    <col min="2558" max="2558" width="17.85546875" style="36" customWidth="1"/>
    <col min="2559" max="2560" width="19.140625" style="36" customWidth="1"/>
    <col min="2561" max="2561" width="16.42578125" style="36" customWidth="1"/>
    <col min="2562" max="2810" width="9.140625" style="36"/>
    <col min="2811" max="2811" width="6.85546875" style="36" customWidth="1"/>
    <col min="2812" max="2812" width="20.5703125" style="36" customWidth="1"/>
    <col min="2813" max="2813" width="34.28515625" style="36" customWidth="1"/>
    <col min="2814" max="2814" width="17.85546875" style="36" customWidth="1"/>
    <col min="2815" max="2816" width="19.140625" style="36" customWidth="1"/>
    <col min="2817" max="2817" width="16.42578125" style="36" customWidth="1"/>
    <col min="2818" max="3066" width="9.140625" style="36"/>
    <col min="3067" max="3067" width="6.85546875" style="36" customWidth="1"/>
    <col min="3068" max="3068" width="20.5703125" style="36" customWidth="1"/>
    <col min="3069" max="3069" width="34.28515625" style="36" customWidth="1"/>
    <col min="3070" max="3070" width="17.85546875" style="36" customWidth="1"/>
    <col min="3071" max="3072" width="19.140625" style="36" customWidth="1"/>
    <col min="3073" max="3073" width="16.42578125" style="36" customWidth="1"/>
    <col min="3074" max="3322" width="9.140625" style="36"/>
    <col min="3323" max="3323" width="6.85546875" style="36" customWidth="1"/>
    <col min="3324" max="3324" width="20.5703125" style="36" customWidth="1"/>
    <col min="3325" max="3325" width="34.28515625" style="36" customWidth="1"/>
    <col min="3326" max="3326" width="17.85546875" style="36" customWidth="1"/>
    <col min="3327" max="3328" width="19.140625" style="36" customWidth="1"/>
    <col min="3329" max="3329" width="16.42578125" style="36" customWidth="1"/>
    <col min="3330" max="3578" width="9.140625" style="36"/>
    <col min="3579" max="3579" width="6.85546875" style="36" customWidth="1"/>
    <col min="3580" max="3580" width="20.5703125" style="36" customWidth="1"/>
    <col min="3581" max="3581" width="34.28515625" style="36" customWidth="1"/>
    <col min="3582" max="3582" width="17.85546875" style="36" customWidth="1"/>
    <col min="3583" max="3584" width="19.140625" style="36" customWidth="1"/>
    <col min="3585" max="3585" width="16.42578125" style="36" customWidth="1"/>
    <col min="3586" max="3834" width="9.140625" style="36"/>
    <col min="3835" max="3835" width="6.85546875" style="36" customWidth="1"/>
    <col min="3836" max="3836" width="20.5703125" style="36" customWidth="1"/>
    <col min="3837" max="3837" width="34.28515625" style="36" customWidth="1"/>
    <col min="3838" max="3838" width="17.85546875" style="36" customWidth="1"/>
    <col min="3839" max="3840" width="19.140625" style="36" customWidth="1"/>
    <col min="3841" max="3841" width="16.42578125" style="36" customWidth="1"/>
    <col min="3842" max="4090" width="9.140625" style="36"/>
    <col min="4091" max="4091" width="6.85546875" style="36" customWidth="1"/>
    <col min="4092" max="4092" width="20.5703125" style="36" customWidth="1"/>
    <col min="4093" max="4093" width="34.28515625" style="36" customWidth="1"/>
    <col min="4094" max="4094" width="17.85546875" style="36" customWidth="1"/>
    <col min="4095" max="4096" width="19.140625" style="36" customWidth="1"/>
    <col min="4097" max="4097" width="16.42578125" style="36" customWidth="1"/>
    <col min="4098" max="4346" width="9.140625" style="36"/>
    <col min="4347" max="4347" width="6.85546875" style="36" customWidth="1"/>
    <col min="4348" max="4348" width="20.5703125" style="36" customWidth="1"/>
    <col min="4349" max="4349" width="34.28515625" style="36" customWidth="1"/>
    <col min="4350" max="4350" width="17.85546875" style="36" customWidth="1"/>
    <col min="4351" max="4352" width="19.140625" style="36" customWidth="1"/>
    <col min="4353" max="4353" width="16.42578125" style="36" customWidth="1"/>
    <col min="4354" max="4602" width="9.140625" style="36"/>
    <col min="4603" max="4603" width="6.85546875" style="36" customWidth="1"/>
    <col min="4604" max="4604" width="20.5703125" style="36" customWidth="1"/>
    <col min="4605" max="4605" width="34.28515625" style="36" customWidth="1"/>
    <col min="4606" max="4606" width="17.85546875" style="36" customWidth="1"/>
    <col min="4607" max="4608" width="19.140625" style="36" customWidth="1"/>
    <col min="4609" max="4609" width="16.42578125" style="36" customWidth="1"/>
    <col min="4610" max="4858" width="9.140625" style="36"/>
    <col min="4859" max="4859" width="6.85546875" style="36" customWidth="1"/>
    <col min="4860" max="4860" width="20.5703125" style="36" customWidth="1"/>
    <col min="4861" max="4861" width="34.28515625" style="36" customWidth="1"/>
    <col min="4862" max="4862" width="17.85546875" style="36" customWidth="1"/>
    <col min="4863" max="4864" width="19.140625" style="36" customWidth="1"/>
    <col min="4865" max="4865" width="16.42578125" style="36" customWidth="1"/>
    <col min="4866" max="5114" width="9.140625" style="36"/>
    <col min="5115" max="5115" width="6.85546875" style="36" customWidth="1"/>
    <col min="5116" max="5116" width="20.5703125" style="36" customWidth="1"/>
    <col min="5117" max="5117" width="34.28515625" style="36" customWidth="1"/>
    <col min="5118" max="5118" width="17.85546875" style="36" customWidth="1"/>
    <col min="5119" max="5120" width="19.140625" style="36" customWidth="1"/>
    <col min="5121" max="5121" width="16.42578125" style="36" customWidth="1"/>
    <col min="5122" max="5370" width="9.140625" style="36"/>
    <col min="5371" max="5371" width="6.85546875" style="36" customWidth="1"/>
    <col min="5372" max="5372" width="20.5703125" style="36" customWidth="1"/>
    <col min="5373" max="5373" width="34.28515625" style="36" customWidth="1"/>
    <col min="5374" max="5374" width="17.85546875" style="36" customWidth="1"/>
    <col min="5375" max="5376" width="19.140625" style="36" customWidth="1"/>
    <col min="5377" max="5377" width="16.42578125" style="36" customWidth="1"/>
    <col min="5378" max="5626" width="9.140625" style="36"/>
    <col min="5627" max="5627" width="6.85546875" style="36" customWidth="1"/>
    <col min="5628" max="5628" width="20.5703125" style="36" customWidth="1"/>
    <col min="5629" max="5629" width="34.28515625" style="36" customWidth="1"/>
    <col min="5630" max="5630" width="17.85546875" style="36" customWidth="1"/>
    <col min="5631" max="5632" width="19.140625" style="36" customWidth="1"/>
    <col min="5633" max="5633" width="16.42578125" style="36" customWidth="1"/>
    <col min="5634" max="5882" width="9.140625" style="36"/>
    <col min="5883" max="5883" width="6.85546875" style="36" customWidth="1"/>
    <col min="5884" max="5884" width="20.5703125" style="36" customWidth="1"/>
    <col min="5885" max="5885" width="34.28515625" style="36" customWidth="1"/>
    <col min="5886" max="5886" width="17.85546875" style="36" customWidth="1"/>
    <col min="5887" max="5888" width="19.140625" style="36" customWidth="1"/>
    <col min="5889" max="5889" width="16.42578125" style="36" customWidth="1"/>
    <col min="5890" max="6138" width="9.140625" style="36"/>
    <col min="6139" max="6139" width="6.85546875" style="36" customWidth="1"/>
    <col min="6140" max="6140" width="20.5703125" style="36" customWidth="1"/>
    <col min="6141" max="6141" width="34.28515625" style="36" customWidth="1"/>
    <col min="6142" max="6142" width="17.85546875" style="36" customWidth="1"/>
    <col min="6143" max="6144" width="19.140625" style="36" customWidth="1"/>
    <col min="6145" max="6145" width="16.42578125" style="36" customWidth="1"/>
    <col min="6146" max="6394" width="9.140625" style="36"/>
    <col min="6395" max="6395" width="6.85546875" style="36" customWidth="1"/>
    <col min="6396" max="6396" width="20.5703125" style="36" customWidth="1"/>
    <col min="6397" max="6397" width="34.28515625" style="36" customWidth="1"/>
    <col min="6398" max="6398" width="17.85546875" style="36" customWidth="1"/>
    <col min="6399" max="6400" width="19.140625" style="36" customWidth="1"/>
    <col min="6401" max="6401" width="16.42578125" style="36" customWidth="1"/>
    <col min="6402" max="6650" width="9.140625" style="36"/>
    <col min="6651" max="6651" width="6.85546875" style="36" customWidth="1"/>
    <col min="6652" max="6652" width="20.5703125" style="36" customWidth="1"/>
    <col min="6653" max="6653" width="34.28515625" style="36" customWidth="1"/>
    <col min="6654" max="6654" width="17.85546875" style="36" customWidth="1"/>
    <col min="6655" max="6656" width="19.140625" style="36" customWidth="1"/>
    <col min="6657" max="6657" width="16.42578125" style="36" customWidth="1"/>
    <col min="6658" max="6906" width="9.140625" style="36"/>
    <col min="6907" max="6907" width="6.85546875" style="36" customWidth="1"/>
    <col min="6908" max="6908" width="20.5703125" style="36" customWidth="1"/>
    <col min="6909" max="6909" width="34.28515625" style="36" customWidth="1"/>
    <col min="6910" max="6910" width="17.85546875" style="36" customWidth="1"/>
    <col min="6911" max="6912" width="19.140625" style="36" customWidth="1"/>
    <col min="6913" max="6913" width="16.42578125" style="36" customWidth="1"/>
    <col min="6914" max="7162" width="9.140625" style="36"/>
    <col min="7163" max="7163" width="6.85546875" style="36" customWidth="1"/>
    <col min="7164" max="7164" width="20.5703125" style="36" customWidth="1"/>
    <col min="7165" max="7165" width="34.28515625" style="36" customWidth="1"/>
    <col min="7166" max="7166" width="17.85546875" style="36" customWidth="1"/>
    <col min="7167" max="7168" width="19.140625" style="36" customWidth="1"/>
    <col min="7169" max="7169" width="16.42578125" style="36" customWidth="1"/>
    <col min="7170" max="7418" width="9.140625" style="36"/>
    <col min="7419" max="7419" width="6.85546875" style="36" customWidth="1"/>
    <col min="7420" max="7420" width="20.5703125" style="36" customWidth="1"/>
    <col min="7421" max="7421" width="34.28515625" style="36" customWidth="1"/>
    <col min="7422" max="7422" width="17.85546875" style="36" customWidth="1"/>
    <col min="7423" max="7424" width="19.140625" style="36" customWidth="1"/>
    <col min="7425" max="7425" width="16.42578125" style="36" customWidth="1"/>
    <col min="7426" max="7674" width="9.140625" style="36"/>
    <col min="7675" max="7675" width="6.85546875" style="36" customWidth="1"/>
    <col min="7676" max="7676" width="20.5703125" style="36" customWidth="1"/>
    <col min="7677" max="7677" width="34.28515625" style="36" customWidth="1"/>
    <col min="7678" max="7678" width="17.85546875" style="36" customWidth="1"/>
    <col min="7679" max="7680" width="19.140625" style="36" customWidth="1"/>
    <col min="7681" max="7681" width="16.42578125" style="36" customWidth="1"/>
    <col min="7682" max="7930" width="9.140625" style="36"/>
    <col min="7931" max="7931" width="6.85546875" style="36" customWidth="1"/>
    <col min="7932" max="7932" width="20.5703125" style="36" customWidth="1"/>
    <col min="7933" max="7933" width="34.28515625" style="36" customWidth="1"/>
    <col min="7934" max="7934" width="17.85546875" style="36" customWidth="1"/>
    <col min="7935" max="7936" width="19.140625" style="36" customWidth="1"/>
    <col min="7937" max="7937" width="16.42578125" style="36" customWidth="1"/>
    <col min="7938" max="8186" width="9.140625" style="36"/>
    <col min="8187" max="8187" width="6.85546875" style="36" customWidth="1"/>
    <col min="8188" max="8188" width="20.5703125" style="36" customWidth="1"/>
    <col min="8189" max="8189" width="34.28515625" style="36" customWidth="1"/>
    <col min="8190" max="8190" width="17.85546875" style="36" customWidth="1"/>
    <col min="8191" max="8192" width="19.140625" style="36" customWidth="1"/>
    <col min="8193" max="8193" width="16.42578125" style="36" customWidth="1"/>
    <col min="8194" max="8442" width="9.140625" style="36"/>
    <col min="8443" max="8443" width="6.85546875" style="36" customWidth="1"/>
    <col min="8444" max="8444" width="20.5703125" style="36" customWidth="1"/>
    <col min="8445" max="8445" width="34.28515625" style="36" customWidth="1"/>
    <col min="8446" max="8446" width="17.85546875" style="36" customWidth="1"/>
    <col min="8447" max="8448" width="19.140625" style="36" customWidth="1"/>
    <col min="8449" max="8449" width="16.42578125" style="36" customWidth="1"/>
    <col min="8450" max="8698" width="9.140625" style="36"/>
    <col min="8699" max="8699" width="6.85546875" style="36" customWidth="1"/>
    <col min="8700" max="8700" width="20.5703125" style="36" customWidth="1"/>
    <col min="8701" max="8701" width="34.28515625" style="36" customWidth="1"/>
    <col min="8702" max="8702" width="17.85546875" style="36" customWidth="1"/>
    <col min="8703" max="8704" width="19.140625" style="36" customWidth="1"/>
    <col min="8705" max="8705" width="16.42578125" style="36" customWidth="1"/>
    <col min="8706" max="8954" width="9.140625" style="36"/>
    <col min="8955" max="8955" width="6.85546875" style="36" customWidth="1"/>
    <col min="8956" max="8956" width="20.5703125" style="36" customWidth="1"/>
    <col min="8957" max="8957" width="34.28515625" style="36" customWidth="1"/>
    <col min="8958" max="8958" width="17.85546875" style="36" customWidth="1"/>
    <col min="8959" max="8960" width="19.140625" style="36" customWidth="1"/>
    <col min="8961" max="8961" width="16.42578125" style="36" customWidth="1"/>
    <col min="8962" max="9210" width="9.140625" style="36"/>
    <col min="9211" max="9211" width="6.85546875" style="36" customWidth="1"/>
    <col min="9212" max="9212" width="20.5703125" style="36" customWidth="1"/>
    <col min="9213" max="9213" width="34.28515625" style="36" customWidth="1"/>
    <col min="9214" max="9214" width="17.85546875" style="36" customWidth="1"/>
    <col min="9215" max="9216" width="19.140625" style="36" customWidth="1"/>
    <col min="9217" max="9217" width="16.42578125" style="36" customWidth="1"/>
    <col min="9218" max="9466" width="9.140625" style="36"/>
    <col min="9467" max="9467" width="6.85546875" style="36" customWidth="1"/>
    <col min="9468" max="9468" width="20.5703125" style="36" customWidth="1"/>
    <col min="9469" max="9469" width="34.28515625" style="36" customWidth="1"/>
    <col min="9470" max="9470" width="17.85546875" style="36" customWidth="1"/>
    <col min="9471" max="9472" width="19.140625" style="36" customWidth="1"/>
    <col min="9473" max="9473" width="16.42578125" style="36" customWidth="1"/>
    <col min="9474" max="9722" width="9.140625" style="36"/>
    <col min="9723" max="9723" width="6.85546875" style="36" customWidth="1"/>
    <col min="9724" max="9724" width="20.5703125" style="36" customWidth="1"/>
    <col min="9725" max="9725" width="34.28515625" style="36" customWidth="1"/>
    <col min="9726" max="9726" width="17.85546875" style="36" customWidth="1"/>
    <col min="9727" max="9728" width="19.140625" style="36" customWidth="1"/>
    <col min="9729" max="9729" width="16.42578125" style="36" customWidth="1"/>
    <col min="9730" max="9978" width="9.140625" style="36"/>
    <col min="9979" max="9979" width="6.85546875" style="36" customWidth="1"/>
    <col min="9980" max="9980" width="20.5703125" style="36" customWidth="1"/>
    <col min="9981" max="9981" width="34.28515625" style="36" customWidth="1"/>
    <col min="9982" max="9982" width="17.85546875" style="36" customWidth="1"/>
    <col min="9983" max="9984" width="19.140625" style="36" customWidth="1"/>
    <col min="9985" max="9985" width="16.42578125" style="36" customWidth="1"/>
    <col min="9986" max="10234" width="9.140625" style="36"/>
    <col min="10235" max="10235" width="6.85546875" style="36" customWidth="1"/>
    <col min="10236" max="10236" width="20.5703125" style="36" customWidth="1"/>
    <col min="10237" max="10237" width="34.28515625" style="36" customWidth="1"/>
    <col min="10238" max="10238" width="17.85546875" style="36" customWidth="1"/>
    <col min="10239" max="10240" width="19.140625" style="36" customWidth="1"/>
    <col min="10241" max="10241" width="16.42578125" style="36" customWidth="1"/>
    <col min="10242" max="10490" width="9.140625" style="36"/>
    <col min="10491" max="10491" width="6.85546875" style="36" customWidth="1"/>
    <col min="10492" max="10492" width="20.5703125" style="36" customWidth="1"/>
    <col min="10493" max="10493" width="34.28515625" style="36" customWidth="1"/>
    <col min="10494" max="10494" width="17.85546875" style="36" customWidth="1"/>
    <col min="10495" max="10496" width="19.140625" style="36" customWidth="1"/>
    <col min="10497" max="10497" width="16.42578125" style="36" customWidth="1"/>
    <col min="10498" max="10746" width="9.140625" style="36"/>
    <col min="10747" max="10747" width="6.85546875" style="36" customWidth="1"/>
    <col min="10748" max="10748" width="20.5703125" style="36" customWidth="1"/>
    <col min="10749" max="10749" width="34.28515625" style="36" customWidth="1"/>
    <col min="10750" max="10750" width="17.85546875" style="36" customWidth="1"/>
    <col min="10751" max="10752" width="19.140625" style="36" customWidth="1"/>
    <col min="10753" max="10753" width="16.42578125" style="36" customWidth="1"/>
    <col min="10754" max="11002" width="9.140625" style="36"/>
    <col min="11003" max="11003" width="6.85546875" style="36" customWidth="1"/>
    <col min="11004" max="11004" width="20.5703125" style="36" customWidth="1"/>
    <col min="11005" max="11005" width="34.28515625" style="36" customWidth="1"/>
    <col min="11006" max="11006" width="17.85546875" style="36" customWidth="1"/>
    <col min="11007" max="11008" width="19.140625" style="36" customWidth="1"/>
    <col min="11009" max="11009" width="16.42578125" style="36" customWidth="1"/>
    <col min="11010" max="11258" width="9.140625" style="36"/>
    <col min="11259" max="11259" width="6.85546875" style="36" customWidth="1"/>
    <col min="11260" max="11260" width="20.5703125" style="36" customWidth="1"/>
    <col min="11261" max="11261" width="34.28515625" style="36" customWidth="1"/>
    <col min="11262" max="11262" width="17.85546875" style="36" customWidth="1"/>
    <col min="11263" max="11264" width="19.140625" style="36" customWidth="1"/>
    <col min="11265" max="11265" width="16.42578125" style="36" customWidth="1"/>
    <col min="11266" max="11514" width="9.140625" style="36"/>
    <col min="11515" max="11515" width="6.85546875" style="36" customWidth="1"/>
    <col min="11516" max="11516" width="20.5703125" style="36" customWidth="1"/>
    <col min="11517" max="11517" width="34.28515625" style="36" customWidth="1"/>
    <col min="11518" max="11518" width="17.85546875" style="36" customWidth="1"/>
    <col min="11519" max="11520" width="19.140625" style="36" customWidth="1"/>
    <col min="11521" max="11521" width="16.42578125" style="36" customWidth="1"/>
    <col min="11522" max="11770" width="9.140625" style="36"/>
    <col min="11771" max="11771" width="6.85546875" style="36" customWidth="1"/>
    <col min="11772" max="11772" width="20.5703125" style="36" customWidth="1"/>
    <col min="11773" max="11773" width="34.28515625" style="36" customWidth="1"/>
    <col min="11774" max="11774" width="17.85546875" style="36" customWidth="1"/>
    <col min="11775" max="11776" width="19.140625" style="36" customWidth="1"/>
    <col min="11777" max="11777" width="16.42578125" style="36" customWidth="1"/>
    <col min="11778" max="12026" width="9.140625" style="36"/>
    <col min="12027" max="12027" width="6.85546875" style="36" customWidth="1"/>
    <col min="12028" max="12028" width="20.5703125" style="36" customWidth="1"/>
    <col min="12029" max="12029" width="34.28515625" style="36" customWidth="1"/>
    <col min="12030" max="12030" width="17.85546875" style="36" customWidth="1"/>
    <col min="12031" max="12032" width="19.140625" style="36" customWidth="1"/>
    <col min="12033" max="12033" width="16.42578125" style="36" customWidth="1"/>
    <col min="12034" max="12282" width="9.140625" style="36"/>
    <col min="12283" max="12283" width="6.85546875" style="36" customWidth="1"/>
    <col min="12284" max="12284" width="20.5703125" style="36" customWidth="1"/>
    <col min="12285" max="12285" width="34.28515625" style="36" customWidth="1"/>
    <col min="12286" max="12286" width="17.85546875" style="36" customWidth="1"/>
    <col min="12287" max="12288" width="19.140625" style="36" customWidth="1"/>
    <col min="12289" max="12289" width="16.42578125" style="36" customWidth="1"/>
    <col min="12290" max="12538" width="9.140625" style="36"/>
    <col min="12539" max="12539" width="6.85546875" style="36" customWidth="1"/>
    <col min="12540" max="12540" width="20.5703125" style="36" customWidth="1"/>
    <col min="12541" max="12541" width="34.28515625" style="36" customWidth="1"/>
    <col min="12542" max="12542" width="17.85546875" style="36" customWidth="1"/>
    <col min="12543" max="12544" width="19.140625" style="36" customWidth="1"/>
    <col min="12545" max="12545" width="16.42578125" style="36" customWidth="1"/>
    <col min="12546" max="12794" width="9.140625" style="36"/>
    <col min="12795" max="12795" width="6.85546875" style="36" customWidth="1"/>
    <col min="12796" max="12796" width="20.5703125" style="36" customWidth="1"/>
    <col min="12797" max="12797" width="34.28515625" style="36" customWidth="1"/>
    <col min="12798" max="12798" width="17.85546875" style="36" customWidth="1"/>
    <col min="12799" max="12800" width="19.140625" style="36" customWidth="1"/>
    <col min="12801" max="12801" width="16.42578125" style="36" customWidth="1"/>
    <col min="12802" max="13050" width="9.140625" style="36"/>
    <col min="13051" max="13051" width="6.85546875" style="36" customWidth="1"/>
    <col min="13052" max="13052" width="20.5703125" style="36" customWidth="1"/>
    <col min="13053" max="13053" width="34.28515625" style="36" customWidth="1"/>
    <col min="13054" max="13054" width="17.85546875" style="36" customWidth="1"/>
    <col min="13055" max="13056" width="19.140625" style="36" customWidth="1"/>
    <col min="13057" max="13057" width="16.42578125" style="36" customWidth="1"/>
    <col min="13058" max="13306" width="9.140625" style="36"/>
    <col min="13307" max="13307" width="6.85546875" style="36" customWidth="1"/>
    <col min="13308" max="13308" width="20.5703125" style="36" customWidth="1"/>
    <col min="13309" max="13309" width="34.28515625" style="36" customWidth="1"/>
    <col min="13310" max="13310" width="17.85546875" style="36" customWidth="1"/>
    <col min="13311" max="13312" width="19.140625" style="36" customWidth="1"/>
    <col min="13313" max="13313" width="16.42578125" style="36" customWidth="1"/>
    <col min="13314" max="13562" width="9.140625" style="36"/>
    <col min="13563" max="13563" width="6.85546875" style="36" customWidth="1"/>
    <col min="13564" max="13564" width="20.5703125" style="36" customWidth="1"/>
    <col min="13565" max="13565" width="34.28515625" style="36" customWidth="1"/>
    <col min="13566" max="13566" width="17.85546875" style="36" customWidth="1"/>
    <col min="13567" max="13568" width="19.140625" style="36" customWidth="1"/>
    <col min="13569" max="13569" width="16.42578125" style="36" customWidth="1"/>
    <col min="13570" max="13818" width="9.140625" style="36"/>
    <col min="13819" max="13819" width="6.85546875" style="36" customWidth="1"/>
    <col min="13820" max="13820" width="20.5703125" style="36" customWidth="1"/>
    <col min="13821" max="13821" width="34.28515625" style="36" customWidth="1"/>
    <col min="13822" max="13822" width="17.85546875" style="36" customWidth="1"/>
    <col min="13823" max="13824" width="19.140625" style="36" customWidth="1"/>
    <col min="13825" max="13825" width="16.42578125" style="36" customWidth="1"/>
    <col min="13826" max="14074" width="9.140625" style="36"/>
    <col min="14075" max="14075" width="6.85546875" style="36" customWidth="1"/>
    <col min="14076" max="14076" width="20.5703125" style="36" customWidth="1"/>
    <col min="14077" max="14077" width="34.28515625" style="36" customWidth="1"/>
    <col min="14078" max="14078" width="17.85546875" style="36" customWidth="1"/>
    <col min="14079" max="14080" width="19.140625" style="36" customWidth="1"/>
    <col min="14081" max="14081" width="16.42578125" style="36" customWidth="1"/>
    <col min="14082" max="14330" width="9.140625" style="36"/>
    <col min="14331" max="14331" width="6.85546875" style="36" customWidth="1"/>
    <col min="14332" max="14332" width="20.5703125" style="36" customWidth="1"/>
    <col min="14333" max="14333" width="34.28515625" style="36" customWidth="1"/>
    <col min="14334" max="14334" width="17.85546875" style="36" customWidth="1"/>
    <col min="14335" max="14336" width="19.140625" style="36" customWidth="1"/>
    <col min="14337" max="14337" width="16.42578125" style="36" customWidth="1"/>
    <col min="14338" max="14586" width="9.140625" style="36"/>
    <col min="14587" max="14587" width="6.85546875" style="36" customWidth="1"/>
    <col min="14588" max="14588" width="20.5703125" style="36" customWidth="1"/>
    <col min="14589" max="14589" width="34.28515625" style="36" customWidth="1"/>
    <col min="14590" max="14590" width="17.85546875" style="36" customWidth="1"/>
    <col min="14591" max="14592" width="19.140625" style="36" customWidth="1"/>
    <col min="14593" max="14593" width="16.42578125" style="36" customWidth="1"/>
    <col min="14594" max="14842" width="9.140625" style="36"/>
    <col min="14843" max="14843" width="6.85546875" style="36" customWidth="1"/>
    <col min="14844" max="14844" width="20.5703125" style="36" customWidth="1"/>
    <col min="14845" max="14845" width="34.28515625" style="36" customWidth="1"/>
    <col min="14846" max="14846" width="17.85546875" style="36" customWidth="1"/>
    <col min="14847" max="14848" width="19.140625" style="36" customWidth="1"/>
    <col min="14849" max="14849" width="16.42578125" style="36" customWidth="1"/>
    <col min="14850" max="15098" width="9.140625" style="36"/>
    <col min="15099" max="15099" width="6.85546875" style="36" customWidth="1"/>
    <col min="15100" max="15100" width="20.5703125" style="36" customWidth="1"/>
    <col min="15101" max="15101" width="34.28515625" style="36" customWidth="1"/>
    <col min="15102" max="15102" width="17.85546875" style="36" customWidth="1"/>
    <col min="15103" max="15104" width="19.140625" style="36" customWidth="1"/>
    <col min="15105" max="15105" width="16.42578125" style="36" customWidth="1"/>
    <col min="15106" max="15354" width="9.140625" style="36"/>
    <col min="15355" max="15355" width="6.85546875" style="36" customWidth="1"/>
    <col min="15356" max="15356" width="20.5703125" style="36" customWidth="1"/>
    <col min="15357" max="15357" width="34.28515625" style="36" customWidth="1"/>
    <col min="15358" max="15358" width="17.85546875" style="36" customWidth="1"/>
    <col min="15359" max="15360" width="19.140625" style="36" customWidth="1"/>
    <col min="15361" max="15361" width="16.42578125" style="36" customWidth="1"/>
    <col min="15362" max="15610" width="9.140625" style="36"/>
    <col min="15611" max="15611" width="6.85546875" style="36" customWidth="1"/>
    <col min="15612" max="15612" width="20.5703125" style="36" customWidth="1"/>
    <col min="15613" max="15613" width="34.28515625" style="36" customWidth="1"/>
    <col min="15614" max="15614" width="17.85546875" style="36" customWidth="1"/>
    <col min="15615" max="15616" width="19.140625" style="36" customWidth="1"/>
    <col min="15617" max="15617" width="16.42578125" style="36" customWidth="1"/>
    <col min="15618" max="15866" width="9.140625" style="36"/>
    <col min="15867" max="15867" width="6.85546875" style="36" customWidth="1"/>
    <col min="15868" max="15868" width="20.5703125" style="36" customWidth="1"/>
    <col min="15869" max="15869" width="34.28515625" style="36" customWidth="1"/>
    <col min="15870" max="15870" width="17.85546875" style="36" customWidth="1"/>
    <col min="15871" max="15872" width="19.140625" style="36" customWidth="1"/>
    <col min="15873" max="15873" width="16.42578125" style="36" customWidth="1"/>
    <col min="15874" max="16122" width="9.140625" style="36"/>
    <col min="16123" max="16123" width="6.85546875" style="36" customWidth="1"/>
    <col min="16124" max="16124" width="20.5703125" style="36" customWidth="1"/>
    <col min="16125" max="16125" width="34.28515625" style="36" customWidth="1"/>
    <col min="16126" max="16126" width="17.85546875" style="36" customWidth="1"/>
    <col min="16127" max="16128" width="19.140625" style="36" customWidth="1"/>
    <col min="16129" max="16129" width="16.42578125" style="36" customWidth="1"/>
    <col min="16130" max="16384" width="9.140625" style="36"/>
  </cols>
  <sheetData>
    <row r="1" spans="1:15" ht="15" x14ac:dyDescent="0.2">
      <c r="A1" s="215" t="s">
        <v>0</v>
      </c>
      <c r="B1" s="215"/>
      <c r="C1" s="215"/>
      <c r="D1" s="215"/>
      <c r="E1" s="215"/>
      <c r="F1" s="215"/>
      <c r="G1" s="215"/>
      <c r="H1" s="215"/>
      <c r="I1" s="215"/>
    </row>
    <row r="2" spans="1:15" ht="15" x14ac:dyDescent="0.2">
      <c r="A2" s="215" t="s">
        <v>777</v>
      </c>
      <c r="B2" s="215"/>
      <c r="C2" s="215"/>
      <c r="D2" s="215"/>
      <c r="E2" s="215"/>
      <c r="F2" s="215"/>
      <c r="G2" s="215"/>
      <c r="H2" s="215"/>
      <c r="I2" s="215"/>
      <c r="K2" s="197" t="s">
        <v>1010</v>
      </c>
      <c r="L2" s="197"/>
      <c r="M2" s="197"/>
      <c r="N2" s="197"/>
      <c r="O2" s="197"/>
    </row>
    <row r="3" spans="1:15" ht="15" x14ac:dyDescent="0.2">
      <c r="A3" s="215" t="s">
        <v>934</v>
      </c>
      <c r="B3" s="215"/>
      <c r="C3" s="215"/>
      <c r="D3" s="215"/>
      <c r="E3" s="215"/>
      <c r="F3" s="215"/>
      <c r="G3" s="215"/>
      <c r="H3" s="215"/>
      <c r="I3" s="215"/>
    </row>
    <row r="4" spans="1:15" s="121" customFormat="1" ht="30" x14ac:dyDescent="0.2">
      <c r="A4" s="120" t="s">
        <v>2</v>
      </c>
      <c r="B4" s="120" t="s">
        <v>3</v>
      </c>
      <c r="C4" s="120" t="s">
        <v>4</v>
      </c>
      <c r="D4" s="120" t="s">
        <v>5</v>
      </c>
      <c r="E4" s="120" t="s">
        <v>6</v>
      </c>
      <c r="F4" s="120" t="s">
        <v>7</v>
      </c>
      <c r="G4" s="120" t="s">
        <v>8</v>
      </c>
      <c r="H4" s="111" t="s">
        <v>970</v>
      </c>
      <c r="I4" s="116" t="s">
        <v>985</v>
      </c>
    </row>
    <row r="5" spans="1:15" x14ac:dyDescent="0.2">
      <c r="A5" s="37"/>
      <c r="B5" s="37"/>
      <c r="C5" s="38" t="s">
        <v>9</v>
      </c>
      <c r="D5" s="37"/>
      <c r="E5" s="37"/>
      <c r="F5" s="37"/>
      <c r="G5" s="37"/>
      <c r="H5" s="112"/>
      <c r="I5" s="83"/>
    </row>
    <row r="6" spans="1:15" x14ac:dyDescent="0.2">
      <c r="A6" s="37"/>
      <c r="B6" s="37"/>
      <c r="C6" s="38" t="s">
        <v>10</v>
      </c>
      <c r="D6" s="37"/>
      <c r="E6" s="37"/>
      <c r="F6" s="37"/>
      <c r="G6" s="37"/>
      <c r="H6" s="112"/>
      <c r="I6" s="83"/>
    </row>
    <row r="7" spans="1:15" x14ac:dyDescent="0.2">
      <c r="A7" s="39">
        <v>1</v>
      </c>
      <c r="B7" s="40" t="s">
        <v>17</v>
      </c>
      <c r="C7" s="40" t="s">
        <v>18</v>
      </c>
      <c r="D7" s="40" t="s">
        <v>19</v>
      </c>
      <c r="E7" s="41">
        <v>1367321</v>
      </c>
      <c r="F7" s="42">
        <v>10966.5980805</v>
      </c>
      <c r="G7" s="43">
        <v>5.5390854000000003E-2</v>
      </c>
      <c r="H7" s="112"/>
      <c r="I7" s="83"/>
    </row>
    <row r="8" spans="1:15" x14ac:dyDescent="0.2">
      <c r="A8" s="39">
        <v>2</v>
      </c>
      <c r="B8" s="40" t="s">
        <v>414</v>
      </c>
      <c r="C8" s="40" t="s">
        <v>415</v>
      </c>
      <c r="D8" s="40" t="s">
        <v>162</v>
      </c>
      <c r="E8" s="41">
        <v>614877</v>
      </c>
      <c r="F8" s="42">
        <v>10254.611167499999</v>
      </c>
      <c r="G8" s="43">
        <v>5.1794700999999999E-2</v>
      </c>
      <c r="H8" s="112"/>
      <c r="I8" s="83"/>
    </row>
    <row r="9" spans="1:15" x14ac:dyDescent="0.2">
      <c r="A9" s="39">
        <v>3</v>
      </c>
      <c r="B9" s="40" t="s">
        <v>412</v>
      </c>
      <c r="C9" s="40" t="s">
        <v>413</v>
      </c>
      <c r="D9" s="40" t="s">
        <v>19</v>
      </c>
      <c r="E9" s="41">
        <v>613861</v>
      </c>
      <c r="F9" s="42">
        <v>9716.4988384999997</v>
      </c>
      <c r="G9" s="43">
        <v>4.9076766000000001E-2</v>
      </c>
      <c r="H9" s="112"/>
      <c r="I9" s="83"/>
    </row>
    <row r="10" spans="1:15" x14ac:dyDescent="0.2">
      <c r="A10" s="39">
        <v>4</v>
      </c>
      <c r="B10" s="40" t="s">
        <v>11</v>
      </c>
      <c r="C10" s="40" t="s">
        <v>12</v>
      </c>
      <c r="D10" s="40" t="s">
        <v>13</v>
      </c>
      <c r="E10" s="41">
        <v>369779</v>
      </c>
      <c r="F10" s="42">
        <v>6532.7007034999997</v>
      </c>
      <c r="G10" s="43">
        <v>3.2995818000000003E-2</v>
      </c>
      <c r="H10" s="112"/>
      <c r="I10" s="83"/>
    </row>
    <row r="11" spans="1:15" x14ac:dyDescent="0.2">
      <c r="A11" s="39">
        <v>5</v>
      </c>
      <c r="B11" s="40" t="s">
        <v>14</v>
      </c>
      <c r="C11" s="40" t="s">
        <v>15</v>
      </c>
      <c r="D11" s="40" t="s">
        <v>16</v>
      </c>
      <c r="E11" s="41">
        <v>248858</v>
      </c>
      <c r="F11" s="42">
        <v>6311.6610250000003</v>
      </c>
      <c r="G11" s="43">
        <v>3.1879375000000001E-2</v>
      </c>
      <c r="H11" s="112"/>
      <c r="I11" s="83"/>
    </row>
    <row r="12" spans="1:15" x14ac:dyDescent="0.2">
      <c r="A12" s="39">
        <v>6</v>
      </c>
      <c r="B12" s="40" t="s">
        <v>418</v>
      </c>
      <c r="C12" s="40" t="s">
        <v>419</v>
      </c>
      <c r="D12" s="40" t="s">
        <v>19</v>
      </c>
      <c r="E12" s="41">
        <v>1190548</v>
      </c>
      <c r="F12" s="42">
        <v>5978.3367820000003</v>
      </c>
      <c r="G12" s="43">
        <v>3.0195797999999999E-2</v>
      </c>
      <c r="H12" s="112"/>
      <c r="I12" s="83"/>
    </row>
    <row r="13" spans="1:15" ht="25.5" x14ac:dyDescent="0.2">
      <c r="A13" s="39">
        <v>7</v>
      </c>
      <c r="B13" s="40" t="s">
        <v>489</v>
      </c>
      <c r="C13" s="40" t="s">
        <v>490</v>
      </c>
      <c r="D13" s="40" t="s">
        <v>192</v>
      </c>
      <c r="E13" s="41">
        <v>567883</v>
      </c>
      <c r="F13" s="42">
        <v>5379.8396005000004</v>
      </c>
      <c r="G13" s="43">
        <v>2.7172867E-2</v>
      </c>
      <c r="H13" s="112"/>
      <c r="I13" s="83"/>
    </row>
    <row r="14" spans="1:15" ht="15" x14ac:dyDescent="0.2">
      <c r="A14" s="39">
        <v>8</v>
      </c>
      <c r="B14" s="40" t="s">
        <v>416</v>
      </c>
      <c r="C14" s="40" t="s">
        <v>417</v>
      </c>
      <c r="D14" s="40" t="s">
        <v>81</v>
      </c>
      <c r="E14" s="41">
        <v>171620</v>
      </c>
      <c r="F14" s="42">
        <v>4882.0741399999997</v>
      </c>
      <c r="G14" s="43">
        <v>2.4658718999999999E-2</v>
      </c>
      <c r="H14" s="112"/>
      <c r="I14" s="83"/>
      <c r="K14" s="188" t="s">
        <v>1024</v>
      </c>
    </row>
    <row r="15" spans="1:15" x14ac:dyDescent="0.2">
      <c r="A15" s="39">
        <v>9</v>
      </c>
      <c r="B15" s="40" t="s">
        <v>404</v>
      </c>
      <c r="C15" s="40" t="s">
        <v>405</v>
      </c>
      <c r="D15" s="40" t="s">
        <v>27</v>
      </c>
      <c r="E15" s="41">
        <v>203881</v>
      </c>
      <c r="F15" s="42">
        <v>4454.0862665000004</v>
      </c>
      <c r="G15" s="43">
        <v>2.2497007999999999E-2</v>
      </c>
      <c r="H15" s="112"/>
      <c r="I15" s="83"/>
    </row>
    <row r="16" spans="1:15" x14ac:dyDescent="0.2">
      <c r="A16" s="39">
        <v>10</v>
      </c>
      <c r="B16" s="40" t="s">
        <v>35</v>
      </c>
      <c r="C16" s="40" t="s">
        <v>36</v>
      </c>
      <c r="D16" s="40" t="s">
        <v>16</v>
      </c>
      <c r="E16" s="41">
        <v>977623</v>
      </c>
      <c r="F16" s="42">
        <v>4083.5312709999998</v>
      </c>
      <c r="G16" s="43">
        <v>2.0625383000000001E-2</v>
      </c>
      <c r="H16" s="112"/>
      <c r="I16" s="83"/>
    </row>
    <row r="17" spans="1:9" x14ac:dyDescent="0.2">
      <c r="A17" s="39">
        <v>11</v>
      </c>
      <c r="B17" s="40" t="s">
        <v>302</v>
      </c>
      <c r="C17" s="40" t="s">
        <v>303</v>
      </c>
      <c r="D17" s="40" t="s">
        <v>162</v>
      </c>
      <c r="E17" s="41">
        <v>90073</v>
      </c>
      <c r="F17" s="42">
        <v>4046.4394520000001</v>
      </c>
      <c r="G17" s="43">
        <v>2.0438036999999999E-2</v>
      </c>
      <c r="H17" s="112"/>
      <c r="I17" s="83"/>
    </row>
    <row r="18" spans="1:9" ht="25.5" x14ac:dyDescent="0.2">
      <c r="A18" s="39">
        <v>12</v>
      </c>
      <c r="B18" s="40" t="s">
        <v>326</v>
      </c>
      <c r="C18" s="40" t="s">
        <v>327</v>
      </c>
      <c r="D18" s="40" t="s">
        <v>192</v>
      </c>
      <c r="E18" s="41">
        <v>474838</v>
      </c>
      <c r="F18" s="42">
        <v>4033.0365529999999</v>
      </c>
      <c r="G18" s="43">
        <v>2.0370341E-2</v>
      </c>
      <c r="H18" s="112"/>
      <c r="I18" s="83"/>
    </row>
    <row r="19" spans="1:9" x14ac:dyDescent="0.2">
      <c r="A19" s="39">
        <v>13</v>
      </c>
      <c r="B19" s="40" t="s">
        <v>422</v>
      </c>
      <c r="C19" s="40" t="s">
        <v>423</v>
      </c>
      <c r="D19" s="40" t="s">
        <v>162</v>
      </c>
      <c r="E19" s="41">
        <v>116980</v>
      </c>
      <c r="F19" s="42">
        <v>3974.68795</v>
      </c>
      <c r="G19" s="43">
        <v>2.0075630000000001E-2</v>
      </c>
      <c r="H19" s="112"/>
      <c r="I19" s="83"/>
    </row>
    <row r="20" spans="1:9" x14ac:dyDescent="0.2">
      <c r="A20" s="39">
        <v>14</v>
      </c>
      <c r="B20" s="40" t="s">
        <v>519</v>
      </c>
      <c r="C20" s="40" t="s">
        <v>520</v>
      </c>
      <c r="D20" s="40" t="s">
        <v>19</v>
      </c>
      <c r="E20" s="41">
        <v>1284263</v>
      </c>
      <c r="F20" s="42">
        <v>3777.6596144999999</v>
      </c>
      <c r="G20" s="43">
        <v>1.9080465000000001E-2</v>
      </c>
      <c r="H20" s="112"/>
      <c r="I20" s="83"/>
    </row>
    <row r="21" spans="1:9" x14ac:dyDescent="0.2">
      <c r="A21" s="39">
        <v>15</v>
      </c>
      <c r="B21" s="40" t="s">
        <v>349</v>
      </c>
      <c r="C21" s="40" t="s">
        <v>350</v>
      </c>
      <c r="D21" s="40" t="s">
        <v>351</v>
      </c>
      <c r="E21" s="41">
        <v>124090</v>
      </c>
      <c r="F21" s="42">
        <v>3722.6379550000001</v>
      </c>
      <c r="G21" s="43">
        <v>1.8802558E-2</v>
      </c>
      <c r="H21" s="112"/>
      <c r="I21" s="83"/>
    </row>
    <row r="22" spans="1:9" x14ac:dyDescent="0.2">
      <c r="A22" s="39">
        <v>16</v>
      </c>
      <c r="B22" s="40" t="s">
        <v>386</v>
      </c>
      <c r="C22" s="40" t="s">
        <v>387</v>
      </c>
      <c r="D22" s="40" t="s">
        <v>973</v>
      </c>
      <c r="E22" s="41">
        <v>20426</v>
      </c>
      <c r="F22" s="42">
        <v>3640.148099</v>
      </c>
      <c r="G22" s="43">
        <v>1.8385913E-2</v>
      </c>
      <c r="H22" s="112"/>
      <c r="I22" s="83"/>
    </row>
    <row r="23" spans="1:9" x14ac:dyDescent="0.2">
      <c r="A23" s="39">
        <v>17</v>
      </c>
      <c r="B23" s="40" t="s">
        <v>167</v>
      </c>
      <c r="C23" s="40" t="s">
        <v>168</v>
      </c>
      <c r="D23" s="40" t="s">
        <v>81</v>
      </c>
      <c r="E23" s="41">
        <v>515226</v>
      </c>
      <c r="F23" s="42">
        <v>3633.6313650000002</v>
      </c>
      <c r="G23" s="43">
        <v>1.8352996999999999E-2</v>
      </c>
      <c r="H23" s="112"/>
      <c r="I23" s="83"/>
    </row>
    <row r="24" spans="1:9" x14ac:dyDescent="0.2">
      <c r="A24" s="39">
        <v>18</v>
      </c>
      <c r="B24" s="40" t="s">
        <v>376</v>
      </c>
      <c r="C24" s="40" t="s">
        <v>377</v>
      </c>
      <c r="D24" s="40" t="s">
        <v>162</v>
      </c>
      <c r="E24" s="41">
        <v>307173</v>
      </c>
      <c r="F24" s="42">
        <v>3513.2911875</v>
      </c>
      <c r="G24" s="43">
        <v>1.7745174999999998E-2</v>
      </c>
      <c r="H24" s="112"/>
      <c r="I24" s="83"/>
    </row>
    <row r="25" spans="1:9" x14ac:dyDescent="0.2">
      <c r="A25" s="39">
        <v>19</v>
      </c>
      <c r="B25" s="40" t="s">
        <v>322</v>
      </c>
      <c r="C25" s="40" t="s">
        <v>323</v>
      </c>
      <c r="D25" s="40" t="s">
        <v>19</v>
      </c>
      <c r="E25" s="41">
        <v>463925</v>
      </c>
      <c r="F25" s="42">
        <v>3442.3235</v>
      </c>
      <c r="G25" s="43">
        <v>1.7386726000000002E-2</v>
      </c>
      <c r="H25" s="112"/>
      <c r="I25" s="83"/>
    </row>
    <row r="26" spans="1:9" x14ac:dyDescent="0.2">
      <c r="A26" s="39">
        <v>20</v>
      </c>
      <c r="B26" s="40" t="s">
        <v>22</v>
      </c>
      <c r="C26" s="40" t="s">
        <v>23</v>
      </c>
      <c r="D26" s="40" t="s">
        <v>24</v>
      </c>
      <c r="E26" s="41">
        <v>492230</v>
      </c>
      <c r="F26" s="42">
        <v>3373.4983050000001</v>
      </c>
      <c r="G26" s="43">
        <v>1.7039098999999999E-2</v>
      </c>
      <c r="H26" s="112"/>
      <c r="I26" s="83"/>
    </row>
    <row r="27" spans="1:9" x14ac:dyDescent="0.2">
      <c r="A27" s="39">
        <v>21</v>
      </c>
      <c r="B27" s="40" t="s">
        <v>213</v>
      </c>
      <c r="C27" s="40" t="s">
        <v>214</v>
      </c>
      <c r="D27" s="40" t="s">
        <v>977</v>
      </c>
      <c r="E27" s="41">
        <v>552800</v>
      </c>
      <c r="F27" s="42">
        <v>3207.8984</v>
      </c>
      <c r="G27" s="43">
        <v>1.6202675999999999E-2</v>
      </c>
      <c r="H27" s="112"/>
      <c r="I27" s="83"/>
    </row>
    <row r="28" spans="1:9" ht="25.5" x14ac:dyDescent="0.2">
      <c r="A28" s="39">
        <v>22</v>
      </c>
      <c r="B28" s="40" t="s">
        <v>568</v>
      </c>
      <c r="C28" s="40" t="s">
        <v>569</v>
      </c>
      <c r="D28" s="40" t="s">
        <v>192</v>
      </c>
      <c r="E28" s="41">
        <v>22304</v>
      </c>
      <c r="F28" s="42">
        <v>3173.379664</v>
      </c>
      <c r="G28" s="43">
        <v>1.6028325999999999E-2</v>
      </c>
      <c r="H28" s="112"/>
      <c r="I28" s="83"/>
    </row>
    <row r="29" spans="1:9" x14ac:dyDescent="0.2">
      <c r="A29" s="39">
        <v>23</v>
      </c>
      <c r="B29" s="40" t="s">
        <v>345</v>
      </c>
      <c r="C29" s="40" t="s">
        <v>346</v>
      </c>
      <c r="D29" s="40" t="s">
        <v>186</v>
      </c>
      <c r="E29" s="41">
        <v>83467</v>
      </c>
      <c r="F29" s="42">
        <v>3088.4459339999999</v>
      </c>
      <c r="G29" s="43">
        <v>1.5599337E-2</v>
      </c>
      <c r="H29" s="112"/>
      <c r="I29" s="83"/>
    </row>
    <row r="30" spans="1:9" x14ac:dyDescent="0.2">
      <c r="A30" s="39">
        <v>24</v>
      </c>
      <c r="B30" s="40" t="s">
        <v>339</v>
      </c>
      <c r="C30" s="40" t="s">
        <v>340</v>
      </c>
      <c r="D30" s="40" t="s">
        <v>81</v>
      </c>
      <c r="E30" s="41">
        <v>197458</v>
      </c>
      <c r="F30" s="42">
        <v>2835.8917959999999</v>
      </c>
      <c r="G30" s="43">
        <v>1.4323719E-2</v>
      </c>
      <c r="H30" s="112"/>
      <c r="I30" s="83"/>
    </row>
    <row r="31" spans="1:9" x14ac:dyDescent="0.2">
      <c r="A31" s="39">
        <v>25</v>
      </c>
      <c r="B31" s="40" t="s">
        <v>84</v>
      </c>
      <c r="C31" s="40" t="s">
        <v>85</v>
      </c>
      <c r="D31" s="40" t="s">
        <v>61</v>
      </c>
      <c r="E31" s="41">
        <v>543670</v>
      </c>
      <c r="F31" s="42">
        <v>2576.4521300000001</v>
      </c>
      <c r="G31" s="43">
        <v>1.3013323E-2</v>
      </c>
      <c r="H31" s="112"/>
      <c r="I31" s="83"/>
    </row>
    <row r="32" spans="1:9" x14ac:dyDescent="0.2">
      <c r="A32" s="39">
        <v>26</v>
      </c>
      <c r="B32" s="40" t="s">
        <v>76</v>
      </c>
      <c r="C32" s="40" t="s">
        <v>77</v>
      </c>
      <c r="D32" s="40" t="s">
        <v>78</v>
      </c>
      <c r="E32" s="41">
        <v>1696366</v>
      </c>
      <c r="F32" s="42">
        <v>2415.625184</v>
      </c>
      <c r="G32" s="43">
        <v>1.2201007E-2</v>
      </c>
      <c r="H32" s="112"/>
      <c r="I32" s="83"/>
    </row>
    <row r="33" spans="1:9" ht="25.5" x14ac:dyDescent="0.2">
      <c r="A33" s="39">
        <v>27</v>
      </c>
      <c r="B33" s="40" t="s">
        <v>28</v>
      </c>
      <c r="C33" s="40" t="s">
        <v>29</v>
      </c>
      <c r="D33" s="40" t="s">
        <v>971</v>
      </c>
      <c r="E33" s="41">
        <v>31126</v>
      </c>
      <c r="F33" s="42">
        <v>2376.7969229999999</v>
      </c>
      <c r="G33" s="43">
        <v>1.2004891E-2</v>
      </c>
      <c r="H33" s="112"/>
      <c r="I33" s="83"/>
    </row>
    <row r="34" spans="1:9" ht="25.5" x14ac:dyDescent="0.2">
      <c r="A34" s="39">
        <v>28</v>
      </c>
      <c r="B34" s="40" t="s">
        <v>400</v>
      </c>
      <c r="C34" s="40" t="s">
        <v>401</v>
      </c>
      <c r="D34" s="40" t="s">
        <v>192</v>
      </c>
      <c r="E34" s="41">
        <v>250803</v>
      </c>
      <c r="F34" s="42">
        <v>2030.2502850000001</v>
      </c>
      <c r="G34" s="43">
        <v>1.0254529E-2</v>
      </c>
      <c r="H34" s="112"/>
      <c r="I34" s="83"/>
    </row>
    <row r="35" spans="1:9" x14ac:dyDescent="0.2">
      <c r="A35" s="39">
        <v>29</v>
      </c>
      <c r="B35" s="40" t="s">
        <v>428</v>
      </c>
      <c r="C35" s="40" t="s">
        <v>429</v>
      </c>
      <c r="D35" s="40" t="s">
        <v>186</v>
      </c>
      <c r="E35" s="41">
        <v>243820</v>
      </c>
      <c r="F35" s="42">
        <v>1938.3689999999999</v>
      </c>
      <c r="G35" s="43">
        <v>9.7904489999999997E-3</v>
      </c>
      <c r="H35" s="112"/>
      <c r="I35" s="83"/>
    </row>
    <row r="36" spans="1:9" x14ac:dyDescent="0.2">
      <c r="A36" s="39">
        <v>30</v>
      </c>
      <c r="B36" s="40" t="s">
        <v>445</v>
      </c>
      <c r="C36" s="40" t="s">
        <v>446</v>
      </c>
      <c r="D36" s="40" t="s">
        <v>19</v>
      </c>
      <c r="E36" s="41">
        <v>90523</v>
      </c>
      <c r="F36" s="42">
        <v>1838.6579145000001</v>
      </c>
      <c r="G36" s="43">
        <v>9.2868210000000007E-3</v>
      </c>
      <c r="H36" s="112"/>
      <c r="I36" s="83"/>
    </row>
    <row r="37" spans="1:9" ht="25.5" x14ac:dyDescent="0.2">
      <c r="A37" s="39">
        <v>31</v>
      </c>
      <c r="B37" s="40" t="s">
        <v>392</v>
      </c>
      <c r="C37" s="40" t="s">
        <v>393</v>
      </c>
      <c r="D37" s="40" t="s">
        <v>971</v>
      </c>
      <c r="E37" s="41">
        <v>85529</v>
      </c>
      <c r="F37" s="42">
        <v>1721.0573025000001</v>
      </c>
      <c r="G37" s="43">
        <v>8.6928360000000007E-3</v>
      </c>
      <c r="H37" s="112"/>
      <c r="I37" s="83"/>
    </row>
    <row r="38" spans="1:9" x14ac:dyDescent="0.2">
      <c r="A38" s="39">
        <v>32</v>
      </c>
      <c r="B38" s="40" t="s">
        <v>90</v>
      </c>
      <c r="C38" s="40" t="s">
        <v>91</v>
      </c>
      <c r="D38" s="40" t="s">
        <v>27</v>
      </c>
      <c r="E38" s="41">
        <v>21525</v>
      </c>
      <c r="F38" s="42">
        <v>1593.2266875</v>
      </c>
      <c r="G38" s="43">
        <v>8.0471799999999993E-3</v>
      </c>
      <c r="H38" s="112"/>
      <c r="I38" s="83"/>
    </row>
    <row r="39" spans="1:9" x14ac:dyDescent="0.2">
      <c r="A39" s="39">
        <v>33</v>
      </c>
      <c r="B39" s="40" t="s">
        <v>396</v>
      </c>
      <c r="C39" s="40" t="s">
        <v>397</v>
      </c>
      <c r="D39" s="40" t="s">
        <v>173</v>
      </c>
      <c r="E39" s="41">
        <v>195065</v>
      </c>
      <c r="F39" s="42">
        <v>1524.5305075000001</v>
      </c>
      <c r="G39" s="43">
        <v>7.7002040000000004E-3</v>
      </c>
      <c r="H39" s="112"/>
      <c r="I39" s="83"/>
    </row>
    <row r="40" spans="1:9" x14ac:dyDescent="0.2">
      <c r="A40" s="39">
        <v>34</v>
      </c>
      <c r="B40" s="40" t="s">
        <v>205</v>
      </c>
      <c r="C40" s="40" t="s">
        <v>206</v>
      </c>
      <c r="D40" s="40" t="s">
        <v>975</v>
      </c>
      <c r="E40" s="41">
        <v>171598</v>
      </c>
      <c r="F40" s="42">
        <v>1486.639273</v>
      </c>
      <c r="G40" s="43">
        <v>7.5088209999999997E-3</v>
      </c>
      <c r="H40" s="112"/>
      <c r="I40" s="83"/>
    </row>
    <row r="41" spans="1:9" x14ac:dyDescent="0.2">
      <c r="A41" s="39">
        <v>35</v>
      </c>
      <c r="B41" s="40" t="s">
        <v>88</v>
      </c>
      <c r="C41" s="40" t="s">
        <v>89</v>
      </c>
      <c r="D41" s="40" t="s">
        <v>64</v>
      </c>
      <c r="E41" s="41">
        <v>331864</v>
      </c>
      <c r="F41" s="42">
        <v>1414.072504</v>
      </c>
      <c r="G41" s="43">
        <v>7.1422949999999999E-3</v>
      </c>
      <c r="H41" s="112"/>
      <c r="I41" s="83"/>
    </row>
    <row r="42" spans="1:9" x14ac:dyDescent="0.2">
      <c r="A42" s="39">
        <v>36</v>
      </c>
      <c r="B42" s="40" t="s">
        <v>437</v>
      </c>
      <c r="C42" s="40" t="s">
        <v>438</v>
      </c>
      <c r="D42" s="40" t="s">
        <v>186</v>
      </c>
      <c r="E42" s="41">
        <v>20653</v>
      </c>
      <c r="F42" s="42">
        <v>1063.6604795000001</v>
      </c>
      <c r="G42" s="43">
        <v>5.3724100000000002E-3</v>
      </c>
      <c r="H42" s="112"/>
      <c r="I42" s="83"/>
    </row>
    <row r="43" spans="1:9" x14ac:dyDescent="0.2">
      <c r="A43" s="39">
        <v>37</v>
      </c>
      <c r="B43" s="40" t="s">
        <v>308</v>
      </c>
      <c r="C43" s="40" t="s">
        <v>309</v>
      </c>
      <c r="D43" s="40" t="s">
        <v>189</v>
      </c>
      <c r="E43" s="41">
        <v>24177</v>
      </c>
      <c r="F43" s="42">
        <v>1030.4358285000001</v>
      </c>
      <c r="G43" s="43">
        <v>5.204597E-3</v>
      </c>
      <c r="H43" s="112"/>
      <c r="I43" s="83"/>
    </row>
    <row r="44" spans="1:9" ht="25.5" x14ac:dyDescent="0.2">
      <c r="A44" s="39">
        <v>38</v>
      </c>
      <c r="B44" s="40" t="s">
        <v>424</v>
      </c>
      <c r="C44" s="40" t="s">
        <v>425</v>
      </c>
      <c r="D44" s="40" t="s">
        <v>192</v>
      </c>
      <c r="E44" s="41">
        <v>41670</v>
      </c>
      <c r="F44" s="42">
        <v>997.22560499999997</v>
      </c>
      <c r="G44" s="43">
        <v>5.0368560000000001E-3</v>
      </c>
      <c r="H44" s="112"/>
      <c r="I44" s="83"/>
    </row>
    <row r="45" spans="1:9" x14ac:dyDescent="0.2">
      <c r="A45" s="39">
        <v>39</v>
      </c>
      <c r="B45" s="40" t="s">
        <v>430</v>
      </c>
      <c r="C45" s="40" t="s">
        <v>431</v>
      </c>
      <c r="D45" s="40" t="s">
        <v>432</v>
      </c>
      <c r="E45" s="41">
        <v>216487</v>
      </c>
      <c r="F45" s="42">
        <v>995.40722600000004</v>
      </c>
      <c r="G45" s="43">
        <v>5.0276720000000004E-3</v>
      </c>
      <c r="H45" s="112"/>
      <c r="I45" s="83"/>
    </row>
    <row r="46" spans="1:9" x14ac:dyDescent="0.2">
      <c r="A46" s="39">
        <v>40</v>
      </c>
      <c r="B46" s="40" t="s">
        <v>219</v>
      </c>
      <c r="C46" s="40" t="s">
        <v>220</v>
      </c>
      <c r="D46" s="40" t="s">
        <v>64</v>
      </c>
      <c r="E46" s="41">
        <v>79865</v>
      </c>
      <c r="F46" s="42">
        <v>769.93853249999995</v>
      </c>
      <c r="G46" s="43">
        <v>3.8888590000000002E-3</v>
      </c>
      <c r="H46" s="112"/>
      <c r="I46" s="83"/>
    </row>
    <row r="47" spans="1:9" x14ac:dyDescent="0.2">
      <c r="A47" s="39">
        <v>41</v>
      </c>
      <c r="B47" s="40" t="s">
        <v>82</v>
      </c>
      <c r="C47" s="40" t="s">
        <v>83</v>
      </c>
      <c r="D47" s="40" t="s">
        <v>50</v>
      </c>
      <c r="E47" s="41">
        <v>109708</v>
      </c>
      <c r="F47" s="42">
        <v>760.27643999999998</v>
      </c>
      <c r="G47" s="43">
        <v>3.840057E-3</v>
      </c>
      <c r="H47" s="112"/>
      <c r="I47" s="83"/>
    </row>
    <row r="48" spans="1:9" x14ac:dyDescent="0.2">
      <c r="A48" s="39">
        <v>42</v>
      </c>
      <c r="B48" s="40" t="s">
        <v>368</v>
      </c>
      <c r="C48" s="40" t="s">
        <v>369</v>
      </c>
      <c r="D48" s="40" t="s">
        <v>71</v>
      </c>
      <c r="E48" s="41">
        <v>14951</v>
      </c>
      <c r="F48" s="42">
        <v>746.58566050000002</v>
      </c>
      <c r="G48" s="43">
        <v>3.770907E-3</v>
      </c>
      <c r="H48" s="112"/>
      <c r="I48" s="83"/>
    </row>
    <row r="49" spans="1:9" x14ac:dyDescent="0.2">
      <c r="A49" s="39">
        <v>43</v>
      </c>
      <c r="B49" s="40" t="s">
        <v>420</v>
      </c>
      <c r="C49" s="40" t="s">
        <v>421</v>
      </c>
      <c r="D49" s="40" t="s">
        <v>973</v>
      </c>
      <c r="E49" s="41">
        <v>62606</v>
      </c>
      <c r="F49" s="42">
        <v>717.18303300000002</v>
      </c>
      <c r="G49" s="43">
        <v>3.6223980000000002E-3</v>
      </c>
      <c r="H49" s="112"/>
      <c r="I49" s="83"/>
    </row>
    <row r="50" spans="1:9" x14ac:dyDescent="0.2">
      <c r="A50" s="39">
        <v>44</v>
      </c>
      <c r="B50" s="40" t="s">
        <v>335</v>
      </c>
      <c r="C50" s="40" t="s">
        <v>336</v>
      </c>
      <c r="D50" s="40" t="s">
        <v>71</v>
      </c>
      <c r="E50" s="41">
        <v>134358</v>
      </c>
      <c r="F50" s="42">
        <v>625.57084799999996</v>
      </c>
      <c r="G50" s="43">
        <v>3.1596770000000001E-3</v>
      </c>
      <c r="H50" s="112"/>
      <c r="I50" s="83"/>
    </row>
    <row r="51" spans="1:9" x14ac:dyDescent="0.2">
      <c r="A51" s="39">
        <v>45</v>
      </c>
      <c r="B51" s="40" t="s">
        <v>452</v>
      </c>
      <c r="C51" s="40" t="s">
        <v>453</v>
      </c>
      <c r="D51" s="40" t="s">
        <v>71</v>
      </c>
      <c r="E51" s="41">
        <v>26102</v>
      </c>
      <c r="F51" s="42">
        <v>622.15422100000001</v>
      </c>
      <c r="G51" s="43">
        <v>3.1424199999999999E-3</v>
      </c>
      <c r="H51" s="112"/>
      <c r="I51" s="83"/>
    </row>
    <row r="52" spans="1:9" x14ac:dyDescent="0.2">
      <c r="A52" s="39">
        <v>46</v>
      </c>
      <c r="B52" s="40" t="s">
        <v>456</v>
      </c>
      <c r="C52" s="40" t="s">
        <v>457</v>
      </c>
      <c r="D52" s="40" t="s">
        <v>186</v>
      </c>
      <c r="E52" s="41">
        <v>53263</v>
      </c>
      <c r="F52" s="42">
        <v>482.0567815</v>
      </c>
      <c r="G52" s="43">
        <v>2.4348059999999999E-3</v>
      </c>
      <c r="H52" s="112"/>
      <c r="I52" s="83"/>
    </row>
    <row r="53" spans="1:9" x14ac:dyDescent="0.2">
      <c r="A53" s="39">
        <v>47</v>
      </c>
      <c r="B53" s="40" t="s">
        <v>564</v>
      </c>
      <c r="C53" s="40" t="s">
        <v>565</v>
      </c>
      <c r="D53" s="40" t="s">
        <v>78</v>
      </c>
      <c r="E53" s="41">
        <v>5824</v>
      </c>
      <c r="F53" s="42">
        <v>435.77497599999998</v>
      </c>
      <c r="G53" s="43">
        <v>2.2010419999999998E-3</v>
      </c>
      <c r="H53" s="112"/>
      <c r="I53" s="83"/>
    </row>
    <row r="54" spans="1:9" ht="38.25" x14ac:dyDescent="0.2">
      <c r="A54" s="39">
        <v>48</v>
      </c>
      <c r="B54" s="40" t="s">
        <v>289</v>
      </c>
      <c r="C54" s="40" t="s">
        <v>290</v>
      </c>
      <c r="D54" s="40" t="s">
        <v>972</v>
      </c>
      <c r="E54" s="41">
        <v>8880</v>
      </c>
      <c r="F54" s="42">
        <v>99.9</v>
      </c>
      <c r="G54" s="43">
        <v>5.0458199999999995E-4</v>
      </c>
      <c r="H54" s="112"/>
      <c r="I54" s="83"/>
    </row>
    <row r="55" spans="1:9" x14ac:dyDescent="0.2">
      <c r="A55" s="39">
        <v>59</v>
      </c>
      <c r="B55" s="40" t="s">
        <v>447</v>
      </c>
      <c r="C55" s="70" t="s">
        <v>1030</v>
      </c>
      <c r="D55" s="40" t="s">
        <v>24</v>
      </c>
      <c r="E55" s="41">
        <v>35159</v>
      </c>
      <c r="F55" s="42">
        <v>89.898047099999999</v>
      </c>
      <c r="G55" s="43">
        <v>4.5406299999999999E-4</v>
      </c>
      <c r="H55" s="112"/>
      <c r="I55" s="83"/>
    </row>
    <row r="56" spans="1:9" x14ac:dyDescent="0.2">
      <c r="A56" s="37"/>
      <c r="B56" s="37"/>
      <c r="C56" s="38" t="s">
        <v>97</v>
      </c>
      <c r="D56" s="37"/>
      <c r="E56" s="37" t="s">
        <v>98</v>
      </c>
      <c r="F56" s="44">
        <v>148374.6530396</v>
      </c>
      <c r="G56" s="45">
        <v>0.74942098999999995</v>
      </c>
      <c r="H56" s="112"/>
      <c r="I56" s="83"/>
    </row>
    <row r="57" spans="1:9" x14ac:dyDescent="0.2">
      <c r="A57" s="37"/>
      <c r="B57" s="37"/>
      <c r="C57" s="46"/>
      <c r="D57" s="37"/>
      <c r="E57" s="37"/>
      <c r="F57" s="47"/>
      <c r="G57" s="47"/>
      <c r="H57" s="112"/>
      <c r="I57" s="83"/>
    </row>
    <row r="58" spans="1:9" x14ac:dyDescent="0.2">
      <c r="A58" s="37"/>
      <c r="B58" s="37"/>
      <c r="C58" s="38" t="s">
        <v>99</v>
      </c>
      <c r="D58" s="37"/>
      <c r="E58" s="37"/>
      <c r="F58" s="37"/>
      <c r="G58" s="37"/>
      <c r="H58" s="112"/>
      <c r="I58" s="83"/>
    </row>
    <row r="59" spans="1:9" x14ac:dyDescent="0.2">
      <c r="A59" s="37"/>
      <c r="B59" s="37"/>
      <c r="C59" s="38" t="s">
        <v>97</v>
      </c>
      <c r="D59" s="37"/>
      <c r="E59" s="37" t="s">
        <v>98</v>
      </c>
      <c r="F59" s="48">
        <v>0</v>
      </c>
      <c r="G59" s="49">
        <v>0</v>
      </c>
      <c r="H59" s="112"/>
      <c r="I59" s="83"/>
    </row>
    <row r="60" spans="1:9" x14ac:dyDescent="0.2">
      <c r="A60" s="37"/>
      <c r="B60" s="37"/>
      <c r="C60" s="46"/>
      <c r="D60" s="37"/>
      <c r="E60" s="37"/>
      <c r="F60" s="47"/>
      <c r="G60" s="47"/>
      <c r="H60" s="112"/>
      <c r="I60" s="83"/>
    </row>
    <row r="61" spans="1:9" x14ac:dyDescent="0.2">
      <c r="A61" s="37"/>
      <c r="B61" s="37"/>
      <c r="C61" s="38" t="s">
        <v>100</v>
      </c>
      <c r="D61" s="37"/>
      <c r="E61" s="37"/>
      <c r="F61" s="37"/>
      <c r="G61" s="37"/>
      <c r="H61" s="112"/>
      <c r="I61" s="83"/>
    </row>
    <row r="62" spans="1:9" x14ac:dyDescent="0.2">
      <c r="A62" s="37"/>
      <c r="B62" s="37"/>
      <c r="C62" s="38" t="s">
        <v>97</v>
      </c>
      <c r="D62" s="37"/>
      <c r="E62" s="37" t="s">
        <v>98</v>
      </c>
      <c r="F62" s="48">
        <v>0</v>
      </c>
      <c r="G62" s="49">
        <v>0</v>
      </c>
      <c r="H62" s="112"/>
      <c r="I62" s="83"/>
    </row>
    <row r="63" spans="1:9" x14ac:dyDescent="0.2">
      <c r="A63" s="37"/>
      <c r="B63" s="37"/>
      <c r="C63" s="46"/>
      <c r="D63" s="37"/>
      <c r="E63" s="37"/>
      <c r="F63" s="47"/>
      <c r="G63" s="47"/>
      <c r="H63" s="112"/>
      <c r="I63" s="83"/>
    </row>
    <row r="64" spans="1:9" x14ac:dyDescent="0.2">
      <c r="A64" s="37"/>
      <c r="B64" s="37"/>
      <c r="C64" s="38" t="s">
        <v>101</v>
      </c>
      <c r="D64" s="37"/>
      <c r="E64" s="37"/>
      <c r="F64" s="37"/>
      <c r="G64" s="37"/>
      <c r="H64" s="112"/>
      <c r="I64" s="83"/>
    </row>
    <row r="65" spans="1:16" x14ac:dyDescent="0.2">
      <c r="A65" s="37"/>
      <c r="B65" s="37"/>
      <c r="C65" s="38" t="s">
        <v>97</v>
      </c>
      <c r="D65" s="37"/>
      <c r="E65" s="37" t="s">
        <v>98</v>
      </c>
      <c r="F65" s="44">
        <v>0</v>
      </c>
      <c r="G65" s="45">
        <v>0</v>
      </c>
      <c r="H65" s="112"/>
      <c r="I65" s="83"/>
    </row>
    <row r="66" spans="1:16" x14ac:dyDescent="0.2">
      <c r="A66" s="37"/>
      <c r="B66" s="37"/>
      <c r="C66" s="46"/>
      <c r="D66" s="37"/>
      <c r="E66" s="37"/>
      <c r="F66" s="47"/>
      <c r="G66" s="47"/>
      <c r="H66" s="112"/>
      <c r="I66" s="83"/>
    </row>
    <row r="67" spans="1:16" x14ac:dyDescent="0.2">
      <c r="A67" s="37"/>
      <c r="B67" s="37"/>
      <c r="C67" s="38" t="s">
        <v>102</v>
      </c>
      <c r="D67" s="37"/>
      <c r="E67" s="37"/>
      <c r="F67" s="47"/>
      <c r="G67" s="47"/>
      <c r="H67" s="112"/>
      <c r="I67" s="83"/>
    </row>
    <row r="68" spans="1:16" x14ac:dyDescent="0.2">
      <c r="A68" s="37"/>
      <c r="B68" s="37"/>
      <c r="C68" s="38" t="s">
        <v>97</v>
      </c>
      <c r="D68" s="37"/>
      <c r="E68" s="37" t="s">
        <v>98</v>
      </c>
      <c r="F68" s="48">
        <v>0</v>
      </c>
      <c r="G68" s="49">
        <v>0</v>
      </c>
      <c r="H68" s="112"/>
      <c r="I68" s="83"/>
    </row>
    <row r="69" spans="1:16" x14ac:dyDescent="0.2">
      <c r="A69" s="37"/>
      <c r="B69" s="37"/>
      <c r="C69" s="46"/>
      <c r="D69" s="37"/>
      <c r="E69" s="37"/>
      <c r="F69" s="47"/>
      <c r="G69" s="47"/>
      <c r="H69" s="112"/>
      <c r="I69" s="83"/>
    </row>
    <row r="70" spans="1:16" x14ac:dyDescent="0.2">
      <c r="A70" s="37"/>
      <c r="B70" s="37"/>
      <c r="C70" s="38" t="s">
        <v>103</v>
      </c>
      <c r="D70" s="37"/>
      <c r="E70" s="37"/>
      <c r="F70" s="47"/>
      <c r="G70" s="47"/>
      <c r="H70" s="112"/>
      <c r="I70" s="83"/>
    </row>
    <row r="71" spans="1:16" x14ac:dyDescent="0.2">
      <c r="A71" s="37"/>
      <c r="B71" s="37"/>
      <c r="C71" s="38" t="s">
        <v>97</v>
      </c>
      <c r="D71" s="37"/>
      <c r="E71" s="37" t="s">
        <v>98</v>
      </c>
      <c r="F71" s="48">
        <v>0</v>
      </c>
      <c r="G71" s="49">
        <v>0</v>
      </c>
      <c r="H71" s="112"/>
      <c r="I71" s="83"/>
    </row>
    <row r="72" spans="1:16" x14ac:dyDescent="0.2">
      <c r="A72" s="37"/>
      <c r="B72" s="37"/>
      <c r="C72" s="46"/>
      <c r="D72" s="37"/>
      <c r="E72" s="37"/>
      <c r="F72" s="47"/>
      <c r="G72" s="47"/>
      <c r="H72" s="112"/>
      <c r="I72" s="83"/>
    </row>
    <row r="73" spans="1:16" x14ac:dyDescent="0.2">
      <c r="A73" s="37"/>
      <c r="B73" s="37"/>
      <c r="C73" s="38" t="s">
        <v>104</v>
      </c>
      <c r="D73" s="37"/>
      <c r="E73" s="37"/>
      <c r="F73" s="44">
        <v>148374.6530396</v>
      </c>
      <c r="G73" s="45">
        <v>0.74942098999999995</v>
      </c>
      <c r="H73" s="112"/>
      <c r="I73" s="83"/>
    </row>
    <row r="74" spans="1:16" x14ac:dyDescent="0.2">
      <c r="A74" s="37"/>
      <c r="B74" s="37"/>
      <c r="C74" s="46"/>
      <c r="D74" s="37"/>
      <c r="E74" s="37"/>
      <c r="F74" s="47"/>
      <c r="G74" s="47"/>
      <c r="H74" s="112"/>
      <c r="I74" s="83"/>
    </row>
    <row r="75" spans="1:16" x14ac:dyDescent="0.2">
      <c r="A75" s="37"/>
      <c r="B75" s="37"/>
      <c r="C75" s="38" t="s">
        <v>105</v>
      </c>
      <c r="D75" s="37"/>
      <c r="E75" s="37"/>
      <c r="F75" s="47"/>
      <c r="G75" s="47"/>
      <c r="H75" s="112"/>
      <c r="I75" s="83"/>
    </row>
    <row r="76" spans="1:16" x14ac:dyDescent="0.2">
      <c r="A76" s="37"/>
      <c r="B76" s="37"/>
      <c r="C76" s="38" t="s">
        <v>10</v>
      </c>
      <c r="D76" s="37"/>
      <c r="E76" s="37"/>
      <c r="F76" s="47"/>
      <c r="G76" s="47"/>
      <c r="H76" s="112"/>
      <c r="I76" s="83"/>
    </row>
    <row r="77" spans="1:16" customFormat="1" x14ac:dyDescent="0.2">
      <c r="A77" s="1"/>
      <c r="B77" s="1"/>
      <c r="C77" s="2" t="s">
        <v>1009</v>
      </c>
      <c r="D77" s="1"/>
      <c r="E77" s="1"/>
      <c r="F77" s="12"/>
      <c r="G77" s="12"/>
      <c r="H77" s="187"/>
      <c r="I77" s="6"/>
      <c r="J77" s="36"/>
      <c r="K77" s="36"/>
      <c r="L77" s="36"/>
      <c r="M77" s="36"/>
      <c r="N77" s="36"/>
      <c r="O77" s="36"/>
      <c r="P77" s="36"/>
    </row>
    <row r="78" spans="1:16" ht="25.5" x14ac:dyDescent="0.2">
      <c r="A78" s="39">
        <v>1</v>
      </c>
      <c r="B78" s="40" t="s">
        <v>822</v>
      </c>
      <c r="C78" s="40" t="s">
        <v>823</v>
      </c>
      <c r="D78" s="40" t="s">
        <v>691</v>
      </c>
      <c r="E78" s="41">
        <v>250</v>
      </c>
      <c r="F78" s="42">
        <v>2568.8024999999998</v>
      </c>
      <c r="G78" s="43">
        <v>1.2974685999999999E-2</v>
      </c>
      <c r="H78" s="42">
        <v>4.7</v>
      </c>
      <c r="I78" s="83"/>
    </row>
    <row r="79" spans="1:16" ht="25.5" x14ac:dyDescent="0.2">
      <c r="A79" s="39">
        <v>2</v>
      </c>
      <c r="B79" s="40" t="s">
        <v>824</v>
      </c>
      <c r="C79" s="40" t="s">
        <v>825</v>
      </c>
      <c r="D79" s="40" t="s">
        <v>691</v>
      </c>
      <c r="E79" s="41">
        <v>250</v>
      </c>
      <c r="F79" s="42">
        <v>2567.395</v>
      </c>
      <c r="G79" s="43">
        <v>1.2967576999999999E-2</v>
      </c>
      <c r="H79" s="42">
        <v>4.8650000000000002</v>
      </c>
      <c r="I79" s="83"/>
    </row>
    <row r="80" spans="1:16" ht="25.5" x14ac:dyDescent="0.2">
      <c r="A80" s="39">
        <v>3</v>
      </c>
      <c r="B80" s="40" t="s">
        <v>826</v>
      </c>
      <c r="C80" s="40" t="s">
        <v>964</v>
      </c>
      <c r="D80" s="40" t="s">
        <v>827</v>
      </c>
      <c r="E80" s="41">
        <v>250</v>
      </c>
      <c r="F80" s="42">
        <v>2548.5774999999999</v>
      </c>
      <c r="G80" s="43">
        <v>1.2872532000000001E-2</v>
      </c>
      <c r="H80" s="42">
        <v>7.8577000000000004</v>
      </c>
      <c r="I80" s="83">
        <v>5.35</v>
      </c>
    </row>
    <row r="81" spans="1:9" x14ac:dyDescent="0.2">
      <c r="A81" s="39">
        <v>4</v>
      </c>
      <c r="B81" s="40" t="s">
        <v>828</v>
      </c>
      <c r="C81" s="40" t="s">
        <v>829</v>
      </c>
      <c r="D81" s="40" t="s">
        <v>691</v>
      </c>
      <c r="E81" s="41">
        <v>250</v>
      </c>
      <c r="F81" s="42">
        <v>2516.3024999999998</v>
      </c>
      <c r="G81" s="43">
        <v>1.2709514999999999E-2</v>
      </c>
      <c r="H81" s="42">
        <v>5.44</v>
      </c>
      <c r="I81" s="83"/>
    </row>
    <row r="82" spans="1:9" ht="25.5" x14ac:dyDescent="0.2">
      <c r="A82" s="39">
        <v>5</v>
      </c>
      <c r="B82" s="40" t="s">
        <v>830</v>
      </c>
      <c r="C82" s="40" t="s">
        <v>831</v>
      </c>
      <c r="D82" s="40" t="s">
        <v>945</v>
      </c>
      <c r="E82" s="41">
        <v>250</v>
      </c>
      <c r="F82" s="42">
        <v>2503.12</v>
      </c>
      <c r="G82" s="43">
        <v>1.2642932000000001E-2</v>
      </c>
      <c r="H82" s="42">
        <v>4.3734999999999999</v>
      </c>
      <c r="I82" s="83"/>
    </row>
    <row r="83" spans="1:9" ht="25.5" x14ac:dyDescent="0.2">
      <c r="A83" s="39">
        <v>6</v>
      </c>
      <c r="B83" s="40" t="s">
        <v>832</v>
      </c>
      <c r="C83" s="40" t="s">
        <v>965</v>
      </c>
      <c r="D83" s="40" t="s">
        <v>827</v>
      </c>
      <c r="E83" s="41">
        <v>230</v>
      </c>
      <c r="F83" s="42">
        <v>2347.0994000000001</v>
      </c>
      <c r="G83" s="43">
        <v>1.1854892000000001E-2</v>
      </c>
      <c r="H83" s="42">
        <v>8.5297000000000001</v>
      </c>
      <c r="I83" s="83">
        <v>4.67</v>
      </c>
    </row>
    <row r="84" spans="1:9" ht="25.5" x14ac:dyDescent="0.2">
      <c r="A84" s="39">
        <v>7</v>
      </c>
      <c r="B84" s="40" t="s">
        <v>833</v>
      </c>
      <c r="C84" s="40" t="s">
        <v>966</v>
      </c>
      <c r="D84" s="40" t="s">
        <v>827</v>
      </c>
      <c r="E84" s="41">
        <v>200</v>
      </c>
      <c r="F84" s="42">
        <v>2033.202</v>
      </c>
      <c r="G84" s="43">
        <v>1.0269438000000001E-2</v>
      </c>
      <c r="H84" s="42">
        <v>8.3417999999999992</v>
      </c>
      <c r="I84" s="83">
        <v>4.2699999999999996</v>
      </c>
    </row>
    <row r="85" spans="1:9" ht="25.5" x14ac:dyDescent="0.2">
      <c r="A85" s="39">
        <v>8</v>
      </c>
      <c r="B85" s="40" t="s">
        <v>834</v>
      </c>
      <c r="C85" s="40" t="s">
        <v>967</v>
      </c>
      <c r="D85" s="40" t="s">
        <v>835</v>
      </c>
      <c r="E85" s="41">
        <v>150</v>
      </c>
      <c r="F85" s="42">
        <v>1603.3335</v>
      </c>
      <c r="G85" s="43">
        <v>8.0982280000000007E-3</v>
      </c>
      <c r="H85" s="42">
        <v>7.2870999999999997</v>
      </c>
      <c r="I85" s="83">
        <v>5.25</v>
      </c>
    </row>
    <row r="86" spans="1:9" x14ac:dyDescent="0.2">
      <c r="A86" s="39">
        <v>9</v>
      </c>
      <c r="B86" s="40" t="s">
        <v>836</v>
      </c>
      <c r="C86" s="40" t="s">
        <v>837</v>
      </c>
      <c r="D86" s="40" t="s">
        <v>691</v>
      </c>
      <c r="E86" s="41">
        <v>150</v>
      </c>
      <c r="F86" s="42">
        <v>1572.2805000000001</v>
      </c>
      <c r="G86" s="43">
        <v>7.9413829999999998E-3</v>
      </c>
      <c r="H86" s="42">
        <v>5.33</v>
      </c>
      <c r="I86" s="83"/>
    </row>
    <row r="87" spans="1:9" ht="25.5" x14ac:dyDescent="0.2">
      <c r="A87" s="39">
        <v>10</v>
      </c>
      <c r="B87" s="40" t="s">
        <v>838</v>
      </c>
      <c r="C87" s="40" t="s">
        <v>963</v>
      </c>
      <c r="D87" s="40" t="s">
        <v>827</v>
      </c>
      <c r="E87" s="41">
        <v>150</v>
      </c>
      <c r="F87" s="42">
        <v>1537.6949999999999</v>
      </c>
      <c r="G87" s="43">
        <v>7.7666970000000004E-3</v>
      </c>
      <c r="H87" s="42">
        <v>8.266</v>
      </c>
      <c r="I87" s="83">
        <v>5.18</v>
      </c>
    </row>
    <row r="88" spans="1:9" x14ac:dyDescent="0.2">
      <c r="A88" s="39">
        <v>11</v>
      </c>
      <c r="B88" s="40" t="s">
        <v>839</v>
      </c>
      <c r="C88" s="40" t="s">
        <v>840</v>
      </c>
      <c r="D88" s="40" t="s">
        <v>841</v>
      </c>
      <c r="E88" s="41">
        <v>150</v>
      </c>
      <c r="F88" s="42">
        <v>1502.5035</v>
      </c>
      <c r="G88" s="43">
        <v>7.5889490000000002E-3</v>
      </c>
      <c r="H88" s="42">
        <v>4.0149999999999997</v>
      </c>
      <c r="I88" s="83"/>
    </row>
    <row r="89" spans="1:9" ht="25.5" x14ac:dyDescent="0.2">
      <c r="A89" s="39">
        <v>12</v>
      </c>
      <c r="B89" s="40" t="s">
        <v>842</v>
      </c>
      <c r="C89" s="40" t="s">
        <v>843</v>
      </c>
      <c r="D89" s="40" t="s">
        <v>691</v>
      </c>
      <c r="E89" s="41">
        <v>100</v>
      </c>
      <c r="F89" s="42">
        <v>1063.5070000000001</v>
      </c>
      <c r="G89" s="43">
        <v>5.3716349999999996E-3</v>
      </c>
      <c r="H89" s="42">
        <v>5.3849999999999998</v>
      </c>
      <c r="I89" s="83"/>
    </row>
    <row r="90" spans="1:9" ht="25.5" x14ac:dyDescent="0.2">
      <c r="A90" s="39">
        <v>13</v>
      </c>
      <c r="B90" s="40" t="s">
        <v>844</v>
      </c>
      <c r="C90" s="40" t="s">
        <v>845</v>
      </c>
      <c r="D90" s="40" t="s">
        <v>691</v>
      </c>
      <c r="E90" s="41">
        <v>100</v>
      </c>
      <c r="F90" s="42">
        <v>1055.3720000000001</v>
      </c>
      <c r="G90" s="43">
        <v>5.3305460000000002E-3</v>
      </c>
      <c r="H90" s="42">
        <v>5.31</v>
      </c>
      <c r="I90" s="83"/>
    </row>
    <row r="91" spans="1:9" x14ac:dyDescent="0.2">
      <c r="A91" s="39">
        <v>14</v>
      </c>
      <c r="B91" s="40" t="s">
        <v>846</v>
      </c>
      <c r="C91" s="40" t="s">
        <v>847</v>
      </c>
      <c r="D91" s="40" t="s">
        <v>691</v>
      </c>
      <c r="E91" s="41">
        <v>100</v>
      </c>
      <c r="F91" s="42">
        <v>1054.4839999999999</v>
      </c>
      <c r="G91" s="43">
        <v>5.326061E-3</v>
      </c>
      <c r="H91" s="42">
        <v>6.2210000000000001</v>
      </c>
      <c r="I91" s="83"/>
    </row>
    <row r="92" spans="1:9" x14ac:dyDescent="0.2">
      <c r="A92" s="39">
        <v>15</v>
      </c>
      <c r="B92" s="40" t="s">
        <v>848</v>
      </c>
      <c r="C92" s="40" t="s">
        <v>849</v>
      </c>
      <c r="D92" s="40" t="s">
        <v>691</v>
      </c>
      <c r="E92" s="41">
        <v>100</v>
      </c>
      <c r="F92" s="42">
        <v>1025.644</v>
      </c>
      <c r="G92" s="43">
        <v>5.1803939999999996E-3</v>
      </c>
      <c r="H92" s="42">
        <v>5.16</v>
      </c>
      <c r="I92" s="83"/>
    </row>
    <row r="93" spans="1:9" ht="25.5" x14ac:dyDescent="0.2">
      <c r="A93" s="39">
        <v>16</v>
      </c>
      <c r="B93" s="40" t="s">
        <v>850</v>
      </c>
      <c r="C93" s="40" t="s">
        <v>968</v>
      </c>
      <c r="D93" s="40" t="s">
        <v>827</v>
      </c>
      <c r="E93" s="41">
        <v>100</v>
      </c>
      <c r="F93" s="42">
        <v>1022.035</v>
      </c>
      <c r="G93" s="43">
        <v>5.1621649999999998E-3</v>
      </c>
      <c r="H93" s="42">
        <v>8.4087999999999994</v>
      </c>
      <c r="I93" s="83">
        <v>5.12</v>
      </c>
    </row>
    <row r="94" spans="1:9" ht="25.5" x14ac:dyDescent="0.2">
      <c r="A94" s="39">
        <v>17</v>
      </c>
      <c r="B94" s="40" t="s">
        <v>851</v>
      </c>
      <c r="C94" s="40" t="s">
        <v>969</v>
      </c>
      <c r="D94" s="40" t="s">
        <v>946</v>
      </c>
      <c r="E94" s="41">
        <v>100</v>
      </c>
      <c r="F94" s="42">
        <v>1013.914</v>
      </c>
      <c r="G94" s="43">
        <v>5.1211470000000004E-3</v>
      </c>
      <c r="H94" s="42">
        <v>8.9750999999999994</v>
      </c>
      <c r="I94" s="83">
        <v>5.0999999999999996</v>
      </c>
    </row>
    <row r="95" spans="1:9" ht="25.5" x14ac:dyDescent="0.2">
      <c r="A95" s="39">
        <v>18</v>
      </c>
      <c r="B95" s="40" t="s">
        <v>852</v>
      </c>
      <c r="C95" s="40" t="s">
        <v>853</v>
      </c>
      <c r="D95" s="40" t="s">
        <v>691</v>
      </c>
      <c r="E95" s="41">
        <v>100</v>
      </c>
      <c r="F95" s="42">
        <v>997.904</v>
      </c>
      <c r="G95" s="43">
        <v>5.0402829999999996E-3</v>
      </c>
      <c r="H95" s="42">
        <v>6.1349999999999998</v>
      </c>
      <c r="I95" s="83"/>
    </row>
    <row r="96" spans="1:9" ht="25.5" x14ac:dyDescent="0.2">
      <c r="A96" s="39">
        <v>19</v>
      </c>
      <c r="B96" s="40" t="s">
        <v>854</v>
      </c>
      <c r="C96" s="40" t="s">
        <v>855</v>
      </c>
      <c r="D96" s="40" t="s">
        <v>691</v>
      </c>
      <c r="E96" s="41">
        <v>100</v>
      </c>
      <c r="F96" s="42">
        <v>995.19899999999996</v>
      </c>
      <c r="G96" s="43">
        <v>5.0266199999999999E-3</v>
      </c>
      <c r="H96" s="42">
        <v>5.4</v>
      </c>
      <c r="I96" s="83"/>
    </row>
    <row r="97" spans="1:9" ht="25.5" x14ac:dyDescent="0.2">
      <c r="A97" s="39">
        <v>20</v>
      </c>
      <c r="B97" s="40" t="s">
        <v>856</v>
      </c>
      <c r="C97" s="40" t="s">
        <v>857</v>
      </c>
      <c r="D97" s="40" t="s">
        <v>691</v>
      </c>
      <c r="E97" s="41">
        <v>50</v>
      </c>
      <c r="F97" s="42">
        <v>501</v>
      </c>
      <c r="G97" s="43">
        <v>2.5304860000000002E-3</v>
      </c>
      <c r="H97" s="42">
        <v>3.7</v>
      </c>
      <c r="I97" s="83"/>
    </row>
    <row r="98" spans="1:9" x14ac:dyDescent="0.2">
      <c r="A98" s="39">
        <v>21</v>
      </c>
      <c r="B98" s="40" t="s">
        <v>858</v>
      </c>
      <c r="C98" s="40" t="s">
        <v>859</v>
      </c>
      <c r="D98" s="40" t="s">
        <v>691</v>
      </c>
      <c r="E98" s="41">
        <v>50</v>
      </c>
      <c r="F98" s="42">
        <v>500.80399999999997</v>
      </c>
      <c r="G98" s="43">
        <v>2.529496E-3</v>
      </c>
      <c r="H98" s="42">
        <v>3.54</v>
      </c>
      <c r="I98" s="83"/>
    </row>
    <row r="99" spans="1:9" ht="25.5" x14ac:dyDescent="0.2">
      <c r="A99" s="39">
        <v>22</v>
      </c>
      <c r="B99" s="40" t="s">
        <v>860</v>
      </c>
      <c r="C99" s="40" t="s">
        <v>861</v>
      </c>
      <c r="D99" s="40" t="s">
        <v>691</v>
      </c>
      <c r="E99" s="41">
        <v>50</v>
      </c>
      <c r="F99" s="42">
        <v>495.92200000000003</v>
      </c>
      <c r="G99" s="43">
        <v>2.5048370000000002E-3</v>
      </c>
      <c r="H99" s="42">
        <v>5.1749999999999998</v>
      </c>
      <c r="I99" s="83"/>
    </row>
    <row r="100" spans="1:9" ht="25.5" x14ac:dyDescent="0.2">
      <c r="A100" s="39">
        <v>23</v>
      </c>
      <c r="B100" s="40" t="s">
        <v>862</v>
      </c>
      <c r="C100" s="192" t="s">
        <v>1031</v>
      </c>
      <c r="D100" s="40" t="s">
        <v>947</v>
      </c>
      <c r="E100" s="41">
        <v>20</v>
      </c>
      <c r="F100" s="42">
        <v>198.71039999999999</v>
      </c>
      <c r="G100" s="43">
        <v>1.00366E-3</v>
      </c>
      <c r="H100" s="42">
        <v>10.6122</v>
      </c>
      <c r="I100" s="83"/>
    </row>
    <row r="101" spans="1:9" x14ac:dyDescent="0.2">
      <c r="A101" s="37"/>
      <c r="B101" s="37"/>
      <c r="C101" s="38" t="s">
        <v>97</v>
      </c>
      <c r="D101" s="44"/>
      <c r="E101" s="45"/>
      <c r="F101" s="44">
        <v>33224.806800000006</v>
      </c>
      <c r="G101" s="45">
        <v>0.16781415899999999</v>
      </c>
      <c r="H101" s="112"/>
      <c r="I101" s="83"/>
    </row>
    <row r="102" spans="1:9" x14ac:dyDescent="0.2">
      <c r="A102" s="37"/>
      <c r="B102" s="37"/>
      <c r="C102" s="46"/>
      <c r="D102" s="37"/>
      <c r="E102" s="37"/>
      <c r="F102" s="47"/>
      <c r="G102" s="47"/>
      <c r="H102" s="112"/>
      <c r="I102" s="83"/>
    </row>
    <row r="103" spans="1:9" x14ac:dyDescent="0.2">
      <c r="A103" s="37"/>
      <c r="B103" s="37"/>
      <c r="C103" s="38" t="s">
        <v>106</v>
      </c>
      <c r="D103" s="37"/>
      <c r="E103" s="37"/>
      <c r="F103" s="37"/>
      <c r="G103" s="37"/>
      <c r="H103" s="112"/>
      <c r="I103" s="83"/>
    </row>
    <row r="104" spans="1:9" x14ac:dyDescent="0.2">
      <c r="A104" s="39">
        <v>1</v>
      </c>
      <c r="B104" s="40" t="s">
        <v>863</v>
      </c>
      <c r="C104" s="40" t="s">
        <v>864</v>
      </c>
      <c r="D104" s="40" t="s">
        <v>691</v>
      </c>
      <c r="E104" s="41">
        <v>50</v>
      </c>
      <c r="F104" s="42">
        <v>536.36599999999999</v>
      </c>
      <c r="G104" s="43">
        <v>2.7091149999999998E-3</v>
      </c>
      <c r="H104" s="42">
        <v>6.21</v>
      </c>
      <c r="I104" s="83"/>
    </row>
    <row r="105" spans="1:9" x14ac:dyDescent="0.2">
      <c r="A105" s="37"/>
      <c r="B105" s="37"/>
      <c r="C105" s="38" t="s">
        <v>97</v>
      </c>
      <c r="D105" s="37"/>
      <c r="E105" s="37" t="s">
        <v>98</v>
      </c>
      <c r="F105" s="44">
        <v>536.36599999999999</v>
      </c>
      <c r="G105" s="45">
        <v>2.7091149999999998E-3</v>
      </c>
      <c r="H105" s="112"/>
      <c r="I105" s="83"/>
    </row>
    <row r="106" spans="1:9" x14ac:dyDescent="0.2">
      <c r="A106" s="37"/>
      <c r="B106" s="37"/>
      <c r="C106" s="46"/>
      <c r="D106" s="37"/>
      <c r="E106" s="37"/>
      <c r="F106" s="47"/>
      <c r="G106" s="47"/>
      <c r="H106" s="112"/>
      <c r="I106" s="83"/>
    </row>
    <row r="107" spans="1:9" x14ac:dyDescent="0.2">
      <c r="A107" s="37"/>
      <c r="B107" s="37"/>
      <c r="C107" s="38" t="s">
        <v>107</v>
      </c>
      <c r="D107" s="37"/>
      <c r="E107" s="37"/>
      <c r="F107" s="37"/>
      <c r="G107" s="37"/>
      <c r="H107" s="112"/>
      <c r="I107" s="83"/>
    </row>
    <row r="108" spans="1:9" x14ac:dyDescent="0.2">
      <c r="A108" s="39">
        <v>1</v>
      </c>
      <c r="B108" s="40" t="s">
        <v>720</v>
      </c>
      <c r="C108" s="40" t="s">
        <v>874</v>
      </c>
      <c r="D108" s="40" t="s">
        <v>719</v>
      </c>
      <c r="E108" s="41">
        <v>1800000</v>
      </c>
      <c r="F108" s="42">
        <v>1892.8026</v>
      </c>
      <c r="G108" s="43">
        <v>9.5602989999999995E-3</v>
      </c>
      <c r="H108" s="42">
        <v>4.8594999999999997</v>
      </c>
      <c r="I108" s="83"/>
    </row>
    <row r="109" spans="1:9" x14ac:dyDescent="0.2">
      <c r="A109" s="39">
        <v>2</v>
      </c>
      <c r="B109" s="40" t="s">
        <v>865</v>
      </c>
      <c r="C109" s="40" t="s">
        <v>873</v>
      </c>
      <c r="D109" s="40" t="s">
        <v>719</v>
      </c>
      <c r="E109" s="41">
        <v>1500000</v>
      </c>
      <c r="F109" s="42">
        <v>1556.0355</v>
      </c>
      <c r="G109" s="43">
        <v>7.8593320000000001E-3</v>
      </c>
      <c r="H109" s="42">
        <v>4.6361999999999997</v>
      </c>
      <c r="I109" s="83"/>
    </row>
    <row r="110" spans="1:9" x14ac:dyDescent="0.2">
      <c r="A110" s="39">
        <v>3</v>
      </c>
      <c r="B110" s="40" t="s">
        <v>866</v>
      </c>
      <c r="C110" s="40" t="s">
        <v>872</v>
      </c>
      <c r="D110" s="40" t="s">
        <v>719</v>
      </c>
      <c r="E110" s="41">
        <v>500000</v>
      </c>
      <c r="F110" s="42">
        <v>497.45699999999999</v>
      </c>
      <c r="G110" s="43">
        <v>2.5125899999999999E-3</v>
      </c>
      <c r="H110" s="42">
        <v>5.7603</v>
      </c>
      <c r="I110" s="83"/>
    </row>
    <row r="111" spans="1:9" x14ac:dyDescent="0.2">
      <c r="A111" s="37"/>
      <c r="B111" s="37"/>
      <c r="C111" s="38" t="s">
        <v>97</v>
      </c>
      <c r="D111" s="37"/>
      <c r="E111" s="37" t="s">
        <v>98</v>
      </c>
      <c r="F111" s="44">
        <v>3946.2950999999998</v>
      </c>
      <c r="G111" s="45">
        <v>1.9932221E-2</v>
      </c>
      <c r="H111" s="112"/>
      <c r="I111" s="83"/>
    </row>
    <row r="112" spans="1:9" x14ac:dyDescent="0.2">
      <c r="A112" s="37"/>
      <c r="B112" s="37"/>
      <c r="C112" s="46"/>
      <c r="D112" s="37"/>
      <c r="E112" s="37"/>
      <c r="F112" s="47"/>
      <c r="G112" s="47"/>
      <c r="H112" s="112"/>
      <c r="I112" s="83"/>
    </row>
    <row r="113" spans="1:9" x14ac:dyDescent="0.2">
      <c r="A113" s="37"/>
      <c r="B113" s="37"/>
      <c r="C113" s="38" t="s">
        <v>108</v>
      </c>
      <c r="D113" s="37"/>
      <c r="E113" s="37"/>
      <c r="F113" s="47"/>
      <c r="G113" s="47"/>
      <c r="H113" s="112"/>
      <c r="I113" s="83"/>
    </row>
    <row r="114" spans="1:9" x14ac:dyDescent="0.2">
      <c r="A114" s="37"/>
      <c r="B114" s="37"/>
      <c r="C114" s="38" t="s">
        <v>97</v>
      </c>
      <c r="D114" s="37"/>
      <c r="E114" s="37" t="s">
        <v>98</v>
      </c>
      <c r="F114" s="48">
        <v>0</v>
      </c>
      <c r="G114" s="49">
        <v>0</v>
      </c>
      <c r="H114" s="112"/>
      <c r="I114" s="83"/>
    </row>
    <row r="115" spans="1:9" x14ac:dyDescent="0.2">
      <c r="A115" s="37"/>
      <c r="B115" s="37"/>
      <c r="C115" s="46"/>
      <c r="D115" s="37"/>
      <c r="E115" s="37"/>
      <c r="F115" s="47"/>
      <c r="G115" s="47"/>
      <c r="H115" s="112"/>
      <c r="I115" s="83"/>
    </row>
    <row r="116" spans="1:9" x14ac:dyDescent="0.2">
      <c r="A116" s="37"/>
      <c r="B116" s="37"/>
      <c r="C116" s="38" t="s">
        <v>109</v>
      </c>
      <c r="D116" s="37"/>
      <c r="E116" s="37"/>
      <c r="F116" s="44">
        <v>37707.467900000003</v>
      </c>
      <c r="G116" s="45">
        <v>0.190455495</v>
      </c>
      <c r="H116" s="112"/>
      <c r="I116" s="83"/>
    </row>
    <row r="117" spans="1:9" x14ac:dyDescent="0.2">
      <c r="A117" s="37"/>
      <c r="B117" s="37"/>
      <c r="C117" s="46"/>
      <c r="D117" s="37"/>
      <c r="E117" s="37"/>
      <c r="F117" s="47"/>
      <c r="G117" s="47"/>
      <c r="H117" s="112"/>
      <c r="I117" s="83"/>
    </row>
    <row r="118" spans="1:9" x14ac:dyDescent="0.2">
      <c r="A118" s="37"/>
      <c r="B118" s="37"/>
      <c r="C118" s="38" t="s">
        <v>110</v>
      </c>
      <c r="D118" s="37"/>
      <c r="E118" s="37"/>
      <c r="F118" s="47"/>
      <c r="G118" s="47"/>
      <c r="H118" s="112"/>
      <c r="I118" s="83"/>
    </row>
    <row r="119" spans="1:9" x14ac:dyDescent="0.2">
      <c r="A119" s="37"/>
      <c r="B119" s="37"/>
      <c r="C119" s="38" t="s">
        <v>111</v>
      </c>
      <c r="D119" s="37"/>
      <c r="E119" s="37"/>
      <c r="F119" s="47"/>
      <c r="G119" s="47"/>
      <c r="H119" s="112"/>
      <c r="I119" s="83"/>
    </row>
    <row r="120" spans="1:9" x14ac:dyDescent="0.2">
      <c r="A120" s="37"/>
      <c r="B120" s="37"/>
      <c r="C120" s="38" t="s">
        <v>97</v>
      </c>
      <c r="D120" s="37"/>
      <c r="E120" s="37" t="s">
        <v>98</v>
      </c>
      <c r="F120" s="48">
        <v>0</v>
      </c>
      <c r="G120" s="49">
        <v>0</v>
      </c>
      <c r="H120" s="112"/>
      <c r="I120" s="83"/>
    </row>
    <row r="121" spans="1:9" x14ac:dyDescent="0.2">
      <c r="A121" s="37"/>
      <c r="B121" s="37"/>
      <c r="C121" s="46"/>
      <c r="D121" s="37"/>
      <c r="E121" s="37"/>
      <c r="F121" s="47"/>
      <c r="G121" s="47"/>
      <c r="H121" s="112"/>
      <c r="I121" s="83"/>
    </row>
    <row r="122" spans="1:9" x14ac:dyDescent="0.2">
      <c r="A122" s="37"/>
      <c r="B122" s="37"/>
      <c r="C122" s="38" t="s">
        <v>112</v>
      </c>
      <c r="D122" s="37"/>
      <c r="E122" s="37"/>
      <c r="F122" s="47"/>
      <c r="G122" s="47"/>
      <c r="H122" s="112"/>
      <c r="I122" s="83"/>
    </row>
    <row r="123" spans="1:9" x14ac:dyDescent="0.2">
      <c r="A123" s="37"/>
      <c r="B123" s="37"/>
      <c r="C123" s="38" t="s">
        <v>97</v>
      </c>
      <c r="D123" s="37"/>
      <c r="E123" s="37" t="s">
        <v>98</v>
      </c>
      <c r="F123" s="48">
        <v>0</v>
      </c>
      <c r="G123" s="49">
        <v>0</v>
      </c>
      <c r="H123" s="112"/>
      <c r="I123" s="83"/>
    </row>
    <row r="124" spans="1:9" x14ac:dyDescent="0.2">
      <c r="A124" s="37"/>
      <c r="B124" s="37"/>
      <c r="C124" s="46"/>
      <c r="D124" s="37"/>
      <c r="E124" s="37"/>
      <c r="F124" s="47"/>
      <c r="G124" s="47"/>
      <c r="H124" s="112"/>
      <c r="I124" s="83"/>
    </row>
    <row r="125" spans="1:9" x14ac:dyDescent="0.2">
      <c r="A125" s="37"/>
      <c r="B125" s="37"/>
      <c r="C125" s="38" t="s">
        <v>113</v>
      </c>
      <c r="D125" s="37"/>
      <c r="E125" s="37"/>
      <c r="F125" s="47"/>
      <c r="G125" s="47"/>
      <c r="H125" s="112"/>
      <c r="I125" s="83"/>
    </row>
    <row r="126" spans="1:9" x14ac:dyDescent="0.2">
      <c r="A126" s="39">
        <v>1</v>
      </c>
      <c r="B126" s="40" t="s">
        <v>867</v>
      </c>
      <c r="C126" s="40" t="s">
        <v>868</v>
      </c>
      <c r="D126" s="40" t="s">
        <v>719</v>
      </c>
      <c r="E126" s="41">
        <v>2500000</v>
      </c>
      <c r="F126" s="42">
        <v>2479.0825</v>
      </c>
      <c r="G126" s="43">
        <v>1.2521522E-2</v>
      </c>
      <c r="H126" s="42">
        <v>3.54</v>
      </c>
      <c r="I126" s="83"/>
    </row>
    <row r="127" spans="1:9" x14ac:dyDescent="0.2">
      <c r="A127" s="37"/>
      <c r="B127" s="37"/>
      <c r="C127" s="38" t="s">
        <v>97</v>
      </c>
      <c r="D127" s="37"/>
      <c r="E127" s="37" t="s">
        <v>98</v>
      </c>
      <c r="F127" s="44">
        <v>2479.0825</v>
      </c>
      <c r="G127" s="45">
        <v>1.2521522E-2</v>
      </c>
      <c r="H127" s="112"/>
      <c r="I127" s="83"/>
    </row>
    <row r="128" spans="1:9" x14ac:dyDescent="0.2">
      <c r="A128" s="37"/>
      <c r="B128" s="37"/>
      <c r="C128" s="46"/>
      <c r="D128" s="37"/>
      <c r="E128" s="37"/>
      <c r="F128" s="47"/>
      <c r="G128" s="47"/>
      <c r="H128" s="112"/>
      <c r="I128" s="83"/>
    </row>
    <row r="129" spans="1:9" x14ac:dyDescent="0.2">
      <c r="A129" s="37"/>
      <c r="B129" s="37"/>
      <c r="C129" s="38" t="s">
        <v>114</v>
      </c>
      <c r="D129" s="37"/>
      <c r="E129" s="37"/>
      <c r="F129" s="47"/>
      <c r="G129" s="47"/>
      <c r="H129" s="112"/>
      <c r="I129" s="83"/>
    </row>
    <row r="130" spans="1:9" x14ac:dyDescent="0.2">
      <c r="A130" s="39">
        <v>1</v>
      </c>
      <c r="B130" s="40"/>
      <c r="C130" s="40" t="s">
        <v>115</v>
      </c>
      <c r="D130" s="40"/>
      <c r="E130" s="50"/>
      <c r="F130" s="42">
        <v>4755.0038372984109</v>
      </c>
      <c r="G130" s="43">
        <v>2.40169032401805E-2</v>
      </c>
      <c r="H130" s="6">
        <v>3.3211324282253978</v>
      </c>
      <c r="I130" s="83"/>
    </row>
    <row r="131" spans="1:9" x14ac:dyDescent="0.2">
      <c r="A131" s="3">
        <v>2</v>
      </c>
      <c r="B131" s="4"/>
      <c r="C131" s="4" t="s">
        <v>116</v>
      </c>
      <c r="D131" s="4"/>
      <c r="E131" s="8"/>
      <c r="F131" s="6">
        <v>1867.8769628903053</v>
      </c>
      <c r="G131" s="7">
        <v>9.4344025404165741E-3</v>
      </c>
      <c r="H131" s="6">
        <v>3.35</v>
      </c>
      <c r="I131" s="83"/>
    </row>
    <row r="132" spans="1:9" x14ac:dyDescent="0.2">
      <c r="A132" s="37"/>
      <c r="B132" s="37"/>
      <c r="C132" s="38" t="s">
        <v>97</v>
      </c>
      <c r="D132" s="37"/>
      <c r="E132" s="37" t="s">
        <v>98</v>
      </c>
      <c r="F132" s="44">
        <v>6622.8808001887164</v>
      </c>
      <c r="G132" s="45">
        <v>3.3451305780597074E-2</v>
      </c>
      <c r="H132" s="112"/>
      <c r="I132" s="83"/>
    </row>
    <row r="133" spans="1:9" x14ac:dyDescent="0.2">
      <c r="A133" s="37"/>
      <c r="B133" s="37"/>
      <c r="C133" s="46"/>
      <c r="D133" s="37"/>
      <c r="E133" s="37"/>
      <c r="F133" s="47"/>
      <c r="G133" s="47"/>
      <c r="H133" s="112"/>
      <c r="I133" s="83"/>
    </row>
    <row r="134" spans="1:9" x14ac:dyDescent="0.2">
      <c r="A134" s="37"/>
      <c r="B134" s="37"/>
      <c r="C134" s="38" t="s">
        <v>117</v>
      </c>
      <c r="D134" s="37"/>
      <c r="E134" s="37"/>
      <c r="F134" s="44">
        <v>9101.9633001887159</v>
      </c>
      <c r="G134" s="45">
        <v>4.5972827780597074E-2</v>
      </c>
      <c r="H134" s="112"/>
      <c r="I134" s="83"/>
    </row>
    <row r="135" spans="1:9" x14ac:dyDescent="0.2">
      <c r="A135" s="37"/>
      <c r="B135" s="37"/>
      <c r="C135" s="47"/>
      <c r="D135" s="37"/>
      <c r="E135" s="37"/>
      <c r="F135" s="37"/>
      <c r="G135" s="37"/>
      <c r="H135" s="112"/>
      <c r="I135" s="83"/>
    </row>
    <row r="136" spans="1:9" x14ac:dyDescent="0.2">
      <c r="A136" s="37"/>
      <c r="B136" s="37"/>
      <c r="C136" s="38" t="s">
        <v>118</v>
      </c>
      <c r="D136" s="37"/>
      <c r="E136" s="37"/>
      <c r="F136" s="37"/>
      <c r="G136" s="37"/>
      <c r="H136" s="112"/>
      <c r="I136" s="83"/>
    </row>
    <row r="137" spans="1:9" x14ac:dyDescent="0.2">
      <c r="A137" s="37"/>
      <c r="B137" s="37"/>
      <c r="C137" s="38" t="s">
        <v>119</v>
      </c>
      <c r="D137" s="37"/>
      <c r="E137" s="37"/>
      <c r="F137" s="37"/>
      <c r="G137" s="37"/>
      <c r="H137" s="112"/>
      <c r="I137" s="83"/>
    </row>
    <row r="138" spans="1:9" x14ac:dyDescent="0.2">
      <c r="A138" s="37"/>
      <c r="B138" s="37"/>
      <c r="C138" s="38" t="s">
        <v>97</v>
      </c>
      <c r="D138" s="37"/>
      <c r="E138" s="37" t="s">
        <v>98</v>
      </c>
      <c r="F138" s="48">
        <v>0</v>
      </c>
      <c r="G138" s="49">
        <v>0</v>
      </c>
      <c r="H138" s="112"/>
      <c r="I138" s="83"/>
    </row>
    <row r="139" spans="1:9" x14ac:dyDescent="0.2">
      <c r="A139" s="37"/>
      <c r="B139" s="37"/>
      <c r="C139" s="46"/>
      <c r="D139" s="37"/>
      <c r="E139" s="37"/>
      <c r="F139" s="47"/>
      <c r="G139" s="47"/>
      <c r="H139" s="112"/>
      <c r="I139" s="83"/>
    </row>
    <row r="140" spans="1:9" x14ac:dyDescent="0.2">
      <c r="A140" s="37"/>
      <c r="B140" s="37"/>
      <c r="C140" s="38" t="s">
        <v>120</v>
      </c>
      <c r="D140" s="37"/>
      <c r="E140" s="37"/>
      <c r="F140" s="37"/>
      <c r="G140" s="37"/>
      <c r="H140" s="112"/>
      <c r="I140" s="83"/>
    </row>
    <row r="141" spans="1:9" x14ac:dyDescent="0.2">
      <c r="A141" s="37"/>
      <c r="B141" s="37"/>
      <c r="C141" s="38" t="s">
        <v>121</v>
      </c>
      <c r="D141" s="37"/>
      <c r="E141" s="37"/>
      <c r="F141" s="37"/>
      <c r="G141" s="37"/>
      <c r="H141" s="112"/>
      <c r="I141" s="83"/>
    </row>
    <row r="142" spans="1:9" x14ac:dyDescent="0.2">
      <c r="A142" s="37"/>
      <c r="B142" s="37"/>
      <c r="C142" s="38" t="s">
        <v>97</v>
      </c>
      <c r="D142" s="37"/>
      <c r="E142" s="37" t="s">
        <v>98</v>
      </c>
      <c r="F142" s="48">
        <v>0</v>
      </c>
      <c r="G142" s="49">
        <v>0</v>
      </c>
      <c r="H142" s="112"/>
      <c r="I142" s="83"/>
    </row>
    <row r="143" spans="1:9" x14ac:dyDescent="0.2">
      <c r="A143" s="37"/>
      <c r="B143" s="37"/>
      <c r="C143" s="46"/>
      <c r="D143" s="37"/>
      <c r="E143" s="37"/>
      <c r="F143" s="47"/>
      <c r="G143" s="47"/>
      <c r="H143" s="112"/>
      <c r="I143" s="83"/>
    </row>
    <row r="144" spans="1:9" x14ac:dyDescent="0.2">
      <c r="A144" s="37"/>
      <c r="B144" s="37"/>
      <c r="C144" s="38" t="s">
        <v>122</v>
      </c>
      <c r="D144" s="37"/>
      <c r="E144" s="37"/>
      <c r="F144" s="47"/>
      <c r="G144" s="47"/>
      <c r="H144" s="112"/>
      <c r="I144" s="83"/>
    </row>
    <row r="145" spans="1:9" x14ac:dyDescent="0.2">
      <c r="A145" s="37"/>
      <c r="B145" s="37"/>
      <c r="C145" s="38" t="s">
        <v>97</v>
      </c>
      <c r="D145" s="37"/>
      <c r="E145" s="37" t="s">
        <v>98</v>
      </c>
      <c r="F145" s="48">
        <v>0</v>
      </c>
      <c r="G145" s="49">
        <v>0</v>
      </c>
      <c r="H145" s="112"/>
      <c r="I145" s="83"/>
    </row>
    <row r="146" spans="1:9" x14ac:dyDescent="0.2">
      <c r="A146" s="37"/>
      <c r="B146" s="37"/>
      <c r="C146" s="46"/>
      <c r="D146" s="37"/>
      <c r="E146" s="37"/>
      <c r="F146" s="47"/>
      <c r="G146" s="47"/>
      <c r="H146" s="112"/>
      <c r="I146" s="83"/>
    </row>
    <row r="147" spans="1:9" x14ac:dyDescent="0.2">
      <c r="A147" s="37"/>
      <c r="B147" s="40"/>
      <c r="C147" s="40"/>
      <c r="D147" s="38"/>
      <c r="E147" s="37"/>
      <c r="F147" s="40"/>
      <c r="G147" s="50"/>
      <c r="H147" s="112"/>
      <c r="I147" s="83"/>
    </row>
    <row r="148" spans="1:9" x14ac:dyDescent="0.2">
      <c r="A148" s="50"/>
      <c r="B148" s="40"/>
      <c r="C148" s="40" t="s">
        <v>818</v>
      </c>
      <c r="D148" s="40"/>
      <c r="E148" s="50"/>
      <c r="F148" s="42">
        <v>2801.6339748413011</v>
      </c>
      <c r="G148" s="43">
        <v>1.4150687231915074E-2</v>
      </c>
      <c r="H148" s="112"/>
      <c r="I148" s="83"/>
    </row>
    <row r="149" spans="1:9" x14ac:dyDescent="0.2">
      <c r="A149" s="46"/>
      <c r="B149" s="46"/>
      <c r="C149" s="38" t="s">
        <v>124</v>
      </c>
      <c r="D149" s="47"/>
      <c r="E149" s="47"/>
      <c r="F149" s="44">
        <v>197985.71821463003</v>
      </c>
      <c r="G149" s="45">
        <v>1.0000000000125122</v>
      </c>
      <c r="H149" s="112"/>
      <c r="I149" s="83"/>
    </row>
    <row r="150" spans="1:9" ht="14.1" customHeight="1" x14ac:dyDescent="0.2">
      <c r="A150" s="51"/>
      <c r="B150" s="51"/>
      <c r="C150" s="51"/>
      <c r="D150" s="52"/>
      <c r="E150" s="52"/>
      <c r="F150" s="52"/>
      <c r="G150" s="52"/>
    </row>
    <row r="151" spans="1:9" ht="17.100000000000001" customHeight="1" x14ac:dyDescent="0.2">
      <c r="A151" s="53"/>
      <c r="B151" s="206" t="s">
        <v>819</v>
      </c>
      <c r="C151" s="206"/>
      <c r="D151" s="206"/>
      <c r="E151" s="206"/>
      <c r="F151" s="206"/>
      <c r="G151" s="54"/>
    </row>
    <row r="152" spans="1:9" ht="17.100000000000001" customHeight="1" x14ac:dyDescent="0.2">
      <c r="A152" s="53"/>
      <c r="B152" s="206" t="s">
        <v>820</v>
      </c>
      <c r="C152" s="206"/>
      <c r="D152" s="206"/>
      <c r="E152" s="206"/>
      <c r="F152" s="206"/>
      <c r="G152" s="54"/>
    </row>
    <row r="153" spans="1:9" ht="14.1" customHeight="1" x14ac:dyDescent="0.2">
      <c r="A153" s="53"/>
      <c r="B153" s="206" t="s">
        <v>98</v>
      </c>
      <c r="C153" s="206"/>
      <c r="D153" s="206"/>
      <c r="E153" s="206"/>
      <c r="F153" s="206"/>
      <c r="G153" s="54"/>
    </row>
    <row r="154" spans="1:9" ht="14.1" customHeight="1" x14ac:dyDescent="0.2">
      <c r="A154" s="53"/>
      <c r="B154" s="53"/>
      <c r="C154" s="53"/>
      <c r="D154" s="54"/>
      <c r="E154" s="54"/>
      <c r="F154" s="54"/>
      <c r="G154" s="54"/>
    </row>
    <row r="155" spans="1:9" ht="14.1" customHeight="1" x14ac:dyDescent="0.2">
      <c r="A155" s="53"/>
      <c r="B155" s="212" t="s">
        <v>126</v>
      </c>
      <c r="C155" s="213"/>
      <c r="D155" s="214"/>
      <c r="E155" s="55"/>
      <c r="F155" s="54"/>
      <c r="G155" s="54"/>
    </row>
    <row r="156" spans="1:9" ht="29.1" customHeight="1" x14ac:dyDescent="0.2">
      <c r="A156" s="53"/>
      <c r="B156" s="210" t="s">
        <v>127</v>
      </c>
      <c r="C156" s="211"/>
      <c r="D156" s="38" t="s">
        <v>128</v>
      </c>
      <c r="E156" s="55"/>
      <c r="F156" s="54"/>
      <c r="G156" s="54"/>
    </row>
    <row r="157" spans="1:9" ht="17.100000000000001" customHeight="1" x14ac:dyDescent="0.2">
      <c r="A157" s="53"/>
      <c r="B157" s="210" t="s">
        <v>129</v>
      </c>
      <c r="C157" s="211"/>
      <c r="D157" s="38" t="s">
        <v>128</v>
      </c>
      <c r="E157" s="55"/>
      <c r="F157" s="54"/>
      <c r="G157" s="54"/>
    </row>
    <row r="158" spans="1:9" ht="17.100000000000001" customHeight="1" x14ac:dyDescent="0.2">
      <c r="A158" s="53"/>
      <c r="B158" s="210" t="s">
        <v>130</v>
      </c>
      <c r="C158" s="211"/>
      <c r="D158" s="47" t="s">
        <v>98</v>
      </c>
      <c r="E158" s="55"/>
      <c r="F158" s="54"/>
      <c r="G158" s="54"/>
    </row>
    <row r="159" spans="1:9" ht="24" customHeight="1" x14ac:dyDescent="0.2">
      <c r="A159" s="56"/>
      <c r="B159" s="57" t="s">
        <v>98</v>
      </c>
      <c r="C159" s="57" t="s">
        <v>131</v>
      </c>
      <c r="D159" s="57" t="s">
        <v>132</v>
      </c>
      <c r="E159" s="56"/>
      <c r="F159" s="56"/>
      <c r="G159" s="56"/>
    </row>
    <row r="160" spans="1:9" ht="18" customHeight="1" x14ac:dyDescent="0.2">
      <c r="A160" s="56"/>
      <c r="B160" s="58" t="s">
        <v>133</v>
      </c>
      <c r="C160" s="57" t="s">
        <v>134</v>
      </c>
      <c r="D160" s="57" t="s">
        <v>135</v>
      </c>
      <c r="E160" s="56"/>
      <c r="F160" s="56"/>
      <c r="G160" s="56"/>
    </row>
    <row r="161" spans="1:16" ht="17.100000000000001" customHeight="1" x14ac:dyDescent="0.2">
      <c r="A161" s="56"/>
      <c r="B161" s="40" t="s">
        <v>136</v>
      </c>
      <c r="C161" s="59">
        <v>145.15100000000001</v>
      </c>
      <c r="D161" s="59">
        <v>146.0367</v>
      </c>
      <c r="E161" s="56"/>
      <c r="F161" s="60"/>
      <c r="G161" s="61"/>
    </row>
    <row r="162" spans="1:16" ht="17.100000000000001" customHeight="1" x14ac:dyDescent="0.2">
      <c r="A162" s="56"/>
      <c r="B162" s="40" t="s">
        <v>980</v>
      </c>
      <c r="C162" s="59">
        <v>18.980799999999999</v>
      </c>
      <c r="D162" s="59">
        <v>18.924600000000002</v>
      </c>
      <c r="E162" s="56"/>
      <c r="F162" s="60"/>
      <c r="G162" s="61"/>
    </row>
    <row r="163" spans="1:16" ht="17.100000000000001" customHeight="1" x14ac:dyDescent="0.2">
      <c r="A163" s="56"/>
      <c r="B163" s="40" t="s">
        <v>137</v>
      </c>
      <c r="C163" s="59">
        <v>134.4838</v>
      </c>
      <c r="D163" s="59">
        <v>135.15199999999999</v>
      </c>
      <c r="E163" s="56"/>
      <c r="F163" s="60"/>
      <c r="G163" s="61"/>
    </row>
    <row r="164" spans="1:16" ht="17.100000000000001" customHeight="1" x14ac:dyDescent="0.2">
      <c r="A164" s="56"/>
      <c r="B164" s="40" t="s">
        <v>981</v>
      </c>
      <c r="C164" s="59">
        <v>16.735700000000001</v>
      </c>
      <c r="D164" s="59">
        <v>16.667400000000001</v>
      </c>
      <c r="E164" s="56"/>
      <c r="F164" s="60"/>
      <c r="G164" s="61"/>
    </row>
    <row r="165" spans="1:16" ht="14.1" customHeight="1" x14ac:dyDescent="0.2">
      <c r="A165" s="56"/>
      <c r="B165" s="56"/>
      <c r="C165" s="56"/>
      <c r="D165" s="56"/>
      <c r="E165" s="56"/>
      <c r="F165" s="56"/>
      <c r="G165" s="56"/>
    </row>
    <row r="166" spans="1:16" ht="17.100000000000001" customHeight="1" x14ac:dyDescent="0.2">
      <c r="A166" s="56"/>
      <c r="B166" s="210" t="s">
        <v>982</v>
      </c>
      <c r="C166" s="211"/>
      <c r="D166" s="38" t="s">
        <v>98</v>
      </c>
      <c r="E166" s="56"/>
      <c r="F166" s="56"/>
      <c r="G166" s="56"/>
      <c r="J166" s="113"/>
      <c r="K166" s="113"/>
      <c r="L166" s="113"/>
      <c r="M166" s="113"/>
      <c r="N166" s="113"/>
      <c r="O166" s="113"/>
      <c r="P166" s="113"/>
    </row>
    <row r="167" spans="1:16" ht="18" customHeight="1" x14ac:dyDescent="0.2">
      <c r="A167" s="56"/>
      <c r="B167" s="65" t="s">
        <v>133</v>
      </c>
      <c r="C167" s="66" t="s">
        <v>869</v>
      </c>
      <c r="D167" s="66" t="s">
        <v>870</v>
      </c>
      <c r="E167" s="56"/>
      <c r="F167" s="56"/>
      <c r="G167" s="56"/>
    </row>
    <row r="168" spans="1:16" ht="17.100000000000001" customHeight="1" x14ac:dyDescent="0.2">
      <c r="A168" s="56"/>
      <c r="B168" s="40" t="s">
        <v>980</v>
      </c>
      <c r="C168" s="67">
        <v>0.17599999999999999</v>
      </c>
      <c r="D168" s="67">
        <v>0.17599999999999999</v>
      </c>
      <c r="E168" s="56"/>
      <c r="F168" s="60"/>
      <c r="G168" s="61"/>
    </row>
    <row r="169" spans="1:16" ht="17.100000000000001" customHeight="1" x14ac:dyDescent="0.2">
      <c r="A169" s="56"/>
      <c r="B169" s="40" t="s">
        <v>981</v>
      </c>
      <c r="C169" s="67">
        <v>0.155</v>
      </c>
      <c r="D169" s="67">
        <v>0.155</v>
      </c>
      <c r="E169" s="56"/>
      <c r="F169" s="60"/>
      <c r="G169" s="61"/>
    </row>
    <row r="170" spans="1:16" ht="14.1" customHeight="1" x14ac:dyDescent="0.2">
      <c r="A170" s="56"/>
      <c r="B170" s="68"/>
      <c r="C170" s="68"/>
      <c r="D170" s="69"/>
      <c r="E170" s="56"/>
      <c r="F170" s="60"/>
      <c r="G170" s="61"/>
    </row>
    <row r="171" spans="1:16" s="113" customFormat="1" x14ac:dyDescent="0.2">
      <c r="B171" s="202" t="s">
        <v>984</v>
      </c>
      <c r="C171" s="202"/>
      <c r="D171" s="202"/>
      <c r="E171" s="202"/>
      <c r="F171" s="202"/>
      <c r="J171" s="36"/>
      <c r="K171" s="36"/>
      <c r="L171" s="36"/>
      <c r="M171" s="36"/>
      <c r="N171" s="36"/>
      <c r="O171" s="36"/>
      <c r="P171" s="36"/>
    </row>
    <row r="172" spans="1:16" ht="14.1" customHeight="1" x14ac:dyDescent="0.2">
      <c r="A172" s="56"/>
      <c r="B172" s="60"/>
      <c r="C172" s="60"/>
      <c r="D172" s="56"/>
      <c r="E172" s="56"/>
      <c r="F172" s="56"/>
      <c r="G172" s="56"/>
    </row>
    <row r="173" spans="1:16" ht="29.1" customHeight="1" x14ac:dyDescent="0.2">
      <c r="A173" s="56"/>
      <c r="B173" s="210" t="s">
        <v>138</v>
      </c>
      <c r="C173" s="211"/>
      <c r="D173" s="38" t="s">
        <v>128</v>
      </c>
      <c r="E173" s="63"/>
      <c r="F173" s="56"/>
      <c r="G173" s="56"/>
    </row>
    <row r="174" spans="1:16" ht="29.1" customHeight="1" x14ac:dyDescent="0.2">
      <c r="A174" s="56"/>
      <c r="B174" s="210" t="s">
        <v>139</v>
      </c>
      <c r="C174" s="211"/>
      <c r="D174" s="38" t="s">
        <v>128</v>
      </c>
      <c r="E174" s="63"/>
      <c r="F174" s="56"/>
      <c r="G174" s="56"/>
    </row>
    <row r="175" spans="1:16" ht="17.100000000000001" customHeight="1" x14ac:dyDescent="0.2">
      <c r="A175" s="56"/>
      <c r="B175" s="216" t="s">
        <v>938</v>
      </c>
      <c r="C175" s="217"/>
      <c r="D175" s="64">
        <v>3.5438154151086314</v>
      </c>
      <c r="E175" s="63"/>
      <c r="F175" s="56"/>
      <c r="G175" s="56"/>
    </row>
    <row r="176" spans="1:16" ht="17.100000000000001" customHeight="1" x14ac:dyDescent="0.2">
      <c r="A176" s="56"/>
      <c r="B176" s="216" t="s">
        <v>939</v>
      </c>
      <c r="C176" s="217"/>
      <c r="D176" s="64">
        <v>2.703718414368574</v>
      </c>
      <c r="E176" s="63"/>
      <c r="F176" s="56"/>
      <c r="G176" s="56"/>
    </row>
    <row r="177" spans="1:16" ht="17.100000000000001" customHeight="1" x14ac:dyDescent="0.2">
      <c r="A177" s="56"/>
      <c r="B177" s="210" t="s">
        <v>821</v>
      </c>
      <c r="C177" s="211"/>
      <c r="D177" s="38" t="s">
        <v>128</v>
      </c>
      <c r="E177" s="63"/>
      <c r="F177" s="56"/>
      <c r="G177" s="56"/>
    </row>
    <row r="178" spans="1:16" ht="17.100000000000001" customHeight="1" x14ac:dyDescent="0.2">
      <c r="A178" s="56"/>
      <c r="B178" s="210" t="s">
        <v>940</v>
      </c>
      <c r="C178" s="211"/>
      <c r="D178" s="28">
        <v>0.7471100403249108</v>
      </c>
      <c r="E178" s="56"/>
      <c r="F178" s="60"/>
      <c r="G178" s="61"/>
    </row>
    <row r="179" spans="1:16" ht="11.1" customHeight="1" x14ac:dyDescent="0.2">
      <c r="A179" s="62"/>
      <c r="B179" s="62"/>
      <c r="C179" s="62"/>
      <c r="D179" s="62"/>
      <c r="E179" s="62"/>
      <c r="F179" s="62"/>
      <c r="G179" s="62"/>
    </row>
    <row r="180" spans="1:16" x14ac:dyDescent="0.2">
      <c r="B180" s="227" t="s">
        <v>948</v>
      </c>
      <c r="C180" s="227" t="s">
        <v>949</v>
      </c>
      <c r="D180" s="228" t="s">
        <v>950</v>
      </c>
      <c r="E180" s="228"/>
      <c r="F180" s="228"/>
      <c r="G180" s="229" t="s">
        <v>951</v>
      </c>
      <c r="H180" s="229"/>
    </row>
    <row r="181" spans="1:16" ht="25.5" x14ac:dyDescent="0.2">
      <c r="B181" s="100" t="s">
        <v>952</v>
      </c>
      <c r="C181" s="98" t="s">
        <v>953</v>
      </c>
      <c r="D181" s="220">
        <v>0</v>
      </c>
      <c r="E181" s="220"/>
      <c r="F181" s="220"/>
      <c r="G181" s="220">
        <v>0</v>
      </c>
      <c r="H181" s="220"/>
    </row>
    <row r="182" spans="1:16" x14ac:dyDescent="0.2">
      <c r="B182" s="100"/>
      <c r="C182" s="100"/>
      <c r="D182" s="220"/>
      <c r="E182" s="220"/>
      <c r="F182" s="220"/>
      <c r="G182" s="220"/>
      <c r="H182" s="220"/>
      <c r="J182" s="99"/>
      <c r="K182" s="99"/>
      <c r="L182" s="99"/>
      <c r="M182" s="99"/>
      <c r="N182" s="99"/>
      <c r="O182" s="99"/>
      <c r="P182" s="99"/>
    </row>
    <row r="183" spans="1:16" x14ac:dyDescent="0.2">
      <c r="B183" s="229" t="s">
        <v>954</v>
      </c>
      <c r="C183" s="229"/>
      <c r="D183" s="229"/>
      <c r="E183" s="229"/>
      <c r="F183" s="229"/>
      <c r="G183" s="229"/>
      <c r="H183" s="229"/>
    </row>
    <row r="184" spans="1:16" x14ac:dyDescent="0.2">
      <c r="B184" s="230" t="s">
        <v>948</v>
      </c>
      <c r="C184" s="230" t="s">
        <v>949</v>
      </c>
      <c r="D184" s="230" t="s">
        <v>955</v>
      </c>
      <c r="E184" s="230"/>
      <c r="F184" s="230"/>
      <c r="G184" s="230"/>
      <c r="H184" s="100"/>
    </row>
    <row r="185" spans="1:16" ht="51" x14ac:dyDescent="0.2">
      <c r="B185" s="230"/>
      <c r="C185" s="230"/>
      <c r="D185" s="231" t="s">
        <v>956</v>
      </c>
      <c r="E185" s="231" t="s">
        <v>957</v>
      </c>
      <c r="F185" s="231" t="s">
        <v>958</v>
      </c>
      <c r="G185" s="231" t="s">
        <v>959</v>
      </c>
      <c r="H185" s="231" t="s">
        <v>962</v>
      </c>
      <c r="I185" s="107" t="s">
        <v>960</v>
      </c>
    </row>
    <row r="186" spans="1:16" s="99" customFormat="1" ht="25.5" x14ac:dyDescent="0.2">
      <c r="B186" s="101" t="s">
        <v>952</v>
      </c>
      <c r="C186" s="102" t="s">
        <v>953</v>
      </c>
      <c r="D186" s="103">
        <v>700</v>
      </c>
      <c r="E186" s="103">
        <v>24.098357999999998</v>
      </c>
      <c r="F186" s="104">
        <v>0</v>
      </c>
      <c r="G186" s="105">
        <v>724.09835799999996</v>
      </c>
      <c r="H186" s="106">
        <v>3.7000000000000002E-3</v>
      </c>
      <c r="I186" s="108">
        <v>19798571827.559998</v>
      </c>
      <c r="J186" s="36"/>
      <c r="K186" s="36"/>
      <c r="L186" s="36"/>
      <c r="M186" s="36"/>
      <c r="N186" s="36"/>
      <c r="O186" s="36"/>
      <c r="P186" s="36"/>
    </row>
    <row r="187" spans="1:16" x14ac:dyDescent="0.2">
      <c r="B187" s="100"/>
      <c r="C187" s="100"/>
      <c r="D187" s="232"/>
      <c r="E187" s="232"/>
      <c r="F187" s="233"/>
      <c r="G187" s="232"/>
      <c r="H187" s="234"/>
      <c r="I187" s="109"/>
    </row>
    <row r="188" spans="1:16" ht="25.5" customHeight="1" x14ac:dyDescent="0.2">
      <c r="B188" s="218" t="s">
        <v>961</v>
      </c>
      <c r="C188" s="219"/>
      <c r="D188" s="219"/>
      <c r="E188" s="219"/>
      <c r="F188" s="219"/>
      <c r="G188" s="219"/>
      <c r="H188" s="219"/>
    </row>
  </sheetData>
  <sortState xmlns:xlrd2="http://schemas.microsoft.com/office/spreadsheetml/2017/richdata2" ref="A78:P100">
    <sortCondition descending="1" ref="G78:G100"/>
  </sortState>
  <mergeCells count="30">
    <mergeCell ref="K2:O2"/>
    <mergeCell ref="B158:C158"/>
    <mergeCell ref="B166:C166"/>
    <mergeCell ref="B184:B185"/>
    <mergeCell ref="C184:C185"/>
    <mergeCell ref="B171:F171"/>
    <mergeCell ref="D184:G184"/>
    <mergeCell ref="B188:H188"/>
    <mergeCell ref="D180:F180"/>
    <mergeCell ref="G180:H180"/>
    <mergeCell ref="D181:F181"/>
    <mergeCell ref="G181:H181"/>
    <mergeCell ref="D182:F182"/>
    <mergeCell ref="G182:H182"/>
    <mergeCell ref="A1:I1"/>
    <mergeCell ref="A2:I2"/>
    <mergeCell ref="A3:I3"/>
    <mergeCell ref="B183:H183"/>
    <mergeCell ref="B174:C174"/>
    <mergeCell ref="B175:C175"/>
    <mergeCell ref="B176:C176"/>
    <mergeCell ref="B177:C177"/>
    <mergeCell ref="B178:C178"/>
    <mergeCell ref="B173:C173"/>
    <mergeCell ref="B151:F151"/>
    <mergeCell ref="B152:F152"/>
    <mergeCell ref="B153:F153"/>
    <mergeCell ref="B155:D155"/>
    <mergeCell ref="B156:C156"/>
    <mergeCell ref="B157:C157"/>
  </mergeCells>
  <pageMargins left="5.000000074505806E-2" right="5.000000074505806E-2" top="0.30000001192092896" bottom="0.20000000298023224" header="0" footer="0"/>
  <pageSetup paperSize="9"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O148"/>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698</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17</v>
      </c>
      <c r="C7" s="4" t="s">
        <v>18</v>
      </c>
      <c r="D7" s="4" t="s">
        <v>19</v>
      </c>
      <c r="E7" s="5">
        <v>1267715</v>
      </c>
      <c r="F7" s="6">
        <v>10167.708157499999</v>
      </c>
      <c r="G7" s="7">
        <v>7.9445023000000003E-2</v>
      </c>
      <c r="H7" s="112"/>
    </row>
    <row r="8" spans="1:14" x14ac:dyDescent="0.2">
      <c r="A8" s="3">
        <v>2</v>
      </c>
      <c r="B8" s="4" t="s">
        <v>414</v>
      </c>
      <c r="C8" s="4" t="s">
        <v>415</v>
      </c>
      <c r="D8" s="4" t="s">
        <v>162</v>
      </c>
      <c r="E8" s="5">
        <v>577633</v>
      </c>
      <c r="F8" s="6">
        <v>9633.4743574999993</v>
      </c>
      <c r="G8" s="7">
        <v>7.5270806999999995E-2</v>
      </c>
      <c r="H8" s="112"/>
    </row>
    <row r="9" spans="1:14" x14ac:dyDescent="0.2">
      <c r="A9" s="3">
        <v>3</v>
      </c>
      <c r="B9" s="4" t="s">
        <v>412</v>
      </c>
      <c r="C9" s="4" t="s">
        <v>413</v>
      </c>
      <c r="D9" s="4" t="s">
        <v>19</v>
      </c>
      <c r="E9" s="5">
        <v>608253</v>
      </c>
      <c r="F9" s="6">
        <v>9627.7326104999993</v>
      </c>
      <c r="G9" s="7">
        <v>7.5225944000000003E-2</v>
      </c>
      <c r="H9" s="112"/>
    </row>
    <row r="10" spans="1:14" x14ac:dyDescent="0.2">
      <c r="A10" s="3">
        <v>4</v>
      </c>
      <c r="B10" s="4" t="s">
        <v>14</v>
      </c>
      <c r="C10" s="4" t="s">
        <v>15</v>
      </c>
      <c r="D10" s="4" t="s">
        <v>16</v>
      </c>
      <c r="E10" s="5">
        <v>346934</v>
      </c>
      <c r="F10" s="6">
        <v>8799.1135749999994</v>
      </c>
      <c r="G10" s="7">
        <v>6.8751559000000004E-2</v>
      </c>
      <c r="H10" s="112"/>
    </row>
    <row r="11" spans="1:14" x14ac:dyDescent="0.2">
      <c r="A11" s="3">
        <v>5</v>
      </c>
      <c r="B11" s="4" t="s">
        <v>418</v>
      </c>
      <c r="C11" s="4" t="s">
        <v>419</v>
      </c>
      <c r="D11" s="4" t="s">
        <v>19</v>
      </c>
      <c r="E11" s="5">
        <v>1276889</v>
      </c>
      <c r="F11" s="6">
        <v>6411.8981135000004</v>
      </c>
      <c r="G11" s="7">
        <v>5.0099136000000002E-2</v>
      </c>
      <c r="H11" s="112"/>
    </row>
    <row r="12" spans="1:14" ht="25.5" x14ac:dyDescent="0.2">
      <c r="A12" s="3">
        <v>6</v>
      </c>
      <c r="B12" s="4" t="s">
        <v>416</v>
      </c>
      <c r="C12" s="4" t="s">
        <v>417</v>
      </c>
      <c r="D12" s="4" t="s">
        <v>81</v>
      </c>
      <c r="E12" s="5">
        <v>201600</v>
      </c>
      <c r="F12" s="6">
        <v>5734.9152000000004</v>
      </c>
      <c r="G12" s="7">
        <v>4.4809554000000001E-2</v>
      </c>
      <c r="H12" s="112"/>
    </row>
    <row r="13" spans="1:14" x14ac:dyDescent="0.2">
      <c r="A13" s="3">
        <v>7</v>
      </c>
      <c r="B13" s="4" t="s">
        <v>11</v>
      </c>
      <c r="C13" s="4" t="s">
        <v>12</v>
      </c>
      <c r="D13" s="4" t="s">
        <v>13</v>
      </c>
      <c r="E13" s="5">
        <v>277602</v>
      </c>
      <c r="F13" s="6">
        <v>4904.255733</v>
      </c>
      <c r="G13" s="7">
        <v>3.8319225999999998E-2</v>
      </c>
      <c r="H13" s="112"/>
    </row>
    <row r="14" spans="1:14" x14ac:dyDescent="0.2">
      <c r="A14" s="3">
        <v>8</v>
      </c>
      <c r="B14" s="4" t="s">
        <v>422</v>
      </c>
      <c r="C14" s="4" t="s">
        <v>423</v>
      </c>
      <c r="D14" s="4" t="s">
        <v>162</v>
      </c>
      <c r="E14" s="5">
        <v>142864</v>
      </c>
      <c r="F14" s="6">
        <v>4854.1615599999996</v>
      </c>
      <c r="G14" s="7">
        <v>3.7927817000000003E-2</v>
      </c>
      <c r="H14" s="112"/>
    </row>
    <row r="15" spans="1:14" ht="15" x14ac:dyDescent="0.2">
      <c r="A15" s="3">
        <v>9</v>
      </c>
      <c r="B15" s="4" t="s">
        <v>322</v>
      </c>
      <c r="C15" s="4" t="s">
        <v>323</v>
      </c>
      <c r="D15" s="4" t="s">
        <v>19</v>
      </c>
      <c r="E15" s="5">
        <v>605523</v>
      </c>
      <c r="F15" s="6">
        <v>4492.9806600000002</v>
      </c>
      <c r="G15" s="7">
        <v>3.5105743000000002E-2</v>
      </c>
      <c r="H15" s="112"/>
      <c r="J15" s="188" t="s">
        <v>1025</v>
      </c>
    </row>
    <row r="16" spans="1:14" x14ac:dyDescent="0.2">
      <c r="A16" s="3">
        <v>10</v>
      </c>
      <c r="B16" s="4" t="s">
        <v>376</v>
      </c>
      <c r="C16" s="4" t="s">
        <v>377</v>
      </c>
      <c r="D16" s="4" t="s">
        <v>162</v>
      </c>
      <c r="E16" s="5">
        <v>316010</v>
      </c>
      <c r="F16" s="6">
        <v>3614.3643750000001</v>
      </c>
      <c r="G16" s="7">
        <v>2.8240707E-2</v>
      </c>
      <c r="H16" s="112"/>
    </row>
    <row r="17" spans="1:8" x14ac:dyDescent="0.2">
      <c r="A17" s="3">
        <v>11</v>
      </c>
      <c r="B17" s="4" t="s">
        <v>302</v>
      </c>
      <c r="C17" s="4" t="s">
        <v>303</v>
      </c>
      <c r="D17" s="4" t="s">
        <v>162</v>
      </c>
      <c r="E17" s="5">
        <v>78247</v>
      </c>
      <c r="F17" s="6">
        <v>3515.168228</v>
      </c>
      <c r="G17" s="7">
        <v>2.7465640999999999E-2</v>
      </c>
      <c r="H17" s="112"/>
    </row>
    <row r="18" spans="1:8" x14ac:dyDescent="0.2">
      <c r="A18" s="3">
        <v>12</v>
      </c>
      <c r="B18" s="4" t="s">
        <v>339</v>
      </c>
      <c r="C18" s="4" t="s">
        <v>340</v>
      </c>
      <c r="D18" s="4" t="s">
        <v>81</v>
      </c>
      <c r="E18" s="5">
        <v>225395</v>
      </c>
      <c r="F18" s="6">
        <v>3237.1229899999998</v>
      </c>
      <c r="G18" s="7">
        <v>2.5293144E-2</v>
      </c>
      <c r="H18" s="112"/>
    </row>
    <row r="19" spans="1:8" x14ac:dyDescent="0.2">
      <c r="A19" s="3">
        <v>13</v>
      </c>
      <c r="B19" s="4" t="s">
        <v>386</v>
      </c>
      <c r="C19" s="4" t="s">
        <v>387</v>
      </c>
      <c r="D19" s="4" t="s">
        <v>973</v>
      </c>
      <c r="E19" s="5">
        <v>17742</v>
      </c>
      <c r="F19" s="6">
        <v>3161.8284330000001</v>
      </c>
      <c r="G19" s="7">
        <v>2.4704832999999999E-2</v>
      </c>
      <c r="H19" s="112"/>
    </row>
    <row r="20" spans="1:8" x14ac:dyDescent="0.2">
      <c r="A20" s="3">
        <v>14</v>
      </c>
      <c r="B20" s="4" t="s">
        <v>35</v>
      </c>
      <c r="C20" s="4" t="s">
        <v>36</v>
      </c>
      <c r="D20" s="4" t="s">
        <v>16</v>
      </c>
      <c r="E20" s="5">
        <v>694156</v>
      </c>
      <c r="F20" s="6">
        <v>2899.4896119999999</v>
      </c>
      <c r="G20" s="7">
        <v>2.2655057999999999E-2</v>
      </c>
      <c r="H20" s="112"/>
    </row>
    <row r="21" spans="1:8" x14ac:dyDescent="0.2">
      <c r="A21" s="3">
        <v>15</v>
      </c>
      <c r="B21" s="4" t="s">
        <v>22</v>
      </c>
      <c r="C21" s="4" t="s">
        <v>23</v>
      </c>
      <c r="D21" s="4" t="s">
        <v>24</v>
      </c>
      <c r="E21" s="5">
        <v>409068</v>
      </c>
      <c r="F21" s="6">
        <v>2803.5475379999998</v>
      </c>
      <c r="G21" s="7">
        <v>2.1905417999999999E-2</v>
      </c>
      <c r="H21" s="112"/>
    </row>
    <row r="22" spans="1:8" x14ac:dyDescent="0.2">
      <c r="A22" s="3">
        <v>16</v>
      </c>
      <c r="B22" s="4" t="s">
        <v>76</v>
      </c>
      <c r="C22" s="4" t="s">
        <v>77</v>
      </c>
      <c r="D22" s="4" t="s">
        <v>78</v>
      </c>
      <c r="E22" s="5">
        <v>1772874</v>
      </c>
      <c r="F22" s="6">
        <v>2524.572576</v>
      </c>
      <c r="G22" s="7">
        <v>1.9725657000000001E-2</v>
      </c>
      <c r="H22" s="112"/>
    </row>
    <row r="23" spans="1:8" x14ac:dyDescent="0.2">
      <c r="A23" s="3">
        <v>17</v>
      </c>
      <c r="B23" s="4" t="s">
        <v>445</v>
      </c>
      <c r="C23" s="4" t="s">
        <v>446</v>
      </c>
      <c r="D23" s="4" t="s">
        <v>19</v>
      </c>
      <c r="E23" s="5">
        <v>122979</v>
      </c>
      <c r="F23" s="6">
        <v>2497.8879585</v>
      </c>
      <c r="G23" s="7">
        <v>1.9517158E-2</v>
      </c>
      <c r="H23" s="112"/>
    </row>
    <row r="24" spans="1:8" ht="25.5" x14ac:dyDescent="0.2">
      <c r="A24" s="3">
        <v>18</v>
      </c>
      <c r="B24" s="4" t="s">
        <v>568</v>
      </c>
      <c r="C24" s="4" t="s">
        <v>569</v>
      </c>
      <c r="D24" s="4" t="s">
        <v>192</v>
      </c>
      <c r="E24" s="5">
        <v>16757</v>
      </c>
      <c r="F24" s="6">
        <v>2384.1608245000002</v>
      </c>
      <c r="G24" s="7">
        <v>1.8628555000000002E-2</v>
      </c>
      <c r="H24" s="112"/>
    </row>
    <row r="25" spans="1:8" ht="25.5" x14ac:dyDescent="0.2">
      <c r="A25" s="3">
        <v>19</v>
      </c>
      <c r="B25" s="4" t="s">
        <v>424</v>
      </c>
      <c r="C25" s="4" t="s">
        <v>425</v>
      </c>
      <c r="D25" s="4" t="s">
        <v>192</v>
      </c>
      <c r="E25" s="5">
        <v>90435</v>
      </c>
      <c r="F25" s="6">
        <v>2164.2452024999998</v>
      </c>
      <c r="G25" s="7">
        <v>1.6910252000000001E-2</v>
      </c>
      <c r="H25" s="112"/>
    </row>
    <row r="26" spans="1:8" ht="25.5" x14ac:dyDescent="0.2">
      <c r="A26" s="3">
        <v>20</v>
      </c>
      <c r="B26" s="4" t="s">
        <v>647</v>
      </c>
      <c r="C26" s="4" t="s">
        <v>648</v>
      </c>
      <c r="D26" s="4" t="s">
        <v>971</v>
      </c>
      <c r="E26" s="5">
        <v>511927</v>
      </c>
      <c r="F26" s="6">
        <v>2072.2804959999999</v>
      </c>
      <c r="G26" s="7">
        <v>1.6191688999999999E-2</v>
      </c>
      <c r="H26" s="112"/>
    </row>
    <row r="27" spans="1:8" x14ac:dyDescent="0.2">
      <c r="A27" s="3">
        <v>21</v>
      </c>
      <c r="B27" s="4" t="s">
        <v>404</v>
      </c>
      <c r="C27" s="4" t="s">
        <v>405</v>
      </c>
      <c r="D27" s="4" t="s">
        <v>27</v>
      </c>
      <c r="E27" s="5">
        <v>93108</v>
      </c>
      <c r="F27" s="6">
        <v>2034.083922</v>
      </c>
      <c r="G27" s="7">
        <v>1.5893241999999998E-2</v>
      </c>
      <c r="H27" s="112"/>
    </row>
    <row r="28" spans="1:8" x14ac:dyDescent="0.2">
      <c r="A28" s="3">
        <v>22</v>
      </c>
      <c r="B28" s="4" t="s">
        <v>349</v>
      </c>
      <c r="C28" s="4" t="s">
        <v>350</v>
      </c>
      <c r="D28" s="4" t="s">
        <v>351</v>
      </c>
      <c r="E28" s="5">
        <v>67238</v>
      </c>
      <c r="F28" s="6">
        <v>2017.1063810000001</v>
      </c>
      <c r="G28" s="7">
        <v>1.5760587999999999E-2</v>
      </c>
      <c r="H28" s="112"/>
    </row>
    <row r="29" spans="1:8" x14ac:dyDescent="0.2">
      <c r="A29" s="3">
        <v>23</v>
      </c>
      <c r="B29" s="4" t="s">
        <v>345</v>
      </c>
      <c r="C29" s="4" t="s">
        <v>346</v>
      </c>
      <c r="D29" s="4" t="s">
        <v>186</v>
      </c>
      <c r="E29" s="5">
        <v>54419</v>
      </c>
      <c r="F29" s="6">
        <v>2013.611838</v>
      </c>
      <c r="G29" s="7">
        <v>1.5733284E-2</v>
      </c>
      <c r="H29" s="112"/>
    </row>
    <row r="30" spans="1:8" x14ac:dyDescent="0.2">
      <c r="A30" s="3">
        <v>24</v>
      </c>
      <c r="B30" s="4" t="s">
        <v>84</v>
      </c>
      <c r="C30" s="4" t="s">
        <v>85</v>
      </c>
      <c r="D30" s="4" t="s">
        <v>61</v>
      </c>
      <c r="E30" s="5">
        <v>424164</v>
      </c>
      <c r="F30" s="6">
        <v>2010.113196</v>
      </c>
      <c r="G30" s="7">
        <v>1.5705947000000001E-2</v>
      </c>
      <c r="H30" s="112"/>
    </row>
    <row r="31" spans="1:8" ht="25.5" x14ac:dyDescent="0.2">
      <c r="A31" s="3">
        <v>25</v>
      </c>
      <c r="B31" s="4" t="s">
        <v>489</v>
      </c>
      <c r="C31" s="4" t="s">
        <v>490</v>
      </c>
      <c r="D31" s="4" t="s">
        <v>192</v>
      </c>
      <c r="E31" s="5">
        <v>197658</v>
      </c>
      <c r="F31" s="6">
        <v>1872.5130630000001</v>
      </c>
      <c r="G31" s="7">
        <v>1.4630814000000001E-2</v>
      </c>
      <c r="H31" s="112"/>
    </row>
    <row r="32" spans="1:8" x14ac:dyDescent="0.2">
      <c r="A32" s="3">
        <v>26</v>
      </c>
      <c r="B32" s="4" t="s">
        <v>308</v>
      </c>
      <c r="C32" s="4" t="s">
        <v>309</v>
      </c>
      <c r="D32" s="4" t="s">
        <v>189</v>
      </c>
      <c r="E32" s="5">
        <v>40746</v>
      </c>
      <c r="F32" s="6">
        <v>1736.6148929999999</v>
      </c>
      <c r="G32" s="7">
        <v>1.3568978000000001E-2</v>
      </c>
      <c r="H32" s="112"/>
    </row>
    <row r="33" spans="1:8" ht="25.5" x14ac:dyDescent="0.2">
      <c r="A33" s="3">
        <v>27</v>
      </c>
      <c r="B33" s="4" t="s">
        <v>326</v>
      </c>
      <c r="C33" s="4" t="s">
        <v>327</v>
      </c>
      <c r="D33" s="4" t="s">
        <v>192</v>
      </c>
      <c r="E33" s="5">
        <v>200026</v>
      </c>
      <c r="F33" s="6">
        <v>1698.9208309999999</v>
      </c>
      <c r="G33" s="7">
        <v>1.3274457E-2</v>
      </c>
      <c r="H33" s="112"/>
    </row>
    <row r="34" spans="1:8" ht="25.5" x14ac:dyDescent="0.2">
      <c r="A34" s="3">
        <v>28</v>
      </c>
      <c r="B34" s="4" t="s">
        <v>28</v>
      </c>
      <c r="C34" s="4" t="s">
        <v>29</v>
      </c>
      <c r="D34" s="4" t="s">
        <v>971</v>
      </c>
      <c r="E34" s="5">
        <v>19363</v>
      </c>
      <c r="F34" s="6">
        <v>1478.5683615</v>
      </c>
      <c r="G34" s="7">
        <v>1.1552741E-2</v>
      </c>
      <c r="H34" s="112"/>
    </row>
    <row r="35" spans="1:8" x14ac:dyDescent="0.2">
      <c r="A35" s="3">
        <v>29</v>
      </c>
      <c r="B35" s="4" t="s">
        <v>437</v>
      </c>
      <c r="C35" s="4" t="s">
        <v>438</v>
      </c>
      <c r="D35" s="4" t="s">
        <v>186</v>
      </c>
      <c r="E35" s="5">
        <v>27625</v>
      </c>
      <c r="F35" s="6">
        <v>1422.7289375</v>
      </c>
      <c r="G35" s="7">
        <v>1.1116442000000001E-2</v>
      </c>
      <c r="H35" s="112"/>
    </row>
    <row r="36" spans="1:8" ht="25.5" x14ac:dyDescent="0.2">
      <c r="A36" s="3">
        <v>30</v>
      </c>
      <c r="B36" s="4" t="s">
        <v>400</v>
      </c>
      <c r="C36" s="4" t="s">
        <v>401</v>
      </c>
      <c r="D36" s="4" t="s">
        <v>192</v>
      </c>
      <c r="E36" s="5">
        <v>167408</v>
      </c>
      <c r="F36" s="6">
        <v>1355.16776</v>
      </c>
      <c r="G36" s="7">
        <v>1.0588554999999999E-2</v>
      </c>
      <c r="H36" s="112"/>
    </row>
    <row r="37" spans="1:8" x14ac:dyDescent="0.2">
      <c r="A37" s="3">
        <v>31</v>
      </c>
      <c r="B37" s="4" t="s">
        <v>428</v>
      </c>
      <c r="C37" s="4" t="s">
        <v>429</v>
      </c>
      <c r="D37" s="4" t="s">
        <v>186</v>
      </c>
      <c r="E37" s="5">
        <v>163177</v>
      </c>
      <c r="F37" s="6">
        <v>1297.2571499999999</v>
      </c>
      <c r="G37" s="7">
        <v>1.0136071999999999E-2</v>
      </c>
      <c r="H37" s="112"/>
    </row>
    <row r="38" spans="1:8" x14ac:dyDescent="0.2">
      <c r="A38" s="3">
        <v>32</v>
      </c>
      <c r="B38" s="4" t="s">
        <v>458</v>
      </c>
      <c r="C38" s="4" t="s">
        <v>459</v>
      </c>
      <c r="D38" s="4" t="s">
        <v>173</v>
      </c>
      <c r="E38" s="5">
        <v>561545</v>
      </c>
      <c r="F38" s="6">
        <v>1254.7723025</v>
      </c>
      <c r="G38" s="7">
        <v>9.8041180000000006E-3</v>
      </c>
      <c r="H38" s="112"/>
    </row>
    <row r="39" spans="1:8" x14ac:dyDescent="0.2">
      <c r="A39" s="3">
        <v>33</v>
      </c>
      <c r="B39" s="4" t="s">
        <v>420</v>
      </c>
      <c r="C39" s="4" t="s">
        <v>421</v>
      </c>
      <c r="D39" s="4" t="s">
        <v>973</v>
      </c>
      <c r="E39" s="5">
        <v>104007</v>
      </c>
      <c r="F39" s="6">
        <v>1191.4521884999999</v>
      </c>
      <c r="G39" s="7">
        <v>9.3093689999999996E-3</v>
      </c>
      <c r="H39" s="112"/>
    </row>
    <row r="40" spans="1:8" ht="25.5" x14ac:dyDescent="0.2">
      <c r="A40" s="3">
        <v>34</v>
      </c>
      <c r="B40" s="4" t="s">
        <v>502</v>
      </c>
      <c r="C40" s="4" t="s">
        <v>503</v>
      </c>
      <c r="D40" s="4" t="s">
        <v>192</v>
      </c>
      <c r="E40" s="5">
        <v>196793</v>
      </c>
      <c r="F40" s="6">
        <v>1152.9117905000001</v>
      </c>
      <c r="G40" s="7">
        <v>9.0082349999999999E-3</v>
      </c>
      <c r="H40" s="112"/>
    </row>
    <row r="41" spans="1:8" x14ac:dyDescent="0.2">
      <c r="A41" s="3">
        <v>35</v>
      </c>
      <c r="B41" s="4" t="s">
        <v>430</v>
      </c>
      <c r="C41" s="4" t="s">
        <v>431</v>
      </c>
      <c r="D41" s="4" t="s">
        <v>432</v>
      </c>
      <c r="E41" s="5">
        <v>215871</v>
      </c>
      <c r="F41" s="6">
        <v>992.57485799999995</v>
      </c>
      <c r="G41" s="7">
        <v>7.7554479999999999E-3</v>
      </c>
      <c r="H41" s="112"/>
    </row>
    <row r="42" spans="1:8" ht="25.5" x14ac:dyDescent="0.2">
      <c r="A42" s="3">
        <v>36</v>
      </c>
      <c r="B42" s="4" t="s">
        <v>82</v>
      </c>
      <c r="C42" s="4" t="s">
        <v>83</v>
      </c>
      <c r="D42" s="4" t="s">
        <v>50</v>
      </c>
      <c r="E42" s="5">
        <v>139388</v>
      </c>
      <c r="F42" s="6">
        <v>965.95884000000001</v>
      </c>
      <c r="G42" s="7">
        <v>7.5474849999999996E-3</v>
      </c>
      <c r="H42" s="112"/>
    </row>
    <row r="43" spans="1:8" x14ac:dyDescent="0.2">
      <c r="A43" s="3">
        <v>37</v>
      </c>
      <c r="B43" s="4" t="s">
        <v>452</v>
      </c>
      <c r="C43" s="4" t="s">
        <v>453</v>
      </c>
      <c r="D43" s="4" t="s">
        <v>71</v>
      </c>
      <c r="E43" s="5">
        <v>37350</v>
      </c>
      <c r="F43" s="6">
        <v>890.25592500000005</v>
      </c>
      <c r="G43" s="7">
        <v>6.9559829999999998E-3</v>
      </c>
      <c r="H43" s="112"/>
    </row>
    <row r="44" spans="1:8" x14ac:dyDescent="0.2">
      <c r="A44" s="3">
        <v>38</v>
      </c>
      <c r="B44" s="4" t="s">
        <v>566</v>
      </c>
      <c r="C44" s="4" t="s">
        <v>567</v>
      </c>
      <c r="D44" s="4" t="s">
        <v>81</v>
      </c>
      <c r="E44" s="5">
        <v>11390</v>
      </c>
      <c r="F44" s="6">
        <v>842.88278000000003</v>
      </c>
      <c r="G44" s="7">
        <v>6.5858339999999996E-3</v>
      </c>
      <c r="H44" s="112"/>
    </row>
    <row r="45" spans="1:8" x14ac:dyDescent="0.2">
      <c r="A45" s="3">
        <v>39</v>
      </c>
      <c r="B45" s="4" t="s">
        <v>564</v>
      </c>
      <c r="C45" s="4" t="s">
        <v>565</v>
      </c>
      <c r="D45" s="4" t="s">
        <v>78</v>
      </c>
      <c r="E45" s="5">
        <v>8825</v>
      </c>
      <c r="F45" s="6">
        <v>660.32180000000005</v>
      </c>
      <c r="G45" s="7">
        <v>5.1594010000000001E-3</v>
      </c>
      <c r="H45" s="112"/>
    </row>
    <row r="46" spans="1:8" x14ac:dyDescent="0.2">
      <c r="A46" s="3">
        <v>40</v>
      </c>
      <c r="B46" s="4" t="s">
        <v>394</v>
      </c>
      <c r="C46" s="4" t="s">
        <v>395</v>
      </c>
      <c r="D46" s="4" t="s">
        <v>976</v>
      </c>
      <c r="E46" s="5">
        <v>191820</v>
      </c>
      <c r="F46" s="6">
        <v>577.28228999999999</v>
      </c>
      <c r="G46" s="7">
        <v>4.5105739999999998E-3</v>
      </c>
      <c r="H46" s="112"/>
    </row>
    <row r="47" spans="1:8" x14ac:dyDescent="0.2">
      <c r="A47" s="3">
        <v>41</v>
      </c>
      <c r="B47" s="4" t="s">
        <v>456</v>
      </c>
      <c r="C47" s="4" t="s">
        <v>457</v>
      </c>
      <c r="D47" s="4" t="s">
        <v>186</v>
      </c>
      <c r="E47" s="5">
        <v>56288</v>
      </c>
      <c r="F47" s="6">
        <v>509.43454400000002</v>
      </c>
      <c r="G47" s="7">
        <v>3.9804489999999996E-3</v>
      </c>
      <c r="H47" s="112"/>
    </row>
    <row r="48" spans="1:8" x14ac:dyDescent="0.2">
      <c r="A48" s="3">
        <v>42</v>
      </c>
      <c r="B48" s="4" t="s">
        <v>433</v>
      </c>
      <c r="C48" s="4" t="s">
        <v>434</v>
      </c>
      <c r="D48" s="4" t="s">
        <v>53</v>
      </c>
      <c r="E48" s="5">
        <v>37475</v>
      </c>
      <c r="F48" s="6">
        <v>493.15226250000001</v>
      </c>
      <c r="G48" s="7">
        <v>3.8532280000000002E-3</v>
      </c>
      <c r="H48" s="112"/>
    </row>
    <row r="49" spans="1:8" x14ac:dyDescent="0.2">
      <c r="A49" s="3">
        <v>43</v>
      </c>
      <c r="B49" s="4" t="s">
        <v>382</v>
      </c>
      <c r="C49" s="4" t="s">
        <v>383</v>
      </c>
      <c r="D49" s="4" t="s">
        <v>71</v>
      </c>
      <c r="E49" s="5">
        <v>18158</v>
      </c>
      <c r="F49" s="6">
        <v>401.70943399999999</v>
      </c>
      <c r="G49" s="7">
        <v>3.1387419999999999E-3</v>
      </c>
      <c r="H49" s="112"/>
    </row>
    <row r="50" spans="1:8" x14ac:dyDescent="0.2">
      <c r="A50" s="3">
        <v>44</v>
      </c>
      <c r="B50" s="4" t="s">
        <v>637</v>
      </c>
      <c r="C50" s="4" t="s">
        <v>638</v>
      </c>
      <c r="D50" s="4" t="s">
        <v>19</v>
      </c>
      <c r="E50" s="5">
        <v>34999</v>
      </c>
      <c r="F50" s="6">
        <v>399.05859800000002</v>
      </c>
      <c r="G50" s="7">
        <v>3.1180299999999999E-3</v>
      </c>
      <c r="H50" s="112"/>
    </row>
    <row r="51" spans="1:8" ht="25.5" x14ac:dyDescent="0.2">
      <c r="A51" s="3">
        <v>45</v>
      </c>
      <c r="B51" s="4" t="s">
        <v>460</v>
      </c>
      <c r="C51" s="4" t="s">
        <v>461</v>
      </c>
      <c r="D51" s="4" t="s">
        <v>973</v>
      </c>
      <c r="E51" s="5">
        <v>24000</v>
      </c>
      <c r="F51" s="6">
        <v>355.572</v>
      </c>
      <c r="G51" s="7">
        <v>2.778249E-3</v>
      </c>
      <c r="H51" s="112"/>
    </row>
    <row r="52" spans="1:8" ht="38.25" x14ac:dyDescent="0.2">
      <c r="A52" s="3">
        <v>46</v>
      </c>
      <c r="B52" s="4" t="s">
        <v>289</v>
      </c>
      <c r="C52" s="4" t="s">
        <v>290</v>
      </c>
      <c r="D52" s="4" t="s">
        <v>972</v>
      </c>
      <c r="E52" s="5">
        <v>31068</v>
      </c>
      <c r="F52" s="6">
        <v>349.51499999999999</v>
      </c>
      <c r="G52" s="7">
        <v>2.7309230000000001E-3</v>
      </c>
      <c r="H52" s="112"/>
    </row>
    <row r="53" spans="1:8" x14ac:dyDescent="0.2">
      <c r="A53" s="3">
        <v>47</v>
      </c>
      <c r="B53" s="4" t="s">
        <v>435</v>
      </c>
      <c r="C53" s="4" t="s">
        <v>436</v>
      </c>
      <c r="D53" s="4" t="s">
        <v>78</v>
      </c>
      <c r="E53" s="5">
        <v>38127</v>
      </c>
      <c r="F53" s="6">
        <v>337.13799749999998</v>
      </c>
      <c r="G53" s="7">
        <v>2.634216E-3</v>
      </c>
      <c r="H53" s="112"/>
    </row>
    <row r="54" spans="1:8" x14ac:dyDescent="0.2">
      <c r="A54" s="3">
        <v>48</v>
      </c>
      <c r="B54" s="4" t="s">
        <v>591</v>
      </c>
      <c r="C54" s="4" t="s">
        <v>592</v>
      </c>
      <c r="D54" s="4" t="s">
        <v>973</v>
      </c>
      <c r="E54" s="5">
        <v>44670</v>
      </c>
      <c r="F54" s="6">
        <v>303.95701500000001</v>
      </c>
      <c r="G54" s="7">
        <v>2.374957E-3</v>
      </c>
      <c r="H54" s="112"/>
    </row>
    <row r="55" spans="1:8" ht="25.5" x14ac:dyDescent="0.2">
      <c r="A55" s="3">
        <v>49</v>
      </c>
      <c r="B55" s="4" t="s">
        <v>447</v>
      </c>
      <c r="C55" s="70" t="s">
        <v>1030</v>
      </c>
      <c r="D55" s="40" t="s">
        <v>24</v>
      </c>
      <c r="E55" s="5">
        <v>29219</v>
      </c>
      <c r="F55" s="6">
        <v>74.710061100000004</v>
      </c>
      <c r="G55" s="7">
        <v>5.8374399999999997E-4</v>
      </c>
      <c r="H55" s="112"/>
    </row>
    <row r="56" spans="1:8" x14ac:dyDescent="0.2">
      <c r="A56" s="1"/>
      <c r="B56" s="1"/>
      <c r="C56" s="2" t="s">
        <v>97</v>
      </c>
      <c r="D56" s="1"/>
      <c r="E56" s="1" t="s">
        <v>98</v>
      </c>
      <c r="F56" s="9">
        <v>126190.25422010008</v>
      </c>
      <c r="G56" s="10">
        <v>0.98598302600000032</v>
      </c>
      <c r="H56" s="112"/>
    </row>
    <row r="57" spans="1:8" x14ac:dyDescent="0.2">
      <c r="A57" s="1"/>
      <c r="B57" s="1"/>
      <c r="C57" s="11"/>
      <c r="D57" s="1"/>
      <c r="E57" s="1"/>
      <c r="F57" s="12"/>
      <c r="G57" s="12"/>
      <c r="H57" s="112"/>
    </row>
    <row r="58" spans="1:8" x14ac:dyDescent="0.2">
      <c r="A58" s="1"/>
      <c r="B58" s="1"/>
      <c r="C58" s="2" t="s">
        <v>99</v>
      </c>
      <c r="D58" s="1"/>
      <c r="E58" s="1"/>
      <c r="F58" s="1"/>
      <c r="G58" s="1"/>
      <c r="H58" s="112"/>
    </row>
    <row r="59" spans="1:8" x14ac:dyDescent="0.2">
      <c r="A59" s="1"/>
      <c r="B59" s="1"/>
      <c r="C59" s="2" t="s">
        <v>97</v>
      </c>
      <c r="D59" s="1"/>
      <c r="E59" s="1" t="s">
        <v>98</v>
      </c>
      <c r="F59" s="13">
        <v>0</v>
      </c>
      <c r="G59" s="14">
        <v>0</v>
      </c>
      <c r="H59" s="112"/>
    </row>
    <row r="60" spans="1:8" x14ac:dyDescent="0.2">
      <c r="A60" s="1"/>
      <c r="B60" s="1"/>
      <c r="C60" s="11"/>
      <c r="D60" s="1"/>
      <c r="E60" s="1"/>
      <c r="F60" s="12"/>
      <c r="G60" s="12"/>
      <c r="H60" s="112"/>
    </row>
    <row r="61" spans="1:8" x14ac:dyDescent="0.2">
      <c r="A61" s="1"/>
      <c r="B61" s="1"/>
      <c r="C61" s="2" t="s">
        <v>100</v>
      </c>
      <c r="D61" s="1"/>
      <c r="E61" s="1"/>
      <c r="F61" s="1"/>
      <c r="G61" s="1"/>
      <c r="H61" s="112"/>
    </row>
    <row r="62" spans="1:8" x14ac:dyDescent="0.2">
      <c r="A62" s="1"/>
      <c r="B62" s="1"/>
      <c r="C62" s="2" t="s">
        <v>97</v>
      </c>
      <c r="D62" s="1"/>
      <c r="E62" s="1" t="s">
        <v>98</v>
      </c>
      <c r="F62" s="13">
        <v>0</v>
      </c>
      <c r="G62" s="14">
        <v>0</v>
      </c>
      <c r="H62" s="112"/>
    </row>
    <row r="63" spans="1:8" x14ac:dyDescent="0.2">
      <c r="A63" s="1"/>
      <c r="B63" s="1"/>
      <c r="C63" s="11"/>
      <c r="D63" s="1"/>
      <c r="E63" s="1"/>
      <c r="F63" s="12"/>
      <c r="G63" s="12"/>
      <c r="H63" s="112"/>
    </row>
    <row r="64" spans="1:8" x14ac:dyDescent="0.2">
      <c r="A64" s="1"/>
      <c r="B64" s="1"/>
      <c r="C64" s="2" t="s">
        <v>101</v>
      </c>
      <c r="D64" s="1"/>
      <c r="E64" s="1"/>
      <c r="F64" s="1"/>
      <c r="G64" s="1"/>
      <c r="H64" s="112"/>
    </row>
    <row r="65" spans="1:8" x14ac:dyDescent="0.2">
      <c r="A65" s="1"/>
      <c r="B65" s="1"/>
      <c r="C65" s="2" t="s">
        <v>97</v>
      </c>
      <c r="D65" s="1"/>
      <c r="E65" s="1" t="s">
        <v>98</v>
      </c>
      <c r="F65" s="13">
        <v>0</v>
      </c>
      <c r="G65" s="14">
        <v>0</v>
      </c>
      <c r="H65" s="112"/>
    </row>
    <row r="66" spans="1:8" x14ac:dyDescent="0.2">
      <c r="A66" s="1"/>
      <c r="B66" s="1"/>
      <c r="C66" s="11"/>
      <c r="D66" s="1"/>
      <c r="E66" s="1"/>
      <c r="F66" s="12"/>
      <c r="G66" s="12"/>
      <c r="H66" s="112"/>
    </row>
    <row r="67" spans="1:8" x14ac:dyDescent="0.2">
      <c r="A67" s="1"/>
      <c r="B67" s="1"/>
      <c r="C67" s="2" t="s">
        <v>102</v>
      </c>
      <c r="D67" s="1"/>
      <c r="E67" s="1"/>
      <c r="F67" s="12"/>
      <c r="G67" s="12"/>
      <c r="H67" s="112"/>
    </row>
    <row r="68" spans="1:8" x14ac:dyDescent="0.2">
      <c r="A68" s="1"/>
      <c r="B68" s="1"/>
      <c r="C68" s="2" t="s">
        <v>97</v>
      </c>
      <c r="D68" s="1"/>
      <c r="E68" s="1" t="s">
        <v>98</v>
      </c>
      <c r="F68" s="13">
        <v>0</v>
      </c>
      <c r="G68" s="14">
        <v>0</v>
      </c>
      <c r="H68" s="112"/>
    </row>
    <row r="69" spans="1:8" x14ac:dyDescent="0.2">
      <c r="A69" s="1"/>
      <c r="B69" s="1"/>
      <c r="C69" s="11"/>
      <c r="D69" s="1"/>
      <c r="E69" s="1"/>
      <c r="F69" s="12"/>
      <c r="G69" s="12"/>
      <c r="H69" s="112"/>
    </row>
    <row r="70" spans="1:8" x14ac:dyDescent="0.2">
      <c r="A70" s="1"/>
      <c r="B70" s="1"/>
      <c r="C70" s="2" t="s">
        <v>103</v>
      </c>
      <c r="D70" s="1"/>
      <c r="E70" s="1"/>
      <c r="F70" s="12"/>
      <c r="G70" s="12"/>
      <c r="H70" s="112"/>
    </row>
    <row r="71" spans="1:8" x14ac:dyDescent="0.2">
      <c r="A71" s="1"/>
      <c r="B71" s="1"/>
      <c r="C71" s="2" t="s">
        <v>97</v>
      </c>
      <c r="D71" s="1"/>
      <c r="E71" s="1" t="s">
        <v>98</v>
      </c>
      <c r="F71" s="13">
        <v>0</v>
      </c>
      <c r="G71" s="14">
        <v>0</v>
      </c>
      <c r="H71" s="112"/>
    </row>
    <row r="72" spans="1:8" x14ac:dyDescent="0.2">
      <c r="A72" s="1"/>
      <c r="B72" s="1"/>
      <c r="C72" s="11"/>
      <c r="D72" s="1"/>
      <c r="E72" s="1"/>
      <c r="F72" s="12"/>
      <c r="G72" s="12"/>
      <c r="H72" s="112"/>
    </row>
    <row r="73" spans="1:8" x14ac:dyDescent="0.2">
      <c r="A73" s="1"/>
      <c r="B73" s="1"/>
      <c r="C73" s="2" t="s">
        <v>104</v>
      </c>
      <c r="D73" s="1"/>
      <c r="E73" s="1"/>
      <c r="F73" s="9">
        <v>126190.2542201</v>
      </c>
      <c r="G73" s="10">
        <v>0.98598302599999998</v>
      </c>
      <c r="H73" s="112"/>
    </row>
    <row r="74" spans="1:8" x14ac:dyDescent="0.2">
      <c r="A74" s="1"/>
      <c r="B74" s="1"/>
      <c r="C74" s="11"/>
      <c r="D74" s="1"/>
      <c r="E74" s="1"/>
      <c r="F74" s="12"/>
      <c r="G74" s="12"/>
      <c r="H74" s="112"/>
    </row>
    <row r="75" spans="1:8" x14ac:dyDescent="0.2">
      <c r="A75" s="1"/>
      <c r="B75" s="1"/>
      <c r="C75" s="2" t="s">
        <v>105</v>
      </c>
      <c r="D75" s="1"/>
      <c r="E75" s="1"/>
      <c r="F75" s="12"/>
      <c r="G75" s="12"/>
      <c r="H75" s="112"/>
    </row>
    <row r="76" spans="1:8" ht="25.5" x14ac:dyDescent="0.2">
      <c r="A76" s="1"/>
      <c r="B76" s="1"/>
      <c r="C76" s="2" t="s">
        <v>10</v>
      </c>
      <c r="D76" s="1"/>
      <c r="E76" s="1"/>
      <c r="F76" s="12"/>
      <c r="G76" s="12"/>
      <c r="H76" s="112"/>
    </row>
    <row r="77" spans="1:8" x14ac:dyDescent="0.2">
      <c r="A77" s="1"/>
      <c r="B77" s="1"/>
      <c r="C77" s="2" t="s">
        <v>97</v>
      </c>
      <c r="D77" s="1"/>
      <c r="E77" s="1" t="s">
        <v>98</v>
      </c>
      <c r="F77" s="13">
        <v>0</v>
      </c>
      <c r="G77" s="14">
        <v>0</v>
      </c>
      <c r="H77" s="112"/>
    </row>
    <row r="78" spans="1:8" x14ac:dyDescent="0.2">
      <c r="A78" s="1"/>
      <c r="B78" s="1"/>
      <c r="C78" s="11"/>
      <c r="D78" s="1"/>
      <c r="E78" s="1"/>
      <c r="F78" s="12"/>
      <c r="G78" s="12"/>
      <c r="H78" s="112"/>
    </row>
    <row r="79" spans="1:8" x14ac:dyDescent="0.2">
      <c r="A79" s="1"/>
      <c r="B79" s="1"/>
      <c r="C79" s="2" t="s">
        <v>106</v>
      </c>
      <c r="D79" s="1"/>
      <c r="E79" s="1"/>
      <c r="F79" s="1"/>
      <c r="G79" s="1"/>
      <c r="H79" s="112"/>
    </row>
    <row r="80" spans="1:8" x14ac:dyDescent="0.2">
      <c r="A80" s="1"/>
      <c r="B80" s="1"/>
      <c r="C80" s="2" t="s">
        <v>97</v>
      </c>
      <c r="D80" s="1"/>
      <c r="E80" s="1" t="s">
        <v>98</v>
      </c>
      <c r="F80" s="13">
        <v>0</v>
      </c>
      <c r="G80" s="14">
        <v>0</v>
      </c>
      <c r="H80" s="112"/>
    </row>
    <row r="81" spans="1:8" x14ac:dyDescent="0.2">
      <c r="A81" s="1"/>
      <c r="B81" s="1"/>
      <c r="C81" s="11"/>
      <c r="D81" s="1"/>
      <c r="E81" s="1"/>
      <c r="F81" s="12"/>
      <c r="G81" s="12"/>
      <c r="H81" s="112"/>
    </row>
    <row r="82" spans="1:8" x14ac:dyDescent="0.2">
      <c r="A82" s="1"/>
      <c r="B82" s="1"/>
      <c r="C82" s="2" t="s">
        <v>107</v>
      </c>
      <c r="D82" s="1"/>
      <c r="E82" s="1"/>
      <c r="F82" s="1"/>
      <c r="G82" s="1"/>
      <c r="H82" s="112"/>
    </row>
    <row r="83" spans="1:8" x14ac:dyDescent="0.2">
      <c r="A83" s="1"/>
      <c r="B83" s="1"/>
      <c r="C83" s="2" t="s">
        <v>97</v>
      </c>
      <c r="D83" s="1"/>
      <c r="E83" s="1" t="s">
        <v>98</v>
      </c>
      <c r="F83" s="13">
        <v>0</v>
      </c>
      <c r="G83" s="14">
        <v>0</v>
      </c>
      <c r="H83" s="112"/>
    </row>
    <row r="84" spans="1:8" x14ac:dyDescent="0.2">
      <c r="A84" s="1"/>
      <c r="B84" s="1"/>
      <c r="C84" s="11"/>
      <c r="D84" s="1"/>
      <c r="E84" s="1"/>
      <c r="F84" s="12"/>
      <c r="G84" s="12"/>
      <c r="H84" s="112"/>
    </row>
    <row r="85" spans="1:8" x14ac:dyDescent="0.2">
      <c r="A85" s="1"/>
      <c r="B85" s="1"/>
      <c r="C85" s="2" t="s">
        <v>108</v>
      </c>
      <c r="D85" s="1"/>
      <c r="E85" s="1"/>
      <c r="F85" s="12"/>
      <c r="G85" s="12"/>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109</v>
      </c>
      <c r="D88" s="1"/>
      <c r="E88" s="1"/>
      <c r="F88" s="9">
        <v>0</v>
      </c>
      <c r="G88" s="10">
        <v>0</v>
      </c>
      <c r="H88" s="112"/>
    </row>
    <row r="89" spans="1:8" x14ac:dyDescent="0.2">
      <c r="A89" s="1"/>
      <c r="B89" s="1"/>
      <c r="C89" s="11"/>
      <c r="D89" s="1"/>
      <c r="E89" s="1"/>
      <c r="F89" s="12"/>
      <c r="G89" s="12"/>
      <c r="H89" s="112"/>
    </row>
    <row r="90" spans="1:8" x14ac:dyDescent="0.2">
      <c r="A90" s="1"/>
      <c r="B90" s="1"/>
      <c r="C90" s="2" t="s">
        <v>110</v>
      </c>
      <c r="D90" s="1"/>
      <c r="E90" s="1"/>
      <c r="F90" s="12"/>
      <c r="G90" s="12"/>
      <c r="H90" s="112"/>
    </row>
    <row r="91" spans="1:8" x14ac:dyDescent="0.2">
      <c r="A91" s="1"/>
      <c r="B91" s="1"/>
      <c r="C91" s="2" t="s">
        <v>111</v>
      </c>
      <c r="D91" s="1"/>
      <c r="E91" s="1"/>
      <c r="F91" s="12"/>
      <c r="G91" s="12"/>
      <c r="H91" s="112"/>
    </row>
    <row r="92" spans="1:8" x14ac:dyDescent="0.2">
      <c r="A92" s="1"/>
      <c r="B92" s="1"/>
      <c r="C92" s="2" t="s">
        <v>97</v>
      </c>
      <c r="D92" s="1"/>
      <c r="E92" s="1" t="s">
        <v>98</v>
      </c>
      <c r="F92" s="13">
        <v>0</v>
      </c>
      <c r="G92" s="14">
        <v>0</v>
      </c>
      <c r="H92" s="112"/>
    </row>
    <row r="93" spans="1:8" x14ac:dyDescent="0.2">
      <c r="A93" s="1"/>
      <c r="B93" s="1"/>
      <c r="C93" s="11"/>
      <c r="D93" s="1"/>
      <c r="E93" s="1"/>
      <c r="F93" s="12"/>
      <c r="G93" s="12"/>
      <c r="H93" s="112"/>
    </row>
    <row r="94" spans="1:8" x14ac:dyDescent="0.2">
      <c r="A94" s="1"/>
      <c r="B94" s="1"/>
      <c r="C94" s="2" t="s">
        <v>112</v>
      </c>
      <c r="D94" s="1"/>
      <c r="E94" s="1"/>
      <c r="F94" s="12"/>
      <c r="G94" s="12"/>
      <c r="H94" s="112"/>
    </row>
    <row r="95" spans="1:8" x14ac:dyDescent="0.2">
      <c r="A95" s="1"/>
      <c r="B95" s="1"/>
      <c r="C95" s="2" t="s">
        <v>97</v>
      </c>
      <c r="D95" s="1"/>
      <c r="E95" s="1" t="s">
        <v>98</v>
      </c>
      <c r="F95" s="13">
        <v>0</v>
      </c>
      <c r="G95" s="14">
        <v>0</v>
      </c>
      <c r="H95" s="112"/>
    </row>
    <row r="96" spans="1:8" x14ac:dyDescent="0.2">
      <c r="A96" s="1"/>
      <c r="B96" s="1"/>
      <c r="C96" s="11"/>
      <c r="D96" s="1"/>
      <c r="E96" s="1"/>
      <c r="F96" s="12"/>
      <c r="G96" s="12"/>
      <c r="H96" s="112"/>
    </row>
    <row r="97" spans="1:8" x14ac:dyDescent="0.2">
      <c r="A97" s="1"/>
      <c r="B97" s="1"/>
      <c r="C97" s="2" t="s">
        <v>113</v>
      </c>
      <c r="D97" s="1"/>
      <c r="E97" s="1"/>
      <c r="F97" s="12"/>
      <c r="G97" s="12"/>
      <c r="H97" s="112"/>
    </row>
    <row r="98" spans="1:8" x14ac:dyDescent="0.2">
      <c r="A98" s="1"/>
      <c r="B98" s="1"/>
      <c r="C98" s="2" t="s">
        <v>97</v>
      </c>
      <c r="D98" s="1"/>
      <c r="E98" s="1" t="s">
        <v>98</v>
      </c>
      <c r="F98" s="13">
        <v>0</v>
      </c>
      <c r="G98" s="14">
        <v>0</v>
      </c>
      <c r="H98" s="112"/>
    </row>
    <row r="99" spans="1:8" x14ac:dyDescent="0.2">
      <c r="A99" s="1"/>
      <c r="B99" s="1"/>
      <c r="C99" s="11"/>
      <c r="D99" s="1"/>
      <c r="E99" s="1"/>
      <c r="F99" s="12"/>
      <c r="G99" s="12"/>
      <c r="H99" s="112"/>
    </row>
    <row r="100" spans="1:8" x14ac:dyDescent="0.2">
      <c r="A100" s="1"/>
      <c r="B100" s="1"/>
      <c r="C100" s="2" t="s">
        <v>114</v>
      </c>
      <c r="D100" s="1"/>
      <c r="E100" s="1"/>
      <c r="F100" s="12"/>
      <c r="G100" s="12"/>
      <c r="H100" s="112"/>
    </row>
    <row r="101" spans="1:8" x14ac:dyDescent="0.2">
      <c r="A101" s="3">
        <v>1</v>
      </c>
      <c r="B101" s="4"/>
      <c r="C101" s="4" t="s">
        <v>115</v>
      </c>
      <c r="D101" s="4"/>
      <c r="E101" s="8"/>
      <c r="F101" s="6">
        <v>202.28986169294336</v>
      </c>
      <c r="G101" s="7">
        <v>1.580585E-3</v>
      </c>
      <c r="H101" s="6">
        <v>3.3211324282253978</v>
      </c>
    </row>
    <row r="102" spans="1:8" x14ac:dyDescent="0.2">
      <c r="A102" s="3">
        <v>2</v>
      </c>
      <c r="B102" s="4"/>
      <c r="C102" s="4" t="s">
        <v>116</v>
      </c>
      <c r="D102" s="4"/>
      <c r="E102" s="8"/>
      <c r="F102" s="6">
        <v>79.464198960012993</v>
      </c>
      <c r="G102" s="7">
        <v>6.3476899999999998E-4</v>
      </c>
      <c r="H102" s="6">
        <v>3.35</v>
      </c>
    </row>
    <row r="103" spans="1:8" x14ac:dyDescent="0.2">
      <c r="A103" s="1"/>
      <c r="B103" s="1"/>
      <c r="C103" s="2" t="s">
        <v>97</v>
      </c>
      <c r="D103" s="1"/>
      <c r="E103" s="1" t="s">
        <v>98</v>
      </c>
      <c r="F103" s="9">
        <v>281.75406065295635</v>
      </c>
      <c r="G103" s="10">
        <v>2.2153540000000001E-3</v>
      </c>
      <c r="H103" s="112"/>
    </row>
    <row r="104" spans="1:8" x14ac:dyDescent="0.2">
      <c r="A104" s="1"/>
      <c r="B104" s="1"/>
      <c r="C104" s="11"/>
      <c r="D104" s="1"/>
      <c r="E104" s="1"/>
      <c r="F104" s="12"/>
      <c r="G104" s="12"/>
      <c r="H104" s="112"/>
    </row>
    <row r="105" spans="1:8" x14ac:dyDescent="0.2">
      <c r="A105" s="1"/>
      <c r="B105" s="1"/>
      <c r="C105" s="2" t="s">
        <v>117</v>
      </c>
      <c r="D105" s="1"/>
      <c r="E105" s="1"/>
      <c r="F105" s="9">
        <v>281.75406065295635</v>
      </c>
      <c r="G105" s="10">
        <v>2.2153540000000001E-3</v>
      </c>
      <c r="H105" s="112"/>
    </row>
    <row r="106" spans="1:8" x14ac:dyDescent="0.2">
      <c r="A106" s="1"/>
      <c r="B106" s="1"/>
      <c r="C106" s="12"/>
      <c r="D106" s="1"/>
      <c r="E106" s="1"/>
      <c r="F106" s="1"/>
      <c r="G106" s="1"/>
      <c r="H106" s="112"/>
    </row>
    <row r="107" spans="1:8" x14ac:dyDescent="0.2">
      <c r="A107" s="1"/>
      <c r="B107" s="1"/>
      <c r="C107" s="2" t="s">
        <v>118</v>
      </c>
      <c r="D107" s="1"/>
      <c r="E107" s="1"/>
      <c r="F107" s="1"/>
      <c r="G107" s="1"/>
      <c r="H107" s="112"/>
    </row>
    <row r="108" spans="1:8" x14ac:dyDescent="0.2">
      <c r="A108" s="1"/>
      <c r="B108" s="1"/>
      <c r="C108" s="2" t="s">
        <v>119</v>
      </c>
      <c r="D108" s="1"/>
      <c r="E108" s="1"/>
      <c r="F108" s="1"/>
      <c r="G108" s="1"/>
      <c r="H108" s="112"/>
    </row>
    <row r="109" spans="1:8" x14ac:dyDescent="0.2">
      <c r="A109" s="1"/>
      <c r="B109" s="1"/>
      <c r="C109" s="2" t="s">
        <v>97</v>
      </c>
      <c r="D109" s="1"/>
      <c r="E109" s="1" t="s">
        <v>98</v>
      </c>
      <c r="F109" s="13">
        <v>0</v>
      </c>
      <c r="G109" s="14">
        <v>0</v>
      </c>
      <c r="H109" s="112"/>
    </row>
    <row r="110" spans="1:8" x14ac:dyDescent="0.2">
      <c r="A110" s="1"/>
      <c r="B110" s="1"/>
      <c r="C110" s="11"/>
      <c r="D110" s="1"/>
      <c r="E110" s="1"/>
      <c r="F110" s="12"/>
      <c r="G110" s="12"/>
      <c r="H110" s="112"/>
    </row>
    <row r="111" spans="1:8" x14ac:dyDescent="0.2">
      <c r="A111" s="1"/>
      <c r="B111" s="1"/>
      <c r="C111" s="2" t="s">
        <v>120</v>
      </c>
      <c r="D111" s="1"/>
      <c r="E111" s="1"/>
      <c r="F111" s="1"/>
      <c r="G111" s="1"/>
      <c r="H111" s="112"/>
    </row>
    <row r="112" spans="1:8" x14ac:dyDescent="0.2">
      <c r="A112" s="1"/>
      <c r="B112" s="1"/>
      <c r="C112" s="2" t="s">
        <v>121</v>
      </c>
      <c r="D112" s="1"/>
      <c r="E112" s="1"/>
      <c r="F112" s="1"/>
      <c r="G112" s="1"/>
      <c r="H112" s="112"/>
    </row>
    <row r="113" spans="1:8" x14ac:dyDescent="0.2">
      <c r="A113" s="1"/>
      <c r="B113" s="1"/>
      <c r="C113" s="2" t="s">
        <v>97</v>
      </c>
      <c r="D113" s="1"/>
      <c r="E113" s="1" t="s">
        <v>98</v>
      </c>
      <c r="F113" s="13">
        <v>0</v>
      </c>
      <c r="G113" s="14">
        <v>0</v>
      </c>
      <c r="H113" s="112"/>
    </row>
    <row r="114" spans="1:8" x14ac:dyDescent="0.2">
      <c r="A114" s="1"/>
      <c r="B114" s="1"/>
      <c r="C114" s="11"/>
      <c r="D114" s="1"/>
      <c r="E114" s="1"/>
      <c r="F114" s="12"/>
      <c r="G114" s="12"/>
      <c r="H114" s="112"/>
    </row>
    <row r="115" spans="1:8" x14ac:dyDescent="0.2">
      <c r="A115" s="1"/>
      <c r="B115" s="1"/>
      <c r="C115" s="11"/>
      <c r="D115" s="1"/>
      <c r="E115" s="1"/>
      <c r="F115" s="12"/>
      <c r="G115" s="12"/>
      <c r="H115" s="112"/>
    </row>
    <row r="116" spans="1:8" ht="25.5" x14ac:dyDescent="0.2">
      <c r="A116" s="1"/>
      <c r="B116" s="1"/>
      <c r="C116" s="2" t="s">
        <v>122</v>
      </c>
      <c r="D116" s="1"/>
      <c r="E116" s="1"/>
      <c r="F116" s="12"/>
      <c r="G116" s="12"/>
      <c r="H116" s="112"/>
    </row>
    <row r="117" spans="1:8" ht="25.5" x14ac:dyDescent="0.2">
      <c r="A117" s="3">
        <v>1</v>
      </c>
      <c r="B117" s="4"/>
      <c r="C117" s="4" t="s">
        <v>285</v>
      </c>
      <c r="D117" s="4"/>
      <c r="E117" s="8"/>
      <c r="F117" s="6">
        <v>267.98099999999999</v>
      </c>
      <c r="G117" s="7">
        <v>2.0938599999999999E-3</v>
      </c>
      <c r="H117" s="112"/>
    </row>
    <row r="118" spans="1:8" x14ac:dyDescent="0.2">
      <c r="A118" s="1"/>
      <c r="B118" s="1"/>
      <c r="C118" s="2" t="s">
        <v>97</v>
      </c>
      <c r="D118" s="1"/>
      <c r="E118" s="1" t="s">
        <v>98</v>
      </c>
      <c r="F118" s="9">
        <v>267.98099999999999</v>
      </c>
      <c r="G118" s="10">
        <v>2.0938599999999999E-3</v>
      </c>
      <c r="H118" s="112"/>
    </row>
    <row r="119" spans="1:8" x14ac:dyDescent="0.2">
      <c r="A119" s="1"/>
      <c r="B119" s="1"/>
      <c r="C119" s="11"/>
      <c r="D119" s="1"/>
      <c r="E119" s="1"/>
      <c r="F119" s="12"/>
      <c r="G119" s="12"/>
      <c r="H119" s="112"/>
    </row>
    <row r="120" spans="1:8" x14ac:dyDescent="0.2">
      <c r="A120" s="1"/>
      <c r="B120" s="4"/>
      <c r="C120" s="4"/>
      <c r="D120" s="2"/>
      <c r="E120" s="1"/>
      <c r="F120" s="4"/>
      <c r="G120" s="8"/>
      <c r="H120" s="112"/>
    </row>
    <row r="121" spans="1:8" x14ac:dyDescent="0.2">
      <c r="A121" s="8"/>
      <c r="B121" s="4"/>
      <c r="C121" s="4" t="s">
        <v>123</v>
      </c>
      <c r="D121" s="4"/>
      <c r="E121" s="8"/>
      <c r="F121" s="6">
        <v>1244.21574965999</v>
      </c>
      <c r="G121" s="7">
        <v>9.7077559999999997E-3</v>
      </c>
      <c r="H121" s="112"/>
    </row>
    <row r="122" spans="1:8" x14ac:dyDescent="0.2">
      <c r="A122" s="11"/>
      <c r="B122" s="11"/>
      <c r="C122" s="2" t="s">
        <v>124</v>
      </c>
      <c r="D122" s="15"/>
      <c r="E122" s="15"/>
      <c r="F122" s="9">
        <v>127984.20503041295</v>
      </c>
      <c r="G122" s="10">
        <v>0.999999996</v>
      </c>
      <c r="H122" s="112"/>
    </row>
    <row r="123" spans="1:8" ht="14.1" customHeight="1" x14ac:dyDescent="0.2">
      <c r="A123" s="16"/>
      <c r="B123" s="16"/>
      <c r="C123" s="16"/>
      <c r="D123" s="17"/>
      <c r="E123" s="17"/>
      <c r="F123" s="77"/>
      <c r="G123" s="77"/>
    </row>
    <row r="124" spans="1:8" ht="14.1" customHeight="1" x14ac:dyDescent="0.2">
      <c r="A124" s="18"/>
      <c r="B124" s="205" t="s">
        <v>98</v>
      </c>
      <c r="C124" s="205"/>
      <c r="D124" s="205"/>
      <c r="E124" s="205"/>
      <c r="F124" s="205"/>
      <c r="G124" s="20"/>
    </row>
    <row r="125" spans="1:8" ht="14.1" customHeight="1" x14ac:dyDescent="0.2">
      <c r="A125" s="18"/>
      <c r="B125" s="205" t="s">
        <v>98</v>
      </c>
      <c r="C125" s="205"/>
      <c r="D125" s="205"/>
      <c r="E125" s="205"/>
      <c r="F125" s="205"/>
      <c r="G125" s="20"/>
    </row>
    <row r="126" spans="1:8" ht="14.1" customHeight="1" x14ac:dyDescent="0.2">
      <c r="A126" s="18"/>
      <c r="B126" s="18"/>
      <c r="C126" s="18"/>
      <c r="D126" s="20"/>
      <c r="E126" s="20"/>
      <c r="F126" s="20"/>
      <c r="G126" s="20"/>
    </row>
    <row r="127" spans="1:8" ht="14.1" customHeight="1" x14ac:dyDescent="0.2">
      <c r="A127" s="18"/>
      <c r="B127" s="203" t="s">
        <v>126</v>
      </c>
      <c r="C127" s="204"/>
      <c r="D127" s="12" t="s">
        <v>98</v>
      </c>
      <c r="E127" s="21"/>
      <c r="F127" s="20"/>
      <c r="G127" s="20"/>
    </row>
    <row r="128" spans="1:8" ht="29.1" customHeight="1" x14ac:dyDescent="0.2">
      <c r="A128" s="18"/>
      <c r="B128" s="198" t="s">
        <v>127</v>
      </c>
      <c r="C128" s="199"/>
      <c r="D128" s="2" t="s">
        <v>128</v>
      </c>
      <c r="E128" s="21"/>
      <c r="F128" s="20"/>
      <c r="G128" s="20"/>
    </row>
    <row r="129" spans="1:15" ht="17.100000000000001" customHeight="1" x14ac:dyDescent="0.2">
      <c r="A129" s="18"/>
      <c r="B129" s="198" t="s">
        <v>129</v>
      </c>
      <c r="C129" s="199"/>
      <c r="D129" s="2" t="s">
        <v>128</v>
      </c>
      <c r="E129" s="21"/>
      <c r="F129" s="20"/>
      <c r="G129" s="20"/>
    </row>
    <row r="130" spans="1:15" ht="17.100000000000001" customHeight="1" x14ac:dyDescent="0.2">
      <c r="A130" s="18"/>
      <c r="B130" s="198" t="s">
        <v>130</v>
      </c>
      <c r="C130" s="199"/>
      <c r="D130" s="12" t="s">
        <v>98</v>
      </c>
      <c r="E130" s="21"/>
      <c r="F130" s="20"/>
      <c r="G130" s="20"/>
    </row>
    <row r="131" spans="1:15" ht="24" customHeight="1" x14ac:dyDescent="0.2">
      <c r="A131" s="22"/>
      <c r="B131" s="23" t="s">
        <v>98</v>
      </c>
      <c r="C131" s="23" t="s">
        <v>131</v>
      </c>
      <c r="D131" s="23" t="s">
        <v>132</v>
      </c>
      <c r="E131" s="22"/>
      <c r="F131" s="22"/>
      <c r="G131" s="22"/>
    </row>
    <row r="132" spans="1:15" ht="18" customHeight="1" x14ac:dyDescent="0.2">
      <c r="A132" s="22"/>
      <c r="B132" s="23" t="s">
        <v>133</v>
      </c>
      <c r="C132" s="23" t="s">
        <v>134</v>
      </c>
      <c r="D132" s="23" t="s">
        <v>135</v>
      </c>
      <c r="E132" s="22"/>
      <c r="F132" s="22"/>
      <c r="G132" s="22"/>
    </row>
    <row r="133" spans="1:15" ht="17.100000000000001" customHeight="1" x14ac:dyDescent="0.2">
      <c r="A133" s="22"/>
      <c r="B133" s="4" t="s">
        <v>136</v>
      </c>
      <c r="C133" s="24">
        <v>15.232100000000001</v>
      </c>
      <c r="D133" s="24">
        <v>15.2948</v>
      </c>
      <c r="E133" s="22"/>
      <c r="F133" s="19"/>
      <c r="G133" s="25"/>
    </row>
    <row r="134" spans="1:15" ht="17.100000000000001" customHeight="1" x14ac:dyDescent="0.2">
      <c r="A134" s="22"/>
      <c r="B134" s="4" t="s">
        <v>980</v>
      </c>
      <c r="C134" s="24">
        <v>15.230499999999999</v>
      </c>
      <c r="D134" s="24">
        <v>14.764200000000001</v>
      </c>
      <c r="E134" s="22"/>
      <c r="F134" s="19"/>
      <c r="G134" s="25"/>
    </row>
    <row r="135" spans="1:15" ht="17.100000000000001" customHeight="1" x14ac:dyDescent="0.2">
      <c r="A135" s="22"/>
      <c r="B135" s="4" t="s">
        <v>137</v>
      </c>
      <c r="C135" s="24">
        <v>14.9412</v>
      </c>
      <c r="D135" s="24">
        <v>14.9778</v>
      </c>
      <c r="E135" s="22"/>
      <c r="F135" s="19"/>
      <c r="G135" s="25"/>
    </row>
    <row r="136" spans="1:15" ht="17.100000000000001" customHeight="1" x14ac:dyDescent="0.2">
      <c r="A136" s="22"/>
      <c r="B136" s="4" t="s">
        <v>981</v>
      </c>
      <c r="C136" s="24">
        <v>14.940899999999999</v>
      </c>
      <c r="D136" s="24">
        <v>14.4602</v>
      </c>
      <c r="E136" s="22"/>
      <c r="F136" s="19"/>
      <c r="G136" s="25"/>
    </row>
    <row r="137" spans="1:15" ht="14.1" customHeight="1" x14ac:dyDescent="0.2">
      <c r="A137" s="22"/>
      <c r="B137" s="22"/>
      <c r="C137" s="22"/>
      <c r="D137" s="22"/>
      <c r="E137" s="22"/>
      <c r="F137" s="22"/>
      <c r="G137" s="22"/>
      <c r="I137" s="113"/>
      <c r="J137" s="113"/>
      <c r="K137" s="113"/>
      <c r="L137" s="113"/>
      <c r="M137" s="113"/>
      <c r="N137" s="113"/>
      <c r="O137" s="113"/>
    </row>
    <row r="138" spans="1:15" ht="17.100000000000001" customHeight="1" x14ac:dyDescent="0.2">
      <c r="A138" s="22"/>
      <c r="B138" s="210" t="s">
        <v>982</v>
      </c>
      <c r="C138" s="211"/>
      <c r="D138" s="38" t="s">
        <v>98</v>
      </c>
      <c r="E138" s="22"/>
      <c r="F138" s="22"/>
      <c r="G138" s="22"/>
    </row>
    <row r="139" spans="1:15" s="36" customFormat="1" ht="18" customHeight="1" x14ac:dyDescent="0.2">
      <c r="A139" s="56"/>
      <c r="B139" s="65" t="s">
        <v>133</v>
      </c>
      <c r="C139" s="66" t="s">
        <v>869</v>
      </c>
      <c r="D139" s="66" t="s">
        <v>870</v>
      </c>
      <c r="E139" s="56"/>
      <c r="F139" s="56"/>
      <c r="G139" s="56"/>
      <c r="I139"/>
      <c r="J139"/>
      <c r="K139"/>
      <c r="L139"/>
      <c r="M139"/>
      <c r="N139"/>
      <c r="O139"/>
    </row>
    <row r="140" spans="1:15" ht="17.100000000000001" customHeight="1" x14ac:dyDescent="0.2">
      <c r="A140" s="22"/>
      <c r="B140" s="40" t="s">
        <v>980</v>
      </c>
      <c r="C140" s="67">
        <v>0.53500000000000003</v>
      </c>
      <c r="D140" s="67" t="s">
        <v>935</v>
      </c>
      <c r="E140" s="22"/>
      <c r="F140" s="19"/>
      <c r="G140" s="25"/>
    </row>
    <row r="141" spans="1:15" ht="17.100000000000001" customHeight="1" x14ac:dyDescent="0.2">
      <c r="A141" s="22"/>
      <c r="B141" s="40" t="s">
        <v>981</v>
      </c>
      <c r="C141" s="67">
        <v>0.52400000000000002</v>
      </c>
      <c r="D141" s="67">
        <v>0.52400000000000002</v>
      </c>
      <c r="E141" s="22"/>
      <c r="F141" s="19"/>
      <c r="G141" s="25"/>
    </row>
    <row r="142" spans="1:15" ht="17.100000000000001" customHeight="1" x14ac:dyDescent="0.2">
      <c r="A142" s="22"/>
      <c r="B142" s="114"/>
      <c r="C142" s="115"/>
      <c r="D142" s="115"/>
      <c r="E142" s="22"/>
      <c r="F142" s="110"/>
      <c r="G142" s="25"/>
    </row>
    <row r="143" spans="1:15" s="113" customFormat="1" x14ac:dyDescent="0.2">
      <c r="B143" s="202" t="s">
        <v>984</v>
      </c>
      <c r="C143" s="202"/>
      <c r="D143" s="202"/>
      <c r="E143" s="202"/>
      <c r="F143" s="202"/>
      <c r="I143"/>
      <c r="J143"/>
      <c r="K143"/>
      <c r="L143"/>
      <c r="M143"/>
      <c r="N143"/>
      <c r="O143"/>
    </row>
    <row r="144" spans="1:15" ht="14.1" customHeight="1" x14ac:dyDescent="0.2">
      <c r="A144" s="22"/>
      <c r="B144" s="19"/>
      <c r="C144" s="19"/>
      <c r="D144" s="22"/>
      <c r="E144" s="22"/>
      <c r="F144" s="22"/>
      <c r="G144" s="22"/>
    </row>
    <row r="145" spans="1:7" ht="29.1" customHeight="1" x14ac:dyDescent="0.2">
      <c r="A145" s="22"/>
      <c r="B145" s="198" t="s">
        <v>138</v>
      </c>
      <c r="C145" s="199"/>
      <c r="D145" s="2" t="s">
        <v>128</v>
      </c>
      <c r="E145" s="22"/>
      <c r="F145" s="22"/>
      <c r="G145" s="22"/>
    </row>
    <row r="146" spans="1:7" ht="29.1" customHeight="1" x14ac:dyDescent="0.2">
      <c r="A146" s="22"/>
      <c r="B146" s="198" t="s">
        <v>139</v>
      </c>
      <c r="C146" s="199"/>
      <c r="D146" s="2" t="s">
        <v>128</v>
      </c>
      <c r="E146" s="22"/>
      <c r="F146" s="22"/>
      <c r="G146" s="22"/>
    </row>
    <row r="147" spans="1:7" ht="17.100000000000001" customHeight="1" x14ac:dyDescent="0.2">
      <c r="A147" s="22"/>
      <c r="B147" s="198" t="s">
        <v>140</v>
      </c>
      <c r="C147" s="199"/>
      <c r="D147" s="28">
        <v>0.73853597748073774</v>
      </c>
      <c r="E147" s="22"/>
      <c r="F147" s="19"/>
      <c r="G147" s="25"/>
    </row>
    <row r="148" spans="1:7" ht="17.100000000000001" customHeight="1" x14ac:dyDescent="0.2">
      <c r="A148" s="22"/>
      <c r="B148" s="198" t="s">
        <v>141</v>
      </c>
      <c r="C148" s="199"/>
      <c r="D148" s="2" t="s">
        <v>128</v>
      </c>
      <c r="E148" s="22"/>
      <c r="F148" s="22"/>
      <c r="G148" s="22"/>
    </row>
  </sheetData>
  <mergeCells count="16">
    <mergeCell ref="B148:C148"/>
    <mergeCell ref="B128:C128"/>
    <mergeCell ref="B129:C129"/>
    <mergeCell ref="B130:C130"/>
    <mergeCell ref="B138:C138"/>
    <mergeCell ref="B145:C145"/>
    <mergeCell ref="B146:C146"/>
    <mergeCell ref="B143:F143"/>
    <mergeCell ref="A1:H1"/>
    <mergeCell ref="A2:H2"/>
    <mergeCell ref="A3:H3"/>
    <mergeCell ref="J2:N2"/>
    <mergeCell ref="B147:C147"/>
    <mergeCell ref="B127:C127"/>
    <mergeCell ref="B124:F124"/>
    <mergeCell ref="B125:F125"/>
  </mergeCells>
  <pageMargins left="5.000000074505806E-2" right="5.000000074505806E-2" top="0.30000001192092896" bottom="0.20000000298023224" header="0" footer="0"/>
  <pageSetup paperSize="9" orientation="landscape"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O158"/>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699</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14</v>
      </c>
      <c r="C7" s="4" t="s">
        <v>15</v>
      </c>
      <c r="D7" s="4" t="s">
        <v>16</v>
      </c>
      <c r="E7" s="5">
        <v>148853</v>
      </c>
      <c r="F7" s="6">
        <v>3775.2842125000002</v>
      </c>
      <c r="G7" s="7">
        <v>4.4552824999999997E-2</v>
      </c>
      <c r="H7" s="112"/>
    </row>
    <row r="8" spans="1:14" x14ac:dyDescent="0.2">
      <c r="A8" s="3">
        <v>2</v>
      </c>
      <c r="B8" s="4" t="s">
        <v>17</v>
      </c>
      <c r="C8" s="4" t="s">
        <v>18</v>
      </c>
      <c r="D8" s="4" t="s">
        <v>19</v>
      </c>
      <c r="E8" s="5">
        <v>377738</v>
      </c>
      <c r="F8" s="6">
        <v>3029.6476290000001</v>
      </c>
      <c r="G8" s="7">
        <v>3.5753430000000003E-2</v>
      </c>
      <c r="H8" s="112"/>
    </row>
    <row r="9" spans="1:14" x14ac:dyDescent="0.2">
      <c r="A9" s="3">
        <v>3</v>
      </c>
      <c r="B9" s="4" t="s">
        <v>412</v>
      </c>
      <c r="C9" s="4" t="s">
        <v>413</v>
      </c>
      <c r="D9" s="4" t="s">
        <v>19</v>
      </c>
      <c r="E9" s="5">
        <v>186608</v>
      </c>
      <c r="F9" s="6">
        <v>2953.7247280000001</v>
      </c>
      <c r="G9" s="7">
        <v>3.4857449999999998E-2</v>
      </c>
      <c r="H9" s="112"/>
    </row>
    <row r="10" spans="1:14" x14ac:dyDescent="0.2">
      <c r="A10" s="3">
        <v>4</v>
      </c>
      <c r="B10" s="4" t="s">
        <v>414</v>
      </c>
      <c r="C10" s="4" t="s">
        <v>415</v>
      </c>
      <c r="D10" s="4" t="s">
        <v>162</v>
      </c>
      <c r="E10" s="5">
        <v>172983</v>
      </c>
      <c r="F10" s="6">
        <v>2884.9239825</v>
      </c>
      <c r="G10" s="7">
        <v>3.4045519000000003E-2</v>
      </c>
      <c r="H10" s="112"/>
    </row>
    <row r="11" spans="1:14" x14ac:dyDescent="0.2">
      <c r="A11" s="3">
        <v>5</v>
      </c>
      <c r="B11" s="4" t="s">
        <v>302</v>
      </c>
      <c r="C11" s="4" t="s">
        <v>303</v>
      </c>
      <c r="D11" s="4" t="s">
        <v>162</v>
      </c>
      <c r="E11" s="5">
        <v>59873</v>
      </c>
      <c r="F11" s="6">
        <v>2689.7346520000001</v>
      </c>
      <c r="G11" s="7">
        <v>3.1742053999999999E-2</v>
      </c>
      <c r="H11" s="112"/>
    </row>
    <row r="12" spans="1:14" ht="25.5" x14ac:dyDescent="0.2">
      <c r="A12" s="3">
        <v>6</v>
      </c>
      <c r="B12" s="4" t="s">
        <v>416</v>
      </c>
      <c r="C12" s="4" t="s">
        <v>417</v>
      </c>
      <c r="D12" s="4" t="s">
        <v>81</v>
      </c>
      <c r="E12" s="5">
        <v>94000</v>
      </c>
      <c r="F12" s="6">
        <v>2674.018</v>
      </c>
      <c r="G12" s="7">
        <v>3.1556579000000001E-2</v>
      </c>
      <c r="H12" s="112"/>
    </row>
    <row r="13" spans="1:14" x14ac:dyDescent="0.2">
      <c r="A13" s="3">
        <v>7</v>
      </c>
      <c r="B13" s="4" t="s">
        <v>322</v>
      </c>
      <c r="C13" s="4" t="s">
        <v>323</v>
      </c>
      <c r="D13" s="4" t="s">
        <v>19</v>
      </c>
      <c r="E13" s="5">
        <v>326936</v>
      </c>
      <c r="F13" s="6">
        <v>2425.8651199999999</v>
      </c>
      <c r="G13" s="7">
        <v>2.8628081E-2</v>
      </c>
      <c r="H13" s="112"/>
    </row>
    <row r="14" spans="1:14" ht="25.5" x14ac:dyDescent="0.2">
      <c r="A14" s="3">
        <v>8</v>
      </c>
      <c r="B14" s="4" t="s">
        <v>509</v>
      </c>
      <c r="C14" s="4" t="s">
        <v>510</v>
      </c>
      <c r="D14" s="4" t="s">
        <v>971</v>
      </c>
      <c r="E14" s="5">
        <v>139340</v>
      </c>
      <c r="F14" s="6">
        <v>2129.5332199999998</v>
      </c>
      <c r="G14" s="7">
        <v>2.5131014E-2</v>
      </c>
      <c r="H14" s="112"/>
    </row>
    <row r="15" spans="1:14" ht="15" x14ac:dyDescent="0.2">
      <c r="A15" s="3">
        <v>9</v>
      </c>
      <c r="B15" s="4" t="s">
        <v>418</v>
      </c>
      <c r="C15" s="4" t="s">
        <v>419</v>
      </c>
      <c r="D15" s="4" t="s">
        <v>19</v>
      </c>
      <c r="E15" s="5">
        <v>416666</v>
      </c>
      <c r="F15" s="6">
        <v>2092.2883189999998</v>
      </c>
      <c r="G15" s="7">
        <v>2.4691479999999998E-2</v>
      </c>
      <c r="H15" s="112"/>
      <c r="J15" s="188" t="s">
        <v>1026</v>
      </c>
    </row>
    <row r="16" spans="1:14" x14ac:dyDescent="0.2">
      <c r="A16" s="3">
        <v>10</v>
      </c>
      <c r="B16" s="4" t="s">
        <v>22</v>
      </c>
      <c r="C16" s="4" t="s">
        <v>23</v>
      </c>
      <c r="D16" s="4" t="s">
        <v>24</v>
      </c>
      <c r="E16" s="5">
        <v>301200</v>
      </c>
      <c r="F16" s="6">
        <v>2064.2741999999998</v>
      </c>
      <c r="G16" s="7">
        <v>2.4360880000000001E-2</v>
      </c>
      <c r="H16" s="112"/>
    </row>
    <row r="17" spans="1:8" x14ac:dyDescent="0.2">
      <c r="A17" s="3">
        <v>11</v>
      </c>
      <c r="B17" s="4" t="s">
        <v>145</v>
      </c>
      <c r="C17" s="4" t="s">
        <v>146</v>
      </c>
      <c r="D17" s="4" t="s">
        <v>147</v>
      </c>
      <c r="E17" s="5">
        <v>58563</v>
      </c>
      <c r="F17" s="6">
        <v>1955.067192</v>
      </c>
      <c r="G17" s="7">
        <v>2.3072108000000001E-2</v>
      </c>
      <c r="H17" s="112"/>
    </row>
    <row r="18" spans="1:8" x14ac:dyDescent="0.2">
      <c r="A18" s="3">
        <v>12</v>
      </c>
      <c r="B18" s="4" t="s">
        <v>450</v>
      </c>
      <c r="C18" s="4" t="s">
        <v>451</v>
      </c>
      <c r="D18" s="4" t="s">
        <v>81</v>
      </c>
      <c r="E18" s="5">
        <v>265000</v>
      </c>
      <c r="F18" s="6">
        <v>1856.1925000000001</v>
      </c>
      <c r="G18" s="7">
        <v>2.1905270000000001E-2</v>
      </c>
      <c r="H18" s="112"/>
    </row>
    <row r="19" spans="1:8" x14ac:dyDescent="0.2">
      <c r="A19" s="3">
        <v>13</v>
      </c>
      <c r="B19" s="4" t="s">
        <v>205</v>
      </c>
      <c r="C19" s="4" t="s">
        <v>206</v>
      </c>
      <c r="D19" s="4" t="s">
        <v>975</v>
      </c>
      <c r="E19" s="5">
        <v>210048</v>
      </c>
      <c r="F19" s="6">
        <v>1819.7508479999999</v>
      </c>
      <c r="G19" s="7">
        <v>2.1475214999999999E-2</v>
      </c>
      <c r="H19" s="112"/>
    </row>
    <row r="20" spans="1:8" x14ac:dyDescent="0.2">
      <c r="A20" s="3">
        <v>14</v>
      </c>
      <c r="B20" s="4" t="s">
        <v>386</v>
      </c>
      <c r="C20" s="4" t="s">
        <v>387</v>
      </c>
      <c r="D20" s="4" t="s">
        <v>973</v>
      </c>
      <c r="E20" s="5">
        <v>9583</v>
      </c>
      <c r="F20" s="6">
        <v>1707.8008044999999</v>
      </c>
      <c r="G20" s="7">
        <v>2.0154071999999999E-2</v>
      </c>
      <c r="H20" s="112"/>
    </row>
    <row r="21" spans="1:8" x14ac:dyDescent="0.2">
      <c r="A21" s="3">
        <v>15</v>
      </c>
      <c r="B21" s="4" t="s">
        <v>422</v>
      </c>
      <c r="C21" s="4" t="s">
        <v>423</v>
      </c>
      <c r="D21" s="4" t="s">
        <v>162</v>
      </c>
      <c r="E21" s="5">
        <v>48283</v>
      </c>
      <c r="F21" s="6">
        <v>1640.5356325</v>
      </c>
      <c r="G21" s="7">
        <v>1.9360262999999999E-2</v>
      </c>
      <c r="H21" s="112"/>
    </row>
    <row r="22" spans="1:8" x14ac:dyDescent="0.2">
      <c r="A22" s="3">
        <v>16</v>
      </c>
      <c r="B22" s="4" t="s">
        <v>25</v>
      </c>
      <c r="C22" s="4" t="s">
        <v>26</v>
      </c>
      <c r="D22" s="4" t="s">
        <v>27</v>
      </c>
      <c r="E22" s="5">
        <v>100996</v>
      </c>
      <c r="F22" s="6">
        <v>1635.7312159999999</v>
      </c>
      <c r="G22" s="7">
        <v>1.9303565000000002E-2</v>
      </c>
      <c r="H22" s="112"/>
    </row>
    <row r="23" spans="1:8" x14ac:dyDescent="0.2">
      <c r="A23" s="3">
        <v>17</v>
      </c>
      <c r="B23" s="4" t="s">
        <v>11</v>
      </c>
      <c r="C23" s="4" t="s">
        <v>12</v>
      </c>
      <c r="D23" s="4" t="s">
        <v>13</v>
      </c>
      <c r="E23" s="5">
        <v>91037</v>
      </c>
      <c r="F23" s="6">
        <v>1608.3051605000001</v>
      </c>
      <c r="G23" s="7">
        <v>1.8979906000000001E-2</v>
      </c>
      <c r="H23" s="112"/>
    </row>
    <row r="24" spans="1:8" x14ac:dyDescent="0.2">
      <c r="A24" s="3">
        <v>18</v>
      </c>
      <c r="B24" s="4" t="s">
        <v>370</v>
      </c>
      <c r="C24" s="4" t="s">
        <v>371</v>
      </c>
      <c r="D24" s="4" t="s">
        <v>71</v>
      </c>
      <c r="E24" s="5">
        <v>2094345</v>
      </c>
      <c r="F24" s="6">
        <v>1596.9380624999999</v>
      </c>
      <c r="G24" s="7">
        <v>1.884576E-2</v>
      </c>
      <c r="H24" s="112"/>
    </row>
    <row r="25" spans="1:8" x14ac:dyDescent="0.2">
      <c r="A25" s="3">
        <v>19</v>
      </c>
      <c r="B25" s="4" t="s">
        <v>314</v>
      </c>
      <c r="C25" s="4" t="s">
        <v>315</v>
      </c>
      <c r="D25" s="4" t="s">
        <v>147</v>
      </c>
      <c r="E25" s="5">
        <v>74585</v>
      </c>
      <c r="F25" s="6">
        <v>1579.1882049999999</v>
      </c>
      <c r="G25" s="7">
        <v>1.8636290999999999E-2</v>
      </c>
      <c r="H25" s="112"/>
    </row>
    <row r="26" spans="1:8" x14ac:dyDescent="0.2">
      <c r="A26" s="3">
        <v>20</v>
      </c>
      <c r="B26" s="4" t="s">
        <v>227</v>
      </c>
      <c r="C26" s="4" t="s">
        <v>228</v>
      </c>
      <c r="D26" s="4" t="s">
        <v>974</v>
      </c>
      <c r="E26" s="5">
        <v>89854</v>
      </c>
      <c r="F26" s="6">
        <v>1530.8875250000001</v>
      </c>
      <c r="G26" s="7">
        <v>1.8066286000000001E-2</v>
      </c>
      <c r="H26" s="112"/>
    </row>
    <row r="27" spans="1:8" x14ac:dyDescent="0.2">
      <c r="A27" s="3">
        <v>21</v>
      </c>
      <c r="B27" s="4" t="s">
        <v>182</v>
      </c>
      <c r="C27" s="4" t="s">
        <v>183</v>
      </c>
      <c r="D27" s="4" t="s">
        <v>162</v>
      </c>
      <c r="E27" s="5">
        <v>141582</v>
      </c>
      <c r="F27" s="6">
        <v>1512.449715</v>
      </c>
      <c r="G27" s="7">
        <v>1.7848698E-2</v>
      </c>
      <c r="H27" s="112"/>
    </row>
    <row r="28" spans="1:8" x14ac:dyDescent="0.2">
      <c r="A28" s="3">
        <v>22</v>
      </c>
      <c r="B28" s="4" t="s">
        <v>507</v>
      </c>
      <c r="C28" s="4" t="s">
        <v>508</v>
      </c>
      <c r="D28" s="4" t="s">
        <v>78</v>
      </c>
      <c r="E28" s="5">
        <v>311718</v>
      </c>
      <c r="F28" s="6">
        <v>1507.7799660000001</v>
      </c>
      <c r="G28" s="7">
        <v>1.7793588999999999E-2</v>
      </c>
      <c r="H28" s="112"/>
    </row>
    <row r="29" spans="1:8" ht="25.5" x14ac:dyDescent="0.2">
      <c r="A29" s="3">
        <v>23</v>
      </c>
      <c r="B29" s="4" t="s">
        <v>700</v>
      </c>
      <c r="C29" s="4" t="s">
        <v>701</v>
      </c>
      <c r="D29" s="4" t="s">
        <v>192</v>
      </c>
      <c r="E29" s="5">
        <v>132080</v>
      </c>
      <c r="F29" s="6">
        <v>1478.3054</v>
      </c>
      <c r="G29" s="7">
        <v>1.7445754000000001E-2</v>
      </c>
      <c r="H29" s="112"/>
    </row>
    <row r="30" spans="1:8" x14ac:dyDescent="0.2">
      <c r="A30" s="3">
        <v>24</v>
      </c>
      <c r="B30" s="4" t="s">
        <v>312</v>
      </c>
      <c r="C30" s="4" t="s">
        <v>313</v>
      </c>
      <c r="D30" s="4" t="s">
        <v>212</v>
      </c>
      <c r="E30" s="5">
        <v>3790</v>
      </c>
      <c r="F30" s="6">
        <v>1426.406295</v>
      </c>
      <c r="G30" s="7">
        <v>1.6833283000000001E-2</v>
      </c>
      <c r="H30" s="112"/>
    </row>
    <row r="31" spans="1:8" x14ac:dyDescent="0.2">
      <c r="A31" s="3">
        <v>25</v>
      </c>
      <c r="B31" s="4" t="s">
        <v>84</v>
      </c>
      <c r="C31" s="4" t="s">
        <v>85</v>
      </c>
      <c r="D31" s="4" t="s">
        <v>61</v>
      </c>
      <c r="E31" s="5">
        <v>298256</v>
      </c>
      <c r="F31" s="6">
        <v>1413.4351839999999</v>
      </c>
      <c r="G31" s="7">
        <v>1.6680209000000001E-2</v>
      </c>
      <c r="H31" s="112"/>
    </row>
    <row r="32" spans="1:8" x14ac:dyDescent="0.2">
      <c r="A32" s="3">
        <v>26</v>
      </c>
      <c r="B32" s="4" t="s">
        <v>337</v>
      </c>
      <c r="C32" s="4" t="s">
        <v>338</v>
      </c>
      <c r="D32" s="4" t="s">
        <v>19</v>
      </c>
      <c r="E32" s="5">
        <v>1431306</v>
      </c>
      <c r="F32" s="6">
        <v>1395.5233499999999</v>
      </c>
      <c r="G32" s="7">
        <v>1.6468828000000001E-2</v>
      </c>
      <c r="H32" s="112"/>
    </row>
    <row r="33" spans="1:8" x14ac:dyDescent="0.2">
      <c r="A33" s="3">
        <v>27</v>
      </c>
      <c r="B33" s="4" t="s">
        <v>258</v>
      </c>
      <c r="C33" s="4" t="s">
        <v>259</v>
      </c>
      <c r="D33" s="4" t="s">
        <v>53</v>
      </c>
      <c r="E33" s="5">
        <v>141941</v>
      </c>
      <c r="F33" s="6">
        <v>1357.9495469999999</v>
      </c>
      <c r="G33" s="7">
        <v>1.6025412999999999E-2</v>
      </c>
      <c r="H33" s="112"/>
    </row>
    <row r="34" spans="1:8" x14ac:dyDescent="0.2">
      <c r="A34" s="3">
        <v>28</v>
      </c>
      <c r="B34" s="4" t="s">
        <v>193</v>
      </c>
      <c r="C34" s="4" t="s">
        <v>194</v>
      </c>
      <c r="D34" s="4" t="s">
        <v>16</v>
      </c>
      <c r="E34" s="5">
        <v>422965</v>
      </c>
      <c r="F34" s="6">
        <v>1312.88336</v>
      </c>
      <c r="G34" s="7">
        <v>1.5493577999999999E-2</v>
      </c>
      <c r="H34" s="112"/>
    </row>
    <row r="35" spans="1:8" ht="25.5" x14ac:dyDescent="0.2">
      <c r="A35" s="3">
        <v>29</v>
      </c>
      <c r="B35" s="4" t="s">
        <v>352</v>
      </c>
      <c r="C35" s="4" t="s">
        <v>353</v>
      </c>
      <c r="D35" s="4" t="s">
        <v>192</v>
      </c>
      <c r="E35" s="5">
        <v>237070</v>
      </c>
      <c r="F35" s="6">
        <v>1259.434375</v>
      </c>
      <c r="G35" s="7">
        <v>1.4862817E-2</v>
      </c>
      <c r="H35" s="112"/>
    </row>
    <row r="36" spans="1:8" x14ac:dyDescent="0.2">
      <c r="A36" s="3">
        <v>30</v>
      </c>
      <c r="B36" s="4" t="s">
        <v>248</v>
      </c>
      <c r="C36" s="4" t="s">
        <v>249</v>
      </c>
      <c r="D36" s="4" t="s">
        <v>186</v>
      </c>
      <c r="E36" s="5">
        <v>69458</v>
      </c>
      <c r="F36" s="6">
        <v>1165.6094270000001</v>
      </c>
      <c r="G36" s="7">
        <v>1.3755572000000001E-2</v>
      </c>
      <c r="H36" s="112"/>
    </row>
    <row r="37" spans="1:8" x14ac:dyDescent="0.2">
      <c r="A37" s="3">
        <v>31</v>
      </c>
      <c r="B37" s="4" t="s">
        <v>345</v>
      </c>
      <c r="C37" s="4" t="s">
        <v>346</v>
      </c>
      <c r="D37" s="4" t="s">
        <v>186</v>
      </c>
      <c r="E37" s="5">
        <v>31426</v>
      </c>
      <c r="F37" s="6">
        <v>1162.824852</v>
      </c>
      <c r="G37" s="7">
        <v>1.3722710000000001E-2</v>
      </c>
      <c r="H37" s="112"/>
    </row>
    <row r="38" spans="1:8" x14ac:dyDescent="0.2">
      <c r="A38" s="3">
        <v>32</v>
      </c>
      <c r="B38" s="4" t="s">
        <v>519</v>
      </c>
      <c r="C38" s="4" t="s">
        <v>520</v>
      </c>
      <c r="D38" s="4" t="s">
        <v>19</v>
      </c>
      <c r="E38" s="5">
        <v>394065</v>
      </c>
      <c r="F38" s="6">
        <v>1159.1421975000001</v>
      </c>
      <c r="G38" s="7">
        <v>1.3679251E-2</v>
      </c>
      <c r="H38" s="112"/>
    </row>
    <row r="39" spans="1:8" x14ac:dyDescent="0.2">
      <c r="A39" s="3">
        <v>33</v>
      </c>
      <c r="B39" s="4" t="s">
        <v>430</v>
      </c>
      <c r="C39" s="4" t="s">
        <v>431</v>
      </c>
      <c r="D39" s="4" t="s">
        <v>432</v>
      </c>
      <c r="E39" s="5">
        <v>250000</v>
      </c>
      <c r="F39" s="6">
        <v>1149.5</v>
      </c>
      <c r="G39" s="7">
        <v>1.3565460999999999E-2</v>
      </c>
      <c r="H39" s="112"/>
    </row>
    <row r="40" spans="1:8" x14ac:dyDescent="0.2">
      <c r="A40" s="3">
        <v>34</v>
      </c>
      <c r="B40" s="4" t="s">
        <v>420</v>
      </c>
      <c r="C40" s="4" t="s">
        <v>421</v>
      </c>
      <c r="D40" s="4" t="s">
        <v>973</v>
      </c>
      <c r="E40" s="5">
        <v>100100</v>
      </c>
      <c r="F40" s="6">
        <v>1146.6955499999999</v>
      </c>
      <c r="G40" s="7">
        <v>1.3532364999999999E-2</v>
      </c>
      <c r="H40" s="112"/>
    </row>
    <row r="41" spans="1:8" x14ac:dyDescent="0.2">
      <c r="A41" s="3">
        <v>35</v>
      </c>
      <c r="B41" s="4" t="s">
        <v>702</v>
      </c>
      <c r="C41" s="4" t="s">
        <v>703</v>
      </c>
      <c r="D41" s="4" t="s">
        <v>64</v>
      </c>
      <c r="E41" s="5">
        <v>124146</v>
      </c>
      <c r="F41" s="6">
        <v>1123.893738</v>
      </c>
      <c r="G41" s="7">
        <v>1.3263277E-2</v>
      </c>
      <c r="H41" s="112"/>
    </row>
    <row r="42" spans="1:8" x14ac:dyDescent="0.2">
      <c r="A42" s="3">
        <v>36</v>
      </c>
      <c r="B42" s="4" t="s">
        <v>90</v>
      </c>
      <c r="C42" s="4" t="s">
        <v>91</v>
      </c>
      <c r="D42" s="4" t="s">
        <v>27</v>
      </c>
      <c r="E42" s="5">
        <v>14578</v>
      </c>
      <c r="F42" s="6">
        <v>1079.0271150000001</v>
      </c>
      <c r="G42" s="7">
        <v>1.2733797999999999E-2</v>
      </c>
      <c r="H42" s="112"/>
    </row>
    <row r="43" spans="1:8" x14ac:dyDescent="0.2">
      <c r="A43" s="3">
        <v>37</v>
      </c>
      <c r="B43" s="4" t="s">
        <v>35</v>
      </c>
      <c r="C43" s="4" t="s">
        <v>36</v>
      </c>
      <c r="D43" s="4" t="s">
        <v>16</v>
      </c>
      <c r="E43" s="5">
        <v>256895</v>
      </c>
      <c r="F43" s="6">
        <v>1073.0504149999999</v>
      </c>
      <c r="G43" s="7">
        <v>1.2663265999999999E-2</v>
      </c>
      <c r="H43" s="112"/>
    </row>
    <row r="44" spans="1:8" x14ac:dyDescent="0.2">
      <c r="A44" s="3">
        <v>38</v>
      </c>
      <c r="B44" s="4" t="s">
        <v>578</v>
      </c>
      <c r="C44" s="4" t="s">
        <v>579</v>
      </c>
      <c r="D44" s="4" t="s">
        <v>71</v>
      </c>
      <c r="E44" s="5">
        <v>187368</v>
      </c>
      <c r="F44" s="6">
        <v>1017.970344</v>
      </c>
      <c r="G44" s="7">
        <v>1.2013256E-2</v>
      </c>
      <c r="H44" s="112"/>
    </row>
    <row r="45" spans="1:8" x14ac:dyDescent="0.2">
      <c r="A45" s="3">
        <v>39</v>
      </c>
      <c r="B45" s="4" t="s">
        <v>376</v>
      </c>
      <c r="C45" s="4" t="s">
        <v>377</v>
      </c>
      <c r="D45" s="4" t="s">
        <v>162</v>
      </c>
      <c r="E45" s="5">
        <v>88642</v>
      </c>
      <c r="F45" s="6">
        <v>1013.842875</v>
      </c>
      <c r="G45" s="7">
        <v>1.1964547000000001E-2</v>
      </c>
      <c r="H45" s="112"/>
    </row>
    <row r="46" spans="1:8" x14ac:dyDescent="0.2">
      <c r="A46" s="3">
        <v>40</v>
      </c>
      <c r="B46" s="4" t="s">
        <v>435</v>
      </c>
      <c r="C46" s="4" t="s">
        <v>436</v>
      </c>
      <c r="D46" s="4" t="s">
        <v>78</v>
      </c>
      <c r="E46" s="5">
        <v>110000</v>
      </c>
      <c r="F46" s="6">
        <v>972.67499999999995</v>
      </c>
      <c r="G46" s="7">
        <v>1.1478716999999999E-2</v>
      </c>
      <c r="H46" s="112"/>
    </row>
    <row r="47" spans="1:8" x14ac:dyDescent="0.2">
      <c r="A47" s="3">
        <v>41</v>
      </c>
      <c r="B47" s="4" t="s">
        <v>439</v>
      </c>
      <c r="C47" s="4" t="s">
        <v>440</v>
      </c>
      <c r="D47" s="4" t="s">
        <v>162</v>
      </c>
      <c r="E47" s="5">
        <v>65425</v>
      </c>
      <c r="F47" s="6">
        <v>966.88336249999998</v>
      </c>
      <c r="G47" s="7">
        <v>1.1410369E-2</v>
      </c>
      <c r="H47" s="112"/>
    </row>
    <row r="48" spans="1:8" ht="25.5" x14ac:dyDescent="0.2">
      <c r="A48" s="3">
        <v>42</v>
      </c>
      <c r="B48" s="4" t="s">
        <v>424</v>
      </c>
      <c r="C48" s="4" t="s">
        <v>425</v>
      </c>
      <c r="D48" s="4" t="s">
        <v>192</v>
      </c>
      <c r="E48" s="5">
        <v>40280</v>
      </c>
      <c r="F48" s="6">
        <v>963.96082000000001</v>
      </c>
      <c r="G48" s="7">
        <v>1.1375879E-2</v>
      </c>
      <c r="H48" s="112"/>
    </row>
    <row r="49" spans="1:8" x14ac:dyDescent="0.2">
      <c r="A49" s="3">
        <v>43</v>
      </c>
      <c r="B49" s="4" t="s">
        <v>358</v>
      </c>
      <c r="C49" s="4" t="s">
        <v>359</v>
      </c>
      <c r="D49" s="4" t="s">
        <v>50</v>
      </c>
      <c r="E49" s="5">
        <v>147000</v>
      </c>
      <c r="F49" s="6">
        <v>962.99699999999996</v>
      </c>
      <c r="G49" s="7">
        <v>1.1364505E-2</v>
      </c>
      <c r="H49" s="112"/>
    </row>
    <row r="50" spans="1:8" x14ac:dyDescent="0.2">
      <c r="A50" s="3">
        <v>44</v>
      </c>
      <c r="B50" s="4" t="s">
        <v>223</v>
      </c>
      <c r="C50" s="4" t="s">
        <v>224</v>
      </c>
      <c r="D50" s="4" t="s">
        <v>27</v>
      </c>
      <c r="E50" s="5">
        <v>52223</v>
      </c>
      <c r="F50" s="6">
        <v>938.94342849999998</v>
      </c>
      <c r="G50" s="7">
        <v>1.1080644000000001E-2</v>
      </c>
      <c r="H50" s="112"/>
    </row>
    <row r="51" spans="1:8" ht="25.5" x14ac:dyDescent="0.2">
      <c r="A51" s="3">
        <v>45</v>
      </c>
      <c r="B51" s="4" t="s">
        <v>20</v>
      </c>
      <c r="C51" s="4" t="s">
        <v>21</v>
      </c>
      <c r="D51" s="4" t="s">
        <v>971</v>
      </c>
      <c r="E51" s="5">
        <v>84095</v>
      </c>
      <c r="F51" s="6">
        <v>896.87317499999995</v>
      </c>
      <c r="G51" s="7">
        <v>1.0584166000000001E-2</v>
      </c>
      <c r="H51" s="112"/>
    </row>
    <row r="52" spans="1:8" x14ac:dyDescent="0.2">
      <c r="A52" s="3">
        <v>46</v>
      </c>
      <c r="B52" s="4" t="s">
        <v>517</v>
      </c>
      <c r="C52" s="4" t="s">
        <v>518</v>
      </c>
      <c r="D52" s="4" t="s">
        <v>186</v>
      </c>
      <c r="E52" s="5">
        <v>96183</v>
      </c>
      <c r="F52" s="6">
        <v>877.38132599999994</v>
      </c>
      <c r="G52" s="7">
        <v>1.0354139E-2</v>
      </c>
      <c r="H52" s="112"/>
    </row>
    <row r="53" spans="1:8" x14ac:dyDescent="0.2">
      <c r="A53" s="3">
        <v>47</v>
      </c>
      <c r="B53" s="4" t="s">
        <v>372</v>
      </c>
      <c r="C53" s="4" t="s">
        <v>373</v>
      </c>
      <c r="D53" s="4" t="s">
        <v>237</v>
      </c>
      <c r="E53" s="5">
        <v>110545</v>
      </c>
      <c r="F53" s="6">
        <v>868.44151999999997</v>
      </c>
      <c r="G53" s="7">
        <v>1.0248637999999999E-2</v>
      </c>
      <c r="H53" s="112"/>
    </row>
    <row r="54" spans="1:8" x14ac:dyDescent="0.2">
      <c r="A54" s="3">
        <v>48</v>
      </c>
      <c r="B54" s="4" t="s">
        <v>360</v>
      </c>
      <c r="C54" s="4" t="s">
        <v>361</v>
      </c>
      <c r="D54" s="4" t="s">
        <v>974</v>
      </c>
      <c r="E54" s="5">
        <v>117000</v>
      </c>
      <c r="F54" s="6">
        <v>863.46</v>
      </c>
      <c r="G54" s="7">
        <v>1.0189851E-2</v>
      </c>
      <c r="H54" s="112"/>
    </row>
    <row r="55" spans="1:8" x14ac:dyDescent="0.2">
      <c r="A55" s="3">
        <v>49</v>
      </c>
      <c r="B55" s="4" t="s">
        <v>380</v>
      </c>
      <c r="C55" s="4" t="s">
        <v>381</v>
      </c>
      <c r="D55" s="4" t="s">
        <v>81</v>
      </c>
      <c r="E55" s="5">
        <v>211360</v>
      </c>
      <c r="F55" s="6">
        <v>859.91815999999994</v>
      </c>
      <c r="G55" s="7">
        <v>1.0148053000000001E-2</v>
      </c>
      <c r="H55" s="112"/>
    </row>
    <row r="56" spans="1:8" ht="25.5" x14ac:dyDescent="0.2">
      <c r="A56" s="3">
        <v>50</v>
      </c>
      <c r="B56" s="4" t="s">
        <v>704</v>
      </c>
      <c r="C56" s="4" t="s">
        <v>705</v>
      </c>
      <c r="D56" s="4" t="s">
        <v>192</v>
      </c>
      <c r="E56" s="5">
        <v>3189</v>
      </c>
      <c r="F56" s="6">
        <v>810.028323</v>
      </c>
      <c r="G56" s="7">
        <v>9.559293E-3</v>
      </c>
      <c r="H56" s="112"/>
    </row>
    <row r="57" spans="1:8" ht="25.5" x14ac:dyDescent="0.2">
      <c r="A57" s="3">
        <v>51</v>
      </c>
      <c r="B57" s="4" t="s">
        <v>706</v>
      </c>
      <c r="C57" s="4" t="s">
        <v>707</v>
      </c>
      <c r="D57" s="4" t="s">
        <v>45</v>
      </c>
      <c r="E57" s="5">
        <v>9000</v>
      </c>
      <c r="F57" s="6">
        <v>786.73500000000001</v>
      </c>
      <c r="G57" s="7">
        <v>9.2844050000000008E-3</v>
      </c>
      <c r="H57" s="112"/>
    </row>
    <row r="58" spans="1:8" x14ac:dyDescent="0.2">
      <c r="A58" s="3">
        <v>52</v>
      </c>
      <c r="B58" s="4" t="s">
        <v>76</v>
      </c>
      <c r="C58" s="4" t="s">
        <v>77</v>
      </c>
      <c r="D58" s="4" t="s">
        <v>78</v>
      </c>
      <c r="E58" s="5">
        <v>543762</v>
      </c>
      <c r="F58" s="6">
        <v>774.31708800000001</v>
      </c>
      <c r="G58" s="7">
        <v>9.1378589999999999E-3</v>
      </c>
      <c r="H58" s="112"/>
    </row>
    <row r="59" spans="1:8" x14ac:dyDescent="0.2">
      <c r="A59" s="3">
        <v>53</v>
      </c>
      <c r="B59" s="4" t="s">
        <v>708</v>
      </c>
      <c r="C59" s="4" t="s">
        <v>709</v>
      </c>
      <c r="D59" s="4" t="s">
        <v>173</v>
      </c>
      <c r="E59" s="5">
        <v>10000</v>
      </c>
      <c r="F59" s="6">
        <v>743.82500000000005</v>
      </c>
      <c r="G59" s="7">
        <v>8.7780159999999996E-3</v>
      </c>
      <c r="H59" s="112"/>
    </row>
    <row r="60" spans="1:8" x14ac:dyDescent="0.2">
      <c r="A60" s="3">
        <v>54</v>
      </c>
      <c r="B60" s="4" t="s">
        <v>88</v>
      </c>
      <c r="C60" s="4" t="s">
        <v>89</v>
      </c>
      <c r="D60" s="4" t="s">
        <v>64</v>
      </c>
      <c r="E60" s="5">
        <v>152274</v>
      </c>
      <c r="F60" s="6">
        <v>648.83951400000001</v>
      </c>
      <c r="G60" s="7">
        <v>7.6570750000000002E-3</v>
      </c>
      <c r="H60" s="112"/>
    </row>
    <row r="61" spans="1:8" x14ac:dyDescent="0.2">
      <c r="A61" s="3">
        <v>55</v>
      </c>
      <c r="B61" s="4" t="s">
        <v>549</v>
      </c>
      <c r="C61" s="4" t="s">
        <v>550</v>
      </c>
      <c r="D61" s="4" t="s">
        <v>173</v>
      </c>
      <c r="E61" s="5">
        <v>24347</v>
      </c>
      <c r="F61" s="6">
        <v>640.05828299999996</v>
      </c>
      <c r="G61" s="7">
        <v>7.5534460000000001E-3</v>
      </c>
      <c r="H61" s="112"/>
    </row>
    <row r="62" spans="1:8" x14ac:dyDescent="0.2">
      <c r="A62" s="3">
        <v>56</v>
      </c>
      <c r="B62" s="4" t="s">
        <v>463</v>
      </c>
      <c r="C62" s="4" t="s">
        <v>464</v>
      </c>
      <c r="D62" s="4" t="s">
        <v>71</v>
      </c>
      <c r="E62" s="5">
        <v>141219</v>
      </c>
      <c r="F62" s="6">
        <v>488.54713049999998</v>
      </c>
      <c r="G62" s="7">
        <v>5.7654350000000002E-3</v>
      </c>
      <c r="H62" s="112"/>
    </row>
    <row r="63" spans="1:8" x14ac:dyDescent="0.2">
      <c r="A63" s="3">
        <v>57</v>
      </c>
      <c r="B63" s="4" t="s">
        <v>382</v>
      </c>
      <c r="C63" s="4" t="s">
        <v>383</v>
      </c>
      <c r="D63" s="4" t="s">
        <v>71</v>
      </c>
      <c r="E63" s="5">
        <v>21630</v>
      </c>
      <c r="F63" s="6">
        <v>478.52049</v>
      </c>
      <c r="G63" s="7">
        <v>5.6471079999999996E-3</v>
      </c>
      <c r="H63" s="112"/>
    </row>
    <row r="64" spans="1:8" x14ac:dyDescent="0.2">
      <c r="A64" s="3">
        <v>58</v>
      </c>
      <c r="B64" s="4" t="s">
        <v>368</v>
      </c>
      <c r="C64" s="4" t="s">
        <v>369</v>
      </c>
      <c r="D64" s="4" t="s">
        <v>71</v>
      </c>
      <c r="E64" s="5">
        <v>8146</v>
      </c>
      <c r="F64" s="6">
        <v>406.77458300000001</v>
      </c>
      <c r="G64" s="7">
        <v>4.8004220000000004E-3</v>
      </c>
      <c r="H64" s="112"/>
    </row>
    <row r="65" spans="1:8" ht="25.5" x14ac:dyDescent="0.2">
      <c r="A65" s="3">
        <v>59</v>
      </c>
      <c r="B65" s="4" t="s">
        <v>28</v>
      </c>
      <c r="C65" s="4" t="s">
        <v>29</v>
      </c>
      <c r="D65" s="4" t="s">
        <v>971</v>
      </c>
      <c r="E65" s="5">
        <v>5301</v>
      </c>
      <c r="F65" s="6">
        <v>404.78701050000001</v>
      </c>
      <c r="G65" s="7">
        <v>4.7769659999999997E-3</v>
      </c>
      <c r="H65" s="112"/>
    </row>
    <row r="66" spans="1:8" x14ac:dyDescent="0.2">
      <c r="A66" s="3">
        <v>60</v>
      </c>
      <c r="B66" s="4" t="s">
        <v>30</v>
      </c>
      <c r="C66" s="4" t="s">
        <v>31</v>
      </c>
      <c r="D66" s="4" t="s">
        <v>27</v>
      </c>
      <c r="E66" s="5">
        <v>17809</v>
      </c>
      <c r="F66" s="6">
        <v>402.73272600000001</v>
      </c>
      <c r="G66" s="7">
        <v>4.7527230000000004E-3</v>
      </c>
      <c r="H66" s="112"/>
    </row>
    <row r="67" spans="1:8" x14ac:dyDescent="0.2">
      <c r="A67" s="3">
        <v>61</v>
      </c>
      <c r="B67" s="4" t="s">
        <v>62</v>
      </c>
      <c r="C67" s="4" t="s">
        <v>63</v>
      </c>
      <c r="D67" s="4" t="s">
        <v>64</v>
      </c>
      <c r="E67" s="5">
        <v>135712</v>
      </c>
      <c r="F67" s="6">
        <v>223.04267200000001</v>
      </c>
      <c r="G67" s="7">
        <v>2.6321679999999998E-3</v>
      </c>
      <c r="H67" s="112"/>
    </row>
    <row r="68" spans="1:8" ht="25.5" x14ac:dyDescent="0.2">
      <c r="A68" s="3">
        <v>62</v>
      </c>
      <c r="B68" s="4" t="s">
        <v>447</v>
      </c>
      <c r="C68" s="70" t="s">
        <v>1030</v>
      </c>
      <c r="D68" s="40" t="s">
        <v>24</v>
      </c>
      <c r="E68" s="5">
        <v>21514</v>
      </c>
      <c r="F68" s="6">
        <v>55.009146600000001</v>
      </c>
      <c r="G68" s="7">
        <v>6.4917299999999996E-4</v>
      </c>
      <c r="H68" s="112"/>
    </row>
    <row r="69" spans="1:8" x14ac:dyDescent="0.2">
      <c r="A69" s="1"/>
      <c r="B69" s="1"/>
      <c r="C69" s="2" t="s">
        <v>97</v>
      </c>
      <c r="D69" s="1"/>
      <c r="E69" s="1" t="s">
        <v>98</v>
      </c>
      <c r="F69" s="9">
        <v>83440.165673099997</v>
      </c>
      <c r="G69" s="10">
        <v>0.98469277000000011</v>
      </c>
      <c r="H69" s="112"/>
    </row>
    <row r="70" spans="1:8" x14ac:dyDescent="0.2">
      <c r="A70" s="1"/>
      <c r="B70" s="1"/>
      <c r="C70" s="11"/>
      <c r="D70" s="1"/>
      <c r="E70" s="1"/>
      <c r="F70" s="12"/>
      <c r="G70" s="12"/>
      <c r="H70" s="112"/>
    </row>
    <row r="71" spans="1:8" x14ac:dyDescent="0.2">
      <c r="A71" s="1"/>
      <c r="B71" s="1"/>
      <c r="C71" s="2" t="s">
        <v>99</v>
      </c>
      <c r="D71" s="1"/>
      <c r="E71" s="1"/>
      <c r="F71" s="1"/>
      <c r="G71" s="1"/>
      <c r="H71" s="112"/>
    </row>
    <row r="72" spans="1:8" x14ac:dyDescent="0.2">
      <c r="A72" s="1"/>
      <c r="B72" s="1"/>
      <c r="C72" s="2" t="s">
        <v>97</v>
      </c>
      <c r="D72" s="1"/>
      <c r="E72" s="1" t="s">
        <v>98</v>
      </c>
      <c r="F72" s="13">
        <v>0</v>
      </c>
      <c r="G72" s="14">
        <v>0</v>
      </c>
      <c r="H72" s="112"/>
    </row>
    <row r="73" spans="1:8" x14ac:dyDescent="0.2">
      <c r="A73" s="1"/>
      <c r="B73" s="1"/>
      <c r="C73" s="11"/>
      <c r="D73" s="1"/>
      <c r="E73" s="1"/>
      <c r="F73" s="12"/>
      <c r="G73" s="12"/>
      <c r="H73" s="112"/>
    </row>
    <row r="74" spans="1:8" x14ac:dyDescent="0.2">
      <c r="A74" s="1"/>
      <c r="B74" s="1"/>
      <c r="C74" s="2" t="s">
        <v>100</v>
      </c>
      <c r="D74" s="1"/>
      <c r="E74" s="1"/>
      <c r="F74" s="1"/>
      <c r="G74" s="1"/>
      <c r="H74" s="112"/>
    </row>
    <row r="75" spans="1:8" x14ac:dyDescent="0.2">
      <c r="A75" s="1"/>
      <c r="B75" s="1"/>
      <c r="C75" s="2" t="s">
        <v>97</v>
      </c>
      <c r="D75" s="1"/>
      <c r="E75" s="1" t="s">
        <v>98</v>
      </c>
      <c r="F75" s="13">
        <v>0</v>
      </c>
      <c r="G75" s="14">
        <v>0</v>
      </c>
      <c r="H75" s="112"/>
    </row>
    <row r="76" spans="1:8" x14ac:dyDescent="0.2">
      <c r="A76" s="1"/>
      <c r="B76" s="1"/>
      <c r="C76" s="11"/>
      <c r="D76" s="1"/>
      <c r="E76" s="1"/>
      <c r="F76" s="12"/>
      <c r="G76" s="12"/>
      <c r="H76" s="112"/>
    </row>
    <row r="77" spans="1:8" x14ac:dyDescent="0.2">
      <c r="A77" s="1"/>
      <c r="B77" s="1"/>
      <c r="C77" s="2" t="s">
        <v>101</v>
      </c>
      <c r="D77" s="1"/>
      <c r="E77" s="1"/>
      <c r="F77" s="1"/>
      <c r="G77" s="1"/>
      <c r="H77" s="112"/>
    </row>
    <row r="78" spans="1:8" x14ac:dyDescent="0.2">
      <c r="A78" s="1"/>
      <c r="B78" s="1"/>
      <c r="C78" s="2" t="s">
        <v>97</v>
      </c>
      <c r="D78" s="1"/>
      <c r="E78" s="1" t="s">
        <v>98</v>
      </c>
      <c r="F78" s="9">
        <v>0</v>
      </c>
      <c r="G78" s="10">
        <v>0</v>
      </c>
      <c r="H78" s="112"/>
    </row>
    <row r="79" spans="1:8" x14ac:dyDescent="0.2">
      <c r="A79" s="1"/>
      <c r="B79" s="1"/>
      <c r="C79" s="11"/>
      <c r="D79" s="1"/>
      <c r="E79" s="1"/>
      <c r="F79" s="12"/>
      <c r="G79" s="12"/>
      <c r="H79" s="112"/>
    </row>
    <row r="80" spans="1:8" x14ac:dyDescent="0.2">
      <c r="A80" s="1"/>
      <c r="B80" s="1"/>
      <c r="C80" s="2" t="s">
        <v>102</v>
      </c>
      <c r="D80" s="1"/>
      <c r="E80" s="1"/>
      <c r="F80" s="12"/>
      <c r="G80" s="12"/>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2" t="s">
        <v>103</v>
      </c>
      <c r="D83" s="1"/>
      <c r="E83" s="1"/>
      <c r="F83" s="12"/>
      <c r="G83" s="12"/>
      <c r="H83" s="112"/>
    </row>
    <row r="84" spans="1:8" x14ac:dyDescent="0.2">
      <c r="A84" s="1"/>
      <c r="B84" s="1"/>
      <c r="C84" s="2" t="s">
        <v>97</v>
      </c>
      <c r="D84" s="1"/>
      <c r="E84" s="1" t="s">
        <v>98</v>
      </c>
      <c r="F84" s="13">
        <v>0</v>
      </c>
      <c r="G84" s="14">
        <v>0</v>
      </c>
      <c r="H84" s="112"/>
    </row>
    <row r="85" spans="1:8" x14ac:dyDescent="0.2">
      <c r="A85" s="1"/>
      <c r="B85" s="1"/>
      <c r="C85" s="11"/>
      <c r="D85" s="1"/>
      <c r="E85" s="1"/>
      <c r="F85" s="12"/>
      <c r="G85" s="12"/>
      <c r="H85" s="112"/>
    </row>
    <row r="86" spans="1:8" x14ac:dyDescent="0.2">
      <c r="A86" s="1"/>
      <c r="B86" s="1"/>
      <c r="C86" s="2" t="s">
        <v>104</v>
      </c>
      <c r="D86" s="1"/>
      <c r="E86" s="1"/>
      <c r="F86" s="9">
        <v>83440.165673099997</v>
      </c>
      <c r="G86" s="10">
        <v>0.98469277</v>
      </c>
      <c r="H86" s="112"/>
    </row>
    <row r="87" spans="1:8" x14ac:dyDescent="0.2">
      <c r="A87" s="1"/>
      <c r="B87" s="1"/>
      <c r="C87" s="11"/>
      <c r="D87" s="1"/>
      <c r="E87" s="1"/>
      <c r="F87" s="12"/>
      <c r="G87" s="12"/>
      <c r="H87" s="112"/>
    </row>
    <row r="88" spans="1:8" x14ac:dyDescent="0.2">
      <c r="A88" s="1"/>
      <c r="B88" s="1"/>
      <c r="C88" s="2" t="s">
        <v>105</v>
      </c>
      <c r="D88" s="1"/>
      <c r="E88" s="1"/>
      <c r="F88" s="12"/>
      <c r="G88" s="12"/>
      <c r="H88" s="112"/>
    </row>
    <row r="89" spans="1:8" ht="25.5" x14ac:dyDescent="0.2">
      <c r="A89" s="1"/>
      <c r="B89" s="1"/>
      <c r="C89" s="2" t="s">
        <v>10</v>
      </c>
      <c r="D89" s="1"/>
      <c r="E89" s="1"/>
      <c r="F89" s="12"/>
      <c r="G89" s="12"/>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2" t="s">
        <v>106</v>
      </c>
      <c r="D92" s="1"/>
      <c r="E92" s="1"/>
      <c r="F92" s="1"/>
      <c r="G92" s="1"/>
      <c r="H92" s="112"/>
    </row>
    <row r="93" spans="1:8" x14ac:dyDescent="0.2">
      <c r="A93" s="1"/>
      <c r="B93" s="1"/>
      <c r="C93" s="2" t="s">
        <v>97</v>
      </c>
      <c r="D93" s="1"/>
      <c r="E93" s="1" t="s">
        <v>98</v>
      </c>
      <c r="F93" s="13">
        <v>0</v>
      </c>
      <c r="G93" s="14">
        <v>0</v>
      </c>
      <c r="H93" s="112"/>
    </row>
    <row r="94" spans="1:8" x14ac:dyDescent="0.2">
      <c r="A94" s="1"/>
      <c r="B94" s="1"/>
      <c r="C94" s="11"/>
      <c r="D94" s="1"/>
      <c r="E94" s="1"/>
      <c r="F94" s="12"/>
      <c r="G94" s="12"/>
      <c r="H94" s="112"/>
    </row>
    <row r="95" spans="1:8" x14ac:dyDescent="0.2">
      <c r="A95" s="1"/>
      <c r="B95" s="1"/>
      <c r="C95" s="2" t="s">
        <v>107</v>
      </c>
      <c r="D95" s="1"/>
      <c r="E95" s="1"/>
      <c r="F95" s="1"/>
      <c r="G95" s="1"/>
      <c r="H95" s="112"/>
    </row>
    <row r="96" spans="1:8" x14ac:dyDescent="0.2">
      <c r="A96" s="1"/>
      <c r="B96" s="1"/>
      <c r="C96" s="2" t="s">
        <v>97</v>
      </c>
      <c r="D96" s="1"/>
      <c r="E96" s="1" t="s">
        <v>98</v>
      </c>
      <c r="F96" s="13">
        <v>0</v>
      </c>
      <c r="G96" s="14">
        <v>0</v>
      </c>
      <c r="H96" s="112"/>
    </row>
    <row r="97" spans="1:8" x14ac:dyDescent="0.2">
      <c r="A97" s="1"/>
      <c r="B97" s="1"/>
      <c r="C97" s="11"/>
      <c r="D97" s="1"/>
      <c r="E97" s="1"/>
      <c r="F97" s="12"/>
      <c r="G97" s="12"/>
      <c r="H97" s="112"/>
    </row>
    <row r="98" spans="1:8" x14ac:dyDescent="0.2">
      <c r="A98" s="1"/>
      <c r="B98" s="1"/>
      <c r="C98" s="2" t="s">
        <v>108</v>
      </c>
      <c r="D98" s="1"/>
      <c r="E98" s="1"/>
      <c r="F98" s="12"/>
      <c r="G98" s="12"/>
      <c r="H98" s="112"/>
    </row>
    <row r="99" spans="1:8" x14ac:dyDescent="0.2">
      <c r="A99" s="1"/>
      <c r="B99" s="1"/>
      <c r="C99" s="2" t="s">
        <v>97</v>
      </c>
      <c r="D99" s="1"/>
      <c r="E99" s="1" t="s">
        <v>98</v>
      </c>
      <c r="F99" s="13">
        <v>0</v>
      </c>
      <c r="G99" s="14">
        <v>0</v>
      </c>
      <c r="H99" s="112"/>
    </row>
    <row r="100" spans="1:8" x14ac:dyDescent="0.2">
      <c r="A100" s="1"/>
      <c r="B100" s="1"/>
      <c r="C100" s="11"/>
      <c r="D100" s="1"/>
      <c r="E100" s="1"/>
      <c r="F100" s="12"/>
      <c r="G100" s="12"/>
      <c r="H100" s="112"/>
    </row>
    <row r="101" spans="1:8" x14ac:dyDescent="0.2">
      <c r="A101" s="1"/>
      <c r="B101" s="1"/>
      <c r="C101" s="2" t="s">
        <v>109</v>
      </c>
      <c r="D101" s="1"/>
      <c r="E101" s="1"/>
      <c r="F101" s="9">
        <v>0</v>
      </c>
      <c r="G101" s="10">
        <v>0</v>
      </c>
      <c r="H101" s="112"/>
    </row>
    <row r="102" spans="1:8" x14ac:dyDescent="0.2">
      <c r="A102" s="1"/>
      <c r="B102" s="1"/>
      <c r="C102" s="11"/>
      <c r="D102" s="1"/>
      <c r="E102" s="1"/>
      <c r="F102" s="12"/>
      <c r="G102" s="12"/>
      <c r="H102" s="112"/>
    </row>
    <row r="103" spans="1:8" x14ac:dyDescent="0.2">
      <c r="A103" s="1"/>
      <c r="B103" s="1"/>
      <c r="C103" s="2" t="s">
        <v>110</v>
      </c>
      <c r="D103" s="1"/>
      <c r="E103" s="1"/>
      <c r="F103" s="12"/>
      <c r="G103" s="12"/>
      <c r="H103" s="112"/>
    </row>
    <row r="104" spans="1:8" x14ac:dyDescent="0.2">
      <c r="A104" s="1"/>
      <c r="B104" s="1"/>
      <c r="C104" s="2" t="s">
        <v>111</v>
      </c>
      <c r="D104" s="1"/>
      <c r="E104" s="1"/>
      <c r="F104" s="12"/>
      <c r="G104" s="12"/>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112</v>
      </c>
      <c r="D107" s="1"/>
      <c r="E107" s="1"/>
      <c r="F107" s="12"/>
      <c r="G107" s="12"/>
      <c r="H107" s="112"/>
    </row>
    <row r="108" spans="1:8" x14ac:dyDescent="0.2">
      <c r="A108" s="1"/>
      <c r="B108" s="1"/>
      <c r="C108" s="2" t="s">
        <v>97</v>
      </c>
      <c r="D108" s="1"/>
      <c r="E108" s="1" t="s">
        <v>98</v>
      </c>
      <c r="F108" s="13">
        <v>0</v>
      </c>
      <c r="G108" s="14">
        <v>0</v>
      </c>
      <c r="H108" s="112"/>
    </row>
    <row r="109" spans="1:8" x14ac:dyDescent="0.2">
      <c r="A109" s="1"/>
      <c r="B109" s="1"/>
      <c r="C109" s="11"/>
      <c r="D109" s="1"/>
      <c r="E109" s="1"/>
      <c r="F109" s="12"/>
      <c r="G109" s="12"/>
      <c r="H109" s="112"/>
    </row>
    <row r="110" spans="1:8" x14ac:dyDescent="0.2">
      <c r="A110" s="1"/>
      <c r="B110" s="1"/>
      <c r="C110" s="2" t="s">
        <v>113</v>
      </c>
      <c r="D110" s="1"/>
      <c r="E110" s="1"/>
      <c r="F110" s="12"/>
      <c r="G110" s="12"/>
      <c r="H110" s="112"/>
    </row>
    <row r="111" spans="1:8" x14ac:dyDescent="0.2">
      <c r="A111" s="1"/>
      <c r="B111" s="1"/>
      <c r="C111" s="2" t="s">
        <v>97</v>
      </c>
      <c r="D111" s="1"/>
      <c r="E111" s="1" t="s">
        <v>98</v>
      </c>
      <c r="F111" s="13">
        <v>0</v>
      </c>
      <c r="G111" s="14">
        <v>0</v>
      </c>
      <c r="H111" s="112"/>
    </row>
    <row r="112" spans="1:8" x14ac:dyDescent="0.2">
      <c r="A112" s="1"/>
      <c r="B112" s="1"/>
      <c r="C112" s="11"/>
      <c r="D112" s="1"/>
      <c r="E112" s="1"/>
      <c r="F112" s="12"/>
      <c r="G112" s="12"/>
      <c r="H112" s="112"/>
    </row>
    <row r="113" spans="1:8" x14ac:dyDescent="0.2">
      <c r="A113" s="1"/>
      <c r="B113" s="1"/>
      <c r="C113" s="2" t="s">
        <v>114</v>
      </c>
      <c r="D113" s="1"/>
      <c r="E113" s="1"/>
      <c r="F113" s="12"/>
      <c r="G113" s="12"/>
      <c r="H113" s="112"/>
    </row>
    <row r="114" spans="1:8" x14ac:dyDescent="0.2">
      <c r="A114" s="3">
        <v>1</v>
      </c>
      <c r="B114" s="4"/>
      <c r="C114" s="4" t="s">
        <v>115</v>
      </c>
      <c r="D114" s="4"/>
      <c r="E114" s="8"/>
      <c r="F114" s="6">
        <v>802.63893409245372</v>
      </c>
      <c r="G114" s="7">
        <v>9.4720899382280451E-3</v>
      </c>
      <c r="H114" s="6">
        <v>3.3211324282253978</v>
      </c>
    </row>
    <row r="115" spans="1:8" x14ac:dyDescent="0.2">
      <c r="A115" s="3">
        <v>2</v>
      </c>
      <c r="B115" s="4"/>
      <c r="C115" s="4" t="s">
        <v>116</v>
      </c>
      <c r="D115" s="4"/>
      <c r="E115" s="8"/>
      <c r="F115" s="6">
        <v>315.29538483005149</v>
      </c>
      <c r="G115" s="7">
        <v>3.7208589259320212E-3</v>
      </c>
      <c r="H115" s="6">
        <v>3.35</v>
      </c>
    </row>
    <row r="116" spans="1:8" x14ac:dyDescent="0.2">
      <c r="A116" s="1"/>
      <c r="B116" s="1"/>
      <c r="C116" s="2" t="s">
        <v>97</v>
      </c>
      <c r="D116" s="1"/>
      <c r="E116" s="1" t="s">
        <v>98</v>
      </c>
      <c r="F116" s="9">
        <v>1117.9343189225051</v>
      </c>
      <c r="G116" s="10">
        <v>1.3192948864160066E-2</v>
      </c>
      <c r="H116" s="112"/>
    </row>
    <row r="117" spans="1:8" x14ac:dyDescent="0.2">
      <c r="A117" s="1"/>
      <c r="B117" s="1"/>
      <c r="C117" s="11"/>
      <c r="D117" s="1"/>
      <c r="E117" s="1"/>
      <c r="F117" s="12"/>
      <c r="G117" s="12"/>
      <c r="H117" s="112"/>
    </row>
    <row r="118" spans="1:8" x14ac:dyDescent="0.2">
      <c r="A118" s="1"/>
      <c r="B118" s="1"/>
      <c r="C118" s="2" t="s">
        <v>117</v>
      </c>
      <c r="D118" s="1"/>
      <c r="E118" s="1"/>
      <c r="F118" s="9">
        <v>1117.9343189225051</v>
      </c>
      <c r="G118" s="10">
        <v>1.3192948864160066E-2</v>
      </c>
      <c r="H118" s="112"/>
    </row>
    <row r="119" spans="1:8" x14ac:dyDescent="0.2">
      <c r="A119" s="1"/>
      <c r="B119" s="1"/>
      <c r="C119" s="12"/>
      <c r="D119" s="1"/>
      <c r="E119" s="1"/>
      <c r="F119" s="1"/>
      <c r="G119" s="1"/>
      <c r="H119" s="112"/>
    </row>
    <row r="120" spans="1:8" x14ac:dyDescent="0.2">
      <c r="A120" s="1"/>
      <c r="B120" s="1"/>
      <c r="C120" s="2" t="s">
        <v>118</v>
      </c>
      <c r="D120" s="1"/>
      <c r="E120" s="1"/>
      <c r="F120" s="1"/>
      <c r="G120" s="1"/>
      <c r="H120" s="112"/>
    </row>
    <row r="121" spans="1:8" x14ac:dyDescent="0.2">
      <c r="A121" s="1"/>
      <c r="B121" s="1"/>
      <c r="C121" s="2" t="s">
        <v>119</v>
      </c>
      <c r="D121" s="1"/>
      <c r="E121" s="1"/>
      <c r="F121" s="1"/>
      <c r="G121" s="1"/>
      <c r="H121" s="112"/>
    </row>
    <row r="122" spans="1:8" x14ac:dyDescent="0.2">
      <c r="A122" s="1"/>
      <c r="B122" s="1"/>
      <c r="C122" s="2" t="s">
        <v>97</v>
      </c>
      <c r="D122" s="1"/>
      <c r="E122" s="1" t="s">
        <v>98</v>
      </c>
      <c r="F122" s="13">
        <v>0</v>
      </c>
      <c r="G122" s="14">
        <v>0</v>
      </c>
      <c r="H122" s="112"/>
    </row>
    <row r="123" spans="1:8" x14ac:dyDescent="0.2">
      <c r="A123" s="1"/>
      <c r="B123" s="1"/>
      <c r="C123" s="11"/>
      <c r="D123" s="1"/>
      <c r="E123" s="1"/>
      <c r="F123" s="12"/>
      <c r="G123" s="12"/>
      <c r="H123" s="112"/>
    </row>
    <row r="124" spans="1:8" x14ac:dyDescent="0.2">
      <c r="A124" s="1"/>
      <c r="B124" s="1"/>
      <c r="C124" s="2" t="s">
        <v>120</v>
      </c>
      <c r="D124" s="1"/>
      <c r="E124" s="1"/>
      <c r="F124" s="1"/>
      <c r="G124" s="1"/>
      <c r="H124" s="112"/>
    </row>
    <row r="125" spans="1:8" x14ac:dyDescent="0.2">
      <c r="A125" s="1"/>
      <c r="B125" s="1"/>
      <c r="C125" s="2" t="s">
        <v>121</v>
      </c>
      <c r="D125" s="1"/>
      <c r="E125" s="1"/>
      <c r="F125" s="1"/>
      <c r="G125" s="1"/>
      <c r="H125" s="112"/>
    </row>
    <row r="126" spans="1:8" x14ac:dyDescent="0.2">
      <c r="A126" s="1"/>
      <c r="B126" s="1"/>
      <c r="C126" s="2" t="s">
        <v>97</v>
      </c>
      <c r="D126" s="1"/>
      <c r="E126" s="1" t="s">
        <v>98</v>
      </c>
      <c r="F126" s="13">
        <v>0</v>
      </c>
      <c r="G126" s="14">
        <v>0</v>
      </c>
      <c r="H126" s="112"/>
    </row>
    <row r="127" spans="1:8" x14ac:dyDescent="0.2">
      <c r="A127" s="1"/>
      <c r="B127" s="1"/>
      <c r="C127" s="11"/>
      <c r="D127" s="1"/>
      <c r="E127" s="1"/>
      <c r="F127" s="12"/>
      <c r="G127" s="12"/>
      <c r="H127" s="112"/>
    </row>
    <row r="128" spans="1:8" x14ac:dyDescent="0.2">
      <c r="A128" s="1"/>
      <c r="B128" s="1"/>
      <c r="C128" s="11"/>
      <c r="D128" s="1"/>
      <c r="E128" s="1"/>
      <c r="F128" s="12"/>
      <c r="G128" s="12"/>
      <c r="H128" s="112"/>
    </row>
    <row r="129" spans="1:8" ht="25.5" x14ac:dyDescent="0.2">
      <c r="A129" s="1"/>
      <c r="B129" s="1"/>
      <c r="C129" s="2" t="s">
        <v>122</v>
      </c>
      <c r="D129" s="1"/>
      <c r="E129" s="1"/>
      <c r="F129" s="12"/>
      <c r="G129" s="12"/>
      <c r="H129" s="112"/>
    </row>
    <row r="130" spans="1:8" ht="25.5" x14ac:dyDescent="0.2">
      <c r="A130" s="3">
        <v>1</v>
      </c>
      <c r="B130" s="4"/>
      <c r="C130" s="4" t="s">
        <v>285</v>
      </c>
      <c r="D130" s="4"/>
      <c r="E130" s="8"/>
      <c r="F130" s="6">
        <v>153.321</v>
      </c>
      <c r="G130" s="7">
        <v>1.8093689999999999E-3</v>
      </c>
      <c r="H130" s="112"/>
    </row>
    <row r="131" spans="1:8" x14ac:dyDescent="0.2">
      <c r="A131" s="1"/>
      <c r="B131" s="1"/>
      <c r="C131" s="2" t="s">
        <v>97</v>
      </c>
      <c r="D131" s="1"/>
      <c r="E131" s="1" t="s">
        <v>98</v>
      </c>
      <c r="F131" s="9">
        <v>153.321</v>
      </c>
      <c r="G131" s="10">
        <v>1.8093689999999999E-3</v>
      </c>
      <c r="H131" s="112"/>
    </row>
    <row r="132" spans="1:8" x14ac:dyDescent="0.2">
      <c r="A132" s="1"/>
      <c r="B132" s="1"/>
      <c r="C132" s="11"/>
      <c r="D132" s="1"/>
      <c r="E132" s="1"/>
      <c r="F132" s="12"/>
      <c r="G132" s="12"/>
      <c r="H132" s="112"/>
    </row>
    <row r="133" spans="1:8" x14ac:dyDescent="0.2">
      <c r="A133" s="1"/>
      <c r="B133" s="4"/>
      <c r="C133" s="4"/>
      <c r="D133" s="2"/>
      <c r="E133" s="1"/>
      <c r="F133" s="4"/>
      <c r="G133" s="8"/>
      <c r="H133" s="112"/>
    </row>
    <row r="134" spans="1:8" x14ac:dyDescent="0.2">
      <c r="A134" s="8"/>
      <c r="B134" s="4"/>
      <c r="C134" s="4" t="s">
        <v>123</v>
      </c>
      <c r="D134" s="4"/>
      <c r="E134" s="8"/>
      <c r="F134" s="6">
        <v>25.837556707494837</v>
      </c>
      <c r="G134" s="7">
        <v>3.0491376697815153E-4</v>
      </c>
      <c r="H134" s="112"/>
    </row>
    <row r="135" spans="1:8" x14ac:dyDescent="0.2">
      <c r="A135" s="11"/>
      <c r="B135" s="11"/>
      <c r="C135" s="2" t="s">
        <v>124</v>
      </c>
      <c r="D135" s="15"/>
      <c r="E135" s="15"/>
      <c r="F135" s="9">
        <v>84737.258548729995</v>
      </c>
      <c r="G135" s="10">
        <v>1.0000000016311381</v>
      </c>
      <c r="H135" s="112"/>
    </row>
    <row r="136" spans="1:8" ht="14.1" customHeight="1" x14ac:dyDescent="0.2">
      <c r="A136" s="16"/>
      <c r="B136" s="16"/>
      <c r="C136" s="16"/>
      <c r="D136" s="17"/>
      <c r="E136" s="17"/>
      <c r="F136" s="17"/>
      <c r="G136" s="77"/>
    </row>
    <row r="137" spans="1:8" ht="14.1" customHeight="1" x14ac:dyDescent="0.2">
      <c r="A137" s="18"/>
      <c r="B137" s="205" t="s">
        <v>98</v>
      </c>
      <c r="C137" s="205"/>
      <c r="D137" s="205"/>
      <c r="E137" s="205"/>
      <c r="F137" s="205"/>
      <c r="G137" s="20"/>
    </row>
    <row r="138" spans="1:8" ht="14.1" customHeight="1" x14ac:dyDescent="0.2">
      <c r="A138" s="18"/>
      <c r="B138" s="205" t="s">
        <v>98</v>
      </c>
      <c r="C138" s="205"/>
      <c r="D138" s="205"/>
      <c r="E138" s="205"/>
      <c r="F138" s="205"/>
      <c r="G138" s="20"/>
    </row>
    <row r="139" spans="1:8" ht="14.1" customHeight="1" x14ac:dyDescent="0.2">
      <c r="A139" s="18"/>
      <c r="B139" s="18"/>
      <c r="C139" s="18"/>
      <c r="D139" s="20"/>
      <c r="E139" s="20"/>
      <c r="F139" s="20"/>
      <c r="G139" s="20"/>
    </row>
    <row r="140" spans="1:8" ht="14.1" customHeight="1" x14ac:dyDescent="0.2">
      <c r="A140" s="18"/>
      <c r="B140" s="203" t="s">
        <v>126</v>
      </c>
      <c r="C140" s="204"/>
      <c r="D140" s="12" t="s">
        <v>98</v>
      </c>
      <c r="E140" s="21"/>
      <c r="F140" s="20"/>
      <c r="G140" s="20"/>
    </row>
    <row r="141" spans="1:8" ht="29.1" customHeight="1" x14ac:dyDescent="0.2">
      <c r="A141" s="18"/>
      <c r="B141" s="198" t="s">
        <v>127</v>
      </c>
      <c r="C141" s="199"/>
      <c r="D141" s="2" t="s">
        <v>128</v>
      </c>
      <c r="E141" s="21"/>
      <c r="F141" s="20"/>
      <c r="G141" s="20"/>
    </row>
    <row r="142" spans="1:8" ht="17.100000000000001" customHeight="1" x14ac:dyDescent="0.2">
      <c r="A142" s="18"/>
      <c r="B142" s="198" t="s">
        <v>129</v>
      </c>
      <c r="C142" s="199"/>
      <c r="D142" s="2" t="s">
        <v>128</v>
      </c>
      <c r="E142" s="21"/>
      <c r="F142" s="20"/>
      <c r="G142" s="20"/>
    </row>
    <row r="143" spans="1:8" ht="17.100000000000001" customHeight="1" x14ac:dyDescent="0.2">
      <c r="A143" s="18"/>
      <c r="B143" s="198" t="s">
        <v>130</v>
      </c>
      <c r="C143" s="199"/>
      <c r="D143" s="12" t="s">
        <v>98</v>
      </c>
      <c r="E143" s="21"/>
      <c r="F143" s="20"/>
      <c r="G143" s="20"/>
    </row>
    <row r="144" spans="1:8" ht="24" customHeight="1" x14ac:dyDescent="0.2">
      <c r="A144" s="22"/>
      <c r="B144" s="23" t="s">
        <v>98</v>
      </c>
      <c r="C144" s="23" t="s">
        <v>131</v>
      </c>
      <c r="D144" s="23" t="s">
        <v>132</v>
      </c>
      <c r="E144" s="22"/>
      <c r="F144" s="22"/>
      <c r="G144" s="22"/>
    </row>
    <row r="145" spans="1:15" ht="18" customHeight="1" x14ac:dyDescent="0.2">
      <c r="A145" s="22"/>
      <c r="B145" s="23" t="s">
        <v>133</v>
      </c>
      <c r="C145" s="23" t="s">
        <v>134</v>
      </c>
      <c r="D145" s="23" t="s">
        <v>135</v>
      </c>
      <c r="E145" s="22"/>
      <c r="F145" s="22"/>
      <c r="G145" s="22"/>
    </row>
    <row r="146" spans="1:15" ht="17.100000000000001" customHeight="1" x14ac:dyDescent="0.2">
      <c r="A146" s="22"/>
      <c r="B146" s="4" t="s">
        <v>136</v>
      </c>
      <c r="C146" s="24">
        <v>17.0594</v>
      </c>
      <c r="D146" s="24">
        <v>17.330100000000002</v>
      </c>
      <c r="E146" s="22"/>
      <c r="F146" s="19"/>
      <c r="G146" s="25"/>
    </row>
    <row r="147" spans="1:15" ht="17.100000000000001" customHeight="1" x14ac:dyDescent="0.2">
      <c r="A147" s="22"/>
      <c r="B147" s="4" t="s">
        <v>980</v>
      </c>
      <c r="C147" s="24">
        <v>15.8748</v>
      </c>
      <c r="D147" s="24">
        <v>16.126799999999999</v>
      </c>
      <c r="E147" s="22"/>
      <c r="F147" s="19"/>
      <c r="G147" s="25"/>
    </row>
    <row r="148" spans="1:15" ht="17.100000000000001" customHeight="1" x14ac:dyDescent="0.2">
      <c r="A148" s="22"/>
      <c r="B148" s="4" t="s">
        <v>137</v>
      </c>
      <c r="C148" s="24">
        <v>16.410799999999998</v>
      </c>
      <c r="D148" s="24">
        <v>16.647600000000001</v>
      </c>
      <c r="E148" s="22"/>
      <c r="F148" s="19"/>
      <c r="G148" s="25"/>
    </row>
    <row r="149" spans="1:15" ht="17.100000000000001" customHeight="1" x14ac:dyDescent="0.2">
      <c r="A149" s="22"/>
      <c r="B149" s="4" t="s">
        <v>981</v>
      </c>
      <c r="C149" s="24">
        <v>15.285299999999999</v>
      </c>
      <c r="D149" s="24">
        <v>15.5059</v>
      </c>
      <c r="E149" s="22"/>
      <c r="F149" s="19"/>
      <c r="G149" s="25"/>
    </row>
    <row r="150" spans="1:15" ht="14.1" customHeight="1" x14ac:dyDescent="0.2">
      <c r="A150" s="22"/>
      <c r="B150" s="22"/>
      <c r="C150" s="22"/>
      <c r="D150" s="22"/>
      <c r="E150" s="22"/>
      <c r="F150" s="22"/>
      <c r="G150" s="22"/>
    </row>
    <row r="151" spans="1:15" ht="17.100000000000001" customHeight="1" x14ac:dyDescent="0.2">
      <c r="A151" s="22"/>
      <c r="B151" s="198" t="s">
        <v>982</v>
      </c>
      <c r="C151" s="199"/>
      <c r="D151" s="2" t="s">
        <v>128</v>
      </c>
      <c r="E151" s="22"/>
      <c r="F151" s="22"/>
      <c r="G151" s="22"/>
    </row>
    <row r="152" spans="1:15" ht="18" customHeight="1" x14ac:dyDescent="0.2">
      <c r="A152" s="22"/>
      <c r="B152" s="26"/>
      <c r="C152" s="26"/>
      <c r="D152" s="27"/>
      <c r="E152" s="22"/>
      <c r="F152" s="22"/>
      <c r="G152" s="22"/>
      <c r="I152" s="113"/>
      <c r="J152" s="113"/>
      <c r="K152" s="113"/>
      <c r="L152" s="113"/>
      <c r="M152" s="113"/>
      <c r="N152" s="113"/>
      <c r="O152" s="113"/>
    </row>
    <row r="153" spans="1:15" s="113" customFormat="1" x14ac:dyDescent="0.2">
      <c r="B153" s="202" t="s">
        <v>984</v>
      </c>
      <c r="C153" s="202"/>
      <c r="D153" s="202"/>
      <c r="E153" s="202"/>
      <c r="F153" s="202"/>
      <c r="I153"/>
      <c r="J153"/>
      <c r="K153"/>
      <c r="L153"/>
      <c r="M153"/>
      <c r="N153"/>
      <c r="O153"/>
    </row>
    <row r="154" spans="1:15" ht="14.1" customHeight="1" x14ac:dyDescent="0.2">
      <c r="A154" s="22"/>
      <c r="B154" s="19"/>
      <c r="C154" s="19"/>
      <c r="D154" s="22"/>
      <c r="E154" s="22"/>
      <c r="F154" s="22"/>
      <c r="G154" s="22"/>
    </row>
    <row r="155" spans="1:15" ht="29.1" customHeight="1" x14ac:dyDescent="0.2">
      <c r="A155" s="22"/>
      <c r="B155" s="198" t="s">
        <v>138</v>
      </c>
      <c r="C155" s="199"/>
      <c r="D155" s="2" t="s">
        <v>128</v>
      </c>
      <c r="E155" s="22"/>
      <c r="F155" s="22"/>
      <c r="G155" s="22"/>
    </row>
    <row r="156" spans="1:15" ht="29.1" customHeight="1" x14ac:dyDescent="0.2">
      <c r="A156" s="22"/>
      <c r="B156" s="198" t="s">
        <v>139</v>
      </c>
      <c r="C156" s="199"/>
      <c r="D156" s="2" t="s">
        <v>128</v>
      </c>
      <c r="E156" s="22"/>
      <c r="F156" s="22"/>
      <c r="G156" s="22"/>
    </row>
    <row r="157" spans="1:15" ht="17.100000000000001" customHeight="1" x14ac:dyDescent="0.2">
      <c r="A157" s="22"/>
      <c r="B157" s="198" t="s">
        <v>140</v>
      </c>
      <c r="C157" s="199"/>
      <c r="D157" s="28">
        <v>0.89683862841650341</v>
      </c>
      <c r="E157" s="22"/>
      <c r="F157" s="19"/>
      <c r="G157" s="25"/>
    </row>
    <row r="158" spans="1:15" ht="17.100000000000001" customHeight="1" x14ac:dyDescent="0.2">
      <c r="A158" s="22"/>
      <c r="B158" s="198" t="s">
        <v>141</v>
      </c>
      <c r="C158" s="199"/>
      <c r="D158" s="2" t="s">
        <v>128</v>
      </c>
      <c r="E158" s="22"/>
      <c r="F158" s="22"/>
      <c r="G158" s="22"/>
    </row>
  </sheetData>
  <mergeCells count="16">
    <mergeCell ref="B158:C158"/>
    <mergeCell ref="B141:C141"/>
    <mergeCell ref="B142:C142"/>
    <mergeCell ref="B143:C143"/>
    <mergeCell ref="B151:C151"/>
    <mergeCell ref="B155:C155"/>
    <mergeCell ref="B156:C156"/>
    <mergeCell ref="B153:F153"/>
    <mergeCell ref="A1:H1"/>
    <mergeCell ref="A2:H2"/>
    <mergeCell ref="A3:H3"/>
    <mergeCell ref="J2:N2"/>
    <mergeCell ref="B157:C157"/>
    <mergeCell ref="B140:C140"/>
    <mergeCell ref="B137:F137"/>
    <mergeCell ref="B138:F138"/>
  </mergeCells>
  <pageMargins left="5.000000074505806E-2" right="5.000000074505806E-2" top="0.30000001192092896" bottom="0.20000000298023224" header="0" footer="0"/>
  <pageSetup paperSize="9" orientation="landscape"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O173"/>
  <sheetViews>
    <sheetView showGridLines="0" workbookViewId="0">
      <selection activeCell="A4" sqref="A4"/>
    </sheetView>
  </sheetViews>
  <sheetFormatPr defaultRowHeight="12.75" x14ac:dyDescent="0.2"/>
  <cols>
    <col min="1" max="1" width="6.85546875" customWidth="1"/>
    <col min="2" max="2" width="20.5703125" customWidth="1"/>
    <col min="3" max="3" width="36.85546875" customWidth="1"/>
    <col min="4" max="4" width="17.85546875" customWidth="1"/>
    <col min="5" max="6" width="19.140625" customWidth="1"/>
    <col min="7" max="7" width="16.42578125" customWidth="1"/>
  </cols>
  <sheetData>
    <row r="1" spans="1:15" ht="15" x14ac:dyDescent="0.2">
      <c r="A1" s="193" t="s">
        <v>0</v>
      </c>
      <c r="B1" s="193"/>
      <c r="C1" s="193"/>
      <c r="D1" s="193"/>
      <c r="E1" s="193"/>
      <c r="F1" s="193"/>
      <c r="G1" s="193"/>
      <c r="H1" s="193"/>
    </row>
    <row r="2" spans="1:15" ht="15" x14ac:dyDescent="0.2">
      <c r="A2" s="194" t="s">
        <v>710</v>
      </c>
      <c r="B2" s="195"/>
      <c r="C2" s="195"/>
      <c r="D2" s="195"/>
      <c r="E2" s="195"/>
      <c r="F2" s="195"/>
      <c r="G2" s="195"/>
      <c r="H2" s="196"/>
      <c r="J2" s="197" t="s">
        <v>1010</v>
      </c>
      <c r="K2" s="197"/>
      <c r="L2" s="197"/>
      <c r="M2" s="197"/>
      <c r="N2" s="197"/>
    </row>
    <row r="3" spans="1:15" ht="15" x14ac:dyDescent="0.2">
      <c r="A3" s="193" t="s">
        <v>934</v>
      </c>
      <c r="B3" s="193"/>
      <c r="C3" s="193"/>
      <c r="D3" s="193"/>
      <c r="E3" s="193"/>
      <c r="F3" s="193"/>
      <c r="G3" s="193"/>
      <c r="H3" s="193"/>
    </row>
    <row r="4" spans="1:15" s="119" customFormat="1" ht="30" x14ac:dyDescent="0.2">
      <c r="A4" s="118" t="s">
        <v>2</v>
      </c>
      <c r="B4" s="118" t="s">
        <v>3</v>
      </c>
      <c r="C4" s="118" t="s">
        <v>4</v>
      </c>
      <c r="D4" s="118" t="s">
        <v>5</v>
      </c>
      <c r="E4" s="118" t="s">
        <v>6</v>
      </c>
      <c r="F4" s="118" t="s">
        <v>7</v>
      </c>
      <c r="G4" s="118" t="s">
        <v>8</v>
      </c>
      <c r="H4" s="111" t="s">
        <v>970</v>
      </c>
    </row>
    <row r="5" spans="1:15" x14ac:dyDescent="0.2">
      <c r="A5" s="1"/>
      <c r="B5" s="1"/>
      <c r="C5" s="2" t="s">
        <v>9</v>
      </c>
      <c r="D5" s="1"/>
      <c r="E5" s="1"/>
      <c r="F5" s="1"/>
      <c r="G5" s="1"/>
      <c r="H5" s="112"/>
    </row>
    <row r="6" spans="1:15" x14ac:dyDescent="0.2">
      <c r="A6" s="1"/>
      <c r="B6" s="1"/>
      <c r="C6" s="2" t="s">
        <v>10</v>
      </c>
      <c r="D6" s="1"/>
      <c r="E6" s="1"/>
      <c r="F6" s="1"/>
      <c r="G6" s="1"/>
      <c r="H6" s="112"/>
    </row>
    <row r="7" spans="1:15" ht="25.5" x14ac:dyDescent="0.2">
      <c r="A7" s="3">
        <v>1</v>
      </c>
      <c r="B7" s="4" t="s">
        <v>416</v>
      </c>
      <c r="C7" s="4" t="s">
        <v>417</v>
      </c>
      <c r="D7" s="4" t="s">
        <v>81</v>
      </c>
      <c r="E7" s="5">
        <v>34750</v>
      </c>
      <c r="F7" s="6">
        <v>988.53324999999995</v>
      </c>
      <c r="G7" s="7">
        <v>6.3125087999999996E-2</v>
      </c>
      <c r="H7" s="112"/>
    </row>
    <row r="8" spans="1:15" x14ac:dyDescent="0.2">
      <c r="A8" s="3">
        <v>2</v>
      </c>
      <c r="B8" s="4" t="s">
        <v>14</v>
      </c>
      <c r="C8" s="4" t="s">
        <v>15</v>
      </c>
      <c r="D8" s="4" t="s">
        <v>16</v>
      </c>
      <c r="E8" s="5">
        <v>34000</v>
      </c>
      <c r="F8" s="6">
        <v>862.32500000000005</v>
      </c>
      <c r="G8" s="7">
        <v>5.5065767000000002E-2</v>
      </c>
      <c r="H8" s="112"/>
    </row>
    <row r="9" spans="1:15" x14ac:dyDescent="0.2">
      <c r="A9" s="3">
        <v>3</v>
      </c>
      <c r="B9" s="4" t="s">
        <v>17</v>
      </c>
      <c r="C9" s="4" t="s">
        <v>18</v>
      </c>
      <c r="D9" s="4" t="s">
        <v>19</v>
      </c>
      <c r="E9" s="5">
        <v>106750</v>
      </c>
      <c r="F9" s="6">
        <v>856.18837499999995</v>
      </c>
      <c r="G9" s="7">
        <v>5.4673898999999998E-2</v>
      </c>
      <c r="H9" s="112"/>
    </row>
    <row r="10" spans="1:15" ht="25.5" x14ac:dyDescent="0.2">
      <c r="A10" s="3">
        <v>4</v>
      </c>
      <c r="B10" s="4" t="s">
        <v>424</v>
      </c>
      <c r="C10" s="4" t="s">
        <v>425</v>
      </c>
      <c r="D10" s="4" t="s">
        <v>192</v>
      </c>
      <c r="E10" s="5">
        <v>34000</v>
      </c>
      <c r="F10" s="6">
        <v>813.67100000000005</v>
      </c>
      <c r="G10" s="7">
        <v>5.1958852999999999E-2</v>
      </c>
      <c r="H10" s="112"/>
    </row>
    <row r="11" spans="1:15" x14ac:dyDescent="0.2">
      <c r="A11" s="3">
        <v>5</v>
      </c>
      <c r="B11" s="4" t="s">
        <v>439</v>
      </c>
      <c r="C11" s="4" t="s">
        <v>440</v>
      </c>
      <c r="D11" s="4" t="s">
        <v>162</v>
      </c>
      <c r="E11" s="5">
        <v>44000</v>
      </c>
      <c r="F11" s="6">
        <v>650.25400000000002</v>
      </c>
      <c r="G11" s="7">
        <v>4.1523480000000001E-2</v>
      </c>
      <c r="H11" s="112"/>
    </row>
    <row r="12" spans="1:15" x14ac:dyDescent="0.2">
      <c r="A12" s="3">
        <v>6</v>
      </c>
      <c r="B12" s="4" t="s">
        <v>412</v>
      </c>
      <c r="C12" s="4" t="s">
        <v>413</v>
      </c>
      <c r="D12" s="4" t="s">
        <v>19</v>
      </c>
      <c r="E12" s="5">
        <v>30000</v>
      </c>
      <c r="F12" s="6">
        <v>474.85500000000002</v>
      </c>
      <c r="G12" s="7">
        <v>3.0322970000000001E-2</v>
      </c>
      <c r="H12" s="112"/>
    </row>
    <row r="13" spans="1:15" x14ac:dyDescent="0.2">
      <c r="A13" s="3">
        <v>7</v>
      </c>
      <c r="B13" s="4" t="s">
        <v>414</v>
      </c>
      <c r="C13" s="4" t="s">
        <v>415</v>
      </c>
      <c r="D13" s="4" t="s">
        <v>162</v>
      </c>
      <c r="E13" s="5">
        <v>27000</v>
      </c>
      <c r="F13" s="6">
        <v>450.29250000000002</v>
      </c>
      <c r="G13" s="86">
        <v>2.8754473999999999E-2</v>
      </c>
      <c r="H13" s="112"/>
    </row>
    <row r="14" spans="1:15" ht="25.5" x14ac:dyDescent="0.2">
      <c r="A14" s="3">
        <v>8</v>
      </c>
      <c r="B14" s="4" t="s">
        <v>443</v>
      </c>
      <c r="C14" s="4" t="s">
        <v>444</v>
      </c>
      <c r="D14" s="4" t="s">
        <v>192</v>
      </c>
      <c r="E14" s="5">
        <v>194000</v>
      </c>
      <c r="F14" s="85">
        <v>433.00799999999998</v>
      </c>
      <c r="G14" s="87">
        <v>2.7650732000000001E-2</v>
      </c>
      <c r="H14" s="112"/>
    </row>
    <row r="15" spans="1:15" s="76" customFormat="1" ht="15" x14ac:dyDescent="0.2">
      <c r="A15" s="3">
        <v>9</v>
      </c>
      <c r="B15" s="70" t="s">
        <v>927</v>
      </c>
      <c r="C15" s="70" t="s">
        <v>928</v>
      </c>
      <c r="D15" s="70" t="s">
        <v>64</v>
      </c>
      <c r="E15" s="72">
        <v>110320</v>
      </c>
      <c r="F15" s="88">
        <v>385.722848</v>
      </c>
      <c r="G15" s="90">
        <v>2.463123E-2</v>
      </c>
      <c r="H15" s="112"/>
      <c r="I15"/>
      <c r="J15" s="188" t="s">
        <v>1027</v>
      </c>
      <c r="K15"/>
      <c r="L15"/>
      <c r="M15"/>
      <c r="N15"/>
      <c r="O15"/>
    </row>
    <row r="16" spans="1:15" ht="25.5" x14ac:dyDescent="0.2">
      <c r="A16" s="3">
        <v>10</v>
      </c>
      <c r="B16" s="4" t="s">
        <v>489</v>
      </c>
      <c r="C16" s="4" t="s">
        <v>490</v>
      </c>
      <c r="D16" s="4" t="s">
        <v>192</v>
      </c>
      <c r="E16" s="5">
        <v>40000</v>
      </c>
      <c r="F16" s="6">
        <v>378.94</v>
      </c>
      <c r="G16" s="89">
        <v>2.4198094E-2</v>
      </c>
      <c r="H16" s="112"/>
      <c r="I16" s="76"/>
      <c r="J16" s="76"/>
      <c r="K16" s="76"/>
      <c r="L16" s="76"/>
      <c r="M16" s="76"/>
      <c r="N16" s="76"/>
      <c r="O16" s="76"/>
    </row>
    <row r="17" spans="1:15" x14ac:dyDescent="0.2">
      <c r="A17" s="3">
        <v>11</v>
      </c>
      <c r="B17" s="4" t="s">
        <v>22</v>
      </c>
      <c r="C17" s="4" t="s">
        <v>23</v>
      </c>
      <c r="D17" s="4" t="s">
        <v>24</v>
      </c>
      <c r="E17" s="5">
        <v>53213</v>
      </c>
      <c r="F17" s="6">
        <v>364.69529549999999</v>
      </c>
      <c r="G17" s="7">
        <v>2.3288466000000001E-2</v>
      </c>
      <c r="H17" s="112"/>
    </row>
    <row r="18" spans="1:15" x14ac:dyDescent="0.2">
      <c r="A18" s="3">
        <v>12</v>
      </c>
      <c r="B18" s="4" t="s">
        <v>343</v>
      </c>
      <c r="C18" s="4" t="s">
        <v>344</v>
      </c>
      <c r="D18" s="4" t="s">
        <v>53</v>
      </c>
      <c r="E18" s="5">
        <v>84500</v>
      </c>
      <c r="F18" s="6">
        <v>352.61849999999998</v>
      </c>
      <c r="G18" s="7">
        <v>2.2517274E-2</v>
      </c>
      <c r="H18" s="112"/>
    </row>
    <row r="19" spans="1:15" ht="25.5" x14ac:dyDescent="0.2">
      <c r="A19" s="3">
        <v>13</v>
      </c>
      <c r="B19" s="4" t="s">
        <v>400</v>
      </c>
      <c r="C19" s="4" t="s">
        <v>401</v>
      </c>
      <c r="D19" s="4" t="s">
        <v>192</v>
      </c>
      <c r="E19" s="5">
        <v>41725</v>
      </c>
      <c r="F19" s="6">
        <v>337.76387499999998</v>
      </c>
      <c r="G19" s="7">
        <v>2.1568697000000001E-2</v>
      </c>
      <c r="H19" s="112"/>
    </row>
    <row r="20" spans="1:15" x14ac:dyDescent="0.2">
      <c r="A20" s="3">
        <v>14</v>
      </c>
      <c r="B20" s="4" t="s">
        <v>322</v>
      </c>
      <c r="C20" s="4" t="s">
        <v>323</v>
      </c>
      <c r="D20" s="4" t="s">
        <v>19</v>
      </c>
      <c r="E20" s="5">
        <v>43100</v>
      </c>
      <c r="F20" s="6">
        <v>319.80200000000002</v>
      </c>
      <c r="G20" s="7">
        <v>2.0421700000000001E-2</v>
      </c>
      <c r="H20" s="112"/>
    </row>
    <row r="21" spans="1:15" x14ac:dyDescent="0.2">
      <c r="A21" s="3">
        <v>15</v>
      </c>
      <c r="B21" s="4" t="s">
        <v>418</v>
      </c>
      <c r="C21" s="4" t="s">
        <v>419</v>
      </c>
      <c r="D21" s="4" t="s">
        <v>19</v>
      </c>
      <c r="E21" s="5">
        <v>54000</v>
      </c>
      <c r="F21" s="6">
        <v>271.161</v>
      </c>
      <c r="G21" s="7">
        <v>1.7315615999999999E-2</v>
      </c>
      <c r="H21" s="112"/>
    </row>
    <row r="22" spans="1:15" x14ac:dyDescent="0.2">
      <c r="A22" s="3">
        <v>16</v>
      </c>
      <c r="B22" s="4" t="s">
        <v>422</v>
      </c>
      <c r="C22" s="4" t="s">
        <v>423</v>
      </c>
      <c r="D22" s="4" t="s">
        <v>162</v>
      </c>
      <c r="E22" s="5">
        <v>6339</v>
      </c>
      <c r="F22" s="6">
        <v>215.38337250000001</v>
      </c>
      <c r="G22" s="7">
        <v>1.3753806E-2</v>
      </c>
      <c r="H22" s="112"/>
    </row>
    <row r="23" spans="1:15" x14ac:dyDescent="0.2">
      <c r="A23" s="3">
        <v>17</v>
      </c>
      <c r="B23" s="4" t="s">
        <v>11</v>
      </c>
      <c r="C23" s="4" t="s">
        <v>12</v>
      </c>
      <c r="D23" s="4" t="s">
        <v>13</v>
      </c>
      <c r="E23" s="5">
        <v>11000</v>
      </c>
      <c r="F23" s="6">
        <v>194.33150000000001</v>
      </c>
      <c r="G23" s="7">
        <v>1.240949E-2</v>
      </c>
      <c r="H23" s="112"/>
    </row>
    <row r="24" spans="1:15" x14ac:dyDescent="0.2">
      <c r="A24" s="3">
        <v>18</v>
      </c>
      <c r="B24" s="4" t="s">
        <v>386</v>
      </c>
      <c r="C24" s="4" t="s">
        <v>387</v>
      </c>
      <c r="D24" s="4" t="s">
        <v>973</v>
      </c>
      <c r="E24" s="5">
        <v>1000</v>
      </c>
      <c r="F24" s="6">
        <v>178.2115</v>
      </c>
      <c r="G24" s="7">
        <v>1.1380110000000001E-2</v>
      </c>
      <c r="H24" s="112"/>
    </row>
    <row r="25" spans="1:15" x14ac:dyDescent="0.2">
      <c r="A25" s="3">
        <v>19</v>
      </c>
      <c r="B25" s="4" t="s">
        <v>435</v>
      </c>
      <c r="C25" s="4" t="s">
        <v>436</v>
      </c>
      <c r="D25" s="4" t="s">
        <v>78</v>
      </c>
      <c r="E25" s="5">
        <v>19800</v>
      </c>
      <c r="F25" s="6">
        <v>175.08150000000001</v>
      </c>
      <c r="G25" s="7">
        <v>1.1180236E-2</v>
      </c>
      <c r="H25" s="112"/>
    </row>
    <row r="26" spans="1:15" x14ac:dyDescent="0.2">
      <c r="A26" s="3">
        <v>20</v>
      </c>
      <c r="B26" s="4" t="s">
        <v>639</v>
      </c>
      <c r="C26" s="4" t="s">
        <v>640</v>
      </c>
      <c r="D26" s="4" t="s">
        <v>186</v>
      </c>
      <c r="E26" s="5">
        <v>17850</v>
      </c>
      <c r="F26" s="6">
        <v>164.73765</v>
      </c>
      <c r="G26" s="7">
        <v>1.0519706E-2</v>
      </c>
      <c r="H26" s="112"/>
    </row>
    <row r="27" spans="1:15" x14ac:dyDescent="0.2">
      <c r="A27" s="3">
        <v>21</v>
      </c>
      <c r="B27" s="4" t="s">
        <v>380</v>
      </c>
      <c r="C27" s="4" t="s">
        <v>381</v>
      </c>
      <c r="D27" s="4" t="s">
        <v>81</v>
      </c>
      <c r="E27" s="5">
        <v>40000</v>
      </c>
      <c r="F27" s="6">
        <v>162.74</v>
      </c>
      <c r="G27" s="7">
        <v>1.0392141000000001E-2</v>
      </c>
      <c r="H27" s="112"/>
    </row>
    <row r="28" spans="1:15" x14ac:dyDescent="0.2">
      <c r="A28" s="3">
        <v>22</v>
      </c>
      <c r="B28" s="4" t="s">
        <v>316</v>
      </c>
      <c r="C28" s="4" t="s">
        <v>317</v>
      </c>
      <c r="D28" s="4" t="s">
        <v>19</v>
      </c>
      <c r="E28" s="5">
        <v>150000</v>
      </c>
      <c r="F28" s="6">
        <v>146.17500000000001</v>
      </c>
      <c r="G28" s="7">
        <v>9.3343439999999996E-3</v>
      </c>
      <c r="H28" s="112"/>
    </row>
    <row r="29" spans="1:15" x14ac:dyDescent="0.2">
      <c r="A29" s="3">
        <v>23</v>
      </c>
      <c r="B29" s="4" t="s">
        <v>445</v>
      </c>
      <c r="C29" s="4" t="s">
        <v>446</v>
      </c>
      <c r="D29" s="4" t="s">
        <v>19</v>
      </c>
      <c r="E29" s="5">
        <v>7100</v>
      </c>
      <c r="F29" s="6">
        <v>144.21164999999999</v>
      </c>
      <c r="G29" s="7">
        <v>9.2089700000000003E-3</v>
      </c>
      <c r="H29" s="112"/>
    </row>
    <row r="30" spans="1:15" ht="25.5" x14ac:dyDescent="0.2">
      <c r="A30" s="3">
        <v>24</v>
      </c>
      <c r="B30" s="4" t="s">
        <v>28</v>
      </c>
      <c r="C30" s="4" t="s">
        <v>29</v>
      </c>
      <c r="D30" s="4" t="s">
        <v>971</v>
      </c>
      <c r="E30" s="5">
        <v>1700</v>
      </c>
      <c r="F30" s="6">
        <v>129.81285</v>
      </c>
      <c r="G30" s="7">
        <v>8.2895009999999995E-3</v>
      </c>
      <c r="H30" s="112"/>
    </row>
    <row r="31" spans="1:15" x14ac:dyDescent="0.2">
      <c r="A31" s="3">
        <v>25</v>
      </c>
      <c r="B31" s="4" t="s">
        <v>576</v>
      </c>
      <c r="C31" s="4" t="s">
        <v>577</v>
      </c>
      <c r="D31" s="4" t="s">
        <v>78</v>
      </c>
      <c r="E31" s="5">
        <v>3250</v>
      </c>
      <c r="F31" s="6">
        <v>120.485625</v>
      </c>
      <c r="G31" s="7">
        <v>7.6938900000000001E-3</v>
      </c>
      <c r="H31" s="112"/>
      <c r="I31" s="76"/>
      <c r="J31" s="76"/>
      <c r="K31" s="76"/>
      <c r="L31" s="76"/>
      <c r="M31" s="76"/>
      <c r="N31" s="76"/>
      <c r="O31" s="76"/>
    </row>
    <row r="32" spans="1:15" x14ac:dyDescent="0.2">
      <c r="A32" s="3">
        <v>26</v>
      </c>
      <c r="B32" s="4" t="s">
        <v>433</v>
      </c>
      <c r="C32" s="4" t="s">
        <v>434</v>
      </c>
      <c r="D32" s="4" t="s">
        <v>53</v>
      </c>
      <c r="E32" s="5">
        <v>8500</v>
      </c>
      <c r="F32" s="6">
        <v>111.85575</v>
      </c>
      <c r="G32" s="7">
        <v>7.142809E-3</v>
      </c>
      <c r="H32" s="112"/>
    </row>
    <row r="33" spans="1:15" x14ac:dyDescent="0.2">
      <c r="A33" s="3">
        <v>27</v>
      </c>
      <c r="B33" s="4" t="s">
        <v>591</v>
      </c>
      <c r="C33" s="4" t="s">
        <v>592</v>
      </c>
      <c r="D33" s="4" t="s">
        <v>973</v>
      </c>
      <c r="E33" s="5">
        <v>16100</v>
      </c>
      <c r="F33" s="6">
        <v>109.55244999999999</v>
      </c>
      <c r="G33" s="7">
        <v>6.9957259999999999E-3</v>
      </c>
      <c r="H33" s="112"/>
    </row>
    <row r="34" spans="1:15" x14ac:dyDescent="0.2">
      <c r="A34" s="3">
        <v>28</v>
      </c>
      <c r="B34" s="4" t="s">
        <v>430</v>
      </c>
      <c r="C34" s="4" t="s">
        <v>431</v>
      </c>
      <c r="D34" s="4" t="s">
        <v>432</v>
      </c>
      <c r="E34" s="5">
        <v>20000</v>
      </c>
      <c r="F34" s="6">
        <v>91.96</v>
      </c>
      <c r="G34" s="7">
        <v>5.8723200000000003E-3</v>
      </c>
      <c r="H34" s="112"/>
    </row>
    <row r="35" spans="1:15" x14ac:dyDescent="0.2">
      <c r="A35" s="3">
        <v>29</v>
      </c>
      <c r="B35" s="4" t="s">
        <v>35</v>
      </c>
      <c r="C35" s="4" t="s">
        <v>36</v>
      </c>
      <c r="D35" s="4" t="s">
        <v>16</v>
      </c>
      <c r="E35" s="5">
        <v>22000</v>
      </c>
      <c r="F35" s="6">
        <v>91.894000000000005</v>
      </c>
      <c r="G35" s="7">
        <v>5.8681050000000002E-3</v>
      </c>
      <c r="H35" s="112"/>
    </row>
    <row r="36" spans="1:15" x14ac:dyDescent="0.2">
      <c r="A36" s="3">
        <v>30</v>
      </c>
      <c r="B36" s="4" t="s">
        <v>312</v>
      </c>
      <c r="C36" s="4" t="s">
        <v>313</v>
      </c>
      <c r="D36" s="4" t="s">
        <v>212</v>
      </c>
      <c r="E36" s="5">
        <v>225</v>
      </c>
      <c r="F36" s="6">
        <v>84.681112499999998</v>
      </c>
      <c r="G36" s="7">
        <v>5.4075089999999996E-3</v>
      </c>
      <c r="H36" s="112"/>
    </row>
    <row r="37" spans="1:15" x14ac:dyDescent="0.2">
      <c r="A37" s="3">
        <v>31</v>
      </c>
      <c r="B37" s="4" t="s">
        <v>437</v>
      </c>
      <c r="C37" s="4" t="s">
        <v>438</v>
      </c>
      <c r="D37" s="4" t="s">
        <v>186</v>
      </c>
      <c r="E37" s="5">
        <v>1600</v>
      </c>
      <c r="F37" s="6">
        <v>82.4024</v>
      </c>
      <c r="G37" s="7">
        <v>5.261997E-3</v>
      </c>
      <c r="H37" s="112"/>
    </row>
    <row r="38" spans="1:15" x14ac:dyDescent="0.2">
      <c r="A38" s="3">
        <v>32</v>
      </c>
      <c r="B38" s="4" t="s">
        <v>376</v>
      </c>
      <c r="C38" s="4" t="s">
        <v>377</v>
      </c>
      <c r="D38" s="4" t="s">
        <v>162</v>
      </c>
      <c r="E38" s="5">
        <v>7000</v>
      </c>
      <c r="F38" s="6">
        <v>80.0625</v>
      </c>
      <c r="G38" s="7">
        <v>5.1125770000000001E-3</v>
      </c>
      <c r="H38" s="112"/>
    </row>
    <row r="39" spans="1:15" x14ac:dyDescent="0.2">
      <c r="A39" s="3">
        <v>33</v>
      </c>
      <c r="B39" s="4" t="s">
        <v>428</v>
      </c>
      <c r="C39" s="4" t="s">
        <v>429</v>
      </c>
      <c r="D39" s="4" t="s">
        <v>186</v>
      </c>
      <c r="E39" s="5">
        <v>10000</v>
      </c>
      <c r="F39" s="6">
        <v>79.5</v>
      </c>
      <c r="G39" s="7">
        <v>5.076657E-3</v>
      </c>
      <c r="H39" s="112"/>
    </row>
    <row r="40" spans="1:15" s="76" customFormat="1" ht="25.5" x14ac:dyDescent="0.2">
      <c r="A40" s="3">
        <v>34</v>
      </c>
      <c r="B40" s="70" t="s">
        <v>929</v>
      </c>
      <c r="C40" s="70" t="s">
        <v>930</v>
      </c>
      <c r="D40" s="70" t="s">
        <v>34</v>
      </c>
      <c r="E40" s="72">
        <v>65000</v>
      </c>
      <c r="F40" s="73">
        <v>78.682500000000005</v>
      </c>
      <c r="G40" s="7">
        <v>5.0244499999999997E-3</v>
      </c>
      <c r="H40" s="112"/>
      <c r="I40"/>
      <c r="J40"/>
      <c r="K40"/>
      <c r="L40"/>
      <c r="M40"/>
      <c r="N40"/>
      <c r="O40"/>
    </row>
    <row r="41" spans="1:15" ht="25.5" x14ac:dyDescent="0.2">
      <c r="A41" s="3">
        <v>35</v>
      </c>
      <c r="B41" s="4" t="s">
        <v>20</v>
      </c>
      <c r="C41" s="4" t="s">
        <v>21</v>
      </c>
      <c r="D41" s="4" t="s">
        <v>971</v>
      </c>
      <c r="E41" s="5">
        <v>7000</v>
      </c>
      <c r="F41" s="6">
        <v>74.655000000000001</v>
      </c>
      <c r="G41" s="7">
        <v>4.7672690000000002E-3</v>
      </c>
      <c r="H41" s="112"/>
    </row>
    <row r="42" spans="1:15" x14ac:dyDescent="0.2">
      <c r="A42" s="3">
        <v>36</v>
      </c>
      <c r="B42" s="4" t="s">
        <v>420</v>
      </c>
      <c r="C42" s="4" t="s">
        <v>421</v>
      </c>
      <c r="D42" s="4" t="s">
        <v>973</v>
      </c>
      <c r="E42" s="5">
        <v>6000</v>
      </c>
      <c r="F42" s="6">
        <v>68.733000000000004</v>
      </c>
      <c r="G42" s="7">
        <v>4.3891049999999999E-3</v>
      </c>
      <c r="H42" s="112"/>
    </row>
    <row r="43" spans="1:15" x14ac:dyDescent="0.2">
      <c r="A43" s="3">
        <v>37</v>
      </c>
      <c r="B43" s="4" t="s">
        <v>306</v>
      </c>
      <c r="C43" s="4" t="s">
        <v>307</v>
      </c>
      <c r="D43" s="4" t="s">
        <v>973</v>
      </c>
      <c r="E43" s="5">
        <v>7000</v>
      </c>
      <c r="F43" s="6">
        <v>68.152000000000001</v>
      </c>
      <c r="G43" s="7">
        <v>4.3520039999999996E-3</v>
      </c>
      <c r="H43" s="112"/>
    </row>
    <row r="44" spans="1:15" x14ac:dyDescent="0.2">
      <c r="A44" s="3">
        <v>38</v>
      </c>
      <c r="B44" s="4" t="s">
        <v>193</v>
      </c>
      <c r="C44" s="4" t="s">
        <v>194</v>
      </c>
      <c r="D44" s="4" t="s">
        <v>16</v>
      </c>
      <c r="E44" s="5">
        <v>20000</v>
      </c>
      <c r="F44" s="6">
        <v>62.08</v>
      </c>
      <c r="G44" s="7">
        <v>3.964263E-3</v>
      </c>
      <c r="H44" s="112"/>
    </row>
    <row r="45" spans="1:15" x14ac:dyDescent="0.2">
      <c r="A45" s="3">
        <v>39</v>
      </c>
      <c r="B45" s="4" t="s">
        <v>677</v>
      </c>
      <c r="C45" s="4" t="s">
        <v>678</v>
      </c>
      <c r="D45" s="4" t="s">
        <v>78</v>
      </c>
      <c r="E45" s="5">
        <v>2100</v>
      </c>
      <c r="F45" s="6">
        <v>55.799100000000003</v>
      </c>
      <c r="G45" s="7">
        <v>3.5631809999999999E-3</v>
      </c>
      <c r="H45" s="112"/>
    </row>
    <row r="46" spans="1:15" x14ac:dyDescent="0.2">
      <c r="A46" s="3">
        <v>40</v>
      </c>
      <c r="B46" s="4" t="s">
        <v>507</v>
      </c>
      <c r="C46" s="4" t="s">
        <v>508</v>
      </c>
      <c r="D46" s="4" t="s">
        <v>78</v>
      </c>
      <c r="E46" s="5">
        <v>11300</v>
      </c>
      <c r="F46" s="6">
        <v>54.658099999999997</v>
      </c>
      <c r="G46" s="7">
        <v>3.4903199999999999E-3</v>
      </c>
      <c r="H46" s="112"/>
    </row>
    <row r="47" spans="1:15" x14ac:dyDescent="0.2">
      <c r="A47" s="3">
        <v>41</v>
      </c>
      <c r="B47" s="4" t="s">
        <v>339</v>
      </c>
      <c r="C47" s="4" t="s">
        <v>340</v>
      </c>
      <c r="D47" s="4" t="s">
        <v>81</v>
      </c>
      <c r="E47" s="5">
        <v>3500</v>
      </c>
      <c r="F47" s="6">
        <v>50.267000000000003</v>
      </c>
      <c r="G47" s="7">
        <v>3.2099160000000002E-3</v>
      </c>
      <c r="H47" s="112"/>
    </row>
    <row r="48" spans="1:15" x14ac:dyDescent="0.2">
      <c r="A48" s="3">
        <v>42</v>
      </c>
      <c r="B48" s="4" t="s">
        <v>59</v>
      </c>
      <c r="C48" s="4" t="s">
        <v>60</v>
      </c>
      <c r="D48" s="4" t="s">
        <v>61</v>
      </c>
      <c r="E48" s="5">
        <v>33000</v>
      </c>
      <c r="F48" s="6">
        <v>49.1205</v>
      </c>
      <c r="G48" s="7">
        <v>3.1367040000000001E-3</v>
      </c>
      <c r="H48" s="112"/>
    </row>
    <row r="49" spans="1:8" x14ac:dyDescent="0.2">
      <c r="A49" s="3">
        <v>43</v>
      </c>
      <c r="B49" s="4" t="s">
        <v>337</v>
      </c>
      <c r="C49" s="4" t="s">
        <v>338</v>
      </c>
      <c r="D49" s="4" t="s">
        <v>19</v>
      </c>
      <c r="E49" s="5">
        <v>50000</v>
      </c>
      <c r="F49" s="6">
        <v>48.75</v>
      </c>
      <c r="G49" s="7">
        <v>3.113045E-3</v>
      </c>
      <c r="H49" s="112"/>
    </row>
    <row r="50" spans="1:8" x14ac:dyDescent="0.2">
      <c r="A50" s="3">
        <v>44</v>
      </c>
      <c r="B50" s="4" t="s">
        <v>390</v>
      </c>
      <c r="C50" s="4" t="s">
        <v>391</v>
      </c>
      <c r="D50" s="4" t="s">
        <v>334</v>
      </c>
      <c r="E50" s="5">
        <v>35775</v>
      </c>
      <c r="F50" s="6">
        <v>47.062012500000002</v>
      </c>
      <c r="G50" s="7">
        <v>3.0052540000000002E-3</v>
      </c>
      <c r="H50" s="112"/>
    </row>
    <row r="51" spans="1:8" x14ac:dyDescent="0.2">
      <c r="A51" s="3">
        <v>45</v>
      </c>
      <c r="B51" s="4" t="s">
        <v>426</v>
      </c>
      <c r="C51" s="4" t="s">
        <v>427</v>
      </c>
      <c r="D51" s="4" t="s">
        <v>162</v>
      </c>
      <c r="E51" s="5">
        <v>6000</v>
      </c>
      <c r="F51" s="6">
        <v>38.805</v>
      </c>
      <c r="G51" s="7">
        <v>2.477983E-3</v>
      </c>
      <c r="H51" s="112"/>
    </row>
    <row r="52" spans="1:8" x14ac:dyDescent="0.2">
      <c r="A52" s="3">
        <v>46</v>
      </c>
      <c r="B52" s="4" t="s">
        <v>345</v>
      </c>
      <c r="C52" s="4" t="s">
        <v>346</v>
      </c>
      <c r="D52" s="4" t="s">
        <v>186</v>
      </c>
      <c r="E52" s="5">
        <v>1000</v>
      </c>
      <c r="F52" s="6">
        <v>37.002000000000002</v>
      </c>
      <c r="G52" s="7">
        <v>2.3628490000000002E-3</v>
      </c>
      <c r="H52" s="112"/>
    </row>
    <row r="53" spans="1:8" ht="25.5" x14ac:dyDescent="0.2">
      <c r="A53" s="3">
        <v>47</v>
      </c>
      <c r="B53" s="4" t="s">
        <v>570</v>
      </c>
      <c r="C53" s="4" t="s">
        <v>571</v>
      </c>
      <c r="D53" s="4" t="s">
        <v>192</v>
      </c>
      <c r="E53" s="5">
        <v>175</v>
      </c>
      <c r="F53" s="6">
        <v>33.250262499999998</v>
      </c>
      <c r="G53" s="7">
        <v>2.1232730000000002E-3</v>
      </c>
      <c r="H53" s="112"/>
    </row>
    <row r="54" spans="1:8" x14ac:dyDescent="0.2">
      <c r="A54" s="3">
        <v>48</v>
      </c>
      <c r="B54" s="4" t="s">
        <v>358</v>
      </c>
      <c r="C54" s="4" t="s">
        <v>359</v>
      </c>
      <c r="D54" s="4" t="s">
        <v>50</v>
      </c>
      <c r="E54" s="5">
        <v>5000</v>
      </c>
      <c r="F54" s="6">
        <v>32.755000000000003</v>
      </c>
      <c r="G54" s="7">
        <v>2.0916469999999999E-3</v>
      </c>
      <c r="H54" s="112"/>
    </row>
    <row r="55" spans="1:8" x14ac:dyDescent="0.2">
      <c r="A55" s="3">
        <v>49</v>
      </c>
      <c r="B55" s="4" t="s">
        <v>661</v>
      </c>
      <c r="C55" s="4" t="s">
        <v>662</v>
      </c>
      <c r="D55" s="4" t="s">
        <v>973</v>
      </c>
      <c r="E55" s="5">
        <v>4600</v>
      </c>
      <c r="F55" s="6">
        <v>28.446400000000001</v>
      </c>
      <c r="G55" s="7">
        <v>1.816511E-3</v>
      </c>
      <c r="H55" s="112"/>
    </row>
    <row r="56" spans="1:8" x14ac:dyDescent="0.2">
      <c r="A56" s="3">
        <v>50</v>
      </c>
      <c r="B56" s="4" t="s">
        <v>447</v>
      </c>
      <c r="C56" s="70" t="s">
        <v>1030</v>
      </c>
      <c r="D56" s="40" t="s">
        <v>24</v>
      </c>
      <c r="E56" s="5">
        <v>4205</v>
      </c>
      <c r="F56" s="6">
        <v>10.7517645</v>
      </c>
      <c r="G56" s="7">
        <v>6.8657899999999999E-4</v>
      </c>
      <c r="H56" s="112"/>
    </row>
    <row r="57" spans="1:8" x14ac:dyDescent="0.2">
      <c r="A57" s="1"/>
      <c r="B57" s="1"/>
      <c r="C57" s="2" t="s">
        <v>97</v>
      </c>
      <c r="D57" s="1"/>
      <c r="E57" s="1" t="s">
        <v>98</v>
      </c>
      <c r="F57" s="9">
        <v>11141.879143</v>
      </c>
      <c r="G57" s="10">
        <v>0.71149058699999979</v>
      </c>
      <c r="H57" s="112"/>
    </row>
    <row r="58" spans="1:8" x14ac:dyDescent="0.2">
      <c r="A58" s="1"/>
      <c r="B58" s="1"/>
      <c r="C58" s="11"/>
      <c r="D58" s="1"/>
      <c r="E58" s="1"/>
      <c r="F58" s="12"/>
      <c r="G58" s="12"/>
      <c r="H58" s="112"/>
    </row>
    <row r="59" spans="1:8" x14ac:dyDescent="0.2">
      <c r="A59" s="1"/>
      <c r="B59" s="1"/>
      <c r="C59" s="2" t="s">
        <v>99</v>
      </c>
      <c r="D59" s="1"/>
      <c r="E59" s="1"/>
      <c r="F59" s="1"/>
      <c r="G59" s="1"/>
      <c r="H59" s="112"/>
    </row>
    <row r="60" spans="1:8" x14ac:dyDescent="0.2">
      <c r="A60" s="1"/>
      <c r="B60" s="1"/>
      <c r="C60" s="2" t="s">
        <v>97</v>
      </c>
      <c r="D60" s="1"/>
      <c r="E60" s="1" t="s">
        <v>98</v>
      </c>
      <c r="F60" s="13">
        <v>0</v>
      </c>
      <c r="G60" s="14">
        <v>0</v>
      </c>
      <c r="H60" s="112"/>
    </row>
    <row r="61" spans="1:8" x14ac:dyDescent="0.2">
      <c r="A61" s="1"/>
      <c r="B61" s="1"/>
      <c r="C61" s="11"/>
      <c r="D61" s="1"/>
      <c r="E61" s="1"/>
      <c r="F61" s="12"/>
      <c r="G61" s="12"/>
      <c r="H61" s="112"/>
    </row>
    <row r="62" spans="1:8" x14ac:dyDescent="0.2">
      <c r="A62" s="1"/>
      <c r="B62" s="1"/>
      <c r="C62" s="2" t="s">
        <v>100</v>
      </c>
      <c r="D62" s="1"/>
      <c r="E62" s="1"/>
      <c r="F62" s="1"/>
      <c r="G62" s="1"/>
      <c r="H62" s="112"/>
    </row>
    <row r="63" spans="1:8" x14ac:dyDescent="0.2">
      <c r="A63" s="1"/>
      <c r="B63" s="1"/>
      <c r="C63" s="2" t="s">
        <v>97</v>
      </c>
      <c r="D63" s="1"/>
      <c r="E63" s="1" t="s">
        <v>98</v>
      </c>
      <c r="F63" s="13">
        <v>0</v>
      </c>
      <c r="G63" s="14">
        <v>0</v>
      </c>
      <c r="H63" s="112"/>
    </row>
    <row r="64" spans="1:8" x14ac:dyDescent="0.2">
      <c r="A64" s="1"/>
      <c r="B64" s="1"/>
      <c r="C64" s="11"/>
      <c r="D64" s="1"/>
      <c r="E64" s="1"/>
      <c r="F64" s="12"/>
      <c r="G64" s="12"/>
      <c r="H64" s="112"/>
    </row>
    <row r="65" spans="1:8" x14ac:dyDescent="0.2">
      <c r="A65" s="1"/>
      <c r="B65" s="1"/>
      <c r="C65" s="2" t="s">
        <v>101</v>
      </c>
      <c r="D65" s="1"/>
      <c r="E65" s="1"/>
      <c r="F65" s="1"/>
      <c r="G65" s="1"/>
      <c r="H65" s="112"/>
    </row>
    <row r="66" spans="1:8" x14ac:dyDescent="0.2">
      <c r="A66" s="1"/>
      <c r="B66" s="1"/>
      <c r="C66" s="2" t="s">
        <v>97</v>
      </c>
      <c r="D66" s="1"/>
      <c r="E66" s="1" t="s">
        <v>98</v>
      </c>
      <c r="F66" s="9">
        <v>0</v>
      </c>
      <c r="G66" s="10">
        <v>0</v>
      </c>
      <c r="H66" s="112"/>
    </row>
    <row r="67" spans="1:8" x14ac:dyDescent="0.2">
      <c r="A67" s="1"/>
      <c r="B67" s="1"/>
      <c r="C67" s="11"/>
      <c r="D67" s="1"/>
      <c r="E67" s="1"/>
      <c r="F67" s="12"/>
      <c r="G67" s="12"/>
      <c r="H67" s="112"/>
    </row>
    <row r="68" spans="1:8" x14ac:dyDescent="0.2">
      <c r="A68" s="1"/>
      <c r="B68" s="1"/>
      <c r="C68" s="2" t="s">
        <v>102</v>
      </c>
      <c r="D68" s="1"/>
      <c r="E68" s="1"/>
      <c r="F68" s="12"/>
      <c r="G68" s="12"/>
      <c r="H68" s="112"/>
    </row>
    <row r="69" spans="1:8" x14ac:dyDescent="0.2">
      <c r="A69" s="1"/>
      <c r="B69" s="1"/>
      <c r="C69" s="2" t="s">
        <v>97</v>
      </c>
      <c r="D69" s="1"/>
      <c r="E69" s="1" t="s">
        <v>98</v>
      </c>
      <c r="F69" s="13">
        <v>0</v>
      </c>
      <c r="G69" s="14">
        <v>0</v>
      </c>
      <c r="H69" s="112"/>
    </row>
    <row r="70" spans="1:8" x14ac:dyDescent="0.2">
      <c r="A70" s="1"/>
      <c r="B70" s="1"/>
      <c r="C70" s="11"/>
      <c r="D70" s="1"/>
      <c r="E70" s="1"/>
      <c r="F70" s="12"/>
      <c r="G70" s="12"/>
      <c r="H70" s="112"/>
    </row>
    <row r="71" spans="1:8" x14ac:dyDescent="0.2">
      <c r="A71" s="1"/>
      <c r="B71" s="1"/>
      <c r="C71" s="2" t="s">
        <v>103</v>
      </c>
      <c r="D71" s="1"/>
      <c r="E71" s="1"/>
      <c r="F71" s="12"/>
      <c r="G71" s="12"/>
      <c r="H71" s="112"/>
    </row>
    <row r="72" spans="1:8" x14ac:dyDescent="0.2">
      <c r="A72" s="3">
        <v>1</v>
      </c>
      <c r="B72" s="4"/>
      <c r="C72" s="4" t="s">
        <v>922</v>
      </c>
      <c r="D72" s="4" t="s">
        <v>408</v>
      </c>
      <c r="E72" s="5">
        <v>-1600</v>
      </c>
      <c r="F72" s="6">
        <v>-32.670400000000001</v>
      </c>
      <c r="G72" s="7">
        <v>-2.0862400000000001E-3</v>
      </c>
      <c r="H72" s="112"/>
    </row>
    <row r="73" spans="1:8" x14ac:dyDescent="0.2">
      <c r="A73" s="3">
        <v>2</v>
      </c>
      <c r="B73" s="4"/>
      <c r="C73" s="4" t="s">
        <v>923</v>
      </c>
      <c r="D73" s="4" t="s">
        <v>408</v>
      </c>
      <c r="E73" s="5">
        <v>-175</v>
      </c>
      <c r="F73" s="6">
        <v>-33.322187499999998</v>
      </c>
      <c r="G73" s="7">
        <v>-2.12787E-3</v>
      </c>
      <c r="H73" s="112"/>
    </row>
    <row r="74" spans="1:8" x14ac:dyDescent="0.2">
      <c r="A74" s="3">
        <v>3</v>
      </c>
      <c r="B74" s="4"/>
      <c r="C74" s="4" t="s">
        <v>924</v>
      </c>
      <c r="D74" s="4" t="s">
        <v>408</v>
      </c>
      <c r="E74" s="5">
        <v>-2100</v>
      </c>
      <c r="F74" s="6">
        <v>-56.034300000000002</v>
      </c>
      <c r="G74" s="7">
        <v>-3.5782000000000001E-3</v>
      </c>
      <c r="H74" s="112"/>
    </row>
    <row r="75" spans="1:8" x14ac:dyDescent="0.2">
      <c r="A75" s="3">
        <v>4</v>
      </c>
      <c r="B75" s="4"/>
      <c r="C75" s="4" t="s">
        <v>913</v>
      </c>
      <c r="D75" s="4" t="s">
        <v>711</v>
      </c>
      <c r="E75" s="5">
        <v>-2000</v>
      </c>
      <c r="F75" s="6">
        <v>-74.319999999999993</v>
      </c>
      <c r="G75" s="7">
        <v>-4.7458800000000001E-3</v>
      </c>
      <c r="H75" s="112"/>
    </row>
    <row r="76" spans="1:8" x14ac:dyDescent="0.2">
      <c r="A76" s="3">
        <v>5</v>
      </c>
      <c r="B76" s="4"/>
      <c r="C76" s="4" t="s">
        <v>894</v>
      </c>
      <c r="D76" s="4" t="s">
        <v>408</v>
      </c>
      <c r="E76" s="5">
        <v>-12100</v>
      </c>
      <c r="F76" s="6">
        <v>-82.576449999999994</v>
      </c>
      <c r="G76" s="7">
        <v>-5.2731100000000001E-3</v>
      </c>
      <c r="H76" s="112"/>
    </row>
    <row r="77" spans="1:8" x14ac:dyDescent="0.2">
      <c r="A77" s="3">
        <v>6</v>
      </c>
      <c r="B77" s="4"/>
      <c r="C77" s="4" t="s">
        <v>886</v>
      </c>
      <c r="D77" s="4" t="s">
        <v>408</v>
      </c>
      <c r="E77" s="5">
        <v>-8500</v>
      </c>
      <c r="F77" s="6">
        <v>-112.06825000000001</v>
      </c>
      <c r="G77" s="7">
        <v>-7.1563800000000004E-3</v>
      </c>
      <c r="H77" s="112"/>
    </row>
    <row r="78" spans="1:8" x14ac:dyDescent="0.2">
      <c r="A78" s="3">
        <v>7</v>
      </c>
      <c r="B78" s="4"/>
      <c r="C78" s="4" t="s">
        <v>925</v>
      </c>
      <c r="D78" s="4" t="s">
        <v>408</v>
      </c>
      <c r="E78" s="5">
        <v>-13300</v>
      </c>
      <c r="F78" s="6">
        <v>-117.9311</v>
      </c>
      <c r="G78" s="7">
        <v>-7.5307600000000001E-3</v>
      </c>
      <c r="H78" s="112"/>
    </row>
    <row r="79" spans="1:8" x14ac:dyDescent="0.2">
      <c r="A79" s="3">
        <v>8</v>
      </c>
      <c r="B79" s="4"/>
      <c r="C79" s="4" t="s">
        <v>926</v>
      </c>
      <c r="D79" s="4" t="s">
        <v>408</v>
      </c>
      <c r="E79" s="5">
        <v>-150000</v>
      </c>
      <c r="F79" s="6">
        <v>-146.77500000000001</v>
      </c>
      <c r="G79" s="7">
        <v>-9.3726599999999997E-3</v>
      </c>
      <c r="H79" s="112"/>
    </row>
    <row r="80" spans="1:8" x14ac:dyDescent="0.2">
      <c r="A80" s="3">
        <v>9</v>
      </c>
      <c r="B80" s="4"/>
      <c r="C80" s="4" t="s">
        <v>905</v>
      </c>
      <c r="D80" s="4" t="s">
        <v>408</v>
      </c>
      <c r="E80" s="5">
        <v>-21600</v>
      </c>
      <c r="F80" s="6">
        <v>-161.136</v>
      </c>
      <c r="G80" s="7">
        <v>-1.0289710000000001E-2</v>
      </c>
      <c r="H80" s="112"/>
    </row>
    <row r="81" spans="1:8" x14ac:dyDescent="0.2">
      <c r="A81" s="3">
        <v>10</v>
      </c>
      <c r="B81" s="4"/>
      <c r="C81" s="4" t="s">
        <v>900</v>
      </c>
      <c r="D81" s="4" t="s">
        <v>408</v>
      </c>
      <c r="E81" s="5">
        <v>-40000</v>
      </c>
      <c r="F81" s="6">
        <v>-163.52000000000001</v>
      </c>
      <c r="G81" s="7">
        <v>-1.044195E-2</v>
      </c>
      <c r="H81" s="112"/>
    </row>
    <row r="82" spans="1:8" x14ac:dyDescent="0.2">
      <c r="A82" s="3">
        <v>11</v>
      </c>
      <c r="B82" s="4"/>
      <c r="C82" s="4" t="s">
        <v>910</v>
      </c>
      <c r="D82" s="4" t="s">
        <v>408</v>
      </c>
      <c r="E82" s="5">
        <v>-17850</v>
      </c>
      <c r="F82" s="6">
        <v>-165.496275</v>
      </c>
      <c r="G82" s="7">
        <v>-1.056815E-2</v>
      </c>
      <c r="H82" s="112"/>
    </row>
    <row r="83" spans="1:8" x14ac:dyDescent="0.2">
      <c r="A83" s="3">
        <v>12</v>
      </c>
      <c r="B83" s="4"/>
      <c r="C83" s="4" t="s">
        <v>919</v>
      </c>
      <c r="D83" s="4" t="s">
        <v>408</v>
      </c>
      <c r="E83" s="5">
        <v>-33948</v>
      </c>
      <c r="F83" s="6">
        <v>-233.664084</v>
      </c>
      <c r="G83" s="7">
        <v>-1.4921159999999999E-2</v>
      </c>
      <c r="H83" s="112"/>
    </row>
    <row r="84" spans="1:8" x14ac:dyDescent="0.2">
      <c r="A84" s="3">
        <v>13</v>
      </c>
      <c r="B84" s="4"/>
      <c r="C84" s="4" t="s">
        <v>903</v>
      </c>
      <c r="D84" s="4" t="s">
        <v>408</v>
      </c>
      <c r="E84" s="5">
        <v>-60000</v>
      </c>
      <c r="F84" s="6">
        <v>-250.62</v>
      </c>
      <c r="G84" s="7">
        <v>-1.6003920000000001E-2</v>
      </c>
      <c r="H84" s="112"/>
    </row>
    <row r="85" spans="1:8" x14ac:dyDescent="0.2">
      <c r="A85" s="3">
        <v>14</v>
      </c>
      <c r="B85" s="4"/>
      <c r="C85" s="4" t="s">
        <v>904</v>
      </c>
      <c r="D85" s="4" t="s">
        <v>408</v>
      </c>
      <c r="E85" s="5">
        <v>-10000</v>
      </c>
      <c r="F85" s="6">
        <v>-254.61500000000001</v>
      </c>
      <c r="G85" s="7">
        <v>-1.6259030000000001E-2</v>
      </c>
      <c r="H85" s="112"/>
    </row>
    <row r="86" spans="1:8" x14ac:dyDescent="0.2">
      <c r="A86" s="3">
        <v>15</v>
      </c>
      <c r="B86" s="4"/>
      <c r="C86" s="4" t="s">
        <v>906</v>
      </c>
      <c r="D86" s="4" t="s">
        <v>408</v>
      </c>
      <c r="E86" s="5">
        <v>-31725</v>
      </c>
      <c r="F86" s="6">
        <v>-257.38492500000001</v>
      </c>
      <c r="G86" s="7">
        <v>-1.6435910000000001E-2</v>
      </c>
      <c r="H86" s="112"/>
    </row>
    <row r="87" spans="1:8" x14ac:dyDescent="0.2">
      <c r="A87" s="3">
        <v>16</v>
      </c>
      <c r="B87" s="4"/>
      <c r="C87" s="4" t="s">
        <v>899</v>
      </c>
      <c r="D87" s="4" t="s">
        <v>408</v>
      </c>
      <c r="E87" s="5">
        <v>-128000</v>
      </c>
      <c r="F87" s="6">
        <v>-287.10399999999998</v>
      </c>
      <c r="G87" s="7">
        <v>-1.833369E-2</v>
      </c>
      <c r="H87" s="112"/>
    </row>
    <row r="88" spans="1:8" x14ac:dyDescent="0.2">
      <c r="A88" s="3">
        <v>17</v>
      </c>
      <c r="B88" s="4"/>
      <c r="C88" s="4" t="s">
        <v>890</v>
      </c>
      <c r="D88" s="4" t="s">
        <v>408</v>
      </c>
      <c r="E88" s="5">
        <v>-46750</v>
      </c>
      <c r="F88" s="6">
        <v>-376.03362499999997</v>
      </c>
      <c r="G88" s="7">
        <v>-2.4012500000000003E-2</v>
      </c>
      <c r="H88" s="112"/>
    </row>
    <row r="89" spans="1:8" x14ac:dyDescent="0.2">
      <c r="A89" s="3">
        <v>18</v>
      </c>
      <c r="B89" s="4"/>
      <c r="C89" s="4" t="s">
        <v>920</v>
      </c>
      <c r="D89" s="4" t="s">
        <v>408</v>
      </c>
      <c r="E89" s="5">
        <v>-40000</v>
      </c>
      <c r="F89" s="6">
        <v>-380.56</v>
      </c>
      <c r="G89" s="7">
        <v>-2.430154E-2</v>
      </c>
      <c r="H89" s="112"/>
    </row>
    <row r="90" spans="1:8" x14ac:dyDescent="0.2">
      <c r="A90" s="3">
        <v>19</v>
      </c>
      <c r="B90" s="4"/>
      <c r="C90" s="4" t="s">
        <v>918</v>
      </c>
      <c r="D90" s="4" t="s">
        <v>408</v>
      </c>
      <c r="E90" s="5">
        <v>-36000</v>
      </c>
      <c r="F90" s="6">
        <v>-528.85799999999995</v>
      </c>
      <c r="G90" s="7">
        <v>-3.3771460000000003E-2</v>
      </c>
      <c r="H90" s="112"/>
    </row>
    <row r="91" spans="1:8" x14ac:dyDescent="0.2">
      <c r="A91" s="3">
        <v>20</v>
      </c>
      <c r="B91" s="4"/>
      <c r="C91" s="4" t="s">
        <v>917</v>
      </c>
      <c r="D91" s="4" t="s">
        <v>408</v>
      </c>
      <c r="E91" s="5">
        <v>-21000</v>
      </c>
      <c r="F91" s="6">
        <v>-598.5</v>
      </c>
      <c r="G91" s="7">
        <v>-3.821861E-2</v>
      </c>
      <c r="H91" s="112"/>
    </row>
    <row r="92" spans="1:8" x14ac:dyDescent="0.2">
      <c r="A92" s="3">
        <v>21</v>
      </c>
      <c r="B92" s="4"/>
      <c r="C92" s="4" t="s">
        <v>901</v>
      </c>
      <c r="D92" s="4" t="s">
        <v>408</v>
      </c>
      <c r="E92" s="5">
        <v>-30000</v>
      </c>
      <c r="F92" s="6">
        <v>-719.68499999999995</v>
      </c>
      <c r="G92" s="7">
        <v>-4.5957160000000004E-2</v>
      </c>
      <c r="H92" s="112"/>
    </row>
    <row r="93" spans="1:8" x14ac:dyDescent="0.2">
      <c r="A93" s="1"/>
      <c r="B93" s="1"/>
      <c r="C93" s="2" t="s">
        <v>97</v>
      </c>
      <c r="D93" s="1"/>
      <c r="E93" s="1" t="s">
        <v>98</v>
      </c>
      <c r="F93" s="9">
        <v>-5032.8745964999998</v>
      </c>
      <c r="G93" s="10">
        <v>-0.32138590500000003</v>
      </c>
      <c r="H93" s="112"/>
    </row>
    <row r="94" spans="1:8" x14ac:dyDescent="0.2">
      <c r="A94" s="1"/>
      <c r="B94" s="1"/>
      <c r="C94" s="11"/>
      <c r="D94" s="1"/>
      <c r="E94" s="1"/>
      <c r="F94" s="12"/>
      <c r="G94" s="12"/>
      <c r="H94" s="112"/>
    </row>
    <row r="95" spans="1:8" x14ac:dyDescent="0.2">
      <c r="A95" s="1"/>
      <c r="B95" s="1"/>
      <c r="C95" s="2" t="s">
        <v>104</v>
      </c>
      <c r="D95" s="1"/>
      <c r="E95" s="1"/>
      <c r="F95" s="9">
        <v>11141.879143</v>
      </c>
      <c r="G95" s="10">
        <v>0.71149058699999979</v>
      </c>
      <c r="H95" s="112"/>
    </row>
    <row r="96" spans="1:8" x14ac:dyDescent="0.2">
      <c r="A96" s="1"/>
      <c r="B96" s="1"/>
      <c r="C96" s="11"/>
      <c r="D96" s="1"/>
      <c r="E96" s="1"/>
      <c r="F96" s="12"/>
      <c r="G96" s="12"/>
      <c r="H96" s="112"/>
    </row>
    <row r="97" spans="1:8" x14ac:dyDescent="0.2">
      <c r="A97" s="1"/>
      <c r="B97" s="1"/>
      <c r="C97" s="2" t="s">
        <v>105</v>
      </c>
      <c r="D97" s="1"/>
      <c r="E97" s="1"/>
      <c r="F97" s="12"/>
      <c r="G97" s="12"/>
      <c r="H97" s="112"/>
    </row>
    <row r="98" spans="1:8" x14ac:dyDescent="0.2">
      <c r="A98" s="1"/>
      <c r="B98" s="1"/>
      <c r="C98" s="2" t="s">
        <v>10</v>
      </c>
      <c r="D98" s="1"/>
      <c r="E98" s="1"/>
      <c r="F98" s="12"/>
      <c r="G98" s="12"/>
      <c r="H98" s="112"/>
    </row>
    <row r="99" spans="1:8" x14ac:dyDescent="0.2">
      <c r="A99" s="3">
        <v>1</v>
      </c>
      <c r="B99" s="4" t="s">
        <v>712</v>
      </c>
      <c r="C99" s="4" t="s">
        <v>713</v>
      </c>
      <c r="D99" s="4" t="s">
        <v>691</v>
      </c>
      <c r="E99" s="5">
        <v>50</v>
      </c>
      <c r="F99" s="6">
        <v>508.55</v>
      </c>
      <c r="G99" s="7">
        <v>3.2474641999999998E-2</v>
      </c>
      <c r="H99" s="42">
        <v>3.92</v>
      </c>
    </row>
    <row r="100" spans="1:8" ht="25.5" x14ac:dyDescent="0.2">
      <c r="A100" s="3">
        <v>2</v>
      </c>
      <c r="B100" s="4" t="s">
        <v>714</v>
      </c>
      <c r="C100" s="4" t="s">
        <v>715</v>
      </c>
      <c r="D100" s="4" t="s">
        <v>691</v>
      </c>
      <c r="E100" s="5">
        <v>30</v>
      </c>
      <c r="F100" s="6">
        <v>304.86090000000002</v>
      </c>
      <c r="G100" s="7">
        <v>1.9467601000000001E-2</v>
      </c>
      <c r="H100" s="42">
        <v>3.9849999999999999</v>
      </c>
    </row>
    <row r="101" spans="1:8" x14ac:dyDescent="0.2">
      <c r="A101" s="3">
        <v>3</v>
      </c>
      <c r="B101" s="4" t="s">
        <v>716</v>
      </c>
      <c r="C101" s="4" t="s">
        <v>717</v>
      </c>
      <c r="D101" s="4" t="s">
        <v>691</v>
      </c>
      <c r="E101" s="5">
        <v>20</v>
      </c>
      <c r="F101" s="6">
        <v>207.82480000000001</v>
      </c>
      <c r="G101" s="7">
        <v>1.3271135999999999E-2</v>
      </c>
      <c r="H101" s="42">
        <v>4.8099999999999996</v>
      </c>
    </row>
    <row r="102" spans="1:8" x14ac:dyDescent="0.2">
      <c r="A102" s="1"/>
      <c r="B102" s="1"/>
      <c r="C102" s="2" t="s">
        <v>97</v>
      </c>
      <c r="D102" s="1"/>
      <c r="E102" s="1" t="s">
        <v>98</v>
      </c>
      <c r="F102" s="9">
        <v>1021.2357</v>
      </c>
      <c r="G102" s="10">
        <v>6.5213379000000002E-2</v>
      </c>
      <c r="H102" s="112"/>
    </row>
    <row r="103" spans="1:8" x14ac:dyDescent="0.2">
      <c r="A103" s="1"/>
      <c r="B103" s="1"/>
      <c r="C103" s="11"/>
      <c r="D103" s="1"/>
      <c r="E103" s="1"/>
      <c r="F103" s="12"/>
      <c r="G103" s="12"/>
      <c r="H103" s="112"/>
    </row>
    <row r="104" spans="1:8" x14ac:dyDescent="0.2">
      <c r="A104" s="1"/>
      <c r="B104" s="1"/>
      <c r="C104" s="2" t="s">
        <v>106</v>
      </c>
      <c r="D104" s="1"/>
      <c r="E104" s="1"/>
      <c r="F104" s="1"/>
      <c r="G104" s="1"/>
      <c r="H104" s="112"/>
    </row>
    <row r="105" spans="1:8" x14ac:dyDescent="0.2">
      <c r="A105" s="1"/>
      <c r="B105" s="1"/>
      <c r="C105" s="2" t="s">
        <v>97</v>
      </c>
      <c r="D105" s="1"/>
      <c r="E105" s="1" t="s">
        <v>98</v>
      </c>
      <c r="F105" s="13">
        <v>0</v>
      </c>
      <c r="G105" s="14">
        <v>0</v>
      </c>
      <c r="H105" s="112"/>
    </row>
    <row r="106" spans="1:8" x14ac:dyDescent="0.2">
      <c r="A106" s="1"/>
      <c r="B106" s="1"/>
      <c r="C106" s="11"/>
      <c r="D106" s="1"/>
      <c r="E106" s="1"/>
      <c r="F106" s="12"/>
      <c r="G106" s="12"/>
      <c r="H106" s="112"/>
    </row>
    <row r="107" spans="1:8" x14ac:dyDescent="0.2">
      <c r="A107" s="1"/>
      <c r="B107" s="1"/>
      <c r="C107" s="2" t="s">
        <v>107</v>
      </c>
      <c r="D107" s="1"/>
      <c r="E107" s="1"/>
      <c r="F107" s="1"/>
      <c r="G107" s="1"/>
      <c r="H107" s="112"/>
    </row>
    <row r="108" spans="1:8" ht="25.5" x14ac:dyDescent="0.2">
      <c r="A108" s="3">
        <v>1</v>
      </c>
      <c r="B108" s="4" t="s">
        <v>718</v>
      </c>
      <c r="C108" s="4" t="s">
        <v>871</v>
      </c>
      <c r="D108" s="4" t="s">
        <v>719</v>
      </c>
      <c r="E108" s="5">
        <v>1000000</v>
      </c>
      <c r="F108" s="6">
        <v>993.62900000000002</v>
      </c>
      <c r="G108" s="7">
        <v>6.3450488999999999E-2</v>
      </c>
      <c r="H108" s="42">
        <v>5.4141000000000004</v>
      </c>
    </row>
    <row r="109" spans="1:8" ht="25.5" x14ac:dyDescent="0.2">
      <c r="A109" s="3">
        <v>2</v>
      </c>
      <c r="B109" s="4" t="s">
        <v>720</v>
      </c>
      <c r="C109" s="4" t="s">
        <v>874</v>
      </c>
      <c r="D109" s="4" t="s">
        <v>719</v>
      </c>
      <c r="E109" s="5">
        <v>200000</v>
      </c>
      <c r="F109" s="6">
        <v>210.31139999999999</v>
      </c>
      <c r="G109" s="7">
        <v>1.3429923E-2</v>
      </c>
      <c r="H109" s="42">
        <v>4.8594999999999997</v>
      </c>
    </row>
    <row r="110" spans="1:8" x14ac:dyDescent="0.2">
      <c r="A110" s="1"/>
      <c r="B110" s="1"/>
      <c r="C110" s="2" t="s">
        <v>97</v>
      </c>
      <c r="D110" s="1"/>
      <c r="E110" s="1" t="s">
        <v>98</v>
      </c>
      <c r="F110" s="9">
        <v>1203.9404</v>
      </c>
      <c r="G110" s="10">
        <v>7.6880411999999995E-2</v>
      </c>
      <c r="H110" s="112"/>
    </row>
    <row r="111" spans="1:8" x14ac:dyDescent="0.2">
      <c r="A111" s="1"/>
      <c r="B111" s="1"/>
      <c r="C111" s="11"/>
      <c r="D111" s="1"/>
      <c r="E111" s="1"/>
      <c r="F111" s="12"/>
      <c r="G111" s="12"/>
      <c r="H111" s="112"/>
    </row>
    <row r="112" spans="1:8" x14ac:dyDescent="0.2">
      <c r="A112" s="1"/>
      <c r="B112" s="1"/>
      <c r="C112" s="2" t="s">
        <v>108</v>
      </c>
      <c r="D112" s="1"/>
      <c r="E112" s="1"/>
      <c r="F112" s="12"/>
      <c r="G112" s="12"/>
      <c r="H112" s="112"/>
    </row>
    <row r="113" spans="1:8" x14ac:dyDescent="0.2">
      <c r="A113" s="1"/>
      <c r="B113" s="1"/>
      <c r="C113" s="2" t="s">
        <v>97</v>
      </c>
      <c r="D113" s="1"/>
      <c r="E113" s="1" t="s">
        <v>98</v>
      </c>
      <c r="F113" s="13">
        <v>0</v>
      </c>
      <c r="G113" s="14">
        <v>0</v>
      </c>
      <c r="H113" s="112"/>
    </row>
    <row r="114" spans="1:8" x14ac:dyDescent="0.2">
      <c r="A114" s="1"/>
      <c r="B114" s="1"/>
      <c r="C114" s="11"/>
      <c r="D114" s="1"/>
      <c r="E114" s="1"/>
      <c r="F114" s="12"/>
      <c r="G114" s="12"/>
      <c r="H114" s="112"/>
    </row>
    <row r="115" spans="1:8" x14ac:dyDescent="0.2">
      <c r="A115" s="1"/>
      <c r="B115" s="1"/>
      <c r="C115" s="2" t="s">
        <v>109</v>
      </c>
      <c r="D115" s="1"/>
      <c r="E115" s="1"/>
      <c r="F115" s="9">
        <v>2225.1761000000001</v>
      </c>
      <c r="G115" s="10">
        <v>0.142093791</v>
      </c>
      <c r="H115" s="112"/>
    </row>
    <row r="116" spans="1:8" x14ac:dyDescent="0.2">
      <c r="A116" s="1"/>
      <c r="B116" s="1"/>
      <c r="C116" s="11"/>
      <c r="D116" s="1"/>
      <c r="E116" s="1"/>
      <c r="F116" s="12"/>
      <c r="G116" s="12"/>
      <c r="H116" s="112"/>
    </row>
    <row r="117" spans="1:8" x14ac:dyDescent="0.2">
      <c r="A117" s="1"/>
      <c r="B117" s="1"/>
      <c r="C117" s="2" t="s">
        <v>110</v>
      </c>
      <c r="D117" s="1"/>
      <c r="E117" s="1"/>
      <c r="F117" s="12"/>
      <c r="G117" s="12"/>
      <c r="H117" s="112"/>
    </row>
    <row r="118" spans="1:8" x14ac:dyDescent="0.2">
      <c r="A118" s="1"/>
      <c r="B118" s="1"/>
      <c r="C118" s="2" t="s">
        <v>111</v>
      </c>
      <c r="D118" s="1"/>
      <c r="E118" s="1"/>
      <c r="F118" s="12"/>
      <c r="G118" s="12"/>
      <c r="H118" s="112"/>
    </row>
    <row r="119" spans="1:8" x14ac:dyDescent="0.2">
      <c r="A119" s="1"/>
      <c r="B119" s="1"/>
      <c r="C119" s="2" t="s">
        <v>97</v>
      </c>
      <c r="D119" s="1"/>
      <c r="E119" s="1" t="s">
        <v>98</v>
      </c>
      <c r="F119" s="13">
        <v>0</v>
      </c>
      <c r="G119" s="14">
        <v>0</v>
      </c>
      <c r="H119" s="112"/>
    </row>
    <row r="120" spans="1:8" x14ac:dyDescent="0.2">
      <c r="A120" s="1"/>
      <c r="B120" s="1"/>
      <c r="C120" s="11"/>
      <c r="D120" s="1"/>
      <c r="E120" s="1"/>
      <c r="F120" s="12"/>
      <c r="G120" s="12"/>
      <c r="H120" s="112"/>
    </row>
    <row r="121" spans="1:8" x14ac:dyDescent="0.2">
      <c r="A121" s="1"/>
      <c r="B121" s="1"/>
      <c r="C121" s="2" t="s">
        <v>112</v>
      </c>
      <c r="D121" s="1"/>
      <c r="E121" s="1"/>
      <c r="F121" s="12"/>
      <c r="G121" s="12"/>
      <c r="H121" s="112"/>
    </row>
    <row r="122" spans="1:8" x14ac:dyDescent="0.2">
      <c r="A122" s="1"/>
      <c r="B122" s="1"/>
      <c r="C122" s="2" t="s">
        <v>97</v>
      </c>
      <c r="D122" s="1"/>
      <c r="E122" s="1" t="s">
        <v>98</v>
      </c>
      <c r="F122" s="13">
        <v>0</v>
      </c>
      <c r="G122" s="14">
        <v>0</v>
      </c>
      <c r="H122" s="112"/>
    </row>
    <row r="123" spans="1:8" x14ac:dyDescent="0.2">
      <c r="A123" s="1"/>
      <c r="B123" s="1"/>
      <c r="C123" s="11"/>
      <c r="D123" s="1"/>
      <c r="E123" s="1"/>
      <c r="F123" s="12"/>
      <c r="G123" s="12"/>
      <c r="H123" s="112"/>
    </row>
    <row r="124" spans="1:8" x14ac:dyDescent="0.2">
      <c r="A124" s="1"/>
      <c r="B124" s="1"/>
      <c r="C124" s="2" t="s">
        <v>113</v>
      </c>
      <c r="D124" s="1"/>
      <c r="E124" s="1"/>
      <c r="F124" s="12"/>
      <c r="G124" s="12"/>
      <c r="H124" s="112"/>
    </row>
    <row r="125" spans="1:8" x14ac:dyDescent="0.2">
      <c r="A125" s="1"/>
      <c r="B125" s="1"/>
      <c r="C125" s="2" t="s">
        <v>97</v>
      </c>
      <c r="D125" s="1"/>
      <c r="E125" s="1" t="s">
        <v>98</v>
      </c>
      <c r="F125" s="13">
        <v>0</v>
      </c>
      <c r="G125" s="14">
        <v>0</v>
      </c>
      <c r="H125" s="112"/>
    </row>
    <row r="126" spans="1:8" x14ac:dyDescent="0.2">
      <c r="A126" s="1"/>
      <c r="B126" s="1"/>
      <c r="C126" s="11"/>
      <c r="D126" s="1"/>
      <c r="E126" s="1"/>
      <c r="F126" s="12"/>
      <c r="G126" s="12"/>
      <c r="H126" s="112"/>
    </row>
    <row r="127" spans="1:8" x14ac:dyDescent="0.2">
      <c r="A127" s="1"/>
      <c r="B127" s="1"/>
      <c r="C127" s="2" t="s">
        <v>114</v>
      </c>
      <c r="D127" s="1"/>
      <c r="E127" s="1"/>
      <c r="F127" s="12"/>
      <c r="G127" s="12"/>
      <c r="H127" s="112"/>
    </row>
    <row r="128" spans="1:8" x14ac:dyDescent="0.2">
      <c r="A128" s="3">
        <v>1</v>
      </c>
      <c r="B128" s="4"/>
      <c r="C128" s="4" t="s">
        <v>115</v>
      </c>
      <c r="D128" s="4"/>
      <c r="E128" s="8"/>
      <c r="F128" s="6">
        <v>525.72955581540737</v>
      </c>
      <c r="G128" s="7">
        <v>3.3571682665245524E-2</v>
      </c>
      <c r="H128" s="6">
        <v>3.3211324282253978</v>
      </c>
    </row>
    <row r="129" spans="1:15" x14ac:dyDescent="0.2">
      <c r="A129" s="3">
        <v>2</v>
      </c>
      <c r="B129" s="4"/>
      <c r="C129" s="4" t="s">
        <v>116</v>
      </c>
      <c r="D129" s="4"/>
      <c r="E129" s="8"/>
      <c r="F129" s="6">
        <v>206.51889165003374</v>
      </c>
      <c r="G129" s="7">
        <v>1.318774380888625E-2</v>
      </c>
      <c r="H129" s="6">
        <v>3.35</v>
      </c>
    </row>
    <row r="130" spans="1:15" x14ac:dyDescent="0.2">
      <c r="A130" s="1"/>
      <c r="B130" s="1"/>
      <c r="C130" s="2" t="s">
        <v>97</v>
      </c>
      <c r="D130" s="1"/>
      <c r="E130" s="1" t="s">
        <v>98</v>
      </c>
      <c r="F130" s="9">
        <v>732.24844746544113</v>
      </c>
      <c r="G130" s="10">
        <v>4.6759426474131775E-2</v>
      </c>
      <c r="H130" s="112"/>
    </row>
    <row r="131" spans="1:15" x14ac:dyDescent="0.2">
      <c r="A131" s="1"/>
      <c r="B131" s="1"/>
      <c r="C131" s="11"/>
      <c r="D131" s="1"/>
      <c r="E131" s="1"/>
      <c r="F131" s="12"/>
      <c r="G131" s="12"/>
      <c r="H131" s="112"/>
    </row>
    <row r="132" spans="1:15" x14ac:dyDescent="0.2">
      <c r="A132" s="1"/>
      <c r="B132" s="1"/>
      <c r="C132" s="2" t="s">
        <v>117</v>
      </c>
      <c r="D132" s="1"/>
      <c r="E132" s="1"/>
      <c r="F132" s="9">
        <v>732.24844746544113</v>
      </c>
      <c r="G132" s="10">
        <v>4.6759426474131775E-2</v>
      </c>
      <c r="H132" s="112"/>
    </row>
    <row r="133" spans="1:15" x14ac:dyDescent="0.2">
      <c r="A133" s="1"/>
      <c r="B133" s="1"/>
      <c r="C133" s="12"/>
      <c r="D133" s="1"/>
      <c r="E133" s="1"/>
      <c r="F133" s="1"/>
      <c r="G133" s="1"/>
      <c r="H133" s="112"/>
    </row>
    <row r="134" spans="1:15" x14ac:dyDescent="0.2">
      <c r="A134" s="1"/>
      <c r="B134" s="1"/>
      <c r="C134" s="2" t="s">
        <v>118</v>
      </c>
      <c r="D134" s="1"/>
      <c r="E134" s="1"/>
      <c r="F134" s="1"/>
      <c r="G134" s="1"/>
      <c r="H134" s="112"/>
    </row>
    <row r="135" spans="1:15" x14ac:dyDescent="0.2">
      <c r="A135" s="1"/>
      <c r="B135" s="1"/>
      <c r="C135" s="2" t="s">
        <v>119</v>
      </c>
      <c r="D135" s="1"/>
      <c r="E135" s="1"/>
      <c r="F135" s="1"/>
      <c r="G135" s="1"/>
      <c r="H135" s="112"/>
    </row>
    <row r="136" spans="1:15" x14ac:dyDescent="0.2">
      <c r="A136" s="1"/>
      <c r="B136" s="1"/>
      <c r="C136" s="2" t="s">
        <v>97</v>
      </c>
      <c r="D136" s="1"/>
      <c r="E136" s="1" t="s">
        <v>98</v>
      </c>
      <c r="F136" s="13">
        <v>0</v>
      </c>
      <c r="G136" s="14">
        <v>0</v>
      </c>
      <c r="H136" s="112"/>
    </row>
    <row r="137" spans="1:15" x14ac:dyDescent="0.2">
      <c r="A137" s="1"/>
      <c r="B137" s="1"/>
      <c r="C137" s="11"/>
      <c r="D137" s="1"/>
      <c r="E137" s="1"/>
      <c r="F137" s="12"/>
      <c r="G137" s="12"/>
      <c r="H137" s="112"/>
    </row>
    <row r="138" spans="1:15" x14ac:dyDescent="0.2">
      <c r="A138" s="1"/>
      <c r="B138" s="1"/>
      <c r="C138" s="2" t="s">
        <v>120</v>
      </c>
      <c r="D138" s="1"/>
      <c r="E138" s="1"/>
      <c r="F138" s="1"/>
      <c r="G138" s="1"/>
      <c r="H138" s="112"/>
    </row>
    <row r="139" spans="1:15" x14ac:dyDescent="0.2">
      <c r="A139" s="1"/>
      <c r="B139" s="1"/>
      <c r="C139" s="2" t="s">
        <v>121</v>
      </c>
      <c r="D139" s="1"/>
      <c r="E139" s="1"/>
      <c r="F139" s="1"/>
      <c r="G139" s="1"/>
      <c r="H139" s="112"/>
      <c r="I139" s="36"/>
      <c r="J139" s="36"/>
      <c r="K139" s="36"/>
      <c r="L139" s="36"/>
      <c r="M139" s="36"/>
      <c r="N139" s="36"/>
      <c r="O139" s="36"/>
    </row>
    <row r="140" spans="1:15" x14ac:dyDescent="0.2">
      <c r="A140" s="1"/>
      <c r="B140" s="1"/>
      <c r="C140" s="2" t="s">
        <v>97</v>
      </c>
      <c r="D140" s="1"/>
      <c r="E140" s="1" t="s">
        <v>98</v>
      </c>
      <c r="F140" s="13">
        <v>0</v>
      </c>
      <c r="G140" s="14">
        <v>0</v>
      </c>
      <c r="H140" s="112"/>
    </row>
    <row r="141" spans="1:15" x14ac:dyDescent="0.2">
      <c r="A141" s="1"/>
      <c r="B141" s="1"/>
      <c r="C141" s="11"/>
      <c r="D141" s="1"/>
      <c r="E141" s="1"/>
      <c r="F141" s="12"/>
      <c r="G141" s="12"/>
      <c r="H141" s="112"/>
    </row>
    <row r="142" spans="1:15" x14ac:dyDescent="0.2">
      <c r="A142" s="1"/>
      <c r="B142" s="1"/>
      <c r="C142" s="11"/>
      <c r="D142" s="1"/>
      <c r="E142" s="1"/>
      <c r="F142" s="12"/>
      <c r="G142" s="12"/>
      <c r="H142" s="112"/>
    </row>
    <row r="143" spans="1:15" ht="25.5" x14ac:dyDescent="0.2">
      <c r="A143" s="1"/>
      <c r="B143" s="1"/>
      <c r="C143" s="2" t="s">
        <v>122</v>
      </c>
      <c r="D143" s="1"/>
      <c r="E143" s="1"/>
      <c r="F143" s="12"/>
      <c r="G143" s="12"/>
      <c r="H143" s="112"/>
    </row>
    <row r="144" spans="1:15" x14ac:dyDescent="0.2">
      <c r="A144" s="1"/>
      <c r="B144" s="1"/>
      <c r="C144" s="2" t="s">
        <v>97</v>
      </c>
      <c r="D144" s="1"/>
      <c r="E144" s="1" t="s">
        <v>98</v>
      </c>
      <c r="F144" s="13">
        <v>0</v>
      </c>
      <c r="G144" s="14">
        <v>0</v>
      </c>
      <c r="H144" s="112"/>
    </row>
    <row r="145" spans="1:15" x14ac:dyDescent="0.2">
      <c r="A145" s="1"/>
      <c r="B145" s="1"/>
      <c r="C145" s="11"/>
      <c r="D145" s="1"/>
      <c r="E145" s="1"/>
      <c r="F145" s="12"/>
      <c r="G145" s="12"/>
      <c r="H145" s="112"/>
    </row>
    <row r="146" spans="1:15" x14ac:dyDescent="0.2">
      <c r="A146" s="8"/>
      <c r="B146" s="4"/>
      <c r="C146" s="4" t="s">
        <v>409</v>
      </c>
      <c r="D146" s="4"/>
      <c r="E146" s="8"/>
      <c r="F146" s="6">
        <v>1668.317192</v>
      </c>
      <c r="G146" s="7">
        <v>0.10653427172822472</v>
      </c>
      <c r="H146" s="112"/>
    </row>
    <row r="147" spans="1:15" x14ac:dyDescent="0.2">
      <c r="A147" s="8"/>
      <c r="B147" s="4"/>
      <c r="C147" s="4" t="s">
        <v>818</v>
      </c>
      <c r="D147" s="4"/>
      <c r="E147" s="8"/>
      <c r="F147" s="6">
        <v>-107.71008628544041</v>
      </c>
      <c r="G147" s="7">
        <v>-6.8780778950359453E-3</v>
      </c>
      <c r="H147" s="112"/>
    </row>
    <row r="148" spans="1:15" x14ac:dyDescent="0.2">
      <c r="A148" s="11"/>
      <c r="B148" s="11"/>
      <c r="C148" s="2" t="s">
        <v>124</v>
      </c>
      <c r="D148" s="15"/>
      <c r="E148" s="15"/>
      <c r="F148" s="9">
        <v>15659.91079618</v>
      </c>
      <c r="G148" s="10">
        <v>0.99999999830732034</v>
      </c>
      <c r="H148" s="112"/>
    </row>
    <row r="149" spans="1:15" ht="14.1" customHeight="1" x14ac:dyDescent="0.2">
      <c r="A149" s="16"/>
      <c r="B149" s="16"/>
      <c r="C149" s="16"/>
      <c r="D149" s="17"/>
      <c r="E149" s="17"/>
      <c r="F149" s="77"/>
      <c r="G149" s="77"/>
    </row>
    <row r="150" spans="1:15" ht="17.100000000000001" customHeight="1" x14ac:dyDescent="0.2">
      <c r="A150" s="18"/>
      <c r="B150" s="205" t="s">
        <v>692</v>
      </c>
      <c r="C150" s="205"/>
      <c r="D150" s="205"/>
      <c r="E150" s="205"/>
      <c r="F150" s="205"/>
      <c r="G150" s="20"/>
    </row>
    <row r="151" spans="1:15" s="36" customFormat="1" ht="17.100000000000001" customHeight="1" x14ac:dyDescent="0.2">
      <c r="A151" s="53"/>
      <c r="B151" s="206" t="s">
        <v>820</v>
      </c>
      <c r="C151" s="206"/>
      <c r="D151" s="206"/>
      <c r="E151" s="206"/>
      <c r="F151" s="206"/>
      <c r="G151" s="54"/>
      <c r="H151"/>
      <c r="I151"/>
      <c r="J151"/>
      <c r="K151"/>
      <c r="L151"/>
      <c r="M151"/>
      <c r="N151"/>
      <c r="O151"/>
    </row>
    <row r="152" spans="1:15" ht="14.1" customHeight="1" x14ac:dyDescent="0.2">
      <c r="A152" s="18"/>
      <c r="B152" s="18"/>
      <c r="C152" s="18"/>
      <c r="D152" s="20"/>
      <c r="E152" s="20"/>
      <c r="F152" s="20"/>
      <c r="G152" s="20"/>
    </row>
    <row r="153" spans="1:15" ht="14.1" customHeight="1" x14ac:dyDescent="0.2">
      <c r="A153" s="18"/>
      <c r="B153" s="203" t="s">
        <v>126</v>
      </c>
      <c r="C153" s="204"/>
      <c r="D153" s="12" t="s">
        <v>98</v>
      </c>
      <c r="E153" s="21"/>
      <c r="F153" s="20"/>
      <c r="G153" s="20"/>
    </row>
    <row r="154" spans="1:15" ht="29.1" customHeight="1" x14ac:dyDescent="0.2">
      <c r="A154" s="18"/>
      <c r="B154" s="198" t="s">
        <v>127</v>
      </c>
      <c r="C154" s="199"/>
      <c r="D154" s="2" t="s">
        <v>128</v>
      </c>
      <c r="E154" s="21"/>
      <c r="F154" s="20"/>
      <c r="G154" s="20"/>
      <c r="I154" s="113"/>
      <c r="J154" s="113"/>
      <c r="K154" s="113"/>
      <c r="L154" s="113"/>
      <c r="M154" s="113"/>
      <c r="N154" s="113"/>
      <c r="O154" s="113"/>
    </row>
    <row r="155" spans="1:15" ht="17.100000000000001" customHeight="1" x14ac:dyDescent="0.2">
      <c r="A155" s="18"/>
      <c r="B155" s="198" t="s">
        <v>129</v>
      </c>
      <c r="C155" s="199"/>
      <c r="D155" s="2" t="s">
        <v>128</v>
      </c>
      <c r="E155" s="21"/>
      <c r="F155" s="20"/>
      <c r="G155" s="20"/>
    </row>
    <row r="156" spans="1:15" ht="17.100000000000001" customHeight="1" x14ac:dyDescent="0.2">
      <c r="A156" s="18"/>
      <c r="B156" s="198" t="s">
        <v>130</v>
      </c>
      <c r="C156" s="199"/>
      <c r="D156" s="12" t="s">
        <v>98</v>
      </c>
      <c r="E156" s="21"/>
      <c r="F156" s="20"/>
      <c r="G156" s="20"/>
    </row>
    <row r="157" spans="1:15" ht="24" customHeight="1" x14ac:dyDescent="0.2">
      <c r="A157" s="22"/>
      <c r="B157" s="23" t="s">
        <v>98</v>
      </c>
      <c r="C157" s="23" t="s">
        <v>131</v>
      </c>
      <c r="D157" s="23" t="s">
        <v>132</v>
      </c>
      <c r="E157" s="22"/>
      <c r="F157" s="22"/>
      <c r="G157" s="22"/>
    </row>
    <row r="158" spans="1:15" ht="18" customHeight="1" x14ac:dyDescent="0.2">
      <c r="A158" s="22"/>
      <c r="B158" s="23" t="s">
        <v>133</v>
      </c>
      <c r="C158" s="23" t="s">
        <v>134</v>
      </c>
      <c r="D158" s="23" t="s">
        <v>135</v>
      </c>
      <c r="E158" s="22"/>
      <c r="F158" s="22"/>
      <c r="G158" s="22"/>
    </row>
    <row r="159" spans="1:15" ht="17.100000000000001" customHeight="1" x14ac:dyDescent="0.2">
      <c r="A159" s="22"/>
      <c r="B159" s="4" t="s">
        <v>136</v>
      </c>
      <c r="C159" s="24">
        <v>13.1602</v>
      </c>
      <c r="D159" s="24">
        <v>13.2621</v>
      </c>
      <c r="E159" s="22"/>
      <c r="F159" s="19"/>
      <c r="G159" s="25"/>
    </row>
    <row r="160" spans="1:15" ht="17.100000000000001" customHeight="1" x14ac:dyDescent="0.2">
      <c r="A160" s="22"/>
      <c r="B160" s="4" t="s">
        <v>980</v>
      </c>
      <c r="C160" s="24">
        <v>13.1601</v>
      </c>
      <c r="D160" s="24">
        <v>13.262</v>
      </c>
      <c r="E160" s="22"/>
      <c r="F160" s="19"/>
      <c r="G160" s="25"/>
    </row>
    <row r="161" spans="1:15" ht="17.100000000000001" customHeight="1" x14ac:dyDescent="0.2">
      <c r="A161" s="22"/>
      <c r="B161" s="4" t="s">
        <v>137</v>
      </c>
      <c r="C161" s="24">
        <v>12.530099999999999</v>
      </c>
      <c r="D161" s="24">
        <v>12.6097</v>
      </c>
      <c r="E161" s="22"/>
      <c r="F161" s="19"/>
      <c r="G161" s="25"/>
    </row>
    <row r="162" spans="1:15" ht="17.100000000000001" customHeight="1" x14ac:dyDescent="0.2">
      <c r="A162" s="22"/>
      <c r="B162" s="4" t="s">
        <v>981</v>
      </c>
      <c r="C162" s="24">
        <v>12.5298</v>
      </c>
      <c r="D162" s="24">
        <v>12.609500000000001</v>
      </c>
      <c r="E162" s="22"/>
      <c r="F162" s="19"/>
      <c r="G162" s="25"/>
    </row>
    <row r="163" spans="1:15" ht="14.1" customHeight="1" x14ac:dyDescent="0.2">
      <c r="A163" s="22"/>
      <c r="B163" s="22"/>
      <c r="C163" s="22"/>
      <c r="D163" s="22"/>
      <c r="E163" s="22"/>
      <c r="F163" s="22"/>
      <c r="G163" s="22"/>
    </row>
    <row r="164" spans="1:15" ht="17.100000000000001" customHeight="1" x14ac:dyDescent="0.2">
      <c r="A164" s="22"/>
      <c r="B164" s="198" t="s">
        <v>982</v>
      </c>
      <c r="C164" s="199"/>
      <c r="D164" s="91" t="s">
        <v>128</v>
      </c>
      <c r="E164" s="22"/>
      <c r="F164" s="22"/>
      <c r="G164" s="22"/>
    </row>
    <row r="165" spans="1:15" ht="18" customHeight="1" x14ac:dyDescent="0.2">
      <c r="A165" s="22"/>
      <c r="B165" s="26"/>
      <c r="C165" s="26"/>
      <c r="D165" s="27"/>
      <c r="E165" s="22"/>
      <c r="F165" s="22"/>
      <c r="G165" s="22"/>
    </row>
    <row r="166" spans="1:15" s="113" customFormat="1" x14ac:dyDescent="0.2">
      <c r="B166" s="202" t="s">
        <v>984</v>
      </c>
      <c r="C166" s="202"/>
      <c r="D166" s="202"/>
      <c r="E166" s="202"/>
      <c r="F166" s="202"/>
      <c r="I166"/>
      <c r="J166"/>
      <c r="K166"/>
      <c r="L166"/>
      <c r="M166"/>
      <c r="N166"/>
      <c r="O166"/>
    </row>
    <row r="167" spans="1:15" ht="14.1" customHeight="1" x14ac:dyDescent="0.2">
      <c r="A167" s="22"/>
      <c r="B167" s="19"/>
      <c r="C167" s="19"/>
      <c r="D167" s="22"/>
      <c r="E167" s="22"/>
      <c r="F167" s="22"/>
      <c r="G167" s="22"/>
    </row>
    <row r="168" spans="1:15" ht="29.1" customHeight="1" x14ac:dyDescent="0.2">
      <c r="A168" s="92"/>
      <c r="B168" s="200" t="s">
        <v>138</v>
      </c>
      <c r="C168" s="201"/>
      <c r="D168" s="91" t="s">
        <v>936</v>
      </c>
      <c r="E168" s="92"/>
      <c r="F168" s="92"/>
      <c r="G168" s="92"/>
    </row>
    <row r="169" spans="1:15" ht="29.1" customHeight="1" x14ac:dyDescent="0.2">
      <c r="A169" s="92"/>
      <c r="B169" s="200" t="s">
        <v>139</v>
      </c>
      <c r="C169" s="201"/>
      <c r="D169" s="91" t="s">
        <v>128</v>
      </c>
      <c r="E169" s="92"/>
      <c r="G169" s="92"/>
    </row>
    <row r="170" spans="1:15" ht="17.100000000000001" customHeight="1" x14ac:dyDescent="0.2">
      <c r="A170" s="92"/>
      <c r="B170" s="207" t="s">
        <v>938</v>
      </c>
      <c r="C170" s="208"/>
      <c r="D170" s="95">
        <v>1.0532958719395988</v>
      </c>
      <c r="E170" s="92"/>
      <c r="F170" s="93"/>
      <c r="G170" s="94"/>
    </row>
    <row r="171" spans="1:15" ht="17.100000000000001" customHeight="1" x14ac:dyDescent="0.2">
      <c r="A171" s="92"/>
      <c r="B171" s="207" t="s">
        <v>939</v>
      </c>
      <c r="C171" s="208"/>
      <c r="D171" s="95">
        <v>0.9655809692289653</v>
      </c>
      <c r="E171" s="92"/>
      <c r="F171" s="92"/>
      <c r="G171" s="92"/>
    </row>
    <row r="172" spans="1:15" x14ac:dyDescent="0.2">
      <c r="B172" s="200" t="s">
        <v>941</v>
      </c>
      <c r="C172" s="201"/>
      <c r="D172" s="28">
        <v>4.6713172443975184</v>
      </c>
    </row>
    <row r="173" spans="1:15" x14ac:dyDescent="0.2">
      <c r="B173" s="200" t="s">
        <v>942</v>
      </c>
      <c r="C173" s="201"/>
      <c r="D173" s="91" t="s">
        <v>128</v>
      </c>
    </row>
  </sheetData>
  <mergeCells count="18">
    <mergeCell ref="J2:N2"/>
    <mergeCell ref="B173:C173"/>
    <mergeCell ref="B153:C153"/>
    <mergeCell ref="B150:F150"/>
    <mergeCell ref="B151:F151"/>
    <mergeCell ref="B170:C170"/>
    <mergeCell ref="B171:C171"/>
    <mergeCell ref="B154:C154"/>
    <mergeCell ref="B155:C155"/>
    <mergeCell ref="B156:C156"/>
    <mergeCell ref="B164:C164"/>
    <mergeCell ref="B168:C168"/>
    <mergeCell ref="B169:C169"/>
    <mergeCell ref="A1:H1"/>
    <mergeCell ref="A2:H2"/>
    <mergeCell ref="A3:H3"/>
    <mergeCell ref="B166:F166"/>
    <mergeCell ref="B172:C172"/>
  </mergeCells>
  <pageMargins left="5.000000074505806E-2" right="5.000000074505806E-2" top="0.30000001192092896" bottom="0.20000000298023224" header="0" footer="0"/>
  <pageSetup paperSize="9" orientation="landscape" r:id="rId1"/>
  <headerFooter alignWithMargins="0"/>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O123"/>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721</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412</v>
      </c>
      <c r="C7" s="4" t="s">
        <v>413</v>
      </c>
      <c r="D7" s="4" t="s">
        <v>19</v>
      </c>
      <c r="E7" s="5">
        <v>619930</v>
      </c>
      <c r="F7" s="6">
        <v>9812.5620049999998</v>
      </c>
      <c r="G7" s="7">
        <v>0.20219880500000001</v>
      </c>
      <c r="H7" s="112"/>
    </row>
    <row r="8" spans="1:14" x14ac:dyDescent="0.2">
      <c r="A8" s="3">
        <v>2</v>
      </c>
      <c r="B8" s="4" t="s">
        <v>17</v>
      </c>
      <c r="C8" s="4" t="s">
        <v>18</v>
      </c>
      <c r="D8" s="4" t="s">
        <v>19</v>
      </c>
      <c r="E8" s="5">
        <v>1067480</v>
      </c>
      <c r="F8" s="6">
        <v>8561.7233400000005</v>
      </c>
      <c r="G8" s="7">
        <v>0.17642387600000001</v>
      </c>
      <c r="H8" s="112"/>
    </row>
    <row r="9" spans="1:14" ht="25.5" x14ac:dyDescent="0.2">
      <c r="A9" s="3">
        <v>3</v>
      </c>
      <c r="B9" s="4" t="s">
        <v>416</v>
      </c>
      <c r="C9" s="4" t="s">
        <v>417</v>
      </c>
      <c r="D9" s="4" t="s">
        <v>81</v>
      </c>
      <c r="E9" s="5">
        <v>161518</v>
      </c>
      <c r="F9" s="6">
        <v>4594.7025460000004</v>
      </c>
      <c r="G9" s="7">
        <v>9.4678979999999996E-2</v>
      </c>
      <c r="H9" s="112"/>
    </row>
    <row r="10" spans="1:14" x14ac:dyDescent="0.2">
      <c r="A10" s="3">
        <v>4</v>
      </c>
      <c r="B10" s="4" t="s">
        <v>418</v>
      </c>
      <c r="C10" s="4" t="s">
        <v>419</v>
      </c>
      <c r="D10" s="4" t="s">
        <v>19</v>
      </c>
      <c r="E10" s="5">
        <v>782092</v>
      </c>
      <c r="F10" s="6">
        <v>3927.2749779999999</v>
      </c>
      <c r="G10" s="7">
        <v>8.0925889000000001E-2</v>
      </c>
      <c r="H10" s="112"/>
    </row>
    <row r="11" spans="1:14" x14ac:dyDescent="0.2">
      <c r="A11" s="3">
        <v>5</v>
      </c>
      <c r="B11" s="4" t="s">
        <v>322</v>
      </c>
      <c r="C11" s="4" t="s">
        <v>323</v>
      </c>
      <c r="D11" s="4" t="s">
        <v>19</v>
      </c>
      <c r="E11" s="5">
        <v>466660</v>
      </c>
      <c r="F11" s="6">
        <v>3462.6172000000001</v>
      </c>
      <c r="G11" s="7">
        <v>7.1351097000000002E-2</v>
      </c>
      <c r="H11" s="112"/>
    </row>
    <row r="12" spans="1:14" x14ac:dyDescent="0.2">
      <c r="A12" s="3">
        <v>6</v>
      </c>
      <c r="B12" s="4" t="s">
        <v>386</v>
      </c>
      <c r="C12" s="4" t="s">
        <v>387</v>
      </c>
      <c r="D12" s="4" t="s">
        <v>973</v>
      </c>
      <c r="E12" s="5">
        <v>17895</v>
      </c>
      <c r="F12" s="6">
        <v>3189.0947925</v>
      </c>
      <c r="G12" s="7">
        <v>6.5714861999999999E-2</v>
      </c>
      <c r="H12" s="112"/>
    </row>
    <row r="13" spans="1:14" x14ac:dyDescent="0.2">
      <c r="A13" s="3">
        <v>7</v>
      </c>
      <c r="B13" s="4" t="s">
        <v>445</v>
      </c>
      <c r="C13" s="4" t="s">
        <v>446</v>
      </c>
      <c r="D13" s="4" t="s">
        <v>19</v>
      </c>
      <c r="E13" s="5">
        <v>146084</v>
      </c>
      <c r="F13" s="6">
        <v>2967.1851660000002</v>
      </c>
      <c r="G13" s="7">
        <v>6.1142165999999998E-2</v>
      </c>
      <c r="H13" s="112"/>
    </row>
    <row r="14" spans="1:14" x14ac:dyDescent="0.2">
      <c r="A14" s="3">
        <v>8</v>
      </c>
      <c r="B14" s="4" t="s">
        <v>519</v>
      </c>
      <c r="C14" s="4" t="s">
        <v>520</v>
      </c>
      <c r="D14" s="4" t="s">
        <v>19</v>
      </c>
      <c r="E14" s="5">
        <v>517173</v>
      </c>
      <c r="F14" s="6">
        <v>1521.2643794999999</v>
      </c>
      <c r="G14" s="7">
        <v>3.1347352000000002E-2</v>
      </c>
      <c r="H14" s="112"/>
    </row>
    <row r="15" spans="1:14" ht="15" x14ac:dyDescent="0.2">
      <c r="A15" s="3">
        <v>9</v>
      </c>
      <c r="B15" s="4" t="s">
        <v>167</v>
      </c>
      <c r="C15" s="4" t="s">
        <v>168</v>
      </c>
      <c r="D15" s="4" t="s">
        <v>81</v>
      </c>
      <c r="E15" s="5">
        <v>198851</v>
      </c>
      <c r="F15" s="6">
        <v>1402.3966774999999</v>
      </c>
      <c r="G15" s="7">
        <v>2.8897951000000002E-2</v>
      </c>
      <c r="H15" s="112"/>
      <c r="J15" s="188" t="s">
        <v>1028</v>
      </c>
    </row>
    <row r="16" spans="1:14" x14ac:dyDescent="0.2">
      <c r="A16" s="3">
        <v>10</v>
      </c>
      <c r="B16" s="4" t="s">
        <v>637</v>
      </c>
      <c r="C16" s="4" t="s">
        <v>638</v>
      </c>
      <c r="D16" s="4" t="s">
        <v>19</v>
      </c>
      <c r="E16" s="5">
        <v>83704</v>
      </c>
      <c r="F16" s="6">
        <v>954.39300800000001</v>
      </c>
      <c r="G16" s="7">
        <v>1.9666334000000001E-2</v>
      </c>
      <c r="H16" s="112"/>
    </row>
    <row r="17" spans="1:8" ht="25.5" x14ac:dyDescent="0.2">
      <c r="A17" s="3">
        <v>11</v>
      </c>
      <c r="B17" s="4" t="s">
        <v>304</v>
      </c>
      <c r="C17" s="4" t="s">
        <v>305</v>
      </c>
      <c r="D17" s="4" t="s">
        <v>81</v>
      </c>
      <c r="E17" s="5">
        <v>141241</v>
      </c>
      <c r="F17" s="6">
        <v>868.27904750000005</v>
      </c>
      <c r="G17" s="7">
        <v>1.7891859999999999E-2</v>
      </c>
      <c r="H17" s="112"/>
    </row>
    <row r="18" spans="1:8" x14ac:dyDescent="0.2">
      <c r="A18" s="3">
        <v>12</v>
      </c>
      <c r="B18" s="4" t="s">
        <v>339</v>
      </c>
      <c r="C18" s="4" t="s">
        <v>340</v>
      </c>
      <c r="D18" s="4" t="s">
        <v>81</v>
      </c>
      <c r="E18" s="5">
        <v>54241</v>
      </c>
      <c r="F18" s="6">
        <v>779.00924199999997</v>
      </c>
      <c r="G18" s="7">
        <v>1.6052356E-2</v>
      </c>
      <c r="H18" s="112"/>
    </row>
    <row r="19" spans="1:8" x14ac:dyDescent="0.2">
      <c r="A19" s="3">
        <v>13</v>
      </c>
      <c r="B19" s="4" t="s">
        <v>79</v>
      </c>
      <c r="C19" s="4" t="s">
        <v>80</v>
      </c>
      <c r="D19" s="4" t="s">
        <v>81</v>
      </c>
      <c r="E19" s="5">
        <v>260000</v>
      </c>
      <c r="F19" s="6">
        <v>694.85</v>
      </c>
      <c r="G19" s="7">
        <v>1.4318160999999999E-2</v>
      </c>
      <c r="H19" s="112"/>
    </row>
    <row r="20" spans="1:8" x14ac:dyDescent="0.2">
      <c r="A20" s="3">
        <v>14</v>
      </c>
      <c r="B20" s="4" t="s">
        <v>330</v>
      </c>
      <c r="C20" s="4" t="s">
        <v>331</v>
      </c>
      <c r="D20" s="4" t="s">
        <v>19</v>
      </c>
      <c r="E20" s="5">
        <v>51843</v>
      </c>
      <c r="F20" s="6">
        <v>630.5923305</v>
      </c>
      <c r="G20" s="7">
        <v>1.299406E-2</v>
      </c>
      <c r="H20" s="112"/>
    </row>
    <row r="21" spans="1:8" x14ac:dyDescent="0.2">
      <c r="A21" s="3">
        <v>15</v>
      </c>
      <c r="B21" s="4" t="s">
        <v>566</v>
      </c>
      <c r="C21" s="4" t="s">
        <v>567</v>
      </c>
      <c r="D21" s="4" t="s">
        <v>81</v>
      </c>
      <c r="E21" s="5">
        <v>7202</v>
      </c>
      <c r="F21" s="6">
        <v>532.96240399999999</v>
      </c>
      <c r="G21" s="7">
        <v>1.0982286000000001E-2</v>
      </c>
      <c r="H21" s="112"/>
    </row>
    <row r="22" spans="1:8" x14ac:dyDescent="0.2">
      <c r="A22" s="3">
        <v>16</v>
      </c>
      <c r="B22" s="4" t="s">
        <v>316</v>
      </c>
      <c r="C22" s="4" t="s">
        <v>317</v>
      </c>
      <c r="D22" s="4" t="s">
        <v>19</v>
      </c>
      <c r="E22" s="5">
        <v>498429</v>
      </c>
      <c r="F22" s="6">
        <v>485.71906050000001</v>
      </c>
      <c r="G22" s="7">
        <v>1.0008784E-2</v>
      </c>
      <c r="H22" s="112"/>
    </row>
    <row r="23" spans="1:8" x14ac:dyDescent="0.2">
      <c r="A23" s="3">
        <v>17</v>
      </c>
      <c r="B23" s="4" t="s">
        <v>420</v>
      </c>
      <c r="C23" s="4" t="s">
        <v>421</v>
      </c>
      <c r="D23" s="4" t="s">
        <v>973</v>
      </c>
      <c r="E23" s="5">
        <v>37738</v>
      </c>
      <c r="F23" s="6">
        <v>432.307659</v>
      </c>
      <c r="G23" s="7">
        <v>8.9081820000000006E-3</v>
      </c>
      <c r="H23" s="112"/>
    </row>
    <row r="24" spans="1:8" x14ac:dyDescent="0.2">
      <c r="A24" s="3">
        <v>18</v>
      </c>
      <c r="B24" s="4" t="s">
        <v>722</v>
      </c>
      <c r="C24" s="4" t="s">
        <v>723</v>
      </c>
      <c r="D24" s="4" t="s">
        <v>81</v>
      </c>
      <c r="E24" s="5">
        <v>414772</v>
      </c>
      <c r="F24" s="6">
        <v>401.08452399999999</v>
      </c>
      <c r="G24" s="7">
        <v>8.2647950000000001E-3</v>
      </c>
      <c r="H24" s="112"/>
    </row>
    <row r="25" spans="1:8" x14ac:dyDescent="0.2">
      <c r="A25" s="3">
        <v>19</v>
      </c>
      <c r="B25" s="4" t="s">
        <v>306</v>
      </c>
      <c r="C25" s="4" t="s">
        <v>307</v>
      </c>
      <c r="D25" s="4" t="s">
        <v>973</v>
      </c>
      <c r="E25" s="5">
        <v>31042</v>
      </c>
      <c r="F25" s="6">
        <v>302.22491200000002</v>
      </c>
      <c r="G25" s="7">
        <v>6.227682E-3</v>
      </c>
      <c r="H25" s="112"/>
    </row>
    <row r="26" spans="1:8" ht="25.5" x14ac:dyDescent="0.2">
      <c r="A26" s="3">
        <v>20</v>
      </c>
      <c r="B26" s="4" t="s">
        <v>460</v>
      </c>
      <c r="C26" s="4" t="s">
        <v>461</v>
      </c>
      <c r="D26" s="4" t="s">
        <v>973</v>
      </c>
      <c r="E26" s="5">
        <v>19277</v>
      </c>
      <c r="F26" s="6">
        <v>285.59839349999999</v>
      </c>
      <c r="G26" s="7">
        <v>5.8850739999999997E-3</v>
      </c>
      <c r="H26" s="112"/>
    </row>
    <row r="27" spans="1:8" x14ac:dyDescent="0.2">
      <c r="A27" s="3">
        <v>21</v>
      </c>
      <c r="B27" s="4" t="s">
        <v>591</v>
      </c>
      <c r="C27" s="4" t="s">
        <v>592</v>
      </c>
      <c r="D27" s="4" t="s">
        <v>973</v>
      </c>
      <c r="E27" s="5">
        <v>39000</v>
      </c>
      <c r="F27" s="6">
        <v>265.37549999999999</v>
      </c>
      <c r="G27" s="7">
        <v>5.4683589999999999E-3</v>
      </c>
      <c r="H27" s="112"/>
    </row>
    <row r="28" spans="1:8" x14ac:dyDescent="0.2">
      <c r="A28" s="3">
        <v>22</v>
      </c>
      <c r="B28" s="4" t="s">
        <v>380</v>
      </c>
      <c r="C28" s="4" t="s">
        <v>381</v>
      </c>
      <c r="D28" s="4" t="s">
        <v>81</v>
      </c>
      <c r="E28" s="5">
        <v>59054</v>
      </c>
      <c r="F28" s="6">
        <v>240.261199</v>
      </c>
      <c r="G28" s="7">
        <v>4.9508499999999997E-3</v>
      </c>
      <c r="H28" s="112"/>
    </row>
    <row r="29" spans="1:8" x14ac:dyDescent="0.2">
      <c r="A29" s="3">
        <v>23</v>
      </c>
      <c r="B29" s="4" t="s">
        <v>551</v>
      </c>
      <c r="C29" s="4" t="s">
        <v>552</v>
      </c>
      <c r="D29" s="4" t="s">
        <v>974</v>
      </c>
      <c r="E29" s="5">
        <v>16200</v>
      </c>
      <c r="F29" s="6">
        <v>167.751</v>
      </c>
      <c r="G29" s="7">
        <v>3.4566969999999999E-3</v>
      </c>
      <c r="H29" s="112"/>
    </row>
    <row r="30" spans="1:8" x14ac:dyDescent="0.2">
      <c r="A30" s="3">
        <v>24</v>
      </c>
      <c r="B30" s="4" t="s">
        <v>724</v>
      </c>
      <c r="C30" s="4" t="s">
        <v>725</v>
      </c>
      <c r="D30" s="4" t="s">
        <v>81</v>
      </c>
      <c r="E30" s="5">
        <v>184713</v>
      </c>
      <c r="F30" s="6">
        <v>162.36272700000001</v>
      </c>
      <c r="G30" s="7">
        <v>3.3456649999999998E-3</v>
      </c>
      <c r="H30" s="112"/>
    </row>
    <row r="31" spans="1:8" x14ac:dyDescent="0.2">
      <c r="A31" s="3">
        <v>25</v>
      </c>
      <c r="B31" s="4" t="s">
        <v>360</v>
      </c>
      <c r="C31" s="4" t="s">
        <v>361</v>
      </c>
      <c r="D31" s="4" t="s">
        <v>974</v>
      </c>
      <c r="E31" s="5">
        <v>15113</v>
      </c>
      <c r="F31" s="6">
        <v>111.53394</v>
      </c>
      <c r="G31" s="7">
        <v>2.2982810000000001E-3</v>
      </c>
      <c r="H31" s="112"/>
    </row>
    <row r="32" spans="1:8" ht="25.5" x14ac:dyDescent="0.2">
      <c r="A32" s="3">
        <v>26</v>
      </c>
      <c r="B32" s="4" t="s">
        <v>726</v>
      </c>
      <c r="C32" s="4" t="s">
        <v>727</v>
      </c>
      <c r="D32" s="4" t="s">
        <v>81</v>
      </c>
      <c r="E32" s="5">
        <v>31804</v>
      </c>
      <c r="F32" s="6">
        <v>57.088180000000001</v>
      </c>
      <c r="G32" s="7">
        <v>1.1763660000000001E-3</v>
      </c>
      <c r="H32" s="112"/>
    </row>
    <row r="33" spans="1:8" x14ac:dyDescent="0.2">
      <c r="A33" s="1"/>
      <c r="B33" s="1"/>
      <c r="C33" s="2" t="s">
        <v>97</v>
      </c>
      <c r="D33" s="1"/>
      <c r="E33" s="1" t="s">
        <v>98</v>
      </c>
      <c r="F33" s="9">
        <v>46810.214211500002</v>
      </c>
      <c r="G33" s="10">
        <v>0.96457676999999997</v>
      </c>
      <c r="H33" s="112"/>
    </row>
    <row r="34" spans="1:8" x14ac:dyDescent="0.2">
      <c r="A34" s="1"/>
      <c r="B34" s="1"/>
      <c r="C34" s="11"/>
      <c r="D34" s="1"/>
      <c r="E34" s="1"/>
      <c r="F34" s="12"/>
      <c r="G34" s="12"/>
      <c r="H34" s="112"/>
    </row>
    <row r="35" spans="1:8" x14ac:dyDescent="0.2">
      <c r="A35" s="1"/>
      <c r="B35" s="1"/>
      <c r="C35" s="2" t="s">
        <v>99</v>
      </c>
      <c r="D35" s="1"/>
      <c r="E35" s="1"/>
      <c r="F35" s="1"/>
      <c r="G35" s="1"/>
      <c r="H35" s="112"/>
    </row>
    <row r="36" spans="1:8" x14ac:dyDescent="0.2">
      <c r="A36" s="1"/>
      <c r="B36" s="1"/>
      <c r="C36" s="2" t="s">
        <v>97</v>
      </c>
      <c r="D36" s="1"/>
      <c r="E36" s="1" t="s">
        <v>98</v>
      </c>
      <c r="F36" s="13">
        <v>0</v>
      </c>
      <c r="G36" s="14">
        <v>0</v>
      </c>
      <c r="H36" s="112"/>
    </row>
    <row r="37" spans="1:8" x14ac:dyDescent="0.2">
      <c r="A37" s="1"/>
      <c r="B37" s="1"/>
      <c r="C37" s="11"/>
      <c r="D37" s="1"/>
      <c r="E37" s="1"/>
      <c r="F37" s="12"/>
      <c r="G37" s="12"/>
      <c r="H37" s="112"/>
    </row>
    <row r="38" spans="1:8" x14ac:dyDescent="0.2">
      <c r="A38" s="1"/>
      <c r="B38" s="1"/>
      <c r="C38" s="2" t="s">
        <v>100</v>
      </c>
      <c r="D38" s="1"/>
      <c r="E38" s="1"/>
      <c r="F38" s="1"/>
      <c r="G38" s="1"/>
      <c r="H38" s="112"/>
    </row>
    <row r="39" spans="1:8" x14ac:dyDescent="0.2">
      <c r="A39" s="1"/>
      <c r="B39" s="1"/>
      <c r="C39" s="2" t="s">
        <v>97</v>
      </c>
      <c r="D39" s="1"/>
      <c r="E39" s="1" t="s">
        <v>98</v>
      </c>
      <c r="F39" s="13">
        <v>0</v>
      </c>
      <c r="G39" s="14">
        <v>0</v>
      </c>
      <c r="H39" s="112"/>
    </row>
    <row r="40" spans="1:8" x14ac:dyDescent="0.2">
      <c r="A40" s="1"/>
      <c r="B40" s="1"/>
      <c r="C40" s="11"/>
      <c r="D40" s="1"/>
      <c r="E40" s="1"/>
      <c r="F40" s="12"/>
      <c r="G40" s="12"/>
      <c r="H40" s="112"/>
    </row>
    <row r="41" spans="1:8" x14ac:dyDescent="0.2">
      <c r="A41" s="1"/>
      <c r="B41" s="1"/>
      <c r="C41" s="2" t="s">
        <v>101</v>
      </c>
      <c r="D41" s="1"/>
      <c r="E41" s="1"/>
      <c r="F41" s="1"/>
      <c r="G41" s="1"/>
      <c r="H41" s="112"/>
    </row>
    <row r="42" spans="1:8" x14ac:dyDescent="0.2">
      <c r="A42" s="1"/>
      <c r="B42" s="1"/>
      <c r="C42" s="2" t="s">
        <v>97</v>
      </c>
      <c r="D42" s="1"/>
      <c r="E42" s="1" t="s">
        <v>98</v>
      </c>
      <c r="F42" s="13">
        <v>0</v>
      </c>
      <c r="G42" s="14">
        <v>0</v>
      </c>
      <c r="H42" s="112"/>
    </row>
    <row r="43" spans="1:8" x14ac:dyDescent="0.2">
      <c r="A43" s="1"/>
      <c r="B43" s="1"/>
      <c r="C43" s="11"/>
      <c r="D43" s="1"/>
      <c r="E43" s="1"/>
      <c r="F43" s="12"/>
      <c r="G43" s="12"/>
      <c r="H43" s="112"/>
    </row>
    <row r="44" spans="1:8" x14ac:dyDescent="0.2">
      <c r="A44" s="1"/>
      <c r="B44" s="1"/>
      <c r="C44" s="2" t="s">
        <v>102</v>
      </c>
      <c r="D44" s="1"/>
      <c r="E44" s="1"/>
      <c r="F44" s="12"/>
      <c r="G44" s="12"/>
      <c r="H44" s="112"/>
    </row>
    <row r="45" spans="1:8" x14ac:dyDescent="0.2">
      <c r="A45" s="1"/>
      <c r="B45" s="1"/>
      <c r="C45" s="2" t="s">
        <v>97</v>
      </c>
      <c r="D45" s="1"/>
      <c r="E45" s="1" t="s">
        <v>98</v>
      </c>
      <c r="F45" s="13">
        <v>0</v>
      </c>
      <c r="G45" s="14">
        <v>0</v>
      </c>
      <c r="H45" s="112"/>
    </row>
    <row r="46" spans="1:8" x14ac:dyDescent="0.2">
      <c r="A46" s="1"/>
      <c r="B46" s="1"/>
      <c r="C46" s="11"/>
      <c r="D46" s="1"/>
      <c r="E46" s="1"/>
      <c r="F46" s="12"/>
      <c r="G46" s="12"/>
      <c r="H46" s="112"/>
    </row>
    <row r="47" spans="1:8" x14ac:dyDescent="0.2">
      <c r="A47" s="1"/>
      <c r="B47" s="1"/>
      <c r="C47" s="2" t="s">
        <v>103</v>
      </c>
      <c r="D47" s="1"/>
      <c r="E47" s="1"/>
      <c r="F47" s="12"/>
      <c r="G47" s="12"/>
      <c r="H47" s="112"/>
    </row>
    <row r="48" spans="1:8" x14ac:dyDescent="0.2">
      <c r="A48" s="1"/>
      <c r="B48" s="1"/>
      <c r="C48" s="2" t="s">
        <v>97</v>
      </c>
      <c r="D48" s="1"/>
      <c r="E48" s="1" t="s">
        <v>98</v>
      </c>
      <c r="F48" s="13">
        <v>0</v>
      </c>
      <c r="G48" s="14">
        <v>0</v>
      </c>
      <c r="H48" s="112"/>
    </row>
    <row r="49" spans="1:8" x14ac:dyDescent="0.2">
      <c r="A49" s="1"/>
      <c r="B49" s="1"/>
      <c r="C49" s="11"/>
      <c r="D49" s="1"/>
      <c r="E49" s="1"/>
      <c r="F49" s="12"/>
      <c r="G49" s="12"/>
      <c r="H49" s="112"/>
    </row>
    <row r="50" spans="1:8" x14ac:dyDescent="0.2">
      <c r="A50" s="1"/>
      <c r="B50" s="1"/>
      <c r="C50" s="2" t="s">
        <v>104</v>
      </c>
      <c r="D50" s="1"/>
      <c r="E50" s="1"/>
      <c r="F50" s="9">
        <v>46810.214211500002</v>
      </c>
      <c r="G50" s="10">
        <v>0.96457676999999997</v>
      </c>
      <c r="H50" s="112"/>
    </row>
    <row r="51" spans="1:8" x14ac:dyDescent="0.2">
      <c r="A51" s="1"/>
      <c r="B51" s="1"/>
      <c r="C51" s="11"/>
      <c r="D51" s="1"/>
      <c r="E51" s="1"/>
      <c r="F51" s="12"/>
      <c r="G51" s="12"/>
      <c r="H51" s="112"/>
    </row>
    <row r="52" spans="1:8" x14ac:dyDescent="0.2">
      <c r="A52" s="1"/>
      <c r="B52" s="1"/>
      <c r="C52" s="2" t="s">
        <v>105</v>
      </c>
      <c r="D52" s="1"/>
      <c r="E52" s="1"/>
      <c r="F52" s="12"/>
      <c r="G52" s="12"/>
      <c r="H52" s="112"/>
    </row>
    <row r="53" spans="1:8" ht="25.5" x14ac:dyDescent="0.2">
      <c r="A53" s="1"/>
      <c r="B53" s="1"/>
      <c r="C53" s="2" t="s">
        <v>10</v>
      </c>
      <c r="D53" s="1"/>
      <c r="E53" s="1"/>
      <c r="F53" s="12"/>
      <c r="G53" s="12"/>
      <c r="H53" s="112"/>
    </row>
    <row r="54" spans="1:8" x14ac:dyDescent="0.2">
      <c r="A54" s="1"/>
      <c r="B54" s="1"/>
      <c r="C54" s="2" t="s">
        <v>97</v>
      </c>
      <c r="D54" s="1"/>
      <c r="E54" s="1" t="s">
        <v>98</v>
      </c>
      <c r="F54" s="13">
        <v>0</v>
      </c>
      <c r="G54" s="14">
        <v>0</v>
      </c>
      <c r="H54" s="112"/>
    </row>
    <row r="55" spans="1:8" x14ac:dyDescent="0.2">
      <c r="A55" s="1"/>
      <c r="B55" s="1"/>
      <c r="C55" s="11"/>
      <c r="D55" s="1"/>
      <c r="E55" s="1"/>
      <c r="F55" s="12"/>
      <c r="G55" s="12"/>
      <c r="H55" s="112"/>
    </row>
    <row r="56" spans="1:8" x14ac:dyDescent="0.2">
      <c r="A56" s="1"/>
      <c r="B56" s="1"/>
      <c r="C56" s="2" t="s">
        <v>106</v>
      </c>
      <c r="D56" s="1"/>
      <c r="E56" s="1"/>
      <c r="F56" s="1"/>
      <c r="G56" s="1"/>
      <c r="H56" s="112"/>
    </row>
    <row r="57" spans="1:8" x14ac:dyDescent="0.2">
      <c r="A57" s="1"/>
      <c r="B57" s="1"/>
      <c r="C57" s="2" t="s">
        <v>97</v>
      </c>
      <c r="D57" s="1"/>
      <c r="E57" s="1" t="s">
        <v>98</v>
      </c>
      <c r="F57" s="13">
        <v>0</v>
      </c>
      <c r="G57" s="14">
        <v>0</v>
      </c>
      <c r="H57" s="112"/>
    </row>
    <row r="58" spans="1:8" x14ac:dyDescent="0.2">
      <c r="A58" s="1"/>
      <c r="B58" s="1"/>
      <c r="C58" s="11"/>
      <c r="D58" s="1"/>
      <c r="E58" s="1"/>
      <c r="F58" s="12"/>
      <c r="G58" s="12"/>
      <c r="H58" s="112"/>
    </row>
    <row r="59" spans="1:8" x14ac:dyDescent="0.2">
      <c r="A59" s="1"/>
      <c r="B59" s="1"/>
      <c r="C59" s="2" t="s">
        <v>107</v>
      </c>
      <c r="D59" s="1"/>
      <c r="E59" s="1"/>
      <c r="F59" s="1"/>
      <c r="G59" s="1"/>
      <c r="H59" s="112"/>
    </row>
    <row r="60" spans="1:8" x14ac:dyDescent="0.2">
      <c r="A60" s="1"/>
      <c r="B60" s="1"/>
      <c r="C60" s="2" t="s">
        <v>97</v>
      </c>
      <c r="D60" s="1"/>
      <c r="E60" s="1" t="s">
        <v>98</v>
      </c>
      <c r="F60" s="13">
        <v>0</v>
      </c>
      <c r="G60" s="14">
        <v>0</v>
      </c>
      <c r="H60" s="112"/>
    </row>
    <row r="61" spans="1:8" x14ac:dyDescent="0.2">
      <c r="A61" s="1"/>
      <c r="B61" s="1"/>
      <c r="C61" s="11"/>
      <c r="D61" s="1"/>
      <c r="E61" s="1"/>
      <c r="F61" s="12"/>
      <c r="G61" s="12"/>
      <c r="H61" s="112"/>
    </row>
    <row r="62" spans="1:8" x14ac:dyDescent="0.2">
      <c r="A62" s="1"/>
      <c r="B62" s="1"/>
      <c r="C62" s="2" t="s">
        <v>108</v>
      </c>
      <c r="D62" s="1"/>
      <c r="E62" s="1"/>
      <c r="F62" s="12"/>
      <c r="G62" s="12"/>
      <c r="H62" s="112"/>
    </row>
    <row r="63" spans="1:8" x14ac:dyDescent="0.2">
      <c r="A63" s="1"/>
      <c r="B63" s="1"/>
      <c r="C63" s="2" t="s">
        <v>97</v>
      </c>
      <c r="D63" s="1"/>
      <c r="E63" s="1" t="s">
        <v>98</v>
      </c>
      <c r="F63" s="13">
        <v>0</v>
      </c>
      <c r="G63" s="14">
        <v>0</v>
      </c>
      <c r="H63" s="112"/>
    </row>
    <row r="64" spans="1:8" x14ac:dyDescent="0.2">
      <c r="A64" s="1"/>
      <c r="B64" s="1"/>
      <c r="C64" s="11"/>
      <c r="D64" s="1"/>
      <c r="E64" s="1"/>
      <c r="F64" s="12"/>
      <c r="G64" s="12"/>
      <c r="H64" s="112"/>
    </row>
    <row r="65" spans="1:8" x14ac:dyDescent="0.2">
      <c r="A65" s="1"/>
      <c r="B65" s="1"/>
      <c r="C65" s="2" t="s">
        <v>109</v>
      </c>
      <c r="D65" s="1"/>
      <c r="E65" s="1"/>
      <c r="F65" s="9">
        <v>0</v>
      </c>
      <c r="G65" s="10">
        <v>0</v>
      </c>
      <c r="H65" s="112"/>
    </row>
    <row r="66" spans="1:8" x14ac:dyDescent="0.2">
      <c r="A66" s="1"/>
      <c r="B66" s="1"/>
      <c r="C66" s="11"/>
      <c r="D66" s="1"/>
      <c r="E66" s="1"/>
      <c r="F66" s="12"/>
      <c r="G66" s="12"/>
      <c r="H66" s="112"/>
    </row>
    <row r="67" spans="1:8" x14ac:dyDescent="0.2">
      <c r="A67" s="1"/>
      <c r="B67" s="1"/>
      <c r="C67" s="2" t="s">
        <v>110</v>
      </c>
      <c r="D67" s="1"/>
      <c r="E67" s="1"/>
      <c r="F67" s="12"/>
      <c r="G67" s="12"/>
      <c r="H67" s="112"/>
    </row>
    <row r="68" spans="1:8" x14ac:dyDescent="0.2">
      <c r="A68" s="1"/>
      <c r="B68" s="1"/>
      <c r="C68" s="2" t="s">
        <v>111</v>
      </c>
      <c r="D68" s="1"/>
      <c r="E68" s="1"/>
      <c r="F68" s="12"/>
      <c r="G68" s="12"/>
      <c r="H68" s="112"/>
    </row>
    <row r="69" spans="1:8" x14ac:dyDescent="0.2">
      <c r="A69" s="1"/>
      <c r="B69" s="1"/>
      <c r="C69" s="2" t="s">
        <v>97</v>
      </c>
      <c r="D69" s="1"/>
      <c r="E69" s="1" t="s">
        <v>98</v>
      </c>
      <c r="F69" s="13">
        <v>0</v>
      </c>
      <c r="G69" s="14">
        <v>0</v>
      </c>
      <c r="H69" s="112"/>
    </row>
    <row r="70" spans="1:8" x14ac:dyDescent="0.2">
      <c r="A70" s="1"/>
      <c r="B70" s="1"/>
      <c r="C70" s="11"/>
      <c r="D70" s="1"/>
      <c r="E70" s="1"/>
      <c r="F70" s="12"/>
      <c r="G70" s="12"/>
      <c r="H70" s="112"/>
    </row>
    <row r="71" spans="1:8" x14ac:dyDescent="0.2">
      <c r="A71" s="1"/>
      <c r="B71" s="1"/>
      <c r="C71" s="2" t="s">
        <v>112</v>
      </c>
      <c r="D71" s="1"/>
      <c r="E71" s="1"/>
      <c r="F71" s="12"/>
      <c r="G71" s="12"/>
      <c r="H71" s="112"/>
    </row>
    <row r="72" spans="1:8" x14ac:dyDescent="0.2">
      <c r="A72" s="1"/>
      <c r="B72" s="1"/>
      <c r="C72" s="2" t="s">
        <v>97</v>
      </c>
      <c r="D72" s="1"/>
      <c r="E72" s="1" t="s">
        <v>98</v>
      </c>
      <c r="F72" s="13">
        <v>0</v>
      </c>
      <c r="G72" s="14">
        <v>0</v>
      </c>
      <c r="H72" s="112"/>
    </row>
    <row r="73" spans="1:8" x14ac:dyDescent="0.2">
      <c r="A73" s="1"/>
      <c r="B73" s="1"/>
      <c r="C73" s="11"/>
      <c r="D73" s="1"/>
      <c r="E73" s="1"/>
      <c r="F73" s="12"/>
      <c r="G73" s="12"/>
      <c r="H73" s="112"/>
    </row>
    <row r="74" spans="1:8" x14ac:dyDescent="0.2">
      <c r="A74" s="1"/>
      <c r="B74" s="1"/>
      <c r="C74" s="2" t="s">
        <v>113</v>
      </c>
      <c r="D74" s="1"/>
      <c r="E74" s="1"/>
      <c r="F74" s="12"/>
      <c r="G74" s="12"/>
      <c r="H74" s="112"/>
    </row>
    <row r="75" spans="1:8" x14ac:dyDescent="0.2">
      <c r="A75" s="1"/>
      <c r="B75" s="1"/>
      <c r="C75" s="2" t="s">
        <v>97</v>
      </c>
      <c r="D75" s="1"/>
      <c r="E75" s="1" t="s">
        <v>98</v>
      </c>
      <c r="F75" s="13">
        <v>0</v>
      </c>
      <c r="G75" s="14">
        <v>0</v>
      </c>
      <c r="H75" s="112"/>
    </row>
    <row r="76" spans="1:8" x14ac:dyDescent="0.2">
      <c r="A76" s="1"/>
      <c r="B76" s="1"/>
      <c r="C76" s="11"/>
      <c r="D76" s="1"/>
      <c r="E76" s="1"/>
      <c r="F76" s="12"/>
      <c r="G76" s="12"/>
      <c r="H76" s="112"/>
    </row>
    <row r="77" spans="1:8" x14ac:dyDescent="0.2">
      <c r="A77" s="1"/>
      <c r="B77" s="1"/>
      <c r="C77" s="2" t="s">
        <v>114</v>
      </c>
      <c r="D77" s="1"/>
      <c r="E77" s="1"/>
      <c r="F77" s="12"/>
      <c r="G77" s="12"/>
      <c r="H77" s="112"/>
    </row>
    <row r="78" spans="1:8" x14ac:dyDescent="0.2">
      <c r="A78" s="3">
        <v>1</v>
      </c>
      <c r="B78" s="4"/>
      <c r="C78" s="4" t="s">
        <v>115</v>
      </c>
      <c r="D78" s="4"/>
      <c r="E78" s="8"/>
      <c r="F78" s="6">
        <v>1533.3653491683524</v>
      </c>
      <c r="G78" s="7">
        <v>3.1596706427279221E-2</v>
      </c>
      <c r="H78" s="6">
        <v>3.3211324282253978</v>
      </c>
    </row>
    <row r="79" spans="1:8" x14ac:dyDescent="0.2">
      <c r="A79" s="3">
        <v>2</v>
      </c>
      <c r="B79" s="4"/>
      <c r="C79" s="4" t="s">
        <v>116</v>
      </c>
      <c r="D79" s="4"/>
      <c r="E79" s="8"/>
      <c r="F79" s="6">
        <v>602.34185371009835</v>
      </c>
      <c r="G79" s="7">
        <v>1.2411926962392553E-2</v>
      </c>
      <c r="H79" s="6">
        <v>3.35</v>
      </c>
    </row>
    <row r="80" spans="1:8" x14ac:dyDescent="0.2">
      <c r="A80" s="1"/>
      <c r="B80" s="1"/>
      <c r="C80" s="2" t="s">
        <v>97</v>
      </c>
      <c r="D80" s="1"/>
      <c r="E80" s="1" t="s">
        <v>98</v>
      </c>
      <c r="F80" s="9">
        <v>2135.7072028784505</v>
      </c>
      <c r="G80" s="10">
        <v>4.4008633389671772E-2</v>
      </c>
      <c r="H80" s="112"/>
    </row>
    <row r="81" spans="1:8" x14ac:dyDescent="0.2">
      <c r="A81" s="1"/>
      <c r="B81" s="1"/>
      <c r="C81" s="11"/>
      <c r="D81" s="1"/>
      <c r="E81" s="1"/>
      <c r="F81" s="12"/>
      <c r="G81" s="12"/>
      <c r="H81" s="112"/>
    </row>
    <row r="82" spans="1:8" x14ac:dyDescent="0.2">
      <c r="A82" s="1"/>
      <c r="B82" s="1"/>
      <c r="C82" s="2" t="s">
        <v>117</v>
      </c>
      <c r="D82" s="1"/>
      <c r="E82" s="1"/>
      <c r="F82" s="9">
        <v>2135.7072028784505</v>
      </c>
      <c r="G82" s="10">
        <v>4.4008633389671772E-2</v>
      </c>
      <c r="H82" s="112"/>
    </row>
    <row r="83" spans="1:8" x14ac:dyDescent="0.2">
      <c r="A83" s="1"/>
      <c r="B83" s="1"/>
      <c r="C83" s="12"/>
      <c r="D83" s="1"/>
      <c r="E83" s="1"/>
      <c r="F83" s="1"/>
      <c r="G83" s="1"/>
      <c r="H83" s="112"/>
    </row>
    <row r="84" spans="1:8" x14ac:dyDescent="0.2">
      <c r="A84" s="1"/>
      <c r="B84" s="1"/>
      <c r="C84" s="2" t="s">
        <v>118</v>
      </c>
      <c r="D84" s="1"/>
      <c r="E84" s="1"/>
      <c r="F84" s="1"/>
      <c r="G84" s="1"/>
      <c r="H84" s="112"/>
    </row>
    <row r="85" spans="1:8" x14ac:dyDescent="0.2">
      <c r="A85" s="1"/>
      <c r="B85" s="1"/>
      <c r="C85" s="2" t="s">
        <v>119</v>
      </c>
      <c r="D85" s="1"/>
      <c r="E85" s="1"/>
      <c r="F85" s="1"/>
      <c r="G85" s="1"/>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2" t="s">
        <v>120</v>
      </c>
      <c r="D88" s="1"/>
      <c r="E88" s="1"/>
      <c r="F88" s="1"/>
      <c r="G88" s="1"/>
      <c r="H88" s="112"/>
    </row>
    <row r="89" spans="1:8" x14ac:dyDescent="0.2">
      <c r="A89" s="1"/>
      <c r="B89" s="1"/>
      <c r="C89" s="2" t="s">
        <v>121</v>
      </c>
      <c r="D89" s="1"/>
      <c r="E89" s="1"/>
      <c r="F89" s="1"/>
      <c r="G89" s="1"/>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1"/>
      <c r="C92" s="11"/>
      <c r="D92" s="1"/>
      <c r="E92" s="1"/>
      <c r="F92" s="12"/>
      <c r="G92" s="12"/>
      <c r="H92" s="112"/>
    </row>
    <row r="93" spans="1:8" ht="25.5" x14ac:dyDescent="0.2">
      <c r="A93" s="1"/>
      <c r="B93" s="1"/>
      <c r="C93" s="2" t="s">
        <v>122</v>
      </c>
      <c r="D93" s="1"/>
      <c r="E93" s="1"/>
      <c r="F93" s="12"/>
      <c r="G93" s="12"/>
      <c r="H93" s="112"/>
    </row>
    <row r="94" spans="1:8" x14ac:dyDescent="0.2">
      <c r="A94" s="1"/>
      <c r="B94" s="1"/>
      <c r="C94" s="2" t="s">
        <v>97</v>
      </c>
      <c r="D94" s="1"/>
      <c r="E94" s="1" t="s">
        <v>98</v>
      </c>
      <c r="F94" s="13">
        <v>0</v>
      </c>
      <c r="G94" s="14">
        <v>0</v>
      </c>
      <c r="H94" s="112"/>
    </row>
    <row r="95" spans="1:8" x14ac:dyDescent="0.2">
      <c r="A95" s="1"/>
      <c r="B95" s="1"/>
      <c r="C95" s="11"/>
      <c r="D95" s="1"/>
      <c r="E95" s="1"/>
      <c r="F95" s="12"/>
      <c r="G95" s="12"/>
      <c r="H95" s="112"/>
    </row>
    <row r="96" spans="1:8" x14ac:dyDescent="0.2">
      <c r="A96" s="1"/>
      <c r="B96" s="4"/>
      <c r="C96" s="4"/>
      <c r="D96" s="2"/>
      <c r="E96" s="1"/>
      <c r="F96" s="4"/>
      <c r="G96" s="8"/>
      <c r="H96" s="112"/>
    </row>
    <row r="97" spans="1:8" x14ac:dyDescent="0.2">
      <c r="A97" s="8"/>
      <c r="B97" s="4"/>
      <c r="C97" s="4" t="s">
        <v>123</v>
      </c>
      <c r="D97" s="4"/>
      <c r="E97" s="8"/>
      <c r="F97" s="6">
        <v>-416.64344366845074</v>
      </c>
      <c r="G97" s="7">
        <v>-8.5854037210262475E-3</v>
      </c>
      <c r="H97" s="112"/>
    </row>
    <row r="98" spans="1:8" x14ac:dyDescent="0.2">
      <c r="A98" s="11"/>
      <c r="B98" s="11"/>
      <c r="C98" s="2" t="s">
        <v>124</v>
      </c>
      <c r="D98" s="15"/>
      <c r="E98" s="15"/>
      <c r="F98" s="9">
        <v>48529.277970710005</v>
      </c>
      <c r="G98" s="10">
        <v>0.9999999996686455</v>
      </c>
      <c r="H98" s="112"/>
    </row>
    <row r="99" spans="1:8" ht="14.1" customHeight="1" x14ac:dyDescent="0.2">
      <c r="A99" s="16"/>
      <c r="B99" s="16"/>
      <c r="C99" s="16"/>
      <c r="D99" s="17"/>
      <c r="E99" s="17"/>
      <c r="F99" s="77"/>
      <c r="G99" s="77"/>
    </row>
    <row r="100" spans="1:8" ht="14.1" customHeight="1" x14ac:dyDescent="0.2">
      <c r="A100" s="18"/>
      <c r="B100" s="205" t="s">
        <v>98</v>
      </c>
      <c r="C100" s="205"/>
      <c r="D100" s="205"/>
      <c r="E100" s="205"/>
      <c r="F100" s="205"/>
      <c r="G100" s="20"/>
    </row>
    <row r="101" spans="1:8" ht="14.1" customHeight="1" x14ac:dyDescent="0.2">
      <c r="A101" s="18"/>
      <c r="B101" s="205" t="s">
        <v>98</v>
      </c>
      <c r="C101" s="205"/>
      <c r="D101" s="205"/>
      <c r="E101" s="205"/>
      <c r="F101" s="205"/>
      <c r="G101" s="20"/>
    </row>
    <row r="102" spans="1:8" ht="14.1" customHeight="1" x14ac:dyDescent="0.2">
      <c r="A102" s="18"/>
      <c r="B102" s="18"/>
      <c r="C102" s="18"/>
      <c r="D102" s="20"/>
      <c r="E102" s="20"/>
      <c r="F102" s="20"/>
      <c r="G102" s="20"/>
    </row>
    <row r="103" spans="1:8" ht="14.1" customHeight="1" x14ac:dyDescent="0.2">
      <c r="A103" s="18"/>
      <c r="B103" s="203" t="s">
        <v>126</v>
      </c>
      <c r="C103" s="204"/>
      <c r="D103" s="12" t="s">
        <v>98</v>
      </c>
      <c r="E103" s="21"/>
      <c r="F103" s="20"/>
      <c r="G103" s="20"/>
    </row>
    <row r="104" spans="1:8" ht="29.1" customHeight="1" x14ac:dyDescent="0.2">
      <c r="A104" s="18"/>
      <c r="B104" s="198" t="s">
        <v>127</v>
      </c>
      <c r="C104" s="199"/>
      <c r="D104" s="2" t="s">
        <v>128</v>
      </c>
      <c r="E104" s="21"/>
      <c r="F104" s="20"/>
      <c r="G104" s="20"/>
    </row>
    <row r="105" spans="1:8" ht="17.100000000000001" customHeight="1" x14ac:dyDescent="0.2">
      <c r="A105" s="18"/>
      <c r="B105" s="198" t="s">
        <v>129</v>
      </c>
      <c r="C105" s="199"/>
      <c r="D105" s="2" t="s">
        <v>128</v>
      </c>
      <c r="E105" s="21"/>
      <c r="F105" s="20"/>
      <c r="G105" s="20"/>
    </row>
    <row r="106" spans="1:8" ht="17.100000000000001" customHeight="1" x14ac:dyDescent="0.2">
      <c r="A106" s="18"/>
      <c r="B106" s="198" t="s">
        <v>130</v>
      </c>
      <c r="C106" s="199"/>
      <c r="D106" s="12" t="s">
        <v>98</v>
      </c>
      <c r="E106" s="21"/>
      <c r="F106" s="20"/>
      <c r="G106" s="20"/>
    </row>
    <row r="107" spans="1:8" ht="24" customHeight="1" x14ac:dyDescent="0.2">
      <c r="A107" s="22"/>
      <c r="B107" s="23" t="s">
        <v>98</v>
      </c>
      <c r="C107" s="23" t="s">
        <v>131</v>
      </c>
      <c r="D107" s="23" t="s">
        <v>132</v>
      </c>
      <c r="E107" s="22"/>
      <c r="F107" s="22"/>
      <c r="G107" s="22"/>
    </row>
    <row r="108" spans="1:8" ht="18" customHeight="1" x14ac:dyDescent="0.2">
      <c r="A108" s="22"/>
      <c r="B108" s="23" t="s">
        <v>133</v>
      </c>
      <c r="C108" s="23" t="s">
        <v>134</v>
      </c>
      <c r="D108" s="23" t="s">
        <v>135</v>
      </c>
      <c r="E108" s="22"/>
      <c r="F108" s="22"/>
      <c r="G108" s="22"/>
    </row>
    <row r="109" spans="1:8" ht="17.100000000000001" customHeight="1" x14ac:dyDescent="0.2">
      <c r="A109" s="22"/>
      <c r="B109" s="4" t="s">
        <v>136</v>
      </c>
      <c r="C109" s="24">
        <v>64.580100000000002</v>
      </c>
      <c r="D109" s="24">
        <v>66.612200000000001</v>
      </c>
      <c r="E109" s="22"/>
      <c r="F109" s="19"/>
      <c r="G109" s="25"/>
    </row>
    <row r="110" spans="1:8" ht="17.100000000000001" customHeight="1" x14ac:dyDescent="0.2">
      <c r="A110" s="22"/>
      <c r="B110" s="4" t="s">
        <v>980</v>
      </c>
      <c r="C110" s="24">
        <v>25.363</v>
      </c>
      <c r="D110" s="24">
        <v>26.161100000000001</v>
      </c>
      <c r="E110" s="22"/>
      <c r="F110" s="19"/>
      <c r="G110" s="25"/>
    </row>
    <row r="111" spans="1:8" ht="29.1" customHeight="1" x14ac:dyDescent="0.2">
      <c r="A111" s="22"/>
      <c r="B111" s="4" t="s">
        <v>410</v>
      </c>
      <c r="C111" s="24">
        <v>66.400300000000001</v>
      </c>
      <c r="D111" s="24">
        <v>68.489599999999996</v>
      </c>
      <c r="E111" s="22"/>
      <c r="F111" s="19"/>
      <c r="G111" s="25"/>
    </row>
    <row r="112" spans="1:8" ht="29.1" customHeight="1" x14ac:dyDescent="0.2">
      <c r="A112" s="22"/>
      <c r="B112" s="4" t="s">
        <v>983</v>
      </c>
      <c r="C112" s="24">
        <v>25.811299999999999</v>
      </c>
      <c r="D112" s="24">
        <v>26.623100000000001</v>
      </c>
      <c r="E112" s="22"/>
      <c r="F112" s="19"/>
      <c r="G112" s="25"/>
    </row>
    <row r="113" spans="1:15" ht="17.100000000000001" customHeight="1" x14ac:dyDescent="0.2">
      <c r="A113" s="22"/>
      <c r="B113" s="4" t="s">
        <v>137</v>
      </c>
      <c r="C113" s="24">
        <v>60.4178</v>
      </c>
      <c r="D113" s="24">
        <v>62.246499999999997</v>
      </c>
      <c r="E113" s="22"/>
      <c r="F113" s="19"/>
      <c r="G113" s="25"/>
    </row>
    <row r="114" spans="1:15" ht="17.100000000000001" customHeight="1" x14ac:dyDescent="0.2">
      <c r="A114" s="22"/>
      <c r="B114" s="4" t="s">
        <v>981</v>
      </c>
      <c r="C114" s="24">
        <v>23.342500000000001</v>
      </c>
      <c r="D114" s="24">
        <v>24.049099999999999</v>
      </c>
      <c r="E114" s="22"/>
      <c r="F114" s="19"/>
      <c r="G114" s="25"/>
    </row>
    <row r="115" spans="1:15" ht="14.1" customHeight="1" x14ac:dyDescent="0.2">
      <c r="A115" s="22"/>
      <c r="B115" s="22"/>
      <c r="C115" s="22"/>
      <c r="D115" s="22"/>
      <c r="E115" s="22"/>
      <c r="F115" s="22"/>
      <c r="G115" s="22"/>
    </row>
    <row r="116" spans="1:15" ht="17.100000000000001" customHeight="1" x14ac:dyDescent="0.2">
      <c r="A116" s="22"/>
      <c r="B116" s="198" t="s">
        <v>982</v>
      </c>
      <c r="C116" s="199"/>
      <c r="D116" s="91" t="s">
        <v>128</v>
      </c>
      <c r="E116" s="22"/>
      <c r="F116" s="22"/>
      <c r="G116" s="22"/>
    </row>
    <row r="117" spans="1:15" ht="18" customHeight="1" x14ac:dyDescent="0.2">
      <c r="A117" s="22"/>
      <c r="B117" s="26"/>
      <c r="C117" s="26"/>
      <c r="D117" s="27"/>
      <c r="E117" s="22"/>
      <c r="F117" s="22"/>
      <c r="G117" s="22"/>
      <c r="I117" s="113"/>
      <c r="J117" s="113"/>
      <c r="K117" s="113"/>
      <c r="L117" s="113"/>
      <c r="M117" s="113"/>
      <c r="N117" s="113"/>
      <c r="O117" s="113"/>
    </row>
    <row r="118" spans="1:15" s="113" customFormat="1" x14ac:dyDescent="0.2">
      <c r="B118" s="202" t="s">
        <v>984</v>
      </c>
      <c r="C118" s="202"/>
      <c r="D118" s="202"/>
      <c r="E118" s="202"/>
      <c r="F118" s="202"/>
      <c r="I118"/>
      <c r="J118"/>
      <c r="K118"/>
      <c r="L118"/>
      <c r="M118"/>
      <c r="N118"/>
      <c r="O118"/>
    </row>
    <row r="119" spans="1:15" ht="14.1" customHeight="1" x14ac:dyDescent="0.2">
      <c r="A119" s="22"/>
      <c r="B119" s="19"/>
      <c r="C119" s="19"/>
      <c r="D119" s="22"/>
      <c r="E119" s="22"/>
      <c r="F119" s="22"/>
      <c r="G119" s="22"/>
    </row>
    <row r="120" spans="1:15" ht="29.1" customHeight="1" x14ac:dyDescent="0.2">
      <c r="A120" s="22"/>
      <c r="B120" s="198" t="s">
        <v>138</v>
      </c>
      <c r="C120" s="199"/>
      <c r="D120" s="2" t="s">
        <v>128</v>
      </c>
      <c r="E120" s="22"/>
      <c r="F120" s="22"/>
      <c r="G120" s="22"/>
    </row>
    <row r="121" spans="1:15" ht="29.1" customHeight="1" x14ac:dyDescent="0.2">
      <c r="A121" s="22"/>
      <c r="B121" s="198" t="s">
        <v>139</v>
      </c>
      <c r="C121" s="199"/>
      <c r="D121" s="2" t="s">
        <v>128</v>
      </c>
      <c r="E121" s="22"/>
      <c r="F121" s="22"/>
      <c r="G121" s="22"/>
    </row>
    <row r="122" spans="1:15" ht="17.100000000000001" customHeight="1" x14ac:dyDescent="0.2">
      <c r="A122" s="22"/>
      <c r="B122" s="198" t="s">
        <v>140</v>
      </c>
      <c r="C122" s="199"/>
      <c r="D122" s="28">
        <v>0.19999793981614092</v>
      </c>
      <c r="E122" s="22"/>
      <c r="F122" s="19"/>
      <c r="G122" s="25"/>
    </row>
    <row r="123" spans="1:15" ht="17.100000000000001" customHeight="1" x14ac:dyDescent="0.2">
      <c r="A123" s="22"/>
      <c r="B123" s="198" t="s">
        <v>141</v>
      </c>
      <c r="C123" s="199"/>
      <c r="D123" s="2" t="s">
        <v>128</v>
      </c>
      <c r="E123" s="22"/>
      <c r="F123" s="22"/>
      <c r="G123" s="22"/>
    </row>
  </sheetData>
  <mergeCells count="16">
    <mergeCell ref="B123:C123"/>
    <mergeCell ref="B104:C104"/>
    <mergeCell ref="B105:C105"/>
    <mergeCell ref="B106:C106"/>
    <mergeCell ref="B116:C116"/>
    <mergeCell ref="B120:C120"/>
    <mergeCell ref="B121:C121"/>
    <mergeCell ref="B118:F118"/>
    <mergeCell ref="A1:H1"/>
    <mergeCell ref="A2:H2"/>
    <mergeCell ref="A3:H3"/>
    <mergeCell ref="J2:N2"/>
    <mergeCell ref="B122:C122"/>
    <mergeCell ref="B103:C103"/>
    <mergeCell ref="B100:F100"/>
    <mergeCell ref="B101:F101"/>
  </mergeCells>
  <pageMargins left="5.000000074505806E-2" right="5.000000074505806E-2" top="0.30000001192092896" bottom="0.20000000298023224" header="0" footer="0"/>
  <pageSetup paperSize="9" orientation="landscape"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O122"/>
  <sheetViews>
    <sheetView showGridLines="0" workbookViewId="0">
      <selection activeCell="A4" sqref="A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728</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17</v>
      </c>
      <c r="C7" s="4" t="s">
        <v>18</v>
      </c>
      <c r="D7" s="4" t="s">
        <v>19</v>
      </c>
      <c r="E7" s="5">
        <v>102145</v>
      </c>
      <c r="F7" s="6">
        <v>819.25397250000003</v>
      </c>
      <c r="G7" s="7">
        <v>8.6109658000000006E-2</v>
      </c>
      <c r="H7" s="112"/>
    </row>
    <row r="8" spans="1:14" x14ac:dyDescent="0.2">
      <c r="A8" s="3">
        <v>2</v>
      </c>
      <c r="B8" s="4" t="s">
        <v>418</v>
      </c>
      <c r="C8" s="4" t="s">
        <v>419</v>
      </c>
      <c r="D8" s="4" t="s">
        <v>19</v>
      </c>
      <c r="E8" s="5">
        <v>150297</v>
      </c>
      <c r="F8" s="6">
        <v>754.7163855</v>
      </c>
      <c r="G8" s="7">
        <v>7.9326279999999999E-2</v>
      </c>
      <c r="H8" s="112"/>
    </row>
    <row r="9" spans="1:14" x14ac:dyDescent="0.2">
      <c r="A9" s="3">
        <v>3</v>
      </c>
      <c r="B9" s="4" t="s">
        <v>14</v>
      </c>
      <c r="C9" s="4" t="s">
        <v>15</v>
      </c>
      <c r="D9" s="4" t="s">
        <v>16</v>
      </c>
      <c r="E9" s="5">
        <v>21836</v>
      </c>
      <c r="F9" s="6">
        <v>553.81555000000003</v>
      </c>
      <c r="G9" s="7">
        <v>5.8210114E-2</v>
      </c>
      <c r="H9" s="112"/>
    </row>
    <row r="10" spans="1:14" x14ac:dyDescent="0.2">
      <c r="A10" s="3">
        <v>4</v>
      </c>
      <c r="B10" s="4" t="s">
        <v>11</v>
      </c>
      <c r="C10" s="4" t="s">
        <v>12</v>
      </c>
      <c r="D10" s="4" t="s">
        <v>13</v>
      </c>
      <c r="E10" s="5">
        <v>29371</v>
      </c>
      <c r="F10" s="6">
        <v>518.88277149999999</v>
      </c>
      <c r="G10" s="7">
        <v>5.4538420999999997E-2</v>
      </c>
      <c r="H10" s="112"/>
    </row>
    <row r="11" spans="1:14" x14ac:dyDescent="0.2">
      <c r="A11" s="3">
        <v>5</v>
      </c>
      <c r="B11" s="4" t="s">
        <v>322</v>
      </c>
      <c r="C11" s="4" t="s">
        <v>323</v>
      </c>
      <c r="D11" s="4" t="s">
        <v>19</v>
      </c>
      <c r="E11" s="5">
        <v>68473</v>
      </c>
      <c r="F11" s="6">
        <v>508.06966</v>
      </c>
      <c r="G11" s="7">
        <v>5.3401882999999997E-2</v>
      </c>
      <c r="H11" s="112"/>
    </row>
    <row r="12" spans="1:14" ht="25.5" x14ac:dyDescent="0.2">
      <c r="A12" s="3">
        <v>6</v>
      </c>
      <c r="B12" s="4" t="s">
        <v>416</v>
      </c>
      <c r="C12" s="4" t="s">
        <v>417</v>
      </c>
      <c r="D12" s="4" t="s">
        <v>81</v>
      </c>
      <c r="E12" s="5">
        <v>16898</v>
      </c>
      <c r="F12" s="6">
        <v>480.697406</v>
      </c>
      <c r="G12" s="7">
        <v>5.0524856E-2</v>
      </c>
      <c r="H12" s="112"/>
    </row>
    <row r="13" spans="1:14" x14ac:dyDescent="0.2">
      <c r="A13" s="3">
        <v>7</v>
      </c>
      <c r="B13" s="4" t="s">
        <v>22</v>
      </c>
      <c r="C13" s="4" t="s">
        <v>23</v>
      </c>
      <c r="D13" s="4" t="s">
        <v>24</v>
      </c>
      <c r="E13" s="5">
        <v>66285</v>
      </c>
      <c r="F13" s="6">
        <v>454.28424749999999</v>
      </c>
      <c r="G13" s="7">
        <v>4.7748638000000003E-2</v>
      </c>
      <c r="H13" s="112"/>
    </row>
    <row r="14" spans="1:14" x14ac:dyDescent="0.2">
      <c r="A14" s="3">
        <v>8</v>
      </c>
      <c r="B14" s="4" t="s">
        <v>337</v>
      </c>
      <c r="C14" s="4" t="s">
        <v>338</v>
      </c>
      <c r="D14" s="4" t="s">
        <v>19</v>
      </c>
      <c r="E14" s="5">
        <v>367875</v>
      </c>
      <c r="F14" s="6">
        <v>358.67812500000002</v>
      </c>
      <c r="G14" s="7">
        <v>3.7699726000000003E-2</v>
      </c>
      <c r="H14" s="112"/>
    </row>
    <row r="15" spans="1:14" ht="15" x14ac:dyDescent="0.2">
      <c r="A15" s="3">
        <v>9</v>
      </c>
      <c r="B15" s="4" t="s">
        <v>59</v>
      </c>
      <c r="C15" s="4" t="s">
        <v>60</v>
      </c>
      <c r="D15" s="4" t="s">
        <v>61</v>
      </c>
      <c r="E15" s="5">
        <v>191369</v>
      </c>
      <c r="F15" s="6">
        <v>284.8527565</v>
      </c>
      <c r="G15" s="7">
        <v>2.9940134E-2</v>
      </c>
      <c r="H15" s="112"/>
      <c r="J15" s="188" t="s">
        <v>1014</v>
      </c>
    </row>
    <row r="16" spans="1:14" ht="25.5" x14ac:dyDescent="0.2">
      <c r="A16" s="3">
        <v>10</v>
      </c>
      <c r="B16" s="4" t="s">
        <v>443</v>
      </c>
      <c r="C16" s="4" t="s">
        <v>444</v>
      </c>
      <c r="D16" s="4" t="s">
        <v>192</v>
      </c>
      <c r="E16" s="5">
        <v>126331</v>
      </c>
      <c r="F16" s="6">
        <v>281.97079200000002</v>
      </c>
      <c r="G16" s="7">
        <v>2.9637218E-2</v>
      </c>
      <c r="H16" s="112"/>
    </row>
    <row r="17" spans="1:8" x14ac:dyDescent="0.2">
      <c r="A17" s="3">
        <v>11</v>
      </c>
      <c r="B17" s="4" t="s">
        <v>316</v>
      </c>
      <c r="C17" s="4" t="s">
        <v>317</v>
      </c>
      <c r="D17" s="4" t="s">
        <v>19</v>
      </c>
      <c r="E17" s="5">
        <v>289203</v>
      </c>
      <c r="F17" s="6">
        <v>281.82832350000001</v>
      </c>
      <c r="G17" s="7">
        <v>2.9622242999999999E-2</v>
      </c>
      <c r="H17" s="112"/>
    </row>
    <row r="18" spans="1:8" x14ac:dyDescent="0.2">
      <c r="A18" s="3">
        <v>12</v>
      </c>
      <c r="B18" s="4" t="s">
        <v>35</v>
      </c>
      <c r="C18" s="4" t="s">
        <v>36</v>
      </c>
      <c r="D18" s="4" t="s">
        <v>16</v>
      </c>
      <c r="E18" s="5">
        <v>64450</v>
      </c>
      <c r="F18" s="6">
        <v>269.20765</v>
      </c>
      <c r="G18" s="7">
        <v>2.8295717000000001E-2</v>
      </c>
      <c r="H18" s="112"/>
    </row>
    <row r="19" spans="1:8" ht="25.5" x14ac:dyDescent="0.2">
      <c r="A19" s="3">
        <v>13</v>
      </c>
      <c r="B19" s="4" t="s">
        <v>726</v>
      </c>
      <c r="C19" s="4" t="s">
        <v>727</v>
      </c>
      <c r="D19" s="4" t="s">
        <v>81</v>
      </c>
      <c r="E19" s="5">
        <v>130130</v>
      </c>
      <c r="F19" s="6">
        <v>233.58335</v>
      </c>
      <c r="G19" s="7">
        <v>2.4551338999999998E-2</v>
      </c>
      <c r="H19" s="112"/>
    </row>
    <row r="20" spans="1:8" x14ac:dyDescent="0.2">
      <c r="A20" s="3">
        <v>14</v>
      </c>
      <c r="B20" s="4" t="s">
        <v>271</v>
      </c>
      <c r="C20" s="4" t="s">
        <v>272</v>
      </c>
      <c r="D20" s="4" t="s">
        <v>147</v>
      </c>
      <c r="E20" s="5">
        <v>33264</v>
      </c>
      <c r="F20" s="6">
        <v>216.415584</v>
      </c>
      <c r="G20" s="7">
        <v>2.2746880000000001E-2</v>
      </c>
      <c r="H20" s="112"/>
    </row>
    <row r="21" spans="1:8" x14ac:dyDescent="0.2">
      <c r="A21" s="3">
        <v>15</v>
      </c>
      <c r="B21" s="4" t="s">
        <v>258</v>
      </c>
      <c r="C21" s="4" t="s">
        <v>259</v>
      </c>
      <c r="D21" s="4" t="s">
        <v>53</v>
      </c>
      <c r="E21" s="5">
        <v>21716</v>
      </c>
      <c r="F21" s="6">
        <v>207.75697199999999</v>
      </c>
      <c r="G21" s="7">
        <v>2.1836795999999999E-2</v>
      </c>
      <c r="H21" s="112"/>
    </row>
    <row r="22" spans="1:8" x14ac:dyDescent="0.2">
      <c r="A22" s="3">
        <v>16</v>
      </c>
      <c r="B22" s="4" t="s">
        <v>428</v>
      </c>
      <c r="C22" s="4" t="s">
        <v>429</v>
      </c>
      <c r="D22" s="4" t="s">
        <v>186</v>
      </c>
      <c r="E22" s="5">
        <v>23783</v>
      </c>
      <c r="F22" s="6">
        <v>189.07485</v>
      </c>
      <c r="G22" s="7">
        <v>1.9873167000000001E-2</v>
      </c>
      <c r="H22" s="112"/>
    </row>
    <row r="23" spans="1:8" x14ac:dyDescent="0.2">
      <c r="A23" s="3">
        <v>17</v>
      </c>
      <c r="B23" s="4" t="s">
        <v>46</v>
      </c>
      <c r="C23" s="4" t="s">
        <v>47</v>
      </c>
      <c r="D23" s="4" t="s">
        <v>16</v>
      </c>
      <c r="E23" s="5">
        <v>147661</v>
      </c>
      <c r="F23" s="6">
        <v>188.93224950000001</v>
      </c>
      <c r="G23" s="7">
        <v>1.9858178000000001E-2</v>
      </c>
      <c r="H23" s="112"/>
    </row>
    <row r="24" spans="1:8" ht="25.5" x14ac:dyDescent="0.2">
      <c r="A24" s="3">
        <v>18</v>
      </c>
      <c r="B24" s="4" t="s">
        <v>92</v>
      </c>
      <c r="C24" s="4" t="s">
        <v>93</v>
      </c>
      <c r="D24" s="4" t="s">
        <v>45</v>
      </c>
      <c r="E24" s="5">
        <v>25493</v>
      </c>
      <c r="F24" s="6">
        <v>169.349999</v>
      </c>
      <c r="G24" s="7">
        <v>1.7799939000000001E-2</v>
      </c>
      <c r="H24" s="112"/>
    </row>
    <row r="25" spans="1:8" x14ac:dyDescent="0.2">
      <c r="A25" s="3">
        <v>19</v>
      </c>
      <c r="B25" s="4" t="s">
        <v>358</v>
      </c>
      <c r="C25" s="4" t="s">
        <v>359</v>
      </c>
      <c r="D25" s="4" t="s">
        <v>50</v>
      </c>
      <c r="E25" s="5">
        <v>23688</v>
      </c>
      <c r="F25" s="6">
        <v>155.18008800000001</v>
      </c>
      <c r="G25" s="7">
        <v>1.6310576E-2</v>
      </c>
      <c r="H25" s="112"/>
    </row>
    <row r="26" spans="1:8" x14ac:dyDescent="0.2">
      <c r="A26" s="3">
        <v>20</v>
      </c>
      <c r="B26" s="4" t="s">
        <v>86</v>
      </c>
      <c r="C26" s="4" t="s">
        <v>87</v>
      </c>
      <c r="D26" s="4" t="s">
        <v>61</v>
      </c>
      <c r="E26" s="5">
        <v>39574</v>
      </c>
      <c r="F26" s="6">
        <v>120.76006099999999</v>
      </c>
      <c r="G26" s="7">
        <v>1.2692775999999999E-2</v>
      </c>
      <c r="H26" s="112"/>
    </row>
    <row r="27" spans="1:8" x14ac:dyDescent="0.2">
      <c r="A27" s="3">
        <v>21</v>
      </c>
      <c r="B27" s="4" t="s">
        <v>372</v>
      </c>
      <c r="C27" s="4" t="s">
        <v>373</v>
      </c>
      <c r="D27" s="4" t="s">
        <v>237</v>
      </c>
      <c r="E27" s="5">
        <v>14349</v>
      </c>
      <c r="F27" s="6">
        <v>112.72574400000001</v>
      </c>
      <c r="G27" s="7">
        <v>1.1848310000000001E-2</v>
      </c>
      <c r="H27" s="112"/>
    </row>
    <row r="28" spans="1:8" x14ac:dyDescent="0.2">
      <c r="A28" s="3">
        <v>22</v>
      </c>
      <c r="B28" s="4" t="s">
        <v>339</v>
      </c>
      <c r="C28" s="4" t="s">
        <v>340</v>
      </c>
      <c r="D28" s="4" t="s">
        <v>81</v>
      </c>
      <c r="E28" s="5">
        <v>6937</v>
      </c>
      <c r="F28" s="6">
        <v>99.629193999999998</v>
      </c>
      <c r="G28" s="7">
        <v>1.0471766E-2</v>
      </c>
      <c r="H28" s="112"/>
    </row>
    <row r="29" spans="1:8" x14ac:dyDescent="0.2">
      <c r="A29" s="1"/>
      <c r="B29" s="1"/>
      <c r="C29" s="2" t="s">
        <v>97</v>
      </c>
      <c r="D29" s="1"/>
      <c r="E29" s="1" t="s">
        <v>98</v>
      </c>
      <c r="F29" s="9">
        <v>7259.6657315000002</v>
      </c>
      <c r="G29" s="10">
        <v>0.76304461499999998</v>
      </c>
      <c r="H29" s="112"/>
    </row>
    <row r="30" spans="1:8" x14ac:dyDescent="0.2">
      <c r="A30" s="1"/>
      <c r="B30" s="1"/>
      <c r="C30" s="11"/>
      <c r="D30" s="1"/>
      <c r="E30" s="1"/>
      <c r="F30" s="12"/>
      <c r="G30" s="12"/>
      <c r="H30" s="112"/>
    </row>
    <row r="31" spans="1:8" x14ac:dyDescent="0.2">
      <c r="A31" s="1"/>
      <c r="B31" s="1"/>
      <c r="C31" s="2" t="s">
        <v>99</v>
      </c>
      <c r="D31" s="1"/>
      <c r="E31" s="1"/>
      <c r="F31" s="1"/>
      <c r="G31" s="1"/>
      <c r="H31" s="112"/>
    </row>
    <row r="32" spans="1:8" x14ac:dyDescent="0.2">
      <c r="A32" s="1"/>
      <c r="B32" s="1"/>
      <c r="C32" s="2" t="s">
        <v>97</v>
      </c>
      <c r="D32" s="1"/>
      <c r="E32" s="1" t="s">
        <v>98</v>
      </c>
      <c r="F32" s="13">
        <v>0</v>
      </c>
      <c r="G32" s="14">
        <v>0</v>
      </c>
      <c r="H32" s="112"/>
    </row>
    <row r="33" spans="1:8" x14ac:dyDescent="0.2">
      <c r="A33" s="1"/>
      <c r="B33" s="1"/>
      <c r="C33" s="11"/>
      <c r="D33" s="1"/>
      <c r="E33" s="1"/>
      <c r="F33" s="12"/>
      <c r="G33" s="12"/>
      <c r="H33" s="112"/>
    </row>
    <row r="34" spans="1:8" x14ac:dyDescent="0.2">
      <c r="A34" s="1"/>
      <c r="B34" s="1"/>
      <c r="C34" s="2" t="s">
        <v>100</v>
      </c>
      <c r="D34" s="1"/>
      <c r="E34" s="1"/>
      <c r="F34" s="1"/>
      <c r="G34" s="1"/>
      <c r="H34" s="112"/>
    </row>
    <row r="35" spans="1:8" x14ac:dyDescent="0.2">
      <c r="A35" s="1"/>
      <c r="B35" s="1"/>
      <c r="C35" s="2" t="s">
        <v>97</v>
      </c>
      <c r="D35" s="1"/>
      <c r="E35" s="1" t="s">
        <v>98</v>
      </c>
      <c r="F35" s="13">
        <v>0</v>
      </c>
      <c r="G35" s="14">
        <v>0</v>
      </c>
      <c r="H35" s="112"/>
    </row>
    <row r="36" spans="1:8" x14ac:dyDescent="0.2">
      <c r="A36" s="1"/>
      <c r="B36" s="1"/>
      <c r="C36" s="11"/>
      <c r="D36" s="1"/>
      <c r="E36" s="1"/>
      <c r="F36" s="12"/>
      <c r="G36" s="12"/>
      <c r="H36" s="112"/>
    </row>
    <row r="37" spans="1:8" x14ac:dyDescent="0.2">
      <c r="A37" s="1"/>
      <c r="B37" s="1"/>
      <c r="C37" s="2" t="s">
        <v>101</v>
      </c>
      <c r="D37" s="1"/>
      <c r="E37" s="1"/>
      <c r="F37" s="1"/>
      <c r="G37" s="1"/>
      <c r="H37" s="112"/>
    </row>
    <row r="38" spans="1:8" x14ac:dyDescent="0.2">
      <c r="A38" s="1"/>
      <c r="B38" s="1"/>
      <c r="C38" s="2" t="s">
        <v>97</v>
      </c>
      <c r="D38" s="1"/>
      <c r="E38" s="1" t="s">
        <v>98</v>
      </c>
      <c r="F38" s="13">
        <v>0</v>
      </c>
      <c r="G38" s="14">
        <v>0</v>
      </c>
      <c r="H38" s="112"/>
    </row>
    <row r="39" spans="1:8" x14ac:dyDescent="0.2">
      <c r="A39" s="1"/>
      <c r="B39" s="1"/>
      <c r="C39" s="11"/>
      <c r="D39" s="1"/>
      <c r="E39" s="1"/>
      <c r="F39" s="12"/>
      <c r="G39" s="12"/>
      <c r="H39" s="112"/>
    </row>
    <row r="40" spans="1:8" x14ac:dyDescent="0.2">
      <c r="A40" s="1"/>
      <c r="B40" s="1"/>
      <c r="C40" s="2" t="s">
        <v>102</v>
      </c>
      <c r="D40" s="1"/>
      <c r="E40" s="1"/>
      <c r="F40" s="12"/>
      <c r="G40" s="12"/>
      <c r="H40" s="112"/>
    </row>
    <row r="41" spans="1:8" x14ac:dyDescent="0.2">
      <c r="A41" s="1"/>
      <c r="B41" s="1"/>
      <c r="C41" s="2" t="s">
        <v>97</v>
      </c>
      <c r="D41" s="1"/>
      <c r="E41" s="1" t="s">
        <v>98</v>
      </c>
      <c r="F41" s="13">
        <v>0</v>
      </c>
      <c r="G41" s="14">
        <v>0</v>
      </c>
      <c r="H41" s="112"/>
    </row>
    <row r="42" spans="1:8" x14ac:dyDescent="0.2">
      <c r="A42" s="1"/>
      <c r="B42" s="1"/>
      <c r="C42" s="11"/>
      <c r="D42" s="1"/>
      <c r="E42" s="1"/>
      <c r="F42" s="12"/>
      <c r="G42" s="12"/>
      <c r="H42" s="112"/>
    </row>
    <row r="43" spans="1:8" x14ac:dyDescent="0.2">
      <c r="A43" s="1"/>
      <c r="B43" s="1"/>
      <c r="C43" s="2" t="s">
        <v>103</v>
      </c>
      <c r="D43" s="1"/>
      <c r="E43" s="1"/>
      <c r="F43" s="12"/>
      <c r="G43" s="12"/>
      <c r="H43" s="112"/>
    </row>
    <row r="44" spans="1:8" x14ac:dyDescent="0.2">
      <c r="A44" s="1"/>
      <c r="B44" s="1"/>
      <c r="C44" s="2" t="s">
        <v>97</v>
      </c>
      <c r="D44" s="1"/>
      <c r="E44" s="1" t="s">
        <v>98</v>
      </c>
      <c r="F44" s="13">
        <v>0</v>
      </c>
      <c r="G44" s="14">
        <v>0</v>
      </c>
      <c r="H44" s="112"/>
    </row>
    <row r="45" spans="1:8" x14ac:dyDescent="0.2">
      <c r="A45" s="1"/>
      <c r="B45" s="1"/>
      <c r="C45" s="11"/>
      <c r="D45" s="1"/>
      <c r="E45" s="1"/>
      <c r="F45" s="12"/>
      <c r="G45" s="12"/>
      <c r="H45" s="112"/>
    </row>
    <row r="46" spans="1:8" x14ac:dyDescent="0.2">
      <c r="A46" s="1"/>
      <c r="B46" s="1"/>
      <c r="C46" s="2" t="s">
        <v>104</v>
      </c>
      <c r="D46" s="1"/>
      <c r="E46" s="1"/>
      <c r="F46" s="9">
        <v>7259.6657315000002</v>
      </c>
      <c r="G46" s="10">
        <v>0.76304461499999998</v>
      </c>
      <c r="H46" s="112"/>
    </row>
    <row r="47" spans="1:8" x14ac:dyDescent="0.2">
      <c r="A47" s="1"/>
      <c r="B47" s="1"/>
      <c r="C47" s="11"/>
      <c r="D47" s="1"/>
      <c r="E47" s="1"/>
      <c r="F47" s="12"/>
      <c r="G47" s="12"/>
      <c r="H47" s="112"/>
    </row>
    <row r="48" spans="1:8" x14ac:dyDescent="0.2">
      <c r="A48" s="1"/>
      <c r="B48" s="1"/>
      <c r="C48" s="2" t="s">
        <v>105</v>
      </c>
      <c r="D48" s="1"/>
      <c r="E48" s="1"/>
      <c r="F48" s="12"/>
      <c r="G48" s="12"/>
      <c r="H48" s="112"/>
    </row>
    <row r="49" spans="1:15" ht="25.5" x14ac:dyDescent="0.2">
      <c r="A49" s="1"/>
      <c r="B49" s="1"/>
      <c r="C49" s="2" t="s">
        <v>10</v>
      </c>
      <c r="D49" s="1"/>
      <c r="E49" s="1"/>
      <c r="F49" s="12"/>
      <c r="G49" s="12"/>
      <c r="H49" s="112"/>
    </row>
    <row r="50" spans="1:15" x14ac:dyDescent="0.2">
      <c r="A50" s="1"/>
      <c r="B50" s="1"/>
      <c r="C50" s="2" t="s">
        <v>97</v>
      </c>
      <c r="D50" s="1"/>
      <c r="E50" s="1" t="s">
        <v>98</v>
      </c>
      <c r="F50" s="13">
        <v>0</v>
      </c>
      <c r="G50" s="14">
        <v>0</v>
      </c>
      <c r="H50" s="112"/>
    </row>
    <row r="51" spans="1:15" ht="15" x14ac:dyDescent="0.2">
      <c r="A51" s="1"/>
      <c r="B51" s="1"/>
      <c r="C51" s="11"/>
      <c r="D51" s="1"/>
      <c r="E51" s="1"/>
      <c r="F51" s="12"/>
      <c r="G51" s="12"/>
      <c r="H51" s="112"/>
      <c r="I51" s="189"/>
      <c r="J51" s="189"/>
      <c r="K51" s="189"/>
      <c r="L51" s="189"/>
      <c r="M51" s="189"/>
      <c r="N51" s="189"/>
      <c r="O51" s="189"/>
    </row>
    <row r="52" spans="1:15" x14ac:dyDescent="0.2">
      <c r="A52" s="1"/>
      <c r="B52" s="1"/>
      <c r="C52" s="2" t="s">
        <v>106</v>
      </c>
      <c r="D52" s="1"/>
      <c r="E52" s="1"/>
      <c r="F52" s="1"/>
      <c r="G52" s="1"/>
      <c r="H52" s="112"/>
    </row>
    <row r="53" spans="1:15" x14ac:dyDescent="0.2">
      <c r="A53" s="1"/>
      <c r="B53" s="1"/>
      <c r="C53" s="2" t="s">
        <v>97</v>
      </c>
      <c r="D53" s="1"/>
      <c r="E53" s="1" t="s">
        <v>98</v>
      </c>
      <c r="F53" s="13">
        <v>0</v>
      </c>
      <c r="G53" s="14">
        <v>0</v>
      </c>
      <c r="H53" s="112"/>
    </row>
    <row r="54" spans="1:15" x14ac:dyDescent="0.2">
      <c r="A54" s="1"/>
      <c r="B54" s="1"/>
      <c r="C54" s="11"/>
      <c r="D54" s="1"/>
      <c r="E54" s="1"/>
      <c r="F54" s="12"/>
      <c r="G54" s="12"/>
      <c r="H54" s="112"/>
    </row>
    <row r="55" spans="1:15" x14ac:dyDescent="0.2">
      <c r="A55" s="1"/>
      <c r="B55" s="1"/>
      <c r="C55" s="2" t="s">
        <v>107</v>
      </c>
      <c r="D55" s="1"/>
      <c r="E55" s="1"/>
      <c r="F55" s="1"/>
      <c r="G55" s="1"/>
      <c r="H55" s="112"/>
    </row>
    <row r="56" spans="1:15" x14ac:dyDescent="0.2">
      <c r="A56" s="1"/>
      <c r="B56" s="1"/>
      <c r="C56" s="2" t="s">
        <v>97</v>
      </c>
      <c r="D56" s="1"/>
      <c r="E56" s="1" t="s">
        <v>98</v>
      </c>
      <c r="F56" s="13">
        <v>0</v>
      </c>
      <c r="G56" s="14">
        <v>0</v>
      </c>
      <c r="H56" s="112"/>
    </row>
    <row r="57" spans="1:15" x14ac:dyDescent="0.2">
      <c r="A57" s="1"/>
      <c r="B57" s="1"/>
      <c r="C57" s="11"/>
      <c r="D57" s="1"/>
      <c r="E57" s="1"/>
      <c r="F57" s="12"/>
      <c r="G57" s="12"/>
      <c r="H57" s="112"/>
    </row>
    <row r="58" spans="1:15" x14ac:dyDescent="0.2">
      <c r="A58" s="1"/>
      <c r="B58" s="1"/>
      <c r="C58" s="2" t="s">
        <v>108</v>
      </c>
      <c r="D58" s="1"/>
      <c r="E58" s="1"/>
      <c r="F58" s="12"/>
      <c r="G58" s="12"/>
      <c r="H58" s="112"/>
    </row>
    <row r="59" spans="1:15" x14ac:dyDescent="0.2">
      <c r="A59" s="1"/>
      <c r="B59" s="1"/>
      <c r="C59" s="2" t="s">
        <v>97</v>
      </c>
      <c r="D59" s="1"/>
      <c r="E59" s="1" t="s">
        <v>98</v>
      </c>
      <c r="F59" s="13">
        <v>0</v>
      </c>
      <c r="G59" s="14">
        <v>0</v>
      </c>
      <c r="H59" s="112"/>
    </row>
    <row r="60" spans="1:15" x14ac:dyDescent="0.2">
      <c r="A60" s="1"/>
      <c r="B60" s="1"/>
      <c r="C60" s="11"/>
      <c r="D60" s="1"/>
      <c r="E60" s="1"/>
      <c r="F60" s="12"/>
      <c r="G60" s="12"/>
      <c r="H60" s="112"/>
    </row>
    <row r="61" spans="1:15" x14ac:dyDescent="0.2">
      <c r="A61" s="1"/>
      <c r="B61" s="1"/>
      <c r="C61" s="2" t="s">
        <v>109</v>
      </c>
      <c r="D61" s="1"/>
      <c r="E61" s="1"/>
      <c r="F61" s="9">
        <v>0</v>
      </c>
      <c r="G61" s="10">
        <v>0</v>
      </c>
      <c r="H61" s="112"/>
    </row>
    <row r="62" spans="1:15" x14ac:dyDescent="0.2">
      <c r="A62" s="1"/>
      <c r="B62" s="1"/>
      <c r="C62" s="11"/>
      <c r="D62" s="1"/>
      <c r="E62" s="1"/>
      <c r="F62" s="12"/>
      <c r="G62" s="12"/>
      <c r="H62" s="112"/>
    </row>
    <row r="63" spans="1:15" x14ac:dyDescent="0.2">
      <c r="A63" s="1"/>
      <c r="B63" s="1"/>
      <c r="C63" s="2" t="s">
        <v>110</v>
      </c>
      <c r="D63" s="1"/>
      <c r="E63" s="1"/>
      <c r="F63" s="12"/>
      <c r="G63" s="12"/>
      <c r="H63" s="112"/>
    </row>
    <row r="64" spans="1:15" x14ac:dyDescent="0.2">
      <c r="A64" s="1"/>
      <c r="B64" s="1"/>
      <c r="C64" s="2" t="s">
        <v>111</v>
      </c>
      <c r="D64" s="1"/>
      <c r="E64" s="1"/>
      <c r="F64" s="12"/>
      <c r="G64" s="12"/>
      <c r="H64" s="112"/>
    </row>
    <row r="65" spans="1:8" x14ac:dyDescent="0.2">
      <c r="A65" s="1"/>
      <c r="B65" s="1"/>
      <c r="C65" s="2" t="s">
        <v>97</v>
      </c>
      <c r="D65" s="1"/>
      <c r="E65" s="1" t="s">
        <v>98</v>
      </c>
      <c r="F65" s="13">
        <v>0</v>
      </c>
      <c r="G65" s="14">
        <v>0</v>
      </c>
      <c r="H65" s="112"/>
    </row>
    <row r="66" spans="1:8" x14ac:dyDescent="0.2">
      <c r="A66" s="1"/>
      <c r="B66" s="1"/>
      <c r="C66" s="11"/>
      <c r="D66" s="1"/>
      <c r="E66" s="1"/>
      <c r="F66" s="12"/>
      <c r="G66" s="12"/>
      <c r="H66" s="112"/>
    </row>
    <row r="67" spans="1:8" x14ac:dyDescent="0.2">
      <c r="A67" s="1"/>
      <c r="B67" s="1"/>
      <c r="C67" s="2" t="s">
        <v>112</v>
      </c>
      <c r="D67" s="1"/>
      <c r="E67" s="1"/>
      <c r="F67" s="12"/>
      <c r="G67" s="12"/>
      <c r="H67" s="112"/>
    </row>
    <row r="68" spans="1:8" x14ac:dyDescent="0.2">
      <c r="A68" s="1"/>
      <c r="B68" s="1"/>
      <c r="C68" s="2" t="s">
        <v>97</v>
      </c>
      <c r="D68" s="1"/>
      <c r="E68" s="1" t="s">
        <v>98</v>
      </c>
      <c r="F68" s="13">
        <v>0</v>
      </c>
      <c r="G68" s="14">
        <v>0</v>
      </c>
      <c r="H68" s="112"/>
    </row>
    <row r="69" spans="1:8" x14ac:dyDescent="0.2">
      <c r="A69" s="1"/>
      <c r="B69" s="1"/>
      <c r="C69" s="11"/>
      <c r="D69" s="1"/>
      <c r="E69" s="1"/>
      <c r="F69" s="12"/>
      <c r="G69" s="12"/>
      <c r="H69" s="112"/>
    </row>
    <row r="70" spans="1:8" x14ac:dyDescent="0.2">
      <c r="A70" s="1"/>
      <c r="B70" s="1"/>
      <c r="C70" s="2" t="s">
        <v>113</v>
      </c>
      <c r="D70" s="1"/>
      <c r="E70" s="1"/>
      <c r="F70" s="12"/>
      <c r="G70" s="12"/>
      <c r="H70" s="112"/>
    </row>
    <row r="71" spans="1:8" x14ac:dyDescent="0.2">
      <c r="A71" s="1"/>
      <c r="B71" s="1"/>
      <c r="C71" s="2" t="s">
        <v>97</v>
      </c>
      <c r="D71" s="1"/>
      <c r="E71" s="1" t="s">
        <v>98</v>
      </c>
      <c r="F71" s="13">
        <v>0</v>
      </c>
      <c r="G71" s="14">
        <v>0</v>
      </c>
      <c r="H71" s="112"/>
    </row>
    <row r="72" spans="1:8" x14ac:dyDescent="0.2">
      <c r="A72" s="1"/>
      <c r="B72" s="1"/>
      <c r="C72" s="11"/>
      <c r="D72" s="1"/>
      <c r="E72" s="1"/>
      <c r="F72" s="12"/>
      <c r="G72" s="12"/>
      <c r="H72" s="112"/>
    </row>
    <row r="73" spans="1:8" x14ac:dyDescent="0.2">
      <c r="A73" s="1"/>
      <c r="B73" s="1"/>
      <c r="C73" s="2" t="s">
        <v>114</v>
      </c>
      <c r="D73" s="1"/>
      <c r="E73" s="1"/>
      <c r="F73" s="12"/>
      <c r="G73" s="12"/>
      <c r="H73" s="112"/>
    </row>
    <row r="74" spans="1:8" x14ac:dyDescent="0.2">
      <c r="A74" s="3">
        <v>1</v>
      </c>
      <c r="B74" s="4"/>
      <c r="C74" s="4" t="s">
        <v>115</v>
      </c>
      <c r="D74" s="4"/>
      <c r="E74" s="8"/>
      <c r="F74" s="6">
        <v>1477.4583664100367</v>
      </c>
      <c r="G74" s="7">
        <v>0.15529181250862059</v>
      </c>
      <c r="H74" s="6">
        <v>3.3211324282253978</v>
      </c>
    </row>
    <row r="75" spans="1:8" x14ac:dyDescent="0.2">
      <c r="A75" s="3">
        <v>2</v>
      </c>
      <c r="B75" s="4"/>
      <c r="C75" s="4" t="s">
        <v>116</v>
      </c>
      <c r="D75" s="4"/>
      <c r="E75" s="8"/>
      <c r="F75" s="6">
        <v>580.38027911009476</v>
      </c>
      <c r="G75" s="7">
        <v>6.1002264115408961E-2</v>
      </c>
      <c r="H75" s="6">
        <v>3.35</v>
      </c>
    </row>
    <row r="76" spans="1:8" x14ac:dyDescent="0.2">
      <c r="A76" s="1"/>
      <c r="B76" s="1"/>
      <c r="C76" s="2" t="s">
        <v>97</v>
      </c>
      <c r="D76" s="1"/>
      <c r="E76" s="1" t="s">
        <v>98</v>
      </c>
      <c r="F76" s="9">
        <v>2057.8386455201316</v>
      </c>
      <c r="G76" s="10">
        <v>0.21629407662402955</v>
      </c>
      <c r="H76" s="112"/>
    </row>
    <row r="77" spans="1:8" x14ac:dyDescent="0.2">
      <c r="A77" s="1"/>
      <c r="B77" s="1"/>
      <c r="C77" s="11"/>
      <c r="D77" s="1"/>
      <c r="E77" s="1"/>
      <c r="F77" s="12"/>
      <c r="G77" s="12"/>
      <c r="H77" s="112"/>
    </row>
    <row r="78" spans="1:8" x14ac:dyDescent="0.2">
      <c r="A78" s="1"/>
      <c r="B78" s="1"/>
      <c r="C78" s="2" t="s">
        <v>117</v>
      </c>
      <c r="D78" s="1"/>
      <c r="E78" s="1"/>
      <c r="F78" s="9">
        <v>2057.8386455201316</v>
      </c>
      <c r="G78" s="10">
        <v>0.21629407662402955</v>
      </c>
      <c r="H78" s="112"/>
    </row>
    <row r="79" spans="1:8" x14ac:dyDescent="0.2">
      <c r="A79" s="1"/>
      <c r="B79" s="1"/>
      <c r="C79" s="12"/>
      <c r="D79" s="1"/>
      <c r="E79" s="1"/>
      <c r="F79" s="1"/>
      <c r="G79" s="1"/>
      <c r="H79" s="112"/>
    </row>
    <row r="80" spans="1:8" x14ac:dyDescent="0.2">
      <c r="A80" s="1"/>
      <c r="B80" s="1"/>
      <c r="C80" s="2" t="s">
        <v>118</v>
      </c>
      <c r="D80" s="1"/>
      <c r="E80" s="1"/>
      <c r="F80" s="1"/>
      <c r="G80" s="1"/>
      <c r="H80" s="112"/>
    </row>
    <row r="81" spans="1:8" x14ac:dyDescent="0.2">
      <c r="A81" s="1"/>
      <c r="B81" s="1"/>
      <c r="C81" s="2" t="s">
        <v>119</v>
      </c>
      <c r="D81" s="1"/>
      <c r="E81" s="1"/>
      <c r="F81" s="1"/>
      <c r="G81" s="1"/>
      <c r="H81" s="112"/>
    </row>
    <row r="82" spans="1:8" x14ac:dyDescent="0.2">
      <c r="A82" s="1"/>
      <c r="B82" s="1"/>
      <c r="C82" s="2" t="s">
        <v>97</v>
      </c>
      <c r="D82" s="1"/>
      <c r="E82" s="1" t="s">
        <v>98</v>
      </c>
      <c r="F82" s="13">
        <v>0</v>
      </c>
      <c r="G82" s="14">
        <v>0</v>
      </c>
      <c r="H82" s="112"/>
    </row>
    <row r="83" spans="1:8" x14ac:dyDescent="0.2">
      <c r="A83" s="1"/>
      <c r="B83" s="1"/>
      <c r="C83" s="11"/>
      <c r="D83" s="1"/>
      <c r="E83" s="1"/>
      <c r="F83" s="12"/>
      <c r="G83" s="12"/>
      <c r="H83" s="112"/>
    </row>
    <row r="84" spans="1:8" x14ac:dyDescent="0.2">
      <c r="A84" s="1"/>
      <c r="B84" s="1"/>
      <c r="C84" s="2" t="s">
        <v>120</v>
      </c>
      <c r="D84" s="1"/>
      <c r="E84" s="1"/>
      <c r="F84" s="1"/>
      <c r="G84" s="1"/>
      <c r="H84" s="112"/>
    </row>
    <row r="85" spans="1:8" x14ac:dyDescent="0.2">
      <c r="A85" s="1"/>
      <c r="B85" s="1"/>
      <c r="C85" s="2" t="s">
        <v>121</v>
      </c>
      <c r="D85" s="1"/>
      <c r="E85" s="1"/>
      <c r="F85" s="1"/>
      <c r="G85" s="1"/>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1"/>
      <c r="C88" s="11"/>
      <c r="D88" s="1"/>
      <c r="E88" s="1"/>
      <c r="F88" s="12"/>
      <c r="G88" s="12"/>
      <c r="H88" s="112"/>
    </row>
    <row r="89" spans="1:8" ht="25.5" x14ac:dyDescent="0.2">
      <c r="A89" s="1"/>
      <c r="B89" s="1"/>
      <c r="C89" s="2" t="s">
        <v>122</v>
      </c>
      <c r="D89" s="1"/>
      <c r="E89" s="1"/>
      <c r="F89" s="12"/>
      <c r="G89" s="12"/>
      <c r="H89" s="112"/>
    </row>
    <row r="90" spans="1:8" x14ac:dyDescent="0.2">
      <c r="A90" s="1"/>
      <c r="B90" s="1"/>
      <c r="C90" s="2" t="s">
        <v>97</v>
      </c>
      <c r="D90" s="1"/>
      <c r="E90" s="1" t="s">
        <v>98</v>
      </c>
      <c r="F90" s="13">
        <v>0</v>
      </c>
      <c r="G90" s="14">
        <v>0</v>
      </c>
      <c r="H90" s="112"/>
    </row>
    <row r="91" spans="1:8" x14ac:dyDescent="0.2">
      <c r="A91" s="1"/>
      <c r="B91" s="1"/>
      <c r="C91" s="11"/>
      <c r="D91" s="1"/>
      <c r="E91" s="1"/>
      <c r="F91" s="12"/>
      <c r="G91" s="12"/>
      <c r="H91" s="112"/>
    </row>
    <row r="92" spans="1:8" x14ac:dyDescent="0.2">
      <c r="A92" s="1"/>
      <c r="B92" s="4"/>
      <c r="C92" s="4"/>
      <c r="D92" s="2"/>
      <c r="E92" s="1"/>
      <c r="F92" s="4"/>
      <c r="G92" s="8"/>
      <c r="H92" s="112"/>
    </row>
    <row r="93" spans="1:8" x14ac:dyDescent="0.2">
      <c r="A93" s="8"/>
      <c r="B93" s="4"/>
      <c r="C93" s="4" t="s">
        <v>123</v>
      </c>
      <c r="D93" s="4"/>
      <c r="E93" s="8"/>
      <c r="F93" s="6">
        <v>196.57329740986867</v>
      </c>
      <c r="G93" s="7">
        <v>2.0661308866352684E-2</v>
      </c>
      <c r="H93" s="112"/>
    </row>
    <row r="94" spans="1:8" x14ac:dyDescent="0.2">
      <c r="A94" s="11"/>
      <c r="B94" s="11"/>
      <c r="C94" s="2" t="s">
        <v>124</v>
      </c>
      <c r="D94" s="15"/>
      <c r="E94" s="15"/>
      <c r="F94" s="9">
        <v>9514.0776744300001</v>
      </c>
      <c r="G94" s="10">
        <v>1.0000000004903822</v>
      </c>
      <c r="H94" s="112"/>
    </row>
    <row r="95" spans="1:8" ht="14.1" customHeight="1" x14ac:dyDescent="0.2">
      <c r="A95" s="16"/>
      <c r="B95" s="16"/>
      <c r="C95" s="16"/>
      <c r="D95" s="17"/>
      <c r="E95" s="17"/>
      <c r="F95" s="17"/>
      <c r="G95" s="17"/>
    </row>
    <row r="96" spans="1:8" ht="14.1" customHeight="1" x14ac:dyDescent="0.2">
      <c r="A96" s="18"/>
      <c r="B96" s="205" t="s">
        <v>98</v>
      </c>
      <c r="C96" s="205"/>
      <c r="D96" s="205"/>
      <c r="E96" s="205"/>
      <c r="F96" s="205"/>
      <c r="G96" s="20"/>
    </row>
    <row r="97" spans="1:15" ht="14.1" customHeight="1" x14ac:dyDescent="0.2">
      <c r="A97" s="18"/>
      <c r="B97" s="205" t="s">
        <v>98</v>
      </c>
      <c r="C97" s="205"/>
      <c r="D97" s="205"/>
      <c r="E97" s="205"/>
      <c r="F97" s="205"/>
      <c r="G97" s="20"/>
    </row>
    <row r="98" spans="1:15" ht="14.1" customHeight="1" x14ac:dyDescent="0.2">
      <c r="A98" s="18"/>
      <c r="B98" s="18"/>
      <c r="C98" s="18"/>
      <c r="D98" s="20"/>
      <c r="E98" s="20"/>
      <c r="F98" s="20"/>
      <c r="G98" s="20"/>
    </row>
    <row r="99" spans="1:15" ht="14.1" customHeight="1" x14ac:dyDescent="0.2">
      <c r="A99" s="18"/>
      <c r="B99" s="203" t="s">
        <v>126</v>
      </c>
      <c r="C99" s="204"/>
      <c r="D99" s="12" t="s">
        <v>98</v>
      </c>
      <c r="E99" s="21"/>
      <c r="F99" s="20"/>
      <c r="G99" s="20"/>
    </row>
    <row r="100" spans="1:15" ht="29.1" customHeight="1" x14ac:dyDescent="0.2">
      <c r="A100" s="18"/>
      <c r="B100" s="198" t="s">
        <v>127</v>
      </c>
      <c r="C100" s="199"/>
      <c r="D100" s="2" t="s">
        <v>128</v>
      </c>
      <c r="E100" s="21"/>
      <c r="F100" s="20"/>
      <c r="G100" s="20"/>
    </row>
    <row r="101" spans="1:15" ht="17.100000000000001" customHeight="1" x14ac:dyDescent="0.2">
      <c r="A101" s="18"/>
      <c r="B101" s="198" t="s">
        <v>129</v>
      </c>
      <c r="C101" s="199"/>
      <c r="D101" s="2" t="s">
        <v>128</v>
      </c>
      <c r="E101" s="21"/>
      <c r="F101" s="20"/>
      <c r="G101" s="20"/>
    </row>
    <row r="102" spans="1:15" ht="17.100000000000001" customHeight="1" x14ac:dyDescent="0.2">
      <c r="A102" s="18"/>
      <c r="B102" s="198" t="s">
        <v>130</v>
      </c>
      <c r="C102" s="199"/>
      <c r="D102" s="12" t="s">
        <v>98</v>
      </c>
      <c r="E102" s="21"/>
      <c r="F102" s="20"/>
      <c r="G102" s="20"/>
    </row>
    <row r="103" spans="1:15" ht="24" customHeight="1" x14ac:dyDescent="0.2">
      <c r="A103" s="22"/>
      <c r="B103" s="23" t="s">
        <v>98</v>
      </c>
      <c r="C103" s="23" t="s">
        <v>131</v>
      </c>
      <c r="D103" s="23" t="s">
        <v>132</v>
      </c>
      <c r="E103" s="22"/>
      <c r="F103" s="22"/>
      <c r="G103" s="22"/>
    </row>
    <row r="104" spans="1:15" ht="18" customHeight="1" x14ac:dyDescent="0.2">
      <c r="A104" s="22"/>
      <c r="B104" s="23" t="s">
        <v>133</v>
      </c>
      <c r="C104" s="23" t="s">
        <v>134</v>
      </c>
      <c r="D104" s="23" t="s">
        <v>135</v>
      </c>
      <c r="E104" s="22"/>
      <c r="F104" s="22"/>
      <c r="G104" s="22"/>
    </row>
    <row r="105" spans="1:15" ht="17.100000000000001" customHeight="1" x14ac:dyDescent="0.2">
      <c r="A105" s="22"/>
      <c r="B105" s="4" t="s">
        <v>136</v>
      </c>
      <c r="C105" s="24">
        <v>16.519600000000001</v>
      </c>
      <c r="D105" s="24">
        <v>16.9315</v>
      </c>
      <c r="E105" s="22"/>
      <c r="F105" s="19"/>
      <c r="G105" s="25"/>
    </row>
    <row r="106" spans="1:15" ht="17.100000000000001" customHeight="1" x14ac:dyDescent="0.2">
      <c r="A106" s="22"/>
      <c r="B106" s="4" t="s">
        <v>980</v>
      </c>
      <c r="C106" s="24">
        <v>14.464399999999999</v>
      </c>
      <c r="D106" s="24">
        <v>14.825100000000001</v>
      </c>
      <c r="E106" s="22"/>
      <c r="F106" s="19"/>
      <c r="G106" s="25"/>
    </row>
    <row r="107" spans="1:15" ht="17.100000000000001" customHeight="1" x14ac:dyDescent="0.2">
      <c r="A107" s="22"/>
      <c r="B107" s="4" t="s">
        <v>137</v>
      </c>
      <c r="C107" s="24">
        <v>15.902799999999999</v>
      </c>
      <c r="D107" s="24">
        <v>16.290800000000001</v>
      </c>
      <c r="E107" s="22"/>
      <c r="F107" s="19"/>
      <c r="G107" s="25"/>
    </row>
    <row r="108" spans="1:15" ht="17.100000000000001" customHeight="1" x14ac:dyDescent="0.2">
      <c r="A108" s="22"/>
      <c r="B108" s="4" t="s">
        <v>981</v>
      </c>
      <c r="C108" s="24">
        <v>14.295999999999999</v>
      </c>
      <c r="D108" s="24">
        <v>14.6448</v>
      </c>
      <c r="E108" s="22"/>
      <c r="F108" s="19"/>
      <c r="G108" s="25"/>
    </row>
    <row r="109" spans="1:15" ht="14.1" customHeight="1" x14ac:dyDescent="0.2">
      <c r="A109" s="22"/>
      <c r="B109" s="22"/>
      <c r="C109" s="22"/>
      <c r="D109" s="22"/>
      <c r="E109" s="22"/>
      <c r="F109" s="22"/>
      <c r="G109" s="22"/>
    </row>
    <row r="110" spans="1:15" ht="17.100000000000001" customHeight="1" x14ac:dyDescent="0.2">
      <c r="A110" s="22"/>
      <c r="B110" s="198" t="s">
        <v>982</v>
      </c>
      <c r="C110" s="199"/>
      <c r="D110" s="91" t="s">
        <v>128</v>
      </c>
      <c r="E110" s="22"/>
      <c r="F110" s="22"/>
      <c r="G110" s="22"/>
    </row>
    <row r="111" spans="1:15" ht="18" customHeight="1" x14ac:dyDescent="0.2">
      <c r="A111" s="22"/>
      <c r="B111" s="26"/>
      <c r="C111" s="26"/>
      <c r="D111" s="27"/>
      <c r="E111" s="22"/>
      <c r="F111" s="22"/>
      <c r="G111" s="22"/>
    </row>
    <row r="112" spans="1:15" s="113" customFormat="1" x14ac:dyDescent="0.2">
      <c r="B112" s="202" t="s">
        <v>984</v>
      </c>
      <c r="C112" s="202"/>
      <c r="D112" s="202"/>
      <c r="E112" s="202"/>
      <c r="F112" s="202"/>
      <c r="I112"/>
      <c r="J112"/>
      <c r="K112"/>
      <c r="L112"/>
      <c r="M112"/>
      <c r="N112"/>
      <c r="O112"/>
    </row>
    <row r="113" spans="1:15" ht="14.1" customHeight="1" x14ac:dyDescent="0.2">
      <c r="A113" s="22"/>
      <c r="B113" s="19"/>
      <c r="C113" s="19"/>
      <c r="D113" s="22"/>
      <c r="E113" s="22"/>
      <c r="F113" s="22"/>
      <c r="G113" s="22"/>
    </row>
    <row r="114" spans="1:15" ht="29.1" customHeight="1" x14ac:dyDescent="0.2">
      <c r="A114" s="22"/>
      <c r="B114" s="198" t="s">
        <v>138</v>
      </c>
      <c r="C114" s="199"/>
      <c r="D114" s="2" t="s">
        <v>128</v>
      </c>
      <c r="E114" s="22"/>
      <c r="F114" s="22"/>
      <c r="G114" s="22"/>
    </row>
    <row r="115" spans="1:15" ht="29.1" customHeight="1" x14ac:dyDescent="0.2">
      <c r="A115" s="22"/>
      <c r="B115" s="198" t="s">
        <v>139</v>
      </c>
      <c r="C115" s="199"/>
      <c r="D115" s="2" t="s">
        <v>128</v>
      </c>
      <c r="E115" s="22"/>
      <c r="F115" s="22"/>
      <c r="G115" s="22"/>
    </row>
    <row r="116" spans="1:15" ht="17.100000000000001" customHeight="1" x14ac:dyDescent="0.2">
      <c r="A116" s="22"/>
      <c r="B116" s="198" t="s">
        <v>140</v>
      </c>
      <c r="C116" s="199"/>
      <c r="D116" s="28">
        <v>0.46004794025244777</v>
      </c>
      <c r="E116" s="22"/>
      <c r="F116" s="19"/>
      <c r="G116" s="25"/>
    </row>
    <row r="117" spans="1:15" ht="17.100000000000001" customHeight="1" x14ac:dyDescent="0.2">
      <c r="A117" s="22"/>
      <c r="B117" s="198" t="s">
        <v>141</v>
      </c>
      <c r="C117" s="199"/>
      <c r="D117" s="2" t="s">
        <v>128</v>
      </c>
      <c r="E117" s="22"/>
      <c r="F117" s="22"/>
      <c r="G117" s="22"/>
    </row>
    <row r="122" spans="1:15" x14ac:dyDescent="0.2">
      <c r="I122" s="113"/>
      <c r="J122" s="113"/>
      <c r="K122" s="113"/>
      <c r="L122" s="113"/>
      <c r="M122" s="113"/>
      <c r="N122" s="113"/>
      <c r="O122" s="113"/>
    </row>
  </sheetData>
  <mergeCells count="16">
    <mergeCell ref="B117:C117"/>
    <mergeCell ref="B100:C100"/>
    <mergeCell ref="B101:C101"/>
    <mergeCell ref="B102:C102"/>
    <mergeCell ref="B110:C110"/>
    <mergeCell ref="B114:C114"/>
    <mergeCell ref="B115:C115"/>
    <mergeCell ref="B112:F112"/>
    <mergeCell ref="A1:H1"/>
    <mergeCell ref="A2:H2"/>
    <mergeCell ref="A3:H3"/>
    <mergeCell ref="J2:N2"/>
    <mergeCell ref="B116:C116"/>
    <mergeCell ref="B99:C99"/>
    <mergeCell ref="B96:F96"/>
    <mergeCell ref="B97:F97"/>
  </mergeCells>
  <pageMargins left="5.000000074505806E-2" right="5.000000074505806E-2" top="0.30000001192092896" bottom="0.20000000298023224" header="0" footer="0"/>
  <pageSetup paperSize="9" orientation="landscape"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O11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729</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17</v>
      </c>
      <c r="C7" s="4" t="s">
        <v>18</v>
      </c>
      <c r="D7" s="4" t="s">
        <v>19</v>
      </c>
      <c r="E7" s="5">
        <v>47713</v>
      </c>
      <c r="F7" s="6">
        <v>382.68211650000001</v>
      </c>
      <c r="G7" s="7">
        <v>9.0218275000000001E-2</v>
      </c>
      <c r="H7" s="112"/>
    </row>
    <row r="8" spans="1:14" x14ac:dyDescent="0.2">
      <c r="A8" s="3">
        <v>2</v>
      </c>
      <c r="B8" s="4" t="s">
        <v>418</v>
      </c>
      <c r="C8" s="4" t="s">
        <v>419</v>
      </c>
      <c r="D8" s="4" t="s">
        <v>19</v>
      </c>
      <c r="E8" s="5">
        <v>65489</v>
      </c>
      <c r="F8" s="6">
        <v>328.85301349999997</v>
      </c>
      <c r="G8" s="7">
        <v>7.7527927999999996E-2</v>
      </c>
      <c r="H8" s="112"/>
    </row>
    <row r="9" spans="1:14" x14ac:dyDescent="0.2">
      <c r="A9" s="3">
        <v>3</v>
      </c>
      <c r="B9" s="4" t="s">
        <v>22</v>
      </c>
      <c r="C9" s="4" t="s">
        <v>23</v>
      </c>
      <c r="D9" s="4" t="s">
        <v>24</v>
      </c>
      <c r="E9" s="5">
        <v>38750</v>
      </c>
      <c r="F9" s="6">
        <v>265.573125</v>
      </c>
      <c r="G9" s="7">
        <v>6.2609534999999994E-2</v>
      </c>
      <c r="H9" s="112"/>
    </row>
    <row r="10" spans="1:14" x14ac:dyDescent="0.2">
      <c r="A10" s="3">
        <v>4</v>
      </c>
      <c r="B10" s="4" t="s">
        <v>322</v>
      </c>
      <c r="C10" s="4" t="s">
        <v>323</v>
      </c>
      <c r="D10" s="4" t="s">
        <v>19</v>
      </c>
      <c r="E10" s="5">
        <v>30706</v>
      </c>
      <c r="F10" s="6">
        <v>227.83851999999999</v>
      </c>
      <c r="G10" s="7">
        <v>5.3713506000000001E-2</v>
      </c>
      <c r="H10" s="112"/>
    </row>
    <row r="11" spans="1:14" x14ac:dyDescent="0.2">
      <c r="A11" s="3">
        <v>5</v>
      </c>
      <c r="B11" s="4" t="s">
        <v>337</v>
      </c>
      <c r="C11" s="4" t="s">
        <v>338</v>
      </c>
      <c r="D11" s="4" t="s">
        <v>19</v>
      </c>
      <c r="E11" s="5">
        <v>189994</v>
      </c>
      <c r="F11" s="6">
        <v>185.24414999999999</v>
      </c>
      <c r="G11" s="7">
        <v>4.3671776000000002E-2</v>
      </c>
      <c r="H11" s="112"/>
    </row>
    <row r="12" spans="1:14" ht="25.5" x14ac:dyDescent="0.2">
      <c r="A12" s="3">
        <v>6</v>
      </c>
      <c r="B12" s="4" t="s">
        <v>443</v>
      </c>
      <c r="C12" s="4" t="s">
        <v>444</v>
      </c>
      <c r="D12" s="4" t="s">
        <v>192</v>
      </c>
      <c r="E12" s="5">
        <v>77800</v>
      </c>
      <c r="F12" s="6">
        <v>173.64959999999999</v>
      </c>
      <c r="G12" s="7">
        <v>4.0938332000000001E-2</v>
      </c>
      <c r="H12" s="112"/>
    </row>
    <row r="13" spans="1:14" x14ac:dyDescent="0.2">
      <c r="A13" s="3">
        <v>7</v>
      </c>
      <c r="B13" s="4" t="s">
        <v>11</v>
      </c>
      <c r="C13" s="4" t="s">
        <v>12</v>
      </c>
      <c r="D13" s="4" t="s">
        <v>13</v>
      </c>
      <c r="E13" s="5">
        <v>9637</v>
      </c>
      <c r="F13" s="6">
        <v>170.2520605</v>
      </c>
      <c r="G13" s="7">
        <v>4.0137353000000001E-2</v>
      </c>
      <c r="H13" s="112"/>
    </row>
    <row r="14" spans="1:14" x14ac:dyDescent="0.2">
      <c r="A14" s="3">
        <v>8</v>
      </c>
      <c r="B14" s="4" t="s">
        <v>59</v>
      </c>
      <c r="C14" s="4" t="s">
        <v>60</v>
      </c>
      <c r="D14" s="4" t="s">
        <v>61</v>
      </c>
      <c r="E14" s="5">
        <v>94248</v>
      </c>
      <c r="F14" s="6">
        <v>140.28814800000001</v>
      </c>
      <c r="G14" s="7">
        <v>3.3073285000000001E-2</v>
      </c>
      <c r="H14" s="112"/>
    </row>
    <row r="15" spans="1:14" ht="15" x14ac:dyDescent="0.2">
      <c r="A15" s="3">
        <v>9</v>
      </c>
      <c r="B15" s="4" t="s">
        <v>428</v>
      </c>
      <c r="C15" s="4" t="s">
        <v>429</v>
      </c>
      <c r="D15" s="4" t="s">
        <v>186</v>
      </c>
      <c r="E15" s="5">
        <v>17351</v>
      </c>
      <c r="F15" s="6">
        <v>137.94045</v>
      </c>
      <c r="G15" s="7">
        <v>3.2519808999999997E-2</v>
      </c>
      <c r="H15" s="112"/>
      <c r="J15" s="188" t="s">
        <v>1014</v>
      </c>
    </row>
    <row r="16" spans="1:14" x14ac:dyDescent="0.2">
      <c r="A16" s="3">
        <v>10</v>
      </c>
      <c r="B16" s="4" t="s">
        <v>193</v>
      </c>
      <c r="C16" s="4" t="s">
        <v>194</v>
      </c>
      <c r="D16" s="4" t="s">
        <v>16</v>
      </c>
      <c r="E16" s="5">
        <v>40000</v>
      </c>
      <c r="F16" s="6">
        <v>124.16</v>
      </c>
      <c r="G16" s="7">
        <v>2.9271032999999998E-2</v>
      </c>
      <c r="H16" s="112"/>
    </row>
    <row r="17" spans="1:8" x14ac:dyDescent="0.2">
      <c r="A17" s="3">
        <v>11</v>
      </c>
      <c r="B17" s="4" t="s">
        <v>358</v>
      </c>
      <c r="C17" s="4" t="s">
        <v>359</v>
      </c>
      <c r="D17" s="4" t="s">
        <v>50</v>
      </c>
      <c r="E17" s="5">
        <v>18000</v>
      </c>
      <c r="F17" s="6">
        <v>117.91800000000001</v>
      </c>
      <c r="G17" s="7">
        <v>2.7799465999999998E-2</v>
      </c>
      <c r="H17" s="112"/>
    </row>
    <row r="18" spans="1:8" x14ac:dyDescent="0.2">
      <c r="A18" s="3">
        <v>12</v>
      </c>
      <c r="B18" s="4" t="s">
        <v>86</v>
      </c>
      <c r="C18" s="4" t="s">
        <v>87</v>
      </c>
      <c r="D18" s="4" t="s">
        <v>61</v>
      </c>
      <c r="E18" s="5">
        <v>36000</v>
      </c>
      <c r="F18" s="6">
        <v>109.854</v>
      </c>
      <c r="G18" s="7">
        <v>2.5898358E-2</v>
      </c>
      <c r="H18" s="112"/>
    </row>
    <row r="19" spans="1:8" ht="25.5" x14ac:dyDescent="0.2">
      <c r="A19" s="3">
        <v>13</v>
      </c>
      <c r="B19" s="4" t="s">
        <v>726</v>
      </c>
      <c r="C19" s="4" t="s">
        <v>727</v>
      </c>
      <c r="D19" s="4" t="s">
        <v>81</v>
      </c>
      <c r="E19" s="5">
        <v>58527</v>
      </c>
      <c r="F19" s="6">
        <v>105.055965</v>
      </c>
      <c r="G19" s="7">
        <v>2.4767208999999998E-2</v>
      </c>
      <c r="H19" s="112"/>
    </row>
    <row r="20" spans="1:8" x14ac:dyDescent="0.2">
      <c r="A20" s="3">
        <v>14</v>
      </c>
      <c r="B20" s="4" t="s">
        <v>339</v>
      </c>
      <c r="C20" s="4" t="s">
        <v>340</v>
      </c>
      <c r="D20" s="4" t="s">
        <v>81</v>
      </c>
      <c r="E20" s="5">
        <v>7000</v>
      </c>
      <c r="F20" s="6">
        <v>100.53400000000001</v>
      </c>
      <c r="G20" s="7">
        <v>2.3701144E-2</v>
      </c>
      <c r="H20" s="112"/>
    </row>
    <row r="21" spans="1:8" x14ac:dyDescent="0.2">
      <c r="A21" s="3">
        <v>15</v>
      </c>
      <c r="B21" s="4" t="s">
        <v>35</v>
      </c>
      <c r="C21" s="4" t="s">
        <v>36</v>
      </c>
      <c r="D21" s="4" t="s">
        <v>16</v>
      </c>
      <c r="E21" s="5">
        <v>21000</v>
      </c>
      <c r="F21" s="6">
        <v>87.716999999999999</v>
      </c>
      <c r="G21" s="7">
        <v>2.0679504000000001E-2</v>
      </c>
      <c r="H21" s="112"/>
    </row>
    <row r="22" spans="1:8" x14ac:dyDescent="0.2">
      <c r="A22" s="3">
        <v>16</v>
      </c>
      <c r="B22" s="4" t="s">
        <v>316</v>
      </c>
      <c r="C22" s="4" t="s">
        <v>317</v>
      </c>
      <c r="D22" s="4" t="s">
        <v>19</v>
      </c>
      <c r="E22" s="5">
        <v>70000</v>
      </c>
      <c r="F22" s="6">
        <v>68.215000000000003</v>
      </c>
      <c r="G22" s="7">
        <v>1.6081858000000001E-2</v>
      </c>
      <c r="H22" s="112"/>
    </row>
    <row r="23" spans="1:8" x14ac:dyDescent="0.2">
      <c r="A23" s="3">
        <v>17</v>
      </c>
      <c r="B23" s="4" t="s">
        <v>46</v>
      </c>
      <c r="C23" s="4" t="s">
        <v>47</v>
      </c>
      <c r="D23" s="4" t="s">
        <v>16</v>
      </c>
      <c r="E23" s="5">
        <v>30000</v>
      </c>
      <c r="F23" s="6">
        <v>38.384999999999998</v>
      </c>
      <c r="G23" s="7">
        <v>9.0493610000000006E-3</v>
      </c>
      <c r="H23" s="112"/>
    </row>
    <row r="24" spans="1:8" x14ac:dyDescent="0.2">
      <c r="A24" s="3">
        <v>18</v>
      </c>
      <c r="B24" s="4" t="s">
        <v>187</v>
      </c>
      <c r="C24" s="4" t="s">
        <v>188</v>
      </c>
      <c r="D24" s="4" t="s">
        <v>189</v>
      </c>
      <c r="E24" s="5">
        <v>2052</v>
      </c>
      <c r="F24" s="6">
        <v>4.6293119999999996</v>
      </c>
      <c r="G24" s="7">
        <v>1.091372E-3</v>
      </c>
      <c r="H24" s="112"/>
    </row>
    <row r="25" spans="1:8" x14ac:dyDescent="0.2">
      <c r="A25" s="1"/>
      <c r="B25" s="1"/>
      <c r="C25" s="2" t="s">
        <v>97</v>
      </c>
      <c r="D25" s="1"/>
      <c r="E25" s="1" t="s">
        <v>98</v>
      </c>
      <c r="F25" s="9">
        <v>2768.7894605000001</v>
      </c>
      <c r="G25" s="10">
        <v>0.65274910399999997</v>
      </c>
      <c r="H25" s="112"/>
    </row>
    <row r="26" spans="1:8" x14ac:dyDescent="0.2">
      <c r="A26" s="1"/>
      <c r="B26" s="1"/>
      <c r="C26" s="11"/>
      <c r="D26" s="1"/>
      <c r="E26" s="1"/>
      <c r="F26" s="12"/>
      <c r="G26" s="12"/>
      <c r="H26" s="112"/>
    </row>
    <row r="27" spans="1:8" x14ac:dyDescent="0.2">
      <c r="A27" s="1"/>
      <c r="B27" s="1"/>
      <c r="C27" s="2" t="s">
        <v>99</v>
      </c>
      <c r="D27" s="1"/>
      <c r="E27" s="1"/>
      <c r="F27" s="1"/>
      <c r="G27" s="1"/>
      <c r="H27" s="112"/>
    </row>
    <row r="28" spans="1:8" x14ac:dyDescent="0.2">
      <c r="A28" s="1"/>
      <c r="B28" s="1"/>
      <c r="C28" s="2" t="s">
        <v>97</v>
      </c>
      <c r="D28" s="1"/>
      <c r="E28" s="1" t="s">
        <v>98</v>
      </c>
      <c r="F28" s="13">
        <v>0</v>
      </c>
      <c r="G28" s="14">
        <v>0</v>
      </c>
      <c r="H28" s="112"/>
    </row>
    <row r="29" spans="1:8" x14ac:dyDescent="0.2">
      <c r="A29" s="1"/>
      <c r="B29" s="1"/>
      <c r="C29" s="11"/>
      <c r="D29" s="1"/>
      <c r="E29" s="1"/>
      <c r="F29" s="12"/>
      <c r="G29" s="12"/>
      <c r="H29" s="112"/>
    </row>
    <row r="30" spans="1:8" x14ac:dyDescent="0.2">
      <c r="A30" s="1"/>
      <c r="B30" s="1"/>
      <c r="C30" s="2" t="s">
        <v>100</v>
      </c>
      <c r="D30" s="1"/>
      <c r="E30" s="1"/>
      <c r="F30" s="1"/>
      <c r="G30" s="1"/>
      <c r="H30" s="112"/>
    </row>
    <row r="31" spans="1:8" x14ac:dyDescent="0.2">
      <c r="A31" s="1"/>
      <c r="B31" s="1"/>
      <c r="C31" s="2" t="s">
        <v>97</v>
      </c>
      <c r="D31" s="1"/>
      <c r="E31" s="1" t="s">
        <v>98</v>
      </c>
      <c r="F31" s="13">
        <v>0</v>
      </c>
      <c r="G31" s="14">
        <v>0</v>
      </c>
      <c r="H31" s="112"/>
    </row>
    <row r="32" spans="1:8" x14ac:dyDescent="0.2">
      <c r="A32" s="1"/>
      <c r="B32" s="1"/>
      <c r="C32" s="11"/>
      <c r="D32" s="1"/>
      <c r="E32" s="1"/>
      <c r="F32" s="12"/>
      <c r="G32" s="12"/>
      <c r="H32" s="112"/>
    </row>
    <row r="33" spans="1:8" x14ac:dyDescent="0.2">
      <c r="A33" s="1"/>
      <c r="B33" s="1"/>
      <c r="C33" s="2" t="s">
        <v>101</v>
      </c>
      <c r="D33" s="1"/>
      <c r="E33" s="1"/>
      <c r="F33" s="1"/>
      <c r="G33" s="1"/>
      <c r="H33" s="112"/>
    </row>
    <row r="34" spans="1:8" x14ac:dyDescent="0.2">
      <c r="A34" s="1"/>
      <c r="B34" s="1"/>
      <c r="C34" s="2" t="s">
        <v>97</v>
      </c>
      <c r="D34" s="1"/>
      <c r="E34" s="1" t="s">
        <v>98</v>
      </c>
      <c r="F34" s="13">
        <v>0</v>
      </c>
      <c r="G34" s="14">
        <v>0</v>
      </c>
      <c r="H34" s="112"/>
    </row>
    <row r="35" spans="1:8" x14ac:dyDescent="0.2">
      <c r="A35" s="1"/>
      <c r="B35" s="1"/>
      <c r="C35" s="11"/>
      <c r="D35" s="1"/>
      <c r="E35" s="1"/>
      <c r="F35" s="12"/>
      <c r="G35" s="12"/>
      <c r="H35" s="112"/>
    </row>
    <row r="36" spans="1:8" x14ac:dyDescent="0.2">
      <c r="A36" s="1"/>
      <c r="B36" s="1"/>
      <c r="C36" s="2" t="s">
        <v>102</v>
      </c>
      <c r="D36" s="1"/>
      <c r="E36" s="1"/>
      <c r="F36" s="12"/>
      <c r="G36" s="12"/>
      <c r="H36" s="112"/>
    </row>
    <row r="37" spans="1:8" x14ac:dyDescent="0.2">
      <c r="A37" s="1"/>
      <c r="B37" s="1"/>
      <c r="C37" s="2" t="s">
        <v>97</v>
      </c>
      <c r="D37" s="1"/>
      <c r="E37" s="1" t="s">
        <v>98</v>
      </c>
      <c r="F37" s="13">
        <v>0</v>
      </c>
      <c r="G37" s="14">
        <v>0</v>
      </c>
      <c r="H37" s="112"/>
    </row>
    <row r="38" spans="1:8" x14ac:dyDescent="0.2">
      <c r="A38" s="1"/>
      <c r="B38" s="1"/>
      <c r="C38" s="11"/>
      <c r="D38" s="1"/>
      <c r="E38" s="1"/>
      <c r="F38" s="12"/>
      <c r="G38" s="12"/>
      <c r="H38" s="112"/>
    </row>
    <row r="39" spans="1:8" x14ac:dyDescent="0.2">
      <c r="A39" s="1"/>
      <c r="B39" s="1"/>
      <c r="C39" s="2" t="s">
        <v>103</v>
      </c>
      <c r="D39" s="1"/>
      <c r="E39" s="1"/>
      <c r="F39" s="12"/>
      <c r="G39" s="12"/>
      <c r="H39" s="112"/>
    </row>
    <row r="40" spans="1:8" x14ac:dyDescent="0.2">
      <c r="A40" s="1"/>
      <c r="B40" s="1"/>
      <c r="C40" s="2" t="s">
        <v>97</v>
      </c>
      <c r="D40" s="1"/>
      <c r="E40" s="1" t="s">
        <v>98</v>
      </c>
      <c r="F40" s="13">
        <v>0</v>
      </c>
      <c r="G40" s="14">
        <v>0</v>
      </c>
      <c r="H40" s="112"/>
    </row>
    <row r="41" spans="1:8" x14ac:dyDescent="0.2">
      <c r="A41" s="1"/>
      <c r="B41" s="1"/>
      <c r="C41" s="11"/>
      <c r="D41" s="1"/>
      <c r="E41" s="1"/>
      <c r="F41" s="12"/>
      <c r="G41" s="12"/>
      <c r="H41" s="112"/>
    </row>
    <row r="42" spans="1:8" x14ac:dyDescent="0.2">
      <c r="A42" s="1"/>
      <c r="B42" s="1"/>
      <c r="C42" s="2" t="s">
        <v>104</v>
      </c>
      <c r="D42" s="1"/>
      <c r="E42" s="1"/>
      <c r="F42" s="9">
        <v>2768.7894605000001</v>
      </c>
      <c r="G42" s="10">
        <v>0.65274910399999997</v>
      </c>
      <c r="H42" s="112"/>
    </row>
    <row r="43" spans="1:8" x14ac:dyDescent="0.2">
      <c r="A43" s="1"/>
      <c r="B43" s="1"/>
      <c r="C43" s="11"/>
      <c r="D43" s="1"/>
      <c r="E43" s="1"/>
      <c r="F43" s="12"/>
      <c r="G43" s="12"/>
      <c r="H43" s="112"/>
    </row>
    <row r="44" spans="1:8" x14ac:dyDescent="0.2">
      <c r="A44" s="1"/>
      <c r="B44" s="1"/>
      <c r="C44" s="2" t="s">
        <v>105</v>
      </c>
      <c r="D44" s="1"/>
      <c r="E44" s="1"/>
      <c r="F44" s="12"/>
      <c r="G44" s="12"/>
      <c r="H44" s="112"/>
    </row>
    <row r="45" spans="1:8" ht="25.5" x14ac:dyDescent="0.2">
      <c r="A45" s="1"/>
      <c r="B45" s="1"/>
      <c r="C45" s="2" t="s">
        <v>10</v>
      </c>
      <c r="D45" s="1"/>
      <c r="E45" s="1"/>
      <c r="F45" s="12"/>
      <c r="G45" s="12"/>
      <c r="H45" s="112"/>
    </row>
    <row r="46" spans="1:8" x14ac:dyDescent="0.2">
      <c r="A46" s="1"/>
      <c r="B46" s="1"/>
      <c r="C46" s="2" t="s">
        <v>97</v>
      </c>
      <c r="D46" s="1"/>
      <c r="E46" s="1" t="s">
        <v>98</v>
      </c>
      <c r="F46" s="13">
        <v>0</v>
      </c>
      <c r="G46" s="14">
        <v>0</v>
      </c>
      <c r="H46" s="112"/>
    </row>
    <row r="47" spans="1:8" x14ac:dyDescent="0.2">
      <c r="A47" s="1"/>
      <c r="B47" s="1"/>
      <c r="C47" s="11"/>
      <c r="D47" s="1"/>
      <c r="E47" s="1"/>
      <c r="F47" s="12"/>
      <c r="G47" s="12"/>
      <c r="H47" s="112"/>
    </row>
    <row r="48" spans="1:8" x14ac:dyDescent="0.2">
      <c r="A48" s="1"/>
      <c r="B48" s="1"/>
      <c r="C48" s="2" t="s">
        <v>106</v>
      </c>
      <c r="D48" s="1"/>
      <c r="E48" s="1"/>
      <c r="F48" s="1"/>
      <c r="G48" s="1"/>
      <c r="H48" s="112"/>
    </row>
    <row r="49" spans="1:8" x14ac:dyDescent="0.2">
      <c r="A49" s="1"/>
      <c r="B49" s="1"/>
      <c r="C49" s="2" t="s">
        <v>97</v>
      </c>
      <c r="D49" s="1"/>
      <c r="E49" s="1" t="s">
        <v>98</v>
      </c>
      <c r="F49" s="13">
        <v>0</v>
      </c>
      <c r="G49" s="14">
        <v>0</v>
      </c>
      <c r="H49" s="112"/>
    </row>
    <row r="50" spans="1:8" x14ac:dyDescent="0.2">
      <c r="A50" s="1"/>
      <c r="B50" s="1"/>
      <c r="C50" s="11"/>
      <c r="D50" s="1"/>
      <c r="E50" s="1"/>
      <c r="F50" s="12"/>
      <c r="G50" s="12"/>
      <c r="H50" s="112"/>
    </row>
    <row r="51" spans="1:8" x14ac:dyDescent="0.2">
      <c r="A51" s="1"/>
      <c r="B51" s="1"/>
      <c r="C51" s="2" t="s">
        <v>107</v>
      </c>
      <c r="D51" s="1"/>
      <c r="E51" s="1"/>
      <c r="F51" s="1"/>
      <c r="G51" s="1"/>
      <c r="H51" s="112"/>
    </row>
    <row r="52" spans="1:8" x14ac:dyDescent="0.2">
      <c r="A52" s="1"/>
      <c r="B52" s="1"/>
      <c r="C52" s="2" t="s">
        <v>97</v>
      </c>
      <c r="D52" s="1"/>
      <c r="E52" s="1" t="s">
        <v>98</v>
      </c>
      <c r="F52" s="13">
        <v>0</v>
      </c>
      <c r="G52" s="14">
        <v>0</v>
      </c>
      <c r="H52" s="112"/>
    </row>
    <row r="53" spans="1:8" x14ac:dyDescent="0.2">
      <c r="A53" s="1"/>
      <c r="B53" s="1"/>
      <c r="C53" s="11"/>
      <c r="D53" s="1"/>
      <c r="E53" s="1"/>
      <c r="F53" s="12"/>
      <c r="G53" s="12"/>
      <c r="H53" s="112"/>
    </row>
    <row r="54" spans="1:8" x14ac:dyDescent="0.2">
      <c r="A54" s="1"/>
      <c r="B54" s="1"/>
      <c r="C54" s="2" t="s">
        <v>108</v>
      </c>
      <c r="D54" s="1"/>
      <c r="E54" s="1"/>
      <c r="F54" s="12"/>
      <c r="G54" s="12"/>
      <c r="H54" s="112"/>
    </row>
    <row r="55" spans="1:8" x14ac:dyDescent="0.2">
      <c r="A55" s="1"/>
      <c r="B55" s="1"/>
      <c r="C55" s="2" t="s">
        <v>97</v>
      </c>
      <c r="D55" s="1"/>
      <c r="E55" s="1" t="s">
        <v>98</v>
      </c>
      <c r="F55" s="13">
        <v>0</v>
      </c>
      <c r="G55" s="14">
        <v>0</v>
      </c>
      <c r="H55" s="112"/>
    </row>
    <row r="56" spans="1:8" x14ac:dyDescent="0.2">
      <c r="A56" s="1"/>
      <c r="B56" s="1"/>
      <c r="C56" s="11"/>
      <c r="D56" s="1"/>
      <c r="E56" s="1"/>
      <c r="F56" s="12"/>
      <c r="G56" s="12"/>
      <c r="H56" s="112"/>
    </row>
    <row r="57" spans="1:8" x14ac:dyDescent="0.2">
      <c r="A57" s="1"/>
      <c r="B57" s="1"/>
      <c r="C57" s="2" t="s">
        <v>109</v>
      </c>
      <c r="D57" s="1"/>
      <c r="E57" s="1"/>
      <c r="F57" s="9">
        <v>0</v>
      </c>
      <c r="G57" s="10">
        <v>0</v>
      </c>
      <c r="H57" s="112"/>
    </row>
    <row r="58" spans="1:8" x14ac:dyDescent="0.2">
      <c r="A58" s="1"/>
      <c r="B58" s="1"/>
      <c r="C58" s="11"/>
      <c r="D58" s="1"/>
      <c r="E58" s="1"/>
      <c r="F58" s="12"/>
      <c r="G58" s="12"/>
      <c r="H58" s="112"/>
    </row>
    <row r="59" spans="1:8" x14ac:dyDescent="0.2">
      <c r="A59" s="1"/>
      <c r="B59" s="1"/>
      <c r="C59" s="2" t="s">
        <v>110</v>
      </c>
      <c r="D59" s="1"/>
      <c r="E59" s="1"/>
      <c r="F59" s="12"/>
      <c r="G59" s="12"/>
      <c r="H59" s="112"/>
    </row>
    <row r="60" spans="1:8" x14ac:dyDescent="0.2">
      <c r="A60" s="1"/>
      <c r="B60" s="1"/>
      <c r="C60" s="2" t="s">
        <v>111</v>
      </c>
      <c r="D60" s="1"/>
      <c r="E60" s="1"/>
      <c r="F60" s="12"/>
      <c r="G60" s="12"/>
      <c r="H60" s="112"/>
    </row>
    <row r="61" spans="1:8" x14ac:dyDescent="0.2">
      <c r="A61" s="1"/>
      <c r="B61" s="1"/>
      <c r="C61" s="2" t="s">
        <v>97</v>
      </c>
      <c r="D61" s="1"/>
      <c r="E61" s="1" t="s">
        <v>98</v>
      </c>
      <c r="F61" s="13">
        <v>0</v>
      </c>
      <c r="G61" s="14">
        <v>0</v>
      </c>
      <c r="H61" s="112"/>
    </row>
    <row r="62" spans="1:8" x14ac:dyDescent="0.2">
      <c r="A62" s="1"/>
      <c r="B62" s="1"/>
      <c r="C62" s="11"/>
      <c r="D62" s="1"/>
      <c r="E62" s="1"/>
      <c r="F62" s="12"/>
      <c r="G62" s="12"/>
      <c r="H62" s="112"/>
    </row>
    <row r="63" spans="1:8" x14ac:dyDescent="0.2">
      <c r="A63" s="1"/>
      <c r="B63" s="1"/>
      <c r="C63" s="2" t="s">
        <v>112</v>
      </c>
      <c r="D63" s="1"/>
      <c r="E63" s="1"/>
      <c r="F63" s="12"/>
      <c r="G63" s="12"/>
      <c r="H63" s="112"/>
    </row>
    <row r="64" spans="1:8" x14ac:dyDescent="0.2">
      <c r="A64" s="1"/>
      <c r="B64" s="1"/>
      <c r="C64" s="2" t="s">
        <v>97</v>
      </c>
      <c r="D64" s="1"/>
      <c r="E64" s="1" t="s">
        <v>98</v>
      </c>
      <c r="F64" s="13">
        <v>0</v>
      </c>
      <c r="G64" s="14">
        <v>0</v>
      </c>
      <c r="H64" s="112"/>
    </row>
    <row r="65" spans="1:8" x14ac:dyDescent="0.2">
      <c r="A65" s="1"/>
      <c r="B65" s="1"/>
      <c r="C65" s="11"/>
      <c r="D65" s="1"/>
      <c r="E65" s="1"/>
      <c r="F65" s="12"/>
      <c r="G65" s="12"/>
      <c r="H65" s="112"/>
    </row>
    <row r="66" spans="1:8" x14ac:dyDescent="0.2">
      <c r="A66" s="1"/>
      <c r="B66" s="1"/>
      <c r="C66" s="2" t="s">
        <v>113</v>
      </c>
      <c r="D66" s="1"/>
      <c r="E66" s="1"/>
      <c r="F66" s="12"/>
      <c r="G66" s="12"/>
      <c r="H66" s="112"/>
    </row>
    <row r="67" spans="1:8" x14ac:dyDescent="0.2">
      <c r="A67" s="1"/>
      <c r="B67" s="1"/>
      <c r="C67" s="2" t="s">
        <v>97</v>
      </c>
      <c r="D67" s="1"/>
      <c r="E67" s="1" t="s">
        <v>98</v>
      </c>
      <c r="F67" s="13">
        <v>0</v>
      </c>
      <c r="G67" s="14">
        <v>0</v>
      </c>
      <c r="H67" s="112"/>
    </row>
    <row r="68" spans="1:8" x14ac:dyDescent="0.2">
      <c r="A68" s="1"/>
      <c r="B68" s="1"/>
      <c r="C68" s="11"/>
      <c r="D68" s="1"/>
      <c r="E68" s="1"/>
      <c r="F68" s="12"/>
      <c r="G68" s="12"/>
      <c r="H68" s="112"/>
    </row>
    <row r="69" spans="1:8" x14ac:dyDescent="0.2">
      <c r="A69" s="1"/>
      <c r="B69" s="1"/>
      <c r="C69" s="2" t="s">
        <v>114</v>
      </c>
      <c r="D69" s="1"/>
      <c r="E69" s="1"/>
      <c r="F69" s="12"/>
      <c r="G69" s="12"/>
      <c r="H69" s="112"/>
    </row>
    <row r="70" spans="1:8" x14ac:dyDescent="0.2">
      <c r="A70" s="3">
        <v>1</v>
      </c>
      <c r="B70" s="4"/>
      <c r="C70" s="4" t="s">
        <v>115</v>
      </c>
      <c r="D70" s="4"/>
      <c r="E70" s="8"/>
      <c r="F70" s="6">
        <v>1015.8244226026026</v>
      </c>
      <c r="G70" s="7">
        <v>0.23948317233920194</v>
      </c>
      <c r="H70" s="6">
        <v>3.3211324282253978</v>
      </c>
    </row>
    <row r="71" spans="1:8" x14ac:dyDescent="0.2">
      <c r="A71" s="3">
        <v>2</v>
      </c>
      <c r="B71" s="4"/>
      <c r="C71" s="4" t="s">
        <v>116</v>
      </c>
      <c r="D71" s="4"/>
      <c r="E71" s="8"/>
      <c r="F71" s="6">
        <v>399.03964219006525</v>
      </c>
      <c r="G71" s="7">
        <v>9.4074603124758585E-2</v>
      </c>
      <c r="H71" s="6">
        <v>3.35</v>
      </c>
    </row>
    <row r="72" spans="1:8" x14ac:dyDescent="0.2">
      <c r="A72" s="1"/>
      <c r="B72" s="1"/>
      <c r="C72" s="2" t="s">
        <v>97</v>
      </c>
      <c r="D72" s="1"/>
      <c r="E72" s="1" t="s">
        <v>98</v>
      </c>
      <c r="F72" s="9">
        <v>1414.8640647926677</v>
      </c>
      <c r="G72" s="10">
        <v>0.33355777546396054</v>
      </c>
      <c r="H72" s="112"/>
    </row>
    <row r="73" spans="1:8" x14ac:dyDescent="0.2">
      <c r="A73" s="1"/>
      <c r="B73" s="1"/>
      <c r="C73" s="11"/>
      <c r="D73" s="1"/>
      <c r="E73" s="1"/>
      <c r="F73" s="12"/>
      <c r="G73" s="12"/>
      <c r="H73" s="112"/>
    </row>
    <row r="74" spans="1:8" x14ac:dyDescent="0.2">
      <c r="A74" s="1"/>
      <c r="B74" s="1"/>
      <c r="C74" s="2" t="s">
        <v>117</v>
      </c>
      <c r="D74" s="1"/>
      <c r="E74" s="1"/>
      <c r="F74" s="9">
        <v>1414.8640647926677</v>
      </c>
      <c r="G74" s="10">
        <v>0.33355777546396054</v>
      </c>
      <c r="H74" s="112"/>
    </row>
    <row r="75" spans="1:8" x14ac:dyDescent="0.2">
      <c r="A75" s="1"/>
      <c r="B75" s="1"/>
      <c r="C75" s="12"/>
      <c r="D75" s="1"/>
      <c r="E75" s="1"/>
      <c r="F75" s="1"/>
      <c r="G75" s="1"/>
      <c r="H75" s="112"/>
    </row>
    <row r="76" spans="1:8" x14ac:dyDescent="0.2">
      <c r="A76" s="1"/>
      <c r="B76" s="1"/>
      <c r="C76" s="2" t="s">
        <v>118</v>
      </c>
      <c r="D76" s="1"/>
      <c r="E76" s="1"/>
      <c r="F76" s="1"/>
      <c r="G76" s="1"/>
      <c r="H76" s="112"/>
    </row>
    <row r="77" spans="1:8" x14ac:dyDescent="0.2">
      <c r="A77" s="1"/>
      <c r="B77" s="1"/>
      <c r="C77" s="2" t="s">
        <v>119</v>
      </c>
      <c r="D77" s="1"/>
      <c r="E77" s="1"/>
      <c r="F77" s="1"/>
      <c r="G77" s="1"/>
      <c r="H77" s="112"/>
    </row>
    <row r="78" spans="1:8" x14ac:dyDescent="0.2">
      <c r="A78" s="1"/>
      <c r="B78" s="1"/>
      <c r="C78" s="2" t="s">
        <v>97</v>
      </c>
      <c r="D78" s="1"/>
      <c r="E78" s="1" t="s">
        <v>98</v>
      </c>
      <c r="F78" s="13">
        <v>0</v>
      </c>
      <c r="G78" s="14">
        <v>0</v>
      </c>
      <c r="H78" s="112"/>
    </row>
    <row r="79" spans="1:8" x14ac:dyDescent="0.2">
      <c r="A79" s="1"/>
      <c r="B79" s="1"/>
      <c r="C79" s="11"/>
      <c r="D79" s="1"/>
      <c r="E79" s="1"/>
      <c r="F79" s="12"/>
      <c r="G79" s="12"/>
      <c r="H79" s="112"/>
    </row>
    <row r="80" spans="1:8" x14ac:dyDescent="0.2">
      <c r="A80" s="1"/>
      <c r="B80" s="1"/>
      <c r="C80" s="2" t="s">
        <v>120</v>
      </c>
      <c r="D80" s="1"/>
      <c r="E80" s="1"/>
      <c r="F80" s="1"/>
      <c r="G80" s="1"/>
      <c r="H80" s="112"/>
    </row>
    <row r="81" spans="1:8" x14ac:dyDescent="0.2">
      <c r="A81" s="1"/>
      <c r="B81" s="1"/>
      <c r="C81" s="2" t="s">
        <v>121</v>
      </c>
      <c r="D81" s="1"/>
      <c r="E81" s="1"/>
      <c r="F81" s="1"/>
      <c r="G81" s="1"/>
      <c r="H81" s="112"/>
    </row>
    <row r="82" spans="1:8" x14ac:dyDescent="0.2">
      <c r="A82" s="1"/>
      <c r="B82" s="1"/>
      <c r="C82" s="2" t="s">
        <v>97</v>
      </c>
      <c r="D82" s="1"/>
      <c r="E82" s="1" t="s">
        <v>98</v>
      </c>
      <c r="F82" s="13">
        <v>0</v>
      </c>
      <c r="G82" s="14">
        <v>0</v>
      </c>
      <c r="H82" s="112"/>
    </row>
    <row r="83" spans="1:8" x14ac:dyDescent="0.2">
      <c r="A83" s="1"/>
      <c r="B83" s="1"/>
      <c r="C83" s="11"/>
      <c r="D83" s="1"/>
      <c r="E83" s="1"/>
      <c r="F83" s="12"/>
      <c r="G83" s="12"/>
      <c r="H83" s="112"/>
    </row>
    <row r="84" spans="1:8" x14ac:dyDescent="0.2">
      <c r="A84" s="1"/>
      <c r="B84" s="1"/>
      <c r="C84" s="11"/>
      <c r="D84" s="1"/>
      <c r="E84" s="1"/>
      <c r="F84" s="12"/>
      <c r="G84" s="12"/>
      <c r="H84" s="112"/>
    </row>
    <row r="85" spans="1:8" ht="25.5" x14ac:dyDescent="0.2">
      <c r="A85" s="1"/>
      <c r="B85" s="1"/>
      <c r="C85" s="2" t="s">
        <v>122</v>
      </c>
      <c r="D85" s="1"/>
      <c r="E85" s="1"/>
      <c r="F85" s="12"/>
      <c r="G85" s="12"/>
      <c r="H85" s="112"/>
    </row>
    <row r="86" spans="1:8" x14ac:dyDescent="0.2">
      <c r="A86" s="1"/>
      <c r="B86" s="1"/>
      <c r="C86" s="2" t="s">
        <v>97</v>
      </c>
      <c r="D86" s="1"/>
      <c r="E86" s="1" t="s">
        <v>98</v>
      </c>
      <c r="F86" s="13">
        <v>0</v>
      </c>
      <c r="G86" s="14">
        <v>0</v>
      </c>
      <c r="H86" s="112"/>
    </row>
    <row r="87" spans="1:8" x14ac:dyDescent="0.2">
      <c r="A87" s="1"/>
      <c r="B87" s="1"/>
      <c r="C87" s="11"/>
      <c r="D87" s="1"/>
      <c r="E87" s="1"/>
      <c r="F87" s="12"/>
      <c r="G87" s="12"/>
      <c r="H87" s="112"/>
    </row>
    <row r="88" spans="1:8" x14ac:dyDescent="0.2">
      <c r="A88" s="1"/>
      <c r="B88" s="4"/>
      <c r="C88" s="4"/>
      <c r="D88" s="2"/>
      <c r="E88" s="1"/>
      <c r="F88" s="4"/>
      <c r="G88" s="8"/>
      <c r="H88" s="112"/>
    </row>
    <row r="89" spans="1:8" x14ac:dyDescent="0.2">
      <c r="A89" s="8"/>
      <c r="B89" s="4"/>
      <c r="C89" s="4" t="s">
        <v>123</v>
      </c>
      <c r="D89" s="4"/>
      <c r="E89" s="8"/>
      <c r="F89" s="6">
        <v>58.082596207332159</v>
      </c>
      <c r="G89" s="7">
        <v>1.3693118700366604E-2</v>
      </c>
      <c r="H89" s="112"/>
    </row>
    <row r="90" spans="1:8" x14ac:dyDescent="0.2">
      <c r="A90" s="11"/>
      <c r="B90" s="11"/>
      <c r="C90" s="2" t="s">
        <v>124</v>
      </c>
      <c r="D90" s="15"/>
      <c r="E90" s="15"/>
      <c r="F90" s="9">
        <v>4241.7361215000001</v>
      </c>
      <c r="G90" s="10">
        <v>0.99999999816432705</v>
      </c>
      <c r="H90" s="112"/>
    </row>
    <row r="91" spans="1:8" ht="14.1" customHeight="1" x14ac:dyDescent="0.2">
      <c r="A91" s="16"/>
      <c r="B91" s="16"/>
      <c r="C91" s="16"/>
      <c r="D91" s="17"/>
      <c r="E91" s="17"/>
      <c r="F91" s="17"/>
      <c r="G91" s="17"/>
    </row>
    <row r="92" spans="1:8" ht="14.1" customHeight="1" x14ac:dyDescent="0.2">
      <c r="A92" s="18"/>
      <c r="B92" s="205" t="s">
        <v>98</v>
      </c>
      <c r="C92" s="205"/>
      <c r="D92" s="205"/>
      <c r="E92" s="205"/>
      <c r="F92" s="205"/>
      <c r="G92" s="20"/>
    </row>
    <row r="93" spans="1:8" ht="14.1" customHeight="1" x14ac:dyDescent="0.2">
      <c r="A93" s="18"/>
      <c r="B93" s="205" t="s">
        <v>98</v>
      </c>
      <c r="C93" s="205"/>
      <c r="D93" s="205"/>
      <c r="E93" s="205"/>
      <c r="F93" s="205"/>
      <c r="G93" s="20"/>
    </row>
    <row r="94" spans="1:8" ht="14.1" customHeight="1" x14ac:dyDescent="0.2">
      <c r="A94" s="18"/>
      <c r="B94" s="18"/>
      <c r="C94" s="18"/>
      <c r="D94" s="20"/>
      <c r="E94" s="20"/>
      <c r="F94" s="20"/>
      <c r="G94" s="20"/>
    </row>
    <row r="95" spans="1:8" ht="14.1" customHeight="1" x14ac:dyDescent="0.2">
      <c r="A95" s="18"/>
      <c r="B95" s="203" t="s">
        <v>126</v>
      </c>
      <c r="C95" s="204"/>
      <c r="D95" s="12" t="s">
        <v>98</v>
      </c>
      <c r="E95" s="21"/>
      <c r="F95" s="20"/>
      <c r="G95" s="20"/>
    </row>
    <row r="96" spans="1:8" ht="29.1" customHeight="1" x14ac:dyDescent="0.2">
      <c r="A96" s="18"/>
      <c r="B96" s="198" t="s">
        <v>127</v>
      </c>
      <c r="C96" s="199"/>
      <c r="D96" s="2" t="s">
        <v>128</v>
      </c>
      <c r="E96" s="21"/>
      <c r="F96" s="20"/>
      <c r="G96" s="20"/>
    </row>
    <row r="97" spans="1:15" ht="17.100000000000001" customHeight="1" x14ac:dyDescent="0.2">
      <c r="A97" s="18"/>
      <c r="B97" s="198" t="s">
        <v>129</v>
      </c>
      <c r="C97" s="199"/>
      <c r="D97" s="2" t="s">
        <v>128</v>
      </c>
      <c r="E97" s="21"/>
      <c r="F97" s="20"/>
      <c r="G97" s="20"/>
    </row>
    <row r="98" spans="1:15" ht="17.100000000000001" customHeight="1" x14ac:dyDescent="0.2">
      <c r="A98" s="18"/>
      <c r="B98" s="198" t="s">
        <v>130</v>
      </c>
      <c r="C98" s="199"/>
      <c r="D98" s="12" t="s">
        <v>98</v>
      </c>
      <c r="E98" s="21"/>
      <c r="F98" s="20"/>
      <c r="G98" s="20"/>
    </row>
    <row r="99" spans="1:15" ht="24" customHeight="1" x14ac:dyDescent="0.2">
      <c r="A99" s="22"/>
      <c r="B99" s="23" t="s">
        <v>98</v>
      </c>
      <c r="C99" s="23" t="s">
        <v>131</v>
      </c>
      <c r="D99" s="23" t="s">
        <v>132</v>
      </c>
      <c r="E99" s="22"/>
      <c r="F99" s="22"/>
      <c r="G99" s="22"/>
    </row>
    <row r="100" spans="1:15" ht="18" customHeight="1" x14ac:dyDescent="0.2">
      <c r="A100" s="22"/>
      <c r="B100" s="23" t="s">
        <v>133</v>
      </c>
      <c r="C100" s="23" t="s">
        <v>134</v>
      </c>
      <c r="D100" s="23" t="s">
        <v>135</v>
      </c>
      <c r="E100" s="22"/>
      <c r="F100" s="22"/>
      <c r="G100" s="22"/>
    </row>
    <row r="101" spans="1:15" ht="17.100000000000001" customHeight="1" x14ac:dyDescent="0.2">
      <c r="A101" s="22"/>
      <c r="B101" s="4" t="s">
        <v>136</v>
      </c>
      <c r="C101" s="24">
        <v>14.8916</v>
      </c>
      <c r="D101" s="24">
        <v>15.186</v>
      </c>
      <c r="E101" s="22"/>
      <c r="F101" s="19"/>
      <c r="G101" s="25"/>
    </row>
    <row r="102" spans="1:15" ht="17.100000000000001" customHeight="1" x14ac:dyDescent="0.2">
      <c r="A102" s="22"/>
      <c r="B102" s="4" t="s">
        <v>980</v>
      </c>
      <c r="C102" s="24">
        <v>13.798</v>
      </c>
      <c r="D102" s="24">
        <v>14.0708</v>
      </c>
      <c r="E102" s="22"/>
      <c r="F102" s="19"/>
      <c r="G102" s="25"/>
    </row>
    <row r="103" spans="1:15" ht="17.100000000000001" customHeight="1" x14ac:dyDescent="0.2">
      <c r="A103" s="22"/>
      <c r="B103" s="4" t="s">
        <v>137</v>
      </c>
      <c r="C103" s="24">
        <v>14.464</v>
      </c>
      <c r="D103" s="24">
        <v>14.743399999999999</v>
      </c>
      <c r="E103" s="22"/>
      <c r="F103" s="19"/>
      <c r="G103" s="25"/>
    </row>
    <row r="104" spans="1:15" ht="17.100000000000001" customHeight="1" x14ac:dyDescent="0.2">
      <c r="A104" s="22"/>
      <c r="B104" s="4" t="s">
        <v>981</v>
      </c>
      <c r="C104" s="24">
        <v>13.682700000000001</v>
      </c>
      <c r="D104" s="24">
        <v>13.946999999999999</v>
      </c>
      <c r="E104" s="22"/>
      <c r="F104" s="19"/>
      <c r="G104" s="25"/>
    </row>
    <row r="105" spans="1:15" ht="14.1" customHeight="1" x14ac:dyDescent="0.2">
      <c r="A105" s="22"/>
      <c r="B105" s="22"/>
      <c r="C105" s="22"/>
      <c r="D105" s="22"/>
      <c r="E105" s="22"/>
      <c r="F105" s="22"/>
      <c r="G105" s="22"/>
    </row>
    <row r="106" spans="1:15" ht="17.100000000000001" customHeight="1" x14ac:dyDescent="0.2">
      <c r="A106" s="22"/>
      <c r="B106" s="198" t="s">
        <v>982</v>
      </c>
      <c r="C106" s="199"/>
      <c r="D106" s="91" t="s">
        <v>128</v>
      </c>
      <c r="E106" s="22"/>
      <c r="F106" s="22"/>
      <c r="G106" s="22"/>
    </row>
    <row r="107" spans="1:15" ht="18" customHeight="1" x14ac:dyDescent="0.2">
      <c r="A107" s="22"/>
      <c r="B107" s="26"/>
      <c r="C107" s="26"/>
      <c r="D107" s="27"/>
      <c r="E107" s="22"/>
      <c r="F107" s="22"/>
      <c r="G107" s="22"/>
    </row>
    <row r="108" spans="1:15" s="113" customFormat="1" x14ac:dyDescent="0.2">
      <c r="B108" s="202" t="s">
        <v>984</v>
      </c>
      <c r="C108" s="202"/>
      <c r="D108" s="202"/>
      <c r="E108" s="202"/>
      <c r="F108" s="202"/>
      <c r="I108"/>
      <c r="J108"/>
      <c r="K108"/>
      <c r="L108"/>
      <c r="M108"/>
      <c r="N108"/>
      <c r="O108"/>
    </row>
    <row r="109" spans="1:15" ht="14.1" customHeight="1" x14ac:dyDescent="0.2">
      <c r="A109" s="22"/>
      <c r="B109" s="19"/>
      <c r="C109" s="19"/>
      <c r="D109" s="22"/>
      <c r="E109" s="22"/>
      <c r="F109" s="22"/>
      <c r="G109" s="22"/>
    </row>
    <row r="110" spans="1:15" ht="29.1" customHeight="1" x14ac:dyDescent="0.2">
      <c r="A110" s="22"/>
      <c r="B110" s="198" t="s">
        <v>138</v>
      </c>
      <c r="C110" s="199"/>
      <c r="D110" s="2" t="s">
        <v>128</v>
      </c>
      <c r="E110" s="22"/>
      <c r="F110" s="22"/>
      <c r="G110" s="22"/>
    </row>
    <row r="111" spans="1:15" ht="29.1" customHeight="1" x14ac:dyDescent="0.2">
      <c r="A111" s="22"/>
      <c r="B111" s="198" t="s">
        <v>139</v>
      </c>
      <c r="C111" s="199"/>
      <c r="D111" s="2" t="s">
        <v>128</v>
      </c>
      <c r="E111" s="22"/>
      <c r="F111" s="22"/>
      <c r="G111" s="22"/>
    </row>
    <row r="112" spans="1:15" ht="17.100000000000001" customHeight="1" x14ac:dyDescent="0.2">
      <c r="A112" s="22"/>
      <c r="B112" s="198" t="s">
        <v>140</v>
      </c>
      <c r="C112" s="199"/>
      <c r="D112" s="28">
        <v>0.82131644088495925</v>
      </c>
      <c r="E112" s="22"/>
      <c r="F112" s="19"/>
      <c r="G112" s="25"/>
    </row>
    <row r="113" spans="1:15" ht="17.100000000000001" customHeight="1" x14ac:dyDescent="0.2">
      <c r="A113" s="22"/>
      <c r="B113" s="198" t="s">
        <v>141</v>
      </c>
      <c r="C113" s="199"/>
      <c r="D113" s="2" t="s">
        <v>128</v>
      </c>
      <c r="E113" s="22"/>
      <c r="F113" s="22"/>
      <c r="G113" s="22"/>
    </row>
    <row r="115" spans="1:15" x14ac:dyDescent="0.2">
      <c r="I115" s="113"/>
      <c r="J115" s="113"/>
      <c r="K115" s="113"/>
      <c r="L115" s="113"/>
      <c r="M115" s="113"/>
      <c r="N115" s="113"/>
      <c r="O115" s="113"/>
    </row>
  </sheetData>
  <mergeCells count="16">
    <mergeCell ref="B113:C113"/>
    <mergeCell ref="B96:C96"/>
    <mergeCell ref="B97:C97"/>
    <mergeCell ref="B98:C98"/>
    <mergeCell ref="B106:C106"/>
    <mergeCell ref="B110:C110"/>
    <mergeCell ref="B111:C111"/>
    <mergeCell ref="B108:F108"/>
    <mergeCell ref="A1:H1"/>
    <mergeCell ref="A2:H2"/>
    <mergeCell ref="A3:H3"/>
    <mergeCell ref="J2:N2"/>
    <mergeCell ref="B112:C112"/>
    <mergeCell ref="B95:C95"/>
    <mergeCell ref="B92:F92"/>
    <mergeCell ref="B93:F93"/>
  </mergeCells>
  <pageMargins left="5.000000074505806E-2" right="5.000000074505806E-2" top="0.30000001192092896" bottom="0.20000000298023224" header="0" footer="0"/>
  <pageSetup paperSize="9" orientation="landscape"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O12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5" x14ac:dyDescent="0.2">
      <c r="A1" s="193" t="s">
        <v>0</v>
      </c>
      <c r="B1" s="193"/>
      <c r="C1" s="193"/>
      <c r="D1" s="193"/>
      <c r="E1" s="193"/>
      <c r="F1" s="193"/>
      <c r="G1" s="193"/>
      <c r="H1" s="193"/>
    </row>
    <row r="2" spans="1:14" ht="15" x14ac:dyDescent="0.2">
      <c r="A2" s="194" t="s">
        <v>730</v>
      </c>
      <c r="B2" s="195"/>
      <c r="C2" s="195"/>
      <c r="D2" s="195"/>
      <c r="E2" s="195"/>
      <c r="F2" s="195"/>
      <c r="G2" s="195"/>
      <c r="H2" s="196"/>
      <c r="J2" s="197" t="s">
        <v>1010</v>
      </c>
      <c r="K2" s="197"/>
      <c r="L2" s="197"/>
      <c r="M2" s="197"/>
      <c r="N2" s="197"/>
    </row>
    <row r="3" spans="1:14" ht="15" x14ac:dyDescent="0.2">
      <c r="A3" s="193" t="s">
        <v>934</v>
      </c>
      <c r="B3" s="193"/>
      <c r="C3" s="193"/>
      <c r="D3" s="193"/>
      <c r="E3" s="193"/>
      <c r="F3" s="193"/>
      <c r="G3" s="193"/>
      <c r="H3" s="193"/>
    </row>
    <row r="4" spans="1:14" s="119" customFormat="1" ht="30" x14ac:dyDescent="0.2">
      <c r="A4" s="118" t="s">
        <v>2</v>
      </c>
      <c r="B4" s="118" t="s">
        <v>3</v>
      </c>
      <c r="C4" s="118" t="s">
        <v>4</v>
      </c>
      <c r="D4" s="118" t="s">
        <v>5</v>
      </c>
      <c r="E4" s="118" t="s">
        <v>6</v>
      </c>
      <c r="F4" s="118" t="s">
        <v>7</v>
      </c>
      <c r="G4" s="118" t="s">
        <v>8</v>
      </c>
      <c r="H4" s="111" t="s">
        <v>970</v>
      </c>
    </row>
    <row r="5" spans="1:14" x14ac:dyDescent="0.2">
      <c r="A5" s="1"/>
      <c r="B5" s="1"/>
      <c r="C5" s="2" t="s">
        <v>9</v>
      </c>
      <c r="D5" s="1"/>
      <c r="E5" s="1"/>
      <c r="F5" s="1"/>
      <c r="G5" s="1"/>
      <c r="H5" s="112"/>
    </row>
    <row r="6" spans="1:14" ht="25.5" x14ac:dyDescent="0.2">
      <c r="A6" s="1"/>
      <c r="B6" s="1"/>
      <c r="C6" s="2" t="s">
        <v>10</v>
      </c>
      <c r="D6" s="1"/>
      <c r="E6" s="1"/>
      <c r="F6" s="1"/>
      <c r="G6" s="1"/>
      <c r="H6" s="112"/>
    </row>
    <row r="7" spans="1:14" x14ac:dyDescent="0.2">
      <c r="A7" s="3">
        <v>1</v>
      </c>
      <c r="B7" s="4" t="s">
        <v>418</v>
      </c>
      <c r="C7" s="4" t="s">
        <v>419</v>
      </c>
      <c r="D7" s="4" t="s">
        <v>19</v>
      </c>
      <c r="E7" s="5">
        <v>236846</v>
      </c>
      <c r="F7" s="6">
        <v>1189.322189</v>
      </c>
      <c r="G7" s="7">
        <v>7.1012249999999999E-2</v>
      </c>
      <c r="H7" s="112"/>
    </row>
    <row r="8" spans="1:14" x14ac:dyDescent="0.2">
      <c r="A8" s="3">
        <v>2</v>
      </c>
      <c r="B8" s="4" t="s">
        <v>17</v>
      </c>
      <c r="C8" s="4" t="s">
        <v>18</v>
      </c>
      <c r="D8" s="4" t="s">
        <v>19</v>
      </c>
      <c r="E8" s="5">
        <v>147898</v>
      </c>
      <c r="F8" s="6">
        <v>1186.215909</v>
      </c>
      <c r="G8" s="7">
        <v>7.0826780000000006E-2</v>
      </c>
      <c r="H8" s="112"/>
    </row>
    <row r="9" spans="1:14" x14ac:dyDescent="0.2">
      <c r="A9" s="3">
        <v>3</v>
      </c>
      <c r="B9" s="4" t="s">
        <v>14</v>
      </c>
      <c r="C9" s="4" t="s">
        <v>15</v>
      </c>
      <c r="D9" s="4" t="s">
        <v>16</v>
      </c>
      <c r="E9" s="5">
        <v>38413</v>
      </c>
      <c r="F9" s="6">
        <v>974.24971249999999</v>
      </c>
      <c r="G9" s="7">
        <v>5.8170666000000003E-2</v>
      </c>
      <c r="H9" s="112"/>
    </row>
    <row r="10" spans="1:14" x14ac:dyDescent="0.2">
      <c r="A10" s="3">
        <v>4</v>
      </c>
      <c r="B10" s="4" t="s">
        <v>11</v>
      </c>
      <c r="C10" s="4" t="s">
        <v>12</v>
      </c>
      <c r="D10" s="4" t="s">
        <v>13</v>
      </c>
      <c r="E10" s="5">
        <v>51804</v>
      </c>
      <c r="F10" s="6">
        <v>915.19536600000004</v>
      </c>
      <c r="G10" s="7">
        <v>5.4644640000000001E-2</v>
      </c>
      <c r="H10" s="112"/>
    </row>
    <row r="11" spans="1:14" x14ac:dyDescent="0.2">
      <c r="A11" s="3">
        <v>5</v>
      </c>
      <c r="B11" s="4" t="s">
        <v>322</v>
      </c>
      <c r="C11" s="4" t="s">
        <v>323</v>
      </c>
      <c r="D11" s="4" t="s">
        <v>19</v>
      </c>
      <c r="E11" s="5">
        <v>120791</v>
      </c>
      <c r="F11" s="6">
        <v>896.26922000000002</v>
      </c>
      <c r="G11" s="7">
        <v>5.3514593999999999E-2</v>
      </c>
      <c r="H11" s="112"/>
    </row>
    <row r="12" spans="1:14" ht="25.5" x14ac:dyDescent="0.2">
      <c r="A12" s="3">
        <v>6</v>
      </c>
      <c r="B12" s="4" t="s">
        <v>416</v>
      </c>
      <c r="C12" s="4" t="s">
        <v>417</v>
      </c>
      <c r="D12" s="4" t="s">
        <v>81</v>
      </c>
      <c r="E12" s="5">
        <v>29715</v>
      </c>
      <c r="F12" s="6">
        <v>845.30260499999997</v>
      </c>
      <c r="G12" s="7">
        <v>5.0471470999999997E-2</v>
      </c>
      <c r="H12" s="112"/>
    </row>
    <row r="13" spans="1:14" x14ac:dyDescent="0.2">
      <c r="A13" s="3">
        <v>7</v>
      </c>
      <c r="B13" s="4" t="s">
        <v>22</v>
      </c>
      <c r="C13" s="4" t="s">
        <v>23</v>
      </c>
      <c r="D13" s="4" t="s">
        <v>24</v>
      </c>
      <c r="E13" s="5">
        <v>117223</v>
      </c>
      <c r="F13" s="6">
        <v>803.38783049999995</v>
      </c>
      <c r="G13" s="7">
        <v>4.7968815999999997E-2</v>
      </c>
      <c r="H13" s="112"/>
    </row>
    <row r="14" spans="1:14" x14ac:dyDescent="0.2">
      <c r="A14" s="3">
        <v>8</v>
      </c>
      <c r="B14" s="4" t="s">
        <v>59</v>
      </c>
      <c r="C14" s="4" t="s">
        <v>60</v>
      </c>
      <c r="D14" s="4" t="s">
        <v>61</v>
      </c>
      <c r="E14" s="5">
        <v>337303</v>
      </c>
      <c r="F14" s="6">
        <v>502.07551549999999</v>
      </c>
      <c r="G14" s="7">
        <v>2.9978009999999999E-2</v>
      </c>
      <c r="H14" s="112"/>
    </row>
    <row r="15" spans="1:14" ht="25.5" x14ac:dyDescent="0.2">
      <c r="A15" s="3">
        <v>9</v>
      </c>
      <c r="B15" s="4" t="s">
        <v>443</v>
      </c>
      <c r="C15" s="4" t="s">
        <v>444</v>
      </c>
      <c r="D15" s="4" t="s">
        <v>192</v>
      </c>
      <c r="E15" s="5">
        <v>222259</v>
      </c>
      <c r="F15" s="6">
        <v>496.082088</v>
      </c>
      <c r="G15" s="7">
        <v>2.9620153E-2</v>
      </c>
      <c r="H15" s="112"/>
      <c r="J15" s="188" t="s">
        <v>1014</v>
      </c>
    </row>
    <row r="16" spans="1:14" x14ac:dyDescent="0.2">
      <c r="A16" s="3">
        <v>10</v>
      </c>
      <c r="B16" s="4" t="s">
        <v>316</v>
      </c>
      <c r="C16" s="4" t="s">
        <v>317</v>
      </c>
      <c r="D16" s="4" t="s">
        <v>19</v>
      </c>
      <c r="E16" s="5">
        <v>508830</v>
      </c>
      <c r="F16" s="6">
        <v>495.85483499999998</v>
      </c>
      <c r="G16" s="7">
        <v>2.9606583999999998E-2</v>
      </c>
      <c r="H16" s="112"/>
    </row>
    <row r="17" spans="1:8" x14ac:dyDescent="0.2">
      <c r="A17" s="3">
        <v>11</v>
      </c>
      <c r="B17" s="4" t="s">
        <v>35</v>
      </c>
      <c r="C17" s="4" t="s">
        <v>36</v>
      </c>
      <c r="D17" s="4" t="s">
        <v>16</v>
      </c>
      <c r="E17" s="5">
        <v>113768</v>
      </c>
      <c r="F17" s="6">
        <v>475.20893599999999</v>
      </c>
      <c r="G17" s="7">
        <v>2.8373855E-2</v>
      </c>
      <c r="H17" s="112"/>
    </row>
    <row r="18" spans="1:8" x14ac:dyDescent="0.2">
      <c r="A18" s="3">
        <v>12</v>
      </c>
      <c r="B18" s="4" t="s">
        <v>337</v>
      </c>
      <c r="C18" s="4" t="s">
        <v>338</v>
      </c>
      <c r="D18" s="4" t="s">
        <v>19</v>
      </c>
      <c r="E18" s="5">
        <v>467305</v>
      </c>
      <c r="F18" s="6">
        <v>455.62237499999998</v>
      </c>
      <c r="G18" s="7">
        <v>2.7204378000000001E-2</v>
      </c>
      <c r="H18" s="112"/>
    </row>
    <row r="19" spans="1:8" ht="25.5" x14ac:dyDescent="0.2">
      <c r="A19" s="3">
        <v>13</v>
      </c>
      <c r="B19" s="4" t="s">
        <v>726</v>
      </c>
      <c r="C19" s="4" t="s">
        <v>727</v>
      </c>
      <c r="D19" s="4" t="s">
        <v>81</v>
      </c>
      <c r="E19" s="5">
        <v>229311</v>
      </c>
      <c r="F19" s="6">
        <v>411.61324500000001</v>
      </c>
      <c r="G19" s="7">
        <v>2.4576673E-2</v>
      </c>
      <c r="H19" s="112"/>
    </row>
    <row r="20" spans="1:8" x14ac:dyDescent="0.2">
      <c r="A20" s="3">
        <v>14</v>
      </c>
      <c r="B20" s="4" t="s">
        <v>46</v>
      </c>
      <c r="C20" s="4" t="s">
        <v>47</v>
      </c>
      <c r="D20" s="4" t="s">
        <v>16</v>
      </c>
      <c r="E20" s="5">
        <v>260746</v>
      </c>
      <c r="F20" s="6">
        <v>333.62450699999999</v>
      </c>
      <c r="G20" s="7">
        <v>1.9920107999999999E-2</v>
      </c>
      <c r="H20" s="112"/>
    </row>
    <row r="21" spans="1:8" x14ac:dyDescent="0.2">
      <c r="A21" s="3">
        <v>15</v>
      </c>
      <c r="B21" s="4" t="s">
        <v>428</v>
      </c>
      <c r="C21" s="4" t="s">
        <v>429</v>
      </c>
      <c r="D21" s="4" t="s">
        <v>186</v>
      </c>
      <c r="E21" s="5">
        <v>41915</v>
      </c>
      <c r="F21" s="6">
        <v>333.22424999999998</v>
      </c>
      <c r="G21" s="7">
        <v>1.9896210000000001E-2</v>
      </c>
      <c r="H21" s="112"/>
    </row>
    <row r="22" spans="1:8" x14ac:dyDescent="0.2">
      <c r="A22" s="3">
        <v>16</v>
      </c>
      <c r="B22" s="4" t="s">
        <v>271</v>
      </c>
      <c r="C22" s="4" t="s">
        <v>272</v>
      </c>
      <c r="D22" s="4" t="s">
        <v>147</v>
      </c>
      <c r="E22" s="5">
        <v>50000</v>
      </c>
      <c r="F22" s="6">
        <v>325.3</v>
      </c>
      <c r="G22" s="7">
        <v>1.9423066999999999E-2</v>
      </c>
      <c r="H22" s="112"/>
    </row>
    <row r="23" spans="1:8" ht="25.5" x14ac:dyDescent="0.2">
      <c r="A23" s="3">
        <v>17</v>
      </c>
      <c r="B23" s="4" t="s">
        <v>92</v>
      </c>
      <c r="C23" s="4" t="s">
        <v>93</v>
      </c>
      <c r="D23" s="4" t="s">
        <v>45</v>
      </c>
      <c r="E23" s="5">
        <v>45102</v>
      </c>
      <c r="F23" s="6">
        <v>299.61258600000002</v>
      </c>
      <c r="G23" s="7">
        <v>1.7889319000000001E-2</v>
      </c>
      <c r="H23" s="112"/>
    </row>
    <row r="24" spans="1:8" x14ac:dyDescent="0.2">
      <c r="A24" s="1"/>
      <c r="B24" s="1"/>
      <c r="C24" s="2" t="s">
        <v>97</v>
      </c>
      <c r="D24" s="1"/>
      <c r="E24" s="1" t="s">
        <v>98</v>
      </c>
      <c r="F24" s="9">
        <v>10938.161169499999</v>
      </c>
      <c r="G24" s="10">
        <v>0.65309757400000001</v>
      </c>
      <c r="H24" s="112"/>
    </row>
    <row r="25" spans="1:8" x14ac:dyDescent="0.2">
      <c r="A25" s="1"/>
      <c r="B25" s="1"/>
      <c r="C25" s="11"/>
      <c r="D25" s="1"/>
      <c r="E25" s="1"/>
      <c r="F25" s="12"/>
      <c r="G25" s="12"/>
      <c r="H25" s="112"/>
    </row>
    <row r="26" spans="1:8" x14ac:dyDescent="0.2">
      <c r="A26" s="1"/>
      <c r="B26" s="1"/>
      <c r="C26" s="2" t="s">
        <v>99</v>
      </c>
      <c r="D26" s="1"/>
      <c r="E26" s="1"/>
      <c r="F26" s="1"/>
      <c r="G26" s="1"/>
      <c r="H26" s="112"/>
    </row>
    <row r="27" spans="1:8" x14ac:dyDescent="0.2">
      <c r="A27" s="1"/>
      <c r="B27" s="1"/>
      <c r="C27" s="2" t="s">
        <v>97</v>
      </c>
      <c r="D27" s="1"/>
      <c r="E27" s="1" t="s">
        <v>98</v>
      </c>
      <c r="F27" s="13">
        <v>0</v>
      </c>
      <c r="G27" s="14">
        <v>0</v>
      </c>
      <c r="H27" s="112"/>
    </row>
    <row r="28" spans="1:8" x14ac:dyDescent="0.2">
      <c r="A28" s="1"/>
      <c r="B28" s="1"/>
      <c r="C28" s="11"/>
      <c r="D28" s="1"/>
      <c r="E28" s="1"/>
      <c r="F28" s="12"/>
      <c r="G28" s="12"/>
      <c r="H28" s="112"/>
    </row>
    <row r="29" spans="1:8" x14ac:dyDescent="0.2">
      <c r="A29" s="1"/>
      <c r="B29" s="1"/>
      <c r="C29" s="2" t="s">
        <v>100</v>
      </c>
      <c r="D29" s="1"/>
      <c r="E29" s="1"/>
      <c r="F29" s="1"/>
      <c r="G29" s="1"/>
      <c r="H29" s="112"/>
    </row>
    <row r="30" spans="1:8" x14ac:dyDescent="0.2">
      <c r="A30" s="1"/>
      <c r="B30" s="1"/>
      <c r="C30" s="2" t="s">
        <v>97</v>
      </c>
      <c r="D30" s="1"/>
      <c r="E30" s="1" t="s">
        <v>98</v>
      </c>
      <c r="F30" s="13">
        <v>0</v>
      </c>
      <c r="G30" s="14">
        <v>0</v>
      </c>
      <c r="H30" s="112"/>
    </row>
    <row r="31" spans="1:8" x14ac:dyDescent="0.2">
      <c r="A31" s="1"/>
      <c r="B31" s="1"/>
      <c r="C31" s="11"/>
      <c r="D31" s="1"/>
      <c r="E31" s="1"/>
      <c r="F31" s="12"/>
      <c r="G31" s="12"/>
      <c r="H31" s="112"/>
    </row>
    <row r="32" spans="1:8" x14ac:dyDescent="0.2">
      <c r="A32" s="1"/>
      <c r="B32" s="1"/>
      <c r="C32" s="2" t="s">
        <v>101</v>
      </c>
      <c r="D32" s="1"/>
      <c r="E32" s="1"/>
      <c r="F32" s="1"/>
      <c r="G32" s="1"/>
      <c r="H32" s="112"/>
    </row>
    <row r="33" spans="1:8" x14ac:dyDescent="0.2">
      <c r="A33" s="1"/>
      <c r="B33" s="1"/>
      <c r="C33" s="2" t="s">
        <v>97</v>
      </c>
      <c r="D33" s="1"/>
      <c r="E33" s="1" t="s">
        <v>98</v>
      </c>
      <c r="F33" s="13">
        <v>0</v>
      </c>
      <c r="G33" s="14">
        <v>0</v>
      </c>
      <c r="H33" s="112"/>
    </row>
    <row r="34" spans="1:8" x14ac:dyDescent="0.2">
      <c r="A34" s="1"/>
      <c r="B34" s="1"/>
      <c r="C34" s="11"/>
      <c r="D34" s="1"/>
      <c r="E34" s="1"/>
      <c r="F34" s="12"/>
      <c r="G34" s="12"/>
      <c r="H34" s="112"/>
    </row>
    <row r="35" spans="1:8" x14ac:dyDescent="0.2">
      <c r="A35" s="1"/>
      <c r="B35" s="1"/>
      <c r="C35" s="2" t="s">
        <v>102</v>
      </c>
      <c r="D35" s="1"/>
      <c r="E35" s="1"/>
      <c r="F35" s="12"/>
      <c r="G35" s="12"/>
      <c r="H35" s="112"/>
    </row>
    <row r="36" spans="1:8" x14ac:dyDescent="0.2">
      <c r="A36" s="1"/>
      <c r="B36" s="1"/>
      <c r="C36" s="2" t="s">
        <v>97</v>
      </c>
      <c r="D36" s="1"/>
      <c r="E36" s="1" t="s">
        <v>98</v>
      </c>
      <c r="F36" s="13">
        <v>0</v>
      </c>
      <c r="G36" s="14">
        <v>0</v>
      </c>
      <c r="H36" s="112"/>
    </row>
    <row r="37" spans="1:8" x14ac:dyDescent="0.2">
      <c r="A37" s="1"/>
      <c r="B37" s="1"/>
      <c r="C37" s="11"/>
      <c r="D37" s="1"/>
      <c r="E37" s="1"/>
      <c r="F37" s="12"/>
      <c r="G37" s="12"/>
      <c r="H37" s="112"/>
    </row>
    <row r="38" spans="1:8" x14ac:dyDescent="0.2">
      <c r="A38" s="1"/>
      <c r="B38" s="1"/>
      <c r="C38" s="2" t="s">
        <v>103</v>
      </c>
      <c r="D38" s="1"/>
      <c r="E38" s="1"/>
      <c r="F38" s="12"/>
      <c r="G38" s="12"/>
      <c r="H38" s="112"/>
    </row>
    <row r="39" spans="1:8" x14ac:dyDescent="0.2">
      <c r="A39" s="1"/>
      <c r="B39" s="1"/>
      <c r="C39" s="2" t="s">
        <v>97</v>
      </c>
      <c r="D39" s="1"/>
      <c r="E39" s="1" t="s">
        <v>98</v>
      </c>
      <c r="F39" s="13">
        <v>0</v>
      </c>
      <c r="G39" s="14">
        <v>0</v>
      </c>
      <c r="H39" s="112"/>
    </row>
    <row r="40" spans="1:8" x14ac:dyDescent="0.2">
      <c r="A40" s="1"/>
      <c r="B40" s="1"/>
      <c r="C40" s="11"/>
      <c r="D40" s="1"/>
      <c r="E40" s="1"/>
      <c r="F40" s="12"/>
      <c r="G40" s="12"/>
      <c r="H40" s="112"/>
    </row>
    <row r="41" spans="1:8" x14ac:dyDescent="0.2">
      <c r="A41" s="1"/>
      <c r="B41" s="1"/>
      <c r="C41" s="2" t="s">
        <v>104</v>
      </c>
      <c r="D41" s="1"/>
      <c r="E41" s="1"/>
      <c r="F41" s="9">
        <v>10938.161169499999</v>
      </c>
      <c r="G41" s="10">
        <v>0.65309757400000001</v>
      </c>
      <c r="H41" s="112"/>
    </row>
    <row r="42" spans="1:8" x14ac:dyDescent="0.2">
      <c r="A42" s="1"/>
      <c r="B42" s="1"/>
      <c r="C42" s="11"/>
      <c r="D42" s="1"/>
      <c r="E42" s="1"/>
      <c r="F42" s="12"/>
      <c r="G42" s="12"/>
      <c r="H42" s="112"/>
    </row>
    <row r="43" spans="1:8" x14ac:dyDescent="0.2">
      <c r="A43" s="1"/>
      <c r="B43" s="1"/>
      <c r="C43" s="2" t="s">
        <v>105</v>
      </c>
      <c r="D43" s="1"/>
      <c r="E43" s="1"/>
      <c r="F43" s="12"/>
      <c r="G43" s="12"/>
      <c r="H43" s="112"/>
    </row>
    <row r="44" spans="1:8" ht="25.5" x14ac:dyDescent="0.2">
      <c r="A44" s="1"/>
      <c r="B44" s="1"/>
      <c r="C44" s="2" t="s">
        <v>10</v>
      </c>
      <c r="D44" s="1"/>
      <c r="E44" s="1"/>
      <c r="F44" s="12"/>
      <c r="G44" s="12"/>
      <c r="H44" s="112"/>
    </row>
    <row r="45" spans="1:8" x14ac:dyDescent="0.2">
      <c r="A45" s="1"/>
      <c r="B45" s="1"/>
      <c r="C45" s="2" t="s">
        <v>97</v>
      </c>
      <c r="D45" s="1"/>
      <c r="E45" s="1" t="s">
        <v>98</v>
      </c>
      <c r="F45" s="13">
        <v>0</v>
      </c>
      <c r="G45" s="14">
        <v>0</v>
      </c>
      <c r="H45" s="112"/>
    </row>
    <row r="46" spans="1:8" x14ac:dyDescent="0.2">
      <c r="A46" s="1"/>
      <c r="B46" s="1"/>
      <c r="C46" s="11"/>
      <c r="D46" s="1"/>
      <c r="E46" s="1"/>
      <c r="F46" s="12"/>
      <c r="G46" s="12"/>
      <c r="H46" s="112"/>
    </row>
    <row r="47" spans="1:8" x14ac:dyDescent="0.2">
      <c r="A47" s="1"/>
      <c r="B47" s="1"/>
      <c r="C47" s="2" t="s">
        <v>106</v>
      </c>
      <c r="D47" s="1"/>
      <c r="E47" s="1"/>
      <c r="F47" s="1"/>
      <c r="G47" s="1"/>
      <c r="H47" s="112"/>
    </row>
    <row r="48" spans="1:8" x14ac:dyDescent="0.2">
      <c r="A48" s="1"/>
      <c r="B48" s="1"/>
      <c r="C48" s="2" t="s">
        <v>97</v>
      </c>
      <c r="D48" s="1"/>
      <c r="E48" s="1" t="s">
        <v>98</v>
      </c>
      <c r="F48" s="13">
        <v>0</v>
      </c>
      <c r="G48" s="14">
        <v>0</v>
      </c>
      <c r="H48" s="112"/>
    </row>
    <row r="49" spans="1:15" x14ac:dyDescent="0.2">
      <c r="A49" s="1"/>
      <c r="B49" s="1"/>
      <c r="C49" s="11"/>
      <c r="D49" s="1"/>
      <c r="E49" s="1"/>
      <c r="F49" s="12"/>
      <c r="G49" s="12"/>
      <c r="H49" s="112"/>
    </row>
    <row r="50" spans="1:15" x14ac:dyDescent="0.2">
      <c r="A50" s="1"/>
      <c r="B50" s="1"/>
      <c r="C50" s="2" t="s">
        <v>107</v>
      </c>
      <c r="D50" s="1"/>
      <c r="E50" s="1"/>
      <c r="F50" s="1"/>
      <c r="G50" s="1"/>
      <c r="H50" s="112"/>
    </row>
    <row r="51" spans="1:15" ht="15" x14ac:dyDescent="0.2">
      <c r="A51" s="1"/>
      <c r="B51" s="1"/>
      <c r="C51" s="2" t="s">
        <v>97</v>
      </c>
      <c r="D51" s="1"/>
      <c r="E51" s="1" t="s">
        <v>98</v>
      </c>
      <c r="F51" s="13">
        <v>0</v>
      </c>
      <c r="G51" s="14">
        <v>0</v>
      </c>
      <c r="H51" s="112"/>
      <c r="I51" s="189"/>
      <c r="J51" s="189"/>
      <c r="K51" s="189"/>
      <c r="L51" s="189"/>
      <c r="M51" s="189"/>
      <c r="N51" s="189"/>
      <c r="O51" s="189"/>
    </row>
    <row r="52" spans="1:15" x14ac:dyDescent="0.2">
      <c r="A52" s="1"/>
      <c r="B52" s="1"/>
      <c r="C52" s="11"/>
      <c r="D52" s="1"/>
      <c r="E52" s="1"/>
      <c r="F52" s="12"/>
      <c r="G52" s="12"/>
      <c r="H52" s="112"/>
    </row>
    <row r="53" spans="1:15" x14ac:dyDescent="0.2">
      <c r="A53" s="1"/>
      <c r="B53" s="1"/>
      <c r="C53" s="2" t="s">
        <v>108</v>
      </c>
      <c r="D53" s="1"/>
      <c r="E53" s="1"/>
      <c r="F53" s="12"/>
      <c r="G53" s="12"/>
      <c r="H53" s="112"/>
    </row>
    <row r="54" spans="1:15" x14ac:dyDescent="0.2">
      <c r="A54" s="1"/>
      <c r="B54" s="1"/>
      <c r="C54" s="2" t="s">
        <v>97</v>
      </c>
      <c r="D54" s="1"/>
      <c r="E54" s="1" t="s">
        <v>98</v>
      </c>
      <c r="F54" s="13">
        <v>0</v>
      </c>
      <c r="G54" s="14">
        <v>0</v>
      </c>
      <c r="H54" s="112"/>
    </row>
    <row r="55" spans="1:15" x14ac:dyDescent="0.2">
      <c r="A55" s="1"/>
      <c r="B55" s="1"/>
      <c r="C55" s="11"/>
      <c r="D55" s="1"/>
      <c r="E55" s="1"/>
      <c r="F55" s="12"/>
      <c r="G55" s="12"/>
      <c r="H55" s="112"/>
    </row>
    <row r="56" spans="1:15" x14ac:dyDescent="0.2">
      <c r="A56" s="1"/>
      <c r="B56" s="1"/>
      <c r="C56" s="2" t="s">
        <v>109</v>
      </c>
      <c r="D56" s="1"/>
      <c r="E56" s="1"/>
      <c r="F56" s="9">
        <v>0</v>
      </c>
      <c r="G56" s="10">
        <v>0</v>
      </c>
      <c r="H56" s="112"/>
    </row>
    <row r="57" spans="1:15" x14ac:dyDescent="0.2">
      <c r="A57" s="1"/>
      <c r="B57" s="1"/>
      <c r="C57" s="11"/>
      <c r="D57" s="1"/>
      <c r="E57" s="1"/>
      <c r="F57" s="12"/>
      <c r="G57" s="12"/>
      <c r="H57" s="112"/>
    </row>
    <row r="58" spans="1:15" x14ac:dyDescent="0.2">
      <c r="A58" s="1"/>
      <c r="B58" s="1"/>
      <c r="C58" s="2" t="s">
        <v>110</v>
      </c>
      <c r="D58" s="1"/>
      <c r="E58" s="1"/>
      <c r="F58" s="12"/>
      <c r="G58" s="12"/>
      <c r="H58" s="112"/>
    </row>
    <row r="59" spans="1:15" x14ac:dyDescent="0.2">
      <c r="A59" s="1"/>
      <c r="B59" s="1"/>
      <c r="C59" s="2" t="s">
        <v>111</v>
      </c>
      <c r="D59" s="1"/>
      <c r="E59" s="1"/>
      <c r="F59" s="12"/>
      <c r="G59" s="12"/>
      <c r="H59" s="112"/>
    </row>
    <row r="60" spans="1:15" x14ac:dyDescent="0.2">
      <c r="A60" s="1"/>
      <c r="B60" s="1"/>
      <c r="C60" s="2" t="s">
        <v>97</v>
      </c>
      <c r="D60" s="1"/>
      <c r="E60" s="1" t="s">
        <v>98</v>
      </c>
      <c r="F60" s="13">
        <v>0</v>
      </c>
      <c r="G60" s="14">
        <v>0</v>
      </c>
      <c r="H60" s="112"/>
    </row>
    <row r="61" spans="1:15" x14ac:dyDescent="0.2">
      <c r="A61" s="1"/>
      <c r="B61" s="1"/>
      <c r="C61" s="11"/>
      <c r="D61" s="1"/>
      <c r="E61" s="1"/>
      <c r="F61" s="12"/>
      <c r="G61" s="12"/>
      <c r="H61" s="112"/>
    </row>
    <row r="62" spans="1:15" x14ac:dyDescent="0.2">
      <c r="A62" s="1"/>
      <c r="B62" s="1"/>
      <c r="C62" s="2" t="s">
        <v>112</v>
      </c>
      <c r="D62" s="1"/>
      <c r="E62" s="1"/>
      <c r="F62" s="12"/>
      <c r="G62" s="12"/>
      <c r="H62" s="112"/>
    </row>
    <row r="63" spans="1:15" x14ac:dyDescent="0.2">
      <c r="A63" s="1"/>
      <c r="B63" s="1"/>
      <c r="C63" s="2" t="s">
        <v>97</v>
      </c>
      <c r="D63" s="1"/>
      <c r="E63" s="1" t="s">
        <v>98</v>
      </c>
      <c r="F63" s="13">
        <v>0</v>
      </c>
      <c r="G63" s="14">
        <v>0</v>
      </c>
      <c r="H63" s="112"/>
    </row>
    <row r="64" spans="1:15" x14ac:dyDescent="0.2">
      <c r="A64" s="1"/>
      <c r="B64" s="1"/>
      <c r="C64" s="11"/>
      <c r="D64" s="1"/>
      <c r="E64" s="1"/>
      <c r="F64" s="12"/>
      <c r="G64" s="12"/>
      <c r="H64" s="112"/>
    </row>
    <row r="65" spans="1:8" x14ac:dyDescent="0.2">
      <c r="A65" s="1"/>
      <c r="B65" s="1"/>
      <c r="C65" s="2" t="s">
        <v>113</v>
      </c>
      <c r="D65" s="1"/>
      <c r="E65" s="1"/>
      <c r="F65" s="12"/>
      <c r="G65" s="12"/>
      <c r="H65" s="112"/>
    </row>
    <row r="66" spans="1:8" x14ac:dyDescent="0.2">
      <c r="A66" s="1"/>
      <c r="B66" s="1"/>
      <c r="C66" s="2" t="s">
        <v>97</v>
      </c>
      <c r="D66" s="1"/>
      <c r="E66" s="1" t="s">
        <v>98</v>
      </c>
      <c r="F66" s="13">
        <v>0</v>
      </c>
      <c r="G66" s="14">
        <v>0</v>
      </c>
      <c r="H66" s="112"/>
    </row>
    <row r="67" spans="1:8" x14ac:dyDescent="0.2">
      <c r="A67" s="1"/>
      <c r="B67" s="1"/>
      <c r="C67" s="11"/>
      <c r="D67" s="1"/>
      <c r="E67" s="1"/>
      <c r="F67" s="12"/>
      <c r="G67" s="12"/>
      <c r="H67" s="112"/>
    </row>
    <row r="68" spans="1:8" x14ac:dyDescent="0.2">
      <c r="A68" s="1"/>
      <c r="B68" s="1"/>
      <c r="C68" s="2" t="s">
        <v>114</v>
      </c>
      <c r="D68" s="1"/>
      <c r="E68" s="1"/>
      <c r="F68" s="12"/>
      <c r="G68" s="12"/>
      <c r="H68" s="112"/>
    </row>
    <row r="69" spans="1:8" x14ac:dyDescent="0.2">
      <c r="A69" s="3">
        <v>1</v>
      </c>
      <c r="B69" s="4"/>
      <c r="C69" s="4" t="s">
        <v>115</v>
      </c>
      <c r="D69" s="4"/>
      <c r="E69" s="8"/>
      <c r="F69" s="6">
        <v>2581.2141553804372</v>
      </c>
      <c r="G69" s="7">
        <v>0.15411957099156395</v>
      </c>
      <c r="H69" s="6">
        <v>3.3211324282253978</v>
      </c>
    </row>
    <row r="70" spans="1:8" x14ac:dyDescent="0.2">
      <c r="A70" s="3">
        <v>2</v>
      </c>
      <c r="B70" s="4"/>
      <c r="C70" s="4" t="s">
        <v>116</v>
      </c>
      <c r="D70" s="4"/>
      <c r="E70" s="8"/>
      <c r="F70" s="6">
        <v>1013.9614224901657</v>
      </c>
      <c r="G70" s="7">
        <v>6.0541779964455499E-2</v>
      </c>
      <c r="H70" s="6">
        <v>3.35</v>
      </c>
    </row>
    <row r="71" spans="1:8" x14ac:dyDescent="0.2">
      <c r="A71" s="1"/>
      <c r="B71" s="1"/>
      <c r="C71" s="2" t="s">
        <v>97</v>
      </c>
      <c r="D71" s="1"/>
      <c r="E71" s="1" t="s">
        <v>98</v>
      </c>
      <c r="F71" s="9">
        <v>3595.1755778706029</v>
      </c>
      <c r="G71" s="10">
        <v>0.21466135095601946</v>
      </c>
      <c r="H71" s="112"/>
    </row>
    <row r="72" spans="1:8" x14ac:dyDescent="0.2">
      <c r="A72" s="1"/>
      <c r="B72" s="1"/>
      <c r="C72" s="11"/>
      <c r="D72" s="1"/>
      <c r="E72" s="1"/>
      <c r="F72" s="12"/>
      <c r="G72" s="12"/>
      <c r="H72" s="112"/>
    </row>
    <row r="73" spans="1:8" x14ac:dyDescent="0.2">
      <c r="A73" s="1"/>
      <c r="B73" s="1"/>
      <c r="C73" s="2" t="s">
        <v>117</v>
      </c>
      <c r="D73" s="1"/>
      <c r="E73" s="1"/>
      <c r="F73" s="9">
        <v>3595.1755778706029</v>
      </c>
      <c r="G73" s="10">
        <v>0.21466135095601946</v>
      </c>
      <c r="H73" s="112"/>
    </row>
    <row r="74" spans="1:8" x14ac:dyDescent="0.2">
      <c r="A74" s="1"/>
      <c r="B74" s="1"/>
      <c r="C74" s="12"/>
      <c r="D74" s="1"/>
      <c r="E74" s="1"/>
      <c r="F74" s="1"/>
      <c r="G74" s="1"/>
      <c r="H74" s="112"/>
    </row>
    <row r="75" spans="1:8" x14ac:dyDescent="0.2">
      <c r="A75" s="1"/>
      <c r="B75" s="1"/>
      <c r="C75" s="2" t="s">
        <v>118</v>
      </c>
      <c r="D75" s="1"/>
      <c r="E75" s="1"/>
      <c r="F75" s="1"/>
      <c r="G75" s="1"/>
      <c r="H75" s="112"/>
    </row>
    <row r="76" spans="1:8" x14ac:dyDescent="0.2">
      <c r="A76" s="1"/>
      <c r="B76" s="1"/>
      <c r="C76" s="2" t="s">
        <v>119</v>
      </c>
      <c r="D76" s="1"/>
      <c r="E76" s="1"/>
      <c r="F76" s="1"/>
      <c r="G76" s="1"/>
      <c r="H76" s="112"/>
    </row>
    <row r="77" spans="1:8" x14ac:dyDescent="0.2">
      <c r="A77" s="1"/>
      <c r="B77" s="1"/>
      <c r="C77" s="2" t="s">
        <v>97</v>
      </c>
      <c r="D77" s="1"/>
      <c r="E77" s="1" t="s">
        <v>98</v>
      </c>
      <c r="F77" s="13">
        <v>0</v>
      </c>
      <c r="G77" s="14">
        <v>0</v>
      </c>
      <c r="H77" s="112"/>
    </row>
    <row r="78" spans="1:8" x14ac:dyDescent="0.2">
      <c r="A78" s="1"/>
      <c r="B78" s="1"/>
      <c r="C78" s="11"/>
      <c r="D78" s="1"/>
      <c r="E78" s="1"/>
      <c r="F78" s="12"/>
      <c r="G78" s="12"/>
      <c r="H78" s="112"/>
    </row>
    <row r="79" spans="1:8" x14ac:dyDescent="0.2">
      <c r="A79" s="1"/>
      <c r="B79" s="1"/>
      <c r="C79" s="2" t="s">
        <v>120</v>
      </c>
      <c r="D79" s="1"/>
      <c r="E79" s="1"/>
      <c r="F79" s="1"/>
      <c r="G79" s="1"/>
      <c r="H79" s="112"/>
    </row>
    <row r="80" spans="1:8" x14ac:dyDescent="0.2">
      <c r="A80" s="1"/>
      <c r="B80" s="1"/>
      <c r="C80" s="2" t="s">
        <v>121</v>
      </c>
      <c r="D80" s="1"/>
      <c r="E80" s="1"/>
      <c r="F80" s="1"/>
      <c r="G80" s="1"/>
      <c r="H80" s="112"/>
    </row>
    <row r="81" spans="1:8" x14ac:dyDescent="0.2">
      <c r="A81" s="1"/>
      <c r="B81" s="1"/>
      <c r="C81" s="2" t="s">
        <v>97</v>
      </c>
      <c r="D81" s="1"/>
      <c r="E81" s="1" t="s">
        <v>98</v>
      </c>
      <c r="F81" s="13">
        <v>0</v>
      </c>
      <c r="G81" s="14">
        <v>0</v>
      </c>
      <c r="H81" s="112"/>
    </row>
    <row r="82" spans="1:8" x14ac:dyDescent="0.2">
      <c r="A82" s="1"/>
      <c r="B82" s="1"/>
      <c r="C82" s="11"/>
      <c r="D82" s="1"/>
      <c r="E82" s="1"/>
      <c r="F82" s="12"/>
      <c r="G82" s="12"/>
      <c r="H82" s="112"/>
    </row>
    <row r="83" spans="1:8" x14ac:dyDescent="0.2">
      <c r="A83" s="1"/>
      <c r="B83" s="1"/>
      <c r="C83" s="11"/>
      <c r="D83" s="1"/>
      <c r="E83" s="1"/>
      <c r="F83" s="12"/>
      <c r="G83" s="12"/>
      <c r="H83" s="112"/>
    </row>
    <row r="84" spans="1:8" ht="25.5" x14ac:dyDescent="0.2">
      <c r="A84" s="1"/>
      <c r="B84" s="1"/>
      <c r="C84" s="2" t="s">
        <v>122</v>
      </c>
      <c r="D84" s="1"/>
      <c r="E84" s="1"/>
      <c r="F84" s="12"/>
      <c r="G84" s="12"/>
      <c r="H84" s="112"/>
    </row>
    <row r="85" spans="1:8" x14ac:dyDescent="0.2">
      <c r="A85" s="1"/>
      <c r="B85" s="1"/>
      <c r="C85" s="2" t="s">
        <v>97</v>
      </c>
      <c r="D85" s="1"/>
      <c r="E85" s="1" t="s">
        <v>98</v>
      </c>
      <c r="F85" s="13">
        <v>0</v>
      </c>
      <c r="G85" s="14">
        <v>0</v>
      </c>
      <c r="H85" s="112"/>
    </row>
    <row r="86" spans="1:8" x14ac:dyDescent="0.2">
      <c r="A86" s="1"/>
      <c r="B86" s="1"/>
      <c r="C86" s="11"/>
      <c r="D86" s="1"/>
      <c r="E86" s="1"/>
      <c r="F86" s="12"/>
      <c r="G86" s="12"/>
      <c r="H86" s="112"/>
    </row>
    <row r="87" spans="1:8" x14ac:dyDescent="0.2">
      <c r="A87" s="1"/>
      <c r="B87" s="4"/>
      <c r="C87" s="4"/>
      <c r="D87" s="2"/>
      <c r="E87" s="1"/>
      <c r="F87" s="4"/>
      <c r="G87" s="8"/>
      <c r="H87" s="112"/>
    </row>
    <row r="88" spans="1:8" x14ac:dyDescent="0.2">
      <c r="A88" s="8"/>
      <c r="B88" s="4"/>
      <c r="C88" s="4" t="s">
        <v>123</v>
      </c>
      <c r="D88" s="4"/>
      <c r="E88" s="8"/>
      <c r="F88" s="6">
        <v>2214.7902995293971</v>
      </c>
      <c r="G88" s="7">
        <v>0.13224107348405531</v>
      </c>
      <c r="H88" s="112"/>
    </row>
    <row r="89" spans="1:8" x14ac:dyDescent="0.2">
      <c r="A89" s="11"/>
      <c r="B89" s="11"/>
      <c r="C89" s="2" t="s">
        <v>124</v>
      </c>
      <c r="D89" s="15"/>
      <c r="E89" s="15"/>
      <c r="F89" s="9">
        <v>16748.127046900001</v>
      </c>
      <c r="G89" s="10">
        <v>0.99999999844007481</v>
      </c>
      <c r="H89" s="112"/>
    </row>
    <row r="90" spans="1:8" ht="14.1" customHeight="1" x14ac:dyDescent="0.2">
      <c r="A90" s="16"/>
      <c r="B90" s="16"/>
      <c r="C90" s="16"/>
      <c r="D90" s="17"/>
      <c r="E90" s="17"/>
      <c r="F90" s="17"/>
      <c r="G90" s="17"/>
    </row>
    <row r="91" spans="1:8" ht="14.1" customHeight="1" x14ac:dyDescent="0.2">
      <c r="A91" s="18"/>
      <c r="B91" s="18"/>
      <c r="C91" s="18"/>
      <c r="D91" s="20"/>
      <c r="E91" s="20"/>
      <c r="F91" s="20"/>
      <c r="G91" s="20"/>
    </row>
    <row r="92" spans="1:8" ht="14.1" customHeight="1" x14ac:dyDescent="0.2">
      <c r="A92" s="18"/>
      <c r="B92" s="203" t="s">
        <v>126</v>
      </c>
      <c r="C92" s="204"/>
      <c r="D92" s="12" t="s">
        <v>98</v>
      </c>
      <c r="E92" s="21"/>
      <c r="F92" s="20"/>
      <c r="G92" s="20"/>
    </row>
    <row r="93" spans="1:8" ht="29.1" customHeight="1" x14ac:dyDescent="0.2">
      <c r="A93" s="18"/>
      <c r="B93" s="198" t="s">
        <v>127</v>
      </c>
      <c r="C93" s="199"/>
      <c r="D93" s="2" t="s">
        <v>128</v>
      </c>
      <c r="E93" s="21"/>
      <c r="F93" s="20"/>
      <c r="G93" s="20"/>
    </row>
    <row r="94" spans="1:8" ht="17.100000000000001" customHeight="1" x14ac:dyDescent="0.2">
      <c r="A94" s="18"/>
      <c r="B94" s="198" t="s">
        <v>129</v>
      </c>
      <c r="C94" s="199"/>
      <c r="D94" s="2" t="s">
        <v>128</v>
      </c>
      <c r="E94" s="21"/>
      <c r="F94" s="20"/>
      <c r="G94" s="20"/>
    </row>
    <row r="95" spans="1:8" ht="17.100000000000001" customHeight="1" x14ac:dyDescent="0.2">
      <c r="A95" s="18"/>
      <c r="B95" s="198" t="s">
        <v>130</v>
      </c>
      <c r="C95" s="199"/>
      <c r="D95" s="12" t="s">
        <v>98</v>
      </c>
      <c r="E95" s="21"/>
      <c r="F95" s="20"/>
      <c r="G95" s="20"/>
    </row>
    <row r="96" spans="1:8" ht="24" customHeight="1" x14ac:dyDescent="0.2">
      <c r="A96" s="22"/>
      <c r="B96" s="23" t="s">
        <v>98</v>
      </c>
      <c r="C96" s="23" t="s">
        <v>131</v>
      </c>
      <c r="D96" s="23" t="s">
        <v>132</v>
      </c>
      <c r="E96" s="22"/>
      <c r="F96" s="22"/>
      <c r="G96" s="22"/>
    </row>
    <row r="97" spans="1:15" ht="18" customHeight="1" x14ac:dyDescent="0.2">
      <c r="A97" s="22"/>
      <c r="B97" s="23" t="s">
        <v>133</v>
      </c>
      <c r="C97" s="23" t="s">
        <v>134</v>
      </c>
      <c r="D97" s="23" t="s">
        <v>135</v>
      </c>
      <c r="E97" s="22"/>
      <c r="F97" s="22"/>
      <c r="G97" s="22"/>
    </row>
    <row r="98" spans="1:15" ht="17.100000000000001" customHeight="1" x14ac:dyDescent="0.2">
      <c r="A98" s="22"/>
      <c r="B98" s="4" t="s">
        <v>136</v>
      </c>
      <c r="C98" s="24">
        <v>16.694500000000001</v>
      </c>
      <c r="D98" s="24">
        <v>17.123200000000001</v>
      </c>
      <c r="E98" s="22"/>
      <c r="F98" s="19"/>
      <c r="G98" s="25"/>
    </row>
    <row r="99" spans="1:15" ht="17.100000000000001" customHeight="1" x14ac:dyDescent="0.2">
      <c r="A99" s="22"/>
      <c r="B99" s="4" t="s">
        <v>980</v>
      </c>
      <c r="C99" s="24">
        <v>14.5085</v>
      </c>
      <c r="D99" s="24">
        <v>14.8811</v>
      </c>
      <c r="E99" s="22"/>
      <c r="F99" s="19"/>
      <c r="G99" s="25"/>
    </row>
    <row r="100" spans="1:15" ht="17.100000000000001" customHeight="1" x14ac:dyDescent="0.2">
      <c r="A100" s="22"/>
      <c r="B100" s="4" t="s">
        <v>137</v>
      </c>
      <c r="C100" s="24">
        <v>16.0291</v>
      </c>
      <c r="D100" s="24">
        <v>16.431999999999999</v>
      </c>
      <c r="E100" s="22"/>
      <c r="F100" s="19"/>
      <c r="G100" s="25"/>
    </row>
    <row r="101" spans="1:15" ht="17.100000000000001" customHeight="1" x14ac:dyDescent="0.2">
      <c r="A101" s="22"/>
      <c r="B101" s="4" t="s">
        <v>981</v>
      </c>
      <c r="C101" s="24">
        <v>14.324400000000001</v>
      </c>
      <c r="D101" s="24">
        <v>14.6844</v>
      </c>
      <c r="E101" s="22"/>
      <c r="F101" s="19"/>
      <c r="G101" s="25"/>
    </row>
    <row r="102" spans="1:15" ht="14.1" customHeight="1" x14ac:dyDescent="0.2">
      <c r="A102" s="22"/>
      <c r="B102" s="22"/>
      <c r="C102" s="22"/>
      <c r="D102" s="22"/>
      <c r="E102" s="22"/>
      <c r="F102" s="22"/>
      <c r="G102" s="22"/>
    </row>
    <row r="103" spans="1:15" ht="17.100000000000001" customHeight="1" x14ac:dyDescent="0.2">
      <c r="A103" s="22"/>
      <c r="B103" s="198" t="s">
        <v>982</v>
      </c>
      <c r="C103" s="199"/>
      <c r="D103" s="91" t="s">
        <v>128</v>
      </c>
      <c r="E103" s="22"/>
      <c r="F103" s="22"/>
      <c r="G103" s="22"/>
    </row>
    <row r="104" spans="1:15" ht="18" customHeight="1" x14ac:dyDescent="0.2">
      <c r="A104" s="22"/>
      <c r="B104" s="26"/>
      <c r="C104" s="26"/>
      <c r="D104" s="27"/>
      <c r="E104" s="22"/>
      <c r="F104" s="22"/>
      <c r="G104" s="22"/>
    </row>
    <row r="105" spans="1:15" s="113" customFormat="1" x14ac:dyDescent="0.2">
      <c r="B105" s="202" t="s">
        <v>984</v>
      </c>
      <c r="C105" s="202"/>
      <c r="D105" s="202"/>
      <c r="E105" s="202"/>
      <c r="F105" s="202"/>
      <c r="I105"/>
      <c r="J105"/>
      <c r="K105"/>
      <c r="L105"/>
      <c r="M105"/>
      <c r="N105"/>
      <c r="O105"/>
    </row>
    <row r="106" spans="1:15" ht="14.1" customHeight="1" x14ac:dyDescent="0.2">
      <c r="A106" s="22"/>
      <c r="B106" s="19"/>
      <c r="C106" s="19"/>
      <c r="D106" s="22"/>
      <c r="E106" s="22"/>
      <c r="F106" s="22"/>
      <c r="G106" s="22"/>
    </row>
    <row r="107" spans="1:15" ht="29.1" customHeight="1" x14ac:dyDescent="0.2">
      <c r="A107" s="22"/>
      <c r="B107" s="198" t="s">
        <v>138</v>
      </c>
      <c r="C107" s="199"/>
      <c r="D107" s="2" t="s">
        <v>128</v>
      </c>
      <c r="E107" s="22"/>
      <c r="F107" s="22"/>
      <c r="G107" s="22"/>
    </row>
    <row r="108" spans="1:15" ht="29.1" customHeight="1" x14ac:dyDescent="0.2">
      <c r="A108" s="22"/>
      <c r="B108" s="198" t="s">
        <v>139</v>
      </c>
      <c r="C108" s="199"/>
      <c r="D108" s="2" t="s">
        <v>128</v>
      </c>
      <c r="E108" s="22"/>
      <c r="F108" s="22"/>
      <c r="G108" s="22"/>
    </row>
    <row r="109" spans="1:15" ht="17.100000000000001" customHeight="1" x14ac:dyDescent="0.2">
      <c r="A109" s="22"/>
      <c r="B109" s="198" t="s">
        <v>140</v>
      </c>
      <c r="C109" s="199"/>
      <c r="D109" s="28">
        <v>0.4588075335217664</v>
      </c>
      <c r="E109" s="22"/>
      <c r="F109" s="19"/>
      <c r="G109" s="25"/>
    </row>
    <row r="110" spans="1:15" ht="17.100000000000001" customHeight="1" x14ac:dyDescent="0.2">
      <c r="A110" s="22"/>
      <c r="B110" s="198" t="s">
        <v>141</v>
      </c>
      <c r="C110" s="199"/>
      <c r="D110" s="2" t="s">
        <v>128</v>
      </c>
      <c r="E110" s="22"/>
      <c r="F110" s="22"/>
      <c r="G110" s="22"/>
    </row>
    <row r="122" spans="9:15" x14ac:dyDescent="0.2">
      <c r="I122" s="113"/>
      <c r="J122" s="113"/>
      <c r="K122" s="113"/>
      <c r="L122" s="113"/>
      <c r="M122" s="113"/>
      <c r="N122" s="113"/>
      <c r="O122" s="113"/>
    </row>
  </sheetData>
  <mergeCells count="14">
    <mergeCell ref="B110:C110"/>
    <mergeCell ref="B93:C93"/>
    <mergeCell ref="B94:C94"/>
    <mergeCell ref="B95:C95"/>
    <mergeCell ref="B103:C103"/>
    <mergeCell ref="B107:C107"/>
    <mergeCell ref="B108:C108"/>
    <mergeCell ref="B105:F105"/>
    <mergeCell ref="A1:H1"/>
    <mergeCell ref="A2:H2"/>
    <mergeCell ref="A3:H3"/>
    <mergeCell ref="B109:C109"/>
    <mergeCell ref="J2:N2"/>
    <mergeCell ref="B92:C92"/>
  </mergeCells>
  <pageMargins left="5.000000074505806E-2" right="5.000000074505806E-2" top="0.30000001192092896" bottom="0.20000000298023224" header="0" footer="0"/>
  <pageSetup paperSize="9" orientation="landscape"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A1F1-C42B-43A4-AAEE-E116D81854D6}">
  <dimension ref="A1:O36"/>
  <sheetViews>
    <sheetView workbookViewId="0">
      <selection sqref="A1:H1"/>
    </sheetView>
  </sheetViews>
  <sheetFormatPr defaultRowHeight="15" x14ac:dyDescent="0.25"/>
  <cols>
    <col min="1" max="1" width="5.42578125" style="131" bestFit="1" customWidth="1"/>
    <col min="2" max="2" width="19.7109375" style="131" bestFit="1" customWidth="1"/>
    <col min="3" max="3" width="40.28515625" style="131" bestFit="1" customWidth="1"/>
    <col min="4" max="4" width="15.28515625" style="131" bestFit="1" customWidth="1"/>
    <col min="5" max="5" width="11.42578125" style="131" bestFit="1" customWidth="1"/>
    <col min="6" max="6" width="10.140625" style="131" bestFit="1" customWidth="1"/>
    <col min="7" max="7" width="8.5703125" style="131" bestFit="1" customWidth="1"/>
    <col min="8" max="8" width="8.42578125" style="131" bestFit="1" customWidth="1"/>
    <col min="9" max="10" width="9.140625" style="131"/>
    <col min="11" max="11" width="10.5703125" style="131" bestFit="1" customWidth="1"/>
    <col min="12" max="250" width="9.140625" style="131"/>
    <col min="251" max="251" width="5.42578125" style="131" bestFit="1" customWidth="1"/>
    <col min="252" max="252" width="20.42578125" style="131" bestFit="1" customWidth="1"/>
    <col min="253" max="253" width="41.42578125" style="131" customWidth="1"/>
    <col min="254" max="254" width="15.28515625" style="131" bestFit="1" customWidth="1"/>
    <col min="255" max="255" width="16.7109375" style="131" bestFit="1" customWidth="1"/>
    <col min="256" max="256" width="11.28515625" style="131" bestFit="1" customWidth="1"/>
    <col min="257" max="257" width="14" style="131" bestFit="1" customWidth="1"/>
    <col min="258" max="258" width="11.85546875" style="131" bestFit="1" customWidth="1"/>
    <col min="259" max="259" width="14.85546875" style="131" bestFit="1" customWidth="1"/>
    <col min="260" max="260" width="9.7109375" style="131" customWidth="1"/>
    <col min="261" max="261" width="4.85546875" style="131" customWidth="1"/>
    <col min="262" max="506" width="9.140625" style="131"/>
    <col min="507" max="507" width="5.42578125" style="131" bestFit="1" customWidth="1"/>
    <col min="508" max="508" width="20.42578125" style="131" bestFit="1" customWidth="1"/>
    <col min="509" max="509" width="41.42578125" style="131" customWidth="1"/>
    <col min="510" max="510" width="15.28515625" style="131" bestFit="1" customWidth="1"/>
    <col min="511" max="511" width="16.7109375" style="131" bestFit="1" customWidth="1"/>
    <col min="512" max="512" width="11.28515625" style="131" bestFit="1" customWidth="1"/>
    <col min="513" max="513" width="14" style="131" bestFit="1" customWidth="1"/>
    <col min="514" max="514" width="11.85546875" style="131" bestFit="1" customWidth="1"/>
    <col min="515" max="515" width="14.85546875" style="131" bestFit="1" customWidth="1"/>
    <col min="516" max="516" width="9.7109375" style="131" customWidth="1"/>
    <col min="517" max="517" width="4.85546875" style="131" customWidth="1"/>
    <col min="518" max="762" width="9.140625" style="131"/>
    <col min="763" max="763" width="5.42578125" style="131" bestFit="1" customWidth="1"/>
    <col min="764" max="764" width="20.42578125" style="131" bestFit="1" customWidth="1"/>
    <col min="765" max="765" width="41.42578125" style="131" customWidth="1"/>
    <col min="766" max="766" width="15.28515625" style="131" bestFit="1" customWidth="1"/>
    <col min="767" max="767" width="16.7109375" style="131" bestFit="1" customWidth="1"/>
    <col min="768" max="768" width="11.28515625" style="131" bestFit="1" customWidth="1"/>
    <col min="769" max="769" width="14" style="131" bestFit="1" customWidth="1"/>
    <col min="770" max="770" width="11.85546875" style="131" bestFit="1" customWidth="1"/>
    <col min="771" max="771" width="14.85546875" style="131" bestFit="1" customWidth="1"/>
    <col min="772" max="772" width="9.7109375" style="131" customWidth="1"/>
    <col min="773" max="773" width="4.85546875" style="131" customWidth="1"/>
    <col min="774" max="1018" width="9.140625" style="131"/>
    <col min="1019" max="1019" width="5.42578125" style="131" bestFit="1" customWidth="1"/>
    <col min="1020" max="1020" width="20.42578125" style="131" bestFit="1" customWidth="1"/>
    <col min="1021" max="1021" width="41.42578125" style="131" customWidth="1"/>
    <col min="1022" max="1022" width="15.28515625" style="131" bestFit="1" customWidth="1"/>
    <col min="1023" max="1023" width="16.7109375" style="131" bestFit="1" customWidth="1"/>
    <col min="1024" max="1024" width="11.28515625" style="131" bestFit="1" customWidth="1"/>
    <col min="1025" max="1025" width="14" style="131" bestFit="1" customWidth="1"/>
    <col min="1026" max="1026" width="11.85546875" style="131" bestFit="1" customWidth="1"/>
    <col min="1027" max="1027" width="14.85546875" style="131" bestFit="1" customWidth="1"/>
    <col min="1028" max="1028" width="9.7109375" style="131" customWidth="1"/>
    <col min="1029" max="1029" width="4.85546875" style="131" customWidth="1"/>
    <col min="1030" max="1274" width="9.140625" style="131"/>
    <col min="1275" max="1275" width="5.42578125" style="131" bestFit="1" customWidth="1"/>
    <col min="1276" max="1276" width="20.42578125" style="131" bestFit="1" customWidth="1"/>
    <col min="1277" max="1277" width="41.42578125" style="131" customWidth="1"/>
    <col min="1278" max="1278" width="15.28515625" style="131" bestFit="1" customWidth="1"/>
    <col min="1279" max="1279" width="16.7109375" style="131" bestFit="1" customWidth="1"/>
    <col min="1280" max="1280" width="11.28515625" style="131" bestFit="1" customWidth="1"/>
    <col min="1281" max="1281" width="14" style="131" bestFit="1" customWidth="1"/>
    <col min="1282" max="1282" width="11.85546875" style="131" bestFit="1" customWidth="1"/>
    <col min="1283" max="1283" width="14.85546875" style="131" bestFit="1" customWidth="1"/>
    <col min="1284" max="1284" width="9.7109375" style="131" customWidth="1"/>
    <col min="1285" max="1285" width="4.85546875" style="131" customWidth="1"/>
    <col min="1286" max="1530" width="9.140625" style="131"/>
    <col min="1531" max="1531" width="5.42578125" style="131" bestFit="1" customWidth="1"/>
    <col min="1532" max="1532" width="20.42578125" style="131" bestFit="1" customWidth="1"/>
    <col min="1533" max="1533" width="41.42578125" style="131" customWidth="1"/>
    <col min="1534" max="1534" width="15.28515625" style="131" bestFit="1" customWidth="1"/>
    <col min="1535" max="1535" width="16.7109375" style="131" bestFit="1" customWidth="1"/>
    <col min="1536" max="1536" width="11.28515625" style="131" bestFit="1" customWidth="1"/>
    <col min="1537" max="1537" width="14" style="131" bestFit="1" customWidth="1"/>
    <col min="1538" max="1538" width="11.85546875" style="131" bestFit="1" customWidth="1"/>
    <col min="1539" max="1539" width="14.85546875" style="131" bestFit="1" customWidth="1"/>
    <col min="1540" max="1540" width="9.7109375" style="131" customWidth="1"/>
    <col min="1541" max="1541" width="4.85546875" style="131" customWidth="1"/>
    <col min="1542" max="1786" width="9.140625" style="131"/>
    <col min="1787" max="1787" width="5.42578125" style="131" bestFit="1" customWidth="1"/>
    <col min="1788" max="1788" width="20.42578125" style="131" bestFit="1" customWidth="1"/>
    <col min="1789" max="1789" width="41.42578125" style="131" customWidth="1"/>
    <col min="1790" max="1790" width="15.28515625" style="131" bestFit="1" customWidth="1"/>
    <col min="1791" max="1791" width="16.7109375" style="131" bestFit="1" customWidth="1"/>
    <col min="1792" max="1792" width="11.28515625" style="131" bestFit="1" customWidth="1"/>
    <col min="1793" max="1793" width="14" style="131" bestFit="1" customWidth="1"/>
    <col min="1794" max="1794" width="11.85546875" style="131" bestFit="1" customWidth="1"/>
    <col min="1795" max="1795" width="14.85546875" style="131" bestFit="1" customWidth="1"/>
    <col min="1796" max="1796" width="9.7109375" style="131" customWidth="1"/>
    <col min="1797" max="1797" width="4.85546875" style="131" customWidth="1"/>
    <col min="1798" max="2042" width="9.140625" style="131"/>
    <col min="2043" max="2043" width="5.42578125" style="131" bestFit="1" customWidth="1"/>
    <col min="2044" max="2044" width="20.42578125" style="131" bestFit="1" customWidth="1"/>
    <col min="2045" max="2045" width="41.42578125" style="131" customWidth="1"/>
    <col min="2046" max="2046" width="15.28515625" style="131" bestFit="1" customWidth="1"/>
    <col min="2047" max="2047" width="16.7109375" style="131" bestFit="1" customWidth="1"/>
    <col min="2048" max="2048" width="11.28515625" style="131" bestFit="1" customWidth="1"/>
    <col min="2049" max="2049" width="14" style="131" bestFit="1" customWidth="1"/>
    <col min="2050" max="2050" width="11.85546875" style="131" bestFit="1" customWidth="1"/>
    <col min="2051" max="2051" width="14.85546875" style="131" bestFit="1" customWidth="1"/>
    <col min="2052" max="2052" width="9.7109375" style="131" customWidth="1"/>
    <col min="2053" max="2053" width="4.85546875" style="131" customWidth="1"/>
    <col min="2054" max="2298" width="9.140625" style="131"/>
    <col min="2299" max="2299" width="5.42578125" style="131" bestFit="1" customWidth="1"/>
    <col min="2300" max="2300" width="20.42578125" style="131" bestFit="1" customWidth="1"/>
    <col min="2301" max="2301" width="41.42578125" style="131" customWidth="1"/>
    <col min="2302" max="2302" width="15.28515625" style="131" bestFit="1" customWidth="1"/>
    <col min="2303" max="2303" width="16.7109375" style="131" bestFit="1" customWidth="1"/>
    <col min="2304" max="2304" width="11.28515625" style="131" bestFit="1" customWidth="1"/>
    <col min="2305" max="2305" width="14" style="131" bestFit="1" customWidth="1"/>
    <col min="2306" max="2306" width="11.85546875" style="131" bestFit="1" customWidth="1"/>
    <col min="2307" max="2307" width="14.85546875" style="131" bestFit="1" customWidth="1"/>
    <col min="2308" max="2308" width="9.7109375" style="131" customWidth="1"/>
    <col min="2309" max="2309" width="4.85546875" style="131" customWidth="1"/>
    <col min="2310" max="2554" width="9.140625" style="131"/>
    <col min="2555" max="2555" width="5.42578125" style="131" bestFit="1" customWidth="1"/>
    <col min="2556" max="2556" width="20.42578125" style="131" bestFit="1" customWidth="1"/>
    <col min="2557" max="2557" width="41.42578125" style="131" customWidth="1"/>
    <col min="2558" max="2558" width="15.28515625" style="131" bestFit="1" customWidth="1"/>
    <col min="2559" max="2559" width="16.7109375" style="131" bestFit="1" customWidth="1"/>
    <col min="2560" max="2560" width="11.28515625" style="131" bestFit="1" customWidth="1"/>
    <col min="2561" max="2561" width="14" style="131" bestFit="1" customWidth="1"/>
    <col min="2562" max="2562" width="11.85546875" style="131" bestFit="1" customWidth="1"/>
    <col min="2563" max="2563" width="14.85546875" style="131" bestFit="1" customWidth="1"/>
    <col min="2564" max="2564" width="9.7109375" style="131" customWidth="1"/>
    <col min="2565" max="2565" width="4.85546875" style="131" customWidth="1"/>
    <col min="2566" max="2810" width="9.140625" style="131"/>
    <col min="2811" max="2811" width="5.42578125" style="131" bestFit="1" customWidth="1"/>
    <col min="2812" max="2812" width="20.42578125" style="131" bestFit="1" customWidth="1"/>
    <col min="2813" max="2813" width="41.42578125" style="131" customWidth="1"/>
    <col min="2814" max="2814" width="15.28515625" style="131" bestFit="1" customWidth="1"/>
    <col min="2815" max="2815" width="16.7109375" style="131" bestFit="1" customWidth="1"/>
    <col min="2816" max="2816" width="11.28515625" style="131" bestFit="1" customWidth="1"/>
    <col min="2817" max="2817" width="14" style="131" bestFit="1" customWidth="1"/>
    <col min="2818" max="2818" width="11.85546875" style="131" bestFit="1" customWidth="1"/>
    <col min="2819" max="2819" width="14.85546875" style="131" bestFit="1" customWidth="1"/>
    <col min="2820" max="2820" width="9.7109375" style="131" customWidth="1"/>
    <col min="2821" max="2821" width="4.85546875" style="131" customWidth="1"/>
    <col min="2822" max="3066" width="9.140625" style="131"/>
    <col min="3067" max="3067" width="5.42578125" style="131" bestFit="1" customWidth="1"/>
    <col min="3068" max="3068" width="20.42578125" style="131" bestFit="1" customWidth="1"/>
    <col min="3069" max="3069" width="41.42578125" style="131" customWidth="1"/>
    <col min="3070" max="3070" width="15.28515625" style="131" bestFit="1" customWidth="1"/>
    <col min="3071" max="3071" width="16.7109375" style="131" bestFit="1" customWidth="1"/>
    <col min="3072" max="3072" width="11.28515625" style="131" bestFit="1" customWidth="1"/>
    <col min="3073" max="3073" width="14" style="131" bestFit="1" customWidth="1"/>
    <col min="3074" max="3074" width="11.85546875" style="131" bestFit="1" customWidth="1"/>
    <col min="3075" max="3075" width="14.85546875" style="131" bestFit="1" customWidth="1"/>
    <col min="3076" max="3076" width="9.7109375" style="131" customWidth="1"/>
    <col min="3077" max="3077" width="4.85546875" style="131" customWidth="1"/>
    <col min="3078" max="3322" width="9.140625" style="131"/>
    <col min="3323" max="3323" width="5.42578125" style="131" bestFit="1" customWidth="1"/>
    <col min="3324" max="3324" width="20.42578125" style="131" bestFit="1" customWidth="1"/>
    <col min="3325" max="3325" width="41.42578125" style="131" customWidth="1"/>
    <col min="3326" max="3326" width="15.28515625" style="131" bestFit="1" customWidth="1"/>
    <col min="3327" max="3327" width="16.7109375" style="131" bestFit="1" customWidth="1"/>
    <col min="3328" max="3328" width="11.28515625" style="131" bestFit="1" customWidth="1"/>
    <col min="3329" max="3329" width="14" style="131" bestFit="1" customWidth="1"/>
    <col min="3330" max="3330" width="11.85546875" style="131" bestFit="1" customWidth="1"/>
    <col min="3331" max="3331" width="14.85546875" style="131" bestFit="1" customWidth="1"/>
    <col min="3332" max="3332" width="9.7109375" style="131" customWidth="1"/>
    <col min="3333" max="3333" width="4.85546875" style="131" customWidth="1"/>
    <col min="3334" max="3578" width="9.140625" style="131"/>
    <col min="3579" max="3579" width="5.42578125" style="131" bestFit="1" customWidth="1"/>
    <col min="3580" max="3580" width="20.42578125" style="131" bestFit="1" customWidth="1"/>
    <col min="3581" max="3581" width="41.42578125" style="131" customWidth="1"/>
    <col min="3582" max="3582" width="15.28515625" style="131" bestFit="1" customWidth="1"/>
    <col min="3583" max="3583" width="16.7109375" style="131" bestFit="1" customWidth="1"/>
    <col min="3584" max="3584" width="11.28515625" style="131" bestFit="1" customWidth="1"/>
    <col min="3585" max="3585" width="14" style="131" bestFit="1" customWidth="1"/>
    <col min="3586" max="3586" width="11.85546875" style="131" bestFit="1" customWidth="1"/>
    <col min="3587" max="3587" width="14.85546875" style="131" bestFit="1" customWidth="1"/>
    <col min="3588" max="3588" width="9.7109375" style="131" customWidth="1"/>
    <col min="3589" max="3589" width="4.85546875" style="131" customWidth="1"/>
    <col min="3590" max="3834" width="9.140625" style="131"/>
    <col min="3835" max="3835" width="5.42578125" style="131" bestFit="1" customWidth="1"/>
    <col min="3836" max="3836" width="20.42578125" style="131" bestFit="1" customWidth="1"/>
    <col min="3837" max="3837" width="41.42578125" style="131" customWidth="1"/>
    <col min="3838" max="3838" width="15.28515625" style="131" bestFit="1" customWidth="1"/>
    <col min="3839" max="3839" width="16.7109375" style="131" bestFit="1" customWidth="1"/>
    <col min="3840" max="3840" width="11.28515625" style="131" bestFit="1" customWidth="1"/>
    <col min="3841" max="3841" width="14" style="131" bestFit="1" customWidth="1"/>
    <col min="3842" max="3842" width="11.85546875" style="131" bestFit="1" customWidth="1"/>
    <col min="3843" max="3843" width="14.85546875" style="131" bestFit="1" customWidth="1"/>
    <col min="3844" max="3844" width="9.7109375" style="131" customWidth="1"/>
    <col min="3845" max="3845" width="4.85546875" style="131" customWidth="1"/>
    <col min="3846" max="4090" width="9.140625" style="131"/>
    <col min="4091" max="4091" width="5.42578125" style="131" bestFit="1" customWidth="1"/>
    <col min="4092" max="4092" width="20.42578125" style="131" bestFit="1" customWidth="1"/>
    <col min="4093" max="4093" width="41.42578125" style="131" customWidth="1"/>
    <col min="4094" max="4094" width="15.28515625" style="131" bestFit="1" customWidth="1"/>
    <col min="4095" max="4095" width="16.7109375" style="131" bestFit="1" customWidth="1"/>
    <col min="4096" max="4096" width="11.28515625" style="131" bestFit="1" customWidth="1"/>
    <col min="4097" max="4097" width="14" style="131" bestFit="1" customWidth="1"/>
    <col min="4098" max="4098" width="11.85546875" style="131" bestFit="1" customWidth="1"/>
    <col min="4099" max="4099" width="14.85546875" style="131" bestFit="1" customWidth="1"/>
    <col min="4100" max="4100" width="9.7109375" style="131" customWidth="1"/>
    <col min="4101" max="4101" width="4.85546875" style="131" customWidth="1"/>
    <col min="4102" max="4346" width="9.140625" style="131"/>
    <col min="4347" max="4347" width="5.42578125" style="131" bestFit="1" customWidth="1"/>
    <col min="4348" max="4348" width="20.42578125" style="131" bestFit="1" customWidth="1"/>
    <col min="4349" max="4349" width="41.42578125" style="131" customWidth="1"/>
    <col min="4350" max="4350" width="15.28515625" style="131" bestFit="1" customWidth="1"/>
    <col min="4351" max="4351" width="16.7109375" style="131" bestFit="1" customWidth="1"/>
    <col min="4352" max="4352" width="11.28515625" style="131" bestFit="1" customWidth="1"/>
    <col min="4353" max="4353" width="14" style="131" bestFit="1" customWidth="1"/>
    <col min="4354" max="4354" width="11.85546875" style="131" bestFit="1" customWidth="1"/>
    <col min="4355" max="4355" width="14.85546875" style="131" bestFit="1" customWidth="1"/>
    <col min="4356" max="4356" width="9.7109375" style="131" customWidth="1"/>
    <col min="4357" max="4357" width="4.85546875" style="131" customWidth="1"/>
    <col min="4358" max="4602" width="9.140625" style="131"/>
    <col min="4603" max="4603" width="5.42578125" style="131" bestFit="1" customWidth="1"/>
    <col min="4604" max="4604" width="20.42578125" style="131" bestFit="1" customWidth="1"/>
    <col min="4605" max="4605" width="41.42578125" style="131" customWidth="1"/>
    <col min="4606" max="4606" width="15.28515625" style="131" bestFit="1" customWidth="1"/>
    <col min="4607" max="4607" width="16.7109375" style="131" bestFit="1" customWidth="1"/>
    <col min="4608" max="4608" width="11.28515625" style="131" bestFit="1" customWidth="1"/>
    <col min="4609" max="4609" width="14" style="131" bestFit="1" customWidth="1"/>
    <col min="4610" max="4610" width="11.85546875" style="131" bestFit="1" customWidth="1"/>
    <col min="4611" max="4611" width="14.85546875" style="131" bestFit="1" customWidth="1"/>
    <col min="4612" max="4612" width="9.7109375" style="131" customWidth="1"/>
    <col min="4613" max="4613" width="4.85546875" style="131" customWidth="1"/>
    <col min="4614" max="4858" width="9.140625" style="131"/>
    <col min="4859" max="4859" width="5.42578125" style="131" bestFit="1" customWidth="1"/>
    <col min="4860" max="4860" width="20.42578125" style="131" bestFit="1" customWidth="1"/>
    <col min="4861" max="4861" width="41.42578125" style="131" customWidth="1"/>
    <col min="4862" max="4862" width="15.28515625" style="131" bestFit="1" customWidth="1"/>
    <col min="4863" max="4863" width="16.7109375" style="131" bestFit="1" customWidth="1"/>
    <col min="4864" max="4864" width="11.28515625" style="131" bestFit="1" customWidth="1"/>
    <col min="4865" max="4865" width="14" style="131" bestFit="1" customWidth="1"/>
    <col min="4866" max="4866" width="11.85546875" style="131" bestFit="1" customWidth="1"/>
    <col min="4867" max="4867" width="14.85546875" style="131" bestFit="1" customWidth="1"/>
    <col min="4868" max="4868" width="9.7109375" style="131" customWidth="1"/>
    <col min="4869" max="4869" width="4.85546875" style="131" customWidth="1"/>
    <col min="4870" max="5114" width="9.140625" style="131"/>
    <col min="5115" max="5115" width="5.42578125" style="131" bestFit="1" customWidth="1"/>
    <col min="5116" max="5116" width="20.42578125" style="131" bestFit="1" customWidth="1"/>
    <col min="5117" max="5117" width="41.42578125" style="131" customWidth="1"/>
    <col min="5118" max="5118" width="15.28515625" style="131" bestFit="1" customWidth="1"/>
    <col min="5119" max="5119" width="16.7109375" style="131" bestFit="1" customWidth="1"/>
    <col min="5120" max="5120" width="11.28515625" style="131" bestFit="1" customWidth="1"/>
    <col min="5121" max="5121" width="14" style="131" bestFit="1" customWidth="1"/>
    <col min="5122" max="5122" width="11.85546875" style="131" bestFit="1" customWidth="1"/>
    <col min="5123" max="5123" width="14.85546875" style="131" bestFit="1" customWidth="1"/>
    <col min="5124" max="5124" width="9.7109375" style="131" customWidth="1"/>
    <col min="5125" max="5125" width="4.85546875" style="131" customWidth="1"/>
    <col min="5126" max="5370" width="9.140625" style="131"/>
    <col min="5371" max="5371" width="5.42578125" style="131" bestFit="1" customWidth="1"/>
    <col min="5372" max="5372" width="20.42578125" style="131" bestFit="1" customWidth="1"/>
    <col min="5373" max="5373" width="41.42578125" style="131" customWidth="1"/>
    <col min="5374" max="5374" width="15.28515625" style="131" bestFit="1" customWidth="1"/>
    <col min="5375" max="5375" width="16.7109375" style="131" bestFit="1" customWidth="1"/>
    <col min="5376" max="5376" width="11.28515625" style="131" bestFit="1" customWidth="1"/>
    <col min="5377" max="5377" width="14" style="131" bestFit="1" customWidth="1"/>
    <col min="5378" max="5378" width="11.85546875" style="131" bestFit="1" customWidth="1"/>
    <col min="5379" max="5379" width="14.85546875" style="131" bestFit="1" customWidth="1"/>
    <col min="5380" max="5380" width="9.7109375" style="131" customWidth="1"/>
    <col min="5381" max="5381" width="4.85546875" style="131" customWidth="1"/>
    <col min="5382" max="5626" width="9.140625" style="131"/>
    <col min="5627" max="5627" width="5.42578125" style="131" bestFit="1" customWidth="1"/>
    <col min="5628" max="5628" width="20.42578125" style="131" bestFit="1" customWidth="1"/>
    <col min="5629" max="5629" width="41.42578125" style="131" customWidth="1"/>
    <col min="5630" max="5630" width="15.28515625" style="131" bestFit="1" customWidth="1"/>
    <col min="5631" max="5631" width="16.7109375" style="131" bestFit="1" customWidth="1"/>
    <col min="5632" max="5632" width="11.28515625" style="131" bestFit="1" customWidth="1"/>
    <col min="5633" max="5633" width="14" style="131" bestFit="1" customWidth="1"/>
    <col min="5634" max="5634" width="11.85546875" style="131" bestFit="1" customWidth="1"/>
    <col min="5635" max="5635" width="14.85546875" style="131" bestFit="1" customWidth="1"/>
    <col min="5636" max="5636" width="9.7109375" style="131" customWidth="1"/>
    <col min="5637" max="5637" width="4.85546875" style="131" customWidth="1"/>
    <col min="5638" max="5882" width="9.140625" style="131"/>
    <col min="5883" max="5883" width="5.42578125" style="131" bestFit="1" customWidth="1"/>
    <col min="5884" max="5884" width="20.42578125" style="131" bestFit="1" customWidth="1"/>
    <col min="5885" max="5885" width="41.42578125" style="131" customWidth="1"/>
    <col min="5886" max="5886" width="15.28515625" style="131" bestFit="1" customWidth="1"/>
    <col min="5887" max="5887" width="16.7109375" style="131" bestFit="1" customWidth="1"/>
    <col min="5888" max="5888" width="11.28515625" style="131" bestFit="1" customWidth="1"/>
    <col min="5889" max="5889" width="14" style="131" bestFit="1" customWidth="1"/>
    <col min="5890" max="5890" width="11.85546875" style="131" bestFit="1" customWidth="1"/>
    <col min="5891" max="5891" width="14.85546875" style="131" bestFit="1" customWidth="1"/>
    <col min="5892" max="5892" width="9.7109375" style="131" customWidth="1"/>
    <col min="5893" max="5893" width="4.85546875" style="131" customWidth="1"/>
    <col min="5894" max="6138" width="9.140625" style="131"/>
    <col min="6139" max="6139" width="5.42578125" style="131" bestFit="1" customWidth="1"/>
    <col min="6140" max="6140" width="20.42578125" style="131" bestFit="1" customWidth="1"/>
    <col min="6141" max="6141" width="41.42578125" style="131" customWidth="1"/>
    <col min="6142" max="6142" width="15.28515625" style="131" bestFit="1" customWidth="1"/>
    <col min="6143" max="6143" width="16.7109375" style="131" bestFit="1" customWidth="1"/>
    <col min="6144" max="6144" width="11.28515625" style="131" bestFit="1" customWidth="1"/>
    <col min="6145" max="6145" width="14" style="131" bestFit="1" customWidth="1"/>
    <col min="6146" max="6146" width="11.85546875" style="131" bestFit="1" customWidth="1"/>
    <col min="6147" max="6147" width="14.85546875" style="131" bestFit="1" customWidth="1"/>
    <col min="6148" max="6148" width="9.7109375" style="131" customWidth="1"/>
    <col min="6149" max="6149" width="4.85546875" style="131" customWidth="1"/>
    <col min="6150" max="6394" width="9.140625" style="131"/>
    <col min="6395" max="6395" width="5.42578125" style="131" bestFit="1" customWidth="1"/>
    <col min="6396" max="6396" width="20.42578125" style="131" bestFit="1" customWidth="1"/>
    <col min="6397" max="6397" width="41.42578125" style="131" customWidth="1"/>
    <col min="6398" max="6398" width="15.28515625" style="131" bestFit="1" customWidth="1"/>
    <col min="6399" max="6399" width="16.7109375" style="131" bestFit="1" customWidth="1"/>
    <col min="6400" max="6400" width="11.28515625" style="131" bestFit="1" customWidth="1"/>
    <col min="6401" max="6401" width="14" style="131" bestFit="1" customWidth="1"/>
    <col min="6402" max="6402" width="11.85546875" style="131" bestFit="1" customWidth="1"/>
    <col min="6403" max="6403" width="14.85546875" style="131" bestFit="1" customWidth="1"/>
    <col min="6404" max="6404" width="9.7109375" style="131" customWidth="1"/>
    <col min="6405" max="6405" width="4.85546875" style="131" customWidth="1"/>
    <col min="6406" max="6650" width="9.140625" style="131"/>
    <col min="6651" max="6651" width="5.42578125" style="131" bestFit="1" customWidth="1"/>
    <col min="6652" max="6652" width="20.42578125" style="131" bestFit="1" customWidth="1"/>
    <col min="6653" max="6653" width="41.42578125" style="131" customWidth="1"/>
    <col min="6654" max="6654" width="15.28515625" style="131" bestFit="1" customWidth="1"/>
    <col min="6655" max="6655" width="16.7109375" style="131" bestFit="1" customWidth="1"/>
    <col min="6656" max="6656" width="11.28515625" style="131" bestFit="1" customWidth="1"/>
    <col min="6657" max="6657" width="14" style="131" bestFit="1" customWidth="1"/>
    <col min="6658" max="6658" width="11.85546875" style="131" bestFit="1" customWidth="1"/>
    <col min="6659" max="6659" width="14.85546875" style="131" bestFit="1" customWidth="1"/>
    <col min="6660" max="6660" width="9.7109375" style="131" customWidth="1"/>
    <col min="6661" max="6661" width="4.85546875" style="131" customWidth="1"/>
    <col min="6662" max="6906" width="9.140625" style="131"/>
    <col min="6907" max="6907" width="5.42578125" style="131" bestFit="1" customWidth="1"/>
    <col min="6908" max="6908" width="20.42578125" style="131" bestFit="1" customWidth="1"/>
    <col min="6909" max="6909" width="41.42578125" style="131" customWidth="1"/>
    <col min="6910" max="6910" width="15.28515625" style="131" bestFit="1" customWidth="1"/>
    <col min="6911" max="6911" width="16.7109375" style="131" bestFit="1" customWidth="1"/>
    <col min="6912" max="6912" width="11.28515625" style="131" bestFit="1" customWidth="1"/>
    <col min="6913" max="6913" width="14" style="131" bestFit="1" customWidth="1"/>
    <col min="6914" max="6914" width="11.85546875" style="131" bestFit="1" customWidth="1"/>
    <col min="6915" max="6915" width="14.85546875" style="131" bestFit="1" customWidth="1"/>
    <col min="6916" max="6916" width="9.7109375" style="131" customWidth="1"/>
    <col min="6917" max="6917" width="4.85546875" style="131" customWidth="1"/>
    <col min="6918" max="7162" width="9.140625" style="131"/>
    <col min="7163" max="7163" width="5.42578125" style="131" bestFit="1" customWidth="1"/>
    <col min="7164" max="7164" width="20.42578125" style="131" bestFit="1" customWidth="1"/>
    <col min="7165" max="7165" width="41.42578125" style="131" customWidth="1"/>
    <col min="7166" max="7166" width="15.28515625" style="131" bestFit="1" customWidth="1"/>
    <col min="7167" max="7167" width="16.7109375" style="131" bestFit="1" customWidth="1"/>
    <col min="7168" max="7168" width="11.28515625" style="131" bestFit="1" customWidth="1"/>
    <col min="7169" max="7169" width="14" style="131" bestFit="1" customWidth="1"/>
    <col min="7170" max="7170" width="11.85546875" style="131" bestFit="1" customWidth="1"/>
    <col min="7171" max="7171" width="14.85546875" style="131" bestFit="1" customWidth="1"/>
    <col min="7172" max="7172" width="9.7109375" style="131" customWidth="1"/>
    <col min="7173" max="7173" width="4.85546875" style="131" customWidth="1"/>
    <col min="7174" max="7418" width="9.140625" style="131"/>
    <col min="7419" max="7419" width="5.42578125" style="131" bestFit="1" customWidth="1"/>
    <col min="7420" max="7420" width="20.42578125" style="131" bestFit="1" customWidth="1"/>
    <col min="7421" max="7421" width="41.42578125" style="131" customWidth="1"/>
    <col min="7422" max="7422" width="15.28515625" style="131" bestFit="1" customWidth="1"/>
    <col min="7423" max="7423" width="16.7109375" style="131" bestFit="1" customWidth="1"/>
    <col min="7424" max="7424" width="11.28515625" style="131" bestFit="1" customWidth="1"/>
    <col min="7425" max="7425" width="14" style="131" bestFit="1" customWidth="1"/>
    <col min="7426" max="7426" width="11.85546875" style="131" bestFit="1" customWidth="1"/>
    <col min="7427" max="7427" width="14.85546875" style="131" bestFit="1" customWidth="1"/>
    <col min="7428" max="7428" width="9.7109375" style="131" customWidth="1"/>
    <col min="7429" max="7429" width="4.85546875" style="131" customWidth="1"/>
    <col min="7430" max="7674" width="9.140625" style="131"/>
    <col min="7675" max="7675" width="5.42578125" style="131" bestFit="1" customWidth="1"/>
    <col min="7676" max="7676" width="20.42578125" style="131" bestFit="1" customWidth="1"/>
    <col min="7677" max="7677" width="41.42578125" style="131" customWidth="1"/>
    <col min="7678" max="7678" width="15.28515625" style="131" bestFit="1" customWidth="1"/>
    <col min="7679" max="7679" width="16.7109375" style="131" bestFit="1" customWidth="1"/>
    <col min="7680" max="7680" width="11.28515625" style="131" bestFit="1" customWidth="1"/>
    <col min="7681" max="7681" width="14" style="131" bestFit="1" customWidth="1"/>
    <col min="7682" max="7682" width="11.85546875" style="131" bestFit="1" customWidth="1"/>
    <col min="7683" max="7683" width="14.85546875" style="131" bestFit="1" customWidth="1"/>
    <col min="7684" max="7684" width="9.7109375" style="131" customWidth="1"/>
    <col min="7685" max="7685" width="4.85546875" style="131" customWidth="1"/>
    <col min="7686" max="7930" width="9.140625" style="131"/>
    <col min="7931" max="7931" width="5.42578125" style="131" bestFit="1" customWidth="1"/>
    <col min="7932" max="7932" width="20.42578125" style="131" bestFit="1" customWidth="1"/>
    <col min="7933" max="7933" width="41.42578125" style="131" customWidth="1"/>
    <col min="7934" max="7934" width="15.28515625" style="131" bestFit="1" customWidth="1"/>
    <col min="7935" max="7935" width="16.7109375" style="131" bestFit="1" customWidth="1"/>
    <col min="7936" max="7936" width="11.28515625" style="131" bestFit="1" customWidth="1"/>
    <col min="7937" max="7937" width="14" style="131" bestFit="1" customWidth="1"/>
    <col min="7938" max="7938" width="11.85546875" style="131" bestFit="1" customWidth="1"/>
    <col min="7939" max="7939" width="14.85546875" style="131" bestFit="1" customWidth="1"/>
    <col min="7940" max="7940" width="9.7109375" style="131" customWidth="1"/>
    <col min="7941" max="7941" width="4.85546875" style="131" customWidth="1"/>
    <col min="7942" max="8186" width="9.140625" style="131"/>
    <col min="8187" max="8187" width="5.42578125" style="131" bestFit="1" customWidth="1"/>
    <col min="8188" max="8188" width="20.42578125" style="131" bestFit="1" customWidth="1"/>
    <col min="8189" max="8189" width="41.42578125" style="131" customWidth="1"/>
    <col min="8190" max="8190" width="15.28515625" style="131" bestFit="1" customWidth="1"/>
    <col min="8191" max="8191" width="16.7109375" style="131" bestFit="1" customWidth="1"/>
    <col min="8192" max="8192" width="11.28515625" style="131" bestFit="1" customWidth="1"/>
    <col min="8193" max="8193" width="14" style="131" bestFit="1" customWidth="1"/>
    <col min="8194" max="8194" width="11.85546875" style="131" bestFit="1" customWidth="1"/>
    <col min="8195" max="8195" width="14.85546875" style="131" bestFit="1" customWidth="1"/>
    <col min="8196" max="8196" width="9.7109375" style="131" customWidth="1"/>
    <col min="8197" max="8197" width="4.85546875" style="131" customWidth="1"/>
    <col min="8198" max="8442" width="9.140625" style="131"/>
    <col min="8443" max="8443" width="5.42578125" style="131" bestFit="1" customWidth="1"/>
    <col min="8444" max="8444" width="20.42578125" style="131" bestFit="1" customWidth="1"/>
    <col min="8445" max="8445" width="41.42578125" style="131" customWidth="1"/>
    <col min="8446" max="8446" width="15.28515625" style="131" bestFit="1" customWidth="1"/>
    <col min="8447" max="8447" width="16.7109375" style="131" bestFit="1" customWidth="1"/>
    <col min="8448" max="8448" width="11.28515625" style="131" bestFit="1" customWidth="1"/>
    <col min="8449" max="8449" width="14" style="131" bestFit="1" customWidth="1"/>
    <col min="8450" max="8450" width="11.85546875" style="131" bestFit="1" customWidth="1"/>
    <col min="8451" max="8451" width="14.85546875" style="131" bestFit="1" customWidth="1"/>
    <col min="8452" max="8452" width="9.7109375" style="131" customWidth="1"/>
    <col min="8453" max="8453" width="4.85546875" style="131" customWidth="1"/>
    <col min="8454" max="8698" width="9.140625" style="131"/>
    <col min="8699" max="8699" width="5.42578125" style="131" bestFit="1" customWidth="1"/>
    <col min="8700" max="8700" width="20.42578125" style="131" bestFit="1" customWidth="1"/>
    <col min="8701" max="8701" width="41.42578125" style="131" customWidth="1"/>
    <col min="8702" max="8702" width="15.28515625" style="131" bestFit="1" customWidth="1"/>
    <col min="8703" max="8703" width="16.7109375" style="131" bestFit="1" customWidth="1"/>
    <col min="8704" max="8704" width="11.28515625" style="131" bestFit="1" customWidth="1"/>
    <col min="8705" max="8705" width="14" style="131" bestFit="1" customWidth="1"/>
    <col min="8706" max="8706" width="11.85546875" style="131" bestFit="1" customWidth="1"/>
    <col min="8707" max="8707" width="14.85546875" style="131" bestFit="1" customWidth="1"/>
    <col min="8708" max="8708" width="9.7109375" style="131" customWidth="1"/>
    <col min="8709" max="8709" width="4.85546875" style="131" customWidth="1"/>
    <col min="8710" max="8954" width="9.140625" style="131"/>
    <col min="8955" max="8955" width="5.42578125" style="131" bestFit="1" customWidth="1"/>
    <col min="8956" max="8956" width="20.42578125" style="131" bestFit="1" customWidth="1"/>
    <col min="8957" max="8957" width="41.42578125" style="131" customWidth="1"/>
    <col min="8958" max="8958" width="15.28515625" style="131" bestFit="1" customWidth="1"/>
    <col min="8959" max="8959" width="16.7109375" style="131" bestFit="1" customWidth="1"/>
    <col min="8960" max="8960" width="11.28515625" style="131" bestFit="1" customWidth="1"/>
    <col min="8961" max="8961" width="14" style="131" bestFit="1" customWidth="1"/>
    <col min="8962" max="8962" width="11.85546875" style="131" bestFit="1" customWidth="1"/>
    <col min="8963" max="8963" width="14.85546875" style="131" bestFit="1" customWidth="1"/>
    <col min="8964" max="8964" width="9.7109375" style="131" customWidth="1"/>
    <col min="8965" max="8965" width="4.85546875" style="131" customWidth="1"/>
    <col min="8966" max="9210" width="9.140625" style="131"/>
    <col min="9211" max="9211" width="5.42578125" style="131" bestFit="1" customWidth="1"/>
    <col min="9212" max="9212" width="20.42578125" style="131" bestFit="1" customWidth="1"/>
    <col min="9213" max="9213" width="41.42578125" style="131" customWidth="1"/>
    <col min="9214" max="9214" width="15.28515625" style="131" bestFit="1" customWidth="1"/>
    <col min="9215" max="9215" width="16.7109375" style="131" bestFit="1" customWidth="1"/>
    <col min="9216" max="9216" width="11.28515625" style="131" bestFit="1" customWidth="1"/>
    <col min="9217" max="9217" width="14" style="131" bestFit="1" customWidth="1"/>
    <col min="9218" max="9218" width="11.85546875" style="131" bestFit="1" customWidth="1"/>
    <col min="9219" max="9219" width="14.85546875" style="131" bestFit="1" customWidth="1"/>
    <col min="9220" max="9220" width="9.7109375" style="131" customWidth="1"/>
    <col min="9221" max="9221" width="4.85546875" style="131" customWidth="1"/>
    <col min="9222" max="9466" width="9.140625" style="131"/>
    <col min="9467" max="9467" width="5.42578125" style="131" bestFit="1" customWidth="1"/>
    <col min="9468" max="9468" width="20.42578125" style="131" bestFit="1" customWidth="1"/>
    <col min="9469" max="9469" width="41.42578125" style="131" customWidth="1"/>
    <col min="9470" max="9470" width="15.28515625" style="131" bestFit="1" customWidth="1"/>
    <col min="9471" max="9471" width="16.7109375" style="131" bestFit="1" customWidth="1"/>
    <col min="9472" max="9472" width="11.28515625" style="131" bestFit="1" customWidth="1"/>
    <col min="9473" max="9473" width="14" style="131" bestFit="1" customWidth="1"/>
    <col min="9474" max="9474" width="11.85546875" style="131" bestFit="1" customWidth="1"/>
    <col min="9475" max="9475" width="14.85546875" style="131" bestFit="1" customWidth="1"/>
    <col min="9476" max="9476" width="9.7109375" style="131" customWidth="1"/>
    <col min="9477" max="9477" width="4.85546875" style="131" customWidth="1"/>
    <col min="9478" max="9722" width="9.140625" style="131"/>
    <col min="9723" max="9723" width="5.42578125" style="131" bestFit="1" customWidth="1"/>
    <col min="9724" max="9724" width="20.42578125" style="131" bestFit="1" customWidth="1"/>
    <col min="9725" max="9725" width="41.42578125" style="131" customWidth="1"/>
    <col min="9726" max="9726" width="15.28515625" style="131" bestFit="1" customWidth="1"/>
    <col min="9727" max="9727" width="16.7109375" style="131" bestFit="1" customWidth="1"/>
    <col min="9728" max="9728" width="11.28515625" style="131" bestFit="1" customWidth="1"/>
    <col min="9729" max="9729" width="14" style="131" bestFit="1" customWidth="1"/>
    <col min="9730" max="9730" width="11.85546875" style="131" bestFit="1" customWidth="1"/>
    <col min="9731" max="9731" width="14.85546875" style="131" bestFit="1" customWidth="1"/>
    <col min="9732" max="9732" width="9.7109375" style="131" customWidth="1"/>
    <col min="9733" max="9733" width="4.85546875" style="131" customWidth="1"/>
    <col min="9734" max="9978" width="9.140625" style="131"/>
    <col min="9979" max="9979" width="5.42578125" style="131" bestFit="1" customWidth="1"/>
    <col min="9980" max="9980" width="20.42578125" style="131" bestFit="1" customWidth="1"/>
    <col min="9981" max="9981" width="41.42578125" style="131" customWidth="1"/>
    <col min="9982" max="9982" width="15.28515625" style="131" bestFit="1" customWidth="1"/>
    <col min="9983" max="9983" width="16.7109375" style="131" bestFit="1" customWidth="1"/>
    <col min="9984" max="9984" width="11.28515625" style="131" bestFit="1" customWidth="1"/>
    <col min="9985" max="9985" width="14" style="131" bestFit="1" customWidth="1"/>
    <col min="9986" max="9986" width="11.85546875" style="131" bestFit="1" customWidth="1"/>
    <col min="9987" max="9987" width="14.85546875" style="131" bestFit="1" customWidth="1"/>
    <col min="9988" max="9988" width="9.7109375" style="131" customWidth="1"/>
    <col min="9989" max="9989" width="4.85546875" style="131" customWidth="1"/>
    <col min="9990" max="10234" width="9.140625" style="131"/>
    <col min="10235" max="10235" width="5.42578125" style="131" bestFit="1" customWidth="1"/>
    <col min="10236" max="10236" width="20.42578125" style="131" bestFit="1" customWidth="1"/>
    <col min="10237" max="10237" width="41.42578125" style="131" customWidth="1"/>
    <col min="10238" max="10238" width="15.28515625" style="131" bestFit="1" customWidth="1"/>
    <col min="10239" max="10239" width="16.7109375" style="131" bestFit="1" customWidth="1"/>
    <col min="10240" max="10240" width="11.28515625" style="131" bestFit="1" customWidth="1"/>
    <col min="10241" max="10241" width="14" style="131" bestFit="1" customWidth="1"/>
    <col min="10242" max="10242" width="11.85546875" style="131" bestFit="1" customWidth="1"/>
    <col min="10243" max="10243" width="14.85546875" style="131" bestFit="1" customWidth="1"/>
    <col min="10244" max="10244" width="9.7109375" style="131" customWidth="1"/>
    <col min="10245" max="10245" width="4.85546875" style="131" customWidth="1"/>
    <col min="10246" max="10490" width="9.140625" style="131"/>
    <col min="10491" max="10491" width="5.42578125" style="131" bestFit="1" customWidth="1"/>
    <col min="10492" max="10492" width="20.42578125" style="131" bestFit="1" customWidth="1"/>
    <col min="10493" max="10493" width="41.42578125" style="131" customWidth="1"/>
    <col min="10494" max="10494" width="15.28515625" style="131" bestFit="1" customWidth="1"/>
    <col min="10495" max="10495" width="16.7109375" style="131" bestFit="1" customWidth="1"/>
    <col min="10496" max="10496" width="11.28515625" style="131" bestFit="1" customWidth="1"/>
    <col min="10497" max="10497" width="14" style="131" bestFit="1" customWidth="1"/>
    <col min="10498" max="10498" width="11.85546875" style="131" bestFit="1" customWidth="1"/>
    <col min="10499" max="10499" width="14.85546875" style="131" bestFit="1" customWidth="1"/>
    <col min="10500" max="10500" width="9.7109375" style="131" customWidth="1"/>
    <col min="10501" max="10501" width="4.85546875" style="131" customWidth="1"/>
    <col min="10502" max="10746" width="9.140625" style="131"/>
    <col min="10747" max="10747" width="5.42578125" style="131" bestFit="1" customWidth="1"/>
    <col min="10748" max="10748" width="20.42578125" style="131" bestFit="1" customWidth="1"/>
    <col min="10749" max="10749" width="41.42578125" style="131" customWidth="1"/>
    <col min="10750" max="10750" width="15.28515625" style="131" bestFit="1" customWidth="1"/>
    <col min="10751" max="10751" width="16.7109375" style="131" bestFit="1" customWidth="1"/>
    <col min="10752" max="10752" width="11.28515625" style="131" bestFit="1" customWidth="1"/>
    <col min="10753" max="10753" width="14" style="131" bestFit="1" customWidth="1"/>
    <col min="10754" max="10754" width="11.85546875" style="131" bestFit="1" customWidth="1"/>
    <col min="10755" max="10755" width="14.85546875" style="131" bestFit="1" customWidth="1"/>
    <col min="10756" max="10756" width="9.7109375" style="131" customWidth="1"/>
    <col min="10757" max="10757" width="4.85546875" style="131" customWidth="1"/>
    <col min="10758" max="11002" width="9.140625" style="131"/>
    <col min="11003" max="11003" width="5.42578125" style="131" bestFit="1" customWidth="1"/>
    <col min="11004" max="11004" width="20.42578125" style="131" bestFit="1" customWidth="1"/>
    <col min="11005" max="11005" width="41.42578125" style="131" customWidth="1"/>
    <col min="11006" max="11006" width="15.28515625" style="131" bestFit="1" customWidth="1"/>
    <col min="11007" max="11007" width="16.7109375" style="131" bestFit="1" customWidth="1"/>
    <col min="11008" max="11008" width="11.28515625" style="131" bestFit="1" customWidth="1"/>
    <col min="11009" max="11009" width="14" style="131" bestFit="1" customWidth="1"/>
    <col min="11010" max="11010" width="11.85546875" style="131" bestFit="1" customWidth="1"/>
    <col min="11011" max="11011" width="14.85546875" style="131" bestFit="1" customWidth="1"/>
    <col min="11012" max="11012" width="9.7109375" style="131" customWidth="1"/>
    <col min="11013" max="11013" width="4.85546875" style="131" customWidth="1"/>
    <col min="11014" max="11258" width="9.140625" style="131"/>
    <col min="11259" max="11259" width="5.42578125" style="131" bestFit="1" customWidth="1"/>
    <col min="11260" max="11260" width="20.42578125" style="131" bestFit="1" customWidth="1"/>
    <col min="11261" max="11261" width="41.42578125" style="131" customWidth="1"/>
    <col min="11262" max="11262" width="15.28515625" style="131" bestFit="1" customWidth="1"/>
    <col min="11263" max="11263" width="16.7109375" style="131" bestFit="1" customWidth="1"/>
    <col min="11264" max="11264" width="11.28515625" style="131" bestFit="1" customWidth="1"/>
    <col min="11265" max="11265" width="14" style="131" bestFit="1" customWidth="1"/>
    <col min="11266" max="11266" width="11.85546875" style="131" bestFit="1" customWidth="1"/>
    <col min="11267" max="11267" width="14.85546875" style="131" bestFit="1" customWidth="1"/>
    <col min="11268" max="11268" width="9.7109375" style="131" customWidth="1"/>
    <col min="11269" max="11269" width="4.85546875" style="131" customWidth="1"/>
    <col min="11270" max="11514" width="9.140625" style="131"/>
    <col min="11515" max="11515" width="5.42578125" style="131" bestFit="1" customWidth="1"/>
    <col min="11516" max="11516" width="20.42578125" style="131" bestFit="1" customWidth="1"/>
    <col min="11517" max="11517" width="41.42578125" style="131" customWidth="1"/>
    <col min="11518" max="11518" width="15.28515625" style="131" bestFit="1" customWidth="1"/>
    <col min="11519" max="11519" width="16.7109375" style="131" bestFit="1" customWidth="1"/>
    <col min="11520" max="11520" width="11.28515625" style="131" bestFit="1" customWidth="1"/>
    <col min="11521" max="11521" width="14" style="131" bestFit="1" customWidth="1"/>
    <col min="11522" max="11522" width="11.85546875" style="131" bestFit="1" customWidth="1"/>
    <col min="11523" max="11523" width="14.85546875" style="131" bestFit="1" customWidth="1"/>
    <col min="11524" max="11524" width="9.7109375" style="131" customWidth="1"/>
    <col min="11525" max="11525" width="4.85546875" style="131" customWidth="1"/>
    <col min="11526" max="11770" width="9.140625" style="131"/>
    <col min="11771" max="11771" width="5.42578125" style="131" bestFit="1" customWidth="1"/>
    <col min="11772" max="11772" width="20.42578125" style="131" bestFit="1" customWidth="1"/>
    <col min="11773" max="11773" width="41.42578125" style="131" customWidth="1"/>
    <col min="11774" max="11774" width="15.28515625" style="131" bestFit="1" customWidth="1"/>
    <col min="11775" max="11775" width="16.7109375" style="131" bestFit="1" customWidth="1"/>
    <col min="11776" max="11776" width="11.28515625" style="131" bestFit="1" customWidth="1"/>
    <col min="11777" max="11777" width="14" style="131" bestFit="1" customWidth="1"/>
    <col min="11778" max="11778" width="11.85546875" style="131" bestFit="1" customWidth="1"/>
    <col min="11779" max="11779" width="14.85546875" style="131" bestFit="1" customWidth="1"/>
    <col min="11780" max="11780" width="9.7109375" style="131" customWidth="1"/>
    <col min="11781" max="11781" width="4.85546875" style="131" customWidth="1"/>
    <col min="11782" max="12026" width="9.140625" style="131"/>
    <col min="12027" max="12027" width="5.42578125" style="131" bestFit="1" customWidth="1"/>
    <col min="12028" max="12028" width="20.42578125" style="131" bestFit="1" customWidth="1"/>
    <col min="12029" max="12029" width="41.42578125" style="131" customWidth="1"/>
    <col min="12030" max="12030" width="15.28515625" style="131" bestFit="1" customWidth="1"/>
    <col min="12031" max="12031" width="16.7109375" style="131" bestFit="1" customWidth="1"/>
    <col min="12032" max="12032" width="11.28515625" style="131" bestFit="1" customWidth="1"/>
    <col min="12033" max="12033" width="14" style="131" bestFit="1" customWidth="1"/>
    <col min="12034" max="12034" width="11.85546875" style="131" bestFit="1" customWidth="1"/>
    <col min="12035" max="12035" width="14.85546875" style="131" bestFit="1" customWidth="1"/>
    <col min="12036" max="12036" width="9.7109375" style="131" customWidth="1"/>
    <col min="12037" max="12037" width="4.85546875" style="131" customWidth="1"/>
    <col min="12038" max="12282" width="9.140625" style="131"/>
    <col min="12283" max="12283" width="5.42578125" style="131" bestFit="1" customWidth="1"/>
    <col min="12284" max="12284" width="20.42578125" style="131" bestFit="1" customWidth="1"/>
    <col min="12285" max="12285" width="41.42578125" style="131" customWidth="1"/>
    <col min="12286" max="12286" width="15.28515625" style="131" bestFit="1" customWidth="1"/>
    <col min="12287" max="12287" width="16.7109375" style="131" bestFit="1" customWidth="1"/>
    <col min="12288" max="12288" width="11.28515625" style="131" bestFit="1" customWidth="1"/>
    <col min="12289" max="12289" width="14" style="131" bestFit="1" customWidth="1"/>
    <col min="12290" max="12290" width="11.85546875" style="131" bestFit="1" customWidth="1"/>
    <col min="12291" max="12291" width="14.85546875" style="131" bestFit="1" customWidth="1"/>
    <col min="12292" max="12292" width="9.7109375" style="131" customWidth="1"/>
    <col min="12293" max="12293" width="4.85546875" style="131" customWidth="1"/>
    <col min="12294" max="12538" width="9.140625" style="131"/>
    <col min="12539" max="12539" width="5.42578125" style="131" bestFit="1" customWidth="1"/>
    <col min="12540" max="12540" width="20.42578125" style="131" bestFit="1" customWidth="1"/>
    <col min="12541" max="12541" width="41.42578125" style="131" customWidth="1"/>
    <col min="12542" max="12542" width="15.28515625" style="131" bestFit="1" customWidth="1"/>
    <col min="12543" max="12543" width="16.7109375" style="131" bestFit="1" customWidth="1"/>
    <col min="12544" max="12544" width="11.28515625" style="131" bestFit="1" customWidth="1"/>
    <col min="12545" max="12545" width="14" style="131" bestFit="1" customWidth="1"/>
    <col min="12546" max="12546" width="11.85546875" style="131" bestFit="1" customWidth="1"/>
    <col min="12547" max="12547" width="14.85546875" style="131" bestFit="1" customWidth="1"/>
    <col min="12548" max="12548" width="9.7109375" style="131" customWidth="1"/>
    <col min="12549" max="12549" width="4.85546875" style="131" customWidth="1"/>
    <col min="12550" max="12794" width="9.140625" style="131"/>
    <col min="12795" max="12795" width="5.42578125" style="131" bestFit="1" customWidth="1"/>
    <col min="12796" max="12796" width="20.42578125" style="131" bestFit="1" customWidth="1"/>
    <col min="12797" max="12797" width="41.42578125" style="131" customWidth="1"/>
    <col min="12798" max="12798" width="15.28515625" style="131" bestFit="1" customWidth="1"/>
    <col min="12799" max="12799" width="16.7109375" style="131" bestFit="1" customWidth="1"/>
    <col min="12800" max="12800" width="11.28515625" style="131" bestFit="1" customWidth="1"/>
    <col min="12801" max="12801" width="14" style="131" bestFit="1" customWidth="1"/>
    <col min="12802" max="12802" width="11.85546875" style="131" bestFit="1" customWidth="1"/>
    <col min="12803" max="12803" width="14.85546875" style="131" bestFit="1" customWidth="1"/>
    <col min="12804" max="12804" width="9.7109375" style="131" customWidth="1"/>
    <col min="12805" max="12805" width="4.85546875" style="131" customWidth="1"/>
    <col min="12806" max="13050" width="9.140625" style="131"/>
    <col min="13051" max="13051" width="5.42578125" style="131" bestFit="1" customWidth="1"/>
    <col min="13052" max="13052" width="20.42578125" style="131" bestFit="1" customWidth="1"/>
    <col min="13053" max="13053" width="41.42578125" style="131" customWidth="1"/>
    <col min="13054" max="13054" width="15.28515625" style="131" bestFit="1" customWidth="1"/>
    <col min="13055" max="13055" width="16.7109375" style="131" bestFit="1" customWidth="1"/>
    <col min="13056" max="13056" width="11.28515625" style="131" bestFit="1" customWidth="1"/>
    <col min="13057" max="13057" width="14" style="131" bestFit="1" customWidth="1"/>
    <col min="13058" max="13058" width="11.85546875" style="131" bestFit="1" customWidth="1"/>
    <col min="13059" max="13059" width="14.85546875" style="131" bestFit="1" customWidth="1"/>
    <col min="13060" max="13060" width="9.7109375" style="131" customWidth="1"/>
    <col min="13061" max="13061" width="4.85546875" style="131" customWidth="1"/>
    <col min="13062" max="13306" width="9.140625" style="131"/>
    <col min="13307" max="13307" width="5.42578125" style="131" bestFit="1" customWidth="1"/>
    <col min="13308" max="13308" width="20.42578125" style="131" bestFit="1" customWidth="1"/>
    <col min="13309" max="13309" width="41.42578125" style="131" customWidth="1"/>
    <col min="13310" max="13310" width="15.28515625" style="131" bestFit="1" customWidth="1"/>
    <col min="13311" max="13311" width="16.7109375" style="131" bestFit="1" customWidth="1"/>
    <col min="13312" max="13312" width="11.28515625" style="131" bestFit="1" customWidth="1"/>
    <col min="13313" max="13313" width="14" style="131" bestFit="1" customWidth="1"/>
    <col min="13314" max="13314" width="11.85546875" style="131" bestFit="1" customWidth="1"/>
    <col min="13315" max="13315" width="14.85546875" style="131" bestFit="1" customWidth="1"/>
    <col min="13316" max="13316" width="9.7109375" style="131" customWidth="1"/>
    <col min="13317" max="13317" width="4.85546875" style="131" customWidth="1"/>
    <col min="13318" max="13562" width="9.140625" style="131"/>
    <col min="13563" max="13563" width="5.42578125" style="131" bestFit="1" customWidth="1"/>
    <col min="13564" max="13564" width="20.42578125" style="131" bestFit="1" customWidth="1"/>
    <col min="13565" max="13565" width="41.42578125" style="131" customWidth="1"/>
    <col min="13566" max="13566" width="15.28515625" style="131" bestFit="1" customWidth="1"/>
    <col min="13567" max="13567" width="16.7109375" style="131" bestFit="1" customWidth="1"/>
    <col min="13568" max="13568" width="11.28515625" style="131" bestFit="1" customWidth="1"/>
    <col min="13569" max="13569" width="14" style="131" bestFit="1" customWidth="1"/>
    <col min="13570" max="13570" width="11.85546875" style="131" bestFit="1" customWidth="1"/>
    <col min="13571" max="13571" width="14.85546875" style="131" bestFit="1" customWidth="1"/>
    <col min="13572" max="13572" width="9.7109375" style="131" customWidth="1"/>
    <col min="13573" max="13573" width="4.85546875" style="131" customWidth="1"/>
    <col min="13574" max="13818" width="9.140625" style="131"/>
    <col min="13819" max="13819" width="5.42578125" style="131" bestFit="1" customWidth="1"/>
    <col min="13820" max="13820" width="20.42578125" style="131" bestFit="1" customWidth="1"/>
    <col min="13821" max="13821" width="41.42578125" style="131" customWidth="1"/>
    <col min="13822" max="13822" width="15.28515625" style="131" bestFit="1" customWidth="1"/>
    <col min="13823" max="13823" width="16.7109375" style="131" bestFit="1" customWidth="1"/>
    <col min="13824" max="13824" width="11.28515625" style="131" bestFit="1" customWidth="1"/>
    <col min="13825" max="13825" width="14" style="131" bestFit="1" customWidth="1"/>
    <col min="13826" max="13826" width="11.85546875" style="131" bestFit="1" customWidth="1"/>
    <col min="13827" max="13827" width="14.85546875" style="131" bestFit="1" customWidth="1"/>
    <col min="13828" max="13828" width="9.7109375" style="131" customWidth="1"/>
    <col min="13829" max="13829" width="4.85546875" style="131" customWidth="1"/>
    <col min="13830" max="14074" width="9.140625" style="131"/>
    <col min="14075" max="14075" width="5.42578125" style="131" bestFit="1" customWidth="1"/>
    <col min="14076" max="14076" width="20.42578125" style="131" bestFit="1" customWidth="1"/>
    <col min="14077" max="14077" width="41.42578125" style="131" customWidth="1"/>
    <col min="14078" max="14078" width="15.28515625" style="131" bestFit="1" customWidth="1"/>
    <col min="14079" max="14079" width="16.7109375" style="131" bestFit="1" customWidth="1"/>
    <col min="14080" max="14080" width="11.28515625" style="131" bestFit="1" customWidth="1"/>
    <col min="14081" max="14081" width="14" style="131" bestFit="1" customWidth="1"/>
    <col min="14082" max="14082" width="11.85546875" style="131" bestFit="1" customWidth="1"/>
    <col min="14083" max="14083" width="14.85546875" style="131" bestFit="1" customWidth="1"/>
    <col min="14084" max="14084" width="9.7109375" style="131" customWidth="1"/>
    <col min="14085" max="14085" width="4.85546875" style="131" customWidth="1"/>
    <col min="14086" max="14330" width="9.140625" style="131"/>
    <col min="14331" max="14331" width="5.42578125" style="131" bestFit="1" customWidth="1"/>
    <col min="14332" max="14332" width="20.42578125" style="131" bestFit="1" customWidth="1"/>
    <col min="14333" max="14333" width="41.42578125" style="131" customWidth="1"/>
    <col min="14334" max="14334" width="15.28515625" style="131" bestFit="1" customWidth="1"/>
    <col min="14335" max="14335" width="16.7109375" style="131" bestFit="1" customWidth="1"/>
    <col min="14336" max="14336" width="11.28515625" style="131" bestFit="1" customWidth="1"/>
    <col min="14337" max="14337" width="14" style="131" bestFit="1" customWidth="1"/>
    <col min="14338" max="14338" width="11.85546875" style="131" bestFit="1" customWidth="1"/>
    <col min="14339" max="14339" width="14.85546875" style="131" bestFit="1" customWidth="1"/>
    <col min="14340" max="14340" width="9.7109375" style="131" customWidth="1"/>
    <col min="14341" max="14341" width="4.85546875" style="131" customWidth="1"/>
    <col min="14342" max="14586" width="9.140625" style="131"/>
    <col min="14587" max="14587" width="5.42578125" style="131" bestFit="1" customWidth="1"/>
    <col min="14588" max="14588" width="20.42578125" style="131" bestFit="1" customWidth="1"/>
    <col min="14589" max="14589" width="41.42578125" style="131" customWidth="1"/>
    <col min="14590" max="14590" width="15.28515625" style="131" bestFit="1" customWidth="1"/>
    <col min="14591" max="14591" width="16.7109375" style="131" bestFit="1" customWidth="1"/>
    <col min="14592" max="14592" width="11.28515625" style="131" bestFit="1" customWidth="1"/>
    <col min="14593" max="14593" width="14" style="131" bestFit="1" customWidth="1"/>
    <col min="14594" max="14594" width="11.85546875" style="131" bestFit="1" customWidth="1"/>
    <col min="14595" max="14595" width="14.85546875" style="131" bestFit="1" customWidth="1"/>
    <col min="14596" max="14596" width="9.7109375" style="131" customWidth="1"/>
    <col min="14597" max="14597" width="4.85546875" style="131" customWidth="1"/>
    <col min="14598" max="14842" width="9.140625" style="131"/>
    <col min="14843" max="14843" width="5.42578125" style="131" bestFit="1" customWidth="1"/>
    <col min="14844" max="14844" width="20.42578125" style="131" bestFit="1" customWidth="1"/>
    <col min="14845" max="14845" width="41.42578125" style="131" customWidth="1"/>
    <col min="14846" max="14846" width="15.28515625" style="131" bestFit="1" customWidth="1"/>
    <col min="14847" max="14847" width="16.7109375" style="131" bestFit="1" customWidth="1"/>
    <col min="14848" max="14848" width="11.28515625" style="131" bestFit="1" customWidth="1"/>
    <col min="14849" max="14849" width="14" style="131" bestFit="1" customWidth="1"/>
    <col min="14850" max="14850" width="11.85546875" style="131" bestFit="1" customWidth="1"/>
    <col min="14851" max="14851" width="14.85546875" style="131" bestFit="1" customWidth="1"/>
    <col min="14852" max="14852" width="9.7109375" style="131" customWidth="1"/>
    <col min="14853" max="14853" width="4.85546875" style="131" customWidth="1"/>
    <col min="14854" max="15098" width="9.140625" style="131"/>
    <col min="15099" max="15099" width="5.42578125" style="131" bestFit="1" customWidth="1"/>
    <col min="15100" max="15100" width="20.42578125" style="131" bestFit="1" customWidth="1"/>
    <col min="15101" max="15101" width="41.42578125" style="131" customWidth="1"/>
    <col min="15102" max="15102" width="15.28515625" style="131" bestFit="1" customWidth="1"/>
    <col min="15103" max="15103" width="16.7109375" style="131" bestFit="1" customWidth="1"/>
    <col min="15104" max="15104" width="11.28515625" style="131" bestFit="1" customWidth="1"/>
    <col min="15105" max="15105" width="14" style="131" bestFit="1" customWidth="1"/>
    <col min="15106" max="15106" width="11.85546875" style="131" bestFit="1" customWidth="1"/>
    <col min="15107" max="15107" width="14.85546875" style="131" bestFit="1" customWidth="1"/>
    <col min="15108" max="15108" width="9.7109375" style="131" customWidth="1"/>
    <col min="15109" max="15109" width="4.85546875" style="131" customWidth="1"/>
    <col min="15110" max="15354" width="9.140625" style="131"/>
    <col min="15355" max="15355" width="5.42578125" style="131" bestFit="1" customWidth="1"/>
    <col min="15356" max="15356" width="20.42578125" style="131" bestFit="1" customWidth="1"/>
    <col min="15357" max="15357" width="41.42578125" style="131" customWidth="1"/>
    <col min="15358" max="15358" width="15.28515625" style="131" bestFit="1" customWidth="1"/>
    <col min="15359" max="15359" width="16.7109375" style="131" bestFit="1" customWidth="1"/>
    <col min="15360" max="15360" width="11.28515625" style="131" bestFit="1" customWidth="1"/>
    <col min="15361" max="15361" width="14" style="131" bestFit="1" customWidth="1"/>
    <col min="15362" max="15362" width="11.85546875" style="131" bestFit="1" customWidth="1"/>
    <col min="15363" max="15363" width="14.85546875" style="131" bestFit="1" customWidth="1"/>
    <col min="15364" max="15364" width="9.7109375" style="131" customWidth="1"/>
    <col min="15365" max="15365" width="4.85546875" style="131" customWidth="1"/>
    <col min="15366" max="15610" width="9.140625" style="131"/>
    <col min="15611" max="15611" width="5.42578125" style="131" bestFit="1" customWidth="1"/>
    <col min="15612" max="15612" width="20.42578125" style="131" bestFit="1" customWidth="1"/>
    <col min="15613" max="15613" width="41.42578125" style="131" customWidth="1"/>
    <col min="15614" max="15614" width="15.28515625" style="131" bestFit="1" customWidth="1"/>
    <col min="15615" max="15615" width="16.7109375" style="131" bestFit="1" customWidth="1"/>
    <col min="15616" max="15616" width="11.28515625" style="131" bestFit="1" customWidth="1"/>
    <col min="15617" max="15617" width="14" style="131" bestFit="1" customWidth="1"/>
    <col min="15618" max="15618" width="11.85546875" style="131" bestFit="1" customWidth="1"/>
    <col min="15619" max="15619" width="14.85546875" style="131" bestFit="1" customWidth="1"/>
    <col min="15620" max="15620" width="9.7109375" style="131" customWidth="1"/>
    <col min="15621" max="15621" width="4.85546875" style="131" customWidth="1"/>
    <col min="15622" max="15866" width="9.140625" style="131"/>
    <col min="15867" max="15867" width="5.42578125" style="131" bestFit="1" customWidth="1"/>
    <col min="15868" max="15868" width="20.42578125" style="131" bestFit="1" customWidth="1"/>
    <col min="15869" max="15869" width="41.42578125" style="131" customWidth="1"/>
    <col min="15870" max="15870" width="15.28515625" style="131" bestFit="1" customWidth="1"/>
    <col min="15871" max="15871" width="16.7109375" style="131" bestFit="1" customWidth="1"/>
    <col min="15872" max="15872" width="11.28515625" style="131" bestFit="1" customWidth="1"/>
    <col min="15873" max="15873" width="14" style="131" bestFit="1" customWidth="1"/>
    <col min="15874" max="15874" width="11.85546875" style="131" bestFit="1" customWidth="1"/>
    <col min="15875" max="15875" width="14.85546875" style="131" bestFit="1" customWidth="1"/>
    <col min="15876" max="15876" width="9.7109375" style="131" customWidth="1"/>
    <col min="15877" max="15877" width="4.85546875" style="131" customWidth="1"/>
    <col min="15878" max="16122" width="9.140625" style="131"/>
    <col min="16123" max="16123" width="5.42578125" style="131" bestFit="1" customWidth="1"/>
    <col min="16124" max="16124" width="20.42578125" style="131" bestFit="1" customWidth="1"/>
    <col min="16125" max="16125" width="41.42578125" style="131" customWidth="1"/>
    <col min="16126" max="16126" width="15.28515625" style="131" bestFit="1" customWidth="1"/>
    <col min="16127" max="16127" width="16.7109375" style="131" bestFit="1" customWidth="1"/>
    <col min="16128" max="16128" width="11.28515625" style="131" bestFit="1" customWidth="1"/>
    <col min="16129" max="16129" width="14" style="131" bestFit="1" customWidth="1"/>
    <col min="16130" max="16130" width="11.85546875" style="131" bestFit="1" customWidth="1"/>
    <col min="16131" max="16131" width="14.85546875" style="131" bestFit="1" customWidth="1"/>
    <col min="16132" max="16132" width="9.7109375" style="131" customWidth="1"/>
    <col min="16133" max="16133" width="4.85546875" style="131" customWidth="1"/>
    <col min="16134" max="16384" width="9.140625" style="131"/>
  </cols>
  <sheetData>
    <row r="1" spans="1:15" x14ac:dyDescent="0.25">
      <c r="A1" s="223" t="s">
        <v>0</v>
      </c>
      <c r="B1" s="223"/>
      <c r="C1" s="223"/>
      <c r="D1" s="223"/>
      <c r="E1" s="223"/>
      <c r="F1" s="223"/>
      <c r="G1" s="223"/>
      <c r="H1" s="223"/>
    </row>
    <row r="2" spans="1:15" x14ac:dyDescent="0.25">
      <c r="A2" s="224" t="s">
        <v>986</v>
      </c>
      <c r="B2" s="224"/>
      <c r="C2" s="224"/>
      <c r="D2" s="224"/>
      <c r="E2" s="224"/>
      <c r="F2" s="224"/>
      <c r="G2" s="224"/>
      <c r="H2" s="224"/>
      <c r="J2" s="197" t="s">
        <v>1010</v>
      </c>
      <c r="K2" s="197"/>
      <c r="L2" s="197"/>
      <c r="M2" s="197"/>
      <c r="N2" s="197"/>
    </row>
    <row r="3" spans="1:15" x14ac:dyDescent="0.25">
      <c r="A3" s="225" t="s">
        <v>987</v>
      </c>
      <c r="B3" s="225"/>
      <c r="C3" s="225"/>
      <c r="D3" s="225"/>
      <c r="E3" s="225"/>
      <c r="F3" s="225"/>
      <c r="G3" s="225"/>
      <c r="H3" s="225"/>
    </row>
    <row r="4" spans="1:15" ht="30" x14ac:dyDescent="0.25">
      <c r="A4" s="132" t="s">
        <v>988</v>
      </c>
      <c r="B4" s="132" t="s">
        <v>989</v>
      </c>
      <c r="C4" s="132" t="s">
        <v>990</v>
      </c>
      <c r="D4" s="132" t="s">
        <v>991</v>
      </c>
      <c r="E4" s="132" t="s">
        <v>6</v>
      </c>
      <c r="F4" s="132" t="s">
        <v>7</v>
      </c>
      <c r="G4" s="132" t="s">
        <v>8</v>
      </c>
      <c r="H4" s="133" t="s">
        <v>970</v>
      </c>
      <c r="I4" s="190"/>
      <c r="J4" s="190"/>
      <c r="K4" s="190"/>
      <c r="L4" s="190"/>
      <c r="M4" s="190"/>
      <c r="N4" s="190"/>
      <c r="O4" s="190"/>
    </row>
    <row r="5" spans="1:15" ht="26.25" x14ac:dyDescent="0.25">
      <c r="A5" s="134"/>
      <c r="B5" s="134"/>
      <c r="C5" s="135" t="s">
        <v>992</v>
      </c>
      <c r="D5" s="134"/>
      <c r="E5" s="134"/>
      <c r="F5" s="136"/>
      <c r="G5" s="136"/>
      <c r="H5" s="137"/>
    </row>
    <row r="6" spans="1:15" ht="26.25" x14ac:dyDescent="0.25">
      <c r="A6" s="134">
        <v>1</v>
      </c>
      <c r="B6" s="134" t="s">
        <v>993</v>
      </c>
      <c r="C6" s="138" t="s">
        <v>994</v>
      </c>
      <c r="D6" s="134" t="s">
        <v>995</v>
      </c>
      <c r="E6" s="139">
        <v>9211979.1630000006</v>
      </c>
      <c r="F6" s="140">
        <v>9259.1551122000001</v>
      </c>
      <c r="G6" s="141">
        <f>F6/$F$18*100</f>
        <v>95.907393940679114</v>
      </c>
      <c r="H6" s="137"/>
      <c r="I6" s="142"/>
      <c r="K6" s="143"/>
    </row>
    <row r="7" spans="1:15" x14ac:dyDescent="0.25">
      <c r="A7" s="144"/>
      <c r="B7" s="137"/>
      <c r="C7" s="137"/>
      <c r="D7" s="137"/>
      <c r="E7" s="137"/>
      <c r="F7" s="137"/>
      <c r="G7" s="137"/>
      <c r="H7" s="145"/>
    </row>
    <row r="8" spans="1:15" ht="25.5" x14ac:dyDescent="0.25">
      <c r="A8" s="146"/>
      <c r="B8" s="146"/>
      <c r="C8" s="147" t="s">
        <v>996</v>
      </c>
      <c r="D8" s="147"/>
      <c r="E8" s="148"/>
      <c r="F8" s="149">
        <f>F6</f>
        <v>9259.1551122000001</v>
      </c>
      <c r="G8" s="150">
        <f>G6</f>
        <v>95.907393940679114</v>
      </c>
      <c r="H8" s="151"/>
    </row>
    <row r="9" spans="1:15" x14ac:dyDescent="0.25">
      <c r="A9" s="146"/>
      <c r="B9" s="146"/>
      <c r="C9" s="146"/>
      <c r="D9" s="146"/>
      <c r="E9" s="146"/>
      <c r="F9" s="152"/>
      <c r="G9" s="146"/>
      <c r="H9" s="137"/>
    </row>
    <row r="10" spans="1:15" x14ac:dyDescent="0.25">
      <c r="A10" s="134"/>
      <c r="B10" s="134"/>
      <c r="C10" s="153" t="s">
        <v>997</v>
      </c>
      <c r="D10" s="153"/>
      <c r="E10" s="153"/>
      <c r="F10" s="154"/>
      <c r="G10" s="146"/>
      <c r="H10" s="137"/>
    </row>
    <row r="11" spans="1:15" x14ac:dyDescent="0.25">
      <c r="A11" s="146"/>
      <c r="B11" s="146"/>
      <c r="C11" s="155" t="s">
        <v>115</v>
      </c>
      <c r="D11" s="153"/>
      <c r="E11" s="153"/>
      <c r="F11" s="156">
        <v>296.13066903100002</v>
      </c>
      <c r="G11" s="141">
        <f>F11/$F$18*100</f>
        <v>3.0673555403830797</v>
      </c>
      <c r="H11" s="157">
        <v>3.3211324282253978</v>
      </c>
    </row>
    <row r="12" spans="1:15" x14ac:dyDescent="0.25">
      <c r="A12" s="146"/>
      <c r="B12" s="146"/>
      <c r="C12" s="155" t="s">
        <v>116</v>
      </c>
      <c r="D12" s="153"/>
      <c r="E12" s="153"/>
      <c r="F12" s="156">
        <v>116.32706927999999</v>
      </c>
      <c r="G12" s="156">
        <f>F12/$F$18*100</f>
        <v>1.2049291673169504</v>
      </c>
      <c r="H12" s="157">
        <v>3.35</v>
      </c>
    </row>
    <row r="13" spans="1:15" x14ac:dyDescent="0.25">
      <c r="A13" s="146"/>
      <c r="B13" s="146"/>
      <c r="C13" s="155"/>
      <c r="D13" s="153"/>
      <c r="E13" s="153"/>
      <c r="F13" s="156"/>
      <c r="G13" s="141"/>
      <c r="H13" s="137"/>
    </row>
    <row r="14" spans="1:15" x14ac:dyDescent="0.25">
      <c r="A14" s="146"/>
      <c r="B14" s="146"/>
      <c r="C14" s="158" t="s">
        <v>117</v>
      </c>
      <c r="D14" s="146"/>
      <c r="E14" s="146"/>
      <c r="F14" s="159">
        <f>SUM(F11:F12)</f>
        <v>412.45773831100001</v>
      </c>
      <c r="G14" s="150">
        <f>SUM(G11:G13)</f>
        <v>4.2722847077000301</v>
      </c>
      <c r="H14" s="137"/>
      <c r="J14" s="188" t="s">
        <v>1029</v>
      </c>
    </row>
    <row r="15" spans="1:15" x14ac:dyDescent="0.25">
      <c r="A15" s="146"/>
      <c r="B15" s="146"/>
      <c r="C15" s="146"/>
      <c r="D15" s="146"/>
      <c r="E15" s="146"/>
      <c r="F15" s="152"/>
      <c r="G15" s="146"/>
      <c r="H15" s="137"/>
    </row>
    <row r="16" spans="1:15" x14ac:dyDescent="0.25">
      <c r="A16" s="146"/>
      <c r="B16" s="146"/>
      <c r="C16" s="155" t="s">
        <v>998</v>
      </c>
      <c r="D16" s="153"/>
      <c r="E16" s="153"/>
      <c r="F16" s="156">
        <f>F18-F14-F8</f>
        <v>-17.346655011000621</v>
      </c>
      <c r="G16" s="156">
        <f>F16/$F$18*100</f>
        <v>-0.1796786483791607</v>
      </c>
      <c r="H16" s="160"/>
    </row>
    <row r="17" spans="1:9" x14ac:dyDescent="0.25">
      <c r="A17" s="146"/>
      <c r="B17" s="146"/>
      <c r="C17" s="146"/>
      <c r="D17" s="146"/>
      <c r="E17" s="146"/>
      <c r="F17" s="152"/>
      <c r="G17" s="146"/>
      <c r="H17" s="137"/>
    </row>
    <row r="18" spans="1:9" x14ac:dyDescent="0.25">
      <c r="A18" s="146"/>
      <c r="B18" s="146"/>
      <c r="C18" s="158" t="s">
        <v>124</v>
      </c>
      <c r="D18" s="146"/>
      <c r="E18" s="146"/>
      <c r="F18" s="159">
        <v>9654.2661955000003</v>
      </c>
      <c r="G18" s="161">
        <f>G16+G14+G8</f>
        <v>99.999999999999986</v>
      </c>
      <c r="H18" s="162"/>
      <c r="I18" s="142"/>
    </row>
    <row r="19" spans="1:9" x14ac:dyDescent="0.25">
      <c r="F19" s="163"/>
      <c r="H19" s="164"/>
    </row>
    <row r="20" spans="1:9" x14ac:dyDescent="0.25">
      <c r="B20" s="165" t="s">
        <v>126</v>
      </c>
      <c r="C20" s="166"/>
      <c r="D20" s="166"/>
      <c r="E20" s="166"/>
      <c r="F20" s="167"/>
      <c r="G20" s="166"/>
    </row>
    <row r="21" spans="1:9" x14ac:dyDescent="0.25">
      <c r="B21" s="166" t="s">
        <v>999</v>
      </c>
      <c r="C21" s="166"/>
      <c r="D21" s="166"/>
      <c r="E21" s="166"/>
      <c r="F21" s="168"/>
      <c r="G21" s="168"/>
    </row>
    <row r="22" spans="1:9" x14ac:dyDescent="0.25">
      <c r="B22" s="221" t="s">
        <v>1000</v>
      </c>
      <c r="C22" s="221"/>
      <c r="D22" s="166"/>
      <c r="E22" s="166"/>
      <c r="F22" s="169"/>
      <c r="G22" s="169"/>
    </row>
    <row r="23" spans="1:9" x14ac:dyDescent="0.25">
      <c r="B23" s="221" t="s">
        <v>130</v>
      </c>
      <c r="C23" s="221"/>
      <c r="D23" s="170"/>
      <c r="E23" s="170"/>
      <c r="F23" s="166" t="s">
        <v>1001</v>
      </c>
      <c r="G23" s="166"/>
    </row>
    <row r="24" spans="1:9" x14ac:dyDescent="0.25">
      <c r="B24" s="171"/>
      <c r="C24" s="171"/>
      <c r="D24" s="170"/>
      <c r="E24" s="170"/>
      <c r="F24" s="166"/>
      <c r="G24" s="166"/>
    </row>
    <row r="25" spans="1:9" x14ac:dyDescent="0.25">
      <c r="B25" s="172"/>
      <c r="C25" s="173" t="s">
        <v>131</v>
      </c>
      <c r="D25" s="173" t="s">
        <v>132</v>
      </c>
      <c r="E25" s="174"/>
      <c r="F25" s="174"/>
      <c r="G25" s="166"/>
    </row>
    <row r="26" spans="1:9" x14ac:dyDescent="0.25">
      <c r="B26" s="175" t="s">
        <v>1002</v>
      </c>
      <c r="C26" s="176">
        <v>44469</v>
      </c>
      <c r="D26" s="176">
        <v>44500</v>
      </c>
      <c r="E26" s="177"/>
      <c r="F26" s="177"/>
      <c r="G26" s="178"/>
    </row>
    <row r="27" spans="1:9" x14ac:dyDescent="0.25">
      <c r="B27" s="179" t="s">
        <v>136</v>
      </c>
      <c r="C27" s="180">
        <v>25.797000000000001</v>
      </c>
      <c r="D27" s="180">
        <v>27.2136</v>
      </c>
      <c r="E27" s="181"/>
      <c r="F27" s="178"/>
      <c r="G27" s="178"/>
    </row>
    <row r="28" spans="1:9" x14ac:dyDescent="0.25">
      <c r="B28" s="81" t="s">
        <v>1003</v>
      </c>
      <c r="C28" s="180">
        <v>22.947700000000001</v>
      </c>
      <c r="D28" s="180">
        <v>24.207599999999999</v>
      </c>
      <c r="E28" s="181"/>
      <c r="F28" s="178"/>
      <c r="G28" s="178"/>
    </row>
    <row r="29" spans="1:9" x14ac:dyDescent="0.25">
      <c r="B29" s="179" t="s">
        <v>137</v>
      </c>
      <c r="C29" s="180">
        <v>24.5122</v>
      </c>
      <c r="D29" s="180">
        <v>25.831199999999999</v>
      </c>
      <c r="E29" s="181"/>
      <c r="F29" s="178"/>
      <c r="G29" s="178"/>
    </row>
    <row r="30" spans="1:9" x14ac:dyDescent="0.25">
      <c r="B30" s="81" t="s">
        <v>1004</v>
      </c>
      <c r="C30" s="180">
        <v>21.004899999999999</v>
      </c>
      <c r="D30" s="180">
        <v>22.135200000000001</v>
      </c>
      <c r="E30" s="181"/>
      <c r="F30" s="178"/>
      <c r="G30" s="178"/>
    </row>
    <row r="31" spans="1:9" x14ac:dyDescent="0.25">
      <c r="B31" s="182" t="s">
        <v>984</v>
      </c>
      <c r="C31" s="183"/>
      <c r="D31" s="183"/>
      <c r="E31" s="183"/>
      <c r="F31" s="183"/>
      <c r="G31" s="166"/>
    </row>
    <row r="32" spans="1:9" x14ac:dyDescent="0.25">
      <c r="B32" s="182"/>
      <c r="C32" s="183"/>
      <c r="D32" s="183"/>
      <c r="E32" s="183"/>
      <c r="F32" s="183"/>
      <c r="G32" s="166"/>
    </row>
    <row r="33" spans="2:7" x14ac:dyDescent="0.25">
      <c r="B33" s="226" t="s">
        <v>1005</v>
      </c>
      <c r="C33" s="226"/>
      <c r="D33" s="226"/>
      <c r="E33" s="184"/>
      <c r="F33" s="184"/>
      <c r="G33" s="178"/>
    </row>
    <row r="34" spans="2:7" x14ac:dyDescent="0.25">
      <c r="B34" s="221" t="s">
        <v>1006</v>
      </c>
      <c r="C34" s="221"/>
      <c r="D34" s="221"/>
      <c r="E34" s="166"/>
      <c r="F34" s="166"/>
      <c r="G34" s="166"/>
    </row>
    <row r="35" spans="2:7" x14ac:dyDescent="0.25">
      <c r="B35" s="185" t="s">
        <v>1007</v>
      </c>
      <c r="C35" s="185"/>
      <c r="D35" s="185"/>
      <c r="E35" s="186"/>
      <c r="F35" s="186"/>
      <c r="G35" s="166"/>
    </row>
    <row r="36" spans="2:7" x14ac:dyDescent="0.25">
      <c r="B36" s="222" t="s">
        <v>1008</v>
      </c>
      <c r="C36" s="222"/>
      <c r="D36" s="222"/>
      <c r="E36" s="178"/>
      <c r="F36" s="178"/>
      <c r="G36" s="178"/>
    </row>
  </sheetData>
  <mergeCells count="9">
    <mergeCell ref="J2:N2"/>
    <mergeCell ref="B34:D34"/>
    <mergeCell ref="B36:D36"/>
    <mergeCell ref="A1:H1"/>
    <mergeCell ref="A2:H2"/>
    <mergeCell ref="A3:H3"/>
    <mergeCell ref="B22:C22"/>
    <mergeCell ref="B23:C23"/>
    <mergeCell ref="B33:D3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55205-5DE7-4A0D-A44B-5565DE2EDAAF}">
  <dimension ref="B1:L213"/>
  <sheetViews>
    <sheetView workbookViewId="0">
      <selection activeCell="B128" sqref="B128"/>
    </sheetView>
  </sheetViews>
  <sheetFormatPr defaultRowHeight="12.75" x14ac:dyDescent="0.2"/>
  <cols>
    <col min="1" max="1" width="6.140625" style="235" customWidth="1"/>
    <col min="2" max="2" width="41.140625" style="235" customWidth="1"/>
    <col min="3" max="3" width="52.140625" style="235" bestFit="1" customWidth="1"/>
    <col min="4" max="4" width="17.28515625" style="235" bestFit="1" customWidth="1"/>
    <col min="5" max="5" width="21.28515625" style="235" customWidth="1"/>
    <col min="6" max="6" width="16.5703125" style="235" customWidth="1"/>
    <col min="7" max="7" width="19" style="235" customWidth="1"/>
    <col min="8" max="8" width="17.5703125" style="235" customWidth="1"/>
    <col min="9" max="9" width="15.5703125" style="235" bestFit="1" customWidth="1"/>
    <col min="10" max="10" width="13.5703125" style="235" customWidth="1"/>
    <col min="11" max="11" width="20.5703125" style="235" customWidth="1"/>
    <col min="12" max="12" width="12.42578125" style="235" bestFit="1" customWidth="1"/>
    <col min="13" max="256" width="9.140625" style="235"/>
    <col min="257" max="257" width="23" style="235" customWidth="1"/>
    <col min="258" max="258" width="41.140625" style="235" customWidth="1"/>
    <col min="259" max="259" width="52.140625" style="235" bestFit="1" customWidth="1"/>
    <col min="260" max="260" width="17.28515625" style="235" bestFit="1" customWidth="1"/>
    <col min="261" max="261" width="21.28515625" style="235" customWidth="1"/>
    <col min="262" max="262" width="16.5703125" style="235" customWidth="1"/>
    <col min="263" max="263" width="19" style="235" customWidth="1"/>
    <col min="264" max="264" width="17.5703125" style="235" customWidth="1"/>
    <col min="265" max="265" width="15.5703125" style="235" bestFit="1" customWidth="1"/>
    <col min="266" max="266" width="13.5703125" style="235" customWidth="1"/>
    <col min="267" max="267" width="20.5703125" style="235" customWidth="1"/>
    <col min="268" max="268" width="12.42578125" style="235" bestFit="1" customWidth="1"/>
    <col min="269" max="512" width="9.140625" style="235"/>
    <col min="513" max="513" width="23" style="235" customWidth="1"/>
    <col min="514" max="514" width="41.140625" style="235" customWidth="1"/>
    <col min="515" max="515" width="52.140625" style="235" bestFit="1" customWidth="1"/>
    <col min="516" max="516" width="17.28515625" style="235" bestFit="1" customWidth="1"/>
    <col min="517" max="517" width="21.28515625" style="235" customWidth="1"/>
    <col min="518" max="518" width="16.5703125" style="235" customWidth="1"/>
    <col min="519" max="519" width="19" style="235" customWidth="1"/>
    <col min="520" max="520" width="17.5703125" style="235" customWidth="1"/>
    <col min="521" max="521" width="15.5703125" style="235" bestFit="1" customWidth="1"/>
    <col min="522" max="522" width="13.5703125" style="235" customWidth="1"/>
    <col min="523" max="523" width="20.5703125" style="235" customWidth="1"/>
    <col min="524" max="524" width="12.42578125" style="235" bestFit="1" customWidth="1"/>
    <col min="525" max="768" width="9.140625" style="235"/>
    <col min="769" max="769" width="23" style="235" customWidth="1"/>
    <col min="770" max="770" width="41.140625" style="235" customWidth="1"/>
    <col min="771" max="771" width="52.140625" style="235" bestFit="1" customWidth="1"/>
    <col min="772" max="772" width="17.28515625" style="235" bestFit="1" customWidth="1"/>
    <col min="773" max="773" width="21.28515625" style="235" customWidth="1"/>
    <col min="774" max="774" width="16.5703125" style="235" customWidth="1"/>
    <col min="775" max="775" width="19" style="235" customWidth="1"/>
    <col min="776" max="776" width="17.5703125" style="235" customWidth="1"/>
    <col min="777" max="777" width="15.5703125" style="235" bestFit="1" customWidth="1"/>
    <col min="778" max="778" width="13.5703125" style="235" customWidth="1"/>
    <col min="779" max="779" width="20.5703125" style="235" customWidth="1"/>
    <col min="780" max="780" width="12.42578125" style="235" bestFit="1" customWidth="1"/>
    <col min="781" max="1024" width="9.140625" style="235"/>
    <col min="1025" max="1025" width="23" style="235" customWidth="1"/>
    <col min="1026" max="1026" width="41.140625" style="235" customWidth="1"/>
    <col min="1027" max="1027" width="52.140625" style="235" bestFit="1" customWidth="1"/>
    <col min="1028" max="1028" width="17.28515625" style="235" bestFit="1" customWidth="1"/>
    <col min="1029" max="1029" width="21.28515625" style="235" customWidth="1"/>
    <col min="1030" max="1030" width="16.5703125" style="235" customWidth="1"/>
    <col min="1031" max="1031" width="19" style="235" customWidth="1"/>
    <col min="1032" max="1032" width="17.5703125" style="235" customWidth="1"/>
    <col min="1033" max="1033" width="15.5703125" style="235" bestFit="1" customWidth="1"/>
    <col min="1034" max="1034" width="13.5703125" style="235" customWidth="1"/>
    <col min="1035" max="1035" width="20.5703125" style="235" customWidth="1"/>
    <col min="1036" max="1036" width="12.42578125" style="235" bestFit="1" customWidth="1"/>
    <col min="1037" max="1280" width="9.140625" style="235"/>
    <col min="1281" max="1281" width="23" style="235" customWidth="1"/>
    <col min="1282" max="1282" width="41.140625" style="235" customWidth="1"/>
    <col min="1283" max="1283" width="52.140625" style="235" bestFit="1" customWidth="1"/>
    <col min="1284" max="1284" width="17.28515625" style="235" bestFit="1" customWidth="1"/>
    <col min="1285" max="1285" width="21.28515625" style="235" customWidth="1"/>
    <col min="1286" max="1286" width="16.5703125" style="235" customWidth="1"/>
    <col min="1287" max="1287" width="19" style="235" customWidth="1"/>
    <col min="1288" max="1288" width="17.5703125" style="235" customWidth="1"/>
    <col min="1289" max="1289" width="15.5703125" style="235" bestFit="1" customWidth="1"/>
    <col min="1290" max="1290" width="13.5703125" style="235" customWidth="1"/>
    <col min="1291" max="1291" width="20.5703125" style="235" customWidth="1"/>
    <col min="1292" max="1292" width="12.42578125" style="235" bestFit="1" customWidth="1"/>
    <col min="1293" max="1536" width="9.140625" style="235"/>
    <col min="1537" max="1537" width="23" style="235" customWidth="1"/>
    <col min="1538" max="1538" width="41.140625" style="235" customWidth="1"/>
    <col min="1539" max="1539" width="52.140625" style="235" bestFit="1" customWidth="1"/>
    <col min="1540" max="1540" width="17.28515625" style="235" bestFit="1" customWidth="1"/>
    <col min="1541" max="1541" width="21.28515625" style="235" customWidth="1"/>
    <col min="1542" max="1542" width="16.5703125" style="235" customWidth="1"/>
    <col min="1543" max="1543" width="19" style="235" customWidth="1"/>
    <col min="1544" max="1544" width="17.5703125" style="235" customWidth="1"/>
    <col min="1545" max="1545" width="15.5703125" style="235" bestFit="1" customWidth="1"/>
    <col min="1546" max="1546" width="13.5703125" style="235" customWidth="1"/>
    <col min="1547" max="1547" width="20.5703125" style="235" customWidth="1"/>
    <col min="1548" max="1548" width="12.42578125" style="235" bestFit="1" customWidth="1"/>
    <col min="1549" max="1792" width="9.140625" style="235"/>
    <col min="1793" max="1793" width="23" style="235" customWidth="1"/>
    <col min="1794" max="1794" width="41.140625" style="235" customWidth="1"/>
    <col min="1795" max="1795" width="52.140625" style="235" bestFit="1" customWidth="1"/>
    <col min="1796" max="1796" width="17.28515625" style="235" bestFit="1" customWidth="1"/>
    <col min="1797" max="1797" width="21.28515625" style="235" customWidth="1"/>
    <col min="1798" max="1798" width="16.5703125" style="235" customWidth="1"/>
    <col min="1799" max="1799" width="19" style="235" customWidth="1"/>
    <col min="1800" max="1800" width="17.5703125" style="235" customWidth="1"/>
    <col min="1801" max="1801" width="15.5703125" style="235" bestFit="1" customWidth="1"/>
    <col min="1802" max="1802" width="13.5703125" style="235" customWidth="1"/>
    <col min="1803" max="1803" width="20.5703125" style="235" customWidth="1"/>
    <col min="1804" max="1804" width="12.42578125" style="235" bestFit="1" customWidth="1"/>
    <col min="1805" max="2048" width="9.140625" style="235"/>
    <col min="2049" max="2049" width="23" style="235" customWidth="1"/>
    <col min="2050" max="2050" width="41.140625" style="235" customWidth="1"/>
    <col min="2051" max="2051" width="52.140625" style="235" bestFit="1" customWidth="1"/>
    <col min="2052" max="2052" width="17.28515625" style="235" bestFit="1" customWidth="1"/>
    <col min="2053" max="2053" width="21.28515625" style="235" customWidth="1"/>
    <col min="2054" max="2054" width="16.5703125" style="235" customWidth="1"/>
    <col min="2055" max="2055" width="19" style="235" customWidth="1"/>
    <col min="2056" max="2056" width="17.5703125" style="235" customWidth="1"/>
    <col min="2057" max="2057" width="15.5703125" style="235" bestFit="1" customWidth="1"/>
    <col min="2058" max="2058" width="13.5703125" style="235" customWidth="1"/>
    <col min="2059" max="2059" width="20.5703125" style="235" customWidth="1"/>
    <col min="2060" max="2060" width="12.42578125" style="235" bestFit="1" customWidth="1"/>
    <col min="2061" max="2304" width="9.140625" style="235"/>
    <col min="2305" max="2305" width="23" style="235" customWidth="1"/>
    <col min="2306" max="2306" width="41.140625" style="235" customWidth="1"/>
    <col min="2307" max="2307" width="52.140625" style="235" bestFit="1" customWidth="1"/>
    <col min="2308" max="2308" width="17.28515625" style="235" bestFit="1" customWidth="1"/>
    <col min="2309" max="2309" width="21.28515625" style="235" customWidth="1"/>
    <col min="2310" max="2310" width="16.5703125" style="235" customWidth="1"/>
    <col min="2311" max="2311" width="19" style="235" customWidth="1"/>
    <col min="2312" max="2312" width="17.5703125" style="235" customWidth="1"/>
    <col min="2313" max="2313" width="15.5703125" style="235" bestFit="1" customWidth="1"/>
    <col min="2314" max="2314" width="13.5703125" style="235" customWidth="1"/>
    <col min="2315" max="2315" width="20.5703125" style="235" customWidth="1"/>
    <col min="2316" max="2316" width="12.42578125" style="235" bestFit="1" customWidth="1"/>
    <col min="2317" max="2560" width="9.140625" style="235"/>
    <col min="2561" max="2561" width="23" style="235" customWidth="1"/>
    <col min="2562" max="2562" width="41.140625" style="235" customWidth="1"/>
    <col min="2563" max="2563" width="52.140625" style="235" bestFit="1" customWidth="1"/>
    <col min="2564" max="2564" width="17.28515625" style="235" bestFit="1" customWidth="1"/>
    <col min="2565" max="2565" width="21.28515625" style="235" customWidth="1"/>
    <col min="2566" max="2566" width="16.5703125" style="235" customWidth="1"/>
    <col min="2567" max="2567" width="19" style="235" customWidth="1"/>
    <col min="2568" max="2568" width="17.5703125" style="235" customWidth="1"/>
    <col min="2569" max="2569" width="15.5703125" style="235" bestFit="1" customWidth="1"/>
    <col min="2570" max="2570" width="13.5703125" style="235" customWidth="1"/>
    <col min="2571" max="2571" width="20.5703125" style="235" customWidth="1"/>
    <col min="2572" max="2572" width="12.42578125" style="235" bestFit="1" customWidth="1"/>
    <col min="2573" max="2816" width="9.140625" style="235"/>
    <col min="2817" max="2817" width="23" style="235" customWidth="1"/>
    <col min="2818" max="2818" width="41.140625" style="235" customWidth="1"/>
    <col min="2819" max="2819" width="52.140625" style="235" bestFit="1" customWidth="1"/>
    <col min="2820" max="2820" width="17.28515625" style="235" bestFit="1" customWidth="1"/>
    <col min="2821" max="2821" width="21.28515625" style="235" customWidth="1"/>
    <col min="2822" max="2822" width="16.5703125" style="235" customWidth="1"/>
    <col min="2823" max="2823" width="19" style="235" customWidth="1"/>
    <col min="2824" max="2824" width="17.5703125" style="235" customWidth="1"/>
    <col min="2825" max="2825" width="15.5703125" style="235" bestFit="1" customWidth="1"/>
    <col min="2826" max="2826" width="13.5703125" style="235" customWidth="1"/>
    <col min="2827" max="2827" width="20.5703125" style="235" customWidth="1"/>
    <col min="2828" max="2828" width="12.42578125" style="235" bestFit="1" customWidth="1"/>
    <col min="2829" max="3072" width="9.140625" style="235"/>
    <col min="3073" max="3073" width="23" style="235" customWidth="1"/>
    <col min="3074" max="3074" width="41.140625" style="235" customWidth="1"/>
    <col min="3075" max="3075" width="52.140625" style="235" bestFit="1" customWidth="1"/>
    <col min="3076" max="3076" width="17.28515625" style="235" bestFit="1" customWidth="1"/>
    <col min="3077" max="3077" width="21.28515625" style="235" customWidth="1"/>
    <col min="3078" max="3078" width="16.5703125" style="235" customWidth="1"/>
    <col min="3079" max="3079" width="19" style="235" customWidth="1"/>
    <col min="3080" max="3080" width="17.5703125" style="235" customWidth="1"/>
    <col min="3081" max="3081" width="15.5703125" style="235" bestFit="1" customWidth="1"/>
    <col min="3082" max="3082" width="13.5703125" style="235" customWidth="1"/>
    <col min="3083" max="3083" width="20.5703125" style="235" customWidth="1"/>
    <col min="3084" max="3084" width="12.42578125" style="235" bestFit="1" customWidth="1"/>
    <col min="3085" max="3328" width="9.140625" style="235"/>
    <col min="3329" max="3329" width="23" style="235" customWidth="1"/>
    <col min="3330" max="3330" width="41.140625" style="235" customWidth="1"/>
    <col min="3331" max="3331" width="52.140625" style="235" bestFit="1" customWidth="1"/>
    <col min="3332" max="3332" width="17.28515625" style="235" bestFit="1" customWidth="1"/>
    <col min="3333" max="3333" width="21.28515625" style="235" customWidth="1"/>
    <col min="3334" max="3334" width="16.5703125" style="235" customWidth="1"/>
    <col min="3335" max="3335" width="19" style="235" customWidth="1"/>
    <col min="3336" max="3336" width="17.5703125" style="235" customWidth="1"/>
    <col min="3337" max="3337" width="15.5703125" style="235" bestFit="1" customWidth="1"/>
    <col min="3338" max="3338" width="13.5703125" style="235" customWidth="1"/>
    <col min="3339" max="3339" width="20.5703125" style="235" customWidth="1"/>
    <col min="3340" max="3340" width="12.42578125" style="235" bestFit="1" customWidth="1"/>
    <col min="3341" max="3584" width="9.140625" style="235"/>
    <col min="3585" max="3585" width="23" style="235" customWidth="1"/>
    <col min="3586" max="3586" width="41.140625" style="235" customWidth="1"/>
    <col min="3587" max="3587" width="52.140625" style="235" bestFit="1" customWidth="1"/>
    <col min="3588" max="3588" width="17.28515625" style="235" bestFit="1" customWidth="1"/>
    <col min="3589" max="3589" width="21.28515625" style="235" customWidth="1"/>
    <col min="3590" max="3590" width="16.5703125" style="235" customWidth="1"/>
    <col min="3591" max="3591" width="19" style="235" customWidth="1"/>
    <col min="3592" max="3592" width="17.5703125" style="235" customWidth="1"/>
    <col min="3593" max="3593" width="15.5703125" style="235" bestFit="1" customWidth="1"/>
    <col min="3594" max="3594" width="13.5703125" style="235" customWidth="1"/>
    <col min="3595" max="3595" width="20.5703125" style="235" customWidth="1"/>
    <col min="3596" max="3596" width="12.42578125" style="235" bestFit="1" customWidth="1"/>
    <col min="3597" max="3840" width="9.140625" style="235"/>
    <col min="3841" max="3841" width="23" style="235" customWidth="1"/>
    <col min="3842" max="3842" width="41.140625" style="235" customWidth="1"/>
    <col min="3843" max="3843" width="52.140625" style="235" bestFit="1" customWidth="1"/>
    <col min="3844" max="3844" width="17.28515625" style="235" bestFit="1" customWidth="1"/>
    <col min="3845" max="3845" width="21.28515625" style="235" customWidth="1"/>
    <col min="3846" max="3846" width="16.5703125" style="235" customWidth="1"/>
    <col min="3847" max="3847" width="19" style="235" customWidth="1"/>
    <col min="3848" max="3848" width="17.5703125" style="235" customWidth="1"/>
    <col min="3849" max="3849" width="15.5703125" style="235" bestFit="1" customWidth="1"/>
    <col min="3850" max="3850" width="13.5703125" style="235" customWidth="1"/>
    <col min="3851" max="3851" width="20.5703125" style="235" customWidth="1"/>
    <col min="3852" max="3852" width="12.42578125" style="235" bestFit="1" customWidth="1"/>
    <col min="3853" max="4096" width="9.140625" style="235"/>
    <col min="4097" max="4097" width="23" style="235" customWidth="1"/>
    <col min="4098" max="4098" width="41.140625" style="235" customWidth="1"/>
    <col min="4099" max="4099" width="52.140625" style="235" bestFit="1" customWidth="1"/>
    <col min="4100" max="4100" width="17.28515625" style="235" bestFit="1" customWidth="1"/>
    <col min="4101" max="4101" width="21.28515625" style="235" customWidth="1"/>
    <col min="4102" max="4102" width="16.5703125" style="235" customWidth="1"/>
    <col min="4103" max="4103" width="19" style="235" customWidth="1"/>
    <col min="4104" max="4104" width="17.5703125" style="235" customWidth="1"/>
    <col min="4105" max="4105" width="15.5703125" style="235" bestFit="1" customWidth="1"/>
    <col min="4106" max="4106" width="13.5703125" style="235" customWidth="1"/>
    <col min="4107" max="4107" width="20.5703125" style="235" customWidth="1"/>
    <col min="4108" max="4108" width="12.42578125" style="235" bestFit="1" customWidth="1"/>
    <col min="4109" max="4352" width="9.140625" style="235"/>
    <col min="4353" max="4353" width="23" style="235" customWidth="1"/>
    <col min="4354" max="4354" width="41.140625" style="235" customWidth="1"/>
    <col min="4355" max="4355" width="52.140625" style="235" bestFit="1" customWidth="1"/>
    <col min="4356" max="4356" width="17.28515625" style="235" bestFit="1" customWidth="1"/>
    <col min="4357" max="4357" width="21.28515625" style="235" customWidth="1"/>
    <col min="4358" max="4358" width="16.5703125" style="235" customWidth="1"/>
    <col min="4359" max="4359" width="19" style="235" customWidth="1"/>
    <col min="4360" max="4360" width="17.5703125" style="235" customWidth="1"/>
    <col min="4361" max="4361" width="15.5703125" style="235" bestFit="1" customWidth="1"/>
    <col min="4362" max="4362" width="13.5703125" style="235" customWidth="1"/>
    <col min="4363" max="4363" width="20.5703125" style="235" customWidth="1"/>
    <col min="4364" max="4364" width="12.42578125" style="235" bestFit="1" customWidth="1"/>
    <col min="4365" max="4608" width="9.140625" style="235"/>
    <col min="4609" max="4609" width="23" style="235" customWidth="1"/>
    <col min="4610" max="4610" width="41.140625" style="235" customWidth="1"/>
    <col min="4611" max="4611" width="52.140625" style="235" bestFit="1" customWidth="1"/>
    <col min="4612" max="4612" width="17.28515625" style="235" bestFit="1" customWidth="1"/>
    <col min="4613" max="4613" width="21.28515625" style="235" customWidth="1"/>
    <col min="4614" max="4614" width="16.5703125" style="235" customWidth="1"/>
    <col min="4615" max="4615" width="19" style="235" customWidth="1"/>
    <col min="4616" max="4616" width="17.5703125" style="235" customWidth="1"/>
    <col min="4617" max="4617" width="15.5703125" style="235" bestFit="1" customWidth="1"/>
    <col min="4618" max="4618" width="13.5703125" style="235" customWidth="1"/>
    <col min="4619" max="4619" width="20.5703125" style="235" customWidth="1"/>
    <col min="4620" max="4620" width="12.42578125" style="235" bestFit="1" customWidth="1"/>
    <col min="4621" max="4864" width="9.140625" style="235"/>
    <col min="4865" max="4865" width="23" style="235" customWidth="1"/>
    <col min="4866" max="4866" width="41.140625" style="235" customWidth="1"/>
    <col min="4867" max="4867" width="52.140625" style="235" bestFit="1" customWidth="1"/>
    <col min="4868" max="4868" width="17.28515625" style="235" bestFit="1" customWidth="1"/>
    <col min="4869" max="4869" width="21.28515625" style="235" customWidth="1"/>
    <col min="4870" max="4870" width="16.5703125" style="235" customWidth="1"/>
    <col min="4871" max="4871" width="19" style="235" customWidth="1"/>
    <col min="4872" max="4872" width="17.5703125" style="235" customWidth="1"/>
    <col min="4873" max="4873" width="15.5703125" style="235" bestFit="1" customWidth="1"/>
    <col min="4874" max="4874" width="13.5703125" style="235" customWidth="1"/>
    <col min="4875" max="4875" width="20.5703125" style="235" customWidth="1"/>
    <col min="4876" max="4876" width="12.42578125" style="235" bestFit="1" customWidth="1"/>
    <col min="4877" max="5120" width="9.140625" style="235"/>
    <col min="5121" max="5121" width="23" style="235" customWidth="1"/>
    <col min="5122" max="5122" width="41.140625" style="235" customWidth="1"/>
    <col min="5123" max="5123" width="52.140625" style="235" bestFit="1" customWidth="1"/>
    <col min="5124" max="5124" width="17.28515625" style="235" bestFit="1" customWidth="1"/>
    <col min="5125" max="5125" width="21.28515625" style="235" customWidth="1"/>
    <col min="5126" max="5126" width="16.5703125" style="235" customWidth="1"/>
    <col min="5127" max="5127" width="19" style="235" customWidth="1"/>
    <col min="5128" max="5128" width="17.5703125" style="235" customWidth="1"/>
    <col min="5129" max="5129" width="15.5703125" style="235" bestFit="1" customWidth="1"/>
    <col min="5130" max="5130" width="13.5703125" style="235" customWidth="1"/>
    <col min="5131" max="5131" width="20.5703125" style="235" customWidth="1"/>
    <col min="5132" max="5132" width="12.42578125" style="235" bestFit="1" customWidth="1"/>
    <col min="5133" max="5376" width="9.140625" style="235"/>
    <col min="5377" max="5377" width="23" style="235" customWidth="1"/>
    <col min="5378" max="5378" width="41.140625" style="235" customWidth="1"/>
    <col min="5379" max="5379" width="52.140625" style="235" bestFit="1" customWidth="1"/>
    <col min="5380" max="5380" width="17.28515625" style="235" bestFit="1" customWidth="1"/>
    <col min="5381" max="5381" width="21.28515625" style="235" customWidth="1"/>
    <col min="5382" max="5382" width="16.5703125" style="235" customWidth="1"/>
    <col min="5383" max="5383" width="19" style="235" customWidth="1"/>
    <col min="5384" max="5384" width="17.5703125" style="235" customWidth="1"/>
    <col min="5385" max="5385" width="15.5703125" style="235" bestFit="1" customWidth="1"/>
    <col min="5386" max="5386" width="13.5703125" style="235" customWidth="1"/>
    <col min="5387" max="5387" width="20.5703125" style="235" customWidth="1"/>
    <col min="5388" max="5388" width="12.42578125" style="235" bestFit="1" customWidth="1"/>
    <col min="5389" max="5632" width="9.140625" style="235"/>
    <col min="5633" max="5633" width="23" style="235" customWidth="1"/>
    <col min="5634" max="5634" width="41.140625" style="235" customWidth="1"/>
    <col min="5635" max="5635" width="52.140625" style="235" bestFit="1" customWidth="1"/>
    <col min="5636" max="5636" width="17.28515625" style="235" bestFit="1" customWidth="1"/>
    <col min="5637" max="5637" width="21.28515625" style="235" customWidth="1"/>
    <col min="5638" max="5638" width="16.5703125" style="235" customWidth="1"/>
    <col min="5639" max="5639" width="19" style="235" customWidth="1"/>
    <col min="5640" max="5640" width="17.5703125" style="235" customWidth="1"/>
    <col min="5641" max="5641" width="15.5703125" style="235" bestFit="1" customWidth="1"/>
    <col min="5642" max="5642" width="13.5703125" style="235" customWidth="1"/>
    <col min="5643" max="5643" width="20.5703125" style="235" customWidth="1"/>
    <col min="5644" max="5644" width="12.42578125" style="235" bestFit="1" customWidth="1"/>
    <col min="5645" max="5888" width="9.140625" style="235"/>
    <col min="5889" max="5889" width="23" style="235" customWidth="1"/>
    <col min="5890" max="5890" width="41.140625" style="235" customWidth="1"/>
    <col min="5891" max="5891" width="52.140625" style="235" bestFit="1" customWidth="1"/>
    <col min="5892" max="5892" width="17.28515625" style="235" bestFit="1" customWidth="1"/>
    <col min="5893" max="5893" width="21.28515625" style="235" customWidth="1"/>
    <col min="5894" max="5894" width="16.5703125" style="235" customWidth="1"/>
    <col min="5895" max="5895" width="19" style="235" customWidth="1"/>
    <col min="5896" max="5896" width="17.5703125" style="235" customWidth="1"/>
    <col min="5897" max="5897" width="15.5703125" style="235" bestFit="1" customWidth="1"/>
    <col min="5898" max="5898" width="13.5703125" style="235" customWidth="1"/>
    <col min="5899" max="5899" width="20.5703125" style="235" customWidth="1"/>
    <col min="5900" max="5900" width="12.42578125" style="235" bestFit="1" customWidth="1"/>
    <col min="5901" max="6144" width="9.140625" style="235"/>
    <col min="6145" max="6145" width="23" style="235" customWidth="1"/>
    <col min="6146" max="6146" width="41.140625" style="235" customWidth="1"/>
    <col min="6147" max="6147" width="52.140625" style="235" bestFit="1" customWidth="1"/>
    <col min="6148" max="6148" width="17.28515625" style="235" bestFit="1" customWidth="1"/>
    <col min="6149" max="6149" width="21.28515625" style="235" customWidth="1"/>
    <col min="6150" max="6150" width="16.5703125" style="235" customWidth="1"/>
    <col min="6151" max="6151" width="19" style="235" customWidth="1"/>
    <col min="6152" max="6152" width="17.5703125" style="235" customWidth="1"/>
    <col min="6153" max="6153" width="15.5703125" style="235" bestFit="1" customWidth="1"/>
    <col min="6154" max="6154" width="13.5703125" style="235" customWidth="1"/>
    <col min="6155" max="6155" width="20.5703125" style="235" customWidth="1"/>
    <col min="6156" max="6156" width="12.42578125" style="235" bestFit="1" customWidth="1"/>
    <col min="6157" max="6400" width="9.140625" style="235"/>
    <col min="6401" max="6401" width="23" style="235" customWidth="1"/>
    <col min="6402" max="6402" width="41.140625" style="235" customWidth="1"/>
    <col min="6403" max="6403" width="52.140625" style="235" bestFit="1" customWidth="1"/>
    <col min="6404" max="6404" width="17.28515625" style="235" bestFit="1" customWidth="1"/>
    <col min="6405" max="6405" width="21.28515625" style="235" customWidth="1"/>
    <col min="6406" max="6406" width="16.5703125" style="235" customWidth="1"/>
    <col min="6407" max="6407" width="19" style="235" customWidth="1"/>
    <col min="6408" max="6408" width="17.5703125" style="235" customWidth="1"/>
    <col min="6409" max="6409" width="15.5703125" style="235" bestFit="1" customWidth="1"/>
    <col min="6410" max="6410" width="13.5703125" style="235" customWidth="1"/>
    <col min="6411" max="6411" width="20.5703125" style="235" customWidth="1"/>
    <col min="6412" max="6412" width="12.42578125" style="235" bestFit="1" customWidth="1"/>
    <col min="6413" max="6656" width="9.140625" style="235"/>
    <col min="6657" max="6657" width="23" style="235" customWidth="1"/>
    <col min="6658" max="6658" width="41.140625" style="235" customWidth="1"/>
    <col min="6659" max="6659" width="52.140625" style="235" bestFit="1" customWidth="1"/>
    <col min="6660" max="6660" width="17.28515625" style="235" bestFit="1" customWidth="1"/>
    <col min="6661" max="6661" width="21.28515625" style="235" customWidth="1"/>
    <col min="6662" max="6662" width="16.5703125" style="235" customWidth="1"/>
    <col min="6663" max="6663" width="19" style="235" customWidth="1"/>
    <col min="6664" max="6664" width="17.5703125" style="235" customWidth="1"/>
    <col min="6665" max="6665" width="15.5703125" style="235" bestFit="1" customWidth="1"/>
    <col min="6666" max="6666" width="13.5703125" style="235" customWidth="1"/>
    <col min="6667" max="6667" width="20.5703125" style="235" customWidth="1"/>
    <col min="6668" max="6668" width="12.42578125" style="235" bestFit="1" customWidth="1"/>
    <col min="6669" max="6912" width="9.140625" style="235"/>
    <col min="6913" max="6913" width="23" style="235" customWidth="1"/>
    <col min="6914" max="6914" width="41.140625" style="235" customWidth="1"/>
    <col min="6915" max="6915" width="52.140625" style="235" bestFit="1" customWidth="1"/>
    <col min="6916" max="6916" width="17.28515625" style="235" bestFit="1" customWidth="1"/>
    <col min="6917" max="6917" width="21.28515625" style="235" customWidth="1"/>
    <col min="6918" max="6918" width="16.5703125" style="235" customWidth="1"/>
    <col min="6919" max="6919" width="19" style="235" customWidth="1"/>
    <col min="6920" max="6920" width="17.5703125" style="235" customWidth="1"/>
    <col min="6921" max="6921" width="15.5703125" style="235" bestFit="1" customWidth="1"/>
    <col min="6922" max="6922" width="13.5703125" style="235" customWidth="1"/>
    <col min="6923" max="6923" width="20.5703125" style="235" customWidth="1"/>
    <col min="6924" max="6924" width="12.42578125" style="235" bestFit="1" customWidth="1"/>
    <col min="6925" max="7168" width="9.140625" style="235"/>
    <col min="7169" max="7169" width="23" style="235" customWidth="1"/>
    <col min="7170" max="7170" width="41.140625" style="235" customWidth="1"/>
    <col min="7171" max="7171" width="52.140625" style="235" bestFit="1" customWidth="1"/>
    <col min="7172" max="7172" width="17.28515625" style="235" bestFit="1" customWidth="1"/>
    <col min="7173" max="7173" width="21.28515625" style="235" customWidth="1"/>
    <col min="7174" max="7174" width="16.5703125" style="235" customWidth="1"/>
    <col min="7175" max="7175" width="19" style="235" customWidth="1"/>
    <col min="7176" max="7176" width="17.5703125" style="235" customWidth="1"/>
    <col min="7177" max="7177" width="15.5703125" style="235" bestFit="1" customWidth="1"/>
    <col min="7178" max="7178" width="13.5703125" style="235" customWidth="1"/>
    <col min="7179" max="7179" width="20.5703125" style="235" customWidth="1"/>
    <col min="7180" max="7180" width="12.42578125" style="235" bestFit="1" customWidth="1"/>
    <col min="7181" max="7424" width="9.140625" style="235"/>
    <col min="7425" max="7425" width="23" style="235" customWidth="1"/>
    <col min="7426" max="7426" width="41.140625" style="235" customWidth="1"/>
    <col min="7427" max="7427" width="52.140625" style="235" bestFit="1" customWidth="1"/>
    <col min="7428" max="7428" width="17.28515625" style="235" bestFit="1" customWidth="1"/>
    <col min="7429" max="7429" width="21.28515625" style="235" customWidth="1"/>
    <col min="7430" max="7430" width="16.5703125" style="235" customWidth="1"/>
    <col min="7431" max="7431" width="19" style="235" customWidth="1"/>
    <col min="7432" max="7432" width="17.5703125" style="235" customWidth="1"/>
    <col min="7433" max="7433" width="15.5703125" style="235" bestFit="1" customWidth="1"/>
    <col min="7434" max="7434" width="13.5703125" style="235" customWidth="1"/>
    <col min="7435" max="7435" width="20.5703125" style="235" customWidth="1"/>
    <col min="7436" max="7436" width="12.42578125" style="235" bestFit="1" customWidth="1"/>
    <col min="7437" max="7680" width="9.140625" style="235"/>
    <col min="7681" max="7681" width="23" style="235" customWidth="1"/>
    <col min="7682" max="7682" width="41.140625" style="235" customWidth="1"/>
    <col min="7683" max="7683" width="52.140625" style="235" bestFit="1" customWidth="1"/>
    <col min="7684" max="7684" width="17.28515625" style="235" bestFit="1" customWidth="1"/>
    <col min="7685" max="7685" width="21.28515625" style="235" customWidth="1"/>
    <col min="7686" max="7686" width="16.5703125" style="235" customWidth="1"/>
    <col min="7687" max="7687" width="19" style="235" customWidth="1"/>
    <col min="7688" max="7688" width="17.5703125" style="235" customWidth="1"/>
    <col min="7689" max="7689" width="15.5703125" style="235" bestFit="1" customWidth="1"/>
    <col min="7690" max="7690" width="13.5703125" style="235" customWidth="1"/>
    <col min="7691" max="7691" width="20.5703125" style="235" customWidth="1"/>
    <col min="7692" max="7692" width="12.42578125" style="235" bestFit="1" customWidth="1"/>
    <col min="7693" max="7936" width="9.140625" style="235"/>
    <col min="7937" max="7937" width="23" style="235" customWidth="1"/>
    <col min="7938" max="7938" width="41.140625" style="235" customWidth="1"/>
    <col min="7939" max="7939" width="52.140625" style="235" bestFit="1" customWidth="1"/>
    <col min="7940" max="7940" width="17.28515625" style="235" bestFit="1" customWidth="1"/>
    <col min="7941" max="7941" width="21.28515625" style="235" customWidth="1"/>
    <col min="7942" max="7942" width="16.5703125" style="235" customWidth="1"/>
    <col min="7943" max="7943" width="19" style="235" customWidth="1"/>
    <col min="7944" max="7944" width="17.5703125" style="235" customWidth="1"/>
    <col min="7945" max="7945" width="15.5703125" style="235" bestFit="1" customWidth="1"/>
    <col min="7946" max="7946" width="13.5703125" style="235" customWidth="1"/>
    <col min="7947" max="7947" width="20.5703125" style="235" customWidth="1"/>
    <col min="7948" max="7948" width="12.42578125" style="235" bestFit="1" customWidth="1"/>
    <col min="7949" max="8192" width="9.140625" style="235"/>
    <col min="8193" max="8193" width="23" style="235" customWidth="1"/>
    <col min="8194" max="8194" width="41.140625" style="235" customWidth="1"/>
    <col min="8195" max="8195" width="52.140625" style="235" bestFit="1" customWidth="1"/>
    <col min="8196" max="8196" width="17.28515625" style="235" bestFit="1" customWidth="1"/>
    <col min="8197" max="8197" width="21.28515625" style="235" customWidth="1"/>
    <col min="8198" max="8198" width="16.5703125" style="235" customWidth="1"/>
    <col min="8199" max="8199" width="19" style="235" customWidth="1"/>
    <col min="8200" max="8200" width="17.5703125" style="235" customWidth="1"/>
    <col min="8201" max="8201" width="15.5703125" style="235" bestFit="1" customWidth="1"/>
    <col min="8202" max="8202" width="13.5703125" style="235" customWidth="1"/>
    <col min="8203" max="8203" width="20.5703125" style="235" customWidth="1"/>
    <col min="8204" max="8204" width="12.42578125" style="235" bestFit="1" customWidth="1"/>
    <col min="8205" max="8448" width="9.140625" style="235"/>
    <col min="8449" max="8449" width="23" style="235" customWidth="1"/>
    <col min="8450" max="8450" width="41.140625" style="235" customWidth="1"/>
    <col min="8451" max="8451" width="52.140625" style="235" bestFit="1" customWidth="1"/>
    <col min="8452" max="8452" width="17.28515625" style="235" bestFit="1" customWidth="1"/>
    <col min="8453" max="8453" width="21.28515625" style="235" customWidth="1"/>
    <col min="8454" max="8454" width="16.5703125" style="235" customWidth="1"/>
    <col min="8455" max="8455" width="19" style="235" customWidth="1"/>
    <col min="8456" max="8456" width="17.5703125" style="235" customWidth="1"/>
    <col min="8457" max="8457" width="15.5703125" style="235" bestFit="1" customWidth="1"/>
    <col min="8458" max="8458" width="13.5703125" style="235" customWidth="1"/>
    <col min="8459" max="8459" width="20.5703125" style="235" customWidth="1"/>
    <col min="8460" max="8460" width="12.42578125" style="235" bestFit="1" customWidth="1"/>
    <col min="8461" max="8704" width="9.140625" style="235"/>
    <col min="8705" max="8705" width="23" style="235" customWidth="1"/>
    <col min="8706" max="8706" width="41.140625" style="235" customWidth="1"/>
    <col min="8707" max="8707" width="52.140625" style="235" bestFit="1" customWidth="1"/>
    <col min="8708" max="8708" width="17.28515625" style="235" bestFit="1" customWidth="1"/>
    <col min="8709" max="8709" width="21.28515625" style="235" customWidth="1"/>
    <col min="8710" max="8710" width="16.5703125" style="235" customWidth="1"/>
    <col min="8711" max="8711" width="19" style="235" customWidth="1"/>
    <col min="8712" max="8712" width="17.5703125" style="235" customWidth="1"/>
    <col min="8713" max="8713" width="15.5703125" style="235" bestFit="1" customWidth="1"/>
    <col min="8714" max="8714" width="13.5703125" style="235" customWidth="1"/>
    <col min="8715" max="8715" width="20.5703125" style="235" customWidth="1"/>
    <col min="8716" max="8716" width="12.42578125" style="235" bestFit="1" customWidth="1"/>
    <col min="8717" max="8960" width="9.140625" style="235"/>
    <col min="8961" max="8961" width="23" style="235" customWidth="1"/>
    <col min="8962" max="8962" width="41.140625" style="235" customWidth="1"/>
    <col min="8963" max="8963" width="52.140625" style="235" bestFit="1" customWidth="1"/>
    <col min="8964" max="8964" width="17.28515625" style="235" bestFit="1" customWidth="1"/>
    <col min="8965" max="8965" width="21.28515625" style="235" customWidth="1"/>
    <col min="8966" max="8966" width="16.5703125" style="235" customWidth="1"/>
    <col min="8967" max="8967" width="19" style="235" customWidth="1"/>
    <col min="8968" max="8968" width="17.5703125" style="235" customWidth="1"/>
    <col min="8969" max="8969" width="15.5703125" style="235" bestFit="1" customWidth="1"/>
    <col min="8970" max="8970" width="13.5703125" style="235" customWidth="1"/>
    <col min="8971" max="8971" width="20.5703125" style="235" customWidth="1"/>
    <col min="8972" max="8972" width="12.42578125" style="235" bestFit="1" customWidth="1"/>
    <col min="8973" max="9216" width="9.140625" style="235"/>
    <col min="9217" max="9217" width="23" style="235" customWidth="1"/>
    <col min="9218" max="9218" width="41.140625" style="235" customWidth="1"/>
    <col min="9219" max="9219" width="52.140625" style="235" bestFit="1" customWidth="1"/>
    <col min="9220" max="9220" width="17.28515625" style="235" bestFit="1" customWidth="1"/>
    <col min="9221" max="9221" width="21.28515625" style="235" customWidth="1"/>
    <col min="9222" max="9222" width="16.5703125" style="235" customWidth="1"/>
    <col min="9223" max="9223" width="19" style="235" customWidth="1"/>
    <col min="9224" max="9224" width="17.5703125" style="235" customWidth="1"/>
    <col min="9225" max="9225" width="15.5703125" style="235" bestFit="1" customWidth="1"/>
    <col min="9226" max="9226" width="13.5703125" style="235" customWidth="1"/>
    <col min="9227" max="9227" width="20.5703125" style="235" customWidth="1"/>
    <col min="9228" max="9228" width="12.42578125" style="235" bestFit="1" customWidth="1"/>
    <col min="9229" max="9472" width="9.140625" style="235"/>
    <col min="9473" max="9473" width="23" style="235" customWidth="1"/>
    <col min="9474" max="9474" width="41.140625" style="235" customWidth="1"/>
    <col min="9475" max="9475" width="52.140625" style="235" bestFit="1" customWidth="1"/>
    <col min="9476" max="9476" width="17.28515625" style="235" bestFit="1" customWidth="1"/>
    <col min="9477" max="9477" width="21.28515625" style="235" customWidth="1"/>
    <col min="9478" max="9478" width="16.5703125" style="235" customWidth="1"/>
    <col min="9479" max="9479" width="19" style="235" customWidth="1"/>
    <col min="9480" max="9480" width="17.5703125" style="235" customWidth="1"/>
    <col min="9481" max="9481" width="15.5703125" style="235" bestFit="1" customWidth="1"/>
    <col min="9482" max="9482" width="13.5703125" style="235" customWidth="1"/>
    <col min="9483" max="9483" width="20.5703125" style="235" customWidth="1"/>
    <col min="9484" max="9484" width="12.42578125" style="235" bestFit="1" customWidth="1"/>
    <col min="9485" max="9728" width="9.140625" style="235"/>
    <col min="9729" max="9729" width="23" style="235" customWidth="1"/>
    <col min="9730" max="9730" width="41.140625" style="235" customWidth="1"/>
    <col min="9731" max="9731" width="52.140625" style="235" bestFit="1" customWidth="1"/>
    <col min="9732" max="9732" width="17.28515625" style="235" bestFit="1" customWidth="1"/>
    <col min="9733" max="9733" width="21.28515625" style="235" customWidth="1"/>
    <col min="9734" max="9734" width="16.5703125" style="235" customWidth="1"/>
    <col min="9735" max="9735" width="19" style="235" customWidth="1"/>
    <col min="9736" max="9736" width="17.5703125" style="235" customWidth="1"/>
    <col min="9737" max="9737" width="15.5703125" style="235" bestFit="1" customWidth="1"/>
    <col min="9738" max="9738" width="13.5703125" style="235" customWidth="1"/>
    <col min="9739" max="9739" width="20.5703125" style="235" customWidth="1"/>
    <col min="9740" max="9740" width="12.42578125" style="235" bestFit="1" customWidth="1"/>
    <col min="9741" max="9984" width="9.140625" style="235"/>
    <col min="9985" max="9985" width="23" style="235" customWidth="1"/>
    <col min="9986" max="9986" width="41.140625" style="235" customWidth="1"/>
    <col min="9987" max="9987" width="52.140625" style="235" bestFit="1" customWidth="1"/>
    <col min="9988" max="9988" width="17.28515625" style="235" bestFit="1" customWidth="1"/>
    <col min="9989" max="9989" width="21.28515625" style="235" customWidth="1"/>
    <col min="9990" max="9990" width="16.5703125" style="235" customWidth="1"/>
    <col min="9991" max="9991" width="19" style="235" customWidth="1"/>
    <col min="9992" max="9992" width="17.5703125" style="235" customWidth="1"/>
    <col min="9993" max="9993" width="15.5703125" style="235" bestFit="1" customWidth="1"/>
    <col min="9994" max="9994" width="13.5703125" style="235" customWidth="1"/>
    <col min="9995" max="9995" width="20.5703125" style="235" customWidth="1"/>
    <col min="9996" max="9996" width="12.42578125" style="235" bestFit="1" customWidth="1"/>
    <col min="9997" max="10240" width="9.140625" style="235"/>
    <col min="10241" max="10241" width="23" style="235" customWidth="1"/>
    <col min="10242" max="10242" width="41.140625" style="235" customWidth="1"/>
    <col min="10243" max="10243" width="52.140625" style="235" bestFit="1" customWidth="1"/>
    <col min="10244" max="10244" width="17.28515625" style="235" bestFit="1" customWidth="1"/>
    <col min="10245" max="10245" width="21.28515625" style="235" customWidth="1"/>
    <col min="10246" max="10246" width="16.5703125" style="235" customWidth="1"/>
    <col min="10247" max="10247" width="19" style="235" customWidth="1"/>
    <col min="10248" max="10248" width="17.5703125" style="235" customWidth="1"/>
    <col min="10249" max="10249" width="15.5703125" style="235" bestFit="1" customWidth="1"/>
    <col min="10250" max="10250" width="13.5703125" style="235" customWidth="1"/>
    <col min="10251" max="10251" width="20.5703125" style="235" customWidth="1"/>
    <col min="10252" max="10252" width="12.42578125" style="235" bestFit="1" customWidth="1"/>
    <col min="10253" max="10496" width="9.140625" style="235"/>
    <col min="10497" max="10497" width="23" style="235" customWidth="1"/>
    <col min="10498" max="10498" width="41.140625" style="235" customWidth="1"/>
    <col min="10499" max="10499" width="52.140625" style="235" bestFit="1" customWidth="1"/>
    <col min="10500" max="10500" width="17.28515625" style="235" bestFit="1" customWidth="1"/>
    <col min="10501" max="10501" width="21.28515625" style="235" customWidth="1"/>
    <col min="10502" max="10502" width="16.5703125" style="235" customWidth="1"/>
    <col min="10503" max="10503" width="19" style="235" customWidth="1"/>
    <col min="10504" max="10504" width="17.5703125" style="235" customWidth="1"/>
    <col min="10505" max="10505" width="15.5703125" style="235" bestFit="1" customWidth="1"/>
    <col min="10506" max="10506" width="13.5703125" style="235" customWidth="1"/>
    <col min="10507" max="10507" width="20.5703125" style="235" customWidth="1"/>
    <col min="10508" max="10508" width="12.42578125" style="235" bestFit="1" customWidth="1"/>
    <col min="10509" max="10752" width="9.140625" style="235"/>
    <col min="10753" max="10753" width="23" style="235" customWidth="1"/>
    <col min="10754" max="10754" width="41.140625" style="235" customWidth="1"/>
    <col min="10755" max="10755" width="52.140625" style="235" bestFit="1" customWidth="1"/>
    <col min="10756" max="10756" width="17.28515625" style="235" bestFit="1" customWidth="1"/>
    <col min="10757" max="10757" width="21.28515625" style="235" customWidth="1"/>
    <col min="10758" max="10758" width="16.5703125" style="235" customWidth="1"/>
    <col min="10759" max="10759" width="19" style="235" customWidth="1"/>
    <col min="10760" max="10760" width="17.5703125" style="235" customWidth="1"/>
    <col min="10761" max="10761" width="15.5703125" style="235" bestFit="1" customWidth="1"/>
    <col min="10762" max="10762" width="13.5703125" style="235" customWidth="1"/>
    <col min="10763" max="10763" width="20.5703125" style="235" customWidth="1"/>
    <col min="10764" max="10764" width="12.42578125" style="235" bestFit="1" customWidth="1"/>
    <col min="10765" max="11008" width="9.140625" style="235"/>
    <col min="11009" max="11009" width="23" style="235" customWidth="1"/>
    <col min="11010" max="11010" width="41.140625" style="235" customWidth="1"/>
    <col min="11011" max="11011" width="52.140625" style="235" bestFit="1" customWidth="1"/>
    <col min="11012" max="11012" width="17.28515625" style="235" bestFit="1" customWidth="1"/>
    <col min="11013" max="11013" width="21.28515625" style="235" customWidth="1"/>
    <col min="11014" max="11014" width="16.5703125" style="235" customWidth="1"/>
    <col min="11015" max="11015" width="19" style="235" customWidth="1"/>
    <col min="11016" max="11016" width="17.5703125" style="235" customWidth="1"/>
    <col min="11017" max="11017" width="15.5703125" style="235" bestFit="1" customWidth="1"/>
    <col min="11018" max="11018" width="13.5703125" style="235" customWidth="1"/>
    <col min="11019" max="11019" width="20.5703125" style="235" customWidth="1"/>
    <col min="11020" max="11020" width="12.42578125" style="235" bestFit="1" customWidth="1"/>
    <col min="11021" max="11264" width="9.140625" style="235"/>
    <col min="11265" max="11265" width="23" style="235" customWidth="1"/>
    <col min="11266" max="11266" width="41.140625" style="235" customWidth="1"/>
    <col min="11267" max="11267" width="52.140625" style="235" bestFit="1" customWidth="1"/>
    <col min="11268" max="11268" width="17.28515625" style="235" bestFit="1" customWidth="1"/>
    <col min="11269" max="11269" width="21.28515625" style="235" customWidth="1"/>
    <col min="11270" max="11270" width="16.5703125" style="235" customWidth="1"/>
    <col min="11271" max="11271" width="19" style="235" customWidth="1"/>
    <col min="11272" max="11272" width="17.5703125" style="235" customWidth="1"/>
    <col min="11273" max="11273" width="15.5703125" style="235" bestFit="1" customWidth="1"/>
    <col min="11274" max="11274" width="13.5703125" style="235" customWidth="1"/>
    <col min="11275" max="11275" width="20.5703125" style="235" customWidth="1"/>
    <col min="11276" max="11276" width="12.42578125" style="235" bestFit="1" customWidth="1"/>
    <col min="11277" max="11520" width="9.140625" style="235"/>
    <col min="11521" max="11521" width="23" style="235" customWidth="1"/>
    <col min="11522" max="11522" width="41.140625" style="235" customWidth="1"/>
    <col min="11523" max="11523" width="52.140625" style="235" bestFit="1" customWidth="1"/>
    <col min="11524" max="11524" width="17.28515625" style="235" bestFit="1" customWidth="1"/>
    <col min="11525" max="11525" width="21.28515625" style="235" customWidth="1"/>
    <col min="11526" max="11526" width="16.5703125" style="235" customWidth="1"/>
    <col min="11527" max="11527" width="19" style="235" customWidth="1"/>
    <col min="11528" max="11528" width="17.5703125" style="235" customWidth="1"/>
    <col min="11529" max="11529" width="15.5703125" style="235" bestFit="1" customWidth="1"/>
    <col min="11530" max="11530" width="13.5703125" style="235" customWidth="1"/>
    <col min="11531" max="11531" width="20.5703125" style="235" customWidth="1"/>
    <col min="11532" max="11532" width="12.42578125" style="235" bestFit="1" customWidth="1"/>
    <col min="11533" max="11776" width="9.140625" style="235"/>
    <col min="11777" max="11777" width="23" style="235" customWidth="1"/>
    <col min="11778" max="11778" width="41.140625" style="235" customWidth="1"/>
    <col min="11779" max="11779" width="52.140625" style="235" bestFit="1" customWidth="1"/>
    <col min="11780" max="11780" width="17.28515625" style="235" bestFit="1" customWidth="1"/>
    <col min="11781" max="11781" width="21.28515625" style="235" customWidth="1"/>
    <col min="11782" max="11782" width="16.5703125" style="235" customWidth="1"/>
    <col min="11783" max="11783" width="19" style="235" customWidth="1"/>
    <col min="11784" max="11784" width="17.5703125" style="235" customWidth="1"/>
    <col min="11785" max="11785" width="15.5703125" style="235" bestFit="1" customWidth="1"/>
    <col min="11786" max="11786" width="13.5703125" style="235" customWidth="1"/>
    <col min="11787" max="11787" width="20.5703125" style="235" customWidth="1"/>
    <col min="11788" max="11788" width="12.42578125" style="235" bestFit="1" customWidth="1"/>
    <col min="11789" max="12032" width="9.140625" style="235"/>
    <col min="12033" max="12033" width="23" style="235" customWidth="1"/>
    <col min="12034" max="12034" width="41.140625" style="235" customWidth="1"/>
    <col min="12035" max="12035" width="52.140625" style="235" bestFit="1" customWidth="1"/>
    <col min="12036" max="12036" width="17.28515625" style="235" bestFit="1" customWidth="1"/>
    <col min="12037" max="12037" width="21.28515625" style="235" customWidth="1"/>
    <col min="12038" max="12038" width="16.5703125" style="235" customWidth="1"/>
    <col min="12039" max="12039" width="19" style="235" customWidth="1"/>
    <col min="12040" max="12040" width="17.5703125" style="235" customWidth="1"/>
    <col min="12041" max="12041" width="15.5703125" style="235" bestFit="1" customWidth="1"/>
    <col min="12042" max="12042" width="13.5703125" style="235" customWidth="1"/>
    <col min="12043" max="12043" width="20.5703125" style="235" customWidth="1"/>
    <col min="12044" max="12044" width="12.42578125" style="235" bestFit="1" customWidth="1"/>
    <col min="12045" max="12288" width="9.140625" style="235"/>
    <col min="12289" max="12289" width="23" style="235" customWidth="1"/>
    <col min="12290" max="12290" width="41.140625" style="235" customWidth="1"/>
    <col min="12291" max="12291" width="52.140625" style="235" bestFit="1" customWidth="1"/>
    <col min="12292" max="12292" width="17.28515625" style="235" bestFit="1" customWidth="1"/>
    <col min="12293" max="12293" width="21.28515625" style="235" customWidth="1"/>
    <col min="12294" max="12294" width="16.5703125" style="235" customWidth="1"/>
    <col min="12295" max="12295" width="19" style="235" customWidth="1"/>
    <col min="12296" max="12296" width="17.5703125" style="235" customWidth="1"/>
    <col min="12297" max="12297" width="15.5703125" style="235" bestFit="1" customWidth="1"/>
    <col min="12298" max="12298" width="13.5703125" style="235" customWidth="1"/>
    <col min="12299" max="12299" width="20.5703125" style="235" customWidth="1"/>
    <col min="12300" max="12300" width="12.42578125" style="235" bestFit="1" customWidth="1"/>
    <col min="12301" max="12544" width="9.140625" style="235"/>
    <col min="12545" max="12545" width="23" style="235" customWidth="1"/>
    <col min="12546" max="12546" width="41.140625" style="235" customWidth="1"/>
    <col min="12547" max="12547" width="52.140625" style="235" bestFit="1" customWidth="1"/>
    <col min="12548" max="12548" width="17.28515625" style="235" bestFit="1" customWidth="1"/>
    <col min="12549" max="12549" width="21.28515625" style="235" customWidth="1"/>
    <col min="12550" max="12550" width="16.5703125" style="235" customWidth="1"/>
    <col min="12551" max="12551" width="19" style="235" customWidth="1"/>
    <col min="12552" max="12552" width="17.5703125" style="235" customWidth="1"/>
    <col min="12553" max="12553" width="15.5703125" style="235" bestFit="1" customWidth="1"/>
    <col min="12554" max="12554" width="13.5703125" style="235" customWidth="1"/>
    <col min="12555" max="12555" width="20.5703125" style="235" customWidth="1"/>
    <col min="12556" max="12556" width="12.42578125" style="235" bestFit="1" customWidth="1"/>
    <col min="12557" max="12800" width="9.140625" style="235"/>
    <col min="12801" max="12801" width="23" style="235" customWidth="1"/>
    <col min="12802" max="12802" width="41.140625" style="235" customWidth="1"/>
    <col min="12803" max="12803" width="52.140625" style="235" bestFit="1" customWidth="1"/>
    <col min="12804" max="12804" width="17.28515625" style="235" bestFit="1" customWidth="1"/>
    <col min="12805" max="12805" width="21.28515625" style="235" customWidth="1"/>
    <col min="12806" max="12806" width="16.5703125" style="235" customWidth="1"/>
    <col min="12807" max="12807" width="19" style="235" customWidth="1"/>
    <col min="12808" max="12808" width="17.5703125" style="235" customWidth="1"/>
    <col min="12809" max="12809" width="15.5703125" style="235" bestFit="1" customWidth="1"/>
    <col min="12810" max="12810" width="13.5703125" style="235" customWidth="1"/>
    <col min="12811" max="12811" width="20.5703125" style="235" customWidth="1"/>
    <col min="12812" max="12812" width="12.42578125" style="235" bestFit="1" customWidth="1"/>
    <col min="12813" max="13056" width="9.140625" style="235"/>
    <col min="13057" max="13057" width="23" style="235" customWidth="1"/>
    <col min="13058" max="13058" width="41.140625" style="235" customWidth="1"/>
    <col min="13059" max="13059" width="52.140625" style="235" bestFit="1" customWidth="1"/>
    <col min="13060" max="13060" width="17.28515625" style="235" bestFit="1" customWidth="1"/>
    <col min="13061" max="13061" width="21.28515625" style="235" customWidth="1"/>
    <col min="13062" max="13062" width="16.5703125" style="235" customWidth="1"/>
    <col min="13063" max="13063" width="19" style="235" customWidth="1"/>
    <col min="13064" max="13064" width="17.5703125" style="235" customWidth="1"/>
    <col min="13065" max="13065" width="15.5703125" style="235" bestFit="1" customWidth="1"/>
    <col min="13066" max="13066" width="13.5703125" style="235" customWidth="1"/>
    <col min="13067" max="13067" width="20.5703125" style="235" customWidth="1"/>
    <col min="13068" max="13068" width="12.42578125" style="235" bestFit="1" customWidth="1"/>
    <col min="13069" max="13312" width="9.140625" style="235"/>
    <col min="13313" max="13313" width="23" style="235" customWidth="1"/>
    <col min="13314" max="13314" width="41.140625" style="235" customWidth="1"/>
    <col min="13315" max="13315" width="52.140625" style="235" bestFit="1" customWidth="1"/>
    <col min="13316" max="13316" width="17.28515625" style="235" bestFit="1" customWidth="1"/>
    <col min="13317" max="13317" width="21.28515625" style="235" customWidth="1"/>
    <col min="13318" max="13318" width="16.5703125" style="235" customWidth="1"/>
    <col min="13319" max="13319" width="19" style="235" customWidth="1"/>
    <col min="13320" max="13320" width="17.5703125" style="235" customWidth="1"/>
    <col min="13321" max="13321" width="15.5703125" style="235" bestFit="1" customWidth="1"/>
    <col min="13322" max="13322" width="13.5703125" style="235" customWidth="1"/>
    <col min="13323" max="13323" width="20.5703125" style="235" customWidth="1"/>
    <col min="13324" max="13324" width="12.42578125" style="235" bestFit="1" customWidth="1"/>
    <col min="13325" max="13568" width="9.140625" style="235"/>
    <col min="13569" max="13569" width="23" style="235" customWidth="1"/>
    <col min="13570" max="13570" width="41.140625" style="235" customWidth="1"/>
    <col min="13571" max="13571" width="52.140625" style="235" bestFit="1" customWidth="1"/>
    <col min="13572" max="13572" width="17.28515625" style="235" bestFit="1" customWidth="1"/>
    <col min="13573" max="13573" width="21.28515625" style="235" customWidth="1"/>
    <col min="13574" max="13574" width="16.5703125" style="235" customWidth="1"/>
    <col min="13575" max="13575" width="19" style="235" customWidth="1"/>
    <col min="13576" max="13576" width="17.5703125" style="235" customWidth="1"/>
    <col min="13577" max="13577" width="15.5703125" style="235" bestFit="1" customWidth="1"/>
    <col min="13578" max="13578" width="13.5703125" style="235" customWidth="1"/>
    <col min="13579" max="13579" width="20.5703125" style="235" customWidth="1"/>
    <col min="13580" max="13580" width="12.42578125" style="235" bestFit="1" customWidth="1"/>
    <col min="13581" max="13824" width="9.140625" style="235"/>
    <col min="13825" max="13825" width="23" style="235" customWidth="1"/>
    <col min="13826" max="13826" width="41.140625" style="235" customWidth="1"/>
    <col min="13827" max="13827" width="52.140625" style="235" bestFit="1" customWidth="1"/>
    <col min="13828" max="13828" width="17.28515625" style="235" bestFit="1" customWidth="1"/>
    <col min="13829" max="13829" width="21.28515625" style="235" customWidth="1"/>
    <col min="13830" max="13830" width="16.5703125" style="235" customWidth="1"/>
    <col min="13831" max="13831" width="19" style="235" customWidth="1"/>
    <col min="13832" max="13832" width="17.5703125" style="235" customWidth="1"/>
    <col min="13833" max="13833" width="15.5703125" style="235" bestFit="1" customWidth="1"/>
    <col min="13834" max="13834" width="13.5703125" style="235" customWidth="1"/>
    <col min="13835" max="13835" width="20.5703125" style="235" customWidth="1"/>
    <col min="13836" max="13836" width="12.42578125" style="235" bestFit="1" customWidth="1"/>
    <col min="13837" max="14080" width="9.140625" style="235"/>
    <col min="14081" max="14081" width="23" style="235" customWidth="1"/>
    <col min="14082" max="14082" width="41.140625" style="235" customWidth="1"/>
    <col min="14083" max="14083" width="52.140625" style="235" bestFit="1" customWidth="1"/>
    <col min="14084" max="14084" width="17.28515625" style="235" bestFit="1" customWidth="1"/>
    <col min="14085" max="14085" width="21.28515625" style="235" customWidth="1"/>
    <col min="14086" max="14086" width="16.5703125" style="235" customWidth="1"/>
    <col min="14087" max="14087" width="19" style="235" customWidth="1"/>
    <col min="14088" max="14088" width="17.5703125" style="235" customWidth="1"/>
    <col min="14089" max="14089" width="15.5703125" style="235" bestFit="1" customWidth="1"/>
    <col min="14090" max="14090" width="13.5703125" style="235" customWidth="1"/>
    <col min="14091" max="14091" width="20.5703125" style="235" customWidth="1"/>
    <col min="14092" max="14092" width="12.42578125" style="235" bestFit="1" customWidth="1"/>
    <col min="14093" max="14336" width="9.140625" style="235"/>
    <col min="14337" max="14337" width="23" style="235" customWidth="1"/>
    <col min="14338" max="14338" width="41.140625" style="235" customWidth="1"/>
    <col min="14339" max="14339" width="52.140625" style="235" bestFit="1" customWidth="1"/>
    <col min="14340" max="14340" width="17.28515625" style="235" bestFit="1" customWidth="1"/>
    <col min="14341" max="14341" width="21.28515625" style="235" customWidth="1"/>
    <col min="14342" max="14342" width="16.5703125" style="235" customWidth="1"/>
    <col min="14343" max="14343" width="19" style="235" customWidth="1"/>
    <col min="14344" max="14344" width="17.5703125" style="235" customWidth="1"/>
    <col min="14345" max="14345" width="15.5703125" style="235" bestFit="1" customWidth="1"/>
    <col min="14346" max="14346" width="13.5703125" style="235" customWidth="1"/>
    <col min="14347" max="14347" width="20.5703125" style="235" customWidth="1"/>
    <col min="14348" max="14348" width="12.42578125" style="235" bestFit="1" customWidth="1"/>
    <col min="14349" max="14592" width="9.140625" style="235"/>
    <col min="14593" max="14593" width="23" style="235" customWidth="1"/>
    <col min="14594" max="14594" width="41.140625" style="235" customWidth="1"/>
    <col min="14595" max="14595" width="52.140625" style="235" bestFit="1" customWidth="1"/>
    <col min="14596" max="14596" width="17.28515625" style="235" bestFit="1" customWidth="1"/>
    <col min="14597" max="14597" width="21.28515625" style="235" customWidth="1"/>
    <col min="14598" max="14598" width="16.5703125" style="235" customWidth="1"/>
    <col min="14599" max="14599" width="19" style="235" customWidth="1"/>
    <col min="14600" max="14600" width="17.5703125" style="235" customWidth="1"/>
    <col min="14601" max="14601" width="15.5703125" style="235" bestFit="1" customWidth="1"/>
    <col min="14602" max="14602" width="13.5703125" style="235" customWidth="1"/>
    <col min="14603" max="14603" width="20.5703125" style="235" customWidth="1"/>
    <col min="14604" max="14604" width="12.42578125" style="235" bestFit="1" customWidth="1"/>
    <col min="14605" max="14848" width="9.140625" style="235"/>
    <col min="14849" max="14849" width="23" style="235" customWidth="1"/>
    <col min="14850" max="14850" width="41.140625" style="235" customWidth="1"/>
    <col min="14851" max="14851" width="52.140625" style="235" bestFit="1" customWidth="1"/>
    <col min="14852" max="14852" width="17.28515625" style="235" bestFit="1" customWidth="1"/>
    <col min="14853" max="14853" width="21.28515625" style="235" customWidth="1"/>
    <col min="14854" max="14854" width="16.5703125" style="235" customWidth="1"/>
    <col min="14855" max="14855" width="19" style="235" customWidth="1"/>
    <col min="14856" max="14856" width="17.5703125" style="235" customWidth="1"/>
    <col min="14857" max="14857" width="15.5703125" style="235" bestFit="1" customWidth="1"/>
    <col min="14858" max="14858" width="13.5703125" style="235" customWidth="1"/>
    <col min="14859" max="14859" width="20.5703125" style="235" customWidth="1"/>
    <col min="14860" max="14860" width="12.42578125" style="235" bestFit="1" customWidth="1"/>
    <col min="14861" max="15104" width="9.140625" style="235"/>
    <col min="15105" max="15105" width="23" style="235" customWidth="1"/>
    <col min="15106" max="15106" width="41.140625" style="235" customWidth="1"/>
    <col min="15107" max="15107" width="52.140625" style="235" bestFit="1" customWidth="1"/>
    <col min="15108" max="15108" width="17.28515625" style="235" bestFit="1" customWidth="1"/>
    <col min="15109" max="15109" width="21.28515625" style="235" customWidth="1"/>
    <col min="15110" max="15110" width="16.5703125" style="235" customWidth="1"/>
    <col min="15111" max="15111" width="19" style="235" customWidth="1"/>
    <col min="15112" max="15112" width="17.5703125" style="235" customWidth="1"/>
    <col min="15113" max="15113" width="15.5703125" style="235" bestFit="1" customWidth="1"/>
    <col min="15114" max="15114" width="13.5703125" style="235" customWidth="1"/>
    <col min="15115" max="15115" width="20.5703125" style="235" customWidth="1"/>
    <col min="15116" max="15116" width="12.42578125" style="235" bestFit="1" customWidth="1"/>
    <col min="15117" max="15360" width="9.140625" style="235"/>
    <col min="15361" max="15361" width="23" style="235" customWidth="1"/>
    <col min="15362" max="15362" width="41.140625" style="235" customWidth="1"/>
    <col min="15363" max="15363" width="52.140625" style="235" bestFit="1" customWidth="1"/>
    <col min="15364" max="15364" width="17.28515625" style="235" bestFit="1" customWidth="1"/>
    <col min="15365" max="15365" width="21.28515625" style="235" customWidth="1"/>
    <col min="15366" max="15366" width="16.5703125" style="235" customWidth="1"/>
    <col min="15367" max="15367" width="19" style="235" customWidth="1"/>
    <col min="15368" max="15368" width="17.5703125" style="235" customWidth="1"/>
    <col min="15369" max="15369" width="15.5703125" style="235" bestFit="1" customWidth="1"/>
    <col min="15370" max="15370" width="13.5703125" style="235" customWidth="1"/>
    <col min="15371" max="15371" width="20.5703125" style="235" customWidth="1"/>
    <col min="15372" max="15372" width="12.42578125" style="235" bestFit="1" customWidth="1"/>
    <col min="15373" max="15616" width="9.140625" style="235"/>
    <col min="15617" max="15617" width="23" style="235" customWidth="1"/>
    <col min="15618" max="15618" width="41.140625" style="235" customWidth="1"/>
    <col min="15619" max="15619" width="52.140625" style="235" bestFit="1" customWidth="1"/>
    <col min="15620" max="15620" width="17.28515625" style="235" bestFit="1" customWidth="1"/>
    <col min="15621" max="15621" width="21.28515625" style="235" customWidth="1"/>
    <col min="15622" max="15622" width="16.5703125" style="235" customWidth="1"/>
    <col min="15623" max="15623" width="19" style="235" customWidth="1"/>
    <col min="15624" max="15624" width="17.5703125" style="235" customWidth="1"/>
    <col min="15625" max="15625" width="15.5703125" style="235" bestFit="1" customWidth="1"/>
    <col min="15626" max="15626" width="13.5703125" style="235" customWidth="1"/>
    <col min="15627" max="15627" width="20.5703125" style="235" customWidth="1"/>
    <col min="15628" max="15628" width="12.42578125" style="235" bestFit="1" customWidth="1"/>
    <col min="15629" max="15872" width="9.140625" style="235"/>
    <col min="15873" max="15873" width="23" style="235" customWidth="1"/>
    <col min="15874" max="15874" width="41.140625" style="235" customWidth="1"/>
    <col min="15875" max="15875" width="52.140625" style="235" bestFit="1" customWidth="1"/>
    <col min="15876" max="15876" width="17.28515625" style="235" bestFit="1" customWidth="1"/>
    <col min="15877" max="15877" width="21.28515625" style="235" customWidth="1"/>
    <col min="15878" max="15878" width="16.5703125" style="235" customWidth="1"/>
    <col min="15879" max="15879" width="19" style="235" customWidth="1"/>
    <col min="15880" max="15880" width="17.5703125" style="235" customWidth="1"/>
    <col min="15881" max="15881" width="15.5703125" style="235" bestFit="1" customWidth="1"/>
    <col min="15882" max="15882" width="13.5703125" style="235" customWidth="1"/>
    <col min="15883" max="15883" width="20.5703125" style="235" customWidth="1"/>
    <col min="15884" max="15884" width="12.42578125" style="235" bestFit="1" customWidth="1"/>
    <col min="15885" max="16128" width="9.140625" style="235"/>
    <col min="16129" max="16129" width="23" style="235" customWidth="1"/>
    <col min="16130" max="16130" width="41.140625" style="235" customWidth="1"/>
    <col min="16131" max="16131" width="52.140625" style="235" bestFit="1" customWidth="1"/>
    <col min="16132" max="16132" width="17.28515625" style="235" bestFit="1" customWidth="1"/>
    <col min="16133" max="16133" width="21.28515625" style="235" customWidth="1"/>
    <col min="16134" max="16134" width="16.5703125" style="235" customWidth="1"/>
    <col min="16135" max="16135" width="19" style="235" customWidth="1"/>
    <col min="16136" max="16136" width="17.5703125" style="235" customWidth="1"/>
    <col min="16137" max="16137" width="15.5703125" style="235" bestFit="1" customWidth="1"/>
    <col min="16138" max="16138" width="13.5703125" style="235" customWidth="1"/>
    <col min="16139" max="16139" width="20.5703125" style="235" customWidth="1"/>
    <col min="16140" max="16140" width="12.42578125" style="235" bestFit="1" customWidth="1"/>
    <col min="16141" max="16384" width="9.140625" style="235"/>
  </cols>
  <sheetData>
    <row r="1" spans="2:7" x14ac:dyDescent="0.2">
      <c r="G1" s="236" t="s">
        <v>1032</v>
      </c>
    </row>
    <row r="2" spans="2:7" x14ac:dyDescent="0.2">
      <c r="B2" s="237" t="s">
        <v>1033</v>
      </c>
      <c r="C2" s="237"/>
      <c r="D2" s="237"/>
      <c r="E2" s="237"/>
      <c r="F2" s="237"/>
      <c r="G2" s="237"/>
    </row>
    <row r="3" spans="2:7" x14ac:dyDescent="0.2">
      <c r="B3" s="237" t="s">
        <v>1034</v>
      </c>
      <c r="C3" s="237"/>
      <c r="D3" s="237"/>
      <c r="E3" s="237"/>
      <c r="F3" s="237"/>
      <c r="G3" s="237"/>
    </row>
    <row r="4" spans="2:7" x14ac:dyDescent="0.2">
      <c r="B4" s="236"/>
      <c r="C4" s="236"/>
      <c r="D4" s="236"/>
      <c r="E4" s="236"/>
      <c r="F4" s="236"/>
      <c r="G4" s="236"/>
    </row>
    <row r="5" spans="2:7" x14ac:dyDescent="0.2">
      <c r="B5" s="237" t="s">
        <v>1035</v>
      </c>
      <c r="C5" s="237"/>
      <c r="D5" s="237"/>
      <c r="E5" s="237"/>
      <c r="F5" s="237"/>
      <c r="G5" s="237"/>
    </row>
    <row r="6" spans="2:7" x14ac:dyDescent="0.2">
      <c r="B6" s="236" t="s">
        <v>1036</v>
      </c>
    </row>
    <row r="8" spans="2:7" ht="25.5" x14ac:dyDescent="0.2">
      <c r="B8" s="238" t="s">
        <v>1037</v>
      </c>
      <c r="C8" s="238" t="s">
        <v>1038</v>
      </c>
      <c r="D8" s="238" t="s">
        <v>1039</v>
      </c>
      <c r="E8" s="239" t="s">
        <v>1040</v>
      </c>
      <c r="F8" s="239" t="s">
        <v>1041</v>
      </c>
      <c r="G8" s="239" t="s">
        <v>1042</v>
      </c>
    </row>
    <row r="9" spans="2:7" x14ac:dyDescent="0.2">
      <c r="B9" s="240" t="s">
        <v>301</v>
      </c>
      <c r="C9" s="241" t="s">
        <v>879</v>
      </c>
      <c r="D9" s="242" t="s">
        <v>1043</v>
      </c>
      <c r="E9" s="243">
        <v>697.08</v>
      </c>
      <c r="F9" s="243">
        <v>849.6</v>
      </c>
      <c r="G9" s="244">
        <v>895.72</v>
      </c>
    </row>
    <row r="10" spans="2:7" x14ac:dyDescent="0.2">
      <c r="B10" s="245" t="s">
        <v>694</v>
      </c>
      <c r="C10" s="246" t="s">
        <v>892</v>
      </c>
      <c r="D10" s="242" t="s">
        <v>1043</v>
      </c>
      <c r="E10" s="243">
        <v>754.86</v>
      </c>
      <c r="F10" s="243">
        <v>694.1</v>
      </c>
      <c r="G10" s="247">
        <v>59.891219999999997</v>
      </c>
    </row>
    <row r="11" spans="2:7" x14ac:dyDescent="0.2">
      <c r="B11" s="245" t="s">
        <v>694</v>
      </c>
      <c r="C11" s="246" t="s">
        <v>893</v>
      </c>
      <c r="D11" s="242" t="s">
        <v>1043</v>
      </c>
      <c r="E11" s="243">
        <v>4222.57</v>
      </c>
      <c r="F11" s="243">
        <v>4269.8999999999996</v>
      </c>
      <c r="G11" s="247">
        <v>54.531460199999998</v>
      </c>
    </row>
    <row r="12" spans="2:7" x14ac:dyDescent="0.2">
      <c r="B12" s="245" t="s">
        <v>694</v>
      </c>
      <c r="C12" s="246" t="s">
        <v>891</v>
      </c>
      <c r="D12" s="242" t="s">
        <v>1043</v>
      </c>
      <c r="E12" s="243">
        <v>141.27000000000001</v>
      </c>
      <c r="F12" s="243">
        <v>142.80000000000001</v>
      </c>
      <c r="G12" s="247">
        <v>62.124299999999998</v>
      </c>
    </row>
    <row r="13" spans="2:7" x14ac:dyDescent="0.2">
      <c r="B13" s="245" t="s">
        <v>694</v>
      </c>
      <c r="C13" s="246" t="s">
        <v>905</v>
      </c>
      <c r="D13" s="242" t="s">
        <v>1043</v>
      </c>
      <c r="E13" s="243">
        <v>841.31</v>
      </c>
      <c r="F13" s="243">
        <v>746</v>
      </c>
      <c r="G13" s="247">
        <v>140.06412</v>
      </c>
    </row>
    <row r="14" spans="2:7" x14ac:dyDescent="0.2">
      <c r="B14" s="245" t="s">
        <v>694</v>
      </c>
      <c r="C14" s="246" t="s">
        <v>895</v>
      </c>
      <c r="D14" s="242" t="s">
        <v>1043</v>
      </c>
      <c r="E14" s="243">
        <v>18126.45</v>
      </c>
      <c r="F14" s="243">
        <v>17899.8</v>
      </c>
      <c r="G14" s="247">
        <v>69.316556399999996</v>
      </c>
    </row>
    <row r="15" spans="2:7" x14ac:dyDescent="0.2">
      <c r="B15" s="245" t="s">
        <v>694</v>
      </c>
      <c r="C15" s="246" t="s">
        <v>889</v>
      </c>
      <c r="D15" s="242" t="s">
        <v>1043</v>
      </c>
      <c r="E15" s="243">
        <v>781.4</v>
      </c>
      <c r="F15" s="243">
        <v>770.9</v>
      </c>
      <c r="G15" s="247">
        <v>46.358761600000001</v>
      </c>
    </row>
    <row r="16" spans="2:7" x14ac:dyDescent="0.2">
      <c r="B16" s="245" t="s">
        <v>694</v>
      </c>
      <c r="C16" s="246" t="s">
        <v>887</v>
      </c>
      <c r="D16" s="242" t="s">
        <v>1043</v>
      </c>
      <c r="E16" s="243">
        <v>205.26</v>
      </c>
      <c r="F16" s="243">
        <v>215.35</v>
      </c>
      <c r="G16" s="247">
        <v>39.681738000000003</v>
      </c>
    </row>
    <row r="17" spans="2:7" x14ac:dyDescent="0.2">
      <c r="B17" s="245" t="s">
        <v>694</v>
      </c>
      <c r="C17" s="246" t="s">
        <v>885</v>
      </c>
      <c r="D17" s="242" t="s">
        <v>1043</v>
      </c>
      <c r="E17" s="243">
        <v>595.41</v>
      </c>
      <c r="F17" s="243">
        <v>587.5</v>
      </c>
      <c r="G17" s="247">
        <v>20.770580800000001</v>
      </c>
    </row>
    <row r="18" spans="2:7" x14ac:dyDescent="0.2">
      <c r="B18" s="245" t="s">
        <v>694</v>
      </c>
      <c r="C18" s="246" t="s">
        <v>888</v>
      </c>
      <c r="D18" s="242" t="s">
        <v>1043</v>
      </c>
      <c r="E18" s="243">
        <v>2733.5</v>
      </c>
      <c r="F18" s="243">
        <v>2652.7</v>
      </c>
      <c r="G18" s="247">
        <v>35.817945999999999</v>
      </c>
    </row>
    <row r="19" spans="2:7" x14ac:dyDescent="0.2">
      <c r="B19" s="245" t="s">
        <v>694</v>
      </c>
      <c r="C19" s="246" t="s">
        <v>894</v>
      </c>
      <c r="D19" s="242" t="s">
        <v>1043</v>
      </c>
      <c r="E19" s="243">
        <v>690.77</v>
      </c>
      <c r="F19" s="243">
        <v>682.45</v>
      </c>
      <c r="G19" s="247">
        <v>50.274098999999993</v>
      </c>
    </row>
    <row r="20" spans="2:7" x14ac:dyDescent="0.2">
      <c r="B20" s="245" t="s">
        <v>694</v>
      </c>
      <c r="C20" s="246" t="s">
        <v>881</v>
      </c>
      <c r="D20" s="242" t="s">
        <v>1043</v>
      </c>
      <c r="E20" s="243">
        <v>484.13</v>
      </c>
      <c r="F20" s="243">
        <v>461.6</v>
      </c>
      <c r="G20" s="247">
        <v>24.643386</v>
      </c>
    </row>
    <row r="21" spans="2:7" x14ac:dyDescent="0.2">
      <c r="B21" s="245" t="s">
        <v>694</v>
      </c>
      <c r="C21" s="246" t="s">
        <v>901</v>
      </c>
      <c r="D21" s="242" t="s">
        <v>1043</v>
      </c>
      <c r="E21" s="243">
        <v>2435.92</v>
      </c>
      <c r="F21" s="243">
        <v>2398.9499999999998</v>
      </c>
      <c r="G21" s="247">
        <v>52.1745418</v>
      </c>
    </row>
    <row r="22" spans="2:7" x14ac:dyDescent="0.2">
      <c r="B22" s="245" t="s">
        <v>694</v>
      </c>
      <c r="C22" s="246" t="s">
        <v>890</v>
      </c>
      <c r="D22" s="242" t="s">
        <v>1043</v>
      </c>
      <c r="E22" s="243">
        <v>835.37</v>
      </c>
      <c r="F22" s="243">
        <v>804.35</v>
      </c>
      <c r="G22" s="247">
        <v>44.391987800000003</v>
      </c>
    </row>
    <row r="23" spans="2:7" x14ac:dyDescent="0.2">
      <c r="B23" s="248" t="s">
        <v>694</v>
      </c>
      <c r="C23" s="249" t="s">
        <v>896</v>
      </c>
      <c r="D23" s="242" t="s">
        <v>1043</v>
      </c>
      <c r="E23" s="243">
        <v>473.56</v>
      </c>
      <c r="F23" s="243">
        <v>474.25</v>
      </c>
      <c r="G23" s="247">
        <v>59.905312000000002</v>
      </c>
    </row>
    <row r="24" spans="2:7" x14ac:dyDescent="0.2">
      <c r="B24" s="245" t="s">
        <v>694</v>
      </c>
      <c r="C24" s="250" t="s">
        <v>899</v>
      </c>
      <c r="D24" s="242" t="s">
        <v>1043</v>
      </c>
      <c r="E24" s="243">
        <v>238.58</v>
      </c>
      <c r="F24" s="243">
        <v>224.3</v>
      </c>
      <c r="G24" s="247">
        <v>64.091856000000007</v>
      </c>
    </row>
    <row r="25" spans="2:7" x14ac:dyDescent="0.2">
      <c r="B25" s="245" t="s">
        <v>694</v>
      </c>
      <c r="C25" s="250" t="s">
        <v>903</v>
      </c>
      <c r="D25" s="242" t="s">
        <v>1043</v>
      </c>
      <c r="E25" s="243">
        <v>432.44</v>
      </c>
      <c r="F25" s="243">
        <v>417.7</v>
      </c>
      <c r="G25" s="247">
        <v>174.95505</v>
      </c>
    </row>
    <row r="26" spans="2:7" x14ac:dyDescent="0.2">
      <c r="B26" s="245" t="s">
        <v>694</v>
      </c>
      <c r="C26" s="251" t="s">
        <v>900</v>
      </c>
      <c r="D26" s="242" t="s">
        <v>1043</v>
      </c>
      <c r="E26" s="243">
        <v>410.65</v>
      </c>
      <c r="F26" s="243">
        <v>408.8</v>
      </c>
      <c r="G26" s="247">
        <v>89.631360000000001</v>
      </c>
    </row>
    <row r="27" spans="2:7" x14ac:dyDescent="0.2">
      <c r="B27" s="245" t="s">
        <v>694</v>
      </c>
      <c r="C27" s="251" t="s">
        <v>882</v>
      </c>
      <c r="D27" s="242" t="s">
        <v>1043</v>
      </c>
      <c r="E27" s="243">
        <v>37898.35</v>
      </c>
      <c r="F27" s="243">
        <v>37751.5</v>
      </c>
      <c r="G27" s="247">
        <v>24.883407999999999</v>
      </c>
    </row>
    <row r="28" spans="2:7" x14ac:dyDescent="0.2">
      <c r="B28" s="245" t="s">
        <v>694</v>
      </c>
      <c r="C28" s="251" t="s">
        <v>884</v>
      </c>
      <c r="D28" s="242" t="s">
        <v>1043</v>
      </c>
      <c r="E28" s="243">
        <v>2354.54</v>
      </c>
      <c r="F28" s="243">
        <v>2324.0500000000002</v>
      </c>
      <c r="G28" s="247">
        <v>22.194687999999999</v>
      </c>
    </row>
    <row r="29" spans="2:7" x14ac:dyDescent="0.2">
      <c r="B29" s="245" t="s">
        <v>694</v>
      </c>
      <c r="C29" s="251" t="s">
        <v>904</v>
      </c>
      <c r="D29" s="242" t="s">
        <v>1043</v>
      </c>
      <c r="E29" s="243">
        <v>2642.61</v>
      </c>
      <c r="F29" s="243">
        <v>2546.15</v>
      </c>
      <c r="G29" s="247">
        <v>119.3899885</v>
      </c>
    </row>
    <row r="30" spans="2:7" x14ac:dyDescent="0.2">
      <c r="B30" s="245" t="s">
        <v>694</v>
      </c>
      <c r="C30" s="251" t="s">
        <v>902</v>
      </c>
      <c r="D30" s="242" t="s">
        <v>1043</v>
      </c>
      <c r="E30" s="243">
        <v>515.71</v>
      </c>
      <c r="F30" s="243">
        <v>504.8</v>
      </c>
      <c r="G30" s="247">
        <v>134.4315</v>
      </c>
    </row>
    <row r="31" spans="2:7" x14ac:dyDescent="0.2">
      <c r="B31" s="245" t="s">
        <v>694</v>
      </c>
      <c r="C31" s="251" t="s">
        <v>897</v>
      </c>
      <c r="D31" s="242" t="s">
        <v>1043</v>
      </c>
      <c r="E31" s="243">
        <v>1076.98</v>
      </c>
      <c r="F31" s="243">
        <v>1059.5</v>
      </c>
      <c r="G31" s="247">
        <v>78.664063333333345</v>
      </c>
    </row>
    <row r="32" spans="2:7" x14ac:dyDescent="0.2">
      <c r="B32" s="245" t="s">
        <v>694</v>
      </c>
      <c r="C32" s="251" t="s">
        <v>880</v>
      </c>
      <c r="D32" s="242" t="s">
        <v>1043</v>
      </c>
      <c r="E32" s="243">
        <v>1162</v>
      </c>
      <c r="F32" s="243">
        <v>1150.75</v>
      </c>
      <c r="G32" s="247">
        <v>1.325685</v>
      </c>
    </row>
    <row r="33" spans="2:8" x14ac:dyDescent="0.2">
      <c r="B33" s="245" t="s">
        <v>694</v>
      </c>
      <c r="C33" s="251" t="s">
        <v>898</v>
      </c>
      <c r="D33" s="242" t="s">
        <v>1043</v>
      </c>
      <c r="E33" s="243">
        <v>1540.86</v>
      </c>
      <c r="F33" s="243">
        <v>1438.85</v>
      </c>
      <c r="G33" s="247">
        <v>86.730549000000011</v>
      </c>
    </row>
    <row r="34" spans="2:8" x14ac:dyDescent="0.2">
      <c r="B34" s="245" t="s">
        <v>694</v>
      </c>
      <c r="C34" s="251" t="s">
        <v>886</v>
      </c>
      <c r="D34" s="242" t="s">
        <v>1043</v>
      </c>
      <c r="E34" s="243">
        <v>1334.26</v>
      </c>
      <c r="F34" s="243">
        <v>1318.45</v>
      </c>
      <c r="G34" s="247">
        <v>42.605025600000005</v>
      </c>
    </row>
    <row r="35" spans="2:8" x14ac:dyDescent="0.2">
      <c r="B35" s="245" t="s">
        <v>694</v>
      </c>
      <c r="C35" s="252" t="s">
        <v>883</v>
      </c>
      <c r="D35" s="242" t="s">
        <v>1043</v>
      </c>
      <c r="E35" s="243">
        <v>328</v>
      </c>
      <c r="F35" s="243">
        <v>304.64999999999998</v>
      </c>
      <c r="G35" s="247">
        <v>56.659413600000001</v>
      </c>
    </row>
    <row r="36" spans="2:8" x14ac:dyDescent="0.2">
      <c r="B36" s="245" t="s">
        <v>775</v>
      </c>
      <c r="C36" s="252" t="s">
        <v>892</v>
      </c>
      <c r="D36" s="242" t="s">
        <v>1043</v>
      </c>
      <c r="E36" s="243">
        <v>752.4</v>
      </c>
      <c r="F36" s="243">
        <v>694.1</v>
      </c>
      <c r="G36" s="247">
        <v>67.377622500000001</v>
      </c>
    </row>
    <row r="37" spans="2:8" x14ac:dyDescent="0.2">
      <c r="B37" s="245" t="s">
        <v>775</v>
      </c>
      <c r="C37" s="252" t="s">
        <v>905</v>
      </c>
      <c r="D37" s="242" t="s">
        <v>1043</v>
      </c>
      <c r="E37" s="243">
        <v>836.75</v>
      </c>
      <c r="F37" s="243">
        <v>746</v>
      </c>
      <c r="G37" s="247">
        <v>126.72468000000001</v>
      </c>
    </row>
    <row r="38" spans="2:8" x14ac:dyDescent="0.2">
      <c r="B38" s="245" t="s">
        <v>775</v>
      </c>
      <c r="C38" s="252" t="s">
        <v>913</v>
      </c>
      <c r="D38" s="242" t="s">
        <v>1043</v>
      </c>
      <c r="E38" s="243">
        <v>3808.06</v>
      </c>
      <c r="F38" s="243">
        <v>3716</v>
      </c>
      <c r="G38" s="247">
        <v>97.284999999999997</v>
      </c>
    </row>
    <row r="39" spans="2:8" x14ac:dyDescent="0.2">
      <c r="B39" s="245" t="s">
        <v>775</v>
      </c>
      <c r="C39" s="252" t="s">
        <v>919</v>
      </c>
      <c r="D39" s="242" t="s">
        <v>1043</v>
      </c>
      <c r="E39" s="243">
        <v>697.7</v>
      </c>
      <c r="F39" s="243">
        <v>688.3</v>
      </c>
      <c r="G39" s="247">
        <v>534.26548879999996</v>
      </c>
    </row>
    <row r="40" spans="2:8" x14ac:dyDescent="0.2">
      <c r="B40" s="245" t="s">
        <v>775</v>
      </c>
      <c r="C40" s="252" t="s">
        <v>908</v>
      </c>
      <c r="D40" s="242" t="s">
        <v>1043</v>
      </c>
      <c r="E40" s="243">
        <v>5080.08</v>
      </c>
      <c r="F40" s="243">
        <v>5175.55</v>
      </c>
      <c r="G40" s="247">
        <v>50.003214999999997</v>
      </c>
      <c r="H40" s="253"/>
    </row>
    <row r="41" spans="2:8" ht="18" customHeight="1" x14ac:dyDescent="0.2">
      <c r="B41" s="245" t="s">
        <v>775</v>
      </c>
      <c r="C41" s="252" t="s">
        <v>909</v>
      </c>
      <c r="D41" s="242" t="s">
        <v>1043</v>
      </c>
      <c r="E41" s="243">
        <v>1748.59</v>
      </c>
      <c r="F41" s="243">
        <v>1727.95</v>
      </c>
      <c r="G41" s="247">
        <v>80.281566300000009</v>
      </c>
      <c r="H41" s="253"/>
    </row>
    <row r="42" spans="2:8" x14ac:dyDescent="0.2">
      <c r="B42" s="245" t="s">
        <v>775</v>
      </c>
      <c r="C42" s="252" t="s">
        <v>917</v>
      </c>
      <c r="D42" s="242" t="s">
        <v>1043</v>
      </c>
      <c r="E42" s="243">
        <v>2913</v>
      </c>
      <c r="F42" s="243">
        <v>2850</v>
      </c>
      <c r="G42" s="247">
        <v>375.96690000000001</v>
      </c>
      <c r="H42" s="253"/>
    </row>
    <row r="43" spans="2:8" x14ac:dyDescent="0.2">
      <c r="B43" s="245" t="s">
        <v>775</v>
      </c>
      <c r="C43" s="252" t="s">
        <v>888</v>
      </c>
      <c r="D43" s="242" t="s">
        <v>1043</v>
      </c>
      <c r="E43" s="243">
        <v>2731.05</v>
      </c>
      <c r="F43" s="243">
        <v>2652.7</v>
      </c>
      <c r="G43" s="247">
        <v>90.598334000000008</v>
      </c>
      <c r="H43" s="253"/>
    </row>
    <row r="44" spans="2:8" x14ac:dyDescent="0.2">
      <c r="B44" s="245" t="s">
        <v>775</v>
      </c>
      <c r="C44" s="252" t="s">
        <v>915</v>
      </c>
      <c r="D44" s="242" t="s">
        <v>1043</v>
      </c>
      <c r="E44" s="243">
        <v>1654.12</v>
      </c>
      <c r="F44" s="243">
        <v>1588.6</v>
      </c>
      <c r="G44" s="247">
        <v>172.045005</v>
      </c>
      <c r="H44" s="253"/>
    </row>
    <row r="45" spans="2:8" x14ac:dyDescent="0.2">
      <c r="B45" s="245" t="s">
        <v>775</v>
      </c>
      <c r="C45" s="252" t="s">
        <v>894</v>
      </c>
      <c r="D45" s="242" t="s">
        <v>1043</v>
      </c>
      <c r="E45" s="243">
        <v>691.11</v>
      </c>
      <c r="F45" s="243">
        <v>682.45</v>
      </c>
      <c r="G45" s="247">
        <v>217.85442899999998</v>
      </c>
      <c r="H45" s="253"/>
    </row>
    <row r="46" spans="2:8" x14ac:dyDescent="0.2">
      <c r="B46" s="245" t="s">
        <v>775</v>
      </c>
      <c r="C46" s="252" t="s">
        <v>901</v>
      </c>
      <c r="D46" s="242" t="s">
        <v>1043</v>
      </c>
      <c r="E46" s="243">
        <v>2394.42</v>
      </c>
      <c r="F46" s="243">
        <v>2398.9499999999998</v>
      </c>
      <c r="G46" s="247">
        <v>1.6188487777777778</v>
      </c>
      <c r="H46" s="253"/>
    </row>
    <row r="47" spans="2:8" x14ac:dyDescent="0.2">
      <c r="B47" s="245" t="s">
        <v>775</v>
      </c>
      <c r="C47" s="252" t="s">
        <v>890</v>
      </c>
      <c r="D47" s="242" t="s">
        <v>1043</v>
      </c>
      <c r="E47" s="243">
        <v>827.44</v>
      </c>
      <c r="F47" s="243">
        <v>804.35</v>
      </c>
      <c r="G47" s="254">
        <v>919.17527679999989</v>
      </c>
      <c r="H47" s="253"/>
    </row>
    <row r="48" spans="2:8" x14ac:dyDescent="0.2">
      <c r="B48" s="245" t="s">
        <v>775</v>
      </c>
      <c r="C48" s="252" t="s">
        <v>910</v>
      </c>
      <c r="D48" s="242" t="s">
        <v>1043</v>
      </c>
      <c r="E48" s="243">
        <v>948.2</v>
      </c>
      <c r="F48" s="243">
        <v>927.15</v>
      </c>
      <c r="G48" s="254">
        <v>81.426423699999987</v>
      </c>
      <c r="H48" s="253"/>
    </row>
    <row r="49" spans="2:8" x14ac:dyDescent="0.2">
      <c r="B49" s="245" t="s">
        <v>775</v>
      </c>
      <c r="C49" s="252" t="s">
        <v>920</v>
      </c>
      <c r="D49" s="242" t="s">
        <v>1043</v>
      </c>
      <c r="E49" s="243">
        <v>838.79</v>
      </c>
      <c r="F49" s="243">
        <v>951.4</v>
      </c>
      <c r="G49" s="254">
        <v>584.18820000000005</v>
      </c>
      <c r="H49" s="253"/>
    </row>
    <row r="50" spans="2:8" x14ac:dyDescent="0.2">
      <c r="B50" s="245" t="s">
        <v>775</v>
      </c>
      <c r="C50" s="252" t="s">
        <v>921</v>
      </c>
      <c r="D50" s="242" t="s">
        <v>1043</v>
      </c>
      <c r="E50" s="243">
        <v>18232.32</v>
      </c>
      <c r="F50" s="243">
        <v>17715.3</v>
      </c>
      <c r="G50" s="254">
        <v>667.68218999999999</v>
      </c>
      <c r="H50" s="253"/>
    </row>
    <row r="51" spans="2:8" x14ac:dyDescent="0.2">
      <c r="B51" s="245" t="s">
        <v>775</v>
      </c>
      <c r="C51" s="252" t="s">
        <v>914</v>
      </c>
      <c r="D51" s="242" t="s">
        <v>1043</v>
      </c>
      <c r="E51" s="243">
        <v>141.88</v>
      </c>
      <c r="F51" s="243">
        <v>143.75</v>
      </c>
      <c r="G51" s="254">
        <v>169.371397</v>
      </c>
      <c r="H51" s="255"/>
    </row>
    <row r="52" spans="2:8" x14ac:dyDescent="0.2">
      <c r="B52" s="245" t="s">
        <v>775</v>
      </c>
      <c r="C52" s="252" t="s">
        <v>884</v>
      </c>
      <c r="D52" s="242" t="s">
        <v>1043</v>
      </c>
      <c r="E52" s="243">
        <v>2360.37</v>
      </c>
      <c r="F52" s="243">
        <v>2324.0500000000002</v>
      </c>
      <c r="G52" s="254">
        <v>237.48316159999999</v>
      </c>
      <c r="H52" s="253"/>
    </row>
    <row r="53" spans="2:8" x14ac:dyDescent="0.2">
      <c r="B53" s="245" t="s">
        <v>775</v>
      </c>
      <c r="C53" s="252" t="s">
        <v>911</v>
      </c>
      <c r="D53" s="242" t="s">
        <v>1043</v>
      </c>
      <c r="E53" s="243">
        <v>46.46</v>
      </c>
      <c r="F53" s="243">
        <v>42.3</v>
      </c>
      <c r="G53" s="254">
        <v>180.06288000000001</v>
      </c>
      <c r="H53" s="256"/>
    </row>
    <row r="54" spans="2:8" x14ac:dyDescent="0.2">
      <c r="B54" s="245" t="s">
        <v>775</v>
      </c>
      <c r="C54" s="252" t="s">
        <v>904</v>
      </c>
      <c r="D54" s="242" t="s">
        <v>1043</v>
      </c>
      <c r="E54" s="243">
        <v>2623.64</v>
      </c>
      <c r="F54" s="243">
        <v>2546.15</v>
      </c>
      <c r="G54" s="254">
        <v>435.42231100000004</v>
      </c>
      <c r="H54" s="256"/>
    </row>
    <row r="55" spans="2:8" x14ac:dyDescent="0.2">
      <c r="B55" s="245" t="s">
        <v>775</v>
      </c>
      <c r="C55" s="252" t="s">
        <v>902</v>
      </c>
      <c r="D55" s="242" t="s">
        <v>1043</v>
      </c>
      <c r="E55" s="243">
        <v>514.77</v>
      </c>
      <c r="F55" s="243">
        <v>504.8</v>
      </c>
      <c r="G55" s="254">
        <v>1415.9531400000001</v>
      </c>
      <c r="H55" s="256"/>
    </row>
    <row r="56" spans="2:8" x14ac:dyDescent="0.2">
      <c r="B56" s="245" t="s">
        <v>775</v>
      </c>
      <c r="C56" s="252" t="s">
        <v>880</v>
      </c>
      <c r="D56" s="242" t="s">
        <v>1043</v>
      </c>
      <c r="E56" s="243">
        <v>1157.5</v>
      </c>
      <c r="F56" s="243">
        <v>1150.75</v>
      </c>
      <c r="G56" s="254">
        <v>45.07329</v>
      </c>
      <c r="H56" s="256"/>
    </row>
    <row r="57" spans="2:8" x14ac:dyDescent="0.2">
      <c r="B57" s="245" t="s">
        <v>775</v>
      </c>
      <c r="C57" s="252" t="s">
        <v>907</v>
      </c>
      <c r="D57" s="242" t="s">
        <v>1043</v>
      </c>
      <c r="E57" s="243">
        <v>997.42</v>
      </c>
      <c r="F57" s="243">
        <v>903.65</v>
      </c>
      <c r="G57" s="254">
        <v>63.996169999999999</v>
      </c>
      <c r="H57" s="256"/>
    </row>
    <row r="58" spans="2:8" x14ac:dyDescent="0.2">
      <c r="B58" s="245" t="s">
        <v>775</v>
      </c>
      <c r="C58" s="252" t="s">
        <v>906</v>
      </c>
      <c r="D58" s="242" t="s">
        <v>1043</v>
      </c>
      <c r="E58" s="243">
        <v>811.93</v>
      </c>
      <c r="F58" s="243">
        <v>811.3</v>
      </c>
      <c r="G58" s="254">
        <v>48.863746799999994</v>
      </c>
      <c r="H58" s="256"/>
    </row>
    <row r="59" spans="2:8" x14ac:dyDescent="0.2">
      <c r="B59" s="245" t="s">
        <v>775</v>
      </c>
      <c r="C59" s="252" t="s">
        <v>912</v>
      </c>
      <c r="D59" s="242" t="s">
        <v>1043</v>
      </c>
      <c r="E59" s="243">
        <v>501.4</v>
      </c>
      <c r="F59" s="243">
        <v>486.15</v>
      </c>
      <c r="G59" s="254">
        <v>138.43157260000001</v>
      </c>
      <c r="H59" s="256"/>
    </row>
    <row r="60" spans="2:8" x14ac:dyDescent="0.2">
      <c r="B60" s="245" t="s">
        <v>775</v>
      </c>
      <c r="C60" s="252" t="s">
        <v>886</v>
      </c>
      <c r="D60" s="242" t="s">
        <v>1043</v>
      </c>
      <c r="E60" s="243">
        <v>1321.47</v>
      </c>
      <c r="F60" s="243">
        <v>1318.45</v>
      </c>
      <c r="G60" s="254">
        <v>177.52094</v>
      </c>
      <c r="H60" s="256"/>
    </row>
    <row r="61" spans="2:8" x14ac:dyDescent="0.2">
      <c r="B61" s="245" t="s">
        <v>775</v>
      </c>
      <c r="C61" s="252" t="s">
        <v>916</v>
      </c>
      <c r="D61" s="242" t="s">
        <v>1043</v>
      </c>
      <c r="E61" s="243">
        <v>3518.66</v>
      </c>
      <c r="F61" s="243">
        <v>3413.25</v>
      </c>
      <c r="G61" s="254">
        <v>222.84820479999999</v>
      </c>
      <c r="H61" s="256"/>
    </row>
    <row r="62" spans="2:8" x14ac:dyDescent="0.2">
      <c r="B62" s="245" t="s">
        <v>775</v>
      </c>
      <c r="C62" s="252" t="s">
        <v>918</v>
      </c>
      <c r="D62" s="242" t="s">
        <v>1043</v>
      </c>
      <c r="E62" s="243">
        <v>1579.79</v>
      </c>
      <c r="F62" s="243">
        <v>1469.05</v>
      </c>
      <c r="G62" s="254">
        <v>394.32354149999998</v>
      </c>
      <c r="H62" s="256"/>
    </row>
    <row r="63" spans="2:8" x14ac:dyDescent="0.2">
      <c r="B63" s="245" t="s">
        <v>775</v>
      </c>
      <c r="C63" s="252" t="s">
        <v>883</v>
      </c>
      <c r="D63" s="242" t="s">
        <v>1043</v>
      </c>
      <c r="E63" s="243">
        <v>320.8</v>
      </c>
      <c r="F63" s="243">
        <v>304.64999999999998</v>
      </c>
      <c r="G63" s="254">
        <v>80.2675026</v>
      </c>
      <c r="H63" s="256"/>
    </row>
    <row r="64" spans="2:8" x14ac:dyDescent="0.2">
      <c r="B64" s="245" t="s">
        <v>710</v>
      </c>
      <c r="C64" s="252" t="s">
        <v>905</v>
      </c>
      <c r="D64" s="242" t="s">
        <v>1043</v>
      </c>
      <c r="E64" s="243">
        <v>825.04</v>
      </c>
      <c r="F64" s="243">
        <v>746</v>
      </c>
      <c r="G64" s="254">
        <v>40.018320000000003</v>
      </c>
      <c r="H64" s="256"/>
    </row>
    <row r="65" spans="2:8" x14ac:dyDescent="0.2">
      <c r="B65" s="245" t="s">
        <v>710</v>
      </c>
      <c r="C65" s="252" t="s">
        <v>913</v>
      </c>
      <c r="D65" s="242" t="s">
        <v>1043</v>
      </c>
      <c r="E65" s="243">
        <v>3802.38</v>
      </c>
      <c r="F65" s="243">
        <v>3716</v>
      </c>
      <c r="G65" s="254">
        <v>15.5656</v>
      </c>
      <c r="H65" s="256"/>
    </row>
    <row r="66" spans="2:8" x14ac:dyDescent="0.2">
      <c r="B66" s="245" t="s">
        <v>710</v>
      </c>
      <c r="C66" s="252" t="s">
        <v>919</v>
      </c>
      <c r="D66" s="242" t="s">
        <v>1043</v>
      </c>
      <c r="E66" s="243">
        <v>693.86</v>
      </c>
      <c r="F66" s="243">
        <v>688.3</v>
      </c>
      <c r="G66" s="247">
        <v>57.932402400000001</v>
      </c>
    </row>
    <row r="67" spans="2:8" x14ac:dyDescent="0.2">
      <c r="B67" s="245" t="s">
        <v>710</v>
      </c>
      <c r="C67" s="252" t="s">
        <v>926</v>
      </c>
      <c r="D67" s="242" t="s">
        <v>1043</v>
      </c>
      <c r="E67" s="243">
        <v>102.72</v>
      </c>
      <c r="F67" s="243">
        <v>97.85</v>
      </c>
      <c r="G67" s="247">
        <v>42.592125000000003</v>
      </c>
    </row>
    <row r="68" spans="2:8" x14ac:dyDescent="0.2">
      <c r="B68" s="245" t="s">
        <v>710</v>
      </c>
      <c r="C68" s="252" t="s">
        <v>917</v>
      </c>
      <c r="D68" s="242" t="s">
        <v>1043</v>
      </c>
      <c r="E68" s="243">
        <v>2916.02</v>
      </c>
      <c r="F68" s="243">
        <v>2850</v>
      </c>
      <c r="G68" s="247">
        <v>154.8099</v>
      </c>
    </row>
    <row r="69" spans="2:8" x14ac:dyDescent="0.2">
      <c r="B69" s="245" t="s">
        <v>710</v>
      </c>
      <c r="C69" s="252" t="s">
        <v>894</v>
      </c>
      <c r="D69" s="242" t="s">
        <v>1043</v>
      </c>
      <c r="E69" s="243">
        <v>694.74</v>
      </c>
      <c r="F69" s="243">
        <v>682.45</v>
      </c>
      <c r="G69" s="247">
        <v>18.433836299999999</v>
      </c>
    </row>
    <row r="70" spans="2:8" x14ac:dyDescent="0.2">
      <c r="B70" s="245" t="s">
        <v>710</v>
      </c>
      <c r="C70" s="252" t="s">
        <v>924</v>
      </c>
      <c r="D70" s="242" t="s">
        <v>1043</v>
      </c>
      <c r="E70" s="243">
        <v>2685.14</v>
      </c>
      <c r="F70" s="243">
        <v>2668.3</v>
      </c>
      <c r="G70" s="247">
        <v>11.7404805</v>
      </c>
    </row>
    <row r="71" spans="2:8" x14ac:dyDescent="0.2">
      <c r="B71" s="245" t="s">
        <v>710</v>
      </c>
      <c r="C71" s="252" t="s">
        <v>901</v>
      </c>
      <c r="D71" s="242" t="s">
        <v>1043</v>
      </c>
      <c r="E71" s="243">
        <v>2436.52</v>
      </c>
      <c r="F71" s="243">
        <v>2398.9499999999998</v>
      </c>
      <c r="G71" s="247">
        <v>127.25498</v>
      </c>
    </row>
    <row r="72" spans="2:8" x14ac:dyDescent="0.2">
      <c r="B72" s="245" t="s">
        <v>710</v>
      </c>
      <c r="C72" s="252" t="s">
        <v>890</v>
      </c>
      <c r="D72" s="242" t="s">
        <v>1043</v>
      </c>
      <c r="E72" s="243">
        <v>847.09</v>
      </c>
      <c r="F72" s="243">
        <v>804.35</v>
      </c>
      <c r="G72" s="247">
        <v>88.783975600000005</v>
      </c>
    </row>
    <row r="73" spans="2:8" x14ac:dyDescent="0.2">
      <c r="B73" s="245" t="s">
        <v>710</v>
      </c>
      <c r="C73" s="252" t="s">
        <v>899</v>
      </c>
      <c r="D73" s="242" t="s">
        <v>1043</v>
      </c>
      <c r="E73" s="243">
        <v>237.28</v>
      </c>
      <c r="F73" s="243">
        <v>224.3</v>
      </c>
      <c r="G73" s="247">
        <v>62.528640000000003</v>
      </c>
    </row>
    <row r="74" spans="2:8" x14ac:dyDescent="0.2">
      <c r="B74" s="245" t="s">
        <v>710</v>
      </c>
      <c r="C74" s="252" t="s">
        <v>903</v>
      </c>
      <c r="D74" s="242" t="s">
        <v>1043</v>
      </c>
      <c r="E74" s="243">
        <v>432.66</v>
      </c>
      <c r="F74" s="243">
        <v>417.7</v>
      </c>
      <c r="G74" s="247">
        <v>116.6367</v>
      </c>
    </row>
    <row r="75" spans="2:8" x14ac:dyDescent="0.2">
      <c r="B75" s="245" t="s">
        <v>710</v>
      </c>
      <c r="C75" s="252" t="s">
        <v>922</v>
      </c>
      <c r="D75" s="242" t="s">
        <v>1043</v>
      </c>
      <c r="E75" s="243">
        <v>2157.4899999999998</v>
      </c>
      <c r="F75" s="243">
        <v>2041.9</v>
      </c>
      <c r="G75" s="247">
        <v>9.2533840000000005</v>
      </c>
    </row>
    <row r="76" spans="2:8" x14ac:dyDescent="0.2">
      <c r="B76" s="245" t="s">
        <v>710</v>
      </c>
      <c r="C76" s="252" t="s">
        <v>900</v>
      </c>
      <c r="D76" s="242" t="s">
        <v>1043</v>
      </c>
      <c r="E76" s="243">
        <v>406.19</v>
      </c>
      <c r="F76" s="243">
        <v>408.8</v>
      </c>
      <c r="G76" s="247">
        <v>49.795200000000001</v>
      </c>
    </row>
    <row r="77" spans="2:8" x14ac:dyDescent="0.2">
      <c r="B77" s="245" t="s">
        <v>710</v>
      </c>
      <c r="C77" s="257" t="s">
        <v>910</v>
      </c>
      <c r="D77" s="242" t="s">
        <v>1043</v>
      </c>
      <c r="E77" s="243">
        <v>947.38</v>
      </c>
      <c r="F77" s="243">
        <v>927.15</v>
      </c>
      <c r="G77" s="247">
        <v>36.382019099999994</v>
      </c>
    </row>
    <row r="78" spans="2:8" x14ac:dyDescent="0.2">
      <c r="B78" s="245" t="s">
        <v>710</v>
      </c>
      <c r="C78" s="257" t="s">
        <v>925</v>
      </c>
      <c r="D78" s="242" t="s">
        <v>1043</v>
      </c>
      <c r="E78" s="243">
        <v>894.78</v>
      </c>
      <c r="F78" s="243">
        <v>886.7</v>
      </c>
      <c r="G78" s="247">
        <v>35.574108500000001</v>
      </c>
    </row>
    <row r="79" spans="2:8" x14ac:dyDescent="0.2">
      <c r="B79" s="245" t="s">
        <v>710</v>
      </c>
      <c r="C79" s="257" t="s">
        <v>920</v>
      </c>
      <c r="D79" s="242" t="s">
        <v>1043</v>
      </c>
      <c r="E79" s="243">
        <v>839.1</v>
      </c>
      <c r="F79" s="243">
        <v>951.4</v>
      </c>
      <c r="G79" s="247">
        <v>77.891760000000005</v>
      </c>
    </row>
    <row r="80" spans="2:8" x14ac:dyDescent="0.2">
      <c r="B80" s="245" t="s">
        <v>710</v>
      </c>
      <c r="C80" s="257" t="s">
        <v>923</v>
      </c>
      <c r="D80" s="242" t="s">
        <v>1043</v>
      </c>
      <c r="E80" s="243">
        <v>19099.66</v>
      </c>
      <c r="F80" s="243">
        <v>19041.25</v>
      </c>
      <c r="G80" s="247">
        <v>5.8933062999999999</v>
      </c>
    </row>
    <row r="81" spans="2:7" x14ac:dyDescent="0.2">
      <c r="B81" s="245" t="s">
        <v>710</v>
      </c>
      <c r="C81" s="257" t="s">
        <v>904</v>
      </c>
      <c r="D81" s="242" t="s">
        <v>1043</v>
      </c>
      <c r="E81" s="243">
        <v>2638.1</v>
      </c>
      <c r="F81" s="243">
        <v>2546.15</v>
      </c>
      <c r="G81" s="247">
        <v>56.183524000000006</v>
      </c>
    </row>
    <row r="82" spans="2:7" x14ac:dyDescent="0.2">
      <c r="B82" s="245" t="s">
        <v>710</v>
      </c>
      <c r="C82" s="257" t="s">
        <v>906</v>
      </c>
      <c r="D82" s="242" t="s">
        <v>1043</v>
      </c>
      <c r="E82" s="243">
        <v>802.73</v>
      </c>
      <c r="F82" s="243">
        <v>811.3</v>
      </c>
      <c r="G82" s="247">
        <v>69.593821199999994</v>
      </c>
    </row>
    <row r="83" spans="2:7" x14ac:dyDescent="0.2">
      <c r="B83" s="245" t="s">
        <v>710</v>
      </c>
      <c r="C83" s="257" t="s">
        <v>886</v>
      </c>
      <c r="D83" s="242" t="s">
        <v>1043</v>
      </c>
      <c r="E83" s="243">
        <v>1331.03</v>
      </c>
      <c r="F83" s="243">
        <v>1318.45</v>
      </c>
      <c r="G83" s="247">
        <v>35.504187999999999</v>
      </c>
    </row>
    <row r="84" spans="2:7" x14ac:dyDescent="0.2">
      <c r="B84" s="245" t="s">
        <v>710</v>
      </c>
      <c r="C84" s="250" t="s">
        <v>918</v>
      </c>
      <c r="D84" s="242" t="s">
        <v>1043</v>
      </c>
      <c r="E84" s="243">
        <v>1557.87</v>
      </c>
      <c r="F84" s="243">
        <v>1469.05</v>
      </c>
      <c r="G84" s="247">
        <v>116.54883</v>
      </c>
    </row>
    <row r="85" spans="2:7" x14ac:dyDescent="0.2">
      <c r="B85" s="258"/>
      <c r="C85" s="259"/>
      <c r="E85" s="260"/>
      <c r="F85" s="260"/>
      <c r="G85" s="260"/>
    </row>
    <row r="87" spans="2:7" x14ac:dyDescent="0.2">
      <c r="B87" s="236" t="s">
        <v>1044</v>
      </c>
    </row>
    <row r="89" spans="2:7" x14ac:dyDescent="0.2">
      <c r="B89" s="261" t="s">
        <v>1037</v>
      </c>
      <c r="C89" s="261" t="s">
        <v>1045</v>
      </c>
    </row>
    <row r="90" spans="2:7" x14ac:dyDescent="0.2">
      <c r="B90" s="240" t="s">
        <v>301</v>
      </c>
      <c r="C90" s="262">
        <v>0.4</v>
      </c>
    </row>
    <row r="91" spans="2:7" x14ac:dyDescent="0.2">
      <c r="B91" s="245" t="s">
        <v>694</v>
      </c>
      <c r="C91" s="262">
        <v>70.209999999999994</v>
      </c>
    </row>
    <row r="92" spans="2:7" x14ac:dyDescent="0.2">
      <c r="B92" s="245" t="s">
        <v>775</v>
      </c>
      <c r="C92" s="263">
        <v>25.94</v>
      </c>
    </row>
    <row r="93" spans="2:7" x14ac:dyDescent="0.2">
      <c r="B93" s="264" t="s">
        <v>710</v>
      </c>
      <c r="C93" s="262">
        <v>32.14</v>
      </c>
    </row>
    <row r="95" spans="2:7" x14ac:dyDescent="0.2">
      <c r="B95" s="236" t="s">
        <v>1046</v>
      </c>
    </row>
    <row r="96" spans="2:7" x14ac:dyDescent="0.2">
      <c r="B96" s="236"/>
    </row>
    <row r="97" spans="2:12" ht="63.75" x14ac:dyDescent="0.2">
      <c r="B97" s="238" t="s">
        <v>1037</v>
      </c>
      <c r="C97" s="239" t="s">
        <v>1047</v>
      </c>
      <c r="D97" s="239" t="s">
        <v>1048</v>
      </c>
      <c r="E97" s="239" t="s">
        <v>1049</v>
      </c>
      <c r="F97" s="239" t="s">
        <v>1050</v>
      </c>
      <c r="G97" s="239" t="s">
        <v>1051</v>
      </c>
    </row>
    <row r="98" spans="2:12" ht="15" customHeight="1" x14ac:dyDescent="0.2">
      <c r="B98" s="264" t="s">
        <v>744</v>
      </c>
      <c r="C98" s="265">
        <v>500</v>
      </c>
      <c r="D98" s="265">
        <v>500</v>
      </c>
      <c r="E98" s="254">
        <v>3653.5999000000002</v>
      </c>
      <c r="F98" s="254">
        <v>3563.7611000000002</v>
      </c>
      <c r="G98" s="266">
        <v>-89.838799999999992</v>
      </c>
      <c r="H98" s="267"/>
      <c r="I98" s="268"/>
      <c r="J98" s="269"/>
    </row>
    <row r="99" spans="2:12" ht="15" customHeight="1" x14ac:dyDescent="0.2">
      <c r="B99" s="270" t="s">
        <v>501</v>
      </c>
      <c r="C99" s="271">
        <v>150</v>
      </c>
      <c r="D99" s="271">
        <v>150</v>
      </c>
      <c r="E99" s="272">
        <v>1264.2937999999999</v>
      </c>
      <c r="F99" s="272">
        <v>1229.8857</v>
      </c>
      <c r="G99" s="266">
        <v>-34.408099999999877</v>
      </c>
      <c r="H99" s="267"/>
      <c r="I99" s="268"/>
      <c r="J99" s="269"/>
    </row>
    <row r="100" spans="2:12" ht="15" customHeight="1" x14ac:dyDescent="0.2">
      <c r="B100" s="245" t="s">
        <v>694</v>
      </c>
      <c r="C100" s="265">
        <v>4797</v>
      </c>
      <c r="D100" s="265">
        <v>4797</v>
      </c>
      <c r="E100" s="254">
        <v>39651.902579999994</v>
      </c>
      <c r="F100" s="254">
        <v>38543.099446</v>
      </c>
      <c r="G100" s="266">
        <v>-1144.2851339999943</v>
      </c>
      <c r="H100" s="267"/>
      <c r="I100" s="268"/>
      <c r="J100" s="269"/>
    </row>
    <row r="101" spans="2:12" ht="15" customHeight="1" x14ac:dyDescent="0.2">
      <c r="B101" s="245" t="s">
        <v>775</v>
      </c>
      <c r="C101" s="271">
        <v>22242</v>
      </c>
      <c r="D101" s="271">
        <v>22242</v>
      </c>
      <c r="E101" s="272">
        <v>192290.43439000001</v>
      </c>
      <c r="F101" s="272">
        <v>184744.63879999999</v>
      </c>
      <c r="G101" s="266">
        <v>-7536.0455900000234</v>
      </c>
      <c r="H101" s="267"/>
      <c r="I101" s="272"/>
      <c r="J101" s="272"/>
      <c r="K101" s="269"/>
    </row>
    <row r="102" spans="2:12" ht="15" customHeight="1" x14ac:dyDescent="0.2">
      <c r="B102" s="264" t="s">
        <v>698</v>
      </c>
      <c r="C102" s="265">
        <v>315</v>
      </c>
      <c r="D102" s="265">
        <v>315</v>
      </c>
      <c r="E102" s="254">
        <v>2580.5940999999998</v>
      </c>
      <c r="F102" s="254">
        <v>2564.0212000000001</v>
      </c>
      <c r="G102" s="266">
        <v>-16.572899999999663</v>
      </c>
      <c r="H102" s="267"/>
      <c r="I102" s="268"/>
      <c r="J102" s="269"/>
    </row>
    <row r="103" spans="2:12" x14ac:dyDescent="0.2">
      <c r="B103" s="245" t="s">
        <v>710</v>
      </c>
      <c r="C103" s="271">
        <v>3363</v>
      </c>
      <c r="D103" s="271">
        <v>3363</v>
      </c>
      <c r="E103" s="272">
        <v>28155.391599999995</v>
      </c>
      <c r="F103" s="272">
        <v>27274.668600000005</v>
      </c>
      <c r="G103" s="266">
        <v>-891.16299999999092</v>
      </c>
      <c r="H103" s="267"/>
      <c r="I103" s="273"/>
      <c r="J103" s="273"/>
    </row>
    <row r="104" spans="2:12" x14ac:dyDescent="0.2">
      <c r="B104" s="270" t="s">
        <v>561</v>
      </c>
      <c r="C104" s="271">
        <v>80</v>
      </c>
      <c r="D104" s="271">
        <v>80</v>
      </c>
      <c r="E104" s="272">
        <v>747.92399999999998</v>
      </c>
      <c r="F104" s="272">
        <v>747.24670600000013</v>
      </c>
      <c r="G104" s="266">
        <v>-0.67729399999984707</v>
      </c>
      <c r="H104" s="267"/>
      <c r="I104" s="268"/>
      <c r="J104" s="269"/>
    </row>
    <row r="105" spans="2:12" x14ac:dyDescent="0.2">
      <c r="B105" s="264" t="s">
        <v>301</v>
      </c>
      <c r="C105" s="265">
        <v>150</v>
      </c>
      <c r="D105" s="265">
        <v>150</v>
      </c>
      <c r="E105" s="254">
        <v>974.16041050000001</v>
      </c>
      <c r="F105" s="254">
        <v>953.35225989999992</v>
      </c>
      <c r="G105" s="266">
        <v>-20.80815060000009</v>
      </c>
      <c r="H105" s="267"/>
      <c r="I105" s="268"/>
      <c r="J105" s="269"/>
    </row>
    <row r="106" spans="2:12" ht="15" customHeight="1" x14ac:dyDescent="0.2">
      <c r="H106" s="267"/>
      <c r="I106" s="268"/>
      <c r="J106" s="269"/>
    </row>
    <row r="107" spans="2:12" ht="15" customHeight="1" x14ac:dyDescent="0.2">
      <c r="E107" s="269"/>
      <c r="F107" s="269"/>
      <c r="H107" s="267"/>
      <c r="I107" s="268"/>
      <c r="J107" s="269"/>
    </row>
    <row r="108" spans="2:12" x14ac:dyDescent="0.2">
      <c r="B108" s="236" t="s">
        <v>1057</v>
      </c>
      <c r="F108" s="269"/>
      <c r="G108" s="268"/>
      <c r="H108" s="267"/>
      <c r="I108" s="268"/>
      <c r="L108" s="267"/>
    </row>
    <row r="109" spans="2:12" x14ac:dyDescent="0.2">
      <c r="H109" s="274"/>
      <c r="L109" s="268"/>
    </row>
    <row r="110" spans="2:12" ht="63.75" x14ac:dyDescent="0.2">
      <c r="B110" s="238" t="s">
        <v>1037</v>
      </c>
      <c r="C110" s="238" t="s">
        <v>1038</v>
      </c>
      <c r="D110" s="238" t="s">
        <v>1039</v>
      </c>
      <c r="E110" s="239" t="s">
        <v>1040</v>
      </c>
      <c r="F110" s="239" t="s">
        <v>1041</v>
      </c>
      <c r="G110" s="239" t="s">
        <v>1058</v>
      </c>
    </row>
    <row r="111" spans="2:12" x14ac:dyDescent="0.2">
      <c r="B111" s="245" t="s">
        <v>775</v>
      </c>
      <c r="C111" s="245" t="s">
        <v>878</v>
      </c>
      <c r="D111" s="242" t="s">
        <v>1059</v>
      </c>
      <c r="E111" s="275">
        <v>325.5</v>
      </c>
      <c r="F111" s="275">
        <v>310.95</v>
      </c>
      <c r="G111" s="276">
        <v>233.4</v>
      </c>
    </row>
    <row r="112" spans="2:12" x14ac:dyDescent="0.2">
      <c r="B112" s="245" t="s">
        <v>301</v>
      </c>
      <c r="C112" s="245" t="s">
        <v>878</v>
      </c>
      <c r="D112" s="242" t="s">
        <v>1059</v>
      </c>
      <c r="E112" s="275">
        <v>325.5</v>
      </c>
      <c r="F112" s="275">
        <v>310.95</v>
      </c>
      <c r="G112" s="276">
        <v>804.92</v>
      </c>
    </row>
    <row r="113" spans="2:12" x14ac:dyDescent="0.2">
      <c r="D113" s="277"/>
      <c r="E113" s="278"/>
      <c r="F113" s="278"/>
      <c r="G113" s="278"/>
      <c r="I113" s="268"/>
    </row>
    <row r="114" spans="2:12" x14ac:dyDescent="0.2">
      <c r="C114" s="279"/>
      <c r="D114" s="280"/>
      <c r="E114" s="281"/>
      <c r="F114" s="282"/>
      <c r="G114" s="282"/>
      <c r="I114" s="268"/>
    </row>
    <row r="115" spans="2:12" x14ac:dyDescent="0.2">
      <c r="B115" s="236" t="s">
        <v>1060</v>
      </c>
      <c r="I115" s="268"/>
    </row>
    <row r="116" spans="2:12" x14ac:dyDescent="0.2">
      <c r="I116" s="268"/>
      <c r="L116" s="269"/>
    </row>
    <row r="117" spans="2:12" x14ac:dyDescent="0.2">
      <c r="B117" s="261" t="s">
        <v>1037</v>
      </c>
      <c r="C117" s="261" t="s">
        <v>1045</v>
      </c>
    </row>
    <row r="118" spans="2:12" x14ac:dyDescent="0.2">
      <c r="B118" s="245" t="s">
        <v>775</v>
      </c>
      <c r="C118" s="283">
        <v>0.55000000000000004</v>
      </c>
    </row>
    <row r="119" spans="2:12" x14ac:dyDescent="0.2">
      <c r="B119" s="245" t="s">
        <v>301</v>
      </c>
      <c r="C119" s="242">
        <v>0.33</v>
      </c>
    </row>
    <row r="120" spans="2:12" x14ac:dyDescent="0.2">
      <c r="B120" s="241"/>
      <c r="C120" s="284"/>
    </row>
    <row r="121" spans="2:12" x14ac:dyDescent="0.2">
      <c r="B121" s="236" t="s">
        <v>1061</v>
      </c>
    </row>
    <row r="122" spans="2:12" x14ac:dyDescent="0.2">
      <c r="B122" s="236"/>
    </row>
    <row r="123" spans="2:12" ht="63.75" x14ac:dyDescent="0.2">
      <c r="B123" s="238" t="s">
        <v>1037</v>
      </c>
      <c r="C123" s="239" t="s">
        <v>1047</v>
      </c>
      <c r="D123" s="239" t="s">
        <v>1048</v>
      </c>
      <c r="E123" s="239" t="s">
        <v>1049</v>
      </c>
      <c r="F123" s="239" t="s">
        <v>1062</v>
      </c>
      <c r="G123" s="239" t="s">
        <v>1063</v>
      </c>
    </row>
    <row r="124" spans="2:12" ht="15" customHeight="1" x14ac:dyDescent="0.2">
      <c r="B124" s="245" t="s">
        <v>1</v>
      </c>
      <c r="C124" s="271">
        <v>186</v>
      </c>
      <c r="D124" s="271">
        <v>186</v>
      </c>
      <c r="E124" s="272">
        <v>1514.4937</v>
      </c>
      <c r="F124" s="272">
        <v>1546.2087999999999</v>
      </c>
      <c r="G124" s="285">
        <v>31.715099999999893</v>
      </c>
      <c r="H124" s="267"/>
      <c r="I124" s="268"/>
    </row>
    <row r="125" spans="2:12" x14ac:dyDescent="0.2">
      <c r="B125" s="264" t="s">
        <v>1064</v>
      </c>
      <c r="C125" s="263">
        <v>275</v>
      </c>
      <c r="D125" s="263">
        <v>275</v>
      </c>
      <c r="E125" s="286">
        <v>2440.04</v>
      </c>
      <c r="F125" s="286">
        <v>2412.16</v>
      </c>
      <c r="G125" s="285">
        <v>-27.880000000000109</v>
      </c>
    </row>
    <row r="126" spans="2:12" x14ac:dyDescent="0.2">
      <c r="B126" s="245" t="s">
        <v>775</v>
      </c>
      <c r="C126" s="287">
        <v>1032</v>
      </c>
      <c r="D126" s="287">
        <v>1032</v>
      </c>
      <c r="E126" s="286">
        <v>8823.1700999999994</v>
      </c>
      <c r="F126" s="286">
        <v>8806.8392000000003</v>
      </c>
      <c r="G126" s="285">
        <v>-16.330899999999019</v>
      </c>
      <c r="H126" s="288"/>
      <c r="I126" s="268"/>
    </row>
    <row r="127" spans="2:12" x14ac:dyDescent="0.2">
      <c r="B127" s="264" t="s">
        <v>744</v>
      </c>
      <c r="C127" s="287">
        <v>810</v>
      </c>
      <c r="D127" s="287">
        <v>810</v>
      </c>
      <c r="E127" s="286">
        <v>6136.0822131999994</v>
      </c>
      <c r="F127" s="286">
        <v>5953.1981343999996</v>
      </c>
      <c r="G127" s="285">
        <v>-182.88407879999977</v>
      </c>
      <c r="H127" s="288"/>
      <c r="I127" s="268"/>
    </row>
    <row r="128" spans="2:12" x14ac:dyDescent="0.2">
      <c r="B128" s="270" t="s">
        <v>501</v>
      </c>
      <c r="C128" s="263">
        <v>250</v>
      </c>
      <c r="D128" s="263">
        <v>250</v>
      </c>
      <c r="E128" s="286">
        <v>1517.3780769</v>
      </c>
      <c r="F128" s="286">
        <v>1594.5</v>
      </c>
      <c r="G128" s="285">
        <v>77.121923100000004</v>
      </c>
    </row>
    <row r="129" spans="2:9" s="236" customFormat="1" x14ac:dyDescent="0.2">
      <c r="B129" s="270" t="s">
        <v>561</v>
      </c>
      <c r="C129" s="271">
        <v>50</v>
      </c>
      <c r="D129" s="271">
        <v>50</v>
      </c>
      <c r="E129" s="272">
        <v>495.94999039999999</v>
      </c>
      <c r="F129" s="272">
        <v>530.76250000000005</v>
      </c>
      <c r="G129" s="285">
        <v>34.812509600000055</v>
      </c>
      <c r="H129" s="288"/>
      <c r="I129" s="289"/>
    </row>
    <row r="130" spans="2:9" x14ac:dyDescent="0.2">
      <c r="B130" s="264" t="s">
        <v>777</v>
      </c>
      <c r="C130" s="263">
        <v>1900</v>
      </c>
      <c r="D130" s="263">
        <v>1900</v>
      </c>
      <c r="E130" s="286">
        <v>13774.224144200001</v>
      </c>
      <c r="F130" s="286">
        <v>14108.313395899999</v>
      </c>
      <c r="G130" s="285">
        <v>334.08925169999748</v>
      </c>
      <c r="H130" s="290"/>
    </row>
    <row r="131" spans="2:9" x14ac:dyDescent="0.2">
      <c r="B131" s="270" t="s">
        <v>698</v>
      </c>
      <c r="C131" s="287">
        <v>1070</v>
      </c>
      <c r="D131" s="287">
        <v>1070</v>
      </c>
      <c r="E131" s="286">
        <v>9031.7745035999997</v>
      </c>
      <c r="F131" s="286">
        <v>8946.3621999999996</v>
      </c>
      <c r="G131" s="285">
        <v>-85.412303600000087</v>
      </c>
      <c r="H131" s="288"/>
      <c r="I131" s="290"/>
    </row>
    <row r="132" spans="2:9" x14ac:dyDescent="0.2">
      <c r="B132" s="240" t="s">
        <v>584</v>
      </c>
      <c r="C132" s="287">
        <v>350</v>
      </c>
      <c r="D132" s="287">
        <v>350</v>
      </c>
      <c r="E132" s="286">
        <v>3902.8987700000002</v>
      </c>
      <c r="F132" s="286">
        <v>3965.2350000000001</v>
      </c>
      <c r="G132" s="285">
        <v>62.336229999999887</v>
      </c>
      <c r="H132" s="288"/>
    </row>
    <row r="133" spans="2:9" s="236" customFormat="1" x14ac:dyDescent="0.2">
      <c r="B133" s="245" t="s">
        <v>699</v>
      </c>
      <c r="C133" s="271">
        <v>808</v>
      </c>
      <c r="D133" s="271">
        <v>808</v>
      </c>
      <c r="E133" s="272">
        <v>6441.5020000000004</v>
      </c>
      <c r="F133" s="272">
        <v>6415.01</v>
      </c>
      <c r="G133" s="285">
        <v>-26.492000000000189</v>
      </c>
      <c r="H133" s="288"/>
      <c r="I133" s="289"/>
    </row>
    <row r="134" spans="2:9" s="236" customFormat="1" hidden="1" x14ac:dyDescent="0.2">
      <c r="B134" s="245" t="s">
        <v>721</v>
      </c>
      <c r="C134" s="271"/>
      <c r="D134" s="271"/>
      <c r="E134" s="272"/>
      <c r="F134" s="272"/>
      <c r="G134" s="285">
        <f t="shared" ref="G134:G150" si="0">+F134-E134</f>
        <v>0</v>
      </c>
      <c r="H134" s="288"/>
      <c r="I134" s="289"/>
    </row>
    <row r="135" spans="2:9" hidden="1" x14ac:dyDescent="0.2">
      <c r="B135" s="245" t="s">
        <v>485</v>
      </c>
      <c r="C135" s="271"/>
      <c r="D135" s="271"/>
      <c r="E135" s="272"/>
      <c r="F135" s="272"/>
      <c r="G135" s="285">
        <f t="shared" si="0"/>
        <v>0</v>
      </c>
      <c r="H135" s="267"/>
      <c r="I135" s="268"/>
    </row>
    <row r="136" spans="2:9" hidden="1" x14ac:dyDescent="0.2">
      <c r="B136" s="245" t="s">
        <v>484</v>
      </c>
      <c r="C136" s="271"/>
      <c r="D136" s="271"/>
      <c r="E136" s="272"/>
      <c r="F136" s="272"/>
      <c r="G136" s="285">
        <f t="shared" si="0"/>
        <v>0</v>
      </c>
      <c r="H136" s="267"/>
      <c r="I136" s="268"/>
    </row>
    <row r="137" spans="2:9" hidden="1" x14ac:dyDescent="0.2">
      <c r="B137" s="245" t="s">
        <v>483</v>
      </c>
      <c r="C137" s="271"/>
      <c r="D137" s="271"/>
      <c r="E137" s="272"/>
      <c r="F137" s="272"/>
      <c r="G137" s="285">
        <f t="shared" si="0"/>
        <v>0</v>
      </c>
      <c r="H137" s="267"/>
      <c r="I137" s="268"/>
    </row>
    <row r="138" spans="2:9" hidden="1" x14ac:dyDescent="0.2">
      <c r="B138" s="245" t="s">
        <v>480</v>
      </c>
      <c r="C138" s="271"/>
      <c r="D138" s="271"/>
      <c r="E138" s="272"/>
      <c r="F138" s="272"/>
      <c r="G138" s="285">
        <f t="shared" si="0"/>
        <v>0</v>
      </c>
      <c r="H138" s="267"/>
      <c r="I138" s="268"/>
    </row>
    <row r="139" spans="2:9" hidden="1" x14ac:dyDescent="0.2">
      <c r="B139" s="245" t="s">
        <v>479</v>
      </c>
      <c r="C139" s="271"/>
      <c r="D139" s="271"/>
      <c r="E139" s="272"/>
      <c r="F139" s="272"/>
      <c r="G139" s="285">
        <f t="shared" si="0"/>
        <v>0</v>
      </c>
      <c r="H139" s="267"/>
      <c r="I139" s="268"/>
    </row>
    <row r="140" spans="2:9" hidden="1" x14ac:dyDescent="0.2">
      <c r="B140" s="245" t="s">
        <v>462</v>
      </c>
      <c r="C140" s="271"/>
      <c r="D140" s="271"/>
      <c r="E140" s="272"/>
      <c r="F140" s="272"/>
      <c r="G140" s="285">
        <f t="shared" si="0"/>
        <v>0</v>
      </c>
      <c r="H140" s="267"/>
      <c r="I140" s="268"/>
    </row>
    <row r="141" spans="2:9" hidden="1" x14ac:dyDescent="0.2">
      <c r="B141" s="245" t="s">
        <v>411</v>
      </c>
      <c r="C141" s="271"/>
      <c r="D141" s="271"/>
      <c r="E141" s="272"/>
      <c r="F141" s="272"/>
      <c r="G141" s="285">
        <f t="shared" si="0"/>
        <v>0</v>
      </c>
      <c r="H141" s="267"/>
      <c r="I141" s="268"/>
    </row>
    <row r="142" spans="2:9" hidden="1" x14ac:dyDescent="0.2">
      <c r="B142" s="245" t="s">
        <v>742</v>
      </c>
      <c r="C142" s="271"/>
      <c r="D142" s="271"/>
      <c r="E142" s="272"/>
      <c r="F142" s="272"/>
      <c r="G142" s="285">
        <f t="shared" si="0"/>
        <v>0</v>
      </c>
      <c r="H142" s="267"/>
      <c r="I142" s="268"/>
    </row>
    <row r="143" spans="2:9" hidden="1" x14ac:dyDescent="0.2">
      <c r="B143" s="245" t="s">
        <v>1053</v>
      </c>
      <c r="C143" s="271"/>
      <c r="D143" s="271"/>
      <c r="E143" s="272"/>
      <c r="F143" s="272"/>
      <c r="G143" s="285">
        <f t="shared" si="0"/>
        <v>0</v>
      </c>
      <c r="H143" s="267"/>
      <c r="I143" s="268"/>
    </row>
    <row r="144" spans="2:9" hidden="1" x14ac:dyDescent="0.2">
      <c r="B144" s="245" t="s">
        <v>1052</v>
      </c>
      <c r="C144" s="271"/>
      <c r="D144" s="271"/>
      <c r="E144" s="272"/>
      <c r="F144" s="272"/>
      <c r="G144" s="285">
        <f t="shared" si="0"/>
        <v>0</v>
      </c>
      <c r="H144" s="267"/>
      <c r="I144" s="268"/>
    </row>
    <row r="145" spans="2:9" hidden="1" x14ac:dyDescent="0.2">
      <c r="B145" s="245" t="s">
        <v>296</v>
      </c>
      <c r="C145" s="271"/>
      <c r="D145" s="271"/>
      <c r="E145" s="272"/>
      <c r="F145" s="272"/>
      <c r="G145" s="285">
        <f t="shared" si="0"/>
        <v>0</v>
      </c>
      <c r="H145" s="267"/>
      <c r="I145" s="268"/>
    </row>
    <row r="146" spans="2:9" hidden="1" x14ac:dyDescent="0.2">
      <c r="B146" s="245" t="s">
        <v>293</v>
      </c>
      <c r="C146" s="271"/>
      <c r="D146" s="271"/>
      <c r="E146" s="272"/>
      <c r="F146" s="272"/>
      <c r="G146" s="285">
        <f t="shared" si="0"/>
        <v>0</v>
      </c>
      <c r="H146" s="267"/>
      <c r="I146" s="268"/>
    </row>
    <row r="147" spans="2:9" hidden="1" x14ac:dyDescent="0.2">
      <c r="B147" s="245" t="s">
        <v>1054</v>
      </c>
      <c r="C147" s="271"/>
      <c r="D147" s="271"/>
      <c r="E147" s="272"/>
      <c r="F147" s="272"/>
      <c r="G147" s="285">
        <f t="shared" si="0"/>
        <v>0</v>
      </c>
      <c r="H147" s="267"/>
      <c r="I147" s="268"/>
    </row>
    <row r="148" spans="2:9" hidden="1" x14ac:dyDescent="0.2">
      <c r="B148" s="245" t="s">
        <v>1055</v>
      </c>
      <c r="C148" s="271"/>
      <c r="D148" s="271"/>
      <c r="E148" s="272"/>
      <c r="F148" s="272"/>
      <c r="G148" s="285">
        <f t="shared" si="0"/>
        <v>0</v>
      </c>
      <c r="H148" s="267"/>
      <c r="I148" s="268"/>
    </row>
    <row r="149" spans="2:9" hidden="1" x14ac:dyDescent="0.2">
      <c r="B149" s="245" t="s">
        <v>1056</v>
      </c>
      <c r="C149" s="271"/>
      <c r="D149" s="271"/>
      <c r="E149" s="272"/>
      <c r="F149" s="272"/>
      <c r="G149" s="285">
        <f t="shared" si="0"/>
        <v>0</v>
      </c>
      <c r="H149" s="267"/>
      <c r="I149" s="268"/>
    </row>
    <row r="150" spans="2:9" hidden="1" x14ac:dyDescent="0.2">
      <c r="B150" s="245" t="s">
        <v>516</v>
      </c>
      <c r="C150" s="271"/>
      <c r="D150" s="271"/>
      <c r="E150" s="272"/>
      <c r="F150" s="272"/>
      <c r="G150" s="285">
        <f t="shared" si="0"/>
        <v>0</v>
      </c>
      <c r="H150" s="267"/>
      <c r="I150" s="268"/>
    </row>
    <row r="151" spans="2:9" ht="15" customHeight="1" x14ac:dyDescent="0.2">
      <c r="H151" s="267"/>
      <c r="I151" s="268"/>
    </row>
    <row r="152" spans="2:9" x14ac:dyDescent="0.2">
      <c r="B152" s="291"/>
      <c r="C152" s="292"/>
      <c r="D152" s="292"/>
      <c r="E152" s="293"/>
      <c r="F152" s="293"/>
      <c r="G152" s="293"/>
      <c r="H152" s="268"/>
    </row>
    <row r="153" spans="2:9" x14ac:dyDescent="0.2">
      <c r="B153" s="236" t="s">
        <v>1065</v>
      </c>
      <c r="D153" s="294"/>
    </row>
    <row r="155" spans="2:9" ht="25.5" x14ac:dyDescent="0.2">
      <c r="B155" s="239" t="s">
        <v>1037</v>
      </c>
      <c r="C155" s="239" t="s">
        <v>1038</v>
      </c>
      <c r="D155" s="239" t="s">
        <v>1066</v>
      </c>
      <c r="E155" s="239" t="s">
        <v>1067</v>
      </c>
      <c r="F155" s="239" t="s">
        <v>1068</v>
      </c>
      <c r="G155" s="239" t="s">
        <v>1069</v>
      </c>
    </row>
    <row r="156" spans="2:9" x14ac:dyDescent="0.2">
      <c r="B156" s="295" t="s">
        <v>935</v>
      </c>
      <c r="C156" s="295" t="s">
        <v>935</v>
      </c>
      <c r="D156" s="295" t="s">
        <v>935</v>
      </c>
      <c r="E156" s="295" t="s">
        <v>935</v>
      </c>
      <c r="F156" s="295" t="s">
        <v>935</v>
      </c>
      <c r="G156" s="295" t="s">
        <v>935</v>
      </c>
    </row>
    <row r="157" spans="2:9" x14ac:dyDescent="0.2">
      <c r="D157" s="294"/>
      <c r="E157" s="294"/>
      <c r="F157" s="296"/>
      <c r="G157" s="296"/>
    </row>
    <row r="158" spans="2:9" x14ac:dyDescent="0.2">
      <c r="D158" s="294"/>
      <c r="E158" s="294"/>
      <c r="F158" s="296"/>
      <c r="G158" s="296"/>
    </row>
    <row r="159" spans="2:9" x14ac:dyDescent="0.2">
      <c r="B159" s="236" t="s">
        <v>1070</v>
      </c>
      <c r="G159" s="235" t="s">
        <v>1001</v>
      </c>
    </row>
    <row r="160" spans="2:9" x14ac:dyDescent="0.2">
      <c r="B160" s="236"/>
    </row>
    <row r="161" spans="2:7" x14ac:dyDescent="0.2">
      <c r="B161" s="261" t="s">
        <v>1037</v>
      </c>
      <c r="C161" s="261" t="s">
        <v>1045</v>
      </c>
    </row>
    <row r="162" spans="2:7" x14ac:dyDescent="0.2">
      <c r="B162" s="295" t="s">
        <v>935</v>
      </c>
      <c r="C162" s="295" t="s">
        <v>935</v>
      </c>
    </row>
    <row r="163" spans="2:7" x14ac:dyDescent="0.2">
      <c r="C163" s="297"/>
      <c r="D163" s="284"/>
    </row>
    <row r="164" spans="2:7" x14ac:dyDescent="0.2">
      <c r="B164" s="236" t="s">
        <v>1071</v>
      </c>
    </row>
    <row r="166" spans="2:7" ht="38.25" x14ac:dyDescent="0.2">
      <c r="B166" s="238" t="s">
        <v>1037</v>
      </c>
      <c r="C166" s="239" t="s">
        <v>1072</v>
      </c>
      <c r="D166" s="239" t="s">
        <v>1073</v>
      </c>
      <c r="E166" s="239" t="s">
        <v>1074</v>
      </c>
      <c r="F166" s="239" t="s">
        <v>1075</v>
      </c>
    </row>
    <row r="167" spans="2:7" x14ac:dyDescent="0.2">
      <c r="B167" s="240"/>
      <c r="C167" s="295"/>
      <c r="D167" s="298"/>
      <c r="E167" s="285"/>
      <c r="F167" s="285">
        <f>+E167-D167</f>
        <v>0</v>
      </c>
    </row>
    <row r="168" spans="2:7" x14ac:dyDescent="0.2">
      <c r="B168" s="299"/>
      <c r="C168" s="300"/>
      <c r="D168" s="301"/>
      <c r="E168" s="301"/>
      <c r="F168" s="302"/>
    </row>
    <row r="169" spans="2:7" x14ac:dyDescent="0.2">
      <c r="B169" s="299"/>
      <c r="C169" s="300"/>
      <c r="D169" s="301"/>
      <c r="E169" s="301"/>
      <c r="F169" s="302"/>
    </row>
    <row r="171" spans="2:7" x14ac:dyDescent="0.2">
      <c r="B171" s="236" t="s">
        <v>1076</v>
      </c>
    </row>
    <row r="173" spans="2:7" ht="25.5" x14ac:dyDescent="0.2">
      <c r="B173" s="239" t="s">
        <v>1037</v>
      </c>
      <c r="C173" s="239" t="s">
        <v>1038</v>
      </c>
      <c r="D173" s="239" t="s">
        <v>1066</v>
      </c>
      <c r="E173" s="239" t="s">
        <v>1067</v>
      </c>
      <c r="F173" s="239" t="s">
        <v>1068</v>
      </c>
      <c r="G173" s="239" t="s">
        <v>1069</v>
      </c>
    </row>
    <row r="174" spans="2:7" x14ac:dyDescent="0.2">
      <c r="B174" s="245" t="s">
        <v>935</v>
      </c>
      <c r="C174" s="245" t="s">
        <v>935</v>
      </c>
      <c r="D174" s="245" t="s">
        <v>935</v>
      </c>
      <c r="E174" s="245" t="s">
        <v>935</v>
      </c>
      <c r="F174" s="245" t="s">
        <v>935</v>
      </c>
      <c r="G174" s="245" t="s">
        <v>935</v>
      </c>
    </row>
    <row r="175" spans="2:7" x14ac:dyDescent="0.2">
      <c r="C175" s="279"/>
      <c r="D175" s="303"/>
      <c r="E175" s="304"/>
      <c r="F175" s="296"/>
      <c r="G175" s="296"/>
    </row>
    <row r="176" spans="2:7" x14ac:dyDescent="0.2">
      <c r="B176" s="236" t="s">
        <v>1077</v>
      </c>
    </row>
    <row r="177" spans="2:7" x14ac:dyDescent="0.2">
      <c r="B177" s="236"/>
    </row>
    <row r="178" spans="2:7" x14ac:dyDescent="0.2">
      <c r="B178" s="261" t="s">
        <v>1037</v>
      </c>
      <c r="C178" s="261" t="s">
        <v>1045</v>
      </c>
    </row>
    <row r="179" spans="2:7" x14ac:dyDescent="0.2">
      <c r="B179" s="245" t="s">
        <v>935</v>
      </c>
      <c r="C179" s="245" t="s">
        <v>935</v>
      </c>
    </row>
    <row r="180" spans="2:7" x14ac:dyDescent="0.2">
      <c r="B180" s="241"/>
      <c r="C180" s="284"/>
    </row>
    <row r="181" spans="2:7" x14ac:dyDescent="0.2">
      <c r="B181" s="236" t="s">
        <v>1078</v>
      </c>
    </row>
    <row r="183" spans="2:7" ht="38.25" x14ac:dyDescent="0.2">
      <c r="B183" s="238" t="s">
        <v>1037</v>
      </c>
      <c r="C183" s="239" t="s">
        <v>1072</v>
      </c>
      <c r="D183" s="239" t="s">
        <v>1079</v>
      </c>
      <c r="E183" s="239" t="s">
        <v>1080</v>
      </c>
      <c r="F183" s="239" t="s">
        <v>1075</v>
      </c>
    </row>
    <row r="184" spans="2:7" x14ac:dyDescent="0.2">
      <c r="B184" s="245"/>
      <c r="C184" s="295"/>
      <c r="D184" s="298"/>
      <c r="E184" s="295"/>
      <c r="F184" s="295"/>
    </row>
    <row r="185" spans="2:7" x14ac:dyDescent="0.2">
      <c r="G185" s="305"/>
    </row>
    <row r="186" spans="2:7" x14ac:dyDescent="0.2">
      <c r="F186" s="273"/>
      <c r="G186" s="269"/>
    </row>
    <row r="187" spans="2:7" x14ac:dyDescent="0.2">
      <c r="B187" s="236" t="s">
        <v>1081</v>
      </c>
    </row>
    <row r="188" spans="2:7" x14ac:dyDescent="0.2">
      <c r="B188" s="236"/>
    </row>
    <row r="189" spans="2:7" x14ac:dyDescent="0.2">
      <c r="E189" s="269"/>
    </row>
    <row r="190" spans="2:7" x14ac:dyDescent="0.2">
      <c r="B190" s="236" t="s">
        <v>1082</v>
      </c>
      <c r="E190" s="269"/>
    </row>
    <row r="191" spans="2:7" x14ac:dyDescent="0.2">
      <c r="E191" s="269"/>
    </row>
    <row r="192" spans="2:7" ht="25.5" x14ac:dyDescent="0.2">
      <c r="B192" s="238" t="s">
        <v>1037</v>
      </c>
      <c r="C192" s="239" t="s">
        <v>1038</v>
      </c>
      <c r="D192" s="239" t="s">
        <v>1039</v>
      </c>
      <c r="E192" s="239" t="s">
        <v>1083</v>
      </c>
      <c r="F192" s="239" t="s">
        <v>1084</v>
      </c>
      <c r="G192" s="239" t="s">
        <v>1085</v>
      </c>
    </row>
    <row r="193" spans="2:10" x14ac:dyDescent="0.2">
      <c r="B193" s="264" t="s">
        <v>935</v>
      </c>
      <c r="C193" s="270" t="s">
        <v>935</v>
      </c>
      <c r="D193" s="306" t="s">
        <v>935</v>
      </c>
      <c r="E193" s="307" t="s">
        <v>935</v>
      </c>
      <c r="F193" s="307" t="s">
        <v>935</v>
      </c>
      <c r="G193" s="307" t="s">
        <v>935</v>
      </c>
    </row>
    <row r="194" spans="2:10" x14ac:dyDescent="0.2">
      <c r="E194" s="269"/>
    </row>
    <row r="195" spans="2:10" x14ac:dyDescent="0.2">
      <c r="B195" s="236" t="s">
        <v>1086</v>
      </c>
      <c r="E195" s="269"/>
    </row>
    <row r="196" spans="2:10" x14ac:dyDescent="0.2">
      <c r="B196" s="236"/>
      <c r="E196" s="269"/>
    </row>
    <row r="197" spans="2:10" x14ac:dyDescent="0.2">
      <c r="B197" s="261" t="s">
        <v>1037</v>
      </c>
      <c r="C197" s="261" t="s">
        <v>1045</v>
      </c>
      <c r="E197" s="269"/>
    </row>
    <row r="198" spans="2:10" x14ac:dyDescent="0.2">
      <c r="B198" s="295" t="s">
        <v>935</v>
      </c>
      <c r="C198" s="263" t="s">
        <v>935</v>
      </c>
      <c r="E198" s="269"/>
    </row>
    <row r="199" spans="2:10" x14ac:dyDescent="0.2">
      <c r="E199" s="269"/>
    </row>
    <row r="200" spans="2:10" x14ac:dyDescent="0.2">
      <c r="B200" s="236" t="s">
        <v>1087</v>
      </c>
      <c r="E200" s="269"/>
    </row>
    <row r="201" spans="2:10" x14ac:dyDescent="0.2">
      <c r="E201" s="269"/>
    </row>
    <row r="202" spans="2:10" ht="63.75" x14ac:dyDescent="0.2">
      <c r="B202" s="238" t="s">
        <v>1037</v>
      </c>
      <c r="C202" s="239" t="s">
        <v>1047</v>
      </c>
      <c r="D202" s="239" t="s">
        <v>1048</v>
      </c>
      <c r="E202" s="239" t="s">
        <v>1049</v>
      </c>
      <c r="F202" s="239" t="s">
        <v>1050</v>
      </c>
      <c r="G202" s="239" t="s">
        <v>1051</v>
      </c>
    </row>
    <row r="203" spans="2:10" x14ac:dyDescent="0.2">
      <c r="B203" s="263"/>
      <c r="C203" s="263"/>
      <c r="D203" s="265"/>
      <c r="E203" s="308"/>
      <c r="F203" s="309"/>
      <c r="G203" s="310"/>
      <c r="I203" s="268"/>
      <c r="J203" s="269"/>
    </row>
    <row r="204" spans="2:10" x14ac:dyDescent="0.2">
      <c r="E204" s="269"/>
    </row>
    <row r="205" spans="2:10" x14ac:dyDescent="0.2">
      <c r="E205" s="269"/>
    </row>
    <row r="206" spans="2:10" x14ac:dyDescent="0.2">
      <c r="B206" s="236" t="s">
        <v>1088</v>
      </c>
      <c r="E206" s="269"/>
    </row>
    <row r="207" spans="2:10" x14ac:dyDescent="0.2">
      <c r="E207" s="269"/>
    </row>
    <row r="208" spans="2:10" ht="63.75" x14ac:dyDescent="0.2">
      <c r="B208" s="238" t="s">
        <v>1037</v>
      </c>
      <c r="C208" s="239" t="s">
        <v>1047</v>
      </c>
      <c r="D208" s="239" t="s">
        <v>1048</v>
      </c>
      <c r="E208" s="239" t="s">
        <v>1049</v>
      </c>
      <c r="F208" s="239" t="s">
        <v>1050</v>
      </c>
      <c r="G208" s="239" t="s">
        <v>1051</v>
      </c>
    </row>
    <row r="209" spans="2:7" x14ac:dyDescent="0.2">
      <c r="B209" s="242"/>
      <c r="C209" s="295"/>
      <c r="D209" s="295"/>
      <c r="E209" s="311"/>
      <c r="F209" s="311"/>
      <c r="G209" s="311"/>
    </row>
    <row r="210" spans="2:7" x14ac:dyDescent="0.2">
      <c r="E210" s="269"/>
    </row>
    <row r="211" spans="2:7" x14ac:dyDescent="0.2">
      <c r="E211" s="269"/>
    </row>
    <row r="212" spans="2:7" x14ac:dyDescent="0.2">
      <c r="E212" s="269"/>
    </row>
    <row r="213" spans="2:7" x14ac:dyDescent="0.2">
      <c r="B213" s="235" t="s">
        <v>1089</v>
      </c>
    </row>
  </sheetData>
  <mergeCells count="3">
    <mergeCell ref="B2:G2"/>
    <mergeCell ref="B3:G3"/>
    <mergeCell ref="B5:G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Index</vt:lpstr>
      <vt:lpstr>CAPEXG</vt:lpstr>
      <vt:lpstr>MICAP14</vt:lpstr>
      <vt:lpstr>MICAP15</vt:lpstr>
      <vt:lpstr>MICAP16</vt:lpstr>
      <vt:lpstr>MICAP17</vt:lpstr>
      <vt:lpstr>MIDCAP</vt:lpstr>
      <vt:lpstr>MULTI1</vt:lpstr>
      <vt:lpstr>MULTI2</vt:lpstr>
      <vt:lpstr>MULTIP</vt:lpstr>
      <vt:lpstr>SESCAP1</vt:lpstr>
      <vt:lpstr>SESCAP2</vt:lpstr>
      <vt:lpstr>SESCAP3</vt:lpstr>
      <vt:lpstr>SESCAP4</vt:lpstr>
      <vt:lpstr>SESCAP5</vt:lpstr>
      <vt:lpstr>SESCAP6</vt:lpstr>
      <vt:lpstr>SESCAP7</vt:lpstr>
      <vt:lpstr>SFOCUS</vt:lpstr>
      <vt:lpstr>SLTADV3</vt:lpstr>
      <vt:lpstr>SLTADV4</vt:lpstr>
      <vt:lpstr>SLTAX1</vt:lpstr>
      <vt:lpstr>SLTAX2</vt:lpstr>
      <vt:lpstr>SLTAX3</vt:lpstr>
      <vt:lpstr>SLTAX4</vt:lpstr>
      <vt:lpstr>SLTAX5</vt:lpstr>
      <vt:lpstr>SLTAX6</vt:lpstr>
      <vt:lpstr>SMILE</vt:lpstr>
      <vt:lpstr>SRURAL</vt:lpstr>
      <vt:lpstr>SSFUND</vt:lpstr>
      <vt:lpstr>SSN100</vt:lpstr>
      <vt:lpstr>STAX</vt:lpstr>
      <vt:lpstr>SUNARF</vt:lpstr>
      <vt:lpstr>SUNBAF</vt:lpstr>
      <vt:lpstr>SUNBAL</vt:lpstr>
      <vt:lpstr>SUNBCF</vt:lpstr>
      <vt:lpstr>SUNEQF</vt:lpstr>
      <vt:lpstr>SUNESF</vt:lpstr>
      <vt:lpstr>SUNFOP</vt:lpstr>
      <vt:lpstr>SUNVALF10</vt:lpstr>
      <vt:lpstr>SUNVALF7</vt:lpstr>
      <vt:lpstr>SUNVALF9</vt:lpstr>
      <vt:lpstr>GLOB</vt:lpstr>
      <vt:lpstr>DERIVATIVE DISCLOSURE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Venkat Raman R - Sundaram Mutual</cp:lastModifiedBy>
  <dcterms:created xsi:type="dcterms:W3CDTF">2021-11-02T06:07:50Z</dcterms:created>
  <dcterms:modified xsi:type="dcterms:W3CDTF">2021-11-10T06:08:42Z</dcterms:modified>
</cp:coreProperties>
</file>