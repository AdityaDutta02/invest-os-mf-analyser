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132.201.0.2\fasundaram\DEBT_BACKOFFICE\Debt_Factsheets\2022 - Monthly Portfolio\05. 31052022\"/>
    </mc:Choice>
  </mc:AlternateContent>
  <xr:revisionPtr revIDLastSave="0" documentId="13_ncr:1_{2307A152-107E-42E8-910F-82C18DB3B074}" xr6:coauthVersionLast="47" xr6:coauthVersionMax="47" xr10:uidLastSave="{00000000-0000-0000-0000-000000000000}"/>
  <bookViews>
    <workbookView xWindow="-120" yWindow="-120" windowWidth="19440" windowHeight="15000" tabRatio="827" xr2:uid="{00000000-000D-0000-FFFF-FFFF00000000}"/>
  </bookViews>
  <sheets>
    <sheet name="Index" sheetId="13" r:id="rId1"/>
    <sheet name="SFRLTP" sheetId="1" r:id="rId2"/>
    <sheet name="SFRSTP" sheetId="2" r:id="rId3"/>
    <sheet name="SMMF" sheetId="3" r:id="rId4"/>
    <sheet name="SPLDF" sheetId="6" r:id="rId5"/>
    <sheet name="SPMON" sheetId="7" r:id="rId6"/>
    <sheet name="SPSDF" sheetId="8" r:id="rId7"/>
    <sheet name="SPUSDF" sheetId="9" r:id="rId8"/>
    <sheet name="SUNBDS" sheetId="10" r:id="rId9"/>
    <sheet name="SUNMIA" sheetId="11" r:id="rId10"/>
    <sheet name="SUNONF" sheetId="12"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115" i="10" l="1"/>
  <c r="G144" i="8"/>
  <c r="G31" i="11" l="1"/>
  <c r="F31" i="11"/>
</calcChain>
</file>

<file path=xl/sharedStrings.xml><?xml version="1.0" encoding="utf-8"?>
<sst xmlns="http://schemas.openxmlformats.org/spreadsheetml/2006/main" count="2084" uniqueCount="577">
  <si>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</si>
  <si>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</si>
  <si>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</si>
  <si>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</si>
  <si>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</si>
  <si>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</si>
  <si>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</si>
  <si>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</si>
  <si>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</si>
  <si>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</si>
  <si>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</si>
  <si>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</si>
  <si>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</si>
  <si>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(b) Overseas Security</t>
  </si>
  <si>
    <t>(c) Privately Placed / Unlisted</t>
  </si>
  <si>
    <t>(d) Preference / Right Shares</t>
  </si>
  <si>
    <t>(e) Warrants</t>
  </si>
  <si>
    <t>f) Derivative</t>
  </si>
  <si>
    <t>Total for Equity &amp; Equity Related</t>
  </si>
  <si>
    <t>B) Debt Instruments</t>
  </si>
  <si>
    <t>INE261F08CD4</t>
  </si>
  <si>
    <t>National Bank for Agricultural &amp; Rural Development - 6.5% - 17/04/2023</t>
  </si>
  <si>
    <t>ICRA AAA</t>
  </si>
  <si>
    <t>INE031A08798</t>
  </si>
  <si>
    <t>Housing and Urban Development Corp. Ltd - 5.95% - 11/08/2023**</t>
  </si>
  <si>
    <t>INE094A08085</t>
  </si>
  <si>
    <t>Hindustan Petroleum Corporation Ltd - 4.79% - 23/10/2023**</t>
  </si>
  <si>
    <t>CRISIL AAA</t>
  </si>
  <si>
    <t>INE001A07RJ2</t>
  </si>
  <si>
    <t>Housing Development Finance Corporation Ltd - 9.05% - 20/11/2023**</t>
  </si>
  <si>
    <t>INE031A08764</t>
  </si>
  <si>
    <t>Housing and Urban Development Corp. Ltd - 6.79% - 14/04/2023**</t>
  </si>
  <si>
    <t>INE002A08641</t>
  </si>
  <si>
    <t>Reliance Industries Ltd - 6.95% - 15/03/2023**</t>
  </si>
  <si>
    <t>INE115A07OU4</t>
  </si>
  <si>
    <t>LIC Housing Finance Ltd - 5.9% - 11/05/2023**</t>
  </si>
  <si>
    <t>INE115A07JO7</t>
  </si>
  <si>
    <t>LIC Housing Finance Ltd - 8.48% - 09/06/2023**</t>
  </si>
  <si>
    <t>INE557F08FJ5</t>
  </si>
  <si>
    <t>National Housing Bank  - 5.8% - 15/05/2023**</t>
  </si>
  <si>
    <t>INE053F07603</t>
  </si>
  <si>
    <t>Indian Railway Finance Corporation Ltd - 8.83% - 25/03/2023**</t>
  </si>
  <si>
    <t>INE134E08FJ6</t>
  </si>
  <si>
    <t>Power Finance Corporation Ltd - 8.84% - 04/03/2023**</t>
  </si>
  <si>
    <t>INE733E07JC4</t>
  </si>
  <si>
    <t>NTPC Ltd - 8.73% - 07/03/2023**</t>
  </si>
  <si>
    <t>INE941D07133</t>
  </si>
  <si>
    <t>Sikka Ports and Terminals Ltd - 8.45% - 12/06/2023**</t>
  </si>
  <si>
    <t>INE115A07DX1</t>
  </si>
  <si>
    <t>LIC Housing Finance Ltd - 8.37% - 21/05/2023**</t>
  </si>
  <si>
    <t>INE020B08CC5</t>
  </si>
  <si>
    <t>REC Ltd - 7.55% - 26/09/2023**</t>
  </si>
  <si>
    <t>INE001A07SK8</t>
  </si>
  <si>
    <t>Housing Development Finance Corporation Ltd - 6.95% - 27/04/2023**</t>
  </si>
  <si>
    <t>INE134E08KO6</t>
  </si>
  <si>
    <t>Power Finance Corporation Ltd - 6.83% - 24/04/2023**</t>
  </si>
  <si>
    <t>INE296A07RG4</t>
  </si>
  <si>
    <t>Bajaj Finance Ltd - 5.7% - 11/08/2023**</t>
  </si>
  <si>
    <t>INE752E07KN9</t>
  </si>
  <si>
    <t>Power Grid Corporation of India Ltd - 8.8% - 13/03/2023**</t>
  </si>
  <si>
    <t>INE178A08011</t>
  </si>
  <si>
    <t>Chennai Petroleum Corporation Ltd - 6.43% - 28/02/2023**</t>
  </si>
  <si>
    <t>INE053F07CC9</t>
  </si>
  <si>
    <t>Indian Railway Finance Corporation Ltd - 6.19% - 28/04/2023</t>
  </si>
  <si>
    <t>INE514E08CI8</t>
  </si>
  <si>
    <t>Export Import Bank of India - 8.8% - 15/03/2023**</t>
  </si>
  <si>
    <t>INE514E08CE7</t>
  </si>
  <si>
    <t>Export Import Bank of India - 8.76% - 14/02/2023**</t>
  </si>
  <si>
    <t>INE752E07KU4</t>
  </si>
  <si>
    <t>Power Grid Corporation of India Ltd - 7.93% - 20/05/2023**</t>
  </si>
  <si>
    <t>INE557F08FI7</t>
  </si>
  <si>
    <t>National Housing Bank  - 6.55% - 17/04/2023**</t>
  </si>
  <si>
    <t>INE514E08CT5</t>
  </si>
  <si>
    <t>Export Import Bank of India - 9.4% - 14/08/2023**</t>
  </si>
  <si>
    <t>INE752E07HL9</t>
  </si>
  <si>
    <t>Power Grid Corporation of India Ltd - 8.64% - 08/07/2023**</t>
  </si>
  <si>
    <t>INE848E07831</t>
  </si>
  <si>
    <t>NHPC Ltd - 8.5% - 14/07/2023**</t>
  </si>
  <si>
    <t>IND AAA</t>
  </si>
  <si>
    <t>INE001A07KU4</t>
  </si>
  <si>
    <t>Housing Development Finance Corporation Ltd - 8.95% - 21/03/2023**</t>
  </si>
  <si>
    <t>INE134E08FN8</t>
  </si>
  <si>
    <t>Power Finance Corporation Ltd - 8.9% - 18/03/2023**</t>
  </si>
  <si>
    <t>INE206D08147</t>
  </si>
  <si>
    <t>Nuclear Power Corporation of  India Ltd - 8.54% - 15/03/2023**</t>
  </si>
  <si>
    <t>INE020B08849</t>
  </si>
  <si>
    <t>REC Ltd - 8.06% - 31/05/2023**</t>
  </si>
  <si>
    <t>INE733E08148</t>
  </si>
  <si>
    <t>NTPC Ltd - 6.55% - 17/04/2023</t>
  </si>
  <si>
    <t>INE752E07JJ9</t>
  </si>
  <si>
    <t>Power Grid Corporation of India Ltd - 9.25% - 26/12/2023**</t>
  </si>
  <si>
    <t>INE752E07ET9</t>
  </si>
  <si>
    <t>Power Grid Corporation of India Ltd - 9.47% - 31/03/2023**</t>
  </si>
  <si>
    <t>INE752E07MP0</t>
  </si>
  <si>
    <t>Power Grid Corporation of India Ltd - 8.4% - 27/05/2023**</t>
  </si>
  <si>
    <t>INE261F08BW6</t>
  </si>
  <si>
    <t>National Bank for Agricultural &amp; Rural Development - 6.72% - 14/04/2023**</t>
  </si>
  <si>
    <t>(b) Privately Placed / Unlisted</t>
  </si>
  <si>
    <t>(c) Govt Security</t>
  </si>
  <si>
    <t>IN3120180085</t>
  </si>
  <si>
    <t>8.42% Tamilnadu State Development Loan 25/07/2023</t>
  </si>
  <si>
    <t>Sovereign</t>
  </si>
  <si>
    <t>IN2220130099</t>
  </si>
  <si>
    <t>9.25% Maharashtra State Development Loan 09/10/2023</t>
  </si>
  <si>
    <t>IN2220130024</t>
  </si>
  <si>
    <t>7.95% Maharashtra State Development Loan 03/07/2023</t>
  </si>
  <si>
    <t>IN2220130057</t>
  </si>
  <si>
    <t>9.60% Maharashtra State Development Loan 14/08/2023</t>
  </si>
  <si>
    <t>(d) Securitized Debt Instruments</t>
  </si>
  <si>
    <t>Total for Debt Instruments</t>
  </si>
  <si>
    <t>C) Money Market Instruments</t>
  </si>
  <si>
    <t>(a) Certificate of Deposits</t>
  </si>
  <si>
    <t>INE040A16CX4</t>
  </si>
  <si>
    <t>HDFC Bank Ltd - 06/03/2023**</t>
  </si>
  <si>
    <t>IND A1+</t>
  </si>
  <si>
    <t>INE556F16960</t>
  </si>
  <si>
    <t>Small Industries Development Bank of India - 30/05/2023**</t>
  </si>
  <si>
    <t>CRISIL A1+</t>
  </si>
  <si>
    <t>INE476A16ST4</t>
  </si>
  <si>
    <t>Canara Bank - 22/08/2022**</t>
  </si>
  <si>
    <t>(b) Commercial Papers</t>
  </si>
  <si>
    <t>INE001A14YV9</t>
  </si>
  <si>
    <t>Housing Development Finance Corporation Ltd - 17/05/2023**</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</si>
  <si>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</si>
  <si>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</si>
  <si>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</si>
  <si>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</si>
  <si>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</si>
  <si>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</si>
  <si>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</si>
  <si>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</si>
  <si>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</si>
  <si>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</si>
  <si>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</si>
  <si>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</si>
  <si>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</si>
  <si>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</si>
  <si>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</si>
  <si>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</si>
  <si>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</si>
  <si>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</si>
  <si>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</si>
  <si>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</si>
  <si>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</si>
  <si>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30/04/2022</t>
  </si>
  <si>
    <t>31/05/2022</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</si>
  <si>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</si>
  <si>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</si>
  <si>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</si>
  <si>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</si>
  <si>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</si>
  <si>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</si>
  <si>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</si>
  <si>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g) Average  Maturity (years)</t>
  </si>
  <si>
    <t>h) Macaulay Duration (years)</t>
  </si>
  <si>
    <t>i) Repo in corporate debt</t>
  </si>
  <si>
    <t>Sundaram Banking &amp; PSU Debt Fund</t>
  </si>
  <si>
    <t>INE020B08963</t>
  </si>
  <si>
    <t>REC Ltd - 8.11% - 07/10/2025**</t>
  </si>
  <si>
    <t>INE936D07174</t>
  </si>
  <si>
    <t>Jamnagar Utilities and Power Pvt Ltd - 6.4% - 29/09/2026</t>
  </si>
  <si>
    <t>INE001A07RV7</t>
  </si>
  <si>
    <t>Housing Development Finance Corporation Ltd - 7.99% - 11/07/2024</t>
  </si>
  <si>
    <t>INE752E08569</t>
  </si>
  <si>
    <t>Power Grid Corporation of India Ltd - 7.34% - 15/07/2024**</t>
  </si>
  <si>
    <t>INE242A08460</t>
  </si>
  <si>
    <t>Indian Oil Corporation Ltd - 5.05% - 25/11/2022</t>
  </si>
  <si>
    <t>INE514E08DH8</t>
  </si>
  <si>
    <t>Export Import Bank of India - 9.58% - 16/12/2023**</t>
  </si>
  <si>
    <t>INE094A08044</t>
  </si>
  <si>
    <t>Hindustan Petroleum Corporation Ltd - 6.8% - 15/12/2022**</t>
  </si>
  <si>
    <t>INE557F08FG1</t>
  </si>
  <si>
    <t>National Housing Bank  - 7.05% - 18/12/2024**</t>
  </si>
  <si>
    <t>INE261F08CA0</t>
  </si>
  <si>
    <t>National Bank for Agricultural &amp; Rural Development - 6.4% - 31/07/2023**</t>
  </si>
  <si>
    <t>INE134E08LD7</t>
  </si>
  <si>
    <t>Power Finance Corporation Ltd - 6.5% - 17/09/2025**</t>
  </si>
  <si>
    <t>INE213A08032</t>
  </si>
  <si>
    <t>Oil &amp; Natural Gas Corporation Ltd - 4.64% - 21/11/2023**</t>
  </si>
  <si>
    <t>INE514E08FV4</t>
  </si>
  <si>
    <t>Export Import Bank of India - 5.85% - 12/09/2025**</t>
  </si>
  <si>
    <t>INE261F08DI1</t>
  </si>
  <si>
    <t>National Bank for Agricultural &amp; Rural Development - 5.23% - 31/01/2025**</t>
  </si>
  <si>
    <t>INE134E08LK2</t>
  </si>
  <si>
    <t>Power Finance Corporation Ltd - 6.09% - 27/08/2026**</t>
  </si>
  <si>
    <t>INE020B08AA3</t>
  </si>
  <si>
    <t>REC Ltd - 7.52% - 07/11/2026**</t>
  </si>
  <si>
    <t>INE134E08LF2</t>
  </si>
  <si>
    <t>Power Finance Corporation Ltd - 6.35% - 30/06/2025**</t>
  </si>
  <si>
    <t>INE296A07RU5</t>
  </si>
  <si>
    <t>Bajaj Finance Ltd - 5.65% - 10/05/2024**</t>
  </si>
  <si>
    <t>INE178A08037</t>
  </si>
  <si>
    <t>Chennai Petroleum Corporation Ltd - 5.44% - 24/06/2024**</t>
  </si>
  <si>
    <t>INE906B07FT4</t>
  </si>
  <si>
    <t>National Highway Authority of India - 7.27% - 06/06/2022**</t>
  </si>
  <si>
    <t>IN0020210186</t>
  </si>
  <si>
    <t>5.74% Central Government Securities 15/11/2026</t>
  </si>
  <si>
    <t>IN0020200112</t>
  </si>
  <si>
    <t>5.22% Central Government Securities 15/06/2025</t>
  </si>
  <si>
    <t>INE562A16KE0</t>
  </si>
  <si>
    <t>Indian Bank - 01/06/2022</t>
  </si>
  <si>
    <t>INE028A16CQ3</t>
  </si>
  <si>
    <t>Bank of Baroda - 01/06/2022</t>
  </si>
  <si>
    <t>INE040A16DA0</t>
  </si>
  <si>
    <t>HDFC Bank Ltd - 06/10/2022**</t>
  </si>
  <si>
    <t>Direct Plan - Bonus</t>
  </si>
  <si>
    <t>Retail Plan - Growth</t>
  </si>
  <si>
    <t>Regular Plan - Bonus</t>
  </si>
  <si>
    <t>Sundaram Money Market Fund</t>
  </si>
  <si>
    <t>IN002021Y445</t>
  </si>
  <si>
    <t>IN002021Y437</t>
  </si>
  <si>
    <t># percentage to NAV of security is less than 0.01%</t>
  </si>
  <si>
    <t>INE090A01021</t>
  </si>
  <si>
    <t>ICICI Bank Ltd</t>
  </si>
  <si>
    <t>Banks</t>
  </si>
  <si>
    <t>INE009A01021</t>
  </si>
  <si>
    <t>Infosys Ltd</t>
  </si>
  <si>
    <t>It - Software</t>
  </si>
  <si>
    <t>INE040A01034</t>
  </si>
  <si>
    <t>HDFC Bank Ltd</t>
  </si>
  <si>
    <t>INE002A01018</t>
  </si>
  <si>
    <t>Reliance Industries Ltd</t>
  </si>
  <si>
    <t>Petroleum Products</t>
  </si>
  <si>
    <t>INE044A01036</t>
  </si>
  <si>
    <t>Sun Pharmaceutical Industries Ltd</t>
  </si>
  <si>
    <t>Pharmaceuticals &amp; Biotechnology</t>
  </si>
  <si>
    <t>INE397D01024</t>
  </si>
  <si>
    <t>Bharti Airtel Ltd</t>
  </si>
  <si>
    <t>Telecom - Services</t>
  </si>
  <si>
    <t>INE018A01030</t>
  </si>
  <si>
    <t>Larsen &amp; Toubro Ltd</t>
  </si>
  <si>
    <t>Construction</t>
  </si>
  <si>
    <t>INE062A01020</t>
  </si>
  <si>
    <t>State Bank of India</t>
  </si>
  <si>
    <t>INE854D01024</t>
  </si>
  <si>
    <t>United Spirits Ltd</t>
  </si>
  <si>
    <t>Beverages</t>
  </si>
  <si>
    <t>INE238A01034</t>
  </si>
  <si>
    <t>Axis Bank Ltd</t>
  </si>
  <si>
    <t>INE200M01013</t>
  </si>
  <si>
    <t>Varun Beverages Ltd</t>
  </si>
  <si>
    <t>INE068V01023</t>
  </si>
  <si>
    <t>Gland Pharma Ltd</t>
  </si>
  <si>
    <t>INE059A01026</t>
  </si>
  <si>
    <t>Cipla Ltd</t>
  </si>
  <si>
    <t>INE006I01046</t>
  </si>
  <si>
    <t>Astral Ltd</t>
  </si>
  <si>
    <t>Industrial Products</t>
  </si>
  <si>
    <t>INE208A01029</t>
  </si>
  <si>
    <t>Ashok Leyland Ltd</t>
  </si>
  <si>
    <t>Agricultural, Commercial &amp; Construction Vehicles</t>
  </si>
  <si>
    <t>INE179A01014</t>
  </si>
  <si>
    <t>Procter &amp; Gamble Hygiene and Health Care Ltd</t>
  </si>
  <si>
    <t>Personal Products</t>
  </si>
  <si>
    <t>Automobiles</t>
  </si>
  <si>
    <t>INE917I01010</t>
  </si>
  <si>
    <t>Bajaj Auto Ltd</t>
  </si>
  <si>
    <t>INE203G01027</t>
  </si>
  <si>
    <t>Indraprastha Gas Ltd</t>
  </si>
  <si>
    <t>Gas</t>
  </si>
  <si>
    <t>INE679A01013</t>
  </si>
  <si>
    <t>CSB Bank Ltd</t>
  </si>
  <si>
    <t>INE481G01011</t>
  </si>
  <si>
    <t>Ultratech Cement Ltd</t>
  </si>
  <si>
    <t>Cement &amp; Cement Products</t>
  </si>
  <si>
    <t>INE603J01030</t>
  </si>
  <si>
    <t>PI Industries Ltd</t>
  </si>
  <si>
    <t>Fertilizers &amp; Agrochemicals</t>
  </si>
  <si>
    <t>INE860A01027</t>
  </si>
  <si>
    <t>HCL Technologies Ltd</t>
  </si>
  <si>
    <t>IN9397D01014</t>
  </si>
  <si>
    <t>INE261F08CS2</t>
  </si>
  <si>
    <t>National Bank for Agricultural &amp; Rural Development - 4.6% - 29/07/2022**</t>
  </si>
  <si>
    <t>CARE AAA</t>
  </si>
  <si>
    <t>INE028A08158</t>
  </si>
  <si>
    <t>INE001A07SG6</t>
  </si>
  <si>
    <t>Housing Development Finance Corporation Ltd - 7.35% - 10/02/2025</t>
  </si>
  <si>
    <t>INE115A07PC9</t>
  </si>
  <si>
    <t>LIC Housing Finance Ltd - 5.35% - 20/03/2023**</t>
  </si>
  <si>
    <t>INE020B08CG6</t>
  </si>
  <si>
    <t>REC Ltd - 7.24% - 31/12/2022**</t>
  </si>
  <si>
    <t>INE090A08TU6</t>
  </si>
  <si>
    <t>ICICI Bank Ltd - 7.6% - 07/10/2023**</t>
  </si>
  <si>
    <t>INE115A07OV2</t>
  </si>
  <si>
    <t>LIC Housing Finance Ltd - 5.45% - 25/08/2023**</t>
  </si>
  <si>
    <t>INE261F08AT4</t>
  </si>
  <si>
    <t>National Bank for Agricultural &amp; Rural Development - 8.5% - 31/01/2023**</t>
  </si>
  <si>
    <t>INE556F08JN1</t>
  </si>
  <si>
    <t>Small Industries Development Bank of India - 6.99% - 08/08/2022**</t>
  </si>
  <si>
    <t>IN0020130012</t>
  </si>
  <si>
    <t>7.16% Central Government Securities 20/05/2023</t>
  </si>
  <si>
    <t>IN0020160050</t>
  </si>
  <si>
    <t xml:space="preserve">6.84% Central Government Securities 19/12/2022 </t>
  </si>
  <si>
    <t>IN0020070051</t>
  </si>
  <si>
    <t>8.13% Central Government Securities 21/09/2022</t>
  </si>
  <si>
    <t>INE028A16CS9</t>
  </si>
  <si>
    <t>Bank of Baroda - 13/06/2022**</t>
  </si>
  <si>
    <t>INE238A164X2</t>
  </si>
  <si>
    <t>Axis Bank Ltd - 16/06/2022</t>
  </si>
  <si>
    <t>INE514E14QH8</t>
  </si>
  <si>
    <t>Export Import Bank of India - 30/09/2022**</t>
  </si>
  <si>
    <t>IN002021Y510</t>
  </si>
  <si>
    <t>IN002021Y536</t>
  </si>
  <si>
    <t>INE001A07RU9</t>
  </si>
  <si>
    <t>Housing Development Finance Corporation Ltd - 8.05% - 20/06/2022**</t>
  </si>
  <si>
    <t>INE001A07SH4</t>
  </si>
  <si>
    <t>Housing Development Finance Corporation Ltd - 6.99% - 13/02/2023**</t>
  </si>
  <si>
    <t>INE020B08BT1</t>
  </si>
  <si>
    <t>REC Ltd - 8.15% - 10/06/2022**</t>
  </si>
  <si>
    <t>INE053F07BB3</t>
  </si>
  <si>
    <t>Indian Railway Finance Corporation Ltd - 8.25% - 28/02/2024**</t>
  </si>
  <si>
    <t>INE733E07JD2</t>
  </si>
  <si>
    <t>NTPC Ltd - 8.8% - 04/04/2023**</t>
  </si>
  <si>
    <t>IN2220170111</t>
  </si>
  <si>
    <t>7.02% Maharashtra State Development Loan 27/09/2022</t>
  </si>
  <si>
    <t>IN0020120013</t>
  </si>
  <si>
    <t xml:space="preserve">8.15% Central Government Securities 11/06/2022 </t>
  </si>
  <si>
    <t>Sundaram Low Duration Fund</t>
  </si>
  <si>
    <t>INE516Y07444</t>
  </si>
  <si>
    <t>Piramal Capital &amp; Housing Finance Ltd - 6.75% - 26/09/2031**</t>
  </si>
  <si>
    <t>ICRA AA</t>
  </si>
  <si>
    <t>INE941D07190</t>
  </si>
  <si>
    <t>Sikka Ports and Terminals Ltd - 7.2% - 16/06/2023**</t>
  </si>
  <si>
    <t>INE242A08510</t>
  </si>
  <si>
    <t>Indian Oil Corporation Ltd - 5.84% - 19/04/2024**</t>
  </si>
  <si>
    <t>INE001A07SD3</t>
  </si>
  <si>
    <t>Housing Development Finance Corporation Ltd - 7.21% - 30/12/2022**</t>
  </si>
  <si>
    <t>INE514E08BA7</t>
  </si>
  <si>
    <t>Export Import Bank of India - 9.1% - 15/06/2022**</t>
  </si>
  <si>
    <t>INE915D08CL3</t>
  </si>
  <si>
    <t>Citicorp Finance India Ltd - 5.64% - 20/01/2024**</t>
  </si>
  <si>
    <t>INE031A08723</t>
  </si>
  <si>
    <t>Housing and Urban Development Corp. Ltd - 7.62% - 15/07/2022</t>
  </si>
  <si>
    <t>IN2920160081</t>
  </si>
  <si>
    <t xml:space="preserve">8.27% Rajasthan State Development Loan 23/06/2022  </t>
  </si>
  <si>
    <t>IN0020180025</t>
  </si>
  <si>
    <t xml:space="preserve">7.37% Central Government Securities 16/04/2023 </t>
  </si>
  <si>
    <t>IN3420120054</t>
  </si>
  <si>
    <t>8.91% WestBengal State Development Loan 18/07/2022</t>
  </si>
  <si>
    <t>IN1520120057</t>
  </si>
  <si>
    <t>8.91% Gujarat State Development Loan 22/08/2022</t>
  </si>
  <si>
    <t>INE562A16KD2</t>
  </si>
  <si>
    <t>Indian Bank - 15/06/2022</t>
  </si>
  <si>
    <t>INE040A16CI5</t>
  </si>
  <si>
    <t>HDFC Bank Ltd - 17/08/2022**</t>
  </si>
  <si>
    <t>INE238A167Z0</t>
  </si>
  <si>
    <t>Axis Bank Ltd - 10/10/2022**</t>
  </si>
  <si>
    <t>INE040A16DC6</t>
  </si>
  <si>
    <t>HDFC Bank Ltd - 10/11/2022**</t>
  </si>
  <si>
    <t>INE929O14529</t>
  </si>
  <si>
    <t>Reliance Retail Ventures Ltd - 20/06/2022**</t>
  </si>
  <si>
    <t>INE563J14765</t>
  </si>
  <si>
    <t>Astec LifeSciences Ltd - 23/06/2022**</t>
  </si>
  <si>
    <t>ICRA A1+</t>
  </si>
  <si>
    <t>INE001A14YU1</t>
  </si>
  <si>
    <t>Housing Development Finance Corporation Ltd - 17/08/2022</t>
  </si>
  <si>
    <t>INE248U14KV3</t>
  </si>
  <si>
    <t>IIFL Wealth Prime Ltd - 08/06/2022**</t>
  </si>
  <si>
    <t>INE403G14PH1</t>
  </si>
  <si>
    <t>Standard Chartered Capital Ltd - 24/01/2023**</t>
  </si>
  <si>
    <t>INE523H14Z07</t>
  </si>
  <si>
    <t>JM Financial Products Ltd - 15/09/2022**</t>
  </si>
  <si>
    <t>INE012I14MR2</t>
  </si>
  <si>
    <t>INE09OL14AS3</t>
  </si>
  <si>
    <t>Birla Group Holdings Pvt Ltd - 25/11/2022**</t>
  </si>
  <si>
    <t>IN002021Z343</t>
  </si>
  <si>
    <t>Sundaram Liquid Fund</t>
  </si>
  <si>
    <t>INE238A161Y6</t>
  </si>
  <si>
    <t>Axis Bank Ltd - 20/06/2022**</t>
  </si>
  <si>
    <t>INE476A16SW8</t>
  </si>
  <si>
    <t>Canara Bank - 09/06/2022</t>
  </si>
  <si>
    <t>INE040A16DB8</t>
  </si>
  <si>
    <t>HDFC Bank Ltd - 29/06/2022**</t>
  </si>
  <si>
    <t>INE476A16SS6</t>
  </si>
  <si>
    <t>Canara Bank - 17/08/2022**</t>
  </si>
  <si>
    <t>INE331A14MA9</t>
  </si>
  <si>
    <t>Ramco Cements Ltd - 10/06/2022**</t>
  </si>
  <si>
    <t>INE09OL14AQ7</t>
  </si>
  <si>
    <t>Birla Group Holdings Pvt Ltd - 22/08/2022**</t>
  </si>
  <si>
    <t>INE261F14IS7</t>
  </si>
  <si>
    <t>National Bank for Agricultural &amp; Rural Development - 30/08/2022</t>
  </si>
  <si>
    <t>INE248U14KT7</t>
  </si>
  <si>
    <t>IIFL Wealth Prime Ltd - 01/06/2022**</t>
  </si>
  <si>
    <t>INE929O14602</t>
  </si>
  <si>
    <t>Reliance Retail Ventures Ltd - 10/06/2022**</t>
  </si>
  <si>
    <t>INE466L14AX7</t>
  </si>
  <si>
    <t>IIFL Wealth Management Ltd - 09/06/2022**</t>
  </si>
  <si>
    <t>INE012I14MX0</t>
  </si>
  <si>
    <t>INE02FN14036</t>
  </si>
  <si>
    <t>INE936D14097</t>
  </si>
  <si>
    <t>Jamnagar Utilities and Power Pvt Ltd - 21/06/2022**</t>
  </si>
  <si>
    <t>INE001A14YM8</t>
  </si>
  <si>
    <t>Housing Development Finance Corporation Ltd - 23/06/2022**</t>
  </si>
  <si>
    <t>INE094A14IK0</t>
  </si>
  <si>
    <t>Hindustan Petroleum Corporation Ltd - 28/06/2022**</t>
  </si>
  <si>
    <t>INE001A14XS7</t>
  </si>
  <si>
    <t>Housing Development Finance Corporation Ltd - 22/08/2022**</t>
  </si>
  <si>
    <t>INE012I14MZ5</t>
  </si>
  <si>
    <t>INE563J14682</t>
  </si>
  <si>
    <t>Astec LifeSciences Ltd - 15/07/2022**</t>
  </si>
  <si>
    <t>IN002021X595</t>
  </si>
  <si>
    <t>Sundaram Short Duration Fund</t>
  </si>
  <si>
    <t>INE115A07OQ2</t>
  </si>
  <si>
    <t>LIC Housing Finance Ltd - 7.45% - 10/02/2023**</t>
  </si>
  <si>
    <t>INE002A08625</t>
  </si>
  <si>
    <t>Reliance Industries Ltd - 7.05% - 13/09/2023**</t>
  </si>
  <si>
    <t>IN2220150022</t>
  </si>
  <si>
    <t>8.14% Maharashtra State Development Loan 27/05/2025</t>
  </si>
  <si>
    <t>Sundaram Ultra Short Duration Fund</t>
  </si>
  <si>
    <t>INE134E08JU5</t>
  </si>
  <si>
    <t>Power Finance Corporation Ltd - 8.45% - 11/08/2022</t>
  </si>
  <si>
    <t>INE752E07KH1</t>
  </si>
  <si>
    <t>Power Grid Corporation of India Ltd - 8.85% - 19/10/2022**</t>
  </si>
  <si>
    <t>INE134E08JD1</t>
  </si>
  <si>
    <t>Power Finance Corporation Ltd - 7.1% - 08/08/2022**</t>
  </si>
  <si>
    <t>INE562A16KH3</t>
  </si>
  <si>
    <t>Indian Bank - 29/06/2022</t>
  </si>
  <si>
    <t>INE563J14716</t>
  </si>
  <si>
    <t>Astec LifeSciences Ltd - 27/06/2022**</t>
  </si>
  <si>
    <t>INE09OL14AM6</t>
  </si>
  <si>
    <t>Birla Group Holdings Pvt Ltd - 28/07/2022**</t>
  </si>
  <si>
    <t>INE929O14644</t>
  </si>
  <si>
    <t>Reliance Retail Ventures Ltd - 17/08/2022**</t>
  </si>
  <si>
    <t>INE929O14586</t>
  </si>
  <si>
    <t>Reliance Retail Ventures Ltd - 07/09/2022**</t>
  </si>
  <si>
    <t>INE248U14KS9</t>
  </si>
  <si>
    <t>IIFL Wealth Prime Ltd - 05/09/2022**</t>
  </si>
  <si>
    <t>INE466L14AV1</t>
  </si>
  <si>
    <t>IIFL Wealth Management Ltd - 05/09/2022**</t>
  </si>
  <si>
    <t>INE001A14YX5</t>
  </si>
  <si>
    <t>Housing Development Finance Corporation Ltd - 27/10/2022**</t>
  </si>
  <si>
    <t>IN002021Y452</t>
  </si>
  <si>
    <t>Sundaram Medium Term Bond Fund</t>
  </si>
  <si>
    <t>IN0020210012</t>
  </si>
  <si>
    <t>5.63% Central Government Securities 12/04/2026</t>
  </si>
  <si>
    <t>IN0020200278</t>
  </si>
  <si>
    <t>5.15% Central Government Securities 09/11/2025</t>
  </si>
  <si>
    <t>IN0020210244</t>
  </si>
  <si>
    <t>6.54% Central Government Securities 17/01/2032</t>
  </si>
  <si>
    <t>Institutional Plan - Growth</t>
  </si>
  <si>
    <t>Sundaram Debt Oriented Hybrid Fund</t>
  </si>
  <si>
    <t>INE018I01017</t>
  </si>
  <si>
    <t>MindTree Ltd</t>
  </si>
  <si>
    <t>IN0020210095</t>
  </si>
  <si>
    <t>6.10% Central Government Securities 12/07/2031</t>
  </si>
  <si>
    <t>Sundaram Overnight Fund</t>
  </si>
  <si>
    <t>IN002021Z095</t>
  </si>
  <si>
    <t>S. No.</t>
  </si>
  <si>
    <t>ACRONYM</t>
  </si>
  <si>
    <t>SCHEME NAME</t>
  </si>
  <si>
    <t>SFRLTP</t>
  </si>
  <si>
    <t>SFRSTP</t>
  </si>
  <si>
    <t>SMMF</t>
  </si>
  <si>
    <t>SPLDF</t>
  </si>
  <si>
    <t>SPMON</t>
  </si>
  <si>
    <t>SPSDF</t>
  </si>
  <si>
    <t>SPUSDF</t>
  </si>
  <si>
    <t>SUNBDS</t>
  </si>
  <si>
    <t>SUNMIA</t>
  </si>
  <si>
    <t>SUNONF</t>
  </si>
  <si>
    <t>JM Financial Services Ltd - 02/06/2022**</t>
  </si>
  <si>
    <t>JM Financial Services Ltd - 14/06/2022**</t>
  </si>
  <si>
    <t>JM Financial Services Ltd - 25/08/2022**</t>
  </si>
  <si>
    <t>IGH Holdings Private Limited - 15/06/2022**</t>
  </si>
  <si>
    <t>182 Days - T Bill - 01/09/2022</t>
  </si>
  <si>
    <t>182 Days - T Bill - 07/07/2022</t>
  </si>
  <si>
    <t>182 Days - T Bill - 14/07/2022</t>
  </si>
  <si>
    <t>182 Days - T Bill - 15/09/2022</t>
  </si>
  <si>
    <t>182 Days - T Bill - 21/07/2022</t>
  </si>
  <si>
    <t>364 Days - T Bill - 02/06/2022</t>
  </si>
  <si>
    <t>364 Days - T Bill - 17/11/2022</t>
  </si>
  <si>
    <t>91 Days - T Bill - 30/06/2022</t>
  </si>
  <si>
    <t>Bharti Airtel Ltd - Partly Paid Right Shares</t>
  </si>
  <si>
    <t xml:space="preserve"> ++Grand Total</t>
  </si>
  <si>
    <t>++ Aggregate Investments by Other schemes of Sundaram Mutual Fund - Rs.602.43 Lakhs</t>
  </si>
  <si>
    <t>g) Average Maturity - only for Debt portion (years)</t>
  </si>
  <si>
    <t>h) Macaulay Duration - only for Debt portion (years)</t>
  </si>
  <si>
    <t>g) Average  Maturity (day)</t>
  </si>
  <si>
    <t>h) Macaulay Duration (day)</t>
  </si>
  <si>
    <t>e) Bonus declared during the period (Rupees per unit)</t>
  </si>
  <si>
    <t>f) Total outstanding exposure in derivative instruments at the end of the period</t>
  </si>
  <si>
    <t>g) Total investments in foreign securities /ADR'S/GDR'S at the end of the period</t>
  </si>
  <si>
    <t>h) Average  Maturity (years)</t>
  </si>
  <si>
    <t>i) Macaulay Duration (years)</t>
  </si>
  <si>
    <t>j)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</si>
  <si>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</si>
  <si>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</si>
  <si>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</si>
  <si>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</si>
  <si>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</si>
  <si>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</si>
  <si>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</si>
  <si>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ISIN</t>
  </si>
  <si>
    <t>NAME OF THE SECURITY</t>
  </si>
  <si>
    <t>INE202B07IK1</t>
  </si>
  <si>
    <t xml:space="preserve">Dewan Housing Finance Corporation Ltd-9.10%-09/09/2019 </t>
  </si>
  <si>
    <t>INE202B07HQ0</t>
  </si>
  <si>
    <t>9.10%-Dewan Housing Finance Corporation Ltd-16/08/2019</t>
  </si>
  <si>
    <t>INE202B07IJ3</t>
  </si>
  <si>
    <t xml:space="preserve">9.05% Dewan Housing Finance Corporation Ltd-NCD-09/09/2019 </t>
  </si>
  <si>
    <t>TOTAL AMOUNT INCLUDING INTEREST DUE TO AND RECOVERED BY THE SCHEME</t>
  </si>
  <si>
    <t>TOTAL AMOUNT DUE</t>
  </si>
  <si>
    <t>Amount Recovered (Rs. In Lacs)</t>
  </si>
  <si>
    <t>PRINCIPAL (Rs. in Lacs)</t>
  </si>
  <si>
    <t>Interest Accrued till 3rd June 2019
(Rs. in Lacs)</t>
  </si>
  <si>
    <t>Interest not accrued due to category by rating agency as default till maturity (Rs. in Lacs)</t>
  </si>
  <si>
    <t>Total 
(Rs. in Lacs)</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</si>
  <si>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</si>
  <si>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</si>
  <si>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</si>
  <si>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Refer below point j)</t>
  </si>
  <si>
    <t>Net receivable/Market value  (Rs. Lakh)</t>
  </si>
  <si>
    <t>% to NAV</t>
  </si>
  <si>
    <t>9.05% Dewan Housing Finance Corporation Ltd-NCD-09/09/2019</t>
  </si>
  <si>
    <t>Dewan Housing Finance Corporation Ltd-9.10%-09/09/2019</t>
  </si>
  <si>
    <t>INE202B07654</t>
  </si>
  <si>
    <t>11.55%_Prev 11.45%-Dewan Housing Finance Corp Ltd-12/09/2019  ##</t>
  </si>
  <si>
    <t>9.10%-Dewan Housing Finance Corporation Ltd-16/08/2019 ##</t>
  </si>
  <si>
    <t>Amount recoverd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</si>
  <si>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</si>
  <si>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</si>
  <si>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</si>
  <si>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INE528G08394</t>
  </si>
  <si>
    <t>9%-YES BANK LTD-NCD-Call opt-18/10/2022-Perpetual Bond $</t>
  </si>
  <si>
    <t>TOTAL AMOUNT INCLUDING INTEREST DUE TO THE SCHEME</t>
  </si>
  <si>
    <t>Interest Accrued till 05 Mar 2020
(Rs. in Lacs)</t>
  </si>
  <si>
    <t>Refer below point k)</t>
  </si>
  <si>
    <t xml:space="preserve">11.55% Prev 11.45%-Dewan Housing Finance Corp Ltd-12/09/2019  </t>
  </si>
  <si>
    <t xml:space="preserve">11.55%_Prev 11.45%-Dewan Housing Finance Corp Ltd-12/09/2019  </t>
  </si>
  <si>
    <t>k) Exposure to securities classified as below investment grade or default as on May 31, 2022:-</t>
  </si>
  <si>
    <t>j) Exposure to securities classified as below investment grade or default as on May 31, 2022:-</t>
  </si>
  <si>
    <t>YTM (%)</t>
  </si>
  <si>
    <t>Yield to call date (%)</t>
  </si>
  <si>
    <t>Bank of Baroda - 8.55% - Call Dt 14-Feb-2024** (Tier II Bond under Basel III)</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</si>
  <si>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</si>
  <si>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</si>
  <si>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</si>
  <si>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</si>
  <si>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</si>
  <si>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</si>
  <si>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</si>
  <si>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</si>
  <si>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</si>
  <si>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</si>
  <si>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Retail Plan - Monthly IDCW</t>
  </si>
  <si>
    <t>Regular Plan - Daily IDCW</t>
  </si>
  <si>
    <t>Regular Plan - Weekly IDCW</t>
  </si>
  <si>
    <t>Direct Plan - Weekly IDCW</t>
  </si>
  <si>
    <t>Direct Plan - Fortnightly IDCW</t>
  </si>
  <si>
    <t>Regular Plan - Fortnightly IDCW</t>
  </si>
  <si>
    <t>Monthly Portfolio Statement for the month ended 31 May 2022</t>
  </si>
  <si>
    <t>Unclaimed Plan - IDCW beyond three years</t>
  </si>
  <si>
    <t>Unclaimed Plan - IDCW upto three years</t>
  </si>
  <si>
    <t>Unclaimed Plan - Redemption upto three years</t>
  </si>
  <si>
    <t>Unclaimed Plan - Redemption beyond three years</t>
  </si>
  <si>
    <t>Scheme Riskometer</t>
  </si>
  <si>
    <t>Tier II Benchmark Riskometer - NIFTY AAA Short Duration Bond Index</t>
  </si>
  <si>
    <t>Tier I Benchmark Riskometer - NIFTY Banking and PSU Debt Index</t>
  </si>
  <si>
    <t>Tier II Benchmark Riskometer - NIFTY Money Market Index</t>
  </si>
  <si>
    <t>Tier II Benchmark Riskometer - NIFTY Low Duration Debt Index</t>
  </si>
  <si>
    <t>Tier II Benchmark Riskometer - NIFTY Liquid Index</t>
  </si>
  <si>
    <t>Tier II Benchmark Riskometer - NIFTY Short Duration Debt Index</t>
  </si>
  <si>
    <t>Tier II Benchmark Riskometer - NIFTY Ultra Short Duration Debt Index</t>
  </si>
  <si>
    <t>Tier II Benchmark Riskometer - NIFTY Medium Duration Debt Index</t>
  </si>
  <si>
    <t>Benchmark Riskometer - CRISIL Hybrid 85+15 - Conservative Index</t>
  </si>
  <si>
    <t>Tier I Benchmark Riskometer - NIFTY 1D Rate Index</t>
  </si>
  <si>
    <t>Tier II Benchmark Riskometer - NIFTY 1D Rate Index</t>
  </si>
  <si>
    <t>Tier I Benchmark Riskometer - NIFTY Corporate Bond Index B-III</t>
  </si>
  <si>
    <t>Tier I Benchmark Riskometer - NIFTY Money Market Index B-I</t>
  </si>
  <si>
    <t>Tier I Benchmark Riskometer - NIFTY Low Duration Debt Index B-I</t>
  </si>
  <si>
    <t>Tier I Benchmark Riskometer - NIFTY Liquid Index B-I</t>
  </si>
  <si>
    <t>Tier I Benchmark Riskometer - Nifty Short Duration Debt Index B-II</t>
  </si>
  <si>
    <t>Tier I Benchmark Riskometer - NIFTY Ultra Short Duration Debt Index B-I</t>
  </si>
  <si>
    <t>Tier I Benchmark Riskometer - NIFTY Medium Duration Debt Index C-III</t>
  </si>
  <si>
    <t>% to AUM as on 31/05/2022</t>
  </si>
  <si>
    <t>SPAHF - AUM</t>
  </si>
  <si>
    <t>$ Yes Bank Limited Reconstruction Scheme 2020” was notified in the Official Gazette on March 13, 2020. Based on that, the Basel III Additional Tier I Bonds (ISIN - INE528G08394) were written down in the scheme along with the Interest accrued.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</si>
</sst>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1014009]#,##0.00;\-#,##0.00"/>
    <numFmt numFmtId="165" formatCode="[$-1014009]#,##0.00%"/>
    <numFmt numFmtId="166" formatCode="[$-1014009]###0.00;\(###0.00\)"/>
    <numFmt numFmtId="167" formatCode="[$-1014009]###0.00%;\(###0.00%\)"/>
    <numFmt numFmtId="168" formatCode="[$-1014009]General"/>
    <numFmt numFmtId="169" formatCode="[$-1014009]###0;\(###0\)"/>
    <numFmt numFmtId="170" formatCode="[$-1014009]#.0000"/>
    <numFmt numFmtId="171" formatCode="[$-1014009]#,##0.000000;\-#,##0.000000"/>
    <numFmt numFmtId="172" formatCode="[$-1014009]#,##0.00;\(#,##0.00\)"/>
    <numFmt numFmtId="173" formatCode="_(* #,##0.00_);_(* \(#,##0.00\);_(* &quot;-&quot;??_);_(@_)"/>
  </numFmts>
  <fonts count="30" x14ac:knownFonts="1">
    <font>
      <sz val="10"/>
      <name val="Arial"/>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theme="1"/>
      <name val="Calibri"/>
      <family val="2"/>
      <scheme val="minor"/>
    </font>
    <font>
      <b/>
      <sz val="11"/>
      <name val="Calibri"/>
      <family val="2"/>
      <scheme val="minor"/>
    </font>
    <font>
      <sz val="10"/>
      <name val="Arial"/>
      <family val="2"/>
    </font>
    <font>
      <sz val="11"/>
      <name val="Calibri"/>
      <family val="2"/>
      <scheme val="minor"/>
    </font>
    <font>
      <b/>
      <sz val="10"/>
      <color indexed="8"/>
      <name val="Calibri"/>
      <family val="2"/>
    </font>
    <font>
      <sz val="10"/>
      <name val="Arial"/>
      <family val="2"/>
    </font>
    <font>
      <b/>
      <sz val="11"/>
      <color theme="0"/>
      <name val="Calibri"/>
      <family val="2"/>
      <scheme val="minor"/>
    </font>
    <font>
      <sz val="11"/>
      <color theme="0"/>
      <name val="Calibri"/>
      <family val="2"/>
      <scheme val="minor"/>
    </font>
    <font>
      <sz val="10"/>
      <color indexed="8"/>
      <name val="Calibri"/>
      <family val="2"/>
    </font>
    <font>
      <u/>
      <sz val="10"/>
      <color theme="10"/>
      <name val="Arial"/>
      <family val="2"/>
    </font>
    <font>
      <b/>
      <sz val="10"/>
      <name val="Calibri"/>
      <family val="2"/>
      <scheme val="minor"/>
    </font>
    <font>
      <b/>
      <sz val="10"/>
      <color theme="1"/>
      <name val="Calibri"/>
      <family val="2"/>
      <scheme val="minor"/>
    </font>
    <font>
      <sz val="10"/>
      <name val="Calibri"/>
      <family val="2"/>
      <scheme val="minor"/>
    </font>
    <font>
      <sz val="10"/>
      <color theme="1"/>
      <name val="Calibri"/>
      <family val="2"/>
      <scheme val="minor"/>
    </font>
    <font>
      <sz val="11"/>
      <color indexed="8"/>
      <name val="Calibri"/>
      <family val="2"/>
    </font>
    <font>
      <b/>
      <sz val="11"/>
      <name val="Calibri"/>
      <family val="2"/>
    </font>
    <font>
      <b/>
      <sz val="11"/>
      <color indexed="8"/>
      <name val="Calibri"/>
      <family val="2"/>
    </font>
    <font>
      <u/>
      <sz val="11"/>
      <color theme="10"/>
      <name val="Calibri"/>
      <family val="2"/>
      <scheme val="minor"/>
    </font>
    <font>
      <sz val="10"/>
      <color theme="0" tint="-4.9989318521683403E-2"/>
      <name val="Calibri"/>
      <family val="2"/>
      <scheme val="minor"/>
    </font>
    <font>
      <sz val="10"/>
      <color rgb="FFFF0000"/>
      <name val="Calibri"/>
      <family val="2"/>
      <scheme val="minor"/>
    </font>
  </fonts>
  <fills count="3">
    <fill>
      <patternFill patternType="none"/>
    </fill>
    <fill>
      <patternFill patternType="gray125"/>
    </fill>
    <fill>
      <patternFill patternType="solid">
        <fgColor indexed="9"/>
      </patternFill>
    </fill>
  </fills>
  <borders count="14">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10">
    <xf numFmtId="0" fontId="0" fillId="0" borderId="0">
      <alignment wrapText="1"/>
    </xf>
    <xf numFmtId="0" fontId="4" fillId="0" borderId="0"/>
    <xf numFmtId="0" fontId="12" fillId="0" borderId="0">
      <alignment wrapText="1"/>
    </xf>
    <xf numFmtId="43" fontId="15" fillId="0" borderId="0" applyFont="0" applyFill="0" applyBorder="0" applyAlignment="0" applyProtection="0"/>
    <xf numFmtId="9" fontId="15" fillId="0" borderId="0" applyFont="0" applyFill="0" applyBorder="0" applyAlignment="0" applyProtection="0"/>
    <xf numFmtId="0" fontId="19" fillId="0" borderId="0" applyNumberFormat="0" applyFill="0" applyBorder="0" applyAlignment="0" applyProtection="0">
      <alignment wrapText="1"/>
    </xf>
    <xf numFmtId="0" fontId="3" fillId="0" borderId="0"/>
    <xf numFmtId="173" fontId="24" fillId="0" borderId="0" applyFont="0" applyFill="0" applyBorder="0" applyAlignment="0" applyProtection="0"/>
    <xf numFmtId="9" fontId="24" fillId="0" borderId="0" applyFont="0" applyFill="0" applyBorder="0" applyAlignment="0" applyProtection="0"/>
    <xf numFmtId="0" fontId="1" fillId="0" borderId="0"/>
  </cellStyleXfs>
  <cellXfs count="146">
    <xf numFmtId="0" fontId="0" fillId="0" borderId="0" xfId="0">
      <alignment wrapText="1"/>
    </xf>
    <xf numFmtId="0" fontId="6" fillId="2" borderId="4" xfId="0" applyFont="1" applyFill="1" applyBorder="1" applyAlignment="1">
      <alignment horizontal="right" vertical="top" wrapText="1" readingOrder="1"/>
    </xf>
    <xf numFmtId="0" fontId="7" fillId="2" borderId="4" xfId="0" applyFont="1" applyFill="1" applyBorder="1" applyAlignment="1">
      <alignment horizontal="left" vertical="center" wrapText="1" readingOrder="1"/>
    </xf>
    <xf numFmtId="164" fontId="7" fillId="2" borderId="4" xfId="0" applyNumberFormat="1" applyFont="1" applyFill="1" applyBorder="1" applyAlignment="1">
      <alignment horizontal="right" vertical="center" wrapText="1" readingOrder="1"/>
    </xf>
    <xf numFmtId="165" fontId="7" fillId="2" borderId="4" xfId="0" applyNumberFormat="1" applyFont="1" applyFill="1" applyBorder="1" applyAlignment="1">
      <alignment horizontal="right" vertical="center" wrapText="1" readingOrder="1"/>
    </xf>
    <xf numFmtId="0" fontId="8" fillId="2" borderId="4" xfId="0" applyFont="1" applyFill="1" applyBorder="1" applyAlignment="1">
      <alignment horizontal="left" vertical="center" wrapText="1" readingOrder="1"/>
    </xf>
    <xf numFmtId="0" fontId="8" fillId="2" borderId="4" xfId="0" applyFont="1" applyFill="1" applyBorder="1" applyAlignment="1">
      <alignment horizontal="right" vertical="center" wrapText="1" readingOrder="1"/>
    </xf>
    <xf numFmtId="166" fontId="7" fillId="2" borderId="4" xfId="0" applyNumberFormat="1" applyFont="1" applyFill="1" applyBorder="1" applyAlignment="1">
      <alignment horizontal="right" vertical="center" wrapText="1" readingOrder="1"/>
    </xf>
    <xf numFmtId="167" fontId="7" fillId="2" borderId="4" xfId="0" applyNumberFormat="1" applyFont="1" applyFill="1" applyBorder="1" applyAlignment="1">
      <alignment horizontal="right" vertical="center" wrapText="1" readingOrder="1"/>
    </xf>
    <xf numFmtId="168" fontId="6"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169" fontId="6" fillId="2" borderId="4" xfId="0" applyNumberFormat="1" applyFont="1" applyFill="1" applyBorder="1" applyAlignment="1">
      <alignment horizontal="right" vertical="center" wrapText="1" readingOrder="1"/>
    </xf>
    <xf numFmtId="166" fontId="6" fillId="2" borderId="4" xfId="0" applyNumberFormat="1" applyFont="1" applyFill="1" applyBorder="1" applyAlignment="1">
      <alignment horizontal="right" vertical="center" wrapText="1" readingOrder="1"/>
    </xf>
    <xf numFmtId="167" fontId="6" fillId="2" borderId="4" xfId="0" applyNumberFormat="1" applyFont="1" applyFill="1" applyBorder="1" applyAlignment="1">
      <alignment horizontal="right" vertical="center" wrapText="1" readingOrder="1"/>
    </xf>
    <xf numFmtId="0" fontId="6" fillId="2" borderId="4" xfId="0" applyFont="1" applyFill="1" applyBorder="1" applyAlignment="1">
      <alignment horizontal="right" vertical="center" wrapText="1" readingOrder="1"/>
    </xf>
    <xf numFmtId="0" fontId="8" fillId="2" borderId="5" xfId="0" applyFont="1" applyFill="1" applyBorder="1" applyAlignment="1">
      <alignment horizontal="left" vertical="center" wrapText="1" readingOrder="1"/>
    </xf>
    <xf numFmtId="0" fontId="8" fillId="2" borderId="5" xfId="0" applyFont="1" applyFill="1" applyBorder="1" applyAlignment="1">
      <alignment horizontal="right" vertical="center" wrapText="1" readingOrder="1"/>
    </xf>
    <xf numFmtId="0" fontId="8" fillId="2" borderId="0" xfId="0" applyFont="1" applyFill="1" applyBorder="1" applyAlignment="1">
      <alignment horizontal="left" vertical="center" wrapText="1" readingOrder="1"/>
    </xf>
    <xf numFmtId="0" fontId="6" fillId="2" borderId="0" xfId="0" applyFont="1" applyFill="1" applyBorder="1" applyAlignment="1">
      <alignment horizontal="left" vertical="center" wrapText="1" readingOrder="1"/>
    </xf>
    <xf numFmtId="0" fontId="8" fillId="2" borderId="0" xfId="0" applyFont="1" applyFill="1" applyBorder="1" applyAlignment="1">
      <alignment horizontal="right" vertical="center" wrapText="1" readingOrder="1"/>
    </xf>
    <xf numFmtId="0" fontId="8" fillId="2" borderId="6" xfId="0" applyFont="1" applyFill="1" applyBorder="1" applyAlignment="1">
      <alignment horizontal="right" vertical="center" wrapText="1" readingOrder="1"/>
    </xf>
    <xf numFmtId="0" fontId="6" fillId="2" borderId="0" xfId="0" applyFont="1" applyFill="1" applyBorder="1" applyAlignment="1">
      <alignment horizontal="right" vertical="top" wrapText="1" readingOrder="1"/>
    </xf>
    <xf numFmtId="0" fontId="7" fillId="2" borderId="4" xfId="0" applyFont="1" applyFill="1" applyBorder="1" applyAlignment="1">
      <alignment horizontal="right" vertical="top" wrapText="1" readingOrder="1"/>
    </xf>
    <xf numFmtId="0" fontId="7" fillId="2" borderId="4" xfId="0" applyFont="1" applyFill="1" applyBorder="1" applyAlignment="1">
      <alignment horizontal="left" vertical="top" wrapText="1" readingOrder="1"/>
    </xf>
    <xf numFmtId="170" fontId="6" fillId="2" borderId="4" xfId="0" applyNumberFormat="1" applyFont="1" applyFill="1" applyBorder="1" applyAlignment="1">
      <alignment horizontal="right" vertical="center" wrapText="1" readingOrder="1"/>
    </xf>
    <xf numFmtId="0" fontId="6" fillId="2" borderId="0" xfId="0" applyFont="1" applyFill="1" applyBorder="1" applyAlignment="1">
      <alignment horizontal="right" vertical="center" wrapText="1" readingOrder="1"/>
    </xf>
    <xf numFmtId="0" fontId="9" fillId="2" borderId="4" xfId="0" applyFont="1" applyFill="1" applyBorder="1" applyAlignment="1">
      <alignment horizontal="left" vertical="center" wrapText="1" readingOrder="1"/>
    </xf>
    <xf numFmtId="0" fontId="9" fillId="2" borderId="4" xfId="0" applyFont="1" applyFill="1" applyBorder="1" applyAlignment="1">
      <alignment horizontal="right" vertical="center" wrapText="1" readingOrder="1"/>
    </xf>
    <xf numFmtId="171" fontId="6" fillId="2" borderId="4" xfId="0" applyNumberFormat="1"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7" fillId="2" borderId="5" xfId="0" applyFont="1" applyFill="1" applyBorder="1" applyAlignment="1">
      <alignment horizontal="left" vertical="center" wrapText="1" readingOrder="1"/>
    </xf>
    <xf numFmtId="0" fontId="6" fillId="2" borderId="6" xfId="0" applyFont="1" applyFill="1" applyBorder="1" applyAlignment="1">
      <alignment horizontal="right" vertical="top" wrapText="1" readingOrder="1"/>
    </xf>
    <xf numFmtId="172" fontId="7" fillId="2" borderId="4" xfId="0" applyNumberFormat="1" applyFont="1" applyFill="1" applyBorder="1" applyAlignment="1">
      <alignment horizontal="left" vertical="center" wrapText="1" readingOrder="1"/>
    </xf>
    <xf numFmtId="0" fontId="0" fillId="2" borderId="0" xfId="0" applyFill="1" applyBorder="1" applyAlignment="1">
      <alignment horizontal="center" vertical="top" readingOrder="1"/>
    </xf>
    <xf numFmtId="0" fontId="10" fillId="0" borderId="7" xfId="1" applyFont="1" applyBorder="1" applyAlignment="1">
      <alignment horizontal="center"/>
    </xf>
    <xf numFmtId="0" fontId="11" fillId="0" borderId="7" xfId="1" applyFont="1" applyBorder="1" applyAlignment="1">
      <alignment horizontal="center" vertical="center"/>
    </xf>
    <xf numFmtId="0" fontId="4" fillId="0" borderId="0" xfId="1"/>
    <xf numFmtId="0" fontId="4" fillId="0" borderId="7" xfId="1" applyBorder="1" applyAlignment="1">
      <alignment horizontal="center"/>
    </xf>
    <xf numFmtId="0" fontId="13" fillId="0" borderId="7" xfId="1" applyFont="1" applyBorder="1" applyAlignment="1">
      <alignment vertical="top"/>
    </xf>
    <xf numFmtId="0" fontId="14" fillId="2" borderId="4" xfId="0" applyFont="1" applyFill="1" applyBorder="1" applyAlignment="1">
      <alignment horizontal="left" vertical="center" wrapText="1" readingOrder="1"/>
    </xf>
    <xf numFmtId="0" fontId="20" fillId="2" borderId="0" xfId="0" applyFont="1" applyFill="1" applyAlignment="1">
      <alignment vertical="top" readingOrder="1"/>
    </xf>
    <xf numFmtId="0" fontId="12" fillId="0" borderId="0" xfId="2">
      <alignment wrapText="1"/>
    </xf>
    <xf numFmtId="0" fontId="20" fillId="2" borderId="0" xfId="0" applyFont="1" applyFill="1" applyAlignment="1">
      <alignment horizontal="left" vertical="top" readingOrder="1"/>
    </xf>
    <xf numFmtId="0" fontId="21" fillId="0" borderId="0" xfId="0" applyFont="1">
      <alignment wrapText="1"/>
    </xf>
    <xf numFmtId="0" fontId="21" fillId="0" borderId="7" xfId="0" applyFont="1" applyBorder="1">
      <alignment wrapText="1"/>
    </xf>
    <xf numFmtId="0" fontId="22" fillId="0" borderId="0" xfId="0" applyFont="1" applyAlignment="1"/>
    <xf numFmtId="0" fontId="22" fillId="0" borderId="7" xfId="0" applyFont="1" applyBorder="1" applyAlignment="1"/>
    <xf numFmtId="43" fontId="22" fillId="0" borderId="7" xfId="3" applyFont="1" applyBorder="1" applyAlignment="1"/>
    <xf numFmtId="43" fontId="23" fillId="0" borderId="7" xfId="3" applyFont="1" applyBorder="1"/>
    <xf numFmtId="4" fontId="22" fillId="0" borderId="7" xfId="0" applyNumberFormat="1" applyFont="1" applyBorder="1" applyAlignment="1"/>
    <xf numFmtId="0" fontId="0" fillId="2" borderId="0" xfId="0" applyFill="1" applyAlignment="1">
      <alignment horizontal="center" vertical="top" readingOrder="1"/>
    </xf>
    <xf numFmtId="0" fontId="21" fillId="0" borderId="7" xfId="6" applyFont="1" applyBorder="1" applyAlignment="1">
      <alignment horizontal="center"/>
    </xf>
    <xf numFmtId="0" fontId="23" fillId="0" borderId="7" xfId="6" applyFont="1" applyBorder="1"/>
    <xf numFmtId="0" fontId="23" fillId="0" borderId="7" xfId="6" applyFont="1" applyBorder="1" applyAlignment="1">
      <alignment wrapText="1"/>
    </xf>
    <xf numFmtId="0" fontId="21" fillId="0" borderId="7" xfId="6" applyFont="1" applyBorder="1" applyAlignment="1">
      <alignment horizontal="center" vertical="center" wrapText="1"/>
    </xf>
    <xf numFmtId="4" fontId="23" fillId="0" borderId="7" xfId="6" applyNumberFormat="1" applyFont="1" applyBorder="1"/>
    <xf numFmtId="173" fontId="23" fillId="0" borderId="7" xfId="7" applyFont="1" applyBorder="1"/>
    <xf numFmtId="173" fontId="23" fillId="0" borderId="7" xfId="6" applyNumberFormat="1" applyFont="1" applyBorder="1"/>
    <xf numFmtId="4" fontId="23" fillId="0" borderId="7" xfId="8" applyNumberFormat="1" applyFont="1" applyFill="1" applyBorder="1"/>
    <xf numFmtId="0" fontId="20" fillId="0" borderId="0" xfId="0" applyFont="1" applyAlignment="1"/>
    <xf numFmtId="0" fontId="19" fillId="0" borderId="0" xfId="5" applyAlignment="1"/>
    <xf numFmtId="0" fontId="21" fillId="0" borderId="7" xfId="0" applyFont="1" applyBorder="1" applyAlignment="1">
      <alignment horizontal="center" vertical="center" wrapText="1"/>
    </xf>
    <xf numFmtId="0" fontId="0" fillId="0" borderId="0" xfId="0" applyAlignment="1">
      <alignment vertical="center" wrapText="1"/>
    </xf>
    <xf numFmtId="0" fontId="22" fillId="0" borderId="7" xfId="0" applyFont="1" applyBorder="1" applyAlignment="1">
      <alignment vertical="center" wrapText="1"/>
    </xf>
    <xf numFmtId="0" fontId="22" fillId="0" borderId="7" xfId="0" applyFont="1" applyBorder="1" applyAlignment="1">
      <alignment vertical="center"/>
    </xf>
    <xf numFmtId="2" fontId="22" fillId="0" borderId="7" xfId="0" applyNumberFormat="1" applyFont="1" applyBorder="1" applyAlignment="1">
      <alignment vertical="center"/>
    </xf>
    <xf numFmtId="10" fontId="23" fillId="0" borderId="7" xfId="4" applyNumberFormat="1" applyFont="1" applyBorder="1" applyAlignment="1">
      <alignment vertical="center"/>
    </xf>
    <xf numFmtId="4" fontId="22" fillId="0" borderId="7" xfId="0" applyNumberFormat="1" applyFont="1" applyBorder="1" applyAlignment="1">
      <alignment vertical="center"/>
    </xf>
    <xf numFmtId="4" fontId="23" fillId="0" borderId="7" xfId="6" applyNumberFormat="1" applyFont="1" applyBorder="1" applyAlignment="1">
      <alignment horizontal="right" vertical="center"/>
    </xf>
    <xf numFmtId="10" fontId="23" fillId="0" borderId="7" xfId="8" applyNumberFormat="1" applyFont="1" applyFill="1" applyBorder="1" applyAlignment="1">
      <alignment vertical="center"/>
    </xf>
    <xf numFmtId="2" fontId="23" fillId="0" borderId="7" xfId="6" applyNumberFormat="1" applyFont="1" applyBorder="1"/>
    <xf numFmtId="0" fontId="25" fillId="0" borderId="13" xfId="0" applyFont="1" applyBorder="1" applyAlignment="1">
      <alignment horizontal="center" vertical="center" wrapText="1" readingOrder="1"/>
    </xf>
    <xf numFmtId="166" fontId="18" fillId="2" borderId="4" xfId="0" applyNumberFormat="1" applyFont="1" applyFill="1" applyBorder="1" applyAlignment="1">
      <alignment horizontal="right" vertical="center" wrapText="1" readingOrder="1"/>
    </xf>
    <xf numFmtId="166" fontId="18" fillId="2" borderId="13" xfId="0" applyNumberFormat="1" applyFont="1" applyFill="1" applyBorder="1" applyAlignment="1">
      <alignment horizontal="right" vertical="center" wrapText="1" readingOrder="1"/>
    </xf>
    <xf numFmtId="0" fontId="18" fillId="2" borderId="4" xfId="0" applyFont="1" applyFill="1" applyBorder="1" applyAlignment="1">
      <alignment horizontal="left" vertical="center" wrapText="1" readingOrder="1"/>
    </xf>
    <xf numFmtId="0" fontId="5"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12" fillId="0" borderId="0" xfId="2" applyAlignment="1">
      <alignment vertical="center" wrapText="1"/>
    </xf>
    <xf numFmtId="0" fontId="10" fillId="0" borderId="0" xfId="0" applyFont="1" applyAlignment="1"/>
    <xf numFmtId="0" fontId="10" fillId="0" borderId="0" xfId="0" applyFont="1" applyAlignment="1">
      <alignment horizontal="left"/>
    </xf>
    <xf numFmtId="0" fontId="12" fillId="0" borderId="0" xfId="2" applyAlignment="1">
      <alignment horizontal="left"/>
    </xf>
    <xf numFmtId="0" fontId="11" fillId="0" borderId="0" xfId="2" applyFont="1" applyAlignment="1">
      <alignment vertical="center" wrapText="1"/>
    </xf>
    <xf numFmtId="0" fontId="11" fillId="0" borderId="0" xfId="2" applyFont="1" applyAlignment="1">
      <alignment horizontal="left"/>
    </xf>
    <xf numFmtId="0" fontId="2" fillId="0" borderId="0" xfId="1" applyFont="1"/>
    <xf numFmtId="0" fontId="27" fillId="0" borderId="7" xfId="5" applyFont="1" applyBorder="1" applyAlignment="1">
      <alignment vertical="center"/>
    </xf>
    <xf numFmtId="0" fontId="6" fillId="2" borderId="1" xfId="0" applyFont="1" applyFill="1" applyBorder="1" applyAlignment="1">
      <alignment horizontal="left" vertical="center" wrapText="1" readingOrder="1"/>
    </xf>
    <xf numFmtId="0" fontId="6" fillId="2" borderId="3" xfId="0" applyFont="1" applyFill="1" applyBorder="1" applyAlignment="1">
      <alignment horizontal="left" vertical="center" wrapText="1" readingOrder="1"/>
    </xf>
    <xf numFmtId="0" fontId="11" fillId="0" borderId="0" xfId="2" applyFont="1" applyAlignment="1">
      <alignment horizontal="center" vertical="center" wrapText="1"/>
    </xf>
    <xf numFmtId="0" fontId="6" fillId="2" borderId="5" xfId="0" applyFont="1" applyFill="1" applyBorder="1" applyAlignment="1">
      <alignment horizontal="left" vertical="center" wrapText="1" readingOrder="1"/>
    </xf>
    <xf numFmtId="0" fontId="26" fillId="2" borderId="7" xfId="0" applyFont="1" applyFill="1" applyBorder="1" applyAlignment="1">
      <alignment horizontal="center" vertical="center" wrapText="1" readingOrder="1"/>
    </xf>
    <xf numFmtId="0" fontId="6" fillId="2" borderId="0" xfId="0" applyFont="1" applyFill="1" applyBorder="1" applyAlignment="1">
      <alignment horizontal="left" vertical="center" wrapText="1" readingOrder="1"/>
    </xf>
    <xf numFmtId="0" fontId="7" fillId="2" borderId="1" xfId="0" applyFont="1" applyFill="1" applyBorder="1" applyAlignment="1">
      <alignment horizontal="left" vertical="center" wrapText="1" readingOrder="1"/>
    </xf>
    <xf numFmtId="0" fontId="7" fillId="2" borderId="2" xfId="0" applyFont="1" applyFill="1" applyBorder="1" applyAlignment="1">
      <alignment horizontal="left" vertical="center" wrapText="1" readingOrder="1"/>
    </xf>
    <xf numFmtId="0" fontId="7" fillId="2" borderId="3" xfId="0" applyFont="1" applyFill="1" applyBorder="1" applyAlignment="1">
      <alignment horizontal="left" vertical="center" wrapText="1" readingOrder="1"/>
    </xf>
    <xf numFmtId="0" fontId="18" fillId="2" borderId="1" xfId="0" applyFont="1" applyFill="1" applyBorder="1" applyAlignment="1">
      <alignment horizontal="left" vertical="center" wrapText="1" readingOrder="1"/>
    </xf>
    <xf numFmtId="0" fontId="18" fillId="2" borderId="3" xfId="0" applyFont="1" applyFill="1" applyBorder="1" applyAlignment="1">
      <alignment horizontal="left" vertical="center" wrapText="1" readingOrder="1"/>
    </xf>
    <xf numFmtId="43" fontId="23" fillId="0" borderId="7" xfId="3" applyFont="1" applyBorder="1" applyAlignment="1">
      <alignment horizontal="center"/>
    </xf>
    <xf numFmtId="0" fontId="21" fillId="0" borderId="7" xfId="6" applyFont="1" applyBorder="1" applyAlignment="1">
      <alignment horizontal="center" vertical="center"/>
    </xf>
    <xf numFmtId="0" fontId="21" fillId="0" borderId="8" xfId="6" applyFont="1" applyBorder="1" applyAlignment="1">
      <alignment horizontal="center" vertical="center" wrapText="1"/>
    </xf>
    <xf numFmtId="0" fontId="21" fillId="0" borderId="9" xfId="6" applyFont="1" applyBorder="1" applyAlignment="1">
      <alignment horizontal="center" vertical="center" wrapText="1"/>
    </xf>
    <xf numFmtId="0" fontId="23" fillId="0" borderId="7" xfId="6" applyFont="1" applyBorder="1" applyAlignment="1">
      <alignment horizontal="center"/>
    </xf>
    <xf numFmtId="0" fontId="21" fillId="0" borderId="7" xfId="6" applyFont="1" applyBorder="1" applyAlignment="1">
      <alignment horizontal="center"/>
    </xf>
    <xf numFmtId="0" fontId="21" fillId="0" borderId="7" xfId="6" applyFont="1" applyBorder="1" applyAlignment="1">
      <alignment horizontal="center" wrapText="1"/>
    </xf>
    <xf numFmtId="0" fontId="10" fillId="0" borderId="0" xfId="2" applyFont="1" applyAlignment="1">
      <alignment horizontal="center" vertical="center" wrapText="1"/>
    </xf>
    <xf numFmtId="0" fontId="6" fillId="2" borderId="0" xfId="0" quotePrefix="1" applyFont="1" applyFill="1" applyBorder="1" applyAlignment="1">
      <alignment horizontal="left" vertical="center" wrapText="1" readingOrder="1"/>
    </xf>
    <xf numFmtId="0" fontId="23" fillId="0" borderId="7" xfId="6" applyFont="1" applyBorder="1" applyAlignment="1">
      <alignment horizontal="left" vertical="center" wrapText="1"/>
    </xf>
    <xf numFmtId="43" fontId="23" fillId="0" borderId="10" xfId="3" applyFont="1" applyBorder="1" applyAlignment="1">
      <alignment horizontal="center"/>
    </xf>
    <xf numFmtId="43" fontId="23" fillId="0" borderId="11" xfId="3" applyFont="1" applyBorder="1" applyAlignment="1">
      <alignment horizontal="center"/>
    </xf>
    <xf numFmtId="43" fontId="23" fillId="0" borderId="12" xfId="3" applyFont="1" applyBorder="1" applyAlignment="1">
      <alignment horizontal="center"/>
    </xf>
    <xf numFmtId="0" fontId="20" fillId="2" borderId="0" xfId="0" applyFont="1" applyFill="1" applyAlignment="1">
      <alignment horizontal="left" vertical="top" readingOrder="1"/>
    </xf>
    <xf numFmtId="0" fontId="21" fillId="0" borderId="10" xfId="6" applyFont="1" applyBorder="1" applyAlignment="1">
      <alignment horizontal="center" wrapText="1"/>
    </xf>
    <xf numFmtId="0" fontId="21" fillId="0" borderId="11" xfId="6" applyFont="1" applyBorder="1" applyAlignment="1">
      <alignment horizontal="center" wrapText="1"/>
    </xf>
    <xf numFmtId="0" fontId="21" fillId="0" borderId="12" xfId="6" applyFont="1" applyBorder="1" applyAlignment="1">
      <alignment horizontal="center" wrapText="1"/>
    </xf>
    <xf numFmtId="0" fontId="21" fillId="0" borderId="10" xfId="6" applyFont="1" applyBorder="1" applyAlignment="1">
      <alignment horizontal="center"/>
    </xf>
    <xf numFmtId="0" fontId="21" fillId="0" borderId="12" xfId="6" applyFont="1" applyBorder="1" applyAlignment="1">
      <alignment horizontal="center"/>
    </xf>
    <xf numFmtId="0" fontId="20" fillId="2" borderId="7" xfId="0" applyFont="1" applyFill="1" applyBorder="1" applyAlignment="1">
      <alignment horizontal="left" vertical="top" readingOrder="1"/>
    </xf>
    <xf numFmtId="0" fontId="21" fillId="0" borderId="7" xfId="9" applyFont="1" applyBorder="1" applyAlignment="1">
      <alignment horizontal="center"/>
    </xf>
    <xf numFmtId="0" fontId="21" fillId="0" borderId="10" xfId="9" applyFont="1" applyBorder="1" applyAlignment="1">
      <alignment horizontal="center" vertical="center" wrapText="1"/>
    </xf>
    <xf numFmtId="0" fontId="21" fillId="0" borderId="12" xfId="9" applyFont="1" applyBorder="1" applyAlignment="1">
      <alignment horizontal="center" vertical="center" wrapText="1"/>
    </xf>
    <xf numFmtId="0" fontId="21" fillId="0" borderId="7" xfId="9" applyFont="1" applyBorder="1" applyAlignment="1">
      <alignment horizontal="center" vertical="center"/>
    </xf>
    <xf numFmtId="0" fontId="21" fillId="0" borderId="0" xfId="9" applyFont="1" applyAlignment="1">
      <alignment horizontal="center"/>
    </xf>
    <xf numFmtId="0" fontId="4" fillId="0" borderId="0" xfId="1" applyAlignment="1">
      <alignment wrapText="1"/>
    </xf>
    <xf numFmtId="0" fontId="23" fillId="0" borderId="7" xfId="9" applyFont="1" applyBorder="1"/>
    <xf numFmtId="0" fontId="23" fillId="0" borderId="7" xfId="9" applyFont="1" applyBorder="1" applyAlignment="1">
      <alignment wrapText="1"/>
    </xf>
    <xf numFmtId="0" fontId="23" fillId="0" borderId="10" xfId="3" applyNumberFormat="1" applyFont="1" applyBorder="1" applyAlignment="1">
      <alignment horizontal="center" vertical="center"/>
    </xf>
    <xf numFmtId="0" fontId="23" fillId="0" borderId="12" xfId="3" applyNumberFormat="1" applyFont="1" applyBorder="1" applyAlignment="1">
      <alignment horizontal="center" vertical="center"/>
    </xf>
    <xf numFmtId="0" fontId="23" fillId="0" borderId="0" xfId="9" applyFont="1" applyAlignment="1">
      <alignment horizontal="center"/>
    </xf>
    <xf numFmtId="0" fontId="21" fillId="0" borderId="10" xfId="9" applyFont="1" applyBorder="1" applyAlignment="1">
      <alignment horizontal="center"/>
    </xf>
    <xf numFmtId="0" fontId="21" fillId="0" borderId="11" xfId="9" applyFont="1" applyBorder="1" applyAlignment="1">
      <alignment horizontal="center"/>
    </xf>
    <xf numFmtId="0" fontId="21" fillId="0" borderId="12" xfId="9" applyFont="1" applyBorder="1" applyAlignment="1">
      <alignment horizontal="center"/>
    </xf>
    <xf numFmtId="0" fontId="21" fillId="0" borderId="10" xfId="9" applyFont="1" applyBorder="1" applyAlignment="1">
      <alignment horizontal="center" vertical="center"/>
    </xf>
    <xf numFmtId="0" fontId="21" fillId="0" borderId="11" xfId="9" applyFont="1" applyBorder="1" applyAlignment="1">
      <alignment horizontal="center" vertical="center"/>
    </xf>
    <xf numFmtId="0" fontId="21" fillId="0" borderId="12" xfId="9" applyFont="1" applyBorder="1" applyAlignment="1">
      <alignment horizontal="center" vertical="center"/>
    </xf>
    <xf numFmtId="0" fontId="28" fillId="0" borderId="0" xfId="9" applyFont="1"/>
    <xf numFmtId="0" fontId="21" fillId="0" borderId="7" xfId="9" applyFont="1" applyBorder="1" applyAlignment="1">
      <alignment horizontal="center" vertical="center" wrapText="1"/>
    </xf>
    <xf numFmtId="0" fontId="16" fillId="0" borderId="0" xfId="1" applyFont="1" applyAlignment="1">
      <alignment horizontal="center" vertical="center"/>
    </xf>
    <xf numFmtId="0" fontId="23" fillId="0" borderId="7" xfId="9" applyFont="1" applyBorder="1" applyAlignment="1">
      <alignment horizontal="left" vertical="center"/>
    </xf>
    <xf numFmtId="0" fontId="23" fillId="0" borderId="7" xfId="9" applyFont="1" applyBorder="1" applyAlignment="1">
      <alignment vertical="center" wrapText="1"/>
    </xf>
    <xf numFmtId="4" fontId="17" fillId="0" borderId="0" xfId="9" applyNumberFormat="1" applyFont="1"/>
    <xf numFmtId="0" fontId="23" fillId="0" borderId="10" xfId="9" applyFont="1" applyBorder="1" applyAlignment="1">
      <alignment horizontal="left" wrapText="1"/>
    </xf>
    <xf numFmtId="0" fontId="23" fillId="0" borderId="11" xfId="9" applyFont="1" applyBorder="1" applyAlignment="1">
      <alignment horizontal="left" wrapText="1"/>
    </xf>
    <xf numFmtId="0" fontId="23" fillId="0" borderId="12" xfId="9" applyFont="1" applyBorder="1" applyAlignment="1">
      <alignment horizontal="left" wrapText="1"/>
    </xf>
    <xf numFmtId="4" fontId="29" fillId="0" borderId="0" xfId="9" applyNumberFormat="1" applyFont="1" applyAlignment="1">
      <alignment horizontal="left"/>
    </xf>
    <xf numFmtId="0" fontId="20" fillId="2" borderId="10" xfId="0" applyFont="1" applyFill="1" applyBorder="1" applyAlignment="1">
      <alignment horizontal="left" vertical="top" readingOrder="1"/>
    </xf>
    <xf numFmtId="0" fontId="20" fillId="2" borderId="11" xfId="0" applyFont="1" applyFill="1" applyBorder="1" applyAlignment="1">
      <alignment horizontal="left" vertical="top" readingOrder="1"/>
    </xf>
    <xf numFmtId="0" fontId="20" fillId="2" borderId="12" xfId="0" applyFont="1" applyFill="1" applyBorder="1" applyAlignment="1">
      <alignment horizontal="left" vertical="top" readingOrder="1"/>
    </xf>
  </cellXfs>
  <cellStyles count="10">
    <cellStyle name="Comma" xfId="3" builtinId="3"/>
    <cellStyle name="Comma 2" xfId="7" xr:uid="{C4C52292-7A59-491A-BECD-1A3E607B5C83}"/>
    <cellStyle name="Hyperlink" xfId="5" builtinId="8"/>
    <cellStyle name="Normal" xfId="0" builtinId="0"/>
    <cellStyle name="Normal 2" xfId="1" xr:uid="{24B3A8D7-9988-4061-97D2-776EC73CF6A3}"/>
    <cellStyle name="Normal 2 2" xfId="6" xr:uid="{FC2CDA22-3E93-4398-8A53-BABB9FF28162}"/>
    <cellStyle name="Normal 2 2 3" xfId="9" xr:uid="{68C555EF-A263-4768-BCBF-2ACB6E06C095}"/>
    <cellStyle name="Normal 3" xfId="2" xr:uid="{39C3F9E8-8B6A-4AFF-927D-3836E0106ADA}"/>
    <cellStyle name="Percent" xfId="4" builtinId="5"/>
    <cellStyle name="Percent 2" xfId="8" xr:uid="{DC37A43D-DE4E-4A8D-8D1D-26F8A072D9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1.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17</xdr:row>
      <xdr:rowOff>0</xdr:rowOff>
    </xdr:from>
    <xdr:to>
      <xdr:col>14</xdr:col>
      <xdr:colOff>276225</xdr:colOff>
      <xdr:row>26</xdr:row>
      <xdr:rowOff>266700</xdr:rowOff>
    </xdr:to>
    <xdr:pic>
      <xdr:nvPicPr>
        <xdr:cNvPr id="2" name="Picture 1">
          <a:extLst>
            <a:ext uri="{FF2B5EF4-FFF2-40B4-BE49-F238E27FC236}">
              <a16:creationId xmlns:a16="http://schemas.microsoft.com/office/drawing/2014/main" id="{D2E352CA-BFBF-49DF-AE69-8F6A98368AE8}"/>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01275" y="3381375"/>
          <a:ext cx="32956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13</xdr:row>
      <xdr:rowOff>19050</xdr:rowOff>
    </xdr:to>
    <xdr:pic>
      <xdr:nvPicPr>
        <xdr:cNvPr id="3" name="Picture 2">
          <a:extLst>
            <a:ext uri="{FF2B5EF4-FFF2-40B4-BE49-F238E27FC236}">
              <a16:creationId xmlns:a16="http://schemas.microsoft.com/office/drawing/2014/main" id="{CAFF441B-D69D-4BB8-A01D-AC39DA9DCBDF}"/>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9</xdr:col>
      <xdr:colOff>66674</xdr:colOff>
      <xdr:row>29</xdr:row>
      <xdr:rowOff>161925</xdr:rowOff>
    </xdr:from>
    <xdr:to>
      <xdr:col>14</xdr:col>
      <xdr:colOff>380999</xdr:colOff>
      <xdr:row>35</xdr:row>
      <xdr:rowOff>19050</xdr:rowOff>
    </xdr:to>
    <xdr:pic>
      <xdr:nvPicPr>
        <xdr:cNvPr id="4" name="Picture 2">
          <a:extLst>
            <a:ext uri="{FF2B5EF4-FFF2-40B4-BE49-F238E27FC236}">
              <a16:creationId xmlns:a16="http://schemas.microsoft.com/office/drawing/2014/main" id="{AB3F1FBF-8361-42BF-8B43-BC0D9246F87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239374" y="5972175"/>
          <a:ext cx="3362325" cy="180022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609599</xdr:colOff>
      <xdr:row>18</xdr:row>
      <xdr:rowOff>0</xdr:rowOff>
    </xdr:from>
    <xdr:to>
      <xdr:col>14</xdr:col>
      <xdr:colOff>247651</xdr:colOff>
      <xdr:row>27</xdr:row>
      <xdr:rowOff>123825</xdr:rowOff>
    </xdr:to>
    <xdr:pic>
      <xdr:nvPicPr>
        <xdr:cNvPr id="2" name="Picture 1">
          <a:extLst>
            <a:ext uri="{FF2B5EF4-FFF2-40B4-BE49-F238E27FC236}">
              <a16:creationId xmlns:a16="http://schemas.microsoft.com/office/drawing/2014/main" id="{F8BB0326-B35B-4F95-8AAA-F79F373E63CD}"/>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699" y="3543300"/>
          <a:ext cx="3295652"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30</xdr:row>
      <xdr:rowOff>190501</xdr:rowOff>
    </xdr:from>
    <xdr:to>
      <xdr:col>14</xdr:col>
      <xdr:colOff>314325</xdr:colOff>
      <xdr:row>36</xdr:row>
      <xdr:rowOff>0</xdr:rowOff>
    </xdr:to>
    <xdr:pic>
      <xdr:nvPicPr>
        <xdr:cNvPr id="3" name="Picture 2">
          <a:extLst>
            <a:ext uri="{FF2B5EF4-FFF2-40B4-BE49-F238E27FC236}">
              <a16:creationId xmlns:a16="http://schemas.microsoft.com/office/drawing/2014/main" id="{83738150-DC74-4939-99FE-E529030794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72700" y="6162676"/>
          <a:ext cx="3362325" cy="175259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9522</xdr:colOff>
      <xdr:row>2</xdr:row>
      <xdr:rowOff>180973</xdr:rowOff>
    </xdr:from>
    <xdr:to>
      <xdr:col>14</xdr:col>
      <xdr:colOff>171449</xdr:colOff>
      <xdr:row>12</xdr:row>
      <xdr:rowOff>95548</xdr:rowOff>
    </xdr:to>
    <xdr:pic>
      <xdr:nvPicPr>
        <xdr:cNvPr id="4" name="Picture 3">
          <a:extLst>
            <a:ext uri="{FF2B5EF4-FFF2-40B4-BE49-F238E27FC236}">
              <a16:creationId xmlns:a16="http://schemas.microsoft.com/office/drawing/2014/main" id="{E466DB3E-5AAA-4854-8F46-FE05A8B1B26A}"/>
            </a:ext>
          </a:extLst>
        </xdr:cNvPr>
        <xdr:cNvPicPr preferRelativeResize="0">
          <a:picLocks noChangeAspect="1"/>
        </xdr:cNvPicPr>
      </xdr:nvPicPr>
      <xdr:blipFill>
        <a:blip xmlns:r="http://schemas.openxmlformats.org/officeDocument/2006/relationships" r:embed="rId3"/>
        <a:stretch>
          <a:fillRect/>
        </a:stretch>
      </xdr:blipFill>
      <xdr:spPr>
        <a:xfrm>
          <a:off x="10182222" y="619123"/>
          <a:ext cx="3209927" cy="2019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131167</xdr:colOff>
      <xdr:row>13</xdr:row>
      <xdr:rowOff>9525</xdr:rowOff>
    </xdr:to>
    <xdr:pic>
      <xdr:nvPicPr>
        <xdr:cNvPr id="2" name="Picture 1">
          <a:extLst>
            <a:ext uri="{FF2B5EF4-FFF2-40B4-BE49-F238E27FC236}">
              <a16:creationId xmlns:a16="http://schemas.microsoft.com/office/drawing/2014/main" id="{ED9C4B7E-BD07-47F8-80C8-00A7C1027FEF}"/>
            </a:ext>
          </a:extLst>
        </xdr:cNvPr>
        <xdr:cNvPicPr>
          <a:picLocks noChangeAspect="1"/>
        </xdr:cNvPicPr>
      </xdr:nvPicPr>
      <xdr:blipFill>
        <a:blip xmlns:r="http://schemas.openxmlformats.org/officeDocument/2006/relationships" r:embed="rId1"/>
        <a:stretch>
          <a:fillRect/>
        </a:stretch>
      </xdr:blipFill>
      <xdr:spPr>
        <a:xfrm>
          <a:off x="10172700" y="704850"/>
          <a:ext cx="3179167" cy="2019300"/>
        </a:xfrm>
        <a:prstGeom prst="rect">
          <a:avLst/>
        </a:prstGeom>
      </xdr:spPr>
    </xdr:pic>
    <xdr:clientData/>
  </xdr:twoCellAnchor>
  <xdr:twoCellAnchor editAs="oneCell">
    <xdr:from>
      <xdr:col>9</xdr:col>
      <xdr:colOff>38100</xdr:colOff>
      <xdr:row>18</xdr:row>
      <xdr:rowOff>1</xdr:rowOff>
    </xdr:from>
    <xdr:to>
      <xdr:col>14</xdr:col>
      <xdr:colOff>238125</xdr:colOff>
      <xdr:row>27</xdr:row>
      <xdr:rowOff>142875</xdr:rowOff>
    </xdr:to>
    <xdr:pic>
      <xdr:nvPicPr>
        <xdr:cNvPr id="3" name="Picture 2">
          <a:extLst>
            <a:ext uri="{FF2B5EF4-FFF2-40B4-BE49-F238E27FC236}">
              <a16:creationId xmlns:a16="http://schemas.microsoft.com/office/drawing/2014/main" id="{A32168B1-AF39-4AA1-A8CF-257A60503C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10800" y="3552826"/>
          <a:ext cx="324802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32</xdr:row>
      <xdr:rowOff>133350</xdr:rowOff>
    </xdr:from>
    <xdr:to>
      <xdr:col>14</xdr:col>
      <xdr:colOff>381000</xdr:colOff>
      <xdr:row>44</xdr:row>
      <xdr:rowOff>9525</xdr:rowOff>
    </xdr:to>
    <xdr:pic>
      <xdr:nvPicPr>
        <xdr:cNvPr id="4" name="Picture 3">
          <a:extLst>
            <a:ext uri="{FF2B5EF4-FFF2-40B4-BE49-F238E27FC236}">
              <a16:creationId xmlns:a16="http://schemas.microsoft.com/office/drawing/2014/main" id="{50E257AD-D3A4-4FC1-8FBC-68AD8E5C3D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10800" y="6143625"/>
          <a:ext cx="3390900"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57150</xdr:colOff>
      <xdr:row>17</xdr:row>
      <xdr:rowOff>0</xdr:rowOff>
    </xdr:from>
    <xdr:to>
      <xdr:col>14</xdr:col>
      <xdr:colOff>276225</xdr:colOff>
      <xdr:row>26</xdr:row>
      <xdr:rowOff>228600</xdr:rowOff>
    </xdr:to>
    <xdr:pic>
      <xdr:nvPicPr>
        <xdr:cNvPr id="2" name="Picture 1">
          <a:extLst>
            <a:ext uri="{FF2B5EF4-FFF2-40B4-BE49-F238E27FC236}">
              <a16:creationId xmlns:a16="http://schemas.microsoft.com/office/drawing/2014/main" id="{4D554D76-8146-46B8-A72F-283623F96A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9850" y="3381375"/>
          <a:ext cx="3267075"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95251</xdr:rowOff>
    </xdr:from>
    <xdr:to>
      <xdr:col>14</xdr:col>
      <xdr:colOff>276225</xdr:colOff>
      <xdr:row>34</xdr:row>
      <xdr:rowOff>209551</xdr:rowOff>
    </xdr:to>
    <xdr:pic>
      <xdr:nvPicPr>
        <xdr:cNvPr id="3" name="Picture 2">
          <a:extLst>
            <a:ext uri="{FF2B5EF4-FFF2-40B4-BE49-F238E27FC236}">
              <a16:creationId xmlns:a16="http://schemas.microsoft.com/office/drawing/2014/main" id="{3D64D974-9C01-4A2D-8A6F-116DAA7618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5905501"/>
          <a:ext cx="3324225"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228601</xdr:rowOff>
    </xdr:from>
    <xdr:to>
      <xdr:col>14</xdr:col>
      <xdr:colOff>133349</xdr:colOff>
      <xdr:row>12</xdr:row>
      <xdr:rowOff>123825</xdr:rowOff>
    </xdr:to>
    <xdr:pic>
      <xdr:nvPicPr>
        <xdr:cNvPr id="4" name="Picture 3">
          <a:extLst>
            <a:ext uri="{FF2B5EF4-FFF2-40B4-BE49-F238E27FC236}">
              <a16:creationId xmlns:a16="http://schemas.microsoft.com/office/drawing/2014/main" id="{A5BF111B-4A15-44D7-8195-FEAC0853C86F}"/>
            </a:ext>
          </a:extLst>
        </xdr:cNvPr>
        <xdr:cNvPicPr preferRelativeResize="0">
          <a:picLocks noChangeAspect="1"/>
        </xdr:cNvPicPr>
      </xdr:nvPicPr>
      <xdr:blipFill>
        <a:blip xmlns:r="http://schemas.openxmlformats.org/officeDocument/2006/relationships" r:embed="rId2"/>
        <a:stretch>
          <a:fillRect/>
        </a:stretch>
      </xdr:blipFill>
      <xdr:spPr>
        <a:xfrm>
          <a:off x="10153650" y="666751"/>
          <a:ext cx="3200399" cy="200024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276225</xdr:colOff>
      <xdr:row>26</xdr:row>
      <xdr:rowOff>266700</xdr:rowOff>
    </xdr:to>
    <xdr:pic>
      <xdr:nvPicPr>
        <xdr:cNvPr id="2" name="Picture 1">
          <a:extLst>
            <a:ext uri="{FF2B5EF4-FFF2-40B4-BE49-F238E27FC236}">
              <a16:creationId xmlns:a16="http://schemas.microsoft.com/office/drawing/2014/main" id="{D12F4E47-FB96-4365-B32D-893375DACB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286126"/>
          <a:ext cx="3352800" cy="1819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30</xdr:row>
      <xdr:rowOff>47626</xdr:rowOff>
    </xdr:from>
    <xdr:to>
      <xdr:col>14</xdr:col>
      <xdr:colOff>247650</xdr:colOff>
      <xdr:row>41</xdr:row>
      <xdr:rowOff>114300</xdr:rowOff>
    </xdr:to>
    <xdr:pic>
      <xdr:nvPicPr>
        <xdr:cNvPr id="3" name="Picture 2">
          <a:extLst>
            <a:ext uri="{FF2B5EF4-FFF2-40B4-BE49-F238E27FC236}">
              <a16:creationId xmlns:a16="http://schemas.microsoft.com/office/drawing/2014/main" id="{2096F05F-3562-46D3-8674-93BE32ED59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0" y="5724526"/>
          <a:ext cx="3390900" cy="1847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2</xdr:row>
      <xdr:rowOff>152400</xdr:rowOff>
    </xdr:from>
    <xdr:to>
      <xdr:col>14</xdr:col>
      <xdr:colOff>190500</xdr:colOff>
      <xdr:row>12</xdr:row>
      <xdr:rowOff>114300</xdr:rowOff>
    </xdr:to>
    <xdr:pic>
      <xdr:nvPicPr>
        <xdr:cNvPr id="4" name="Picture 3">
          <a:extLst>
            <a:ext uri="{FF2B5EF4-FFF2-40B4-BE49-F238E27FC236}">
              <a16:creationId xmlns:a16="http://schemas.microsoft.com/office/drawing/2014/main" id="{79D63840-2FE5-4A25-9EBE-31E97881A25E}"/>
            </a:ext>
          </a:extLst>
        </xdr:cNvPr>
        <xdr:cNvPicPr>
          <a:picLocks noChangeAspect="1"/>
        </xdr:cNvPicPr>
      </xdr:nvPicPr>
      <xdr:blipFill>
        <a:blip xmlns:r="http://schemas.openxmlformats.org/officeDocument/2006/relationships" r:embed="rId2"/>
        <a:stretch>
          <a:fillRect/>
        </a:stretch>
      </xdr:blipFill>
      <xdr:spPr>
        <a:xfrm>
          <a:off x="10077450" y="590550"/>
          <a:ext cx="3333750" cy="20669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342900</xdr:colOff>
      <xdr:row>27</xdr:row>
      <xdr:rowOff>28576</xdr:rowOff>
    </xdr:to>
    <xdr:pic>
      <xdr:nvPicPr>
        <xdr:cNvPr id="2" name="Picture 1">
          <a:extLst>
            <a:ext uri="{FF2B5EF4-FFF2-40B4-BE49-F238E27FC236}">
              <a16:creationId xmlns:a16="http://schemas.microsoft.com/office/drawing/2014/main" id="{A4309267-DD4B-4AA8-BADA-5D4F60EC74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381376"/>
          <a:ext cx="339090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13</xdr:row>
      <xdr:rowOff>19050</xdr:rowOff>
    </xdr:to>
    <xdr:pic>
      <xdr:nvPicPr>
        <xdr:cNvPr id="3" name="Picture 2">
          <a:extLst>
            <a:ext uri="{FF2B5EF4-FFF2-40B4-BE49-F238E27FC236}">
              <a16:creationId xmlns:a16="http://schemas.microsoft.com/office/drawing/2014/main" id="{372B5C79-869C-4D17-94EB-2BE7615873BE}"/>
            </a:ext>
          </a:extLst>
        </xdr:cNvPr>
        <xdr:cNvPicPr>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9</xdr:col>
      <xdr:colOff>0</xdr:colOff>
      <xdr:row>29</xdr:row>
      <xdr:rowOff>152401</xdr:rowOff>
    </xdr:from>
    <xdr:to>
      <xdr:col>14</xdr:col>
      <xdr:colOff>352425</xdr:colOff>
      <xdr:row>35</xdr:row>
      <xdr:rowOff>19051</xdr:rowOff>
    </xdr:to>
    <xdr:pic>
      <xdr:nvPicPr>
        <xdr:cNvPr id="4" name="Picture 3">
          <a:extLst>
            <a:ext uri="{FF2B5EF4-FFF2-40B4-BE49-F238E27FC236}">
              <a16:creationId xmlns:a16="http://schemas.microsoft.com/office/drawing/2014/main" id="{499CE5EC-58E5-47EC-B4B8-6CC254C833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5962651"/>
          <a:ext cx="3400425"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28573</xdr:colOff>
      <xdr:row>16</xdr:row>
      <xdr:rowOff>76201</xdr:rowOff>
    </xdr:from>
    <xdr:to>
      <xdr:col>14</xdr:col>
      <xdr:colOff>390524</xdr:colOff>
      <xdr:row>26</xdr:row>
      <xdr:rowOff>247650</xdr:rowOff>
    </xdr:to>
    <xdr:pic>
      <xdr:nvPicPr>
        <xdr:cNvPr id="2" name="Picture 1">
          <a:extLst>
            <a:ext uri="{FF2B5EF4-FFF2-40B4-BE49-F238E27FC236}">
              <a16:creationId xmlns:a16="http://schemas.microsoft.com/office/drawing/2014/main" id="{51A32ABE-82CE-4AA5-BEB1-8835540D2E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01273" y="3295651"/>
          <a:ext cx="3409951"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13</xdr:row>
      <xdr:rowOff>19050</xdr:rowOff>
    </xdr:to>
    <xdr:pic>
      <xdr:nvPicPr>
        <xdr:cNvPr id="3" name="Picture 2">
          <a:extLst>
            <a:ext uri="{FF2B5EF4-FFF2-40B4-BE49-F238E27FC236}">
              <a16:creationId xmlns:a16="http://schemas.microsoft.com/office/drawing/2014/main" id="{CD8959D8-F45B-4621-91DE-14DDEEFFC5DF}"/>
            </a:ext>
          </a:extLst>
        </xdr:cNvPr>
        <xdr:cNvPicPr>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9</xdr:col>
      <xdr:colOff>0</xdr:colOff>
      <xdr:row>29</xdr:row>
      <xdr:rowOff>47625</xdr:rowOff>
    </xdr:from>
    <xdr:to>
      <xdr:col>14</xdr:col>
      <xdr:colOff>361951</xdr:colOff>
      <xdr:row>34</xdr:row>
      <xdr:rowOff>219074</xdr:rowOff>
    </xdr:to>
    <xdr:pic>
      <xdr:nvPicPr>
        <xdr:cNvPr id="5" name="Picture 4">
          <a:extLst>
            <a:ext uri="{FF2B5EF4-FFF2-40B4-BE49-F238E27FC236}">
              <a16:creationId xmlns:a16="http://schemas.microsoft.com/office/drawing/2014/main" id="{A1AA6639-3F97-4E85-9B1E-F8F24E7B37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5857875"/>
          <a:ext cx="3409951"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0</xdr:colOff>
      <xdr:row>2</xdr:row>
      <xdr:rowOff>85725</xdr:rowOff>
    </xdr:from>
    <xdr:to>
      <xdr:col>15</xdr:col>
      <xdr:colOff>161925</xdr:colOff>
      <xdr:row>12</xdr:row>
      <xdr:rowOff>28575</xdr:rowOff>
    </xdr:to>
    <xdr:pic>
      <xdr:nvPicPr>
        <xdr:cNvPr id="5" name="Picture 4">
          <a:extLst>
            <a:ext uri="{FF2B5EF4-FFF2-40B4-BE49-F238E27FC236}">
              <a16:creationId xmlns:a16="http://schemas.microsoft.com/office/drawing/2014/main" id="{F0E55178-4797-44A2-ACEE-80FFBB2C43F1}"/>
            </a:ext>
          </a:extLst>
        </xdr:cNvPr>
        <xdr:cNvPicPr>
          <a:picLocks noChangeAspect="1"/>
        </xdr:cNvPicPr>
      </xdr:nvPicPr>
      <xdr:blipFill>
        <a:blip xmlns:r="http://schemas.openxmlformats.org/officeDocument/2006/relationships" r:embed="rId1"/>
        <a:stretch>
          <a:fillRect/>
        </a:stretch>
      </xdr:blipFill>
      <xdr:spPr>
        <a:xfrm>
          <a:off x="11677650" y="523875"/>
          <a:ext cx="3219450" cy="2095500"/>
        </a:xfrm>
        <a:prstGeom prst="rect">
          <a:avLst/>
        </a:prstGeom>
      </xdr:spPr>
    </xdr:pic>
    <xdr:clientData/>
  </xdr:twoCellAnchor>
  <xdr:oneCellAnchor>
    <xdr:from>
      <xdr:col>10</xdr:col>
      <xdr:colOff>28575</xdr:colOff>
      <xdr:row>29</xdr:row>
      <xdr:rowOff>209550</xdr:rowOff>
    </xdr:from>
    <xdr:ext cx="3422530" cy="1857375"/>
    <xdr:pic>
      <xdr:nvPicPr>
        <xdr:cNvPr id="6" name="Picture 5">
          <a:extLst>
            <a:ext uri="{FF2B5EF4-FFF2-40B4-BE49-F238E27FC236}">
              <a16:creationId xmlns:a16="http://schemas.microsoft.com/office/drawing/2014/main" id="{62788F9C-37F0-4844-A08F-0B84101A80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553825" y="6248400"/>
          <a:ext cx="3422530" cy="1857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10</xdr:col>
      <xdr:colOff>47624</xdr:colOff>
      <xdr:row>17</xdr:row>
      <xdr:rowOff>0</xdr:rowOff>
    </xdr:from>
    <xdr:to>
      <xdr:col>15</xdr:col>
      <xdr:colOff>352424</xdr:colOff>
      <xdr:row>26</xdr:row>
      <xdr:rowOff>219075</xdr:rowOff>
    </xdr:to>
    <xdr:pic>
      <xdr:nvPicPr>
        <xdr:cNvPr id="7" name="Picture 2">
          <a:extLst>
            <a:ext uri="{FF2B5EF4-FFF2-40B4-BE49-F238E27FC236}">
              <a16:creationId xmlns:a16="http://schemas.microsoft.com/office/drawing/2014/main" id="{34409AFF-BDEC-42C0-8FCC-83C4FF53AF0B}"/>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572874" y="3448050"/>
          <a:ext cx="3362325"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171450</xdr:colOff>
      <xdr:row>12</xdr:row>
      <xdr:rowOff>142875</xdr:rowOff>
    </xdr:from>
    <xdr:to>
      <xdr:col>14</xdr:col>
      <xdr:colOff>276225</xdr:colOff>
      <xdr:row>19</xdr:row>
      <xdr:rowOff>171450</xdr:rowOff>
    </xdr:to>
    <xdr:pic>
      <xdr:nvPicPr>
        <xdr:cNvPr id="2" name="Picture 1">
          <a:extLst>
            <a:ext uri="{FF2B5EF4-FFF2-40B4-BE49-F238E27FC236}">
              <a16:creationId xmlns:a16="http://schemas.microsoft.com/office/drawing/2014/main" id="{69D3F7DC-BB22-40CD-9E81-8410550559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77525" y="3114675"/>
          <a:ext cx="3505200" cy="1800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47627</xdr:colOff>
      <xdr:row>2</xdr:row>
      <xdr:rowOff>66675</xdr:rowOff>
    </xdr:from>
    <xdr:to>
      <xdr:col>13</xdr:col>
      <xdr:colOff>581026</xdr:colOff>
      <xdr:row>10</xdr:row>
      <xdr:rowOff>66675</xdr:rowOff>
    </xdr:to>
    <xdr:pic>
      <xdr:nvPicPr>
        <xdr:cNvPr id="3" name="Picture 2">
          <a:extLst>
            <a:ext uri="{FF2B5EF4-FFF2-40B4-BE49-F238E27FC236}">
              <a16:creationId xmlns:a16="http://schemas.microsoft.com/office/drawing/2014/main" id="{0EA67B46-1CA9-4B7B-9551-B85D754F2BB1}"/>
            </a:ext>
          </a:extLst>
        </xdr:cNvPr>
        <xdr:cNvPicPr>
          <a:picLocks noChangeAspect="1"/>
        </xdr:cNvPicPr>
      </xdr:nvPicPr>
      <xdr:blipFill>
        <a:blip xmlns:r="http://schemas.openxmlformats.org/officeDocument/2006/relationships" r:embed="rId2"/>
        <a:stretch>
          <a:fillRect/>
        </a:stretch>
      </xdr:blipFill>
      <xdr:spPr>
        <a:xfrm>
          <a:off x="10553702" y="504825"/>
          <a:ext cx="3324224" cy="19621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0</xdr:colOff>
      <xdr:row>2</xdr:row>
      <xdr:rowOff>114300</xdr:rowOff>
    </xdr:from>
    <xdr:to>
      <xdr:col>14</xdr:col>
      <xdr:colOff>112117</xdr:colOff>
      <xdr:row>11</xdr:row>
      <xdr:rowOff>114300</xdr:rowOff>
    </xdr:to>
    <xdr:pic>
      <xdr:nvPicPr>
        <xdr:cNvPr id="2" name="Picture 1">
          <a:extLst>
            <a:ext uri="{FF2B5EF4-FFF2-40B4-BE49-F238E27FC236}">
              <a16:creationId xmlns:a16="http://schemas.microsoft.com/office/drawing/2014/main" id="{BB93AB93-0381-4931-9953-72A9F566EA66}"/>
            </a:ext>
          </a:extLst>
        </xdr:cNvPr>
        <xdr:cNvPicPr>
          <a:picLocks noChangeAspect="1"/>
        </xdr:cNvPicPr>
      </xdr:nvPicPr>
      <xdr:blipFill>
        <a:blip xmlns:r="http://schemas.openxmlformats.org/officeDocument/2006/relationships" r:embed="rId1"/>
        <a:stretch>
          <a:fillRect/>
        </a:stretch>
      </xdr:blipFill>
      <xdr:spPr>
        <a:xfrm>
          <a:off x="10172700" y="552450"/>
          <a:ext cx="3160117" cy="1981200"/>
        </a:xfrm>
        <a:prstGeom prst="rect">
          <a:avLst/>
        </a:prstGeom>
      </xdr:spPr>
    </xdr:pic>
    <xdr:clientData/>
  </xdr:twoCellAnchor>
  <xdr:twoCellAnchor editAs="oneCell">
    <xdr:from>
      <xdr:col>8</xdr:col>
      <xdr:colOff>523875</xdr:colOff>
      <xdr:row>13</xdr:row>
      <xdr:rowOff>104775</xdr:rowOff>
    </xdr:from>
    <xdr:to>
      <xdr:col>14</xdr:col>
      <xdr:colOff>180975</xdr:colOff>
      <xdr:row>23</xdr:row>
      <xdr:rowOff>85724</xdr:rowOff>
    </xdr:to>
    <xdr:pic>
      <xdr:nvPicPr>
        <xdr:cNvPr id="3" name="Picture 2">
          <a:extLst>
            <a:ext uri="{FF2B5EF4-FFF2-40B4-BE49-F238E27FC236}">
              <a16:creationId xmlns:a16="http://schemas.microsoft.com/office/drawing/2014/main" id="{8B87B4D3-4A9E-4B6B-A3D4-DA90E1BFDF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86975" y="2867025"/>
          <a:ext cx="3314700" cy="16954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600075</xdr:colOff>
      <xdr:row>26</xdr:row>
      <xdr:rowOff>152401</xdr:rowOff>
    </xdr:from>
    <xdr:ext cx="3295650" cy="1771649"/>
    <xdr:pic>
      <xdr:nvPicPr>
        <xdr:cNvPr id="4" name="Picture 3">
          <a:extLst>
            <a:ext uri="{FF2B5EF4-FFF2-40B4-BE49-F238E27FC236}">
              <a16:creationId xmlns:a16="http://schemas.microsoft.com/office/drawing/2014/main" id="{EFB3B4F1-B9FB-4FD1-AB04-A80109A89D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63175" y="5200651"/>
          <a:ext cx="3295650" cy="17716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4C528-D8D8-49ED-B5A8-18A79129C1AF}">
  <dimension ref="A1:C11"/>
  <sheetViews>
    <sheetView tabSelected="1" workbookViewId="0">
      <pane ySplit="1" topLeftCell="A2" activePane="bottomLeft" state="frozen"/>
      <selection pane="bottomLeft" activeCell="B1" sqref="B1"/>
    </sheetView>
  </sheetViews>
  <sheetFormatPr defaultColWidth="8.85546875" defaultRowHeight="15" x14ac:dyDescent="0.25"/>
  <cols>
    <col min="1" max="1" width="6.140625" style="36" bestFit="1" customWidth="1"/>
    <col min="2" max="2" width="10.85546875" style="83" bestFit="1" customWidth="1"/>
    <col min="3" max="3" width="35" style="36" bestFit="1" customWidth="1"/>
    <col min="4" max="16384" width="8.85546875" style="36"/>
  </cols>
  <sheetData>
    <row r="1" spans="1:3" x14ac:dyDescent="0.25">
      <c r="A1" s="34" t="s">
        <v>447</v>
      </c>
      <c r="B1" s="35" t="s">
        <v>448</v>
      </c>
      <c r="C1" s="35" t="s">
        <v>449</v>
      </c>
    </row>
    <row r="2" spans="1:3" x14ac:dyDescent="0.25">
      <c r="A2" s="37">
        <v>1</v>
      </c>
      <c r="B2" s="84" t="s">
        <v>450</v>
      </c>
      <c r="C2" s="38" t="s">
        <v>1</v>
      </c>
    </row>
    <row r="3" spans="1:3" x14ac:dyDescent="0.25">
      <c r="A3" s="37">
        <v>2</v>
      </c>
      <c r="B3" s="84" t="s">
        <v>451</v>
      </c>
      <c r="C3" s="38" t="s">
        <v>156</v>
      </c>
    </row>
    <row r="4" spans="1:3" x14ac:dyDescent="0.25">
      <c r="A4" s="37">
        <v>3</v>
      </c>
      <c r="B4" s="84" t="s">
        <v>452</v>
      </c>
      <c r="C4" s="38" t="s">
        <v>208</v>
      </c>
    </row>
    <row r="5" spans="1:3" x14ac:dyDescent="0.25">
      <c r="A5" s="37">
        <v>4</v>
      </c>
      <c r="B5" s="84" t="s">
        <v>453</v>
      </c>
      <c r="C5" s="38" t="s">
        <v>317</v>
      </c>
    </row>
    <row r="6" spans="1:3" x14ac:dyDescent="0.25">
      <c r="A6" s="37">
        <v>5</v>
      </c>
      <c r="B6" s="84" t="s">
        <v>454</v>
      </c>
      <c r="C6" s="38" t="s">
        <v>366</v>
      </c>
    </row>
    <row r="7" spans="1:3" x14ac:dyDescent="0.25">
      <c r="A7" s="37">
        <v>6</v>
      </c>
      <c r="B7" s="84" t="s">
        <v>455</v>
      </c>
      <c r="C7" s="38" t="s">
        <v>401</v>
      </c>
    </row>
    <row r="8" spans="1:3" x14ac:dyDescent="0.25">
      <c r="A8" s="37">
        <v>7</v>
      </c>
      <c r="B8" s="84" t="s">
        <v>456</v>
      </c>
      <c r="C8" s="38" t="s">
        <v>408</v>
      </c>
    </row>
    <row r="9" spans="1:3" x14ac:dyDescent="0.25">
      <c r="A9" s="37">
        <v>8</v>
      </c>
      <c r="B9" s="84" t="s">
        <v>457</v>
      </c>
      <c r="C9" s="38" t="s">
        <v>432</v>
      </c>
    </row>
    <row r="10" spans="1:3" x14ac:dyDescent="0.25">
      <c r="A10" s="37">
        <v>9</v>
      </c>
      <c r="B10" s="84" t="s">
        <v>458</v>
      </c>
      <c r="C10" s="38" t="s">
        <v>440</v>
      </c>
    </row>
    <row r="11" spans="1:3" x14ac:dyDescent="0.25">
      <c r="A11" s="37">
        <v>10</v>
      </c>
      <c r="B11" s="84" t="s">
        <v>459</v>
      </c>
      <c r="C11" s="38" t="s">
        <v>445</v>
      </c>
    </row>
  </sheetData>
  <hyperlinks>
    <hyperlink ref="B2" location="SFRLTP!A1" display="SFRLTP" xr:uid="{22F79F7A-BFEC-41EA-B2D7-6F156B41A012}"/>
    <hyperlink ref="B3" location="SFRSTP!A1" display="SFRSTP" xr:uid="{A4CB47C9-937A-49C5-8D2E-99CFAFD120CE}"/>
    <hyperlink ref="B4" location="SMMF!A1" display="SMMF" xr:uid="{2C902499-EFDB-44DB-978F-8650A1301A4B}"/>
    <hyperlink ref="B5" location="SPLDF!A1" display="SPLDF" xr:uid="{81052CAD-9917-4B33-9A7A-89ED30F5D71B}"/>
    <hyperlink ref="B6" location="SPMON!A1" display="SPMON" xr:uid="{21B801BF-2B91-47C5-BF2B-14CA6CEA0A7A}"/>
    <hyperlink ref="B7" location="SPSDF!A1" display="SPSDF" xr:uid="{3A935A97-3532-46D9-BFF5-C45AFC7CE790}"/>
    <hyperlink ref="B8" location="SPUSDF!A1" display="SPUSDF" xr:uid="{4AD70187-4C02-4DBA-97B3-64153202F835}"/>
    <hyperlink ref="B9" location="SUNBDS!A1" display="SUNBDS" xr:uid="{5E8AC70C-7C46-4C08-A983-DDA77B3BEFCF}"/>
    <hyperlink ref="B10" location="SUNMIA!A1" display="SUNMIA" xr:uid="{168D49FE-0B53-4585-80ED-DCD5B0D6923F}"/>
    <hyperlink ref="B11" location="SUNONF!A1" display="SUNONF" xr:uid="{F732E47E-2C6D-4295-BC9F-1B0BEEF1553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5" width="9.140625" style="41"/>
  </cols>
  <sheetData>
    <row r="1" spans="1:15" ht="18" customHeight="1" x14ac:dyDescent="0.2">
      <c r="A1" s="89" t="s">
        <v>0</v>
      </c>
      <c r="B1" s="89"/>
      <c r="C1" s="89"/>
      <c r="D1" s="89"/>
      <c r="E1" s="89"/>
      <c r="F1" s="89"/>
      <c r="G1" s="89"/>
      <c r="H1" s="89"/>
    </row>
    <row r="2" spans="1:15" ht="17.100000000000001" customHeight="1" x14ac:dyDescent="0.2">
      <c r="A2" s="89" t="s">
        <v>1</v>
      </c>
      <c r="B2" s="89"/>
      <c r="C2" s="89"/>
      <c r="D2" s="89"/>
      <c r="E2" s="89"/>
      <c r="F2" s="89"/>
      <c r="G2" s="89"/>
      <c r="H2" s="89"/>
      <c r="J2" s="87" t="s">
        <v>555</v>
      </c>
      <c r="K2" s="87"/>
      <c r="L2" s="87"/>
      <c r="M2" s="87"/>
      <c r="N2" s="87"/>
    </row>
    <row r="3" spans="1:15" ht="21" customHeight="1" x14ac:dyDescent="0.2">
      <c r="A3" s="89" t="s">
        <v>550</v>
      </c>
      <c r="B3" s="89"/>
      <c r="C3" s="89"/>
      <c r="D3" s="89"/>
      <c r="E3" s="89"/>
      <c r="F3" s="89"/>
      <c r="G3" s="89"/>
      <c r="H3" s="89"/>
    </row>
    <row r="4" spans="1:15" s="76" customFormat="1" ht="30" x14ac:dyDescent="0.2">
      <c r="A4" s="75" t="s">
        <v>2</v>
      </c>
      <c r="B4" s="75" t="s">
        <v>3</v>
      </c>
      <c r="C4" s="75" t="s">
        <v>4</v>
      </c>
      <c r="D4" s="75" t="s">
        <v>5</v>
      </c>
      <c r="E4" s="75" t="s">
        <v>6</v>
      </c>
      <c r="F4" s="75" t="s">
        <v>7</v>
      </c>
      <c r="G4" s="75" t="s">
        <v>8</v>
      </c>
      <c r="H4" s="71" t="s">
        <v>531</v>
      </c>
      <c r="J4" s="77"/>
      <c r="K4" s="77"/>
      <c r="L4" s="77"/>
      <c r="M4" s="77"/>
      <c r="N4" s="77"/>
      <c r="O4" s="77"/>
    </row>
    <row r="5" spans="1:15" x14ac:dyDescent="0.2">
      <c r="A5" s="1"/>
      <c r="B5" s="1"/>
      <c r="C5" s="2" t="s">
        <v>9</v>
      </c>
      <c r="D5" s="1"/>
      <c r="E5" s="1"/>
      <c r="F5" s="1"/>
      <c r="G5" s="1"/>
      <c r="H5" s="72"/>
    </row>
    <row r="6" spans="1:15" ht="25.5" x14ac:dyDescent="0.2">
      <c r="A6" s="1"/>
      <c r="B6" s="1"/>
      <c r="C6" s="2" t="s">
        <v>10</v>
      </c>
      <c r="D6" s="1"/>
      <c r="E6" s="1"/>
      <c r="F6" s="1"/>
      <c r="G6" s="1"/>
      <c r="H6" s="72"/>
    </row>
    <row r="7" spans="1:15" x14ac:dyDescent="0.2">
      <c r="A7" s="1"/>
      <c r="B7" s="1"/>
      <c r="C7" s="2" t="s">
        <v>11</v>
      </c>
      <c r="D7" s="1"/>
      <c r="E7" s="1" t="s">
        <v>12</v>
      </c>
      <c r="F7" s="3">
        <v>0</v>
      </c>
      <c r="G7" s="4">
        <v>0</v>
      </c>
      <c r="H7" s="72"/>
    </row>
    <row r="8" spans="1:15" x14ac:dyDescent="0.2">
      <c r="A8" s="1"/>
      <c r="B8" s="1"/>
      <c r="C8" s="5"/>
      <c r="D8" s="1"/>
      <c r="E8" s="1"/>
      <c r="F8" s="6"/>
      <c r="G8" s="6"/>
      <c r="H8" s="72"/>
    </row>
    <row r="9" spans="1:15" x14ac:dyDescent="0.2">
      <c r="A9" s="1"/>
      <c r="B9" s="1"/>
      <c r="C9" s="2" t="s">
        <v>13</v>
      </c>
      <c r="D9" s="1"/>
      <c r="E9" s="1"/>
      <c r="F9" s="1"/>
      <c r="G9" s="1"/>
      <c r="H9" s="72"/>
    </row>
    <row r="10" spans="1:15" x14ac:dyDescent="0.2">
      <c r="A10" s="1"/>
      <c r="B10" s="1"/>
      <c r="C10" s="2" t="s">
        <v>11</v>
      </c>
      <c r="D10" s="1"/>
      <c r="E10" s="1" t="s">
        <v>12</v>
      </c>
      <c r="F10" s="3">
        <v>0</v>
      </c>
      <c r="G10" s="4">
        <v>0</v>
      </c>
      <c r="H10" s="72"/>
    </row>
    <row r="11" spans="1:15" x14ac:dyDescent="0.2">
      <c r="A11" s="1"/>
      <c r="B11" s="1"/>
      <c r="C11" s="5"/>
      <c r="D11" s="1"/>
      <c r="E11" s="1"/>
      <c r="F11" s="6"/>
      <c r="G11" s="6"/>
      <c r="H11" s="72"/>
    </row>
    <row r="12" spans="1:15" x14ac:dyDescent="0.2">
      <c r="A12" s="1"/>
      <c r="B12" s="1"/>
      <c r="C12" s="2" t="s">
        <v>14</v>
      </c>
      <c r="D12" s="1"/>
      <c r="E12" s="1"/>
      <c r="F12" s="1"/>
      <c r="G12" s="1"/>
      <c r="H12" s="72"/>
    </row>
    <row r="13" spans="1:15" x14ac:dyDescent="0.2">
      <c r="A13" s="1"/>
      <c r="B13" s="1"/>
      <c r="C13" s="2" t="s">
        <v>11</v>
      </c>
      <c r="D13" s="1"/>
      <c r="E13" s="1" t="s">
        <v>12</v>
      </c>
      <c r="F13" s="3">
        <v>0</v>
      </c>
      <c r="G13" s="4">
        <v>0</v>
      </c>
      <c r="H13" s="72"/>
    </row>
    <row r="14" spans="1:15" x14ac:dyDescent="0.2">
      <c r="A14" s="1"/>
      <c r="B14" s="1"/>
      <c r="C14" s="5"/>
      <c r="D14" s="1"/>
      <c r="E14" s="1"/>
      <c r="F14" s="6"/>
      <c r="G14" s="6"/>
      <c r="H14" s="72"/>
    </row>
    <row r="15" spans="1:15" x14ac:dyDescent="0.2">
      <c r="A15" s="1"/>
      <c r="B15" s="1"/>
      <c r="C15" s="2" t="s">
        <v>15</v>
      </c>
      <c r="D15" s="1"/>
      <c r="E15" s="1"/>
      <c r="F15" s="1"/>
      <c r="G15" s="1"/>
      <c r="H15" s="72"/>
    </row>
    <row r="16" spans="1:15" ht="15" x14ac:dyDescent="0.25">
      <c r="A16" s="1"/>
      <c r="B16" s="1"/>
      <c r="C16" s="2" t="s">
        <v>11</v>
      </c>
      <c r="D16" s="1"/>
      <c r="E16" s="1" t="s">
        <v>12</v>
      </c>
      <c r="F16" s="3">
        <v>0</v>
      </c>
      <c r="G16" s="4">
        <v>0</v>
      </c>
      <c r="H16" s="72"/>
      <c r="J16" s="78" t="s">
        <v>567</v>
      </c>
      <c r="K16" s="78"/>
      <c r="L16" s="78"/>
      <c r="M16" s="78"/>
      <c r="N16" s="78"/>
      <c r="O16" s="78"/>
    </row>
    <row r="17" spans="1:15" x14ac:dyDescent="0.2">
      <c r="A17" s="1"/>
      <c r="B17" s="1"/>
      <c r="C17" s="5"/>
      <c r="D17" s="1"/>
      <c r="E17" s="1"/>
      <c r="F17" s="6"/>
      <c r="G17" s="6"/>
      <c r="H17" s="72"/>
    </row>
    <row r="18" spans="1:15" x14ac:dyDescent="0.2">
      <c r="A18" s="1"/>
      <c r="B18" s="1"/>
      <c r="C18" s="2" t="s">
        <v>16</v>
      </c>
      <c r="D18" s="1"/>
      <c r="E18" s="1"/>
      <c r="F18" s="6"/>
      <c r="G18" s="6"/>
      <c r="H18" s="72"/>
    </row>
    <row r="19" spans="1:15" x14ac:dyDescent="0.2">
      <c r="A19" s="1"/>
      <c r="B19" s="1"/>
      <c r="C19" s="2" t="s">
        <v>11</v>
      </c>
      <c r="D19" s="1"/>
      <c r="E19" s="1" t="s">
        <v>12</v>
      </c>
      <c r="F19" s="3">
        <v>0</v>
      </c>
      <c r="G19" s="4">
        <v>0</v>
      </c>
      <c r="H19" s="72"/>
    </row>
    <row r="20" spans="1:15" x14ac:dyDescent="0.2">
      <c r="A20" s="1"/>
      <c r="B20" s="1"/>
      <c r="C20" s="5"/>
      <c r="D20" s="1"/>
      <c r="E20" s="1"/>
      <c r="F20" s="6"/>
      <c r="G20" s="6"/>
      <c r="H20" s="72"/>
    </row>
    <row r="21" spans="1:15" x14ac:dyDescent="0.2">
      <c r="A21" s="1"/>
      <c r="B21" s="1"/>
      <c r="C21" s="2" t="s">
        <v>17</v>
      </c>
      <c r="D21" s="1"/>
      <c r="E21" s="1"/>
      <c r="F21" s="6"/>
      <c r="G21" s="6"/>
      <c r="H21" s="72"/>
    </row>
    <row r="22" spans="1:15" x14ac:dyDescent="0.2">
      <c r="A22" s="1"/>
      <c r="B22" s="1"/>
      <c r="C22" s="2" t="s">
        <v>11</v>
      </c>
      <c r="D22" s="1"/>
      <c r="E22" s="1" t="s">
        <v>12</v>
      </c>
      <c r="F22" s="3">
        <v>0</v>
      </c>
      <c r="G22" s="4">
        <v>0</v>
      </c>
      <c r="H22" s="72"/>
    </row>
    <row r="23" spans="1:15" x14ac:dyDescent="0.2">
      <c r="A23" s="1"/>
      <c r="B23" s="1"/>
      <c r="C23" s="5"/>
      <c r="D23" s="1"/>
      <c r="E23" s="1"/>
      <c r="F23" s="6"/>
      <c r="G23" s="6"/>
      <c r="H23" s="72"/>
    </row>
    <row r="24" spans="1:15" x14ac:dyDescent="0.2">
      <c r="A24" s="1"/>
      <c r="B24" s="1"/>
      <c r="C24" s="2" t="s">
        <v>18</v>
      </c>
      <c r="D24" s="1"/>
      <c r="E24" s="1"/>
      <c r="F24" s="7">
        <v>0</v>
      </c>
      <c r="G24" s="8">
        <v>0</v>
      </c>
      <c r="H24" s="72"/>
    </row>
    <row r="25" spans="1:15" x14ac:dyDescent="0.2">
      <c r="A25" s="1"/>
      <c r="B25" s="1"/>
      <c r="C25" s="5"/>
      <c r="D25" s="1"/>
      <c r="E25" s="1"/>
      <c r="F25" s="6"/>
      <c r="G25" s="6"/>
      <c r="H25" s="72"/>
    </row>
    <row r="26" spans="1:15" x14ac:dyDescent="0.2">
      <c r="A26" s="1"/>
      <c r="B26" s="1"/>
      <c r="C26" s="2" t="s">
        <v>19</v>
      </c>
      <c r="D26" s="1"/>
      <c r="E26" s="1"/>
      <c r="F26" s="6"/>
      <c r="G26" s="6"/>
      <c r="H26" s="72"/>
    </row>
    <row r="27" spans="1:15" ht="25.5" x14ac:dyDescent="0.2">
      <c r="A27" s="1"/>
      <c r="B27" s="1"/>
      <c r="C27" s="2" t="s">
        <v>10</v>
      </c>
      <c r="D27" s="1"/>
      <c r="E27" s="1"/>
      <c r="F27" s="6"/>
      <c r="G27" s="6"/>
      <c r="H27" s="72"/>
    </row>
    <row r="28" spans="1:15" ht="25.5" x14ac:dyDescent="0.2">
      <c r="A28" s="9">
        <v>1</v>
      </c>
      <c r="B28" s="10" t="s">
        <v>20</v>
      </c>
      <c r="C28" s="10" t="s">
        <v>21</v>
      </c>
      <c r="D28" s="10" t="s">
        <v>22</v>
      </c>
      <c r="E28" s="11">
        <v>500</v>
      </c>
      <c r="F28" s="12">
        <v>5003.6949999999997</v>
      </c>
      <c r="G28" s="13">
        <v>4.5315965E-2</v>
      </c>
      <c r="H28" s="72">
        <v>6.36</v>
      </c>
    </row>
    <row r="29" spans="1:15" ht="25.5" x14ac:dyDescent="0.25">
      <c r="A29" s="9">
        <v>2</v>
      </c>
      <c r="B29" s="10" t="s">
        <v>23</v>
      </c>
      <c r="C29" s="10" t="s">
        <v>24</v>
      </c>
      <c r="D29" s="10" t="s">
        <v>22</v>
      </c>
      <c r="E29" s="11">
        <v>500</v>
      </c>
      <c r="F29" s="12">
        <v>4965.375</v>
      </c>
      <c r="G29" s="13">
        <v>4.4968920000000003E-2</v>
      </c>
      <c r="H29" s="72">
        <v>6.5449999999999999</v>
      </c>
      <c r="J29" s="78" t="s">
        <v>556</v>
      </c>
      <c r="O29"/>
    </row>
    <row r="30" spans="1:15" ht="25.5" x14ac:dyDescent="0.2">
      <c r="A30" s="9">
        <v>3</v>
      </c>
      <c r="B30" s="10" t="s">
        <v>25</v>
      </c>
      <c r="C30" s="10" t="s">
        <v>26</v>
      </c>
      <c r="D30" s="10" t="s">
        <v>27</v>
      </c>
      <c r="E30" s="11">
        <v>500</v>
      </c>
      <c r="F30" s="12">
        <v>4889.84</v>
      </c>
      <c r="G30" s="13">
        <v>4.4284837000000001E-2</v>
      </c>
      <c r="H30" s="72">
        <v>6.4649999999999999</v>
      </c>
      <c r="O30"/>
    </row>
    <row r="31" spans="1:15" ht="25.5" x14ac:dyDescent="0.2">
      <c r="A31" s="9">
        <v>4</v>
      </c>
      <c r="B31" s="10" t="s">
        <v>28</v>
      </c>
      <c r="C31" s="10" t="s">
        <v>29</v>
      </c>
      <c r="D31" s="10" t="s">
        <v>27</v>
      </c>
      <c r="E31" s="11">
        <v>450</v>
      </c>
      <c r="F31" s="12">
        <v>4640.3415000000005</v>
      </c>
      <c r="G31" s="13">
        <v>4.2025253999999998E-2</v>
      </c>
      <c r="H31" s="72">
        <v>6.7</v>
      </c>
      <c r="O31"/>
    </row>
    <row r="32" spans="1:15" ht="25.5" x14ac:dyDescent="0.2">
      <c r="A32" s="9">
        <v>5</v>
      </c>
      <c r="B32" s="10" t="s">
        <v>30</v>
      </c>
      <c r="C32" s="10" t="s">
        <v>31</v>
      </c>
      <c r="D32" s="10" t="s">
        <v>22</v>
      </c>
      <c r="E32" s="11">
        <v>400</v>
      </c>
      <c r="F32" s="12">
        <v>4012.6559999999999</v>
      </c>
      <c r="G32" s="13">
        <v>3.6340619999999997E-2</v>
      </c>
      <c r="H32" s="72">
        <v>6.3883999999999999</v>
      </c>
      <c r="O32"/>
    </row>
    <row r="33" spans="1:15" ht="25.5" x14ac:dyDescent="0.2">
      <c r="A33" s="9">
        <v>6</v>
      </c>
      <c r="B33" s="10" t="s">
        <v>32</v>
      </c>
      <c r="C33" s="10" t="s">
        <v>33</v>
      </c>
      <c r="D33" s="10" t="s">
        <v>27</v>
      </c>
      <c r="E33" s="11">
        <v>350</v>
      </c>
      <c r="F33" s="12">
        <v>3514.8609999999999</v>
      </c>
      <c r="G33" s="13">
        <v>3.1832339000000001E-2</v>
      </c>
      <c r="H33" s="72">
        <v>6.29</v>
      </c>
      <c r="O33"/>
    </row>
    <row r="34" spans="1:15" ht="25.5" x14ac:dyDescent="0.2">
      <c r="A34" s="9">
        <v>7</v>
      </c>
      <c r="B34" s="10" t="s">
        <v>34</v>
      </c>
      <c r="C34" s="10" t="s">
        <v>35</v>
      </c>
      <c r="D34" s="10" t="s">
        <v>27</v>
      </c>
      <c r="E34" s="11">
        <v>350</v>
      </c>
      <c r="F34" s="12">
        <v>3481.9085</v>
      </c>
      <c r="G34" s="13">
        <v>3.1533905000000001E-2</v>
      </c>
      <c r="H34" s="72">
        <v>6.46</v>
      </c>
      <c r="O34"/>
    </row>
    <row r="35" spans="1:15" ht="25.5" x14ac:dyDescent="0.2">
      <c r="A35" s="9">
        <v>8</v>
      </c>
      <c r="B35" s="10" t="s">
        <v>36</v>
      </c>
      <c r="C35" s="10" t="s">
        <v>37</v>
      </c>
      <c r="D35" s="10" t="s">
        <v>27</v>
      </c>
      <c r="E35" s="11">
        <v>300</v>
      </c>
      <c r="F35" s="12">
        <v>3053.7089999999998</v>
      </c>
      <c r="G35" s="13">
        <v>2.7655915999999999E-2</v>
      </c>
      <c r="H35" s="72">
        <v>6.6050000000000004</v>
      </c>
      <c r="O35"/>
    </row>
    <row r="36" spans="1:15" ht="25.5" x14ac:dyDescent="0.2">
      <c r="A36" s="9">
        <v>9</v>
      </c>
      <c r="B36" s="10" t="s">
        <v>38</v>
      </c>
      <c r="C36" s="10" t="s">
        <v>39</v>
      </c>
      <c r="D36" s="10" t="s">
        <v>27</v>
      </c>
      <c r="E36" s="11">
        <v>300</v>
      </c>
      <c r="F36" s="12">
        <v>2985.1889999999999</v>
      </c>
      <c r="G36" s="13">
        <v>2.7035364999999999E-2</v>
      </c>
      <c r="H36" s="72">
        <v>6.33</v>
      </c>
    </row>
    <row r="37" spans="1:15" ht="25.5" x14ac:dyDescent="0.2">
      <c r="A37" s="9">
        <v>10</v>
      </c>
      <c r="B37" s="10" t="s">
        <v>40</v>
      </c>
      <c r="C37" s="10" t="s">
        <v>41</v>
      </c>
      <c r="D37" s="10" t="s">
        <v>27</v>
      </c>
      <c r="E37" s="11">
        <v>250</v>
      </c>
      <c r="F37" s="12">
        <v>2550.665</v>
      </c>
      <c r="G37" s="13">
        <v>2.3100097999999999E-2</v>
      </c>
      <c r="H37" s="72">
        <v>6.1449999999999996</v>
      </c>
    </row>
    <row r="38" spans="1:15" ht="25.5" x14ac:dyDescent="0.2">
      <c r="A38" s="9">
        <v>11</v>
      </c>
      <c r="B38" s="10" t="s">
        <v>42</v>
      </c>
      <c r="C38" s="10" t="s">
        <v>43</v>
      </c>
      <c r="D38" s="10" t="s">
        <v>27</v>
      </c>
      <c r="E38" s="11">
        <v>250</v>
      </c>
      <c r="F38" s="12">
        <v>2544.2275</v>
      </c>
      <c r="G38" s="13">
        <v>2.3041796999999999E-2</v>
      </c>
      <c r="H38" s="72">
        <v>6.2549999999999999</v>
      </c>
    </row>
    <row r="39" spans="1:15" x14ac:dyDescent="0.2">
      <c r="A39" s="9">
        <v>12</v>
      </c>
      <c r="B39" s="10" t="s">
        <v>44</v>
      </c>
      <c r="C39" s="10" t="s">
        <v>45</v>
      </c>
      <c r="D39" s="10" t="s">
        <v>27</v>
      </c>
      <c r="E39" s="11">
        <v>250</v>
      </c>
      <c r="F39" s="12">
        <v>2543.9274999999998</v>
      </c>
      <c r="G39" s="13">
        <v>2.303908E-2</v>
      </c>
      <c r="H39" s="72">
        <v>6.1950000000000003</v>
      </c>
    </row>
    <row r="40" spans="1:15" ht="25.5" x14ac:dyDescent="0.2">
      <c r="A40" s="9">
        <v>13</v>
      </c>
      <c r="B40" s="10" t="s">
        <v>46</v>
      </c>
      <c r="C40" s="10" t="s">
        <v>47</v>
      </c>
      <c r="D40" s="10" t="s">
        <v>27</v>
      </c>
      <c r="E40" s="11">
        <v>250</v>
      </c>
      <c r="F40" s="12">
        <v>2543.4699999999998</v>
      </c>
      <c r="G40" s="13">
        <v>2.3034936999999998E-2</v>
      </c>
      <c r="H40" s="72">
        <v>6.64</v>
      </c>
    </row>
    <row r="41" spans="1:15" ht="25.5" x14ac:dyDescent="0.2">
      <c r="A41" s="9">
        <v>14</v>
      </c>
      <c r="B41" s="10" t="s">
        <v>48</v>
      </c>
      <c r="C41" s="10" t="s">
        <v>49</v>
      </c>
      <c r="D41" s="10" t="s">
        <v>27</v>
      </c>
      <c r="E41" s="11">
        <v>250</v>
      </c>
      <c r="F41" s="12">
        <v>2543.21</v>
      </c>
      <c r="G41" s="13">
        <v>2.3032581999999999E-2</v>
      </c>
      <c r="H41" s="72">
        <v>6.46</v>
      </c>
    </row>
    <row r="42" spans="1:15" x14ac:dyDescent="0.2">
      <c r="A42" s="9">
        <v>15</v>
      </c>
      <c r="B42" s="10" t="s">
        <v>50</v>
      </c>
      <c r="C42" s="10" t="s">
        <v>51</v>
      </c>
      <c r="D42" s="10" t="s">
        <v>27</v>
      </c>
      <c r="E42" s="11">
        <v>250</v>
      </c>
      <c r="F42" s="12">
        <v>2530.46</v>
      </c>
      <c r="G42" s="13">
        <v>2.2917112E-2</v>
      </c>
      <c r="H42" s="72">
        <v>6.5149999999999997</v>
      </c>
    </row>
    <row r="43" spans="1:15" ht="25.5" x14ac:dyDescent="0.2">
      <c r="A43" s="9">
        <v>16</v>
      </c>
      <c r="B43" s="10" t="s">
        <v>52</v>
      </c>
      <c r="C43" s="10" t="s">
        <v>53</v>
      </c>
      <c r="D43" s="10" t="s">
        <v>27</v>
      </c>
      <c r="E43" s="11">
        <v>250</v>
      </c>
      <c r="F43" s="12">
        <v>2511.165</v>
      </c>
      <c r="G43" s="13">
        <v>2.2742366E-2</v>
      </c>
      <c r="H43" s="72">
        <v>6.3849999999999998</v>
      </c>
    </row>
    <row r="44" spans="1:15" ht="25.5" x14ac:dyDescent="0.2">
      <c r="A44" s="9">
        <v>17</v>
      </c>
      <c r="B44" s="10" t="s">
        <v>54</v>
      </c>
      <c r="C44" s="10" t="s">
        <v>55</v>
      </c>
      <c r="D44" s="10" t="s">
        <v>27</v>
      </c>
      <c r="E44" s="11">
        <v>250</v>
      </c>
      <c r="F44" s="12">
        <v>2508.7874999999999</v>
      </c>
      <c r="G44" s="13">
        <v>2.2720835000000002E-2</v>
      </c>
      <c r="H44" s="72">
        <v>6.37</v>
      </c>
    </row>
    <row r="45" spans="1:15" x14ac:dyDescent="0.2">
      <c r="A45" s="9">
        <v>18</v>
      </c>
      <c r="B45" s="10" t="s">
        <v>56</v>
      </c>
      <c r="C45" s="10" t="s">
        <v>57</v>
      </c>
      <c r="D45" s="10" t="s">
        <v>27</v>
      </c>
      <c r="E45" s="11">
        <v>250</v>
      </c>
      <c r="F45" s="12">
        <v>2473.2874999999999</v>
      </c>
      <c r="G45" s="13">
        <v>2.2399328999999999E-2</v>
      </c>
      <c r="H45" s="72">
        <v>6.6349999999999998</v>
      </c>
    </row>
    <row r="46" spans="1:15" ht="25.5" x14ac:dyDescent="0.2">
      <c r="A46" s="9">
        <v>19</v>
      </c>
      <c r="B46" s="10" t="s">
        <v>58</v>
      </c>
      <c r="C46" s="10" t="s">
        <v>59</v>
      </c>
      <c r="D46" s="10" t="s">
        <v>27</v>
      </c>
      <c r="E46" s="11">
        <v>200</v>
      </c>
      <c r="F46" s="12">
        <v>2038.03</v>
      </c>
      <c r="G46" s="13">
        <v>1.8457418999999999E-2</v>
      </c>
      <c r="H46" s="72">
        <v>6.13</v>
      </c>
    </row>
    <row r="47" spans="1:15" ht="25.5" x14ac:dyDescent="0.2">
      <c r="A47" s="9">
        <v>20</v>
      </c>
      <c r="B47" s="10" t="s">
        <v>60</v>
      </c>
      <c r="C47" s="10" t="s">
        <v>61</v>
      </c>
      <c r="D47" s="10" t="s">
        <v>27</v>
      </c>
      <c r="E47" s="11">
        <v>200</v>
      </c>
      <c r="F47" s="12">
        <v>1998.9359999999999</v>
      </c>
      <c r="G47" s="13">
        <v>1.8103364E-2</v>
      </c>
      <c r="H47" s="72">
        <v>6.4</v>
      </c>
    </row>
    <row r="48" spans="1:15" ht="25.5" x14ac:dyDescent="0.2">
      <c r="A48" s="9">
        <v>21</v>
      </c>
      <c r="B48" s="10" t="s">
        <v>62</v>
      </c>
      <c r="C48" s="10" t="s">
        <v>63</v>
      </c>
      <c r="D48" s="10" t="s">
        <v>27</v>
      </c>
      <c r="E48" s="11">
        <v>200</v>
      </c>
      <c r="F48" s="12">
        <v>1997.818</v>
      </c>
      <c r="G48" s="13">
        <v>1.8093239000000001E-2</v>
      </c>
      <c r="H48" s="72">
        <v>6.3</v>
      </c>
    </row>
    <row r="49" spans="1:8" ht="25.5" x14ac:dyDescent="0.2">
      <c r="A49" s="9">
        <v>22</v>
      </c>
      <c r="B49" s="10" t="s">
        <v>64</v>
      </c>
      <c r="C49" s="10" t="s">
        <v>65</v>
      </c>
      <c r="D49" s="10" t="s">
        <v>27</v>
      </c>
      <c r="E49" s="11">
        <v>150</v>
      </c>
      <c r="F49" s="12">
        <v>1528.2795000000001</v>
      </c>
      <c r="G49" s="13">
        <v>1.3840864E-2</v>
      </c>
      <c r="H49" s="72">
        <v>6.17</v>
      </c>
    </row>
    <row r="50" spans="1:8" ht="25.5" x14ac:dyDescent="0.2">
      <c r="A50" s="9">
        <v>23</v>
      </c>
      <c r="B50" s="10" t="s">
        <v>66</v>
      </c>
      <c r="C50" s="10" t="s">
        <v>67</v>
      </c>
      <c r="D50" s="10" t="s">
        <v>27</v>
      </c>
      <c r="E50" s="11">
        <v>150</v>
      </c>
      <c r="F50" s="12">
        <v>1524.9165</v>
      </c>
      <c r="G50" s="13">
        <v>1.3810407E-2</v>
      </c>
      <c r="H50" s="72">
        <v>6.15</v>
      </c>
    </row>
    <row r="51" spans="1:8" ht="25.5" x14ac:dyDescent="0.2">
      <c r="A51" s="9">
        <v>24</v>
      </c>
      <c r="B51" s="10" t="s">
        <v>68</v>
      </c>
      <c r="C51" s="10" t="s">
        <v>69</v>
      </c>
      <c r="D51" s="10" t="s">
        <v>27</v>
      </c>
      <c r="E51" s="11">
        <v>150</v>
      </c>
      <c r="F51" s="12">
        <v>1521.9945</v>
      </c>
      <c r="G51" s="13">
        <v>1.3783943999999999E-2</v>
      </c>
      <c r="H51" s="72">
        <v>6.3049999999999997</v>
      </c>
    </row>
    <row r="52" spans="1:8" ht="25.5" x14ac:dyDescent="0.2">
      <c r="A52" s="9">
        <v>25</v>
      </c>
      <c r="B52" s="10" t="s">
        <v>70</v>
      </c>
      <c r="C52" s="10" t="s">
        <v>71</v>
      </c>
      <c r="D52" s="10" t="s">
        <v>27</v>
      </c>
      <c r="E52" s="11">
        <v>140</v>
      </c>
      <c r="F52" s="12">
        <v>1402.2316000000001</v>
      </c>
      <c r="G52" s="13">
        <v>1.2699311E-2</v>
      </c>
      <c r="H52" s="72">
        <v>6.3049999999999997</v>
      </c>
    </row>
    <row r="53" spans="1:8" ht="25.5" x14ac:dyDescent="0.2">
      <c r="A53" s="9">
        <v>26</v>
      </c>
      <c r="B53" s="10" t="s">
        <v>72</v>
      </c>
      <c r="C53" s="10" t="s">
        <v>73</v>
      </c>
      <c r="D53" s="10" t="s">
        <v>27</v>
      </c>
      <c r="E53" s="11">
        <v>100</v>
      </c>
      <c r="F53" s="12">
        <v>1033.2370000000001</v>
      </c>
      <c r="G53" s="13">
        <v>9.3575110000000006E-3</v>
      </c>
      <c r="H53" s="72">
        <v>6.4</v>
      </c>
    </row>
    <row r="54" spans="1:8" ht="25.5" x14ac:dyDescent="0.2">
      <c r="A54" s="9">
        <v>27</v>
      </c>
      <c r="B54" s="10" t="s">
        <v>74</v>
      </c>
      <c r="C54" s="10" t="s">
        <v>75</v>
      </c>
      <c r="D54" s="10" t="s">
        <v>27</v>
      </c>
      <c r="E54" s="11">
        <v>80</v>
      </c>
      <c r="F54" s="12">
        <v>1022.605</v>
      </c>
      <c r="G54" s="13">
        <v>9.2612219999999995E-3</v>
      </c>
      <c r="H54" s="72">
        <v>6.4249999999999998</v>
      </c>
    </row>
    <row r="55" spans="1:8" x14ac:dyDescent="0.2">
      <c r="A55" s="9">
        <v>28</v>
      </c>
      <c r="B55" s="10" t="s">
        <v>76</v>
      </c>
      <c r="C55" s="10" t="s">
        <v>77</v>
      </c>
      <c r="D55" s="10" t="s">
        <v>78</v>
      </c>
      <c r="E55" s="11">
        <v>1000</v>
      </c>
      <c r="F55" s="12">
        <v>1021.546</v>
      </c>
      <c r="G55" s="13">
        <v>9.2516319999999992E-3</v>
      </c>
      <c r="H55" s="72">
        <v>6.415</v>
      </c>
    </row>
    <row r="56" spans="1:8" ht="25.5" x14ac:dyDescent="0.2">
      <c r="A56" s="9">
        <v>29</v>
      </c>
      <c r="B56" s="10" t="s">
        <v>79</v>
      </c>
      <c r="C56" s="10" t="s">
        <v>80</v>
      </c>
      <c r="D56" s="10" t="s">
        <v>27</v>
      </c>
      <c r="E56" s="11">
        <v>100</v>
      </c>
      <c r="F56" s="12">
        <v>1019.914</v>
      </c>
      <c r="G56" s="13">
        <v>9.2368510000000008E-3</v>
      </c>
      <c r="H56" s="72">
        <v>6.2350000000000003</v>
      </c>
    </row>
    <row r="57" spans="1:8" ht="25.5" x14ac:dyDescent="0.2">
      <c r="A57" s="9">
        <v>30</v>
      </c>
      <c r="B57" s="10" t="s">
        <v>81</v>
      </c>
      <c r="C57" s="10" t="s">
        <v>82</v>
      </c>
      <c r="D57" s="10" t="s">
        <v>27</v>
      </c>
      <c r="E57" s="11">
        <v>100</v>
      </c>
      <c r="F57" s="12">
        <v>1019.155</v>
      </c>
      <c r="G57" s="13">
        <v>9.2299779999999998E-3</v>
      </c>
      <c r="H57" s="72">
        <v>6.2549999999999999</v>
      </c>
    </row>
    <row r="58" spans="1:8" ht="25.5" x14ac:dyDescent="0.2">
      <c r="A58" s="9">
        <v>31</v>
      </c>
      <c r="B58" s="10" t="s">
        <v>83</v>
      </c>
      <c r="C58" s="10" t="s">
        <v>84</v>
      </c>
      <c r="D58" s="10" t="s">
        <v>27</v>
      </c>
      <c r="E58" s="11">
        <v>100</v>
      </c>
      <c r="F58" s="12">
        <v>1018.203</v>
      </c>
      <c r="G58" s="13">
        <v>9.221356E-3</v>
      </c>
      <c r="H58" s="72">
        <v>6.2050000000000001</v>
      </c>
    </row>
    <row r="59" spans="1:8" x14ac:dyDescent="0.2">
      <c r="A59" s="9">
        <v>32</v>
      </c>
      <c r="B59" s="10" t="s">
        <v>85</v>
      </c>
      <c r="C59" s="10" t="s">
        <v>86</v>
      </c>
      <c r="D59" s="10" t="s">
        <v>27</v>
      </c>
      <c r="E59" s="11">
        <v>100</v>
      </c>
      <c r="F59" s="12">
        <v>1012.7</v>
      </c>
      <c r="G59" s="13">
        <v>9.171518E-3</v>
      </c>
      <c r="H59" s="72">
        <v>6.7</v>
      </c>
    </row>
    <row r="60" spans="1:8" x14ac:dyDescent="0.2">
      <c r="A60" s="9">
        <v>33</v>
      </c>
      <c r="B60" s="10" t="s">
        <v>87</v>
      </c>
      <c r="C60" s="10" t="s">
        <v>88</v>
      </c>
      <c r="D60" s="10" t="s">
        <v>27</v>
      </c>
      <c r="E60" s="11">
        <v>101</v>
      </c>
      <c r="F60" s="12">
        <v>1011.6614499999999</v>
      </c>
      <c r="G60" s="13">
        <v>9.162112E-3</v>
      </c>
      <c r="H60" s="72">
        <v>6.3</v>
      </c>
    </row>
    <row r="61" spans="1:8" ht="25.5" x14ac:dyDescent="0.2">
      <c r="A61" s="9">
        <v>34</v>
      </c>
      <c r="B61" s="10" t="s">
        <v>89</v>
      </c>
      <c r="C61" s="10" t="s">
        <v>90</v>
      </c>
      <c r="D61" s="10" t="s">
        <v>27</v>
      </c>
      <c r="E61" s="11">
        <v>40</v>
      </c>
      <c r="F61" s="12">
        <v>519.66999999999996</v>
      </c>
      <c r="G61" s="13">
        <v>4.7063909999999999E-3</v>
      </c>
      <c r="H61" s="72">
        <v>6.4850000000000003</v>
      </c>
    </row>
    <row r="62" spans="1:8" ht="25.5" x14ac:dyDescent="0.2">
      <c r="A62" s="9">
        <v>35</v>
      </c>
      <c r="B62" s="10" t="s">
        <v>91</v>
      </c>
      <c r="C62" s="10" t="s">
        <v>92</v>
      </c>
      <c r="D62" s="10" t="s">
        <v>27</v>
      </c>
      <c r="E62" s="11">
        <v>40</v>
      </c>
      <c r="F62" s="12">
        <v>512.80250000000001</v>
      </c>
      <c r="G62" s="13">
        <v>4.6441959999999997E-3</v>
      </c>
      <c r="H62" s="72">
        <v>6.13</v>
      </c>
    </row>
    <row r="63" spans="1:8" ht="25.5" x14ac:dyDescent="0.2">
      <c r="A63" s="9">
        <v>36</v>
      </c>
      <c r="B63" s="10" t="s">
        <v>93</v>
      </c>
      <c r="C63" s="10" t="s">
        <v>94</v>
      </c>
      <c r="D63" s="10" t="s">
        <v>27</v>
      </c>
      <c r="E63" s="11">
        <v>50</v>
      </c>
      <c r="F63" s="12">
        <v>509.69299999999998</v>
      </c>
      <c r="G63" s="13">
        <v>4.6160350000000001E-3</v>
      </c>
      <c r="H63" s="72">
        <v>6.3049999999999997</v>
      </c>
    </row>
    <row r="64" spans="1:8" ht="25.5" x14ac:dyDescent="0.2">
      <c r="A64" s="9">
        <v>37</v>
      </c>
      <c r="B64" s="10" t="s">
        <v>95</v>
      </c>
      <c r="C64" s="10" t="s">
        <v>96</v>
      </c>
      <c r="D64" s="10" t="s">
        <v>22</v>
      </c>
      <c r="E64" s="11">
        <v>50</v>
      </c>
      <c r="F64" s="12">
        <v>501.25</v>
      </c>
      <c r="G64" s="13">
        <v>4.5395710000000001E-3</v>
      </c>
      <c r="H64" s="72">
        <v>6.36</v>
      </c>
    </row>
    <row r="65" spans="1:8" x14ac:dyDescent="0.2">
      <c r="A65" s="1"/>
      <c r="B65" s="1"/>
      <c r="C65" s="2" t="s">
        <v>11</v>
      </c>
      <c r="D65" s="1"/>
      <c r="E65" s="1" t="s">
        <v>12</v>
      </c>
      <c r="F65" s="7">
        <v>81511.418049999993</v>
      </c>
      <c r="G65" s="8">
        <v>0.73820817800000005</v>
      </c>
      <c r="H65" s="72"/>
    </row>
    <row r="66" spans="1:8" x14ac:dyDescent="0.2">
      <c r="A66" s="1"/>
      <c r="B66" s="1"/>
      <c r="C66" s="5"/>
      <c r="D66" s="1"/>
      <c r="E66" s="1"/>
      <c r="F66" s="6"/>
      <c r="G66" s="6"/>
      <c r="H66" s="72"/>
    </row>
    <row r="67" spans="1:8" x14ac:dyDescent="0.2">
      <c r="A67" s="1"/>
      <c r="B67" s="1"/>
      <c r="C67" s="2" t="s">
        <v>97</v>
      </c>
      <c r="D67" s="1"/>
      <c r="E67" s="1"/>
      <c r="F67" s="1"/>
      <c r="G67" s="1"/>
      <c r="H67" s="72"/>
    </row>
    <row r="68" spans="1:8" x14ac:dyDescent="0.2">
      <c r="A68" s="1"/>
      <c r="B68" s="1"/>
      <c r="C68" s="2" t="s">
        <v>11</v>
      </c>
      <c r="D68" s="1"/>
      <c r="E68" s="1" t="s">
        <v>12</v>
      </c>
      <c r="F68" s="3">
        <v>0</v>
      </c>
      <c r="G68" s="4">
        <v>0</v>
      </c>
      <c r="H68" s="72"/>
    </row>
    <row r="69" spans="1:8" x14ac:dyDescent="0.2">
      <c r="A69" s="1"/>
      <c r="B69" s="1"/>
      <c r="C69" s="5"/>
      <c r="D69" s="1"/>
      <c r="E69" s="1"/>
      <c r="F69" s="6"/>
      <c r="G69" s="6"/>
      <c r="H69" s="72"/>
    </row>
    <row r="70" spans="1:8" x14ac:dyDescent="0.2">
      <c r="A70" s="1"/>
      <c r="B70" s="1"/>
      <c r="C70" s="2" t="s">
        <v>98</v>
      </c>
      <c r="D70" s="1"/>
      <c r="E70" s="1"/>
      <c r="F70" s="1"/>
      <c r="G70" s="1"/>
      <c r="H70" s="72"/>
    </row>
    <row r="71" spans="1:8" ht="25.5" x14ac:dyDescent="0.2">
      <c r="A71" s="9">
        <v>1</v>
      </c>
      <c r="B71" s="10" t="s">
        <v>99</v>
      </c>
      <c r="C71" s="10" t="s">
        <v>100</v>
      </c>
      <c r="D71" s="10" t="s">
        <v>101</v>
      </c>
      <c r="E71" s="11">
        <v>5000000</v>
      </c>
      <c r="F71" s="12">
        <v>5100.29</v>
      </c>
      <c r="G71" s="13">
        <v>4.6190778000000002E-2</v>
      </c>
      <c r="H71" s="72">
        <v>6.5675999999999997</v>
      </c>
    </row>
    <row r="72" spans="1:8" ht="25.5" x14ac:dyDescent="0.2">
      <c r="A72" s="9">
        <v>2</v>
      </c>
      <c r="B72" s="10" t="s">
        <v>102</v>
      </c>
      <c r="C72" s="10" t="s">
        <v>103</v>
      </c>
      <c r="D72" s="10" t="s">
        <v>101</v>
      </c>
      <c r="E72" s="11">
        <v>2500000</v>
      </c>
      <c r="F72" s="12">
        <v>2581.0875000000001</v>
      </c>
      <c r="G72" s="13">
        <v>2.337562E-2</v>
      </c>
      <c r="H72" s="72">
        <v>6.6950000000000003</v>
      </c>
    </row>
    <row r="73" spans="1:8" ht="25.5" x14ac:dyDescent="0.2">
      <c r="A73" s="9">
        <v>3</v>
      </c>
      <c r="B73" s="10" t="s">
        <v>104</v>
      </c>
      <c r="C73" s="10" t="s">
        <v>105</v>
      </c>
      <c r="D73" s="10" t="s">
        <v>101</v>
      </c>
      <c r="E73" s="11">
        <v>1000000</v>
      </c>
      <c r="F73" s="12">
        <v>1014.616</v>
      </c>
      <c r="G73" s="13">
        <v>9.18887E-3</v>
      </c>
      <c r="H73" s="72">
        <v>6.5286</v>
      </c>
    </row>
    <row r="74" spans="1:8" ht="25.5" x14ac:dyDescent="0.2">
      <c r="A74" s="9">
        <v>4</v>
      </c>
      <c r="B74" s="10" t="s">
        <v>106</v>
      </c>
      <c r="C74" s="10" t="s">
        <v>107</v>
      </c>
      <c r="D74" s="10" t="s">
        <v>101</v>
      </c>
      <c r="E74" s="11">
        <v>500000</v>
      </c>
      <c r="F74" s="12">
        <v>516.83500000000004</v>
      </c>
      <c r="G74" s="13">
        <v>4.6807159999999997E-3</v>
      </c>
      <c r="H74" s="72">
        <v>6.625</v>
      </c>
    </row>
    <row r="75" spans="1:8" x14ac:dyDescent="0.2">
      <c r="A75" s="1"/>
      <c r="B75" s="1"/>
      <c r="C75" s="2" t="s">
        <v>11</v>
      </c>
      <c r="D75" s="1"/>
      <c r="E75" s="1" t="s">
        <v>12</v>
      </c>
      <c r="F75" s="7">
        <v>9212.8284999999996</v>
      </c>
      <c r="G75" s="8">
        <v>8.3435984000000005E-2</v>
      </c>
      <c r="H75" s="72"/>
    </row>
    <row r="76" spans="1:8" x14ac:dyDescent="0.2">
      <c r="A76" s="1"/>
      <c r="B76" s="1"/>
      <c r="C76" s="5"/>
      <c r="D76" s="1"/>
      <c r="E76" s="1"/>
      <c r="F76" s="6"/>
      <c r="G76" s="6"/>
      <c r="H76" s="72"/>
    </row>
    <row r="77" spans="1:8" x14ac:dyDescent="0.2">
      <c r="A77" s="1"/>
      <c r="B77" s="1"/>
      <c r="C77" s="2" t="s">
        <v>108</v>
      </c>
      <c r="D77" s="1"/>
      <c r="E77" s="1"/>
      <c r="F77" s="6"/>
      <c r="G77" s="6"/>
      <c r="H77" s="72"/>
    </row>
    <row r="78" spans="1:8" x14ac:dyDescent="0.2">
      <c r="A78" s="1"/>
      <c r="B78" s="1"/>
      <c r="C78" s="2" t="s">
        <v>11</v>
      </c>
      <c r="D78" s="1"/>
      <c r="E78" s="1" t="s">
        <v>12</v>
      </c>
      <c r="F78" s="3">
        <v>0</v>
      </c>
      <c r="G78" s="4">
        <v>0</v>
      </c>
      <c r="H78" s="72"/>
    </row>
    <row r="79" spans="1:8" x14ac:dyDescent="0.2">
      <c r="A79" s="1"/>
      <c r="B79" s="1"/>
      <c r="C79" s="5"/>
      <c r="D79" s="1"/>
      <c r="E79" s="1"/>
      <c r="F79" s="6"/>
      <c r="G79" s="6"/>
      <c r="H79" s="72"/>
    </row>
    <row r="80" spans="1:8" x14ac:dyDescent="0.2">
      <c r="A80" s="1"/>
      <c r="B80" s="1"/>
      <c r="C80" s="2" t="s">
        <v>109</v>
      </c>
      <c r="D80" s="1"/>
      <c r="E80" s="1"/>
      <c r="F80" s="7">
        <v>90724.246549999996</v>
      </c>
      <c r="G80" s="8">
        <v>0.82164416200000001</v>
      </c>
      <c r="H80" s="72"/>
    </row>
    <row r="81" spans="1:8" x14ac:dyDescent="0.2">
      <c r="A81" s="1"/>
      <c r="B81" s="1"/>
      <c r="C81" s="5"/>
      <c r="D81" s="1"/>
      <c r="E81" s="1"/>
      <c r="F81" s="6"/>
      <c r="G81" s="6"/>
      <c r="H81" s="72"/>
    </row>
    <row r="82" spans="1:8" x14ac:dyDescent="0.2">
      <c r="A82" s="1"/>
      <c r="B82" s="1"/>
      <c r="C82" s="2" t="s">
        <v>110</v>
      </c>
      <c r="D82" s="1"/>
      <c r="E82" s="1"/>
      <c r="F82" s="6"/>
      <c r="G82" s="6"/>
      <c r="H82" s="72"/>
    </row>
    <row r="83" spans="1:8" x14ac:dyDescent="0.2">
      <c r="A83" s="1"/>
      <c r="B83" s="1"/>
      <c r="C83" s="2" t="s">
        <v>111</v>
      </c>
      <c r="D83" s="1"/>
      <c r="E83" s="1"/>
      <c r="F83" s="6"/>
      <c r="G83" s="6"/>
      <c r="H83" s="72"/>
    </row>
    <row r="84" spans="1:8" x14ac:dyDescent="0.2">
      <c r="A84" s="9">
        <v>1</v>
      </c>
      <c r="B84" s="10" t="s">
        <v>112</v>
      </c>
      <c r="C84" s="10" t="s">
        <v>113</v>
      </c>
      <c r="D84" s="10" t="s">
        <v>114</v>
      </c>
      <c r="E84" s="11">
        <v>1000</v>
      </c>
      <c r="F84" s="12">
        <v>4779.93</v>
      </c>
      <c r="G84" s="13">
        <v>4.3289437E-2</v>
      </c>
      <c r="H84" s="72">
        <v>6.0449999999999999</v>
      </c>
    </row>
    <row r="85" spans="1:8" ht="25.5" x14ac:dyDescent="0.2">
      <c r="A85" s="9">
        <v>2</v>
      </c>
      <c r="B85" s="10" t="s">
        <v>115</v>
      </c>
      <c r="C85" s="10" t="s">
        <v>116</v>
      </c>
      <c r="D85" s="10" t="s">
        <v>117</v>
      </c>
      <c r="E85" s="11">
        <v>1000</v>
      </c>
      <c r="F85" s="12">
        <v>4707.3999999999996</v>
      </c>
      <c r="G85" s="13">
        <v>4.2632569000000002E-2</v>
      </c>
      <c r="H85" s="72">
        <v>6.25</v>
      </c>
    </row>
    <row r="86" spans="1:8" x14ac:dyDescent="0.2">
      <c r="A86" s="9">
        <v>3</v>
      </c>
      <c r="B86" s="10" t="s">
        <v>118</v>
      </c>
      <c r="C86" s="10" t="s">
        <v>119</v>
      </c>
      <c r="D86" s="10" t="s">
        <v>117</v>
      </c>
      <c r="E86" s="11">
        <v>500</v>
      </c>
      <c r="F86" s="12">
        <v>2471.9850000000001</v>
      </c>
      <c r="G86" s="13">
        <v>2.2387533000000001E-2</v>
      </c>
      <c r="H86" s="72">
        <v>5.0448000000000004</v>
      </c>
    </row>
    <row r="87" spans="1:8" x14ac:dyDescent="0.2">
      <c r="A87" s="1"/>
      <c r="B87" s="1"/>
      <c r="C87" s="2" t="s">
        <v>11</v>
      </c>
      <c r="D87" s="1"/>
      <c r="E87" s="1" t="s">
        <v>12</v>
      </c>
      <c r="F87" s="7">
        <v>11959.315000000001</v>
      </c>
      <c r="G87" s="8">
        <v>0.108309539</v>
      </c>
      <c r="H87" s="72"/>
    </row>
    <row r="88" spans="1:8" x14ac:dyDescent="0.2">
      <c r="A88" s="1"/>
      <c r="B88" s="1"/>
      <c r="C88" s="5"/>
      <c r="D88" s="1"/>
      <c r="E88" s="1"/>
      <c r="F88" s="6"/>
      <c r="G88" s="6"/>
      <c r="H88" s="72"/>
    </row>
    <row r="89" spans="1:8" x14ac:dyDescent="0.2">
      <c r="A89" s="1"/>
      <c r="B89" s="1"/>
      <c r="C89" s="2" t="s">
        <v>120</v>
      </c>
      <c r="D89" s="1"/>
      <c r="E89" s="1"/>
      <c r="F89" s="6"/>
      <c r="G89" s="6"/>
      <c r="H89" s="72"/>
    </row>
    <row r="90" spans="1:8" ht="25.5" x14ac:dyDescent="0.2">
      <c r="A90" s="9">
        <v>1</v>
      </c>
      <c r="B90" s="10" t="s">
        <v>121</v>
      </c>
      <c r="C90" s="10" t="s">
        <v>122</v>
      </c>
      <c r="D90" s="10" t="s">
        <v>117</v>
      </c>
      <c r="E90" s="11">
        <v>300</v>
      </c>
      <c r="F90" s="12">
        <v>1412.7584999999999</v>
      </c>
      <c r="G90" s="13">
        <v>1.2794648E-2</v>
      </c>
      <c r="H90" s="72">
        <v>6.44</v>
      </c>
    </row>
    <row r="91" spans="1:8" x14ac:dyDescent="0.2">
      <c r="A91" s="1"/>
      <c r="B91" s="1"/>
      <c r="C91" s="2" t="s">
        <v>11</v>
      </c>
      <c r="D91" s="1"/>
      <c r="E91" s="1" t="s">
        <v>12</v>
      </c>
      <c r="F91" s="7">
        <v>1412.7584999999999</v>
      </c>
      <c r="G91" s="8">
        <v>1.2794648E-2</v>
      </c>
      <c r="H91" s="72"/>
    </row>
    <row r="92" spans="1:8" x14ac:dyDescent="0.2">
      <c r="A92" s="1"/>
      <c r="B92" s="1"/>
      <c r="C92" s="5"/>
      <c r="D92" s="1"/>
      <c r="E92" s="1"/>
      <c r="F92" s="6"/>
      <c r="G92" s="6"/>
      <c r="H92" s="72"/>
    </row>
    <row r="93" spans="1:8" x14ac:dyDescent="0.2">
      <c r="A93" s="1"/>
      <c r="B93" s="1"/>
      <c r="C93" s="2" t="s">
        <v>123</v>
      </c>
      <c r="D93" s="1"/>
      <c r="E93" s="1"/>
      <c r="F93" s="6"/>
      <c r="G93" s="6"/>
      <c r="H93" s="72"/>
    </row>
    <row r="94" spans="1:8" x14ac:dyDescent="0.2">
      <c r="A94" s="1"/>
      <c r="B94" s="1"/>
      <c r="C94" s="2" t="s">
        <v>11</v>
      </c>
      <c r="D94" s="1"/>
      <c r="E94" s="1" t="s">
        <v>12</v>
      </c>
      <c r="F94" s="3">
        <v>0</v>
      </c>
      <c r="G94" s="4">
        <v>0</v>
      </c>
      <c r="H94" s="72"/>
    </row>
    <row r="95" spans="1:8" x14ac:dyDescent="0.2">
      <c r="A95" s="1"/>
      <c r="B95" s="1"/>
      <c r="C95" s="5"/>
      <c r="D95" s="1"/>
      <c r="E95" s="1"/>
      <c r="F95" s="6"/>
      <c r="G95" s="6"/>
      <c r="H95" s="72"/>
    </row>
    <row r="96" spans="1:8" x14ac:dyDescent="0.2">
      <c r="A96" s="1"/>
      <c r="B96" s="1"/>
      <c r="C96" s="2" t="s">
        <v>124</v>
      </c>
      <c r="D96" s="1"/>
      <c r="E96" s="1"/>
      <c r="F96" s="6"/>
      <c r="G96" s="6"/>
      <c r="H96" s="72"/>
    </row>
    <row r="97" spans="1:8" x14ac:dyDescent="0.2">
      <c r="A97" s="9">
        <v>1</v>
      </c>
      <c r="B97" s="10"/>
      <c r="C97" s="10" t="s">
        <v>125</v>
      </c>
      <c r="D97" s="10"/>
      <c r="E97" s="14"/>
      <c r="F97" s="12">
        <v>3937.3167337999998</v>
      </c>
      <c r="G97" s="13">
        <v>3.5658309999999999E-2</v>
      </c>
      <c r="H97" s="72">
        <v>4.1713246754849944</v>
      </c>
    </row>
    <row r="98" spans="1:8" x14ac:dyDescent="0.2">
      <c r="A98" s="1"/>
      <c r="B98" s="1"/>
      <c r="C98" s="2" t="s">
        <v>11</v>
      </c>
      <c r="D98" s="1"/>
      <c r="E98" s="1" t="s">
        <v>12</v>
      </c>
      <c r="F98" s="7">
        <v>3937.3167337999998</v>
      </c>
      <c r="G98" s="8">
        <v>3.5658309999999999E-2</v>
      </c>
      <c r="H98" s="72"/>
    </row>
    <row r="99" spans="1:8" x14ac:dyDescent="0.2">
      <c r="A99" s="1"/>
      <c r="B99" s="1"/>
      <c r="C99" s="5"/>
      <c r="D99" s="1"/>
      <c r="E99" s="1"/>
      <c r="F99" s="6"/>
      <c r="G99" s="6"/>
      <c r="H99" s="72"/>
    </row>
    <row r="100" spans="1:8" x14ac:dyDescent="0.2">
      <c r="A100" s="1"/>
      <c r="B100" s="1"/>
      <c r="C100" s="2" t="s">
        <v>126</v>
      </c>
      <c r="D100" s="1"/>
      <c r="E100" s="1"/>
      <c r="F100" s="7">
        <v>17309.390233800001</v>
      </c>
      <c r="G100" s="8">
        <v>0.156762497</v>
      </c>
      <c r="H100" s="72"/>
    </row>
    <row r="101" spans="1:8" x14ac:dyDescent="0.2">
      <c r="A101" s="1"/>
      <c r="B101" s="1"/>
      <c r="C101" s="6"/>
      <c r="D101" s="1"/>
      <c r="E101" s="1"/>
      <c r="F101" s="1"/>
      <c r="G101" s="1"/>
      <c r="H101" s="72"/>
    </row>
    <row r="102" spans="1:8" x14ac:dyDescent="0.2">
      <c r="A102" s="1"/>
      <c r="B102" s="1"/>
      <c r="C102" s="2" t="s">
        <v>127</v>
      </c>
      <c r="D102" s="1"/>
      <c r="E102" s="1"/>
      <c r="F102" s="1"/>
      <c r="G102" s="1"/>
      <c r="H102" s="72"/>
    </row>
    <row r="103" spans="1:8" x14ac:dyDescent="0.2">
      <c r="A103" s="1"/>
      <c r="B103" s="1"/>
      <c r="C103" s="2" t="s">
        <v>128</v>
      </c>
      <c r="D103" s="1"/>
      <c r="E103" s="1"/>
      <c r="F103" s="1"/>
      <c r="G103" s="1"/>
      <c r="H103" s="72"/>
    </row>
    <row r="104" spans="1:8" x14ac:dyDescent="0.2">
      <c r="A104" s="1"/>
      <c r="B104" s="1"/>
      <c r="C104" s="2" t="s">
        <v>11</v>
      </c>
      <c r="D104" s="1"/>
      <c r="E104" s="1" t="s">
        <v>12</v>
      </c>
      <c r="F104" s="3">
        <v>0</v>
      </c>
      <c r="G104" s="4">
        <v>0</v>
      </c>
      <c r="H104" s="72"/>
    </row>
    <row r="105" spans="1:8" x14ac:dyDescent="0.2">
      <c r="A105" s="1"/>
      <c r="B105" s="1"/>
      <c r="C105" s="5"/>
      <c r="D105" s="1"/>
      <c r="E105" s="1"/>
      <c r="F105" s="6"/>
      <c r="G105" s="6"/>
      <c r="H105" s="72"/>
    </row>
    <row r="106" spans="1:8" x14ac:dyDescent="0.2">
      <c r="A106" s="1"/>
      <c r="B106" s="1"/>
      <c r="C106" s="2" t="s">
        <v>129</v>
      </c>
      <c r="D106" s="1"/>
      <c r="E106" s="1"/>
      <c r="F106" s="1"/>
      <c r="G106" s="1"/>
      <c r="H106" s="72"/>
    </row>
    <row r="107" spans="1:8" x14ac:dyDescent="0.2">
      <c r="A107" s="1"/>
      <c r="B107" s="1"/>
      <c r="C107" s="2" t="s">
        <v>130</v>
      </c>
      <c r="D107" s="1"/>
      <c r="E107" s="1"/>
      <c r="F107" s="1"/>
      <c r="G107" s="1"/>
      <c r="H107" s="72"/>
    </row>
    <row r="108" spans="1:8" x14ac:dyDescent="0.2">
      <c r="A108" s="1"/>
      <c r="B108" s="1"/>
      <c r="C108" s="2" t="s">
        <v>11</v>
      </c>
      <c r="D108" s="1"/>
      <c r="E108" s="1" t="s">
        <v>12</v>
      </c>
      <c r="F108" s="3">
        <v>0</v>
      </c>
      <c r="G108" s="4">
        <v>0</v>
      </c>
      <c r="H108" s="72"/>
    </row>
    <row r="109" spans="1:8" x14ac:dyDescent="0.2">
      <c r="A109" s="1"/>
      <c r="B109" s="1"/>
      <c r="C109" s="5"/>
      <c r="D109" s="1"/>
      <c r="E109" s="1"/>
      <c r="F109" s="6"/>
      <c r="G109" s="6"/>
      <c r="H109" s="72"/>
    </row>
    <row r="110" spans="1:8" ht="25.5" x14ac:dyDescent="0.2">
      <c r="A110" s="1"/>
      <c r="B110" s="1"/>
      <c r="C110" s="2" t="s">
        <v>131</v>
      </c>
      <c r="D110" s="1"/>
      <c r="E110" s="1"/>
      <c r="F110" s="6"/>
      <c r="G110" s="6"/>
      <c r="H110" s="72"/>
    </row>
    <row r="111" spans="1:8" x14ac:dyDescent="0.2">
      <c r="A111" s="1"/>
      <c r="B111" s="1"/>
      <c r="C111" s="2" t="s">
        <v>11</v>
      </c>
      <c r="D111" s="1"/>
      <c r="E111" s="1" t="s">
        <v>12</v>
      </c>
      <c r="F111" s="3">
        <v>0</v>
      </c>
      <c r="G111" s="4">
        <v>0</v>
      </c>
      <c r="H111" s="72"/>
    </row>
    <row r="112" spans="1:8" x14ac:dyDescent="0.2">
      <c r="A112" s="1"/>
      <c r="B112" s="1"/>
      <c r="C112" s="5"/>
      <c r="D112" s="1"/>
      <c r="E112" s="1"/>
      <c r="F112" s="6"/>
      <c r="G112" s="6"/>
      <c r="H112" s="72"/>
    </row>
    <row r="113" spans="1:8" x14ac:dyDescent="0.2">
      <c r="A113" s="1"/>
      <c r="B113" s="10"/>
      <c r="C113" s="10"/>
      <c r="D113" s="2"/>
      <c r="E113" s="1"/>
      <c r="F113" s="10"/>
      <c r="G113" s="14"/>
      <c r="H113" s="72"/>
    </row>
    <row r="114" spans="1:8" x14ac:dyDescent="0.2">
      <c r="A114" s="14"/>
      <c r="B114" s="10"/>
      <c r="C114" s="10" t="s">
        <v>132</v>
      </c>
      <c r="D114" s="10"/>
      <c r="E114" s="14"/>
      <c r="F114" s="12">
        <v>2384.2921842000001</v>
      </c>
      <c r="G114" s="13">
        <v>2.1593343000000001E-2</v>
      </c>
      <c r="H114" s="72"/>
    </row>
    <row r="115" spans="1:8" x14ac:dyDescent="0.2">
      <c r="A115" s="5"/>
      <c r="B115" s="5"/>
      <c r="C115" s="2" t="s">
        <v>133</v>
      </c>
      <c r="D115" s="6"/>
      <c r="E115" s="6"/>
      <c r="F115" s="7">
        <v>110417.92896799999</v>
      </c>
      <c r="G115" s="8">
        <v>1.0000000019999999</v>
      </c>
      <c r="H115" s="72"/>
    </row>
    <row r="116" spans="1:8" ht="14.1" customHeight="1" x14ac:dyDescent="0.2">
      <c r="A116" s="15"/>
      <c r="B116" s="15"/>
      <c r="C116" s="15"/>
      <c r="D116" s="16"/>
      <c r="E116" s="16"/>
      <c r="F116" s="16"/>
      <c r="G116" s="16"/>
    </row>
    <row r="117" spans="1:8" ht="17.100000000000001" customHeight="1" x14ac:dyDescent="0.2">
      <c r="A117" s="17"/>
      <c r="B117" s="90" t="s">
        <v>134</v>
      </c>
      <c r="C117" s="90"/>
      <c r="D117" s="90"/>
      <c r="E117" s="90"/>
      <c r="F117" s="90"/>
      <c r="G117" s="19"/>
    </row>
    <row r="118" spans="1:8" ht="17.100000000000001" customHeight="1" x14ac:dyDescent="0.2">
      <c r="A118" s="17"/>
      <c r="B118" s="90" t="s">
        <v>135</v>
      </c>
      <c r="C118" s="90"/>
      <c r="D118" s="90"/>
      <c r="E118" s="90"/>
      <c r="F118" s="90"/>
      <c r="G118" s="19"/>
    </row>
    <row r="119" spans="1:8" ht="14.1" customHeight="1" x14ac:dyDescent="0.2">
      <c r="A119" s="17"/>
      <c r="B119" s="17"/>
      <c r="C119" s="17"/>
      <c r="D119" s="19"/>
      <c r="E119" s="19"/>
      <c r="F119" s="19"/>
      <c r="G119" s="19"/>
    </row>
    <row r="120" spans="1:8" ht="14.1" customHeight="1" x14ac:dyDescent="0.2">
      <c r="A120" s="17"/>
      <c r="B120" s="91" t="s">
        <v>136</v>
      </c>
      <c r="C120" s="92"/>
      <c r="D120" s="93"/>
      <c r="E120" s="20"/>
      <c r="F120" s="19"/>
      <c r="G120" s="19"/>
    </row>
    <row r="121" spans="1:8" ht="29.1" customHeight="1" x14ac:dyDescent="0.2">
      <c r="A121" s="17"/>
      <c r="B121" s="85" t="s">
        <v>137</v>
      </c>
      <c r="C121" s="86"/>
      <c r="D121" s="2" t="s">
        <v>138</v>
      </c>
      <c r="E121" s="20"/>
      <c r="F121" s="19"/>
      <c r="G121" s="19"/>
    </row>
    <row r="122" spans="1:8" ht="17.100000000000001" customHeight="1" x14ac:dyDescent="0.2">
      <c r="A122" s="17"/>
      <c r="B122" s="85" t="s">
        <v>139</v>
      </c>
      <c r="C122" s="86"/>
      <c r="D122" s="2" t="s">
        <v>138</v>
      </c>
      <c r="E122" s="20"/>
      <c r="F122" s="19"/>
      <c r="G122" s="19"/>
    </row>
    <row r="123" spans="1:8" ht="17.100000000000001" customHeight="1" x14ac:dyDescent="0.2">
      <c r="A123" s="17"/>
      <c r="B123" s="85" t="s">
        <v>140</v>
      </c>
      <c r="C123" s="86"/>
      <c r="D123" s="6" t="s">
        <v>12</v>
      </c>
      <c r="E123" s="20"/>
      <c r="F123" s="19"/>
      <c r="G123" s="19"/>
    </row>
    <row r="124" spans="1:8" ht="24" customHeight="1" x14ac:dyDescent="0.2">
      <c r="A124" s="21"/>
      <c r="B124" s="22" t="s">
        <v>12</v>
      </c>
      <c r="C124" s="22" t="s">
        <v>141</v>
      </c>
      <c r="D124" s="22" t="s">
        <v>142</v>
      </c>
      <c r="E124" s="21"/>
      <c r="F124" s="21"/>
      <c r="G124" s="21"/>
    </row>
    <row r="125" spans="1:8" ht="18" customHeight="1" x14ac:dyDescent="0.2">
      <c r="A125" s="21"/>
      <c r="B125" s="23" t="s">
        <v>143</v>
      </c>
      <c r="C125" s="22" t="s">
        <v>144</v>
      </c>
      <c r="D125" s="22" t="s">
        <v>145</v>
      </c>
      <c r="E125" s="21"/>
      <c r="F125" s="21"/>
      <c r="G125" s="21"/>
    </row>
    <row r="126" spans="1:8" ht="17.100000000000001" customHeight="1" x14ac:dyDescent="0.2">
      <c r="A126" s="21"/>
      <c r="B126" s="10" t="s">
        <v>146</v>
      </c>
      <c r="C126" s="24">
        <v>33.503900000000002</v>
      </c>
      <c r="D126" s="24">
        <v>33.353999999999999</v>
      </c>
      <c r="E126" s="21"/>
      <c r="F126" s="18"/>
      <c r="G126" s="25"/>
    </row>
    <row r="127" spans="1:8" ht="29.1" customHeight="1" x14ac:dyDescent="0.2">
      <c r="A127" s="21"/>
      <c r="B127" s="10" t="s">
        <v>534</v>
      </c>
      <c r="C127" s="24">
        <v>15.419499999999999</v>
      </c>
      <c r="D127" s="24">
        <v>15.330399999999999</v>
      </c>
      <c r="E127" s="21"/>
      <c r="F127" s="18"/>
      <c r="G127" s="25"/>
    </row>
    <row r="128" spans="1:8" ht="29.1" customHeight="1" x14ac:dyDescent="0.2">
      <c r="A128" s="21"/>
      <c r="B128" s="10" t="s">
        <v>535</v>
      </c>
      <c r="C128" s="24">
        <v>17.072099999999999</v>
      </c>
      <c r="D128" s="24">
        <v>16.995699999999999</v>
      </c>
      <c r="E128" s="21"/>
      <c r="F128" s="18"/>
      <c r="G128" s="25"/>
    </row>
    <row r="129" spans="1:7" ht="29.1" customHeight="1" x14ac:dyDescent="0.2">
      <c r="A129" s="21"/>
      <c r="B129" s="10" t="s">
        <v>536</v>
      </c>
      <c r="C129" s="24">
        <v>15.508100000000001</v>
      </c>
      <c r="D129" s="24">
        <v>15.438800000000001</v>
      </c>
      <c r="E129" s="21"/>
      <c r="F129" s="18"/>
      <c r="G129" s="25"/>
    </row>
    <row r="130" spans="1:7" ht="29.1" customHeight="1" x14ac:dyDescent="0.2">
      <c r="A130" s="21"/>
      <c r="B130" s="10" t="s">
        <v>537</v>
      </c>
      <c r="C130" s="24">
        <v>15.451499999999999</v>
      </c>
      <c r="D130" s="24">
        <v>15.382400000000001</v>
      </c>
      <c r="E130" s="21"/>
      <c r="F130" s="18"/>
      <c r="G130" s="25"/>
    </row>
    <row r="131" spans="1:7" ht="17.100000000000001" customHeight="1" x14ac:dyDescent="0.2">
      <c r="A131" s="21"/>
      <c r="B131" s="10" t="s">
        <v>147</v>
      </c>
      <c r="C131" s="24">
        <v>32.633699999999997</v>
      </c>
      <c r="D131" s="24">
        <v>32.483199999999997</v>
      </c>
      <c r="E131" s="21"/>
      <c r="F131" s="18"/>
      <c r="G131" s="25"/>
    </row>
    <row r="132" spans="1:7" ht="29.1" customHeight="1" x14ac:dyDescent="0.2">
      <c r="A132" s="21"/>
      <c r="B132" s="10" t="s">
        <v>538</v>
      </c>
      <c r="C132" s="24">
        <v>14.6884</v>
      </c>
      <c r="D132" s="24">
        <v>14.6006</v>
      </c>
      <c r="E132" s="21"/>
      <c r="F132" s="18"/>
      <c r="G132" s="25"/>
    </row>
    <row r="133" spans="1:7" ht="29.1" customHeight="1" x14ac:dyDescent="0.2">
      <c r="A133" s="21"/>
      <c r="B133" s="10" t="s">
        <v>539</v>
      </c>
      <c r="C133" s="24">
        <v>16.680599999999998</v>
      </c>
      <c r="D133" s="24">
        <v>16.6036</v>
      </c>
      <c r="E133" s="21"/>
      <c r="F133" s="18"/>
      <c r="G133" s="25"/>
    </row>
    <row r="134" spans="1:7" ht="29.1" customHeight="1" x14ac:dyDescent="0.2">
      <c r="A134" s="21"/>
      <c r="B134" s="10" t="s">
        <v>540</v>
      </c>
      <c r="C134" s="24">
        <v>15.4971</v>
      </c>
      <c r="D134" s="24">
        <v>15.425599999999999</v>
      </c>
      <c r="E134" s="21"/>
      <c r="F134" s="18"/>
      <c r="G134" s="25"/>
    </row>
    <row r="135" spans="1:7" ht="29.1" customHeight="1" x14ac:dyDescent="0.2">
      <c r="A135" s="21"/>
      <c r="B135" s="10" t="s">
        <v>541</v>
      </c>
      <c r="C135" s="24">
        <v>15.096399999999999</v>
      </c>
      <c r="D135" s="24">
        <v>15.0267</v>
      </c>
      <c r="E135" s="21"/>
      <c r="F135" s="18"/>
      <c r="G135" s="25"/>
    </row>
    <row r="136" spans="1:7" ht="14.1" customHeight="1" x14ac:dyDescent="0.2">
      <c r="A136" s="21"/>
      <c r="B136" s="21"/>
      <c r="C136" s="21"/>
      <c r="D136" s="21"/>
      <c r="E136" s="21"/>
      <c r="F136" s="21"/>
      <c r="G136" s="21"/>
    </row>
    <row r="137" spans="1:7" ht="17.100000000000001" customHeight="1" x14ac:dyDescent="0.2">
      <c r="A137" s="21"/>
      <c r="B137" s="85" t="s">
        <v>542</v>
      </c>
      <c r="C137" s="86"/>
      <c r="D137" s="2" t="s">
        <v>12</v>
      </c>
      <c r="E137" s="21"/>
      <c r="F137" s="21"/>
      <c r="G137" s="21"/>
    </row>
    <row r="138" spans="1:7" ht="18" customHeight="1" x14ac:dyDescent="0.2">
      <c r="A138" s="21"/>
      <c r="B138" s="26" t="s">
        <v>143</v>
      </c>
      <c r="C138" s="27" t="s">
        <v>148</v>
      </c>
      <c r="D138" s="27" t="s">
        <v>149</v>
      </c>
      <c r="E138" s="21"/>
      <c r="F138" s="21"/>
      <c r="G138" s="21"/>
    </row>
    <row r="139" spans="1:7" ht="29.1" customHeight="1" x14ac:dyDescent="0.2">
      <c r="A139" s="21"/>
      <c r="B139" s="10" t="s">
        <v>534</v>
      </c>
      <c r="C139" s="28">
        <v>0.02</v>
      </c>
      <c r="D139" s="14" t="s">
        <v>150</v>
      </c>
      <c r="E139" s="21"/>
      <c r="F139" s="18"/>
      <c r="G139" s="25"/>
    </row>
    <row r="140" spans="1:7" ht="29.1" customHeight="1" x14ac:dyDescent="0.2">
      <c r="A140" s="21"/>
      <c r="B140" s="10" t="s">
        <v>538</v>
      </c>
      <c r="C140" s="28">
        <v>0.02</v>
      </c>
      <c r="D140" s="14" t="s">
        <v>150</v>
      </c>
      <c r="E140" s="21"/>
      <c r="F140" s="18"/>
      <c r="G140" s="25"/>
    </row>
    <row r="141" spans="1:7" ht="14.1" customHeight="1" x14ac:dyDescent="0.2">
      <c r="A141" s="21"/>
      <c r="B141" s="18"/>
      <c r="C141" s="18"/>
      <c r="D141" s="21"/>
      <c r="E141" s="21"/>
      <c r="F141" s="21"/>
      <c r="G141" s="21"/>
    </row>
    <row r="142" spans="1:7" ht="29.1" customHeight="1" x14ac:dyDescent="0.2">
      <c r="A142" s="21"/>
      <c r="B142" s="85" t="s">
        <v>151</v>
      </c>
      <c r="C142" s="86"/>
      <c r="D142" s="2" t="s">
        <v>138</v>
      </c>
      <c r="E142" s="31"/>
      <c r="F142" s="21"/>
      <c r="G142" s="21"/>
    </row>
    <row r="143" spans="1:7" ht="29.1" customHeight="1" x14ac:dyDescent="0.2">
      <c r="A143" s="21"/>
      <c r="B143" s="85" t="s">
        <v>152</v>
      </c>
      <c r="C143" s="86"/>
      <c r="D143" s="2" t="s">
        <v>138</v>
      </c>
      <c r="E143" s="31"/>
      <c r="F143" s="21"/>
      <c r="G143" s="21"/>
    </row>
    <row r="144" spans="1:7" ht="17.100000000000001" customHeight="1" x14ac:dyDescent="0.2">
      <c r="A144" s="21"/>
      <c r="B144" s="85" t="s">
        <v>153</v>
      </c>
      <c r="C144" s="86"/>
      <c r="D144" s="32">
        <v>0.95534730462812922</v>
      </c>
      <c r="E144" s="31"/>
      <c r="F144" s="21"/>
      <c r="G144" s="21"/>
    </row>
    <row r="145" spans="1:15" ht="17.100000000000001" customHeight="1" x14ac:dyDescent="0.2">
      <c r="A145" s="21"/>
      <c r="B145" s="85" t="s">
        <v>154</v>
      </c>
      <c r="C145" s="86"/>
      <c r="D145" s="32">
        <v>0.92865874576762886</v>
      </c>
      <c r="E145" s="31"/>
      <c r="F145" s="21"/>
      <c r="G145" s="21"/>
    </row>
    <row r="146" spans="1:15" ht="17.100000000000001" customHeight="1" x14ac:dyDescent="0.2">
      <c r="A146" s="21"/>
      <c r="B146" s="85" t="s">
        <v>155</v>
      </c>
      <c r="C146" s="86"/>
      <c r="D146" s="2" t="s">
        <v>138</v>
      </c>
      <c r="E146" s="31"/>
      <c r="F146" s="21"/>
      <c r="G146" s="21"/>
    </row>
    <row r="147" spans="1:15" ht="14.1" customHeight="1" x14ac:dyDescent="0.2">
      <c r="A147" s="21"/>
      <c r="B147" s="88"/>
      <c r="C147" s="88"/>
      <c r="D147" s="30"/>
      <c r="E147" s="21"/>
      <c r="F147" s="18"/>
      <c r="G147" s="25"/>
    </row>
    <row r="148" spans="1:15" x14ac:dyDescent="0.2">
      <c r="I148" s="41"/>
    </row>
    <row r="151" spans="1:15" x14ac:dyDescent="0.2">
      <c r="J151"/>
      <c r="K151"/>
      <c r="L151"/>
      <c r="M151"/>
      <c r="N151"/>
      <c r="O151"/>
    </row>
  </sheetData>
  <mergeCells count="17">
    <mergeCell ref="A1:H1"/>
    <mergeCell ref="A2:H2"/>
    <mergeCell ref="A3:H3"/>
    <mergeCell ref="B143:C143"/>
    <mergeCell ref="B144:C144"/>
    <mergeCell ref="B142:C142"/>
    <mergeCell ref="B117:F117"/>
    <mergeCell ref="B118:F118"/>
    <mergeCell ref="B120:D120"/>
    <mergeCell ref="B121:C121"/>
    <mergeCell ref="B122:C122"/>
    <mergeCell ref="B123:C123"/>
    <mergeCell ref="B137:C137"/>
    <mergeCell ref="J2:N2"/>
    <mergeCell ref="B145:C145"/>
    <mergeCell ref="B146:C146"/>
    <mergeCell ref="B147:C147"/>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3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89" t="s">
        <v>0</v>
      </c>
      <c r="B1" s="89"/>
      <c r="C1" s="89"/>
      <c r="D1" s="89"/>
      <c r="E1" s="89"/>
      <c r="F1" s="89"/>
      <c r="G1" s="89"/>
      <c r="H1" s="89"/>
    </row>
    <row r="2" spans="1:14" ht="17.100000000000001" customHeight="1" x14ac:dyDescent="0.2">
      <c r="A2" s="89" t="s">
        <v>156</v>
      </c>
      <c r="B2" s="89"/>
      <c r="C2" s="89"/>
      <c r="D2" s="89"/>
      <c r="E2" s="89"/>
      <c r="F2" s="89"/>
      <c r="G2" s="89"/>
      <c r="H2" s="89"/>
      <c r="J2" s="87" t="s">
        <v>555</v>
      </c>
      <c r="K2" s="87"/>
      <c r="L2" s="87"/>
      <c r="M2" s="87"/>
      <c r="N2" s="87"/>
    </row>
    <row r="3" spans="1:14" ht="21" customHeight="1" x14ac:dyDescent="0.2">
      <c r="A3" s="89" t="s">
        <v>550</v>
      </c>
      <c r="B3" s="89"/>
      <c r="C3" s="89"/>
      <c r="D3" s="89"/>
      <c r="E3" s="89"/>
      <c r="F3" s="89"/>
      <c r="G3" s="89"/>
      <c r="H3" s="89"/>
    </row>
    <row r="4" spans="1:14" s="76" customFormat="1" ht="30" x14ac:dyDescent="0.2">
      <c r="A4" s="75" t="s">
        <v>2</v>
      </c>
      <c r="B4" s="75" t="s">
        <v>3</v>
      </c>
      <c r="C4" s="75" t="s">
        <v>4</v>
      </c>
      <c r="D4" s="75" t="s">
        <v>5</v>
      </c>
      <c r="E4" s="75" t="s">
        <v>6</v>
      </c>
      <c r="F4" s="75" t="s">
        <v>7</v>
      </c>
      <c r="G4" s="75" t="s">
        <v>8</v>
      </c>
      <c r="H4" s="71" t="s">
        <v>531</v>
      </c>
      <c r="J4" s="77"/>
      <c r="K4" s="77"/>
      <c r="L4" s="77"/>
      <c r="M4" s="77"/>
      <c r="N4" s="77"/>
    </row>
    <row r="5" spans="1:14" x14ac:dyDescent="0.2">
      <c r="A5" s="1"/>
      <c r="B5" s="1"/>
      <c r="C5" s="2" t="s">
        <v>9</v>
      </c>
      <c r="D5" s="1"/>
      <c r="E5" s="1"/>
      <c r="F5" s="1"/>
      <c r="G5" s="1"/>
      <c r="H5" s="72"/>
    </row>
    <row r="6" spans="1:14" ht="25.5" x14ac:dyDescent="0.2">
      <c r="A6" s="1"/>
      <c r="B6" s="1"/>
      <c r="C6" s="2" t="s">
        <v>10</v>
      </c>
      <c r="D6" s="1"/>
      <c r="E6" s="1"/>
      <c r="F6" s="1"/>
      <c r="G6" s="1"/>
      <c r="H6" s="72"/>
    </row>
    <row r="7" spans="1:14" x14ac:dyDescent="0.2">
      <c r="A7" s="1"/>
      <c r="B7" s="1"/>
      <c r="C7" s="2" t="s">
        <v>11</v>
      </c>
      <c r="D7" s="1"/>
      <c r="E7" s="1" t="s">
        <v>12</v>
      </c>
      <c r="F7" s="3">
        <v>0</v>
      </c>
      <c r="G7" s="4">
        <v>0</v>
      </c>
      <c r="H7" s="72"/>
    </row>
    <row r="8" spans="1:14" x14ac:dyDescent="0.2">
      <c r="A8" s="1"/>
      <c r="B8" s="1"/>
      <c r="C8" s="5"/>
      <c r="D8" s="1"/>
      <c r="E8" s="1"/>
      <c r="F8" s="6"/>
      <c r="G8" s="6"/>
      <c r="H8" s="72"/>
    </row>
    <row r="9" spans="1:14" x14ac:dyDescent="0.2">
      <c r="A9" s="1"/>
      <c r="B9" s="1"/>
      <c r="C9" s="2" t="s">
        <v>13</v>
      </c>
      <c r="D9" s="1"/>
      <c r="E9" s="1"/>
      <c r="F9" s="1"/>
      <c r="G9" s="1"/>
      <c r="H9" s="72"/>
    </row>
    <row r="10" spans="1:14" x14ac:dyDescent="0.2">
      <c r="A10" s="1"/>
      <c r="B10" s="1"/>
      <c r="C10" s="2" t="s">
        <v>11</v>
      </c>
      <c r="D10" s="1"/>
      <c r="E10" s="1" t="s">
        <v>12</v>
      </c>
      <c r="F10" s="3">
        <v>0</v>
      </c>
      <c r="G10" s="4">
        <v>0</v>
      </c>
      <c r="H10" s="72"/>
    </row>
    <row r="11" spans="1:14" x14ac:dyDescent="0.2">
      <c r="A11" s="1"/>
      <c r="B11" s="1"/>
      <c r="C11" s="5"/>
      <c r="D11" s="1"/>
      <c r="E11" s="1"/>
      <c r="F11" s="6"/>
      <c r="G11" s="6"/>
      <c r="H11" s="72"/>
    </row>
    <row r="12" spans="1:14" x14ac:dyDescent="0.2">
      <c r="A12" s="1"/>
      <c r="B12" s="1"/>
      <c r="C12" s="2" t="s">
        <v>14</v>
      </c>
      <c r="D12" s="1"/>
      <c r="E12" s="1"/>
      <c r="F12" s="1"/>
      <c r="G12" s="1"/>
      <c r="H12" s="72"/>
    </row>
    <row r="13" spans="1:14" x14ac:dyDescent="0.2">
      <c r="A13" s="1"/>
      <c r="B13" s="1"/>
      <c r="C13" s="2" t="s">
        <v>11</v>
      </c>
      <c r="D13" s="1"/>
      <c r="E13" s="1" t="s">
        <v>12</v>
      </c>
      <c r="F13" s="3">
        <v>0</v>
      </c>
      <c r="G13" s="4">
        <v>0</v>
      </c>
      <c r="H13" s="72"/>
    </row>
    <row r="14" spans="1:14" x14ac:dyDescent="0.2">
      <c r="A14" s="1"/>
      <c r="B14" s="1"/>
      <c r="C14" s="5"/>
      <c r="D14" s="1"/>
      <c r="E14" s="1"/>
      <c r="F14" s="6"/>
      <c r="G14" s="6"/>
      <c r="H14" s="72"/>
    </row>
    <row r="15" spans="1:14" x14ac:dyDescent="0.2">
      <c r="A15" s="1"/>
      <c r="B15" s="1"/>
      <c r="C15" s="2" t="s">
        <v>15</v>
      </c>
      <c r="D15" s="1"/>
      <c r="E15" s="1"/>
      <c r="F15" s="1"/>
      <c r="G15" s="1"/>
      <c r="H15" s="72"/>
    </row>
    <row r="16" spans="1:14" x14ac:dyDescent="0.2">
      <c r="A16" s="1"/>
      <c r="B16" s="1"/>
      <c r="C16" s="2" t="s">
        <v>11</v>
      </c>
      <c r="D16" s="1"/>
      <c r="E16" s="1" t="s">
        <v>12</v>
      </c>
      <c r="F16" s="3">
        <v>0</v>
      </c>
      <c r="G16" s="4">
        <v>0</v>
      </c>
      <c r="H16" s="72"/>
    </row>
    <row r="17" spans="1:14" ht="15" x14ac:dyDescent="0.25">
      <c r="A17" s="1"/>
      <c r="B17" s="1"/>
      <c r="C17" s="5"/>
      <c r="D17" s="1"/>
      <c r="E17" s="1"/>
      <c r="F17" s="6"/>
      <c r="G17" s="6"/>
      <c r="H17" s="72"/>
      <c r="J17" s="79" t="s">
        <v>557</v>
      </c>
      <c r="K17" s="78"/>
      <c r="L17" s="78"/>
      <c r="M17" s="78"/>
      <c r="N17" s="80"/>
    </row>
    <row r="18" spans="1:14" x14ac:dyDescent="0.2">
      <c r="A18" s="1"/>
      <c r="B18" s="1"/>
      <c r="C18" s="2" t="s">
        <v>16</v>
      </c>
      <c r="D18" s="1"/>
      <c r="E18" s="1"/>
      <c r="F18" s="6"/>
      <c r="G18" s="6"/>
      <c r="H18" s="72"/>
    </row>
    <row r="19" spans="1:14" x14ac:dyDescent="0.2">
      <c r="A19" s="1"/>
      <c r="B19" s="1"/>
      <c r="C19" s="2" t="s">
        <v>11</v>
      </c>
      <c r="D19" s="1"/>
      <c r="E19" s="1" t="s">
        <v>12</v>
      </c>
      <c r="F19" s="3">
        <v>0</v>
      </c>
      <c r="G19" s="4">
        <v>0</v>
      </c>
      <c r="H19" s="72"/>
    </row>
    <row r="20" spans="1:14" x14ac:dyDescent="0.2">
      <c r="A20" s="1"/>
      <c r="B20" s="1"/>
      <c r="C20" s="5"/>
      <c r="D20" s="1"/>
      <c r="E20" s="1"/>
      <c r="F20" s="6"/>
      <c r="G20" s="6"/>
      <c r="H20" s="72"/>
    </row>
    <row r="21" spans="1:14" x14ac:dyDescent="0.2">
      <c r="A21" s="1"/>
      <c r="B21" s="1"/>
      <c r="C21" s="2" t="s">
        <v>17</v>
      </c>
      <c r="D21" s="1"/>
      <c r="E21" s="1"/>
      <c r="F21" s="6"/>
      <c r="G21" s="6"/>
      <c r="H21" s="72"/>
    </row>
    <row r="22" spans="1:14" x14ac:dyDescent="0.2">
      <c r="A22" s="1"/>
      <c r="B22" s="1"/>
      <c r="C22" s="2" t="s">
        <v>11</v>
      </c>
      <c r="D22" s="1"/>
      <c r="E22" s="1" t="s">
        <v>12</v>
      </c>
      <c r="F22" s="3">
        <v>0</v>
      </c>
      <c r="G22" s="4">
        <v>0</v>
      </c>
      <c r="H22" s="72"/>
    </row>
    <row r="23" spans="1:14" x14ac:dyDescent="0.2">
      <c r="A23" s="1"/>
      <c r="B23" s="1"/>
      <c r="C23" s="5"/>
      <c r="D23" s="1"/>
      <c r="E23" s="1"/>
      <c r="F23" s="6"/>
      <c r="G23" s="6"/>
      <c r="H23" s="72"/>
    </row>
    <row r="24" spans="1:14" x14ac:dyDescent="0.2">
      <c r="A24" s="1"/>
      <c r="B24" s="1"/>
      <c r="C24" s="2" t="s">
        <v>18</v>
      </c>
      <c r="D24" s="1"/>
      <c r="E24" s="1"/>
      <c r="F24" s="7">
        <v>0</v>
      </c>
      <c r="G24" s="8">
        <v>0</v>
      </c>
      <c r="H24" s="72"/>
    </row>
    <row r="25" spans="1:14" x14ac:dyDescent="0.2">
      <c r="A25" s="1"/>
      <c r="B25" s="1"/>
      <c r="C25" s="5"/>
      <c r="D25" s="1"/>
      <c r="E25" s="1"/>
      <c r="F25" s="6"/>
      <c r="G25" s="6"/>
      <c r="H25" s="72"/>
    </row>
    <row r="26" spans="1:14" x14ac:dyDescent="0.2">
      <c r="A26" s="1"/>
      <c r="B26" s="1"/>
      <c r="C26" s="2" t="s">
        <v>19</v>
      </c>
      <c r="D26" s="1"/>
      <c r="E26" s="1"/>
      <c r="F26" s="6"/>
      <c r="G26" s="6"/>
      <c r="H26" s="72"/>
    </row>
    <row r="27" spans="1:14" ht="25.5" x14ac:dyDescent="0.2">
      <c r="A27" s="1"/>
      <c r="B27" s="1"/>
      <c r="C27" s="2" t="s">
        <v>10</v>
      </c>
      <c r="D27" s="1"/>
      <c r="E27" s="1"/>
      <c r="F27" s="6"/>
      <c r="G27" s="6"/>
      <c r="H27" s="72"/>
    </row>
    <row r="28" spans="1:14" x14ac:dyDescent="0.2">
      <c r="A28" s="9">
        <v>1</v>
      </c>
      <c r="B28" s="10" t="s">
        <v>157</v>
      </c>
      <c r="C28" s="10" t="s">
        <v>158</v>
      </c>
      <c r="D28" s="10" t="s">
        <v>27</v>
      </c>
      <c r="E28" s="11">
        <v>500</v>
      </c>
      <c r="F28" s="12">
        <v>5113.9250000000002</v>
      </c>
      <c r="G28" s="13">
        <v>6.4712088000000001E-2</v>
      </c>
      <c r="H28" s="72">
        <v>7.3</v>
      </c>
    </row>
    <row r="29" spans="1:14" ht="25.5" x14ac:dyDescent="0.2">
      <c r="A29" s="9">
        <v>2</v>
      </c>
      <c r="B29" s="10" t="s">
        <v>23</v>
      </c>
      <c r="C29" s="10" t="s">
        <v>24</v>
      </c>
      <c r="D29" s="10" t="s">
        <v>22</v>
      </c>
      <c r="E29" s="11">
        <v>500</v>
      </c>
      <c r="F29" s="12">
        <v>4965.375</v>
      </c>
      <c r="G29" s="13">
        <v>6.2832321999999996E-2</v>
      </c>
      <c r="H29" s="72">
        <v>6.5449999999999999</v>
      </c>
    </row>
    <row r="30" spans="1:14" ht="25.5" x14ac:dyDescent="0.25">
      <c r="A30" s="9">
        <v>3</v>
      </c>
      <c r="B30" s="10" t="s">
        <v>159</v>
      </c>
      <c r="C30" s="10" t="s">
        <v>160</v>
      </c>
      <c r="D30" s="10" t="s">
        <v>27</v>
      </c>
      <c r="E30" s="11">
        <v>500</v>
      </c>
      <c r="F30" s="12">
        <v>4800.32</v>
      </c>
      <c r="G30" s="13">
        <v>6.0743699999999998E-2</v>
      </c>
      <c r="H30" s="72">
        <v>7.5</v>
      </c>
      <c r="J30" s="78" t="s">
        <v>556</v>
      </c>
    </row>
    <row r="31" spans="1:14" ht="25.5" x14ac:dyDescent="0.2">
      <c r="A31" s="9">
        <v>4</v>
      </c>
      <c r="B31" s="10" t="s">
        <v>161</v>
      </c>
      <c r="C31" s="10" t="s">
        <v>162</v>
      </c>
      <c r="D31" s="10" t="s">
        <v>27</v>
      </c>
      <c r="E31" s="11">
        <v>350</v>
      </c>
      <c r="F31" s="12">
        <v>3558.163</v>
      </c>
      <c r="G31" s="13">
        <v>4.5025329000000003E-2</v>
      </c>
      <c r="H31" s="72">
        <v>7.1</v>
      </c>
    </row>
    <row r="32" spans="1:14" ht="25.5" x14ac:dyDescent="0.2">
      <c r="A32" s="9">
        <v>5</v>
      </c>
      <c r="B32" s="10" t="s">
        <v>163</v>
      </c>
      <c r="C32" s="10" t="s">
        <v>164</v>
      </c>
      <c r="D32" s="10" t="s">
        <v>27</v>
      </c>
      <c r="E32" s="11">
        <v>300</v>
      </c>
      <c r="F32" s="12">
        <v>3025.0439999999999</v>
      </c>
      <c r="G32" s="13">
        <v>3.8279190999999997E-2</v>
      </c>
      <c r="H32" s="72">
        <v>6.89</v>
      </c>
    </row>
    <row r="33" spans="1:8" ht="25.5" x14ac:dyDescent="0.2">
      <c r="A33" s="9">
        <v>6</v>
      </c>
      <c r="B33" s="10" t="s">
        <v>165</v>
      </c>
      <c r="C33" s="10" t="s">
        <v>166</v>
      </c>
      <c r="D33" s="10" t="s">
        <v>27</v>
      </c>
      <c r="E33" s="11">
        <v>300</v>
      </c>
      <c r="F33" s="12">
        <v>2989.5659999999998</v>
      </c>
      <c r="G33" s="13">
        <v>3.7830249000000003E-2</v>
      </c>
      <c r="H33" s="72">
        <v>5.7834000000000003</v>
      </c>
    </row>
    <row r="34" spans="1:8" ht="25.5" x14ac:dyDescent="0.2">
      <c r="A34" s="9">
        <v>7</v>
      </c>
      <c r="B34" s="10" t="s">
        <v>167</v>
      </c>
      <c r="C34" s="10" t="s">
        <v>168</v>
      </c>
      <c r="D34" s="10" t="s">
        <v>27</v>
      </c>
      <c r="E34" s="11">
        <v>250</v>
      </c>
      <c r="F34" s="12">
        <v>2607.4175</v>
      </c>
      <c r="G34" s="13">
        <v>3.2994506E-2</v>
      </c>
      <c r="H34" s="72">
        <v>6.51</v>
      </c>
    </row>
    <row r="35" spans="1:8" ht="25.5" x14ac:dyDescent="0.2">
      <c r="A35" s="9">
        <v>8</v>
      </c>
      <c r="B35" s="10" t="s">
        <v>169</v>
      </c>
      <c r="C35" s="10" t="s">
        <v>170</v>
      </c>
      <c r="D35" s="10" t="s">
        <v>27</v>
      </c>
      <c r="E35" s="11">
        <v>250</v>
      </c>
      <c r="F35" s="12">
        <v>2510.71</v>
      </c>
      <c r="G35" s="13">
        <v>3.1770760000000002E-2</v>
      </c>
      <c r="H35" s="72">
        <v>5.8</v>
      </c>
    </row>
    <row r="36" spans="1:8" ht="25.5" x14ac:dyDescent="0.2">
      <c r="A36" s="9">
        <v>9</v>
      </c>
      <c r="B36" s="10" t="s">
        <v>171</v>
      </c>
      <c r="C36" s="10" t="s">
        <v>172</v>
      </c>
      <c r="D36" s="10" t="s">
        <v>27</v>
      </c>
      <c r="E36" s="11">
        <v>250</v>
      </c>
      <c r="F36" s="12">
        <v>2509.6224999999999</v>
      </c>
      <c r="G36" s="13">
        <v>3.1756999000000001E-2</v>
      </c>
      <c r="H36" s="72">
        <v>6.8550000000000004</v>
      </c>
    </row>
    <row r="37" spans="1:8" ht="25.5" x14ac:dyDescent="0.2">
      <c r="A37" s="9">
        <v>10</v>
      </c>
      <c r="B37" s="10" t="s">
        <v>173</v>
      </c>
      <c r="C37" s="10" t="s">
        <v>174</v>
      </c>
      <c r="D37" s="10" t="s">
        <v>22</v>
      </c>
      <c r="E37" s="11">
        <v>250</v>
      </c>
      <c r="F37" s="12">
        <v>2497.4025000000001</v>
      </c>
      <c r="G37" s="13">
        <v>3.1602366E-2</v>
      </c>
      <c r="H37" s="72">
        <v>6.47</v>
      </c>
    </row>
    <row r="38" spans="1:8" ht="25.5" x14ac:dyDescent="0.2">
      <c r="A38" s="9">
        <v>11</v>
      </c>
      <c r="B38" s="10" t="s">
        <v>175</v>
      </c>
      <c r="C38" s="10" t="s">
        <v>176</v>
      </c>
      <c r="D38" s="10" t="s">
        <v>27</v>
      </c>
      <c r="E38" s="11">
        <v>250</v>
      </c>
      <c r="F38" s="12">
        <v>2443.7775000000001</v>
      </c>
      <c r="G38" s="13">
        <v>3.092379E-2</v>
      </c>
      <c r="H38" s="72">
        <v>7.2750000000000004</v>
      </c>
    </row>
    <row r="39" spans="1:8" ht="25.5" x14ac:dyDescent="0.2">
      <c r="A39" s="9">
        <v>12</v>
      </c>
      <c r="B39" s="10" t="s">
        <v>177</v>
      </c>
      <c r="C39" s="10" t="s">
        <v>178</v>
      </c>
      <c r="D39" s="10" t="s">
        <v>22</v>
      </c>
      <c r="E39" s="11">
        <v>250</v>
      </c>
      <c r="F39" s="12">
        <v>2438.8175000000001</v>
      </c>
      <c r="G39" s="13">
        <v>3.0861026E-2</v>
      </c>
      <c r="H39" s="72">
        <v>6.415</v>
      </c>
    </row>
    <row r="40" spans="1:8" ht="25.5" x14ac:dyDescent="0.2">
      <c r="A40" s="9">
        <v>13</v>
      </c>
      <c r="B40" s="10" t="s">
        <v>179</v>
      </c>
      <c r="C40" s="10" t="s">
        <v>180</v>
      </c>
      <c r="D40" s="10" t="s">
        <v>27</v>
      </c>
      <c r="E40" s="11">
        <v>250</v>
      </c>
      <c r="F40" s="12">
        <v>2402.3000000000002</v>
      </c>
      <c r="G40" s="13">
        <v>3.0398930000000001E-2</v>
      </c>
      <c r="H40" s="72">
        <v>7.2149999999999999</v>
      </c>
    </row>
    <row r="41" spans="1:8" ht="25.5" x14ac:dyDescent="0.2">
      <c r="A41" s="9">
        <v>14</v>
      </c>
      <c r="B41" s="10" t="s">
        <v>181</v>
      </c>
      <c r="C41" s="10" t="s">
        <v>182</v>
      </c>
      <c r="D41" s="10" t="s">
        <v>27</v>
      </c>
      <c r="E41" s="11">
        <v>250</v>
      </c>
      <c r="F41" s="12">
        <v>2386.16</v>
      </c>
      <c r="G41" s="13">
        <v>3.0194693000000002E-2</v>
      </c>
      <c r="H41" s="72">
        <v>7.1475</v>
      </c>
    </row>
    <row r="42" spans="1:8" ht="25.5" x14ac:dyDescent="0.2">
      <c r="A42" s="9">
        <v>15</v>
      </c>
      <c r="B42" s="10" t="s">
        <v>183</v>
      </c>
      <c r="C42" s="10" t="s">
        <v>184</v>
      </c>
      <c r="D42" s="10" t="s">
        <v>27</v>
      </c>
      <c r="E42" s="11">
        <v>200</v>
      </c>
      <c r="F42" s="12">
        <v>1911.2260000000001</v>
      </c>
      <c r="G42" s="13">
        <v>2.4184832999999999E-2</v>
      </c>
      <c r="H42" s="72">
        <v>7.335</v>
      </c>
    </row>
    <row r="43" spans="1:8" x14ac:dyDescent="0.2">
      <c r="A43" s="9">
        <v>16</v>
      </c>
      <c r="B43" s="10" t="s">
        <v>185</v>
      </c>
      <c r="C43" s="10" t="s">
        <v>186</v>
      </c>
      <c r="D43" s="10" t="s">
        <v>27</v>
      </c>
      <c r="E43" s="11">
        <v>150</v>
      </c>
      <c r="F43" s="12">
        <v>1509.0915</v>
      </c>
      <c r="G43" s="13">
        <v>1.9096186000000001E-2</v>
      </c>
      <c r="H43" s="72">
        <v>7.34</v>
      </c>
    </row>
    <row r="44" spans="1:8" ht="25.5" x14ac:dyDescent="0.2">
      <c r="A44" s="9">
        <v>17</v>
      </c>
      <c r="B44" s="10" t="s">
        <v>187</v>
      </c>
      <c r="C44" s="10" t="s">
        <v>188</v>
      </c>
      <c r="D44" s="10" t="s">
        <v>27</v>
      </c>
      <c r="E44" s="11">
        <v>500</v>
      </c>
      <c r="F44" s="12">
        <v>1463.2560000000001</v>
      </c>
      <c r="G44" s="13">
        <v>1.8516179000000001E-2</v>
      </c>
      <c r="H44" s="72">
        <v>7.26</v>
      </c>
    </row>
    <row r="45" spans="1:8" x14ac:dyDescent="0.2">
      <c r="A45" s="9">
        <v>18</v>
      </c>
      <c r="B45" s="10" t="s">
        <v>189</v>
      </c>
      <c r="C45" s="10" t="s">
        <v>190</v>
      </c>
      <c r="D45" s="10" t="s">
        <v>27</v>
      </c>
      <c r="E45" s="11">
        <v>150</v>
      </c>
      <c r="F45" s="12">
        <v>1461.933</v>
      </c>
      <c r="G45" s="13">
        <v>1.8499438E-2</v>
      </c>
      <c r="H45" s="72">
        <v>7.09</v>
      </c>
    </row>
    <row r="46" spans="1:8" ht="25.5" x14ac:dyDescent="0.2">
      <c r="A46" s="9">
        <v>19</v>
      </c>
      <c r="B46" s="10" t="s">
        <v>191</v>
      </c>
      <c r="C46" s="10" t="s">
        <v>192</v>
      </c>
      <c r="D46" s="10" t="s">
        <v>27</v>
      </c>
      <c r="E46" s="11">
        <v>100</v>
      </c>
      <c r="F46" s="12">
        <v>968.76700000000005</v>
      </c>
      <c r="G46" s="13">
        <v>1.2258869E-2</v>
      </c>
      <c r="H46" s="72">
        <v>7.1150000000000002</v>
      </c>
    </row>
    <row r="47" spans="1:8" ht="25.5" x14ac:dyDescent="0.2">
      <c r="A47" s="9">
        <v>20</v>
      </c>
      <c r="B47" s="10" t="s">
        <v>193</v>
      </c>
      <c r="C47" s="10" t="s">
        <v>194</v>
      </c>
      <c r="D47" s="10" t="s">
        <v>27</v>
      </c>
      <c r="E47" s="11">
        <v>50</v>
      </c>
      <c r="F47" s="12">
        <v>500.16849999999999</v>
      </c>
      <c r="G47" s="13">
        <v>6.3291789999999999E-3</v>
      </c>
      <c r="H47" s="72">
        <v>4.4850000000000003</v>
      </c>
    </row>
    <row r="48" spans="1:8" x14ac:dyDescent="0.2">
      <c r="A48" s="1"/>
      <c r="B48" s="1"/>
      <c r="C48" s="2" t="s">
        <v>11</v>
      </c>
      <c r="D48" s="1"/>
      <c r="E48" s="1" t="s">
        <v>12</v>
      </c>
      <c r="F48" s="7">
        <v>52063.042500000003</v>
      </c>
      <c r="G48" s="8">
        <v>0.65881063299999998</v>
      </c>
      <c r="H48" s="72"/>
    </row>
    <row r="49" spans="1:8" x14ac:dyDescent="0.2">
      <c r="A49" s="1"/>
      <c r="B49" s="1"/>
      <c r="C49" s="5"/>
      <c r="D49" s="1"/>
      <c r="E49" s="1"/>
      <c r="F49" s="6"/>
      <c r="G49" s="6"/>
      <c r="H49" s="72"/>
    </row>
    <row r="50" spans="1:8" x14ac:dyDescent="0.2">
      <c r="A50" s="1"/>
      <c r="B50" s="1"/>
      <c r="C50" s="2" t="s">
        <v>97</v>
      </c>
      <c r="D50" s="1"/>
      <c r="E50" s="1"/>
      <c r="F50" s="1"/>
      <c r="G50" s="1"/>
      <c r="H50" s="72"/>
    </row>
    <row r="51" spans="1:8" x14ac:dyDescent="0.2">
      <c r="A51" s="1"/>
      <c r="B51" s="1"/>
      <c r="C51" s="2" t="s">
        <v>11</v>
      </c>
      <c r="D51" s="1"/>
      <c r="E51" s="1" t="s">
        <v>12</v>
      </c>
      <c r="F51" s="3">
        <v>0</v>
      </c>
      <c r="G51" s="4">
        <v>0</v>
      </c>
      <c r="H51" s="72"/>
    </row>
    <row r="52" spans="1:8" x14ac:dyDescent="0.2">
      <c r="A52" s="1"/>
      <c r="B52" s="1"/>
      <c r="C52" s="5"/>
      <c r="D52" s="1"/>
      <c r="E52" s="1"/>
      <c r="F52" s="6"/>
      <c r="G52" s="6"/>
      <c r="H52" s="72"/>
    </row>
    <row r="53" spans="1:8" x14ac:dyDescent="0.2">
      <c r="A53" s="1"/>
      <c r="B53" s="1"/>
      <c r="C53" s="2" t="s">
        <v>98</v>
      </c>
      <c r="D53" s="1"/>
      <c r="E53" s="1"/>
      <c r="F53" s="1"/>
      <c r="G53" s="1"/>
      <c r="H53" s="72"/>
    </row>
    <row r="54" spans="1:8" ht="25.5" x14ac:dyDescent="0.2">
      <c r="A54" s="9">
        <v>1</v>
      </c>
      <c r="B54" s="10" t="s">
        <v>195</v>
      </c>
      <c r="C54" s="10" t="s">
        <v>196</v>
      </c>
      <c r="D54" s="10" t="s">
        <v>101</v>
      </c>
      <c r="E54" s="11">
        <v>5500000</v>
      </c>
      <c r="F54" s="12">
        <v>5211.6019999999999</v>
      </c>
      <c r="G54" s="13">
        <v>6.5948101999999995E-2</v>
      </c>
      <c r="H54" s="72">
        <v>7.1334</v>
      </c>
    </row>
    <row r="55" spans="1:8" ht="25.5" x14ac:dyDescent="0.2">
      <c r="A55" s="9">
        <v>2</v>
      </c>
      <c r="B55" s="10" t="s">
        <v>197</v>
      </c>
      <c r="C55" s="10" t="s">
        <v>198</v>
      </c>
      <c r="D55" s="10" t="s">
        <v>101</v>
      </c>
      <c r="E55" s="11">
        <v>2500000</v>
      </c>
      <c r="F55" s="12">
        <v>2384.6</v>
      </c>
      <c r="G55" s="13">
        <v>3.0174953000000001E-2</v>
      </c>
      <c r="H55" s="72">
        <v>6.9294000000000002</v>
      </c>
    </row>
    <row r="56" spans="1:8" x14ac:dyDescent="0.2">
      <c r="A56" s="1"/>
      <c r="B56" s="1"/>
      <c r="C56" s="2" t="s">
        <v>11</v>
      </c>
      <c r="D56" s="1"/>
      <c r="E56" s="1" t="s">
        <v>12</v>
      </c>
      <c r="F56" s="7">
        <v>7596.2020000000002</v>
      </c>
      <c r="G56" s="8">
        <v>9.6123054999999999E-2</v>
      </c>
      <c r="H56" s="72"/>
    </row>
    <row r="57" spans="1:8" x14ac:dyDescent="0.2">
      <c r="A57" s="1"/>
      <c r="B57" s="1"/>
      <c r="C57" s="5"/>
      <c r="D57" s="1"/>
      <c r="E57" s="1"/>
      <c r="F57" s="6"/>
      <c r="G57" s="6"/>
      <c r="H57" s="72"/>
    </row>
    <row r="58" spans="1:8" x14ac:dyDescent="0.2">
      <c r="A58" s="1"/>
      <c r="B58" s="1"/>
      <c r="C58" s="2" t="s">
        <v>108</v>
      </c>
      <c r="D58" s="1"/>
      <c r="E58" s="1"/>
      <c r="F58" s="6"/>
      <c r="G58" s="6"/>
      <c r="H58" s="72"/>
    </row>
    <row r="59" spans="1:8" x14ac:dyDescent="0.2">
      <c r="A59" s="1"/>
      <c r="B59" s="1"/>
      <c r="C59" s="2" t="s">
        <v>11</v>
      </c>
      <c r="D59" s="1"/>
      <c r="E59" s="1" t="s">
        <v>12</v>
      </c>
      <c r="F59" s="3">
        <v>0</v>
      </c>
      <c r="G59" s="4">
        <v>0</v>
      </c>
      <c r="H59" s="72"/>
    </row>
    <row r="60" spans="1:8" x14ac:dyDescent="0.2">
      <c r="A60" s="1"/>
      <c r="B60" s="1"/>
      <c r="C60" s="5"/>
      <c r="D60" s="1"/>
      <c r="E60" s="1"/>
      <c r="F60" s="6"/>
      <c r="G60" s="6"/>
      <c r="H60" s="72"/>
    </row>
    <row r="61" spans="1:8" x14ac:dyDescent="0.2">
      <c r="A61" s="1"/>
      <c r="B61" s="1"/>
      <c r="C61" s="2" t="s">
        <v>109</v>
      </c>
      <c r="D61" s="1"/>
      <c r="E61" s="1"/>
      <c r="F61" s="7">
        <v>59659.244500000001</v>
      </c>
      <c r="G61" s="8">
        <v>0.75493368800000005</v>
      </c>
      <c r="H61" s="72"/>
    </row>
    <row r="62" spans="1:8" x14ac:dyDescent="0.2">
      <c r="A62" s="1"/>
      <c r="B62" s="1"/>
      <c r="C62" s="5"/>
      <c r="D62" s="1"/>
      <c r="E62" s="1"/>
      <c r="F62" s="6"/>
      <c r="G62" s="6"/>
      <c r="H62" s="72"/>
    </row>
    <row r="63" spans="1:8" x14ac:dyDescent="0.2">
      <c r="A63" s="1"/>
      <c r="B63" s="1"/>
      <c r="C63" s="2" t="s">
        <v>110</v>
      </c>
      <c r="D63" s="1"/>
      <c r="E63" s="1"/>
      <c r="F63" s="6"/>
      <c r="G63" s="6"/>
      <c r="H63" s="72"/>
    </row>
    <row r="64" spans="1:8" x14ac:dyDescent="0.2">
      <c r="A64" s="1"/>
      <c r="B64" s="1"/>
      <c r="C64" s="2" t="s">
        <v>111</v>
      </c>
      <c r="D64" s="1"/>
      <c r="E64" s="1"/>
      <c r="F64" s="6"/>
      <c r="G64" s="6"/>
      <c r="H64" s="72"/>
    </row>
    <row r="65" spans="1:8" x14ac:dyDescent="0.2">
      <c r="A65" s="9">
        <v>1</v>
      </c>
      <c r="B65" s="10" t="s">
        <v>199</v>
      </c>
      <c r="C65" s="10" t="s">
        <v>200</v>
      </c>
      <c r="D65" s="10" t="s">
        <v>114</v>
      </c>
      <c r="E65" s="11">
        <v>1000</v>
      </c>
      <c r="F65" s="12">
        <v>5000</v>
      </c>
      <c r="G65" s="13">
        <v>6.3270469999999995E-2</v>
      </c>
      <c r="H65" s="72">
        <v>4.3075000000000001</v>
      </c>
    </row>
    <row r="66" spans="1:8" x14ac:dyDescent="0.2">
      <c r="A66" s="9">
        <v>2</v>
      </c>
      <c r="B66" s="10" t="s">
        <v>201</v>
      </c>
      <c r="C66" s="10" t="s">
        <v>202</v>
      </c>
      <c r="D66" s="10" t="s">
        <v>114</v>
      </c>
      <c r="E66" s="11">
        <v>1000</v>
      </c>
      <c r="F66" s="12">
        <v>5000</v>
      </c>
      <c r="G66" s="13">
        <v>6.3270469999999995E-2</v>
      </c>
      <c r="H66" s="72">
        <v>4.3125</v>
      </c>
    </row>
    <row r="67" spans="1:8" x14ac:dyDescent="0.2">
      <c r="A67" s="9">
        <v>3</v>
      </c>
      <c r="B67" s="10" t="s">
        <v>203</v>
      </c>
      <c r="C67" s="10" t="s">
        <v>204</v>
      </c>
      <c r="D67" s="10" t="s">
        <v>114</v>
      </c>
      <c r="E67" s="11">
        <v>800</v>
      </c>
      <c r="F67" s="12">
        <v>3923.884</v>
      </c>
      <c r="G67" s="13">
        <v>4.9653197000000003E-2</v>
      </c>
      <c r="H67" s="72">
        <v>5.5750000000000002</v>
      </c>
    </row>
    <row r="68" spans="1:8" x14ac:dyDescent="0.2">
      <c r="A68" s="1"/>
      <c r="B68" s="1"/>
      <c r="C68" s="2" t="s">
        <v>11</v>
      </c>
      <c r="D68" s="1"/>
      <c r="E68" s="1" t="s">
        <v>12</v>
      </c>
      <c r="F68" s="7">
        <v>13923.884</v>
      </c>
      <c r="G68" s="8">
        <v>0.176194137</v>
      </c>
      <c r="H68" s="72"/>
    </row>
    <row r="69" spans="1:8" x14ac:dyDescent="0.2">
      <c r="A69" s="1"/>
      <c r="B69" s="1"/>
      <c r="C69" s="5"/>
      <c r="D69" s="1"/>
      <c r="E69" s="1"/>
      <c r="F69" s="6"/>
      <c r="G69" s="6"/>
      <c r="H69" s="72"/>
    </row>
    <row r="70" spans="1:8" x14ac:dyDescent="0.2">
      <c r="A70" s="1"/>
      <c r="B70" s="1"/>
      <c r="C70" s="2" t="s">
        <v>120</v>
      </c>
      <c r="D70" s="1"/>
      <c r="E70" s="1"/>
      <c r="F70" s="6"/>
      <c r="G70" s="6"/>
      <c r="H70" s="72"/>
    </row>
    <row r="71" spans="1:8" x14ac:dyDescent="0.2">
      <c r="A71" s="1"/>
      <c r="B71" s="1"/>
      <c r="C71" s="2" t="s">
        <v>11</v>
      </c>
      <c r="D71" s="1"/>
      <c r="E71" s="1" t="s">
        <v>12</v>
      </c>
      <c r="F71" s="3">
        <v>0</v>
      </c>
      <c r="G71" s="4">
        <v>0</v>
      </c>
      <c r="H71" s="72"/>
    </row>
    <row r="72" spans="1:8" x14ac:dyDescent="0.2">
      <c r="A72" s="1"/>
      <c r="B72" s="1"/>
      <c r="C72" s="5"/>
      <c r="D72" s="1"/>
      <c r="E72" s="1"/>
      <c r="F72" s="6"/>
      <c r="G72" s="6"/>
      <c r="H72" s="72"/>
    </row>
    <row r="73" spans="1:8" x14ac:dyDescent="0.2">
      <c r="A73" s="1"/>
      <c r="B73" s="1"/>
      <c r="C73" s="2" t="s">
        <v>123</v>
      </c>
      <c r="D73" s="1"/>
      <c r="E73" s="1"/>
      <c r="F73" s="6"/>
      <c r="G73" s="6"/>
      <c r="H73" s="72"/>
    </row>
    <row r="74" spans="1:8" x14ac:dyDescent="0.2">
      <c r="A74" s="1"/>
      <c r="B74" s="1"/>
      <c r="C74" s="2" t="s">
        <v>11</v>
      </c>
      <c r="D74" s="1"/>
      <c r="E74" s="1" t="s">
        <v>12</v>
      </c>
      <c r="F74" s="3">
        <v>0</v>
      </c>
      <c r="G74" s="4">
        <v>0</v>
      </c>
      <c r="H74" s="72"/>
    </row>
    <row r="75" spans="1:8" x14ac:dyDescent="0.2">
      <c r="A75" s="1"/>
      <c r="B75" s="1"/>
      <c r="C75" s="5"/>
      <c r="D75" s="1"/>
      <c r="E75" s="1"/>
      <c r="F75" s="6"/>
      <c r="G75" s="6"/>
      <c r="H75" s="72"/>
    </row>
    <row r="76" spans="1:8" x14ac:dyDescent="0.2">
      <c r="A76" s="1"/>
      <c r="B76" s="1"/>
      <c r="C76" s="2" t="s">
        <v>124</v>
      </c>
      <c r="D76" s="1"/>
      <c r="E76" s="1"/>
      <c r="F76" s="6"/>
      <c r="G76" s="6"/>
      <c r="H76" s="72"/>
    </row>
    <row r="77" spans="1:8" x14ac:dyDescent="0.2">
      <c r="A77" s="9">
        <v>1</v>
      </c>
      <c r="B77" s="10"/>
      <c r="C77" s="10" t="s">
        <v>125</v>
      </c>
      <c r="D77" s="10"/>
      <c r="E77" s="14"/>
      <c r="F77" s="12">
        <v>4234.0471225000001</v>
      </c>
      <c r="G77" s="13">
        <v>5.3578029999999999E-2</v>
      </c>
      <c r="H77" s="72">
        <v>4.1713246754849944</v>
      </c>
    </row>
    <row r="78" spans="1:8" x14ac:dyDescent="0.2">
      <c r="A78" s="1"/>
      <c r="B78" s="1"/>
      <c r="C78" s="2" t="s">
        <v>11</v>
      </c>
      <c r="D78" s="1"/>
      <c r="E78" s="1" t="s">
        <v>12</v>
      </c>
      <c r="F78" s="7">
        <v>4234.0471225000001</v>
      </c>
      <c r="G78" s="8">
        <v>5.3578029999999999E-2</v>
      </c>
      <c r="H78" s="72"/>
    </row>
    <row r="79" spans="1:8" x14ac:dyDescent="0.2">
      <c r="A79" s="1"/>
      <c r="B79" s="1"/>
      <c r="C79" s="5"/>
      <c r="D79" s="1"/>
      <c r="E79" s="1"/>
      <c r="F79" s="6"/>
      <c r="G79" s="6"/>
      <c r="H79" s="72"/>
    </row>
    <row r="80" spans="1:8" x14ac:dyDescent="0.2">
      <c r="A80" s="1"/>
      <c r="B80" s="1"/>
      <c r="C80" s="2" t="s">
        <v>126</v>
      </c>
      <c r="D80" s="1"/>
      <c r="E80" s="1"/>
      <c r="F80" s="7">
        <v>18157.931122499998</v>
      </c>
      <c r="G80" s="8">
        <v>0.229772167</v>
      </c>
      <c r="H80" s="72"/>
    </row>
    <row r="81" spans="1:8" x14ac:dyDescent="0.2">
      <c r="A81" s="1"/>
      <c r="B81" s="1"/>
      <c r="C81" s="6"/>
      <c r="D81" s="1"/>
      <c r="E81" s="1"/>
      <c r="F81" s="1"/>
      <c r="G81" s="1"/>
      <c r="H81" s="72"/>
    </row>
    <row r="82" spans="1:8" x14ac:dyDescent="0.2">
      <c r="A82" s="1"/>
      <c r="B82" s="1"/>
      <c r="C82" s="2" t="s">
        <v>127</v>
      </c>
      <c r="D82" s="1"/>
      <c r="E82" s="1"/>
      <c r="F82" s="1"/>
      <c r="G82" s="1"/>
      <c r="H82" s="72"/>
    </row>
    <row r="83" spans="1:8" x14ac:dyDescent="0.2">
      <c r="A83" s="1"/>
      <c r="B83" s="1"/>
      <c r="C83" s="2" t="s">
        <v>128</v>
      </c>
      <c r="D83" s="1"/>
      <c r="E83" s="1"/>
      <c r="F83" s="1"/>
      <c r="G83" s="1"/>
      <c r="H83" s="72"/>
    </row>
    <row r="84" spans="1:8" x14ac:dyDescent="0.2">
      <c r="A84" s="1"/>
      <c r="B84" s="1"/>
      <c r="C84" s="2" t="s">
        <v>11</v>
      </c>
      <c r="D84" s="1"/>
      <c r="E84" s="1" t="s">
        <v>12</v>
      </c>
      <c r="F84" s="3">
        <v>0</v>
      </c>
      <c r="G84" s="4">
        <v>0</v>
      </c>
      <c r="H84" s="72"/>
    </row>
    <row r="85" spans="1:8" x14ac:dyDescent="0.2">
      <c r="A85" s="1"/>
      <c r="B85" s="1"/>
      <c r="C85" s="5"/>
      <c r="D85" s="1"/>
      <c r="E85" s="1"/>
      <c r="F85" s="6"/>
      <c r="G85" s="6"/>
      <c r="H85" s="72"/>
    </row>
    <row r="86" spans="1:8" x14ac:dyDescent="0.2">
      <c r="A86" s="1"/>
      <c r="B86" s="1"/>
      <c r="C86" s="2" t="s">
        <v>129</v>
      </c>
      <c r="D86" s="1"/>
      <c r="E86" s="1"/>
      <c r="F86" s="1"/>
      <c r="G86" s="1"/>
      <c r="H86" s="72"/>
    </row>
    <row r="87" spans="1:8" x14ac:dyDescent="0.2">
      <c r="A87" s="1"/>
      <c r="B87" s="1"/>
      <c r="C87" s="2" t="s">
        <v>130</v>
      </c>
      <c r="D87" s="1"/>
      <c r="E87" s="1"/>
      <c r="F87" s="1"/>
      <c r="G87" s="1"/>
      <c r="H87" s="72"/>
    </row>
    <row r="88" spans="1:8" x14ac:dyDescent="0.2">
      <c r="A88" s="1"/>
      <c r="B88" s="1"/>
      <c r="C88" s="2" t="s">
        <v>11</v>
      </c>
      <c r="D88" s="1"/>
      <c r="E88" s="1" t="s">
        <v>12</v>
      </c>
      <c r="F88" s="3">
        <v>0</v>
      </c>
      <c r="G88" s="4">
        <v>0</v>
      </c>
      <c r="H88" s="72"/>
    </row>
    <row r="89" spans="1:8" x14ac:dyDescent="0.2">
      <c r="A89" s="1"/>
      <c r="B89" s="1"/>
      <c r="C89" s="5"/>
      <c r="D89" s="1"/>
      <c r="E89" s="1"/>
      <c r="F89" s="6"/>
      <c r="G89" s="6"/>
      <c r="H89" s="72"/>
    </row>
    <row r="90" spans="1:8" ht="25.5" x14ac:dyDescent="0.2">
      <c r="A90" s="1"/>
      <c r="B90" s="1"/>
      <c r="C90" s="2" t="s">
        <v>131</v>
      </c>
      <c r="D90" s="1"/>
      <c r="E90" s="1"/>
      <c r="F90" s="6"/>
      <c r="G90" s="6"/>
      <c r="H90" s="72"/>
    </row>
    <row r="91" spans="1:8" x14ac:dyDescent="0.2">
      <c r="A91" s="1"/>
      <c r="B91" s="1"/>
      <c r="C91" s="2" t="s">
        <v>11</v>
      </c>
      <c r="D91" s="1"/>
      <c r="E91" s="1" t="s">
        <v>12</v>
      </c>
      <c r="F91" s="3">
        <v>0</v>
      </c>
      <c r="G91" s="4">
        <v>0</v>
      </c>
      <c r="H91" s="72"/>
    </row>
    <row r="92" spans="1:8" x14ac:dyDescent="0.2">
      <c r="A92" s="1"/>
      <c r="B92" s="1"/>
      <c r="C92" s="5"/>
      <c r="D92" s="1"/>
      <c r="E92" s="1"/>
      <c r="F92" s="6"/>
      <c r="G92" s="6"/>
      <c r="H92" s="72"/>
    </row>
    <row r="93" spans="1:8" x14ac:dyDescent="0.2">
      <c r="A93" s="1"/>
      <c r="B93" s="10"/>
      <c r="C93" s="10"/>
      <c r="D93" s="2"/>
      <c r="E93" s="1"/>
      <c r="F93" s="10"/>
      <c r="G93" s="14"/>
      <c r="H93" s="72"/>
    </row>
    <row r="94" spans="1:8" x14ac:dyDescent="0.2">
      <c r="A94" s="14"/>
      <c r="B94" s="10"/>
      <c r="C94" s="10" t="s">
        <v>132</v>
      </c>
      <c r="D94" s="10"/>
      <c r="E94" s="14"/>
      <c r="F94" s="12">
        <v>1208.6321887700001</v>
      </c>
      <c r="G94" s="13">
        <v>1.5294145E-2</v>
      </c>
      <c r="H94" s="72"/>
    </row>
    <row r="95" spans="1:8" x14ac:dyDescent="0.2">
      <c r="A95" s="5"/>
      <c r="B95" s="5"/>
      <c r="C95" s="2" t="s">
        <v>133</v>
      </c>
      <c r="D95" s="6"/>
      <c r="E95" s="6"/>
      <c r="F95" s="7">
        <v>79025.807811270002</v>
      </c>
      <c r="G95" s="8">
        <v>1</v>
      </c>
      <c r="H95" s="72"/>
    </row>
    <row r="96" spans="1:8" ht="14.1" customHeight="1" x14ac:dyDescent="0.2">
      <c r="A96" s="15"/>
      <c r="B96" s="15"/>
      <c r="C96" s="15"/>
      <c r="D96" s="16"/>
      <c r="E96" s="16"/>
      <c r="F96" s="16"/>
      <c r="G96" s="16"/>
    </row>
    <row r="97" spans="1:7" ht="17.100000000000001" customHeight="1" x14ac:dyDescent="0.2">
      <c r="A97" s="17"/>
      <c r="B97" s="90" t="s">
        <v>134</v>
      </c>
      <c r="C97" s="90"/>
      <c r="D97" s="90"/>
      <c r="E97" s="90"/>
      <c r="F97" s="90"/>
      <c r="G97" s="19"/>
    </row>
    <row r="98" spans="1:7" ht="17.100000000000001" customHeight="1" x14ac:dyDescent="0.2">
      <c r="A98" s="17"/>
      <c r="B98" s="90" t="s">
        <v>135</v>
      </c>
      <c r="C98" s="90"/>
      <c r="D98" s="90"/>
      <c r="E98" s="90"/>
      <c r="F98" s="90"/>
      <c r="G98" s="19"/>
    </row>
    <row r="99" spans="1:7" ht="14.1" customHeight="1" x14ac:dyDescent="0.2">
      <c r="A99" s="17"/>
      <c r="B99" s="17"/>
      <c r="C99" s="17"/>
      <c r="D99" s="19"/>
      <c r="E99" s="19"/>
      <c r="F99" s="19"/>
      <c r="G99" s="19"/>
    </row>
    <row r="100" spans="1:7" ht="14.1" customHeight="1" x14ac:dyDescent="0.2">
      <c r="A100" s="17"/>
      <c r="B100" s="91" t="s">
        <v>136</v>
      </c>
      <c r="C100" s="92"/>
      <c r="D100" s="93"/>
      <c r="E100" s="20"/>
      <c r="F100" s="19"/>
      <c r="G100" s="19"/>
    </row>
    <row r="101" spans="1:7" ht="29.1" customHeight="1" x14ac:dyDescent="0.2">
      <c r="A101" s="17"/>
      <c r="B101" s="85" t="s">
        <v>137</v>
      </c>
      <c r="C101" s="86"/>
      <c r="D101" s="2" t="s">
        <v>138</v>
      </c>
      <c r="E101" s="20"/>
      <c r="F101" s="19"/>
      <c r="G101" s="19"/>
    </row>
    <row r="102" spans="1:7" ht="17.100000000000001" customHeight="1" x14ac:dyDescent="0.2">
      <c r="A102" s="17"/>
      <c r="B102" s="85" t="s">
        <v>139</v>
      </c>
      <c r="C102" s="86"/>
      <c r="D102" s="2" t="s">
        <v>138</v>
      </c>
      <c r="E102" s="20"/>
      <c r="F102" s="19"/>
      <c r="G102" s="19"/>
    </row>
    <row r="103" spans="1:7" ht="17.100000000000001" customHeight="1" x14ac:dyDescent="0.2">
      <c r="A103" s="17"/>
      <c r="B103" s="85" t="s">
        <v>140</v>
      </c>
      <c r="C103" s="86"/>
      <c r="D103" s="6" t="s">
        <v>12</v>
      </c>
      <c r="E103" s="20"/>
      <c r="F103" s="19"/>
      <c r="G103" s="19"/>
    </row>
    <row r="104" spans="1:7" ht="24" customHeight="1" x14ac:dyDescent="0.2">
      <c r="A104" s="21"/>
      <c r="B104" s="22" t="s">
        <v>12</v>
      </c>
      <c r="C104" s="22" t="s">
        <v>141</v>
      </c>
      <c r="D104" s="22" t="s">
        <v>142</v>
      </c>
      <c r="E104" s="21"/>
      <c r="F104" s="21"/>
      <c r="G104" s="21"/>
    </row>
    <row r="105" spans="1:7" ht="18" customHeight="1" x14ac:dyDescent="0.2">
      <c r="A105" s="21"/>
      <c r="B105" s="23" t="s">
        <v>143</v>
      </c>
      <c r="C105" s="22" t="s">
        <v>144</v>
      </c>
      <c r="D105" s="22" t="s">
        <v>145</v>
      </c>
      <c r="E105" s="21"/>
      <c r="F105" s="21"/>
      <c r="G105" s="21"/>
    </row>
    <row r="106" spans="1:7" ht="17.100000000000001" customHeight="1" x14ac:dyDescent="0.2">
      <c r="A106" s="21"/>
      <c r="B106" s="10" t="s">
        <v>146</v>
      </c>
      <c r="C106" s="24">
        <v>35.201700000000002</v>
      </c>
      <c r="D106" s="24">
        <v>34.966500000000003</v>
      </c>
      <c r="E106" s="21"/>
      <c r="F106" s="18"/>
      <c r="G106" s="25"/>
    </row>
    <row r="107" spans="1:7" ht="17.100000000000001" customHeight="1" x14ac:dyDescent="0.2">
      <c r="A107" s="21"/>
      <c r="B107" s="10" t="s">
        <v>205</v>
      </c>
      <c r="C107" s="24">
        <v>17.6127</v>
      </c>
      <c r="D107" s="24">
        <v>17.494800000000001</v>
      </c>
      <c r="E107" s="21"/>
      <c r="F107" s="18"/>
      <c r="G107" s="25"/>
    </row>
    <row r="108" spans="1:7" ht="29.1" customHeight="1" x14ac:dyDescent="0.2">
      <c r="A108" s="21"/>
      <c r="B108" s="10" t="s">
        <v>543</v>
      </c>
      <c r="C108" s="24">
        <v>10.1837</v>
      </c>
      <c r="D108" s="24">
        <v>10.115500000000001</v>
      </c>
      <c r="E108" s="21"/>
      <c r="F108" s="18"/>
      <c r="G108" s="25"/>
    </row>
    <row r="109" spans="1:7" ht="29.1" customHeight="1" x14ac:dyDescent="0.2">
      <c r="A109" s="21"/>
      <c r="B109" s="10" t="s">
        <v>534</v>
      </c>
      <c r="C109" s="24">
        <v>11.4862</v>
      </c>
      <c r="D109" s="24">
        <v>11.4093</v>
      </c>
      <c r="E109" s="21"/>
      <c r="F109" s="18"/>
      <c r="G109" s="25"/>
    </row>
    <row r="110" spans="1:7" ht="17.100000000000001" customHeight="1" x14ac:dyDescent="0.2">
      <c r="A110" s="21"/>
      <c r="B110" s="10" t="s">
        <v>206</v>
      </c>
      <c r="C110" s="24">
        <v>31.421199999999999</v>
      </c>
      <c r="D110" s="24">
        <v>31.206399999999999</v>
      </c>
      <c r="E110" s="21"/>
      <c r="F110" s="18"/>
      <c r="G110" s="25"/>
    </row>
    <row r="111" spans="1:7" ht="29.1" customHeight="1" x14ac:dyDescent="0.2">
      <c r="A111" s="21"/>
      <c r="B111" s="10" t="s">
        <v>544</v>
      </c>
      <c r="C111" s="24">
        <v>11.441800000000001</v>
      </c>
      <c r="D111" s="24">
        <v>11.3636</v>
      </c>
      <c r="E111" s="21"/>
      <c r="F111" s="18"/>
      <c r="G111" s="25"/>
    </row>
    <row r="112" spans="1:7" ht="17.100000000000001" customHeight="1" x14ac:dyDescent="0.2">
      <c r="A112" s="21"/>
      <c r="B112" s="10" t="s">
        <v>147</v>
      </c>
      <c r="C112" s="24">
        <v>34.8553</v>
      </c>
      <c r="D112" s="24">
        <v>34.627200000000002</v>
      </c>
      <c r="E112" s="21"/>
      <c r="F112" s="18"/>
      <c r="G112" s="25"/>
    </row>
    <row r="113" spans="1:15" ht="17.100000000000001" customHeight="1" x14ac:dyDescent="0.2">
      <c r="A113" s="21"/>
      <c r="B113" s="10" t="s">
        <v>207</v>
      </c>
      <c r="C113" s="24">
        <v>17.576599999999999</v>
      </c>
      <c r="D113" s="24">
        <v>17.461500000000001</v>
      </c>
      <c r="E113" s="21"/>
      <c r="F113" s="18"/>
      <c r="G113" s="25"/>
    </row>
    <row r="114" spans="1:15" ht="29.1" customHeight="1" x14ac:dyDescent="0.2">
      <c r="A114" s="21"/>
      <c r="B114" s="10" t="s">
        <v>545</v>
      </c>
      <c r="C114" s="24">
        <v>10.307</v>
      </c>
      <c r="D114" s="24">
        <v>10.2395</v>
      </c>
      <c r="E114" s="21"/>
      <c r="F114" s="18"/>
      <c r="G114" s="25"/>
    </row>
    <row r="115" spans="1:15" ht="29.1" customHeight="1" x14ac:dyDescent="0.2">
      <c r="A115" s="21"/>
      <c r="B115" s="10" t="s">
        <v>546</v>
      </c>
      <c r="C115" s="24">
        <v>12.0549</v>
      </c>
      <c r="D115" s="24">
        <v>11.985799999999999</v>
      </c>
      <c r="E115" s="21"/>
      <c r="F115" s="18"/>
      <c r="G115" s="25"/>
    </row>
    <row r="116" spans="1:15" ht="29.1" customHeight="1" x14ac:dyDescent="0.2">
      <c r="A116" s="21"/>
      <c r="B116" s="10" t="s">
        <v>538</v>
      </c>
      <c r="C116" s="24">
        <v>11.5367</v>
      </c>
      <c r="D116" s="24">
        <v>11.4611</v>
      </c>
      <c r="E116" s="21"/>
      <c r="F116" s="18"/>
      <c r="G116" s="25"/>
    </row>
    <row r="117" spans="1:15" ht="14.1" customHeight="1" x14ac:dyDescent="0.2">
      <c r="A117" s="21"/>
      <c r="B117" s="21"/>
      <c r="C117" s="21"/>
      <c r="D117" s="21"/>
      <c r="E117" s="21"/>
      <c r="F117" s="21"/>
      <c r="G117" s="21"/>
    </row>
    <row r="118" spans="1:15" ht="17.100000000000001" customHeight="1" x14ac:dyDescent="0.2">
      <c r="A118" s="21"/>
      <c r="B118" s="85" t="s">
        <v>542</v>
      </c>
      <c r="C118" s="86"/>
      <c r="D118" s="2" t="s">
        <v>138</v>
      </c>
      <c r="E118" s="21"/>
      <c r="F118" s="21"/>
      <c r="G118" s="21"/>
    </row>
    <row r="119" spans="1:15" ht="14.1" customHeight="1" x14ac:dyDescent="0.2">
      <c r="A119" s="21"/>
      <c r="B119" s="18"/>
      <c r="C119" s="18"/>
      <c r="D119" s="21"/>
      <c r="E119" s="21"/>
      <c r="F119" s="21"/>
      <c r="G119" s="21"/>
    </row>
    <row r="120" spans="1:15" ht="17.100000000000001" customHeight="1" x14ac:dyDescent="0.2">
      <c r="A120" s="21"/>
      <c r="B120" s="94" t="s">
        <v>479</v>
      </c>
      <c r="C120" s="95"/>
      <c r="D120" s="2" t="s">
        <v>138</v>
      </c>
      <c r="E120" s="21"/>
      <c r="F120" s="18"/>
      <c r="G120" s="25"/>
    </row>
    <row r="121" spans="1:15" ht="29.1" customHeight="1" x14ac:dyDescent="0.2">
      <c r="A121" s="21"/>
      <c r="B121" s="94" t="s">
        <v>480</v>
      </c>
      <c r="C121" s="95"/>
      <c r="D121" s="2" t="s">
        <v>138</v>
      </c>
      <c r="E121" s="31"/>
      <c r="F121" s="21"/>
      <c r="G121" s="21"/>
    </row>
    <row r="122" spans="1:15" ht="29.1" customHeight="1" x14ac:dyDescent="0.2">
      <c r="A122" s="21"/>
      <c r="B122" s="94" t="s">
        <v>481</v>
      </c>
      <c r="C122" s="95"/>
      <c r="D122" s="2" t="s">
        <v>138</v>
      </c>
      <c r="E122" s="31"/>
      <c r="F122" s="21"/>
      <c r="G122" s="21"/>
    </row>
    <row r="123" spans="1:15" ht="17.100000000000001" customHeight="1" x14ac:dyDescent="0.2">
      <c r="A123" s="21"/>
      <c r="B123" s="94" t="s">
        <v>482</v>
      </c>
      <c r="C123" s="95"/>
      <c r="D123" s="32">
        <v>2.0186004129872743</v>
      </c>
      <c r="E123" s="31"/>
      <c r="F123" s="21"/>
      <c r="G123" s="21"/>
    </row>
    <row r="124" spans="1:15" ht="17.100000000000001" customHeight="1" x14ac:dyDescent="0.2">
      <c r="A124" s="21"/>
      <c r="B124" s="94" t="s">
        <v>483</v>
      </c>
      <c r="C124" s="95"/>
      <c r="D124" s="32">
        <v>1.8148695213456802</v>
      </c>
      <c r="E124" s="31"/>
      <c r="F124" s="21"/>
      <c r="G124" s="21"/>
      <c r="I124" s="41"/>
      <c r="O124" s="41"/>
    </row>
    <row r="125" spans="1:15" ht="17.100000000000001" customHeight="1" x14ac:dyDescent="0.2">
      <c r="A125" s="21"/>
      <c r="B125" s="94" t="s">
        <v>484</v>
      </c>
      <c r="C125" s="95"/>
      <c r="D125" s="2" t="s">
        <v>138</v>
      </c>
      <c r="E125" s="31"/>
      <c r="F125" s="21"/>
      <c r="G125" s="21"/>
    </row>
    <row r="130" customFormat="1" x14ac:dyDescent="0.2"/>
  </sheetData>
  <mergeCells count="17">
    <mergeCell ref="J2:N2"/>
    <mergeCell ref="B122:C122"/>
    <mergeCell ref="B123:C123"/>
    <mergeCell ref="B124:C124"/>
    <mergeCell ref="B125:C125"/>
    <mergeCell ref="B120:C120"/>
    <mergeCell ref="B121:C121"/>
    <mergeCell ref="B118:C118"/>
    <mergeCell ref="B102:C102"/>
    <mergeCell ref="B103:C103"/>
    <mergeCell ref="A1:H1"/>
    <mergeCell ref="A2:H2"/>
    <mergeCell ref="A3:H3"/>
    <mergeCell ref="B100:D100"/>
    <mergeCell ref="B101:C101"/>
    <mergeCell ref="B97:F97"/>
    <mergeCell ref="B98:F98"/>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0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89" t="s">
        <v>0</v>
      </c>
      <c r="B1" s="89"/>
      <c r="C1" s="89"/>
      <c r="D1" s="89"/>
      <c r="E1" s="89"/>
      <c r="F1" s="89"/>
      <c r="G1" s="89"/>
      <c r="H1" s="89"/>
    </row>
    <row r="2" spans="1:14" ht="17.100000000000001" customHeight="1" x14ac:dyDescent="0.2">
      <c r="A2" s="89" t="s">
        <v>208</v>
      </c>
      <c r="B2" s="89"/>
      <c r="C2" s="89"/>
      <c r="D2" s="89"/>
      <c r="E2" s="89"/>
      <c r="F2" s="89"/>
      <c r="G2" s="89"/>
      <c r="H2" s="89"/>
      <c r="J2" s="87" t="s">
        <v>555</v>
      </c>
      <c r="K2" s="87"/>
      <c r="L2" s="87"/>
      <c r="M2" s="87"/>
      <c r="N2" s="87"/>
    </row>
    <row r="3" spans="1:14" ht="21" customHeight="1" x14ac:dyDescent="0.2">
      <c r="A3" s="89" t="s">
        <v>550</v>
      </c>
      <c r="B3" s="89"/>
      <c r="C3" s="89"/>
      <c r="D3" s="89"/>
      <c r="E3" s="89"/>
      <c r="F3" s="89"/>
      <c r="G3" s="89"/>
      <c r="H3" s="89"/>
    </row>
    <row r="4" spans="1:14" s="76" customFormat="1" ht="30" x14ac:dyDescent="0.2">
      <c r="A4" s="75" t="s">
        <v>2</v>
      </c>
      <c r="B4" s="75" t="s">
        <v>3</v>
      </c>
      <c r="C4" s="75" t="s">
        <v>4</v>
      </c>
      <c r="D4" s="75" t="s">
        <v>5</v>
      </c>
      <c r="E4" s="75" t="s">
        <v>6</v>
      </c>
      <c r="F4" s="75" t="s">
        <v>7</v>
      </c>
      <c r="G4" s="75" t="s">
        <v>8</v>
      </c>
      <c r="H4" s="71" t="s">
        <v>531</v>
      </c>
      <c r="J4" s="77"/>
      <c r="K4" s="77"/>
      <c r="L4" s="77"/>
      <c r="M4" s="77"/>
      <c r="N4" s="77"/>
    </row>
    <row r="5" spans="1:14" ht="14.1" customHeight="1" x14ac:dyDescent="0.2">
      <c r="A5" s="1"/>
      <c r="B5" s="1"/>
      <c r="C5" s="2" t="s">
        <v>9</v>
      </c>
      <c r="D5" s="1"/>
      <c r="E5" s="1"/>
      <c r="F5" s="1"/>
      <c r="G5" s="1"/>
      <c r="H5" s="72"/>
    </row>
    <row r="6" spans="1:14" ht="25.5" x14ac:dyDescent="0.2">
      <c r="A6" s="1"/>
      <c r="B6" s="1"/>
      <c r="C6" s="2" t="s">
        <v>10</v>
      </c>
      <c r="D6" s="1"/>
      <c r="E6" s="1"/>
      <c r="F6" s="1"/>
      <c r="G6" s="1"/>
      <c r="H6" s="72"/>
    </row>
    <row r="7" spans="1:14" x14ac:dyDescent="0.2">
      <c r="A7" s="1"/>
      <c r="B7" s="1"/>
      <c r="C7" s="2" t="s">
        <v>11</v>
      </c>
      <c r="D7" s="1"/>
      <c r="E7" s="1" t="s">
        <v>12</v>
      </c>
      <c r="F7" s="3">
        <v>0</v>
      </c>
      <c r="G7" s="4">
        <v>0</v>
      </c>
      <c r="H7" s="72"/>
    </row>
    <row r="8" spans="1:14" x14ac:dyDescent="0.2">
      <c r="A8" s="1"/>
      <c r="B8" s="1"/>
      <c r="C8" s="5"/>
      <c r="D8" s="1"/>
      <c r="E8" s="1"/>
      <c r="F8" s="6"/>
      <c r="G8" s="6"/>
      <c r="H8" s="72"/>
    </row>
    <row r="9" spans="1:14" x14ac:dyDescent="0.2">
      <c r="A9" s="1"/>
      <c r="B9" s="1"/>
      <c r="C9" s="2" t="s">
        <v>13</v>
      </c>
      <c r="D9" s="1"/>
      <c r="E9" s="1"/>
      <c r="F9" s="1"/>
      <c r="G9" s="1"/>
      <c r="H9" s="72"/>
    </row>
    <row r="10" spans="1:14" x14ac:dyDescent="0.2">
      <c r="A10" s="1"/>
      <c r="B10" s="1"/>
      <c r="C10" s="2" t="s">
        <v>11</v>
      </c>
      <c r="D10" s="1"/>
      <c r="E10" s="1" t="s">
        <v>12</v>
      </c>
      <c r="F10" s="3">
        <v>0</v>
      </c>
      <c r="G10" s="4">
        <v>0</v>
      </c>
      <c r="H10" s="72"/>
    </row>
    <row r="11" spans="1:14" x14ac:dyDescent="0.2">
      <c r="A11" s="1"/>
      <c r="B11" s="1"/>
      <c r="C11" s="5"/>
      <c r="D11" s="1"/>
      <c r="E11" s="1"/>
      <c r="F11" s="6"/>
      <c r="G11" s="6"/>
      <c r="H11" s="72"/>
    </row>
    <row r="12" spans="1:14" x14ac:dyDescent="0.2">
      <c r="A12" s="1"/>
      <c r="B12" s="1"/>
      <c r="C12" s="2" t="s">
        <v>14</v>
      </c>
      <c r="D12" s="1"/>
      <c r="E12" s="1"/>
      <c r="F12" s="1"/>
      <c r="G12" s="1"/>
      <c r="H12" s="72"/>
    </row>
    <row r="13" spans="1:14" x14ac:dyDescent="0.2">
      <c r="A13" s="1"/>
      <c r="B13" s="1"/>
      <c r="C13" s="2" t="s">
        <v>11</v>
      </c>
      <c r="D13" s="1"/>
      <c r="E13" s="1" t="s">
        <v>12</v>
      </c>
      <c r="F13" s="3">
        <v>0</v>
      </c>
      <c r="G13" s="4">
        <v>0</v>
      </c>
      <c r="H13" s="72"/>
    </row>
    <row r="14" spans="1:14" x14ac:dyDescent="0.2">
      <c r="A14" s="1"/>
      <c r="B14" s="1"/>
      <c r="C14" s="5"/>
      <c r="D14" s="1"/>
      <c r="E14" s="1"/>
      <c r="F14" s="6"/>
      <c r="G14" s="6"/>
      <c r="H14" s="72"/>
    </row>
    <row r="15" spans="1:14" x14ac:dyDescent="0.2">
      <c r="A15" s="1"/>
      <c r="B15" s="1"/>
      <c r="C15" s="2" t="s">
        <v>15</v>
      </c>
      <c r="D15" s="1"/>
      <c r="E15" s="1"/>
      <c r="F15" s="1"/>
      <c r="G15" s="1"/>
      <c r="H15" s="72"/>
    </row>
    <row r="16" spans="1:14" ht="15" x14ac:dyDescent="0.25">
      <c r="A16" s="1"/>
      <c r="B16" s="1"/>
      <c r="C16" s="2" t="s">
        <v>11</v>
      </c>
      <c r="D16" s="1"/>
      <c r="E16" s="1" t="s">
        <v>12</v>
      </c>
      <c r="F16" s="3">
        <v>0</v>
      </c>
      <c r="G16" s="4">
        <v>0</v>
      </c>
      <c r="H16" s="72"/>
      <c r="J16" s="79" t="s">
        <v>568</v>
      </c>
      <c r="K16" s="80"/>
      <c r="L16" s="80"/>
      <c r="M16" s="80"/>
      <c r="N16" s="80"/>
    </row>
    <row r="17" spans="1:14" x14ac:dyDescent="0.2">
      <c r="A17" s="1"/>
      <c r="B17" s="1"/>
      <c r="C17" s="5"/>
      <c r="D17" s="1"/>
      <c r="E17" s="1"/>
      <c r="F17" s="6"/>
      <c r="G17" s="6"/>
      <c r="H17" s="72"/>
    </row>
    <row r="18" spans="1:14" x14ac:dyDescent="0.2">
      <c r="A18" s="1"/>
      <c r="B18" s="1"/>
      <c r="C18" s="2" t="s">
        <v>16</v>
      </c>
      <c r="D18" s="1"/>
      <c r="E18" s="1"/>
      <c r="F18" s="6"/>
      <c r="G18" s="6"/>
      <c r="H18" s="72"/>
    </row>
    <row r="19" spans="1:14" x14ac:dyDescent="0.2">
      <c r="A19" s="1"/>
      <c r="B19" s="1"/>
      <c r="C19" s="2" t="s">
        <v>11</v>
      </c>
      <c r="D19" s="1"/>
      <c r="E19" s="1" t="s">
        <v>12</v>
      </c>
      <c r="F19" s="3">
        <v>0</v>
      </c>
      <c r="G19" s="4">
        <v>0</v>
      </c>
      <c r="H19" s="72"/>
    </row>
    <row r="20" spans="1:14" x14ac:dyDescent="0.2">
      <c r="A20" s="1"/>
      <c r="B20" s="1"/>
      <c r="C20" s="5"/>
      <c r="D20" s="1"/>
      <c r="E20" s="1"/>
      <c r="F20" s="6"/>
      <c r="G20" s="6"/>
      <c r="H20" s="72"/>
    </row>
    <row r="21" spans="1:14" x14ac:dyDescent="0.2">
      <c r="A21" s="1"/>
      <c r="B21" s="1"/>
      <c r="C21" s="2" t="s">
        <v>17</v>
      </c>
      <c r="D21" s="1"/>
      <c r="E21" s="1"/>
      <c r="F21" s="6"/>
      <c r="G21" s="6"/>
      <c r="H21" s="72"/>
    </row>
    <row r="22" spans="1:14" x14ac:dyDescent="0.2">
      <c r="A22" s="1"/>
      <c r="B22" s="1"/>
      <c r="C22" s="2" t="s">
        <v>11</v>
      </c>
      <c r="D22" s="1"/>
      <c r="E22" s="1" t="s">
        <v>12</v>
      </c>
      <c r="F22" s="3">
        <v>0</v>
      </c>
      <c r="G22" s="4">
        <v>0</v>
      </c>
      <c r="H22" s="72"/>
    </row>
    <row r="23" spans="1:14" x14ac:dyDescent="0.2">
      <c r="A23" s="1"/>
      <c r="B23" s="1"/>
      <c r="C23" s="5"/>
      <c r="D23" s="1"/>
      <c r="E23" s="1"/>
      <c r="F23" s="6"/>
      <c r="G23" s="6"/>
      <c r="H23" s="72"/>
    </row>
    <row r="24" spans="1:14" x14ac:dyDescent="0.2">
      <c r="A24" s="1"/>
      <c r="B24" s="1"/>
      <c r="C24" s="2" t="s">
        <v>18</v>
      </c>
      <c r="D24" s="1"/>
      <c r="E24" s="1"/>
      <c r="F24" s="7">
        <v>0</v>
      </c>
      <c r="G24" s="8">
        <v>0</v>
      </c>
      <c r="H24" s="72"/>
    </row>
    <row r="25" spans="1:14" x14ac:dyDescent="0.2">
      <c r="A25" s="1"/>
      <c r="B25" s="1"/>
      <c r="C25" s="5"/>
      <c r="D25" s="1"/>
      <c r="E25" s="1"/>
      <c r="F25" s="6"/>
      <c r="G25" s="6"/>
      <c r="H25" s="72"/>
    </row>
    <row r="26" spans="1:14" x14ac:dyDescent="0.2">
      <c r="A26" s="1"/>
      <c r="B26" s="1"/>
      <c r="C26" s="2" t="s">
        <v>19</v>
      </c>
      <c r="D26" s="1"/>
      <c r="E26" s="1"/>
      <c r="F26" s="6"/>
      <c r="G26" s="6"/>
      <c r="H26" s="72"/>
    </row>
    <row r="27" spans="1:14" ht="25.5" x14ac:dyDescent="0.2">
      <c r="A27" s="1"/>
      <c r="B27" s="1"/>
      <c r="C27" s="2" t="s">
        <v>10</v>
      </c>
      <c r="D27" s="1"/>
      <c r="E27" s="1"/>
      <c r="F27" s="6"/>
      <c r="G27" s="6"/>
      <c r="H27" s="72"/>
    </row>
    <row r="28" spans="1:14" x14ac:dyDescent="0.2">
      <c r="A28" s="1"/>
      <c r="B28" s="1"/>
      <c r="C28" s="2" t="s">
        <v>11</v>
      </c>
      <c r="D28" s="1"/>
      <c r="E28" s="1" t="s">
        <v>12</v>
      </c>
      <c r="F28" s="3">
        <v>0</v>
      </c>
      <c r="G28" s="4">
        <v>0</v>
      </c>
      <c r="H28" s="72"/>
    </row>
    <row r="29" spans="1:14" x14ac:dyDescent="0.2">
      <c r="A29" s="1"/>
      <c r="B29" s="1"/>
      <c r="C29" s="5"/>
      <c r="D29" s="1"/>
      <c r="E29" s="1"/>
      <c r="F29" s="6"/>
      <c r="G29" s="6"/>
      <c r="H29" s="72"/>
    </row>
    <row r="30" spans="1:14" x14ac:dyDescent="0.2">
      <c r="A30" s="1"/>
      <c r="B30" s="1"/>
      <c r="C30" s="2" t="s">
        <v>97</v>
      </c>
      <c r="D30" s="1"/>
      <c r="E30" s="1"/>
      <c r="F30" s="1"/>
      <c r="G30" s="1"/>
      <c r="H30" s="72"/>
    </row>
    <row r="31" spans="1:14" ht="15" x14ac:dyDescent="0.25">
      <c r="A31" s="1"/>
      <c r="B31" s="1"/>
      <c r="C31" s="2" t="s">
        <v>11</v>
      </c>
      <c r="D31" s="1"/>
      <c r="E31" s="1" t="s">
        <v>12</v>
      </c>
      <c r="F31" s="3">
        <v>0</v>
      </c>
      <c r="G31" s="4">
        <v>0</v>
      </c>
      <c r="H31" s="72"/>
      <c r="J31" s="79" t="s">
        <v>558</v>
      </c>
      <c r="K31" s="80"/>
      <c r="L31" s="80"/>
      <c r="M31" s="80"/>
      <c r="N31" s="80"/>
    </row>
    <row r="32" spans="1:14" x14ac:dyDescent="0.2">
      <c r="A32" s="1"/>
      <c r="B32" s="1"/>
      <c r="C32" s="5"/>
      <c r="D32" s="1"/>
      <c r="E32" s="1"/>
      <c r="F32" s="6"/>
      <c r="G32" s="6"/>
      <c r="H32" s="72"/>
    </row>
    <row r="33" spans="1:8" x14ac:dyDescent="0.2">
      <c r="A33" s="1"/>
      <c r="B33" s="1"/>
      <c r="C33" s="2" t="s">
        <v>98</v>
      </c>
      <c r="D33" s="1"/>
      <c r="E33" s="1"/>
      <c r="F33" s="1"/>
      <c r="G33" s="1"/>
      <c r="H33" s="72"/>
    </row>
    <row r="34" spans="1:8" x14ac:dyDescent="0.2">
      <c r="A34" s="1"/>
      <c r="B34" s="1"/>
      <c r="C34" s="2" t="s">
        <v>11</v>
      </c>
      <c r="D34" s="1"/>
      <c r="E34" s="1" t="s">
        <v>12</v>
      </c>
      <c r="F34" s="3">
        <v>0</v>
      </c>
      <c r="G34" s="4">
        <v>0</v>
      </c>
      <c r="H34" s="72"/>
    </row>
    <row r="35" spans="1:8" x14ac:dyDescent="0.2">
      <c r="A35" s="1"/>
      <c r="B35" s="1"/>
      <c r="C35" s="5"/>
      <c r="D35" s="1"/>
      <c r="E35" s="1"/>
      <c r="F35" s="6"/>
      <c r="G35" s="6"/>
      <c r="H35" s="72"/>
    </row>
    <row r="36" spans="1:8" x14ac:dyDescent="0.2">
      <c r="A36" s="1"/>
      <c r="B36" s="1"/>
      <c r="C36" s="2" t="s">
        <v>108</v>
      </c>
      <c r="D36" s="1"/>
      <c r="E36" s="1"/>
      <c r="F36" s="6"/>
      <c r="G36" s="6"/>
      <c r="H36" s="72"/>
    </row>
    <row r="37" spans="1:8" x14ac:dyDescent="0.2">
      <c r="A37" s="1"/>
      <c r="B37" s="1"/>
      <c r="C37" s="2" t="s">
        <v>11</v>
      </c>
      <c r="D37" s="1"/>
      <c r="E37" s="1" t="s">
        <v>12</v>
      </c>
      <c r="F37" s="3">
        <v>0</v>
      </c>
      <c r="G37" s="4">
        <v>0</v>
      </c>
      <c r="H37" s="72"/>
    </row>
    <row r="38" spans="1:8" x14ac:dyDescent="0.2">
      <c r="A38" s="1"/>
      <c r="B38" s="1"/>
      <c r="C38" s="5"/>
      <c r="D38" s="1"/>
      <c r="E38" s="1"/>
      <c r="F38" s="6"/>
      <c r="G38" s="6"/>
      <c r="H38" s="72"/>
    </row>
    <row r="39" spans="1:8" x14ac:dyDescent="0.2">
      <c r="A39" s="1"/>
      <c r="B39" s="1"/>
      <c r="C39" s="2" t="s">
        <v>109</v>
      </c>
      <c r="D39" s="1"/>
      <c r="E39" s="1"/>
      <c r="F39" s="7">
        <v>0</v>
      </c>
      <c r="G39" s="8">
        <v>0</v>
      </c>
      <c r="H39" s="72"/>
    </row>
    <row r="40" spans="1:8" x14ac:dyDescent="0.2">
      <c r="A40" s="1"/>
      <c r="B40" s="1"/>
      <c r="C40" s="5"/>
      <c r="D40" s="1"/>
      <c r="E40" s="1"/>
      <c r="F40" s="6"/>
      <c r="G40" s="6"/>
      <c r="H40" s="72"/>
    </row>
    <row r="41" spans="1:8" x14ac:dyDescent="0.2">
      <c r="A41" s="1"/>
      <c r="B41" s="1"/>
      <c r="C41" s="2" t="s">
        <v>110</v>
      </c>
      <c r="D41" s="1"/>
      <c r="E41" s="1"/>
      <c r="F41" s="6"/>
      <c r="G41" s="6"/>
      <c r="H41" s="72"/>
    </row>
    <row r="42" spans="1:8" x14ac:dyDescent="0.2">
      <c r="A42" s="1"/>
      <c r="B42" s="1"/>
      <c r="C42" s="2" t="s">
        <v>111</v>
      </c>
      <c r="D42" s="1"/>
      <c r="E42" s="1"/>
      <c r="F42" s="6"/>
      <c r="G42" s="6"/>
      <c r="H42" s="72"/>
    </row>
    <row r="43" spans="1:8" x14ac:dyDescent="0.2">
      <c r="A43" s="1"/>
      <c r="B43" s="1"/>
      <c r="C43" s="2" t="s">
        <v>11</v>
      </c>
      <c r="D43" s="1"/>
      <c r="E43" s="1" t="s">
        <v>12</v>
      </c>
      <c r="F43" s="3">
        <v>0</v>
      </c>
      <c r="G43" s="4">
        <v>0</v>
      </c>
      <c r="H43" s="72"/>
    </row>
    <row r="44" spans="1:8" x14ac:dyDescent="0.2">
      <c r="A44" s="1"/>
      <c r="B44" s="1"/>
      <c r="C44" s="5"/>
      <c r="D44" s="1"/>
      <c r="E44" s="1"/>
      <c r="F44" s="6"/>
      <c r="G44" s="6"/>
      <c r="H44" s="72"/>
    </row>
    <row r="45" spans="1:8" x14ac:dyDescent="0.2">
      <c r="A45" s="1"/>
      <c r="B45" s="1"/>
      <c r="C45" s="2" t="s">
        <v>120</v>
      </c>
      <c r="D45" s="1"/>
      <c r="E45" s="1"/>
      <c r="F45" s="6"/>
      <c r="G45" s="6"/>
      <c r="H45" s="72"/>
    </row>
    <row r="46" spans="1:8" x14ac:dyDescent="0.2">
      <c r="A46" s="1"/>
      <c r="B46" s="1"/>
      <c r="C46" s="2" t="s">
        <v>11</v>
      </c>
      <c r="D46" s="1"/>
      <c r="E46" s="1" t="s">
        <v>12</v>
      </c>
      <c r="F46" s="3">
        <v>0</v>
      </c>
      <c r="G46" s="4">
        <v>0</v>
      </c>
      <c r="H46" s="72"/>
    </row>
    <row r="47" spans="1:8" x14ac:dyDescent="0.2">
      <c r="A47" s="1"/>
      <c r="B47" s="1"/>
      <c r="C47" s="5"/>
      <c r="D47" s="1"/>
      <c r="E47" s="1"/>
      <c r="F47" s="6"/>
      <c r="G47" s="6"/>
      <c r="H47" s="72"/>
    </row>
    <row r="48" spans="1:8" x14ac:dyDescent="0.2">
      <c r="A48" s="1"/>
      <c r="B48" s="1"/>
      <c r="C48" s="2" t="s">
        <v>123</v>
      </c>
      <c r="D48" s="1"/>
      <c r="E48" s="1"/>
      <c r="F48" s="6"/>
      <c r="G48" s="6"/>
      <c r="H48" s="72"/>
    </row>
    <row r="49" spans="1:8" x14ac:dyDescent="0.2">
      <c r="A49" s="9">
        <v>1</v>
      </c>
      <c r="B49" s="10" t="s">
        <v>209</v>
      </c>
      <c r="C49" s="10" t="s">
        <v>466</v>
      </c>
      <c r="D49" s="10" t="s">
        <v>101</v>
      </c>
      <c r="E49" s="11">
        <v>2000000</v>
      </c>
      <c r="F49" s="12">
        <v>1989.104</v>
      </c>
      <c r="G49" s="13">
        <v>0.60651217700000004</v>
      </c>
      <c r="H49" s="72">
        <v>4.6500000000000004</v>
      </c>
    </row>
    <row r="50" spans="1:8" x14ac:dyDescent="0.2">
      <c r="A50" s="9">
        <v>2</v>
      </c>
      <c r="B50" s="10" t="s">
        <v>210</v>
      </c>
      <c r="C50" s="10" t="s">
        <v>465</v>
      </c>
      <c r="D50" s="10" t="s">
        <v>101</v>
      </c>
      <c r="E50" s="11">
        <v>1000000</v>
      </c>
      <c r="F50" s="12">
        <v>995.48500000000001</v>
      </c>
      <c r="G50" s="13">
        <v>0.30354057600000001</v>
      </c>
      <c r="H50" s="72">
        <v>4.5982000000000003</v>
      </c>
    </row>
    <row r="51" spans="1:8" x14ac:dyDescent="0.2">
      <c r="A51" s="1"/>
      <c r="B51" s="1"/>
      <c r="C51" s="2" t="s">
        <v>11</v>
      </c>
      <c r="D51" s="1"/>
      <c r="E51" s="1" t="s">
        <v>12</v>
      </c>
      <c r="F51" s="7">
        <v>2984.5889999999999</v>
      </c>
      <c r="G51" s="8">
        <v>0.91005275299999999</v>
      </c>
      <c r="H51" s="72"/>
    </row>
    <row r="52" spans="1:8" x14ac:dyDescent="0.2">
      <c r="A52" s="1"/>
      <c r="B52" s="1"/>
      <c r="C52" s="5"/>
      <c r="D52" s="1"/>
      <c r="E52" s="1"/>
      <c r="F52" s="6"/>
      <c r="G52" s="6"/>
      <c r="H52" s="72"/>
    </row>
    <row r="53" spans="1:8" x14ac:dyDescent="0.2">
      <c r="A53" s="1"/>
      <c r="B53" s="1"/>
      <c r="C53" s="2" t="s">
        <v>124</v>
      </c>
      <c r="D53" s="1"/>
      <c r="E53" s="1"/>
      <c r="F53" s="6"/>
      <c r="G53" s="6"/>
      <c r="H53" s="72"/>
    </row>
    <row r="54" spans="1:8" x14ac:dyDescent="0.2">
      <c r="A54" s="9">
        <v>1</v>
      </c>
      <c r="B54" s="10"/>
      <c r="C54" s="10" t="s">
        <v>125</v>
      </c>
      <c r="D54" s="10"/>
      <c r="E54" s="14"/>
      <c r="F54" s="12">
        <v>294.9757894</v>
      </c>
      <c r="G54" s="13">
        <v>8.9943215000000007E-2</v>
      </c>
      <c r="H54" s="72">
        <v>4.1713246754849944</v>
      </c>
    </row>
    <row r="55" spans="1:8" x14ac:dyDescent="0.2">
      <c r="A55" s="1"/>
      <c r="B55" s="1"/>
      <c r="C55" s="2" t="s">
        <v>11</v>
      </c>
      <c r="D55" s="1"/>
      <c r="E55" s="1" t="s">
        <v>12</v>
      </c>
      <c r="F55" s="7">
        <v>294.9757894</v>
      </c>
      <c r="G55" s="8">
        <v>8.9943215000000007E-2</v>
      </c>
      <c r="H55" s="72"/>
    </row>
    <row r="56" spans="1:8" x14ac:dyDescent="0.2">
      <c r="A56" s="1"/>
      <c r="B56" s="1"/>
      <c r="C56" s="5"/>
      <c r="D56" s="1"/>
      <c r="E56" s="1"/>
      <c r="F56" s="6"/>
      <c r="G56" s="6"/>
      <c r="H56" s="72"/>
    </row>
    <row r="57" spans="1:8" x14ac:dyDescent="0.2">
      <c r="A57" s="1"/>
      <c r="B57" s="1"/>
      <c r="C57" s="2" t="s">
        <v>126</v>
      </c>
      <c r="D57" s="1"/>
      <c r="E57" s="1"/>
      <c r="F57" s="7">
        <v>3279.5647893999999</v>
      </c>
      <c r="G57" s="8">
        <v>0.99999596800000001</v>
      </c>
      <c r="H57" s="72"/>
    </row>
    <row r="58" spans="1:8" x14ac:dyDescent="0.2">
      <c r="A58" s="1"/>
      <c r="B58" s="1"/>
      <c r="C58" s="6"/>
      <c r="D58" s="1"/>
      <c r="E58" s="1"/>
      <c r="F58" s="1"/>
      <c r="G58" s="1"/>
      <c r="H58" s="72"/>
    </row>
    <row r="59" spans="1:8" x14ac:dyDescent="0.2">
      <c r="A59" s="1"/>
      <c r="B59" s="1"/>
      <c r="C59" s="2" t="s">
        <v>127</v>
      </c>
      <c r="D59" s="1"/>
      <c r="E59" s="1"/>
      <c r="F59" s="1"/>
      <c r="G59" s="1"/>
      <c r="H59" s="72"/>
    </row>
    <row r="60" spans="1:8" x14ac:dyDescent="0.2">
      <c r="A60" s="1"/>
      <c r="B60" s="1"/>
      <c r="C60" s="2" t="s">
        <v>128</v>
      </c>
      <c r="D60" s="1"/>
      <c r="E60" s="1"/>
      <c r="F60" s="1"/>
      <c r="G60" s="1"/>
      <c r="H60" s="72"/>
    </row>
    <row r="61" spans="1:8" x14ac:dyDescent="0.2">
      <c r="A61" s="1"/>
      <c r="B61" s="1"/>
      <c r="C61" s="2" t="s">
        <v>11</v>
      </c>
      <c r="D61" s="1"/>
      <c r="E61" s="1" t="s">
        <v>12</v>
      </c>
      <c r="F61" s="3">
        <v>0</v>
      </c>
      <c r="G61" s="4">
        <v>0</v>
      </c>
      <c r="H61" s="72"/>
    </row>
    <row r="62" spans="1:8" x14ac:dyDescent="0.2">
      <c r="A62" s="1"/>
      <c r="B62" s="1"/>
      <c r="C62" s="5"/>
      <c r="D62" s="1"/>
      <c r="E62" s="1"/>
      <c r="F62" s="6"/>
      <c r="G62" s="6"/>
      <c r="H62" s="72"/>
    </row>
    <row r="63" spans="1:8" x14ac:dyDescent="0.2">
      <c r="A63" s="1"/>
      <c r="B63" s="1"/>
      <c r="C63" s="2" t="s">
        <v>129</v>
      </c>
      <c r="D63" s="1"/>
      <c r="E63" s="1"/>
      <c r="F63" s="1"/>
      <c r="G63" s="1"/>
      <c r="H63" s="72"/>
    </row>
    <row r="64" spans="1:8" x14ac:dyDescent="0.2">
      <c r="A64" s="1"/>
      <c r="B64" s="1"/>
      <c r="C64" s="2" t="s">
        <v>130</v>
      </c>
      <c r="D64" s="1"/>
      <c r="E64" s="1"/>
      <c r="F64" s="1"/>
      <c r="G64" s="1"/>
      <c r="H64" s="72"/>
    </row>
    <row r="65" spans="1:8" x14ac:dyDescent="0.2">
      <c r="A65" s="1"/>
      <c r="B65" s="1"/>
      <c r="C65" s="2" t="s">
        <v>11</v>
      </c>
      <c r="D65" s="1"/>
      <c r="E65" s="1" t="s">
        <v>12</v>
      </c>
      <c r="F65" s="3">
        <v>0</v>
      </c>
      <c r="G65" s="4">
        <v>0</v>
      </c>
      <c r="H65" s="72"/>
    </row>
    <row r="66" spans="1:8" x14ac:dyDescent="0.2">
      <c r="A66" s="1"/>
      <c r="B66" s="1"/>
      <c r="C66" s="5"/>
      <c r="D66" s="1"/>
      <c r="E66" s="1"/>
      <c r="F66" s="6"/>
      <c r="G66" s="6"/>
      <c r="H66" s="72"/>
    </row>
    <row r="67" spans="1:8" ht="25.5" x14ac:dyDescent="0.2">
      <c r="A67" s="1"/>
      <c r="B67" s="1"/>
      <c r="C67" s="2" t="s">
        <v>131</v>
      </c>
      <c r="D67" s="1"/>
      <c r="E67" s="1"/>
      <c r="F67" s="6"/>
      <c r="G67" s="6"/>
      <c r="H67" s="72"/>
    </row>
    <row r="68" spans="1:8" x14ac:dyDescent="0.2">
      <c r="A68" s="1"/>
      <c r="B68" s="1"/>
      <c r="C68" s="2" t="s">
        <v>11</v>
      </c>
      <c r="D68" s="1"/>
      <c r="E68" s="1" t="s">
        <v>12</v>
      </c>
      <c r="F68" s="3">
        <v>0</v>
      </c>
      <c r="G68" s="4">
        <v>0</v>
      </c>
      <c r="H68" s="72"/>
    </row>
    <row r="69" spans="1:8" x14ac:dyDescent="0.2">
      <c r="A69" s="1"/>
      <c r="B69" s="1"/>
      <c r="C69" s="5"/>
      <c r="D69" s="1"/>
      <c r="E69" s="1"/>
      <c r="F69" s="6"/>
      <c r="G69" s="6"/>
      <c r="H69" s="72"/>
    </row>
    <row r="70" spans="1:8" x14ac:dyDescent="0.2">
      <c r="A70" s="1"/>
      <c r="B70" s="10"/>
      <c r="C70" s="10"/>
      <c r="D70" s="2"/>
      <c r="E70" s="1"/>
      <c r="F70" s="10"/>
      <c r="G70" s="14"/>
      <c r="H70" s="72"/>
    </row>
    <row r="71" spans="1:8" x14ac:dyDescent="0.2">
      <c r="A71" s="14"/>
      <c r="B71" s="10"/>
      <c r="C71" s="10" t="s">
        <v>132</v>
      </c>
      <c r="D71" s="10"/>
      <c r="E71" s="14"/>
      <c r="F71" s="12">
        <v>1.322252E-2</v>
      </c>
      <c r="G71" s="13">
        <v>4.0319999999999997E-6</v>
      </c>
      <c r="H71" s="72"/>
    </row>
    <row r="72" spans="1:8" x14ac:dyDescent="0.2">
      <c r="A72" s="5"/>
      <c r="B72" s="5"/>
      <c r="C72" s="2" t="s">
        <v>133</v>
      </c>
      <c r="D72" s="6"/>
      <c r="E72" s="6"/>
      <c r="F72" s="7">
        <v>3279.5780119199999</v>
      </c>
      <c r="G72" s="8">
        <v>1</v>
      </c>
      <c r="H72" s="72"/>
    </row>
    <row r="73" spans="1:8" ht="14.1" customHeight="1" x14ac:dyDescent="0.2">
      <c r="A73" s="15"/>
      <c r="B73" s="15"/>
      <c r="C73" s="15"/>
      <c r="D73" s="16"/>
      <c r="E73" s="16"/>
      <c r="F73" s="16"/>
      <c r="G73" s="16"/>
    </row>
    <row r="74" spans="1:8" ht="17.100000000000001" customHeight="1" x14ac:dyDescent="0.2">
      <c r="A74" s="17"/>
      <c r="B74" s="90" t="s">
        <v>134</v>
      </c>
      <c r="C74" s="90"/>
      <c r="D74" s="90"/>
      <c r="E74" s="90"/>
      <c r="F74" s="90"/>
      <c r="G74" s="19"/>
    </row>
    <row r="75" spans="1:8" ht="17.100000000000001" customHeight="1" x14ac:dyDescent="0.2">
      <c r="A75" s="17"/>
      <c r="B75" s="90" t="s">
        <v>135</v>
      </c>
      <c r="C75" s="90"/>
      <c r="D75" s="90"/>
      <c r="E75" s="90"/>
      <c r="F75" s="90"/>
      <c r="G75" s="19"/>
    </row>
    <row r="76" spans="1:8" ht="17.100000000000001" customHeight="1" x14ac:dyDescent="0.2">
      <c r="A76" s="17"/>
      <c r="B76" s="90" t="s">
        <v>211</v>
      </c>
      <c r="C76" s="90"/>
      <c r="D76" s="90"/>
      <c r="E76" s="90"/>
      <c r="F76" s="90"/>
      <c r="G76" s="19"/>
    </row>
    <row r="77" spans="1:8" ht="14.1" customHeight="1" x14ac:dyDescent="0.2">
      <c r="A77" s="17"/>
      <c r="B77" s="17"/>
      <c r="C77" s="17"/>
      <c r="D77" s="19"/>
      <c r="E77" s="19"/>
      <c r="F77" s="19"/>
      <c r="G77" s="19"/>
    </row>
    <row r="78" spans="1:8" ht="14.1" customHeight="1" x14ac:dyDescent="0.2">
      <c r="A78" s="17"/>
      <c r="B78" s="91" t="s">
        <v>136</v>
      </c>
      <c r="C78" s="92"/>
      <c r="D78" s="93"/>
      <c r="E78" s="20"/>
      <c r="F78" s="19"/>
      <c r="G78" s="19"/>
    </row>
    <row r="79" spans="1:8" ht="29.1" customHeight="1" x14ac:dyDescent="0.2">
      <c r="A79" s="17"/>
      <c r="B79" s="85" t="s">
        <v>137</v>
      </c>
      <c r="C79" s="86"/>
      <c r="D79" s="2" t="s">
        <v>138</v>
      </c>
      <c r="E79" s="20"/>
      <c r="F79" s="19"/>
      <c r="G79" s="19"/>
    </row>
    <row r="80" spans="1:8" ht="17.100000000000001" customHeight="1" x14ac:dyDescent="0.2">
      <c r="A80" s="17"/>
      <c r="B80" s="85" t="s">
        <v>139</v>
      </c>
      <c r="C80" s="86"/>
      <c r="D80" s="2" t="s">
        <v>138</v>
      </c>
      <c r="E80" s="20"/>
      <c r="F80" s="19"/>
      <c r="G80" s="19"/>
    </row>
    <row r="81" spans="1:7" ht="17.100000000000001" customHeight="1" x14ac:dyDescent="0.2">
      <c r="A81" s="17"/>
      <c r="B81" s="85" t="s">
        <v>140</v>
      </c>
      <c r="C81" s="86"/>
      <c r="D81" s="6" t="s">
        <v>12</v>
      </c>
      <c r="E81" s="20"/>
      <c r="F81" s="19"/>
      <c r="G81" s="19"/>
    </row>
    <row r="82" spans="1:7" ht="24" customHeight="1" x14ac:dyDescent="0.2">
      <c r="A82" s="21"/>
      <c r="B82" s="22" t="s">
        <v>12</v>
      </c>
      <c r="C82" s="22" t="s">
        <v>141</v>
      </c>
      <c r="D82" s="22" t="s">
        <v>142</v>
      </c>
      <c r="E82" s="21"/>
      <c r="F82" s="21"/>
      <c r="G82" s="21"/>
    </row>
    <row r="83" spans="1:7" ht="18" customHeight="1" x14ac:dyDescent="0.2">
      <c r="A83" s="21"/>
      <c r="B83" s="23" t="s">
        <v>143</v>
      </c>
      <c r="C83" s="22" t="s">
        <v>144</v>
      </c>
      <c r="D83" s="22" t="s">
        <v>145</v>
      </c>
      <c r="E83" s="21"/>
      <c r="F83" s="21"/>
      <c r="G83" s="21"/>
    </row>
    <row r="84" spans="1:7" ht="17.100000000000001" customHeight="1" x14ac:dyDescent="0.2">
      <c r="A84" s="21"/>
      <c r="B84" s="10" t="s">
        <v>146</v>
      </c>
      <c r="C84" s="24">
        <v>12.1569</v>
      </c>
      <c r="D84" s="24">
        <v>12.1876</v>
      </c>
      <c r="E84" s="21"/>
      <c r="F84" s="18"/>
      <c r="G84" s="25"/>
    </row>
    <row r="85" spans="1:7" ht="29.1" customHeight="1" x14ac:dyDescent="0.2">
      <c r="A85" s="21"/>
      <c r="B85" s="10" t="s">
        <v>543</v>
      </c>
      <c r="C85" s="24">
        <v>10.063000000000001</v>
      </c>
      <c r="D85" s="24">
        <v>10.061999999999999</v>
      </c>
      <c r="E85" s="21"/>
      <c r="F85" s="18"/>
      <c r="G85" s="25"/>
    </row>
    <row r="86" spans="1:7" ht="29.1" customHeight="1" x14ac:dyDescent="0.2">
      <c r="A86" s="21"/>
      <c r="B86" s="10" t="s">
        <v>547</v>
      </c>
      <c r="C86" s="24">
        <v>10.4832</v>
      </c>
      <c r="D86" s="24">
        <v>10.487399999999999</v>
      </c>
      <c r="E86" s="21"/>
      <c r="F86" s="18"/>
      <c r="G86" s="25"/>
    </row>
    <row r="87" spans="1:7" ht="29.1" customHeight="1" x14ac:dyDescent="0.2">
      <c r="A87" s="21"/>
      <c r="B87" s="10" t="s">
        <v>534</v>
      </c>
      <c r="C87" s="24">
        <v>11.1714</v>
      </c>
      <c r="D87" s="24">
        <v>11.17</v>
      </c>
      <c r="E87" s="21"/>
      <c r="F87" s="18"/>
      <c r="G87" s="25"/>
    </row>
    <row r="88" spans="1:7" ht="29.1" customHeight="1" x14ac:dyDescent="0.2">
      <c r="A88" s="21"/>
      <c r="B88" s="10" t="s">
        <v>535</v>
      </c>
      <c r="C88" s="24">
        <v>11.222300000000001</v>
      </c>
      <c r="D88" s="24">
        <v>11.2507</v>
      </c>
      <c r="E88" s="21"/>
      <c r="F88" s="18"/>
      <c r="G88" s="25"/>
    </row>
    <row r="89" spans="1:7" ht="17.100000000000001" customHeight="1" x14ac:dyDescent="0.2">
      <c r="A89" s="21"/>
      <c r="B89" s="10" t="s">
        <v>147</v>
      </c>
      <c r="C89" s="24">
        <v>12.115399999999999</v>
      </c>
      <c r="D89" s="24">
        <v>12.1463</v>
      </c>
      <c r="E89" s="21"/>
      <c r="F89" s="18"/>
      <c r="G89" s="25"/>
    </row>
    <row r="90" spans="1:7" ht="29.1" customHeight="1" x14ac:dyDescent="0.2">
      <c r="A90" s="21"/>
      <c r="B90" s="10" t="s">
        <v>545</v>
      </c>
      <c r="C90" s="24">
        <v>10.063000000000001</v>
      </c>
      <c r="D90" s="24">
        <v>10.061999999999999</v>
      </c>
      <c r="E90" s="21"/>
      <c r="F90" s="18"/>
      <c r="G90" s="25"/>
    </row>
    <row r="91" spans="1:7" ht="29.1" customHeight="1" x14ac:dyDescent="0.2">
      <c r="A91" s="21"/>
      <c r="B91" s="10" t="s">
        <v>546</v>
      </c>
      <c r="C91" s="24">
        <v>10.481</v>
      </c>
      <c r="D91" s="24">
        <v>10.485099999999999</v>
      </c>
      <c r="E91" s="21"/>
      <c r="F91" s="18"/>
      <c r="G91" s="25"/>
    </row>
    <row r="92" spans="1:7" ht="29.1" customHeight="1" x14ac:dyDescent="0.2">
      <c r="A92" s="21"/>
      <c r="B92" s="10" t="s">
        <v>538</v>
      </c>
      <c r="C92" s="24">
        <v>11.1503</v>
      </c>
      <c r="D92" s="24">
        <v>11.149100000000001</v>
      </c>
      <c r="E92" s="21"/>
      <c r="F92" s="18"/>
      <c r="G92" s="25"/>
    </row>
    <row r="93" spans="1:7" ht="29.1" customHeight="1" x14ac:dyDescent="0.2">
      <c r="A93" s="21"/>
      <c r="B93" s="10" t="s">
        <v>539</v>
      </c>
      <c r="C93" s="24">
        <v>11.183299999999999</v>
      </c>
      <c r="D93" s="24">
        <v>11.2118</v>
      </c>
      <c r="E93" s="21"/>
      <c r="F93" s="18"/>
      <c r="G93" s="25"/>
    </row>
    <row r="94" spans="1:7" ht="14.1" customHeight="1" x14ac:dyDescent="0.2">
      <c r="A94" s="21"/>
      <c r="B94" s="21"/>
      <c r="C94" s="21"/>
      <c r="D94" s="21"/>
      <c r="E94" s="21"/>
      <c r="F94" s="21"/>
      <c r="G94" s="21"/>
    </row>
    <row r="95" spans="1:7" ht="17.100000000000001" customHeight="1" x14ac:dyDescent="0.2">
      <c r="A95" s="21"/>
      <c r="B95" s="85" t="s">
        <v>542</v>
      </c>
      <c r="C95" s="86"/>
      <c r="D95" s="2" t="s">
        <v>12</v>
      </c>
      <c r="E95" s="21"/>
      <c r="F95" s="21"/>
      <c r="G95" s="21"/>
    </row>
    <row r="96" spans="1:7" ht="18" customHeight="1" x14ac:dyDescent="0.2">
      <c r="A96" s="21"/>
      <c r="B96" s="26" t="s">
        <v>143</v>
      </c>
      <c r="C96" s="27" t="s">
        <v>148</v>
      </c>
      <c r="D96" s="27" t="s">
        <v>149</v>
      </c>
      <c r="E96" s="21"/>
      <c r="F96" s="21"/>
      <c r="G96" s="21"/>
    </row>
    <row r="97" spans="1:15" ht="29.1" customHeight="1" x14ac:dyDescent="0.2">
      <c r="A97" s="21"/>
      <c r="B97" s="10" t="s">
        <v>543</v>
      </c>
      <c r="C97" s="28">
        <v>2.6585000000000001E-2</v>
      </c>
      <c r="D97" s="14" t="s">
        <v>150</v>
      </c>
      <c r="E97" s="21"/>
      <c r="F97" s="18"/>
      <c r="G97" s="25"/>
    </row>
    <row r="98" spans="1:15" ht="29.1" customHeight="1" x14ac:dyDescent="0.2">
      <c r="A98" s="21"/>
      <c r="B98" s="10" t="s">
        <v>547</v>
      </c>
      <c r="C98" s="28">
        <v>2.23E-2</v>
      </c>
      <c r="D98" s="14" t="s">
        <v>150</v>
      </c>
      <c r="E98" s="21"/>
      <c r="F98" s="18"/>
      <c r="G98" s="25"/>
    </row>
    <row r="99" spans="1:15" ht="29.1" customHeight="1" x14ac:dyDescent="0.2">
      <c r="A99" s="21"/>
      <c r="B99" s="10" t="s">
        <v>534</v>
      </c>
      <c r="C99" s="28">
        <v>2.9499999999999998E-2</v>
      </c>
      <c r="D99" s="14" t="s">
        <v>150</v>
      </c>
      <c r="E99" s="21"/>
      <c r="F99" s="18"/>
      <c r="G99" s="25"/>
    </row>
    <row r="100" spans="1:15" ht="29.1" customHeight="1" x14ac:dyDescent="0.2">
      <c r="A100" s="21"/>
      <c r="B100" s="10" t="s">
        <v>545</v>
      </c>
      <c r="C100" s="28">
        <v>2.6603000000000002E-2</v>
      </c>
      <c r="D100" s="14" t="s">
        <v>150</v>
      </c>
      <c r="E100" s="21"/>
      <c r="F100" s="18"/>
      <c r="G100" s="25"/>
    </row>
    <row r="101" spans="1:15" ht="29.1" customHeight="1" x14ac:dyDescent="0.2">
      <c r="A101" s="21"/>
      <c r="B101" s="10" t="s">
        <v>546</v>
      </c>
      <c r="C101" s="28">
        <v>2.3199999999999998E-2</v>
      </c>
      <c r="D101" s="14" t="s">
        <v>150</v>
      </c>
      <c r="E101" s="21"/>
      <c r="F101" s="18"/>
      <c r="G101" s="25"/>
    </row>
    <row r="102" spans="1:15" ht="29.1" customHeight="1" x14ac:dyDescent="0.2">
      <c r="A102" s="21"/>
      <c r="B102" s="10" t="s">
        <v>538</v>
      </c>
      <c r="C102" s="28">
        <v>2.9600000000000001E-2</v>
      </c>
      <c r="D102" s="14" t="s">
        <v>150</v>
      </c>
      <c r="E102" s="21"/>
      <c r="F102" s="18"/>
      <c r="G102" s="25"/>
    </row>
    <row r="103" spans="1:15" ht="14.1" customHeight="1" x14ac:dyDescent="0.2">
      <c r="A103" s="21"/>
      <c r="B103" s="18"/>
      <c r="C103" s="18"/>
      <c r="D103" s="21"/>
      <c r="E103" s="21"/>
      <c r="F103" s="21"/>
      <c r="G103" s="21"/>
    </row>
    <row r="104" spans="1:15" ht="29.1" customHeight="1" x14ac:dyDescent="0.2">
      <c r="A104" s="21"/>
      <c r="B104" s="85" t="s">
        <v>151</v>
      </c>
      <c r="C104" s="86"/>
      <c r="D104" s="2" t="s">
        <v>138</v>
      </c>
      <c r="E104" s="31"/>
      <c r="F104" s="21"/>
      <c r="G104" s="21"/>
    </row>
    <row r="105" spans="1:15" ht="29.1" customHeight="1" x14ac:dyDescent="0.2">
      <c r="A105" s="21"/>
      <c r="B105" s="85" t="s">
        <v>152</v>
      </c>
      <c r="C105" s="86"/>
      <c r="D105" s="2" t="s">
        <v>138</v>
      </c>
      <c r="E105" s="31"/>
      <c r="F105" s="21"/>
      <c r="G105" s="21"/>
    </row>
    <row r="106" spans="1:15" ht="17.100000000000001" customHeight="1" x14ac:dyDescent="0.2">
      <c r="A106" s="21"/>
      <c r="B106" s="85" t="s">
        <v>153</v>
      </c>
      <c r="C106" s="86"/>
      <c r="D106" s="32">
        <v>0.10313551889074976</v>
      </c>
      <c r="E106" s="31"/>
      <c r="F106" s="21"/>
      <c r="G106" s="21"/>
    </row>
    <row r="107" spans="1:15" ht="17.100000000000001" customHeight="1" x14ac:dyDescent="0.2">
      <c r="A107" s="21"/>
      <c r="B107" s="85" t="s">
        <v>154</v>
      </c>
      <c r="C107" s="86"/>
      <c r="D107" s="32">
        <v>0.10313551889074976</v>
      </c>
      <c r="E107" s="31"/>
      <c r="F107" s="21"/>
      <c r="G107" s="21"/>
      <c r="I107" s="41"/>
      <c r="O107" s="41"/>
    </row>
    <row r="108" spans="1:15" ht="17.100000000000001" customHeight="1" x14ac:dyDescent="0.2">
      <c r="A108" s="21"/>
      <c r="B108" s="85" t="s">
        <v>155</v>
      </c>
      <c r="C108" s="86"/>
      <c r="D108" s="2" t="s">
        <v>138</v>
      </c>
      <c r="E108" s="31"/>
      <c r="F108" s="21"/>
      <c r="G108" s="21"/>
    </row>
    <row r="109" spans="1:15" ht="14.1" customHeight="1" x14ac:dyDescent="0.2">
      <c r="A109" s="21"/>
      <c r="B109" s="88"/>
      <c r="C109" s="88"/>
      <c r="D109" s="30"/>
      <c r="E109" s="21"/>
      <c r="F109" s="18"/>
      <c r="G109" s="25"/>
      <c r="J109"/>
      <c r="K109"/>
      <c r="L109"/>
      <c r="M109"/>
      <c r="N109"/>
    </row>
  </sheetData>
  <mergeCells count="18">
    <mergeCell ref="J2:N2"/>
    <mergeCell ref="A1:H1"/>
    <mergeCell ref="A2:H2"/>
    <mergeCell ref="A3:H3"/>
    <mergeCell ref="B105:C105"/>
    <mergeCell ref="B104:C104"/>
    <mergeCell ref="B74:F74"/>
    <mergeCell ref="B75:F75"/>
    <mergeCell ref="B76:F76"/>
    <mergeCell ref="B78:D78"/>
    <mergeCell ref="B79:C79"/>
    <mergeCell ref="B80:C80"/>
    <mergeCell ref="B81:C81"/>
    <mergeCell ref="B95:C95"/>
    <mergeCell ref="B107:C107"/>
    <mergeCell ref="B108:C108"/>
    <mergeCell ref="B109:C109"/>
    <mergeCell ref="B106:C106"/>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18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89" t="s">
        <v>0</v>
      </c>
      <c r="B1" s="89"/>
      <c r="C1" s="89"/>
      <c r="D1" s="89"/>
      <c r="E1" s="89"/>
      <c r="F1" s="89"/>
      <c r="G1" s="89"/>
      <c r="H1" s="89"/>
    </row>
    <row r="2" spans="1:14" ht="17.100000000000001" customHeight="1" x14ac:dyDescent="0.2">
      <c r="A2" s="89" t="s">
        <v>317</v>
      </c>
      <c r="B2" s="89"/>
      <c r="C2" s="89"/>
      <c r="D2" s="89"/>
      <c r="E2" s="89"/>
      <c r="F2" s="89"/>
      <c r="G2" s="89"/>
      <c r="H2" s="89"/>
      <c r="J2" s="87" t="s">
        <v>555</v>
      </c>
      <c r="K2" s="87"/>
      <c r="L2" s="87"/>
      <c r="M2" s="87"/>
      <c r="N2" s="87"/>
    </row>
    <row r="3" spans="1:14" ht="21" customHeight="1" x14ac:dyDescent="0.2">
      <c r="A3" s="89" t="s">
        <v>550</v>
      </c>
      <c r="B3" s="89"/>
      <c r="C3" s="89"/>
      <c r="D3" s="89"/>
      <c r="E3" s="89"/>
      <c r="F3" s="89"/>
      <c r="G3" s="89"/>
      <c r="H3" s="89"/>
    </row>
    <row r="4" spans="1:14" s="76" customFormat="1" ht="30" x14ac:dyDescent="0.2">
      <c r="A4" s="75" t="s">
        <v>2</v>
      </c>
      <c r="B4" s="75" t="s">
        <v>3</v>
      </c>
      <c r="C4" s="75" t="s">
        <v>4</v>
      </c>
      <c r="D4" s="75" t="s">
        <v>5</v>
      </c>
      <c r="E4" s="75" t="s">
        <v>6</v>
      </c>
      <c r="F4" s="75" t="s">
        <v>7</v>
      </c>
      <c r="G4" s="75" t="s">
        <v>8</v>
      </c>
      <c r="H4" s="71" t="s">
        <v>531</v>
      </c>
      <c r="J4" s="77"/>
      <c r="K4" s="77"/>
      <c r="L4" s="77"/>
      <c r="M4" s="77"/>
      <c r="N4" s="77"/>
    </row>
    <row r="5" spans="1:14" x14ac:dyDescent="0.2">
      <c r="A5" s="1"/>
      <c r="B5" s="1"/>
      <c r="C5" s="2" t="s">
        <v>9</v>
      </c>
      <c r="D5" s="1"/>
      <c r="E5" s="1"/>
      <c r="F5" s="1"/>
      <c r="G5" s="1"/>
      <c r="H5" s="72"/>
    </row>
    <row r="6" spans="1:14" ht="25.5" x14ac:dyDescent="0.2">
      <c r="A6" s="1"/>
      <c r="B6" s="1"/>
      <c r="C6" s="2" t="s">
        <v>10</v>
      </c>
      <c r="D6" s="1"/>
      <c r="E6" s="1"/>
      <c r="F6" s="1"/>
      <c r="G6" s="1"/>
      <c r="H6" s="72"/>
    </row>
    <row r="7" spans="1:14" x14ac:dyDescent="0.2">
      <c r="A7" s="1"/>
      <c r="B7" s="1"/>
      <c r="C7" s="2" t="s">
        <v>11</v>
      </c>
      <c r="D7" s="1"/>
      <c r="E7" s="1" t="s">
        <v>12</v>
      </c>
      <c r="F7" s="3">
        <v>0</v>
      </c>
      <c r="G7" s="4">
        <v>0</v>
      </c>
      <c r="H7" s="72"/>
    </row>
    <row r="8" spans="1:14" x14ac:dyDescent="0.2">
      <c r="A8" s="1"/>
      <c r="B8" s="1"/>
      <c r="C8" s="5"/>
      <c r="D8" s="1"/>
      <c r="E8" s="1"/>
      <c r="F8" s="6"/>
      <c r="G8" s="6"/>
      <c r="H8" s="72"/>
    </row>
    <row r="9" spans="1:14" x14ac:dyDescent="0.2">
      <c r="A9" s="1"/>
      <c r="B9" s="1"/>
      <c r="C9" s="2" t="s">
        <v>13</v>
      </c>
      <c r="D9" s="1"/>
      <c r="E9" s="1"/>
      <c r="F9" s="1"/>
      <c r="G9" s="1"/>
      <c r="H9" s="72"/>
    </row>
    <row r="10" spans="1:14" x14ac:dyDescent="0.2">
      <c r="A10" s="1"/>
      <c r="B10" s="1"/>
      <c r="C10" s="2" t="s">
        <v>11</v>
      </c>
      <c r="D10" s="1"/>
      <c r="E10" s="1" t="s">
        <v>12</v>
      </c>
      <c r="F10" s="3">
        <v>0</v>
      </c>
      <c r="G10" s="4">
        <v>0</v>
      </c>
      <c r="H10" s="72"/>
    </row>
    <row r="11" spans="1:14" x14ac:dyDescent="0.2">
      <c r="A11" s="1"/>
      <c r="B11" s="1"/>
      <c r="C11" s="5"/>
      <c r="D11" s="1"/>
      <c r="E11" s="1"/>
      <c r="F11" s="6"/>
      <c r="G11" s="6"/>
      <c r="H11" s="72"/>
    </row>
    <row r="12" spans="1:14" x14ac:dyDescent="0.2">
      <c r="A12" s="1"/>
      <c r="B12" s="1"/>
      <c r="C12" s="2" t="s">
        <v>14</v>
      </c>
      <c r="D12" s="1"/>
      <c r="E12" s="1"/>
      <c r="F12" s="1"/>
      <c r="G12" s="1"/>
      <c r="H12" s="72"/>
    </row>
    <row r="13" spans="1:14" x14ac:dyDescent="0.2">
      <c r="A13" s="1"/>
      <c r="B13" s="1"/>
      <c r="C13" s="2" t="s">
        <v>11</v>
      </c>
      <c r="D13" s="1"/>
      <c r="E13" s="1" t="s">
        <v>12</v>
      </c>
      <c r="F13" s="3">
        <v>0</v>
      </c>
      <c r="G13" s="4">
        <v>0</v>
      </c>
      <c r="H13" s="72"/>
    </row>
    <row r="14" spans="1:14" x14ac:dyDescent="0.2">
      <c r="A14" s="1"/>
      <c r="B14" s="1"/>
      <c r="C14" s="5"/>
      <c r="D14" s="1"/>
      <c r="E14" s="1"/>
      <c r="F14" s="6"/>
      <c r="G14" s="6"/>
      <c r="H14" s="72"/>
    </row>
    <row r="15" spans="1:14" x14ac:dyDescent="0.2">
      <c r="A15" s="1"/>
      <c r="B15" s="1"/>
      <c r="C15" s="2" t="s">
        <v>15</v>
      </c>
      <c r="D15" s="1"/>
      <c r="E15" s="1"/>
      <c r="F15" s="1"/>
      <c r="G15" s="1"/>
      <c r="H15" s="72"/>
    </row>
    <row r="16" spans="1:14" ht="15" x14ac:dyDescent="0.25">
      <c r="A16" s="1"/>
      <c r="B16" s="1"/>
      <c r="C16" s="2" t="s">
        <v>11</v>
      </c>
      <c r="D16" s="1"/>
      <c r="E16" s="1" t="s">
        <v>12</v>
      </c>
      <c r="F16" s="3">
        <v>0</v>
      </c>
      <c r="G16" s="4">
        <v>0</v>
      </c>
      <c r="H16" s="72"/>
      <c r="J16" s="79" t="s">
        <v>569</v>
      </c>
      <c r="K16" s="80"/>
      <c r="L16" s="80"/>
      <c r="M16" s="80"/>
      <c r="N16" s="80"/>
    </row>
    <row r="17" spans="1:14" x14ac:dyDescent="0.2">
      <c r="A17" s="1"/>
      <c r="B17" s="1"/>
      <c r="C17" s="5"/>
      <c r="D17" s="1"/>
      <c r="E17" s="1"/>
      <c r="F17" s="6"/>
      <c r="G17" s="6"/>
      <c r="H17" s="72"/>
    </row>
    <row r="18" spans="1:14" x14ac:dyDescent="0.2">
      <c r="A18" s="1"/>
      <c r="B18" s="1"/>
      <c r="C18" s="2" t="s">
        <v>16</v>
      </c>
      <c r="D18" s="1"/>
      <c r="E18" s="1"/>
      <c r="F18" s="6"/>
      <c r="G18" s="6"/>
      <c r="H18" s="72"/>
    </row>
    <row r="19" spans="1:14" x14ac:dyDescent="0.2">
      <c r="A19" s="1"/>
      <c r="B19" s="1"/>
      <c r="C19" s="2" t="s">
        <v>11</v>
      </c>
      <c r="D19" s="1"/>
      <c r="E19" s="1" t="s">
        <v>12</v>
      </c>
      <c r="F19" s="3">
        <v>0</v>
      </c>
      <c r="G19" s="4">
        <v>0</v>
      </c>
      <c r="H19" s="72"/>
    </row>
    <row r="20" spans="1:14" x14ac:dyDescent="0.2">
      <c r="A20" s="1"/>
      <c r="B20" s="1"/>
      <c r="C20" s="5"/>
      <c r="D20" s="1"/>
      <c r="E20" s="1"/>
      <c r="F20" s="6"/>
      <c r="G20" s="6"/>
      <c r="H20" s="72"/>
    </row>
    <row r="21" spans="1:14" x14ac:dyDescent="0.2">
      <c r="A21" s="1"/>
      <c r="B21" s="1"/>
      <c r="C21" s="2" t="s">
        <v>17</v>
      </c>
      <c r="D21" s="1"/>
      <c r="E21" s="1"/>
      <c r="F21" s="6"/>
      <c r="G21" s="6"/>
      <c r="H21" s="72"/>
    </row>
    <row r="22" spans="1:14" x14ac:dyDescent="0.2">
      <c r="A22" s="1"/>
      <c r="B22" s="1"/>
      <c r="C22" s="2" t="s">
        <v>11</v>
      </c>
      <c r="D22" s="1"/>
      <c r="E22" s="1" t="s">
        <v>12</v>
      </c>
      <c r="F22" s="3">
        <v>0</v>
      </c>
      <c r="G22" s="4">
        <v>0</v>
      </c>
      <c r="H22" s="72"/>
    </row>
    <row r="23" spans="1:14" x14ac:dyDescent="0.2">
      <c r="A23" s="1"/>
      <c r="B23" s="1"/>
      <c r="C23" s="5"/>
      <c r="D23" s="1"/>
      <c r="E23" s="1"/>
      <c r="F23" s="6"/>
      <c r="G23" s="6"/>
      <c r="H23" s="72"/>
    </row>
    <row r="24" spans="1:14" x14ac:dyDescent="0.2">
      <c r="A24" s="1"/>
      <c r="B24" s="1"/>
      <c r="C24" s="2" t="s">
        <v>18</v>
      </c>
      <c r="D24" s="1"/>
      <c r="E24" s="1"/>
      <c r="F24" s="7">
        <v>0</v>
      </c>
      <c r="G24" s="8">
        <v>0</v>
      </c>
      <c r="H24" s="72"/>
    </row>
    <row r="25" spans="1:14" x14ac:dyDescent="0.2">
      <c r="A25" s="1"/>
      <c r="B25" s="1"/>
      <c r="C25" s="5"/>
      <c r="D25" s="1"/>
      <c r="E25" s="1"/>
      <c r="F25" s="6"/>
      <c r="G25" s="6"/>
      <c r="H25" s="72"/>
    </row>
    <row r="26" spans="1:14" x14ac:dyDescent="0.2">
      <c r="A26" s="1"/>
      <c r="B26" s="1"/>
      <c r="C26" s="2" t="s">
        <v>19</v>
      </c>
      <c r="D26" s="1"/>
      <c r="E26" s="1"/>
      <c r="F26" s="6"/>
      <c r="G26" s="6"/>
      <c r="H26" s="72"/>
    </row>
    <row r="27" spans="1:14" ht="25.5" x14ac:dyDescent="0.2">
      <c r="A27" s="1"/>
      <c r="B27" s="1"/>
      <c r="C27" s="2" t="s">
        <v>10</v>
      </c>
      <c r="D27" s="1"/>
      <c r="E27" s="1"/>
      <c r="F27" s="6"/>
      <c r="G27" s="6"/>
      <c r="H27" s="72"/>
    </row>
    <row r="28" spans="1:14" ht="25.5" x14ac:dyDescent="0.2">
      <c r="A28" s="9">
        <v>1</v>
      </c>
      <c r="B28" s="10" t="s">
        <v>271</v>
      </c>
      <c r="C28" s="10" t="s">
        <v>272</v>
      </c>
      <c r="D28" s="10" t="s">
        <v>22</v>
      </c>
      <c r="E28" s="11">
        <v>300</v>
      </c>
      <c r="F28" s="12">
        <v>2995.8209999999999</v>
      </c>
      <c r="G28" s="13">
        <v>5.2770699999999997E-2</v>
      </c>
      <c r="H28" s="72">
        <v>5.28</v>
      </c>
    </row>
    <row r="29" spans="1:14" ht="25.5" x14ac:dyDescent="0.25">
      <c r="A29" s="9">
        <v>2</v>
      </c>
      <c r="B29" s="10" t="s">
        <v>318</v>
      </c>
      <c r="C29" s="10" t="s">
        <v>319</v>
      </c>
      <c r="D29" s="10" t="s">
        <v>320</v>
      </c>
      <c r="E29" s="11">
        <v>225558</v>
      </c>
      <c r="F29" s="12">
        <v>1869.1698234600001</v>
      </c>
      <c r="G29" s="13">
        <v>3.2924997999999997E-2</v>
      </c>
      <c r="H29" s="72">
        <v>10.5754</v>
      </c>
      <c r="J29" s="79" t="s">
        <v>559</v>
      </c>
      <c r="K29" s="80"/>
      <c r="L29" s="80"/>
      <c r="M29" s="80"/>
      <c r="N29" s="80"/>
    </row>
    <row r="30" spans="1:14" ht="25.5" x14ac:dyDescent="0.2">
      <c r="A30" s="9">
        <v>3</v>
      </c>
      <c r="B30" s="10" t="s">
        <v>321</v>
      </c>
      <c r="C30" s="10" t="s">
        <v>322</v>
      </c>
      <c r="D30" s="10" t="s">
        <v>27</v>
      </c>
      <c r="E30" s="11">
        <v>150</v>
      </c>
      <c r="F30" s="12">
        <v>1508.0519999999999</v>
      </c>
      <c r="G30" s="13">
        <v>2.6563989999999999E-2</v>
      </c>
      <c r="H30" s="72">
        <v>6.64</v>
      </c>
    </row>
    <row r="31" spans="1:14" ht="25.5" x14ac:dyDescent="0.2">
      <c r="A31" s="9">
        <v>4</v>
      </c>
      <c r="B31" s="10" t="s">
        <v>323</v>
      </c>
      <c r="C31" s="10" t="s">
        <v>324</v>
      </c>
      <c r="D31" s="10" t="s">
        <v>27</v>
      </c>
      <c r="E31" s="11">
        <v>150</v>
      </c>
      <c r="F31" s="12">
        <v>1476.9780000000001</v>
      </c>
      <c r="G31" s="13">
        <v>2.6016628999999999E-2</v>
      </c>
      <c r="H31" s="72">
        <v>6.7249999999999996</v>
      </c>
    </row>
    <row r="32" spans="1:14" ht="25.5" x14ac:dyDescent="0.2">
      <c r="A32" s="9">
        <v>5</v>
      </c>
      <c r="B32" s="10" t="s">
        <v>325</v>
      </c>
      <c r="C32" s="10" t="s">
        <v>326</v>
      </c>
      <c r="D32" s="10" t="s">
        <v>27</v>
      </c>
      <c r="E32" s="11">
        <v>100</v>
      </c>
      <c r="F32" s="12">
        <v>1006.064</v>
      </c>
      <c r="G32" s="13">
        <v>1.7721587E-2</v>
      </c>
      <c r="H32" s="72">
        <v>5.95</v>
      </c>
    </row>
    <row r="33" spans="1:8" ht="25.5" x14ac:dyDescent="0.2">
      <c r="A33" s="9">
        <v>6</v>
      </c>
      <c r="B33" s="10" t="s">
        <v>327</v>
      </c>
      <c r="C33" s="10" t="s">
        <v>328</v>
      </c>
      <c r="D33" s="10" t="s">
        <v>27</v>
      </c>
      <c r="E33" s="11">
        <v>100</v>
      </c>
      <c r="F33" s="12">
        <v>1001.601</v>
      </c>
      <c r="G33" s="13">
        <v>1.7642972E-2</v>
      </c>
      <c r="H33" s="72">
        <v>4.5250000000000004</v>
      </c>
    </row>
    <row r="34" spans="1:8" ht="25.5" x14ac:dyDescent="0.2">
      <c r="A34" s="9">
        <v>7</v>
      </c>
      <c r="B34" s="10" t="s">
        <v>34</v>
      </c>
      <c r="C34" s="10" t="s">
        <v>35</v>
      </c>
      <c r="D34" s="10" t="s">
        <v>27</v>
      </c>
      <c r="E34" s="11">
        <v>100</v>
      </c>
      <c r="F34" s="12">
        <v>994.83100000000002</v>
      </c>
      <c r="G34" s="13">
        <v>1.752372E-2</v>
      </c>
      <c r="H34" s="72">
        <v>6.46</v>
      </c>
    </row>
    <row r="35" spans="1:8" ht="25.5" x14ac:dyDescent="0.2">
      <c r="A35" s="9">
        <v>8</v>
      </c>
      <c r="B35" s="10" t="s">
        <v>277</v>
      </c>
      <c r="C35" s="10" t="s">
        <v>278</v>
      </c>
      <c r="D35" s="10" t="s">
        <v>273</v>
      </c>
      <c r="E35" s="11">
        <v>100</v>
      </c>
      <c r="F35" s="12">
        <v>992.09900000000005</v>
      </c>
      <c r="G35" s="13">
        <v>1.7475596999999999E-2</v>
      </c>
      <c r="H35" s="72">
        <v>6.32</v>
      </c>
    </row>
    <row r="36" spans="1:8" ht="25.5" x14ac:dyDescent="0.2">
      <c r="A36" s="9">
        <v>9</v>
      </c>
      <c r="B36" s="10" t="s">
        <v>329</v>
      </c>
      <c r="C36" s="10" t="s">
        <v>330</v>
      </c>
      <c r="D36" s="10" t="s">
        <v>27</v>
      </c>
      <c r="E36" s="11">
        <v>100</v>
      </c>
      <c r="F36" s="12">
        <v>990.92899999999997</v>
      </c>
      <c r="G36" s="13">
        <v>1.7454987000000002E-2</v>
      </c>
      <c r="H36" s="72">
        <v>7.41</v>
      </c>
    </row>
    <row r="37" spans="1:8" ht="25.5" x14ac:dyDescent="0.2">
      <c r="A37" s="9">
        <v>10</v>
      </c>
      <c r="B37" s="10" t="s">
        <v>331</v>
      </c>
      <c r="C37" s="10" t="s">
        <v>332</v>
      </c>
      <c r="D37" s="10" t="s">
        <v>22</v>
      </c>
      <c r="E37" s="11">
        <v>50</v>
      </c>
      <c r="F37" s="12">
        <v>501.45249999999999</v>
      </c>
      <c r="G37" s="13">
        <v>8.8329710000000002E-3</v>
      </c>
      <c r="H37" s="72">
        <v>4.87</v>
      </c>
    </row>
    <row r="38" spans="1:8" ht="25.5" x14ac:dyDescent="0.2">
      <c r="A38" s="9">
        <v>11</v>
      </c>
      <c r="B38" s="10" t="s">
        <v>283</v>
      </c>
      <c r="C38" s="10" t="s">
        <v>284</v>
      </c>
      <c r="D38" s="10" t="s">
        <v>273</v>
      </c>
      <c r="E38" s="11">
        <v>50</v>
      </c>
      <c r="F38" s="12">
        <v>492.98649999999998</v>
      </c>
      <c r="G38" s="13">
        <v>8.6838439999999996E-3</v>
      </c>
      <c r="H38" s="72">
        <v>6.6449999999999996</v>
      </c>
    </row>
    <row r="39" spans="1:8" ht="25.5" x14ac:dyDescent="0.2">
      <c r="A39" s="9">
        <v>12</v>
      </c>
      <c r="B39" s="10" t="s">
        <v>70</v>
      </c>
      <c r="C39" s="10" t="s">
        <v>71</v>
      </c>
      <c r="D39" s="10" t="s">
        <v>27</v>
      </c>
      <c r="E39" s="11">
        <v>30</v>
      </c>
      <c r="F39" s="12">
        <v>300.47820000000002</v>
      </c>
      <c r="G39" s="13">
        <v>5.292855E-3</v>
      </c>
      <c r="H39" s="72">
        <v>6.3049999999999997</v>
      </c>
    </row>
    <row r="40" spans="1:8" ht="25.5" x14ac:dyDescent="0.2">
      <c r="A40" s="9">
        <v>13</v>
      </c>
      <c r="B40" s="10" t="s">
        <v>165</v>
      </c>
      <c r="C40" s="10" t="s">
        <v>166</v>
      </c>
      <c r="D40" s="10" t="s">
        <v>27</v>
      </c>
      <c r="E40" s="11">
        <v>30</v>
      </c>
      <c r="F40" s="12">
        <v>298.95659999999998</v>
      </c>
      <c r="G40" s="13">
        <v>5.2660520000000002E-3</v>
      </c>
      <c r="H40" s="72">
        <v>5.7834000000000003</v>
      </c>
    </row>
    <row r="41" spans="1:8" x14ac:dyDescent="0.2">
      <c r="A41" s="9">
        <v>14</v>
      </c>
      <c r="B41" s="10" t="s">
        <v>311</v>
      </c>
      <c r="C41" s="10" t="s">
        <v>312</v>
      </c>
      <c r="D41" s="10" t="s">
        <v>27</v>
      </c>
      <c r="E41" s="11">
        <v>25</v>
      </c>
      <c r="F41" s="12">
        <v>254.81649999999999</v>
      </c>
      <c r="G41" s="13">
        <v>4.4885339999999998E-3</v>
      </c>
      <c r="H41" s="72">
        <v>6.3</v>
      </c>
    </row>
    <row r="42" spans="1:8" ht="25.5" x14ac:dyDescent="0.2">
      <c r="A42" s="9">
        <v>15</v>
      </c>
      <c r="B42" s="10" t="s">
        <v>287</v>
      </c>
      <c r="C42" s="10" t="s">
        <v>288</v>
      </c>
      <c r="D42" s="10" t="s">
        <v>273</v>
      </c>
      <c r="E42" s="11">
        <v>20</v>
      </c>
      <c r="F42" s="12">
        <v>200.6258</v>
      </c>
      <c r="G42" s="13">
        <v>3.5339770000000002E-3</v>
      </c>
      <c r="H42" s="72">
        <v>5.01</v>
      </c>
    </row>
    <row r="43" spans="1:8" x14ac:dyDescent="0.2">
      <c r="A43" s="9">
        <v>16</v>
      </c>
      <c r="B43" s="10" t="s">
        <v>307</v>
      </c>
      <c r="C43" s="10" t="s">
        <v>308</v>
      </c>
      <c r="D43" s="10" t="s">
        <v>27</v>
      </c>
      <c r="E43" s="11">
        <v>20</v>
      </c>
      <c r="F43" s="12">
        <v>200.1618</v>
      </c>
      <c r="G43" s="13">
        <v>3.525804E-3</v>
      </c>
      <c r="H43" s="72">
        <v>4.51</v>
      </c>
    </row>
    <row r="44" spans="1:8" x14ac:dyDescent="0.2">
      <c r="A44" s="1"/>
      <c r="B44" s="1"/>
      <c r="C44" s="2" t="s">
        <v>11</v>
      </c>
      <c r="D44" s="1"/>
      <c r="E44" s="1" t="s">
        <v>12</v>
      </c>
      <c r="F44" s="7">
        <v>15085.022723460001</v>
      </c>
      <c r="G44" s="8">
        <v>0.26571921700000001</v>
      </c>
      <c r="H44" s="72"/>
    </row>
    <row r="45" spans="1:8" x14ac:dyDescent="0.2">
      <c r="A45" s="1"/>
      <c r="B45" s="1"/>
      <c r="C45" s="5"/>
      <c r="D45" s="1"/>
      <c r="E45" s="1"/>
      <c r="F45" s="6"/>
      <c r="G45" s="6"/>
      <c r="H45" s="72"/>
    </row>
    <row r="46" spans="1:8" x14ac:dyDescent="0.2">
      <c r="A46" s="1"/>
      <c r="B46" s="1"/>
      <c r="C46" s="2" t="s">
        <v>97</v>
      </c>
      <c r="D46" s="1"/>
      <c r="E46" s="1"/>
      <c r="F46" s="1"/>
      <c r="G46" s="1"/>
      <c r="H46" s="72"/>
    </row>
    <row r="47" spans="1:8" x14ac:dyDescent="0.2">
      <c r="A47" s="1"/>
      <c r="B47" s="1"/>
      <c r="C47" s="2" t="s">
        <v>11</v>
      </c>
      <c r="D47" s="1"/>
      <c r="E47" s="1" t="s">
        <v>12</v>
      </c>
      <c r="F47" s="3">
        <v>0</v>
      </c>
      <c r="G47" s="4">
        <v>0</v>
      </c>
      <c r="H47" s="72"/>
    </row>
    <row r="48" spans="1:8" x14ac:dyDescent="0.2">
      <c r="A48" s="1"/>
      <c r="B48" s="1"/>
      <c r="C48" s="5"/>
      <c r="D48" s="1"/>
      <c r="E48" s="1"/>
      <c r="F48" s="6"/>
      <c r="G48" s="6"/>
      <c r="H48" s="72"/>
    </row>
    <row r="49" spans="1:8" x14ac:dyDescent="0.2">
      <c r="A49" s="1"/>
      <c r="B49" s="1"/>
      <c r="C49" s="2" t="s">
        <v>98</v>
      </c>
      <c r="D49" s="1"/>
      <c r="E49" s="1"/>
      <c r="F49" s="1"/>
      <c r="G49" s="1"/>
      <c r="H49" s="72"/>
    </row>
    <row r="50" spans="1:8" ht="25.5" x14ac:dyDescent="0.2">
      <c r="A50" s="9">
        <v>1</v>
      </c>
      <c r="B50" s="10" t="s">
        <v>333</v>
      </c>
      <c r="C50" s="10" t="s">
        <v>334</v>
      </c>
      <c r="D50" s="10" t="s">
        <v>101</v>
      </c>
      <c r="E50" s="11">
        <v>1200000</v>
      </c>
      <c r="F50" s="12">
        <v>1202.5188000000001</v>
      </c>
      <c r="G50" s="13">
        <v>2.1182092999999999E-2</v>
      </c>
      <c r="H50" s="72">
        <v>4.7213000000000003</v>
      </c>
    </row>
    <row r="51" spans="1:8" ht="25.5" x14ac:dyDescent="0.2">
      <c r="A51" s="9">
        <v>2</v>
      </c>
      <c r="B51" s="10" t="s">
        <v>335</v>
      </c>
      <c r="C51" s="10" t="s">
        <v>336</v>
      </c>
      <c r="D51" s="10" t="s">
        <v>101</v>
      </c>
      <c r="E51" s="11">
        <v>500000</v>
      </c>
      <c r="F51" s="12">
        <v>505.65</v>
      </c>
      <c r="G51" s="13">
        <v>8.9069089999999993E-3</v>
      </c>
      <c r="H51" s="72">
        <v>6.0128000000000004</v>
      </c>
    </row>
    <row r="52" spans="1:8" ht="25.5" x14ac:dyDescent="0.2">
      <c r="A52" s="9">
        <v>3</v>
      </c>
      <c r="B52" s="10" t="s">
        <v>291</v>
      </c>
      <c r="C52" s="10" t="s">
        <v>292</v>
      </c>
      <c r="D52" s="10" t="s">
        <v>101</v>
      </c>
      <c r="E52" s="11">
        <v>300000</v>
      </c>
      <c r="F52" s="12">
        <v>302.0367</v>
      </c>
      <c r="G52" s="13">
        <v>5.3203069999999998E-3</v>
      </c>
      <c r="H52" s="72">
        <v>5.5617000000000001</v>
      </c>
    </row>
    <row r="53" spans="1:8" ht="25.5" x14ac:dyDescent="0.2">
      <c r="A53" s="9">
        <v>4</v>
      </c>
      <c r="B53" s="10" t="s">
        <v>313</v>
      </c>
      <c r="C53" s="10" t="s">
        <v>314</v>
      </c>
      <c r="D53" s="10" t="s">
        <v>101</v>
      </c>
      <c r="E53" s="11">
        <v>300000</v>
      </c>
      <c r="F53" s="12">
        <v>301.48140000000001</v>
      </c>
      <c r="G53" s="13">
        <v>5.3105260000000003E-3</v>
      </c>
      <c r="H53" s="72">
        <v>5.3760000000000003</v>
      </c>
    </row>
    <row r="54" spans="1:8" ht="25.5" x14ac:dyDescent="0.2">
      <c r="A54" s="9">
        <v>5</v>
      </c>
      <c r="B54" s="10" t="s">
        <v>337</v>
      </c>
      <c r="C54" s="10" t="s">
        <v>338</v>
      </c>
      <c r="D54" s="10" t="s">
        <v>101</v>
      </c>
      <c r="E54" s="11">
        <v>281000</v>
      </c>
      <c r="F54" s="12">
        <v>282.38926400000003</v>
      </c>
      <c r="G54" s="13">
        <v>4.9742220000000004E-3</v>
      </c>
      <c r="H54" s="72">
        <v>5.0045999999999999</v>
      </c>
    </row>
    <row r="55" spans="1:8" ht="25.5" x14ac:dyDescent="0.2">
      <c r="A55" s="9">
        <v>6</v>
      </c>
      <c r="B55" s="10" t="s">
        <v>339</v>
      </c>
      <c r="C55" s="10" t="s">
        <v>340</v>
      </c>
      <c r="D55" s="10" t="s">
        <v>101</v>
      </c>
      <c r="E55" s="11">
        <v>200000</v>
      </c>
      <c r="F55" s="12">
        <v>201.6568</v>
      </c>
      <c r="G55" s="13">
        <v>3.5521379999999998E-3</v>
      </c>
      <c r="H55" s="72">
        <v>5.0701999999999998</v>
      </c>
    </row>
    <row r="56" spans="1:8" ht="25.5" x14ac:dyDescent="0.2">
      <c r="A56" s="9">
        <v>7</v>
      </c>
      <c r="B56" s="10" t="s">
        <v>315</v>
      </c>
      <c r="C56" s="10" t="s">
        <v>316</v>
      </c>
      <c r="D56" s="10" t="s">
        <v>101</v>
      </c>
      <c r="E56" s="11">
        <v>200000</v>
      </c>
      <c r="F56" s="12">
        <v>200.20959999999999</v>
      </c>
      <c r="G56" s="13">
        <v>3.526646E-3</v>
      </c>
      <c r="H56" s="72">
        <v>4.2691999999999997</v>
      </c>
    </row>
    <row r="57" spans="1:8" ht="25.5" x14ac:dyDescent="0.2">
      <c r="A57" s="9">
        <v>8</v>
      </c>
      <c r="B57" s="10" t="s">
        <v>293</v>
      </c>
      <c r="C57" s="10" t="s">
        <v>294</v>
      </c>
      <c r="D57" s="10" t="s">
        <v>101</v>
      </c>
      <c r="E57" s="11">
        <v>100000</v>
      </c>
      <c r="F57" s="12">
        <v>100.8466</v>
      </c>
      <c r="G57" s="13">
        <v>1.7763900000000001E-3</v>
      </c>
      <c r="H57" s="72">
        <v>5.2103999999999999</v>
      </c>
    </row>
    <row r="58" spans="1:8" x14ac:dyDescent="0.2">
      <c r="A58" s="1"/>
      <c r="B58" s="1"/>
      <c r="C58" s="2" t="s">
        <v>11</v>
      </c>
      <c r="D58" s="1"/>
      <c r="E58" s="1" t="s">
        <v>12</v>
      </c>
      <c r="F58" s="7">
        <v>3096.7891639999998</v>
      </c>
      <c r="G58" s="8">
        <v>5.4549230999999997E-2</v>
      </c>
      <c r="H58" s="72"/>
    </row>
    <row r="59" spans="1:8" x14ac:dyDescent="0.2">
      <c r="A59" s="1"/>
      <c r="B59" s="1"/>
      <c r="C59" s="5"/>
      <c r="D59" s="1"/>
      <c r="E59" s="1"/>
      <c r="F59" s="6"/>
      <c r="G59" s="6"/>
      <c r="H59" s="72"/>
    </row>
    <row r="60" spans="1:8" x14ac:dyDescent="0.2">
      <c r="A60" s="1"/>
      <c r="B60" s="1"/>
      <c r="C60" s="2" t="s">
        <v>108</v>
      </c>
      <c r="D60" s="1"/>
      <c r="E60" s="1"/>
      <c r="F60" s="6"/>
      <c r="G60" s="6"/>
      <c r="H60" s="72"/>
    </row>
    <row r="61" spans="1:8" x14ac:dyDescent="0.2">
      <c r="A61" s="1"/>
      <c r="B61" s="1"/>
      <c r="C61" s="2" t="s">
        <v>11</v>
      </c>
      <c r="D61" s="1"/>
      <c r="E61" s="1" t="s">
        <v>12</v>
      </c>
      <c r="F61" s="3">
        <v>0</v>
      </c>
      <c r="G61" s="4">
        <v>0</v>
      </c>
      <c r="H61" s="72"/>
    </row>
    <row r="62" spans="1:8" x14ac:dyDescent="0.2">
      <c r="A62" s="1"/>
      <c r="B62" s="1"/>
      <c r="C62" s="5"/>
      <c r="D62" s="1"/>
      <c r="E62" s="1"/>
      <c r="F62" s="6"/>
      <c r="G62" s="6"/>
      <c r="H62" s="72"/>
    </row>
    <row r="63" spans="1:8" x14ac:dyDescent="0.2">
      <c r="A63" s="1"/>
      <c r="B63" s="1"/>
      <c r="C63" s="2" t="s">
        <v>109</v>
      </c>
      <c r="D63" s="1"/>
      <c r="E63" s="1"/>
      <c r="F63" s="7">
        <v>18181.81188746</v>
      </c>
      <c r="G63" s="8">
        <v>0.32026844799999998</v>
      </c>
      <c r="H63" s="72"/>
    </row>
    <row r="64" spans="1:8" x14ac:dyDescent="0.2">
      <c r="A64" s="1"/>
      <c r="B64" s="1"/>
      <c r="C64" s="5"/>
      <c r="D64" s="1"/>
      <c r="E64" s="1"/>
      <c r="F64" s="6"/>
      <c r="G64" s="6"/>
      <c r="H64" s="72"/>
    </row>
    <row r="65" spans="1:8" x14ac:dyDescent="0.2">
      <c r="A65" s="1"/>
      <c r="B65" s="1"/>
      <c r="C65" s="2" t="s">
        <v>110</v>
      </c>
      <c r="D65" s="1"/>
      <c r="E65" s="1"/>
      <c r="F65" s="6"/>
      <c r="G65" s="6"/>
      <c r="H65" s="72"/>
    </row>
    <row r="66" spans="1:8" x14ac:dyDescent="0.2">
      <c r="A66" s="1"/>
      <c r="B66" s="1"/>
      <c r="C66" s="2" t="s">
        <v>111</v>
      </c>
      <c r="D66" s="1"/>
      <c r="E66" s="1"/>
      <c r="F66" s="6"/>
      <c r="G66" s="6"/>
      <c r="H66" s="72"/>
    </row>
    <row r="67" spans="1:8" x14ac:dyDescent="0.2">
      <c r="A67" s="9">
        <v>1</v>
      </c>
      <c r="B67" s="10" t="s">
        <v>341</v>
      </c>
      <c r="C67" s="10" t="s">
        <v>342</v>
      </c>
      <c r="D67" s="10" t="s">
        <v>114</v>
      </c>
      <c r="E67" s="11">
        <v>500</v>
      </c>
      <c r="F67" s="12">
        <v>2495.7399999999998</v>
      </c>
      <c r="G67" s="13">
        <v>4.3961887999999998E-2</v>
      </c>
      <c r="H67" s="72">
        <v>4.4489999999999998</v>
      </c>
    </row>
    <row r="68" spans="1:8" x14ac:dyDescent="0.2">
      <c r="A68" s="9">
        <v>2</v>
      </c>
      <c r="B68" s="10" t="s">
        <v>343</v>
      </c>
      <c r="C68" s="10" t="s">
        <v>344</v>
      </c>
      <c r="D68" s="10" t="s">
        <v>114</v>
      </c>
      <c r="E68" s="11">
        <v>500</v>
      </c>
      <c r="F68" s="12">
        <v>2473.52</v>
      </c>
      <c r="G68" s="13">
        <v>4.3570487999999997E-2</v>
      </c>
      <c r="H68" s="72">
        <v>5.0750000000000002</v>
      </c>
    </row>
    <row r="69" spans="1:8" x14ac:dyDescent="0.2">
      <c r="A69" s="9">
        <v>3</v>
      </c>
      <c r="B69" s="10" t="s">
        <v>118</v>
      </c>
      <c r="C69" s="10" t="s">
        <v>119</v>
      </c>
      <c r="D69" s="10" t="s">
        <v>117</v>
      </c>
      <c r="E69" s="11">
        <v>500</v>
      </c>
      <c r="F69" s="12">
        <v>2471.9850000000001</v>
      </c>
      <c r="G69" s="13">
        <v>4.3543448999999998E-2</v>
      </c>
      <c r="H69" s="72">
        <v>5.0448000000000004</v>
      </c>
    </row>
    <row r="70" spans="1:8" x14ac:dyDescent="0.2">
      <c r="A70" s="9">
        <v>4</v>
      </c>
      <c r="B70" s="10" t="s">
        <v>345</v>
      </c>
      <c r="C70" s="10" t="s">
        <v>346</v>
      </c>
      <c r="D70" s="10" t="s">
        <v>117</v>
      </c>
      <c r="E70" s="11">
        <v>500</v>
      </c>
      <c r="F70" s="12">
        <v>2450.7424999999998</v>
      </c>
      <c r="G70" s="13">
        <v>4.3169267999999997E-2</v>
      </c>
      <c r="H70" s="72">
        <v>5.6</v>
      </c>
    </row>
    <row r="71" spans="1:8" x14ac:dyDescent="0.2">
      <c r="A71" s="9">
        <v>5</v>
      </c>
      <c r="B71" s="10" t="s">
        <v>347</v>
      </c>
      <c r="C71" s="10" t="s">
        <v>348</v>
      </c>
      <c r="D71" s="10" t="s">
        <v>114</v>
      </c>
      <c r="E71" s="11">
        <v>500</v>
      </c>
      <c r="F71" s="12">
        <v>2438.21</v>
      </c>
      <c r="G71" s="13">
        <v>4.2948510000000002E-2</v>
      </c>
      <c r="H71" s="72">
        <v>5.71</v>
      </c>
    </row>
    <row r="72" spans="1:8" x14ac:dyDescent="0.2">
      <c r="A72" s="1"/>
      <c r="B72" s="1"/>
      <c r="C72" s="2" t="s">
        <v>11</v>
      </c>
      <c r="D72" s="1"/>
      <c r="E72" s="1" t="s">
        <v>12</v>
      </c>
      <c r="F72" s="7">
        <v>12330.1975</v>
      </c>
      <c r="G72" s="8">
        <v>0.21719360300000001</v>
      </c>
      <c r="H72" s="72"/>
    </row>
    <row r="73" spans="1:8" x14ac:dyDescent="0.2">
      <c r="A73" s="1"/>
      <c r="B73" s="1"/>
      <c r="C73" s="5"/>
      <c r="D73" s="1"/>
      <c r="E73" s="1"/>
      <c r="F73" s="6"/>
      <c r="G73" s="6"/>
      <c r="H73" s="72"/>
    </row>
    <row r="74" spans="1:8" x14ac:dyDescent="0.2">
      <c r="A74" s="1"/>
      <c r="B74" s="1"/>
      <c r="C74" s="2" t="s">
        <v>120</v>
      </c>
      <c r="D74" s="1"/>
      <c r="E74" s="1"/>
      <c r="F74" s="6"/>
      <c r="G74" s="6"/>
      <c r="H74" s="72"/>
    </row>
    <row r="75" spans="1:8" ht="25.5" x14ac:dyDescent="0.2">
      <c r="A75" s="9">
        <v>1</v>
      </c>
      <c r="B75" s="10" t="s">
        <v>349</v>
      </c>
      <c r="C75" s="10" t="s">
        <v>350</v>
      </c>
      <c r="D75" s="10" t="s">
        <v>117</v>
      </c>
      <c r="E75" s="11">
        <v>500</v>
      </c>
      <c r="F75" s="12">
        <v>2493.7725</v>
      </c>
      <c r="G75" s="13">
        <v>4.3927230999999997E-2</v>
      </c>
      <c r="H75" s="72">
        <v>4.7968999999999999</v>
      </c>
    </row>
    <row r="76" spans="1:8" x14ac:dyDescent="0.2">
      <c r="A76" s="9">
        <v>2</v>
      </c>
      <c r="B76" s="10" t="s">
        <v>351</v>
      </c>
      <c r="C76" s="10" t="s">
        <v>352</v>
      </c>
      <c r="D76" s="10" t="s">
        <v>353</v>
      </c>
      <c r="E76" s="11">
        <v>500</v>
      </c>
      <c r="F76" s="12">
        <v>2492.2275</v>
      </c>
      <c r="G76" s="13">
        <v>4.3900016E-2</v>
      </c>
      <c r="H76" s="72">
        <v>5.1749999999999998</v>
      </c>
    </row>
    <row r="77" spans="1:8" ht="25.5" x14ac:dyDescent="0.2">
      <c r="A77" s="9">
        <v>3</v>
      </c>
      <c r="B77" s="10" t="s">
        <v>354</v>
      </c>
      <c r="C77" s="10" t="s">
        <v>355</v>
      </c>
      <c r="D77" s="10" t="s">
        <v>117</v>
      </c>
      <c r="E77" s="11">
        <v>500</v>
      </c>
      <c r="F77" s="12">
        <v>2472.7175000000002</v>
      </c>
      <c r="G77" s="13">
        <v>4.3556352E-2</v>
      </c>
      <c r="H77" s="72">
        <v>5.23</v>
      </c>
    </row>
    <row r="78" spans="1:8" ht="25.5" x14ac:dyDescent="0.2">
      <c r="A78" s="9">
        <v>4</v>
      </c>
      <c r="B78" s="10" t="s">
        <v>299</v>
      </c>
      <c r="C78" s="10" t="s">
        <v>300</v>
      </c>
      <c r="D78" s="10" t="s">
        <v>117</v>
      </c>
      <c r="E78" s="11">
        <v>500</v>
      </c>
      <c r="F78" s="12">
        <v>2456.7550000000001</v>
      </c>
      <c r="G78" s="13">
        <v>4.3275175999999999E-2</v>
      </c>
      <c r="H78" s="72">
        <v>5.31</v>
      </c>
    </row>
    <row r="79" spans="1:8" x14ac:dyDescent="0.2">
      <c r="A79" s="9">
        <v>5</v>
      </c>
      <c r="B79" s="10" t="s">
        <v>356</v>
      </c>
      <c r="C79" s="10" t="s">
        <v>357</v>
      </c>
      <c r="D79" s="10" t="s">
        <v>117</v>
      </c>
      <c r="E79" s="11">
        <v>400</v>
      </c>
      <c r="F79" s="12">
        <v>1997.884</v>
      </c>
      <c r="G79" s="13">
        <v>3.5192268999999998E-2</v>
      </c>
      <c r="H79" s="72">
        <v>5.5250000000000004</v>
      </c>
    </row>
    <row r="80" spans="1:8" ht="25.5" x14ac:dyDescent="0.2">
      <c r="A80" s="9">
        <v>6</v>
      </c>
      <c r="B80" s="10" t="s">
        <v>358</v>
      </c>
      <c r="C80" s="10" t="s">
        <v>359</v>
      </c>
      <c r="D80" s="10" t="s">
        <v>117</v>
      </c>
      <c r="E80" s="11">
        <v>400</v>
      </c>
      <c r="F80" s="12">
        <v>1916.9179999999999</v>
      </c>
      <c r="G80" s="13">
        <v>3.3766071000000002E-2</v>
      </c>
      <c r="H80" s="72">
        <v>6.6749999999999998</v>
      </c>
    </row>
    <row r="81" spans="1:8" ht="25.5" x14ac:dyDescent="0.2">
      <c r="A81" s="9">
        <v>7</v>
      </c>
      <c r="B81" s="10" t="s">
        <v>360</v>
      </c>
      <c r="C81" s="10" t="s">
        <v>361</v>
      </c>
      <c r="D81" s="10" t="s">
        <v>117</v>
      </c>
      <c r="E81" s="11">
        <v>300</v>
      </c>
      <c r="F81" s="12">
        <v>1472.7555</v>
      </c>
      <c r="G81" s="13">
        <v>2.5942251E-2</v>
      </c>
      <c r="H81" s="72">
        <v>6.37</v>
      </c>
    </row>
    <row r="82" spans="1:8" x14ac:dyDescent="0.2">
      <c r="A82" s="9">
        <v>8</v>
      </c>
      <c r="B82" s="10" t="s">
        <v>362</v>
      </c>
      <c r="C82" s="10" t="s">
        <v>460</v>
      </c>
      <c r="D82" s="10" t="s">
        <v>117</v>
      </c>
      <c r="E82" s="11">
        <v>200</v>
      </c>
      <c r="F82" s="12">
        <v>999.85400000000004</v>
      </c>
      <c r="G82" s="13">
        <v>1.7612198999999999E-2</v>
      </c>
      <c r="H82" s="72">
        <v>5.3475000000000001</v>
      </c>
    </row>
    <row r="83" spans="1:8" ht="25.5" x14ac:dyDescent="0.2">
      <c r="A83" s="9">
        <v>9</v>
      </c>
      <c r="B83" s="10" t="s">
        <v>121</v>
      </c>
      <c r="C83" s="10" t="s">
        <v>122</v>
      </c>
      <c r="D83" s="10" t="s">
        <v>117</v>
      </c>
      <c r="E83" s="11">
        <v>200</v>
      </c>
      <c r="F83" s="12">
        <v>941.83900000000006</v>
      </c>
      <c r="G83" s="13">
        <v>1.6590278E-2</v>
      </c>
      <c r="H83" s="72">
        <v>6.44</v>
      </c>
    </row>
    <row r="84" spans="1:8" ht="25.5" x14ac:dyDescent="0.2">
      <c r="A84" s="9">
        <v>10</v>
      </c>
      <c r="B84" s="10" t="s">
        <v>363</v>
      </c>
      <c r="C84" s="10" t="s">
        <v>364</v>
      </c>
      <c r="D84" s="10" t="s">
        <v>117</v>
      </c>
      <c r="E84" s="11">
        <v>100</v>
      </c>
      <c r="F84" s="12">
        <v>484.334</v>
      </c>
      <c r="G84" s="13">
        <v>8.5314320000000003E-3</v>
      </c>
      <c r="H84" s="72">
        <v>6.67</v>
      </c>
    </row>
    <row r="85" spans="1:8" x14ac:dyDescent="0.2">
      <c r="A85" s="1"/>
      <c r="B85" s="1"/>
      <c r="C85" s="2" t="s">
        <v>11</v>
      </c>
      <c r="D85" s="1"/>
      <c r="E85" s="1" t="s">
        <v>12</v>
      </c>
      <c r="F85" s="7">
        <v>17729.057000000001</v>
      </c>
      <c r="G85" s="8">
        <v>0.31229327499999998</v>
      </c>
      <c r="H85" s="72"/>
    </row>
    <row r="86" spans="1:8" x14ac:dyDescent="0.2">
      <c r="A86" s="1"/>
      <c r="B86" s="1"/>
      <c r="C86" s="5"/>
      <c r="D86" s="1"/>
      <c r="E86" s="1"/>
      <c r="F86" s="6"/>
      <c r="G86" s="6"/>
      <c r="H86" s="72"/>
    </row>
    <row r="87" spans="1:8" x14ac:dyDescent="0.2">
      <c r="A87" s="1"/>
      <c r="B87" s="1"/>
      <c r="C87" s="2" t="s">
        <v>123</v>
      </c>
      <c r="D87" s="1"/>
      <c r="E87" s="1"/>
      <c r="F87" s="6"/>
      <c r="G87" s="6"/>
      <c r="H87" s="72"/>
    </row>
    <row r="88" spans="1:8" x14ac:dyDescent="0.2">
      <c r="A88" s="9">
        <v>1</v>
      </c>
      <c r="B88" s="10" t="s">
        <v>209</v>
      </c>
      <c r="C88" s="10" t="s">
        <v>466</v>
      </c>
      <c r="D88" s="10" t="s">
        <v>101</v>
      </c>
      <c r="E88" s="11">
        <v>2500000</v>
      </c>
      <c r="F88" s="12">
        <v>2486.38</v>
      </c>
      <c r="G88" s="13">
        <v>4.3797014000000002E-2</v>
      </c>
      <c r="H88" s="72">
        <v>4.6500000000000004</v>
      </c>
    </row>
    <row r="89" spans="1:8" x14ac:dyDescent="0.2">
      <c r="A89" s="9">
        <v>2</v>
      </c>
      <c r="B89" s="10" t="s">
        <v>301</v>
      </c>
      <c r="C89" s="10" t="s">
        <v>464</v>
      </c>
      <c r="D89" s="10" t="s">
        <v>101</v>
      </c>
      <c r="E89" s="11">
        <v>1000000</v>
      </c>
      <c r="F89" s="12">
        <v>987.77499999999998</v>
      </c>
      <c r="G89" s="13">
        <v>1.739943E-2</v>
      </c>
      <c r="H89" s="72">
        <v>4.91</v>
      </c>
    </row>
    <row r="90" spans="1:8" x14ac:dyDescent="0.2">
      <c r="A90" s="9">
        <v>3</v>
      </c>
      <c r="B90" s="10" t="s">
        <v>365</v>
      </c>
      <c r="C90" s="10" t="s">
        <v>470</v>
      </c>
      <c r="D90" s="10" t="s">
        <v>101</v>
      </c>
      <c r="E90" s="11">
        <v>500000</v>
      </c>
      <c r="F90" s="12">
        <v>487.78149999999999</v>
      </c>
      <c r="G90" s="13">
        <v>8.5921590000000003E-3</v>
      </c>
      <c r="H90" s="72">
        <v>5.41</v>
      </c>
    </row>
    <row r="91" spans="1:8" x14ac:dyDescent="0.2">
      <c r="A91" s="1"/>
      <c r="B91" s="1"/>
      <c r="C91" s="2" t="s">
        <v>11</v>
      </c>
      <c r="D91" s="1"/>
      <c r="E91" s="1" t="s">
        <v>12</v>
      </c>
      <c r="F91" s="7">
        <v>3961.9364999999998</v>
      </c>
      <c r="G91" s="8">
        <v>6.9788603000000005E-2</v>
      </c>
      <c r="H91" s="72"/>
    </row>
    <row r="92" spans="1:8" x14ac:dyDescent="0.2">
      <c r="A92" s="1"/>
      <c r="B92" s="1"/>
      <c r="C92" s="5"/>
      <c r="D92" s="1"/>
      <c r="E92" s="1"/>
      <c r="F92" s="6"/>
      <c r="G92" s="6"/>
      <c r="H92" s="72"/>
    </row>
    <row r="93" spans="1:8" x14ac:dyDescent="0.2">
      <c r="A93" s="1"/>
      <c r="B93" s="1"/>
      <c r="C93" s="2" t="s">
        <v>124</v>
      </c>
      <c r="D93" s="1"/>
      <c r="E93" s="1"/>
      <c r="F93" s="6"/>
      <c r="G93" s="6"/>
      <c r="H93" s="72"/>
    </row>
    <row r="94" spans="1:8" x14ac:dyDescent="0.2">
      <c r="A94" s="9">
        <v>1</v>
      </c>
      <c r="B94" s="10"/>
      <c r="C94" s="10" t="s">
        <v>125</v>
      </c>
      <c r="D94" s="10"/>
      <c r="E94" s="14"/>
      <c r="F94" s="12">
        <v>4037.9038381999999</v>
      </c>
      <c r="G94" s="13">
        <v>7.1126751000000002E-2</v>
      </c>
      <c r="H94" s="72">
        <v>4.1713246754849944</v>
      </c>
    </row>
    <row r="95" spans="1:8" x14ac:dyDescent="0.2">
      <c r="A95" s="1"/>
      <c r="B95" s="1"/>
      <c r="C95" s="2" t="s">
        <v>11</v>
      </c>
      <c r="D95" s="1"/>
      <c r="E95" s="1" t="s">
        <v>12</v>
      </c>
      <c r="F95" s="7">
        <v>4037.9038381999999</v>
      </c>
      <c r="G95" s="8">
        <v>7.1126751000000002E-2</v>
      </c>
      <c r="H95" s="72"/>
    </row>
    <row r="96" spans="1:8" x14ac:dyDescent="0.2">
      <c r="A96" s="1"/>
      <c r="B96" s="1"/>
      <c r="C96" s="5"/>
      <c r="D96" s="1"/>
      <c r="E96" s="1"/>
      <c r="F96" s="6"/>
      <c r="G96" s="6"/>
      <c r="H96" s="72"/>
    </row>
    <row r="97" spans="1:8" x14ac:dyDescent="0.2">
      <c r="A97" s="1"/>
      <c r="B97" s="1"/>
      <c r="C97" s="2" t="s">
        <v>126</v>
      </c>
      <c r="D97" s="1"/>
      <c r="E97" s="1"/>
      <c r="F97" s="7">
        <v>38059.094838199999</v>
      </c>
      <c r="G97" s="8">
        <v>0.67040223200000004</v>
      </c>
      <c r="H97" s="72"/>
    </row>
    <row r="98" spans="1:8" x14ac:dyDescent="0.2">
      <c r="A98" s="1"/>
      <c r="B98" s="1"/>
      <c r="C98" s="6"/>
      <c r="D98" s="1"/>
      <c r="E98" s="1"/>
      <c r="F98" s="1"/>
      <c r="G98" s="1"/>
      <c r="H98" s="72"/>
    </row>
    <row r="99" spans="1:8" x14ac:dyDescent="0.2">
      <c r="A99" s="1"/>
      <c r="B99" s="1"/>
      <c r="C99" s="2" t="s">
        <v>127</v>
      </c>
      <c r="D99" s="1"/>
      <c r="E99" s="1"/>
      <c r="F99" s="1"/>
      <c r="G99" s="1"/>
      <c r="H99" s="72"/>
    </row>
    <row r="100" spans="1:8" x14ac:dyDescent="0.2">
      <c r="A100" s="1"/>
      <c r="B100" s="1"/>
      <c r="C100" s="2" t="s">
        <v>128</v>
      </c>
      <c r="D100" s="1"/>
      <c r="E100" s="1"/>
      <c r="F100" s="1"/>
      <c r="G100" s="1"/>
      <c r="H100" s="72"/>
    </row>
    <row r="101" spans="1:8" x14ac:dyDescent="0.2">
      <c r="A101" s="1"/>
      <c r="B101" s="1"/>
      <c r="C101" s="2" t="s">
        <v>11</v>
      </c>
      <c r="D101" s="1"/>
      <c r="E101" s="1" t="s">
        <v>12</v>
      </c>
      <c r="F101" s="3">
        <v>0</v>
      </c>
      <c r="G101" s="4">
        <v>0</v>
      </c>
      <c r="H101" s="72"/>
    </row>
    <row r="102" spans="1:8" x14ac:dyDescent="0.2">
      <c r="A102" s="1"/>
      <c r="B102" s="1"/>
      <c r="C102" s="5"/>
      <c r="D102" s="1"/>
      <c r="E102" s="1"/>
      <c r="F102" s="6"/>
      <c r="G102" s="6"/>
      <c r="H102" s="72"/>
    </row>
    <row r="103" spans="1:8" x14ac:dyDescent="0.2">
      <c r="A103" s="1"/>
      <c r="B103" s="1"/>
      <c r="C103" s="2" t="s">
        <v>129</v>
      </c>
      <c r="D103" s="1"/>
      <c r="E103" s="1"/>
      <c r="F103" s="1"/>
      <c r="G103" s="1"/>
      <c r="H103" s="72"/>
    </row>
    <row r="104" spans="1:8" x14ac:dyDescent="0.2">
      <c r="A104" s="1"/>
      <c r="B104" s="1"/>
      <c r="C104" s="2" t="s">
        <v>130</v>
      </c>
      <c r="D104" s="1"/>
      <c r="E104" s="1"/>
      <c r="F104" s="1"/>
      <c r="G104" s="1"/>
      <c r="H104" s="72"/>
    </row>
    <row r="105" spans="1:8" x14ac:dyDescent="0.2">
      <c r="A105" s="1"/>
      <c r="B105" s="1"/>
      <c r="C105" s="2" t="s">
        <v>11</v>
      </c>
      <c r="D105" s="1"/>
      <c r="E105" s="1" t="s">
        <v>12</v>
      </c>
      <c r="F105" s="3">
        <v>0</v>
      </c>
      <c r="G105" s="4">
        <v>0</v>
      </c>
      <c r="H105" s="72"/>
    </row>
    <row r="106" spans="1:8" x14ac:dyDescent="0.2">
      <c r="A106" s="1"/>
      <c r="B106" s="1"/>
      <c r="C106" s="5"/>
      <c r="D106" s="1"/>
      <c r="E106" s="1"/>
      <c r="F106" s="6"/>
      <c r="G106" s="6"/>
      <c r="H106" s="72"/>
    </row>
    <row r="107" spans="1:8" ht="25.5" x14ac:dyDescent="0.2">
      <c r="A107" s="1"/>
      <c r="B107" s="1"/>
      <c r="C107" s="2" t="s">
        <v>131</v>
      </c>
      <c r="D107" s="1"/>
      <c r="E107" s="1"/>
      <c r="F107" s="6"/>
      <c r="G107" s="6"/>
      <c r="H107" s="72"/>
    </row>
    <row r="108" spans="1:8" x14ac:dyDescent="0.2">
      <c r="A108" s="1"/>
      <c r="B108" s="1"/>
      <c r="C108" s="2" t="s">
        <v>11</v>
      </c>
      <c r="D108" s="1"/>
      <c r="E108" s="1" t="s">
        <v>12</v>
      </c>
      <c r="F108" s="3">
        <v>0</v>
      </c>
      <c r="G108" s="4">
        <v>0</v>
      </c>
      <c r="H108" s="72"/>
    </row>
    <row r="109" spans="1:8" x14ac:dyDescent="0.2">
      <c r="A109" s="1"/>
      <c r="B109" s="1"/>
      <c r="C109" s="5"/>
      <c r="D109" s="1"/>
      <c r="E109" s="1"/>
      <c r="F109" s="6"/>
      <c r="G109" s="6"/>
      <c r="H109" s="72"/>
    </row>
    <row r="110" spans="1:8" x14ac:dyDescent="0.2">
      <c r="A110" s="1"/>
      <c r="B110" s="10"/>
      <c r="C110" s="10"/>
      <c r="D110" s="2"/>
      <c r="E110" s="1"/>
      <c r="F110" s="10"/>
      <c r="G110" s="14"/>
      <c r="H110" s="72"/>
    </row>
    <row r="111" spans="1:8" x14ac:dyDescent="0.2">
      <c r="A111" s="14"/>
      <c r="B111" s="10"/>
      <c r="C111" s="10" t="s">
        <v>132</v>
      </c>
      <c r="D111" s="10"/>
      <c r="E111" s="14"/>
      <c r="F111" s="12">
        <v>529.63018247000002</v>
      </c>
      <c r="G111" s="13">
        <v>9.329314E-3</v>
      </c>
      <c r="H111" s="72"/>
    </row>
    <row r="112" spans="1:8" x14ac:dyDescent="0.2">
      <c r="A112" s="5"/>
      <c r="B112" s="5"/>
      <c r="C112" s="2" t="s">
        <v>133</v>
      </c>
      <c r="D112" s="6"/>
      <c r="E112" s="6"/>
      <c r="F112" s="7">
        <v>56770.536908130001</v>
      </c>
      <c r="G112" s="8">
        <v>0.99999999399999995</v>
      </c>
      <c r="H112" s="72"/>
    </row>
    <row r="113" spans="1:15" ht="14.1" customHeight="1" x14ac:dyDescent="0.2">
      <c r="A113" s="15"/>
      <c r="B113" s="15"/>
      <c r="C113" s="15"/>
      <c r="D113" s="16"/>
      <c r="E113" s="16"/>
      <c r="F113" s="16"/>
      <c r="G113" s="16"/>
    </row>
    <row r="114" spans="1:15" ht="17.100000000000001" customHeight="1" x14ac:dyDescent="0.2">
      <c r="A114" s="17"/>
      <c r="B114" s="90" t="s">
        <v>134</v>
      </c>
      <c r="C114" s="90"/>
      <c r="D114" s="90"/>
      <c r="E114" s="90"/>
      <c r="F114" s="90"/>
      <c r="G114" s="19"/>
    </row>
    <row r="115" spans="1:15" ht="17.100000000000001" customHeight="1" x14ac:dyDescent="0.2">
      <c r="A115" s="17"/>
      <c r="B115" s="90" t="s">
        <v>135</v>
      </c>
      <c r="C115" s="90"/>
      <c r="D115" s="90"/>
      <c r="E115" s="90"/>
      <c r="F115" s="90"/>
      <c r="G115" s="19"/>
    </row>
    <row r="116" spans="1:15" ht="14.1" customHeight="1" x14ac:dyDescent="0.2">
      <c r="A116" s="17"/>
      <c r="B116" s="17"/>
      <c r="C116" s="17"/>
      <c r="D116" s="19"/>
      <c r="E116" s="19"/>
      <c r="F116" s="19"/>
      <c r="G116" s="19"/>
    </row>
    <row r="117" spans="1:15" ht="14.1" customHeight="1" x14ac:dyDescent="0.2">
      <c r="A117" s="17"/>
      <c r="B117" s="91" t="s">
        <v>136</v>
      </c>
      <c r="C117" s="92"/>
      <c r="D117" s="93"/>
      <c r="E117" s="20"/>
      <c r="F117" s="19"/>
      <c r="G117" s="19"/>
    </row>
    <row r="118" spans="1:15" ht="29.1" customHeight="1" x14ac:dyDescent="0.2">
      <c r="A118" s="17"/>
      <c r="B118" s="85" t="s">
        <v>137</v>
      </c>
      <c r="C118" s="86"/>
      <c r="D118" s="39" t="s">
        <v>510</v>
      </c>
      <c r="E118" s="20"/>
      <c r="F118" s="19"/>
      <c r="G118" s="19"/>
    </row>
    <row r="119" spans="1:15" ht="17.100000000000001" customHeight="1" x14ac:dyDescent="0.2">
      <c r="A119" s="17"/>
      <c r="B119" s="85" t="s">
        <v>139</v>
      </c>
      <c r="C119" s="86"/>
      <c r="D119" s="2" t="s">
        <v>138</v>
      </c>
      <c r="E119" s="20"/>
      <c r="F119" s="19"/>
      <c r="G119" s="19"/>
    </row>
    <row r="120" spans="1:15" ht="17.100000000000001" customHeight="1" x14ac:dyDescent="0.2">
      <c r="A120" s="17"/>
      <c r="B120" s="85" t="s">
        <v>140</v>
      </c>
      <c r="C120" s="86"/>
      <c r="D120" s="6" t="s">
        <v>12</v>
      </c>
      <c r="E120" s="20"/>
      <c r="F120" s="19"/>
      <c r="G120" s="19"/>
    </row>
    <row r="121" spans="1:15" ht="24" customHeight="1" x14ac:dyDescent="0.2">
      <c r="A121" s="21"/>
      <c r="B121" s="22" t="s">
        <v>12</v>
      </c>
      <c r="C121" s="22" t="s">
        <v>141</v>
      </c>
      <c r="D121" s="22" t="s">
        <v>142</v>
      </c>
      <c r="E121" s="21"/>
      <c r="F121" s="21"/>
      <c r="G121" s="21"/>
    </row>
    <row r="122" spans="1:15" ht="18" customHeight="1" x14ac:dyDescent="0.2">
      <c r="A122" s="21"/>
      <c r="B122" s="23" t="s">
        <v>143</v>
      </c>
      <c r="C122" s="22" t="s">
        <v>144</v>
      </c>
      <c r="D122" s="22" t="s">
        <v>145</v>
      </c>
      <c r="E122" s="21"/>
      <c r="F122" s="21"/>
      <c r="G122" s="21"/>
      <c r="I122" s="41"/>
      <c r="O122" s="41"/>
    </row>
    <row r="123" spans="1:15" ht="17.100000000000001" customHeight="1" x14ac:dyDescent="0.2">
      <c r="A123" s="21"/>
      <c r="B123" s="10" t="s">
        <v>146</v>
      </c>
      <c r="C123" s="24">
        <v>2968.0918999999999</v>
      </c>
      <c r="D123" s="24">
        <v>2972.5434</v>
      </c>
      <c r="E123" s="21"/>
      <c r="F123" s="18"/>
      <c r="G123" s="25"/>
    </row>
    <row r="124" spans="1:15" ht="29.1" customHeight="1" x14ac:dyDescent="0.2">
      <c r="A124" s="21"/>
      <c r="B124" s="10" t="s">
        <v>543</v>
      </c>
      <c r="C124" s="24">
        <v>978.32230000000004</v>
      </c>
      <c r="D124" s="24">
        <v>979.78980000000001</v>
      </c>
      <c r="E124" s="21"/>
      <c r="F124" s="18"/>
      <c r="G124" s="25"/>
    </row>
    <row r="125" spans="1:15" ht="29.1" customHeight="1" x14ac:dyDescent="0.2">
      <c r="A125" s="21"/>
      <c r="B125" s="10" t="s">
        <v>547</v>
      </c>
      <c r="C125" s="24">
        <v>976.85500000000002</v>
      </c>
      <c r="D125" s="24">
        <v>978.32029999999997</v>
      </c>
      <c r="E125" s="21"/>
      <c r="F125" s="18"/>
      <c r="G125" s="25"/>
    </row>
    <row r="126" spans="1:15" ht="29.1" customHeight="1" x14ac:dyDescent="0.2">
      <c r="A126" s="21"/>
      <c r="B126" s="10" t="s">
        <v>548</v>
      </c>
      <c r="C126" s="24">
        <v>1095.0598</v>
      </c>
      <c r="D126" s="24">
        <v>1095.442</v>
      </c>
      <c r="E126" s="21"/>
      <c r="F126" s="18"/>
      <c r="G126" s="25"/>
    </row>
    <row r="127" spans="1:15" ht="29.1" customHeight="1" x14ac:dyDescent="0.2">
      <c r="A127" s="21"/>
      <c r="B127" s="10" t="s">
        <v>534</v>
      </c>
      <c r="C127" s="24">
        <v>1097.4718</v>
      </c>
      <c r="D127" s="24">
        <v>1097.3922</v>
      </c>
      <c r="E127" s="21"/>
      <c r="F127" s="18"/>
      <c r="G127" s="25"/>
    </row>
    <row r="128" spans="1:15" ht="29.1" customHeight="1" x14ac:dyDescent="0.2">
      <c r="A128" s="21"/>
      <c r="B128" s="10" t="s">
        <v>535</v>
      </c>
      <c r="C128" s="24">
        <v>1102.3783000000001</v>
      </c>
      <c r="D128" s="24">
        <v>1104.0309</v>
      </c>
      <c r="E128" s="21"/>
      <c r="F128" s="18"/>
      <c r="G128" s="25"/>
    </row>
    <row r="129" spans="1:7" ht="17.100000000000001" customHeight="1" x14ac:dyDescent="0.2">
      <c r="A129" s="21"/>
      <c r="B129" s="10" t="s">
        <v>147</v>
      </c>
      <c r="C129" s="24">
        <v>2834.6990000000001</v>
      </c>
      <c r="D129" s="24">
        <v>2837.4196000000002</v>
      </c>
      <c r="E129" s="21"/>
      <c r="F129" s="18"/>
      <c r="G129" s="25"/>
    </row>
    <row r="130" spans="1:7" ht="17.100000000000001" customHeight="1" x14ac:dyDescent="0.2">
      <c r="A130" s="21"/>
      <c r="B130" s="10" t="s">
        <v>207</v>
      </c>
      <c r="C130" s="24">
        <v>1097.8040000000001</v>
      </c>
      <c r="D130" s="24">
        <v>1098.8602000000001</v>
      </c>
      <c r="E130" s="21"/>
      <c r="F130" s="18"/>
      <c r="G130" s="25"/>
    </row>
    <row r="131" spans="1:7" ht="29.1" customHeight="1" x14ac:dyDescent="0.2">
      <c r="A131" s="21"/>
      <c r="B131" s="10" t="s">
        <v>545</v>
      </c>
      <c r="C131" s="24">
        <v>967.82299999999998</v>
      </c>
      <c r="D131" s="24">
        <v>968.73479999999995</v>
      </c>
      <c r="E131" s="21"/>
      <c r="F131" s="18"/>
      <c r="G131" s="25"/>
    </row>
    <row r="132" spans="1:7" ht="29.1" customHeight="1" x14ac:dyDescent="0.2">
      <c r="A132" s="21"/>
      <c r="B132" s="10" t="s">
        <v>546</v>
      </c>
      <c r="C132" s="24">
        <v>967.98310000000004</v>
      </c>
      <c r="D132" s="24">
        <v>968.91560000000004</v>
      </c>
      <c r="E132" s="21"/>
      <c r="F132" s="18"/>
      <c r="G132" s="25"/>
    </row>
    <row r="133" spans="1:7" ht="29.1" customHeight="1" x14ac:dyDescent="0.2">
      <c r="A133" s="21"/>
      <c r="B133" s="10" t="s">
        <v>549</v>
      </c>
      <c r="C133" s="24">
        <v>1085.3399999999999</v>
      </c>
      <c r="D133" s="24">
        <v>1085.6668999999999</v>
      </c>
      <c r="E133" s="21"/>
      <c r="F133" s="18"/>
      <c r="G133" s="25"/>
    </row>
    <row r="134" spans="1:7" ht="29.1" customHeight="1" x14ac:dyDescent="0.2">
      <c r="A134" s="21"/>
      <c r="B134" s="10" t="s">
        <v>538</v>
      </c>
      <c r="C134" s="24">
        <v>1087.4205999999999</v>
      </c>
      <c r="D134" s="24">
        <v>1087.3998999999999</v>
      </c>
      <c r="E134" s="21"/>
      <c r="F134" s="18"/>
      <c r="G134" s="25"/>
    </row>
    <row r="135" spans="1:7" ht="29.1" customHeight="1" x14ac:dyDescent="0.2">
      <c r="A135" s="21"/>
      <c r="B135" s="10" t="s">
        <v>539</v>
      </c>
      <c r="C135" s="24">
        <v>1090.2832000000001</v>
      </c>
      <c r="D135" s="24">
        <v>1091.3318999999999</v>
      </c>
      <c r="E135" s="21"/>
      <c r="F135" s="18"/>
      <c r="G135" s="25"/>
    </row>
    <row r="136" spans="1:7" ht="14.1" customHeight="1" x14ac:dyDescent="0.2">
      <c r="A136" s="21"/>
      <c r="B136" s="21"/>
      <c r="C136" s="21"/>
      <c r="D136" s="21"/>
      <c r="E136" s="21"/>
      <c r="F136" s="21"/>
      <c r="G136" s="21"/>
    </row>
    <row r="137" spans="1:7" ht="17.100000000000001" customHeight="1" x14ac:dyDescent="0.2">
      <c r="A137" s="21"/>
      <c r="B137" s="85" t="s">
        <v>542</v>
      </c>
      <c r="C137" s="86"/>
      <c r="D137" s="2" t="s">
        <v>12</v>
      </c>
      <c r="E137" s="21"/>
      <c r="F137" s="21"/>
      <c r="G137" s="21"/>
    </row>
    <row r="138" spans="1:7" ht="18" customHeight="1" x14ac:dyDescent="0.2">
      <c r="A138" s="21"/>
      <c r="B138" s="26" t="s">
        <v>143</v>
      </c>
      <c r="C138" s="27" t="s">
        <v>148</v>
      </c>
      <c r="D138" s="27" t="s">
        <v>149</v>
      </c>
      <c r="E138" s="21"/>
      <c r="F138" s="21"/>
      <c r="G138" s="21"/>
    </row>
    <row r="139" spans="1:7" ht="29.1" customHeight="1" x14ac:dyDescent="0.2">
      <c r="A139" s="21"/>
      <c r="B139" s="10" t="s">
        <v>548</v>
      </c>
      <c r="C139" s="28">
        <v>1.2548999999999999</v>
      </c>
      <c r="D139" s="14" t="s">
        <v>150</v>
      </c>
      <c r="E139" s="21"/>
      <c r="F139" s="18"/>
      <c r="G139" s="25"/>
    </row>
    <row r="140" spans="1:7" ht="29.1" customHeight="1" x14ac:dyDescent="0.2">
      <c r="A140" s="21"/>
      <c r="B140" s="10" t="s">
        <v>534</v>
      </c>
      <c r="C140" s="28">
        <v>1.7119</v>
      </c>
      <c r="D140" s="28">
        <v>1.7119</v>
      </c>
      <c r="E140" s="21"/>
      <c r="F140" s="18"/>
      <c r="G140" s="25"/>
    </row>
    <row r="141" spans="1:7" ht="29.1" customHeight="1" x14ac:dyDescent="0.2">
      <c r="A141" s="21"/>
      <c r="B141" s="10" t="s">
        <v>549</v>
      </c>
      <c r="C141" s="28">
        <v>0.74239999999999995</v>
      </c>
      <c r="D141" s="14" t="s">
        <v>150</v>
      </c>
      <c r="E141" s="21"/>
      <c r="F141" s="18"/>
      <c r="G141" s="25"/>
    </row>
    <row r="142" spans="1:7" ht="29.1" customHeight="1" x14ac:dyDescent="0.2">
      <c r="A142" s="21"/>
      <c r="B142" s="10" t="s">
        <v>538</v>
      </c>
      <c r="C142" s="28">
        <v>1.0630999999999999</v>
      </c>
      <c r="D142" s="28">
        <v>1.0630999999999999</v>
      </c>
      <c r="E142" s="21"/>
      <c r="F142" s="18"/>
      <c r="G142" s="25"/>
    </row>
    <row r="143" spans="1:7" ht="14.1" customHeight="1" x14ac:dyDescent="0.2">
      <c r="A143" s="21"/>
      <c r="B143" s="29"/>
      <c r="C143" s="29"/>
      <c r="D143" s="30"/>
      <c r="E143" s="21"/>
      <c r="F143" s="18"/>
      <c r="G143" s="25"/>
    </row>
    <row r="144" spans="1:7" ht="29.1" customHeight="1" x14ac:dyDescent="0.2">
      <c r="A144" s="21"/>
      <c r="B144" s="85" t="s">
        <v>151</v>
      </c>
      <c r="C144" s="86"/>
      <c r="D144" s="2" t="s">
        <v>138</v>
      </c>
      <c r="E144" s="31"/>
      <c r="F144" s="21"/>
      <c r="G144" s="21"/>
    </row>
    <row r="145" spans="1:16" ht="29.1" customHeight="1" x14ac:dyDescent="0.2">
      <c r="A145" s="21"/>
      <c r="B145" s="85" t="s">
        <v>152</v>
      </c>
      <c r="C145" s="86"/>
      <c r="D145" s="2" t="s">
        <v>138</v>
      </c>
      <c r="E145" s="31"/>
      <c r="F145" s="21"/>
      <c r="G145" s="21"/>
    </row>
    <row r="146" spans="1:16" ht="17.100000000000001" customHeight="1" x14ac:dyDescent="0.2">
      <c r="A146" s="21"/>
      <c r="B146" s="85" t="s">
        <v>153</v>
      </c>
      <c r="C146" s="86"/>
      <c r="D146" s="32">
        <v>0.65935514852661703</v>
      </c>
      <c r="E146" s="31"/>
      <c r="F146" s="21"/>
      <c r="G146" s="21"/>
    </row>
    <row r="147" spans="1:16" ht="17.100000000000001" customHeight="1" x14ac:dyDescent="0.2">
      <c r="A147" s="21"/>
      <c r="B147" s="85" t="s">
        <v>154</v>
      </c>
      <c r="C147" s="86"/>
      <c r="D147" s="32">
        <v>0.49477707075288963</v>
      </c>
      <c r="E147" s="31"/>
      <c r="F147" s="21"/>
      <c r="G147" s="21"/>
      <c r="J147"/>
      <c r="K147"/>
      <c r="L147"/>
      <c r="M147"/>
      <c r="N147"/>
    </row>
    <row r="148" spans="1:16" ht="17.100000000000001" customHeight="1" x14ac:dyDescent="0.2">
      <c r="A148" s="21"/>
      <c r="B148" s="85" t="s">
        <v>155</v>
      </c>
      <c r="C148" s="86"/>
      <c r="D148" s="2" t="s">
        <v>138</v>
      </c>
      <c r="E148" s="31"/>
      <c r="F148" s="21"/>
      <c r="G148" s="21"/>
    </row>
    <row r="149" spans="1:16" ht="14.1" customHeight="1" x14ac:dyDescent="0.2">
      <c r="A149" s="21"/>
      <c r="B149" s="88"/>
      <c r="C149" s="88"/>
      <c r="D149" s="30"/>
      <c r="E149" s="21"/>
      <c r="F149" s="18"/>
      <c r="G149" s="25"/>
    </row>
    <row r="150" spans="1:16" x14ac:dyDescent="0.2">
      <c r="B150" s="40" t="s">
        <v>530</v>
      </c>
      <c r="C150" s="40"/>
      <c r="D150" s="40"/>
      <c r="E150" s="40"/>
      <c r="F150" s="40"/>
      <c r="G150" s="40"/>
      <c r="H150" s="40"/>
    </row>
    <row r="151" spans="1:16" x14ac:dyDescent="0.2">
      <c r="B151" s="42"/>
      <c r="C151" s="42"/>
      <c r="D151" s="42"/>
      <c r="E151" s="42"/>
      <c r="F151" s="42"/>
      <c r="G151" s="42"/>
      <c r="H151" s="42"/>
    </row>
    <row r="152" spans="1:16" ht="51" x14ac:dyDescent="0.2">
      <c r="A152" s="43"/>
      <c r="B152" s="44" t="s">
        <v>485</v>
      </c>
      <c r="C152" s="44" t="s">
        <v>486</v>
      </c>
      <c r="D152" s="44" t="s">
        <v>487</v>
      </c>
      <c r="E152" s="44" t="s">
        <v>488</v>
      </c>
      <c r="F152" s="44" t="s">
        <v>489</v>
      </c>
      <c r="G152" s="42"/>
      <c r="H152" s="42"/>
      <c r="P152" s="41"/>
    </row>
    <row r="153" spans="1:16" x14ac:dyDescent="0.2">
      <c r="A153" s="45"/>
      <c r="B153" s="46" t="s">
        <v>490</v>
      </c>
      <c r="C153" s="46" t="s">
        <v>491</v>
      </c>
      <c r="D153" s="47">
        <v>0</v>
      </c>
      <c r="E153" s="48">
        <v>0</v>
      </c>
      <c r="F153" s="49">
        <v>300</v>
      </c>
      <c r="G153" s="42"/>
      <c r="H153" s="42"/>
      <c r="I153" s="41"/>
      <c r="O153" s="41"/>
      <c r="P153" s="41"/>
    </row>
    <row r="154" spans="1:16" x14ac:dyDescent="0.2">
      <c r="A154" s="50"/>
      <c r="B154" s="50"/>
      <c r="C154" s="50"/>
      <c r="D154" s="50"/>
      <c r="E154" s="50"/>
      <c r="F154" s="50"/>
      <c r="G154" s="50"/>
      <c r="P154" s="41"/>
    </row>
    <row r="155" spans="1:16" x14ac:dyDescent="0.2">
      <c r="B155" s="51" t="s">
        <v>492</v>
      </c>
      <c r="C155" s="51" t="s">
        <v>493</v>
      </c>
      <c r="D155" s="102" t="s">
        <v>487</v>
      </c>
      <c r="E155" s="102"/>
      <c r="F155" s="102"/>
      <c r="G155" s="101" t="s">
        <v>488</v>
      </c>
      <c r="H155" s="101"/>
      <c r="P155" s="41"/>
    </row>
    <row r="156" spans="1:16" ht="25.5" x14ac:dyDescent="0.2">
      <c r="B156" s="52" t="s">
        <v>494</v>
      </c>
      <c r="C156" s="53" t="s">
        <v>495</v>
      </c>
      <c r="D156" s="96">
        <v>0</v>
      </c>
      <c r="E156" s="96"/>
      <c r="F156" s="96"/>
      <c r="G156" s="96">
        <v>0</v>
      </c>
      <c r="H156" s="96"/>
      <c r="P156" s="41"/>
    </row>
    <row r="157" spans="1:16" ht="25.5" x14ac:dyDescent="0.2">
      <c r="B157" s="52" t="s">
        <v>496</v>
      </c>
      <c r="C157" s="53" t="s">
        <v>497</v>
      </c>
      <c r="D157" s="96">
        <v>0</v>
      </c>
      <c r="E157" s="96"/>
      <c r="F157" s="96"/>
      <c r="G157" s="96">
        <v>0</v>
      </c>
      <c r="H157" s="96"/>
      <c r="P157" s="41"/>
    </row>
    <row r="158" spans="1:16" ht="25.5" x14ac:dyDescent="0.2">
      <c r="B158" s="52" t="s">
        <v>498</v>
      </c>
      <c r="C158" s="53" t="s">
        <v>499</v>
      </c>
      <c r="D158" s="96">
        <v>0</v>
      </c>
      <c r="E158" s="96"/>
      <c r="F158" s="96"/>
      <c r="G158" s="96">
        <v>0</v>
      </c>
      <c r="H158" s="96"/>
      <c r="P158" s="41"/>
    </row>
    <row r="159" spans="1:16" x14ac:dyDescent="0.2">
      <c r="B159" s="52"/>
      <c r="C159" s="52"/>
      <c r="D159" s="100"/>
      <c r="E159" s="100"/>
      <c r="F159" s="100"/>
      <c r="G159" s="100"/>
      <c r="H159" s="100"/>
      <c r="P159" s="41"/>
    </row>
    <row r="160" spans="1:16" x14ac:dyDescent="0.2">
      <c r="B160" s="101" t="s">
        <v>500</v>
      </c>
      <c r="C160" s="101"/>
      <c r="D160" s="101"/>
      <c r="E160" s="101"/>
      <c r="F160" s="101"/>
      <c r="G160" s="101"/>
      <c r="H160" s="101"/>
      <c r="P160" s="41"/>
    </row>
    <row r="161" spans="2:16" x14ac:dyDescent="0.2">
      <c r="B161" s="97" t="s">
        <v>492</v>
      </c>
      <c r="C161" s="97" t="s">
        <v>493</v>
      </c>
      <c r="D161" s="97" t="s">
        <v>501</v>
      </c>
      <c r="E161" s="97"/>
      <c r="F161" s="97"/>
      <c r="G161" s="97"/>
      <c r="H161" s="98" t="s">
        <v>502</v>
      </c>
      <c r="I161" s="41"/>
      <c r="O161" s="41"/>
      <c r="P161" s="41"/>
    </row>
    <row r="162" spans="2:16" ht="63.75" x14ac:dyDescent="0.2">
      <c r="B162" s="97"/>
      <c r="C162" s="97"/>
      <c r="D162" s="54" t="s">
        <v>503</v>
      </c>
      <c r="E162" s="54" t="s">
        <v>504</v>
      </c>
      <c r="F162" s="54" t="s">
        <v>505</v>
      </c>
      <c r="G162" s="54" t="s">
        <v>506</v>
      </c>
      <c r="H162" s="99"/>
      <c r="I162" s="41"/>
      <c r="O162" s="41"/>
      <c r="P162" s="41"/>
    </row>
    <row r="163" spans="2:16" ht="25.5" x14ac:dyDescent="0.2">
      <c r="B163" s="52" t="s">
        <v>494</v>
      </c>
      <c r="C163" s="53" t="s">
        <v>495</v>
      </c>
      <c r="D163" s="55">
        <v>1500</v>
      </c>
      <c r="E163" s="55">
        <v>99.850684900000005</v>
      </c>
      <c r="F163" s="56">
        <v>36.275342200000004</v>
      </c>
      <c r="G163" s="57">
        <v>1636.1260271000001</v>
      </c>
      <c r="H163" s="58">
        <v>726.67232000000001</v>
      </c>
      <c r="I163" s="41"/>
      <c r="O163" s="41"/>
      <c r="P163" s="41"/>
    </row>
    <row r="164" spans="2:16" ht="25.5" x14ac:dyDescent="0.2">
      <c r="B164" s="52" t="s">
        <v>496</v>
      </c>
      <c r="C164" s="53" t="s">
        <v>497</v>
      </c>
      <c r="D164" s="55">
        <v>2517.2199999999998</v>
      </c>
      <c r="E164" s="55">
        <v>183.25361600000002</v>
      </c>
      <c r="F164" s="56">
        <v>45.813405699999997</v>
      </c>
      <c r="G164" s="57">
        <v>2746.2870217</v>
      </c>
      <c r="H164" s="58">
        <v>1225.53333</v>
      </c>
      <c r="I164" s="41"/>
      <c r="O164" s="41"/>
      <c r="P164" s="41"/>
    </row>
    <row r="165" spans="2:16" ht="25.5" x14ac:dyDescent="0.2">
      <c r="B165" s="52" t="s">
        <v>498</v>
      </c>
      <c r="C165" s="53" t="s">
        <v>499</v>
      </c>
      <c r="D165" s="55">
        <v>4882.25</v>
      </c>
      <c r="E165" s="55">
        <v>323.21163799999999</v>
      </c>
      <c r="F165" s="56">
        <v>117.42144879999999</v>
      </c>
      <c r="G165" s="57">
        <v>5322.8830868000005</v>
      </c>
      <c r="H165" s="58">
        <v>2364.0489899999998</v>
      </c>
      <c r="I165" s="41"/>
      <c r="O165" s="41"/>
      <c r="P165" s="41"/>
    </row>
    <row r="166" spans="2:16" x14ac:dyDescent="0.2">
      <c r="I166" s="41"/>
      <c r="O166" s="41"/>
      <c r="P166" s="41"/>
    </row>
    <row r="167" spans="2:16" x14ac:dyDescent="0.2">
      <c r="I167" s="41"/>
      <c r="O167" s="41"/>
      <c r="P167" s="41"/>
    </row>
    <row r="168" spans="2:16" x14ac:dyDescent="0.2">
      <c r="B168" s="59" t="s">
        <v>507</v>
      </c>
      <c r="I168" s="41"/>
      <c r="O168" s="41"/>
      <c r="P168" s="41"/>
    </row>
    <row r="169" spans="2:16" x14ac:dyDescent="0.2">
      <c r="B169" s="41"/>
      <c r="C169" s="41"/>
      <c r="D169" s="41"/>
      <c r="E169" s="41"/>
      <c r="F169" s="41"/>
      <c r="G169" s="41"/>
      <c r="H169" s="41"/>
      <c r="I169" s="41"/>
      <c r="O169" s="41"/>
      <c r="P169" s="41"/>
    </row>
    <row r="170" spans="2:16" x14ac:dyDescent="0.2">
      <c r="B170" s="60" t="s">
        <v>508</v>
      </c>
      <c r="C170" s="41"/>
      <c r="D170" s="41"/>
      <c r="E170" s="41"/>
      <c r="F170" s="41"/>
      <c r="G170" s="41"/>
      <c r="H170" s="41"/>
      <c r="I170" s="41"/>
      <c r="O170" s="41"/>
      <c r="P170" s="41"/>
    </row>
    <row r="171" spans="2:16" x14ac:dyDescent="0.2">
      <c r="B171" s="41"/>
      <c r="C171" s="41"/>
      <c r="D171" s="41"/>
      <c r="E171" s="41"/>
      <c r="F171" s="41"/>
      <c r="G171" s="41"/>
      <c r="H171" s="41"/>
      <c r="I171" s="41"/>
      <c r="O171" s="41"/>
      <c r="P171" s="41"/>
    </row>
    <row r="172" spans="2:16" x14ac:dyDescent="0.2">
      <c r="B172" s="60" t="s">
        <v>509</v>
      </c>
      <c r="C172" s="41"/>
      <c r="D172" s="41"/>
      <c r="E172" s="41"/>
      <c r="F172" s="41"/>
      <c r="G172" s="41"/>
      <c r="H172" s="41"/>
      <c r="I172" s="41"/>
      <c r="O172" s="41"/>
      <c r="P172" s="41"/>
    </row>
    <row r="173" spans="2:16" x14ac:dyDescent="0.2">
      <c r="I173" s="41"/>
      <c r="O173" s="41"/>
      <c r="P173" s="41"/>
    </row>
    <row r="174" spans="2:16" x14ac:dyDescent="0.2">
      <c r="I174" s="41"/>
      <c r="O174" s="41"/>
      <c r="P174" s="41"/>
    </row>
    <row r="175" spans="2:16" x14ac:dyDescent="0.2">
      <c r="I175" s="41"/>
      <c r="O175" s="41"/>
      <c r="P175" s="41"/>
    </row>
    <row r="176" spans="2:16" x14ac:dyDescent="0.2">
      <c r="I176" s="41"/>
      <c r="O176" s="41"/>
    </row>
    <row r="177" spans="9:15" x14ac:dyDescent="0.2">
      <c r="I177" s="41"/>
      <c r="O177" s="41"/>
    </row>
    <row r="178" spans="9:15" x14ac:dyDescent="0.2">
      <c r="I178" s="41"/>
      <c r="O178" s="41"/>
    </row>
    <row r="179" spans="9:15" x14ac:dyDescent="0.2">
      <c r="I179" s="41"/>
      <c r="O179" s="41"/>
    </row>
    <row r="180" spans="9:15" x14ac:dyDescent="0.2">
      <c r="I180" s="41"/>
      <c r="O180" s="41"/>
    </row>
    <row r="181" spans="9:15" x14ac:dyDescent="0.2">
      <c r="I181" s="41"/>
      <c r="O181" s="41"/>
    </row>
    <row r="182" spans="9:15" x14ac:dyDescent="0.2">
      <c r="I182" s="41"/>
      <c r="O182" s="41"/>
    </row>
    <row r="183" spans="9:15" x14ac:dyDescent="0.2">
      <c r="I183" s="41"/>
      <c r="O183" s="41"/>
    </row>
    <row r="184" spans="9:15" x14ac:dyDescent="0.2">
      <c r="I184" s="41"/>
      <c r="O184" s="41"/>
    </row>
    <row r="185" spans="9:15" x14ac:dyDescent="0.2">
      <c r="O185" s="41"/>
    </row>
  </sheetData>
  <mergeCells count="32">
    <mergeCell ref="J2:N2"/>
    <mergeCell ref="B147:C147"/>
    <mergeCell ref="B148:C148"/>
    <mergeCell ref="B149:C149"/>
    <mergeCell ref="A1:H1"/>
    <mergeCell ref="A2:H2"/>
    <mergeCell ref="A3:H3"/>
    <mergeCell ref="B145:C145"/>
    <mergeCell ref="B146:C146"/>
    <mergeCell ref="B144:C144"/>
    <mergeCell ref="B114:F114"/>
    <mergeCell ref="B115:F115"/>
    <mergeCell ref="B117:D117"/>
    <mergeCell ref="B118:C118"/>
    <mergeCell ref="B119:C119"/>
    <mergeCell ref="B120:C120"/>
    <mergeCell ref="B137:C137"/>
    <mergeCell ref="D155:F155"/>
    <mergeCell ref="G155:H155"/>
    <mergeCell ref="D156:F156"/>
    <mergeCell ref="G156:H156"/>
    <mergeCell ref="D157:F157"/>
    <mergeCell ref="G157:H157"/>
    <mergeCell ref="B161:B162"/>
    <mergeCell ref="C161:C162"/>
    <mergeCell ref="D161:G161"/>
    <mergeCell ref="H161:H162"/>
    <mergeCell ref="D158:F158"/>
    <mergeCell ref="G158:H158"/>
    <mergeCell ref="D159:F159"/>
    <mergeCell ref="G159:H159"/>
    <mergeCell ref="B160:H160"/>
  </mergeCells>
  <hyperlinks>
    <hyperlink ref="B170" r:id="rId1" xr:uid="{F4949434-D721-411D-BD02-C04DB24B1192}"/>
    <hyperlink ref="B172" r:id="rId2" xr:uid="{ACBD4F71-FBC0-4B70-8D3F-774747FE55BB}"/>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P15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89" t="s">
        <v>0</v>
      </c>
      <c r="B1" s="89"/>
      <c r="C1" s="89"/>
      <c r="D1" s="89"/>
      <c r="E1" s="89"/>
      <c r="F1" s="89"/>
      <c r="G1" s="89"/>
      <c r="H1" s="89"/>
    </row>
    <row r="2" spans="1:14" ht="17.100000000000001" customHeight="1" x14ac:dyDescent="0.2">
      <c r="A2" s="89" t="s">
        <v>366</v>
      </c>
      <c r="B2" s="89"/>
      <c r="C2" s="89"/>
      <c r="D2" s="89"/>
      <c r="E2" s="89"/>
      <c r="F2" s="89"/>
      <c r="G2" s="89"/>
      <c r="H2" s="89"/>
      <c r="J2" s="103" t="s">
        <v>555</v>
      </c>
      <c r="K2" s="103"/>
      <c r="L2" s="103"/>
      <c r="M2" s="103"/>
      <c r="N2" s="103"/>
    </row>
    <row r="3" spans="1:14" ht="21" customHeight="1" x14ac:dyDescent="0.2">
      <c r="A3" s="89" t="s">
        <v>550</v>
      </c>
      <c r="B3" s="89"/>
      <c r="C3" s="89"/>
      <c r="D3" s="89"/>
      <c r="E3" s="89"/>
      <c r="F3" s="89"/>
      <c r="G3" s="89"/>
      <c r="H3" s="89"/>
    </row>
    <row r="4" spans="1:14" s="76" customFormat="1" ht="30" x14ac:dyDescent="0.2">
      <c r="A4" s="75" t="s">
        <v>2</v>
      </c>
      <c r="B4" s="75" t="s">
        <v>3</v>
      </c>
      <c r="C4" s="75" t="s">
        <v>4</v>
      </c>
      <c r="D4" s="75" t="s">
        <v>5</v>
      </c>
      <c r="E4" s="75" t="s">
        <v>6</v>
      </c>
      <c r="F4" s="75" t="s">
        <v>7</v>
      </c>
      <c r="G4" s="75" t="s">
        <v>8</v>
      </c>
      <c r="H4" s="71" t="s">
        <v>531</v>
      </c>
      <c r="J4" s="77"/>
      <c r="K4" s="77"/>
      <c r="L4" s="77"/>
      <c r="M4" s="77"/>
      <c r="N4" s="77"/>
    </row>
    <row r="5" spans="1:14" x14ac:dyDescent="0.2">
      <c r="A5" s="1"/>
      <c r="B5" s="1"/>
      <c r="C5" s="2" t="s">
        <v>9</v>
      </c>
      <c r="D5" s="1"/>
      <c r="E5" s="1"/>
      <c r="F5" s="1"/>
      <c r="G5" s="1"/>
      <c r="H5" s="72"/>
    </row>
    <row r="6" spans="1:14" ht="25.5" x14ac:dyDescent="0.2">
      <c r="A6" s="1"/>
      <c r="B6" s="1"/>
      <c r="C6" s="2" t="s">
        <v>10</v>
      </c>
      <c r="D6" s="1"/>
      <c r="E6" s="1"/>
      <c r="F6" s="1"/>
      <c r="G6" s="1"/>
      <c r="H6" s="72"/>
    </row>
    <row r="7" spans="1:14" x14ac:dyDescent="0.2">
      <c r="A7" s="1"/>
      <c r="B7" s="1"/>
      <c r="C7" s="2" t="s">
        <v>11</v>
      </c>
      <c r="D7" s="1"/>
      <c r="E7" s="1" t="s">
        <v>12</v>
      </c>
      <c r="F7" s="3">
        <v>0</v>
      </c>
      <c r="G7" s="4">
        <v>0</v>
      </c>
      <c r="H7" s="72"/>
    </row>
    <row r="8" spans="1:14" x14ac:dyDescent="0.2">
      <c r="A8" s="1"/>
      <c r="B8" s="1"/>
      <c r="C8" s="5"/>
      <c r="D8" s="1"/>
      <c r="E8" s="1"/>
      <c r="F8" s="6"/>
      <c r="G8" s="6"/>
      <c r="H8" s="72"/>
    </row>
    <row r="9" spans="1:14" x14ac:dyDescent="0.2">
      <c r="A9" s="1"/>
      <c r="B9" s="1"/>
      <c r="C9" s="2" t="s">
        <v>13</v>
      </c>
      <c r="D9" s="1"/>
      <c r="E9" s="1"/>
      <c r="F9" s="1"/>
      <c r="G9" s="1"/>
      <c r="H9" s="72"/>
    </row>
    <row r="10" spans="1:14" x14ac:dyDescent="0.2">
      <c r="A10" s="1"/>
      <c r="B10" s="1"/>
      <c r="C10" s="2" t="s">
        <v>11</v>
      </c>
      <c r="D10" s="1"/>
      <c r="E10" s="1" t="s">
        <v>12</v>
      </c>
      <c r="F10" s="3">
        <v>0</v>
      </c>
      <c r="G10" s="4">
        <v>0</v>
      </c>
      <c r="H10" s="72"/>
    </row>
    <row r="11" spans="1:14" x14ac:dyDescent="0.2">
      <c r="A11" s="1"/>
      <c r="B11" s="1"/>
      <c r="C11" s="5"/>
      <c r="D11" s="1"/>
      <c r="E11" s="1"/>
      <c r="F11" s="6"/>
      <c r="G11" s="6"/>
      <c r="H11" s="72"/>
    </row>
    <row r="12" spans="1:14" x14ac:dyDescent="0.2">
      <c r="A12" s="1"/>
      <c r="B12" s="1"/>
      <c r="C12" s="2" t="s">
        <v>14</v>
      </c>
      <c r="D12" s="1"/>
      <c r="E12" s="1"/>
      <c r="F12" s="1"/>
      <c r="G12" s="1"/>
      <c r="H12" s="72"/>
    </row>
    <row r="13" spans="1:14" x14ac:dyDescent="0.2">
      <c r="A13" s="1"/>
      <c r="B13" s="1"/>
      <c r="C13" s="2" t="s">
        <v>11</v>
      </c>
      <c r="D13" s="1"/>
      <c r="E13" s="1" t="s">
        <v>12</v>
      </c>
      <c r="F13" s="3">
        <v>0</v>
      </c>
      <c r="G13" s="4">
        <v>0</v>
      </c>
      <c r="H13" s="72"/>
    </row>
    <row r="14" spans="1:14" x14ac:dyDescent="0.2">
      <c r="A14" s="1"/>
      <c r="B14" s="1"/>
      <c r="C14" s="5"/>
      <c r="D14" s="1"/>
      <c r="E14" s="1"/>
      <c r="F14" s="6"/>
      <c r="G14" s="6"/>
      <c r="H14" s="72"/>
    </row>
    <row r="15" spans="1:14" x14ac:dyDescent="0.2">
      <c r="A15" s="1"/>
      <c r="B15" s="1"/>
      <c r="C15" s="2" t="s">
        <v>15</v>
      </c>
      <c r="D15" s="1"/>
      <c r="E15" s="1"/>
      <c r="F15" s="1"/>
      <c r="G15" s="1"/>
      <c r="H15" s="72"/>
    </row>
    <row r="16" spans="1:14" ht="15" x14ac:dyDescent="0.25">
      <c r="A16" s="1"/>
      <c r="B16" s="1"/>
      <c r="C16" s="2" t="s">
        <v>11</v>
      </c>
      <c r="D16" s="1"/>
      <c r="E16" s="1" t="s">
        <v>12</v>
      </c>
      <c r="F16" s="3">
        <v>0</v>
      </c>
      <c r="G16" s="4">
        <v>0</v>
      </c>
      <c r="H16" s="72"/>
      <c r="J16" s="79" t="s">
        <v>570</v>
      </c>
      <c r="K16" s="80"/>
      <c r="L16" s="80"/>
      <c r="M16" s="80"/>
      <c r="N16" s="80"/>
    </row>
    <row r="17" spans="1:14" x14ac:dyDescent="0.2">
      <c r="A17" s="1"/>
      <c r="B17" s="1"/>
      <c r="C17" s="5"/>
      <c r="D17" s="1"/>
      <c r="E17" s="1"/>
      <c r="F17" s="6"/>
      <c r="G17" s="6"/>
      <c r="H17" s="72"/>
    </row>
    <row r="18" spans="1:14" x14ac:dyDescent="0.2">
      <c r="A18" s="1"/>
      <c r="B18" s="1"/>
      <c r="C18" s="2" t="s">
        <v>16</v>
      </c>
      <c r="D18" s="1"/>
      <c r="E18" s="1"/>
      <c r="F18" s="6"/>
      <c r="G18" s="6"/>
      <c r="H18" s="72"/>
    </row>
    <row r="19" spans="1:14" x14ac:dyDescent="0.2">
      <c r="A19" s="1"/>
      <c r="B19" s="1"/>
      <c r="C19" s="2" t="s">
        <v>11</v>
      </c>
      <c r="D19" s="1"/>
      <c r="E19" s="1" t="s">
        <v>12</v>
      </c>
      <c r="F19" s="3">
        <v>0</v>
      </c>
      <c r="G19" s="4">
        <v>0</v>
      </c>
      <c r="H19" s="72"/>
    </row>
    <row r="20" spans="1:14" x14ac:dyDescent="0.2">
      <c r="A20" s="1"/>
      <c r="B20" s="1"/>
      <c r="C20" s="5"/>
      <c r="D20" s="1"/>
      <c r="E20" s="1"/>
      <c r="F20" s="6"/>
      <c r="G20" s="6"/>
      <c r="H20" s="72"/>
    </row>
    <row r="21" spans="1:14" x14ac:dyDescent="0.2">
      <c r="A21" s="1"/>
      <c r="B21" s="1"/>
      <c r="C21" s="2" t="s">
        <v>17</v>
      </c>
      <c r="D21" s="1"/>
      <c r="E21" s="1"/>
      <c r="F21" s="6"/>
      <c r="G21" s="6"/>
      <c r="H21" s="72"/>
    </row>
    <row r="22" spans="1:14" x14ac:dyDescent="0.2">
      <c r="A22" s="1"/>
      <c r="B22" s="1"/>
      <c r="C22" s="2" t="s">
        <v>11</v>
      </c>
      <c r="D22" s="1"/>
      <c r="E22" s="1" t="s">
        <v>12</v>
      </c>
      <c r="F22" s="3">
        <v>0</v>
      </c>
      <c r="G22" s="4">
        <v>0</v>
      </c>
      <c r="H22" s="72"/>
    </row>
    <row r="23" spans="1:14" x14ac:dyDescent="0.2">
      <c r="A23" s="1"/>
      <c r="B23" s="1"/>
      <c r="C23" s="5"/>
      <c r="D23" s="1"/>
      <c r="E23" s="1"/>
      <c r="F23" s="6"/>
      <c r="G23" s="6"/>
      <c r="H23" s="72"/>
    </row>
    <row r="24" spans="1:14" x14ac:dyDescent="0.2">
      <c r="A24" s="1"/>
      <c r="B24" s="1"/>
      <c r="C24" s="2" t="s">
        <v>18</v>
      </c>
      <c r="D24" s="1"/>
      <c r="E24" s="1"/>
      <c r="F24" s="7">
        <v>0</v>
      </c>
      <c r="G24" s="8">
        <v>0</v>
      </c>
      <c r="H24" s="72"/>
    </row>
    <row r="25" spans="1:14" x14ac:dyDescent="0.2">
      <c r="A25" s="1"/>
      <c r="B25" s="1"/>
      <c r="C25" s="5"/>
      <c r="D25" s="1"/>
      <c r="E25" s="1"/>
      <c r="F25" s="6"/>
      <c r="G25" s="6"/>
      <c r="H25" s="72"/>
    </row>
    <row r="26" spans="1:14" x14ac:dyDescent="0.2">
      <c r="A26" s="1"/>
      <c r="B26" s="1"/>
      <c r="C26" s="2" t="s">
        <v>19</v>
      </c>
      <c r="D26" s="1"/>
      <c r="E26" s="1"/>
      <c r="F26" s="6"/>
      <c r="G26" s="6"/>
      <c r="H26" s="72"/>
    </row>
    <row r="27" spans="1:14" ht="25.5" x14ac:dyDescent="0.2">
      <c r="A27" s="1"/>
      <c r="B27" s="1"/>
      <c r="C27" s="2" t="s">
        <v>10</v>
      </c>
      <c r="D27" s="1"/>
      <c r="E27" s="1"/>
      <c r="F27" s="6"/>
      <c r="G27" s="6"/>
      <c r="H27" s="72"/>
    </row>
    <row r="28" spans="1:14" x14ac:dyDescent="0.2">
      <c r="A28" s="1"/>
      <c r="B28" s="1"/>
      <c r="C28" s="2" t="s">
        <v>11</v>
      </c>
      <c r="D28" s="1"/>
      <c r="E28" s="1" t="s">
        <v>12</v>
      </c>
      <c r="F28" s="3">
        <v>0</v>
      </c>
      <c r="G28" s="4">
        <v>0</v>
      </c>
      <c r="H28" s="72"/>
    </row>
    <row r="29" spans="1:14" x14ac:dyDescent="0.2">
      <c r="A29" s="1"/>
      <c r="B29" s="1"/>
      <c r="C29" s="5"/>
      <c r="D29" s="1"/>
      <c r="E29" s="1"/>
      <c r="F29" s="6"/>
      <c r="G29" s="6"/>
      <c r="H29" s="72"/>
    </row>
    <row r="30" spans="1:14" ht="15" x14ac:dyDescent="0.25">
      <c r="A30" s="1"/>
      <c r="B30" s="1"/>
      <c r="C30" s="2" t="s">
        <v>97</v>
      </c>
      <c r="D30" s="1"/>
      <c r="E30" s="1"/>
      <c r="F30" s="1"/>
      <c r="G30" s="1"/>
      <c r="H30" s="72"/>
      <c r="J30" s="79" t="s">
        <v>560</v>
      </c>
      <c r="K30" s="80"/>
      <c r="L30" s="80"/>
      <c r="M30" s="80"/>
      <c r="N30" s="80"/>
    </row>
    <row r="31" spans="1:14" x14ac:dyDescent="0.2">
      <c r="A31" s="1"/>
      <c r="B31" s="1"/>
      <c r="C31" s="2" t="s">
        <v>11</v>
      </c>
      <c r="D31" s="1"/>
      <c r="E31" s="1" t="s">
        <v>12</v>
      </c>
      <c r="F31" s="3">
        <v>0</v>
      </c>
      <c r="G31" s="4">
        <v>0</v>
      </c>
      <c r="H31" s="72"/>
    </row>
    <row r="32" spans="1:14" x14ac:dyDescent="0.2">
      <c r="A32" s="1"/>
      <c r="B32" s="1"/>
      <c r="C32" s="5"/>
      <c r="D32" s="1"/>
      <c r="E32" s="1"/>
      <c r="F32" s="6"/>
      <c r="G32" s="6"/>
      <c r="H32" s="72"/>
    </row>
    <row r="33" spans="1:8" x14ac:dyDescent="0.2">
      <c r="A33" s="1"/>
      <c r="B33" s="1"/>
      <c r="C33" s="2" t="s">
        <v>98</v>
      </c>
      <c r="D33" s="1"/>
      <c r="E33" s="1"/>
      <c r="F33" s="1"/>
      <c r="G33" s="1"/>
      <c r="H33" s="72"/>
    </row>
    <row r="34" spans="1:8" x14ac:dyDescent="0.2">
      <c r="A34" s="1"/>
      <c r="B34" s="1"/>
      <c r="C34" s="2" t="s">
        <v>11</v>
      </c>
      <c r="D34" s="1"/>
      <c r="E34" s="1" t="s">
        <v>12</v>
      </c>
      <c r="F34" s="3">
        <v>0</v>
      </c>
      <c r="G34" s="4">
        <v>0</v>
      </c>
      <c r="H34" s="72"/>
    </row>
    <row r="35" spans="1:8" x14ac:dyDescent="0.2">
      <c r="A35" s="1"/>
      <c r="B35" s="1"/>
      <c r="C35" s="5"/>
      <c r="D35" s="1"/>
      <c r="E35" s="1"/>
      <c r="F35" s="6"/>
      <c r="G35" s="6"/>
      <c r="H35" s="72"/>
    </row>
    <row r="36" spans="1:8" x14ac:dyDescent="0.2">
      <c r="A36" s="1"/>
      <c r="B36" s="1"/>
      <c r="C36" s="2" t="s">
        <v>108</v>
      </c>
      <c r="D36" s="1"/>
      <c r="E36" s="1"/>
      <c r="F36" s="6"/>
      <c r="G36" s="6"/>
      <c r="H36" s="72"/>
    </row>
    <row r="37" spans="1:8" x14ac:dyDescent="0.2">
      <c r="A37" s="1"/>
      <c r="B37" s="1"/>
      <c r="C37" s="2" t="s">
        <v>11</v>
      </c>
      <c r="D37" s="1"/>
      <c r="E37" s="1" t="s">
        <v>12</v>
      </c>
      <c r="F37" s="3">
        <v>0</v>
      </c>
      <c r="G37" s="4">
        <v>0</v>
      </c>
      <c r="H37" s="72"/>
    </row>
    <row r="38" spans="1:8" x14ac:dyDescent="0.2">
      <c r="A38" s="1"/>
      <c r="B38" s="1"/>
      <c r="C38" s="5"/>
      <c r="D38" s="1"/>
      <c r="E38" s="1"/>
      <c r="F38" s="6"/>
      <c r="G38" s="6"/>
      <c r="H38" s="72"/>
    </row>
    <row r="39" spans="1:8" x14ac:dyDescent="0.2">
      <c r="A39" s="1"/>
      <c r="B39" s="1"/>
      <c r="C39" s="2" t="s">
        <v>109</v>
      </c>
      <c r="D39" s="1"/>
      <c r="E39" s="1"/>
      <c r="F39" s="7">
        <v>0</v>
      </c>
      <c r="G39" s="8">
        <v>0</v>
      </c>
      <c r="H39" s="72"/>
    </row>
    <row r="40" spans="1:8" x14ac:dyDescent="0.2">
      <c r="A40" s="1"/>
      <c r="B40" s="1"/>
      <c r="C40" s="5"/>
      <c r="D40" s="1"/>
      <c r="E40" s="1"/>
      <c r="F40" s="6"/>
      <c r="G40" s="6"/>
      <c r="H40" s="72"/>
    </row>
    <row r="41" spans="1:8" x14ac:dyDescent="0.2">
      <c r="A41" s="1"/>
      <c r="B41" s="1"/>
      <c r="C41" s="2" t="s">
        <v>110</v>
      </c>
      <c r="D41" s="1"/>
      <c r="E41" s="1"/>
      <c r="F41" s="6"/>
      <c r="G41" s="6"/>
      <c r="H41" s="72"/>
    </row>
    <row r="42" spans="1:8" x14ac:dyDescent="0.2">
      <c r="A42" s="1"/>
      <c r="B42" s="1"/>
      <c r="C42" s="2" t="s">
        <v>111</v>
      </c>
      <c r="D42" s="1"/>
      <c r="E42" s="1"/>
      <c r="F42" s="6"/>
      <c r="G42" s="6"/>
      <c r="H42" s="72"/>
    </row>
    <row r="43" spans="1:8" x14ac:dyDescent="0.2">
      <c r="A43" s="9">
        <v>1</v>
      </c>
      <c r="B43" s="10" t="s">
        <v>367</v>
      </c>
      <c r="C43" s="10" t="s">
        <v>368</v>
      </c>
      <c r="D43" s="10" t="s">
        <v>117</v>
      </c>
      <c r="E43" s="11">
        <v>3000</v>
      </c>
      <c r="F43" s="12">
        <v>14964.09</v>
      </c>
      <c r="G43" s="13">
        <v>8.8279768999999994E-2</v>
      </c>
      <c r="H43" s="72">
        <v>4.6101000000000001</v>
      </c>
    </row>
    <row r="44" spans="1:8" x14ac:dyDescent="0.2">
      <c r="A44" s="9">
        <v>2</v>
      </c>
      <c r="B44" s="10" t="s">
        <v>369</v>
      </c>
      <c r="C44" s="10" t="s">
        <v>370</v>
      </c>
      <c r="D44" s="10" t="s">
        <v>117</v>
      </c>
      <c r="E44" s="11">
        <v>2000</v>
      </c>
      <c r="F44" s="12">
        <v>9990.58</v>
      </c>
      <c r="G44" s="13">
        <v>5.8938839E-2</v>
      </c>
      <c r="H44" s="72">
        <v>4.3018999999999998</v>
      </c>
    </row>
    <row r="45" spans="1:8" x14ac:dyDescent="0.2">
      <c r="A45" s="9">
        <v>3</v>
      </c>
      <c r="B45" s="10" t="s">
        <v>295</v>
      </c>
      <c r="C45" s="10" t="s">
        <v>296</v>
      </c>
      <c r="D45" s="10" t="s">
        <v>114</v>
      </c>
      <c r="E45" s="11">
        <v>2000</v>
      </c>
      <c r="F45" s="12">
        <v>9985.4</v>
      </c>
      <c r="G45" s="13">
        <v>5.890828E-2</v>
      </c>
      <c r="H45" s="72">
        <v>4.45</v>
      </c>
    </row>
    <row r="46" spans="1:8" x14ac:dyDescent="0.2">
      <c r="A46" s="9">
        <v>4</v>
      </c>
      <c r="B46" s="10" t="s">
        <v>371</v>
      </c>
      <c r="C46" s="10" t="s">
        <v>372</v>
      </c>
      <c r="D46" s="10" t="s">
        <v>114</v>
      </c>
      <c r="E46" s="11">
        <v>2000</v>
      </c>
      <c r="F46" s="12">
        <v>9964.73</v>
      </c>
      <c r="G46" s="13">
        <v>5.8786339E-2</v>
      </c>
      <c r="H46" s="72">
        <v>4.6147</v>
      </c>
    </row>
    <row r="47" spans="1:8" x14ac:dyDescent="0.2">
      <c r="A47" s="9">
        <v>5</v>
      </c>
      <c r="B47" s="10" t="s">
        <v>341</v>
      </c>
      <c r="C47" s="10" t="s">
        <v>342</v>
      </c>
      <c r="D47" s="10" t="s">
        <v>114</v>
      </c>
      <c r="E47" s="11">
        <v>1500</v>
      </c>
      <c r="F47" s="12">
        <v>7487.22</v>
      </c>
      <c r="G47" s="13">
        <v>4.4170413999999998E-2</v>
      </c>
      <c r="H47" s="72">
        <v>4.4489999999999998</v>
      </c>
    </row>
    <row r="48" spans="1:8" x14ac:dyDescent="0.2">
      <c r="A48" s="9">
        <v>6</v>
      </c>
      <c r="B48" s="10" t="s">
        <v>373</v>
      </c>
      <c r="C48" s="10" t="s">
        <v>374</v>
      </c>
      <c r="D48" s="10" t="s">
        <v>117</v>
      </c>
      <c r="E48" s="11">
        <v>1000</v>
      </c>
      <c r="F48" s="12">
        <v>4947.3500000000004</v>
      </c>
      <c r="G48" s="13">
        <v>2.91866E-2</v>
      </c>
      <c r="H48" s="72">
        <v>5.0448000000000004</v>
      </c>
    </row>
    <row r="49" spans="1:8" x14ac:dyDescent="0.2">
      <c r="A49" s="1"/>
      <c r="B49" s="1"/>
      <c r="C49" s="2" t="s">
        <v>11</v>
      </c>
      <c r="D49" s="1"/>
      <c r="E49" s="1" t="s">
        <v>12</v>
      </c>
      <c r="F49" s="7">
        <v>57339.37</v>
      </c>
      <c r="G49" s="8">
        <v>0.33827024100000003</v>
      </c>
      <c r="H49" s="72"/>
    </row>
    <row r="50" spans="1:8" x14ac:dyDescent="0.2">
      <c r="A50" s="1"/>
      <c r="B50" s="1"/>
      <c r="C50" s="5"/>
      <c r="D50" s="1"/>
      <c r="E50" s="1"/>
      <c r="F50" s="6"/>
      <c r="G50" s="6"/>
      <c r="H50" s="72"/>
    </row>
    <row r="51" spans="1:8" x14ac:dyDescent="0.2">
      <c r="A51" s="1"/>
      <c r="B51" s="1"/>
      <c r="C51" s="2" t="s">
        <v>120</v>
      </c>
      <c r="D51" s="1"/>
      <c r="E51" s="1"/>
      <c r="F51" s="6"/>
      <c r="G51" s="6"/>
      <c r="H51" s="72"/>
    </row>
    <row r="52" spans="1:8" x14ac:dyDescent="0.2">
      <c r="A52" s="9">
        <v>1</v>
      </c>
      <c r="B52" s="10" t="s">
        <v>375</v>
      </c>
      <c r="C52" s="10" t="s">
        <v>376</v>
      </c>
      <c r="D52" s="10" t="s">
        <v>117</v>
      </c>
      <c r="E52" s="11">
        <v>2000</v>
      </c>
      <c r="F52" s="12">
        <v>9988.2000000000007</v>
      </c>
      <c r="G52" s="13">
        <v>5.8924798E-2</v>
      </c>
      <c r="H52" s="72">
        <v>4.79</v>
      </c>
    </row>
    <row r="53" spans="1:8" ht="25.5" x14ac:dyDescent="0.2">
      <c r="A53" s="9">
        <v>2</v>
      </c>
      <c r="B53" s="10" t="s">
        <v>377</v>
      </c>
      <c r="C53" s="10" t="s">
        <v>378</v>
      </c>
      <c r="D53" s="10" t="s">
        <v>117</v>
      </c>
      <c r="E53" s="11">
        <v>1800</v>
      </c>
      <c r="F53" s="12">
        <v>8885.3220000000001</v>
      </c>
      <c r="G53" s="13">
        <v>5.2418434999999999E-2</v>
      </c>
      <c r="H53" s="72">
        <v>5.7450000000000001</v>
      </c>
    </row>
    <row r="54" spans="1:8" ht="25.5" x14ac:dyDescent="0.2">
      <c r="A54" s="9">
        <v>3</v>
      </c>
      <c r="B54" s="10" t="s">
        <v>379</v>
      </c>
      <c r="C54" s="10" t="s">
        <v>380</v>
      </c>
      <c r="D54" s="10" t="s">
        <v>117</v>
      </c>
      <c r="E54" s="11">
        <v>1500</v>
      </c>
      <c r="F54" s="12">
        <v>7406.3175000000001</v>
      </c>
      <c r="G54" s="13">
        <v>4.3693135000000001E-2</v>
      </c>
      <c r="H54" s="72">
        <v>5.1299000000000001</v>
      </c>
    </row>
    <row r="55" spans="1:8" x14ac:dyDescent="0.2">
      <c r="A55" s="9">
        <v>4</v>
      </c>
      <c r="B55" s="10" t="s">
        <v>381</v>
      </c>
      <c r="C55" s="10" t="s">
        <v>382</v>
      </c>
      <c r="D55" s="10" t="s">
        <v>117</v>
      </c>
      <c r="E55" s="11">
        <v>1000</v>
      </c>
      <c r="F55" s="12">
        <v>5000</v>
      </c>
      <c r="G55" s="13">
        <v>2.9497206000000002E-2</v>
      </c>
      <c r="H55" s="72">
        <v>5.4749999999999996</v>
      </c>
    </row>
    <row r="56" spans="1:8" ht="25.5" x14ac:dyDescent="0.2">
      <c r="A56" s="9">
        <v>5</v>
      </c>
      <c r="B56" s="10" t="s">
        <v>383</v>
      </c>
      <c r="C56" s="10" t="s">
        <v>384</v>
      </c>
      <c r="D56" s="10" t="s">
        <v>117</v>
      </c>
      <c r="E56" s="11">
        <v>1000</v>
      </c>
      <c r="F56" s="12">
        <v>4994.13</v>
      </c>
      <c r="G56" s="13">
        <v>2.9462576000000001E-2</v>
      </c>
      <c r="H56" s="72">
        <v>4.7668999999999997</v>
      </c>
    </row>
    <row r="57" spans="1:8" ht="25.5" x14ac:dyDescent="0.2">
      <c r="A57" s="9">
        <v>6</v>
      </c>
      <c r="B57" s="10" t="s">
        <v>385</v>
      </c>
      <c r="C57" s="10" t="s">
        <v>386</v>
      </c>
      <c r="D57" s="10" t="s">
        <v>117</v>
      </c>
      <c r="E57" s="11">
        <v>1000</v>
      </c>
      <c r="F57" s="12">
        <v>4994.01</v>
      </c>
      <c r="G57" s="13">
        <v>2.9461867999999999E-2</v>
      </c>
      <c r="H57" s="72">
        <v>5.4749999999999996</v>
      </c>
    </row>
    <row r="58" spans="1:8" x14ac:dyDescent="0.2">
      <c r="A58" s="9">
        <v>7</v>
      </c>
      <c r="B58" s="10" t="s">
        <v>387</v>
      </c>
      <c r="C58" s="10" t="s">
        <v>461</v>
      </c>
      <c r="D58" s="10" t="s">
        <v>117</v>
      </c>
      <c r="E58" s="11">
        <v>1000</v>
      </c>
      <c r="F58" s="12">
        <v>4990.335</v>
      </c>
      <c r="G58" s="13">
        <v>2.9440187999999999E-2</v>
      </c>
      <c r="H58" s="72">
        <v>5.4375</v>
      </c>
    </row>
    <row r="59" spans="1:8" ht="25.5" x14ac:dyDescent="0.2">
      <c r="A59" s="9">
        <v>8</v>
      </c>
      <c r="B59" s="10" t="s">
        <v>388</v>
      </c>
      <c r="C59" s="10" t="s">
        <v>463</v>
      </c>
      <c r="D59" s="10" t="s">
        <v>117</v>
      </c>
      <c r="E59" s="11">
        <v>1000</v>
      </c>
      <c r="F59" s="12">
        <v>4989.55</v>
      </c>
      <c r="G59" s="13">
        <v>2.9435557000000001E-2</v>
      </c>
      <c r="H59" s="72">
        <v>5.46</v>
      </c>
    </row>
    <row r="60" spans="1:8" ht="25.5" x14ac:dyDescent="0.2">
      <c r="A60" s="9">
        <v>9</v>
      </c>
      <c r="B60" s="10" t="s">
        <v>389</v>
      </c>
      <c r="C60" s="10" t="s">
        <v>390</v>
      </c>
      <c r="D60" s="10" t="s">
        <v>117</v>
      </c>
      <c r="E60" s="11">
        <v>1000</v>
      </c>
      <c r="F60" s="12">
        <v>4987.0749999999998</v>
      </c>
      <c r="G60" s="13">
        <v>2.9420956000000002E-2</v>
      </c>
      <c r="H60" s="72">
        <v>4.7300000000000004</v>
      </c>
    </row>
    <row r="61" spans="1:8" ht="25.5" x14ac:dyDescent="0.2">
      <c r="A61" s="9">
        <v>10</v>
      </c>
      <c r="B61" s="10" t="s">
        <v>391</v>
      </c>
      <c r="C61" s="10" t="s">
        <v>392</v>
      </c>
      <c r="D61" s="10" t="s">
        <v>117</v>
      </c>
      <c r="E61" s="11">
        <v>1000</v>
      </c>
      <c r="F61" s="12">
        <v>4985.5749999999998</v>
      </c>
      <c r="G61" s="13">
        <v>2.9412107E-2</v>
      </c>
      <c r="H61" s="72">
        <v>4.8002000000000002</v>
      </c>
    </row>
    <row r="62" spans="1:8" ht="25.5" x14ac:dyDescent="0.2">
      <c r="A62" s="9">
        <v>11</v>
      </c>
      <c r="B62" s="10" t="s">
        <v>393</v>
      </c>
      <c r="C62" s="10" t="s">
        <v>394</v>
      </c>
      <c r="D62" s="10" t="s">
        <v>117</v>
      </c>
      <c r="E62" s="11">
        <v>1000</v>
      </c>
      <c r="F62" s="12">
        <v>4982.57</v>
      </c>
      <c r="G62" s="13">
        <v>2.9394379000000002E-2</v>
      </c>
      <c r="H62" s="72">
        <v>4.7300000000000004</v>
      </c>
    </row>
    <row r="63" spans="1:8" ht="25.5" x14ac:dyDescent="0.2">
      <c r="A63" s="9">
        <v>12</v>
      </c>
      <c r="B63" s="10" t="s">
        <v>395</v>
      </c>
      <c r="C63" s="10" t="s">
        <v>396</v>
      </c>
      <c r="D63" s="10" t="s">
        <v>117</v>
      </c>
      <c r="E63" s="11">
        <v>1000</v>
      </c>
      <c r="F63" s="12">
        <v>4941.9350000000004</v>
      </c>
      <c r="G63" s="13">
        <v>2.9154655000000002E-2</v>
      </c>
      <c r="H63" s="72">
        <v>5.23</v>
      </c>
    </row>
    <row r="64" spans="1:8" x14ac:dyDescent="0.2">
      <c r="A64" s="9">
        <v>13</v>
      </c>
      <c r="B64" s="10" t="s">
        <v>397</v>
      </c>
      <c r="C64" s="10" t="s">
        <v>462</v>
      </c>
      <c r="D64" s="10" t="s">
        <v>117</v>
      </c>
      <c r="E64" s="11">
        <v>800</v>
      </c>
      <c r="F64" s="12">
        <v>3943.2040000000002</v>
      </c>
      <c r="G64" s="13">
        <v>2.3262700000000001E-2</v>
      </c>
      <c r="H64" s="72">
        <v>6.1849999999999996</v>
      </c>
    </row>
    <row r="65" spans="1:8" ht="25.5" x14ac:dyDescent="0.2">
      <c r="A65" s="9">
        <v>14</v>
      </c>
      <c r="B65" s="10" t="s">
        <v>349</v>
      </c>
      <c r="C65" s="10" t="s">
        <v>350</v>
      </c>
      <c r="D65" s="10" t="s">
        <v>117</v>
      </c>
      <c r="E65" s="11">
        <v>500</v>
      </c>
      <c r="F65" s="12">
        <v>2493.7725</v>
      </c>
      <c r="G65" s="13">
        <v>1.4711864E-2</v>
      </c>
      <c r="H65" s="72">
        <v>4.7968999999999999</v>
      </c>
    </row>
    <row r="66" spans="1:8" x14ac:dyDescent="0.2">
      <c r="A66" s="9">
        <v>15</v>
      </c>
      <c r="B66" s="10" t="s">
        <v>398</v>
      </c>
      <c r="C66" s="10" t="s">
        <v>399</v>
      </c>
      <c r="D66" s="10" t="s">
        <v>353</v>
      </c>
      <c r="E66" s="11">
        <v>500</v>
      </c>
      <c r="F66" s="12">
        <v>2483.8325</v>
      </c>
      <c r="G66" s="13">
        <v>1.4653223999999999E-2</v>
      </c>
      <c r="H66" s="72">
        <v>5.4</v>
      </c>
    </row>
    <row r="67" spans="1:8" x14ac:dyDescent="0.2">
      <c r="A67" s="9">
        <v>16</v>
      </c>
      <c r="B67" s="10" t="s">
        <v>356</v>
      </c>
      <c r="C67" s="10" t="s">
        <v>357</v>
      </c>
      <c r="D67" s="10" t="s">
        <v>117</v>
      </c>
      <c r="E67" s="11">
        <v>100</v>
      </c>
      <c r="F67" s="12">
        <v>499.471</v>
      </c>
      <c r="G67" s="13">
        <v>2.9466000000000002E-3</v>
      </c>
      <c r="H67" s="72">
        <v>5.5250000000000004</v>
      </c>
    </row>
    <row r="68" spans="1:8" x14ac:dyDescent="0.2">
      <c r="A68" s="1"/>
      <c r="B68" s="1"/>
      <c r="C68" s="2" t="s">
        <v>11</v>
      </c>
      <c r="D68" s="1"/>
      <c r="E68" s="1" t="s">
        <v>12</v>
      </c>
      <c r="F68" s="7">
        <v>80565.299499999994</v>
      </c>
      <c r="G68" s="8">
        <v>0.47529024800000003</v>
      </c>
      <c r="H68" s="72"/>
    </row>
    <row r="69" spans="1:8" x14ac:dyDescent="0.2">
      <c r="A69" s="1"/>
      <c r="B69" s="1"/>
      <c r="C69" s="5"/>
      <c r="D69" s="1"/>
      <c r="E69" s="1"/>
      <c r="F69" s="6"/>
      <c r="G69" s="6"/>
      <c r="H69" s="72"/>
    </row>
    <row r="70" spans="1:8" x14ac:dyDescent="0.2">
      <c r="A70" s="1"/>
      <c r="B70" s="1"/>
      <c r="C70" s="2" t="s">
        <v>123</v>
      </c>
      <c r="D70" s="1"/>
      <c r="E70" s="1"/>
      <c r="F70" s="6"/>
      <c r="G70" s="6"/>
      <c r="H70" s="72"/>
    </row>
    <row r="71" spans="1:8" x14ac:dyDescent="0.2">
      <c r="A71" s="9">
        <v>1</v>
      </c>
      <c r="B71" s="10" t="s">
        <v>400</v>
      </c>
      <c r="C71" s="10" t="s">
        <v>471</v>
      </c>
      <c r="D71" s="10" t="s">
        <v>101</v>
      </c>
      <c r="E71" s="11">
        <v>10500000</v>
      </c>
      <c r="F71" s="12">
        <v>10464.6675</v>
      </c>
      <c r="G71" s="13">
        <v>6.1735690000000003E-2</v>
      </c>
      <c r="H71" s="72">
        <v>4.25</v>
      </c>
    </row>
    <row r="72" spans="1:8" x14ac:dyDescent="0.2">
      <c r="A72" s="1"/>
      <c r="B72" s="1"/>
      <c r="C72" s="2" t="s">
        <v>11</v>
      </c>
      <c r="D72" s="1"/>
      <c r="E72" s="1" t="s">
        <v>12</v>
      </c>
      <c r="F72" s="7">
        <v>10464.6675</v>
      </c>
      <c r="G72" s="8">
        <v>6.1735690000000003E-2</v>
      </c>
      <c r="H72" s="72"/>
    </row>
    <row r="73" spans="1:8" x14ac:dyDescent="0.2">
      <c r="A73" s="1"/>
      <c r="B73" s="1"/>
      <c r="C73" s="5"/>
      <c r="D73" s="1"/>
      <c r="E73" s="1"/>
      <c r="F73" s="6"/>
      <c r="G73" s="6"/>
      <c r="H73" s="72"/>
    </row>
    <row r="74" spans="1:8" x14ac:dyDescent="0.2">
      <c r="A74" s="1"/>
      <c r="B74" s="1"/>
      <c r="C74" s="2" t="s">
        <v>124</v>
      </c>
      <c r="D74" s="1"/>
      <c r="E74" s="1"/>
      <c r="F74" s="6"/>
      <c r="G74" s="6"/>
      <c r="H74" s="72"/>
    </row>
    <row r="75" spans="1:8" x14ac:dyDescent="0.2">
      <c r="A75" s="9">
        <v>1</v>
      </c>
      <c r="B75" s="10"/>
      <c r="C75" s="10" t="s">
        <v>125</v>
      </c>
      <c r="D75" s="10"/>
      <c r="E75" s="14"/>
      <c r="F75" s="12">
        <v>28237.189283799999</v>
      </c>
      <c r="G75" s="13">
        <v>0.16658363800000001</v>
      </c>
      <c r="H75" s="72">
        <v>4.1713246754849944</v>
      </c>
    </row>
    <row r="76" spans="1:8" x14ac:dyDescent="0.2">
      <c r="A76" s="1"/>
      <c r="B76" s="1"/>
      <c r="C76" s="2" t="s">
        <v>11</v>
      </c>
      <c r="D76" s="1"/>
      <c r="E76" s="1" t="s">
        <v>12</v>
      </c>
      <c r="F76" s="7">
        <v>28237.189283799999</v>
      </c>
      <c r="G76" s="8">
        <v>0.16658363800000001</v>
      </c>
      <c r="H76" s="72"/>
    </row>
    <row r="77" spans="1:8" x14ac:dyDescent="0.2">
      <c r="A77" s="1"/>
      <c r="B77" s="1"/>
      <c r="C77" s="5"/>
      <c r="D77" s="1"/>
      <c r="E77" s="1"/>
      <c r="F77" s="6"/>
      <c r="G77" s="6"/>
      <c r="H77" s="72"/>
    </row>
    <row r="78" spans="1:8" x14ac:dyDescent="0.2">
      <c r="A78" s="1"/>
      <c r="B78" s="1"/>
      <c r="C78" s="2" t="s">
        <v>126</v>
      </c>
      <c r="D78" s="1"/>
      <c r="E78" s="1"/>
      <c r="F78" s="7">
        <v>176606.52628379999</v>
      </c>
      <c r="G78" s="8">
        <v>1.0418798170000001</v>
      </c>
      <c r="H78" s="72"/>
    </row>
    <row r="79" spans="1:8" x14ac:dyDescent="0.2">
      <c r="A79" s="1"/>
      <c r="B79" s="1"/>
      <c r="C79" s="6"/>
      <c r="D79" s="1"/>
      <c r="E79" s="1"/>
      <c r="F79" s="1"/>
      <c r="G79" s="1"/>
      <c r="H79" s="72"/>
    </row>
    <row r="80" spans="1:8" x14ac:dyDescent="0.2">
      <c r="A80" s="1"/>
      <c r="B80" s="1"/>
      <c r="C80" s="2" t="s">
        <v>127</v>
      </c>
      <c r="D80" s="1"/>
      <c r="E80" s="1"/>
      <c r="F80" s="1"/>
      <c r="G80" s="1"/>
      <c r="H80" s="72"/>
    </row>
    <row r="81" spans="1:8" x14ac:dyDescent="0.2">
      <c r="A81" s="1"/>
      <c r="B81" s="1"/>
      <c r="C81" s="2" t="s">
        <v>128</v>
      </c>
      <c r="D81" s="1"/>
      <c r="E81" s="1"/>
      <c r="F81" s="1"/>
      <c r="G81" s="1"/>
      <c r="H81" s="72"/>
    </row>
    <row r="82" spans="1:8" x14ac:dyDescent="0.2">
      <c r="A82" s="1"/>
      <c r="B82" s="1"/>
      <c r="C82" s="2" t="s">
        <v>11</v>
      </c>
      <c r="D82" s="1"/>
      <c r="E82" s="1" t="s">
        <v>12</v>
      </c>
      <c r="F82" s="3">
        <v>0</v>
      </c>
      <c r="G82" s="4">
        <v>0</v>
      </c>
      <c r="H82" s="72"/>
    </row>
    <row r="83" spans="1:8" x14ac:dyDescent="0.2">
      <c r="A83" s="1"/>
      <c r="B83" s="1"/>
      <c r="C83" s="5"/>
      <c r="D83" s="1"/>
      <c r="E83" s="1"/>
      <c r="F83" s="6"/>
      <c r="G83" s="6"/>
      <c r="H83" s="72"/>
    </row>
    <row r="84" spans="1:8" x14ac:dyDescent="0.2">
      <c r="A84" s="1"/>
      <c r="B84" s="1"/>
      <c r="C84" s="2" t="s">
        <v>129</v>
      </c>
      <c r="D84" s="1"/>
      <c r="E84" s="1"/>
      <c r="F84" s="1"/>
      <c r="G84" s="1"/>
      <c r="H84" s="72"/>
    </row>
    <row r="85" spans="1:8" x14ac:dyDescent="0.2">
      <c r="A85" s="1"/>
      <c r="B85" s="1"/>
      <c r="C85" s="2" t="s">
        <v>130</v>
      </c>
      <c r="D85" s="1"/>
      <c r="E85" s="1"/>
      <c r="F85" s="1"/>
      <c r="G85" s="1"/>
      <c r="H85" s="72"/>
    </row>
    <row r="86" spans="1:8" x14ac:dyDescent="0.2">
      <c r="A86" s="1"/>
      <c r="B86" s="1"/>
      <c r="C86" s="2" t="s">
        <v>11</v>
      </c>
      <c r="D86" s="1"/>
      <c r="E86" s="1" t="s">
        <v>12</v>
      </c>
      <c r="F86" s="3">
        <v>0</v>
      </c>
      <c r="G86" s="4">
        <v>0</v>
      </c>
      <c r="H86" s="72"/>
    </row>
    <row r="87" spans="1:8" x14ac:dyDescent="0.2">
      <c r="A87" s="1"/>
      <c r="B87" s="1"/>
      <c r="C87" s="5"/>
      <c r="D87" s="1"/>
      <c r="E87" s="1"/>
      <c r="F87" s="6"/>
      <c r="G87" s="6"/>
      <c r="H87" s="72"/>
    </row>
    <row r="88" spans="1:8" ht="25.5" x14ac:dyDescent="0.2">
      <c r="A88" s="1"/>
      <c r="B88" s="1"/>
      <c r="C88" s="2" t="s">
        <v>131</v>
      </c>
      <c r="D88" s="1"/>
      <c r="E88" s="1"/>
      <c r="F88" s="6"/>
      <c r="G88" s="6"/>
      <c r="H88" s="72"/>
    </row>
    <row r="89" spans="1:8" x14ac:dyDescent="0.2">
      <c r="A89" s="1"/>
      <c r="B89" s="1"/>
      <c r="C89" s="2" t="s">
        <v>11</v>
      </c>
      <c r="D89" s="1"/>
      <c r="E89" s="1" t="s">
        <v>12</v>
      </c>
      <c r="F89" s="3">
        <v>0</v>
      </c>
      <c r="G89" s="4">
        <v>0</v>
      </c>
      <c r="H89" s="72"/>
    </row>
    <row r="90" spans="1:8" x14ac:dyDescent="0.2">
      <c r="A90" s="1"/>
      <c r="B90" s="1"/>
      <c r="C90" s="5"/>
      <c r="D90" s="1"/>
      <c r="E90" s="1"/>
      <c r="F90" s="6"/>
      <c r="G90" s="6"/>
      <c r="H90" s="72"/>
    </row>
    <row r="91" spans="1:8" x14ac:dyDescent="0.2">
      <c r="A91" s="1"/>
      <c r="B91" s="10"/>
      <c r="C91" s="10"/>
      <c r="D91" s="2"/>
      <c r="E91" s="1"/>
      <c r="F91" s="10"/>
      <c r="G91" s="14"/>
      <c r="H91" s="72"/>
    </row>
    <row r="92" spans="1:8" x14ac:dyDescent="0.2">
      <c r="A92" s="14"/>
      <c r="B92" s="10"/>
      <c r="C92" s="10" t="s">
        <v>132</v>
      </c>
      <c r="D92" s="10"/>
      <c r="E92" s="14"/>
      <c r="F92" s="12">
        <v>-7098.9461956799996</v>
      </c>
      <c r="G92" s="13">
        <v>-4.1879816E-2</v>
      </c>
      <c r="H92" s="72"/>
    </row>
    <row r="93" spans="1:8" x14ac:dyDescent="0.2">
      <c r="A93" s="5"/>
      <c r="B93" s="5"/>
      <c r="C93" s="39" t="s">
        <v>473</v>
      </c>
      <c r="D93" s="6"/>
      <c r="E93" s="6"/>
      <c r="F93" s="7">
        <v>169507.58008812001</v>
      </c>
      <c r="G93" s="8">
        <v>1.0000000010000001</v>
      </c>
      <c r="H93" s="72"/>
    </row>
    <row r="94" spans="1:8" ht="14.1" customHeight="1" x14ac:dyDescent="0.2">
      <c r="A94" s="15"/>
      <c r="B94" s="15"/>
      <c r="C94" s="15"/>
      <c r="D94" s="16"/>
      <c r="E94" s="16"/>
      <c r="F94" s="16"/>
      <c r="G94" s="16"/>
    </row>
    <row r="95" spans="1:8" ht="17.100000000000001" customHeight="1" x14ac:dyDescent="0.2">
      <c r="A95" s="17"/>
      <c r="B95" s="90" t="s">
        <v>134</v>
      </c>
      <c r="C95" s="90"/>
      <c r="D95" s="90"/>
      <c r="E95" s="90"/>
      <c r="F95" s="90"/>
      <c r="G95" s="19"/>
    </row>
    <row r="96" spans="1:8" ht="17.100000000000001" customHeight="1" x14ac:dyDescent="0.2">
      <c r="A96" s="17"/>
      <c r="B96" s="90" t="s">
        <v>135</v>
      </c>
      <c r="C96" s="90"/>
      <c r="D96" s="90"/>
      <c r="E96" s="90"/>
      <c r="F96" s="90"/>
      <c r="G96" s="19"/>
    </row>
    <row r="97" spans="1:7" ht="14.1" customHeight="1" x14ac:dyDescent="0.2">
      <c r="A97" s="17"/>
      <c r="B97" s="104" t="s">
        <v>474</v>
      </c>
      <c r="C97" s="90"/>
      <c r="D97" s="90"/>
      <c r="E97" s="90"/>
      <c r="F97" s="90"/>
      <c r="G97" s="19"/>
    </row>
    <row r="98" spans="1:7" ht="14.1" customHeight="1" x14ac:dyDescent="0.2">
      <c r="A98" s="17"/>
      <c r="B98" s="17"/>
      <c r="C98" s="17"/>
      <c r="D98" s="19"/>
      <c r="E98" s="19"/>
      <c r="F98" s="19"/>
      <c r="G98" s="19"/>
    </row>
    <row r="99" spans="1:7" ht="14.1" customHeight="1" x14ac:dyDescent="0.2">
      <c r="A99" s="17"/>
      <c r="B99" s="91" t="s">
        <v>136</v>
      </c>
      <c r="C99" s="92"/>
      <c r="D99" s="93"/>
      <c r="E99" s="20"/>
      <c r="F99" s="19"/>
      <c r="G99" s="19"/>
    </row>
    <row r="100" spans="1:7" ht="29.1" customHeight="1" x14ac:dyDescent="0.2">
      <c r="A100" s="17"/>
      <c r="B100" s="85" t="s">
        <v>137</v>
      </c>
      <c r="C100" s="86"/>
      <c r="D100" s="39" t="s">
        <v>510</v>
      </c>
      <c r="E100" s="20"/>
      <c r="F100" s="19"/>
      <c r="G100" s="19"/>
    </row>
    <row r="101" spans="1:7" ht="17.100000000000001" customHeight="1" x14ac:dyDescent="0.2">
      <c r="A101" s="17"/>
      <c r="B101" s="85" t="s">
        <v>139</v>
      </c>
      <c r="C101" s="86"/>
      <c r="D101" s="2" t="s">
        <v>138</v>
      </c>
      <c r="E101" s="20"/>
      <c r="F101" s="19"/>
      <c r="G101" s="19"/>
    </row>
    <row r="102" spans="1:7" ht="17.100000000000001" customHeight="1" x14ac:dyDescent="0.2">
      <c r="A102" s="17"/>
      <c r="B102" s="85" t="s">
        <v>140</v>
      </c>
      <c r="C102" s="86"/>
      <c r="D102" s="6" t="s">
        <v>12</v>
      </c>
      <c r="E102" s="20"/>
      <c r="F102" s="19"/>
      <c r="G102" s="19"/>
    </row>
    <row r="103" spans="1:7" ht="24" customHeight="1" x14ac:dyDescent="0.2">
      <c r="A103" s="21"/>
      <c r="B103" s="22" t="s">
        <v>12</v>
      </c>
      <c r="C103" s="22" t="s">
        <v>141</v>
      </c>
      <c r="D103" s="22" t="s">
        <v>142</v>
      </c>
      <c r="E103" s="21"/>
      <c r="F103" s="21"/>
      <c r="G103" s="21"/>
    </row>
    <row r="104" spans="1:7" ht="18" customHeight="1" x14ac:dyDescent="0.2">
      <c r="A104" s="21"/>
      <c r="B104" s="23" t="s">
        <v>143</v>
      </c>
      <c r="C104" s="22" t="s">
        <v>144</v>
      </c>
      <c r="D104" s="22" t="s">
        <v>145</v>
      </c>
      <c r="E104" s="21"/>
      <c r="F104" s="21"/>
      <c r="G104" s="21"/>
    </row>
    <row r="105" spans="1:7" ht="17.100000000000001" customHeight="1" x14ac:dyDescent="0.2">
      <c r="A105" s="21"/>
      <c r="B105" s="10" t="s">
        <v>146</v>
      </c>
      <c r="C105" s="24">
        <v>1884.6291000000001</v>
      </c>
      <c r="D105" s="24">
        <v>1890.8965000000001</v>
      </c>
      <c r="E105" s="21"/>
      <c r="F105" s="18"/>
      <c r="G105" s="25"/>
    </row>
    <row r="106" spans="1:7" ht="17.100000000000001" customHeight="1" x14ac:dyDescent="0.2">
      <c r="A106" s="21"/>
      <c r="B106" s="10" t="s">
        <v>205</v>
      </c>
      <c r="C106" s="24">
        <v>1036.3806999999999</v>
      </c>
      <c r="D106" s="24">
        <v>1039.826</v>
      </c>
      <c r="E106" s="21"/>
      <c r="F106" s="18"/>
      <c r="G106" s="25"/>
    </row>
    <row r="107" spans="1:7" ht="29.1" customHeight="1" x14ac:dyDescent="0.2">
      <c r="A107" s="21"/>
      <c r="B107" s="10" t="s">
        <v>543</v>
      </c>
      <c r="C107" s="24">
        <v>1000.7455</v>
      </c>
      <c r="D107" s="24">
        <v>1000.6367</v>
      </c>
      <c r="E107" s="21"/>
      <c r="F107" s="18"/>
      <c r="G107" s="25"/>
    </row>
    <row r="108" spans="1:7" ht="29.1" customHeight="1" x14ac:dyDescent="0.2">
      <c r="A108" s="21"/>
      <c r="B108" s="10" t="s">
        <v>547</v>
      </c>
      <c r="C108" s="24">
        <v>1007.1416</v>
      </c>
      <c r="D108" s="24">
        <v>1007.5553</v>
      </c>
      <c r="E108" s="21"/>
      <c r="F108" s="18"/>
      <c r="G108" s="25"/>
    </row>
    <row r="109" spans="1:7" ht="29.1" customHeight="1" x14ac:dyDescent="0.2">
      <c r="A109" s="21"/>
      <c r="B109" s="10" t="s">
        <v>548</v>
      </c>
      <c r="C109" s="24">
        <v>1024.2892999999999</v>
      </c>
      <c r="D109" s="24">
        <v>1024.7134000000001</v>
      </c>
      <c r="E109" s="21"/>
      <c r="F109" s="18"/>
      <c r="G109" s="25"/>
    </row>
    <row r="110" spans="1:7" ht="29.1" customHeight="1" x14ac:dyDescent="0.2">
      <c r="A110" s="21"/>
      <c r="B110" s="10" t="s">
        <v>534</v>
      </c>
      <c r="C110" s="24">
        <v>1025.8562999999999</v>
      </c>
      <c r="D110" s="24">
        <v>1025.9647</v>
      </c>
      <c r="E110" s="21"/>
      <c r="F110" s="18"/>
      <c r="G110" s="25"/>
    </row>
    <row r="111" spans="1:7" ht="29.1" customHeight="1" x14ac:dyDescent="0.2">
      <c r="A111" s="21"/>
      <c r="B111" s="10" t="s">
        <v>535</v>
      </c>
      <c r="C111" s="24">
        <v>1028.855</v>
      </c>
      <c r="D111" s="24">
        <v>1032.2741000000001</v>
      </c>
      <c r="E111" s="21"/>
      <c r="F111" s="18"/>
      <c r="G111" s="25"/>
    </row>
    <row r="112" spans="1:7" ht="17.100000000000001" customHeight="1" x14ac:dyDescent="0.2">
      <c r="A112" s="21"/>
      <c r="B112" s="10" t="s">
        <v>147</v>
      </c>
      <c r="C112" s="24">
        <v>1871.5350000000001</v>
      </c>
      <c r="D112" s="24">
        <v>1877.3679</v>
      </c>
      <c r="E112" s="21"/>
      <c r="F112" s="18"/>
      <c r="G112" s="25"/>
    </row>
    <row r="113" spans="1:7" ht="17.100000000000001" customHeight="1" x14ac:dyDescent="0.2">
      <c r="A113" s="21"/>
      <c r="B113" s="10" t="s">
        <v>207</v>
      </c>
      <c r="C113" s="24">
        <v>1035.954</v>
      </c>
      <c r="D113" s="24">
        <v>1039.1831</v>
      </c>
      <c r="E113" s="21"/>
      <c r="F113" s="18"/>
      <c r="G113" s="25"/>
    </row>
    <row r="114" spans="1:7" ht="29.1" customHeight="1" x14ac:dyDescent="0.2">
      <c r="A114" s="21"/>
      <c r="B114" s="10" t="s">
        <v>545</v>
      </c>
      <c r="C114" s="24">
        <v>1000.9953</v>
      </c>
      <c r="D114" s="24">
        <v>1000.8893</v>
      </c>
      <c r="E114" s="21"/>
      <c r="F114" s="18"/>
      <c r="G114" s="25"/>
    </row>
    <row r="115" spans="1:7" ht="29.1" customHeight="1" x14ac:dyDescent="0.2">
      <c r="A115" s="21"/>
      <c r="B115" s="10" t="s">
        <v>546</v>
      </c>
      <c r="C115" s="24">
        <v>1006.679</v>
      </c>
      <c r="D115" s="24">
        <v>1007.0837</v>
      </c>
      <c r="E115" s="21"/>
      <c r="F115" s="18"/>
      <c r="G115" s="25"/>
    </row>
    <row r="116" spans="1:7" ht="29.1" customHeight="1" x14ac:dyDescent="0.2">
      <c r="A116" s="21"/>
      <c r="B116" s="10" t="s">
        <v>549</v>
      </c>
      <c r="C116" s="24">
        <v>1024.2324000000001</v>
      </c>
      <c r="D116" s="24">
        <v>1024.6436000000001</v>
      </c>
      <c r="E116" s="21"/>
      <c r="F116" s="18"/>
      <c r="G116" s="25"/>
    </row>
    <row r="117" spans="1:7" ht="29.1" customHeight="1" x14ac:dyDescent="0.2">
      <c r="A117" s="21"/>
      <c r="B117" s="10" t="s">
        <v>538</v>
      </c>
      <c r="C117" s="24">
        <v>1025.7474999999999</v>
      </c>
      <c r="D117" s="24">
        <v>1025.8657000000001</v>
      </c>
      <c r="E117" s="21"/>
      <c r="F117" s="18"/>
      <c r="G117" s="25"/>
    </row>
    <row r="118" spans="1:7" ht="29.1" customHeight="1" x14ac:dyDescent="0.2">
      <c r="A118" s="21"/>
      <c r="B118" s="10" t="s">
        <v>539</v>
      </c>
      <c r="C118" s="24">
        <v>1028.4322</v>
      </c>
      <c r="D118" s="24">
        <v>1031.6367</v>
      </c>
      <c r="E118" s="21"/>
      <c r="F118" s="18"/>
      <c r="G118" s="25"/>
    </row>
    <row r="119" spans="1:7" ht="14.1" customHeight="1" x14ac:dyDescent="0.2">
      <c r="A119" s="21"/>
      <c r="B119" s="21"/>
      <c r="C119" s="21"/>
      <c r="D119" s="21"/>
      <c r="E119" s="21"/>
      <c r="F119" s="21"/>
      <c r="G119" s="21"/>
    </row>
    <row r="120" spans="1:7" ht="17.100000000000001" customHeight="1" x14ac:dyDescent="0.2">
      <c r="A120" s="21"/>
      <c r="B120" s="85" t="s">
        <v>542</v>
      </c>
      <c r="C120" s="86"/>
      <c r="D120" s="2" t="s">
        <v>12</v>
      </c>
      <c r="E120" s="21"/>
      <c r="F120" s="21"/>
      <c r="G120" s="21"/>
    </row>
    <row r="121" spans="1:7" ht="18" customHeight="1" x14ac:dyDescent="0.2">
      <c r="A121" s="21"/>
      <c r="B121" s="26" t="s">
        <v>143</v>
      </c>
      <c r="C121" s="27" t="s">
        <v>148</v>
      </c>
      <c r="D121" s="27" t="s">
        <v>149</v>
      </c>
      <c r="E121" s="21"/>
      <c r="F121" s="21"/>
      <c r="G121" s="21"/>
    </row>
    <row r="122" spans="1:7" ht="29.1" customHeight="1" x14ac:dyDescent="0.2">
      <c r="A122" s="21"/>
      <c r="B122" s="10" t="s">
        <v>543</v>
      </c>
      <c r="C122" s="28">
        <v>3.4299810000000002</v>
      </c>
      <c r="D122" s="28">
        <v>3.4299810000000002</v>
      </c>
      <c r="E122" s="21"/>
      <c r="F122" s="18"/>
      <c r="G122" s="25"/>
    </row>
    <row r="123" spans="1:7" ht="29.1" customHeight="1" x14ac:dyDescent="0.2">
      <c r="A123" s="21"/>
      <c r="B123" s="10" t="s">
        <v>547</v>
      </c>
      <c r="C123" s="28">
        <v>2.9304999999999999</v>
      </c>
      <c r="D123" s="14" t="s">
        <v>150</v>
      </c>
      <c r="E123" s="21"/>
      <c r="F123" s="18"/>
      <c r="G123" s="25"/>
    </row>
    <row r="124" spans="1:7" ht="29.1" customHeight="1" x14ac:dyDescent="0.2">
      <c r="A124" s="21"/>
      <c r="B124" s="10" t="s">
        <v>548</v>
      </c>
      <c r="C124" s="28">
        <v>2.9773000000000001</v>
      </c>
      <c r="D124" s="14" t="s">
        <v>150</v>
      </c>
      <c r="E124" s="21"/>
      <c r="F124" s="18"/>
      <c r="G124" s="25"/>
    </row>
    <row r="125" spans="1:7" ht="29.1" customHeight="1" x14ac:dyDescent="0.2">
      <c r="A125" s="21"/>
      <c r="B125" s="10" t="s">
        <v>534</v>
      </c>
      <c r="C125" s="28">
        <v>3.2966000000000002</v>
      </c>
      <c r="D125" s="14" t="s">
        <v>150</v>
      </c>
      <c r="E125" s="21"/>
      <c r="F125" s="18"/>
      <c r="G125" s="25"/>
    </row>
    <row r="126" spans="1:7" ht="29.1" customHeight="1" x14ac:dyDescent="0.2">
      <c r="A126" s="21"/>
      <c r="B126" s="10" t="s">
        <v>545</v>
      </c>
      <c r="C126" s="28">
        <v>3.2234280000000002</v>
      </c>
      <c r="D126" s="28">
        <v>3.2234280000000002</v>
      </c>
      <c r="E126" s="21"/>
      <c r="F126" s="18"/>
      <c r="G126" s="25"/>
    </row>
    <row r="127" spans="1:7" ht="29.1" customHeight="1" x14ac:dyDescent="0.2">
      <c r="A127" s="21"/>
      <c r="B127" s="10" t="s">
        <v>546</v>
      </c>
      <c r="C127" s="28">
        <v>2.7273000000000001</v>
      </c>
      <c r="D127" s="28">
        <v>2.7273000000000001</v>
      </c>
      <c r="E127" s="21"/>
      <c r="F127" s="18"/>
      <c r="G127" s="25"/>
    </row>
    <row r="128" spans="1:7" ht="29.1" customHeight="1" x14ac:dyDescent="0.2">
      <c r="A128" s="21"/>
      <c r="B128" s="10" t="s">
        <v>549</v>
      </c>
      <c r="C128" s="28">
        <v>2.6589999999999998</v>
      </c>
      <c r="D128" s="14" t="s">
        <v>150</v>
      </c>
      <c r="E128" s="21"/>
      <c r="F128" s="18"/>
      <c r="G128" s="25"/>
    </row>
    <row r="129" spans="1:16" ht="29.1" customHeight="1" x14ac:dyDescent="0.2">
      <c r="A129" s="21"/>
      <c r="B129" s="10" t="s">
        <v>538</v>
      </c>
      <c r="C129" s="28">
        <v>3.0716999999999999</v>
      </c>
      <c r="D129" s="14" t="s">
        <v>150</v>
      </c>
      <c r="E129" s="21"/>
      <c r="F129" s="18"/>
      <c r="G129" s="25"/>
    </row>
    <row r="130" spans="1:16" ht="14.1" customHeight="1" x14ac:dyDescent="0.2">
      <c r="A130" s="21"/>
      <c r="B130" s="18"/>
      <c r="C130" s="18"/>
      <c r="D130" s="21"/>
      <c r="E130" s="21"/>
      <c r="F130" s="21"/>
      <c r="G130" s="21"/>
    </row>
    <row r="131" spans="1:16" ht="29.1" customHeight="1" x14ac:dyDescent="0.2">
      <c r="A131" s="21"/>
      <c r="B131" s="85" t="s">
        <v>151</v>
      </c>
      <c r="C131" s="86"/>
      <c r="D131" s="2" t="s">
        <v>138</v>
      </c>
      <c r="E131" s="31"/>
      <c r="F131" s="21"/>
      <c r="G131" s="21"/>
    </row>
    <row r="132" spans="1:16" ht="29.1" customHeight="1" x14ac:dyDescent="0.2">
      <c r="A132" s="21"/>
      <c r="B132" s="85" t="s">
        <v>152</v>
      </c>
      <c r="C132" s="86"/>
      <c r="D132" s="2" t="s">
        <v>138</v>
      </c>
      <c r="E132" s="31"/>
      <c r="F132" s="21"/>
      <c r="G132" s="21"/>
    </row>
    <row r="133" spans="1:16" ht="17.100000000000001" customHeight="1" x14ac:dyDescent="0.2">
      <c r="A133" s="21"/>
      <c r="B133" s="85" t="s">
        <v>153</v>
      </c>
      <c r="C133" s="86"/>
      <c r="D133" s="32">
        <v>6.3861534572413156E-2</v>
      </c>
      <c r="E133" s="31"/>
      <c r="F133" s="21"/>
      <c r="G133" s="21"/>
    </row>
    <row r="134" spans="1:16" ht="17.100000000000001" customHeight="1" x14ac:dyDescent="0.2">
      <c r="A134" s="21"/>
      <c r="B134" s="85" t="s">
        <v>154</v>
      </c>
      <c r="C134" s="86"/>
      <c r="D134" s="32">
        <v>6.3861534572413156E-2</v>
      </c>
      <c r="E134" s="31"/>
      <c r="F134" s="21"/>
      <c r="G134" s="21"/>
    </row>
    <row r="135" spans="1:16" ht="17.100000000000001" customHeight="1" x14ac:dyDescent="0.2">
      <c r="A135" s="21"/>
      <c r="B135" s="85" t="s">
        <v>155</v>
      </c>
      <c r="C135" s="86"/>
      <c r="D135" s="2" t="s">
        <v>138</v>
      </c>
      <c r="E135" s="31"/>
      <c r="F135" s="21"/>
      <c r="G135" s="21"/>
    </row>
    <row r="136" spans="1:16" ht="14.1" customHeight="1" x14ac:dyDescent="0.2">
      <c r="A136" s="21"/>
      <c r="B136" s="88"/>
      <c r="C136" s="88"/>
      <c r="D136" s="30"/>
      <c r="E136" s="21"/>
      <c r="F136" s="18"/>
      <c r="G136" s="25"/>
    </row>
    <row r="137" spans="1:16" x14ac:dyDescent="0.2">
      <c r="B137" s="40" t="s">
        <v>530</v>
      </c>
      <c r="C137" s="40"/>
      <c r="D137" s="40"/>
      <c r="E137" s="40"/>
      <c r="F137" s="40"/>
      <c r="G137" s="40"/>
      <c r="H137" s="40"/>
    </row>
    <row r="138" spans="1:16" ht="38.25" x14ac:dyDescent="0.2">
      <c r="B138" s="61" t="s">
        <v>486</v>
      </c>
      <c r="C138" s="61" t="s">
        <v>485</v>
      </c>
      <c r="D138" s="61" t="s">
        <v>511</v>
      </c>
      <c r="E138" s="61" t="s">
        <v>512</v>
      </c>
      <c r="F138" s="61" t="s">
        <v>489</v>
      </c>
    </row>
    <row r="139" spans="1:16" s="62" customFormat="1" ht="25.5" x14ac:dyDescent="0.2">
      <c r="B139" s="63" t="s">
        <v>491</v>
      </c>
      <c r="C139" s="64" t="s">
        <v>490</v>
      </c>
      <c r="D139" s="65">
        <v>0</v>
      </c>
      <c r="E139" s="66">
        <v>0</v>
      </c>
      <c r="F139" s="67">
        <v>5650</v>
      </c>
      <c r="I139"/>
      <c r="J139" s="41"/>
      <c r="K139" s="41"/>
      <c r="L139" s="41"/>
      <c r="M139" s="41"/>
      <c r="N139" s="41"/>
      <c r="O139"/>
      <c r="P139"/>
    </row>
    <row r="144" spans="1:16" x14ac:dyDescent="0.2">
      <c r="I144" s="41"/>
      <c r="O144" s="41"/>
    </row>
    <row r="152" spans="9:15" x14ac:dyDescent="0.2">
      <c r="I152" s="41"/>
      <c r="J152"/>
      <c r="K152"/>
      <c r="L152"/>
      <c r="M152"/>
      <c r="N152"/>
      <c r="O152" s="41"/>
    </row>
    <row r="153" spans="9:15" x14ac:dyDescent="0.2">
      <c r="I153" s="41"/>
      <c r="O153" s="41"/>
    </row>
    <row r="154" spans="9:15" x14ac:dyDescent="0.2">
      <c r="I154" s="41"/>
      <c r="O154" s="41"/>
    </row>
  </sheetData>
  <mergeCells count="18">
    <mergeCell ref="J2:N2"/>
    <mergeCell ref="A1:H1"/>
    <mergeCell ref="A2:H2"/>
    <mergeCell ref="A3:H3"/>
    <mergeCell ref="B132:C132"/>
    <mergeCell ref="B131:C131"/>
    <mergeCell ref="B95:F95"/>
    <mergeCell ref="B96:F96"/>
    <mergeCell ref="B97:F97"/>
    <mergeCell ref="B99:D99"/>
    <mergeCell ref="B100:C100"/>
    <mergeCell ref="B101:C101"/>
    <mergeCell ref="B102:C102"/>
    <mergeCell ref="B120:C120"/>
    <mergeCell ref="B134:C134"/>
    <mergeCell ref="B135:C135"/>
    <mergeCell ref="B136:C136"/>
    <mergeCell ref="B133:C133"/>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7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5" width="9.140625" style="41"/>
  </cols>
  <sheetData>
    <row r="1" spans="1:15" ht="18" customHeight="1" x14ac:dyDescent="0.2">
      <c r="A1" s="89" t="s">
        <v>0</v>
      </c>
      <c r="B1" s="89"/>
      <c r="C1" s="89"/>
      <c r="D1" s="89"/>
      <c r="E1" s="89"/>
      <c r="F1" s="89"/>
      <c r="G1" s="89"/>
      <c r="H1" s="89"/>
    </row>
    <row r="2" spans="1:15" ht="17.100000000000001" customHeight="1" x14ac:dyDescent="0.2">
      <c r="A2" s="89" t="s">
        <v>401</v>
      </c>
      <c r="B2" s="89"/>
      <c r="C2" s="89"/>
      <c r="D2" s="89"/>
      <c r="E2" s="89"/>
      <c r="F2" s="89"/>
      <c r="G2" s="89"/>
      <c r="H2" s="89"/>
      <c r="J2" s="87" t="s">
        <v>555</v>
      </c>
      <c r="K2" s="87"/>
      <c r="L2" s="87"/>
      <c r="M2" s="87"/>
      <c r="N2" s="87"/>
    </row>
    <row r="3" spans="1:15" ht="21" customHeight="1" x14ac:dyDescent="0.2">
      <c r="A3" s="89" t="s">
        <v>550</v>
      </c>
      <c r="B3" s="89"/>
      <c r="C3" s="89"/>
      <c r="D3" s="89"/>
      <c r="E3" s="89"/>
      <c r="F3" s="89"/>
      <c r="G3" s="89"/>
      <c r="H3" s="89"/>
    </row>
    <row r="4" spans="1:15" s="76" customFormat="1" ht="30" x14ac:dyDescent="0.2">
      <c r="A4" s="75" t="s">
        <v>2</v>
      </c>
      <c r="B4" s="75" t="s">
        <v>3</v>
      </c>
      <c r="C4" s="75" t="s">
        <v>4</v>
      </c>
      <c r="D4" s="75" t="s">
        <v>5</v>
      </c>
      <c r="E4" s="75" t="s">
        <v>6</v>
      </c>
      <c r="F4" s="75" t="s">
        <v>7</v>
      </c>
      <c r="G4" s="75" t="s">
        <v>8</v>
      </c>
      <c r="H4" s="71" t="s">
        <v>531</v>
      </c>
      <c r="J4" s="77"/>
      <c r="K4" s="77"/>
      <c r="L4" s="77"/>
      <c r="M4" s="77"/>
      <c r="N4" s="77"/>
      <c r="O4" s="77"/>
    </row>
    <row r="5" spans="1:15" x14ac:dyDescent="0.2">
      <c r="A5" s="1"/>
      <c r="B5" s="1"/>
      <c r="C5" s="2" t="s">
        <v>9</v>
      </c>
      <c r="D5" s="1"/>
      <c r="E5" s="1"/>
      <c r="F5" s="1"/>
      <c r="G5" s="1"/>
      <c r="H5" s="72"/>
    </row>
    <row r="6" spans="1:15" ht="25.5" x14ac:dyDescent="0.2">
      <c r="A6" s="1"/>
      <c r="B6" s="1"/>
      <c r="C6" s="2" t="s">
        <v>10</v>
      </c>
      <c r="D6" s="1"/>
      <c r="E6" s="1"/>
      <c r="F6" s="1"/>
      <c r="G6" s="1"/>
      <c r="H6" s="72"/>
    </row>
    <row r="7" spans="1:15" x14ac:dyDescent="0.2">
      <c r="A7" s="1"/>
      <c r="B7" s="1"/>
      <c r="C7" s="2" t="s">
        <v>11</v>
      </c>
      <c r="D7" s="1"/>
      <c r="E7" s="1" t="s">
        <v>12</v>
      </c>
      <c r="F7" s="3">
        <v>0</v>
      </c>
      <c r="G7" s="4">
        <v>0</v>
      </c>
      <c r="H7" s="72"/>
    </row>
    <row r="8" spans="1:15" x14ac:dyDescent="0.2">
      <c r="A8" s="1"/>
      <c r="B8" s="1"/>
      <c r="C8" s="5"/>
      <c r="D8" s="1"/>
      <c r="E8" s="1"/>
      <c r="F8" s="6"/>
      <c r="G8" s="6"/>
      <c r="H8" s="72"/>
    </row>
    <row r="9" spans="1:15" x14ac:dyDescent="0.2">
      <c r="A9" s="1"/>
      <c r="B9" s="1"/>
      <c r="C9" s="2" t="s">
        <v>13</v>
      </c>
      <c r="D9" s="1"/>
      <c r="E9" s="1"/>
      <c r="F9" s="1"/>
      <c r="G9" s="1"/>
      <c r="H9" s="72"/>
    </row>
    <row r="10" spans="1:15" x14ac:dyDescent="0.2">
      <c r="A10" s="1"/>
      <c r="B10" s="1"/>
      <c r="C10" s="2" t="s">
        <v>11</v>
      </c>
      <c r="D10" s="1"/>
      <c r="E10" s="1" t="s">
        <v>12</v>
      </c>
      <c r="F10" s="3">
        <v>0</v>
      </c>
      <c r="G10" s="4">
        <v>0</v>
      </c>
      <c r="H10" s="72"/>
    </row>
    <row r="11" spans="1:15" x14ac:dyDescent="0.2">
      <c r="A11" s="1"/>
      <c r="B11" s="1"/>
      <c r="C11" s="5"/>
      <c r="D11" s="1"/>
      <c r="E11" s="1"/>
      <c r="F11" s="6"/>
      <c r="G11" s="6"/>
      <c r="H11" s="72"/>
    </row>
    <row r="12" spans="1:15" x14ac:dyDescent="0.2">
      <c r="A12" s="1"/>
      <c r="B12" s="1"/>
      <c r="C12" s="2" t="s">
        <v>14</v>
      </c>
      <c r="D12" s="1"/>
      <c r="E12" s="1"/>
      <c r="F12" s="1"/>
      <c r="G12" s="1"/>
      <c r="H12" s="72"/>
    </row>
    <row r="13" spans="1:15" x14ac:dyDescent="0.2">
      <c r="A13" s="1"/>
      <c r="B13" s="1"/>
      <c r="C13" s="2" t="s">
        <v>11</v>
      </c>
      <c r="D13" s="1"/>
      <c r="E13" s="1" t="s">
        <v>12</v>
      </c>
      <c r="F13" s="3">
        <v>0</v>
      </c>
      <c r="G13" s="4">
        <v>0</v>
      </c>
      <c r="H13" s="72"/>
    </row>
    <row r="14" spans="1:15" x14ac:dyDescent="0.2">
      <c r="A14" s="1"/>
      <c r="B14" s="1"/>
      <c r="C14" s="5"/>
      <c r="D14" s="1"/>
      <c r="E14" s="1"/>
      <c r="F14" s="6"/>
      <c r="G14" s="6"/>
      <c r="H14" s="72"/>
    </row>
    <row r="15" spans="1:15" x14ac:dyDescent="0.2">
      <c r="A15" s="1"/>
      <c r="B15" s="1"/>
      <c r="C15" s="2" t="s">
        <v>15</v>
      </c>
      <c r="D15" s="1"/>
      <c r="E15" s="1"/>
      <c r="F15" s="1"/>
      <c r="G15" s="1"/>
      <c r="H15" s="72"/>
    </row>
    <row r="16" spans="1:15" ht="15" x14ac:dyDescent="0.25">
      <c r="A16" s="1"/>
      <c r="B16" s="1"/>
      <c r="C16" s="2" t="s">
        <v>11</v>
      </c>
      <c r="D16" s="1"/>
      <c r="E16" s="1" t="s">
        <v>12</v>
      </c>
      <c r="F16" s="3">
        <v>0</v>
      </c>
      <c r="G16" s="4">
        <v>0</v>
      </c>
      <c r="H16" s="72"/>
      <c r="J16" s="79" t="s">
        <v>571</v>
      </c>
      <c r="K16" s="81"/>
      <c r="L16" s="81"/>
      <c r="M16" s="81"/>
      <c r="N16" s="81"/>
      <c r="O16" s="81"/>
    </row>
    <row r="17" spans="1:10" x14ac:dyDescent="0.2">
      <c r="A17" s="1"/>
      <c r="B17" s="1"/>
      <c r="C17" s="5"/>
      <c r="D17" s="1"/>
      <c r="E17" s="1"/>
      <c r="F17" s="6"/>
      <c r="G17" s="6"/>
      <c r="H17" s="72"/>
    </row>
    <row r="18" spans="1:10" x14ac:dyDescent="0.2">
      <c r="A18" s="1"/>
      <c r="B18" s="1"/>
      <c r="C18" s="2" t="s">
        <v>16</v>
      </c>
      <c r="D18" s="1"/>
      <c r="E18" s="1"/>
      <c r="F18" s="6"/>
      <c r="G18" s="6"/>
      <c r="H18" s="72"/>
    </row>
    <row r="19" spans="1:10" x14ac:dyDescent="0.2">
      <c r="A19" s="1"/>
      <c r="B19" s="1"/>
      <c r="C19" s="2" t="s">
        <v>11</v>
      </c>
      <c r="D19" s="1"/>
      <c r="E19" s="1" t="s">
        <v>12</v>
      </c>
      <c r="F19" s="3">
        <v>0</v>
      </c>
      <c r="G19" s="4">
        <v>0</v>
      </c>
      <c r="H19" s="72"/>
    </row>
    <row r="20" spans="1:10" x14ac:dyDescent="0.2">
      <c r="A20" s="1"/>
      <c r="B20" s="1"/>
      <c r="C20" s="5"/>
      <c r="D20" s="1"/>
      <c r="E20" s="1"/>
      <c r="F20" s="6"/>
      <c r="G20" s="6"/>
      <c r="H20" s="72"/>
    </row>
    <row r="21" spans="1:10" x14ac:dyDescent="0.2">
      <c r="A21" s="1"/>
      <c r="B21" s="1"/>
      <c r="C21" s="2" t="s">
        <v>17</v>
      </c>
      <c r="D21" s="1"/>
      <c r="E21" s="1"/>
      <c r="F21" s="6"/>
      <c r="G21" s="6"/>
      <c r="H21" s="72"/>
    </row>
    <row r="22" spans="1:10" x14ac:dyDescent="0.2">
      <c r="A22" s="1"/>
      <c r="B22" s="1"/>
      <c r="C22" s="2" t="s">
        <v>11</v>
      </c>
      <c r="D22" s="1"/>
      <c r="E22" s="1" t="s">
        <v>12</v>
      </c>
      <c r="F22" s="3">
        <v>0</v>
      </c>
      <c r="G22" s="4">
        <v>0</v>
      </c>
      <c r="H22" s="72"/>
    </row>
    <row r="23" spans="1:10" x14ac:dyDescent="0.2">
      <c r="A23" s="1"/>
      <c r="B23" s="1"/>
      <c r="C23" s="5"/>
      <c r="D23" s="1"/>
      <c r="E23" s="1"/>
      <c r="F23" s="6"/>
      <c r="G23" s="6"/>
      <c r="H23" s="72"/>
    </row>
    <row r="24" spans="1:10" x14ac:dyDescent="0.2">
      <c r="A24" s="1"/>
      <c r="B24" s="1"/>
      <c r="C24" s="2" t="s">
        <v>18</v>
      </c>
      <c r="D24" s="1"/>
      <c r="E24" s="1"/>
      <c r="F24" s="7">
        <v>0</v>
      </c>
      <c r="G24" s="8">
        <v>0</v>
      </c>
      <c r="H24" s="72"/>
    </row>
    <row r="25" spans="1:10" x14ac:dyDescent="0.2">
      <c r="A25" s="1"/>
      <c r="B25" s="1"/>
      <c r="C25" s="5"/>
      <c r="D25" s="1"/>
      <c r="E25" s="1"/>
      <c r="F25" s="6"/>
      <c r="G25" s="6"/>
      <c r="H25" s="72"/>
    </row>
    <row r="26" spans="1:10" x14ac:dyDescent="0.2">
      <c r="A26" s="1"/>
      <c r="B26" s="1"/>
      <c r="C26" s="2" t="s">
        <v>19</v>
      </c>
      <c r="D26" s="1"/>
      <c r="E26" s="1"/>
      <c r="F26" s="6"/>
      <c r="G26" s="6"/>
      <c r="H26" s="72"/>
    </row>
    <row r="27" spans="1:10" ht="25.5" x14ac:dyDescent="0.2">
      <c r="A27" s="1"/>
      <c r="B27" s="1"/>
      <c r="C27" s="2" t="s">
        <v>10</v>
      </c>
      <c r="D27" s="1"/>
      <c r="E27" s="1"/>
      <c r="F27" s="6"/>
      <c r="G27" s="6"/>
      <c r="H27" s="72"/>
    </row>
    <row r="28" spans="1:10" ht="25.5" x14ac:dyDescent="0.2">
      <c r="A28" s="9">
        <v>1</v>
      </c>
      <c r="B28" s="10" t="s">
        <v>327</v>
      </c>
      <c r="C28" s="10" t="s">
        <v>328</v>
      </c>
      <c r="D28" s="10" t="s">
        <v>27</v>
      </c>
      <c r="E28" s="11">
        <v>150</v>
      </c>
      <c r="F28" s="12">
        <v>1502.4014999999999</v>
      </c>
      <c r="G28" s="13">
        <v>6.5060382999999999E-2</v>
      </c>
      <c r="H28" s="72">
        <v>4.5250000000000004</v>
      </c>
    </row>
    <row r="29" spans="1:10" ht="25.5" x14ac:dyDescent="0.25">
      <c r="A29" s="9">
        <v>2</v>
      </c>
      <c r="B29" s="10" t="s">
        <v>323</v>
      </c>
      <c r="C29" s="10" t="s">
        <v>324</v>
      </c>
      <c r="D29" s="10" t="s">
        <v>27</v>
      </c>
      <c r="E29" s="11">
        <v>150</v>
      </c>
      <c r="F29" s="12">
        <v>1476.9780000000001</v>
      </c>
      <c r="G29" s="13">
        <v>6.3959436999999994E-2</v>
      </c>
      <c r="H29" s="72">
        <v>6.7249999999999996</v>
      </c>
      <c r="J29" s="79" t="s">
        <v>561</v>
      </c>
    </row>
    <row r="30" spans="1:10" ht="25.5" x14ac:dyDescent="0.2">
      <c r="A30" s="9">
        <v>3</v>
      </c>
      <c r="B30" s="10" t="s">
        <v>329</v>
      </c>
      <c r="C30" s="10" t="s">
        <v>330</v>
      </c>
      <c r="D30" s="10" t="s">
        <v>27</v>
      </c>
      <c r="E30" s="11">
        <v>120</v>
      </c>
      <c r="F30" s="12">
        <v>1189.1148000000001</v>
      </c>
      <c r="G30" s="13">
        <v>5.1493734999999999E-2</v>
      </c>
      <c r="H30" s="72">
        <v>7.41</v>
      </c>
      <c r="J30"/>
    </row>
    <row r="31" spans="1:10" ht="25.5" x14ac:dyDescent="0.2">
      <c r="A31" s="9">
        <v>4</v>
      </c>
      <c r="B31" s="10" t="s">
        <v>321</v>
      </c>
      <c r="C31" s="10" t="s">
        <v>322</v>
      </c>
      <c r="D31" s="10" t="s">
        <v>27</v>
      </c>
      <c r="E31" s="11">
        <v>100</v>
      </c>
      <c r="F31" s="12">
        <v>1005.3680000000001</v>
      </c>
      <c r="G31" s="13">
        <v>4.3536716000000003E-2</v>
      </c>
      <c r="H31" s="72">
        <v>6.64</v>
      </c>
      <c r="J31"/>
    </row>
    <row r="32" spans="1:10" ht="25.5" x14ac:dyDescent="0.2">
      <c r="A32" s="9">
        <v>5</v>
      </c>
      <c r="B32" s="10" t="s">
        <v>305</v>
      </c>
      <c r="C32" s="10" t="s">
        <v>306</v>
      </c>
      <c r="D32" s="10" t="s">
        <v>27</v>
      </c>
      <c r="E32" s="11">
        <v>100</v>
      </c>
      <c r="F32" s="12">
        <v>1004.396</v>
      </c>
      <c r="G32" s="13">
        <v>4.3494624000000003E-2</v>
      </c>
      <c r="H32" s="72">
        <v>6.21</v>
      </c>
      <c r="J32"/>
    </row>
    <row r="33" spans="1:10" ht="25.5" x14ac:dyDescent="0.2">
      <c r="A33" s="9">
        <v>6</v>
      </c>
      <c r="B33" s="10" t="s">
        <v>331</v>
      </c>
      <c r="C33" s="10" t="s">
        <v>332</v>
      </c>
      <c r="D33" s="10" t="s">
        <v>22</v>
      </c>
      <c r="E33" s="11">
        <v>100</v>
      </c>
      <c r="F33" s="12">
        <v>1002.905</v>
      </c>
      <c r="G33" s="13">
        <v>4.3430058000000001E-2</v>
      </c>
      <c r="H33" s="72">
        <v>4.87</v>
      </c>
      <c r="J33"/>
    </row>
    <row r="34" spans="1:10" ht="25.5" x14ac:dyDescent="0.2">
      <c r="A34" s="9">
        <v>7</v>
      </c>
      <c r="B34" s="10" t="s">
        <v>277</v>
      </c>
      <c r="C34" s="10" t="s">
        <v>278</v>
      </c>
      <c r="D34" s="10" t="s">
        <v>273</v>
      </c>
      <c r="E34" s="11">
        <v>100</v>
      </c>
      <c r="F34" s="12">
        <v>992.09900000000005</v>
      </c>
      <c r="G34" s="13">
        <v>4.2962111999999997E-2</v>
      </c>
      <c r="H34" s="72">
        <v>6.32</v>
      </c>
      <c r="J34"/>
    </row>
    <row r="35" spans="1:10" ht="25.5" x14ac:dyDescent="0.2">
      <c r="A35" s="9">
        <v>8</v>
      </c>
      <c r="B35" s="10" t="s">
        <v>191</v>
      </c>
      <c r="C35" s="10" t="s">
        <v>192</v>
      </c>
      <c r="D35" s="10" t="s">
        <v>27</v>
      </c>
      <c r="E35" s="11">
        <v>100</v>
      </c>
      <c r="F35" s="12">
        <v>968.76700000000005</v>
      </c>
      <c r="G35" s="13">
        <v>4.1951737000000003E-2</v>
      </c>
      <c r="H35" s="72">
        <v>7.1150000000000002</v>
      </c>
      <c r="J35"/>
    </row>
    <row r="36" spans="1:10" x14ac:dyDescent="0.2">
      <c r="A36" s="9">
        <v>9</v>
      </c>
      <c r="B36" s="10" t="s">
        <v>279</v>
      </c>
      <c r="C36" s="10" t="s">
        <v>280</v>
      </c>
      <c r="D36" s="10" t="s">
        <v>27</v>
      </c>
      <c r="E36" s="11">
        <v>90</v>
      </c>
      <c r="F36" s="12">
        <v>906.08489999999995</v>
      </c>
      <c r="G36" s="13">
        <v>3.9237334999999998E-2</v>
      </c>
      <c r="H36" s="72">
        <v>5.8650000000000002</v>
      </c>
      <c r="J36"/>
    </row>
    <row r="37" spans="1:10" ht="25.5" x14ac:dyDescent="0.2">
      <c r="A37" s="9">
        <v>10</v>
      </c>
      <c r="B37" s="10" t="s">
        <v>318</v>
      </c>
      <c r="C37" s="10" t="s">
        <v>319</v>
      </c>
      <c r="D37" s="10" t="s">
        <v>320</v>
      </c>
      <c r="E37" s="11">
        <v>109276</v>
      </c>
      <c r="F37" s="12">
        <v>905.55600612000001</v>
      </c>
      <c r="G37" s="13">
        <v>3.9214432E-2</v>
      </c>
      <c r="H37" s="72">
        <v>10.5754</v>
      </c>
    </row>
    <row r="38" spans="1:10" x14ac:dyDescent="0.2">
      <c r="A38" s="9">
        <v>11</v>
      </c>
      <c r="B38" s="10" t="s">
        <v>281</v>
      </c>
      <c r="C38" s="10" t="s">
        <v>282</v>
      </c>
      <c r="D38" s="10" t="s">
        <v>22</v>
      </c>
      <c r="E38" s="11">
        <v>50</v>
      </c>
      <c r="F38" s="12">
        <v>505.32</v>
      </c>
      <c r="G38" s="13">
        <v>2.1882507999999998E-2</v>
      </c>
      <c r="H38" s="72">
        <v>6.7050000000000001</v>
      </c>
    </row>
    <row r="39" spans="1:10" ht="25.5" x14ac:dyDescent="0.2">
      <c r="A39" s="9">
        <v>12</v>
      </c>
      <c r="B39" s="10" t="s">
        <v>402</v>
      </c>
      <c r="C39" s="10" t="s">
        <v>403</v>
      </c>
      <c r="D39" s="10" t="s">
        <v>27</v>
      </c>
      <c r="E39" s="11">
        <v>50</v>
      </c>
      <c r="F39" s="12">
        <v>503.375</v>
      </c>
      <c r="G39" s="13">
        <v>2.1798280999999999E-2</v>
      </c>
      <c r="H39" s="72">
        <v>6.2949999999999999</v>
      </c>
    </row>
    <row r="40" spans="1:10" ht="25.5" x14ac:dyDescent="0.2">
      <c r="A40" s="9">
        <v>13</v>
      </c>
      <c r="B40" s="10" t="s">
        <v>404</v>
      </c>
      <c r="C40" s="10" t="s">
        <v>405</v>
      </c>
      <c r="D40" s="10" t="s">
        <v>27</v>
      </c>
      <c r="E40" s="11">
        <v>50</v>
      </c>
      <c r="F40" s="12">
        <v>502.66849999999999</v>
      </c>
      <c r="G40" s="13">
        <v>2.1767687000000001E-2</v>
      </c>
      <c r="H40" s="72">
        <v>6.5650000000000004</v>
      </c>
    </row>
    <row r="41" spans="1:10" ht="25.5" x14ac:dyDescent="0.2">
      <c r="A41" s="9">
        <v>14</v>
      </c>
      <c r="B41" s="10" t="s">
        <v>169</v>
      </c>
      <c r="C41" s="10" t="s">
        <v>170</v>
      </c>
      <c r="D41" s="10" t="s">
        <v>27</v>
      </c>
      <c r="E41" s="11">
        <v>50</v>
      </c>
      <c r="F41" s="12">
        <v>502.142</v>
      </c>
      <c r="G41" s="13">
        <v>2.1744887000000001E-2</v>
      </c>
      <c r="H41" s="72">
        <v>5.8</v>
      </c>
    </row>
    <row r="42" spans="1:10" ht="25.5" x14ac:dyDescent="0.2">
      <c r="A42" s="9">
        <v>15</v>
      </c>
      <c r="B42" s="10" t="s">
        <v>275</v>
      </c>
      <c r="C42" s="10" t="s">
        <v>276</v>
      </c>
      <c r="D42" s="10" t="s">
        <v>27</v>
      </c>
      <c r="E42" s="11">
        <v>50</v>
      </c>
      <c r="F42" s="12">
        <v>499.72550000000001</v>
      </c>
      <c r="G42" s="13">
        <v>2.1640242000000001E-2</v>
      </c>
      <c r="H42" s="72">
        <v>7.35</v>
      </c>
    </row>
    <row r="43" spans="1:10" ht="25.5" x14ac:dyDescent="0.2">
      <c r="A43" s="9">
        <v>16</v>
      </c>
      <c r="B43" s="10" t="s">
        <v>173</v>
      </c>
      <c r="C43" s="10" t="s">
        <v>174</v>
      </c>
      <c r="D43" s="10" t="s">
        <v>22</v>
      </c>
      <c r="E43" s="11">
        <v>50</v>
      </c>
      <c r="F43" s="12">
        <v>499.48050000000001</v>
      </c>
      <c r="G43" s="13">
        <v>2.1629632999999999E-2</v>
      </c>
      <c r="H43" s="72">
        <v>6.47</v>
      </c>
    </row>
    <row r="44" spans="1:10" ht="25.5" x14ac:dyDescent="0.2">
      <c r="A44" s="9">
        <v>17</v>
      </c>
      <c r="B44" s="10" t="s">
        <v>271</v>
      </c>
      <c r="C44" s="10" t="s">
        <v>272</v>
      </c>
      <c r="D44" s="10" t="s">
        <v>22</v>
      </c>
      <c r="E44" s="11">
        <v>50</v>
      </c>
      <c r="F44" s="12">
        <v>499.30349999999999</v>
      </c>
      <c r="G44" s="13">
        <v>2.1621967999999998E-2</v>
      </c>
      <c r="H44" s="72">
        <v>5.28</v>
      </c>
    </row>
    <row r="45" spans="1:10" ht="25.5" x14ac:dyDescent="0.2">
      <c r="A45" s="9">
        <v>18</v>
      </c>
      <c r="B45" s="10" t="s">
        <v>309</v>
      </c>
      <c r="C45" s="10" t="s">
        <v>310</v>
      </c>
      <c r="D45" s="10" t="s">
        <v>27</v>
      </c>
      <c r="E45" s="11">
        <v>35</v>
      </c>
      <c r="F45" s="12">
        <v>358.55435</v>
      </c>
      <c r="G45" s="13">
        <v>1.552693E-2</v>
      </c>
      <c r="H45" s="72">
        <v>6.7149999999999999</v>
      </c>
    </row>
    <row r="46" spans="1:10" x14ac:dyDescent="0.2">
      <c r="A46" s="9">
        <v>19</v>
      </c>
      <c r="B46" s="10" t="s">
        <v>311</v>
      </c>
      <c r="C46" s="10" t="s">
        <v>312</v>
      </c>
      <c r="D46" s="10" t="s">
        <v>27</v>
      </c>
      <c r="E46" s="11">
        <v>10</v>
      </c>
      <c r="F46" s="12">
        <v>101.92659999999999</v>
      </c>
      <c r="G46" s="13">
        <v>4.4138559999999999E-3</v>
      </c>
      <c r="H46" s="72">
        <v>6.3</v>
      </c>
    </row>
    <row r="47" spans="1:10" ht="25.5" x14ac:dyDescent="0.2">
      <c r="A47" s="9">
        <v>20</v>
      </c>
      <c r="B47" s="10" t="s">
        <v>285</v>
      </c>
      <c r="C47" s="10" t="s">
        <v>286</v>
      </c>
      <c r="D47" s="10" t="s">
        <v>27</v>
      </c>
      <c r="E47" s="11">
        <v>10</v>
      </c>
      <c r="F47" s="12">
        <v>101.40770000000001</v>
      </c>
      <c r="G47" s="13">
        <v>4.3913850000000003E-3</v>
      </c>
      <c r="H47" s="72">
        <v>6.1349999999999998</v>
      </c>
    </row>
    <row r="48" spans="1:10" ht="25.5" x14ac:dyDescent="0.2">
      <c r="A48" s="9">
        <v>21</v>
      </c>
      <c r="B48" s="10" t="s">
        <v>165</v>
      </c>
      <c r="C48" s="10" t="s">
        <v>166</v>
      </c>
      <c r="D48" s="10" t="s">
        <v>27</v>
      </c>
      <c r="E48" s="11">
        <v>10</v>
      </c>
      <c r="F48" s="12">
        <v>99.652199999999993</v>
      </c>
      <c r="G48" s="13">
        <v>4.3153649999999998E-3</v>
      </c>
      <c r="H48" s="72">
        <v>5.7834000000000003</v>
      </c>
    </row>
    <row r="49" spans="1:8" x14ac:dyDescent="0.2">
      <c r="A49" s="1"/>
      <c r="B49" s="1"/>
      <c r="C49" s="2" t="s">
        <v>11</v>
      </c>
      <c r="D49" s="1"/>
      <c r="E49" s="1" t="s">
        <v>12</v>
      </c>
      <c r="F49" s="7">
        <v>15127.22605612</v>
      </c>
      <c r="G49" s="8">
        <v>0.65507331099999999</v>
      </c>
      <c r="H49" s="72"/>
    </row>
    <row r="50" spans="1:8" x14ac:dyDescent="0.2">
      <c r="A50" s="1"/>
      <c r="B50" s="1"/>
      <c r="C50" s="5"/>
      <c r="D50" s="1"/>
      <c r="E50" s="1"/>
      <c r="F50" s="6"/>
      <c r="G50" s="6"/>
      <c r="H50" s="72"/>
    </row>
    <row r="51" spans="1:8" x14ac:dyDescent="0.2">
      <c r="A51" s="1"/>
      <c r="B51" s="1"/>
      <c r="C51" s="2" t="s">
        <v>97</v>
      </c>
      <c r="D51" s="1"/>
      <c r="E51" s="1"/>
      <c r="F51" s="1"/>
      <c r="G51" s="1"/>
      <c r="H51" s="72"/>
    </row>
    <row r="52" spans="1:8" x14ac:dyDescent="0.2">
      <c r="A52" s="1"/>
      <c r="B52" s="1"/>
      <c r="C52" s="2" t="s">
        <v>11</v>
      </c>
      <c r="D52" s="1"/>
      <c r="E52" s="1" t="s">
        <v>12</v>
      </c>
      <c r="F52" s="3">
        <v>0</v>
      </c>
      <c r="G52" s="4">
        <v>0</v>
      </c>
      <c r="H52" s="72"/>
    </row>
    <row r="53" spans="1:8" x14ac:dyDescent="0.2">
      <c r="A53" s="1"/>
      <c r="B53" s="1"/>
      <c r="C53" s="5"/>
      <c r="D53" s="1"/>
      <c r="E53" s="1"/>
      <c r="F53" s="6"/>
      <c r="G53" s="6"/>
      <c r="H53" s="72"/>
    </row>
    <row r="54" spans="1:8" x14ac:dyDescent="0.2">
      <c r="A54" s="1"/>
      <c r="B54" s="1"/>
      <c r="C54" s="2" t="s">
        <v>98</v>
      </c>
      <c r="D54" s="1"/>
      <c r="E54" s="1"/>
      <c r="F54" s="1"/>
      <c r="G54" s="1"/>
      <c r="H54" s="72"/>
    </row>
    <row r="55" spans="1:8" ht="25.5" x14ac:dyDescent="0.2">
      <c r="A55" s="9">
        <v>1</v>
      </c>
      <c r="B55" s="10" t="s">
        <v>197</v>
      </c>
      <c r="C55" s="10" t="s">
        <v>198</v>
      </c>
      <c r="D55" s="10" t="s">
        <v>101</v>
      </c>
      <c r="E55" s="11">
        <v>2000000</v>
      </c>
      <c r="F55" s="12">
        <v>1907.68</v>
      </c>
      <c r="G55" s="13">
        <v>8.2610667999999998E-2</v>
      </c>
      <c r="H55" s="72">
        <v>6.9294000000000002</v>
      </c>
    </row>
    <row r="56" spans="1:8" ht="25.5" x14ac:dyDescent="0.2">
      <c r="A56" s="9">
        <v>2</v>
      </c>
      <c r="B56" s="10" t="s">
        <v>335</v>
      </c>
      <c r="C56" s="10" t="s">
        <v>336</v>
      </c>
      <c r="D56" s="10" t="s">
        <v>101</v>
      </c>
      <c r="E56" s="11">
        <v>500000</v>
      </c>
      <c r="F56" s="12">
        <v>505.65</v>
      </c>
      <c r="G56" s="13">
        <v>2.1896797999999999E-2</v>
      </c>
      <c r="H56" s="72">
        <v>6.0128000000000004</v>
      </c>
    </row>
    <row r="57" spans="1:8" ht="25.5" x14ac:dyDescent="0.2">
      <c r="A57" s="9">
        <v>3</v>
      </c>
      <c r="B57" s="10" t="s">
        <v>289</v>
      </c>
      <c r="C57" s="10" t="s">
        <v>290</v>
      </c>
      <c r="D57" s="10" t="s">
        <v>101</v>
      </c>
      <c r="E57" s="11">
        <v>500000</v>
      </c>
      <c r="F57" s="12">
        <v>505.05</v>
      </c>
      <c r="G57" s="13">
        <v>2.1870816000000001E-2</v>
      </c>
      <c r="H57" s="72">
        <v>6.0682</v>
      </c>
    </row>
    <row r="58" spans="1:8" ht="25.5" x14ac:dyDescent="0.2">
      <c r="A58" s="9">
        <v>4</v>
      </c>
      <c r="B58" s="10" t="s">
        <v>406</v>
      </c>
      <c r="C58" s="10" t="s">
        <v>407</v>
      </c>
      <c r="D58" s="10" t="s">
        <v>101</v>
      </c>
      <c r="E58" s="11">
        <v>400000</v>
      </c>
      <c r="F58" s="12">
        <v>409.67680000000001</v>
      </c>
      <c r="G58" s="13">
        <v>1.774075E-2</v>
      </c>
      <c r="H58" s="72">
        <v>7.2249999999999996</v>
      </c>
    </row>
    <row r="59" spans="1:8" ht="25.5" x14ac:dyDescent="0.2">
      <c r="A59" s="9">
        <v>5</v>
      </c>
      <c r="B59" s="10" t="s">
        <v>291</v>
      </c>
      <c r="C59" s="10" t="s">
        <v>292</v>
      </c>
      <c r="D59" s="10" t="s">
        <v>101</v>
      </c>
      <c r="E59" s="11">
        <v>395300</v>
      </c>
      <c r="F59" s="12">
        <v>397.98369170000001</v>
      </c>
      <c r="G59" s="13">
        <v>1.7234388999999999E-2</v>
      </c>
      <c r="H59" s="72">
        <v>5.5617000000000001</v>
      </c>
    </row>
    <row r="60" spans="1:8" x14ac:dyDescent="0.2">
      <c r="A60" s="1"/>
      <c r="B60" s="1"/>
      <c r="C60" s="2" t="s">
        <v>11</v>
      </c>
      <c r="D60" s="1"/>
      <c r="E60" s="1" t="s">
        <v>12</v>
      </c>
      <c r="F60" s="7">
        <v>3726.0404917000001</v>
      </c>
      <c r="G60" s="8">
        <v>0.161353421</v>
      </c>
      <c r="H60" s="72"/>
    </row>
    <row r="61" spans="1:8" x14ac:dyDescent="0.2">
      <c r="A61" s="1"/>
      <c r="B61" s="1"/>
      <c r="C61" s="5"/>
      <c r="D61" s="1"/>
      <c r="E61" s="1"/>
      <c r="F61" s="6"/>
      <c r="G61" s="6"/>
      <c r="H61" s="72"/>
    </row>
    <row r="62" spans="1:8" x14ac:dyDescent="0.2">
      <c r="A62" s="1"/>
      <c r="B62" s="1"/>
      <c r="C62" s="2" t="s">
        <v>108</v>
      </c>
      <c r="D62" s="1"/>
      <c r="E62" s="1"/>
      <c r="F62" s="6"/>
      <c r="G62" s="6"/>
      <c r="H62" s="72"/>
    </row>
    <row r="63" spans="1:8" x14ac:dyDescent="0.2">
      <c r="A63" s="1"/>
      <c r="B63" s="1"/>
      <c r="C63" s="2" t="s">
        <v>11</v>
      </c>
      <c r="D63" s="1"/>
      <c r="E63" s="1" t="s">
        <v>12</v>
      </c>
      <c r="F63" s="3">
        <v>0</v>
      </c>
      <c r="G63" s="4">
        <v>0</v>
      </c>
      <c r="H63" s="72"/>
    </row>
    <row r="64" spans="1:8" x14ac:dyDescent="0.2">
      <c r="A64" s="1"/>
      <c r="B64" s="1"/>
      <c r="C64" s="5"/>
      <c r="D64" s="1"/>
      <c r="E64" s="1"/>
      <c r="F64" s="6"/>
      <c r="G64" s="6"/>
      <c r="H64" s="72"/>
    </row>
    <row r="65" spans="1:8" x14ac:dyDescent="0.2">
      <c r="A65" s="1"/>
      <c r="B65" s="1"/>
      <c r="C65" s="2" t="s">
        <v>109</v>
      </c>
      <c r="D65" s="1"/>
      <c r="E65" s="1"/>
      <c r="F65" s="7">
        <v>18853.26654782</v>
      </c>
      <c r="G65" s="8">
        <v>0.81642673200000004</v>
      </c>
      <c r="H65" s="72"/>
    </row>
    <row r="66" spans="1:8" x14ac:dyDescent="0.2">
      <c r="A66" s="1"/>
      <c r="B66" s="1"/>
      <c r="C66" s="5"/>
      <c r="D66" s="1"/>
      <c r="E66" s="1"/>
      <c r="F66" s="6"/>
      <c r="G66" s="6"/>
      <c r="H66" s="72"/>
    </row>
    <row r="67" spans="1:8" x14ac:dyDescent="0.2">
      <c r="A67" s="1"/>
      <c r="B67" s="1"/>
      <c r="C67" s="2" t="s">
        <v>110</v>
      </c>
      <c r="D67" s="1"/>
      <c r="E67" s="1"/>
      <c r="F67" s="6"/>
      <c r="G67" s="6"/>
      <c r="H67" s="72"/>
    </row>
    <row r="68" spans="1:8" x14ac:dyDescent="0.2">
      <c r="A68" s="1"/>
      <c r="B68" s="1"/>
      <c r="C68" s="2" t="s">
        <v>111</v>
      </c>
      <c r="D68" s="1"/>
      <c r="E68" s="1"/>
      <c r="F68" s="6"/>
      <c r="G68" s="6"/>
      <c r="H68" s="72"/>
    </row>
    <row r="69" spans="1:8" x14ac:dyDescent="0.2">
      <c r="A69" s="1"/>
      <c r="B69" s="1"/>
      <c r="C69" s="2" t="s">
        <v>11</v>
      </c>
      <c r="D69" s="1"/>
      <c r="E69" s="1" t="s">
        <v>12</v>
      </c>
      <c r="F69" s="3">
        <v>0</v>
      </c>
      <c r="G69" s="4">
        <v>0</v>
      </c>
      <c r="H69" s="72"/>
    </row>
    <row r="70" spans="1:8" x14ac:dyDescent="0.2">
      <c r="A70" s="1"/>
      <c r="B70" s="1"/>
      <c r="C70" s="5"/>
      <c r="D70" s="1"/>
      <c r="E70" s="1"/>
      <c r="F70" s="6"/>
      <c r="G70" s="6"/>
      <c r="H70" s="72"/>
    </row>
    <row r="71" spans="1:8" x14ac:dyDescent="0.2">
      <c r="A71" s="1"/>
      <c r="B71" s="1"/>
      <c r="C71" s="2" t="s">
        <v>120</v>
      </c>
      <c r="D71" s="1"/>
      <c r="E71" s="1"/>
      <c r="F71" s="6"/>
      <c r="G71" s="6"/>
      <c r="H71" s="72"/>
    </row>
    <row r="72" spans="1:8" ht="25.5" x14ac:dyDescent="0.2">
      <c r="A72" s="9">
        <v>1</v>
      </c>
      <c r="B72" s="10" t="s">
        <v>358</v>
      </c>
      <c r="C72" s="10" t="s">
        <v>359</v>
      </c>
      <c r="D72" s="10" t="s">
        <v>117</v>
      </c>
      <c r="E72" s="11">
        <v>100</v>
      </c>
      <c r="F72" s="12">
        <v>479.22949999999997</v>
      </c>
      <c r="G72" s="13">
        <v>2.0752678E-2</v>
      </c>
      <c r="H72" s="72">
        <v>6.6749999999999998</v>
      </c>
    </row>
    <row r="73" spans="1:8" x14ac:dyDescent="0.2">
      <c r="A73" s="1"/>
      <c r="B73" s="1"/>
      <c r="C73" s="2" t="s">
        <v>11</v>
      </c>
      <c r="D73" s="1"/>
      <c r="E73" s="1" t="s">
        <v>12</v>
      </c>
      <c r="F73" s="7">
        <v>479.22949999999997</v>
      </c>
      <c r="G73" s="8">
        <v>2.0752678E-2</v>
      </c>
      <c r="H73" s="72"/>
    </row>
    <row r="74" spans="1:8" x14ac:dyDescent="0.2">
      <c r="A74" s="1"/>
      <c r="B74" s="1"/>
      <c r="C74" s="5"/>
      <c r="D74" s="1"/>
      <c r="E74" s="1"/>
      <c r="F74" s="6"/>
      <c r="G74" s="6"/>
      <c r="H74" s="72"/>
    </row>
    <row r="75" spans="1:8" x14ac:dyDescent="0.2">
      <c r="A75" s="1"/>
      <c r="B75" s="1"/>
      <c r="C75" s="2" t="s">
        <v>123</v>
      </c>
      <c r="D75" s="1"/>
      <c r="E75" s="1"/>
      <c r="F75" s="6"/>
      <c r="G75" s="6"/>
      <c r="H75" s="72"/>
    </row>
    <row r="76" spans="1:8" x14ac:dyDescent="0.2">
      <c r="A76" s="1"/>
      <c r="B76" s="1"/>
      <c r="C76" s="2" t="s">
        <v>11</v>
      </c>
      <c r="D76" s="1"/>
      <c r="E76" s="1" t="s">
        <v>12</v>
      </c>
      <c r="F76" s="3">
        <v>0</v>
      </c>
      <c r="G76" s="4">
        <v>0</v>
      </c>
      <c r="H76" s="72"/>
    </row>
    <row r="77" spans="1:8" x14ac:dyDescent="0.2">
      <c r="A77" s="1"/>
      <c r="B77" s="1"/>
      <c r="C77" s="5"/>
      <c r="D77" s="1"/>
      <c r="E77" s="1"/>
      <c r="F77" s="6"/>
      <c r="G77" s="6"/>
      <c r="H77" s="72"/>
    </row>
    <row r="78" spans="1:8" x14ac:dyDescent="0.2">
      <c r="A78" s="1"/>
      <c r="B78" s="1"/>
      <c r="C78" s="2" t="s">
        <v>124</v>
      </c>
      <c r="D78" s="1"/>
      <c r="E78" s="1"/>
      <c r="F78" s="6"/>
      <c r="G78" s="6"/>
      <c r="H78" s="72"/>
    </row>
    <row r="79" spans="1:8" x14ac:dyDescent="0.2">
      <c r="A79" s="9">
        <v>1</v>
      </c>
      <c r="B79" s="10"/>
      <c r="C79" s="10" t="s">
        <v>125</v>
      </c>
      <c r="D79" s="10"/>
      <c r="E79" s="14"/>
      <c r="F79" s="12">
        <v>3109.9183908</v>
      </c>
      <c r="G79" s="13">
        <v>0.13467271</v>
      </c>
      <c r="H79" s="72">
        <v>4.1713246754849944</v>
      </c>
    </row>
    <row r="80" spans="1:8" x14ac:dyDescent="0.2">
      <c r="A80" s="1"/>
      <c r="B80" s="1"/>
      <c r="C80" s="2" t="s">
        <v>11</v>
      </c>
      <c r="D80" s="1"/>
      <c r="E80" s="1" t="s">
        <v>12</v>
      </c>
      <c r="F80" s="7">
        <v>3109.9183908</v>
      </c>
      <c r="G80" s="8">
        <v>0.13467271</v>
      </c>
      <c r="H80" s="72"/>
    </row>
    <row r="81" spans="1:8" x14ac:dyDescent="0.2">
      <c r="A81" s="1"/>
      <c r="B81" s="1"/>
      <c r="C81" s="5"/>
      <c r="D81" s="1"/>
      <c r="E81" s="1"/>
      <c r="F81" s="6"/>
      <c r="G81" s="6"/>
      <c r="H81" s="72"/>
    </row>
    <row r="82" spans="1:8" x14ac:dyDescent="0.2">
      <c r="A82" s="1"/>
      <c r="B82" s="1"/>
      <c r="C82" s="2" t="s">
        <v>126</v>
      </c>
      <c r="D82" s="1"/>
      <c r="E82" s="1"/>
      <c r="F82" s="7">
        <v>3589.1478907999999</v>
      </c>
      <c r="G82" s="8">
        <v>0.155425388</v>
      </c>
      <c r="H82" s="72"/>
    </row>
    <row r="83" spans="1:8" x14ac:dyDescent="0.2">
      <c r="A83" s="1"/>
      <c r="B83" s="1"/>
      <c r="C83" s="6"/>
      <c r="D83" s="1"/>
      <c r="E83" s="1"/>
      <c r="F83" s="1"/>
      <c r="G83" s="1"/>
      <c r="H83" s="72"/>
    </row>
    <row r="84" spans="1:8" x14ac:dyDescent="0.2">
      <c r="A84" s="1"/>
      <c r="B84" s="1"/>
      <c r="C84" s="2" t="s">
        <v>127</v>
      </c>
      <c r="D84" s="1"/>
      <c r="E84" s="1"/>
      <c r="F84" s="1"/>
      <c r="G84" s="1"/>
      <c r="H84" s="72"/>
    </row>
    <row r="85" spans="1:8" x14ac:dyDescent="0.2">
      <c r="A85" s="1"/>
      <c r="B85" s="1"/>
      <c r="C85" s="2" t="s">
        <v>128</v>
      </c>
      <c r="D85" s="1"/>
      <c r="E85" s="1"/>
      <c r="F85" s="1"/>
      <c r="G85" s="1"/>
      <c r="H85" s="72"/>
    </row>
    <row r="86" spans="1:8" x14ac:dyDescent="0.2">
      <c r="A86" s="1"/>
      <c r="B86" s="1"/>
      <c r="C86" s="2" t="s">
        <v>11</v>
      </c>
      <c r="D86" s="1"/>
      <c r="E86" s="1" t="s">
        <v>12</v>
      </c>
      <c r="F86" s="3">
        <v>0</v>
      </c>
      <c r="G86" s="4">
        <v>0</v>
      </c>
      <c r="H86" s="72"/>
    </row>
    <row r="87" spans="1:8" x14ac:dyDescent="0.2">
      <c r="A87" s="1"/>
      <c r="B87" s="1"/>
      <c r="C87" s="5"/>
      <c r="D87" s="1"/>
      <c r="E87" s="1"/>
      <c r="F87" s="6"/>
      <c r="G87" s="6"/>
      <c r="H87" s="72"/>
    </row>
    <row r="88" spans="1:8" x14ac:dyDescent="0.2">
      <c r="A88" s="1"/>
      <c r="B88" s="1"/>
      <c r="C88" s="2" t="s">
        <v>129</v>
      </c>
      <c r="D88" s="1"/>
      <c r="E88" s="1"/>
      <c r="F88" s="1"/>
      <c r="G88" s="1"/>
      <c r="H88" s="72"/>
    </row>
    <row r="89" spans="1:8" x14ac:dyDescent="0.2">
      <c r="A89" s="1"/>
      <c r="B89" s="1"/>
      <c r="C89" s="2" t="s">
        <v>130</v>
      </c>
      <c r="D89" s="1"/>
      <c r="E89" s="1"/>
      <c r="F89" s="1"/>
      <c r="G89" s="1"/>
      <c r="H89" s="72"/>
    </row>
    <row r="90" spans="1:8" x14ac:dyDescent="0.2">
      <c r="A90" s="1"/>
      <c r="B90" s="1"/>
      <c r="C90" s="2" t="s">
        <v>11</v>
      </c>
      <c r="D90" s="1"/>
      <c r="E90" s="1" t="s">
        <v>12</v>
      </c>
      <c r="F90" s="3">
        <v>0</v>
      </c>
      <c r="G90" s="4">
        <v>0</v>
      </c>
      <c r="H90" s="72"/>
    </row>
    <row r="91" spans="1:8" x14ac:dyDescent="0.2">
      <c r="A91" s="1"/>
      <c r="B91" s="1"/>
      <c r="C91" s="5"/>
      <c r="D91" s="1"/>
      <c r="E91" s="1"/>
      <c r="F91" s="6"/>
      <c r="G91" s="6"/>
      <c r="H91" s="72"/>
    </row>
    <row r="92" spans="1:8" ht="25.5" x14ac:dyDescent="0.2">
      <c r="A92" s="1"/>
      <c r="B92" s="1"/>
      <c r="C92" s="2" t="s">
        <v>131</v>
      </c>
      <c r="D92" s="1"/>
      <c r="E92" s="1"/>
      <c r="F92" s="6"/>
      <c r="G92" s="6"/>
      <c r="H92" s="72"/>
    </row>
    <row r="93" spans="1:8" x14ac:dyDescent="0.2">
      <c r="A93" s="1"/>
      <c r="B93" s="1"/>
      <c r="C93" s="2" t="s">
        <v>11</v>
      </c>
      <c r="D93" s="1"/>
      <c r="E93" s="1" t="s">
        <v>12</v>
      </c>
      <c r="F93" s="3">
        <v>0</v>
      </c>
      <c r="G93" s="4">
        <v>0</v>
      </c>
      <c r="H93" s="72"/>
    </row>
    <row r="94" spans="1:8" x14ac:dyDescent="0.2">
      <c r="A94" s="1"/>
      <c r="B94" s="1"/>
      <c r="C94" s="5"/>
      <c r="D94" s="1"/>
      <c r="E94" s="1"/>
      <c r="F94" s="6"/>
      <c r="G94" s="6"/>
      <c r="H94" s="72"/>
    </row>
    <row r="95" spans="1:8" x14ac:dyDescent="0.2">
      <c r="A95" s="1"/>
      <c r="B95" s="10"/>
      <c r="C95" s="10"/>
      <c r="D95" s="2"/>
      <c r="E95" s="1"/>
      <c r="F95" s="10"/>
      <c r="G95" s="14"/>
      <c r="H95" s="72"/>
    </row>
    <row r="96" spans="1:8" x14ac:dyDescent="0.2">
      <c r="A96" s="14"/>
      <c r="B96" s="10"/>
      <c r="C96" s="10" t="s">
        <v>132</v>
      </c>
      <c r="D96" s="10"/>
      <c r="E96" s="14"/>
      <c r="F96" s="12">
        <v>650.00259531999995</v>
      </c>
      <c r="G96" s="13">
        <v>2.8147881E-2</v>
      </c>
      <c r="H96" s="72"/>
    </row>
    <row r="97" spans="1:8" x14ac:dyDescent="0.2">
      <c r="A97" s="5"/>
      <c r="B97" s="5"/>
      <c r="C97" s="2" t="s">
        <v>133</v>
      </c>
      <c r="D97" s="6"/>
      <c r="E97" s="6"/>
      <c r="F97" s="7">
        <v>23092.417033940001</v>
      </c>
      <c r="G97" s="8">
        <v>1.0000000010000001</v>
      </c>
      <c r="H97" s="72"/>
    </row>
    <row r="98" spans="1:8" ht="14.1" customHeight="1" x14ac:dyDescent="0.2">
      <c r="A98" s="15"/>
      <c r="B98" s="15"/>
      <c r="C98" s="15"/>
      <c r="D98" s="16"/>
      <c r="E98" s="16"/>
      <c r="F98" s="16"/>
      <c r="G98" s="16"/>
    </row>
    <row r="99" spans="1:8" ht="17.100000000000001" customHeight="1" x14ac:dyDescent="0.2">
      <c r="A99" s="17"/>
      <c r="B99" s="90" t="s">
        <v>134</v>
      </c>
      <c r="C99" s="90"/>
      <c r="D99" s="90"/>
      <c r="E99" s="90"/>
      <c r="F99" s="90"/>
      <c r="G99" s="19"/>
    </row>
    <row r="100" spans="1:8" ht="17.100000000000001" customHeight="1" x14ac:dyDescent="0.2">
      <c r="A100" s="17"/>
      <c r="B100" s="90" t="s">
        <v>135</v>
      </c>
      <c r="C100" s="90"/>
      <c r="D100" s="90"/>
      <c r="E100" s="90"/>
      <c r="F100" s="90"/>
      <c r="G100" s="19"/>
    </row>
    <row r="101" spans="1:8" ht="14.1" customHeight="1" x14ac:dyDescent="0.2">
      <c r="A101" s="17"/>
      <c r="B101" s="17"/>
      <c r="C101" s="17"/>
      <c r="D101" s="19"/>
      <c r="E101" s="19"/>
      <c r="F101" s="19"/>
      <c r="G101" s="19"/>
    </row>
    <row r="102" spans="1:8" ht="14.1" customHeight="1" x14ac:dyDescent="0.2">
      <c r="A102" s="17"/>
      <c r="B102" s="91" t="s">
        <v>136</v>
      </c>
      <c r="C102" s="92"/>
      <c r="D102" s="93"/>
      <c r="E102" s="20"/>
      <c r="F102" s="19"/>
      <c r="G102" s="19"/>
    </row>
    <row r="103" spans="1:8" ht="29.1" customHeight="1" x14ac:dyDescent="0.2">
      <c r="A103" s="17"/>
      <c r="B103" s="85" t="s">
        <v>137</v>
      </c>
      <c r="C103" s="86"/>
      <c r="D103" s="39" t="s">
        <v>510</v>
      </c>
      <c r="E103" s="20"/>
      <c r="F103" s="19"/>
      <c r="G103" s="19"/>
    </row>
    <row r="104" spans="1:8" ht="17.100000000000001" customHeight="1" x14ac:dyDescent="0.2">
      <c r="A104" s="17"/>
      <c r="B104" s="85" t="s">
        <v>139</v>
      </c>
      <c r="C104" s="86"/>
      <c r="D104" s="2" t="s">
        <v>138</v>
      </c>
      <c r="E104" s="20"/>
      <c r="F104" s="19"/>
      <c r="G104" s="19"/>
    </row>
    <row r="105" spans="1:8" ht="17.100000000000001" customHeight="1" x14ac:dyDescent="0.2">
      <c r="A105" s="17"/>
      <c r="B105" s="85" t="s">
        <v>140</v>
      </c>
      <c r="C105" s="86"/>
      <c r="D105" s="6" t="s">
        <v>12</v>
      </c>
      <c r="E105" s="20"/>
      <c r="F105" s="19"/>
      <c r="G105" s="19"/>
    </row>
    <row r="106" spans="1:8" ht="24" customHeight="1" x14ac:dyDescent="0.2">
      <c r="A106" s="21"/>
      <c r="B106" s="22" t="s">
        <v>12</v>
      </c>
      <c r="C106" s="22" t="s">
        <v>141</v>
      </c>
      <c r="D106" s="22" t="s">
        <v>142</v>
      </c>
      <c r="E106" s="21"/>
      <c r="F106" s="21"/>
      <c r="G106" s="21"/>
    </row>
    <row r="107" spans="1:8" ht="18" customHeight="1" x14ac:dyDescent="0.2">
      <c r="A107" s="21"/>
      <c r="B107" s="23" t="s">
        <v>143</v>
      </c>
      <c r="C107" s="22" t="s">
        <v>144</v>
      </c>
      <c r="D107" s="22" t="s">
        <v>145</v>
      </c>
      <c r="E107" s="21"/>
      <c r="F107" s="21"/>
      <c r="G107" s="21"/>
    </row>
    <row r="108" spans="1:8" ht="17.100000000000001" customHeight="1" x14ac:dyDescent="0.2">
      <c r="A108" s="21"/>
      <c r="B108" s="10" t="s">
        <v>146</v>
      </c>
      <c r="C108" s="24">
        <v>38.121600000000001</v>
      </c>
      <c r="D108" s="24">
        <v>38.0015</v>
      </c>
      <c r="E108" s="21"/>
      <c r="F108" s="18"/>
      <c r="G108" s="25"/>
    </row>
    <row r="109" spans="1:8" ht="29.1" customHeight="1" x14ac:dyDescent="0.2">
      <c r="A109" s="21"/>
      <c r="B109" s="10" t="s">
        <v>547</v>
      </c>
      <c r="C109" s="24">
        <v>12.8847</v>
      </c>
      <c r="D109" s="24">
        <v>12.844200000000001</v>
      </c>
      <c r="E109" s="21"/>
      <c r="F109" s="18"/>
      <c r="G109" s="25"/>
    </row>
    <row r="110" spans="1:8" ht="29.1" customHeight="1" x14ac:dyDescent="0.2">
      <c r="A110" s="21"/>
      <c r="B110" s="10" t="s">
        <v>548</v>
      </c>
      <c r="C110" s="24">
        <v>12.8848</v>
      </c>
      <c r="D110" s="24">
        <v>12.844200000000001</v>
      </c>
      <c r="E110" s="21"/>
      <c r="F110" s="18"/>
      <c r="G110" s="25"/>
    </row>
    <row r="111" spans="1:8" ht="29.1" customHeight="1" x14ac:dyDescent="0.2">
      <c r="A111" s="21"/>
      <c r="B111" s="10" t="s">
        <v>534</v>
      </c>
      <c r="C111" s="24">
        <v>12.9184</v>
      </c>
      <c r="D111" s="24">
        <v>12.877700000000001</v>
      </c>
      <c r="E111" s="21"/>
      <c r="F111" s="18"/>
      <c r="G111" s="25"/>
    </row>
    <row r="112" spans="1:8" ht="29.1" customHeight="1" x14ac:dyDescent="0.2">
      <c r="A112" s="21"/>
      <c r="B112" s="10" t="s">
        <v>535</v>
      </c>
      <c r="C112" s="24">
        <v>12.944900000000001</v>
      </c>
      <c r="D112" s="24">
        <v>12.904199999999999</v>
      </c>
      <c r="E112" s="21"/>
      <c r="F112" s="18"/>
      <c r="G112" s="25"/>
    </row>
    <row r="113" spans="1:7" ht="29.1" customHeight="1" x14ac:dyDescent="0.2">
      <c r="A113" s="21"/>
      <c r="B113" s="10" t="s">
        <v>536</v>
      </c>
      <c r="C113" s="24">
        <v>12.869899999999999</v>
      </c>
      <c r="D113" s="24">
        <v>12.8294</v>
      </c>
      <c r="E113" s="21"/>
      <c r="F113" s="18"/>
      <c r="G113" s="25"/>
    </row>
    <row r="114" spans="1:7" ht="29.1" customHeight="1" x14ac:dyDescent="0.2">
      <c r="A114" s="21"/>
      <c r="B114" s="10" t="s">
        <v>537</v>
      </c>
      <c r="C114" s="24">
        <v>12.7194</v>
      </c>
      <c r="D114" s="24">
        <v>12.6791</v>
      </c>
      <c r="E114" s="21"/>
      <c r="F114" s="18"/>
      <c r="G114" s="25"/>
    </row>
    <row r="115" spans="1:7" ht="17.100000000000001" customHeight="1" x14ac:dyDescent="0.2">
      <c r="A115" s="21"/>
      <c r="B115" s="10" t="s">
        <v>147</v>
      </c>
      <c r="C115" s="24">
        <v>35.8718</v>
      </c>
      <c r="D115" s="24">
        <v>35.7378</v>
      </c>
      <c r="E115" s="21"/>
      <c r="F115" s="18"/>
      <c r="G115" s="25"/>
    </row>
    <row r="116" spans="1:7" ht="17.100000000000001" customHeight="1" x14ac:dyDescent="0.2">
      <c r="A116" s="21"/>
      <c r="B116" s="10" t="s">
        <v>207</v>
      </c>
      <c r="C116" s="24">
        <v>12.9579</v>
      </c>
      <c r="D116" s="24">
        <v>12.9094</v>
      </c>
      <c r="E116" s="21"/>
      <c r="F116" s="18"/>
      <c r="G116" s="25"/>
    </row>
    <row r="117" spans="1:7" ht="29.1" customHeight="1" x14ac:dyDescent="0.2">
      <c r="A117" s="21"/>
      <c r="B117" s="10" t="s">
        <v>546</v>
      </c>
      <c r="C117" s="24">
        <v>12.8498</v>
      </c>
      <c r="D117" s="24">
        <v>12.8018</v>
      </c>
      <c r="E117" s="21"/>
      <c r="F117" s="18"/>
      <c r="G117" s="25"/>
    </row>
    <row r="118" spans="1:7" ht="29.1" customHeight="1" x14ac:dyDescent="0.2">
      <c r="A118" s="21"/>
      <c r="B118" s="10" t="s">
        <v>549</v>
      </c>
      <c r="C118" s="24">
        <v>12.8498</v>
      </c>
      <c r="D118" s="24">
        <v>12.801600000000001</v>
      </c>
      <c r="E118" s="21"/>
      <c r="F118" s="18"/>
      <c r="G118" s="25"/>
    </row>
    <row r="119" spans="1:7" ht="29.1" customHeight="1" x14ac:dyDescent="0.2">
      <c r="A119" s="21"/>
      <c r="B119" s="10" t="s">
        <v>538</v>
      </c>
      <c r="C119" s="24">
        <v>12.8796</v>
      </c>
      <c r="D119" s="24">
        <v>12.8315</v>
      </c>
      <c r="E119" s="21"/>
      <c r="F119" s="18"/>
      <c r="G119" s="25"/>
    </row>
    <row r="120" spans="1:7" ht="29.1" customHeight="1" x14ac:dyDescent="0.2">
      <c r="A120" s="21"/>
      <c r="B120" s="10" t="s">
        <v>539</v>
      </c>
      <c r="C120" s="24">
        <v>12.8832</v>
      </c>
      <c r="D120" s="24">
        <v>12.835100000000001</v>
      </c>
      <c r="E120" s="21"/>
      <c r="F120" s="18"/>
      <c r="G120" s="25"/>
    </row>
    <row r="121" spans="1:7" ht="29.1" customHeight="1" x14ac:dyDescent="0.2">
      <c r="A121" s="21"/>
      <c r="B121" s="10" t="s">
        <v>540</v>
      </c>
      <c r="C121" s="24">
        <v>12.807700000000001</v>
      </c>
      <c r="D121" s="24">
        <v>12.7599</v>
      </c>
      <c r="E121" s="21"/>
      <c r="F121" s="18"/>
      <c r="G121" s="25"/>
    </row>
    <row r="122" spans="1:7" ht="29.1" customHeight="1" x14ac:dyDescent="0.2">
      <c r="A122" s="21"/>
      <c r="B122" s="10" t="s">
        <v>541</v>
      </c>
      <c r="C122" s="24">
        <v>12.657500000000001</v>
      </c>
      <c r="D122" s="24">
        <v>12.610099999999999</v>
      </c>
      <c r="E122" s="21"/>
      <c r="F122" s="18"/>
      <c r="G122" s="25"/>
    </row>
    <row r="123" spans="1:7" ht="14.1" customHeight="1" x14ac:dyDescent="0.2">
      <c r="A123" s="21"/>
      <c r="B123" s="21"/>
      <c r="C123" s="21"/>
      <c r="D123" s="21"/>
      <c r="E123" s="21"/>
      <c r="F123" s="21"/>
      <c r="G123" s="21"/>
    </row>
    <row r="124" spans="1:7" ht="17.100000000000001" customHeight="1" x14ac:dyDescent="0.2">
      <c r="A124" s="21"/>
      <c r="B124" s="85" t="s">
        <v>542</v>
      </c>
      <c r="C124" s="86"/>
      <c r="D124" s="2" t="s">
        <v>138</v>
      </c>
      <c r="E124" s="21"/>
      <c r="F124" s="21"/>
      <c r="G124" s="21"/>
    </row>
    <row r="125" spans="1:7" ht="14.1" customHeight="1" x14ac:dyDescent="0.2">
      <c r="A125" s="21"/>
      <c r="B125" s="18"/>
      <c r="C125" s="18"/>
      <c r="D125" s="21"/>
      <c r="E125" s="21"/>
      <c r="F125" s="21"/>
      <c r="G125" s="21"/>
    </row>
    <row r="126" spans="1:7" ht="29.1" customHeight="1" x14ac:dyDescent="0.2">
      <c r="A126" s="21"/>
      <c r="B126" s="85" t="s">
        <v>151</v>
      </c>
      <c r="C126" s="86"/>
      <c r="D126" s="2" t="s">
        <v>138</v>
      </c>
      <c r="E126" s="31"/>
      <c r="F126" s="21"/>
      <c r="G126" s="21"/>
    </row>
    <row r="127" spans="1:7" ht="29.1" customHeight="1" x14ac:dyDescent="0.2">
      <c r="A127" s="21"/>
      <c r="B127" s="85" t="s">
        <v>152</v>
      </c>
      <c r="C127" s="86"/>
      <c r="D127" s="2" t="s">
        <v>138</v>
      </c>
      <c r="E127" s="31"/>
      <c r="F127" s="21"/>
      <c r="G127" s="21"/>
    </row>
    <row r="128" spans="1:7" ht="17.100000000000001" customHeight="1" x14ac:dyDescent="0.2">
      <c r="A128" s="21"/>
      <c r="B128" s="85" t="s">
        <v>153</v>
      </c>
      <c r="C128" s="86"/>
      <c r="D128" s="32">
        <v>1.4073676533235231</v>
      </c>
      <c r="E128" s="31"/>
      <c r="F128" s="21"/>
      <c r="G128" s="21"/>
    </row>
    <row r="129" spans="1:15" ht="17.100000000000001" customHeight="1" x14ac:dyDescent="0.2">
      <c r="A129" s="21"/>
      <c r="B129" s="85" t="s">
        <v>154</v>
      </c>
      <c r="C129" s="86"/>
      <c r="D129" s="32">
        <v>1.1599394501828479</v>
      </c>
      <c r="E129" s="31"/>
      <c r="F129" s="21"/>
      <c r="G129" s="21"/>
    </row>
    <row r="130" spans="1:15" ht="17.100000000000001" customHeight="1" x14ac:dyDescent="0.2">
      <c r="A130" s="21"/>
      <c r="B130" s="85" t="s">
        <v>155</v>
      </c>
      <c r="C130" s="86"/>
      <c r="D130" s="2" t="s">
        <v>138</v>
      </c>
      <c r="E130" s="31"/>
      <c r="F130" s="21"/>
      <c r="G130" s="21"/>
      <c r="J130"/>
      <c r="K130"/>
      <c r="L130"/>
      <c r="M130"/>
      <c r="N130"/>
      <c r="O130"/>
    </row>
    <row r="131" spans="1:15" ht="14.1" customHeight="1" x14ac:dyDescent="0.2">
      <c r="A131" s="21"/>
      <c r="B131" s="88"/>
      <c r="C131" s="88"/>
      <c r="D131" s="30"/>
      <c r="E131" s="21"/>
      <c r="F131" s="18"/>
      <c r="G131" s="25"/>
    </row>
    <row r="132" spans="1:15" x14ac:dyDescent="0.2">
      <c r="B132" s="109" t="s">
        <v>530</v>
      </c>
      <c r="C132" s="109"/>
      <c r="D132" s="109"/>
      <c r="E132" s="109"/>
      <c r="F132" s="109"/>
      <c r="G132" s="109"/>
      <c r="H132" s="109"/>
      <c r="J132"/>
      <c r="K132"/>
      <c r="L132"/>
      <c r="M132"/>
      <c r="N132"/>
      <c r="O132"/>
    </row>
    <row r="133" spans="1:15" x14ac:dyDescent="0.2">
      <c r="B133" s="42"/>
      <c r="C133" s="42"/>
      <c r="D133" s="42"/>
      <c r="E133" s="42"/>
      <c r="F133" s="42"/>
      <c r="G133" s="42"/>
      <c r="H133" s="42"/>
    </row>
    <row r="134" spans="1:15" x14ac:dyDescent="0.2">
      <c r="B134" s="51" t="s">
        <v>492</v>
      </c>
      <c r="C134" s="51" t="s">
        <v>493</v>
      </c>
      <c r="D134" s="110" t="s">
        <v>487</v>
      </c>
      <c r="E134" s="111"/>
      <c r="F134" s="112"/>
      <c r="G134" s="113" t="s">
        <v>488</v>
      </c>
      <c r="H134" s="114"/>
    </row>
    <row r="135" spans="1:15" ht="25.5" x14ac:dyDescent="0.2">
      <c r="B135" s="52" t="s">
        <v>498</v>
      </c>
      <c r="C135" s="53" t="s">
        <v>513</v>
      </c>
      <c r="D135" s="106">
        <v>0</v>
      </c>
      <c r="E135" s="107"/>
      <c r="F135" s="108"/>
      <c r="G135" s="106">
        <v>0</v>
      </c>
      <c r="H135" s="108"/>
    </row>
    <row r="136" spans="1:15" ht="25.5" x14ac:dyDescent="0.2">
      <c r="B136" s="52" t="s">
        <v>494</v>
      </c>
      <c r="C136" s="53" t="s">
        <v>514</v>
      </c>
      <c r="D136" s="106">
        <v>0</v>
      </c>
      <c r="E136" s="107"/>
      <c r="F136" s="108"/>
      <c r="G136" s="106">
        <v>0</v>
      </c>
      <c r="H136" s="108"/>
    </row>
    <row r="137" spans="1:15" ht="25.5" x14ac:dyDescent="0.2">
      <c r="B137" s="52" t="s">
        <v>515</v>
      </c>
      <c r="C137" s="53" t="s">
        <v>516</v>
      </c>
      <c r="D137" s="106">
        <v>0</v>
      </c>
      <c r="E137" s="107"/>
      <c r="F137" s="108"/>
      <c r="G137" s="106">
        <v>0</v>
      </c>
      <c r="H137" s="108"/>
    </row>
    <row r="138" spans="1:15" ht="25.5" x14ac:dyDescent="0.2">
      <c r="B138" s="52" t="s">
        <v>496</v>
      </c>
      <c r="C138" s="53" t="s">
        <v>517</v>
      </c>
      <c r="D138" s="106">
        <v>0</v>
      </c>
      <c r="E138" s="107"/>
      <c r="F138" s="108"/>
      <c r="G138" s="106">
        <v>0</v>
      </c>
      <c r="H138" s="108"/>
    </row>
    <row r="139" spans="1:15" x14ac:dyDescent="0.2">
      <c r="B139" s="52"/>
      <c r="C139" s="52"/>
      <c r="D139" s="100"/>
      <c r="E139" s="100"/>
      <c r="F139" s="100"/>
      <c r="G139" s="100"/>
      <c r="H139" s="100"/>
    </row>
    <row r="140" spans="1:15" x14ac:dyDescent="0.2">
      <c r="B140" s="101" t="s">
        <v>500</v>
      </c>
      <c r="C140" s="101"/>
      <c r="D140" s="101"/>
      <c r="E140" s="101"/>
      <c r="F140" s="101"/>
      <c r="G140" s="101"/>
      <c r="H140" s="101"/>
    </row>
    <row r="141" spans="1:15" x14ac:dyDescent="0.2">
      <c r="B141" s="97" t="s">
        <v>492</v>
      </c>
      <c r="C141" s="97" t="s">
        <v>493</v>
      </c>
      <c r="D141" s="97" t="s">
        <v>501</v>
      </c>
      <c r="E141" s="97"/>
      <c r="F141" s="97"/>
      <c r="G141" s="97"/>
      <c r="H141" s="98" t="s">
        <v>518</v>
      </c>
    </row>
    <row r="142" spans="1:15" ht="63.75" x14ac:dyDescent="0.2">
      <c r="B142" s="97"/>
      <c r="C142" s="97"/>
      <c r="D142" s="54" t="s">
        <v>503</v>
      </c>
      <c r="E142" s="54" t="s">
        <v>504</v>
      </c>
      <c r="F142" s="54" t="s">
        <v>505</v>
      </c>
      <c r="G142" s="54" t="s">
        <v>519</v>
      </c>
      <c r="H142" s="99"/>
    </row>
    <row r="143" spans="1:15" ht="25.5" x14ac:dyDescent="0.2">
      <c r="B143" s="52" t="s">
        <v>498</v>
      </c>
      <c r="C143" s="53" t="s">
        <v>513</v>
      </c>
      <c r="D143" s="55">
        <v>3000</v>
      </c>
      <c r="E143" s="55">
        <v>198.60410960000002</v>
      </c>
      <c r="F143" s="56">
        <v>72.152053199999997</v>
      </c>
      <c r="G143" s="57">
        <v>3270.7561627999999</v>
      </c>
      <c r="H143" s="58">
        <v>1452.6372699999999</v>
      </c>
      <c r="I143" s="41"/>
    </row>
    <row r="144" spans="1:15" ht="25.5" x14ac:dyDescent="0.2">
      <c r="B144" s="52" t="s">
        <v>494</v>
      </c>
      <c r="C144" s="53" t="s">
        <v>514</v>
      </c>
      <c r="D144" s="55">
        <v>500</v>
      </c>
      <c r="E144" s="55">
        <v>33.283561599999999</v>
      </c>
      <c r="F144" s="56">
        <v>12.091777499999999</v>
      </c>
      <c r="G144" s="57">
        <f>D144+E144+F144</f>
        <v>545.37533910000002</v>
      </c>
      <c r="H144" s="58">
        <v>242.22076999999999</v>
      </c>
    </row>
    <row r="145" spans="2:9" ht="25.5" x14ac:dyDescent="0.2">
      <c r="B145" s="52" t="s">
        <v>515</v>
      </c>
      <c r="C145" s="53" t="s">
        <v>520</v>
      </c>
      <c r="D145" s="55">
        <v>2000</v>
      </c>
      <c r="E145" s="55">
        <v>39.762295099999996</v>
      </c>
      <c r="F145" s="56">
        <v>64.029485721917808</v>
      </c>
      <c r="G145" s="57">
        <v>2103.7917808219199</v>
      </c>
      <c r="H145" s="58">
        <v>933.64715000000001</v>
      </c>
    </row>
    <row r="146" spans="2:9" ht="25.5" x14ac:dyDescent="0.2">
      <c r="B146" s="52" t="s">
        <v>496</v>
      </c>
      <c r="C146" s="53" t="s">
        <v>517</v>
      </c>
      <c r="D146" s="55">
        <v>1882.78</v>
      </c>
      <c r="E146" s="55">
        <v>137.066384</v>
      </c>
      <c r="F146" s="56">
        <v>34.266601500000007</v>
      </c>
      <c r="G146" s="57">
        <v>2054.1129854999999</v>
      </c>
      <c r="H146" s="58">
        <v>916.65184999999997</v>
      </c>
    </row>
    <row r="147" spans="2:9" x14ac:dyDescent="0.2">
      <c r="B147" s="52"/>
      <c r="C147" s="52"/>
      <c r="D147" s="52"/>
      <c r="E147" s="52"/>
      <c r="F147" s="57"/>
      <c r="G147" s="57"/>
      <c r="H147" s="52"/>
    </row>
    <row r="148" spans="2:9" ht="43.5" customHeight="1" x14ac:dyDescent="0.2">
      <c r="B148" s="105" t="s">
        <v>521</v>
      </c>
      <c r="C148" s="105"/>
      <c r="D148" s="105"/>
      <c r="E148" s="105"/>
      <c r="F148" s="105"/>
      <c r="G148" s="105"/>
      <c r="H148" s="105"/>
    </row>
    <row r="149" spans="2:9" x14ac:dyDescent="0.2">
      <c r="B149" s="41"/>
      <c r="C149" s="41"/>
      <c r="D149" s="41"/>
      <c r="E149" s="41"/>
      <c r="F149" s="41"/>
      <c r="G149" s="41"/>
      <c r="H149" s="41"/>
    </row>
    <row r="150" spans="2:9" x14ac:dyDescent="0.2">
      <c r="B150" s="59" t="s">
        <v>507</v>
      </c>
      <c r="C150" s="41"/>
      <c r="D150" s="41"/>
      <c r="E150" s="41"/>
      <c r="F150" s="41"/>
      <c r="G150" s="41"/>
      <c r="H150" s="41"/>
    </row>
    <row r="151" spans="2:9" x14ac:dyDescent="0.2">
      <c r="B151" s="41"/>
      <c r="C151" s="41"/>
      <c r="D151" s="41"/>
      <c r="E151" s="41"/>
      <c r="F151" s="41"/>
      <c r="G151" s="41"/>
      <c r="H151" s="41"/>
      <c r="I151" s="41"/>
    </row>
    <row r="152" spans="2:9" x14ac:dyDescent="0.2">
      <c r="B152" s="60" t="s">
        <v>508</v>
      </c>
      <c r="C152" s="41"/>
      <c r="D152" s="41"/>
      <c r="E152" s="41"/>
      <c r="F152" s="41"/>
      <c r="G152" s="41"/>
      <c r="H152" s="41"/>
      <c r="I152" s="41"/>
    </row>
    <row r="153" spans="2:9" x14ac:dyDescent="0.2">
      <c r="B153" s="41"/>
      <c r="C153" s="41"/>
      <c r="D153" s="41"/>
      <c r="E153" s="41"/>
      <c r="F153" s="41"/>
      <c r="G153" s="41"/>
      <c r="H153" s="41"/>
      <c r="I153" s="41"/>
    </row>
    <row r="154" spans="2:9" x14ac:dyDescent="0.2">
      <c r="B154" s="60" t="s">
        <v>509</v>
      </c>
      <c r="C154" s="41"/>
      <c r="D154" s="41"/>
      <c r="E154" s="41"/>
      <c r="F154" s="41"/>
      <c r="G154" s="41"/>
      <c r="H154" s="41"/>
      <c r="I154" s="41"/>
    </row>
    <row r="155" spans="2:9" x14ac:dyDescent="0.2">
      <c r="I155" s="41"/>
    </row>
    <row r="156" spans="2:9" x14ac:dyDescent="0.2">
      <c r="I156" s="41"/>
    </row>
    <row r="157" spans="2:9" x14ac:dyDescent="0.2">
      <c r="I157" s="41"/>
    </row>
    <row r="158" spans="2:9" x14ac:dyDescent="0.2">
      <c r="I158" s="41"/>
    </row>
    <row r="159" spans="2:9" x14ac:dyDescent="0.2">
      <c r="I159" s="41"/>
    </row>
    <row r="160" spans="2:9" x14ac:dyDescent="0.2">
      <c r="I160" s="41"/>
    </row>
    <row r="161" spans="9:9" x14ac:dyDescent="0.2">
      <c r="I161" s="41"/>
    </row>
    <row r="162" spans="9:9" x14ac:dyDescent="0.2">
      <c r="I162" s="41"/>
    </row>
    <row r="163" spans="9:9" x14ac:dyDescent="0.2">
      <c r="I163" s="41"/>
    </row>
    <row r="164" spans="9:9" x14ac:dyDescent="0.2">
      <c r="I164" s="41"/>
    </row>
    <row r="165" spans="9:9" x14ac:dyDescent="0.2">
      <c r="I165" s="41"/>
    </row>
    <row r="166" spans="9:9" x14ac:dyDescent="0.2">
      <c r="I166" s="41"/>
    </row>
    <row r="167" spans="9:9" x14ac:dyDescent="0.2">
      <c r="I167" s="41"/>
    </row>
    <row r="168" spans="9:9" x14ac:dyDescent="0.2">
      <c r="I168" s="41"/>
    </row>
    <row r="169" spans="9:9" x14ac:dyDescent="0.2">
      <c r="I169" s="41"/>
    </row>
    <row r="170" spans="9:9" x14ac:dyDescent="0.2">
      <c r="I170" s="41"/>
    </row>
    <row r="171" spans="9:9" x14ac:dyDescent="0.2">
      <c r="I171" s="41"/>
    </row>
    <row r="172" spans="9:9" x14ac:dyDescent="0.2">
      <c r="I172" s="41"/>
    </row>
    <row r="173" spans="9:9" x14ac:dyDescent="0.2">
      <c r="I173" s="41"/>
    </row>
  </sheetData>
  <mergeCells count="36">
    <mergeCell ref="J2:N2"/>
    <mergeCell ref="B129:C129"/>
    <mergeCell ref="B130:C130"/>
    <mergeCell ref="B131:C131"/>
    <mergeCell ref="A1:H1"/>
    <mergeCell ref="A2:H2"/>
    <mergeCell ref="A3:H3"/>
    <mergeCell ref="B127:C127"/>
    <mergeCell ref="B128:C128"/>
    <mergeCell ref="B126:C126"/>
    <mergeCell ref="B99:F99"/>
    <mergeCell ref="B100:F100"/>
    <mergeCell ref="B102:D102"/>
    <mergeCell ref="B103:C103"/>
    <mergeCell ref="B104:C104"/>
    <mergeCell ref="B105:C105"/>
    <mergeCell ref="B124:C124"/>
    <mergeCell ref="B132:H132"/>
    <mergeCell ref="D134:F134"/>
    <mergeCell ref="G134:H134"/>
    <mergeCell ref="D135:F135"/>
    <mergeCell ref="G135:H135"/>
    <mergeCell ref="D136:F136"/>
    <mergeCell ref="G136:H136"/>
    <mergeCell ref="D137:F137"/>
    <mergeCell ref="G137:H137"/>
    <mergeCell ref="D138:F138"/>
    <mergeCell ref="G138:H138"/>
    <mergeCell ref="B148:H148"/>
    <mergeCell ref="D139:F139"/>
    <mergeCell ref="G139:H139"/>
    <mergeCell ref="B140:H140"/>
    <mergeCell ref="B141:B142"/>
    <mergeCell ref="C141:C142"/>
    <mergeCell ref="D141:G141"/>
    <mergeCell ref="H141:H142"/>
  </mergeCells>
  <hyperlinks>
    <hyperlink ref="B152" r:id="rId1" xr:uid="{4F06C39D-BB48-4C66-9ACB-D514F768D40B}"/>
    <hyperlink ref="B154" r:id="rId2" xr:uid="{022FC2D7-4538-4566-87E6-CC643B7BEEC1}"/>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7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89" t="s">
        <v>0</v>
      </c>
      <c r="B1" s="89"/>
      <c r="C1" s="89"/>
      <c r="D1" s="89"/>
      <c r="E1" s="89"/>
      <c r="F1" s="89"/>
      <c r="G1" s="89"/>
      <c r="H1" s="89"/>
    </row>
    <row r="2" spans="1:14" ht="17.100000000000001" customHeight="1" x14ac:dyDescent="0.2">
      <c r="A2" s="89" t="s">
        <v>408</v>
      </c>
      <c r="B2" s="89"/>
      <c r="C2" s="89"/>
      <c r="D2" s="89"/>
      <c r="E2" s="89"/>
      <c r="F2" s="89"/>
      <c r="G2" s="89"/>
      <c r="H2" s="89"/>
      <c r="J2" s="87" t="s">
        <v>555</v>
      </c>
      <c r="K2" s="87"/>
      <c r="L2" s="87"/>
      <c r="M2" s="87"/>
      <c r="N2" s="87"/>
    </row>
    <row r="3" spans="1:14" ht="21" customHeight="1" x14ac:dyDescent="0.2">
      <c r="A3" s="89" t="s">
        <v>550</v>
      </c>
      <c r="B3" s="89"/>
      <c r="C3" s="89"/>
      <c r="D3" s="89"/>
      <c r="E3" s="89"/>
      <c r="F3" s="89"/>
      <c r="G3" s="89"/>
      <c r="H3" s="89"/>
    </row>
    <row r="4" spans="1:14" s="76" customFormat="1" ht="30" x14ac:dyDescent="0.2">
      <c r="A4" s="75" t="s">
        <v>2</v>
      </c>
      <c r="B4" s="75" t="s">
        <v>3</v>
      </c>
      <c r="C4" s="75" t="s">
        <v>4</v>
      </c>
      <c r="D4" s="75" t="s">
        <v>5</v>
      </c>
      <c r="E4" s="75" t="s">
        <v>6</v>
      </c>
      <c r="F4" s="75" t="s">
        <v>7</v>
      </c>
      <c r="G4" s="75" t="s">
        <v>8</v>
      </c>
      <c r="H4" s="71" t="s">
        <v>531</v>
      </c>
      <c r="J4" s="77"/>
      <c r="K4" s="77"/>
      <c r="L4" s="77"/>
      <c r="M4" s="77"/>
      <c r="N4" s="77"/>
    </row>
    <row r="5" spans="1:14" x14ac:dyDescent="0.2">
      <c r="A5" s="1"/>
      <c r="B5" s="1"/>
      <c r="C5" s="2" t="s">
        <v>9</v>
      </c>
      <c r="D5" s="1"/>
      <c r="E5" s="1"/>
      <c r="F5" s="1"/>
      <c r="G5" s="1"/>
      <c r="H5" s="72"/>
    </row>
    <row r="6" spans="1:14" ht="25.5" x14ac:dyDescent="0.2">
      <c r="A6" s="1"/>
      <c r="B6" s="1"/>
      <c r="C6" s="2" t="s">
        <v>10</v>
      </c>
      <c r="D6" s="1"/>
      <c r="E6" s="1"/>
      <c r="F6" s="1"/>
      <c r="G6" s="1"/>
      <c r="H6" s="72"/>
    </row>
    <row r="7" spans="1:14" x14ac:dyDescent="0.2">
      <c r="A7" s="1"/>
      <c r="B7" s="1"/>
      <c r="C7" s="2" t="s">
        <v>11</v>
      </c>
      <c r="D7" s="1"/>
      <c r="E7" s="1" t="s">
        <v>12</v>
      </c>
      <c r="F7" s="3">
        <v>0</v>
      </c>
      <c r="G7" s="4">
        <v>0</v>
      </c>
      <c r="H7" s="72"/>
    </row>
    <row r="8" spans="1:14" x14ac:dyDescent="0.2">
      <c r="A8" s="1"/>
      <c r="B8" s="1"/>
      <c r="C8" s="5"/>
      <c r="D8" s="1"/>
      <c r="E8" s="1"/>
      <c r="F8" s="6"/>
      <c r="G8" s="6"/>
      <c r="H8" s="72"/>
    </row>
    <row r="9" spans="1:14" x14ac:dyDescent="0.2">
      <c r="A9" s="1"/>
      <c r="B9" s="1"/>
      <c r="C9" s="2" t="s">
        <v>13</v>
      </c>
      <c r="D9" s="1"/>
      <c r="E9" s="1"/>
      <c r="F9" s="1"/>
      <c r="G9" s="1"/>
      <c r="H9" s="72"/>
    </row>
    <row r="10" spans="1:14" x14ac:dyDescent="0.2">
      <c r="A10" s="1"/>
      <c r="B10" s="1"/>
      <c r="C10" s="2" t="s">
        <v>11</v>
      </c>
      <c r="D10" s="1"/>
      <c r="E10" s="1" t="s">
        <v>12</v>
      </c>
      <c r="F10" s="3">
        <v>0</v>
      </c>
      <c r="G10" s="4">
        <v>0</v>
      </c>
      <c r="H10" s="72"/>
    </row>
    <row r="11" spans="1:14" x14ac:dyDescent="0.2">
      <c r="A11" s="1"/>
      <c r="B11" s="1"/>
      <c r="C11" s="5"/>
      <c r="D11" s="1"/>
      <c r="E11" s="1"/>
      <c r="F11" s="6"/>
      <c r="G11" s="6"/>
      <c r="H11" s="72"/>
    </row>
    <row r="12" spans="1:14" x14ac:dyDescent="0.2">
      <c r="A12" s="1"/>
      <c r="B12" s="1"/>
      <c r="C12" s="2" t="s">
        <v>14</v>
      </c>
      <c r="D12" s="1"/>
      <c r="E12" s="1"/>
      <c r="F12" s="1"/>
      <c r="G12" s="1"/>
      <c r="H12" s="72"/>
    </row>
    <row r="13" spans="1:14" x14ac:dyDescent="0.2">
      <c r="A13" s="1"/>
      <c r="B13" s="1"/>
      <c r="C13" s="2" t="s">
        <v>11</v>
      </c>
      <c r="D13" s="1"/>
      <c r="E13" s="1" t="s">
        <v>12</v>
      </c>
      <c r="F13" s="3">
        <v>0</v>
      </c>
      <c r="G13" s="4">
        <v>0</v>
      </c>
      <c r="H13" s="72"/>
    </row>
    <row r="14" spans="1:14" x14ac:dyDescent="0.2">
      <c r="A14" s="1"/>
      <c r="B14" s="1"/>
      <c r="C14" s="5"/>
      <c r="D14" s="1"/>
      <c r="E14" s="1"/>
      <c r="F14" s="6"/>
      <c r="G14" s="6"/>
      <c r="H14" s="72"/>
    </row>
    <row r="15" spans="1:14" x14ac:dyDescent="0.2">
      <c r="A15" s="1"/>
      <c r="B15" s="1"/>
      <c r="C15" s="2" t="s">
        <v>15</v>
      </c>
      <c r="D15" s="1"/>
      <c r="E15" s="1"/>
      <c r="F15" s="1"/>
      <c r="G15" s="1"/>
      <c r="H15" s="72"/>
    </row>
    <row r="16" spans="1:14" ht="15" x14ac:dyDescent="0.25">
      <c r="A16" s="1"/>
      <c r="B16" s="1"/>
      <c r="C16" s="2" t="s">
        <v>11</v>
      </c>
      <c r="D16" s="1"/>
      <c r="E16" s="1" t="s">
        <v>12</v>
      </c>
      <c r="F16" s="3">
        <v>0</v>
      </c>
      <c r="G16" s="4">
        <v>0</v>
      </c>
      <c r="H16" s="72"/>
      <c r="J16" s="79" t="s">
        <v>572</v>
      </c>
      <c r="K16" s="82"/>
      <c r="L16" s="82"/>
      <c r="M16" s="82"/>
      <c r="N16" s="82"/>
    </row>
    <row r="17" spans="1:14" x14ac:dyDescent="0.2">
      <c r="A17" s="1"/>
      <c r="B17" s="1"/>
      <c r="C17" s="5"/>
      <c r="D17" s="1"/>
      <c r="E17" s="1"/>
      <c r="F17" s="6"/>
      <c r="G17" s="6"/>
      <c r="H17" s="72"/>
    </row>
    <row r="18" spans="1:14" x14ac:dyDescent="0.2">
      <c r="A18" s="1"/>
      <c r="B18" s="1"/>
      <c r="C18" s="2" t="s">
        <v>16</v>
      </c>
      <c r="D18" s="1"/>
      <c r="E18" s="1"/>
      <c r="F18" s="6"/>
      <c r="G18" s="6"/>
      <c r="H18" s="72"/>
    </row>
    <row r="19" spans="1:14" x14ac:dyDescent="0.2">
      <c r="A19" s="1"/>
      <c r="B19" s="1"/>
      <c r="C19" s="2" t="s">
        <v>11</v>
      </c>
      <c r="D19" s="1"/>
      <c r="E19" s="1" t="s">
        <v>12</v>
      </c>
      <c r="F19" s="3">
        <v>0</v>
      </c>
      <c r="G19" s="4">
        <v>0</v>
      </c>
      <c r="H19" s="72"/>
    </row>
    <row r="20" spans="1:14" x14ac:dyDescent="0.2">
      <c r="A20" s="1"/>
      <c r="B20" s="1"/>
      <c r="C20" s="5"/>
      <c r="D20" s="1"/>
      <c r="E20" s="1"/>
      <c r="F20" s="6"/>
      <c r="G20" s="6"/>
      <c r="H20" s="72"/>
    </row>
    <row r="21" spans="1:14" x14ac:dyDescent="0.2">
      <c r="A21" s="1"/>
      <c r="B21" s="1"/>
      <c r="C21" s="2" t="s">
        <v>17</v>
      </c>
      <c r="D21" s="1"/>
      <c r="E21" s="1"/>
      <c r="F21" s="6"/>
      <c r="G21" s="6"/>
      <c r="H21" s="72"/>
    </row>
    <row r="22" spans="1:14" x14ac:dyDescent="0.2">
      <c r="A22" s="1"/>
      <c r="B22" s="1"/>
      <c r="C22" s="2" t="s">
        <v>11</v>
      </c>
      <c r="D22" s="1"/>
      <c r="E22" s="1" t="s">
        <v>12</v>
      </c>
      <c r="F22" s="3">
        <v>0</v>
      </c>
      <c r="G22" s="4">
        <v>0</v>
      </c>
      <c r="H22" s="72"/>
    </row>
    <row r="23" spans="1:14" x14ac:dyDescent="0.2">
      <c r="A23" s="1"/>
      <c r="B23" s="1"/>
      <c r="C23" s="5"/>
      <c r="D23" s="1"/>
      <c r="E23" s="1"/>
      <c r="F23" s="6"/>
      <c r="G23" s="6"/>
      <c r="H23" s="72"/>
    </row>
    <row r="24" spans="1:14" x14ac:dyDescent="0.2">
      <c r="A24" s="1"/>
      <c r="B24" s="1"/>
      <c r="C24" s="2" t="s">
        <v>18</v>
      </c>
      <c r="D24" s="1"/>
      <c r="E24" s="1"/>
      <c r="F24" s="7">
        <v>0</v>
      </c>
      <c r="G24" s="8">
        <v>0</v>
      </c>
      <c r="H24" s="72"/>
    </row>
    <row r="25" spans="1:14" x14ac:dyDescent="0.2">
      <c r="A25" s="1"/>
      <c r="B25" s="1"/>
      <c r="C25" s="5"/>
      <c r="D25" s="1"/>
      <c r="E25" s="1"/>
      <c r="F25" s="6"/>
      <c r="G25" s="6"/>
      <c r="H25" s="72"/>
    </row>
    <row r="26" spans="1:14" x14ac:dyDescent="0.2">
      <c r="A26" s="1"/>
      <c r="B26" s="1"/>
      <c r="C26" s="2" t="s">
        <v>19</v>
      </c>
      <c r="D26" s="1"/>
      <c r="E26" s="1"/>
      <c r="F26" s="6"/>
      <c r="G26" s="6"/>
      <c r="H26" s="72"/>
    </row>
    <row r="27" spans="1:14" ht="25.5" x14ac:dyDescent="0.2">
      <c r="A27" s="1"/>
      <c r="B27" s="1"/>
      <c r="C27" s="2" t="s">
        <v>10</v>
      </c>
      <c r="D27" s="1"/>
      <c r="E27" s="1"/>
      <c r="F27" s="6"/>
      <c r="G27" s="6"/>
      <c r="H27" s="72"/>
    </row>
    <row r="28" spans="1:14" ht="25.5" x14ac:dyDescent="0.2">
      <c r="A28" s="9">
        <v>1</v>
      </c>
      <c r="B28" s="10" t="s">
        <v>271</v>
      </c>
      <c r="C28" s="10" t="s">
        <v>272</v>
      </c>
      <c r="D28" s="10" t="s">
        <v>22</v>
      </c>
      <c r="E28" s="11">
        <v>750</v>
      </c>
      <c r="F28" s="12">
        <v>7489.5524999999998</v>
      </c>
      <c r="G28" s="13">
        <v>6.4039317999999998E-2</v>
      </c>
      <c r="H28" s="72">
        <v>5.28</v>
      </c>
    </row>
    <row r="29" spans="1:14" ht="25.5" x14ac:dyDescent="0.25">
      <c r="A29" s="9">
        <v>2</v>
      </c>
      <c r="B29" s="10" t="s">
        <v>277</v>
      </c>
      <c r="C29" s="10" t="s">
        <v>278</v>
      </c>
      <c r="D29" s="10" t="s">
        <v>273</v>
      </c>
      <c r="E29" s="11">
        <v>500</v>
      </c>
      <c r="F29" s="12">
        <v>4960.4949999999999</v>
      </c>
      <c r="G29" s="13">
        <v>4.2414646E-2</v>
      </c>
      <c r="H29" s="72">
        <v>6.32</v>
      </c>
      <c r="J29" s="79" t="s">
        <v>562</v>
      </c>
      <c r="K29" s="82"/>
      <c r="L29" s="82"/>
      <c r="M29" s="82"/>
      <c r="N29" s="82"/>
    </row>
    <row r="30" spans="1:14" ht="25.5" x14ac:dyDescent="0.2">
      <c r="A30" s="9">
        <v>3</v>
      </c>
      <c r="B30" s="10" t="s">
        <v>303</v>
      </c>
      <c r="C30" s="10" t="s">
        <v>304</v>
      </c>
      <c r="D30" s="10" t="s">
        <v>27</v>
      </c>
      <c r="E30" s="11">
        <v>250</v>
      </c>
      <c r="F30" s="12">
        <v>2503.7424999999998</v>
      </c>
      <c r="G30" s="13">
        <v>2.1408217E-2</v>
      </c>
      <c r="H30" s="72">
        <v>4.8</v>
      </c>
    </row>
    <row r="31" spans="1:14" ht="25.5" x14ac:dyDescent="0.2">
      <c r="A31" s="9">
        <v>4</v>
      </c>
      <c r="B31" s="10" t="s">
        <v>20</v>
      </c>
      <c r="C31" s="10" t="s">
        <v>21</v>
      </c>
      <c r="D31" s="10" t="s">
        <v>22</v>
      </c>
      <c r="E31" s="11">
        <v>250</v>
      </c>
      <c r="F31" s="12">
        <v>2501.8474999999999</v>
      </c>
      <c r="G31" s="13">
        <v>2.1392013000000001E-2</v>
      </c>
      <c r="H31" s="72">
        <v>6.36</v>
      </c>
    </row>
    <row r="32" spans="1:14" ht="25.5" x14ac:dyDescent="0.2">
      <c r="A32" s="9">
        <v>5</v>
      </c>
      <c r="B32" s="10" t="s">
        <v>34</v>
      </c>
      <c r="C32" s="10" t="s">
        <v>35</v>
      </c>
      <c r="D32" s="10" t="s">
        <v>27</v>
      </c>
      <c r="E32" s="11">
        <v>250</v>
      </c>
      <c r="F32" s="12">
        <v>2487.0774999999999</v>
      </c>
      <c r="G32" s="13">
        <v>2.1265723E-2</v>
      </c>
      <c r="H32" s="72">
        <v>6.46</v>
      </c>
    </row>
    <row r="33" spans="1:8" ht="25.5" x14ac:dyDescent="0.2">
      <c r="A33" s="9">
        <v>6</v>
      </c>
      <c r="B33" s="10" t="s">
        <v>329</v>
      </c>
      <c r="C33" s="10" t="s">
        <v>330</v>
      </c>
      <c r="D33" s="10" t="s">
        <v>27</v>
      </c>
      <c r="E33" s="11">
        <v>250</v>
      </c>
      <c r="F33" s="12">
        <v>2477.3225000000002</v>
      </c>
      <c r="G33" s="13">
        <v>2.1182313000000001E-2</v>
      </c>
      <c r="H33" s="72">
        <v>7.41</v>
      </c>
    </row>
    <row r="34" spans="1:8" ht="25.5" x14ac:dyDescent="0.2">
      <c r="A34" s="9">
        <v>7</v>
      </c>
      <c r="B34" s="10" t="s">
        <v>409</v>
      </c>
      <c r="C34" s="10" t="s">
        <v>410</v>
      </c>
      <c r="D34" s="10" t="s">
        <v>27</v>
      </c>
      <c r="E34" s="11">
        <v>100</v>
      </c>
      <c r="F34" s="12">
        <v>1006.365</v>
      </c>
      <c r="G34" s="13">
        <v>8.6049100000000003E-3</v>
      </c>
      <c r="H34" s="72">
        <v>5.05</v>
      </c>
    </row>
    <row r="35" spans="1:8" ht="25.5" x14ac:dyDescent="0.2">
      <c r="A35" s="9">
        <v>8</v>
      </c>
      <c r="B35" s="10" t="s">
        <v>411</v>
      </c>
      <c r="C35" s="10" t="s">
        <v>412</v>
      </c>
      <c r="D35" s="10" t="s">
        <v>27</v>
      </c>
      <c r="E35" s="11">
        <v>55</v>
      </c>
      <c r="F35" s="12">
        <v>695.11474999999996</v>
      </c>
      <c r="G35" s="13">
        <v>5.9435690000000001E-3</v>
      </c>
      <c r="H35" s="72">
        <v>5.5949999999999998</v>
      </c>
    </row>
    <row r="36" spans="1:8" ht="25.5" x14ac:dyDescent="0.2">
      <c r="A36" s="9">
        <v>9</v>
      </c>
      <c r="B36" s="10" t="s">
        <v>413</v>
      </c>
      <c r="C36" s="10" t="s">
        <v>414</v>
      </c>
      <c r="D36" s="10" t="s">
        <v>27</v>
      </c>
      <c r="E36" s="11">
        <v>50</v>
      </c>
      <c r="F36" s="12">
        <v>501.6225</v>
      </c>
      <c r="G36" s="13">
        <v>4.2891159999999999E-3</v>
      </c>
      <c r="H36" s="72">
        <v>5.05</v>
      </c>
    </row>
    <row r="37" spans="1:8" ht="25.5" x14ac:dyDescent="0.2">
      <c r="A37" s="9">
        <v>10</v>
      </c>
      <c r="B37" s="10" t="s">
        <v>287</v>
      </c>
      <c r="C37" s="10" t="s">
        <v>288</v>
      </c>
      <c r="D37" s="10" t="s">
        <v>273</v>
      </c>
      <c r="E37" s="11">
        <v>50</v>
      </c>
      <c r="F37" s="12">
        <v>501.56450000000001</v>
      </c>
      <c r="G37" s="13">
        <v>4.2886210000000003E-3</v>
      </c>
      <c r="H37" s="72">
        <v>5.01</v>
      </c>
    </row>
    <row r="38" spans="1:8" x14ac:dyDescent="0.2">
      <c r="A38" s="1"/>
      <c r="B38" s="1"/>
      <c r="C38" s="2" t="s">
        <v>11</v>
      </c>
      <c r="D38" s="1"/>
      <c r="E38" s="1" t="s">
        <v>12</v>
      </c>
      <c r="F38" s="7">
        <v>25124.704249999999</v>
      </c>
      <c r="G38" s="8">
        <v>0.21482844600000001</v>
      </c>
      <c r="H38" s="72"/>
    </row>
    <row r="39" spans="1:8" x14ac:dyDescent="0.2">
      <c r="A39" s="1"/>
      <c r="B39" s="1"/>
      <c r="C39" s="5"/>
      <c r="D39" s="1"/>
      <c r="E39" s="1"/>
      <c r="F39" s="6"/>
      <c r="G39" s="6"/>
      <c r="H39" s="72"/>
    </row>
    <row r="40" spans="1:8" x14ac:dyDescent="0.2">
      <c r="A40" s="1"/>
      <c r="B40" s="1"/>
      <c r="C40" s="2" t="s">
        <v>97</v>
      </c>
      <c r="D40" s="1"/>
      <c r="E40" s="1"/>
      <c r="F40" s="1"/>
      <c r="G40" s="1"/>
      <c r="H40" s="72"/>
    </row>
    <row r="41" spans="1:8" x14ac:dyDescent="0.2">
      <c r="A41" s="1"/>
      <c r="B41" s="1"/>
      <c r="C41" s="2" t="s">
        <v>11</v>
      </c>
      <c r="D41" s="1"/>
      <c r="E41" s="1" t="s">
        <v>12</v>
      </c>
      <c r="F41" s="3">
        <v>0</v>
      </c>
      <c r="G41" s="4">
        <v>0</v>
      </c>
      <c r="H41" s="72"/>
    </row>
    <row r="42" spans="1:8" x14ac:dyDescent="0.2">
      <c r="A42" s="1"/>
      <c r="B42" s="1"/>
      <c r="C42" s="5"/>
      <c r="D42" s="1"/>
      <c r="E42" s="1"/>
      <c r="F42" s="6"/>
      <c r="G42" s="6"/>
      <c r="H42" s="72"/>
    </row>
    <row r="43" spans="1:8" x14ac:dyDescent="0.2">
      <c r="A43" s="1"/>
      <c r="B43" s="1"/>
      <c r="C43" s="2" t="s">
        <v>98</v>
      </c>
      <c r="D43" s="1"/>
      <c r="E43" s="1"/>
      <c r="F43" s="1"/>
      <c r="G43" s="1"/>
      <c r="H43" s="72"/>
    </row>
    <row r="44" spans="1:8" ht="25.5" x14ac:dyDescent="0.2">
      <c r="A44" s="9">
        <v>1</v>
      </c>
      <c r="B44" s="10" t="s">
        <v>293</v>
      </c>
      <c r="C44" s="10" t="s">
        <v>294</v>
      </c>
      <c r="D44" s="10" t="s">
        <v>101</v>
      </c>
      <c r="E44" s="11">
        <v>300000</v>
      </c>
      <c r="F44" s="12">
        <v>302.53980000000001</v>
      </c>
      <c r="G44" s="13">
        <v>2.5868620000000001E-3</v>
      </c>
      <c r="H44" s="72">
        <v>5.2103999999999999</v>
      </c>
    </row>
    <row r="45" spans="1:8" ht="25.5" x14ac:dyDescent="0.2">
      <c r="A45" s="9">
        <v>2</v>
      </c>
      <c r="B45" s="10" t="s">
        <v>339</v>
      </c>
      <c r="C45" s="10" t="s">
        <v>340</v>
      </c>
      <c r="D45" s="10" t="s">
        <v>101</v>
      </c>
      <c r="E45" s="11">
        <v>300000</v>
      </c>
      <c r="F45" s="12">
        <v>302.48520000000002</v>
      </c>
      <c r="G45" s="13">
        <v>2.5863959999999999E-3</v>
      </c>
      <c r="H45" s="72">
        <v>5.0701999999999998</v>
      </c>
    </row>
    <row r="46" spans="1:8" ht="25.5" x14ac:dyDescent="0.2">
      <c r="A46" s="9">
        <v>3</v>
      </c>
      <c r="B46" s="10" t="s">
        <v>315</v>
      </c>
      <c r="C46" s="10" t="s">
        <v>316</v>
      </c>
      <c r="D46" s="10" t="s">
        <v>101</v>
      </c>
      <c r="E46" s="11">
        <v>200000</v>
      </c>
      <c r="F46" s="12">
        <v>200.20959999999999</v>
      </c>
      <c r="G46" s="13">
        <v>1.7118890000000001E-3</v>
      </c>
      <c r="H46" s="72">
        <v>4.2691999999999997</v>
      </c>
    </row>
    <row r="47" spans="1:8" ht="25.5" x14ac:dyDescent="0.2">
      <c r="A47" s="9">
        <v>4</v>
      </c>
      <c r="B47" s="10" t="s">
        <v>313</v>
      </c>
      <c r="C47" s="10" t="s">
        <v>314</v>
      </c>
      <c r="D47" s="10" t="s">
        <v>101</v>
      </c>
      <c r="E47" s="11">
        <v>100000</v>
      </c>
      <c r="F47" s="12">
        <v>100.49379999999999</v>
      </c>
      <c r="G47" s="13">
        <v>8.5927099999999999E-4</v>
      </c>
      <c r="H47" s="72">
        <v>5.3760000000000003</v>
      </c>
    </row>
    <row r="48" spans="1:8" x14ac:dyDescent="0.2">
      <c r="A48" s="1"/>
      <c r="B48" s="1"/>
      <c r="C48" s="2" t="s">
        <v>11</v>
      </c>
      <c r="D48" s="1"/>
      <c r="E48" s="1" t="s">
        <v>12</v>
      </c>
      <c r="F48" s="7">
        <v>905.72839999999997</v>
      </c>
      <c r="G48" s="8">
        <v>7.7444180000000003E-3</v>
      </c>
      <c r="H48" s="72"/>
    </row>
    <row r="49" spans="1:8" x14ac:dyDescent="0.2">
      <c r="A49" s="1"/>
      <c r="B49" s="1"/>
      <c r="C49" s="5"/>
      <c r="D49" s="1"/>
      <c r="E49" s="1"/>
      <c r="F49" s="6"/>
      <c r="G49" s="6"/>
      <c r="H49" s="72"/>
    </row>
    <row r="50" spans="1:8" x14ac:dyDescent="0.2">
      <c r="A50" s="1"/>
      <c r="B50" s="1"/>
      <c r="C50" s="2" t="s">
        <v>108</v>
      </c>
      <c r="D50" s="1"/>
      <c r="E50" s="1"/>
      <c r="F50" s="6"/>
      <c r="G50" s="6"/>
      <c r="H50" s="72"/>
    </row>
    <row r="51" spans="1:8" x14ac:dyDescent="0.2">
      <c r="A51" s="1"/>
      <c r="B51" s="1"/>
      <c r="C51" s="2" t="s">
        <v>11</v>
      </c>
      <c r="D51" s="1"/>
      <c r="E51" s="1" t="s">
        <v>12</v>
      </c>
      <c r="F51" s="3">
        <v>0</v>
      </c>
      <c r="G51" s="4">
        <v>0</v>
      </c>
      <c r="H51" s="72"/>
    </row>
    <row r="52" spans="1:8" x14ac:dyDescent="0.2">
      <c r="A52" s="1"/>
      <c r="B52" s="1"/>
      <c r="C52" s="5"/>
      <c r="D52" s="1"/>
      <c r="E52" s="1"/>
      <c r="F52" s="6"/>
      <c r="G52" s="6"/>
      <c r="H52" s="72"/>
    </row>
    <row r="53" spans="1:8" x14ac:dyDescent="0.2">
      <c r="A53" s="1"/>
      <c r="B53" s="1"/>
      <c r="C53" s="2" t="s">
        <v>109</v>
      </c>
      <c r="D53" s="1"/>
      <c r="E53" s="1"/>
      <c r="F53" s="7">
        <v>26030.432649999999</v>
      </c>
      <c r="G53" s="8">
        <v>0.22257286400000001</v>
      </c>
      <c r="H53" s="72"/>
    </row>
    <row r="54" spans="1:8" x14ac:dyDescent="0.2">
      <c r="A54" s="1"/>
      <c r="B54" s="1"/>
      <c r="C54" s="5"/>
      <c r="D54" s="1"/>
      <c r="E54" s="1"/>
      <c r="F54" s="6"/>
      <c r="G54" s="6"/>
      <c r="H54" s="72"/>
    </row>
    <row r="55" spans="1:8" x14ac:dyDescent="0.2">
      <c r="A55" s="1"/>
      <c r="B55" s="1"/>
      <c r="C55" s="2" t="s">
        <v>110</v>
      </c>
      <c r="D55" s="1"/>
      <c r="E55" s="1"/>
      <c r="F55" s="6"/>
      <c r="G55" s="6"/>
      <c r="H55" s="72"/>
    </row>
    <row r="56" spans="1:8" x14ac:dyDescent="0.2">
      <c r="A56" s="1"/>
      <c r="B56" s="1"/>
      <c r="C56" s="2" t="s">
        <v>111</v>
      </c>
      <c r="D56" s="1"/>
      <c r="E56" s="1"/>
      <c r="F56" s="6"/>
      <c r="G56" s="6"/>
      <c r="H56" s="72"/>
    </row>
    <row r="57" spans="1:8" x14ac:dyDescent="0.2">
      <c r="A57" s="9">
        <v>1</v>
      </c>
      <c r="B57" s="10" t="s">
        <v>343</v>
      </c>
      <c r="C57" s="10" t="s">
        <v>344</v>
      </c>
      <c r="D57" s="10" t="s">
        <v>114</v>
      </c>
      <c r="E57" s="11">
        <v>1500</v>
      </c>
      <c r="F57" s="12">
        <v>7420.56</v>
      </c>
      <c r="G57" s="13">
        <v>6.3449399000000004E-2</v>
      </c>
      <c r="H57" s="72">
        <v>5.0750000000000002</v>
      </c>
    </row>
    <row r="58" spans="1:8" x14ac:dyDescent="0.2">
      <c r="A58" s="9">
        <v>2</v>
      </c>
      <c r="B58" s="10" t="s">
        <v>118</v>
      </c>
      <c r="C58" s="10" t="s">
        <v>119</v>
      </c>
      <c r="D58" s="10" t="s">
        <v>117</v>
      </c>
      <c r="E58" s="11">
        <v>1500</v>
      </c>
      <c r="F58" s="12">
        <v>7415.9549999999999</v>
      </c>
      <c r="G58" s="13">
        <v>6.3410023999999995E-2</v>
      </c>
      <c r="H58" s="72">
        <v>5.0448000000000004</v>
      </c>
    </row>
    <row r="59" spans="1:8" x14ac:dyDescent="0.2">
      <c r="A59" s="9">
        <v>3</v>
      </c>
      <c r="B59" s="10" t="s">
        <v>415</v>
      </c>
      <c r="C59" s="10" t="s">
        <v>416</v>
      </c>
      <c r="D59" s="10" t="s">
        <v>114</v>
      </c>
      <c r="E59" s="11">
        <v>1000</v>
      </c>
      <c r="F59" s="12">
        <v>4982.4949999999999</v>
      </c>
      <c r="G59" s="13">
        <v>4.2602756999999998E-2</v>
      </c>
      <c r="H59" s="72">
        <v>4.5797999999999996</v>
      </c>
    </row>
    <row r="60" spans="1:8" x14ac:dyDescent="0.2">
      <c r="A60" s="9">
        <v>4</v>
      </c>
      <c r="B60" s="10" t="s">
        <v>297</v>
      </c>
      <c r="C60" s="10" t="s">
        <v>298</v>
      </c>
      <c r="D60" s="10" t="s">
        <v>117</v>
      </c>
      <c r="E60" s="11">
        <v>500</v>
      </c>
      <c r="F60" s="12">
        <v>2495.3325</v>
      </c>
      <c r="G60" s="13">
        <v>2.1336306999999999E-2</v>
      </c>
      <c r="H60" s="72">
        <v>4.5510000000000002</v>
      </c>
    </row>
    <row r="61" spans="1:8" x14ac:dyDescent="0.2">
      <c r="A61" s="9">
        <v>5</v>
      </c>
      <c r="B61" s="10" t="s">
        <v>345</v>
      </c>
      <c r="C61" s="10" t="s">
        <v>346</v>
      </c>
      <c r="D61" s="10" t="s">
        <v>117</v>
      </c>
      <c r="E61" s="11">
        <v>500</v>
      </c>
      <c r="F61" s="12">
        <v>2450.7424999999998</v>
      </c>
      <c r="G61" s="13">
        <v>2.0955041000000001E-2</v>
      </c>
      <c r="H61" s="72">
        <v>5.6</v>
      </c>
    </row>
    <row r="62" spans="1:8" x14ac:dyDescent="0.2">
      <c r="A62" s="1"/>
      <c r="B62" s="1"/>
      <c r="C62" s="2" t="s">
        <v>11</v>
      </c>
      <c r="D62" s="1"/>
      <c r="E62" s="1" t="s">
        <v>12</v>
      </c>
      <c r="F62" s="7">
        <v>24765.084999999999</v>
      </c>
      <c r="G62" s="8">
        <v>0.211753528</v>
      </c>
      <c r="H62" s="72"/>
    </row>
    <row r="63" spans="1:8" x14ac:dyDescent="0.2">
      <c r="A63" s="1"/>
      <c r="B63" s="1"/>
      <c r="C63" s="5"/>
      <c r="D63" s="1"/>
      <c r="E63" s="1"/>
      <c r="F63" s="6"/>
      <c r="G63" s="6"/>
      <c r="H63" s="72"/>
    </row>
    <row r="64" spans="1:8" x14ac:dyDescent="0.2">
      <c r="A64" s="1"/>
      <c r="B64" s="1"/>
      <c r="C64" s="2" t="s">
        <v>120</v>
      </c>
      <c r="D64" s="1"/>
      <c r="E64" s="1"/>
      <c r="F64" s="6"/>
      <c r="G64" s="6"/>
      <c r="H64" s="72"/>
    </row>
    <row r="65" spans="1:8" ht="25.5" x14ac:dyDescent="0.2">
      <c r="A65" s="9">
        <v>1</v>
      </c>
      <c r="B65" s="10" t="s">
        <v>349</v>
      </c>
      <c r="C65" s="10" t="s">
        <v>350</v>
      </c>
      <c r="D65" s="10" t="s">
        <v>117</v>
      </c>
      <c r="E65" s="11">
        <v>1000</v>
      </c>
      <c r="F65" s="12">
        <v>4987.5450000000001</v>
      </c>
      <c r="G65" s="13">
        <v>4.2645936000000002E-2</v>
      </c>
      <c r="H65" s="72">
        <v>4.7968999999999999</v>
      </c>
    </row>
    <row r="66" spans="1:8" ht="25.5" x14ac:dyDescent="0.2">
      <c r="A66" s="9">
        <v>2</v>
      </c>
      <c r="B66" s="10" t="s">
        <v>299</v>
      </c>
      <c r="C66" s="10" t="s">
        <v>300</v>
      </c>
      <c r="D66" s="10" t="s">
        <v>117</v>
      </c>
      <c r="E66" s="11">
        <v>1000</v>
      </c>
      <c r="F66" s="12">
        <v>4913.51</v>
      </c>
      <c r="G66" s="13">
        <v>4.2012900999999998E-2</v>
      </c>
      <c r="H66" s="72">
        <v>5.31</v>
      </c>
    </row>
    <row r="67" spans="1:8" x14ac:dyDescent="0.2">
      <c r="A67" s="9">
        <v>3</v>
      </c>
      <c r="B67" s="10" t="s">
        <v>362</v>
      </c>
      <c r="C67" s="10" t="s">
        <v>460</v>
      </c>
      <c r="D67" s="10" t="s">
        <v>117</v>
      </c>
      <c r="E67" s="11">
        <v>500</v>
      </c>
      <c r="F67" s="12">
        <v>2499.6350000000002</v>
      </c>
      <c r="G67" s="13">
        <v>2.1373095000000002E-2</v>
      </c>
      <c r="H67" s="72">
        <v>5.3475000000000001</v>
      </c>
    </row>
    <row r="68" spans="1:8" x14ac:dyDescent="0.2">
      <c r="A68" s="9">
        <v>4</v>
      </c>
      <c r="B68" s="10" t="s">
        <v>417</v>
      </c>
      <c r="C68" s="10" t="s">
        <v>418</v>
      </c>
      <c r="D68" s="10" t="s">
        <v>353</v>
      </c>
      <c r="E68" s="11">
        <v>500</v>
      </c>
      <c r="F68" s="12">
        <v>2490.8200000000002</v>
      </c>
      <c r="G68" s="13">
        <v>2.1297723000000001E-2</v>
      </c>
      <c r="H68" s="72">
        <v>5.1749999999999998</v>
      </c>
    </row>
    <row r="69" spans="1:8" ht="25.5" x14ac:dyDescent="0.2">
      <c r="A69" s="9">
        <v>5</v>
      </c>
      <c r="B69" s="10" t="s">
        <v>419</v>
      </c>
      <c r="C69" s="10" t="s">
        <v>420</v>
      </c>
      <c r="D69" s="10" t="s">
        <v>117</v>
      </c>
      <c r="E69" s="11">
        <v>500</v>
      </c>
      <c r="F69" s="12">
        <v>2478.1925000000001</v>
      </c>
      <c r="G69" s="13">
        <v>2.1189751999999999E-2</v>
      </c>
      <c r="H69" s="72">
        <v>5.6349999999999998</v>
      </c>
    </row>
    <row r="70" spans="1:8" ht="25.5" x14ac:dyDescent="0.2">
      <c r="A70" s="9">
        <v>6</v>
      </c>
      <c r="B70" s="10" t="s">
        <v>421</v>
      </c>
      <c r="C70" s="10" t="s">
        <v>422</v>
      </c>
      <c r="D70" s="10" t="s">
        <v>117</v>
      </c>
      <c r="E70" s="11">
        <v>500</v>
      </c>
      <c r="F70" s="12">
        <v>2472.6149999999998</v>
      </c>
      <c r="G70" s="13">
        <v>2.1142061E-2</v>
      </c>
      <c r="H70" s="72">
        <v>5.25</v>
      </c>
    </row>
    <row r="71" spans="1:8" ht="25.5" x14ac:dyDescent="0.2">
      <c r="A71" s="9">
        <v>7</v>
      </c>
      <c r="B71" s="10" t="s">
        <v>423</v>
      </c>
      <c r="C71" s="10" t="s">
        <v>424</v>
      </c>
      <c r="D71" s="10" t="s">
        <v>117</v>
      </c>
      <c r="E71" s="11">
        <v>500</v>
      </c>
      <c r="F71" s="12">
        <v>2464.6950000000002</v>
      </c>
      <c r="G71" s="13">
        <v>2.1074341E-2</v>
      </c>
      <c r="H71" s="72">
        <v>5.335</v>
      </c>
    </row>
    <row r="72" spans="1:8" x14ac:dyDescent="0.2">
      <c r="A72" s="9">
        <v>8</v>
      </c>
      <c r="B72" s="10" t="s">
        <v>425</v>
      </c>
      <c r="C72" s="10" t="s">
        <v>426</v>
      </c>
      <c r="D72" s="10" t="s">
        <v>117</v>
      </c>
      <c r="E72" s="11">
        <v>500</v>
      </c>
      <c r="F72" s="12">
        <v>2459.1875</v>
      </c>
      <c r="G72" s="13">
        <v>2.1027250000000001E-2</v>
      </c>
      <c r="H72" s="72">
        <v>6.31</v>
      </c>
    </row>
    <row r="73" spans="1:8" ht="25.5" x14ac:dyDescent="0.2">
      <c r="A73" s="9">
        <v>9</v>
      </c>
      <c r="B73" s="10" t="s">
        <v>427</v>
      </c>
      <c r="C73" s="10" t="s">
        <v>428</v>
      </c>
      <c r="D73" s="10" t="s">
        <v>117</v>
      </c>
      <c r="E73" s="11">
        <v>500</v>
      </c>
      <c r="F73" s="12">
        <v>2459.1875</v>
      </c>
      <c r="G73" s="13">
        <v>2.1027250000000001E-2</v>
      </c>
      <c r="H73" s="72">
        <v>6.31</v>
      </c>
    </row>
    <row r="74" spans="1:8" ht="25.5" x14ac:dyDescent="0.2">
      <c r="A74" s="9">
        <v>10</v>
      </c>
      <c r="B74" s="10" t="s">
        <v>360</v>
      </c>
      <c r="C74" s="10" t="s">
        <v>361</v>
      </c>
      <c r="D74" s="10" t="s">
        <v>117</v>
      </c>
      <c r="E74" s="11">
        <v>500</v>
      </c>
      <c r="F74" s="12">
        <v>2454.5925000000002</v>
      </c>
      <c r="G74" s="13">
        <v>2.098796E-2</v>
      </c>
      <c r="H74" s="72">
        <v>6.37</v>
      </c>
    </row>
    <row r="75" spans="1:8" ht="25.5" x14ac:dyDescent="0.2">
      <c r="A75" s="9">
        <v>11</v>
      </c>
      <c r="B75" s="10" t="s">
        <v>429</v>
      </c>
      <c r="C75" s="10" t="s">
        <v>430</v>
      </c>
      <c r="D75" s="10" t="s">
        <v>117</v>
      </c>
      <c r="E75" s="11">
        <v>500</v>
      </c>
      <c r="F75" s="12">
        <v>2442.5574999999999</v>
      </c>
      <c r="G75" s="13">
        <v>2.0885055E-2</v>
      </c>
      <c r="H75" s="72">
        <v>5.8000999999999996</v>
      </c>
    </row>
    <row r="76" spans="1:8" ht="25.5" x14ac:dyDescent="0.2">
      <c r="A76" s="9">
        <v>12</v>
      </c>
      <c r="B76" s="10" t="s">
        <v>358</v>
      </c>
      <c r="C76" s="10" t="s">
        <v>359</v>
      </c>
      <c r="D76" s="10" t="s">
        <v>117</v>
      </c>
      <c r="E76" s="11">
        <v>500</v>
      </c>
      <c r="F76" s="12">
        <v>2396.1475</v>
      </c>
      <c r="G76" s="13">
        <v>2.0488227000000001E-2</v>
      </c>
      <c r="H76" s="72">
        <v>6.6749999999999998</v>
      </c>
    </row>
    <row r="77" spans="1:8" ht="25.5" x14ac:dyDescent="0.2">
      <c r="A77" s="9">
        <v>13</v>
      </c>
      <c r="B77" s="10" t="s">
        <v>363</v>
      </c>
      <c r="C77" s="10" t="s">
        <v>364</v>
      </c>
      <c r="D77" s="10" t="s">
        <v>117</v>
      </c>
      <c r="E77" s="11">
        <v>400</v>
      </c>
      <c r="F77" s="12">
        <v>1937.336</v>
      </c>
      <c r="G77" s="13">
        <v>1.6565165E-2</v>
      </c>
      <c r="H77" s="72">
        <v>6.67</v>
      </c>
    </row>
    <row r="78" spans="1:8" ht="25.5" x14ac:dyDescent="0.2">
      <c r="A78" s="9">
        <v>14</v>
      </c>
      <c r="B78" s="10" t="s">
        <v>377</v>
      </c>
      <c r="C78" s="10" t="s">
        <v>378</v>
      </c>
      <c r="D78" s="10" t="s">
        <v>117</v>
      </c>
      <c r="E78" s="11">
        <v>200</v>
      </c>
      <c r="F78" s="12">
        <v>987.25800000000004</v>
      </c>
      <c r="G78" s="13">
        <v>8.4415359999999995E-3</v>
      </c>
      <c r="H78" s="72">
        <v>5.7450000000000001</v>
      </c>
    </row>
    <row r="79" spans="1:8" x14ac:dyDescent="0.2">
      <c r="A79" s="9">
        <v>15</v>
      </c>
      <c r="B79" s="10" t="s">
        <v>397</v>
      </c>
      <c r="C79" s="10" t="s">
        <v>462</v>
      </c>
      <c r="D79" s="10" t="s">
        <v>117</v>
      </c>
      <c r="E79" s="11">
        <v>200</v>
      </c>
      <c r="F79" s="12">
        <v>985.80100000000004</v>
      </c>
      <c r="G79" s="13">
        <v>8.4290779999999996E-3</v>
      </c>
      <c r="H79" s="72">
        <v>6.1849999999999996</v>
      </c>
    </row>
    <row r="80" spans="1:8" x14ac:dyDescent="0.2">
      <c r="A80" s="1"/>
      <c r="B80" s="1"/>
      <c r="C80" s="2" t="s">
        <v>11</v>
      </c>
      <c r="D80" s="1"/>
      <c r="E80" s="1" t="s">
        <v>12</v>
      </c>
      <c r="F80" s="7">
        <v>38429.08</v>
      </c>
      <c r="G80" s="8">
        <v>0.32858733000000001</v>
      </c>
      <c r="H80" s="72"/>
    </row>
    <row r="81" spans="1:8" x14ac:dyDescent="0.2">
      <c r="A81" s="1"/>
      <c r="B81" s="1"/>
      <c r="C81" s="5"/>
      <c r="D81" s="1"/>
      <c r="E81" s="1"/>
      <c r="F81" s="6"/>
      <c r="G81" s="6"/>
      <c r="H81" s="72"/>
    </row>
    <row r="82" spans="1:8" x14ac:dyDescent="0.2">
      <c r="A82" s="1"/>
      <c r="B82" s="1"/>
      <c r="C82" s="2" t="s">
        <v>123</v>
      </c>
      <c r="D82" s="1"/>
      <c r="E82" s="1"/>
      <c r="F82" s="6"/>
      <c r="G82" s="6"/>
      <c r="H82" s="72"/>
    </row>
    <row r="83" spans="1:8" x14ac:dyDescent="0.2">
      <c r="A83" s="9">
        <v>1</v>
      </c>
      <c r="B83" s="10" t="s">
        <v>209</v>
      </c>
      <c r="C83" s="10" t="s">
        <v>466</v>
      </c>
      <c r="D83" s="10" t="s">
        <v>101</v>
      </c>
      <c r="E83" s="11">
        <v>5000000</v>
      </c>
      <c r="F83" s="12">
        <v>4972.76</v>
      </c>
      <c r="G83" s="13">
        <v>4.2519517999999999E-2</v>
      </c>
      <c r="H83" s="72">
        <v>4.6500000000000004</v>
      </c>
    </row>
    <row r="84" spans="1:8" x14ac:dyDescent="0.2">
      <c r="A84" s="9">
        <v>2</v>
      </c>
      <c r="B84" s="10" t="s">
        <v>431</v>
      </c>
      <c r="C84" s="10" t="s">
        <v>468</v>
      </c>
      <c r="D84" s="10" t="s">
        <v>101</v>
      </c>
      <c r="E84" s="11">
        <v>5000000</v>
      </c>
      <c r="F84" s="12">
        <v>4968</v>
      </c>
      <c r="G84" s="13">
        <v>4.2478817000000002E-2</v>
      </c>
      <c r="H84" s="72">
        <v>4.7023000000000001</v>
      </c>
    </row>
    <row r="85" spans="1:8" x14ac:dyDescent="0.2">
      <c r="A85" s="9">
        <v>3</v>
      </c>
      <c r="B85" s="10" t="s">
        <v>302</v>
      </c>
      <c r="C85" s="10" t="s">
        <v>467</v>
      </c>
      <c r="D85" s="10" t="s">
        <v>101</v>
      </c>
      <c r="E85" s="11">
        <v>5000000</v>
      </c>
      <c r="F85" s="12">
        <v>4926.6750000000002</v>
      </c>
      <c r="G85" s="13">
        <v>4.2125467999999999E-2</v>
      </c>
      <c r="H85" s="72">
        <v>5.125</v>
      </c>
    </row>
    <row r="86" spans="1:8" x14ac:dyDescent="0.2">
      <c r="A86" s="9">
        <v>4</v>
      </c>
      <c r="B86" s="10" t="s">
        <v>210</v>
      </c>
      <c r="C86" s="10" t="s">
        <v>465</v>
      </c>
      <c r="D86" s="10" t="s">
        <v>101</v>
      </c>
      <c r="E86" s="11">
        <v>500000</v>
      </c>
      <c r="F86" s="12">
        <v>497.74250000000001</v>
      </c>
      <c r="G86" s="13">
        <v>4.2559410000000001E-3</v>
      </c>
      <c r="H86" s="72">
        <v>4.5982000000000003</v>
      </c>
    </row>
    <row r="87" spans="1:8" x14ac:dyDescent="0.2">
      <c r="A87" s="1"/>
      <c r="B87" s="1"/>
      <c r="C87" s="2" t="s">
        <v>11</v>
      </c>
      <c r="D87" s="1"/>
      <c r="E87" s="1" t="s">
        <v>12</v>
      </c>
      <c r="F87" s="7">
        <v>15365.1775</v>
      </c>
      <c r="G87" s="8">
        <v>0.13137974399999999</v>
      </c>
      <c r="H87" s="72"/>
    </row>
    <row r="88" spans="1:8" x14ac:dyDescent="0.2">
      <c r="A88" s="1"/>
      <c r="B88" s="1"/>
      <c r="C88" s="5"/>
      <c r="D88" s="1"/>
      <c r="E88" s="1"/>
      <c r="F88" s="6"/>
      <c r="G88" s="6"/>
      <c r="H88" s="72"/>
    </row>
    <row r="89" spans="1:8" x14ac:dyDescent="0.2">
      <c r="A89" s="1"/>
      <c r="B89" s="1"/>
      <c r="C89" s="2" t="s">
        <v>124</v>
      </c>
      <c r="D89" s="1"/>
      <c r="E89" s="1"/>
      <c r="F89" s="6"/>
      <c r="G89" s="6"/>
      <c r="H89" s="72"/>
    </row>
    <row r="90" spans="1:8" x14ac:dyDescent="0.2">
      <c r="A90" s="9">
        <v>1</v>
      </c>
      <c r="B90" s="10"/>
      <c r="C90" s="10" t="s">
        <v>125</v>
      </c>
      <c r="D90" s="10"/>
      <c r="E90" s="14"/>
      <c r="F90" s="12">
        <v>11633.086541999999</v>
      </c>
      <c r="G90" s="13">
        <v>9.9468550000000003E-2</v>
      </c>
      <c r="H90" s="72">
        <v>4.1713246754849944</v>
      </c>
    </row>
    <row r="91" spans="1:8" x14ac:dyDescent="0.2">
      <c r="A91" s="1"/>
      <c r="B91" s="1"/>
      <c r="C91" s="2" t="s">
        <v>11</v>
      </c>
      <c r="D91" s="1"/>
      <c r="E91" s="1" t="s">
        <v>12</v>
      </c>
      <c r="F91" s="7">
        <v>11633.086541999999</v>
      </c>
      <c r="G91" s="8">
        <v>9.9468550000000003E-2</v>
      </c>
      <c r="H91" s="72"/>
    </row>
    <row r="92" spans="1:8" x14ac:dyDescent="0.2">
      <c r="A92" s="1"/>
      <c r="B92" s="1"/>
      <c r="C92" s="5"/>
      <c r="D92" s="1"/>
      <c r="E92" s="1"/>
      <c r="F92" s="6"/>
      <c r="G92" s="6"/>
      <c r="H92" s="72"/>
    </row>
    <row r="93" spans="1:8" x14ac:dyDescent="0.2">
      <c r="A93" s="1"/>
      <c r="B93" s="1"/>
      <c r="C93" s="2" t="s">
        <v>126</v>
      </c>
      <c r="D93" s="1"/>
      <c r="E93" s="1"/>
      <c r="F93" s="7">
        <v>90192.429042000003</v>
      </c>
      <c r="G93" s="8">
        <v>0.77118915200000004</v>
      </c>
      <c r="H93" s="72"/>
    </row>
    <row r="94" spans="1:8" x14ac:dyDescent="0.2">
      <c r="A94" s="1"/>
      <c r="B94" s="1"/>
      <c r="C94" s="6"/>
      <c r="D94" s="1"/>
      <c r="E94" s="1"/>
      <c r="F94" s="1"/>
      <c r="G94" s="1"/>
      <c r="H94" s="72"/>
    </row>
    <row r="95" spans="1:8" x14ac:dyDescent="0.2">
      <c r="A95" s="1"/>
      <c r="B95" s="1"/>
      <c r="C95" s="2" t="s">
        <v>127</v>
      </c>
      <c r="D95" s="1"/>
      <c r="E95" s="1"/>
      <c r="F95" s="1"/>
      <c r="G95" s="1"/>
      <c r="H95" s="72"/>
    </row>
    <row r="96" spans="1:8" x14ac:dyDescent="0.2">
      <c r="A96" s="1"/>
      <c r="B96" s="1"/>
      <c r="C96" s="2" t="s">
        <v>128</v>
      </c>
      <c r="D96" s="1"/>
      <c r="E96" s="1"/>
      <c r="F96" s="1"/>
      <c r="G96" s="1"/>
      <c r="H96" s="72"/>
    </row>
    <row r="97" spans="1:8" x14ac:dyDescent="0.2">
      <c r="A97" s="1"/>
      <c r="B97" s="1"/>
      <c r="C97" s="2" t="s">
        <v>11</v>
      </c>
      <c r="D97" s="1"/>
      <c r="E97" s="1" t="s">
        <v>12</v>
      </c>
      <c r="F97" s="3">
        <v>0</v>
      </c>
      <c r="G97" s="4">
        <v>0</v>
      </c>
      <c r="H97" s="72"/>
    </row>
    <row r="98" spans="1:8" x14ac:dyDescent="0.2">
      <c r="A98" s="1"/>
      <c r="B98" s="1"/>
      <c r="C98" s="5"/>
      <c r="D98" s="1"/>
      <c r="E98" s="1"/>
      <c r="F98" s="6"/>
      <c r="G98" s="6"/>
      <c r="H98" s="72"/>
    </row>
    <row r="99" spans="1:8" x14ac:dyDescent="0.2">
      <c r="A99" s="1"/>
      <c r="B99" s="1"/>
      <c r="C99" s="2" t="s">
        <v>129</v>
      </c>
      <c r="D99" s="1"/>
      <c r="E99" s="1"/>
      <c r="F99" s="1"/>
      <c r="G99" s="1"/>
      <c r="H99" s="72"/>
    </row>
    <row r="100" spans="1:8" x14ac:dyDescent="0.2">
      <c r="A100" s="1"/>
      <c r="B100" s="1"/>
      <c r="C100" s="2" t="s">
        <v>130</v>
      </c>
      <c r="D100" s="1"/>
      <c r="E100" s="1"/>
      <c r="F100" s="1"/>
      <c r="G100" s="1"/>
      <c r="H100" s="72"/>
    </row>
    <row r="101" spans="1:8" x14ac:dyDescent="0.2">
      <c r="A101" s="1"/>
      <c r="B101" s="1"/>
      <c r="C101" s="2" t="s">
        <v>11</v>
      </c>
      <c r="D101" s="1"/>
      <c r="E101" s="1" t="s">
        <v>12</v>
      </c>
      <c r="F101" s="3">
        <v>0</v>
      </c>
      <c r="G101" s="4">
        <v>0</v>
      </c>
      <c r="H101" s="72"/>
    </row>
    <row r="102" spans="1:8" x14ac:dyDescent="0.2">
      <c r="A102" s="1"/>
      <c r="B102" s="1"/>
      <c r="C102" s="5"/>
      <c r="D102" s="1"/>
      <c r="E102" s="1"/>
      <c r="F102" s="6"/>
      <c r="G102" s="6"/>
      <c r="H102" s="72"/>
    </row>
    <row r="103" spans="1:8" ht="25.5" x14ac:dyDescent="0.2">
      <c r="A103" s="1"/>
      <c r="B103" s="1"/>
      <c r="C103" s="2" t="s">
        <v>131</v>
      </c>
      <c r="D103" s="1"/>
      <c r="E103" s="1"/>
      <c r="F103" s="6"/>
      <c r="G103" s="6"/>
      <c r="H103" s="72"/>
    </row>
    <row r="104" spans="1:8" x14ac:dyDescent="0.2">
      <c r="A104" s="1"/>
      <c r="B104" s="1"/>
      <c r="C104" s="2" t="s">
        <v>11</v>
      </c>
      <c r="D104" s="1"/>
      <c r="E104" s="1" t="s">
        <v>12</v>
      </c>
      <c r="F104" s="3">
        <v>0</v>
      </c>
      <c r="G104" s="4">
        <v>0</v>
      </c>
      <c r="H104" s="72"/>
    </row>
    <row r="105" spans="1:8" x14ac:dyDescent="0.2">
      <c r="A105" s="1"/>
      <c r="B105" s="1"/>
      <c r="C105" s="5"/>
      <c r="D105" s="1"/>
      <c r="E105" s="1"/>
      <c r="F105" s="6"/>
      <c r="G105" s="6"/>
      <c r="H105" s="72"/>
    </row>
    <row r="106" spans="1:8" x14ac:dyDescent="0.2">
      <c r="A106" s="1"/>
      <c r="B106" s="10"/>
      <c r="C106" s="10"/>
      <c r="D106" s="2"/>
      <c r="E106" s="1"/>
      <c r="F106" s="10"/>
      <c r="G106" s="14"/>
      <c r="H106" s="72"/>
    </row>
    <row r="107" spans="1:8" x14ac:dyDescent="0.2">
      <c r="A107" s="14"/>
      <c r="B107" s="10"/>
      <c r="C107" s="10" t="s">
        <v>132</v>
      </c>
      <c r="D107" s="10"/>
      <c r="E107" s="14"/>
      <c r="F107" s="12">
        <v>729.54722880999998</v>
      </c>
      <c r="G107" s="13">
        <v>6.2379840000000002E-3</v>
      </c>
      <c r="H107" s="72"/>
    </row>
    <row r="108" spans="1:8" x14ac:dyDescent="0.2">
      <c r="A108" s="5"/>
      <c r="B108" s="5"/>
      <c r="C108" s="2" t="s">
        <v>133</v>
      </c>
      <c r="D108" s="6"/>
      <c r="E108" s="6"/>
      <c r="F108" s="7">
        <v>116952.40892081</v>
      </c>
      <c r="G108" s="8">
        <v>1</v>
      </c>
      <c r="H108" s="72"/>
    </row>
    <row r="109" spans="1:8" ht="14.1" customHeight="1" x14ac:dyDescent="0.2">
      <c r="A109" s="15"/>
      <c r="B109" s="15"/>
      <c r="C109" s="15"/>
      <c r="D109" s="16"/>
      <c r="E109" s="16"/>
      <c r="F109" s="16"/>
      <c r="G109" s="16"/>
    </row>
    <row r="110" spans="1:8" ht="17.100000000000001" customHeight="1" x14ac:dyDescent="0.2">
      <c r="A110" s="17"/>
      <c r="B110" s="90" t="s">
        <v>134</v>
      </c>
      <c r="C110" s="90"/>
      <c r="D110" s="90"/>
      <c r="E110" s="90"/>
      <c r="F110" s="90"/>
      <c r="G110" s="19"/>
    </row>
    <row r="111" spans="1:8" ht="17.100000000000001" customHeight="1" x14ac:dyDescent="0.2">
      <c r="A111" s="17"/>
      <c r="B111" s="90" t="s">
        <v>135</v>
      </c>
      <c r="C111" s="90"/>
      <c r="D111" s="90"/>
      <c r="E111" s="90"/>
      <c r="F111" s="90"/>
      <c r="G111" s="19"/>
    </row>
    <row r="112" spans="1:8" ht="14.1" customHeight="1" x14ac:dyDescent="0.2">
      <c r="A112" s="17"/>
      <c r="B112" s="17"/>
      <c r="C112" s="17"/>
      <c r="D112" s="19"/>
      <c r="E112" s="19"/>
      <c r="F112" s="19"/>
      <c r="G112" s="19"/>
    </row>
    <row r="113" spans="1:15" ht="14.1" customHeight="1" x14ac:dyDescent="0.2">
      <c r="A113" s="17"/>
      <c r="B113" s="91" t="s">
        <v>136</v>
      </c>
      <c r="C113" s="92"/>
      <c r="D113" s="93"/>
      <c r="E113" s="20"/>
      <c r="F113" s="19"/>
      <c r="G113" s="19"/>
    </row>
    <row r="114" spans="1:15" ht="29.1" customHeight="1" x14ac:dyDescent="0.2">
      <c r="A114" s="17"/>
      <c r="B114" s="85" t="s">
        <v>137</v>
      </c>
      <c r="C114" s="86"/>
      <c r="D114" s="39" t="s">
        <v>510</v>
      </c>
      <c r="E114" s="20"/>
      <c r="F114" s="19"/>
      <c r="G114" s="19"/>
    </row>
    <row r="115" spans="1:15" ht="17.100000000000001" customHeight="1" x14ac:dyDescent="0.2">
      <c r="A115" s="17"/>
      <c r="B115" s="85" t="s">
        <v>139</v>
      </c>
      <c r="C115" s="86"/>
      <c r="D115" s="2" t="s">
        <v>138</v>
      </c>
      <c r="E115" s="20"/>
      <c r="F115" s="19"/>
      <c r="G115" s="19"/>
    </row>
    <row r="116" spans="1:15" ht="17.100000000000001" customHeight="1" x14ac:dyDescent="0.2">
      <c r="A116" s="17"/>
      <c r="B116" s="85" t="s">
        <v>140</v>
      </c>
      <c r="C116" s="86"/>
      <c r="D116" s="6" t="s">
        <v>12</v>
      </c>
      <c r="E116" s="20"/>
      <c r="F116" s="19"/>
      <c r="G116" s="19"/>
    </row>
    <row r="117" spans="1:15" ht="24" customHeight="1" x14ac:dyDescent="0.2">
      <c r="A117" s="21"/>
      <c r="B117" s="22" t="s">
        <v>12</v>
      </c>
      <c r="C117" s="22" t="s">
        <v>141</v>
      </c>
      <c r="D117" s="22" t="s">
        <v>142</v>
      </c>
      <c r="E117" s="21"/>
      <c r="F117" s="21"/>
      <c r="G117" s="21"/>
    </row>
    <row r="118" spans="1:15" ht="18" customHeight="1" x14ac:dyDescent="0.2">
      <c r="A118" s="21"/>
      <c r="B118" s="23" t="s">
        <v>143</v>
      </c>
      <c r="C118" s="22" t="s">
        <v>144</v>
      </c>
      <c r="D118" s="22" t="s">
        <v>145</v>
      </c>
      <c r="E118" s="21"/>
      <c r="F118" s="21"/>
      <c r="G118" s="21"/>
    </row>
    <row r="119" spans="1:15" ht="17.100000000000001" customHeight="1" x14ac:dyDescent="0.2">
      <c r="A119" s="21"/>
      <c r="B119" s="10" t="s">
        <v>146</v>
      </c>
      <c r="C119" s="24">
        <v>2351.1882999999998</v>
      </c>
      <c r="D119" s="24">
        <v>2355.3719000000001</v>
      </c>
      <c r="E119" s="21"/>
      <c r="F119" s="18"/>
      <c r="G119" s="25"/>
    </row>
    <row r="120" spans="1:15" ht="29.1" customHeight="1" x14ac:dyDescent="0.2">
      <c r="A120" s="21"/>
      <c r="B120" s="10" t="s">
        <v>543</v>
      </c>
      <c r="C120" s="24">
        <v>1006.2882</v>
      </c>
      <c r="D120" s="24">
        <v>1006.1763</v>
      </c>
      <c r="E120" s="21"/>
      <c r="F120" s="18"/>
      <c r="G120" s="25"/>
    </row>
    <row r="121" spans="1:15" ht="29.1" customHeight="1" x14ac:dyDescent="0.2">
      <c r="A121" s="21"/>
      <c r="B121" s="10" t="s">
        <v>547</v>
      </c>
      <c r="C121" s="24">
        <v>1019.309</v>
      </c>
      <c r="D121" s="14">
        <v>0</v>
      </c>
      <c r="E121" s="21"/>
      <c r="F121" s="18"/>
      <c r="G121" s="25"/>
    </row>
    <row r="122" spans="1:15" ht="29.1" customHeight="1" x14ac:dyDescent="0.2">
      <c r="A122" s="21"/>
      <c r="B122" s="10" t="s">
        <v>548</v>
      </c>
      <c r="C122" s="24">
        <v>1060.7130999999999</v>
      </c>
      <c r="D122" s="24">
        <v>1061.6577</v>
      </c>
      <c r="E122" s="21"/>
      <c r="F122" s="18"/>
      <c r="G122" s="25"/>
    </row>
    <row r="123" spans="1:15" ht="29.1" customHeight="1" x14ac:dyDescent="0.2">
      <c r="A123" s="21"/>
      <c r="B123" s="10" t="s">
        <v>534</v>
      </c>
      <c r="C123" s="24">
        <v>1062.5934</v>
      </c>
      <c r="D123" s="24">
        <v>1062.4820999999999</v>
      </c>
      <c r="E123" s="21"/>
      <c r="F123" s="18"/>
      <c r="G123" s="25"/>
    </row>
    <row r="124" spans="1:15" ht="29.1" customHeight="1" x14ac:dyDescent="0.2">
      <c r="A124" s="21"/>
      <c r="B124" s="10" t="s">
        <v>535</v>
      </c>
      <c r="C124" s="24">
        <v>1066.7751000000001</v>
      </c>
      <c r="D124" s="24">
        <v>1068.665</v>
      </c>
      <c r="E124" s="21"/>
      <c r="F124" s="18"/>
      <c r="G124" s="25"/>
    </row>
    <row r="125" spans="1:15" ht="17.100000000000001" customHeight="1" x14ac:dyDescent="0.2">
      <c r="A125" s="21"/>
      <c r="B125" s="10" t="s">
        <v>147</v>
      </c>
      <c r="C125" s="24">
        <v>2241.0255000000002</v>
      </c>
      <c r="D125" s="24">
        <v>2242.8780999999999</v>
      </c>
      <c r="E125" s="21"/>
      <c r="F125" s="18"/>
      <c r="G125" s="25"/>
    </row>
    <row r="126" spans="1:15" ht="29.1" customHeight="1" x14ac:dyDescent="0.2">
      <c r="A126" s="21"/>
      <c r="B126" s="10" t="s">
        <v>545</v>
      </c>
      <c r="C126" s="24">
        <v>1005.5106</v>
      </c>
      <c r="D126" s="24">
        <v>1005.43</v>
      </c>
      <c r="E126" s="21"/>
      <c r="F126" s="18"/>
      <c r="G126" s="25"/>
      <c r="I126" s="41"/>
      <c r="O126" s="41"/>
    </row>
    <row r="127" spans="1:15" ht="29.1" customHeight="1" x14ac:dyDescent="0.2">
      <c r="A127" s="21"/>
      <c r="B127" s="10" t="s">
        <v>546</v>
      </c>
      <c r="C127" s="24">
        <v>1019.2501</v>
      </c>
      <c r="D127" s="24">
        <v>1019.5279</v>
      </c>
      <c r="E127" s="21"/>
      <c r="F127" s="18"/>
      <c r="G127" s="25"/>
    </row>
    <row r="128" spans="1:15" ht="29.1" customHeight="1" x14ac:dyDescent="0.2">
      <c r="A128" s="21"/>
      <c r="B128" s="10" t="s">
        <v>549</v>
      </c>
      <c r="C128" s="24">
        <v>1060.0068000000001</v>
      </c>
      <c r="D128" s="24">
        <v>1060.4939999999999</v>
      </c>
      <c r="E128" s="21"/>
      <c r="F128" s="18"/>
      <c r="G128" s="25"/>
    </row>
    <row r="129" spans="1:14" ht="29.1" customHeight="1" x14ac:dyDescent="0.2">
      <c r="A129" s="21"/>
      <c r="B129" s="10" t="s">
        <v>538</v>
      </c>
      <c r="C129" s="24">
        <v>1061.5724</v>
      </c>
      <c r="D129" s="24">
        <v>1061.5713000000001</v>
      </c>
      <c r="E129" s="21"/>
      <c r="F129" s="18"/>
      <c r="G129" s="25"/>
    </row>
    <row r="130" spans="1:14" ht="29.1" customHeight="1" x14ac:dyDescent="0.2">
      <c r="A130" s="21"/>
      <c r="B130" s="10" t="s">
        <v>539</v>
      </c>
      <c r="C130" s="24">
        <v>1062.0549000000001</v>
      </c>
      <c r="D130" s="24">
        <v>1062.9411</v>
      </c>
      <c r="E130" s="21"/>
      <c r="F130" s="18"/>
      <c r="G130" s="25"/>
    </row>
    <row r="131" spans="1:14" ht="14.1" customHeight="1" x14ac:dyDescent="0.2">
      <c r="A131" s="21"/>
      <c r="B131" s="21"/>
      <c r="C131" s="21"/>
      <c r="D131" s="21"/>
      <c r="E131" s="21"/>
      <c r="F131" s="21"/>
      <c r="G131" s="21"/>
      <c r="J131"/>
      <c r="K131"/>
      <c r="L131"/>
      <c r="M131"/>
      <c r="N131"/>
    </row>
    <row r="132" spans="1:14" ht="17.100000000000001" customHeight="1" x14ac:dyDescent="0.2">
      <c r="A132" s="21"/>
      <c r="B132" s="85" t="s">
        <v>542</v>
      </c>
      <c r="C132" s="86"/>
      <c r="D132" s="2" t="s">
        <v>12</v>
      </c>
      <c r="E132" s="21"/>
      <c r="F132" s="21"/>
      <c r="G132" s="21"/>
    </row>
    <row r="133" spans="1:14" ht="18" customHeight="1" x14ac:dyDescent="0.2">
      <c r="A133" s="21"/>
      <c r="B133" s="26" t="s">
        <v>143</v>
      </c>
      <c r="C133" s="27" t="s">
        <v>148</v>
      </c>
      <c r="D133" s="27" t="s">
        <v>149</v>
      </c>
      <c r="E133" s="21"/>
      <c r="F133" s="21"/>
      <c r="G133" s="21"/>
    </row>
    <row r="134" spans="1:14" ht="29.1" customHeight="1" x14ac:dyDescent="0.2">
      <c r="A134" s="21"/>
      <c r="B134" s="10" t="s">
        <v>543</v>
      </c>
      <c r="C134" s="28">
        <v>1.874161</v>
      </c>
      <c r="D134" s="14" t="s">
        <v>150</v>
      </c>
      <c r="E134" s="21"/>
      <c r="F134" s="18"/>
      <c r="G134" s="25"/>
    </row>
    <row r="135" spans="1:14" ht="29.1" customHeight="1" x14ac:dyDescent="0.2">
      <c r="A135" s="21"/>
      <c r="B135" s="10" t="s">
        <v>547</v>
      </c>
      <c r="C135" s="28">
        <v>0.24249999999999999</v>
      </c>
      <c r="D135" s="14" t="s">
        <v>150</v>
      </c>
      <c r="E135" s="21"/>
      <c r="F135" s="18"/>
      <c r="G135" s="25"/>
    </row>
    <row r="136" spans="1:14" ht="29.1" customHeight="1" x14ac:dyDescent="0.2">
      <c r="A136" s="21"/>
      <c r="B136" s="10" t="s">
        <v>548</v>
      </c>
      <c r="C136" s="28">
        <v>1.6060000000000001</v>
      </c>
      <c r="D136" s="14" t="s">
        <v>150</v>
      </c>
      <c r="E136" s="21"/>
      <c r="F136" s="18"/>
      <c r="G136" s="25"/>
    </row>
    <row r="137" spans="1:14" ht="29.1" customHeight="1" x14ac:dyDescent="0.2">
      <c r="A137" s="21"/>
      <c r="B137" s="10" t="s">
        <v>534</v>
      </c>
      <c r="C137" s="28">
        <v>1.9897</v>
      </c>
      <c r="D137" s="14" t="s">
        <v>150</v>
      </c>
      <c r="E137" s="21"/>
      <c r="F137" s="18"/>
      <c r="G137" s="25"/>
    </row>
    <row r="138" spans="1:14" ht="29.1" customHeight="1" x14ac:dyDescent="0.2">
      <c r="A138" s="21"/>
      <c r="B138" s="10" t="s">
        <v>545</v>
      </c>
      <c r="C138" s="28">
        <v>0.916072</v>
      </c>
      <c r="D138" s="28">
        <v>0.916072</v>
      </c>
      <c r="E138" s="21"/>
      <c r="F138" s="18"/>
      <c r="G138" s="25"/>
    </row>
    <row r="139" spans="1:14" ht="29.1" customHeight="1" x14ac:dyDescent="0.2">
      <c r="A139" s="21"/>
      <c r="B139" s="10" t="s">
        <v>546</v>
      </c>
      <c r="C139" s="28">
        <v>0.56679999999999997</v>
      </c>
      <c r="D139" s="28">
        <v>0.56679999999999997</v>
      </c>
      <c r="E139" s="21"/>
      <c r="F139" s="18"/>
      <c r="G139" s="25"/>
    </row>
    <row r="140" spans="1:14" ht="29.1" customHeight="1" x14ac:dyDescent="0.2">
      <c r="A140" s="21"/>
      <c r="B140" s="10" t="s">
        <v>549</v>
      </c>
      <c r="C140" s="28">
        <v>0.67090000000000005</v>
      </c>
      <c r="D140" s="14" t="s">
        <v>150</v>
      </c>
      <c r="E140" s="21"/>
      <c r="F140" s="18"/>
      <c r="G140" s="25"/>
    </row>
    <row r="141" spans="1:14" ht="29.1" customHeight="1" x14ac:dyDescent="0.2">
      <c r="A141" s="21"/>
      <c r="B141" s="10" t="s">
        <v>538</v>
      </c>
      <c r="C141" s="28">
        <v>0.87560000000000004</v>
      </c>
      <c r="D141" s="14" t="s">
        <v>150</v>
      </c>
      <c r="E141" s="21"/>
      <c r="F141" s="18"/>
      <c r="G141" s="25"/>
    </row>
    <row r="142" spans="1:14" ht="14.1" customHeight="1" x14ac:dyDescent="0.2">
      <c r="A142" s="21"/>
      <c r="B142" s="18"/>
      <c r="C142" s="18"/>
      <c r="D142" s="21"/>
      <c r="E142" s="21"/>
      <c r="F142" s="21"/>
      <c r="G142" s="21"/>
    </row>
    <row r="143" spans="1:14" ht="29.1" customHeight="1" x14ac:dyDescent="0.2">
      <c r="A143" s="21"/>
      <c r="B143" s="85" t="s">
        <v>151</v>
      </c>
      <c r="C143" s="86"/>
      <c r="D143" s="2" t="s">
        <v>138</v>
      </c>
      <c r="E143" s="31"/>
      <c r="F143" s="21"/>
      <c r="G143" s="21"/>
    </row>
    <row r="144" spans="1:14" ht="29.1" customHeight="1" x14ac:dyDescent="0.2">
      <c r="A144" s="21"/>
      <c r="B144" s="85" t="s">
        <v>152</v>
      </c>
      <c r="C144" s="86"/>
      <c r="D144" s="2" t="s">
        <v>138</v>
      </c>
      <c r="E144" s="31"/>
      <c r="F144" s="21"/>
      <c r="G144" s="21"/>
    </row>
    <row r="145" spans="1:15" ht="17.100000000000001" customHeight="1" x14ac:dyDescent="0.2">
      <c r="A145" s="21"/>
      <c r="B145" s="85" t="s">
        <v>153</v>
      </c>
      <c r="C145" s="86"/>
      <c r="D145" s="32">
        <v>0.27450752249696703</v>
      </c>
      <c r="E145" s="31"/>
      <c r="F145" s="21"/>
      <c r="G145" s="21"/>
    </row>
    <row r="146" spans="1:15" ht="17.100000000000001" customHeight="1" x14ac:dyDescent="0.2">
      <c r="A146" s="21"/>
      <c r="B146" s="85" t="s">
        <v>154</v>
      </c>
      <c r="C146" s="86"/>
      <c r="D146" s="32">
        <v>0.27302771692067318</v>
      </c>
      <c r="E146" s="31"/>
      <c r="F146" s="21"/>
      <c r="G146" s="21"/>
    </row>
    <row r="147" spans="1:15" ht="17.100000000000001" customHeight="1" x14ac:dyDescent="0.2">
      <c r="A147" s="21"/>
      <c r="B147" s="85" t="s">
        <v>155</v>
      </c>
      <c r="C147" s="86"/>
      <c r="D147" s="2" t="s">
        <v>138</v>
      </c>
      <c r="E147" s="31"/>
      <c r="F147" s="21"/>
      <c r="G147" s="21"/>
    </row>
    <row r="148" spans="1:15" ht="14.1" customHeight="1" x14ac:dyDescent="0.2">
      <c r="A148" s="21"/>
      <c r="B148" s="88"/>
      <c r="C148" s="88"/>
      <c r="D148" s="30"/>
      <c r="E148" s="21"/>
      <c r="F148" s="18"/>
      <c r="G148" s="25"/>
    </row>
    <row r="149" spans="1:15" x14ac:dyDescent="0.2">
      <c r="B149" s="40" t="s">
        <v>530</v>
      </c>
      <c r="C149" s="40"/>
      <c r="D149" s="40"/>
      <c r="E149" s="40"/>
      <c r="F149" s="40"/>
      <c r="G149" s="40"/>
      <c r="H149" s="40"/>
    </row>
    <row r="150" spans="1:15" x14ac:dyDescent="0.2">
      <c r="B150" s="42"/>
      <c r="C150" s="42"/>
      <c r="D150" s="42"/>
      <c r="E150" s="42"/>
      <c r="F150" s="42"/>
      <c r="G150" s="42"/>
      <c r="H150" s="42"/>
    </row>
    <row r="151" spans="1:15" ht="51" x14ac:dyDescent="0.2">
      <c r="B151" s="44" t="s">
        <v>485</v>
      </c>
      <c r="C151" s="44" t="s">
        <v>486</v>
      </c>
      <c r="D151" s="44" t="s">
        <v>487</v>
      </c>
      <c r="E151" s="44" t="s">
        <v>488</v>
      </c>
      <c r="F151" s="44" t="s">
        <v>489</v>
      </c>
      <c r="G151" s="42"/>
      <c r="H151" s="42"/>
    </row>
    <row r="152" spans="1:15" x14ac:dyDescent="0.2">
      <c r="B152" s="46" t="s">
        <v>490</v>
      </c>
      <c r="C152" s="46" t="s">
        <v>491</v>
      </c>
      <c r="D152" s="47">
        <v>0</v>
      </c>
      <c r="E152" s="48">
        <v>0</v>
      </c>
      <c r="F152" s="49">
        <v>500</v>
      </c>
      <c r="G152" s="42"/>
      <c r="H152" s="42"/>
    </row>
    <row r="160" spans="1:15" x14ac:dyDescent="0.2">
      <c r="I160" s="41"/>
      <c r="O160" s="41"/>
    </row>
    <row r="168" spans="9:15" x14ac:dyDescent="0.2">
      <c r="I168" s="41"/>
      <c r="O168" s="41"/>
    </row>
    <row r="169" spans="9:15" x14ac:dyDescent="0.2">
      <c r="I169" s="41"/>
      <c r="O169" s="41"/>
    </row>
    <row r="170" spans="9:15" x14ac:dyDescent="0.2">
      <c r="I170" s="41"/>
      <c r="O170" s="41"/>
    </row>
    <row r="171" spans="9:15" x14ac:dyDescent="0.2">
      <c r="I171" s="41"/>
      <c r="O171" s="41"/>
    </row>
  </sheetData>
  <mergeCells count="17">
    <mergeCell ref="A1:H1"/>
    <mergeCell ref="A2:H2"/>
    <mergeCell ref="A3:H3"/>
    <mergeCell ref="B144:C144"/>
    <mergeCell ref="B145:C145"/>
    <mergeCell ref="B143:C143"/>
    <mergeCell ref="B110:F110"/>
    <mergeCell ref="B111:F111"/>
    <mergeCell ref="B113:D113"/>
    <mergeCell ref="B114:C114"/>
    <mergeCell ref="B115:C115"/>
    <mergeCell ref="B116:C116"/>
    <mergeCell ref="B132:C132"/>
    <mergeCell ref="J2:N2"/>
    <mergeCell ref="B146:C146"/>
    <mergeCell ref="B147:C147"/>
    <mergeCell ref="B148:C148"/>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116"/>
  <sheetViews>
    <sheetView showGridLines="0" workbookViewId="0">
      <selection sqref="A1: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1" customWidth="1"/>
    <col min="9" max="9" width="11.5703125" customWidth="1"/>
    <col min="10" max="10" width="16" bestFit="1" customWidth="1"/>
    <col min="11" max="11" width="9.28515625" bestFit="1" customWidth="1"/>
  </cols>
  <sheetData>
    <row r="1" spans="1:15" ht="18" customHeight="1" x14ac:dyDescent="0.2">
      <c r="A1" s="89" t="s">
        <v>0</v>
      </c>
      <c r="B1" s="89"/>
      <c r="C1" s="89"/>
      <c r="D1" s="89"/>
      <c r="E1" s="89"/>
      <c r="F1" s="89"/>
      <c r="G1" s="89"/>
      <c r="H1" s="89"/>
      <c r="I1" s="89"/>
      <c r="K1" s="41"/>
      <c r="L1" s="41"/>
      <c r="M1" s="41"/>
      <c r="N1" s="41"/>
      <c r="O1" s="41"/>
    </row>
    <row r="2" spans="1:15" ht="17.100000000000001" customHeight="1" x14ac:dyDescent="0.2">
      <c r="A2" s="89" t="s">
        <v>432</v>
      </c>
      <c r="B2" s="89"/>
      <c r="C2" s="89"/>
      <c r="D2" s="89"/>
      <c r="E2" s="89"/>
      <c r="F2" s="89"/>
      <c r="G2" s="89"/>
      <c r="H2" s="89"/>
      <c r="I2" s="89"/>
      <c r="K2" s="87" t="s">
        <v>555</v>
      </c>
      <c r="L2" s="87"/>
      <c r="M2" s="87"/>
      <c r="N2" s="87"/>
      <c r="O2" s="87"/>
    </row>
    <row r="3" spans="1:15" ht="21" customHeight="1" x14ac:dyDescent="0.2">
      <c r="A3" s="89" t="s">
        <v>550</v>
      </c>
      <c r="B3" s="89"/>
      <c r="C3" s="89"/>
      <c r="D3" s="89"/>
      <c r="E3" s="89"/>
      <c r="F3" s="89"/>
      <c r="G3" s="89"/>
      <c r="H3" s="89"/>
      <c r="I3" s="89"/>
      <c r="K3" s="41"/>
      <c r="L3" s="41"/>
      <c r="M3" s="41"/>
      <c r="N3" s="41"/>
      <c r="O3" s="41"/>
    </row>
    <row r="4" spans="1:15" s="76" customFormat="1" ht="30" x14ac:dyDescent="0.2">
      <c r="A4" s="75" t="s">
        <v>2</v>
      </c>
      <c r="B4" s="75" t="s">
        <v>3</v>
      </c>
      <c r="C4" s="75" t="s">
        <v>4</v>
      </c>
      <c r="D4" s="75" t="s">
        <v>5</v>
      </c>
      <c r="E4" s="75" t="s">
        <v>6</v>
      </c>
      <c r="F4" s="75" t="s">
        <v>7</v>
      </c>
      <c r="G4" s="75" t="s">
        <v>8</v>
      </c>
      <c r="H4" s="71" t="s">
        <v>531</v>
      </c>
      <c r="I4" s="71" t="s">
        <v>532</v>
      </c>
      <c r="K4" s="77"/>
      <c r="L4" s="77"/>
      <c r="M4" s="77"/>
      <c r="N4" s="77"/>
      <c r="O4" s="77"/>
    </row>
    <row r="5" spans="1:15" ht="14.1" customHeight="1" x14ac:dyDescent="0.2">
      <c r="A5" s="1"/>
      <c r="B5" s="1"/>
      <c r="C5" s="2" t="s">
        <v>9</v>
      </c>
      <c r="D5" s="1"/>
      <c r="E5" s="1"/>
      <c r="F5" s="1"/>
      <c r="G5" s="1"/>
      <c r="H5" s="72"/>
      <c r="I5" s="73"/>
      <c r="K5" s="41"/>
      <c r="L5" s="41"/>
      <c r="M5" s="41"/>
      <c r="N5" s="41"/>
      <c r="O5" s="41"/>
    </row>
    <row r="6" spans="1:15" ht="24" customHeight="1" x14ac:dyDescent="0.2">
      <c r="A6" s="1"/>
      <c r="B6" s="1"/>
      <c r="C6" s="2" t="s">
        <v>10</v>
      </c>
      <c r="D6" s="1"/>
      <c r="E6" s="1"/>
      <c r="F6" s="1"/>
      <c r="G6" s="1"/>
      <c r="H6" s="72"/>
      <c r="I6" s="73"/>
      <c r="K6" s="41"/>
      <c r="L6" s="41"/>
      <c r="M6" s="41"/>
      <c r="N6" s="41"/>
      <c r="O6" s="41"/>
    </row>
    <row r="7" spans="1:15" ht="14.1" customHeight="1" x14ac:dyDescent="0.2">
      <c r="A7" s="1"/>
      <c r="B7" s="1"/>
      <c r="C7" s="2" t="s">
        <v>11</v>
      </c>
      <c r="D7" s="1"/>
      <c r="E7" s="1" t="s">
        <v>12</v>
      </c>
      <c r="F7" s="3">
        <v>0</v>
      </c>
      <c r="G7" s="4">
        <v>0</v>
      </c>
      <c r="H7" s="72"/>
      <c r="I7" s="73"/>
      <c r="K7" s="41"/>
      <c r="L7" s="41"/>
      <c r="M7" s="41"/>
      <c r="N7" s="41"/>
      <c r="O7" s="41"/>
    </row>
    <row r="8" spans="1:15" ht="14.1" customHeight="1" x14ac:dyDescent="0.2">
      <c r="A8" s="1"/>
      <c r="B8" s="1"/>
      <c r="C8" s="5"/>
      <c r="D8" s="1"/>
      <c r="E8" s="1"/>
      <c r="F8" s="6"/>
      <c r="G8" s="6"/>
      <c r="H8" s="72"/>
      <c r="I8" s="73"/>
      <c r="K8" s="41"/>
      <c r="L8" s="41"/>
      <c r="M8" s="41"/>
      <c r="N8" s="41"/>
      <c r="O8" s="41"/>
    </row>
    <row r="9" spans="1:15" ht="14.1" customHeight="1" x14ac:dyDescent="0.2">
      <c r="A9" s="1"/>
      <c r="B9" s="1"/>
      <c r="C9" s="2" t="s">
        <v>13</v>
      </c>
      <c r="D9" s="1"/>
      <c r="E9" s="1"/>
      <c r="F9" s="1"/>
      <c r="G9" s="1"/>
      <c r="H9" s="72"/>
      <c r="I9" s="73"/>
      <c r="K9" s="41"/>
      <c r="L9" s="41"/>
      <c r="M9" s="41"/>
      <c r="N9" s="41"/>
      <c r="O9" s="41"/>
    </row>
    <row r="10" spans="1:15" ht="14.1" customHeight="1" x14ac:dyDescent="0.2">
      <c r="A10" s="1"/>
      <c r="B10" s="1"/>
      <c r="C10" s="2" t="s">
        <v>11</v>
      </c>
      <c r="D10" s="1"/>
      <c r="E10" s="1" t="s">
        <v>12</v>
      </c>
      <c r="F10" s="3">
        <v>0</v>
      </c>
      <c r="G10" s="4">
        <v>0</v>
      </c>
      <c r="H10" s="72"/>
      <c r="I10" s="73"/>
      <c r="K10" s="41"/>
      <c r="L10" s="41"/>
      <c r="M10" s="41"/>
      <c r="N10" s="41"/>
      <c r="O10" s="41"/>
    </row>
    <row r="11" spans="1:15" ht="14.1" customHeight="1" x14ac:dyDescent="0.2">
      <c r="A11" s="1"/>
      <c r="B11" s="1"/>
      <c r="C11" s="5"/>
      <c r="D11" s="1"/>
      <c r="E11" s="1"/>
      <c r="F11" s="6"/>
      <c r="G11" s="6"/>
      <c r="H11" s="72"/>
      <c r="I11" s="73"/>
      <c r="K11" s="41"/>
      <c r="L11" s="41"/>
      <c r="M11" s="41"/>
      <c r="N11" s="41"/>
      <c r="O11" s="41"/>
    </row>
    <row r="12" spans="1:15" ht="14.1" customHeight="1" x14ac:dyDescent="0.2">
      <c r="A12" s="1"/>
      <c r="B12" s="1"/>
      <c r="C12" s="2" t="s">
        <v>14</v>
      </c>
      <c r="D12" s="1"/>
      <c r="E12" s="1"/>
      <c r="F12" s="1"/>
      <c r="G12" s="1"/>
      <c r="H12" s="72"/>
      <c r="I12" s="73"/>
      <c r="K12" s="41"/>
      <c r="L12" s="41"/>
      <c r="M12" s="41"/>
      <c r="N12" s="41"/>
      <c r="O12" s="41"/>
    </row>
    <row r="13" spans="1:15" ht="14.1" customHeight="1" x14ac:dyDescent="0.2">
      <c r="A13" s="1"/>
      <c r="B13" s="1"/>
      <c r="C13" s="2" t="s">
        <v>11</v>
      </c>
      <c r="D13" s="1"/>
      <c r="E13" s="1" t="s">
        <v>12</v>
      </c>
      <c r="F13" s="3">
        <v>0</v>
      </c>
      <c r="G13" s="4">
        <v>0</v>
      </c>
      <c r="H13" s="72"/>
      <c r="I13" s="73"/>
      <c r="K13" s="41"/>
      <c r="L13" s="41"/>
      <c r="M13" s="41"/>
      <c r="N13" s="41"/>
      <c r="O13" s="41"/>
    </row>
    <row r="14" spans="1:15" ht="14.1" customHeight="1" x14ac:dyDescent="0.2">
      <c r="A14" s="1"/>
      <c r="B14" s="1"/>
      <c r="C14" s="5"/>
      <c r="D14" s="1"/>
      <c r="E14" s="1"/>
      <c r="F14" s="6"/>
      <c r="G14" s="6"/>
      <c r="H14" s="72"/>
      <c r="I14" s="73"/>
      <c r="K14" s="41"/>
      <c r="L14" s="41"/>
      <c r="M14" s="41"/>
      <c r="N14" s="41"/>
      <c r="O14" s="41"/>
    </row>
    <row r="15" spans="1:15" ht="14.1" customHeight="1" x14ac:dyDescent="0.2">
      <c r="A15" s="1"/>
      <c r="B15" s="1"/>
      <c r="C15" s="2" t="s">
        <v>15</v>
      </c>
      <c r="D15" s="1"/>
      <c r="E15" s="1"/>
      <c r="F15" s="1"/>
      <c r="G15" s="1"/>
      <c r="H15" s="72"/>
      <c r="I15" s="73"/>
      <c r="K15" s="41"/>
      <c r="L15" s="41"/>
      <c r="M15" s="41"/>
      <c r="N15" s="41"/>
      <c r="O15" s="41"/>
    </row>
    <row r="16" spans="1:15" ht="14.1" customHeight="1" x14ac:dyDescent="0.25">
      <c r="A16" s="1"/>
      <c r="B16" s="1"/>
      <c r="C16" s="2" t="s">
        <v>11</v>
      </c>
      <c r="D16" s="1"/>
      <c r="E16" s="1" t="s">
        <v>12</v>
      </c>
      <c r="F16" s="3">
        <v>0</v>
      </c>
      <c r="G16" s="4">
        <v>0</v>
      </c>
      <c r="H16" s="72"/>
      <c r="I16" s="73"/>
      <c r="K16" s="79" t="s">
        <v>573</v>
      </c>
      <c r="L16" s="80"/>
      <c r="M16" s="80"/>
      <c r="N16" s="80"/>
      <c r="O16" s="80"/>
    </row>
    <row r="17" spans="1:15" ht="14.1" customHeight="1" x14ac:dyDescent="0.2">
      <c r="A17" s="1"/>
      <c r="B17" s="1"/>
      <c r="C17" s="5"/>
      <c r="D17" s="1"/>
      <c r="E17" s="1"/>
      <c r="F17" s="6"/>
      <c r="G17" s="6"/>
      <c r="H17" s="72"/>
      <c r="I17" s="73"/>
      <c r="K17" s="41"/>
      <c r="L17" s="41"/>
      <c r="M17" s="41"/>
      <c r="N17" s="41"/>
      <c r="O17" s="41"/>
    </row>
    <row r="18" spans="1:15" ht="14.1" customHeight="1" x14ac:dyDescent="0.2">
      <c r="A18" s="1"/>
      <c r="B18" s="1"/>
      <c r="C18" s="2" t="s">
        <v>16</v>
      </c>
      <c r="D18" s="1"/>
      <c r="E18" s="1"/>
      <c r="F18" s="6"/>
      <c r="G18" s="6"/>
      <c r="H18" s="72"/>
      <c r="I18" s="73"/>
      <c r="K18" s="41"/>
      <c r="L18" s="41"/>
      <c r="M18" s="41"/>
      <c r="N18" s="41"/>
      <c r="O18" s="41"/>
    </row>
    <row r="19" spans="1:15" ht="14.1" customHeight="1" x14ac:dyDescent="0.2">
      <c r="A19" s="1"/>
      <c r="B19" s="1"/>
      <c r="C19" s="2" t="s">
        <v>11</v>
      </c>
      <c r="D19" s="1"/>
      <c r="E19" s="1" t="s">
        <v>12</v>
      </c>
      <c r="F19" s="3">
        <v>0</v>
      </c>
      <c r="G19" s="4">
        <v>0</v>
      </c>
      <c r="H19" s="72"/>
      <c r="I19" s="73"/>
      <c r="K19" s="41"/>
      <c r="L19" s="41"/>
      <c r="M19" s="41"/>
      <c r="N19" s="41"/>
      <c r="O19" s="41"/>
    </row>
    <row r="20" spans="1:15" ht="14.1" customHeight="1" x14ac:dyDescent="0.2">
      <c r="A20" s="1"/>
      <c r="B20" s="1"/>
      <c r="C20" s="5"/>
      <c r="D20" s="1"/>
      <c r="E20" s="1"/>
      <c r="F20" s="6"/>
      <c r="G20" s="6"/>
      <c r="H20" s="72"/>
      <c r="I20" s="73"/>
      <c r="K20" s="41"/>
      <c r="L20" s="41"/>
      <c r="M20" s="41"/>
      <c r="N20" s="41"/>
      <c r="O20" s="41"/>
    </row>
    <row r="21" spans="1:15" ht="14.1" customHeight="1" x14ac:dyDescent="0.2">
      <c r="A21" s="1"/>
      <c r="B21" s="1"/>
      <c r="C21" s="2" t="s">
        <v>17</v>
      </c>
      <c r="D21" s="1"/>
      <c r="E21" s="1"/>
      <c r="F21" s="6"/>
      <c r="G21" s="6"/>
      <c r="H21" s="72"/>
      <c r="I21" s="73"/>
      <c r="K21" s="41"/>
      <c r="L21" s="41"/>
      <c r="M21" s="41"/>
      <c r="N21" s="41"/>
      <c r="O21" s="41"/>
    </row>
    <row r="22" spans="1:15" ht="14.1" customHeight="1" x14ac:dyDescent="0.2">
      <c r="A22" s="1"/>
      <c r="B22" s="1"/>
      <c r="C22" s="2" t="s">
        <v>11</v>
      </c>
      <c r="D22" s="1"/>
      <c r="E22" s="1" t="s">
        <v>12</v>
      </c>
      <c r="F22" s="3">
        <v>0</v>
      </c>
      <c r="G22" s="4">
        <v>0</v>
      </c>
      <c r="H22" s="72"/>
      <c r="I22" s="73"/>
      <c r="K22" s="41"/>
      <c r="L22" s="41"/>
      <c r="M22" s="41"/>
      <c r="N22" s="41"/>
      <c r="O22" s="41"/>
    </row>
    <row r="23" spans="1:15" ht="14.1" customHeight="1" x14ac:dyDescent="0.2">
      <c r="A23" s="1"/>
      <c r="B23" s="1"/>
      <c r="C23" s="5"/>
      <c r="D23" s="1"/>
      <c r="E23" s="1"/>
      <c r="F23" s="6"/>
      <c r="G23" s="6"/>
      <c r="H23" s="72"/>
      <c r="I23" s="73"/>
      <c r="K23" s="41"/>
      <c r="L23" s="41"/>
      <c r="M23" s="41"/>
      <c r="N23" s="41"/>
      <c r="O23" s="41"/>
    </row>
    <row r="24" spans="1:15" ht="18" customHeight="1" x14ac:dyDescent="0.2">
      <c r="A24" s="1"/>
      <c r="B24" s="1"/>
      <c r="C24" s="2" t="s">
        <v>18</v>
      </c>
      <c r="D24" s="1"/>
      <c r="E24" s="1"/>
      <c r="F24" s="7">
        <v>0</v>
      </c>
      <c r="G24" s="8">
        <v>0</v>
      </c>
      <c r="H24" s="72"/>
      <c r="I24" s="73"/>
      <c r="K24" s="41"/>
      <c r="L24" s="41"/>
      <c r="M24" s="41"/>
      <c r="N24" s="41"/>
      <c r="O24" s="41"/>
    </row>
    <row r="25" spans="1:15" ht="14.1" customHeight="1" x14ac:dyDescent="0.2">
      <c r="A25" s="1"/>
      <c r="B25" s="1"/>
      <c r="C25" s="5"/>
      <c r="D25" s="1"/>
      <c r="E25" s="1"/>
      <c r="F25" s="6"/>
      <c r="G25" s="6"/>
      <c r="H25" s="72"/>
      <c r="I25" s="73"/>
      <c r="K25" s="41"/>
      <c r="L25" s="41"/>
      <c r="M25" s="41"/>
      <c r="N25" s="41"/>
      <c r="O25" s="41"/>
    </row>
    <row r="26" spans="1:15" ht="14.1" customHeight="1" x14ac:dyDescent="0.2">
      <c r="A26" s="1"/>
      <c r="B26" s="1"/>
      <c r="C26" s="2" t="s">
        <v>19</v>
      </c>
      <c r="D26" s="1"/>
      <c r="E26" s="1"/>
      <c r="F26" s="6"/>
      <c r="G26" s="6"/>
      <c r="H26" s="72"/>
      <c r="I26" s="73"/>
      <c r="K26" s="41"/>
      <c r="L26" s="41"/>
      <c r="M26" s="41"/>
      <c r="N26" s="41"/>
      <c r="O26" s="41"/>
    </row>
    <row r="27" spans="1:15" ht="24" customHeight="1" x14ac:dyDescent="0.2">
      <c r="A27" s="1"/>
      <c r="B27" s="1"/>
      <c r="C27" s="2" t="s">
        <v>10</v>
      </c>
      <c r="D27" s="1"/>
      <c r="E27" s="1"/>
      <c r="F27" s="6"/>
      <c r="G27" s="6"/>
      <c r="H27" s="72"/>
      <c r="I27" s="73"/>
      <c r="K27" s="41"/>
      <c r="L27" s="41"/>
      <c r="M27" s="41"/>
      <c r="N27" s="41"/>
      <c r="O27" s="41"/>
    </row>
    <row r="28" spans="1:15" ht="25.5" x14ac:dyDescent="0.2">
      <c r="A28" s="9">
        <v>1</v>
      </c>
      <c r="B28" s="10" t="s">
        <v>274</v>
      </c>
      <c r="C28" s="74" t="s">
        <v>533</v>
      </c>
      <c r="D28" s="10" t="s">
        <v>78</v>
      </c>
      <c r="E28" s="11">
        <v>50</v>
      </c>
      <c r="F28" s="12">
        <v>505.67099999999999</v>
      </c>
      <c r="G28" s="13">
        <v>9.1762473999999997E-2</v>
      </c>
      <c r="H28" s="72">
        <v>8.3091000000000008</v>
      </c>
      <c r="I28" s="73">
        <v>7.77</v>
      </c>
      <c r="K28" s="41"/>
      <c r="L28" s="41"/>
      <c r="M28" s="41"/>
      <c r="N28" s="41"/>
      <c r="O28" s="41"/>
    </row>
    <row r="29" spans="1:15" ht="29.1" customHeight="1" x14ac:dyDescent="0.25">
      <c r="A29" s="9">
        <v>2</v>
      </c>
      <c r="B29" s="10" t="s">
        <v>191</v>
      </c>
      <c r="C29" s="10" t="s">
        <v>192</v>
      </c>
      <c r="D29" s="10" t="s">
        <v>27</v>
      </c>
      <c r="E29" s="11">
        <v>50</v>
      </c>
      <c r="F29" s="12">
        <v>484.38350000000003</v>
      </c>
      <c r="G29" s="13">
        <v>8.7899501000000005E-2</v>
      </c>
      <c r="H29" s="72">
        <v>7.1150000000000002</v>
      </c>
      <c r="I29" s="73"/>
      <c r="K29" s="79" t="s">
        <v>563</v>
      </c>
      <c r="L29" s="41"/>
      <c r="M29" s="41"/>
      <c r="N29" s="41"/>
      <c r="O29" s="41"/>
    </row>
    <row r="30" spans="1:15" ht="29.1" customHeight="1" x14ac:dyDescent="0.2">
      <c r="A30" s="9">
        <v>3</v>
      </c>
      <c r="B30" s="10" t="s">
        <v>329</v>
      </c>
      <c r="C30" s="10" t="s">
        <v>330</v>
      </c>
      <c r="D30" s="10" t="s">
        <v>27</v>
      </c>
      <c r="E30" s="11">
        <v>30</v>
      </c>
      <c r="F30" s="12">
        <v>297.27870000000001</v>
      </c>
      <c r="G30" s="13">
        <v>5.39462E-2</v>
      </c>
      <c r="H30" s="72">
        <v>7.41</v>
      </c>
      <c r="I30" s="73"/>
      <c r="L30" s="80"/>
      <c r="M30" s="80"/>
      <c r="N30" s="80"/>
      <c r="O30" s="80"/>
    </row>
    <row r="31" spans="1:15" ht="29.1" customHeight="1" x14ac:dyDescent="0.2">
      <c r="A31" s="9">
        <v>4</v>
      </c>
      <c r="B31" s="10" t="s">
        <v>323</v>
      </c>
      <c r="C31" s="10" t="s">
        <v>324</v>
      </c>
      <c r="D31" s="10" t="s">
        <v>27</v>
      </c>
      <c r="E31" s="11">
        <v>30</v>
      </c>
      <c r="F31" s="12">
        <v>295.3956</v>
      </c>
      <c r="G31" s="13">
        <v>5.3604480000000003E-2</v>
      </c>
      <c r="H31" s="72">
        <v>6.7249999999999996</v>
      </c>
      <c r="I31" s="73"/>
      <c r="K31" s="41"/>
      <c r="L31" s="41"/>
      <c r="M31" s="41"/>
      <c r="N31" s="41"/>
      <c r="O31" s="41"/>
    </row>
    <row r="32" spans="1:15" ht="14.1" customHeight="1" x14ac:dyDescent="0.2">
      <c r="A32" s="1"/>
      <c r="B32" s="1"/>
      <c r="C32" s="2" t="s">
        <v>11</v>
      </c>
      <c r="D32" s="1"/>
      <c r="E32" s="1" t="s">
        <v>12</v>
      </c>
      <c r="F32" s="7">
        <v>1582.7288000000001</v>
      </c>
      <c r="G32" s="8">
        <v>0.28721265499999998</v>
      </c>
      <c r="H32" s="72"/>
      <c r="I32" s="73"/>
      <c r="K32" s="41"/>
      <c r="L32" s="41"/>
      <c r="M32" s="41"/>
      <c r="N32" s="41"/>
      <c r="O32" s="41"/>
    </row>
    <row r="33" spans="1:15" ht="14.1" customHeight="1" x14ac:dyDescent="0.2">
      <c r="A33" s="1"/>
      <c r="B33" s="1"/>
      <c r="C33" s="5"/>
      <c r="D33" s="1"/>
      <c r="E33" s="1"/>
      <c r="F33" s="6"/>
      <c r="G33" s="6"/>
      <c r="H33" s="72"/>
      <c r="I33" s="73"/>
      <c r="K33" s="41"/>
      <c r="L33" s="41"/>
      <c r="M33" s="41"/>
      <c r="N33" s="41"/>
      <c r="O33" s="41"/>
    </row>
    <row r="34" spans="1:15" ht="14.1" customHeight="1" x14ac:dyDescent="0.2">
      <c r="A34" s="1"/>
      <c r="B34" s="1"/>
      <c r="C34" s="2" t="s">
        <v>97</v>
      </c>
      <c r="D34" s="1"/>
      <c r="E34" s="1"/>
      <c r="F34" s="1"/>
      <c r="G34" s="1"/>
      <c r="H34" s="72"/>
      <c r="I34" s="73"/>
      <c r="K34" s="41"/>
      <c r="L34" s="41"/>
      <c r="M34" s="41"/>
      <c r="N34" s="41"/>
      <c r="O34" s="41"/>
    </row>
    <row r="35" spans="1:15" ht="14.1" customHeight="1" x14ac:dyDescent="0.2">
      <c r="A35" s="1"/>
      <c r="B35" s="1"/>
      <c r="C35" s="2" t="s">
        <v>11</v>
      </c>
      <c r="D35" s="1"/>
      <c r="E35" s="1" t="s">
        <v>12</v>
      </c>
      <c r="F35" s="3">
        <v>0</v>
      </c>
      <c r="G35" s="4">
        <v>0</v>
      </c>
      <c r="H35" s="72"/>
      <c r="I35" s="73"/>
      <c r="K35" s="41"/>
      <c r="L35" s="41"/>
      <c r="M35" s="41"/>
      <c r="N35" s="41"/>
      <c r="O35" s="41"/>
    </row>
    <row r="36" spans="1:15" ht="14.1" customHeight="1" x14ac:dyDescent="0.2">
      <c r="A36" s="1"/>
      <c r="B36" s="1"/>
      <c r="C36" s="5"/>
      <c r="D36" s="1"/>
      <c r="E36" s="1"/>
      <c r="F36" s="6"/>
      <c r="G36" s="6"/>
      <c r="H36" s="72"/>
      <c r="I36" s="73"/>
      <c r="K36" s="41"/>
      <c r="L36" s="41"/>
      <c r="M36" s="41"/>
      <c r="N36" s="41"/>
      <c r="O36" s="41"/>
    </row>
    <row r="37" spans="1:15" ht="14.1" customHeight="1" x14ac:dyDescent="0.2">
      <c r="A37" s="1"/>
      <c r="B37" s="1"/>
      <c r="C37" s="2" t="s">
        <v>98</v>
      </c>
      <c r="D37" s="1"/>
      <c r="E37" s="1"/>
      <c r="F37" s="1"/>
      <c r="G37" s="1"/>
      <c r="H37" s="72"/>
      <c r="I37" s="73"/>
      <c r="K37" s="41"/>
      <c r="L37" s="41"/>
      <c r="M37" s="41"/>
      <c r="N37" s="41"/>
      <c r="O37" s="41"/>
    </row>
    <row r="38" spans="1:15" ht="29.1" customHeight="1" x14ac:dyDescent="0.2">
      <c r="A38" s="9">
        <v>1</v>
      </c>
      <c r="B38" s="10" t="s">
        <v>197</v>
      </c>
      <c r="C38" s="10" t="s">
        <v>198</v>
      </c>
      <c r="D38" s="10" t="s">
        <v>101</v>
      </c>
      <c r="E38" s="11">
        <v>1000000</v>
      </c>
      <c r="F38" s="12">
        <v>953.84</v>
      </c>
      <c r="G38" s="13">
        <v>0.173090247</v>
      </c>
      <c r="H38" s="72">
        <v>6.9294000000000002</v>
      </c>
      <c r="I38" s="73"/>
      <c r="K38" s="41"/>
      <c r="L38" s="41"/>
      <c r="M38" s="41"/>
      <c r="N38" s="41"/>
      <c r="O38" s="41"/>
    </row>
    <row r="39" spans="1:15" ht="29.1" customHeight="1" x14ac:dyDescent="0.2">
      <c r="A39" s="9">
        <v>2</v>
      </c>
      <c r="B39" s="10" t="s">
        <v>195</v>
      </c>
      <c r="C39" s="10" t="s">
        <v>196</v>
      </c>
      <c r="D39" s="10" t="s">
        <v>101</v>
      </c>
      <c r="E39" s="11">
        <v>1000000</v>
      </c>
      <c r="F39" s="12">
        <v>947.56399999999996</v>
      </c>
      <c r="G39" s="13">
        <v>0.171951362</v>
      </c>
      <c r="H39" s="72">
        <v>7.1334</v>
      </c>
      <c r="I39" s="73"/>
      <c r="K39" s="41"/>
      <c r="L39" s="41"/>
      <c r="M39" s="41"/>
      <c r="N39" s="41"/>
      <c r="O39" s="41"/>
    </row>
    <row r="40" spans="1:15" ht="29.1" customHeight="1" x14ac:dyDescent="0.2">
      <c r="A40" s="9">
        <v>3</v>
      </c>
      <c r="B40" s="10" t="s">
        <v>433</v>
      </c>
      <c r="C40" s="10" t="s">
        <v>434</v>
      </c>
      <c r="D40" s="10" t="s">
        <v>101</v>
      </c>
      <c r="E40" s="11">
        <v>500000</v>
      </c>
      <c r="F40" s="12">
        <v>475.99700000000001</v>
      </c>
      <c r="G40" s="13">
        <v>8.6377629999999997E-2</v>
      </c>
      <c r="H40" s="72">
        <v>7.0686</v>
      </c>
      <c r="I40" s="73"/>
      <c r="K40" s="41"/>
      <c r="L40" s="41"/>
      <c r="M40" s="41"/>
      <c r="N40" s="41"/>
      <c r="O40" s="41"/>
    </row>
    <row r="41" spans="1:15" ht="29.1" customHeight="1" x14ac:dyDescent="0.2">
      <c r="A41" s="9">
        <v>4</v>
      </c>
      <c r="B41" s="10" t="s">
        <v>435</v>
      </c>
      <c r="C41" s="10" t="s">
        <v>436</v>
      </c>
      <c r="D41" s="10" t="s">
        <v>101</v>
      </c>
      <c r="E41" s="11">
        <v>500000</v>
      </c>
      <c r="F41" s="12">
        <v>472.46249999999998</v>
      </c>
      <c r="G41" s="13">
        <v>8.5736235999999993E-2</v>
      </c>
      <c r="H41" s="72">
        <v>6.9775</v>
      </c>
      <c r="I41" s="73"/>
      <c r="K41" s="41"/>
      <c r="L41" s="41"/>
      <c r="M41" s="41"/>
      <c r="N41" s="41"/>
      <c r="O41" s="41"/>
    </row>
    <row r="42" spans="1:15" ht="29.1" customHeight="1" x14ac:dyDescent="0.2">
      <c r="A42" s="9">
        <v>5</v>
      </c>
      <c r="B42" s="10" t="s">
        <v>437</v>
      </c>
      <c r="C42" s="10" t="s">
        <v>438</v>
      </c>
      <c r="D42" s="10" t="s">
        <v>101</v>
      </c>
      <c r="E42" s="11">
        <v>398700</v>
      </c>
      <c r="F42" s="12">
        <v>374.82584400000002</v>
      </c>
      <c r="G42" s="13">
        <v>6.8018429000000005E-2</v>
      </c>
      <c r="H42" s="72">
        <v>7.4196999999999997</v>
      </c>
      <c r="I42" s="73"/>
      <c r="K42" s="41"/>
      <c r="L42" s="41"/>
      <c r="M42" s="41"/>
      <c r="N42" s="41"/>
      <c r="O42" s="41"/>
    </row>
    <row r="43" spans="1:15" ht="14.1" customHeight="1" x14ac:dyDescent="0.2">
      <c r="A43" s="1"/>
      <c r="B43" s="1"/>
      <c r="C43" s="2" t="s">
        <v>11</v>
      </c>
      <c r="D43" s="1"/>
      <c r="E43" s="1" t="s">
        <v>12</v>
      </c>
      <c r="F43" s="7">
        <v>3224.6893439999999</v>
      </c>
      <c r="G43" s="8">
        <v>0.58517390400000002</v>
      </c>
      <c r="H43" s="72"/>
      <c r="I43" s="73"/>
      <c r="K43" s="41"/>
      <c r="L43" s="41"/>
      <c r="M43" s="41"/>
      <c r="N43" s="41"/>
      <c r="O43" s="41"/>
    </row>
    <row r="44" spans="1:15" ht="14.1" customHeight="1" x14ac:dyDescent="0.2">
      <c r="A44" s="1"/>
      <c r="B44" s="1"/>
      <c r="C44" s="5"/>
      <c r="D44" s="1"/>
      <c r="E44" s="1"/>
      <c r="F44" s="6"/>
      <c r="G44" s="6"/>
      <c r="H44" s="72"/>
      <c r="I44" s="73"/>
    </row>
    <row r="45" spans="1:15" ht="14.1" customHeight="1" x14ac:dyDescent="0.2">
      <c r="A45" s="1"/>
      <c r="B45" s="1"/>
      <c r="C45" s="2" t="s">
        <v>108</v>
      </c>
      <c r="D45" s="1"/>
      <c r="E45" s="1"/>
      <c r="F45" s="6"/>
      <c r="G45" s="6"/>
      <c r="H45" s="72"/>
      <c r="I45" s="73"/>
    </row>
    <row r="46" spans="1:15" ht="14.1" customHeight="1" x14ac:dyDescent="0.2">
      <c r="A46" s="1"/>
      <c r="B46" s="1"/>
      <c r="C46" s="2" t="s">
        <v>11</v>
      </c>
      <c r="D46" s="1"/>
      <c r="E46" s="1" t="s">
        <v>12</v>
      </c>
      <c r="F46" s="3">
        <v>0</v>
      </c>
      <c r="G46" s="4">
        <v>0</v>
      </c>
      <c r="H46" s="72"/>
      <c r="I46" s="73"/>
    </row>
    <row r="47" spans="1:15" ht="14.1" customHeight="1" x14ac:dyDescent="0.2">
      <c r="A47" s="1"/>
      <c r="B47" s="1"/>
      <c r="C47" s="5"/>
      <c r="D47" s="1"/>
      <c r="E47" s="1"/>
      <c r="F47" s="6"/>
      <c r="G47" s="6"/>
      <c r="H47" s="72"/>
      <c r="I47" s="73"/>
    </row>
    <row r="48" spans="1:15" ht="14.1" customHeight="1" x14ac:dyDescent="0.2">
      <c r="A48" s="1"/>
      <c r="B48" s="1"/>
      <c r="C48" s="2" t="s">
        <v>109</v>
      </c>
      <c r="D48" s="1"/>
      <c r="E48" s="1"/>
      <c r="F48" s="7">
        <v>4807.4181440000002</v>
      </c>
      <c r="G48" s="8">
        <v>0.87238655899999995</v>
      </c>
      <c r="H48" s="72"/>
      <c r="I48" s="73"/>
    </row>
    <row r="49" spans="1:9" ht="14.1" customHeight="1" x14ac:dyDescent="0.2">
      <c r="A49" s="1"/>
      <c r="B49" s="1"/>
      <c r="C49" s="5"/>
      <c r="D49" s="1"/>
      <c r="E49" s="1"/>
      <c r="F49" s="6"/>
      <c r="G49" s="6"/>
      <c r="H49" s="72"/>
      <c r="I49" s="73"/>
    </row>
    <row r="50" spans="1:9" ht="14.1" customHeight="1" x14ac:dyDescent="0.2">
      <c r="A50" s="1"/>
      <c r="B50" s="1"/>
      <c r="C50" s="2" t="s">
        <v>110</v>
      </c>
      <c r="D50" s="1"/>
      <c r="E50" s="1"/>
      <c r="F50" s="6"/>
      <c r="G50" s="6"/>
      <c r="H50" s="72"/>
      <c r="I50" s="73"/>
    </row>
    <row r="51" spans="1:9" ht="14.1" customHeight="1" x14ac:dyDescent="0.2">
      <c r="A51" s="1"/>
      <c r="B51" s="1"/>
      <c r="C51" s="2" t="s">
        <v>111</v>
      </c>
      <c r="D51" s="1"/>
      <c r="E51" s="1"/>
      <c r="F51" s="6"/>
      <c r="G51" s="6"/>
      <c r="H51" s="72"/>
      <c r="I51" s="73"/>
    </row>
    <row r="52" spans="1:9" ht="14.1" customHeight="1" x14ac:dyDescent="0.2">
      <c r="A52" s="1"/>
      <c r="B52" s="1"/>
      <c r="C52" s="2" t="s">
        <v>11</v>
      </c>
      <c r="D52" s="1"/>
      <c r="E52" s="1" t="s">
        <v>12</v>
      </c>
      <c r="F52" s="3">
        <v>0</v>
      </c>
      <c r="G52" s="4">
        <v>0</v>
      </c>
      <c r="H52" s="72"/>
      <c r="I52" s="73"/>
    </row>
    <row r="53" spans="1:9" ht="14.1" customHeight="1" x14ac:dyDescent="0.2">
      <c r="A53" s="1"/>
      <c r="B53" s="1"/>
      <c r="C53" s="5"/>
      <c r="D53" s="1"/>
      <c r="E53" s="1"/>
      <c r="F53" s="6"/>
      <c r="G53" s="6"/>
      <c r="H53" s="72"/>
      <c r="I53" s="73"/>
    </row>
    <row r="54" spans="1:9" ht="14.1" customHeight="1" x14ac:dyDescent="0.2">
      <c r="A54" s="1"/>
      <c r="B54" s="1"/>
      <c r="C54" s="2" t="s">
        <v>120</v>
      </c>
      <c r="D54" s="1"/>
      <c r="E54" s="1"/>
      <c r="F54" s="6"/>
      <c r="G54" s="6"/>
      <c r="H54" s="72"/>
      <c r="I54" s="73"/>
    </row>
    <row r="55" spans="1:9" ht="14.1" customHeight="1" x14ac:dyDescent="0.2">
      <c r="A55" s="1"/>
      <c r="B55" s="1"/>
      <c r="C55" s="2" t="s">
        <v>11</v>
      </c>
      <c r="D55" s="1"/>
      <c r="E55" s="1" t="s">
        <v>12</v>
      </c>
      <c r="F55" s="3">
        <v>0</v>
      </c>
      <c r="G55" s="4">
        <v>0</v>
      </c>
      <c r="H55" s="72"/>
      <c r="I55" s="73"/>
    </row>
    <row r="56" spans="1:9" ht="14.1" customHeight="1" x14ac:dyDescent="0.2">
      <c r="A56" s="1"/>
      <c r="B56" s="1"/>
      <c r="C56" s="5"/>
      <c r="D56" s="1"/>
      <c r="E56" s="1"/>
      <c r="F56" s="6"/>
      <c r="G56" s="6"/>
      <c r="H56" s="72"/>
      <c r="I56" s="73"/>
    </row>
    <row r="57" spans="1:9" ht="14.1" customHeight="1" x14ac:dyDescent="0.2">
      <c r="A57" s="1"/>
      <c r="B57" s="1"/>
      <c r="C57" s="2" t="s">
        <v>123</v>
      </c>
      <c r="D57" s="1"/>
      <c r="E57" s="1"/>
      <c r="F57" s="6"/>
      <c r="G57" s="6"/>
      <c r="H57" s="72"/>
      <c r="I57" s="73"/>
    </row>
    <row r="58" spans="1:9" ht="14.1" customHeight="1" x14ac:dyDescent="0.2">
      <c r="A58" s="1"/>
      <c r="B58" s="1"/>
      <c r="C58" s="2" t="s">
        <v>11</v>
      </c>
      <c r="D58" s="1"/>
      <c r="E58" s="1" t="s">
        <v>12</v>
      </c>
      <c r="F58" s="3">
        <v>0</v>
      </c>
      <c r="G58" s="4">
        <v>0</v>
      </c>
      <c r="H58" s="72"/>
      <c r="I58" s="73"/>
    </row>
    <row r="59" spans="1:9" ht="14.1" customHeight="1" x14ac:dyDescent="0.2">
      <c r="A59" s="1"/>
      <c r="B59" s="1"/>
      <c r="C59" s="5"/>
      <c r="D59" s="1"/>
      <c r="E59" s="1"/>
      <c r="F59" s="6"/>
      <c r="G59" s="6"/>
      <c r="H59" s="72"/>
      <c r="I59" s="73"/>
    </row>
    <row r="60" spans="1:9" ht="14.1" customHeight="1" x14ac:dyDescent="0.2">
      <c r="A60" s="1"/>
      <c r="B60" s="1"/>
      <c r="C60" s="2" t="s">
        <v>124</v>
      </c>
      <c r="D60" s="1"/>
      <c r="E60" s="1"/>
      <c r="F60" s="6"/>
      <c r="G60" s="6"/>
      <c r="H60" s="72"/>
      <c r="I60" s="73"/>
    </row>
    <row r="61" spans="1:9" ht="17.100000000000001" customHeight="1" x14ac:dyDescent="0.2">
      <c r="A61" s="9">
        <v>1</v>
      </c>
      <c r="B61" s="10"/>
      <c r="C61" s="10" t="s">
        <v>125</v>
      </c>
      <c r="D61" s="10"/>
      <c r="E61" s="14"/>
      <c r="F61" s="12">
        <v>619.64058590000002</v>
      </c>
      <c r="G61" s="13">
        <v>0.112444165</v>
      </c>
      <c r="H61" s="72">
        <v>4.1713246754849944</v>
      </c>
      <c r="I61" s="73"/>
    </row>
    <row r="62" spans="1:9" ht="14.1" customHeight="1" x14ac:dyDescent="0.2">
      <c r="A62" s="1"/>
      <c r="B62" s="1"/>
      <c r="C62" s="2" t="s">
        <v>11</v>
      </c>
      <c r="D62" s="1"/>
      <c r="E62" s="1" t="s">
        <v>12</v>
      </c>
      <c r="F62" s="7">
        <v>619.64058590000002</v>
      </c>
      <c r="G62" s="8">
        <v>0.112444165</v>
      </c>
      <c r="H62" s="72"/>
      <c r="I62" s="73"/>
    </row>
    <row r="63" spans="1:9" ht="14.1" customHeight="1" x14ac:dyDescent="0.2">
      <c r="A63" s="1"/>
      <c r="B63" s="1"/>
      <c r="C63" s="5"/>
      <c r="D63" s="1"/>
      <c r="E63" s="1"/>
      <c r="F63" s="6"/>
      <c r="G63" s="6"/>
      <c r="H63" s="72"/>
      <c r="I63" s="73"/>
    </row>
    <row r="64" spans="1:9" ht="14.1" customHeight="1" x14ac:dyDescent="0.2">
      <c r="A64" s="1"/>
      <c r="B64" s="1"/>
      <c r="C64" s="2" t="s">
        <v>126</v>
      </c>
      <c r="D64" s="1"/>
      <c r="E64" s="1"/>
      <c r="F64" s="7">
        <v>619.64058590000002</v>
      </c>
      <c r="G64" s="8">
        <v>0.112444165</v>
      </c>
      <c r="H64" s="72"/>
      <c r="I64" s="73"/>
    </row>
    <row r="65" spans="1:9" ht="14.1" customHeight="1" x14ac:dyDescent="0.2">
      <c r="A65" s="1"/>
      <c r="B65" s="1"/>
      <c r="C65" s="6"/>
      <c r="D65" s="1"/>
      <c r="E65" s="1"/>
      <c r="F65" s="1"/>
      <c r="G65" s="1"/>
      <c r="H65" s="72"/>
      <c r="I65" s="73"/>
    </row>
    <row r="66" spans="1:9" ht="14.1" customHeight="1" x14ac:dyDescent="0.2">
      <c r="A66" s="1"/>
      <c r="B66" s="1"/>
      <c r="C66" s="2" t="s">
        <v>127</v>
      </c>
      <c r="D66" s="1"/>
      <c r="E66" s="1"/>
      <c r="F66" s="1"/>
      <c r="G66" s="1"/>
      <c r="H66" s="72"/>
      <c r="I66" s="73"/>
    </row>
    <row r="67" spans="1:9" ht="14.1" customHeight="1" x14ac:dyDescent="0.2">
      <c r="A67" s="1"/>
      <c r="B67" s="1"/>
      <c r="C67" s="2" t="s">
        <v>128</v>
      </c>
      <c r="D67" s="1"/>
      <c r="E67" s="1"/>
      <c r="F67" s="1"/>
      <c r="G67" s="1"/>
      <c r="H67" s="72"/>
      <c r="I67" s="73"/>
    </row>
    <row r="68" spans="1:9" ht="14.1" customHeight="1" x14ac:dyDescent="0.2">
      <c r="A68" s="1"/>
      <c r="B68" s="1"/>
      <c r="C68" s="2" t="s">
        <v>11</v>
      </c>
      <c r="D68" s="1"/>
      <c r="E68" s="1" t="s">
        <v>12</v>
      </c>
      <c r="F68" s="3">
        <v>0</v>
      </c>
      <c r="G68" s="4">
        <v>0</v>
      </c>
      <c r="H68" s="72"/>
      <c r="I68" s="73"/>
    </row>
    <row r="69" spans="1:9" ht="14.1" customHeight="1" x14ac:dyDescent="0.2">
      <c r="A69" s="1"/>
      <c r="B69" s="1"/>
      <c r="C69" s="5"/>
      <c r="D69" s="1"/>
      <c r="E69" s="1"/>
      <c r="F69" s="6"/>
      <c r="G69" s="6"/>
      <c r="H69" s="72"/>
      <c r="I69" s="73"/>
    </row>
    <row r="70" spans="1:9" ht="14.1" customHeight="1" x14ac:dyDescent="0.2">
      <c r="A70" s="1"/>
      <c r="B70" s="1"/>
      <c r="C70" s="2" t="s">
        <v>129</v>
      </c>
      <c r="D70" s="1"/>
      <c r="E70" s="1"/>
      <c r="F70" s="1"/>
      <c r="G70" s="1"/>
      <c r="H70" s="72"/>
      <c r="I70" s="73"/>
    </row>
    <row r="71" spans="1:9" ht="14.1" customHeight="1" x14ac:dyDescent="0.2">
      <c r="A71" s="1"/>
      <c r="B71" s="1"/>
      <c r="C71" s="2" t="s">
        <v>130</v>
      </c>
      <c r="D71" s="1"/>
      <c r="E71" s="1"/>
      <c r="F71" s="1"/>
      <c r="G71" s="1"/>
      <c r="H71" s="72"/>
      <c r="I71" s="73"/>
    </row>
    <row r="72" spans="1:9" ht="14.1" customHeight="1" x14ac:dyDescent="0.2">
      <c r="A72" s="1"/>
      <c r="B72" s="1"/>
      <c r="C72" s="2" t="s">
        <v>11</v>
      </c>
      <c r="D72" s="1"/>
      <c r="E72" s="1" t="s">
        <v>12</v>
      </c>
      <c r="F72" s="3">
        <v>0</v>
      </c>
      <c r="G72" s="4">
        <v>0</v>
      </c>
      <c r="H72" s="72"/>
      <c r="I72" s="73"/>
    </row>
    <row r="73" spans="1:9" ht="14.1" customHeight="1" x14ac:dyDescent="0.2">
      <c r="A73" s="1"/>
      <c r="B73" s="1"/>
      <c r="C73" s="5"/>
      <c r="D73" s="1"/>
      <c r="E73" s="1"/>
      <c r="F73" s="6"/>
      <c r="G73" s="6"/>
      <c r="H73" s="72"/>
      <c r="I73" s="73"/>
    </row>
    <row r="74" spans="1:9" ht="24" customHeight="1" x14ac:dyDescent="0.2">
      <c r="A74" s="1"/>
      <c r="B74" s="1"/>
      <c r="C74" s="2" t="s">
        <v>131</v>
      </c>
      <c r="D74" s="1"/>
      <c r="E74" s="1"/>
      <c r="F74" s="6"/>
      <c r="G74" s="6"/>
      <c r="H74" s="72"/>
      <c r="I74" s="73"/>
    </row>
    <row r="75" spans="1:9" ht="14.1" customHeight="1" x14ac:dyDescent="0.2">
      <c r="A75" s="1"/>
      <c r="B75" s="1"/>
      <c r="C75" s="2" t="s">
        <v>11</v>
      </c>
      <c r="D75" s="1"/>
      <c r="E75" s="1" t="s">
        <v>12</v>
      </c>
      <c r="F75" s="3">
        <v>0</v>
      </c>
      <c r="G75" s="4">
        <v>0</v>
      </c>
      <c r="H75" s="72"/>
      <c r="I75" s="73"/>
    </row>
    <row r="76" spans="1:9" ht="14.1" customHeight="1" x14ac:dyDescent="0.2">
      <c r="A76" s="1"/>
      <c r="B76" s="1"/>
      <c r="C76" s="5"/>
      <c r="D76" s="1"/>
      <c r="E76" s="1"/>
      <c r="F76" s="6"/>
      <c r="G76" s="6"/>
      <c r="H76" s="72"/>
      <c r="I76" s="73"/>
    </row>
    <row r="77" spans="1:9" ht="14.1" customHeight="1" x14ac:dyDescent="0.2">
      <c r="A77" s="1"/>
      <c r="B77" s="10"/>
      <c r="C77" s="10"/>
      <c r="D77" s="2"/>
      <c r="E77" s="1"/>
      <c r="F77" s="10"/>
      <c r="G77" s="14"/>
      <c r="H77" s="72"/>
      <c r="I77" s="73"/>
    </row>
    <row r="78" spans="1:9" ht="18" customHeight="1" x14ac:dyDescent="0.2">
      <c r="A78" s="14"/>
      <c r="B78" s="10"/>
      <c r="C78" s="10" t="s">
        <v>132</v>
      </c>
      <c r="D78" s="10"/>
      <c r="E78" s="14"/>
      <c r="F78" s="12">
        <v>83.592591799999994</v>
      </c>
      <c r="G78" s="13">
        <v>1.5169276000000001E-2</v>
      </c>
      <c r="H78" s="72"/>
      <c r="I78" s="73"/>
    </row>
    <row r="79" spans="1:9" ht="14.1" customHeight="1" x14ac:dyDescent="0.2">
      <c r="A79" s="5"/>
      <c r="B79" s="5"/>
      <c r="C79" s="2" t="s">
        <v>133</v>
      </c>
      <c r="D79" s="6"/>
      <c r="E79" s="6"/>
      <c r="F79" s="7">
        <v>5510.6513217000002</v>
      </c>
      <c r="G79" s="8">
        <v>1</v>
      </c>
      <c r="H79" s="72"/>
      <c r="I79" s="73"/>
    </row>
    <row r="80" spans="1:9" ht="14.1" customHeight="1" x14ac:dyDescent="0.2">
      <c r="A80" s="15"/>
      <c r="B80" s="15"/>
      <c r="C80" s="15"/>
      <c r="D80" s="16"/>
      <c r="E80" s="16"/>
      <c r="F80" s="16"/>
      <c r="G80" s="16"/>
    </row>
    <row r="81" spans="1:7" ht="17.100000000000001" customHeight="1" x14ac:dyDescent="0.2">
      <c r="A81" s="17"/>
      <c r="B81" s="90" t="s">
        <v>134</v>
      </c>
      <c r="C81" s="90"/>
      <c r="D81" s="90"/>
      <c r="E81" s="90"/>
      <c r="F81" s="90"/>
      <c r="G81" s="19"/>
    </row>
    <row r="82" spans="1:7" ht="17.100000000000001" customHeight="1" x14ac:dyDescent="0.2">
      <c r="A82" s="17"/>
      <c r="B82" s="90" t="s">
        <v>135</v>
      </c>
      <c r="C82" s="90"/>
      <c r="D82" s="90"/>
      <c r="E82" s="90"/>
      <c r="F82" s="90"/>
      <c r="G82" s="19"/>
    </row>
    <row r="83" spans="1:7" ht="14.1" customHeight="1" x14ac:dyDescent="0.2">
      <c r="A83" s="17"/>
      <c r="B83" s="17"/>
      <c r="C83" s="17"/>
      <c r="D83" s="19"/>
      <c r="E83" s="19"/>
      <c r="F83" s="19"/>
      <c r="G83" s="19"/>
    </row>
    <row r="84" spans="1:7" ht="14.1" customHeight="1" x14ac:dyDescent="0.2">
      <c r="A84" s="17"/>
      <c r="B84" s="91" t="s">
        <v>136</v>
      </c>
      <c r="C84" s="92"/>
      <c r="D84" s="93"/>
      <c r="E84" s="20"/>
      <c r="F84" s="19"/>
      <c r="G84" s="19"/>
    </row>
    <row r="85" spans="1:7" ht="29.1" customHeight="1" x14ac:dyDescent="0.2">
      <c r="A85" s="17"/>
      <c r="B85" s="85" t="s">
        <v>137</v>
      </c>
      <c r="C85" s="86"/>
      <c r="D85" s="39" t="s">
        <v>526</v>
      </c>
      <c r="E85" s="20"/>
      <c r="F85" s="19"/>
      <c r="G85" s="19"/>
    </row>
    <row r="86" spans="1:7" ht="17.100000000000001" customHeight="1" x14ac:dyDescent="0.2">
      <c r="A86" s="17"/>
      <c r="B86" s="85" t="s">
        <v>139</v>
      </c>
      <c r="C86" s="86"/>
      <c r="D86" s="2" t="s">
        <v>138</v>
      </c>
      <c r="E86" s="20"/>
      <c r="F86" s="19"/>
      <c r="G86" s="19"/>
    </row>
    <row r="87" spans="1:7" ht="17.100000000000001" customHeight="1" x14ac:dyDescent="0.2">
      <c r="A87" s="17"/>
      <c r="B87" s="85" t="s">
        <v>140</v>
      </c>
      <c r="C87" s="86"/>
      <c r="D87" s="6" t="s">
        <v>12</v>
      </c>
      <c r="E87" s="20"/>
      <c r="F87" s="19"/>
      <c r="G87" s="19"/>
    </row>
    <row r="88" spans="1:7" ht="24" customHeight="1" x14ac:dyDescent="0.2">
      <c r="A88" s="21"/>
      <c r="B88" s="22" t="s">
        <v>12</v>
      </c>
      <c r="C88" s="22" t="s">
        <v>141</v>
      </c>
      <c r="D88" s="22" t="s">
        <v>142</v>
      </c>
      <c r="E88" s="21"/>
      <c r="F88" s="21"/>
      <c r="G88" s="21"/>
    </row>
    <row r="89" spans="1:7" ht="18" customHeight="1" x14ac:dyDescent="0.2">
      <c r="A89" s="21"/>
      <c r="B89" s="23" t="s">
        <v>143</v>
      </c>
      <c r="C89" s="22" t="s">
        <v>144</v>
      </c>
      <c r="D89" s="22" t="s">
        <v>145</v>
      </c>
      <c r="E89" s="21"/>
      <c r="F89" s="21"/>
      <c r="G89" s="21"/>
    </row>
    <row r="90" spans="1:7" ht="17.100000000000001" customHeight="1" x14ac:dyDescent="0.2">
      <c r="A90" s="21"/>
      <c r="B90" s="10" t="s">
        <v>146</v>
      </c>
      <c r="C90" s="24">
        <v>63.594999999999999</v>
      </c>
      <c r="D90" s="24">
        <v>62.808999999999997</v>
      </c>
      <c r="E90" s="21"/>
      <c r="F90" s="18"/>
      <c r="G90" s="25"/>
    </row>
    <row r="91" spans="1:7" ht="29.1" customHeight="1" x14ac:dyDescent="0.2">
      <c r="A91" s="21"/>
      <c r="B91" s="10" t="s">
        <v>535</v>
      </c>
      <c r="C91" s="24">
        <v>23.394200000000001</v>
      </c>
      <c r="D91" s="24">
        <v>23.104500000000002</v>
      </c>
      <c r="E91" s="21"/>
      <c r="F91" s="18"/>
      <c r="G91" s="25"/>
    </row>
    <row r="92" spans="1:7" ht="29.1" customHeight="1" x14ac:dyDescent="0.2">
      <c r="A92" s="21"/>
      <c r="B92" s="10" t="s">
        <v>537</v>
      </c>
      <c r="C92" s="24">
        <v>13.113899999999999</v>
      </c>
      <c r="D92" s="24">
        <v>12.9514</v>
      </c>
      <c r="E92" s="21"/>
      <c r="F92" s="18"/>
      <c r="G92" s="25"/>
    </row>
    <row r="93" spans="1:7" ht="29.1" customHeight="1" x14ac:dyDescent="0.2">
      <c r="A93" s="21"/>
      <c r="B93" s="10" t="s">
        <v>439</v>
      </c>
      <c r="C93" s="24">
        <v>66.215699999999998</v>
      </c>
      <c r="D93" s="24">
        <v>65.339699999999993</v>
      </c>
      <c r="E93" s="21"/>
      <c r="F93" s="18"/>
      <c r="G93" s="25"/>
    </row>
    <row r="94" spans="1:7" ht="17.100000000000001" customHeight="1" x14ac:dyDescent="0.2">
      <c r="A94" s="21"/>
      <c r="B94" s="10" t="s">
        <v>147</v>
      </c>
      <c r="C94" s="24">
        <v>58.581499999999998</v>
      </c>
      <c r="D94" s="24">
        <v>57.819400000000002</v>
      </c>
      <c r="E94" s="21"/>
      <c r="F94" s="18"/>
      <c r="G94" s="25"/>
    </row>
    <row r="95" spans="1:7" ht="17.100000000000001" customHeight="1" x14ac:dyDescent="0.2">
      <c r="A95" s="21"/>
      <c r="B95" s="10" t="s">
        <v>207</v>
      </c>
      <c r="C95" s="24">
        <v>20.008199999999999</v>
      </c>
      <c r="D95" s="24">
        <v>19.748000000000001</v>
      </c>
      <c r="E95" s="21"/>
      <c r="F95" s="18"/>
      <c r="G95" s="25"/>
    </row>
    <row r="96" spans="1:7" ht="25.5" x14ac:dyDescent="0.2">
      <c r="A96" s="21"/>
      <c r="B96" s="74" t="s">
        <v>539</v>
      </c>
      <c r="C96" s="24">
        <v>12.1774</v>
      </c>
      <c r="D96" s="24">
        <v>12.019</v>
      </c>
      <c r="E96" s="21"/>
      <c r="F96" s="18"/>
      <c r="G96" s="25"/>
    </row>
    <row r="97" spans="1:15" ht="29.1" customHeight="1" x14ac:dyDescent="0.2">
      <c r="A97" s="21"/>
      <c r="B97" s="10" t="s">
        <v>540</v>
      </c>
      <c r="C97" s="24">
        <v>12.430999999999999</v>
      </c>
      <c r="D97" s="24">
        <v>12.269299999999999</v>
      </c>
      <c r="E97" s="21"/>
      <c r="F97" s="18"/>
      <c r="G97" s="25"/>
    </row>
    <row r="98" spans="1:15" ht="29.1" customHeight="1" x14ac:dyDescent="0.2">
      <c r="A98" s="21"/>
      <c r="B98" s="10" t="s">
        <v>541</v>
      </c>
      <c r="C98" s="24">
        <v>11.906000000000001</v>
      </c>
      <c r="D98" s="24">
        <v>11.751099999999999</v>
      </c>
      <c r="E98" s="21"/>
      <c r="F98" s="18"/>
      <c r="G98" s="25"/>
    </row>
    <row r="99" spans="1:15" ht="14.1" customHeight="1" x14ac:dyDescent="0.2">
      <c r="A99" s="21"/>
      <c r="B99" s="21"/>
      <c r="C99" s="21"/>
      <c r="D99" s="21"/>
      <c r="E99" s="21"/>
      <c r="F99" s="21"/>
      <c r="G99" s="21"/>
    </row>
    <row r="100" spans="1:15" ht="17.100000000000001" customHeight="1" x14ac:dyDescent="0.2">
      <c r="A100" s="21"/>
      <c r="B100" s="85" t="s">
        <v>542</v>
      </c>
      <c r="C100" s="86"/>
      <c r="D100" s="2" t="s">
        <v>138</v>
      </c>
      <c r="E100" s="21"/>
      <c r="F100" s="21"/>
      <c r="G100" s="21"/>
    </row>
    <row r="101" spans="1:15" ht="10.5" customHeight="1" x14ac:dyDescent="0.2">
      <c r="A101" s="21"/>
      <c r="B101" s="33"/>
      <c r="C101" s="33"/>
      <c r="D101" s="33"/>
      <c r="E101" s="21"/>
      <c r="F101" s="21"/>
      <c r="G101" s="21"/>
    </row>
    <row r="102" spans="1:15" ht="17.100000000000001" customHeight="1" x14ac:dyDescent="0.2">
      <c r="A102" s="21"/>
      <c r="B102" s="94" t="s">
        <v>479</v>
      </c>
      <c r="C102" s="95"/>
      <c r="D102" s="2" t="s">
        <v>138</v>
      </c>
      <c r="E102" s="21"/>
      <c r="F102" s="18"/>
      <c r="G102" s="25"/>
    </row>
    <row r="103" spans="1:15" ht="29.1" customHeight="1" x14ac:dyDescent="0.2">
      <c r="A103" s="21"/>
      <c r="B103" s="94" t="s">
        <v>480</v>
      </c>
      <c r="C103" s="95"/>
      <c r="D103" s="2" t="s">
        <v>138</v>
      </c>
      <c r="E103" s="31"/>
      <c r="F103" s="21"/>
      <c r="G103" s="21"/>
    </row>
    <row r="104" spans="1:15" ht="29.1" customHeight="1" x14ac:dyDescent="0.2">
      <c r="A104" s="21"/>
      <c r="B104" s="94" t="s">
        <v>481</v>
      </c>
      <c r="C104" s="95"/>
      <c r="D104" s="2" t="s">
        <v>138</v>
      </c>
      <c r="E104" s="31"/>
      <c r="F104" s="21"/>
      <c r="G104" s="21"/>
    </row>
    <row r="105" spans="1:15" ht="17.100000000000001" customHeight="1" x14ac:dyDescent="0.2">
      <c r="A105" s="21"/>
      <c r="B105" s="94" t="s">
        <v>482</v>
      </c>
      <c r="C105" s="95"/>
      <c r="D105" s="32">
        <v>3.6306241594272999</v>
      </c>
      <c r="E105" s="31"/>
      <c r="F105" s="21"/>
      <c r="G105" s="21"/>
    </row>
    <row r="106" spans="1:15" ht="17.100000000000001" customHeight="1" x14ac:dyDescent="0.2">
      <c r="A106" s="21"/>
      <c r="B106" s="94" t="s">
        <v>483</v>
      </c>
      <c r="C106" s="95"/>
      <c r="D106" s="32">
        <v>3.1016987692816165</v>
      </c>
      <c r="E106" s="31"/>
      <c r="F106" s="21"/>
      <c r="G106" s="21"/>
    </row>
    <row r="107" spans="1:15" ht="17.100000000000001" customHeight="1" x14ac:dyDescent="0.2">
      <c r="A107" s="21"/>
      <c r="B107" s="94" t="s">
        <v>484</v>
      </c>
      <c r="C107" s="95"/>
      <c r="D107" s="2" t="s">
        <v>138</v>
      </c>
      <c r="E107" s="31"/>
      <c r="F107" s="21"/>
      <c r="G107" s="21"/>
    </row>
    <row r="109" spans="1:15" x14ac:dyDescent="0.2">
      <c r="B109" s="143" t="s">
        <v>529</v>
      </c>
      <c r="C109" s="144"/>
      <c r="D109" s="144"/>
      <c r="E109" s="144"/>
      <c r="F109" s="144"/>
      <c r="G109" s="145"/>
    </row>
    <row r="110" spans="1:15" ht="29.25" customHeight="1" x14ac:dyDescent="0.25">
      <c r="B110" s="116" t="s">
        <v>492</v>
      </c>
      <c r="C110" s="116" t="s">
        <v>493</v>
      </c>
      <c r="D110" s="117" t="s">
        <v>487</v>
      </c>
      <c r="E110" s="118"/>
      <c r="F110" s="119" t="s">
        <v>488</v>
      </c>
      <c r="G110" s="119"/>
      <c r="H110" s="120"/>
      <c r="I110" s="121"/>
      <c r="J110" s="121"/>
      <c r="K110" s="121"/>
      <c r="L110" s="121"/>
      <c r="M110" s="121"/>
      <c r="N110" s="121"/>
      <c r="O110" s="121"/>
    </row>
    <row r="111" spans="1:15" ht="26.25" x14ac:dyDescent="0.25">
      <c r="B111" s="122" t="s">
        <v>522</v>
      </c>
      <c r="C111" s="123" t="s">
        <v>523</v>
      </c>
      <c r="D111" s="124">
        <v>0</v>
      </c>
      <c r="E111" s="125"/>
      <c r="F111" s="124">
        <v>0</v>
      </c>
      <c r="G111" s="125"/>
      <c r="H111" s="126"/>
      <c r="I111" s="121"/>
      <c r="J111" s="121"/>
      <c r="K111" s="121"/>
      <c r="L111" s="121"/>
      <c r="M111" s="121"/>
      <c r="N111" s="121"/>
      <c r="O111" s="121"/>
    </row>
    <row r="112" spans="1:15" ht="15" x14ac:dyDescent="0.25">
      <c r="B112" s="127" t="s">
        <v>524</v>
      </c>
      <c r="C112" s="128"/>
      <c r="D112" s="128"/>
      <c r="E112" s="128"/>
      <c r="F112" s="128"/>
      <c r="G112" s="129"/>
      <c r="H112" s="120"/>
      <c r="I112" s="121"/>
      <c r="J112" s="121"/>
      <c r="K112" s="121"/>
      <c r="L112" s="121"/>
      <c r="M112" s="121"/>
      <c r="N112" s="121"/>
      <c r="O112" s="121"/>
    </row>
    <row r="113" spans="2:15" ht="15" x14ac:dyDescent="0.25">
      <c r="B113" s="119" t="s">
        <v>492</v>
      </c>
      <c r="C113" s="119" t="s">
        <v>493</v>
      </c>
      <c r="D113" s="130" t="s">
        <v>501</v>
      </c>
      <c r="E113" s="131"/>
      <c r="F113" s="132"/>
      <c r="G113" s="122"/>
      <c r="H113" s="133"/>
      <c r="I113" s="121"/>
      <c r="J113" s="121"/>
      <c r="K113" s="121"/>
      <c r="L113" s="121"/>
      <c r="M113" s="121"/>
      <c r="N113" s="121"/>
      <c r="O113" s="121"/>
    </row>
    <row r="114" spans="2:15" ht="38.25" x14ac:dyDescent="0.25">
      <c r="B114" s="119"/>
      <c r="C114" s="119"/>
      <c r="D114" s="134" t="s">
        <v>503</v>
      </c>
      <c r="E114" s="134" t="s">
        <v>525</v>
      </c>
      <c r="F114" s="134" t="s">
        <v>506</v>
      </c>
      <c r="G114" s="134" t="s">
        <v>574</v>
      </c>
      <c r="H114" s="135" t="s">
        <v>575</v>
      </c>
      <c r="I114" s="121"/>
      <c r="J114" s="121"/>
      <c r="K114" s="121"/>
      <c r="L114" s="121"/>
      <c r="M114" s="121"/>
      <c r="N114" s="121"/>
      <c r="O114" s="121"/>
    </row>
    <row r="115" spans="2:15" ht="25.5" x14ac:dyDescent="0.25">
      <c r="B115" s="136" t="s">
        <v>522</v>
      </c>
      <c r="C115" s="137" t="s">
        <v>523</v>
      </c>
      <c r="D115" s="68">
        <v>200</v>
      </c>
      <c r="E115" s="68">
        <v>6.8852450999999997</v>
      </c>
      <c r="F115" s="68">
        <v>206.88524509999999</v>
      </c>
      <c r="G115" s="69">
        <v>3.7499999999999999E-2</v>
      </c>
      <c r="H115" s="138">
        <f>F84*10^5</f>
        <v>0</v>
      </c>
      <c r="I115" s="121"/>
      <c r="J115" s="121"/>
      <c r="K115" s="121"/>
      <c r="L115" s="121"/>
      <c r="M115" s="121"/>
      <c r="N115" s="121"/>
      <c r="O115" s="121"/>
    </row>
    <row r="116" spans="2:15" ht="27.75" customHeight="1" x14ac:dyDescent="0.25">
      <c r="B116" s="139" t="s">
        <v>576</v>
      </c>
      <c r="C116" s="140"/>
      <c r="D116" s="140"/>
      <c r="E116" s="140"/>
      <c r="F116" s="140"/>
      <c r="G116" s="141"/>
      <c r="H116" s="142"/>
      <c r="I116" s="121"/>
      <c r="J116" s="121"/>
      <c r="K116" s="121"/>
      <c r="L116" s="121"/>
      <c r="M116" s="121"/>
      <c r="N116" s="121"/>
      <c r="O116" s="121"/>
    </row>
  </sheetData>
  <mergeCells count="27">
    <mergeCell ref="B113:B114"/>
    <mergeCell ref="C113:C114"/>
    <mergeCell ref="D113:F113"/>
    <mergeCell ref="B116:G116"/>
    <mergeCell ref="B109:G109"/>
    <mergeCell ref="D110:E110"/>
    <mergeCell ref="F110:G110"/>
    <mergeCell ref="D111:E111"/>
    <mergeCell ref="F111:G111"/>
    <mergeCell ref="B112:G112"/>
    <mergeCell ref="K2:O2"/>
    <mergeCell ref="A1:I1"/>
    <mergeCell ref="A2:I2"/>
    <mergeCell ref="A3:I3"/>
    <mergeCell ref="B104:C104"/>
    <mergeCell ref="B81:F81"/>
    <mergeCell ref="B82:F82"/>
    <mergeCell ref="B105:C105"/>
    <mergeCell ref="B102:C102"/>
    <mergeCell ref="B103:C103"/>
    <mergeCell ref="B84:D84"/>
    <mergeCell ref="B85:C85"/>
    <mergeCell ref="B86:C86"/>
    <mergeCell ref="B87:C87"/>
    <mergeCell ref="B100:C100"/>
    <mergeCell ref="B106:C106"/>
    <mergeCell ref="B107:C107"/>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P14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1.42578125" customWidth="1"/>
    <col min="9" max="9" width="11.85546875" customWidth="1"/>
    <col min="10" max="10" width="14.42578125" style="41" bestFit="1" customWidth="1"/>
    <col min="11" max="15" width="9.140625" style="41"/>
  </cols>
  <sheetData>
    <row r="1" spans="1:15" ht="18" customHeight="1" x14ac:dyDescent="0.2">
      <c r="A1" s="89" t="s">
        <v>0</v>
      </c>
      <c r="B1" s="89"/>
      <c r="C1" s="89"/>
      <c r="D1" s="89"/>
      <c r="E1" s="89"/>
      <c r="F1" s="89"/>
      <c r="G1" s="89"/>
      <c r="H1" s="89"/>
    </row>
    <row r="2" spans="1:15" ht="17.100000000000001" customHeight="1" x14ac:dyDescent="0.2">
      <c r="A2" s="89" t="s">
        <v>440</v>
      </c>
      <c r="B2" s="89"/>
      <c r="C2" s="89"/>
      <c r="D2" s="89"/>
      <c r="E2" s="89"/>
      <c r="F2" s="89"/>
      <c r="G2" s="89"/>
      <c r="H2" s="89"/>
      <c r="J2" s="87" t="s">
        <v>555</v>
      </c>
      <c r="K2" s="87"/>
      <c r="L2" s="87"/>
      <c r="M2" s="87"/>
      <c r="N2" s="87"/>
    </row>
    <row r="3" spans="1:15" ht="21" customHeight="1" x14ac:dyDescent="0.2">
      <c r="A3" s="89" t="s">
        <v>550</v>
      </c>
      <c r="B3" s="89"/>
      <c r="C3" s="89"/>
      <c r="D3" s="89"/>
      <c r="E3" s="89"/>
      <c r="F3" s="89"/>
      <c r="G3" s="89"/>
      <c r="H3" s="89"/>
    </row>
    <row r="4" spans="1:15" s="76" customFormat="1" ht="30" x14ac:dyDescent="0.2">
      <c r="A4" s="75" t="s">
        <v>2</v>
      </c>
      <c r="B4" s="75" t="s">
        <v>3</v>
      </c>
      <c r="C4" s="75" t="s">
        <v>4</v>
      </c>
      <c r="D4" s="75" t="s">
        <v>5</v>
      </c>
      <c r="E4" s="75" t="s">
        <v>6</v>
      </c>
      <c r="F4" s="75" t="s">
        <v>7</v>
      </c>
      <c r="G4" s="75" t="s">
        <v>8</v>
      </c>
      <c r="H4" s="71" t="s">
        <v>531</v>
      </c>
      <c r="J4" s="77"/>
      <c r="K4" s="77"/>
      <c r="L4" s="77"/>
      <c r="M4" s="77"/>
      <c r="N4" s="77"/>
      <c r="O4" s="77"/>
    </row>
    <row r="5" spans="1:15" ht="14.1" customHeight="1" x14ac:dyDescent="0.2">
      <c r="A5" s="1"/>
      <c r="B5" s="1"/>
      <c r="C5" s="2" t="s">
        <v>9</v>
      </c>
      <c r="D5" s="1"/>
      <c r="E5" s="1"/>
      <c r="F5" s="1"/>
      <c r="G5" s="1"/>
      <c r="H5" s="72"/>
    </row>
    <row r="6" spans="1:15" ht="24" customHeight="1" x14ac:dyDescent="0.2">
      <c r="A6" s="1"/>
      <c r="B6" s="1"/>
      <c r="C6" s="2" t="s">
        <v>10</v>
      </c>
      <c r="D6" s="1"/>
      <c r="E6" s="1"/>
      <c r="F6" s="1"/>
      <c r="G6" s="1"/>
      <c r="H6" s="72"/>
    </row>
    <row r="7" spans="1:15" ht="17.100000000000001" customHeight="1" x14ac:dyDescent="0.2">
      <c r="A7" s="9">
        <v>1</v>
      </c>
      <c r="B7" s="10" t="s">
        <v>212</v>
      </c>
      <c r="C7" s="10" t="s">
        <v>213</v>
      </c>
      <c r="D7" s="10" t="s">
        <v>214</v>
      </c>
      <c r="E7" s="11">
        <v>12672</v>
      </c>
      <c r="F7" s="12">
        <v>95.401151999999996</v>
      </c>
      <c r="G7" s="13">
        <v>3.0330356999999999E-2</v>
      </c>
      <c r="H7" s="72"/>
    </row>
    <row r="8" spans="1:15" ht="17.100000000000001" customHeight="1" x14ac:dyDescent="0.2">
      <c r="A8" s="9">
        <v>2</v>
      </c>
      <c r="B8" s="10" t="s">
        <v>218</v>
      </c>
      <c r="C8" s="10" t="s">
        <v>219</v>
      </c>
      <c r="D8" s="10" t="s">
        <v>214</v>
      </c>
      <c r="E8" s="11">
        <v>4914</v>
      </c>
      <c r="F8" s="12">
        <v>68.253003000000007</v>
      </c>
      <c r="G8" s="13">
        <v>2.1699296999999999E-2</v>
      </c>
      <c r="H8" s="72"/>
    </row>
    <row r="9" spans="1:15" ht="17.100000000000001" customHeight="1" x14ac:dyDescent="0.2">
      <c r="A9" s="9">
        <v>3</v>
      </c>
      <c r="B9" s="10" t="s">
        <v>220</v>
      </c>
      <c r="C9" s="10" t="s">
        <v>221</v>
      </c>
      <c r="D9" s="10" t="s">
        <v>222</v>
      </c>
      <c r="E9" s="11">
        <v>2151</v>
      </c>
      <c r="F9" s="12">
        <v>56.628301499999999</v>
      </c>
      <c r="G9" s="13">
        <v>1.8003519999999999E-2</v>
      </c>
      <c r="H9" s="72"/>
    </row>
    <row r="10" spans="1:15" ht="17.100000000000001" customHeight="1" x14ac:dyDescent="0.2">
      <c r="A10" s="9">
        <v>4</v>
      </c>
      <c r="B10" s="10" t="s">
        <v>229</v>
      </c>
      <c r="C10" s="10" t="s">
        <v>230</v>
      </c>
      <c r="D10" s="10" t="s">
        <v>231</v>
      </c>
      <c r="E10" s="11">
        <v>2941</v>
      </c>
      <c r="F10" s="12">
        <v>48.658844999999999</v>
      </c>
      <c r="G10" s="13">
        <v>1.5469834999999999E-2</v>
      </c>
      <c r="H10" s="72"/>
    </row>
    <row r="11" spans="1:15" ht="29.1" customHeight="1" x14ac:dyDescent="0.2">
      <c r="A11" s="9">
        <v>5</v>
      </c>
      <c r="B11" s="10" t="s">
        <v>251</v>
      </c>
      <c r="C11" s="10" t="s">
        <v>252</v>
      </c>
      <c r="D11" s="10" t="s">
        <v>253</v>
      </c>
      <c r="E11" s="11">
        <v>260</v>
      </c>
      <c r="F11" s="12">
        <v>35.929270000000002</v>
      </c>
      <c r="G11" s="13">
        <v>1.1422793000000001E-2</v>
      </c>
      <c r="H11" s="72"/>
    </row>
    <row r="12" spans="1:15" ht="17.100000000000001" customHeight="1" x14ac:dyDescent="0.25">
      <c r="A12" s="9">
        <v>6</v>
      </c>
      <c r="B12" s="10" t="s">
        <v>237</v>
      </c>
      <c r="C12" s="10" t="s">
        <v>238</v>
      </c>
      <c r="D12" s="10" t="s">
        <v>214</v>
      </c>
      <c r="E12" s="11">
        <v>5120</v>
      </c>
      <c r="F12" s="12">
        <v>35.082239999999999</v>
      </c>
      <c r="G12" s="13">
        <v>1.1153501E-2</v>
      </c>
      <c r="H12" s="72"/>
      <c r="J12" s="79" t="s">
        <v>564</v>
      </c>
      <c r="K12" s="80"/>
      <c r="L12" s="80"/>
      <c r="M12" s="80"/>
      <c r="N12" s="80"/>
    </row>
    <row r="13" spans="1:15" ht="17.100000000000001" customHeight="1" x14ac:dyDescent="0.2">
      <c r="A13" s="9">
        <v>7</v>
      </c>
      <c r="B13" s="10" t="s">
        <v>215</v>
      </c>
      <c r="C13" s="10" t="s">
        <v>216</v>
      </c>
      <c r="D13" s="10" t="s">
        <v>217</v>
      </c>
      <c r="E13" s="11">
        <v>1855</v>
      </c>
      <c r="F13" s="12">
        <v>27.891780000000001</v>
      </c>
      <c r="G13" s="13">
        <v>8.8674779999999998E-3</v>
      </c>
      <c r="H13" s="72"/>
    </row>
    <row r="14" spans="1:15" ht="29.1" customHeight="1" x14ac:dyDescent="0.2">
      <c r="A14" s="9">
        <v>8</v>
      </c>
      <c r="B14" s="10" t="s">
        <v>223</v>
      </c>
      <c r="C14" s="10" t="s">
        <v>224</v>
      </c>
      <c r="D14" s="10" t="s">
        <v>225</v>
      </c>
      <c r="E14" s="11">
        <v>3116</v>
      </c>
      <c r="F14" s="12">
        <v>26.816296000000001</v>
      </c>
      <c r="G14" s="13">
        <v>8.5255560000000001E-3</v>
      </c>
      <c r="H14" s="72"/>
    </row>
    <row r="15" spans="1:15" ht="17.100000000000001" customHeight="1" x14ac:dyDescent="0.2">
      <c r="A15" s="9">
        <v>9</v>
      </c>
      <c r="B15" s="10" t="s">
        <v>226</v>
      </c>
      <c r="C15" s="10" t="s">
        <v>227</v>
      </c>
      <c r="D15" s="10" t="s">
        <v>228</v>
      </c>
      <c r="E15" s="11">
        <v>3065</v>
      </c>
      <c r="F15" s="12">
        <v>21.461130000000001</v>
      </c>
      <c r="G15" s="13">
        <v>6.8230169999999998E-3</v>
      </c>
      <c r="H15" s="72"/>
    </row>
    <row r="16" spans="1:15" ht="17.100000000000001" customHeight="1" x14ac:dyDescent="0.2">
      <c r="A16" s="9">
        <v>10</v>
      </c>
      <c r="B16" s="10" t="s">
        <v>268</v>
      </c>
      <c r="C16" s="10" t="s">
        <v>269</v>
      </c>
      <c r="D16" s="10" t="s">
        <v>217</v>
      </c>
      <c r="E16" s="11">
        <v>1848</v>
      </c>
      <c r="F16" s="12">
        <v>19.233059999999998</v>
      </c>
      <c r="G16" s="13">
        <v>6.1146600000000001E-3</v>
      </c>
      <c r="H16" s="72"/>
    </row>
    <row r="17" spans="1:15" ht="17.100000000000001" customHeight="1" x14ac:dyDescent="0.2">
      <c r="A17" s="9">
        <v>11</v>
      </c>
      <c r="B17" s="10" t="s">
        <v>239</v>
      </c>
      <c r="C17" s="10" t="s">
        <v>240</v>
      </c>
      <c r="D17" s="10" t="s">
        <v>236</v>
      </c>
      <c r="E17" s="11">
        <v>1812</v>
      </c>
      <c r="F17" s="12">
        <v>19.14378</v>
      </c>
      <c r="G17" s="13">
        <v>6.0862750000000004E-3</v>
      </c>
      <c r="H17" s="72"/>
    </row>
    <row r="18" spans="1:15" ht="29.1" customHeight="1" x14ac:dyDescent="0.2">
      <c r="A18" s="9">
        <v>12</v>
      </c>
      <c r="B18" s="10" t="s">
        <v>243</v>
      </c>
      <c r="C18" s="10" t="s">
        <v>244</v>
      </c>
      <c r="D18" s="10" t="s">
        <v>225</v>
      </c>
      <c r="E18" s="11">
        <v>1813</v>
      </c>
      <c r="F18" s="12">
        <v>18.002183500000001</v>
      </c>
      <c r="G18" s="13">
        <v>5.7233340000000001E-3</v>
      </c>
      <c r="H18" s="72"/>
    </row>
    <row r="19" spans="1:15" ht="17.100000000000001" customHeight="1" x14ac:dyDescent="0.2">
      <c r="A19" s="9">
        <v>13</v>
      </c>
      <c r="B19" s="10" t="s">
        <v>232</v>
      </c>
      <c r="C19" s="10" t="s">
        <v>233</v>
      </c>
      <c r="D19" s="10" t="s">
        <v>214</v>
      </c>
      <c r="E19" s="11">
        <v>3845</v>
      </c>
      <c r="F19" s="12">
        <v>17.998445</v>
      </c>
      <c r="G19" s="13">
        <v>5.7221449999999997E-3</v>
      </c>
      <c r="H19" s="72"/>
    </row>
    <row r="20" spans="1:15" ht="53.1" customHeight="1" x14ac:dyDescent="0.2">
      <c r="A20" s="9">
        <v>14</v>
      </c>
      <c r="B20" s="10" t="s">
        <v>248</v>
      </c>
      <c r="C20" s="10" t="s">
        <v>249</v>
      </c>
      <c r="D20" s="10" t="s">
        <v>250</v>
      </c>
      <c r="E20" s="11">
        <v>12950</v>
      </c>
      <c r="F20" s="12">
        <v>17.806249999999999</v>
      </c>
      <c r="G20" s="13">
        <v>5.6610419999999998E-3</v>
      </c>
      <c r="H20" s="72"/>
    </row>
    <row r="21" spans="1:15" ht="17.100000000000001" customHeight="1" x14ac:dyDescent="0.2">
      <c r="A21" s="9">
        <v>15</v>
      </c>
      <c r="B21" s="10" t="s">
        <v>245</v>
      </c>
      <c r="C21" s="10" t="s">
        <v>246</v>
      </c>
      <c r="D21" s="10" t="s">
        <v>247</v>
      </c>
      <c r="E21" s="11">
        <v>881</v>
      </c>
      <c r="F21" s="12">
        <v>15.240859499999999</v>
      </c>
      <c r="G21" s="13">
        <v>4.8454420000000002E-3</v>
      </c>
      <c r="H21" s="72"/>
    </row>
    <row r="22" spans="1:15" ht="17.100000000000001" customHeight="1" x14ac:dyDescent="0.2">
      <c r="A22" s="9">
        <v>16</v>
      </c>
      <c r="B22" s="10" t="s">
        <v>255</v>
      </c>
      <c r="C22" s="10" t="s">
        <v>256</v>
      </c>
      <c r="D22" s="10" t="s">
        <v>254</v>
      </c>
      <c r="E22" s="11">
        <v>372</v>
      </c>
      <c r="F22" s="12">
        <v>14.374452</v>
      </c>
      <c r="G22" s="13">
        <v>4.569989E-3</v>
      </c>
      <c r="H22" s="72"/>
    </row>
    <row r="23" spans="1:15" ht="29.1" customHeight="1" x14ac:dyDescent="0.2">
      <c r="A23" s="9">
        <v>17</v>
      </c>
      <c r="B23" s="10" t="s">
        <v>265</v>
      </c>
      <c r="C23" s="10" t="s">
        <v>266</v>
      </c>
      <c r="D23" s="10" t="s">
        <v>267</v>
      </c>
      <c r="E23" s="11">
        <v>515</v>
      </c>
      <c r="F23" s="12">
        <v>14.2055025</v>
      </c>
      <c r="G23" s="13">
        <v>4.5162759999999996E-3</v>
      </c>
      <c r="H23" s="72"/>
    </row>
    <row r="24" spans="1:15" ht="29.1" customHeight="1" x14ac:dyDescent="0.2">
      <c r="A24" s="9">
        <v>18</v>
      </c>
      <c r="B24" s="10" t="s">
        <v>241</v>
      </c>
      <c r="C24" s="10" t="s">
        <v>242</v>
      </c>
      <c r="D24" s="10" t="s">
        <v>225</v>
      </c>
      <c r="E24" s="11">
        <v>406</v>
      </c>
      <c r="F24" s="12">
        <v>11.615456999999999</v>
      </c>
      <c r="G24" s="13">
        <v>3.6928379999999999E-3</v>
      </c>
      <c r="H24" s="72"/>
    </row>
    <row r="25" spans="1:15" ht="17.100000000000001" customHeight="1" x14ac:dyDescent="0.2">
      <c r="A25" s="9">
        <v>19</v>
      </c>
      <c r="B25" s="10" t="s">
        <v>260</v>
      </c>
      <c r="C25" s="10" t="s">
        <v>261</v>
      </c>
      <c r="D25" s="10" t="s">
        <v>214</v>
      </c>
      <c r="E25" s="11">
        <v>5313</v>
      </c>
      <c r="F25" s="12">
        <v>10.0389135</v>
      </c>
      <c r="G25" s="13">
        <v>3.191616E-3</v>
      </c>
      <c r="H25" s="72"/>
    </row>
    <row r="26" spans="1:15" ht="17.100000000000001" customHeight="1" x14ac:dyDescent="0.2">
      <c r="A26" s="9">
        <v>20</v>
      </c>
      <c r="B26" s="10" t="s">
        <v>441</v>
      </c>
      <c r="C26" s="10" t="s">
        <v>442</v>
      </c>
      <c r="D26" s="10" t="s">
        <v>217</v>
      </c>
      <c r="E26" s="11">
        <v>305</v>
      </c>
      <c r="F26" s="12">
        <v>9.2953325000000007</v>
      </c>
      <c r="G26" s="13">
        <v>2.9552129999999999E-3</v>
      </c>
      <c r="H26" s="72"/>
    </row>
    <row r="27" spans="1:15" ht="17.100000000000001" customHeight="1" x14ac:dyDescent="0.2">
      <c r="A27" s="9">
        <v>21</v>
      </c>
      <c r="B27" s="10" t="s">
        <v>234</v>
      </c>
      <c r="C27" s="10" t="s">
        <v>235</v>
      </c>
      <c r="D27" s="10" t="s">
        <v>236</v>
      </c>
      <c r="E27" s="11">
        <v>1145</v>
      </c>
      <c r="F27" s="12">
        <v>9.2676300000000005</v>
      </c>
      <c r="G27" s="13">
        <v>2.9464059999999999E-3</v>
      </c>
      <c r="H27" s="72"/>
    </row>
    <row r="28" spans="1:15" ht="29.1" customHeight="1" x14ac:dyDescent="0.2">
      <c r="A28" s="9">
        <v>22</v>
      </c>
      <c r="B28" s="10" t="s">
        <v>262</v>
      </c>
      <c r="C28" s="10" t="s">
        <v>263</v>
      </c>
      <c r="D28" s="10" t="s">
        <v>264</v>
      </c>
      <c r="E28" s="11">
        <v>125</v>
      </c>
      <c r="F28" s="12">
        <v>7.6032500000000001</v>
      </c>
      <c r="G28" s="13">
        <v>2.4172590000000002E-3</v>
      </c>
      <c r="H28" s="72"/>
    </row>
    <row r="29" spans="1:15" ht="17.100000000000001" customHeight="1" x14ac:dyDescent="0.25">
      <c r="A29" s="9">
        <v>23</v>
      </c>
      <c r="B29" s="10" t="s">
        <v>257</v>
      </c>
      <c r="C29" s="10" t="s">
        <v>258</v>
      </c>
      <c r="D29" s="10" t="s">
        <v>259</v>
      </c>
      <c r="E29" s="11">
        <v>1429</v>
      </c>
      <c r="F29" s="12">
        <v>5.4044780000000001</v>
      </c>
      <c r="G29" s="13">
        <v>1.7182160000000001E-3</v>
      </c>
      <c r="H29" s="72"/>
      <c r="J29" s="79"/>
      <c r="K29" s="80"/>
      <c r="L29" s="80"/>
      <c r="M29" s="80"/>
      <c r="N29" s="80"/>
      <c r="O29"/>
    </row>
    <row r="30" spans="1:15" ht="17.100000000000001" customHeight="1" x14ac:dyDescent="0.2">
      <c r="A30" s="9">
        <v>24</v>
      </c>
      <c r="B30" s="10" t="s">
        <v>270</v>
      </c>
      <c r="C30" s="10" t="s">
        <v>472</v>
      </c>
      <c r="D30" s="10" t="s">
        <v>228</v>
      </c>
      <c r="E30" s="11">
        <v>218</v>
      </c>
      <c r="F30" s="12">
        <v>0.72343299999999999</v>
      </c>
      <c r="G30" s="13">
        <v>2.2999699999999999E-4</v>
      </c>
      <c r="H30" s="72"/>
      <c r="O30"/>
    </row>
    <row r="31" spans="1:15" ht="14.1" customHeight="1" x14ac:dyDescent="0.2">
      <c r="A31" s="1"/>
      <c r="B31" s="1"/>
      <c r="C31" s="2" t="s">
        <v>11</v>
      </c>
      <c r="D31" s="1"/>
      <c r="E31" s="1" t="s">
        <v>12</v>
      </c>
      <c r="F31" s="7">
        <f>SUM(F7:F30)</f>
        <v>606.07504400000005</v>
      </c>
      <c r="G31" s="8">
        <f>SUM(G7:G30)</f>
        <v>0.19268606200000005</v>
      </c>
      <c r="H31" s="72"/>
      <c r="O31"/>
    </row>
    <row r="32" spans="1:15" ht="14.1" customHeight="1" x14ac:dyDescent="0.2">
      <c r="A32" s="1"/>
      <c r="B32" s="1"/>
      <c r="C32" s="5"/>
      <c r="D32" s="1"/>
      <c r="E32" s="1"/>
      <c r="F32" s="6"/>
      <c r="G32" s="6"/>
      <c r="H32" s="72"/>
      <c r="O32"/>
    </row>
    <row r="33" spans="1:15" ht="14.1" customHeight="1" x14ac:dyDescent="0.2">
      <c r="A33" s="1"/>
      <c r="B33" s="1"/>
      <c r="C33" s="2" t="s">
        <v>13</v>
      </c>
      <c r="D33" s="1"/>
      <c r="E33" s="1"/>
      <c r="F33" s="1"/>
      <c r="G33" s="1"/>
      <c r="H33" s="72"/>
      <c r="O33"/>
    </row>
    <row r="34" spans="1:15" ht="14.1" customHeight="1" x14ac:dyDescent="0.2">
      <c r="A34" s="1"/>
      <c r="B34" s="1"/>
      <c r="C34" s="2" t="s">
        <v>11</v>
      </c>
      <c r="D34" s="1"/>
      <c r="E34" s="1" t="s">
        <v>12</v>
      </c>
      <c r="F34" s="3">
        <v>0</v>
      </c>
      <c r="G34" s="4">
        <v>0</v>
      </c>
      <c r="H34" s="72"/>
      <c r="O34"/>
    </row>
    <row r="35" spans="1:15" ht="14.1" customHeight="1" x14ac:dyDescent="0.2">
      <c r="A35" s="1"/>
      <c r="B35" s="1"/>
      <c r="C35" s="5"/>
      <c r="D35" s="1"/>
      <c r="E35" s="1"/>
      <c r="F35" s="6"/>
      <c r="G35" s="6"/>
      <c r="H35" s="72"/>
      <c r="O35"/>
    </row>
    <row r="36" spans="1:15" ht="14.1" customHeight="1" x14ac:dyDescent="0.2">
      <c r="A36" s="1"/>
      <c r="B36" s="1"/>
      <c r="C36" s="2" t="s">
        <v>14</v>
      </c>
      <c r="D36" s="1"/>
      <c r="E36" s="1"/>
      <c r="F36" s="1"/>
      <c r="G36" s="1"/>
      <c r="H36" s="72"/>
      <c r="O36"/>
    </row>
    <row r="37" spans="1:15" ht="14.1" customHeight="1" x14ac:dyDescent="0.2">
      <c r="A37" s="1"/>
      <c r="B37" s="1"/>
      <c r="C37" s="2" t="s">
        <v>11</v>
      </c>
      <c r="D37" s="1"/>
      <c r="E37" s="1" t="s">
        <v>12</v>
      </c>
      <c r="F37" s="3">
        <v>0</v>
      </c>
      <c r="G37" s="4">
        <v>0</v>
      </c>
      <c r="H37" s="72"/>
      <c r="O37"/>
    </row>
    <row r="38" spans="1:15" ht="14.1" customHeight="1" x14ac:dyDescent="0.2">
      <c r="A38" s="1"/>
      <c r="B38" s="1"/>
      <c r="C38" s="5"/>
      <c r="D38" s="1"/>
      <c r="E38" s="1"/>
      <c r="F38" s="6"/>
      <c r="G38" s="6"/>
      <c r="H38" s="72"/>
      <c r="O38"/>
    </row>
    <row r="39" spans="1:15" ht="14.1" customHeight="1" x14ac:dyDescent="0.2">
      <c r="A39" s="1"/>
      <c r="B39" s="1"/>
      <c r="C39" s="2" t="s">
        <v>15</v>
      </c>
      <c r="D39" s="1"/>
      <c r="E39" s="1"/>
      <c r="F39" s="1"/>
      <c r="G39" s="1"/>
      <c r="H39" s="72"/>
      <c r="O39"/>
    </row>
    <row r="40" spans="1:15" ht="14.1" customHeight="1" x14ac:dyDescent="0.2">
      <c r="A40" s="1"/>
      <c r="B40" s="1"/>
      <c r="C40" s="2" t="s">
        <v>11</v>
      </c>
      <c r="D40" s="1"/>
      <c r="E40" s="1" t="s">
        <v>12</v>
      </c>
      <c r="F40" s="7">
        <v>0</v>
      </c>
      <c r="G40" s="8">
        <v>0</v>
      </c>
      <c r="H40" s="72"/>
      <c r="O40"/>
    </row>
    <row r="41" spans="1:15" ht="14.1" customHeight="1" x14ac:dyDescent="0.2">
      <c r="A41" s="1"/>
      <c r="B41" s="1"/>
      <c r="C41" s="5"/>
      <c r="D41" s="1"/>
      <c r="E41" s="1"/>
      <c r="F41" s="6"/>
      <c r="G41" s="6"/>
      <c r="H41" s="72"/>
      <c r="O41"/>
    </row>
    <row r="42" spans="1:15" ht="14.1" customHeight="1" x14ac:dyDescent="0.2">
      <c r="A42" s="1"/>
      <c r="B42" s="1"/>
      <c r="C42" s="2" t="s">
        <v>16</v>
      </c>
      <c r="D42" s="1"/>
      <c r="E42" s="1"/>
      <c r="F42" s="6"/>
      <c r="G42" s="6"/>
      <c r="H42" s="72"/>
      <c r="O42"/>
    </row>
    <row r="43" spans="1:15" ht="14.1" customHeight="1" x14ac:dyDescent="0.2">
      <c r="A43" s="1"/>
      <c r="B43" s="1"/>
      <c r="C43" s="2" t="s">
        <v>11</v>
      </c>
      <c r="D43" s="1"/>
      <c r="E43" s="1" t="s">
        <v>12</v>
      </c>
      <c r="F43" s="3">
        <v>0</v>
      </c>
      <c r="G43" s="4">
        <v>0</v>
      </c>
      <c r="H43" s="72"/>
      <c r="O43"/>
    </row>
    <row r="44" spans="1:15" ht="14.1" customHeight="1" x14ac:dyDescent="0.2">
      <c r="A44" s="1"/>
      <c r="B44" s="1"/>
      <c r="C44" s="5"/>
      <c r="D44" s="1"/>
      <c r="E44" s="1"/>
      <c r="F44" s="6"/>
      <c r="G44" s="6"/>
      <c r="H44" s="72"/>
      <c r="O44"/>
    </row>
    <row r="45" spans="1:15" ht="14.1" customHeight="1" x14ac:dyDescent="0.2">
      <c r="A45" s="1"/>
      <c r="B45" s="1"/>
      <c r="C45" s="2" t="s">
        <v>17</v>
      </c>
      <c r="D45" s="1"/>
      <c r="E45" s="1"/>
      <c r="F45" s="6"/>
      <c r="G45" s="6"/>
      <c r="H45" s="72"/>
    </row>
    <row r="46" spans="1:15" ht="14.1" customHeight="1" x14ac:dyDescent="0.2">
      <c r="A46" s="1"/>
      <c r="B46" s="1"/>
      <c r="C46" s="2" t="s">
        <v>11</v>
      </c>
      <c r="D46" s="1"/>
      <c r="E46" s="1" t="s">
        <v>12</v>
      </c>
      <c r="F46" s="3">
        <v>0</v>
      </c>
      <c r="G46" s="4">
        <v>0</v>
      </c>
      <c r="H46" s="72"/>
    </row>
    <row r="47" spans="1:15" ht="14.1" customHeight="1" x14ac:dyDescent="0.2">
      <c r="A47" s="1"/>
      <c r="B47" s="1"/>
      <c r="C47" s="5"/>
      <c r="D47" s="1"/>
      <c r="E47" s="1"/>
      <c r="F47" s="6"/>
      <c r="G47" s="6"/>
      <c r="H47" s="72"/>
    </row>
    <row r="48" spans="1:15" ht="18" customHeight="1" x14ac:dyDescent="0.2">
      <c r="A48" s="1"/>
      <c r="B48" s="1"/>
      <c r="C48" s="2" t="s">
        <v>18</v>
      </c>
      <c r="D48" s="1"/>
      <c r="E48" s="1"/>
      <c r="F48" s="7">
        <v>606.07504400000005</v>
      </c>
      <c r="G48" s="8">
        <v>0.19268606199999999</v>
      </c>
      <c r="H48" s="72"/>
    </row>
    <row r="49" spans="1:8" ht="14.1" customHeight="1" x14ac:dyDescent="0.2">
      <c r="A49" s="1"/>
      <c r="B49" s="1"/>
      <c r="C49" s="5"/>
      <c r="D49" s="1"/>
      <c r="E49" s="1"/>
      <c r="F49" s="6"/>
      <c r="G49" s="6"/>
      <c r="H49" s="72"/>
    </row>
    <row r="50" spans="1:8" ht="14.1" customHeight="1" x14ac:dyDescent="0.2">
      <c r="A50" s="1"/>
      <c r="B50" s="1"/>
      <c r="C50" s="2" t="s">
        <v>19</v>
      </c>
      <c r="D50" s="1"/>
      <c r="E50" s="1"/>
      <c r="F50" s="6"/>
      <c r="G50" s="6"/>
      <c r="H50" s="72"/>
    </row>
    <row r="51" spans="1:8" ht="24" customHeight="1" x14ac:dyDescent="0.2">
      <c r="A51" s="1"/>
      <c r="B51" s="1"/>
      <c r="C51" s="2" t="s">
        <v>10</v>
      </c>
      <c r="D51" s="1"/>
      <c r="E51" s="1"/>
      <c r="F51" s="6"/>
      <c r="G51" s="6"/>
      <c r="H51" s="72"/>
    </row>
    <row r="52" spans="1:8" ht="29.1" customHeight="1" x14ac:dyDescent="0.2">
      <c r="A52" s="9">
        <v>1</v>
      </c>
      <c r="B52" s="10" t="s">
        <v>323</v>
      </c>
      <c r="C52" s="10" t="s">
        <v>324</v>
      </c>
      <c r="D52" s="10" t="s">
        <v>27</v>
      </c>
      <c r="E52" s="11">
        <v>20</v>
      </c>
      <c r="F52" s="12">
        <v>196.93039999999999</v>
      </c>
      <c r="G52" s="13">
        <v>6.2608985000000006E-2</v>
      </c>
      <c r="H52" s="72">
        <v>6.7249999999999996</v>
      </c>
    </row>
    <row r="53" spans="1:8" ht="29.1" customHeight="1" x14ac:dyDescent="0.2">
      <c r="A53" s="9">
        <v>2</v>
      </c>
      <c r="B53" s="10" t="s">
        <v>318</v>
      </c>
      <c r="C53" s="10" t="s">
        <v>319</v>
      </c>
      <c r="D53" s="10" t="s">
        <v>320</v>
      </c>
      <c r="E53" s="11">
        <v>12738</v>
      </c>
      <c r="F53" s="12">
        <v>105.55815006</v>
      </c>
      <c r="G53" s="13">
        <v>3.3559513999999999E-2</v>
      </c>
      <c r="H53" s="72">
        <v>10.5754</v>
      </c>
    </row>
    <row r="54" spans="1:8" ht="14.1" customHeight="1" x14ac:dyDescent="0.2">
      <c r="A54" s="1"/>
      <c r="B54" s="1"/>
      <c r="C54" s="2" t="s">
        <v>11</v>
      </c>
      <c r="D54" s="1"/>
      <c r="E54" s="1" t="s">
        <v>12</v>
      </c>
      <c r="F54" s="7">
        <v>302.48855006000002</v>
      </c>
      <c r="G54" s="8">
        <v>9.6168499000000005E-2</v>
      </c>
      <c r="H54" s="72"/>
    </row>
    <row r="55" spans="1:8" ht="14.1" customHeight="1" x14ac:dyDescent="0.2">
      <c r="A55" s="1"/>
      <c r="B55" s="1"/>
      <c r="C55" s="5"/>
      <c r="D55" s="1"/>
      <c r="E55" s="1"/>
      <c r="F55" s="6"/>
      <c r="G55" s="6"/>
      <c r="H55" s="72"/>
    </row>
    <row r="56" spans="1:8" ht="14.1" customHeight="1" x14ac:dyDescent="0.2">
      <c r="A56" s="1"/>
      <c r="B56" s="1"/>
      <c r="C56" s="2" t="s">
        <v>97</v>
      </c>
      <c r="D56" s="1"/>
      <c r="E56" s="1"/>
      <c r="F56" s="1"/>
      <c r="G56" s="1"/>
      <c r="H56" s="72"/>
    </row>
    <row r="57" spans="1:8" ht="14.1" customHeight="1" x14ac:dyDescent="0.2">
      <c r="A57" s="1"/>
      <c r="B57" s="1"/>
      <c r="C57" s="2" t="s">
        <v>11</v>
      </c>
      <c r="D57" s="1"/>
      <c r="E57" s="1" t="s">
        <v>12</v>
      </c>
      <c r="F57" s="3">
        <v>0</v>
      </c>
      <c r="G57" s="4">
        <v>0</v>
      </c>
      <c r="H57" s="72"/>
    </row>
    <row r="58" spans="1:8" ht="14.1" customHeight="1" x14ac:dyDescent="0.2">
      <c r="A58" s="1"/>
      <c r="B58" s="1"/>
      <c r="C58" s="5"/>
      <c r="D58" s="1"/>
      <c r="E58" s="1"/>
      <c r="F58" s="6"/>
      <c r="G58" s="6"/>
      <c r="H58" s="72"/>
    </row>
    <row r="59" spans="1:8" ht="14.1" customHeight="1" x14ac:dyDescent="0.2">
      <c r="A59" s="1"/>
      <c r="B59" s="1"/>
      <c r="C59" s="2" t="s">
        <v>98</v>
      </c>
      <c r="D59" s="1"/>
      <c r="E59" s="1"/>
      <c r="F59" s="1"/>
      <c r="G59" s="1"/>
      <c r="H59" s="72"/>
    </row>
    <row r="60" spans="1:8" ht="29.1" customHeight="1" x14ac:dyDescent="0.2">
      <c r="A60" s="9">
        <v>1</v>
      </c>
      <c r="B60" s="10" t="s">
        <v>197</v>
      </c>
      <c r="C60" s="10" t="s">
        <v>198</v>
      </c>
      <c r="D60" s="10" t="s">
        <v>101</v>
      </c>
      <c r="E60" s="11">
        <v>500000</v>
      </c>
      <c r="F60" s="12">
        <v>476.92</v>
      </c>
      <c r="G60" s="13">
        <v>0.15162451800000001</v>
      </c>
      <c r="H60" s="72">
        <v>6.9294000000000002</v>
      </c>
    </row>
    <row r="61" spans="1:8" ht="29.1" customHeight="1" x14ac:dyDescent="0.2">
      <c r="A61" s="9">
        <v>2</v>
      </c>
      <c r="B61" s="10" t="s">
        <v>443</v>
      </c>
      <c r="C61" s="10" t="s">
        <v>444</v>
      </c>
      <c r="D61" s="10" t="s">
        <v>101</v>
      </c>
      <c r="E61" s="11">
        <v>500000</v>
      </c>
      <c r="F61" s="12">
        <v>456.81</v>
      </c>
      <c r="G61" s="13">
        <v>0.145231058</v>
      </c>
      <c r="H61" s="72">
        <v>7.4194000000000004</v>
      </c>
    </row>
    <row r="62" spans="1:8" ht="14.1" customHeight="1" x14ac:dyDescent="0.2">
      <c r="A62" s="1"/>
      <c r="B62" s="1"/>
      <c r="C62" s="2" t="s">
        <v>11</v>
      </c>
      <c r="D62" s="1"/>
      <c r="E62" s="1" t="s">
        <v>12</v>
      </c>
      <c r="F62" s="7">
        <v>933.73</v>
      </c>
      <c r="G62" s="8">
        <v>0.29685557600000001</v>
      </c>
      <c r="H62" s="72"/>
    </row>
    <row r="63" spans="1:8" ht="14.1" customHeight="1" x14ac:dyDescent="0.2">
      <c r="A63" s="1"/>
      <c r="B63" s="1"/>
      <c r="C63" s="5"/>
      <c r="D63" s="1"/>
      <c r="E63" s="1"/>
      <c r="F63" s="6"/>
      <c r="G63" s="6"/>
      <c r="H63" s="72"/>
    </row>
    <row r="64" spans="1:8" ht="14.1" customHeight="1" x14ac:dyDescent="0.2">
      <c r="A64" s="1"/>
      <c r="B64" s="1"/>
      <c r="C64" s="2" t="s">
        <v>108</v>
      </c>
      <c r="D64" s="1"/>
      <c r="E64" s="1"/>
      <c r="F64" s="6"/>
      <c r="G64" s="6"/>
      <c r="H64" s="72"/>
    </row>
    <row r="65" spans="1:8" ht="14.1" customHeight="1" x14ac:dyDescent="0.2">
      <c r="A65" s="1"/>
      <c r="B65" s="1"/>
      <c r="C65" s="2" t="s">
        <v>11</v>
      </c>
      <c r="D65" s="1"/>
      <c r="E65" s="1" t="s">
        <v>12</v>
      </c>
      <c r="F65" s="3">
        <v>0</v>
      </c>
      <c r="G65" s="4">
        <v>0</v>
      </c>
      <c r="H65" s="72"/>
    </row>
    <row r="66" spans="1:8" ht="14.1" customHeight="1" x14ac:dyDescent="0.2">
      <c r="A66" s="1"/>
      <c r="B66" s="1"/>
      <c r="C66" s="5"/>
      <c r="D66" s="1"/>
      <c r="E66" s="1"/>
      <c r="F66" s="6"/>
      <c r="G66" s="6"/>
      <c r="H66" s="72"/>
    </row>
    <row r="67" spans="1:8" ht="14.1" customHeight="1" x14ac:dyDescent="0.2">
      <c r="A67" s="1"/>
      <c r="B67" s="1"/>
      <c r="C67" s="2" t="s">
        <v>109</v>
      </c>
      <c r="D67" s="1"/>
      <c r="E67" s="1"/>
      <c r="F67" s="7">
        <v>1236.2185500600001</v>
      </c>
      <c r="G67" s="8">
        <v>0.39302407499999997</v>
      </c>
      <c r="H67" s="72"/>
    </row>
    <row r="68" spans="1:8" ht="14.1" customHeight="1" x14ac:dyDescent="0.2">
      <c r="A68" s="1"/>
      <c r="B68" s="1"/>
      <c r="C68" s="5"/>
      <c r="D68" s="1"/>
      <c r="E68" s="1"/>
      <c r="F68" s="6"/>
      <c r="G68" s="6"/>
      <c r="H68" s="72"/>
    </row>
    <row r="69" spans="1:8" ht="14.1" customHeight="1" x14ac:dyDescent="0.2">
      <c r="A69" s="1"/>
      <c r="B69" s="1"/>
      <c r="C69" s="2" t="s">
        <v>110</v>
      </c>
      <c r="D69" s="1"/>
      <c r="E69" s="1"/>
      <c r="F69" s="6"/>
      <c r="G69" s="6"/>
      <c r="H69" s="72"/>
    </row>
    <row r="70" spans="1:8" ht="14.1" customHeight="1" x14ac:dyDescent="0.2">
      <c r="A70" s="1"/>
      <c r="B70" s="1"/>
      <c r="C70" s="2" t="s">
        <v>111</v>
      </c>
      <c r="D70" s="1"/>
      <c r="E70" s="1"/>
      <c r="F70" s="6"/>
      <c r="G70" s="6"/>
      <c r="H70" s="72"/>
    </row>
    <row r="71" spans="1:8" ht="14.1" customHeight="1" x14ac:dyDescent="0.2">
      <c r="A71" s="1"/>
      <c r="B71" s="1"/>
      <c r="C71" s="2" t="s">
        <v>11</v>
      </c>
      <c r="D71" s="1"/>
      <c r="E71" s="1" t="s">
        <v>12</v>
      </c>
      <c r="F71" s="3">
        <v>0</v>
      </c>
      <c r="G71" s="4">
        <v>0</v>
      </c>
      <c r="H71" s="72"/>
    </row>
    <row r="72" spans="1:8" ht="14.1" customHeight="1" x14ac:dyDescent="0.2">
      <c r="A72" s="1"/>
      <c r="B72" s="1"/>
      <c r="C72" s="5"/>
      <c r="D72" s="1"/>
      <c r="E72" s="1"/>
      <c r="F72" s="6"/>
      <c r="G72" s="6"/>
      <c r="H72" s="72"/>
    </row>
    <row r="73" spans="1:8" ht="14.1" customHeight="1" x14ac:dyDescent="0.2">
      <c r="A73" s="1"/>
      <c r="B73" s="1"/>
      <c r="C73" s="2" t="s">
        <v>120</v>
      </c>
      <c r="D73" s="1"/>
      <c r="E73" s="1"/>
      <c r="F73" s="6"/>
      <c r="G73" s="6"/>
      <c r="H73" s="72"/>
    </row>
    <row r="74" spans="1:8" ht="14.1" customHeight="1" x14ac:dyDescent="0.2">
      <c r="A74" s="1"/>
      <c r="B74" s="1"/>
      <c r="C74" s="2" t="s">
        <v>11</v>
      </c>
      <c r="D74" s="1"/>
      <c r="E74" s="1" t="s">
        <v>12</v>
      </c>
      <c r="F74" s="3">
        <v>0</v>
      </c>
      <c r="G74" s="4">
        <v>0</v>
      </c>
      <c r="H74" s="72"/>
    </row>
    <row r="75" spans="1:8" ht="14.1" customHeight="1" x14ac:dyDescent="0.2">
      <c r="A75" s="1"/>
      <c r="B75" s="1"/>
      <c r="C75" s="5"/>
      <c r="D75" s="1"/>
      <c r="E75" s="1"/>
      <c r="F75" s="6"/>
      <c r="G75" s="6"/>
      <c r="H75" s="72"/>
    </row>
    <row r="76" spans="1:8" ht="14.1" customHeight="1" x14ac:dyDescent="0.2">
      <c r="A76" s="1"/>
      <c r="B76" s="1"/>
      <c r="C76" s="2" t="s">
        <v>123</v>
      </c>
      <c r="D76" s="1"/>
      <c r="E76" s="1"/>
      <c r="F76" s="6"/>
      <c r="G76" s="6"/>
      <c r="H76" s="72"/>
    </row>
    <row r="77" spans="1:8" ht="14.1" customHeight="1" x14ac:dyDescent="0.2">
      <c r="A77" s="1"/>
      <c r="B77" s="1"/>
      <c r="C77" s="2" t="s">
        <v>11</v>
      </c>
      <c r="D77" s="1"/>
      <c r="E77" s="1" t="s">
        <v>12</v>
      </c>
      <c r="F77" s="3">
        <v>0</v>
      </c>
      <c r="G77" s="4">
        <v>0</v>
      </c>
      <c r="H77" s="72"/>
    </row>
    <row r="78" spans="1:8" ht="14.1" customHeight="1" x14ac:dyDescent="0.2">
      <c r="A78" s="1"/>
      <c r="B78" s="1"/>
      <c r="C78" s="5"/>
      <c r="D78" s="1"/>
      <c r="E78" s="1"/>
      <c r="F78" s="6"/>
      <c r="G78" s="6"/>
      <c r="H78" s="72"/>
    </row>
    <row r="79" spans="1:8" ht="14.1" customHeight="1" x14ac:dyDescent="0.2">
      <c r="A79" s="1"/>
      <c r="B79" s="1"/>
      <c r="C79" s="2" t="s">
        <v>124</v>
      </c>
      <c r="D79" s="1"/>
      <c r="E79" s="1"/>
      <c r="F79" s="6"/>
      <c r="G79" s="6"/>
      <c r="H79" s="72"/>
    </row>
    <row r="80" spans="1:8" ht="17.100000000000001" customHeight="1" x14ac:dyDescent="0.2">
      <c r="A80" s="9">
        <v>1</v>
      </c>
      <c r="B80" s="10"/>
      <c r="C80" s="10" t="s">
        <v>125</v>
      </c>
      <c r="D80" s="10"/>
      <c r="E80" s="14"/>
      <c r="F80" s="12">
        <v>1268.2342630000001</v>
      </c>
      <c r="G80" s="13">
        <v>0.40320265300000002</v>
      </c>
      <c r="H80" s="72">
        <v>4.1713246754849944</v>
      </c>
    </row>
    <row r="81" spans="1:8" ht="14.1" customHeight="1" x14ac:dyDescent="0.2">
      <c r="A81" s="1"/>
      <c r="B81" s="1"/>
      <c r="C81" s="2" t="s">
        <v>11</v>
      </c>
      <c r="D81" s="1"/>
      <c r="E81" s="1" t="s">
        <v>12</v>
      </c>
      <c r="F81" s="7">
        <v>1268.2342630000001</v>
      </c>
      <c r="G81" s="8">
        <v>0.40320265300000002</v>
      </c>
      <c r="H81" s="72"/>
    </row>
    <row r="82" spans="1:8" ht="14.1" customHeight="1" x14ac:dyDescent="0.2">
      <c r="A82" s="1"/>
      <c r="B82" s="1"/>
      <c r="C82" s="5"/>
      <c r="D82" s="1"/>
      <c r="E82" s="1"/>
      <c r="F82" s="6"/>
      <c r="G82" s="6"/>
      <c r="H82" s="72"/>
    </row>
    <row r="83" spans="1:8" ht="14.1" customHeight="1" x14ac:dyDescent="0.2">
      <c r="A83" s="1"/>
      <c r="B83" s="1"/>
      <c r="C83" s="2" t="s">
        <v>126</v>
      </c>
      <c r="D83" s="1"/>
      <c r="E83" s="1"/>
      <c r="F83" s="7">
        <v>1268.2342630000001</v>
      </c>
      <c r="G83" s="8">
        <v>0.40320265300000002</v>
      </c>
      <c r="H83" s="72"/>
    </row>
    <row r="84" spans="1:8" ht="14.1" customHeight="1" x14ac:dyDescent="0.2">
      <c r="A84" s="1"/>
      <c r="B84" s="1"/>
      <c r="C84" s="6"/>
      <c r="D84" s="1"/>
      <c r="E84" s="1"/>
      <c r="F84" s="1"/>
      <c r="G84" s="1"/>
      <c r="H84" s="72"/>
    </row>
    <row r="85" spans="1:8" ht="14.1" customHeight="1" x14ac:dyDescent="0.2">
      <c r="A85" s="1"/>
      <c r="B85" s="1"/>
      <c r="C85" s="2" t="s">
        <v>127</v>
      </c>
      <c r="D85" s="1"/>
      <c r="E85" s="1"/>
      <c r="F85" s="1"/>
      <c r="G85" s="1"/>
      <c r="H85" s="72"/>
    </row>
    <row r="86" spans="1:8" ht="14.1" customHeight="1" x14ac:dyDescent="0.2">
      <c r="A86" s="1"/>
      <c r="B86" s="1"/>
      <c r="C86" s="2" t="s">
        <v>128</v>
      </c>
      <c r="D86" s="1"/>
      <c r="E86" s="1"/>
      <c r="F86" s="1"/>
      <c r="G86" s="1"/>
      <c r="H86" s="72"/>
    </row>
    <row r="87" spans="1:8" ht="14.1" customHeight="1" x14ac:dyDescent="0.2">
      <c r="A87" s="1"/>
      <c r="B87" s="1"/>
      <c r="C87" s="2" t="s">
        <v>11</v>
      </c>
      <c r="D87" s="1"/>
      <c r="E87" s="1" t="s">
        <v>12</v>
      </c>
      <c r="F87" s="3">
        <v>0</v>
      </c>
      <c r="G87" s="4">
        <v>0</v>
      </c>
      <c r="H87" s="72"/>
    </row>
    <row r="88" spans="1:8" ht="14.1" customHeight="1" x14ac:dyDescent="0.2">
      <c r="A88" s="1"/>
      <c r="B88" s="1"/>
      <c r="C88" s="5"/>
      <c r="D88" s="1"/>
      <c r="E88" s="1"/>
      <c r="F88" s="6"/>
      <c r="G88" s="6"/>
      <c r="H88" s="72"/>
    </row>
    <row r="89" spans="1:8" ht="14.1" customHeight="1" x14ac:dyDescent="0.2">
      <c r="A89" s="1"/>
      <c r="B89" s="1"/>
      <c r="C89" s="2" t="s">
        <v>129</v>
      </c>
      <c r="D89" s="1"/>
      <c r="E89" s="1"/>
      <c r="F89" s="1"/>
      <c r="G89" s="1"/>
      <c r="H89" s="72"/>
    </row>
    <row r="90" spans="1:8" ht="14.1" customHeight="1" x14ac:dyDescent="0.2">
      <c r="A90" s="1"/>
      <c r="B90" s="1"/>
      <c r="C90" s="2" t="s">
        <v>130</v>
      </c>
      <c r="D90" s="1"/>
      <c r="E90" s="1"/>
      <c r="F90" s="1"/>
      <c r="G90" s="1"/>
      <c r="H90" s="72"/>
    </row>
    <row r="91" spans="1:8" ht="14.1" customHeight="1" x14ac:dyDescent="0.2">
      <c r="A91" s="1"/>
      <c r="B91" s="1"/>
      <c r="C91" s="2" t="s">
        <v>11</v>
      </c>
      <c r="D91" s="1"/>
      <c r="E91" s="1" t="s">
        <v>12</v>
      </c>
      <c r="F91" s="3">
        <v>0</v>
      </c>
      <c r="G91" s="4">
        <v>0</v>
      </c>
      <c r="H91" s="72"/>
    </row>
    <row r="92" spans="1:8" ht="14.1" customHeight="1" x14ac:dyDescent="0.2">
      <c r="A92" s="1"/>
      <c r="B92" s="1"/>
      <c r="C92" s="5"/>
      <c r="D92" s="1"/>
      <c r="E92" s="1"/>
      <c r="F92" s="6"/>
      <c r="G92" s="6"/>
      <c r="H92" s="72"/>
    </row>
    <row r="93" spans="1:8" ht="24" customHeight="1" x14ac:dyDescent="0.2">
      <c r="A93" s="1"/>
      <c r="B93" s="1"/>
      <c r="C93" s="2" t="s">
        <v>131</v>
      </c>
      <c r="D93" s="1"/>
      <c r="E93" s="1"/>
      <c r="F93" s="6"/>
      <c r="G93" s="6"/>
      <c r="H93" s="72"/>
    </row>
    <row r="94" spans="1:8" ht="14.1" customHeight="1" x14ac:dyDescent="0.2">
      <c r="A94" s="1"/>
      <c r="B94" s="1"/>
      <c r="C94" s="2" t="s">
        <v>11</v>
      </c>
      <c r="D94" s="1"/>
      <c r="E94" s="1" t="s">
        <v>12</v>
      </c>
      <c r="F94" s="3">
        <v>0</v>
      </c>
      <c r="G94" s="4">
        <v>0</v>
      </c>
      <c r="H94" s="72"/>
    </row>
    <row r="95" spans="1:8" ht="14.1" customHeight="1" x14ac:dyDescent="0.2">
      <c r="A95" s="1"/>
      <c r="B95" s="1"/>
      <c r="C95" s="5"/>
      <c r="D95" s="1"/>
      <c r="E95" s="1"/>
      <c r="F95" s="6"/>
      <c r="G95" s="6"/>
      <c r="H95" s="72"/>
    </row>
    <row r="96" spans="1:8" ht="14.1" customHeight="1" x14ac:dyDescent="0.2">
      <c r="A96" s="1"/>
      <c r="B96" s="10"/>
      <c r="C96" s="10"/>
      <c r="D96" s="2"/>
      <c r="E96" s="1"/>
      <c r="F96" s="10"/>
      <c r="G96" s="14"/>
      <c r="H96" s="72"/>
    </row>
    <row r="97" spans="1:8" ht="18" customHeight="1" x14ac:dyDescent="0.2">
      <c r="A97" s="14"/>
      <c r="B97" s="10"/>
      <c r="C97" s="10" t="s">
        <v>132</v>
      </c>
      <c r="D97" s="10"/>
      <c r="E97" s="14"/>
      <c r="F97" s="12">
        <v>34.873727580000001</v>
      </c>
      <c r="G97" s="13">
        <v>1.108721E-2</v>
      </c>
      <c r="H97" s="72"/>
    </row>
    <row r="98" spans="1:8" ht="14.1" customHeight="1" x14ac:dyDescent="0.2">
      <c r="A98" s="5"/>
      <c r="B98" s="5"/>
      <c r="C98" s="2" t="s">
        <v>133</v>
      </c>
      <c r="D98" s="6"/>
      <c r="E98" s="6"/>
      <c r="F98" s="7">
        <v>3145.4015846399998</v>
      </c>
      <c r="G98" s="8">
        <v>1</v>
      </c>
      <c r="H98" s="72"/>
    </row>
    <row r="99" spans="1:8" ht="14.1" customHeight="1" x14ac:dyDescent="0.2">
      <c r="A99" s="15"/>
      <c r="B99" s="15"/>
      <c r="C99" s="15"/>
      <c r="D99" s="16"/>
      <c r="E99" s="16"/>
      <c r="F99" s="16"/>
      <c r="G99" s="16"/>
    </row>
    <row r="100" spans="1:8" ht="17.100000000000001" customHeight="1" x14ac:dyDescent="0.2">
      <c r="A100" s="17"/>
      <c r="B100" s="90" t="s">
        <v>134</v>
      </c>
      <c r="C100" s="90"/>
      <c r="D100" s="90"/>
      <c r="E100" s="90"/>
      <c r="F100" s="90"/>
      <c r="G100" s="19"/>
    </row>
    <row r="101" spans="1:8" ht="17.100000000000001" customHeight="1" x14ac:dyDescent="0.2">
      <c r="A101" s="17"/>
      <c r="B101" s="90" t="s">
        <v>135</v>
      </c>
      <c r="C101" s="90"/>
      <c r="D101" s="90"/>
      <c r="E101" s="90"/>
      <c r="F101" s="90"/>
      <c r="G101" s="19"/>
    </row>
    <row r="102" spans="1:8" ht="14.1" customHeight="1" x14ac:dyDescent="0.2">
      <c r="A102" s="17"/>
      <c r="B102" s="17"/>
      <c r="C102" s="17"/>
      <c r="D102" s="19"/>
      <c r="E102" s="19"/>
      <c r="F102" s="19"/>
      <c r="G102" s="19"/>
    </row>
    <row r="103" spans="1:8" ht="14.1" customHeight="1" x14ac:dyDescent="0.2">
      <c r="A103" s="17"/>
      <c r="B103" s="91" t="s">
        <v>136</v>
      </c>
      <c r="C103" s="92"/>
      <c r="D103" s="93"/>
      <c r="E103" s="20"/>
      <c r="F103" s="19"/>
      <c r="G103" s="19"/>
    </row>
    <row r="104" spans="1:8" ht="29.1" customHeight="1" x14ac:dyDescent="0.2">
      <c r="A104" s="17"/>
      <c r="B104" s="85" t="s">
        <v>137</v>
      </c>
      <c r="C104" s="86"/>
      <c r="D104" s="39" t="s">
        <v>510</v>
      </c>
      <c r="E104" s="20"/>
      <c r="F104" s="19"/>
      <c r="G104" s="19"/>
    </row>
    <row r="105" spans="1:8" ht="17.100000000000001" customHeight="1" x14ac:dyDescent="0.2">
      <c r="A105" s="17"/>
      <c r="B105" s="85" t="s">
        <v>139</v>
      </c>
      <c r="C105" s="86"/>
      <c r="D105" s="2" t="s">
        <v>138</v>
      </c>
      <c r="E105" s="20"/>
      <c r="F105" s="19"/>
      <c r="G105" s="19"/>
    </row>
    <row r="106" spans="1:8" ht="17.100000000000001" customHeight="1" x14ac:dyDescent="0.2">
      <c r="A106" s="17"/>
      <c r="B106" s="85" t="s">
        <v>140</v>
      </c>
      <c r="C106" s="86"/>
      <c r="D106" s="6" t="s">
        <v>12</v>
      </c>
      <c r="E106" s="20"/>
      <c r="F106" s="19"/>
      <c r="G106" s="19"/>
    </row>
    <row r="107" spans="1:8" ht="24" customHeight="1" x14ac:dyDescent="0.2">
      <c r="A107" s="21"/>
      <c r="B107" s="22" t="s">
        <v>12</v>
      </c>
      <c r="C107" s="22" t="s">
        <v>141</v>
      </c>
      <c r="D107" s="22" t="s">
        <v>142</v>
      </c>
      <c r="E107" s="21"/>
      <c r="F107" s="21"/>
      <c r="G107" s="21"/>
    </row>
    <row r="108" spans="1:8" ht="18" customHeight="1" x14ac:dyDescent="0.2">
      <c r="A108" s="21"/>
      <c r="B108" s="23" t="s">
        <v>143</v>
      </c>
      <c r="C108" s="22" t="s">
        <v>144</v>
      </c>
      <c r="D108" s="22" t="s">
        <v>145</v>
      </c>
      <c r="E108" s="21"/>
      <c r="F108" s="21"/>
      <c r="G108" s="21"/>
    </row>
    <row r="109" spans="1:8" ht="17.100000000000001" customHeight="1" x14ac:dyDescent="0.2">
      <c r="A109" s="21"/>
      <c r="B109" s="10" t="s">
        <v>146</v>
      </c>
      <c r="C109" s="24">
        <v>25.110600000000002</v>
      </c>
      <c r="D109" s="24">
        <v>24.878499999999999</v>
      </c>
      <c r="E109" s="21"/>
      <c r="F109" s="18"/>
      <c r="G109" s="25"/>
    </row>
    <row r="110" spans="1:8" ht="29.1" customHeight="1" x14ac:dyDescent="0.2">
      <c r="A110" s="21"/>
      <c r="B110" s="10" t="s">
        <v>534</v>
      </c>
      <c r="C110" s="24">
        <v>13.304399999999999</v>
      </c>
      <c r="D110" s="24">
        <v>13.1814</v>
      </c>
      <c r="E110" s="21"/>
      <c r="F110" s="18"/>
      <c r="G110" s="25"/>
    </row>
    <row r="111" spans="1:8" ht="29.1" customHeight="1" x14ac:dyDescent="0.2">
      <c r="A111" s="21"/>
      <c r="B111" s="10" t="s">
        <v>535</v>
      </c>
      <c r="C111" s="24">
        <v>16.8568</v>
      </c>
      <c r="D111" s="24">
        <v>16.701000000000001</v>
      </c>
      <c r="E111" s="21"/>
      <c r="F111" s="18"/>
      <c r="G111" s="25"/>
    </row>
    <row r="112" spans="1:8" ht="29.1" customHeight="1" x14ac:dyDescent="0.2">
      <c r="A112" s="21"/>
      <c r="B112" s="10" t="s">
        <v>536</v>
      </c>
      <c r="C112" s="24">
        <v>16.850000000000001</v>
      </c>
      <c r="D112" s="24">
        <v>16.694199999999999</v>
      </c>
      <c r="E112" s="21"/>
      <c r="F112" s="18"/>
      <c r="G112" s="25"/>
    </row>
    <row r="113" spans="1:16" ht="17.100000000000001" customHeight="1" x14ac:dyDescent="0.2">
      <c r="A113" s="21"/>
      <c r="B113" s="10" t="s">
        <v>147</v>
      </c>
      <c r="C113" s="24">
        <v>23.469200000000001</v>
      </c>
      <c r="D113" s="24">
        <v>23.236000000000001</v>
      </c>
      <c r="E113" s="21"/>
      <c r="F113" s="18"/>
      <c r="G113" s="25"/>
    </row>
    <row r="114" spans="1:16" ht="29.1" customHeight="1" x14ac:dyDescent="0.2">
      <c r="A114" s="21"/>
      <c r="B114" s="10" t="s">
        <v>538</v>
      </c>
      <c r="C114" s="24">
        <v>13.1707</v>
      </c>
      <c r="D114" s="24">
        <v>13.0398</v>
      </c>
      <c r="E114" s="21"/>
      <c r="F114" s="18"/>
      <c r="G114" s="25"/>
    </row>
    <row r="115" spans="1:16" ht="29.1" customHeight="1" x14ac:dyDescent="0.2">
      <c r="A115" s="21"/>
      <c r="B115" s="10" t="s">
        <v>539</v>
      </c>
      <c r="C115" s="24">
        <v>15.6905</v>
      </c>
      <c r="D115" s="24">
        <v>15.5345</v>
      </c>
      <c r="E115" s="21"/>
      <c r="F115" s="18"/>
      <c r="G115" s="25"/>
    </row>
    <row r="116" spans="1:16" ht="29.1" customHeight="1" x14ac:dyDescent="0.2">
      <c r="A116" s="21"/>
      <c r="B116" s="10" t="s">
        <v>540</v>
      </c>
      <c r="C116" s="24">
        <v>15.625</v>
      </c>
      <c r="D116" s="24">
        <v>15.4697</v>
      </c>
      <c r="E116" s="21"/>
      <c r="F116" s="18"/>
      <c r="G116" s="25"/>
    </row>
    <row r="117" spans="1:16" ht="14.1" customHeight="1" x14ac:dyDescent="0.2">
      <c r="A117" s="21"/>
      <c r="B117" s="21"/>
      <c r="C117" s="21"/>
      <c r="D117" s="21"/>
      <c r="E117" s="21"/>
      <c r="F117" s="21"/>
      <c r="G117" s="21"/>
    </row>
    <row r="118" spans="1:16" ht="17.100000000000001" customHeight="1" x14ac:dyDescent="0.2">
      <c r="A118" s="21"/>
      <c r="B118" s="85" t="s">
        <v>542</v>
      </c>
      <c r="C118" s="86"/>
      <c r="D118" s="2" t="s">
        <v>138</v>
      </c>
      <c r="E118" s="21"/>
      <c r="F118" s="21"/>
      <c r="G118" s="21"/>
    </row>
    <row r="119" spans="1:16" ht="14.1" customHeight="1" x14ac:dyDescent="0.2">
      <c r="A119" s="21"/>
      <c r="B119" s="18"/>
      <c r="C119" s="18"/>
      <c r="D119" s="21"/>
      <c r="E119" s="21"/>
      <c r="F119" s="21"/>
      <c r="G119" s="21"/>
    </row>
    <row r="120" spans="1:16" ht="29.1" customHeight="1" x14ac:dyDescent="0.2">
      <c r="A120" s="21"/>
      <c r="B120" s="85" t="s">
        <v>151</v>
      </c>
      <c r="C120" s="86"/>
      <c r="D120" s="2" t="s">
        <v>138</v>
      </c>
      <c r="E120" s="31"/>
      <c r="F120" s="21"/>
      <c r="G120" s="21"/>
    </row>
    <row r="121" spans="1:16" ht="29.1" customHeight="1" x14ac:dyDescent="0.2">
      <c r="A121" s="21"/>
      <c r="B121" s="85" t="s">
        <v>152</v>
      </c>
      <c r="C121" s="86"/>
      <c r="D121" s="2" t="s">
        <v>138</v>
      </c>
      <c r="E121" s="31"/>
      <c r="F121" s="21"/>
      <c r="G121" s="21"/>
    </row>
    <row r="122" spans="1:16" ht="17.100000000000001" customHeight="1" x14ac:dyDescent="0.2">
      <c r="A122" s="21"/>
      <c r="B122" s="94" t="s">
        <v>475</v>
      </c>
      <c r="C122" s="95"/>
      <c r="D122" s="32">
        <v>2.8091682448900728</v>
      </c>
      <c r="E122" s="31"/>
      <c r="F122" s="21"/>
      <c r="G122" s="21"/>
    </row>
    <row r="123" spans="1:16" ht="17.100000000000001" customHeight="1" x14ac:dyDescent="0.2">
      <c r="A123" s="21"/>
      <c r="B123" s="94" t="s">
        <v>476</v>
      </c>
      <c r="C123" s="95"/>
      <c r="D123" s="32">
        <v>2.1310938334071974</v>
      </c>
      <c r="E123" s="31"/>
      <c r="F123" s="21"/>
      <c r="G123" s="21"/>
    </row>
    <row r="124" spans="1:16" ht="17.100000000000001" customHeight="1" x14ac:dyDescent="0.2">
      <c r="A124" s="21"/>
      <c r="B124" s="85" t="s">
        <v>155</v>
      </c>
      <c r="C124" s="86"/>
      <c r="D124" s="2" t="s">
        <v>138</v>
      </c>
      <c r="E124" s="31"/>
      <c r="F124" s="21"/>
      <c r="G124" s="21"/>
    </row>
    <row r="125" spans="1:16" ht="14.1" customHeight="1" x14ac:dyDescent="0.2">
      <c r="A125" s="21"/>
      <c r="B125" s="88"/>
      <c r="C125" s="88"/>
      <c r="D125" s="30"/>
      <c r="E125" s="21"/>
      <c r="F125" s="18"/>
      <c r="G125" s="25"/>
    </row>
    <row r="126" spans="1:16" x14ac:dyDescent="0.2">
      <c r="B126" s="115" t="s">
        <v>530</v>
      </c>
      <c r="C126" s="115"/>
      <c r="D126" s="115"/>
      <c r="E126" s="115"/>
      <c r="F126" s="115"/>
      <c r="G126" s="115"/>
      <c r="H126" s="115"/>
      <c r="I126" s="41"/>
      <c r="P126" s="41"/>
    </row>
    <row r="127" spans="1:16" x14ac:dyDescent="0.2">
      <c r="B127" s="51" t="s">
        <v>492</v>
      </c>
      <c r="C127" s="51" t="s">
        <v>493</v>
      </c>
      <c r="D127" s="102" t="s">
        <v>487</v>
      </c>
      <c r="E127" s="102"/>
      <c r="F127" s="102"/>
      <c r="G127" s="101" t="s">
        <v>488</v>
      </c>
      <c r="H127" s="101"/>
      <c r="P127" s="41"/>
    </row>
    <row r="128" spans="1:16" ht="25.5" x14ac:dyDescent="0.2">
      <c r="B128" s="52" t="s">
        <v>515</v>
      </c>
      <c r="C128" s="53" t="s">
        <v>527</v>
      </c>
      <c r="D128" s="96">
        <v>0</v>
      </c>
      <c r="E128" s="96"/>
      <c r="F128" s="96"/>
      <c r="G128" s="96">
        <v>0</v>
      </c>
      <c r="H128" s="96"/>
      <c r="P128" s="41"/>
    </row>
    <row r="129" spans="2:16" x14ac:dyDescent="0.2">
      <c r="B129" s="52"/>
      <c r="C129" s="52"/>
      <c r="D129" s="100"/>
      <c r="E129" s="100"/>
      <c r="F129" s="100"/>
      <c r="G129" s="100"/>
      <c r="H129" s="100"/>
      <c r="P129" s="41"/>
    </row>
    <row r="130" spans="2:16" x14ac:dyDescent="0.2">
      <c r="B130" s="101" t="s">
        <v>500</v>
      </c>
      <c r="C130" s="101"/>
      <c r="D130" s="101"/>
      <c r="E130" s="101"/>
      <c r="F130" s="101"/>
      <c r="G130" s="101"/>
      <c r="H130" s="101"/>
      <c r="P130" s="41"/>
    </row>
    <row r="131" spans="2:16" x14ac:dyDescent="0.2">
      <c r="B131" s="97" t="s">
        <v>492</v>
      </c>
      <c r="C131" s="97" t="s">
        <v>493</v>
      </c>
      <c r="D131" s="97" t="s">
        <v>501</v>
      </c>
      <c r="E131" s="97"/>
      <c r="F131" s="97"/>
      <c r="G131" s="97"/>
      <c r="H131" s="98" t="s">
        <v>502</v>
      </c>
      <c r="P131" s="41"/>
    </row>
    <row r="132" spans="2:16" ht="63.75" x14ac:dyDescent="0.2">
      <c r="B132" s="97"/>
      <c r="C132" s="97"/>
      <c r="D132" s="54" t="s">
        <v>503</v>
      </c>
      <c r="E132" s="54" t="s">
        <v>504</v>
      </c>
      <c r="F132" s="54" t="s">
        <v>505</v>
      </c>
      <c r="G132" s="54" t="s">
        <v>506</v>
      </c>
      <c r="H132" s="99"/>
    </row>
    <row r="133" spans="2:16" ht="25.5" x14ac:dyDescent="0.2">
      <c r="B133" s="52" t="s">
        <v>515</v>
      </c>
      <c r="C133" s="53" t="s">
        <v>528</v>
      </c>
      <c r="D133" s="55">
        <v>500</v>
      </c>
      <c r="E133" s="55">
        <v>9.9405737999999992</v>
      </c>
      <c r="F133" s="70">
        <v>16.00737140547945</v>
      </c>
      <c r="G133" s="55">
        <v>525.94794520547941</v>
      </c>
      <c r="H133" s="58">
        <v>233.40679</v>
      </c>
      <c r="P133" s="41"/>
    </row>
    <row r="134" spans="2:16" x14ac:dyDescent="0.2">
      <c r="J134"/>
      <c r="K134"/>
      <c r="L134"/>
      <c r="M134"/>
      <c r="N134"/>
      <c r="O134"/>
      <c r="P134" s="41"/>
    </row>
    <row r="135" spans="2:16" x14ac:dyDescent="0.2">
      <c r="P135" s="41"/>
    </row>
    <row r="136" spans="2:16" x14ac:dyDescent="0.2">
      <c r="B136" s="59" t="s">
        <v>507</v>
      </c>
      <c r="P136" s="41"/>
    </row>
    <row r="137" spans="2:16" x14ac:dyDescent="0.2">
      <c r="B137" s="41"/>
      <c r="C137" s="41"/>
      <c r="D137" s="41"/>
      <c r="E137" s="41"/>
      <c r="F137" s="41"/>
      <c r="G137" s="41"/>
      <c r="H137" s="41"/>
      <c r="P137" s="41"/>
    </row>
    <row r="138" spans="2:16" x14ac:dyDescent="0.2">
      <c r="B138" s="60" t="s">
        <v>508</v>
      </c>
      <c r="C138" s="41"/>
      <c r="D138" s="41"/>
      <c r="E138" s="41"/>
      <c r="F138" s="41"/>
      <c r="G138" s="41"/>
      <c r="H138" s="41"/>
      <c r="P138" s="41"/>
    </row>
    <row r="139" spans="2:16" x14ac:dyDescent="0.2">
      <c r="B139" s="41"/>
      <c r="C139" s="41"/>
      <c r="D139" s="41"/>
      <c r="E139" s="41"/>
      <c r="F139" s="41"/>
      <c r="G139" s="41"/>
      <c r="H139" s="41"/>
      <c r="P139" s="41"/>
    </row>
    <row r="140" spans="2:16" x14ac:dyDescent="0.2">
      <c r="B140" s="60" t="s">
        <v>509</v>
      </c>
      <c r="C140" s="41"/>
      <c r="D140" s="41"/>
      <c r="E140" s="41"/>
      <c r="F140" s="41"/>
      <c r="G140" s="41"/>
      <c r="H140" s="41"/>
      <c r="P140" s="41"/>
    </row>
  </sheetData>
  <mergeCells count="29">
    <mergeCell ref="J2:N2"/>
    <mergeCell ref="B123:C123"/>
    <mergeCell ref="B124:C124"/>
    <mergeCell ref="B125:C125"/>
    <mergeCell ref="A1:H1"/>
    <mergeCell ref="A2:H2"/>
    <mergeCell ref="A3:H3"/>
    <mergeCell ref="B121:C121"/>
    <mergeCell ref="B122:C122"/>
    <mergeCell ref="B120:C120"/>
    <mergeCell ref="B100:F100"/>
    <mergeCell ref="B101:F101"/>
    <mergeCell ref="B103:D103"/>
    <mergeCell ref="B104:C104"/>
    <mergeCell ref="B105:C105"/>
    <mergeCell ref="B106:C106"/>
    <mergeCell ref="B118:C118"/>
    <mergeCell ref="B126:H126"/>
    <mergeCell ref="D127:F127"/>
    <mergeCell ref="G127:H127"/>
    <mergeCell ref="D128:F128"/>
    <mergeCell ref="G128:H128"/>
    <mergeCell ref="D129:F129"/>
    <mergeCell ref="G129:H129"/>
    <mergeCell ref="B130:H130"/>
    <mergeCell ref="B131:B132"/>
    <mergeCell ref="C131:C132"/>
    <mergeCell ref="D131:G131"/>
    <mergeCell ref="H131:H132"/>
  </mergeCells>
  <hyperlinks>
    <hyperlink ref="B138" r:id="rId1" xr:uid="{46ADB4B5-41C9-41A7-9295-2F27DED6ED8C}"/>
    <hyperlink ref="B140" r:id="rId2" xr:uid="{ED0FDBF9-985A-4175-90EC-09B40BB32440}"/>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O11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89" t="s">
        <v>0</v>
      </c>
      <c r="B1" s="89"/>
      <c r="C1" s="89"/>
      <c r="D1" s="89"/>
      <c r="E1" s="89"/>
      <c r="F1" s="89"/>
      <c r="G1" s="89"/>
      <c r="H1" s="89"/>
    </row>
    <row r="2" spans="1:14" ht="17.100000000000001" customHeight="1" x14ac:dyDescent="0.2">
      <c r="A2" s="89" t="s">
        <v>445</v>
      </c>
      <c r="B2" s="89"/>
      <c r="C2" s="89"/>
      <c r="D2" s="89"/>
      <c r="E2" s="89"/>
      <c r="F2" s="89"/>
      <c r="G2" s="89"/>
      <c r="H2" s="89"/>
      <c r="J2" s="87" t="s">
        <v>555</v>
      </c>
      <c r="K2" s="87"/>
      <c r="L2" s="87"/>
      <c r="M2" s="87"/>
      <c r="N2" s="87"/>
    </row>
    <row r="3" spans="1:14" ht="21" customHeight="1" x14ac:dyDescent="0.2">
      <c r="A3" s="89" t="s">
        <v>550</v>
      </c>
      <c r="B3" s="89"/>
      <c r="C3" s="89"/>
      <c r="D3" s="89"/>
      <c r="E3" s="89"/>
      <c r="F3" s="89"/>
      <c r="G3" s="89"/>
      <c r="H3" s="89"/>
    </row>
    <row r="4" spans="1:14" s="76" customFormat="1" ht="30" x14ac:dyDescent="0.2">
      <c r="A4" s="75" t="s">
        <v>2</v>
      </c>
      <c r="B4" s="75" t="s">
        <v>3</v>
      </c>
      <c r="C4" s="75" t="s">
        <v>4</v>
      </c>
      <c r="D4" s="75" t="s">
        <v>5</v>
      </c>
      <c r="E4" s="75" t="s">
        <v>6</v>
      </c>
      <c r="F4" s="75" t="s">
        <v>7</v>
      </c>
      <c r="G4" s="75" t="s">
        <v>8</v>
      </c>
      <c r="H4" s="71" t="s">
        <v>531</v>
      </c>
      <c r="J4" s="77"/>
      <c r="K4" s="77"/>
      <c r="L4" s="77"/>
      <c r="M4" s="77"/>
      <c r="N4" s="77"/>
    </row>
    <row r="5" spans="1:14" ht="14.1" customHeight="1" x14ac:dyDescent="0.2">
      <c r="A5" s="1"/>
      <c r="B5" s="1"/>
      <c r="C5" s="2" t="s">
        <v>9</v>
      </c>
      <c r="D5" s="1"/>
      <c r="E5" s="1"/>
      <c r="F5" s="1"/>
      <c r="G5" s="1"/>
      <c r="H5" s="72"/>
    </row>
    <row r="6" spans="1:14" ht="24" customHeight="1" x14ac:dyDescent="0.2">
      <c r="A6" s="1"/>
      <c r="B6" s="1"/>
      <c r="C6" s="2" t="s">
        <v>10</v>
      </c>
      <c r="D6" s="1"/>
      <c r="E6" s="1"/>
      <c r="F6" s="1"/>
      <c r="G6" s="1"/>
      <c r="H6" s="72"/>
    </row>
    <row r="7" spans="1:14" ht="14.1" customHeight="1" x14ac:dyDescent="0.2">
      <c r="A7" s="1"/>
      <c r="B7" s="1"/>
      <c r="C7" s="2" t="s">
        <v>11</v>
      </c>
      <c r="D7" s="1"/>
      <c r="E7" s="1" t="s">
        <v>12</v>
      </c>
      <c r="F7" s="3">
        <v>0</v>
      </c>
      <c r="G7" s="4">
        <v>0</v>
      </c>
      <c r="H7" s="72"/>
    </row>
    <row r="8" spans="1:14" ht="14.1" customHeight="1" x14ac:dyDescent="0.2">
      <c r="A8" s="1"/>
      <c r="B8" s="1"/>
      <c r="C8" s="5"/>
      <c r="D8" s="1"/>
      <c r="E8" s="1"/>
      <c r="F8" s="6"/>
      <c r="G8" s="6"/>
      <c r="H8" s="72"/>
    </row>
    <row r="9" spans="1:14" ht="14.1" customHeight="1" x14ac:dyDescent="0.2">
      <c r="A9" s="1"/>
      <c r="B9" s="1"/>
      <c r="C9" s="2" t="s">
        <v>13</v>
      </c>
      <c r="D9" s="1"/>
      <c r="E9" s="1"/>
      <c r="F9" s="1"/>
      <c r="G9" s="1"/>
      <c r="H9" s="72"/>
    </row>
    <row r="10" spans="1:14" ht="14.1" customHeight="1" x14ac:dyDescent="0.2">
      <c r="A10" s="1"/>
      <c r="B10" s="1"/>
      <c r="C10" s="2" t="s">
        <v>11</v>
      </c>
      <c r="D10" s="1"/>
      <c r="E10" s="1" t="s">
        <v>12</v>
      </c>
      <c r="F10" s="3">
        <v>0</v>
      </c>
      <c r="G10" s="4">
        <v>0</v>
      </c>
      <c r="H10" s="72"/>
    </row>
    <row r="11" spans="1:14" ht="14.1" customHeight="1" x14ac:dyDescent="0.2">
      <c r="A11" s="1"/>
      <c r="B11" s="1"/>
      <c r="C11" s="5"/>
      <c r="D11" s="1"/>
      <c r="E11" s="1"/>
      <c r="F11" s="6"/>
      <c r="G11" s="6"/>
      <c r="H11" s="72"/>
    </row>
    <row r="12" spans="1:14" ht="14.1" customHeight="1" x14ac:dyDescent="0.2">
      <c r="A12" s="1"/>
      <c r="B12" s="1"/>
      <c r="C12" s="2" t="s">
        <v>14</v>
      </c>
      <c r="D12" s="1"/>
      <c r="E12" s="1"/>
      <c r="F12" s="1"/>
      <c r="G12" s="1"/>
      <c r="H12" s="72"/>
    </row>
    <row r="13" spans="1:14" ht="14.1" customHeight="1" x14ac:dyDescent="0.25">
      <c r="A13" s="1"/>
      <c r="B13" s="1"/>
      <c r="C13" s="2" t="s">
        <v>11</v>
      </c>
      <c r="D13" s="1"/>
      <c r="E13" s="1" t="s">
        <v>12</v>
      </c>
      <c r="F13" s="3">
        <v>0</v>
      </c>
      <c r="G13" s="4">
        <v>0</v>
      </c>
      <c r="H13" s="72"/>
      <c r="J13" s="79" t="s">
        <v>565</v>
      </c>
    </row>
    <row r="14" spans="1:14" ht="14.1" customHeight="1" x14ac:dyDescent="0.2">
      <c r="A14" s="1"/>
      <c r="B14" s="1"/>
      <c r="C14" s="5"/>
      <c r="D14" s="1"/>
      <c r="E14" s="1"/>
      <c r="F14" s="6"/>
      <c r="G14" s="6"/>
      <c r="H14" s="72"/>
    </row>
    <row r="15" spans="1:14" ht="14.1" customHeight="1" x14ac:dyDescent="0.2">
      <c r="A15" s="1"/>
      <c r="B15" s="1"/>
      <c r="C15" s="2" t="s">
        <v>15</v>
      </c>
      <c r="D15" s="1"/>
      <c r="E15" s="1"/>
      <c r="F15" s="1"/>
      <c r="G15" s="1"/>
      <c r="H15" s="72"/>
    </row>
    <row r="16" spans="1:14" ht="14.1" customHeight="1" x14ac:dyDescent="0.2">
      <c r="A16" s="1"/>
      <c r="B16" s="1"/>
      <c r="C16" s="2" t="s">
        <v>11</v>
      </c>
      <c r="D16" s="1"/>
      <c r="E16" s="1" t="s">
        <v>12</v>
      </c>
      <c r="F16" s="3">
        <v>0</v>
      </c>
      <c r="G16" s="4">
        <v>0</v>
      </c>
      <c r="H16" s="72"/>
      <c r="K16" s="80"/>
      <c r="L16" s="80"/>
      <c r="M16" s="80"/>
      <c r="N16" s="80"/>
    </row>
    <row r="17" spans="1:14" ht="14.1" customHeight="1" x14ac:dyDescent="0.2">
      <c r="A17" s="1"/>
      <c r="B17" s="1"/>
      <c r="C17" s="5"/>
      <c r="D17" s="1"/>
      <c r="E17" s="1"/>
      <c r="F17" s="6"/>
      <c r="G17" s="6"/>
      <c r="H17" s="72"/>
    </row>
    <row r="18" spans="1:14" ht="14.1" customHeight="1" x14ac:dyDescent="0.2">
      <c r="A18" s="1"/>
      <c r="B18" s="1"/>
      <c r="C18" s="2" t="s">
        <v>16</v>
      </c>
      <c r="D18" s="1"/>
      <c r="E18" s="1"/>
      <c r="F18" s="6"/>
      <c r="G18" s="6"/>
      <c r="H18" s="72"/>
    </row>
    <row r="19" spans="1:14" ht="14.1" customHeight="1" x14ac:dyDescent="0.2">
      <c r="A19" s="1"/>
      <c r="B19" s="1"/>
      <c r="C19" s="2" t="s">
        <v>11</v>
      </c>
      <c r="D19" s="1"/>
      <c r="E19" s="1" t="s">
        <v>12</v>
      </c>
      <c r="F19" s="3">
        <v>0</v>
      </c>
      <c r="G19" s="4">
        <v>0</v>
      </c>
      <c r="H19" s="72"/>
    </row>
    <row r="20" spans="1:14" ht="14.1" customHeight="1" x14ac:dyDescent="0.2">
      <c r="A20" s="1"/>
      <c r="B20" s="1"/>
      <c r="C20" s="5"/>
      <c r="D20" s="1"/>
      <c r="E20" s="1"/>
      <c r="F20" s="6"/>
      <c r="G20" s="6"/>
      <c r="H20" s="72"/>
    </row>
    <row r="21" spans="1:14" ht="14.1" customHeight="1" x14ac:dyDescent="0.2">
      <c r="A21" s="1"/>
      <c r="B21" s="1"/>
      <c r="C21" s="2" t="s">
        <v>17</v>
      </c>
      <c r="D21" s="1"/>
      <c r="E21" s="1"/>
      <c r="F21" s="6"/>
      <c r="G21" s="6"/>
      <c r="H21" s="72"/>
    </row>
    <row r="22" spans="1:14" ht="14.1" customHeight="1" x14ac:dyDescent="0.2">
      <c r="A22" s="1"/>
      <c r="B22" s="1"/>
      <c r="C22" s="2" t="s">
        <v>11</v>
      </c>
      <c r="D22" s="1"/>
      <c r="E22" s="1" t="s">
        <v>12</v>
      </c>
      <c r="F22" s="3">
        <v>0</v>
      </c>
      <c r="G22" s="4">
        <v>0</v>
      </c>
      <c r="H22" s="72"/>
    </row>
    <row r="23" spans="1:14" ht="14.1" customHeight="1" x14ac:dyDescent="0.2">
      <c r="A23" s="1"/>
      <c r="B23" s="1"/>
      <c r="C23" s="5"/>
      <c r="D23" s="1"/>
      <c r="E23" s="1"/>
      <c r="F23" s="6"/>
      <c r="G23" s="6"/>
      <c r="H23" s="72"/>
    </row>
    <row r="24" spans="1:14" ht="18" customHeight="1" x14ac:dyDescent="0.2">
      <c r="A24" s="1"/>
      <c r="B24" s="1"/>
      <c r="C24" s="2" t="s">
        <v>18</v>
      </c>
      <c r="D24" s="1"/>
      <c r="E24" s="1"/>
      <c r="F24" s="7">
        <v>0</v>
      </c>
      <c r="G24" s="8">
        <v>0</v>
      </c>
      <c r="H24" s="72"/>
    </row>
    <row r="25" spans="1:14" ht="14.1" customHeight="1" x14ac:dyDescent="0.2">
      <c r="A25" s="1"/>
      <c r="B25" s="1"/>
      <c r="C25" s="5"/>
      <c r="D25" s="1"/>
      <c r="E25" s="1"/>
      <c r="F25" s="6"/>
      <c r="G25" s="6"/>
      <c r="H25" s="72"/>
    </row>
    <row r="26" spans="1:14" ht="14.1" customHeight="1" x14ac:dyDescent="0.25">
      <c r="A26" s="1"/>
      <c r="B26" s="1"/>
      <c r="C26" s="2" t="s">
        <v>19</v>
      </c>
      <c r="D26" s="1"/>
      <c r="E26" s="1"/>
      <c r="F26" s="6"/>
      <c r="G26" s="6"/>
      <c r="H26" s="72"/>
      <c r="J26" s="79" t="s">
        <v>566</v>
      </c>
    </row>
    <row r="27" spans="1:14" ht="24" customHeight="1" x14ac:dyDescent="0.2">
      <c r="A27" s="1"/>
      <c r="B27" s="1"/>
      <c r="C27" s="2" t="s">
        <v>10</v>
      </c>
      <c r="D27" s="1"/>
      <c r="E27" s="1"/>
      <c r="F27" s="6"/>
      <c r="G27" s="6"/>
      <c r="H27" s="72"/>
    </row>
    <row r="28" spans="1:14" ht="14.1" customHeight="1" x14ac:dyDescent="0.2">
      <c r="A28" s="1"/>
      <c r="B28" s="1"/>
      <c r="C28" s="2" t="s">
        <v>11</v>
      </c>
      <c r="D28" s="1"/>
      <c r="E28" s="1" t="s">
        <v>12</v>
      </c>
      <c r="F28" s="3">
        <v>0</v>
      </c>
      <c r="G28" s="4">
        <v>0</v>
      </c>
      <c r="H28" s="72"/>
    </row>
    <row r="29" spans="1:14" ht="14.1" customHeight="1" x14ac:dyDescent="0.2">
      <c r="A29" s="1"/>
      <c r="B29" s="1"/>
      <c r="C29" s="5"/>
      <c r="D29" s="1"/>
      <c r="E29" s="1"/>
      <c r="F29" s="6"/>
      <c r="G29" s="6"/>
      <c r="H29" s="72"/>
    </row>
    <row r="30" spans="1:14" ht="14.1" customHeight="1" x14ac:dyDescent="0.2">
      <c r="A30" s="1"/>
      <c r="B30" s="1"/>
      <c r="C30" s="2" t="s">
        <v>97</v>
      </c>
      <c r="D30" s="1"/>
      <c r="E30" s="1"/>
      <c r="F30" s="1"/>
      <c r="G30" s="1"/>
      <c r="H30" s="72"/>
    </row>
    <row r="31" spans="1:14" ht="14.1" customHeight="1" x14ac:dyDescent="0.2">
      <c r="A31" s="1"/>
      <c r="B31" s="1"/>
      <c r="C31" s="2" t="s">
        <v>11</v>
      </c>
      <c r="D31" s="1"/>
      <c r="E31" s="1" t="s">
        <v>12</v>
      </c>
      <c r="F31" s="3">
        <v>0</v>
      </c>
      <c r="G31" s="4">
        <v>0</v>
      </c>
      <c r="H31" s="72"/>
      <c r="K31" s="80"/>
      <c r="L31" s="80"/>
      <c r="M31" s="80"/>
      <c r="N31" s="80"/>
    </row>
    <row r="32" spans="1:14" ht="14.1" customHeight="1" x14ac:dyDescent="0.2">
      <c r="A32" s="1"/>
      <c r="B32" s="1"/>
      <c r="C32" s="5"/>
      <c r="D32" s="1"/>
      <c r="E32" s="1"/>
      <c r="F32" s="6"/>
      <c r="G32" s="6"/>
      <c r="H32" s="72"/>
    </row>
    <row r="33" spans="1:8" ht="14.1" customHeight="1" x14ac:dyDescent="0.2">
      <c r="A33" s="1"/>
      <c r="B33" s="1"/>
      <c r="C33" s="2" t="s">
        <v>98</v>
      </c>
      <c r="D33" s="1"/>
      <c r="E33" s="1"/>
      <c r="F33" s="1"/>
      <c r="G33" s="1"/>
      <c r="H33" s="72"/>
    </row>
    <row r="34" spans="1:8" ht="14.1" customHeight="1" x14ac:dyDescent="0.2">
      <c r="A34" s="1"/>
      <c r="B34" s="1"/>
      <c r="C34" s="2" t="s">
        <v>11</v>
      </c>
      <c r="D34" s="1"/>
      <c r="E34" s="1" t="s">
        <v>12</v>
      </c>
      <c r="F34" s="3">
        <v>0</v>
      </c>
      <c r="G34" s="4">
        <v>0</v>
      </c>
      <c r="H34" s="72"/>
    </row>
    <row r="35" spans="1:8" ht="14.1" customHeight="1" x14ac:dyDescent="0.2">
      <c r="A35" s="1"/>
      <c r="B35" s="1"/>
      <c r="C35" s="5"/>
      <c r="D35" s="1"/>
      <c r="E35" s="1"/>
      <c r="F35" s="6"/>
      <c r="G35" s="6"/>
      <c r="H35" s="72"/>
    </row>
    <row r="36" spans="1:8" ht="14.1" customHeight="1" x14ac:dyDescent="0.2">
      <c r="A36" s="1"/>
      <c r="B36" s="1"/>
      <c r="C36" s="2" t="s">
        <v>108</v>
      </c>
      <c r="D36" s="1"/>
      <c r="E36" s="1"/>
      <c r="F36" s="6"/>
      <c r="G36" s="6"/>
      <c r="H36" s="72"/>
    </row>
    <row r="37" spans="1:8" ht="14.1" customHeight="1" x14ac:dyDescent="0.2">
      <c r="A37" s="1"/>
      <c r="B37" s="1"/>
      <c r="C37" s="2" t="s">
        <v>11</v>
      </c>
      <c r="D37" s="1"/>
      <c r="E37" s="1" t="s">
        <v>12</v>
      </c>
      <c r="F37" s="3">
        <v>0</v>
      </c>
      <c r="G37" s="4">
        <v>0</v>
      </c>
      <c r="H37" s="72"/>
    </row>
    <row r="38" spans="1:8" ht="14.1" customHeight="1" x14ac:dyDescent="0.2">
      <c r="A38" s="1"/>
      <c r="B38" s="1"/>
      <c r="C38" s="5"/>
      <c r="D38" s="1"/>
      <c r="E38" s="1"/>
      <c r="F38" s="6"/>
      <c r="G38" s="6"/>
      <c r="H38" s="72"/>
    </row>
    <row r="39" spans="1:8" ht="14.1" customHeight="1" x14ac:dyDescent="0.2">
      <c r="A39" s="1"/>
      <c r="B39" s="1"/>
      <c r="C39" s="2" t="s">
        <v>109</v>
      </c>
      <c r="D39" s="1"/>
      <c r="E39" s="1"/>
      <c r="F39" s="7">
        <v>0</v>
      </c>
      <c r="G39" s="8">
        <v>0</v>
      </c>
      <c r="H39" s="72"/>
    </row>
    <row r="40" spans="1:8" ht="14.1" customHeight="1" x14ac:dyDescent="0.2">
      <c r="A40" s="1"/>
      <c r="B40" s="1"/>
      <c r="C40" s="5"/>
      <c r="D40" s="1"/>
      <c r="E40" s="1"/>
      <c r="F40" s="6"/>
      <c r="G40" s="6"/>
      <c r="H40" s="72"/>
    </row>
    <row r="41" spans="1:8" ht="14.1" customHeight="1" x14ac:dyDescent="0.2">
      <c r="A41" s="1"/>
      <c r="B41" s="1"/>
      <c r="C41" s="2" t="s">
        <v>110</v>
      </c>
      <c r="D41" s="1"/>
      <c r="E41" s="1"/>
      <c r="F41" s="6"/>
      <c r="G41" s="6"/>
      <c r="H41" s="72"/>
    </row>
    <row r="42" spans="1:8" ht="14.1" customHeight="1" x14ac:dyDescent="0.2">
      <c r="A42" s="1"/>
      <c r="B42" s="1"/>
      <c r="C42" s="2" t="s">
        <v>111</v>
      </c>
      <c r="D42" s="1"/>
      <c r="E42" s="1"/>
      <c r="F42" s="6"/>
      <c r="G42" s="6"/>
      <c r="H42" s="72"/>
    </row>
    <row r="43" spans="1:8" ht="14.1" customHeight="1" x14ac:dyDescent="0.2">
      <c r="A43" s="1"/>
      <c r="B43" s="1"/>
      <c r="C43" s="2" t="s">
        <v>11</v>
      </c>
      <c r="D43" s="1"/>
      <c r="E43" s="1" t="s">
        <v>12</v>
      </c>
      <c r="F43" s="3">
        <v>0</v>
      </c>
      <c r="G43" s="4">
        <v>0</v>
      </c>
      <c r="H43" s="72"/>
    </row>
    <row r="44" spans="1:8" ht="14.1" customHeight="1" x14ac:dyDescent="0.2">
      <c r="A44" s="1"/>
      <c r="B44" s="1"/>
      <c r="C44" s="5"/>
      <c r="D44" s="1"/>
      <c r="E44" s="1"/>
      <c r="F44" s="6"/>
      <c r="G44" s="6"/>
      <c r="H44" s="72"/>
    </row>
    <row r="45" spans="1:8" ht="14.1" customHeight="1" x14ac:dyDescent="0.2">
      <c r="A45" s="1"/>
      <c r="B45" s="1"/>
      <c r="C45" s="2" t="s">
        <v>120</v>
      </c>
      <c r="D45" s="1"/>
      <c r="E45" s="1"/>
      <c r="F45" s="6"/>
      <c r="G45" s="6"/>
      <c r="H45" s="72"/>
    </row>
    <row r="46" spans="1:8" ht="14.1" customHeight="1" x14ac:dyDescent="0.2">
      <c r="A46" s="1"/>
      <c r="B46" s="1"/>
      <c r="C46" s="2" t="s">
        <v>11</v>
      </c>
      <c r="D46" s="1"/>
      <c r="E46" s="1" t="s">
        <v>12</v>
      </c>
      <c r="F46" s="3">
        <v>0</v>
      </c>
      <c r="G46" s="4">
        <v>0</v>
      </c>
      <c r="H46" s="72"/>
    </row>
    <row r="47" spans="1:8" ht="14.1" customHeight="1" x14ac:dyDescent="0.2">
      <c r="A47" s="1"/>
      <c r="B47" s="1"/>
      <c r="C47" s="5"/>
      <c r="D47" s="1"/>
      <c r="E47" s="1"/>
      <c r="F47" s="6"/>
      <c r="G47" s="6"/>
      <c r="H47" s="72"/>
    </row>
    <row r="48" spans="1:8" ht="14.1" customHeight="1" x14ac:dyDescent="0.2">
      <c r="A48" s="1"/>
      <c r="B48" s="1"/>
      <c r="C48" s="2" t="s">
        <v>123</v>
      </c>
      <c r="D48" s="1"/>
      <c r="E48" s="1"/>
      <c r="F48" s="6"/>
      <c r="G48" s="6"/>
      <c r="H48" s="72"/>
    </row>
    <row r="49" spans="1:8" ht="17.100000000000001" customHeight="1" x14ac:dyDescent="0.2">
      <c r="A49" s="9">
        <v>1</v>
      </c>
      <c r="B49" s="10" t="s">
        <v>446</v>
      </c>
      <c r="C49" s="10" t="s">
        <v>469</v>
      </c>
      <c r="D49" s="10" t="s">
        <v>101</v>
      </c>
      <c r="E49" s="11">
        <v>500000</v>
      </c>
      <c r="F49" s="12">
        <v>499.94299999999998</v>
      </c>
      <c r="G49" s="13">
        <v>8.2090459999999994E-3</v>
      </c>
      <c r="H49" s="72">
        <v>4.1721000000000004</v>
      </c>
    </row>
    <row r="50" spans="1:8" ht="14.1" customHeight="1" x14ac:dyDescent="0.2">
      <c r="A50" s="1"/>
      <c r="B50" s="1"/>
      <c r="C50" s="2" t="s">
        <v>11</v>
      </c>
      <c r="D50" s="1"/>
      <c r="E50" s="1" t="s">
        <v>12</v>
      </c>
      <c r="F50" s="7">
        <v>499.94299999999998</v>
      </c>
      <c r="G50" s="8">
        <v>8.2090459999999994E-3</v>
      </c>
      <c r="H50" s="72"/>
    </row>
    <row r="51" spans="1:8" ht="14.1" customHeight="1" x14ac:dyDescent="0.2">
      <c r="A51" s="1"/>
      <c r="B51" s="1"/>
      <c r="C51" s="5"/>
      <c r="D51" s="1"/>
      <c r="E51" s="1"/>
      <c r="F51" s="6"/>
      <c r="G51" s="6"/>
      <c r="H51" s="72"/>
    </row>
    <row r="52" spans="1:8" ht="14.1" customHeight="1" x14ac:dyDescent="0.2">
      <c r="A52" s="1"/>
      <c r="B52" s="1"/>
      <c r="C52" s="2" t="s">
        <v>124</v>
      </c>
      <c r="D52" s="1"/>
      <c r="E52" s="1"/>
      <c r="F52" s="6"/>
      <c r="G52" s="6"/>
      <c r="H52" s="72"/>
    </row>
    <row r="53" spans="1:8" ht="17.100000000000001" customHeight="1" x14ac:dyDescent="0.2">
      <c r="A53" s="9">
        <v>1</v>
      </c>
      <c r="B53" s="10"/>
      <c r="C53" s="10" t="s">
        <v>125</v>
      </c>
      <c r="D53" s="10"/>
      <c r="E53" s="14"/>
      <c r="F53" s="12">
        <v>59958.375307499999</v>
      </c>
      <c r="G53" s="13">
        <v>0.98451437600000002</v>
      </c>
      <c r="H53" s="72">
        <v>4.1713246754849944</v>
      </c>
    </row>
    <row r="54" spans="1:8" ht="14.1" customHeight="1" x14ac:dyDescent="0.2">
      <c r="A54" s="1"/>
      <c r="B54" s="1"/>
      <c r="C54" s="2" t="s">
        <v>11</v>
      </c>
      <c r="D54" s="1"/>
      <c r="E54" s="1" t="s">
        <v>12</v>
      </c>
      <c r="F54" s="7">
        <v>59958.375307499999</v>
      </c>
      <c r="G54" s="8">
        <v>0.98451437600000002</v>
      </c>
      <c r="H54" s="72"/>
    </row>
    <row r="55" spans="1:8" ht="14.1" customHeight="1" x14ac:dyDescent="0.2">
      <c r="A55" s="1"/>
      <c r="B55" s="1"/>
      <c r="C55" s="5"/>
      <c r="D55" s="1"/>
      <c r="E55" s="1"/>
      <c r="F55" s="6"/>
      <c r="G55" s="6"/>
      <c r="H55" s="72"/>
    </row>
    <row r="56" spans="1:8" ht="14.1" customHeight="1" x14ac:dyDescent="0.2">
      <c r="A56" s="1"/>
      <c r="B56" s="1"/>
      <c r="C56" s="2" t="s">
        <v>126</v>
      </c>
      <c r="D56" s="1"/>
      <c r="E56" s="1"/>
      <c r="F56" s="7">
        <v>60458.318307499998</v>
      </c>
      <c r="G56" s="8">
        <v>0.99272342199999997</v>
      </c>
      <c r="H56" s="72"/>
    </row>
    <row r="57" spans="1:8" ht="14.1" customHeight="1" x14ac:dyDescent="0.2">
      <c r="A57" s="1"/>
      <c r="B57" s="1"/>
      <c r="C57" s="6"/>
      <c r="D57" s="1"/>
      <c r="E57" s="1"/>
      <c r="F57" s="1"/>
      <c r="G57" s="1"/>
      <c r="H57" s="72"/>
    </row>
    <row r="58" spans="1:8" ht="14.1" customHeight="1" x14ac:dyDescent="0.2">
      <c r="A58" s="1"/>
      <c r="B58" s="1"/>
      <c r="C58" s="2" t="s">
        <v>127</v>
      </c>
      <c r="D58" s="1"/>
      <c r="E58" s="1"/>
      <c r="F58" s="1"/>
      <c r="G58" s="1"/>
      <c r="H58" s="72"/>
    </row>
    <row r="59" spans="1:8" ht="14.1" customHeight="1" x14ac:dyDescent="0.2">
      <c r="A59" s="1"/>
      <c r="B59" s="1"/>
      <c r="C59" s="2" t="s">
        <v>128</v>
      </c>
      <c r="D59" s="1"/>
      <c r="E59" s="1"/>
      <c r="F59" s="1"/>
      <c r="G59" s="1"/>
      <c r="H59" s="72"/>
    </row>
    <row r="60" spans="1:8" ht="14.1" customHeight="1" x14ac:dyDescent="0.2">
      <c r="A60" s="1"/>
      <c r="B60" s="1"/>
      <c r="C60" s="2" t="s">
        <v>11</v>
      </c>
      <c r="D60" s="1"/>
      <c r="E60" s="1" t="s">
        <v>12</v>
      </c>
      <c r="F60" s="3">
        <v>0</v>
      </c>
      <c r="G60" s="4">
        <v>0</v>
      </c>
      <c r="H60" s="72"/>
    </row>
    <row r="61" spans="1:8" ht="14.1" customHeight="1" x14ac:dyDescent="0.2">
      <c r="A61" s="1"/>
      <c r="B61" s="1"/>
      <c r="C61" s="5"/>
      <c r="D61" s="1"/>
      <c r="E61" s="1"/>
      <c r="F61" s="6"/>
      <c r="G61" s="6"/>
      <c r="H61" s="72"/>
    </row>
    <row r="62" spans="1:8" ht="14.1" customHeight="1" x14ac:dyDescent="0.2">
      <c r="A62" s="1"/>
      <c r="B62" s="1"/>
      <c r="C62" s="2" t="s">
        <v>129</v>
      </c>
      <c r="D62" s="1"/>
      <c r="E62" s="1"/>
      <c r="F62" s="1"/>
      <c r="G62" s="1"/>
      <c r="H62" s="72"/>
    </row>
    <row r="63" spans="1:8" ht="14.1" customHeight="1" x14ac:dyDescent="0.2">
      <c r="A63" s="1"/>
      <c r="B63" s="1"/>
      <c r="C63" s="2" t="s">
        <v>130</v>
      </c>
      <c r="D63" s="1"/>
      <c r="E63" s="1"/>
      <c r="F63" s="1"/>
      <c r="G63" s="1"/>
      <c r="H63" s="72"/>
    </row>
    <row r="64" spans="1:8" ht="14.1" customHeight="1" x14ac:dyDescent="0.2">
      <c r="A64" s="1"/>
      <c r="B64" s="1"/>
      <c r="C64" s="2" t="s">
        <v>11</v>
      </c>
      <c r="D64" s="1"/>
      <c r="E64" s="1" t="s">
        <v>12</v>
      </c>
      <c r="F64" s="3">
        <v>0</v>
      </c>
      <c r="G64" s="4">
        <v>0</v>
      </c>
      <c r="H64" s="72"/>
    </row>
    <row r="65" spans="1:8" ht="14.1" customHeight="1" x14ac:dyDescent="0.2">
      <c r="A65" s="1"/>
      <c r="B65" s="1"/>
      <c r="C65" s="5"/>
      <c r="D65" s="1"/>
      <c r="E65" s="1"/>
      <c r="F65" s="6"/>
      <c r="G65" s="6"/>
      <c r="H65" s="72"/>
    </row>
    <row r="66" spans="1:8" ht="24" customHeight="1" x14ac:dyDescent="0.2">
      <c r="A66" s="1"/>
      <c r="B66" s="1"/>
      <c r="C66" s="2" t="s">
        <v>131</v>
      </c>
      <c r="D66" s="1"/>
      <c r="E66" s="1"/>
      <c r="F66" s="6"/>
      <c r="G66" s="6"/>
      <c r="H66" s="72"/>
    </row>
    <row r="67" spans="1:8" ht="14.1" customHeight="1" x14ac:dyDescent="0.2">
      <c r="A67" s="1"/>
      <c r="B67" s="1"/>
      <c r="C67" s="2" t="s">
        <v>11</v>
      </c>
      <c r="D67" s="1"/>
      <c r="E67" s="1" t="s">
        <v>12</v>
      </c>
      <c r="F67" s="3">
        <v>0</v>
      </c>
      <c r="G67" s="4">
        <v>0</v>
      </c>
      <c r="H67" s="72"/>
    </row>
    <row r="68" spans="1:8" ht="14.1" customHeight="1" x14ac:dyDescent="0.2">
      <c r="A68" s="1"/>
      <c r="B68" s="1"/>
      <c r="C68" s="5"/>
      <c r="D68" s="1"/>
      <c r="E68" s="1"/>
      <c r="F68" s="6"/>
      <c r="G68" s="6"/>
      <c r="H68" s="72"/>
    </row>
    <row r="69" spans="1:8" ht="14.1" customHeight="1" x14ac:dyDescent="0.2">
      <c r="A69" s="1"/>
      <c r="B69" s="10"/>
      <c r="C69" s="10"/>
      <c r="D69" s="2"/>
      <c r="E69" s="1"/>
      <c r="F69" s="10"/>
      <c r="G69" s="14"/>
      <c r="H69" s="72"/>
    </row>
    <row r="70" spans="1:8" ht="18" customHeight="1" x14ac:dyDescent="0.2">
      <c r="A70" s="14"/>
      <c r="B70" s="10"/>
      <c r="C70" s="10" t="s">
        <v>132</v>
      </c>
      <c r="D70" s="10"/>
      <c r="E70" s="14"/>
      <c r="F70" s="12">
        <v>443.15429952</v>
      </c>
      <c r="G70" s="13">
        <v>7.2765779999999997E-3</v>
      </c>
      <c r="H70" s="72"/>
    </row>
    <row r="71" spans="1:8" ht="14.1" customHeight="1" x14ac:dyDescent="0.2">
      <c r="A71" s="5"/>
      <c r="B71" s="5"/>
      <c r="C71" s="39" t="s">
        <v>133</v>
      </c>
      <c r="D71" s="6"/>
      <c r="E71" s="6"/>
      <c r="F71" s="7">
        <v>60901.472607019998</v>
      </c>
      <c r="G71" s="8">
        <v>1</v>
      </c>
      <c r="H71" s="72"/>
    </row>
    <row r="72" spans="1:8" ht="14.1" customHeight="1" x14ac:dyDescent="0.2">
      <c r="A72" s="15"/>
      <c r="B72" s="15"/>
      <c r="C72" s="15"/>
      <c r="D72" s="16"/>
      <c r="E72" s="16"/>
      <c r="F72" s="16"/>
      <c r="G72" s="16"/>
    </row>
    <row r="73" spans="1:8" ht="17.100000000000001" customHeight="1" x14ac:dyDescent="0.2">
      <c r="A73" s="17"/>
      <c r="B73" s="90" t="s">
        <v>134</v>
      </c>
      <c r="C73" s="90"/>
      <c r="D73" s="90"/>
      <c r="E73" s="90"/>
      <c r="F73" s="90"/>
      <c r="G73" s="19"/>
    </row>
    <row r="74" spans="1:8" ht="17.100000000000001" customHeight="1" x14ac:dyDescent="0.2">
      <c r="A74" s="17"/>
      <c r="B74" s="90" t="s">
        <v>135</v>
      </c>
      <c r="C74" s="90"/>
      <c r="D74" s="90"/>
      <c r="E74" s="90"/>
      <c r="F74" s="90"/>
      <c r="G74" s="19"/>
    </row>
    <row r="75" spans="1:8" ht="14.1" customHeight="1" x14ac:dyDescent="0.2">
      <c r="A75" s="17"/>
      <c r="B75" s="17"/>
      <c r="C75" s="17"/>
      <c r="D75" s="19"/>
      <c r="E75" s="19"/>
      <c r="F75" s="19"/>
      <c r="G75" s="19"/>
    </row>
    <row r="76" spans="1:8" ht="14.1" customHeight="1" x14ac:dyDescent="0.2">
      <c r="A76" s="17"/>
      <c r="B76" s="91" t="s">
        <v>136</v>
      </c>
      <c r="C76" s="92"/>
      <c r="D76" s="93"/>
      <c r="E76" s="20"/>
      <c r="F76" s="19"/>
      <c r="G76" s="19"/>
    </row>
    <row r="77" spans="1:8" ht="29.1" customHeight="1" x14ac:dyDescent="0.2">
      <c r="A77" s="17"/>
      <c r="B77" s="85" t="s">
        <v>137</v>
      </c>
      <c r="C77" s="86"/>
      <c r="D77" s="2" t="s">
        <v>138</v>
      </c>
      <c r="E77" s="20"/>
      <c r="F77" s="19"/>
      <c r="G77" s="19"/>
    </row>
    <row r="78" spans="1:8" ht="17.100000000000001" customHeight="1" x14ac:dyDescent="0.2">
      <c r="A78" s="17"/>
      <c r="B78" s="85" t="s">
        <v>139</v>
      </c>
      <c r="C78" s="86"/>
      <c r="D78" s="2" t="s">
        <v>138</v>
      </c>
      <c r="E78" s="20"/>
      <c r="F78" s="19"/>
      <c r="G78" s="19"/>
    </row>
    <row r="79" spans="1:8" ht="17.100000000000001" customHeight="1" x14ac:dyDescent="0.2">
      <c r="A79" s="17"/>
      <c r="B79" s="85" t="s">
        <v>140</v>
      </c>
      <c r="C79" s="86"/>
      <c r="D79" s="6" t="s">
        <v>12</v>
      </c>
      <c r="E79" s="20"/>
      <c r="F79" s="19"/>
      <c r="G79" s="19"/>
    </row>
    <row r="80" spans="1:8" ht="24" customHeight="1" x14ac:dyDescent="0.2">
      <c r="A80" s="21"/>
      <c r="B80" s="22" t="s">
        <v>12</v>
      </c>
      <c r="C80" s="22" t="s">
        <v>141</v>
      </c>
      <c r="D80" s="22" t="s">
        <v>142</v>
      </c>
      <c r="E80" s="21"/>
      <c r="F80" s="21"/>
      <c r="G80" s="21"/>
    </row>
    <row r="81" spans="1:7" ht="18" customHeight="1" x14ac:dyDescent="0.2">
      <c r="A81" s="21"/>
      <c r="B81" s="23" t="s">
        <v>143</v>
      </c>
      <c r="C81" s="22" t="s">
        <v>144</v>
      </c>
      <c r="D81" s="22" t="s">
        <v>145</v>
      </c>
      <c r="E81" s="21"/>
      <c r="F81" s="21"/>
      <c r="G81" s="21"/>
    </row>
    <row r="82" spans="1:7" ht="17.100000000000001" customHeight="1" x14ac:dyDescent="0.2">
      <c r="A82" s="21"/>
      <c r="B82" s="10" t="s">
        <v>146</v>
      </c>
      <c r="C82" s="24">
        <v>1133.0913</v>
      </c>
      <c r="D82" s="24">
        <v>1136.9123</v>
      </c>
      <c r="E82" s="21"/>
      <c r="F82" s="18"/>
      <c r="G82" s="25"/>
    </row>
    <row r="83" spans="1:7" ht="29.1" customHeight="1" x14ac:dyDescent="0.2">
      <c r="A83" s="21"/>
      <c r="B83" s="10" t="s">
        <v>543</v>
      </c>
      <c r="C83" s="24">
        <v>1000.1345</v>
      </c>
      <c r="D83" s="24">
        <v>1000.03</v>
      </c>
      <c r="E83" s="21"/>
      <c r="F83" s="18"/>
      <c r="G83" s="25"/>
    </row>
    <row r="84" spans="1:7" ht="29.1" customHeight="1" x14ac:dyDescent="0.2">
      <c r="A84" s="21"/>
      <c r="B84" s="10" t="s">
        <v>547</v>
      </c>
      <c r="C84" s="24">
        <v>1048.4161999999999</v>
      </c>
      <c r="D84" s="24">
        <v>1048.7738999999999</v>
      </c>
      <c r="E84" s="21"/>
      <c r="F84" s="18"/>
      <c r="G84" s="25"/>
    </row>
    <row r="85" spans="1:7" ht="29.1" customHeight="1" x14ac:dyDescent="0.2">
      <c r="A85" s="21"/>
      <c r="B85" s="10" t="s">
        <v>548</v>
      </c>
      <c r="C85" s="24">
        <v>1063.6675</v>
      </c>
      <c r="D85" s="24">
        <v>1064.0199</v>
      </c>
      <c r="E85" s="21"/>
      <c r="F85" s="18"/>
      <c r="G85" s="25"/>
    </row>
    <row r="86" spans="1:7" ht="29.1" customHeight="1" x14ac:dyDescent="0.2">
      <c r="A86" s="21"/>
      <c r="B86" s="10" t="s">
        <v>534</v>
      </c>
      <c r="C86" s="24">
        <v>1044.0472</v>
      </c>
      <c r="D86" s="24">
        <v>1043.9281000000001</v>
      </c>
      <c r="E86" s="21"/>
      <c r="F86" s="18"/>
      <c r="G86" s="25"/>
    </row>
    <row r="87" spans="1:7" ht="17.100000000000001" customHeight="1" x14ac:dyDescent="0.2">
      <c r="A87" s="21"/>
      <c r="B87" s="10" t="s">
        <v>147</v>
      </c>
      <c r="C87" s="24">
        <v>1129.3151</v>
      </c>
      <c r="D87" s="24">
        <v>1133.3259</v>
      </c>
      <c r="E87" s="21"/>
      <c r="F87" s="18"/>
      <c r="G87" s="25"/>
    </row>
    <row r="88" spans="1:7" ht="29.1" customHeight="1" x14ac:dyDescent="0.2">
      <c r="A88" s="21"/>
      <c r="B88" s="10" t="s">
        <v>545</v>
      </c>
      <c r="C88" s="24">
        <v>1000.1294</v>
      </c>
      <c r="D88" s="24">
        <v>1000.03</v>
      </c>
      <c r="E88" s="21"/>
      <c r="F88" s="18"/>
      <c r="G88" s="25"/>
    </row>
    <row r="89" spans="1:7" ht="29.1" customHeight="1" x14ac:dyDescent="0.2">
      <c r="A89" s="21"/>
      <c r="B89" s="10" t="s">
        <v>546</v>
      </c>
      <c r="C89" s="24">
        <v>1047.3462999999999</v>
      </c>
      <c r="D89" s="24">
        <v>1047.6595</v>
      </c>
      <c r="E89" s="21"/>
      <c r="F89" s="18"/>
      <c r="G89" s="25"/>
    </row>
    <row r="90" spans="1:7" ht="29.1" customHeight="1" x14ac:dyDescent="0.2">
      <c r="A90" s="21"/>
      <c r="B90" s="10" t="s">
        <v>549</v>
      </c>
      <c r="C90" s="24">
        <v>1065.1061999999999</v>
      </c>
      <c r="D90" s="24">
        <v>1065.454</v>
      </c>
      <c r="E90" s="21"/>
      <c r="F90" s="18"/>
      <c r="G90" s="25"/>
    </row>
    <row r="91" spans="1:7" ht="29.1" customHeight="1" x14ac:dyDescent="0.2">
      <c r="A91" s="21"/>
      <c r="B91" s="10" t="s">
        <v>538</v>
      </c>
      <c r="C91" s="24">
        <v>1040.3126999999999</v>
      </c>
      <c r="D91" s="24">
        <v>1040.192</v>
      </c>
      <c r="E91" s="21"/>
      <c r="F91" s="18"/>
      <c r="G91" s="25"/>
    </row>
    <row r="92" spans="1:7" ht="41.1" customHeight="1" x14ac:dyDescent="0.2">
      <c r="A92" s="21"/>
      <c r="B92" s="10" t="s">
        <v>551</v>
      </c>
      <c r="C92" s="24">
        <v>1000</v>
      </c>
      <c r="D92" s="24">
        <v>1000</v>
      </c>
      <c r="E92" s="21"/>
      <c r="F92" s="18"/>
      <c r="G92" s="25"/>
    </row>
    <row r="93" spans="1:7" ht="41.1" customHeight="1" x14ac:dyDescent="0.2">
      <c r="A93" s="21"/>
      <c r="B93" s="10" t="s">
        <v>552</v>
      </c>
      <c r="C93" s="24">
        <v>1009.2413</v>
      </c>
      <c r="D93" s="24">
        <v>1012.6449</v>
      </c>
      <c r="E93" s="21"/>
      <c r="F93" s="18"/>
      <c r="G93" s="25"/>
    </row>
    <row r="94" spans="1:7" ht="41.1" customHeight="1" x14ac:dyDescent="0.2">
      <c r="A94" s="21"/>
      <c r="B94" s="10" t="s">
        <v>553</v>
      </c>
      <c r="C94" s="24">
        <v>1009.235</v>
      </c>
      <c r="D94" s="24">
        <v>1012.6384</v>
      </c>
      <c r="E94" s="21"/>
      <c r="F94" s="18"/>
      <c r="G94" s="25"/>
    </row>
    <row r="95" spans="1:7" ht="41.1" customHeight="1" x14ac:dyDescent="0.2">
      <c r="A95" s="21"/>
      <c r="B95" s="10" t="s">
        <v>554</v>
      </c>
      <c r="C95" s="24">
        <v>1000</v>
      </c>
      <c r="D95" s="24">
        <v>1000</v>
      </c>
      <c r="E95" s="21"/>
      <c r="F95" s="18"/>
      <c r="G95" s="25"/>
    </row>
    <row r="96" spans="1:7" ht="14.1" customHeight="1" x14ac:dyDescent="0.2">
      <c r="A96" s="21"/>
      <c r="B96" s="21"/>
      <c r="C96" s="21"/>
      <c r="D96" s="21"/>
      <c r="E96" s="21"/>
      <c r="F96" s="21"/>
      <c r="G96" s="21"/>
    </row>
    <row r="97" spans="1:15" ht="17.100000000000001" customHeight="1" x14ac:dyDescent="0.2">
      <c r="A97" s="21"/>
      <c r="B97" s="85" t="s">
        <v>542</v>
      </c>
      <c r="C97" s="86"/>
      <c r="D97" s="2" t="s">
        <v>12</v>
      </c>
      <c r="E97" s="21"/>
      <c r="F97" s="21"/>
      <c r="G97" s="21"/>
    </row>
    <row r="98" spans="1:15" ht="18" customHeight="1" x14ac:dyDescent="0.2">
      <c r="A98" s="21"/>
      <c r="B98" s="26" t="s">
        <v>143</v>
      </c>
      <c r="C98" s="27" t="s">
        <v>148</v>
      </c>
      <c r="D98" s="27" t="s">
        <v>149</v>
      </c>
      <c r="E98" s="21"/>
      <c r="F98" s="21"/>
      <c r="G98" s="21"/>
    </row>
    <row r="99" spans="1:15" ht="29.1" customHeight="1" x14ac:dyDescent="0.2">
      <c r="A99" s="21"/>
      <c r="B99" s="10" t="s">
        <v>543</v>
      </c>
      <c r="C99" s="28">
        <v>3.4748899999999998</v>
      </c>
      <c r="D99" s="14" t="s">
        <v>150</v>
      </c>
      <c r="E99" s="21"/>
      <c r="F99" s="18"/>
      <c r="G99" s="25"/>
    </row>
    <row r="100" spans="1:15" ht="29.1" customHeight="1" x14ac:dyDescent="0.2">
      <c r="A100" s="21"/>
      <c r="B100" s="10" t="s">
        <v>547</v>
      </c>
      <c r="C100" s="28">
        <v>3.1737000000000002</v>
      </c>
      <c r="D100" s="14" t="s">
        <v>150</v>
      </c>
      <c r="E100" s="21"/>
      <c r="F100" s="18"/>
      <c r="G100" s="25"/>
    </row>
    <row r="101" spans="1:15" ht="29.1" customHeight="1" x14ac:dyDescent="0.2">
      <c r="A101" s="21"/>
      <c r="B101" s="10" t="s">
        <v>548</v>
      </c>
      <c r="C101" s="28">
        <v>3.2098</v>
      </c>
      <c r="D101" s="14" t="s">
        <v>150</v>
      </c>
      <c r="E101" s="21"/>
      <c r="F101" s="18"/>
      <c r="G101" s="25"/>
    </row>
    <row r="102" spans="1:15" ht="29.1" customHeight="1" x14ac:dyDescent="0.2">
      <c r="A102" s="21"/>
      <c r="B102" s="10" t="s">
        <v>534</v>
      </c>
      <c r="C102" s="28">
        <v>3.6322999999999999</v>
      </c>
      <c r="D102" s="14" t="s">
        <v>150</v>
      </c>
      <c r="E102" s="21"/>
      <c r="F102" s="18"/>
      <c r="G102" s="25"/>
    </row>
    <row r="103" spans="1:15" ht="29.1" customHeight="1" x14ac:dyDescent="0.2">
      <c r="A103" s="21"/>
      <c r="B103" s="10" t="s">
        <v>545</v>
      </c>
      <c r="C103" s="28">
        <v>3.66798</v>
      </c>
      <c r="D103" s="14" t="s">
        <v>150</v>
      </c>
      <c r="E103" s="21"/>
      <c r="F103" s="18"/>
      <c r="G103" s="25"/>
    </row>
    <row r="104" spans="1:15" ht="29.1" customHeight="1" x14ac:dyDescent="0.2">
      <c r="A104" s="21"/>
      <c r="B104" s="10" t="s">
        <v>546</v>
      </c>
      <c r="C104" s="28">
        <v>3.4327000000000001</v>
      </c>
      <c r="D104" s="14" t="s">
        <v>150</v>
      </c>
      <c r="E104" s="21"/>
      <c r="F104" s="18"/>
      <c r="G104" s="25"/>
      <c r="J104"/>
      <c r="K104"/>
      <c r="L104"/>
      <c r="M104"/>
      <c r="N104"/>
    </row>
    <row r="105" spans="1:15" ht="29.1" customHeight="1" x14ac:dyDescent="0.2">
      <c r="A105" s="21"/>
      <c r="B105" s="10" t="s">
        <v>549</v>
      </c>
      <c r="C105" s="28">
        <v>3.4643000000000002</v>
      </c>
      <c r="D105" s="14" t="s">
        <v>150</v>
      </c>
      <c r="E105" s="21"/>
      <c r="F105" s="18"/>
      <c r="G105" s="25"/>
    </row>
    <row r="106" spans="1:15" ht="29.1" customHeight="1" x14ac:dyDescent="0.2">
      <c r="A106" s="21"/>
      <c r="B106" s="10" t="s">
        <v>538</v>
      </c>
      <c r="C106" s="28">
        <v>3.8586</v>
      </c>
      <c r="D106" s="14" t="s">
        <v>150</v>
      </c>
      <c r="E106" s="21"/>
      <c r="F106" s="18"/>
      <c r="G106" s="25"/>
    </row>
    <row r="107" spans="1:15" ht="14.1" customHeight="1" x14ac:dyDescent="0.2">
      <c r="A107" s="21"/>
      <c r="B107" s="18"/>
      <c r="C107" s="18"/>
      <c r="D107" s="21"/>
      <c r="E107" s="21"/>
      <c r="F107" s="21"/>
      <c r="G107" s="21"/>
    </row>
    <row r="108" spans="1:15" ht="29.1" customHeight="1" x14ac:dyDescent="0.2">
      <c r="A108" s="21"/>
      <c r="B108" s="85" t="s">
        <v>151</v>
      </c>
      <c r="C108" s="86"/>
      <c r="D108" s="2" t="s">
        <v>138</v>
      </c>
      <c r="E108" s="31"/>
      <c r="F108" s="21"/>
      <c r="G108" s="21"/>
    </row>
    <row r="109" spans="1:15" ht="29.1" customHeight="1" x14ac:dyDescent="0.2">
      <c r="A109" s="21"/>
      <c r="B109" s="85" t="s">
        <v>152</v>
      </c>
      <c r="C109" s="86"/>
      <c r="D109" s="2" t="s">
        <v>138</v>
      </c>
      <c r="E109" s="31"/>
      <c r="F109" s="21"/>
      <c r="G109" s="21"/>
    </row>
    <row r="110" spans="1:15" ht="17.100000000000001" customHeight="1" x14ac:dyDescent="0.2">
      <c r="A110" s="21"/>
      <c r="B110" s="85" t="s">
        <v>477</v>
      </c>
      <c r="C110" s="86"/>
      <c r="D110" s="32">
        <v>1</v>
      </c>
      <c r="E110" s="31"/>
      <c r="F110" s="21"/>
      <c r="G110" s="21"/>
      <c r="I110" s="41"/>
      <c r="O110" s="41"/>
    </row>
    <row r="111" spans="1:15" ht="17.100000000000001" customHeight="1" x14ac:dyDescent="0.2">
      <c r="A111" s="21"/>
      <c r="B111" s="85" t="s">
        <v>478</v>
      </c>
      <c r="C111" s="86"/>
      <c r="D111" s="32">
        <v>1</v>
      </c>
      <c r="E111" s="31"/>
      <c r="F111" s="21"/>
      <c r="G111" s="21"/>
    </row>
    <row r="112" spans="1:15" ht="17.100000000000001" customHeight="1" x14ac:dyDescent="0.2">
      <c r="A112" s="21"/>
      <c r="B112" s="85" t="s">
        <v>155</v>
      </c>
      <c r="C112" s="86"/>
      <c r="D112" s="2" t="s">
        <v>138</v>
      </c>
      <c r="E112" s="31"/>
      <c r="F112" s="21"/>
      <c r="G112" s="21"/>
    </row>
    <row r="113" spans="1:7" ht="14.1" customHeight="1" x14ac:dyDescent="0.2">
      <c r="A113" s="21"/>
      <c r="B113" s="88"/>
      <c r="C113" s="88"/>
      <c r="D113" s="30"/>
      <c r="E113" s="21"/>
      <c r="F113" s="18"/>
      <c r="G113" s="25"/>
    </row>
  </sheetData>
  <mergeCells count="17">
    <mergeCell ref="A1:H1"/>
    <mergeCell ref="A2:H2"/>
    <mergeCell ref="A3:H3"/>
    <mergeCell ref="B109:C109"/>
    <mergeCell ref="B110:C110"/>
    <mergeCell ref="B108:C108"/>
    <mergeCell ref="B73:F73"/>
    <mergeCell ref="B74:F74"/>
    <mergeCell ref="B76:D76"/>
    <mergeCell ref="B77:C77"/>
    <mergeCell ref="B78:C78"/>
    <mergeCell ref="B79:C79"/>
    <mergeCell ref="B97:C97"/>
    <mergeCell ref="J2:N2"/>
    <mergeCell ref="B111:C111"/>
    <mergeCell ref="B112:C112"/>
    <mergeCell ref="B113:C113"/>
  </mergeCell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Boopathi V - Sundaram Mutual</cp:lastModifiedBy>
  <dcterms:created xsi:type="dcterms:W3CDTF">2022-06-01T09:23:10Z</dcterms:created>
  <dcterms:modified xsi:type="dcterms:W3CDTF">2022-06-10T12:04:55Z</dcterms:modified>
</cp:coreProperties>
</file>