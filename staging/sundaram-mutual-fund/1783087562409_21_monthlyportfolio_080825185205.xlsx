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X:\DEBT_BACKOFFICE\Debt_Factsheets\2025 - Monthly Portfolio\7. 31072025\Working\"/>
    </mc:Choice>
  </mc:AlternateContent>
  <xr:revisionPtr revIDLastSave="0" documentId="13_ncr:1_{AE9D7EFD-07E5-4DAA-AFD2-47630F35E8D5}" xr6:coauthVersionLast="47" xr6:coauthVersionMax="47" xr10:uidLastSave="{00000000-0000-0000-0000-000000000000}"/>
  <bookViews>
    <workbookView xWindow="-120" yWindow="-120" windowWidth="24240" windowHeight="13020" tabRatio="851" activeTab="10" xr2:uid="{BF17C177-D4C5-42AE-A821-2F92341EAED1}"/>
  </bookViews>
  <sheets>
    <sheet name="Index" sheetId="11"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9" i="6" l="1"/>
  <c r="F100" i="6"/>
  <c r="F148" i="5"/>
  <c r="F149" i="5"/>
  <c r="F107" i="4"/>
  <c r="F106" i="4"/>
  <c r="J138" i="9" l="1"/>
  <c r="F11" i="9"/>
  <c r="F28" i="9" s="1"/>
  <c r="F45" i="9" s="1"/>
  <c r="G115" i="8"/>
  <c r="H170" i="7"/>
  <c r="H169" i="7"/>
  <c r="H168" i="7"/>
  <c r="H167" i="7"/>
  <c r="I176" i="7"/>
  <c r="F176" i="7"/>
  <c r="F138" i="7"/>
  <c r="F137" i="7"/>
  <c r="F136" i="7"/>
  <c r="F135" i="7"/>
  <c r="F8" i="7"/>
  <c r="F25" i="7" s="1"/>
  <c r="F140" i="7" s="1"/>
  <c r="I149" i="6"/>
  <c r="J149" i="6" s="1"/>
  <c r="I148" i="6"/>
  <c r="J148" i="6" s="1"/>
  <c r="I147" i="6"/>
  <c r="J147" i="6" s="1"/>
  <c r="G147" i="6"/>
  <c r="I146" i="6"/>
  <c r="J146" i="6" s="1"/>
  <c r="I177" i="5"/>
  <c r="F177" i="5"/>
  <c r="F8" i="5"/>
  <c r="F25" i="5" s="1"/>
  <c r="I160" i="4"/>
  <c r="F160" i="4"/>
  <c r="I155" i="4"/>
  <c r="J155" i="4" s="1"/>
  <c r="I154" i="4"/>
  <c r="J154" i="4" s="1"/>
  <c r="I153" i="4"/>
  <c r="J153" i="4" s="1"/>
  <c r="F8" i="4"/>
  <c r="F25" i="4" s="1"/>
  <c r="G86" i="9"/>
  <c r="F86" i="9"/>
  <c r="F96" i="9" s="1"/>
  <c r="G76" i="8"/>
  <c r="F76" i="8"/>
  <c r="G125" i="7"/>
  <c r="F125" i="7"/>
  <c r="G90" i="6"/>
  <c r="F90" i="6"/>
  <c r="G139" i="5"/>
  <c r="F139" i="5"/>
  <c r="G97" i="4"/>
  <c r="F97" i="4"/>
  <c r="G120" i="3"/>
  <c r="F120" i="3"/>
  <c r="G100" i="2"/>
  <c r="F100" i="2"/>
  <c r="G101" i="1"/>
  <c r="F101" i="1"/>
  <c r="G11" i="9" l="1"/>
  <c r="G28" i="9" s="1"/>
  <c r="G45" i="9" s="1"/>
  <c r="G96" i="9" s="1"/>
  <c r="F141" i="7"/>
  <c r="G140" i="7"/>
  <c r="G141" i="7" s="1"/>
</calcChain>
</file>

<file path=xl/sharedStrings.xml><?xml version="1.0" encoding="utf-8"?>
<sst xmlns="http://schemas.openxmlformats.org/spreadsheetml/2006/main" count="3333" uniqueCount="757">
  <si>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</si>
  <si>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</si>
  <si>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</si>
  <si>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</si>
  <si>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</si>
  <si>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</si>
  <si>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</si>
  <si>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</si>
  <si>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</si>
  <si>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</si>
  <si>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</si>
  <si>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</si>
  <si>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</si>
  <si>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</si>
  <si>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</si>
  <si>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</si>
  <si>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</si>
  <si>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</si>
  <si>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</si>
  <si>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</si>
  <si>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</si>
  <si>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INE556F08KL3</t>
  </si>
  <si>
    <t>Small Industries Development Bank of India - 7.83% - 24/11/2028**</t>
  </si>
  <si>
    <t>CRISIL AAA</t>
  </si>
  <si>
    <t>INE053F08411</t>
  </si>
  <si>
    <t>Indian Railway Finance Corporation Ltd - 7.37% - 31/07/2029**</t>
  </si>
  <si>
    <t>ICRA AAA</t>
  </si>
  <si>
    <t>INE557F08FR8</t>
  </si>
  <si>
    <t>National Housing Bank - 7.22% - 23/07/2026**</t>
  </si>
  <si>
    <t>INE115A07QJ2</t>
  </si>
  <si>
    <t>LIC Housing Finance Ltd - 7.7% - 16/05/2028**</t>
  </si>
  <si>
    <t>INE261F08EJ7</t>
  </si>
  <si>
    <t>National Bank for Agriculture &amp; Rural Development - 7.64% - 06/12/2029**</t>
  </si>
  <si>
    <t>INE040A08930</t>
  </si>
  <si>
    <t>HDFC Bank Ltd (Prev HDFC Ltd) - 7.65% - 25/05/2033**</t>
  </si>
  <si>
    <t>INE261F08EH1</t>
  </si>
  <si>
    <t>National Bank for Agriculture &amp; Rural Development - 7.62% - 10/05/2029**</t>
  </si>
  <si>
    <t>INE020B08EK4</t>
  </si>
  <si>
    <t>REC LTD - 7.46% - 30/06/2028**</t>
  </si>
  <si>
    <t>INE115A07QY1</t>
  </si>
  <si>
    <t>LIC Housing Finance Ltd - 7.57% - 18/10/2029**</t>
  </si>
  <si>
    <t>INE053F08304</t>
  </si>
  <si>
    <t>Indian Railway Finance Corporation Ltd - 7.23% - 15/10/2026**</t>
  </si>
  <si>
    <t>INE041007167</t>
  </si>
  <si>
    <t>Embassy Office Parks REIT - 7.21% - 17/03/2028</t>
  </si>
  <si>
    <t>INE020B08FX4</t>
  </si>
  <si>
    <t>REC LTD - 6.37% - 31/03/2027**</t>
  </si>
  <si>
    <t>INE134E08MX3</t>
  </si>
  <si>
    <t>Power Finance Corporation Ltd - 7.6% - 13/04/2029**</t>
  </si>
  <si>
    <t>INE296A07SV1</t>
  </si>
  <si>
    <t>Bajaj Finance Ltd - 7.82% - 31/01/2034**</t>
  </si>
  <si>
    <t>INE242A08544</t>
  </si>
  <si>
    <t>Indian Oil Corporation Ltd - 7.44% - 25/11/2027**</t>
  </si>
  <si>
    <t>INE557F08FS6</t>
  </si>
  <si>
    <t>National Housing Bank - 7.4% - 16/07/2026</t>
  </si>
  <si>
    <t>INE296A07TJ4</t>
  </si>
  <si>
    <t>Bajaj Finance Ltd - 7.3763% - 26/06/2028**</t>
  </si>
  <si>
    <t>INE261F08EO7</t>
  </si>
  <si>
    <t>National Bank for Agriculture &amp; Rural Development - 7.48% - 15/09/2028**</t>
  </si>
  <si>
    <t>INE020B08EP3</t>
  </si>
  <si>
    <t>REC LTD - 7.77% - 30/09/2026</t>
  </si>
  <si>
    <t>INE134E08IO0</t>
  </si>
  <si>
    <t>Power Finance Corporation Ltd - 7.23% - 05/01/2027**</t>
  </si>
  <si>
    <t>INE752E08783</t>
  </si>
  <si>
    <t>Power Grid Corporation of India Ltd - 6.94% - 15/04/2035**</t>
  </si>
  <si>
    <t>INE756I07FG5</t>
  </si>
  <si>
    <t>HDB Financial Services Ltd - 7.4091% - 05/06/2028**</t>
  </si>
  <si>
    <t>INE134E08NS1</t>
  </si>
  <si>
    <t>Power Finance Corporation Ltd - 6.61% - 15/07/2028**</t>
  </si>
  <si>
    <t>INE115A07MW4</t>
  </si>
  <si>
    <t>LIC Housing Finance Ltd - 7.95% - 29/01/2028**</t>
  </si>
  <si>
    <t>INE756I07EX3</t>
  </si>
  <si>
    <t>HDB Financial Services Ltd - 8.2378% - 06/04/2027**</t>
  </si>
  <si>
    <t>INE556F08KH1</t>
  </si>
  <si>
    <t>Small Industries Development Bank of India - 7.43% - 31/08/2026**</t>
  </si>
  <si>
    <t>INE296A07SU3</t>
  </si>
  <si>
    <t>Bajaj Finance Ltd - 7.87% - 08/02/2034**</t>
  </si>
  <si>
    <t>INE556F08KP4</t>
  </si>
  <si>
    <t>Small Industries Development Bank of India - 7.68% - 10/08/2027**</t>
  </si>
  <si>
    <t>(b) Privately Placed / Unlisted</t>
  </si>
  <si>
    <t>(c) Govt Security</t>
  </si>
  <si>
    <t>IN0020240126</t>
  </si>
  <si>
    <t>6.79% Central Government Securities 07/10/2034</t>
  </si>
  <si>
    <t>Sovereign</t>
  </si>
  <si>
    <t>IN0020250026</t>
  </si>
  <si>
    <t>6.33% Central Government Securities 05/05/2035</t>
  </si>
  <si>
    <t>IN0020230135</t>
  </si>
  <si>
    <t>7.32% Government Securities-13/11/2030</t>
  </si>
  <si>
    <t>IN3120240400</t>
  </si>
  <si>
    <t>6.96% Tamil Nadu State Government Securities - 04/12/2028</t>
  </si>
  <si>
    <t>IN0020230051</t>
  </si>
  <si>
    <t>7.30% Government Securities - 19/06/2053</t>
  </si>
  <si>
    <t>IN0020230077</t>
  </si>
  <si>
    <t>7.18%  Government Securities - 24/07/2037</t>
  </si>
  <si>
    <t>IN0020230101</t>
  </si>
  <si>
    <t>7.37% Government Securities-23/10/2028</t>
  </si>
  <si>
    <t>IN0020250018</t>
  </si>
  <si>
    <t>6.90% Central Government Securities 15/04/2065</t>
  </si>
  <si>
    <t>(d) Securitized Debt Instruments</t>
  </si>
  <si>
    <t>Total for Debt Instruments</t>
  </si>
  <si>
    <t>C) Money Market Instruments</t>
  </si>
  <si>
    <t>(a) Certificate of Deposits</t>
  </si>
  <si>
    <t>INE692A16II0</t>
  </si>
  <si>
    <t>Union Bank of India - 18/12/2025**</t>
  </si>
  <si>
    <t>ICRA A1+</t>
  </si>
  <si>
    <t>INE562A16NQ8</t>
  </si>
  <si>
    <t>Indian Bank - 04/12/2025**</t>
  </si>
  <si>
    <t>CRISIL A1+</t>
  </si>
  <si>
    <t>(b) Commercial Papers</t>
  </si>
  <si>
    <t>(c) Treasury Bills</t>
  </si>
  <si>
    <t>(d) ReverseRepo / TREPS</t>
  </si>
  <si>
    <t>TREPS</t>
  </si>
  <si>
    <t>Total for Money Market Instruments</t>
  </si>
  <si>
    <t>D) Mutual Fund Units</t>
  </si>
  <si>
    <t>(a) Investment in Mutual Fund Units</t>
  </si>
  <si>
    <t>INF0RQ622028</t>
  </si>
  <si>
    <t>Corporate Debt Market Development Fund - Class A2</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</si>
  <si>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</si>
  <si>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</si>
  <si>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</si>
  <si>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</si>
  <si>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</si>
  <si>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</si>
  <si>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</si>
  <si>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</si>
  <si>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b) Total value and percentage of illiquid equity shares</t>
  </si>
  <si>
    <t>c) NAV  per  unit (Rupees per unit)</t>
  </si>
  <si>
    <t>At the end</t>
  </si>
  <si>
    <t>Option</t>
  </si>
  <si>
    <t>Direct Plan - Growth</t>
  </si>
  <si>
    <t>Regular Plan - Growth</t>
  </si>
  <si>
    <t>e) Total outstanding exposure in derivative instruments at the end of the period</t>
  </si>
  <si>
    <t>f) Total investments in foreign securities /ADR'S/GDR'S at the end of the period</t>
  </si>
  <si>
    <t>Sundaram Banking &amp; PSU Fund</t>
  </si>
  <si>
    <t>INE020B08EA5</t>
  </si>
  <si>
    <t>REC LTD - 7.55% - 31/03/2028**</t>
  </si>
  <si>
    <t>INE040A08955</t>
  </si>
  <si>
    <t>HDFC Bank Ltd - 7.7% - 16/05/2028**</t>
  </si>
  <si>
    <t>INE031A08962</t>
  </si>
  <si>
    <t>Housing and Urban Development Corp. Ltd - 6.9% - 23/04/2032**</t>
  </si>
  <si>
    <t>INE557F08FY4</t>
  </si>
  <si>
    <t>National Housing Bank - 7.59% - 14/07/2027**</t>
  </si>
  <si>
    <t>INE556F08KF5</t>
  </si>
  <si>
    <t>Small Industries Development Bank of India - 7.54% - 12/01/2026**</t>
  </si>
  <si>
    <t>INE134E08LK2</t>
  </si>
  <si>
    <t>Power Finance Corporation Ltd - 6.09% - 27/08/2026**</t>
  </si>
  <si>
    <t>INE514E08GE8</t>
  </si>
  <si>
    <t>Export Import Bank of India - 7.35% - 27/07/2028</t>
  </si>
  <si>
    <t>INE752E08734</t>
  </si>
  <si>
    <t>Power Grid Corporation of India Ltd - 7.35% - 12/03/2034**</t>
  </si>
  <si>
    <t>INE261F08EM1</t>
  </si>
  <si>
    <t>National Bank for Agriculture &amp; Rural Development - 7.53% - 24/03/2028</t>
  </si>
  <si>
    <t>INE296A07TM8</t>
  </si>
  <si>
    <t>Bajaj Finance Ltd - 7.11% - 10/07/2028**</t>
  </si>
  <si>
    <t>INE020B08FL9</t>
  </si>
  <si>
    <t>REC LTD - 7.34% - 30/04/2030**</t>
  </si>
  <si>
    <t>INE261F08EF5</t>
  </si>
  <si>
    <t>National Bank for Agriculture &amp; Rural Development - 7.8% - 15/03/2027</t>
  </si>
  <si>
    <t>INE053F08338</t>
  </si>
  <si>
    <t>Indian Railway Finance Corporation Ltd - 7.68% - 24/11/2026**</t>
  </si>
  <si>
    <t>IN0020240027</t>
  </si>
  <si>
    <t>7.23% Central Government Securities 15/04/2039</t>
  </si>
  <si>
    <t>IN0020240050</t>
  </si>
  <si>
    <t>7.04% Central Government Securities 03/06/2029</t>
  </si>
  <si>
    <t>INE562A16ON3</t>
  </si>
  <si>
    <t>Indian Bank - 25/03/2026**</t>
  </si>
  <si>
    <t>INE514E16CJ9</t>
  </si>
  <si>
    <t>Export Import Bank of India - 04/03/2026**</t>
  </si>
  <si>
    <t>INE040A16GE5</t>
  </si>
  <si>
    <t>HDFC Bank Ltd - 04/02/2026**</t>
  </si>
  <si>
    <t>INE514E16CK7</t>
  </si>
  <si>
    <t>Export Import Bank of India - 20/03/2026**</t>
  </si>
  <si>
    <t>Sundaram Money Market Fund</t>
  </si>
  <si>
    <t>IN3120160053</t>
  </si>
  <si>
    <t>8.07% Tamil Nadu State Development Loan - 15/06/2026</t>
  </si>
  <si>
    <t>IN3120150187</t>
  </si>
  <si>
    <t>8.38% Tamil Nadu State Development Loan - 27/01/2026</t>
  </si>
  <si>
    <t>IN1520160038</t>
  </si>
  <si>
    <t>7.98% Gujarat State Development Loan - 11/05/2026</t>
  </si>
  <si>
    <t>INE238AD6AN0</t>
  </si>
  <si>
    <t>Axis Bank Ltd - 04/03/2026**</t>
  </si>
  <si>
    <t>INE160A16RK5</t>
  </si>
  <si>
    <t>Punjab National Bank - 18/03/2026**</t>
  </si>
  <si>
    <t>INE040A16GS5</t>
  </si>
  <si>
    <t>HDFC Bank Ltd - 24/03/2026</t>
  </si>
  <si>
    <t>INE160A16QM3</t>
  </si>
  <si>
    <t>Punjab National Bank - 05/12/2025**</t>
  </si>
  <si>
    <t>INE028A16HY6</t>
  </si>
  <si>
    <t>Bank of Baroda - 12/12/2025**</t>
  </si>
  <si>
    <t>IND A1+</t>
  </si>
  <si>
    <t>INE562A16OG7</t>
  </si>
  <si>
    <t>Indian Bank - 06/03/2026**</t>
  </si>
  <si>
    <t>INE261F16975</t>
  </si>
  <si>
    <t>National Bank for Agriculture &amp; Rural Development - 10/03/2026</t>
  </si>
  <si>
    <t>INE562A16OI3</t>
  </si>
  <si>
    <t>Indian Bank - 12/03/2026**</t>
  </si>
  <si>
    <t>INE476A16B64</t>
  </si>
  <si>
    <t>Canara Bank - 18/03/2026**</t>
  </si>
  <si>
    <t>INE237A168Z9</t>
  </si>
  <si>
    <t>Kotak Mahindra Bank Ltd - 19/03/2026**</t>
  </si>
  <si>
    <t>INE556F16BG5</t>
  </si>
  <si>
    <t>Small Industries Development Bank of India - 26/03/2026**</t>
  </si>
  <si>
    <t>INE556F16BB6</t>
  </si>
  <si>
    <t>Small Industries Development Bank of India - 27/02/2026**</t>
  </si>
  <si>
    <t>INE261F16967</t>
  </si>
  <si>
    <t>National Bank for Agriculture &amp; Rural Development - 27/02/2026**</t>
  </si>
  <si>
    <t>INE238AD6AM2</t>
  </si>
  <si>
    <t>Axis Bank Ltd - 04/02/2026**</t>
  </si>
  <si>
    <t>INE949L16CY1</t>
  </si>
  <si>
    <t>AU Small Finance Bank Ltd - 28/10/2025**</t>
  </si>
  <si>
    <t>INE095A16X85</t>
  </si>
  <si>
    <t>IndusInd Bank Ltd - 05/12/2025**</t>
  </si>
  <si>
    <t>INE238AD6AX9</t>
  </si>
  <si>
    <t>Axis Bank Ltd - 16/12/2025</t>
  </si>
  <si>
    <t>INE562A16OA0</t>
  </si>
  <si>
    <t>Indian Bank - 04/02/2026**</t>
  </si>
  <si>
    <t>INE261F16934</t>
  </si>
  <si>
    <t>National Bank for Agriculture &amp; Rural Development - 05/02/2026**</t>
  </si>
  <si>
    <t>INE084A16DC4</t>
  </si>
  <si>
    <t>Bank of India - 06/02/2026**</t>
  </si>
  <si>
    <t>INE237A165Z5</t>
  </si>
  <si>
    <t>Kotak Mahindra Bank Ltd - 18/02/2026**</t>
  </si>
  <si>
    <t>INE261F16959</t>
  </si>
  <si>
    <t>National Bank for Agriculture &amp; Rural Development - 17/02/2026**</t>
  </si>
  <si>
    <t>INE237A166Z3</t>
  </si>
  <si>
    <t>Kotak Mahindra Bank Ltd - 27/02/2026**</t>
  </si>
  <si>
    <t>INE008A16X99</t>
  </si>
  <si>
    <t>IDBI Bank Ltd - 23/02/2026**</t>
  </si>
  <si>
    <t>INE237A167Z1</t>
  </si>
  <si>
    <t>Kotak Mahindra Bank Ltd - 13/03/2026**</t>
  </si>
  <si>
    <t>INE476A16B31</t>
  </si>
  <si>
    <t>Canara Bank - 13/03/2026**</t>
  </si>
  <si>
    <t>INE040A16GW7</t>
  </si>
  <si>
    <t>HDFC Bank Ltd - 19/05/2026**</t>
  </si>
  <si>
    <t>INE238AD6AT7</t>
  </si>
  <si>
    <t>Axis Bank Ltd - 11/06/2026**</t>
  </si>
  <si>
    <t>INE040A16HB9</t>
  </si>
  <si>
    <t>HDFC Bank Ltd - 24/06/2026**</t>
  </si>
  <si>
    <t>INE476A16ZT9</t>
  </si>
  <si>
    <t>Canara Bank - 18/12/2025**</t>
  </si>
  <si>
    <t>INE092T16XX1</t>
  </si>
  <si>
    <t>IDFC First Bank Ltd - 23/01/2026**</t>
  </si>
  <si>
    <t>INE476A16A65</t>
  </si>
  <si>
    <t>Canara Bank - 24/02/2026**</t>
  </si>
  <si>
    <t>INE556F16BA8</t>
  </si>
  <si>
    <t>Small Industries Development Bank of India - 06/02/2026**</t>
  </si>
  <si>
    <t>INE041014064</t>
  </si>
  <si>
    <t>Embassy Office Parks REIT - 20/03/2026**</t>
  </si>
  <si>
    <t>INE763G14XJ8</t>
  </si>
  <si>
    <t>ICICI Securities Ltd - 03/03/2026**</t>
  </si>
  <si>
    <t>INE144H14HG8</t>
  </si>
  <si>
    <t>Deutsche Investments India Private Ltd - 22/12/2025**</t>
  </si>
  <si>
    <t>INE144H14HQ7</t>
  </si>
  <si>
    <t>Deutsche Investments India Private Ltd - 27/02/2026**</t>
  </si>
  <si>
    <t>INE121A14XO2</t>
  </si>
  <si>
    <t>Cholamandalam Investment and Finance Company Ltd - 26/05/2026**</t>
  </si>
  <si>
    <t>INE403D14544</t>
  </si>
  <si>
    <t>Bharti Telecom Ltd - 17/10/2025**</t>
  </si>
  <si>
    <t>INE115A14FJ1</t>
  </si>
  <si>
    <t>LIC Housing Finance Ltd - 18/02/2026**</t>
  </si>
  <si>
    <t>INE338I14JI6</t>
  </si>
  <si>
    <t>Motilal Oswal Financial Services Ltd - 25/02/2026**</t>
  </si>
  <si>
    <t>INE763G14YJ6</t>
  </si>
  <si>
    <t>ICICI Securities Ltd - 15/05/2026**</t>
  </si>
  <si>
    <t>INE09OL14HG3</t>
  </si>
  <si>
    <t>Birla Group Holdings Pvt Ltd - 22/05/2026**</t>
  </si>
  <si>
    <t>INE790I14GC7</t>
  </si>
  <si>
    <t>HSBC InvestDirect Financial Services India Limited - 13/02/2026**</t>
  </si>
  <si>
    <t>INE121A14XG8</t>
  </si>
  <si>
    <t>Cholamandalam Investment and Finance Company Ltd - 14/11/2025**</t>
  </si>
  <si>
    <t>INE007N14EB3</t>
  </si>
  <si>
    <t>Fedbank Financial Services Ltd - 05/12/2025**</t>
  </si>
  <si>
    <t>INE338I14JF2</t>
  </si>
  <si>
    <t>Motilal Oswal Financial Services Ltd - 06/02/2026**</t>
  </si>
  <si>
    <t>INE121A14XK0</t>
  </si>
  <si>
    <t>Cholamandalam Investment and Finance Company Ltd - 22/05/2026**</t>
  </si>
  <si>
    <t>IN002024Y464</t>
  </si>
  <si>
    <t>182 Days - T Bill - 29/08/2025</t>
  </si>
  <si>
    <t>IN002024Z453</t>
  </si>
  <si>
    <t>364 Days - T Bill - 20/02/2026</t>
  </si>
  <si>
    <t>Sundaram Low Duration Fund</t>
  </si>
  <si>
    <t>INE721A07SB0</t>
  </si>
  <si>
    <t>Shriram Finance Ltd - 9.2% - 22/05/2026**</t>
  </si>
  <si>
    <t>CRISIL AA+</t>
  </si>
  <si>
    <t>INE477A07373</t>
  </si>
  <si>
    <t>Can Fin Homes Ltd - 8.45% - 27/05/2026**</t>
  </si>
  <si>
    <t>IND AA+</t>
  </si>
  <si>
    <t>INE020B08ED9</t>
  </si>
  <si>
    <t>REC LTD - 7.56% - 30/06/2026**</t>
  </si>
  <si>
    <t>INE403D08181</t>
  </si>
  <si>
    <t>Bharti Telecom Ltd - 8.9% - 04/12/2025**</t>
  </si>
  <si>
    <t>INE572E07183</t>
  </si>
  <si>
    <t>PNB Housing Finance Ltd - 8.15% - 29/07/2027**</t>
  </si>
  <si>
    <t>CARE AA+</t>
  </si>
  <si>
    <t>INE414G07II5</t>
  </si>
  <si>
    <t>Muthoot Finance Ltd - 8.4% - 28/08/2028**</t>
  </si>
  <si>
    <t>ICRA AA+</t>
  </si>
  <si>
    <t>INE134E08IE1</t>
  </si>
  <si>
    <t>Power Finance Corporation Ltd - 8.03% - 02/05/2026**</t>
  </si>
  <si>
    <t>INE523H07CB9</t>
  </si>
  <si>
    <t>JM Financial Products Ltd - 8.92% - 16/11/2026**</t>
  </si>
  <si>
    <t>CRISIL AA</t>
  </si>
  <si>
    <t>INE233A08121</t>
  </si>
  <si>
    <t>Godrej Industries Ltd - 8.36% - 28/08/2026**</t>
  </si>
  <si>
    <t>INE477A07415</t>
  </si>
  <si>
    <t>Can Fin Homes Ltd - 8.09% - 04/01/2027**</t>
  </si>
  <si>
    <t>INE020B08FF1</t>
  </si>
  <si>
    <t>REC LTD - 7.56% - 31/08/2027**</t>
  </si>
  <si>
    <t>INE121A07QT9</t>
  </si>
  <si>
    <t>Cholamandalam Investment and Finance Company Ltd - 8.45% - 21/11/2025**</t>
  </si>
  <si>
    <t>INE414G07JL7</t>
  </si>
  <si>
    <t>Muthoot Finance Ltd - 8.65% - 31/01/2028**</t>
  </si>
  <si>
    <t>IN0020220037</t>
  </si>
  <si>
    <t>7.38% Central Government Securities 20/06/2027</t>
  </si>
  <si>
    <t>INE092T16YI0</t>
  </si>
  <si>
    <t>IDFC First Bank Ltd - 25/05/2026**</t>
  </si>
  <si>
    <t>INE040A16GF2</t>
  </si>
  <si>
    <t>HDFC Bank Ltd - 06/02/2026</t>
  </si>
  <si>
    <t>INE261F16983</t>
  </si>
  <si>
    <t>National Bank for Agriculture &amp; Rural Development - 13/03/2026**</t>
  </si>
  <si>
    <t>INE261F16AA7</t>
  </si>
  <si>
    <t>National Bank for Agriculture &amp; Rural Development - 25/03/2026**</t>
  </si>
  <si>
    <t>IN002025X067</t>
  </si>
  <si>
    <t>91 Days - T Bill - 07/08/2025</t>
  </si>
  <si>
    <t>Sundaram Liquid Fund</t>
  </si>
  <si>
    <t>INE115A07PZ0</t>
  </si>
  <si>
    <t>LIC Housing Finance Ltd - 7.38% - 18/08/2025**</t>
  </si>
  <si>
    <t>INE414G07HT4</t>
  </si>
  <si>
    <t>Muthoot Finance Ltd - 8.6% - 25/08/2025**</t>
  </si>
  <si>
    <t>INE134E08LO4</t>
  </si>
  <si>
    <t>Power Finance Corporation Ltd - 7.13% - 08/08/2025**</t>
  </si>
  <si>
    <t>INE092T16YM2</t>
  </si>
  <si>
    <t>IDFC First Bank Ltd - 23/09/2025**</t>
  </si>
  <si>
    <t>INE562A16PC3</t>
  </si>
  <si>
    <t>Indian Bank - 16/10/2025**</t>
  </si>
  <si>
    <t>INE565A16BB8</t>
  </si>
  <si>
    <t>Indian Overseas Bank - 22/08/2025**</t>
  </si>
  <si>
    <t>CARE A1+</t>
  </si>
  <si>
    <t>INE565A16BD4</t>
  </si>
  <si>
    <t>Indian Overseas Bank - 09/09/2025**</t>
  </si>
  <si>
    <t>INE040A16FM0</t>
  </si>
  <si>
    <t>HDFC Bank Ltd - 19/09/2025**</t>
  </si>
  <si>
    <t>INE028A16IY4</t>
  </si>
  <si>
    <t>Bank of Baroda - 04/09/2025**</t>
  </si>
  <si>
    <t>INE238AD6900</t>
  </si>
  <si>
    <t>Axis Bank Ltd - 04/09/2025**</t>
  </si>
  <si>
    <t>INE238AD6918</t>
  </si>
  <si>
    <t>Axis Bank Ltd - 09/09/2025**</t>
  </si>
  <si>
    <t>INE028A16GQ4</t>
  </si>
  <si>
    <t>Bank of Baroda - 12/09/2025**</t>
  </si>
  <si>
    <t>INE028A16JB0</t>
  </si>
  <si>
    <t>Bank of Baroda - 18/09/2025**</t>
  </si>
  <si>
    <t>INE476A16C71</t>
  </si>
  <si>
    <t>Canara Bank - 18/09/2025**</t>
  </si>
  <si>
    <t>INE237A162Y5</t>
  </si>
  <si>
    <t>Kotak Mahindra Bank Ltd - 22/08/2025**</t>
  </si>
  <si>
    <t>INE476A16C06</t>
  </si>
  <si>
    <t>Canara Bank - 22/08/2025**</t>
  </si>
  <si>
    <t>INE040A16FJ6</t>
  </si>
  <si>
    <t>HDFC Bank Ltd - 22/08/2025**</t>
  </si>
  <si>
    <t>INE160A16SE6</t>
  </si>
  <si>
    <t>Punjab National Bank - 04/09/2025**</t>
  </si>
  <si>
    <t>INE084A16DT8</t>
  </si>
  <si>
    <t>Bank of India - 10/09/2025**</t>
  </si>
  <si>
    <t>INE562A16NH7</t>
  </si>
  <si>
    <t>Indian Bank - 20/08/2025**</t>
  </si>
  <si>
    <t>INE476A16C22</t>
  </si>
  <si>
    <t>Canara Bank - 26/08/2025</t>
  </si>
  <si>
    <t>INE238AD6942</t>
  </si>
  <si>
    <t>Axis Bank Ltd - 10/10/2025**</t>
  </si>
  <si>
    <t>INE242A14YD7</t>
  </si>
  <si>
    <t>Indian Oil Corporation Ltd - 22/09/2025**</t>
  </si>
  <si>
    <t>INE110L14TZ6</t>
  </si>
  <si>
    <t>Reliance Jio Infocomm Ltd - 15/09/2025**</t>
  </si>
  <si>
    <t>INE929O14DK9</t>
  </si>
  <si>
    <t>Reliance Retail Ventures Ltd - 14/08/2025**</t>
  </si>
  <si>
    <t>INE331A14NZ4</t>
  </si>
  <si>
    <t>Ramco Cements Ltd - 01/09/2025**</t>
  </si>
  <si>
    <t>INE929O14DQ6</t>
  </si>
  <si>
    <t>Reliance Retail Ventures Ltd - 19/09/2025**</t>
  </si>
  <si>
    <t>INE763G14ZG9</t>
  </si>
  <si>
    <t>ICICI Securities Ltd - 24/09/2025**</t>
  </si>
  <si>
    <t>INE763G14YG2</t>
  </si>
  <si>
    <t>ICICI Securities Ltd - 08/08/2025**</t>
  </si>
  <si>
    <t>INE763G14YI8</t>
  </si>
  <si>
    <t>ICICI Securities Ltd - 12/08/2025**</t>
  </si>
  <si>
    <t>INE700G14OG5</t>
  </si>
  <si>
    <t>HDFC Securities Ltd - 13/08/2025**</t>
  </si>
  <si>
    <t>INE289B14JR7</t>
  </si>
  <si>
    <t>GIC Housing Finance Ltd - 26/08/2025**</t>
  </si>
  <si>
    <t>INE790I14FZ0</t>
  </si>
  <si>
    <t>HSBC InvestDirect Financial Services India Limited - 26/08/2025**</t>
  </si>
  <si>
    <t>INE556F14LF1</t>
  </si>
  <si>
    <t>Small Industries Development Bank of India - 08/09/2025**</t>
  </si>
  <si>
    <t>INE110L14TU7</t>
  </si>
  <si>
    <t>Reliance Jio Infocomm Ltd - 12/09/2025**</t>
  </si>
  <si>
    <t>INE261F14NZ2</t>
  </si>
  <si>
    <t>National Bank for Agriculture &amp; Rural Development - 17/09/2025**</t>
  </si>
  <si>
    <t>INE982D14BF5</t>
  </si>
  <si>
    <t>Godrej &amp; Boyce Mfg Co Ltd - 16/09/2025**</t>
  </si>
  <si>
    <t>INE242A14YA3</t>
  </si>
  <si>
    <t>Indian Oil Corporation Ltd - 19/09/2025</t>
  </si>
  <si>
    <t>INE09OL14HQ2</t>
  </si>
  <si>
    <t>Birla Group Holdings Pvt Ltd - 22/09/2025**</t>
  </si>
  <si>
    <t>INE556F14LH7</t>
  </si>
  <si>
    <t>Small Industries Development Bank of India - 24/10/2025**</t>
  </si>
  <si>
    <t>INE071G14GU8</t>
  </si>
  <si>
    <t>ICICI Home Finance Company Ltd - 14/08/2025**</t>
  </si>
  <si>
    <t>INE912E14MD2</t>
  </si>
  <si>
    <t>SBI FACTORS LTD - 20/08/2025**</t>
  </si>
  <si>
    <t>INE870H14VF1</t>
  </si>
  <si>
    <t>Network18 Media &amp; Investments Ltd - 28/08/2025**</t>
  </si>
  <si>
    <t>INE912E14MF7</t>
  </si>
  <si>
    <t>SBI FACTORS LTD - 28/08/2025**</t>
  </si>
  <si>
    <t>INE763G14YW9</t>
  </si>
  <si>
    <t>ICICI Securities Ltd - 04/09/2025**</t>
  </si>
  <si>
    <t>INE233A142N4</t>
  </si>
  <si>
    <t>Godrej Industries Ltd - 16/09/2025**</t>
  </si>
  <si>
    <t>INE245A14JY7</t>
  </si>
  <si>
    <t>TATA Power Company Ltd - 18/09/2025**</t>
  </si>
  <si>
    <t>INE071G14GY0</t>
  </si>
  <si>
    <t>ICICI Home Finance Company Ltd - 24/10/2025**</t>
  </si>
  <si>
    <t>INE338I14KD5</t>
  </si>
  <si>
    <t>Motilal Oswal Financial Services Ltd - 08/08/2025**</t>
  </si>
  <si>
    <t>INE01C314BP1</t>
  </si>
  <si>
    <t>Bajaj Financial Securities Ltd - 13/08/2025**</t>
  </si>
  <si>
    <t>INE572E14JU4</t>
  </si>
  <si>
    <t>PNB Housing Finance Ltd - 18/08/2025**</t>
  </si>
  <si>
    <t>INE144H14HO2</t>
  </si>
  <si>
    <t>Deutsche Investments India Private Ltd - 19/08/2025**</t>
  </si>
  <si>
    <t>INE261F14NT5</t>
  </si>
  <si>
    <t>National Bank for Agriculture &amp; Rural Development - 22/08/2025**</t>
  </si>
  <si>
    <t>INE850D14TZ4</t>
  </si>
  <si>
    <t>Godrej Agrovet Ltd - 26/08/2025**</t>
  </si>
  <si>
    <t>INE865C14NT0</t>
  </si>
  <si>
    <t>Aditya Birla Money Ltd - 25/08/2025**</t>
  </si>
  <si>
    <t>INE975F14A50</t>
  </si>
  <si>
    <t>Kotak Mahindra Investments Ltd - 29/08/2025**</t>
  </si>
  <si>
    <t>INE261F14NU3</t>
  </si>
  <si>
    <t>National Bank for Agriculture &amp; Rural Development - 03/09/2025**</t>
  </si>
  <si>
    <t>INE242A14XX7</t>
  </si>
  <si>
    <t>Indian Oil Corporation Ltd - 04/09/2025**</t>
  </si>
  <si>
    <t>INE929O14DN3</t>
  </si>
  <si>
    <t>Reliance Retail Ventures Ltd - 04/09/2025**</t>
  </si>
  <si>
    <t>INE870H14VI5</t>
  </si>
  <si>
    <t>Network18 Media &amp; Investments Ltd - 04/09/2025**</t>
  </si>
  <si>
    <t>INE700G14OQ4</t>
  </si>
  <si>
    <t>HDFC Securities Ltd - 08/09/2025**</t>
  </si>
  <si>
    <t>INE831R14FA6</t>
  </si>
  <si>
    <t>Aditya Birla Housing Finance Ltd - 18/09/2025**</t>
  </si>
  <si>
    <t>INE115A14FO1</t>
  </si>
  <si>
    <t>LIC Housing Finance Ltd - 19/09/2025</t>
  </si>
  <si>
    <t>INE027214852</t>
  </si>
  <si>
    <t>BOBCARD Ltd - 18/09/2025**</t>
  </si>
  <si>
    <t>INE002A14LK7</t>
  </si>
  <si>
    <t>Reliance Industries Ltd - 23/09/2025**</t>
  </si>
  <si>
    <t>INE338I14KF0</t>
  </si>
  <si>
    <t>Motilal Oswal Financial Services Ltd - 14/08/2025**</t>
  </si>
  <si>
    <t>INE417C14959</t>
  </si>
  <si>
    <t>Pilani Investment and Industries Corporation Ltd. - 22/08/2025**</t>
  </si>
  <si>
    <t>INE975F14B34</t>
  </si>
  <si>
    <t>Kotak Mahindra Investments Ltd - 08/09/2025**</t>
  </si>
  <si>
    <t>INE879F14JV8</t>
  </si>
  <si>
    <t>Infina Finance Pvt Ltd - 22/09/2025**</t>
  </si>
  <si>
    <t>IN002024Z222</t>
  </si>
  <si>
    <t>364 Days - T Bill - 28/08/2025</t>
  </si>
  <si>
    <t>IN002024Y498</t>
  </si>
  <si>
    <t>182 Days - T Bill - 18/09/2025</t>
  </si>
  <si>
    <t>IN002025X166</t>
  </si>
  <si>
    <t>91 Days - T Bill - 16/10/2025</t>
  </si>
  <si>
    <t>IN002024Y506</t>
  </si>
  <si>
    <t>182 Days - T Bill - 25/09/2025</t>
  </si>
  <si>
    <t>IN002025X158</t>
  </si>
  <si>
    <t>91 Days - T Bill - 09/10/2025</t>
  </si>
  <si>
    <t>IN002024Z214</t>
  </si>
  <si>
    <t>364 Days - T Bill - 21/08/2025</t>
  </si>
  <si>
    <t>Sundaram Short Duration Fund</t>
  </si>
  <si>
    <t>INE134E08MJ2</t>
  </si>
  <si>
    <t>Power Finance Corporation Ltd - 7.77% - 15/04/2028</t>
  </si>
  <si>
    <t>INE121A07RZ4</t>
  </si>
  <si>
    <t>Cholamandalam Investment and Finance Company Ltd - 8.54% - 12/04/2029**</t>
  </si>
  <si>
    <t>INE020B08EI8</t>
  </si>
  <si>
    <t>REC LTD - 7.51% - 31/07/2026**</t>
  </si>
  <si>
    <t>INE146O07557</t>
  </si>
  <si>
    <t>Hinduja Leyland Finance Ltd - 8.4% - 06/05/2027**</t>
  </si>
  <si>
    <t>INE134E08LP1</t>
  </si>
  <si>
    <t>Power Finance Corporation Ltd - 7.13% - 15/07/2026**</t>
  </si>
  <si>
    <t>INE115A07PI6</t>
  </si>
  <si>
    <t>LIC Housing Finance Ltd - 6.17% - 03/09/2026**</t>
  </si>
  <si>
    <t>IN0020240019</t>
  </si>
  <si>
    <t>7.10% Central Government Securities 08/04/2034</t>
  </si>
  <si>
    <t>IN3120230484</t>
  </si>
  <si>
    <t>7.44% Tamil Nadu State Government Securities -20/03/2034</t>
  </si>
  <si>
    <t>Sundaram Ultra Short Duration Fund</t>
  </si>
  <si>
    <t>INE071G07637</t>
  </si>
  <si>
    <t>ICICI Home Finance Company Ltd - 8.061% - 25/03/2026**</t>
  </si>
  <si>
    <t>INE261F08DX0</t>
  </si>
  <si>
    <t>National Bank for Agriculture &amp; Rural Development - 7.58% - 31/07/2026</t>
  </si>
  <si>
    <t>INE756I07EJ2</t>
  </si>
  <si>
    <t>HDB Financial Services Ltd - 7.65% - 10/09/2027**</t>
  </si>
  <si>
    <t>INE756I07EN4</t>
  </si>
  <si>
    <t>HDB Financial Services Ltd - 7.84% - 14/07/2026**</t>
  </si>
  <si>
    <t>INE121A07SN8</t>
  </si>
  <si>
    <t>Cholamandalam Investment and Finance Company Ltd - 7.38% - 28/05/2027</t>
  </si>
  <si>
    <t>INE556F16AX2</t>
  </si>
  <si>
    <t>Small Industries Development Bank of India - 05/12/2025</t>
  </si>
  <si>
    <t>INE171A16MM9</t>
  </si>
  <si>
    <t>The Federal Bank Ltd - 28/11/2025**</t>
  </si>
  <si>
    <t>INE238AD6991</t>
  </si>
  <si>
    <t>Axis Bank Ltd - 12/11/2025**</t>
  </si>
  <si>
    <t>INE238AD6983</t>
  </si>
  <si>
    <t>Axis Bank Ltd - 13/11/2025**</t>
  </si>
  <si>
    <t>INE692A16IC3</t>
  </si>
  <si>
    <t>Union Bank of India - 04/12/2025**</t>
  </si>
  <si>
    <t>INE476A16ZQ5</t>
  </si>
  <si>
    <t>Canara Bank - 12/12/2025**</t>
  </si>
  <si>
    <t>INE476A16A24</t>
  </si>
  <si>
    <t>Canara Bank - 03/02/2026**</t>
  </si>
  <si>
    <t>INE095A16Y50</t>
  </si>
  <si>
    <t>IndusInd Bank Ltd - 04/02/2026**</t>
  </si>
  <si>
    <t>INE171A16MK3</t>
  </si>
  <si>
    <t>The Federal Bank Ltd - 25/11/2025**</t>
  </si>
  <si>
    <t>INE040A16FY5</t>
  </si>
  <si>
    <t>HDFC Bank Ltd - 04/12/2025**</t>
  </si>
  <si>
    <t>INE556F16AY0</t>
  </si>
  <si>
    <t>Small Industries Development Bank of India - 13/01/2026**</t>
  </si>
  <si>
    <t>INE556F16BD2</t>
  </si>
  <si>
    <t>Small Industries Development Bank of India - 11/03/2026**</t>
  </si>
  <si>
    <t>INE498L14EE2</t>
  </si>
  <si>
    <t>L &amp; T Finance Ltd - 09/06/2026**</t>
  </si>
  <si>
    <t>INE121A14XQ7</t>
  </si>
  <si>
    <t>Cholamandalam Investment and Finance Company Ltd - 28/05/2026**</t>
  </si>
  <si>
    <t>IN002025X182</t>
  </si>
  <si>
    <t>91 Days - T Bill - 30/10/2025</t>
  </si>
  <si>
    <t>IN002025X117</t>
  </si>
  <si>
    <t>91 Days - T Bill - 11/09/2025</t>
  </si>
  <si>
    <t>IN002025X059</t>
  </si>
  <si>
    <t>91 Days - T Bill - 01/08/2025</t>
  </si>
  <si>
    <t>Sundaram Medium Duration Fund</t>
  </si>
  <si>
    <t>IN0020210186</t>
  </si>
  <si>
    <t>5.74% Central Government Securities 15/11/2026</t>
  </si>
  <si>
    <t>Sundaram Conservative Hybrid Fund</t>
  </si>
  <si>
    <t>INE040A01034</t>
  </si>
  <si>
    <t>HDFC Bank Ltd</t>
  </si>
  <si>
    <t>Banks</t>
  </si>
  <si>
    <t>INE090A01021</t>
  </si>
  <si>
    <t>ICICI Bank Ltd</t>
  </si>
  <si>
    <t>INE002A01018</t>
  </si>
  <si>
    <t>Reliance Industries Ltd</t>
  </si>
  <si>
    <t>Petroleum Products</t>
  </si>
  <si>
    <t>INE397D01024</t>
  </si>
  <si>
    <t>Bharti Airtel Ltd</t>
  </si>
  <si>
    <t>Telecom - Services</t>
  </si>
  <si>
    <t>INE009A01021</t>
  </si>
  <si>
    <t>Infosys Ltd</t>
  </si>
  <si>
    <t>It - Software</t>
  </si>
  <si>
    <t>INE062A01020</t>
  </si>
  <si>
    <t>State Bank of India</t>
  </si>
  <si>
    <t>INE860A01027</t>
  </si>
  <si>
    <t>HCL Technologies Ltd</t>
  </si>
  <si>
    <t>INE481G01011</t>
  </si>
  <si>
    <t>Ultratech Cement Ltd</t>
  </si>
  <si>
    <t>Cement &amp; Cement Products</t>
  </si>
  <si>
    <t>INE603J01030</t>
  </si>
  <si>
    <t>PI Industries Ltd</t>
  </si>
  <si>
    <t>Fertilizers &amp; Agrochemicals</t>
  </si>
  <si>
    <t>INE237A01028</t>
  </si>
  <si>
    <t>Kotak Mahindra Bank Ltd</t>
  </si>
  <si>
    <t>INE029A01011</t>
  </si>
  <si>
    <t>Bharat Petroleum Corporation Ltd</t>
  </si>
  <si>
    <t>INE797F01020</t>
  </si>
  <si>
    <t>Jubilant Foodworks Ltd</t>
  </si>
  <si>
    <t>Leisure Services</t>
  </si>
  <si>
    <t>INE917I01010</t>
  </si>
  <si>
    <t>Bajaj Auto Ltd</t>
  </si>
  <si>
    <t>Automobiles</t>
  </si>
  <si>
    <t>INE585B01010</t>
  </si>
  <si>
    <t>Maruti Suzuki India Ltd</t>
  </si>
  <si>
    <t>INE540L01014</t>
  </si>
  <si>
    <t>Alkem Laboratories Ltd</t>
  </si>
  <si>
    <t>Pharmaceuticals &amp; Biotechnology</t>
  </si>
  <si>
    <t>INE047A01021</t>
  </si>
  <si>
    <t>Grasim Industries Ltd</t>
  </si>
  <si>
    <t>INE154A01025</t>
  </si>
  <si>
    <t>ITC Ltd</t>
  </si>
  <si>
    <t>Diversified Fmcg</t>
  </si>
  <si>
    <t>INE238A01034</t>
  </si>
  <si>
    <t>Axis Bank Ltd</t>
  </si>
  <si>
    <t>INE196A01026</t>
  </si>
  <si>
    <t>Marico Ltd</t>
  </si>
  <si>
    <t>Agricultural Food &amp; Other Products</t>
  </si>
  <si>
    <t>INE018A01030</t>
  </si>
  <si>
    <t>Larsen &amp; Toubro Ltd</t>
  </si>
  <si>
    <t>Construction</t>
  </si>
  <si>
    <t>IN0020240118</t>
  </si>
  <si>
    <t>7.09% Central Government Securities 05/08/2054</t>
  </si>
  <si>
    <t>Sundaram Overnight Fund</t>
  </si>
  <si>
    <t>IN002024Y449</t>
  </si>
  <si>
    <t>182 Days - T Bill - 14/08/2025</t>
  </si>
  <si>
    <t>IN002024Z198</t>
  </si>
  <si>
    <t>364 Days - T Bill - 07/08/2025</t>
  </si>
  <si>
    <t>IN002025X083</t>
  </si>
  <si>
    <t>91 Days - T Bill - 21/08/2025</t>
  </si>
  <si>
    <t>IN002024Y431</t>
  </si>
  <si>
    <t>182 Days - T Bill - 07/08/2025</t>
  </si>
  <si>
    <t>Reverse Repo</t>
  </si>
  <si>
    <t>YTM (%)*</t>
  </si>
  <si>
    <t>Index</t>
  </si>
  <si>
    <t>(b) Corporate Debt Market Development Fund</t>
  </si>
  <si>
    <t>S. No.</t>
  </si>
  <si>
    <t>ACRONYM</t>
  </si>
  <si>
    <t>SCHEME NAME</t>
  </si>
  <si>
    <t>SFRLTP</t>
  </si>
  <si>
    <t>SFRSTP</t>
  </si>
  <si>
    <t>SMMF</t>
  </si>
  <si>
    <t>SPLDF</t>
  </si>
  <si>
    <t>SPMON</t>
  </si>
  <si>
    <t>SPSDF</t>
  </si>
  <si>
    <t>SPUSDF</t>
  </si>
  <si>
    <t>SUNBDS</t>
  </si>
  <si>
    <t>SUNMIA</t>
  </si>
  <si>
    <t>SUNONF</t>
  </si>
  <si>
    <t>**Non Traded Securities - Wherever applicable</t>
  </si>
  <si>
    <t>^ Net current assets includes interest accrued on fixed income securities - Wherever applicable</t>
  </si>
  <si>
    <t># percentage to NAV of security is less than 0.01% - Wherever applicable</t>
  </si>
  <si>
    <t>At the beginning</t>
  </si>
  <si>
    <t>d) IDCW declared during the period (Rupees per unit)</t>
  </si>
  <si>
    <t>g) Repo in corporate debt</t>
  </si>
  <si>
    <t>Portfolio Information</t>
  </si>
  <si>
    <t>Scheme Name :</t>
  </si>
  <si>
    <t>Description (if any)</t>
  </si>
  <si>
    <t>Annualised Portfolio YTM %* :</t>
  </si>
  <si>
    <t>Macaulay Duration (years)</t>
  </si>
  <si>
    <t>Average Maturity (years)</t>
  </si>
  <si>
    <t xml:space="preserve">As on (Date) </t>
  </si>
  <si>
    <t>* in case of semi annual YTM,  it will be annualised </t>
  </si>
  <si>
    <t>Scheme Riskometer :</t>
  </si>
  <si>
    <t>Tier I Benchmark Riskometer :</t>
  </si>
  <si>
    <t xml:space="preserve">                    NIFTY Corporate Bond Index A-II</t>
  </si>
  <si>
    <t xml:space="preserve">           NIFTY Banking and PSU Debt Index A-II</t>
  </si>
  <si>
    <t xml:space="preserve">                    NIFTY Money Market Index A-I</t>
  </si>
  <si>
    <t>INE0JEI23010</t>
  </si>
  <si>
    <t>Roadstar Infra Investment Trust (InvIT)</t>
  </si>
  <si>
    <t>Services</t>
  </si>
  <si>
    <t>#</t>
  </si>
  <si>
    <t>Refer below point h)</t>
  </si>
  <si>
    <t>Average Maturity  (years)</t>
  </si>
  <si>
    <t>ISIN</t>
  </si>
  <si>
    <t>NAME OF THE SECURITY</t>
  </si>
  <si>
    <t>VALUE OF THE SECURITY CONSIDERED UNDER NET RECEIVABLES</t>
  </si>
  <si>
    <t>% TO AUM</t>
  </si>
  <si>
    <t>INE202B07IK1</t>
  </si>
  <si>
    <t xml:space="preserve">Dewan Housing Finance Corporation Ltd-9.10%-09/09/2019 </t>
  </si>
  <si>
    <t>INE202B07HQ0</t>
  </si>
  <si>
    <t>9.10%-Dewan Housing Finance Corporation Ltd-16/08/2019</t>
  </si>
  <si>
    <t>INE202B07IJ3</t>
  </si>
  <si>
    <t xml:space="preserve">9.05% Dewan Housing Finance Corporation Ltd-NCD-09/09/2019 </t>
  </si>
  <si>
    <t>TOTAL AMOUNT INCLUDING INTEREST DUE TO AND RECOVERED BY THE SCHEME</t>
  </si>
  <si>
    <t>TOTAL AMOUNT DUE (Rs. in Lacs)</t>
  </si>
  <si>
    <t>Amount Recovered 30th Sep 2021</t>
  </si>
  <si>
    <t xml:space="preserve">Further amount received on 31-Aug-2024 </t>
  </si>
  <si>
    <t xml:space="preserve">Total settlement till date  </t>
  </si>
  <si>
    <t xml:space="preserve">PRINCIPAL </t>
  </si>
  <si>
    <t>Interest Accrued till 3rd June 2019</t>
  </si>
  <si>
    <t xml:space="preserve">Interest not accrued due to category by rating agency as default till maturity </t>
  </si>
  <si>
    <t xml:space="preserve">Total </t>
  </si>
  <si>
    <t xml:space="preserve"> ## (Rs. in Lacs)</t>
  </si>
  <si>
    <t xml:space="preserve">Total Cost  </t>
  </si>
  <si>
    <t xml:space="preserve">Discounting Charges / Interest accrued till maturity </t>
  </si>
  <si>
    <t>Total CP Outstanding</t>
  </si>
  <si>
    <t xml:space="preserve"> Amount Recovered - 06th Mar 2025</t>
  </si>
  <si>
    <t>Total settlement till date</t>
  </si>
  <si>
    <t>CASH</t>
  </si>
  <si>
    <t>INVIT Units</t>
  </si>
  <si>
    <t>INE121H14JU3</t>
  </si>
  <si>
    <t xml:space="preserve">IL&amp;FS Financial Services Ltd. 24SEP18 CP </t>
  </si>
  <si>
    <t>## The Boards of these companies have set February 17th as the record date for the allocation of InvIT units and cash distribution. Accordingly, on the 5th of March 2025, we received the Total cash of Rs. 3.17 Crs .Further as a part of the distribution we have received  INVITs amounting to Rs. 2 Crs having face value is Rs. 25,00,000 per unit subsequently in the month of April ’25. The above-mentioned cash and  INVITs units are allocated to respective scheme based  on their exposure.</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</si>
  <si>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</si>
  <si>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</si>
  <si>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</si>
  <si>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https://www.sundarammutual.com/pdf2/2024/Rationale_for_Valuation/Update_on_DHFL_Recovery_31_Aug_2024_V1.pdf</t>
  </si>
  <si>
    <t>https://www.sundarammutual.com/pdf2/2025/Rationale_for_Valuation/Update_on_ILFS_Financial_Services_Recovery_06_03_2025.pdf</t>
  </si>
  <si>
    <t xml:space="preserve">              NIFTY Low Duration Debt Index A-I</t>
  </si>
  <si>
    <t>Amount Recovered - 06th Mar 2025</t>
  </si>
  <si>
    <t xml:space="preserve">                      NIFTY Liquid Index A-I</t>
  </si>
  <si>
    <t>9.05% Dewan Housing Finance Corporation Ltd-NCD-09/09/2019</t>
  </si>
  <si>
    <t>Dewan Housing Finance Corporation Ltd-9.10%-09/09/2019</t>
  </si>
  <si>
    <t>INE202B07654</t>
  </si>
  <si>
    <t>11.55%_Prev 11.45%-Dewan Housing Finance Corp Ltd-12/09/2019  ##</t>
  </si>
  <si>
    <t>9.10%-Dewan Housing Finance Corporation Ltd-16/08/2019 ##</t>
  </si>
  <si>
    <t>TOTAL AMOUNT DUE</t>
  </si>
  <si>
    <t>Amount Recovered 30th Sep 2021 (Rs. In Lacs)</t>
  </si>
  <si>
    <t>Further amount received on  31-Aug-2024   (Rs. In Lacs)</t>
  </si>
  <si>
    <t xml:space="preserve">Total settlement till date  ( Rs . In Lacs ) </t>
  </si>
  <si>
    <t>PRINCIPAL (Rs. in Lacs)</t>
  </si>
  <si>
    <t>Interest Accrued till 3rd June 2019
(Rs. in Lacs)</t>
  </si>
  <si>
    <t>Interest not accrued due to category by rating agency as default till maturity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</si>
  <si>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</si>
  <si>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</si>
  <si>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</si>
  <si>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 xml:space="preserve">               Nifty Short Duration Debt Index A-II</t>
  </si>
  <si>
    <t>Interest Rate Swaps</t>
  </si>
  <si>
    <t>Interest Rate Swaps Pay Fix Receive Floating (11/12/2025) (FV 2500 Lacs)~</t>
  </si>
  <si>
    <t>Interest Rate Swaps Pay Fix Receive Floating (06/03/2026) (FV 2500 Lacs)~</t>
  </si>
  <si>
    <t>Interest Rate Swaps Pay Fix Receive Floating (20/03/2026) (FV 2500 Lacs)~</t>
  </si>
  <si>
    <t>Interest Rate Swaps Pay Fix Receive Floating (26/05/2026) (FV 2500 Lacs)~</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</si>
  <si>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</si>
  <si>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Refer below point i)</t>
  </si>
  <si>
    <t>Swap Type</t>
  </si>
  <si>
    <t>Underlying Security</t>
  </si>
  <si>
    <t>Long Position</t>
  </si>
  <si>
    <t>Short Position</t>
  </si>
  <si>
    <t>Notional Value (Rs. in lacs.)</t>
  </si>
  <si>
    <t>Maturity date</t>
  </si>
  <si>
    <t>Fixed to Float</t>
  </si>
  <si>
    <t xml:space="preserve">Shriram Finance Ltd </t>
  </si>
  <si>
    <t>Receiving Floating</t>
  </si>
  <si>
    <t>Pay Fixed</t>
  </si>
  <si>
    <t>NABARD</t>
  </si>
  <si>
    <t>REC Ltd</t>
  </si>
  <si>
    <t xml:space="preserve">          NIFTY Ultra Short Duration Debt Index A-I</t>
  </si>
  <si>
    <t>INE528G08394</t>
  </si>
  <si>
    <t>9%-YES BANK LTD-NCD-Call opt-18/10/2022-Perpetual Bond $</t>
  </si>
  <si>
    <t>TOTAL AMOUNT INCLUDING INTEREST DUE TO THE SCHEME</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</si>
  <si>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</si>
  <si>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</si>
  <si>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</si>
  <si>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 xml:space="preserve">          NIFTY Medium Duration Debt Index A-III</t>
  </si>
  <si>
    <t>INE0GGX23010</t>
  </si>
  <si>
    <t>Power Grid Infrastructure Investment Trust(InvIT)</t>
  </si>
  <si>
    <t>Power</t>
  </si>
  <si>
    <t>Macaulay Duration - only for Debt portion (years)</t>
  </si>
  <si>
    <t>Average Maturity  - only for Debt portion (years)</t>
  </si>
  <si>
    <t>VALUE OF THE SECURITY CONSIDERED 
UNDER NET RECEIVABLES</t>
  </si>
  <si>
    <t xml:space="preserve">11.55% Prev 11.45%-Dewan Housing Finance Corp Ltd-12/09/2019  </t>
  </si>
  <si>
    <t>Amount Recovered (Rs. In Lacs) 30th Sep 2021</t>
  </si>
  <si>
    <t>Further amount received on 31/08/2024  (Rs. In Lacs)</t>
  </si>
  <si>
    <t xml:space="preserve">11.55%_Prev 11.45%-Dewan Housing Finance Corp Ltd-12/09/2019  </t>
  </si>
  <si>
    <t xml:space="preserve">      CRISIL Hybrid 85 Plus 15 - Conservative Index</t>
  </si>
  <si>
    <t>Macaulay Duration (Days)</t>
  </si>
  <si>
    <t>Average Maturity (Days)</t>
  </si>
  <si>
    <t xml:space="preserve">                        NIFTY 1D Rate Index</t>
  </si>
  <si>
    <t>31-Jul-2025</t>
  </si>
  <si>
    <t>h) Exposure to securities classified as below investment grade or default as on 31-Jul-2025:-</t>
  </si>
  <si>
    <t>h)  Hedging Positions through Swaps as on 31-Jul-2025:-</t>
  </si>
  <si>
    <t>i) Exposure to securities classified as below investment grade or default as on 31-Jul-2025:-</t>
  </si>
  <si>
    <t>% to AUM as on  31-Jul-2025</t>
  </si>
  <si>
    <t>Direct Plan - Quarterly IDCW</t>
  </si>
  <si>
    <t>Regular Plan - Quarterly IDCW</t>
  </si>
  <si>
    <t>Direct Plan - Monthly IDCW</t>
  </si>
  <si>
    <t>Regular Plan - Monthly IDCW</t>
  </si>
  <si>
    <t>Regular Plan - IDCW</t>
  </si>
  <si>
    <t>YTM (%)</t>
  </si>
  <si>
    <t>++ Aggregate Investments by Other schemes of Sundaram Mutual Fund - Rs. 6,341.27 Lakhs</t>
  </si>
  <si>
    <t>++ Aggregate Investments by Other schemes of Sundaram Mutual Fund - Rs. 15,004.21 Lakhs</t>
  </si>
  <si>
    <t>++ Aggregate Investments by Other schemes of Sundaram Mutual Fund - Rs.15,761.86 Lakhs</t>
  </si>
  <si>
    <t>Monthly Portfolio Statement for the month ended 31 July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</si>
</sst>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 #,##0.00_ ;_ * \-#,##0.00_ ;_ * &quot;-&quot;??_ ;_ @_ "/>
    <numFmt numFmtId="164" formatCode="[$-1014009]###0.00%;\(###0.00%\)"/>
    <numFmt numFmtId="165" formatCode="[$-1014009]###0.00;\(###0.00\)"/>
    <numFmt numFmtId="166" formatCode="[$-1014009]General"/>
    <numFmt numFmtId="167" formatCode="[$-1014009]###0;\(###0\)"/>
    <numFmt numFmtId="168" formatCode="[$-1014009]###0.0000;\(###0.0000\)"/>
    <numFmt numFmtId="169" formatCode="[$-1014009]#,##0.00\ %;\(#,##0.00\)"/>
    <numFmt numFmtId="170" formatCode="[$-1014009]#.0000"/>
    <numFmt numFmtId="171" formatCode="[$-1014009]#,##0.00;\(#,##0.00\)"/>
    <numFmt numFmtId="172" formatCode="dd\-mmm\-yyyy"/>
    <numFmt numFmtId="173" formatCode="[$-1014009]#,##0;\(#,##0\)"/>
    <numFmt numFmtId="174" formatCode="_(* #,##0.00_);_(* \(#,##0.00\);_(* &quot;-&quot;??_);_(@_)"/>
    <numFmt numFmtId="175" formatCode="dd/mmm/yyyy"/>
  </numFmts>
  <fonts count="35" x14ac:knownFonts="1">
    <font>
      <sz val="10"/>
      <name val="Arial"/>
      <charset val="1"/>
    </font>
    <font>
      <sz val="11"/>
      <color theme="1"/>
      <name val="Aptos Narrow"/>
      <family val="2"/>
      <scheme val="minor"/>
    </font>
    <font>
      <sz val="10"/>
      <color indexed="8"/>
      <name val="Calibri"/>
      <charset val="1"/>
    </font>
    <font>
      <b/>
      <sz val="10"/>
      <color indexed="8"/>
      <name val="Calibri"/>
      <charset val="1"/>
    </font>
    <font>
      <b/>
      <i/>
      <sz val="10"/>
      <color indexed="8"/>
      <name val="Calibri"/>
      <charset val="1"/>
    </font>
    <font>
      <sz val="10"/>
      <name val="Arial"/>
      <family val="2"/>
    </font>
    <font>
      <b/>
      <sz val="11"/>
      <color indexed="8"/>
      <name val="Calibri"/>
      <family val="2"/>
    </font>
    <font>
      <sz val="10"/>
      <color indexed="8"/>
      <name val="Calibri"/>
      <family val="2"/>
    </font>
    <font>
      <u/>
      <sz val="10"/>
      <color theme="10"/>
      <name val="Arial"/>
      <family val="2"/>
    </font>
    <font>
      <u/>
      <sz val="11"/>
      <color rgb="FF002060"/>
      <name val="Aptos Narrow"/>
      <family val="2"/>
      <scheme val="minor"/>
    </font>
    <font>
      <b/>
      <sz val="10"/>
      <color indexed="8"/>
      <name val="Calibri"/>
      <family val="2"/>
    </font>
    <font>
      <b/>
      <i/>
      <sz val="10"/>
      <color indexed="8"/>
      <name val="Calibri"/>
      <family val="2"/>
    </font>
    <font>
      <sz val="10"/>
      <name val="Calibri"/>
      <family val="2"/>
    </font>
    <font>
      <sz val="10"/>
      <name val="Arial"/>
      <charset val="1"/>
    </font>
    <font>
      <b/>
      <sz val="11"/>
      <color theme="1"/>
      <name val="Calibri"/>
      <family val="2"/>
    </font>
    <font>
      <b/>
      <sz val="11"/>
      <name val="Calibri"/>
      <family val="2"/>
    </font>
    <font>
      <sz val="11"/>
      <color theme="1"/>
      <name val="Calibri"/>
      <family val="2"/>
    </font>
    <font>
      <u/>
      <sz val="11"/>
      <color theme="10"/>
      <name val="Calibri"/>
      <family val="2"/>
    </font>
    <font>
      <sz val="11"/>
      <name val="Calibri"/>
      <family val="2"/>
    </font>
    <font>
      <b/>
      <sz val="10"/>
      <name val="Calibri"/>
      <family val="2"/>
    </font>
    <font>
      <b/>
      <sz val="10"/>
      <name val="Arial"/>
      <family val="2"/>
    </font>
    <font>
      <b/>
      <sz val="10"/>
      <color theme="1"/>
      <name val="Aptos Narrow"/>
      <family val="2"/>
      <scheme val="minor"/>
    </font>
    <font>
      <sz val="10"/>
      <color theme="1"/>
      <name val="Aptos Narrow"/>
      <family val="2"/>
      <scheme val="minor"/>
    </font>
    <font>
      <sz val="11"/>
      <color indexed="8"/>
      <name val="Calibri"/>
      <family val="2"/>
    </font>
    <font>
      <b/>
      <sz val="10"/>
      <name val="Aptos Narrow"/>
      <family val="2"/>
      <scheme val="minor"/>
    </font>
    <font>
      <b/>
      <u/>
      <sz val="8.5"/>
      <name val="Verdana"/>
      <family val="2"/>
    </font>
    <font>
      <b/>
      <sz val="10"/>
      <color theme="1"/>
      <name val="Tahoma"/>
      <family val="2"/>
    </font>
    <font>
      <b/>
      <sz val="10"/>
      <color rgb="FF000000"/>
      <name val="Tahoma"/>
      <family val="2"/>
    </font>
    <font>
      <sz val="10"/>
      <color theme="1"/>
      <name val="Tahoma"/>
      <family val="2"/>
    </font>
    <font>
      <sz val="10"/>
      <color rgb="FF000000"/>
      <name val="Tahoma"/>
      <family val="2"/>
    </font>
    <font>
      <sz val="10"/>
      <color theme="1"/>
      <name val="Arial"/>
      <family val="2"/>
    </font>
    <font>
      <b/>
      <sz val="10"/>
      <color theme="1"/>
      <name val="Calibri"/>
      <family val="2"/>
    </font>
    <font>
      <sz val="10"/>
      <color theme="1"/>
      <name val="Calibri"/>
      <family val="2"/>
    </font>
    <font>
      <sz val="11"/>
      <name val="Aptos Narrow"/>
      <family val="2"/>
      <scheme val="minor"/>
    </font>
    <font>
      <b/>
      <sz val="11"/>
      <name val="Aptos Narrow"/>
      <family val="2"/>
      <scheme val="minor"/>
    </font>
  </fonts>
  <fills count="2">
    <fill>
      <patternFill patternType="none"/>
    </fill>
    <fill>
      <patternFill patternType="gray125"/>
    </fill>
  </fills>
  <borders count="26">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8"/>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auto="1"/>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8"/>
      </right>
      <top style="thin">
        <color indexed="8"/>
      </top>
      <bottom style="thin">
        <color indexed="8"/>
      </bottom>
      <diagonal/>
    </border>
    <border>
      <left style="thin">
        <color indexed="8"/>
      </left>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s>
  <cellStyleXfs count="12">
    <xf numFmtId="0" fontId="0" fillId="0" borderId="0">
      <alignment wrapText="1"/>
    </xf>
    <xf numFmtId="43" fontId="5" fillId="0" borderId="0" applyFont="0" applyFill="0" applyBorder="0" applyAlignment="0" applyProtection="0"/>
    <xf numFmtId="0" fontId="8" fillId="0" borderId="0" applyNumberFormat="0" applyFill="0" applyBorder="0" applyAlignment="0" applyProtection="0">
      <alignment wrapText="1"/>
    </xf>
    <xf numFmtId="0" fontId="5" fillId="0" borderId="0">
      <alignment wrapText="1"/>
    </xf>
    <xf numFmtId="9" fontId="13" fillId="0" borderId="0" applyFont="0" applyFill="0" applyBorder="0" applyAlignment="0" applyProtection="0"/>
    <xf numFmtId="0" fontId="1" fillId="0" borderId="0"/>
    <xf numFmtId="0" fontId="1" fillId="0" borderId="0"/>
    <xf numFmtId="43" fontId="5" fillId="0" borderId="0" applyFont="0" applyFill="0" applyBorder="0" applyAlignment="0" applyProtection="0"/>
    <xf numFmtId="9" fontId="23" fillId="0" borderId="0" applyFont="0" applyFill="0" applyBorder="0" applyAlignment="0" applyProtection="0"/>
    <xf numFmtId="43" fontId="5" fillId="0" borderId="0" applyFont="0" applyFill="0" applyBorder="0" applyAlignment="0" applyProtection="0"/>
    <xf numFmtId="0" fontId="1" fillId="0" borderId="0"/>
    <xf numFmtId="0" fontId="1" fillId="0" borderId="0"/>
  </cellStyleXfs>
  <cellXfs count="239">
    <xf numFmtId="0" fontId="0" fillId="0" borderId="0" xfId="0">
      <alignment wrapText="1"/>
    </xf>
    <xf numFmtId="0" fontId="9" fillId="0" borderId="0" xfId="2" applyFont="1" applyFill="1" applyBorder="1" applyAlignment="1">
      <alignment horizontal="center" vertical="center" wrapText="1"/>
    </xf>
    <xf numFmtId="0" fontId="17" fillId="0" borderId="7" xfId="2" applyFont="1" applyFill="1" applyBorder="1" applyAlignment="1">
      <alignment vertical="center"/>
    </xf>
    <xf numFmtId="4" fontId="22" fillId="0" borderId="12" xfId="8" applyNumberFormat="1" applyFont="1" applyFill="1" applyBorder="1"/>
    <xf numFmtId="4" fontId="22" fillId="0" borderId="0" xfId="8" applyNumberFormat="1" applyFont="1" applyFill="1" applyBorder="1"/>
    <xf numFmtId="43" fontId="22" fillId="0" borderId="12" xfId="9" applyFont="1" applyFill="1" applyBorder="1"/>
    <xf numFmtId="43" fontId="22" fillId="0" borderId="0" xfId="7" applyFont="1" applyFill="1" applyBorder="1"/>
    <xf numFmtId="43" fontId="22" fillId="0" borderId="7" xfId="9" applyFont="1" applyFill="1" applyBorder="1"/>
    <xf numFmtId="4" fontId="22" fillId="0" borderId="7" xfId="8" applyNumberFormat="1" applyFont="1" applyFill="1" applyBorder="1"/>
    <xf numFmtId="0" fontId="6" fillId="0" borderId="7" xfId="0" applyFont="1" applyBorder="1" applyAlignment="1">
      <alignment horizontal="center" vertical="center" wrapText="1" readingOrder="1"/>
    </xf>
    <xf numFmtId="43" fontId="6" fillId="0" borderId="7" xfId="1" applyFont="1" applyFill="1" applyBorder="1" applyAlignment="1">
      <alignment horizontal="center" vertical="center" wrapText="1" readingOrder="1"/>
    </xf>
    <xf numFmtId="0" fontId="0" fillId="0" borderId="0" xfId="0" applyAlignment="1">
      <alignment horizontal="center" vertical="center" wrapText="1"/>
    </xf>
    <xf numFmtId="0" fontId="7" fillId="0" borderId="4" xfId="0" applyFont="1" applyBorder="1" applyAlignment="1">
      <alignment horizontal="right" vertical="top" wrapText="1" readingOrder="1"/>
    </xf>
    <xf numFmtId="0" fontId="10" fillId="0" borderId="4" xfId="0" applyFont="1" applyBorder="1" applyAlignment="1">
      <alignment horizontal="left" vertical="center" wrapText="1" readingOrder="1"/>
    </xf>
    <xf numFmtId="165" fontId="7" fillId="0" borderId="8" xfId="0" applyNumberFormat="1" applyFont="1" applyBorder="1" applyAlignment="1">
      <alignment horizontal="right" vertical="center" wrapText="1" readingOrder="1"/>
    </xf>
    <xf numFmtId="0" fontId="2" fillId="0" borderId="4" xfId="0" applyFont="1" applyBorder="1" applyAlignment="1">
      <alignment horizontal="right" vertical="top" wrapText="1" readingOrder="1"/>
    </xf>
    <xf numFmtId="0" fontId="3" fillId="0" borderId="4" xfId="0" applyFont="1" applyBorder="1" applyAlignment="1">
      <alignment horizontal="left" vertical="center" wrapText="1" readingOrder="1"/>
    </xf>
    <xf numFmtId="0" fontId="3" fillId="0" borderId="4" xfId="0" applyFont="1" applyBorder="1" applyAlignment="1">
      <alignment horizontal="right" vertical="center" wrapText="1" readingOrder="1"/>
    </xf>
    <xf numFmtId="164" fontId="3" fillId="0" borderId="4" xfId="0" applyNumberFormat="1" applyFont="1" applyBorder="1" applyAlignment="1">
      <alignment horizontal="right" vertical="center" wrapText="1" readingOrder="1"/>
    </xf>
    <xf numFmtId="0" fontId="4" fillId="0" borderId="4" xfId="0" applyFont="1" applyBorder="1" applyAlignment="1">
      <alignment horizontal="left" vertical="center" wrapText="1" readingOrder="1"/>
    </xf>
    <xf numFmtId="0" fontId="4" fillId="0" borderId="4" xfId="0" applyFont="1" applyBorder="1" applyAlignment="1">
      <alignment horizontal="right" vertical="center" wrapText="1" readingOrder="1"/>
    </xf>
    <xf numFmtId="165" fontId="3" fillId="0" borderId="4" xfId="0" applyNumberFormat="1" applyFont="1" applyBorder="1" applyAlignment="1">
      <alignment horizontal="right" vertical="center" wrapText="1" readingOrder="1"/>
    </xf>
    <xf numFmtId="166" fontId="2" fillId="0" borderId="4" xfId="0" applyNumberFormat="1" applyFont="1" applyBorder="1" applyAlignment="1">
      <alignment horizontal="right" vertical="center" wrapText="1" readingOrder="1"/>
    </xf>
    <xf numFmtId="0" fontId="2" fillId="0" borderId="4" xfId="0" applyFont="1" applyBorder="1" applyAlignment="1">
      <alignment horizontal="left" vertical="center" wrapText="1" readingOrder="1"/>
    </xf>
    <xf numFmtId="167" fontId="2" fillId="0" borderId="4" xfId="0" applyNumberFormat="1" applyFont="1" applyBorder="1" applyAlignment="1">
      <alignment horizontal="right" vertical="center" wrapText="1" readingOrder="1"/>
    </xf>
    <xf numFmtId="165" fontId="2" fillId="0" borderId="4" xfId="0" applyNumberFormat="1" applyFont="1" applyBorder="1" applyAlignment="1">
      <alignment horizontal="right" vertical="center" wrapText="1" readingOrder="1"/>
    </xf>
    <xf numFmtId="164" fontId="2" fillId="0" borderId="4" xfId="0" applyNumberFormat="1" applyFont="1" applyBorder="1" applyAlignment="1">
      <alignment horizontal="right" vertical="center" wrapText="1" readingOrder="1"/>
    </xf>
    <xf numFmtId="0" fontId="2" fillId="0" borderId="4" xfId="0" applyFont="1" applyBorder="1" applyAlignment="1">
      <alignment horizontal="right" vertical="center" wrapText="1" readingOrder="1"/>
    </xf>
    <xf numFmtId="0" fontId="11" fillId="0" borderId="4" xfId="0" applyFont="1" applyBorder="1" applyAlignment="1">
      <alignment horizontal="left" vertical="center" wrapText="1" readingOrder="1"/>
    </xf>
    <xf numFmtId="0" fontId="11" fillId="0" borderId="4" xfId="0" applyFont="1" applyBorder="1" applyAlignment="1">
      <alignment horizontal="right" vertical="center" wrapText="1" readingOrder="1"/>
    </xf>
    <xf numFmtId="0" fontId="5" fillId="0" borderId="0" xfId="3">
      <alignment wrapText="1"/>
    </xf>
    <xf numFmtId="0" fontId="12" fillId="0" borderId="0" xfId="0" applyFont="1">
      <alignment wrapText="1"/>
    </xf>
    <xf numFmtId="166" fontId="7" fillId="0" borderId="4" xfId="0" applyNumberFormat="1" applyFont="1" applyBorder="1" applyAlignment="1">
      <alignment horizontal="right" vertical="center" wrapText="1" readingOrder="1"/>
    </xf>
    <xf numFmtId="0" fontId="7" fillId="0" borderId="4" xfId="0" applyFont="1" applyBorder="1" applyAlignment="1">
      <alignment horizontal="left" vertical="center" wrapText="1" readingOrder="1"/>
    </xf>
    <xf numFmtId="168" fontId="7" fillId="0" borderId="4" xfId="0" applyNumberFormat="1" applyFont="1" applyBorder="1" applyAlignment="1">
      <alignment horizontal="right" vertical="center" wrapText="1" readingOrder="1"/>
    </xf>
    <xf numFmtId="165" fontId="7" fillId="0" borderId="4" xfId="0" applyNumberFormat="1" applyFont="1" applyBorder="1" applyAlignment="1">
      <alignment horizontal="right" vertical="center" wrapText="1" readingOrder="1"/>
    </xf>
    <xf numFmtId="164" fontId="7" fillId="0" borderId="4" xfId="0" applyNumberFormat="1" applyFont="1" applyBorder="1" applyAlignment="1">
      <alignment horizontal="right" vertical="center" wrapText="1" readingOrder="1"/>
    </xf>
    <xf numFmtId="165" fontId="10" fillId="0" borderId="4" xfId="0" applyNumberFormat="1" applyFont="1" applyBorder="1" applyAlignment="1">
      <alignment horizontal="right" vertical="center" wrapText="1" readingOrder="1"/>
    </xf>
    <xf numFmtId="164" fontId="10" fillId="0" borderId="4" xfId="0" applyNumberFormat="1" applyFont="1" applyBorder="1" applyAlignment="1">
      <alignment horizontal="right" vertical="center" wrapText="1" readingOrder="1"/>
    </xf>
    <xf numFmtId="169" fontId="3" fillId="0" borderId="4" xfId="0" applyNumberFormat="1" applyFont="1" applyBorder="1" applyAlignment="1">
      <alignment horizontal="right" vertical="center" wrapText="1" readingOrder="1"/>
    </xf>
    <xf numFmtId="0" fontId="4" fillId="0" borderId="5" xfId="0" applyFont="1" applyBorder="1" applyAlignment="1">
      <alignment horizontal="left" vertical="center" wrapText="1" readingOrder="1"/>
    </xf>
    <xf numFmtId="0" fontId="4" fillId="0" borderId="5" xfId="0" applyFont="1" applyBorder="1" applyAlignment="1">
      <alignment horizontal="right" vertical="center" wrapText="1" readingOrder="1"/>
    </xf>
    <xf numFmtId="0" fontId="11" fillId="0" borderId="0" xfId="0" applyFont="1" applyAlignment="1">
      <alignment horizontal="left" vertical="center" wrapText="1" readingOrder="1"/>
    </xf>
    <xf numFmtId="0" fontId="7" fillId="0" borderId="0" xfId="0" applyFont="1" applyAlignment="1">
      <alignment horizontal="left" vertical="center" wrapText="1" readingOrder="1"/>
    </xf>
    <xf numFmtId="0" fontId="11" fillId="0" borderId="0" xfId="0" applyFont="1" applyAlignment="1">
      <alignment horizontal="right" vertical="center" wrapText="1" readingOrder="1"/>
    </xf>
    <xf numFmtId="0" fontId="11" fillId="0" borderId="6" xfId="0" applyFont="1" applyBorder="1" applyAlignment="1">
      <alignment horizontal="right" vertical="center" wrapText="1" readingOrder="1"/>
    </xf>
    <xf numFmtId="0" fontId="7" fillId="0" borderId="0" xfId="0" applyFont="1" applyAlignment="1">
      <alignment horizontal="right" vertical="top" wrapText="1" readingOrder="1"/>
    </xf>
    <xf numFmtId="0" fontId="10" fillId="0" borderId="4" xfId="0" applyFont="1" applyBorder="1" applyAlignment="1">
      <alignment horizontal="right" vertical="top" wrapText="1" readingOrder="1"/>
    </xf>
    <xf numFmtId="0" fontId="10" fillId="0" borderId="4" xfId="0" applyFont="1" applyBorder="1" applyAlignment="1">
      <alignment horizontal="left" vertical="top" wrapText="1" readingOrder="1"/>
    </xf>
    <xf numFmtId="172" fontId="10" fillId="0" borderId="4" xfId="0" applyNumberFormat="1" applyFont="1" applyBorder="1" applyAlignment="1">
      <alignment horizontal="right" vertical="top" wrapText="1" readingOrder="1"/>
    </xf>
    <xf numFmtId="0" fontId="2" fillId="0" borderId="0" xfId="0" applyFont="1" applyAlignment="1">
      <alignment horizontal="right" vertical="top" wrapText="1" readingOrder="1"/>
    </xf>
    <xf numFmtId="170" fontId="2" fillId="0" borderId="4" xfId="0" applyNumberFormat="1" applyFont="1" applyBorder="1" applyAlignment="1">
      <alignment horizontal="right" vertical="center" wrapText="1" readingOrder="1"/>
    </xf>
    <xf numFmtId="0" fontId="2" fillId="0" borderId="0" xfId="0" applyFont="1" applyAlignment="1">
      <alignment horizontal="left" vertical="center" wrapText="1" readingOrder="1"/>
    </xf>
    <xf numFmtId="0" fontId="2" fillId="0" borderId="0" xfId="0" applyFont="1" applyAlignment="1">
      <alignment horizontal="right" vertical="center" wrapText="1" readingOrder="1"/>
    </xf>
    <xf numFmtId="0" fontId="7" fillId="0" borderId="5" xfId="0" applyFont="1" applyBorder="1" applyAlignment="1">
      <alignment horizontal="left" vertical="center" wrapText="1" readingOrder="1"/>
    </xf>
    <xf numFmtId="0" fontId="10" fillId="0" borderId="5" xfId="0" applyFont="1" applyBorder="1" applyAlignment="1">
      <alignment horizontal="left" vertical="center" wrapText="1" readingOrder="1"/>
    </xf>
    <xf numFmtId="0" fontId="7" fillId="0" borderId="0" xfId="0" applyFont="1" applyAlignment="1">
      <alignment horizontal="right" vertical="center" wrapText="1" readingOrder="1"/>
    </xf>
    <xf numFmtId="0" fontId="7" fillId="0" borderId="6" xfId="0" applyFont="1" applyBorder="1" applyAlignment="1">
      <alignment horizontal="right" vertical="top" wrapText="1" readingOrder="1"/>
    </xf>
    <xf numFmtId="0" fontId="0" fillId="0" borderId="0" xfId="0" applyAlignment="1">
      <alignment horizontal="center" vertical="top" readingOrder="1"/>
    </xf>
    <xf numFmtId="0" fontId="12" fillId="0" borderId="0" xfId="0" applyFont="1" applyAlignment="1">
      <alignment vertical="center" wrapText="1"/>
    </xf>
    <xf numFmtId="0" fontId="19" fillId="0" borderId="12" xfId="0" applyFont="1" applyBorder="1" applyAlignment="1">
      <alignment horizontal="center" vertical="center" wrapText="1"/>
    </xf>
    <xf numFmtId="0" fontId="12" fillId="0" borderId="12" xfId="0" applyFont="1" applyBorder="1" applyAlignment="1">
      <alignment vertical="center" wrapText="1"/>
    </xf>
    <xf numFmtId="0" fontId="12" fillId="0" borderId="12" xfId="0" applyFont="1" applyBorder="1" applyAlignment="1">
      <alignment horizontal="justify" vertical="center" wrapText="1"/>
    </xf>
    <xf numFmtId="171" fontId="10" fillId="0" borderId="4" xfId="0" applyNumberFormat="1" applyFont="1" applyBorder="1" applyAlignment="1">
      <alignment horizontal="left" vertical="center" wrapText="1" readingOrder="1"/>
    </xf>
    <xf numFmtId="173" fontId="10" fillId="0" borderId="4" xfId="0" quotePrefix="1" applyNumberFormat="1" applyFont="1" applyBorder="1" applyAlignment="1">
      <alignment horizontal="left" vertical="center" wrapText="1" readingOrder="1"/>
    </xf>
    <xf numFmtId="0" fontId="0" fillId="0" borderId="0" xfId="0" applyAlignment="1">
      <alignment vertical="center" wrapText="1"/>
    </xf>
    <xf numFmtId="0" fontId="20" fillId="0" borderId="0" xfId="0" applyFont="1">
      <alignment wrapText="1"/>
    </xf>
    <xf numFmtId="0" fontId="20" fillId="0" borderId="0" xfId="0" applyFont="1" applyAlignment="1"/>
    <xf numFmtId="0" fontId="0" fillId="0" borderId="0" xfId="0" applyAlignment="1"/>
    <xf numFmtId="0" fontId="10" fillId="0" borderId="12" xfId="0" applyFont="1" applyBorder="1" applyAlignment="1">
      <alignment horizontal="left" vertical="center" wrapText="1" readingOrder="1"/>
    </xf>
    <xf numFmtId="0" fontId="10" fillId="0" borderId="25" xfId="0" applyFont="1" applyBorder="1" applyAlignment="1">
      <alignment horizontal="left" vertical="center" wrapText="1" readingOrder="1"/>
    </xf>
    <xf numFmtId="173" fontId="10" fillId="0" borderId="4" xfId="0" applyNumberFormat="1" applyFont="1" applyBorder="1" applyAlignment="1">
      <alignment horizontal="left" vertical="center" wrapText="1" readingOrder="1"/>
    </xf>
    <xf numFmtId="43" fontId="0" fillId="0" borderId="0" xfId="7" applyFont="1" applyFill="1" applyAlignment="1">
      <alignment wrapText="1"/>
    </xf>
    <xf numFmtId="167" fontId="7" fillId="0" borderId="4" xfId="0" applyNumberFormat="1" applyFont="1" applyBorder="1" applyAlignment="1">
      <alignment horizontal="right" vertical="center" wrapText="1" readingOrder="1"/>
    </xf>
    <xf numFmtId="0" fontId="20" fillId="0" borderId="0" xfId="0" applyFont="1" applyAlignment="1">
      <alignment horizontal="center" vertical="center" wrapText="1"/>
    </xf>
    <xf numFmtId="14" fontId="12" fillId="0" borderId="12" xfId="0" quotePrefix="1" applyNumberFormat="1" applyFont="1" applyBorder="1" applyAlignment="1">
      <alignment horizontal="justify" vertical="center" wrapText="1"/>
    </xf>
    <xf numFmtId="0" fontId="21" fillId="0" borderId="12" xfId="5" applyFont="1" applyBorder="1" applyAlignment="1">
      <alignment horizontal="center" vertical="center"/>
    </xf>
    <xf numFmtId="0" fontId="21" fillId="0" borderId="12" xfId="5" applyFont="1" applyBorder="1" applyAlignment="1">
      <alignment horizontal="center" vertical="center" wrapText="1"/>
    </xf>
    <xf numFmtId="0" fontId="5" fillId="0" borderId="0" xfId="3" applyAlignment="1">
      <alignment vertical="center" wrapText="1"/>
    </xf>
    <xf numFmtId="0" fontId="22" fillId="0" borderId="12" xfId="5" applyFont="1" applyBorder="1" applyAlignment="1">
      <alignment vertical="center"/>
    </xf>
    <xf numFmtId="0" fontId="22" fillId="0" borderId="12" xfId="5" applyFont="1" applyBorder="1" applyAlignment="1">
      <alignment wrapText="1"/>
    </xf>
    <xf numFmtId="0" fontId="22" fillId="0" borderId="12" xfId="5" applyFont="1" applyBorder="1"/>
    <xf numFmtId="0" fontId="21" fillId="0" borderId="12" xfId="5" applyFont="1" applyBorder="1" applyAlignment="1">
      <alignment horizontal="center"/>
    </xf>
    <xf numFmtId="4" fontId="22" fillId="0" borderId="12" xfId="5" applyNumberFormat="1" applyFont="1" applyBorder="1"/>
    <xf numFmtId="2" fontId="22" fillId="0" borderId="12" xfId="5" applyNumberFormat="1" applyFont="1" applyBorder="1"/>
    <xf numFmtId="4" fontId="5" fillId="0" borderId="12" xfId="3" applyNumberFormat="1" applyBorder="1">
      <alignment wrapText="1"/>
    </xf>
    <xf numFmtId="0" fontId="24" fillId="0" borderId="0" xfId="0" applyFont="1" applyAlignment="1"/>
    <xf numFmtId="0" fontId="8" fillId="0" borderId="0" xfId="2" applyFill="1" applyAlignment="1"/>
    <xf numFmtId="0" fontId="1" fillId="0" borderId="0" xfId="11" applyAlignment="1">
      <alignment wrapText="1"/>
    </xf>
    <xf numFmtId="0" fontId="31" fillId="0" borderId="12" xfId="11" applyFont="1" applyBorder="1" applyAlignment="1">
      <alignment horizontal="center" vertical="center"/>
    </xf>
    <xf numFmtId="0" fontId="31" fillId="0" borderId="0" xfId="11" applyFont="1" applyAlignment="1">
      <alignment horizontal="center" vertical="center"/>
    </xf>
    <xf numFmtId="0" fontId="32" fillId="0" borderId="12" xfId="11" applyFont="1" applyBorder="1" applyAlignment="1">
      <alignment vertical="center"/>
    </xf>
    <xf numFmtId="0" fontId="32" fillId="0" borderId="12" xfId="11" applyFont="1" applyBorder="1" applyAlignment="1">
      <alignment vertical="center" wrapText="1"/>
    </xf>
    <xf numFmtId="0" fontId="32" fillId="0" borderId="0" xfId="11" applyFont="1" applyAlignment="1">
      <alignment horizontal="center" vertical="center"/>
    </xf>
    <xf numFmtId="0" fontId="33" fillId="0" borderId="0" xfId="11" applyFont="1" applyAlignment="1">
      <alignment wrapText="1"/>
    </xf>
    <xf numFmtId="0" fontId="31" fillId="0" borderId="12" xfId="11" applyFont="1" applyBorder="1" applyAlignment="1">
      <alignment horizontal="center" vertical="center" wrapText="1"/>
    </xf>
    <xf numFmtId="0" fontId="34" fillId="0" borderId="0" xfId="11" applyFont="1" applyAlignment="1">
      <alignment horizontal="center" vertical="center"/>
    </xf>
    <xf numFmtId="0" fontId="32" fillId="0" borderId="12" xfId="11" applyFont="1" applyBorder="1" applyAlignment="1">
      <alignment horizontal="left" vertical="center"/>
    </xf>
    <xf numFmtId="4" fontId="32" fillId="0" borderId="12" xfId="11" applyNumberFormat="1" applyFont="1" applyBorder="1" applyAlignment="1">
      <alignment horizontal="right" vertical="center"/>
    </xf>
    <xf numFmtId="10" fontId="32" fillId="0" borderId="12" xfId="8" applyNumberFormat="1" applyFont="1" applyFill="1" applyBorder="1" applyAlignment="1">
      <alignment vertical="center"/>
    </xf>
    <xf numFmtId="43" fontId="33" fillId="0" borderId="0" xfId="7" applyFont="1" applyFill="1" applyAlignment="1">
      <alignment vertical="center"/>
    </xf>
    <xf numFmtId="43" fontId="32" fillId="0" borderId="0" xfId="7" applyFont="1" applyFill="1" applyAlignment="1">
      <alignment horizontal="center" vertical="center"/>
    </xf>
    <xf numFmtId="164" fontId="12" fillId="0" borderId="4" xfId="0" applyNumberFormat="1" applyFont="1" applyBorder="1" applyAlignment="1">
      <alignment horizontal="right" vertical="center" wrapText="1" readingOrder="1"/>
    </xf>
    <xf numFmtId="165" fontId="7" fillId="0" borderId="12" xfId="0" applyNumberFormat="1" applyFont="1" applyBorder="1" applyAlignment="1">
      <alignment horizontal="right" vertical="center" wrapText="1" readingOrder="1"/>
    </xf>
    <xf numFmtId="10" fontId="0" fillId="0" borderId="0" xfId="4" applyNumberFormat="1" applyFont="1" applyFill="1" applyAlignment="1">
      <alignment wrapText="1"/>
    </xf>
    <xf numFmtId="0" fontId="11" fillId="0" borderId="12" xfId="0" applyFont="1" applyBorder="1" applyAlignment="1">
      <alignment horizontal="left" vertical="center" wrapText="1" readingOrder="1"/>
    </xf>
    <xf numFmtId="0" fontId="25" fillId="0" borderId="12" xfId="0" applyFont="1" applyBorder="1">
      <alignment wrapText="1"/>
    </xf>
    <xf numFmtId="0" fontId="11" fillId="0" borderId="12" xfId="0" applyFont="1" applyBorder="1" applyAlignment="1">
      <alignment horizontal="right" vertical="center" wrapText="1" readingOrder="1"/>
    </xf>
    <xf numFmtId="0" fontId="0" fillId="0" borderId="12" xfId="0" applyBorder="1">
      <alignment wrapText="1"/>
    </xf>
    <xf numFmtId="0" fontId="7" fillId="0" borderId="4" xfId="0" applyFont="1" applyBorder="1" applyAlignment="1">
      <alignment horizontal="right" vertical="center" wrapText="1" readingOrder="1"/>
    </xf>
    <xf numFmtId="0" fontId="10" fillId="0" borderId="4" xfId="0" applyFont="1" applyBorder="1" applyAlignment="1">
      <alignment horizontal="center" vertical="center" wrapText="1" readingOrder="1"/>
    </xf>
    <xf numFmtId="0" fontId="24" fillId="0" borderId="0" xfId="10" applyFont="1"/>
    <xf numFmtId="0" fontId="0" fillId="0" borderId="0" xfId="0" applyAlignment="1">
      <alignment horizontal="center" vertical="center"/>
    </xf>
    <xf numFmtId="0" fontId="26" fillId="0" borderId="7" xfId="0" applyFont="1" applyBorder="1" applyAlignment="1">
      <alignment horizontal="center" vertical="center" wrapText="1"/>
    </xf>
    <xf numFmtId="0" fontId="27" fillId="0" borderId="7" xfId="0" applyFont="1" applyBorder="1" applyAlignment="1">
      <alignment horizontal="center" vertical="center" wrapText="1"/>
    </xf>
    <xf numFmtId="10" fontId="0" fillId="0" borderId="0" xfId="4" applyNumberFormat="1" applyFont="1" applyFill="1" applyAlignment="1">
      <alignment horizontal="center" vertical="center" wrapText="1"/>
    </xf>
    <xf numFmtId="0" fontId="0" fillId="0" borderId="0" xfId="0" applyAlignment="1">
      <alignment vertical="center"/>
    </xf>
    <xf numFmtId="0" fontId="28" fillId="0" borderId="7" xfId="0" applyFont="1" applyBorder="1" applyAlignment="1">
      <alignment vertical="center"/>
    </xf>
    <xf numFmtId="0" fontId="29" fillId="0" borderId="7" xfId="0" applyFont="1" applyBorder="1" applyAlignment="1">
      <alignment vertical="center" wrapText="1"/>
    </xf>
    <xf numFmtId="0" fontId="29" fillId="0" borderId="7" xfId="0" applyFont="1" applyBorder="1" applyAlignment="1">
      <alignment vertical="center"/>
    </xf>
    <xf numFmtId="43" fontId="28" fillId="0" borderId="7" xfId="7" applyFont="1" applyFill="1" applyBorder="1" applyAlignment="1">
      <alignment vertical="center"/>
    </xf>
    <xf numFmtId="175" fontId="28" fillId="0" borderId="7" xfId="0" applyNumberFormat="1" applyFont="1" applyBorder="1" applyAlignment="1">
      <alignment vertical="center"/>
    </xf>
    <xf numFmtId="10" fontId="0" fillId="0" borderId="0" xfId="4" applyNumberFormat="1" applyFont="1" applyFill="1" applyAlignment="1">
      <alignment vertical="center" wrapText="1"/>
    </xf>
    <xf numFmtId="10" fontId="30" fillId="0" borderId="0" xfId="4" applyNumberFormat="1" applyFont="1" applyFill="1" applyAlignment="1"/>
    <xf numFmtId="0" fontId="30" fillId="0" borderId="0" xfId="0" applyFont="1" applyAlignment="1"/>
    <xf numFmtId="0" fontId="19" fillId="0" borderId="0" xfId="0" applyFont="1" applyAlignment="1">
      <alignment vertical="center" readingOrder="1"/>
    </xf>
    <xf numFmtId="0" fontId="21" fillId="0" borderId="7" xfId="5" applyFont="1" applyBorder="1" applyAlignment="1">
      <alignment horizontal="center" vertical="center" wrapText="1"/>
    </xf>
    <xf numFmtId="0" fontId="22" fillId="0" borderId="7" xfId="5" applyFont="1" applyBorder="1"/>
    <xf numFmtId="0" fontId="22" fillId="0" borderId="7" xfId="5" applyFont="1" applyBorder="1" applyAlignment="1">
      <alignment wrapText="1"/>
    </xf>
    <xf numFmtId="4" fontId="12" fillId="0" borderId="7" xfId="0" applyNumberFormat="1" applyFont="1" applyBorder="1" applyAlignment="1">
      <alignment vertical="center"/>
    </xf>
    <xf numFmtId="174" fontId="22" fillId="0" borderId="7" xfId="5" applyNumberFormat="1" applyFont="1" applyBorder="1"/>
    <xf numFmtId="0" fontId="22" fillId="0" borderId="0" xfId="5" applyFont="1"/>
    <xf numFmtId="0" fontId="22" fillId="0" borderId="0" xfId="5" applyFont="1" applyAlignment="1">
      <alignment wrapText="1"/>
    </xf>
    <xf numFmtId="4" fontId="12" fillId="0" borderId="0" xfId="0" applyNumberFormat="1" applyFont="1" applyAlignment="1">
      <alignment vertical="center"/>
    </xf>
    <xf numFmtId="174" fontId="22" fillId="0" borderId="0" xfId="5" applyNumberFormat="1" applyFont="1"/>
    <xf numFmtId="0" fontId="22" fillId="0" borderId="0" xfId="5" applyFont="1" applyAlignment="1">
      <alignment vertical="center" wrapText="1"/>
    </xf>
    <xf numFmtId="0" fontId="19" fillId="0" borderId="7" xfId="0" applyFont="1" applyBorder="1" applyAlignment="1">
      <alignment horizontal="center" vertical="center" wrapText="1"/>
    </xf>
    <xf numFmtId="0" fontId="12" fillId="0" borderId="7" xfId="0" applyFont="1" applyBorder="1" applyAlignment="1">
      <alignment vertical="center" wrapText="1"/>
    </xf>
    <xf numFmtId="0" fontId="12" fillId="0" borderId="7" xfId="0" applyFont="1" applyBorder="1" applyAlignment="1">
      <alignment horizontal="justify" vertical="center" wrapText="1"/>
    </xf>
    <xf numFmtId="0" fontId="24" fillId="0" borderId="0" xfId="0" applyFont="1" applyAlignment="1">
      <alignment horizontal="left" vertical="top" readingOrder="1"/>
    </xf>
    <xf numFmtId="43" fontId="22" fillId="0" borderId="12" xfId="7" applyFont="1" applyFill="1" applyBorder="1"/>
    <xf numFmtId="174" fontId="22" fillId="0" borderId="12" xfId="5" applyNumberFormat="1" applyFont="1" applyBorder="1"/>
    <xf numFmtId="4" fontId="22" fillId="0" borderId="0" xfId="5" applyNumberFormat="1" applyFont="1"/>
    <xf numFmtId="4" fontId="12" fillId="0" borderId="12" xfId="0" applyNumberFormat="1" applyFont="1" applyBorder="1" applyAlignment="1">
      <alignment vertical="center"/>
    </xf>
    <xf numFmtId="0" fontId="10" fillId="0" borderId="0" xfId="0" applyFont="1" applyAlignment="1">
      <alignment horizontal="left" vertical="center" wrapText="1" readingOrder="1"/>
    </xf>
    <xf numFmtId="0" fontId="11" fillId="0" borderId="0" xfId="3" applyFont="1" applyAlignment="1">
      <alignment horizontal="left" vertical="center" wrapText="1" readingOrder="1"/>
    </xf>
    <xf numFmtId="0" fontId="14" fillId="0" borderId="7" xfId="5" applyFont="1" applyBorder="1" applyAlignment="1">
      <alignment horizontal="center"/>
    </xf>
    <xf numFmtId="0" fontId="15" fillId="0" borderId="7" xfId="5" applyFont="1" applyBorder="1" applyAlignment="1">
      <alignment horizontal="center" vertical="center"/>
    </xf>
    <xf numFmtId="0" fontId="16" fillId="0" borderId="0" xfId="6" applyFont="1"/>
    <xf numFmtId="0" fontId="16" fillId="0" borderId="7" xfId="5" applyFont="1" applyBorder="1" applyAlignment="1">
      <alignment horizontal="center"/>
    </xf>
    <xf numFmtId="0" fontId="18" fillId="0" borderId="7" xfId="5" applyFont="1" applyBorder="1" applyAlignment="1">
      <alignment vertical="top"/>
    </xf>
    <xf numFmtId="0" fontId="7" fillId="0" borderId="9" xfId="0" applyFont="1" applyBorder="1" applyAlignment="1">
      <alignment horizontal="left" vertical="center" wrapText="1" readingOrder="1"/>
    </xf>
    <xf numFmtId="0" fontId="7" fillId="0" borderId="11" xfId="0" applyFont="1" applyBorder="1" applyAlignment="1">
      <alignment horizontal="left" vertical="center" wrapText="1" readingOrder="1"/>
    </xf>
    <xf numFmtId="0" fontId="7" fillId="0" borderId="12" xfId="0" applyFont="1" applyBorder="1" applyAlignment="1">
      <alignment horizontal="left" vertical="center" wrapText="1" readingOrder="1"/>
    </xf>
    <xf numFmtId="0" fontId="7" fillId="0" borderId="10" xfId="0" applyFont="1" applyBorder="1" applyAlignment="1">
      <alignment horizontal="left" vertical="center" wrapText="1" readingOrder="1"/>
    </xf>
    <xf numFmtId="0" fontId="6" fillId="0" borderId="7" xfId="0" applyFont="1" applyBorder="1" applyAlignment="1">
      <alignment horizontal="center" vertical="center" wrapText="1" readingOrder="1"/>
    </xf>
    <xf numFmtId="0" fontId="7" fillId="0" borderId="0" xfId="0" applyFont="1" applyAlignment="1">
      <alignment horizontal="left" vertical="center" wrapText="1" readingOrder="1"/>
    </xf>
    <xf numFmtId="0" fontId="7" fillId="0" borderId="1" xfId="0" applyFont="1" applyBorder="1" applyAlignment="1">
      <alignment horizontal="left" vertical="center" wrapText="1" readingOrder="1"/>
    </xf>
    <xf numFmtId="0" fontId="7" fillId="0" borderId="3" xfId="0" applyFont="1" applyBorder="1" applyAlignment="1">
      <alignment horizontal="left" vertical="center" wrapText="1" readingOrder="1"/>
    </xf>
    <xf numFmtId="0" fontId="2" fillId="0" borderId="1" xfId="0" applyFont="1" applyBorder="1" applyAlignment="1">
      <alignment horizontal="left" vertical="center" wrapText="1" readingOrder="1"/>
    </xf>
    <xf numFmtId="0" fontId="2" fillId="0" borderId="3" xfId="0" applyFont="1" applyBorder="1" applyAlignment="1">
      <alignment horizontal="left" vertical="center" wrapText="1" readingOrder="1"/>
    </xf>
    <xf numFmtId="0" fontId="19" fillId="0" borderId="9" xfId="0" applyFont="1" applyBorder="1" applyAlignment="1">
      <alignment horizontal="center" vertical="center"/>
    </xf>
    <xf numFmtId="0" fontId="19" fillId="0" borderId="10" xfId="0" applyFont="1" applyBorder="1" applyAlignment="1">
      <alignment horizontal="center" vertical="center"/>
    </xf>
    <xf numFmtId="0" fontId="19" fillId="0" borderId="11" xfId="0" applyFont="1" applyBorder="1" applyAlignment="1">
      <alignment horizontal="center" vertical="center"/>
    </xf>
    <xf numFmtId="0" fontId="10" fillId="0" borderId="1" xfId="0" applyFont="1" applyBorder="1" applyAlignment="1">
      <alignment horizontal="left" vertical="center" wrapText="1" readingOrder="1"/>
    </xf>
    <xf numFmtId="0" fontId="10" fillId="0" borderId="2" xfId="0" applyFont="1" applyBorder="1" applyAlignment="1">
      <alignment horizontal="left" vertical="center" wrapText="1" readingOrder="1"/>
    </xf>
    <xf numFmtId="0" fontId="10" fillId="0" borderId="3" xfId="0" applyFont="1" applyBorder="1" applyAlignment="1">
      <alignment horizontal="left" vertical="center" wrapText="1" readingOrder="1"/>
    </xf>
    <xf numFmtId="0" fontId="10" fillId="0" borderId="12" xfId="0" applyFont="1" applyBorder="1" applyAlignment="1">
      <alignment horizontal="center" vertical="center" wrapText="1" readingOrder="1"/>
    </xf>
    <xf numFmtId="0" fontId="7" fillId="0" borderId="13" xfId="0" applyFont="1" applyBorder="1" applyAlignment="1">
      <alignment horizontal="left" vertical="center" wrapText="1" readingOrder="1"/>
    </xf>
    <xf numFmtId="0" fontId="10" fillId="0" borderId="9" xfId="0" applyFont="1" applyBorder="1" applyAlignment="1">
      <alignment horizontal="center" vertical="center" wrapText="1" readingOrder="1"/>
    </xf>
    <xf numFmtId="0" fontId="10" fillId="0" borderId="11" xfId="0" applyFont="1" applyBorder="1" applyAlignment="1">
      <alignment horizontal="center" vertical="center" wrapText="1" readingOrder="1"/>
    </xf>
    <xf numFmtId="0" fontId="7" fillId="0" borderId="0" xfId="3" quotePrefix="1" applyFont="1" applyAlignment="1">
      <alignment horizontal="left" vertical="center" wrapText="1" readingOrder="1"/>
    </xf>
    <xf numFmtId="0" fontId="7" fillId="0" borderId="0" xfId="3" applyFont="1" applyAlignment="1">
      <alignment horizontal="left" vertical="center" wrapText="1" readingOrder="1"/>
    </xf>
    <xf numFmtId="0" fontId="22" fillId="0" borderId="0" xfId="5" applyFont="1" applyAlignment="1">
      <alignment horizontal="justify" vertical="center" wrapText="1"/>
    </xf>
    <xf numFmtId="0" fontId="7" fillId="0" borderId="0" xfId="0" quotePrefix="1" applyFont="1" applyAlignment="1">
      <alignment horizontal="left" vertical="center" wrapText="1" readingOrder="1"/>
    </xf>
    <xf numFmtId="0" fontId="21" fillId="0" borderId="12" xfId="5" applyFont="1" applyBorder="1" applyAlignment="1">
      <alignment horizontal="center" vertical="center" wrapText="1"/>
    </xf>
    <xf numFmtId="0" fontId="21" fillId="0" borderId="14" xfId="5" applyFont="1" applyBorder="1" applyAlignment="1">
      <alignment horizontal="center" vertical="center" wrapText="1"/>
    </xf>
    <xf numFmtId="0" fontId="21" fillId="0" borderId="8" xfId="5" applyFont="1" applyBorder="1" applyAlignment="1">
      <alignment horizontal="center" vertical="center" wrapText="1"/>
    </xf>
    <xf numFmtId="0" fontId="21" fillId="0" borderId="14" xfId="5" applyFont="1" applyBorder="1" applyAlignment="1">
      <alignment horizontal="center" vertical="center"/>
    </xf>
    <xf numFmtId="0" fontId="21" fillId="0" borderId="15" xfId="5" applyFont="1" applyBorder="1" applyAlignment="1">
      <alignment horizontal="center" vertical="center"/>
    </xf>
    <xf numFmtId="0" fontId="21" fillId="0" borderId="8" xfId="5" applyFont="1" applyBorder="1" applyAlignment="1">
      <alignment horizontal="center" vertical="center"/>
    </xf>
    <xf numFmtId="0" fontId="21" fillId="0" borderId="9" xfId="5" applyFont="1" applyBorder="1" applyAlignment="1">
      <alignment horizontal="center" vertical="center"/>
    </xf>
    <xf numFmtId="0" fontId="21" fillId="0" borderId="10" xfId="5" applyFont="1" applyBorder="1" applyAlignment="1">
      <alignment horizontal="center" vertical="center"/>
    </xf>
    <xf numFmtId="0" fontId="21" fillId="0" borderId="11" xfId="5" applyFont="1" applyBorder="1" applyAlignment="1">
      <alignment horizontal="center" vertical="center"/>
    </xf>
    <xf numFmtId="0" fontId="21" fillId="0" borderId="9" xfId="5" applyFont="1" applyBorder="1" applyAlignment="1">
      <alignment horizontal="center" vertical="center" wrapText="1"/>
    </xf>
    <xf numFmtId="0" fontId="21" fillId="0" borderId="10" xfId="5" applyFont="1" applyBorder="1" applyAlignment="1">
      <alignment horizontal="center" vertical="center" wrapText="1"/>
    </xf>
    <xf numFmtId="0" fontId="21" fillId="0" borderId="11" xfId="5" applyFont="1" applyBorder="1" applyAlignment="1">
      <alignment horizontal="center" vertical="center" wrapText="1"/>
    </xf>
    <xf numFmtId="0" fontId="21" fillId="0" borderId="16" xfId="5" applyFont="1" applyBorder="1" applyAlignment="1">
      <alignment horizontal="center" vertical="center" wrapText="1"/>
    </xf>
    <xf numFmtId="0" fontId="21" fillId="0" borderId="17" xfId="5" applyFont="1" applyBorder="1" applyAlignment="1">
      <alignment horizontal="center" vertical="center" wrapText="1"/>
    </xf>
    <xf numFmtId="0" fontId="22" fillId="0" borderId="12" xfId="5" applyFont="1" applyBorder="1" applyAlignment="1">
      <alignment horizontal="center"/>
    </xf>
    <xf numFmtId="0" fontId="21" fillId="0" borderId="12" xfId="5" applyFont="1" applyBorder="1" applyAlignment="1">
      <alignment horizontal="center"/>
    </xf>
    <xf numFmtId="0" fontId="21" fillId="0" borderId="12" xfId="5" applyFont="1" applyBorder="1" applyAlignment="1">
      <alignment horizontal="center" vertical="center"/>
    </xf>
    <xf numFmtId="43" fontId="22" fillId="0" borderId="12" xfId="7" applyFont="1" applyFill="1" applyBorder="1" applyAlignment="1">
      <alignment horizontal="center"/>
    </xf>
    <xf numFmtId="0" fontId="21" fillId="0" borderId="12" xfId="5" applyFont="1" applyBorder="1" applyAlignment="1">
      <alignment horizontal="center" wrapText="1"/>
    </xf>
    <xf numFmtId="0" fontId="22" fillId="0" borderId="0" xfId="5" applyFont="1" applyAlignment="1">
      <alignment horizontal="left" vertical="center" wrapText="1"/>
    </xf>
    <xf numFmtId="0" fontId="22" fillId="0" borderId="0" xfId="5" applyFont="1" applyAlignment="1">
      <alignment horizontal="center"/>
    </xf>
    <xf numFmtId="0" fontId="21" fillId="0" borderId="0" xfId="5" applyFont="1" applyAlignment="1">
      <alignment horizontal="center"/>
    </xf>
    <xf numFmtId="43" fontId="22" fillId="0" borderId="9" xfId="7" applyFont="1" applyFill="1" applyBorder="1" applyAlignment="1">
      <alignment horizontal="center"/>
    </xf>
    <xf numFmtId="43" fontId="22" fillId="0" borderId="10" xfId="7" applyFont="1" applyFill="1" applyBorder="1" applyAlignment="1">
      <alignment horizontal="center"/>
    </xf>
    <xf numFmtId="43" fontId="22" fillId="0" borderId="11" xfId="7" applyFont="1" applyFill="1" applyBorder="1" applyAlignment="1">
      <alignment horizontal="center"/>
    </xf>
    <xf numFmtId="0" fontId="24" fillId="0" borderId="0" xfId="0" applyFont="1" applyAlignment="1">
      <alignment horizontal="left" vertical="top" readingOrder="1"/>
    </xf>
    <xf numFmtId="0" fontId="21" fillId="0" borderId="9" xfId="5" applyFont="1" applyBorder="1" applyAlignment="1">
      <alignment horizontal="center" wrapText="1"/>
    </xf>
    <xf numFmtId="0" fontId="21" fillId="0" borderId="10" xfId="5" applyFont="1" applyBorder="1" applyAlignment="1">
      <alignment horizontal="center" wrapText="1"/>
    </xf>
    <xf numFmtId="0" fontId="21" fillId="0" borderId="11" xfId="5" applyFont="1" applyBorder="1" applyAlignment="1">
      <alignment horizontal="center" wrapText="1"/>
    </xf>
    <xf numFmtId="0" fontId="21" fillId="0" borderId="9" xfId="5" applyFont="1" applyBorder="1" applyAlignment="1">
      <alignment horizontal="center"/>
    </xf>
    <xf numFmtId="0" fontId="21" fillId="0" borderId="11" xfId="5" applyFont="1" applyBorder="1" applyAlignment="1">
      <alignment horizontal="center"/>
    </xf>
    <xf numFmtId="0" fontId="7" fillId="0" borderId="7" xfId="0" applyFont="1" applyBorder="1" applyAlignment="1">
      <alignment horizontal="left" vertical="center" wrapText="1" readingOrder="1"/>
    </xf>
    <xf numFmtId="0" fontId="19" fillId="0" borderId="19" xfId="0" applyFont="1" applyBorder="1" applyAlignment="1">
      <alignment horizontal="center" vertical="center"/>
    </xf>
    <xf numFmtId="0" fontId="19" fillId="0" borderId="20" xfId="0" applyFont="1" applyBorder="1" applyAlignment="1">
      <alignment horizontal="center" vertical="center"/>
    </xf>
    <xf numFmtId="0" fontId="19" fillId="0" borderId="21" xfId="0" applyFont="1" applyBorder="1" applyAlignment="1">
      <alignment horizontal="center" vertical="center"/>
    </xf>
    <xf numFmtId="0" fontId="10" fillId="0" borderId="7" xfId="0" applyFont="1" applyBorder="1" applyAlignment="1">
      <alignment horizontal="center" vertical="center" wrapText="1" readingOrder="1"/>
    </xf>
    <xf numFmtId="0" fontId="21" fillId="0" borderId="18" xfId="5" applyFont="1" applyBorder="1" applyAlignment="1">
      <alignment horizontal="center" vertical="center"/>
    </xf>
    <xf numFmtId="0" fontId="21" fillId="0" borderId="19" xfId="5" applyFont="1" applyBorder="1" applyAlignment="1">
      <alignment horizontal="center" vertical="center"/>
    </xf>
    <xf numFmtId="0" fontId="21" fillId="0" borderId="20" xfId="5" applyFont="1" applyBorder="1" applyAlignment="1">
      <alignment horizontal="center" vertical="center"/>
    </xf>
    <xf numFmtId="0" fontId="21" fillId="0" borderId="21" xfId="5" applyFont="1" applyBorder="1" applyAlignment="1">
      <alignment horizontal="center" vertical="center"/>
    </xf>
    <xf numFmtId="0" fontId="21" fillId="0" borderId="19" xfId="5" applyFont="1" applyBorder="1" applyAlignment="1">
      <alignment horizontal="center" vertical="center" wrapText="1"/>
    </xf>
    <xf numFmtId="0" fontId="21" fillId="0" borderId="20" xfId="5" applyFont="1" applyBorder="1" applyAlignment="1">
      <alignment horizontal="center" vertical="center" wrapText="1"/>
    </xf>
    <xf numFmtId="0" fontId="21" fillId="0" borderId="21" xfId="5" applyFont="1" applyBorder="1" applyAlignment="1">
      <alignment horizontal="center" vertical="center" wrapText="1"/>
    </xf>
    <xf numFmtId="0" fontId="21" fillId="0" borderId="18" xfId="5" applyFont="1" applyBorder="1" applyAlignment="1">
      <alignment horizontal="center" vertical="center" wrapText="1"/>
    </xf>
    <xf numFmtId="0" fontId="7" fillId="0" borderId="0" xfId="0" applyFont="1" applyAlignment="1">
      <alignment horizontal="justify" vertical="top" wrapText="1" readingOrder="1"/>
    </xf>
    <xf numFmtId="0" fontId="31" fillId="0" borderId="12" xfId="11" applyFont="1" applyBorder="1" applyAlignment="1">
      <alignment horizontal="center" vertical="center"/>
    </xf>
    <xf numFmtId="0" fontId="31" fillId="0" borderId="9" xfId="11" applyFont="1" applyBorder="1" applyAlignment="1">
      <alignment horizontal="center" vertical="center"/>
    </xf>
    <xf numFmtId="0" fontId="31" fillId="0" borderId="10" xfId="11" applyFont="1" applyBorder="1" applyAlignment="1">
      <alignment horizontal="center" vertical="center"/>
    </xf>
    <xf numFmtId="0" fontId="31" fillId="0" borderId="11" xfId="11" applyFont="1" applyBorder="1" applyAlignment="1">
      <alignment horizontal="center" vertical="center"/>
    </xf>
    <xf numFmtId="0" fontId="32" fillId="0" borderId="9" xfId="11" applyFont="1" applyBorder="1" applyAlignment="1">
      <alignment horizontal="left" vertical="center" wrapText="1"/>
    </xf>
    <xf numFmtId="0" fontId="32" fillId="0" borderId="10" xfId="11" applyFont="1" applyBorder="1" applyAlignment="1">
      <alignment horizontal="left" vertical="center" wrapText="1"/>
    </xf>
    <xf numFmtId="0" fontId="32" fillId="0" borderId="11" xfId="11" applyFont="1" applyBorder="1" applyAlignment="1">
      <alignment horizontal="left" vertical="center" wrapText="1"/>
    </xf>
    <xf numFmtId="0" fontId="19" fillId="0" borderId="9" xfId="0" applyFont="1" applyBorder="1" applyAlignment="1">
      <alignment horizontal="left" vertical="center" readingOrder="1"/>
    </xf>
    <xf numFmtId="0" fontId="19" fillId="0" borderId="10" xfId="0" applyFont="1" applyBorder="1" applyAlignment="1">
      <alignment horizontal="left" vertical="center" readingOrder="1"/>
    </xf>
    <xf numFmtId="0" fontId="19" fillId="0" borderId="11" xfId="0" applyFont="1" applyBorder="1" applyAlignment="1">
      <alignment horizontal="left" vertical="center" readingOrder="1"/>
    </xf>
    <xf numFmtId="0" fontId="31" fillId="0" borderId="9" xfId="11" applyFont="1" applyBorder="1" applyAlignment="1">
      <alignment horizontal="center" vertical="center" wrapText="1"/>
    </xf>
    <xf numFmtId="0" fontId="31" fillId="0" borderId="11" xfId="11" applyFont="1" applyBorder="1" applyAlignment="1">
      <alignment horizontal="center" vertical="center" wrapText="1"/>
    </xf>
    <xf numFmtId="43" fontId="32" fillId="0" borderId="9" xfId="7" applyFont="1" applyFill="1" applyBorder="1" applyAlignment="1">
      <alignment horizontal="center" vertical="center"/>
    </xf>
    <xf numFmtId="43" fontId="32" fillId="0" borderId="11" xfId="7" applyFont="1" applyFill="1" applyBorder="1" applyAlignment="1">
      <alignment horizontal="center" vertical="center"/>
    </xf>
    <xf numFmtId="0" fontId="24" fillId="0" borderId="12" xfId="0" applyFont="1" applyBorder="1" applyAlignment="1">
      <alignment horizontal="left" vertical="top" readingOrder="1"/>
    </xf>
    <xf numFmtId="0" fontId="7" fillId="0" borderId="22" xfId="0" applyFont="1" applyBorder="1" applyAlignment="1">
      <alignment horizontal="left" vertical="center" wrapText="1" readingOrder="1"/>
    </xf>
    <xf numFmtId="0" fontId="2" fillId="0" borderId="22" xfId="0" applyFont="1" applyBorder="1" applyAlignment="1">
      <alignment horizontal="left" vertical="center" wrapText="1" readingOrder="1"/>
    </xf>
    <xf numFmtId="0" fontId="7" fillId="0" borderId="23" xfId="0" applyFont="1" applyBorder="1" applyAlignment="1">
      <alignment horizontal="left" vertical="center" wrapText="1" readingOrder="1"/>
    </xf>
    <xf numFmtId="0" fontId="7" fillId="0" borderId="24" xfId="0" applyFont="1" applyBorder="1" applyAlignment="1">
      <alignment horizontal="left" vertical="center" wrapText="1" readingOrder="1"/>
    </xf>
  </cellXfs>
  <cellStyles count="12">
    <cellStyle name="Comma 2" xfId="7" xr:uid="{5465A3F0-1AF4-4764-BCA0-21E42B023531}"/>
    <cellStyle name="Comma 2 2" xfId="9" xr:uid="{B8157874-AB89-4D6D-B05F-9EC820731D62}"/>
    <cellStyle name="Comma 3" xfId="1" xr:uid="{AF314934-30A2-443B-AD07-4F3357A929A4}"/>
    <cellStyle name="Hyperlink 2" xfId="2" xr:uid="{76E35116-1AC6-4AA1-9270-DFFFD06F2931}"/>
    <cellStyle name="Normal" xfId="0" builtinId="0"/>
    <cellStyle name="Normal 2 2 2" xfId="5" xr:uid="{E682D298-B873-47BA-97CB-B25F86293089}"/>
    <cellStyle name="Normal 2 2 3" xfId="11" xr:uid="{67C71C4F-638A-49DB-B137-2D3EE290EA30}"/>
    <cellStyle name="Normal 2 3" xfId="6" xr:uid="{19AD3665-0F33-457A-963A-5CFC631C02DE}"/>
    <cellStyle name="Normal 3" xfId="3" xr:uid="{A71D2219-9452-42CC-BF0B-BAD495451FF0}"/>
    <cellStyle name="Normal 4" xfId="10" xr:uid="{D1A3093E-3B2B-447F-A75D-AEE6BC333855}"/>
    <cellStyle name="Percent" xfId="4" builtinId="5"/>
    <cellStyle name="Percent 2" xfId="8" xr:uid="{4496D1CB-8A80-49B4-BEEC-4487E33CD43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0</xdr:colOff>
      <xdr:row>147</xdr:row>
      <xdr:rowOff>0</xdr:rowOff>
    </xdr:from>
    <xdr:to>
      <xdr:col>2</xdr:col>
      <xdr:colOff>2095500</xdr:colOff>
      <xdr:row>148</xdr:row>
      <xdr:rowOff>27375</xdr:rowOff>
    </xdr:to>
    <xdr:pic>
      <xdr:nvPicPr>
        <xdr:cNvPr id="4" name="Picture 3">
          <a:extLst>
            <a:ext uri="{FF2B5EF4-FFF2-40B4-BE49-F238E27FC236}">
              <a16:creationId xmlns:a16="http://schemas.microsoft.com/office/drawing/2014/main" id="{34534BBC-1296-4F4D-B0D5-752D5E256B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7041475"/>
          <a:ext cx="344805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152</xdr:row>
      <xdr:rowOff>0</xdr:rowOff>
    </xdr:from>
    <xdr:to>
      <xdr:col>2</xdr:col>
      <xdr:colOff>2047873</xdr:colOff>
      <xdr:row>152</xdr:row>
      <xdr:rowOff>1980000</xdr:rowOff>
    </xdr:to>
    <xdr:pic>
      <xdr:nvPicPr>
        <xdr:cNvPr id="2" name="Picture 1">
          <a:extLst>
            <a:ext uri="{FF2B5EF4-FFF2-40B4-BE49-F238E27FC236}">
              <a16:creationId xmlns:a16="http://schemas.microsoft.com/office/drawing/2014/main" id="{252257AF-1808-4BCA-BF6E-C8A819BD8CF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9641800"/>
          <a:ext cx="34004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xdr:colOff>
      <xdr:row>151</xdr:row>
      <xdr:rowOff>0</xdr:rowOff>
    </xdr:from>
    <xdr:to>
      <xdr:col>2</xdr:col>
      <xdr:colOff>1809751</xdr:colOff>
      <xdr:row>163</xdr:row>
      <xdr:rowOff>36900</xdr:rowOff>
    </xdr:to>
    <xdr:pic>
      <xdr:nvPicPr>
        <xdr:cNvPr id="2" name="Picture 1">
          <a:extLst>
            <a:ext uri="{FF2B5EF4-FFF2-40B4-BE49-F238E27FC236}">
              <a16:creationId xmlns:a16="http://schemas.microsoft.com/office/drawing/2014/main" id="{FE1301B3-235E-49ED-9CD7-9934DF46F6C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6" y="28898850"/>
          <a:ext cx="321945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146</xdr:row>
      <xdr:rowOff>0</xdr:rowOff>
    </xdr:from>
    <xdr:to>
      <xdr:col>2</xdr:col>
      <xdr:colOff>1790700</xdr:colOff>
      <xdr:row>146</xdr:row>
      <xdr:rowOff>1980000</xdr:rowOff>
    </xdr:to>
    <xdr:pic>
      <xdr:nvPicPr>
        <xdr:cNvPr id="3" name="Picture 2">
          <a:extLst>
            <a:ext uri="{FF2B5EF4-FFF2-40B4-BE49-F238E27FC236}">
              <a16:creationId xmlns:a16="http://schemas.microsoft.com/office/drawing/2014/main" id="{DF42E00A-4F08-4200-A1A2-F20145BA655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6117550"/>
          <a:ext cx="320040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168</xdr:row>
      <xdr:rowOff>0</xdr:rowOff>
    </xdr:from>
    <xdr:to>
      <xdr:col>2</xdr:col>
      <xdr:colOff>2100764</xdr:colOff>
      <xdr:row>169</xdr:row>
      <xdr:rowOff>27375</xdr:rowOff>
    </xdr:to>
    <xdr:pic>
      <xdr:nvPicPr>
        <xdr:cNvPr id="2" name="Picture 1">
          <a:extLst>
            <a:ext uri="{FF2B5EF4-FFF2-40B4-BE49-F238E27FC236}">
              <a16:creationId xmlns:a16="http://schemas.microsoft.com/office/drawing/2014/main" id="{82DE0452-EF45-4982-938B-E7F61D4421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97751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174</xdr:row>
      <xdr:rowOff>0</xdr:rowOff>
    </xdr:from>
    <xdr:to>
      <xdr:col>2</xdr:col>
      <xdr:colOff>2100764</xdr:colOff>
      <xdr:row>174</xdr:row>
      <xdr:rowOff>1980000</xdr:rowOff>
    </xdr:to>
    <xdr:pic>
      <xdr:nvPicPr>
        <xdr:cNvPr id="3" name="Picture 2">
          <a:extLst>
            <a:ext uri="{FF2B5EF4-FFF2-40B4-BE49-F238E27FC236}">
              <a16:creationId xmlns:a16="http://schemas.microsoft.com/office/drawing/2014/main" id="{12F8C79C-BE61-4F0E-97FA-D393D6CF6D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25374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179</xdr:row>
      <xdr:rowOff>200025</xdr:rowOff>
    </xdr:from>
    <xdr:to>
      <xdr:col>2</xdr:col>
      <xdr:colOff>2305050</xdr:colOff>
      <xdr:row>179</xdr:row>
      <xdr:rowOff>2180025</xdr:rowOff>
    </xdr:to>
    <xdr:pic>
      <xdr:nvPicPr>
        <xdr:cNvPr id="2" name="Picture 1">
          <a:extLst>
            <a:ext uri="{FF2B5EF4-FFF2-40B4-BE49-F238E27FC236}">
              <a16:creationId xmlns:a16="http://schemas.microsoft.com/office/drawing/2014/main" id="{75197ED3-5AC2-415B-ADA9-2D4379249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5204400"/>
          <a:ext cx="359092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76200</xdr:colOff>
      <xdr:row>174</xdr:row>
      <xdr:rowOff>0</xdr:rowOff>
    </xdr:from>
    <xdr:to>
      <xdr:col>2</xdr:col>
      <xdr:colOff>2286000</xdr:colOff>
      <xdr:row>175</xdr:row>
      <xdr:rowOff>151200</xdr:rowOff>
    </xdr:to>
    <xdr:pic>
      <xdr:nvPicPr>
        <xdr:cNvPr id="3" name="Picture 2">
          <a:extLst>
            <a:ext uri="{FF2B5EF4-FFF2-40B4-BE49-F238E27FC236}">
              <a16:creationId xmlns:a16="http://schemas.microsoft.com/office/drawing/2014/main" id="{BB6A2762-3BDE-4AD8-8641-77566770EE6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66725" y="32404050"/>
          <a:ext cx="3495675" cy="2103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202</xdr:row>
      <xdr:rowOff>0</xdr:rowOff>
    </xdr:from>
    <xdr:to>
      <xdr:col>2</xdr:col>
      <xdr:colOff>2100764</xdr:colOff>
      <xdr:row>202</xdr:row>
      <xdr:rowOff>1980000</xdr:rowOff>
    </xdr:to>
    <xdr:pic>
      <xdr:nvPicPr>
        <xdr:cNvPr id="3" name="Picture 2">
          <a:extLst>
            <a:ext uri="{FF2B5EF4-FFF2-40B4-BE49-F238E27FC236}">
              <a16:creationId xmlns:a16="http://schemas.microsoft.com/office/drawing/2014/main" id="{F993876C-1C0D-48FF-B490-26FC76EB97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78809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197</xdr:row>
      <xdr:rowOff>0</xdr:rowOff>
    </xdr:from>
    <xdr:to>
      <xdr:col>2</xdr:col>
      <xdr:colOff>2095500</xdr:colOff>
      <xdr:row>198</xdr:row>
      <xdr:rowOff>27375</xdr:rowOff>
    </xdr:to>
    <xdr:pic>
      <xdr:nvPicPr>
        <xdr:cNvPr id="4" name="Picture 3">
          <a:extLst>
            <a:ext uri="{FF2B5EF4-FFF2-40B4-BE49-F238E27FC236}">
              <a16:creationId xmlns:a16="http://schemas.microsoft.com/office/drawing/2014/main" id="{F70A8492-82A5-4BF7-BDB6-BBEA256CEE6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4975800"/>
          <a:ext cx="338137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162</xdr:row>
      <xdr:rowOff>0</xdr:rowOff>
    </xdr:from>
    <xdr:to>
      <xdr:col>2</xdr:col>
      <xdr:colOff>2095500</xdr:colOff>
      <xdr:row>163</xdr:row>
      <xdr:rowOff>27375</xdr:rowOff>
    </xdr:to>
    <xdr:pic>
      <xdr:nvPicPr>
        <xdr:cNvPr id="2" name="Picture 1">
          <a:extLst>
            <a:ext uri="{FF2B5EF4-FFF2-40B4-BE49-F238E27FC236}">
              <a16:creationId xmlns:a16="http://schemas.microsoft.com/office/drawing/2014/main" id="{C7800041-99FB-47C8-BAEB-206C78233B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0889575"/>
          <a:ext cx="338137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xdr:colOff>
      <xdr:row>167</xdr:row>
      <xdr:rowOff>0</xdr:rowOff>
    </xdr:from>
    <xdr:to>
      <xdr:col>2</xdr:col>
      <xdr:colOff>2100765</xdr:colOff>
      <xdr:row>167</xdr:row>
      <xdr:rowOff>1980000</xdr:rowOff>
    </xdr:to>
    <xdr:pic>
      <xdr:nvPicPr>
        <xdr:cNvPr id="3" name="Picture 2">
          <a:extLst>
            <a:ext uri="{FF2B5EF4-FFF2-40B4-BE49-F238E27FC236}">
              <a16:creationId xmlns:a16="http://schemas.microsoft.com/office/drawing/2014/main" id="{EF160195-444D-4313-8675-4E0A3C34C7E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6" y="334899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202</xdr:row>
      <xdr:rowOff>0</xdr:rowOff>
    </xdr:from>
    <xdr:to>
      <xdr:col>2</xdr:col>
      <xdr:colOff>2100764</xdr:colOff>
      <xdr:row>202</xdr:row>
      <xdr:rowOff>1980000</xdr:rowOff>
    </xdr:to>
    <xdr:pic>
      <xdr:nvPicPr>
        <xdr:cNvPr id="2" name="Picture 1">
          <a:extLst>
            <a:ext uri="{FF2B5EF4-FFF2-40B4-BE49-F238E27FC236}">
              <a16:creationId xmlns:a16="http://schemas.microsoft.com/office/drawing/2014/main" id="{AE646559-6C9B-4B13-B5F0-88AFEF8D9E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418909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196</xdr:row>
      <xdr:rowOff>0</xdr:rowOff>
    </xdr:from>
    <xdr:to>
      <xdr:col>2</xdr:col>
      <xdr:colOff>2100764</xdr:colOff>
      <xdr:row>197</xdr:row>
      <xdr:rowOff>27375</xdr:rowOff>
    </xdr:to>
    <xdr:pic>
      <xdr:nvPicPr>
        <xdr:cNvPr id="3" name="Picture 2">
          <a:extLst>
            <a:ext uri="{FF2B5EF4-FFF2-40B4-BE49-F238E27FC236}">
              <a16:creationId xmlns:a16="http://schemas.microsoft.com/office/drawing/2014/main" id="{B0E42B9E-2628-4536-9BFB-033AEDEA99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896677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130</xdr:row>
      <xdr:rowOff>0</xdr:rowOff>
    </xdr:from>
    <xdr:to>
      <xdr:col>2</xdr:col>
      <xdr:colOff>2133599</xdr:colOff>
      <xdr:row>131</xdr:row>
      <xdr:rowOff>27375</xdr:rowOff>
    </xdr:to>
    <xdr:pic>
      <xdr:nvPicPr>
        <xdr:cNvPr id="2" name="Picture 1">
          <a:extLst>
            <a:ext uri="{FF2B5EF4-FFF2-40B4-BE49-F238E27FC236}">
              <a16:creationId xmlns:a16="http://schemas.microsoft.com/office/drawing/2014/main" id="{25B81645-29BD-420B-9E39-68D0D9E73B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4212550"/>
          <a:ext cx="344804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9526</xdr:colOff>
      <xdr:row>135</xdr:row>
      <xdr:rowOff>38101</xdr:rowOff>
    </xdr:from>
    <xdr:to>
      <xdr:col>2</xdr:col>
      <xdr:colOff>2095499</xdr:colOff>
      <xdr:row>135</xdr:row>
      <xdr:rowOff>2018101</xdr:rowOff>
    </xdr:to>
    <xdr:pic>
      <xdr:nvPicPr>
        <xdr:cNvPr id="3" name="Picture 2">
          <a:extLst>
            <a:ext uri="{FF2B5EF4-FFF2-40B4-BE49-F238E27FC236}">
              <a16:creationId xmlns:a16="http://schemas.microsoft.com/office/drawing/2014/main" id="{72B9D4AF-DEF5-4A8E-B597-472BF0CEB77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00051" y="26850976"/>
          <a:ext cx="34004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155</xdr:row>
      <xdr:rowOff>123825</xdr:rowOff>
    </xdr:from>
    <xdr:to>
      <xdr:col>2</xdr:col>
      <xdr:colOff>2047873</xdr:colOff>
      <xdr:row>156</xdr:row>
      <xdr:rowOff>8325</xdr:rowOff>
    </xdr:to>
    <xdr:pic>
      <xdr:nvPicPr>
        <xdr:cNvPr id="3" name="Picture 2">
          <a:extLst>
            <a:ext uri="{FF2B5EF4-FFF2-40B4-BE49-F238E27FC236}">
              <a16:creationId xmlns:a16="http://schemas.microsoft.com/office/drawing/2014/main" id="{2580BCE8-08AA-45D9-AA5E-D80B09E76BB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1061025"/>
          <a:ext cx="34004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150</xdr:row>
      <xdr:rowOff>0</xdr:rowOff>
    </xdr:from>
    <xdr:to>
      <xdr:col>2</xdr:col>
      <xdr:colOff>2095499</xdr:colOff>
      <xdr:row>151</xdr:row>
      <xdr:rowOff>27375</xdr:rowOff>
    </xdr:to>
    <xdr:pic>
      <xdr:nvPicPr>
        <xdr:cNvPr id="4" name="Picture 3">
          <a:extLst>
            <a:ext uri="{FF2B5EF4-FFF2-40B4-BE49-F238E27FC236}">
              <a16:creationId xmlns:a16="http://schemas.microsoft.com/office/drawing/2014/main" id="{4C7AC954-1AA1-463D-A6F8-E91391D1872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8355925"/>
          <a:ext cx="344804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114</xdr:row>
      <xdr:rowOff>161924</xdr:rowOff>
    </xdr:from>
    <xdr:to>
      <xdr:col>2</xdr:col>
      <xdr:colOff>2179348</xdr:colOff>
      <xdr:row>127</xdr:row>
      <xdr:rowOff>36899</xdr:rowOff>
    </xdr:to>
    <xdr:pic>
      <xdr:nvPicPr>
        <xdr:cNvPr id="2" name="Picture 1">
          <a:extLst>
            <a:ext uri="{FF2B5EF4-FFF2-40B4-BE49-F238E27FC236}">
              <a16:creationId xmlns:a16="http://schemas.microsoft.com/office/drawing/2014/main" id="{8BCDF466-1E66-4DD7-B015-50275B6214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1364574"/>
          <a:ext cx="34652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110</xdr:row>
      <xdr:rowOff>0</xdr:rowOff>
    </xdr:from>
    <xdr:to>
      <xdr:col>2</xdr:col>
      <xdr:colOff>2101725</xdr:colOff>
      <xdr:row>111</xdr:row>
      <xdr:rowOff>25899</xdr:rowOff>
    </xdr:to>
    <xdr:pic>
      <xdr:nvPicPr>
        <xdr:cNvPr id="3" name="Picture 2">
          <a:extLst>
            <a:ext uri="{FF2B5EF4-FFF2-40B4-BE49-F238E27FC236}">
              <a16:creationId xmlns:a16="http://schemas.microsoft.com/office/drawing/2014/main" id="{737EE60A-591D-4BF5-9939-779C36002E5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390525" y="18764250"/>
          <a:ext cx="3387600" cy="19785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A4CEC-4D5A-4F51-8DD2-388A41BAC5E0}">
  <dimension ref="A1:C11"/>
  <sheetViews>
    <sheetView workbookViewId="0">
      <selection activeCell="B10" sqref="B10"/>
    </sheetView>
  </sheetViews>
  <sheetFormatPr defaultColWidth="8.85546875" defaultRowHeight="15" x14ac:dyDescent="0.25"/>
  <cols>
    <col min="1" max="1" width="6.140625" style="148" bestFit="1" customWidth="1"/>
    <col min="2" max="2" width="10.85546875" style="148" bestFit="1" customWidth="1"/>
    <col min="3" max="3" width="35" style="148" bestFit="1" customWidth="1"/>
    <col min="4" max="16384" width="8.85546875" style="148"/>
  </cols>
  <sheetData>
    <row r="1" spans="1:3" x14ac:dyDescent="0.25">
      <c r="A1" s="146" t="s">
        <v>609</v>
      </c>
      <c r="B1" s="147" t="s">
        <v>610</v>
      </c>
      <c r="C1" s="147" t="s">
        <v>611</v>
      </c>
    </row>
    <row r="2" spans="1:3" x14ac:dyDescent="0.25">
      <c r="A2" s="149">
        <v>1</v>
      </c>
      <c r="B2" s="2" t="s">
        <v>612</v>
      </c>
      <c r="C2" s="150" t="s">
        <v>1</v>
      </c>
    </row>
    <row r="3" spans="1:3" x14ac:dyDescent="0.25">
      <c r="A3" s="149">
        <v>2</v>
      </c>
      <c r="B3" s="2" t="s">
        <v>613</v>
      </c>
      <c r="C3" s="150" t="s">
        <v>133</v>
      </c>
    </row>
    <row r="4" spans="1:3" x14ac:dyDescent="0.25">
      <c r="A4" s="149">
        <v>3</v>
      </c>
      <c r="B4" s="2" t="s">
        <v>614</v>
      </c>
      <c r="C4" s="150" t="s">
        <v>172</v>
      </c>
    </row>
    <row r="5" spans="1:3" x14ac:dyDescent="0.25">
      <c r="A5" s="149">
        <v>4</v>
      </c>
      <c r="B5" s="2" t="s">
        <v>615</v>
      </c>
      <c r="C5" s="150" t="s">
        <v>280</v>
      </c>
    </row>
    <row r="6" spans="1:3" x14ac:dyDescent="0.25">
      <c r="A6" s="149">
        <v>5</v>
      </c>
      <c r="B6" s="2" t="s">
        <v>616</v>
      </c>
      <c r="C6" s="150" t="s">
        <v>324</v>
      </c>
    </row>
    <row r="7" spans="1:3" x14ac:dyDescent="0.25">
      <c r="A7" s="149">
        <v>6</v>
      </c>
      <c r="B7" s="2" t="s">
        <v>617</v>
      </c>
      <c r="C7" s="150" t="s">
        <v>476</v>
      </c>
    </row>
    <row r="8" spans="1:3" x14ac:dyDescent="0.25">
      <c r="A8" s="149">
        <v>7</v>
      </c>
      <c r="B8" s="2" t="s">
        <v>618</v>
      </c>
      <c r="C8" s="150" t="s">
        <v>493</v>
      </c>
    </row>
    <row r="9" spans="1:3" x14ac:dyDescent="0.25">
      <c r="A9" s="149">
        <v>8</v>
      </c>
      <c r="B9" s="2" t="s">
        <v>619</v>
      </c>
      <c r="C9" s="150" t="s">
        <v>538</v>
      </c>
    </row>
    <row r="10" spans="1:3" x14ac:dyDescent="0.25">
      <c r="A10" s="149">
        <v>9</v>
      </c>
      <c r="B10" s="2" t="s">
        <v>620</v>
      </c>
      <c r="C10" s="150" t="s">
        <v>541</v>
      </c>
    </row>
    <row r="11" spans="1:3" x14ac:dyDescent="0.25">
      <c r="A11" s="149">
        <v>10</v>
      </c>
      <c r="B11" s="2" t="s">
        <v>621</v>
      </c>
      <c r="C11" s="150" t="s">
        <v>596</v>
      </c>
    </row>
  </sheetData>
  <hyperlinks>
    <hyperlink ref="B3" location="SFRSTP!A1" display="SFRSTP" xr:uid="{9C83C033-8E3C-491B-9666-59092444565A}"/>
    <hyperlink ref="B4" location="SMMF!A1" display="SMMF" xr:uid="{1DCF8519-D882-48B1-93CA-80E182F6C759}"/>
    <hyperlink ref="B5" location="SPLDF!A1" display="SPLDF" xr:uid="{4F07D0A7-871B-4DD8-86A8-EEF07C6967F3}"/>
    <hyperlink ref="B6" location="SPMON!A1" display="SPMON" xr:uid="{FA3D8ABC-ACA3-4ADF-BC03-30BB752AD12F}"/>
    <hyperlink ref="B7" location="SPSDF!A1" display="SPSDF" xr:uid="{5FDAF4C7-A833-495C-81B0-BF01EE43F19B}"/>
    <hyperlink ref="B8" location="SPUSDF!A1" display="SPUSDF" xr:uid="{B820A7B2-6F19-4AEE-A8F5-9F214E35D861}"/>
    <hyperlink ref="B9" location="SUNBDS!A1" display="SUNBDS" xr:uid="{2C6D39EF-9FEF-46F6-BF2B-00FB42326C09}"/>
    <hyperlink ref="B10" location="SUNMIA!A1" display="SUNMIA" xr:uid="{ECB45D24-246C-4620-9F42-D843823390B5}"/>
    <hyperlink ref="B11" location="SUNONF!A1" display="SUNONF" xr:uid="{2ED6231E-5578-4315-BD3F-0D1D3112D274}"/>
    <hyperlink ref="B2" location="SFRLTP!A1" display="SFRLTP" xr:uid="{60E423C1-F06C-4FFC-90BC-0462EF585CB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3B605-B4A2-40A4-9828-5B767331FD03}">
  <sheetPr>
    <outlinePr summaryBelow="0" summaryRight="0"/>
  </sheetPr>
  <dimension ref="A1:Q153"/>
  <sheetViews>
    <sheetView showGridLines="0" topLeftCell="A106" workbookViewId="0">
      <selection activeCell="C123" sqref="C123:C126"/>
    </sheetView>
  </sheetViews>
  <sheetFormatPr defaultRowHeight="12.75" x14ac:dyDescent="0.2"/>
  <cols>
    <col min="1" max="1" width="5.85546875" bestFit="1" customWidth="1"/>
    <col min="2" max="2" width="20.28515625" bestFit="1" customWidth="1"/>
    <col min="3" max="3" width="44.28515625" customWidth="1"/>
    <col min="4" max="4" width="10.7109375" bestFit="1" customWidth="1"/>
    <col min="5" max="5" width="9.42578125" bestFit="1" customWidth="1"/>
    <col min="6" max="6" width="10.140625" bestFit="1" customWidth="1"/>
    <col min="7" max="7" width="14" bestFit="1" customWidth="1"/>
    <col min="8" max="8" width="9.5703125" customWidth="1"/>
  </cols>
  <sheetData>
    <row r="1" spans="1:9" ht="15" x14ac:dyDescent="0.2">
      <c r="A1" s="155" t="s">
        <v>0</v>
      </c>
      <c r="B1" s="155"/>
      <c r="C1" s="155"/>
      <c r="D1" s="155"/>
      <c r="E1" s="155"/>
      <c r="F1" s="155"/>
      <c r="G1" s="155"/>
      <c r="H1" s="155"/>
      <c r="I1" s="1" t="s">
        <v>607</v>
      </c>
    </row>
    <row r="2" spans="1:9" ht="15" x14ac:dyDescent="0.2">
      <c r="A2" s="155" t="s">
        <v>1</v>
      </c>
      <c r="B2" s="155"/>
      <c r="C2" s="155"/>
      <c r="D2" s="155"/>
      <c r="E2" s="155"/>
      <c r="F2" s="155"/>
      <c r="G2" s="155"/>
      <c r="H2" s="155"/>
    </row>
    <row r="3" spans="1:9" ht="15" x14ac:dyDescent="0.2">
      <c r="A3" s="155" t="s">
        <v>756</v>
      </c>
      <c r="B3" s="155"/>
      <c r="C3" s="155"/>
      <c r="D3" s="155"/>
      <c r="E3" s="155"/>
      <c r="F3" s="155"/>
      <c r="G3" s="155"/>
      <c r="H3" s="155"/>
    </row>
    <row r="4" spans="1:9" s="11" customFormat="1" ht="30" x14ac:dyDescent="0.2">
      <c r="A4" s="9" t="s">
        <v>2</v>
      </c>
      <c r="B4" s="9" t="s">
        <v>3</v>
      </c>
      <c r="C4" s="9" t="s">
        <v>4</v>
      </c>
      <c r="D4" s="9" t="s">
        <v>5</v>
      </c>
      <c r="E4" s="9" t="s">
        <v>6</v>
      </c>
      <c r="F4" s="9" t="s">
        <v>7</v>
      </c>
      <c r="G4" s="9" t="s">
        <v>8</v>
      </c>
      <c r="H4" s="10" t="s">
        <v>606</v>
      </c>
    </row>
    <row r="5" spans="1:9" x14ac:dyDescent="0.2">
      <c r="A5" s="12"/>
      <c r="B5" s="12"/>
      <c r="C5" s="13" t="s">
        <v>9</v>
      </c>
      <c r="D5" s="12"/>
      <c r="E5" s="12"/>
      <c r="F5" s="12"/>
      <c r="G5" s="12"/>
      <c r="H5" s="14" t="s">
        <v>12</v>
      </c>
    </row>
    <row r="6" spans="1:9" x14ac:dyDescent="0.2">
      <c r="A6" s="15"/>
      <c r="B6" s="15"/>
      <c r="C6" s="16" t="s">
        <v>10</v>
      </c>
      <c r="D6" s="15"/>
      <c r="E6" s="15"/>
      <c r="F6" s="15"/>
      <c r="G6" s="15"/>
      <c r="H6" s="14" t="s">
        <v>12</v>
      </c>
    </row>
    <row r="7" spans="1:9" x14ac:dyDescent="0.2">
      <c r="A7" s="15"/>
      <c r="B7" s="15"/>
      <c r="C7" s="16" t="s">
        <v>11</v>
      </c>
      <c r="D7" s="15"/>
      <c r="E7" s="15" t="s">
        <v>12</v>
      </c>
      <c r="F7" s="17" t="s">
        <v>13</v>
      </c>
      <c r="G7" s="18">
        <v>0</v>
      </c>
      <c r="H7" s="14" t="s">
        <v>12</v>
      </c>
    </row>
    <row r="8" spans="1:9" x14ac:dyDescent="0.2">
      <c r="A8" s="15"/>
      <c r="B8" s="15"/>
      <c r="C8" s="19"/>
      <c r="D8" s="15"/>
      <c r="E8" s="15"/>
      <c r="F8" s="20"/>
      <c r="G8" s="20"/>
      <c r="H8" s="14" t="s">
        <v>12</v>
      </c>
    </row>
    <row r="9" spans="1:9" x14ac:dyDescent="0.2">
      <c r="A9" s="15"/>
      <c r="B9" s="15"/>
      <c r="C9" s="16" t="s">
        <v>14</v>
      </c>
      <c r="D9" s="15"/>
      <c r="E9" s="15"/>
      <c r="F9" s="15"/>
      <c r="G9" s="15"/>
      <c r="H9" s="14" t="s">
        <v>12</v>
      </c>
    </row>
    <row r="10" spans="1:9" x14ac:dyDescent="0.2">
      <c r="A10" s="15"/>
      <c r="B10" s="15"/>
      <c r="C10" s="16" t="s">
        <v>11</v>
      </c>
      <c r="D10" s="15"/>
      <c r="E10" s="15" t="s">
        <v>12</v>
      </c>
      <c r="F10" s="17" t="s">
        <v>13</v>
      </c>
      <c r="G10" s="18">
        <v>0</v>
      </c>
      <c r="H10" s="14" t="s">
        <v>12</v>
      </c>
    </row>
    <row r="11" spans="1:9" x14ac:dyDescent="0.2">
      <c r="A11" s="15"/>
      <c r="B11" s="15"/>
      <c r="C11" s="19"/>
      <c r="D11" s="15"/>
      <c r="E11" s="15"/>
      <c r="F11" s="20"/>
      <c r="G11" s="20"/>
      <c r="H11" s="14" t="s">
        <v>12</v>
      </c>
    </row>
    <row r="12" spans="1:9" x14ac:dyDescent="0.2">
      <c r="A12" s="15"/>
      <c r="B12" s="15"/>
      <c r="C12" s="16" t="s">
        <v>15</v>
      </c>
      <c r="D12" s="15"/>
      <c r="E12" s="15"/>
      <c r="F12" s="15"/>
      <c r="G12" s="15"/>
      <c r="H12" s="14" t="s">
        <v>12</v>
      </c>
    </row>
    <row r="13" spans="1:9" x14ac:dyDescent="0.2">
      <c r="A13" s="15"/>
      <c r="B13" s="15"/>
      <c r="C13" s="16" t="s">
        <v>11</v>
      </c>
      <c r="D13" s="15"/>
      <c r="E13" s="15" t="s">
        <v>12</v>
      </c>
      <c r="F13" s="17" t="s">
        <v>13</v>
      </c>
      <c r="G13" s="18">
        <v>0</v>
      </c>
      <c r="H13" s="14" t="s">
        <v>12</v>
      </c>
    </row>
    <row r="14" spans="1:9" x14ac:dyDescent="0.2">
      <c r="A14" s="15"/>
      <c r="B14" s="15"/>
      <c r="C14" s="19"/>
      <c r="D14" s="15"/>
      <c r="E14" s="15"/>
      <c r="F14" s="20"/>
      <c r="G14" s="20"/>
      <c r="H14" s="14" t="s">
        <v>12</v>
      </c>
    </row>
    <row r="15" spans="1:9" x14ac:dyDescent="0.2">
      <c r="A15" s="15"/>
      <c r="B15" s="15"/>
      <c r="C15" s="16" t="s">
        <v>16</v>
      </c>
      <c r="D15" s="15"/>
      <c r="E15" s="15"/>
      <c r="F15" s="15"/>
      <c r="G15" s="15"/>
      <c r="H15" s="14" t="s">
        <v>12</v>
      </c>
    </row>
    <row r="16" spans="1:9" x14ac:dyDescent="0.2">
      <c r="A16" s="15"/>
      <c r="B16" s="15"/>
      <c r="C16" s="16" t="s">
        <v>11</v>
      </c>
      <c r="D16" s="15"/>
      <c r="E16" s="15" t="s">
        <v>12</v>
      </c>
      <c r="F16" s="17" t="s">
        <v>13</v>
      </c>
      <c r="G16" s="18">
        <v>0</v>
      </c>
      <c r="H16" s="14" t="s">
        <v>12</v>
      </c>
    </row>
    <row r="17" spans="1:8" x14ac:dyDescent="0.2">
      <c r="A17" s="15"/>
      <c r="B17" s="15"/>
      <c r="C17" s="19"/>
      <c r="D17" s="15"/>
      <c r="E17" s="15"/>
      <c r="F17" s="20"/>
      <c r="G17" s="20"/>
      <c r="H17" s="14" t="s">
        <v>12</v>
      </c>
    </row>
    <row r="18" spans="1:8" x14ac:dyDescent="0.2">
      <c r="A18" s="15"/>
      <c r="B18" s="15"/>
      <c r="C18" s="16" t="s">
        <v>17</v>
      </c>
      <c r="D18" s="15"/>
      <c r="E18" s="15"/>
      <c r="F18" s="20"/>
      <c r="G18" s="20"/>
      <c r="H18" s="14" t="s">
        <v>12</v>
      </c>
    </row>
    <row r="19" spans="1:8" x14ac:dyDescent="0.2">
      <c r="A19" s="15"/>
      <c r="B19" s="15"/>
      <c r="C19" s="16" t="s">
        <v>11</v>
      </c>
      <c r="D19" s="15"/>
      <c r="E19" s="15" t="s">
        <v>12</v>
      </c>
      <c r="F19" s="17" t="s">
        <v>13</v>
      </c>
      <c r="G19" s="18">
        <v>0</v>
      </c>
      <c r="H19" s="14" t="s">
        <v>12</v>
      </c>
    </row>
    <row r="20" spans="1:8" x14ac:dyDescent="0.2">
      <c r="A20" s="15"/>
      <c r="B20" s="15"/>
      <c r="C20" s="19"/>
      <c r="D20" s="15"/>
      <c r="E20" s="15"/>
      <c r="F20" s="20"/>
      <c r="G20" s="20"/>
      <c r="H20" s="14" t="s">
        <v>12</v>
      </c>
    </row>
    <row r="21" spans="1:8" x14ac:dyDescent="0.2">
      <c r="A21" s="15"/>
      <c r="B21" s="15"/>
      <c r="C21" s="16" t="s">
        <v>18</v>
      </c>
      <c r="D21" s="15"/>
      <c r="E21" s="15"/>
      <c r="F21" s="20"/>
      <c r="G21" s="20"/>
      <c r="H21" s="14" t="s">
        <v>12</v>
      </c>
    </row>
    <row r="22" spans="1:8" x14ac:dyDescent="0.2">
      <c r="A22" s="15"/>
      <c r="B22" s="15"/>
      <c r="C22" s="16" t="s">
        <v>11</v>
      </c>
      <c r="D22" s="15"/>
      <c r="E22" s="15" t="s">
        <v>12</v>
      </c>
      <c r="F22" s="17" t="s">
        <v>13</v>
      </c>
      <c r="G22" s="18">
        <v>0</v>
      </c>
      <c r="H22" s="14" t="s">
        <v>12</v>
      </c>
    </row>
    <row r="23" spans="1:8" x14ac:dyDescent="0.2">
      <c r="A23" s="15"/>
      <c r="B23" s="15"/>
      <c r="C23" s="19"/>
      <c r="D23" s="15"/>
      <c r="E23" s="15"/>
      <c r="F23" s="20"/>
      <c r="G23" s="20"/>
      <c r="H23" s="14" t="s">
        <v>12</v>
      </c>
    </row>
    <row r="24" spans="1:8" x14ac:dyDescent="0.2">
      <c r="A24" s="15"/>
      <c r="B24" s="15"/>
      <c r="C24" s="16" t="s">
        <v>19</v>
      </c>
      <c r="D24" s="15"/>
      <c r="E24" s="15"/>
      <c r="F24" s="21">
        <v>0</v>
      </c>
      <c r="G24" s="18">
        <v>0</v>
      </c>
      <c r="H24" s="14" t="s">
        <v>12</v>
      </c>
    </row>
    <row r="25" spans="1:8" x14ac:dyDescent="0.2">
      <c r="A25" s="15"/>
      <c r="B25" s="15"/>
      <c r="C25" s="19"/>
      <c r="D25" s="15"/>
      <c r="E25" s="15"/>
      <c r="F25" s="20"/>
      <c r="G25" s="20"/>
      <c r="H25" s="14" t="s">
        <v>12</v>
      </c>
    </row>
    <row r="26" spans="1:8" x14ac:dyDescent="0.2">
      <c r="A26" s="15"/>
      <c r="B26" s="15"/>
      <c r="C26" s="16" t="s">
        <v>20</v>
      </c>
      <c r="D26" s="15"/>
      <c r="E26" s="15"/>
      <c r="F26" s="20"/>
      <c r="G26" s="20"/>
      <c r="H26" s="14" t="s">
        <v>12</v>
      </c>
    </row>
    <row r="27" spans="1:8" x14ac:dyDescent="0.2">
      <c r="A27" s="15"/>
      <c r="B27" s="15"/>
      <c r="C27" s="16" t="s">
        <v>10</v>
      </c>
      <c r="D27" s="15"/>
      <c r="E27" s="15"/>
      <c r="F27" s="20"/>
      <c r="G27" s="20"/>
      <c r="H27" s="14" t="s">
        <v>12</v>
      </c>
    </row>
    <row r="28" spans="1:8" ht="25.5" x14ac:dyDescent="0.2">
      <c r="A28" s="22">
        <v>1</v>
      </c>
      <c r="B28" s="23" t="s">
        <v>21</v>
      </c>
      <c r="C28" s="23" t="s">
        <v>22</v>
      </c>
      <c r="D28" s="23" t="s">
        <v>23</v>
      </c>
      <c r="E28" s="24">
        <v>5000</v>
      </c>
      <c r="F28" s="25">
        <v>5165.95</v>
      </c>
      <c r="G28" s="26">
        <v>6.4735730000000005E-2</v>
      </c>
      <c r="H28" s="14">
        <v>6.6623999999999999</v>
      </c>
    </row>
    <row r="29" spans="1:8" ht="25.5" x14ac:dyDescent="0.2">
      <c r="A29" s="22">
        <v>2</v>
      </c>
      <c r="B29" s="23" t="s">
        <v>24</v>
      </c>
      <c r="C29" s="23" t="s">
        <v>25</v>
      </c>
      <c r="D29" s="23" t="s">
        <v>26</v>
      </c>
      <c r="E29" s="24">
        <v>4000</v>
      </c>
      <c r="F29" s="25">
        <v>4097.8119999999999</v>
      </c>
      <c r="G29" s="26">
        <v>5.1350640000000003E-2</v>
      </c>
      <c r="H29" s="14">
        <v>6.65</v>
      </c>
    </row>
    <row r="30" spans="1:8" x14ac:dyDescent="0.2">
      <c r="A30" s="22">
        <v>3</v>
      </c>
      <c r="B30" s="23" t="s">
        <v>27</v>
      </c>
      <c r="C30" s="23" t="s">
        <v>28</v>
      </c>
      <c r="D30" s="23" t="s">
        <v>23</v>
      </c>
      <c r="E30" s="24">
        <v>4000</v>
      </c>
      <c r="F30" s="25">
        <v>4029.136</v>
      </c>
      <c r="G30" s="26">
        <v>5.0490050000000002E-2</v>
      </c>
      <c r="H30" s="14">
        <v>6.42</v>
      </c>
    </row>
    <row r="31" spans="1:8" x14ac:dyDescent="0.2">
      <c r="A31" s="22">
        <v>4</v>
      </c>
      <c r="B31" s="23" t="s">
        <v>29</v>
      </c>
      <c r="C31" s="23" t="s">
        <v>30</v>
      </c>
      <c r="D31" s="23" t="s">
        <v>23</v>
      </c>
      <c r="E31" s="24">
        <v>300</v>
      </c>
      <c r="F31" s="25">
        <v>3063.7979999999998</v>
      </c>
      <c r="G31" s="26">
        <v>3.8393169999999997E-2</v>
      </c>
      <c r="H31" s="14">
        <v>6.82</v>
      </c>
    </row>
    <row r="32" spans="1:8" ht="25.5" x14ac:dyDescent="0.2">
      <c r="A32" s="22">
        <v>5</v>
      </c>
      <c r="B32" s="23" t="s">
        <v>31</v>
      </c>
      <c r="C32" s="23" t="s">
        <v>32</v>
      </c>
      <c r="D32" s="23" t="s">
        <v>26</v>
      </c>
      <c r="E32" s="24">
        <v>2500</v>
      </c>
      <c r="F32" s="25">
        <v>2578.2024999999999</v>
      </c>
      <c r="G32" s="26">
        <v>3.230806E-2</v>
      </c>
      <c r="H32" s="14">
        <v>6.77</v>
      </c>
    </row>
    <row r="33" spans="1:8" x14ac:dyDescent="0.2">
      <c r="A33" s="22">
        <v>6</v>
      </c>
      <c r="B33" s="23" t="s">
        <v>33</v>
      </c>
      <c r="C33" s="23" t="s">
        <v>34</v>
      </c>
      <c r="D33" s="23" t="s">
        <v>26</v>
      </c>
      <c r="E33" s="24">
        <v>2500</v>
      </c>
      <c r="F33" s="25">
        <v>2568.6999999999998</v>
      </c>
      <c r="G33" s="26">
        <v>3.2188979999999999E-2</v>
      </c>
      <c r="H33" s="14">
        <v>7.1717000000000004</v>
      </c>
    </row>
    <row r="34" spans="1:8" ht="25.5" x14ac:dyDescent="0.2">
      <c r="A34" s="22">
        <v>7</v>
      </c>
      <c r="B34" s="23" t="s">
        <v>35</v>
      </c>
      <c r="C34" s="23" t="s">
        <v>36</v>
      </c>
      <c r="D34" s="23" t="s">
        <v>23</v>
      </c>
      <c r="E34" s="24">
        <v>2500</v>
      </c>
      <c r="F34" s="25">
        <v>2567.64</v>
      </c>
      <c r="G34" s="26">
        <v>3.2175700000000002E-2</v>
      </c>
      <c r="H34" s="14">
        <v>6.77</v>
      </c>
    </row>
    <row r="35" spans="1:8" x14ac:dyDescent="0.2">
      <c r="A35" s="22">
        <v>8</v>
      </c>
      <c r="B35" s="23" t="s">
        <v>37</v>
      </c>
      <c r="C35" s="23" t="s">
        <v>38</v>
      </c>
      <c r="D35" s="23" t="s">
        <v>26</v>
      </c>
      <c r="E35" s="24">
        <v>2500</v>
      </c>
      <c r="F35" s="25">
        <v>2552.9375</v>
      </c>
      <c r="G35" s="26">
        <v>3.1991459999999999E-2</v>
      </c>
      <c r="H35" s="14">
        <v>6.6294000000000004</v>
      </c>
    </row>
    <row r="36" spans="1:8" x14ac:dyDescent="0.2">
      <c r="A36" s="22">
        <v>9</v>
      </c>
      <c r="B36" s="23" t="s">
        <v>39</v>
      </c>
      <c r="C36" s="23" t="s">
        <v>40</v>
      </c>
      <c r="D36" s="23" t="s">
        <v>23</v>
      </c>
      <c r="E36" s="24">
        <v>2500</v>
      </c>
      <c r="F36" s="25">
        <v>2551.665</v>
      </c>
      <c r="G36" s="26">
        <v>3.1975509999999999E-2</v>
      </c>
      <c r="H36" s="14">
        <v>6.9749999999999996</v>
      </c>
    </row>
    <row r="37" spans="1:8" ht="25.5" x14ac:dyDescent="0.2">
      <c r="A37" s="22">
        <v>10</v>
      </c>
      <c r="B37" s="23" t="s">
        <v>41</v>
      </c>
      <c r="C37" s="23" t="s">
        <v>42</v>
      </c>
      <c r="D37" s="23" t="s">
        <v>26</v>
      </c>
      <c r="E37" s="24">
        <v>2500</v>
      </c>
      <c r="F37" s="25">
        <v>2523.2150000000001</v>
      </c>
      <c r="G37" s="26">
        <v>3.1619000000000001E-2</v>
      </c>
      <c r="H37" s="14">
        <v>6.41</v>
      </c>
    </row>
    <row r="38" spans="1:8" x14ac:dyDescent="0.2">
      <c r="A38" s="22">
        <v>11</v>
      </c>
      <c r="B38" s="23" t="s">
        <v>43</v>
      </c>
      <c r="C38" s="23" t="s">
        <v>44</v>
      </c>
      <c r="D38" s="23" t="s">
        <v>23</v>
      </c>
      <c r="E38" s="24">
        <v>2500</v>
      </c>
      <c r="F38" s="25">
        <v>2518.7075</v>
      </c>
      <c r="G38" s="26">
        <v>3.1562510000000002E-2</v>
      </c>
      <c r="H38" s="14">
        <v>7.07</v>
      </c>
    </row>
    <row r="39" spans="1:8" x14ac:dyDescent="0.2">
      <c r="A39" s="22">
        <v>12</v>
      </c>
      <c r="B39" s="23" t="s">
        <v>45</v>
      </c>
      <c r="C39" s="23" t="s">
        <v>46</v>
      </c>
      <c r="D39" s="23" t="s">
        <v>26</v>
      </c>
      <c r="E39" s="24">
        <v>2500</v>
      </c>
      <c r="F39" s="25">
        <v>2495.1849999999999</v>
      </c>
      <c r="G39" s="26">
        <v>3.1267749999999997E-2</v>
      </c>
      <c r="H39" s="14">
        <v>6.5012999999999996</v>
      </c>
    </row>
    <row r="40" spans="1:8" x14ac:dyDescent="0.2">
      <c r="A40" s="22">
        <v>13</v>
      </c>
      <c r="B40" s="23" t="s">
        <v>47</v>
      </c>
      <c r="C40" s="23" t="s">
        <v>48</v>
      </c>
      <c r="D40" s="23" t="s">
        <v>26</v>
      </c>
      <c r="E40" s="24">
        <v>2000</v>
      </c>
      <c r="F40" s="25">
        <v>2053.2919999999999</v>
      </c>
      <c r="G40" s="26">
        <v>2.5730280000000001E-2</v>
      </c>
      <c r="H40" s="14">
        <v>6.75</v>
      </c>
    </row>
    <row r="41" spans="1:8" x14ac:dyDescent="0.2">
      <c r="A41" s="22">
        <v>14</v>
      </c>
      <c r="B41" s="23" t="s">
        <v>49</v>
      </c>
      <c r="C41" s="23" t="s">
        <v>50</v>
      </c>
      <c r="D41" s="23" t="s">
        <v>23</v>
      </c>
      <c r="E41" s="24">
        <v>2000</v>
      </c>
      <c r="F41" s="25">
        <v>2047.818</v>
      </c>
      <c r="G41" s="26">
        <v>2.5661690000000001E-2</v>
      </c>
      <c r="H41" s="14">
        <v>7.42</v>
      </c>
    </row>
    <row r="42" spans="1:8" x14ac:dyDescent="0.2">
      <c r="A42" s="22">
        <v>15</v>
      </c>
      <c r="B42" s="23" t="s">
        <v>51</v>
      </c>
      <c r="C42" s="23" t="s">
        <v>52</v>
      </c>
      <c r="D42" s="23" t="s">
        <v>26</v>
      </c>
      <c r="E42" s="24">
        <v>200</v>
      </c>
      <c r="F42" s="25">
        <v>2041.2439999999999</v>
      </c>
      <c r="G42" s="26">
        <v>2.5579310000000001E-2</v>
      </c>
      <c r="H42" s="14">
        <v>6.43</v>
      </c>
    </row>
    <row r="43" spans="1:8" x14ac:dyDescent="0.2">
      <c r="A43" s="22">
        <v>16</v>
      </c>
      <c r="B43" s="23" t="s">
        <v>53</v>
      </c>
      <c r="C43" s="23" t="s">
        <v>54</v>
      </c>
      <c r="D43" s="23" t="s">
        <v>23</v>
      </c>
      <c r="E43" s="24">
        <v>2000</v>
      </c>
      <c r="F43" s="25">
        <v>2017.45</v>
      </c>
      <c r="G43" s="26">
        <v>2.5281140000000001E-2</v>
      </c>
      <c r="H43" s="14">
        <v>6.42</v>
      </c>
    </row>
    <row r="44" spans="1:8" x14ac:dyDescent="0.2">
      <c r="A44" s="22">
        <v>17</v>
      </c>
      <c r="B44" s="23" t="s">
        <v>55</v>
      </c>
      <c r="C44" s="23" t="s">
        <v>56</v>
      </c>
      <c r="D44" s="23" t="s">
        <v>23</v>
      </c>
      <c r="E44" s="24">
        <v>2000</v>
      </c>
      <c r="F44" s="25">
        <v>2012.4179999999999</v>
      </c>
      <c r="G44" s="26">
        <v>2.521808E-2</v>
      </c>
      <c r="H44" s="14">
        <v>7.09</v>
      </c>
    </row>
    <row r="45" spans="1:8" ht="25.5" x14ac:dyDescent="0.2">
      <c r="A45" s="22">
        <v>18</v>
      </c>
      <c r="B45" s="23" t="s">
        <v>57</v>
      </c>
      <c r="C45" s="23" t="s">
        <v>58</v>
      </c>
      <c r="D45" s="23" t="s">
        <v>23</v>
      </c>
      <c r="E45" s="24">
        <v>1500</v>
      </c>
      <c r="F45" s="25">
        <v>1532.2860000000001</v>
      </c>
      <c r="G45" s="26">
        <v>1.9201429999999998E-2</v>
      </c>
      <c r="H45" s="14">
        <v>6.6950000000000003</v>
      </c>
    </row>
    <row r="46" spans="1:8" x14ac:dyDescent="0.2">
      <c r="A46" s="22">
        <v>19</v>
      </c>
      <c r="B46" s="23" t="s">
        <v>59</v>
      </c>
      <c r="C46" s="23" t="s">
        <v>60</v>
      </c>
      <c r="D46" s="23" t="s">
        <v>26</v>
      </c>
      <c r="E46" s="24">
        <v>1500</v>
      </c>
      <c r="F46" s="25">
        <v>1521.0450000000001</v>
      </c>
      <c r="G46" s="26">
        <v>1.9060569999999999E-2</v>
      </c>
      <c r="H46" s="14">
        <v>6.45</v>
      </c>
    </row>
    <row r="47" spans="1:8" ht="25.5" x14ac:dyDescent="0.2">
      <c r="A47" s="22">
        <v>20</v>
      </c>
      <c r="B47" s="23" t="s">
        <v>61</v>
      </c>
      <c r="C47" s="23" t="s">
        <v>62</v>
      </c>
      <c r="D47" s="23" t="s">
        <v>26</v>
      </c>
      <c r="E47" s="24">
        <v>150</v>
      </c>
      <c r="F47" s="25">
        <v>1512.69</v>
      </c>
      <c r="G47" s="26">
        <v>1.895587E-2</v>
      </c>
      <c r="H47" s="14">
        <v>6.5549999999999997</v>
      </c>
    </row>
    <row r="48" spans="1:8" ht="25.5" x14ac:dyDescent="0.2">
      <c r="A48" s="22">
        <v>21</v>
      </c>
      <c r="B48" s="23" t="s">
        <v>63</v>
      </c>
      <c r="C48" s="23" t="s">
        <v>64</v>
      </c>
      <c r="D48" s="23" t="s">
        <v>26</v>
      </c>
      <c r="E48" s="24">
        <v>1500</v>
      </c>
      <c r="F48" s="25">
        <v>1503.732</v>
      </c>
      <c r="G48" s="26">
        <v>1.8843619999999998E-2</v>
      </c>
      <c r="H48" s="14">
        <v>6.9</v>
      </c>
    </row>
    <row r="49" spans="1:8" x14ac:dyDescent="0.2">
      <c r="A49" s="22">
        <v>22</v>
      </c>
      <c r="B49" s="23" t="s">
        <v>65</v>
      </c>
      <c r="C49" s="23" t="s">
        <v>66</v>
      </c>
      <c r="D49" s="23" t="s">
        <v>23</v>
      </c>
      <c r="E49" s="24">
        <v>1400</v>
      </c>
      <c r="F49" s="25">
        <v>1407.8918000000001</v>
      </c>
      <c r="G49" s="26">
        <v>1.7642620000000001E-2</v>
      </c>
      <c r="H49" s="14">
        <v>7.165</v>
      </c>
    </row>
    <row r="50" spans="1:8" ht="25.5" x14ac:dyDescent="0.2">
      <c r="A50" s="22">
        <v>23</v>
      </c>
      <c r="B50" s="23" t="s">
        <v>67</v>
      </c>
      <c r="C50" s="23" t="s">
        <v>68</v>
      </c>
      <c r="D50" s="23" t="s">
        <v>26</v>
      </c>
      <c r="E50" s="24">
        <v>1300</v>
      </c>
      <c r="F50" s="25">
        <v>1297.1478</v>
      </c>
      <c r="G50" s="26">
        <v>1.6254859999999999E-2</v>
      </c>
      <c r="H50" s="14">
        <v>6.69</v>
      </c>
    </row>
    <row r="51" spans="1:8" x14ac:dyDescent="0.2">
      <c r="A51" s="22">
        <v>24</v>
      </c>
      <c r="B51" s="23" t="s">
        <v>69</v>
      </c>
      <c r="C51" s="23" t="s">
        <v>70</v>
      </c>
      <c r="D51" s="23" t="s">
        <v>23</v>
      </c>
      <c r="E51" s="24">
        <v>100</v>
      </c>
      <c r="F51" s="25">
        <v>1024.5</v>
      </c>
      <c r="G51" s="26">
        <v>1.2838250000000001E-2</v>
      </c>
      <c r="H51" s="14">
        <v>6.82</v>
      </c>
    </row>
    <row r="52" spans="1:8" x14ac:dyDescent="0.2">
      <c r="A52" s="22">
        <v>25</v>
      </c>
      <c r="B52" s="23" t="s">
        <v>71</v>
      </c>
      <c r="C52" s="23" t="s">
        <v>72</v>
      </c>
      <c r="D52" s="23" t="s">
        <v>23</v>
      </c>
      <c r="E52" s="24">
        <v>1000</v>
      </c>
      <c r="F52" s="25">
        <v>1016.825</v>
      </c>
      <c r="G52" s="26">
        <v>1.2742069999999999E-2</v>
      </c>
      <c r="H52" s="14">
        <v>7.1</v>
      </c>
    </row>
    <row r="53" spans="1:8" ht="25.5" x14ac:dyDescent="0.2">
      <c r="A53" s="22">
        <v>26</v>
      </c>
      <c r="B53" s="23" t="s">
        <v>73</v>
      </c>
      <c r="C53" s="23" t="s">
        <v>74</v>
      </c>
      <c r="D53" s="23" t="s">
        <v>23</v>
      </c>
      <c r="E53" s="24">
        <v>1000</v>
      </c>
      <c r="F53" s="25">
        <v>1009.043</v>
      </c>
      <c r="G53" s="26">
        <v>1.2644549999999999E-2</v>
      </c>
      <c r="H53" s="14">
        <v>6.52</v>
      </c>
    </row>
    <row r="54" spans="1:8" x14ac:dyDescent="0.2">
      <c r="A54" s="22">
        <v>27</v>
      </c>
      <c r="B54" s="23" t="s">
        <v>75</v>
      </c>
      <c r="C54" s="23" t="s">
        <v>76</v>
      </c>
      <c r="D54" s="23" t="s">
        <v>23</v>
      </c>
      <c r="E54" s="24">
        <v>500</v>
      </c>
      <c r="F54" s="25">
        <v>513.02700000000004</v>
      </c>
      <c r="G54" s="26">
        <v>6.4288599999999998E-3</v>
      </c>
      <c r="H54" s="14">
        <v>7.4349999999999996</v>
      </c>
    </row>
    <row r="55" spans="1:8" ht="25.5" x14ac:dyDescent="0.2">
      <c r="A55" s="22">
        <v>28</v>
      </c>
      <c r="B55" s="23" t="s">
        <v>77</v>
      </c>
      <c r="C55" s="23" t="s">
        <v>78</v>
      </c>
      <c r="D55" s="23" t="s">
        <v>23</v>
      </c>
      <c r="E55" s="24">
        <v>500</v>
      </c>
      <c r="F55" s="25">
        <v>509.97500000000002</v>
      </c>
      <c r="G55" s="26">
        <v>6.3906199999999996E-3</v>
      </c>
      <c r="H55" s="14">
        <v>6.5925000000000002</v>
      </c>
    </row>
    <row r="56" spans="1:8" x14ac:dyDescent="0.2">
      <c r="A56" s="15"/>
      <c r="B56" s="15"/>
      <c r="C56" s="16" t="s">
        <v>11</v>
      </c>
      <c r="D56" s="15"/>
      <c r="E56" s="15" t="s">
        <v>12</v>
      </c>
      <c r="F56" s="21">
        <v>59733.333100000003</v>
      </c>
      <c r="G56" s="18">
        <v>0.74853238</v>
      </c>
      <c r="H56" s="14" t="s">
        <v>12</v>
      </c>
    </row>
    <row r="57" spans="1:8" x14ac:dyDescent="0.2">
      <c r="A57" s="15"/>
      <c r="B57" s="15"/>
      <c r="C57" s="19"/>
      <c r="D57" s="15"/>
      <c r="E57" s="15"/>
      <c r="F57" s="20"/>
      <c r="G57" s="20"/>
      <c r="H57" s="14" t="s">
        <v>12</v>
      </c>
    </row>
    <row r="58" spans="1:8" x14ac:dyDescent="0.2">
      <c r="A58" s="15"/>
      <c r="B58" s="15"/>
      <c r="C58" s="16" t="s">
        <v>79</v>
      </c>
      <c r="D58" s="15"/>
      <c r="E58" s="15"/>
      <c r="F58" s="15"/>
      <c r="G58" s="15"/>
      <c r="H58" s="14" t="s">
        <v>12</v>
      </c>
    </row>
    <row r="59" spans="1:8" x14ac:dyDescent="0.2">
      <c r="A59" s="15"/>
      <c r="B59" s="15"/>
      <c r="C59" s="16" t="s">
        <v>11</v>
      </c>
      <c r="D59" s="15"/>
      <c r="E59" s="15" t="s">
        <v>12</v>
      </c>
      <c r="F59" s="17" t="s">
        <v>13</v>
      </c>
      <c r="G59" s="18">
        <v>0</v>
      </c>
      <c r="H59" s="14" t="s">
        <v>12</v>
      </c>
    </row>
    <row r="60" spans="1:8" x14ac:dyDescent="0.2">
      <c r="A60" s="15"/>
      <c r="B60" s="15"/>
      <c r="C60" s="19"/>
      <c r="D60" s="15"/>
      <c r="E60" s="15"/>
      <c r="F60" s="20"/>
      <c r="G60" s="20"/>
      <c r="H60" s="14" t="s">
        <v>12</v>
      </c>
    </row>
    <row r="61" spans="1:8" x14ac:dyDescent="0.2">
      <c r="A61" s="15"/>
      <c r="B61" s="15"/>
      <c r="C61" s="16" t="s">
        <v>80</v>
      </c>
      <c r="D61" s="15"/>
      <c r="E61" s="15"/>
      <c r="F61" s="15"/>
      <c r="G61" s="15"/>
      <c r="H61" s="14" t="s">
        <v>12</v>
      </c>
    </row>
    <row r="62" spans="1:8" x14ac:dyDescent="0.2">
      <c r="A62" s="22">
        <v>1</v>
      </c>
      <c r="B62" s="23" t="s">
        <v>81</v>
      </c>
      <c r="C62" s="23" t="s">
        <v>82</v>
      </c>
      <c r="D62" s="23" t="s">
        <v>83</v>
      </c>
      <c r="E62" s="24">
        <v>2500000</v>
      </c>
      <c r="F62" s="25">
        <v>2563.0675000000001</v>
      </c>
      <c r="G62" s="26">
        <v>3.2118399999999998E-2</v>
      </c>
      <c r="H62" s="14">
        <v>6.5233999999999996</v>
      </c>
    </row>
    <row r="63" spans="1:8" x14ac:dyDescent="0.2">
      <c r="A63" s="22">
        <v>2</v>
      </c>
      <c r="B63" s="23" t="s">
        <v>84</v>
      </c>
      <c r="C63" s="23" t="s">
        <v>85</v>
      </c>
      <c r="D63" s="23" t="s">
        <v>83</v>
      </c>
      <c r="E63" s="24">
        <v>2500000</v>
      </c>
      <c r="F63" s="25">
        <v>2491.4650000000001</v>
      </c>
      <c r="G63" s="26">
        <v>3.122113E-2</v>
      </c>
      <c r="H63" s="14">
        <v>6.4774000000000003</v>
      </c>
    </row>
    <row r="64" spans="1:8" x14ac:dyDescent="0.2">
      <c r="A64" s="22">
        <v>3</v>
      </c>
      <c r="B64" s="23" t="s">
        <v>86</v>
      </c>
      <c r="C64" s="23" t="s">
        <v>87</v>
      </c>
      <c r="D64" s="23" t="s">
        <v>83</v>
      </c>
      <c r="E64" s="24">
        <v>2000000</v>
      </c>
      <c r="F64" s="25">
        <v>2107.502</v>
      </c>
      <c r="G64" s="26">
        <v>2.6409599999999998E-2</v>
      </c>
      <c r="H64" s="14">
        <v>6.2046000000000001</v>
      </c>
    </row>
    <row r="65" spans="1:8" ht="25.5" x14ac:dyDescent="0.2">
      <c r="A65" s="22">
        <v>4</v>
      </c>
      <c r="B65" s="23" t="s">
        <v>88</v>
      </c>
      <c r="C65" s="23" t="s">
        <v>89</v>
      </c>
      <c r="D65" s="23" t="s">
        <v>83</v>
      </c>
      <c r="E65" s="24">
        <v>1500000</v>
      </c>
      <c r="F65" s="25">
        <v>1539.1575</v>
      </c>
      <c r="G65" s="26">
        <v>1.9287539999999999E-2</v>
      </c>
      <c r="H65" s="14">
        <v>6.1737000000000002</v>
      </c>
    </row>
    <row r="66" spans="1:8" x14ac:dyDescent="0.2">
      <c r="A66" s="22">
        <v>5</v>
      </c>
      <c r="B66" s="23" t="s">
        <v>90</v>
      </c>
      <c r="C66" s="23" t="s">
        <v>91</v>
      </c>
      <c r="D66" s="23" t="s">
        <v>83</v>
      </c>
      <c r="E66" s="24">
        <v>1000000</v>
      </c>
      <c r="F66" s="25">
        <v>1031.0540000000001</v>
      </c>
      <c r="G66" s="26">
        <v>1.292038E-2</v>
      </c>
      <c r="H66" s="14">
        <v>7.1672000000000002</v>
      </c>
    </row>
    <row r="67" spans="1:8" x14ac:dyDescent="0.2">
      <c r="A67" s="22">
        <v>6</v>
      </c>
      <c r="B67" s="23" t="s">
        <v>92</v>
      </c>
      <c r="C67" s="23" t="s">
        <v>93</v>
      </c>
      <c r="D67" s="23" t="s">
        <v>83</v>
      </c>
      <c r="E67" s="24">
        <v>500000</v>
      </c>
      <c r="F67" s="25">
        <v>522.00099999999998</v>
      </c>
      <c r="G67" s="26">
        <v>6.5413199999999998E-3</v>
      </c>
      <c r="H67" s="14">
        <v>6.7516999999999996</v>
      </c>
    </row>
    <row r="68" spans="1:8" x14ac:dyDescent="0.2">
      <c r="A68" s="22">
        <v>7</v>
      </c>
      <c r="B68" s="23" t="s">
        <v>94</v>
      </c>
      <c r="C68" s="23" t="s">
        <v>95</v>
      </c>
      <c r="D68" s="23" t="s">
        <v>83</v>
      </c>
      <c r="E68" s="24">
        <v>500000</v>
      </c>
      <c r="F68" s="25">
        <v>521.33349999999996</v>
      </c>
      <c r="G68" s="26">
        <v>6.53295E-3</v>
      </c>
      <c r="H68" s="14">
        <v>5.9813999999999998</v>
      </c>
    </row>
    <row r="69" spans="1:8" x14ac:dyDescent="0.2">
      <c r="A69" s="22">
        <v>8</v>
      </c>
      <c r="B69" s="23" t="s">
        <v>96</v>
      </c>
      <c r="C69" s="23" t="s">
        <v>97</v>
      </c>
      <c r="D69" s="23" t="s">
        <v>83</v>
      </c>
      <c r="E69" s="24">
        <v>500000</v>
      </c>
      <c r="F69" s="25">
        <v>487.92849999999999</v>
      </c>
      <c r="G69" s="26">
        <v>6.1143500000000002E-3</v>
      </c>
      <c r="H69" s="14">
        <v>7.2068000000000003</v>
      </c>
    </row>
    <row r="70" spans="1:8" x14ac:dyDescent="0.2">
      <c r="A70" s="15"/>
      <c r="B70" s="15"/>
      <c r="C70" s="16" t="s">
        <v>11</v>
      </c>
      <c r="D70" s="15"/>
      <c r="E70" s="15" t="s">
        <v>12</v>
      </c>
      <c r="F70" s="21">
        <v>11263.509</v>
      </c>
      <c r="G70" s="18">
        <v>0.14114567</v>
      </c>
      <c r="H70" s="14" t="s">
        <v>12</v>
      </c>
    </row>
    <row r="71" spans="1:8" x14ac:dyDescent="0.2">
      <c r="A71" s="15"/>
      <c r="B71" s="15"/>
      <c r="C71" s="19"/>
      <c r="D71" s="15"/>
      <c r="E71" s="15"/>
      <c r="F71" s="20"/>
      <c r="G71" s="20"/>
      <c r="H71" s="14" t="s">
        <v>12</v>
      </c>
    </row>
    <row r="72" spans="1:8" x14ac:dyDescent="0.2">
      <c r="A72" s="15"/>
      <c r="B72" s="15"/>
      <c r="C72" s="16" t="s">
        <v>98</v>
      </c>
      <c r="D72" s="15"/>
      <c r="E72" s="15"/>
      <c r="F72" s="20"/>
      <c r="G72" s="20"/>
      <c r="H72" s="14" t="s">
        <v>12</v>
      </c>
    </row>
    <row r="73" spans="1:8" x14ac:dyDescent="0.2">
      <c r="A73" s="15"/>
      <c r="B73" s="15"/>
      <c r="C73" s="16" t="s">
        <v>11</v>
      </c>
      <c r="D73" s="15"/>
      <c r="E73" s="15" t="s">
        <v>12</v>
      </c>
      <c r="F73" s="17" t="s">
        <v>13</v>
      </c>
      <c r="G73" s="18">
        <v>0</v>
      </c>
      <c r="H73" s="14" t="s">
        <v>12</v>
      </c>
    </row>
    <row r="74" spans="1:8" x14ac:dyDescent="0.2">
      <c r="A74" s="15"/>
      <c r="B74" s="15"/>
      <c r="C74" s="19"/>
      <c r="D74" s="15"/>
      <c r="E74" s="15"/>
      <c r="F74" s="20"/>
      <c r="G74" s="20"/>
      <c r="H74" s="14" t="s">
        <v>12</v>
      </c>
    </row>
    <row r="75" spans="1:8" x14ac:dyDescent="0.2">
      <c r="A75" s="15"/>
      <c r="B75" s="15"/>
      <c r="C75" s="16" t="s">
        <v>99</v>
      </c>
      <c r="D75" s="15"/>
      <c r="E75" s="15"/>
      <c r="F75" s="21">
        <v>70996.842099999994</v>
      </c>
      <c r="G75" s="18">
        <v>0.88967805</v>
      </c>
      <c r="H75" s="14" t="s">
        <v>12</v>
      </c>
    </row>
    <row r="76" spans="1:8" x14ac:dyDescent="0.2">
      <c r="A76" s="15"/>
      <c r="B76" s="15"/>
      <c r="C76" s="19"/>
      <c r="D76" s="15"/>
      <c r="E76" s="15"/>
      <c r="F76" s="20"/>
      <c r="G76" s="20"/>
      <c r="H76" s="14" t="s">
        <v>12</v>
      </c>
    </row>
    <row r="77" spans="1:8" x14ac:dyDescent="0.2">
      <c r="A77" s="15"/>
      <c r="B77" s="15"/>
      <c r="C77" s="16" t="s">
        <v>100</v>
      </c>
      <c r="D77" s="15"/>
      <c r="E77" s="15"/>
      <c r="F77" s="20"/>
      <c r="G77" s="20"/>
      <c r="H77" s="14" t="s">
        <v>12</v>
      </c>
    </row>
    <row r="78" spans="1:8" x14ac:dyDescent="0.2">
      <c r="A78" s="15"/>
      <c r="B78" s="15"/>
      <c r="C78" s="16" t="s">
        <v>101</v>
      </c>
      <c r="D78" s="15"/>
      <c r="E78" s="15"/>
      <c r="F78" s="20"/>
      <c r="G78" s="20"/>
      <c r="H78" s="14" t="s">
        <v>12</v>
      </c>
    </row>
    <row r="79" spans="1:8" x14ac:dyDescent="0.2">
      <c r="A79" s="22">
        <v>1</v>
      </c>
      <c r="B79" s="23" t="s">
        <v>102</v>
      </c>
      <c r="C79" s="23" t="s">
        <v>103</v>
      </c>
      <c r="D79" s="23" t="s">
        <v>104</v>
      </c>
      <c r="E79" s="24">
        <v>500</v>
      </c>
      <c r="F79" s="25">
        <v>2444.8975</v>
      </c>
      <c r="G79" s="26">
        <v>3.0637580000000001E-2</v>
      </c>
      <c r="H79" s="14">
        <v>5.9181999999999997</v>
      </c>
    </row>
    <row r="80" spans="1:8" x14ac:dyDescent="0.2">
      <c r="A80" s="22">
        <v>2</v>
      </c>
      <c r="B80" s="23" t="s">
        <v>105</v>
      </c>
      <c r="C80" s="23" t="s">
        <v>106</v>
      </c>
      <c r="D80" s="23" t="s">
        <v>107</v>
      </c>
      <c r="E80" s="24">
        <v>200</v>
      </c>
      <c r="F80" s="25">
        <v>980.12900000000002</v>
      </c>
      <c r="G80" s="26">
        <v>1.228223E-2</v>
      </c>
      <c r="H80" s="14">
        <v>5.92</v>
      </c>
    </row>
    <row r="81" spans="1:8" x14ac:dyDescent="0.2">
      <c r="A81" s="15"/>
      <c r="B81" s="15"/>
      <c r="C81" s="16" t="s">
        <v>11</v>
      </c>
      <c r="D81" s="15"/>
      <c r="E81" s="15" t="s">
        <v>12</v>
      </c>
      <c r="F81" s="21">
        <v>3425.0264999999999</v>
      </c>
      <c r="G81" s="18">
        <v>4.2919810000000003E-2</v>
      </c>
      <c r="H81" s="14" t="s">
        <v>12</v>
      </c>
    </row>
    <row r="82" spans="1:8" x14ac:dyDescent="0.2">
      <c r="A82" s="15"/>
      <c r="B82" s="15"/>
      <c r="C82" s="19"/>
      <c r="D82" s="15"/>
      <c r="E82" s="15"/>
      <c r="F82" s="20"/>
      <c r="G82" s="20"/>
      <c r="H82" s="14" t="s">
        <v>12</v>
      </c>
    </row>
    <row r="83" spans="1:8" x14ac:dyDescent="0.2">
      <c r="A83" s="15"/>
      <c r="B83" s="15"/>
      <c r="C83" s="16" t="s">
        <v>108</v>
      </c>
      <c r="D83" s="15"/>
      <c r="E83" s="15"/>
      <c r="F83" s="20"/>
      <c r="G83" s="20"/>
      <c r="H83" s="14" t="s">
        <v>12</v>
      </c>
    </row>
    <row r="84" spans="1:8" x14ac:dyDescent="0.2">
      <c r="A84" s="15"/>
      <c r="B84" s="15"/>
      <c r="C84" s="16" t="s">
        <v>11</v>
      </c>
      <c r="D84" s="15"/>
      <c r="E84" s="15" t="s">
        <v>12</v>
      </c>
      <c r="F84" s="17" t="s">
        <v>13</v>
      </c>
      <c r="G84" s="18">
        <v>0</v>
      </c>
      <c r="H84" s="14" t="s">
        <v>12</v>
      </c>
    </row>
    <row r="85" spans="1:8" x14ac:dyDescent="0.2">
      <c r="A85" s="15"/>
      <c r="B85" s="15"/>
      <c r="C85" s="19"/>
      <c r="D85" s="15"/>
      <c r="E85" s="15"/>
      <c r="F85" s="20"/>
      <c r="G85" s="20"/>
      <c r="H85" s="14" t="s">
        <v>12</v>
      </c>
    </row>
    <row r="86" spans="1:8" x14ac:dyDescent="0.2">
      <c r="A86" s="15"/>
      <c r="B86" s="15"/>
      <c r="C86" s="16" t="s">
        <v>109</v>
      </c>
      <c r="D86" s="15"/>
      <c r="E86" s="15"/>
      <c r="F86" s="20"/>
      <c r="G86" s="20"/>
      <c r="H86" s="14" t="s">
        <v>12</v>
      </c>
    </row>
    <row r="87" spans="1:8" x14ac:dyDescent="0.2">
      <c r="A87" s="15"/>
      <c r="B87" s="15"/>
      <c r="C87" s="16" t="s">
        <v>11</v>
      </c>
      <c r="D87" s="15"/>
      <c r="E87" s="15" t="s">
        <v>12</v>
      </c>
      <c r="F87" s="17" t="s">
        <v>13</v>
      </c>
      <c r="G87" s="18">
        <v>0</v>
      </c>
      <c r="H87" s="14" t="s">
        <v>12</v>
      </c>
    </row>
    <row r="88" spans="1:8" x14ac:dyDescent="0.2">
      <c r="A88" s="15"/>
      <c r="B88" s="15"/>
      <c r="C88" s="19"/>
      <c r="D88" s="15"/>
      <c r="E88" s="15"/>
      <c r="F88" s="20"/>
      <c r="G88" s="20"/>
      <c r="H88" s="14" t="s">
        <v>12</v>
      </c>
    </row>
    <row r="89" spans="1:8" x14ac:dyDescent="0.2">
      <c r="A89" s="15"/>
      <c r="B89" s="15"/>
      <c r="C89" s="16" t="s">
        <v>110</v>
      </c>
      <c r="D89" s="15"/>
      <c r="E89" s="15"/>
      <c r="F89" s="20"/>
      <c r="G89" s="20"/>
      <c r="H89" s="14" t="s">
        <v>12</v>
      </c>
    </row>
    <row r="90" spans="1:8" x14ac:dyDescent="0.2">
      <c r="A90" s="22">
        <v>1</v>
      </c>
      <c r="B90" s="23"/>
      <c r="C90" s="23" t="s">
        <v>111</v>
      </c>
      <c r="D90" s="23"/>
      <c r="E90" s="27"/>
      <c r="F90" s="25">
        <v>2278.7301789899998</v>
      </c>
      <c r="G90" s="26">
        <v>2.8555299999999999E-2</v>
      </c>
      <c r="H90" s="14">
        <v>5.41</v>
      </c>
    </row>
    <row r="91" spans="1:8" x14ac:dyDescent="0.2">
      <c r="A91" s="15"/>
      <c r="B91" s="15"/>
      <c r="C91" s="16" t="s">
        <v>11</v>
      </c>
      <c r="D91" s="15"/>
      <c r="E91" s="15" t="s">
        <v>12</v>
      </c>
      <c r="F91" s="21">
        <v>2278.7301789899998</v>
      </c>
      <c r="G91" s="18">
        <v>2.8555299999999999E-2</v>
      </c>
      <c r="H91" s="14" t="s">
        <v>12</v>
      </c>
    </row>
    <row r="92" spans="1:8" x14ac:dyDescent="0.2">
      <c r="A92" s="15"/>
      <c r="B92" s="15"/>
      <c r="C92" s="19"/>
      <c r="D92" s="15"/>
      <c r="E92" s="15"/>
      <c r="F92" s="20"/>
      <c r="G92" s="20"/>
      <c r="H92" s="14" t="s">
        <v>12</v>
      </c>
    </row>
    <row r="93" spans="1:8" x14ac:dyDescent="0.2">
      <c r="A93" s="15"/>
      <c r="B93" s="15"/>
      <c r="C93" s="16" t="s">
        <v>112</v>
      </c>
      <c r="D93" s="15"/>
      <c r="E93" s="15"/>
      <c r="F93" s="21">
        <v>5703.7566789900002</v>
      </c>
      <c r="G93" s="18">
        <v>7.1475109999999994E-2</v>
      </c>
      <c r="H93" s="14" t="s">
        <v>12</v>
      </c>
    </row>
    <row r="94" spans="1:8" x14ac:dyDescent="0.2">
      <c r="A94" s="15"/>
      <c r="B94" s="15"/>
      <c r="C94" s="20"/>
      <c r="D94" s="15"/>
      <c r="E94" s="15"/>
      <c r="F94" s="15"/>
      <c r="G94" s="15"/>
      <c r="H94" s="14" t="s">
        <v>12</v>
      </c>
    </row>
    <row r="95" spans="1:8" x14ac:dyDescent="0.2">
      <c r="A95" s="15"/>
      <c r="B95" s="15"/>
      <c r="C95" s="16" t="s">
        <v>113</v>
      </c>
      <c r="D95" s="15"/>
      <c r="E95" s="15"/>
      <c r="F95" s="15"/>
      <c r="G95" s="15"/>
      <c r="H95" s="14" t="s">
        <v>12</v>
      </c>
    </row>
    <row r="96" spans="1:8" x14ac:dyDescent="0.2">
      <c r="A96" s="15"/>
      <c r="B96" s="15"/>
      <c r="C96" s="16" t="s">
        <v>114</v>
      </c>
      <c r="D96" s="15"/>
      <c r="E96" s="15"/>
      <c r="F96" s="15"/>
      <c r="G96" s="15"/>
      <c r="H96" s="14" t="s">
        <v>12</v>
      </c>
    </row>
    <row r="97" spans="1:17" x14ac:dyDescent="0.2">
      <c r="A97" s="15"/>
      <c r="B97" s="15"/>
      <c r="C97" s="16" t="s">
        <v>11</v>
      </c>
      <c r="D97" s="15"/>
      <c r="E97" s="15" t="s">
        <v>12</v>
      </c>
      <c r="F97" s="17" t="s">
        <v>13</v>
      </c>
      <c r="G97" s="18">
        <v>0</v>
      </c>
      <c r="H97" s="14" t="s">
        <v>12</v>
      </c>
    </row>
    <row r="98" spans="1:17" x14ac:dyDescent="0.2">
      <c r="A98" s="12"/>
      <c r="B98" s="12"/>
      <c r="C98" s="28"/>
      <c r="D98" s="12"/>
      <c r="E98" s="12"/>
      <c r="F98" s="29"/>
      <c r="G98" s="29"/>
      <c r="H98" s="14" t="s">
        <v>12</v>
      </c>
    </row>
    <row r="99" spans="1:17" x14ac:dyDescent="0.2">
      <c r="A99" s="12"/>
      <c r="B99" s="12"/>
      <c r="C99" s="13" t="s">
        <v>608</v>
      </c>
      <c r="D99" s="12"/>
      <c r="E99" s="12"/>
      <c r="F99" s="29"/>
      <c r="G99" s="29"/>
      <c r="H99" s="14" t="s">
        <v>12</v>
      </c>
      <c r="K99" s="30"/>
      <c r="L99" s="30"/>
      <c r="M99" s="30"/>
      <c r="N99" s="30"/>
      <c r="O99" s="31"/>
      <c r="P99" s="31"/>
      <c r="Q99" s="31"/>
    </row>
    <row r="100" spans="1:17" x14ac:dyDescent="0.2">
      <c r="A100" s="32">
        <v>1</v>
      </c>
      <c r="B100" s="33" t="s">
        <v>115</v>
      </c>
      <c r="C100" s="33" t="s">
        <v>116</v>
      </c>
      <c r="D100" s="33"/>
      <c r="E100" s="34">
        <v>2586.3710000000001</v>
      </c>
      <c r="F100" s="35">
        <v>291.99581831199998</v>
      </c>
      <c r="G100" s="36">
        <v>3.6590699999999999E-3</v>
      </c>
      <c r="H100" s="14"/>
    </row>
    <row r="101" spans="1:17" x14ac:dyDescent="0.2">
      <c r="A101" s="12"/>
      <c r="B101" s="12"/>
      <c r="C101" s="13" t="s">
        <v>11</v>
      </c>
      <c r="D101" s="12"/>
      <c r="E101" s="12" t="s">
        <v>12</v>
      </c>
      <c r="F101" s="37">
        <f>SUM(F100)</f>
        <v>291.99581831199998</v>
      </c>
      <c r="G101" s="38">
        <f>SUM(G100)</f>
        <v>3.6590699999999999E-3</v>
      </c>
      <c r="H101" s="14" t="s">
        <v>12</v>
      </c>
    </row>
    <row r="102" spans="1:17" x14ac:dyDescent="0.2">
      <c r="A102" s="12"/>
      <c r="B102" s="12"/>
      <c r="C102" s="28"/>
      <c r="D102" s="12"/>
      <c r="E102" s="12"/>
      <c r="F102" s="29"/>
      <c r="G102" s="29"/>
      <c r="H102" s="14" t="s">
        <v>12</v>
      </c>
    </row>
    <row r="103" spans="1:17" x14ac:dyDescent="0.2">
      <c r="A103" s="15"/>
      <c r="B103" s="15"/>
      <c r="C103" s="16" t="s">
        <v>117</v>
      </c>
      <c r="D103" s="15"/>
      <c r="E103" s="15"/>
      <c r="F103" s="15"/>
      <c r="G103" s="15"/>
      <c r="H103" s="14" t="s">
        <v>12</v>
      </c>
    </row>
    <row r="104" spans="1:17" x14ac:dyDescent="0.2">
      <c r="A104" s="15"/>
      <c r="B104" s="15"/>
      <c r="C104" s="16" t="s">
        <v>118</v>
      </c>
      <c r="D104" s="15"/>
      <c r="E104" s="15"/>
      <c r="F104" s="15"/>
      <c r="G104" s="15"/>
      <c r="H104" s="14" t="s">
        <v>12</v>
      </c>
    </row>
    <row r="105" spans="1:17" x14ac:dyDescent="0.2">
      <c r="A105" s="15"/>
      <c r="B105" s="15"/>
      <c r="C105" s="16" t="s">
        <v>11</v>
      </c>
      <c r="D105" s="15"/>
      <c r="E105" s="15" t="s">
        <v>12</v>
      </c>
      <c r="F105" s="17" t="s">
        <v>13</v>
      </c>
      <c r="G105" s="18">
        <v>0</v>
      </c>
      <c r="H105" s="14" t="s">
        <v>12</v>
      </c>
    </row>
    <row r="106" spans="1:17" x14ac:dyDescent="0.2">
      <c r="A106" s="15"/>
      <c r="B106" s="15"/>
      <c r="C106" s="19"/>
      <c r="D106" s="15"/>
      <c r="E106" s="15"/>
      <c r="F106" s="20"/>
      <c r="G106" s="20"/>
      <c r="H106" s="14" t="s">
        <v>12</v>
      </c>
    </row>
    <row r="107" spans="1:17" x14ac:dyDescent="0.2">
      <c r="A107" s="15"/>
      <c r="B107" s="15"/>
      <c r="C107" s="16" t="s">
        <v>119</v>
      </c>
      <c r="D107" s="15"/>
      <c r="E107" s="15"/>
      <c r="F107" s="20"/>
      <c r="G107" s="20"/>
      <c r="H107" s="14" t="s">
        <v>12</v>
      </c>
    </row>
    <row r="108" spans="1:17" x14ac:dyDescent="0.2">
      <c r="A108" s="15"/>
      <c r="B108" s="15"/>
      <c r="C108" s="16" t="s">
        <v>11</v>
      </c>
      <c r="D108" s="15"/>
      <c r="E108" s="15" t="s">
        <v>12</v>
      </c>
      <c r="F108" s="17" t="s">
        <v>13</v>
      </c>
      <c r="G108" s="18">
        <v>0</v>
      </c>
      <c r="H108" s="14" t="s">
        <v>12</v>
      </c>
    </row>
    <row r="109" spans="1:17" x14ac:dyDescent="0.2">
      <c r="A109" s="15"/>
      <c r="B109" s="15"/>
      <c r="C109" s="19"/>
      <c r="D109" s="15"/>
      <c r="E109" s="15"/>
      <c r="F109" s="20"/>
      <c r="G109" s="20"/>
      <c r="H109" s="14" t="s">
        <v>12</v>
      </c>
    </row>
    <row r="110" spans="1:17" x14ac:dyDescent="0.2">
      <c r="A110" s="27"/>
      <c r="B110" s="23"/>
      <c r="C110" s="23" t="s">
        <v>120</v>
      </c>
      <c r="D110" s="23"/>
      <c r="E110" s="27"/>
      <c r="F110" s="25">
        <v>2808.0057904800001</v>
      </c>
      <c r="G110" s="26">
        <v>3.5187780000000002E-2</v>
      </c>
      <c r="H110" s="14" t="s">
        <v>12</v>
      </c>
    </row>
    <row r="111" spans="1:17" x14ac:dyDescent="0.2">
      <c r="A111" s="19"/>
      <c r="B111" s="19"/>
      <c r="C111" s="16" t="s">
        <v>121</v>
      </c>
      <c r="D111" s="20"/>
      <c r="E111" s="20"/>
      <c r="F111" s="21">
        <v>79800.600387782004</v>
      </c>
      <c r="G111" s="39">
        <v>1.0000000099999999</v>
      </c>
      <c r="H111" s="14" t="s">
        <v>12</v>
      </c>
    </row>
    <row r="112" spans="1:17" x14ac:dyDescent="0.2">
      <c r="A112" s="40"/>
      <c r="B112" s="40"/>
      <c r="C112" s="40"/>
      <c r="D112" s="41"/>
      <c r="E112" s="41"/>
      <c r="F112" s="41"/>
      <c r="G112" s="41"/>
    </row>
    <row r="113" spans="1:8" x14ac:dyDescent="0.2">
      <c r="A113" s="42"/>
      <c r="B113" s="156" t="s">
        <v>622</v>
      </c>
      <c r="C113" s="156"/>
      <c r="D113" s="156"/>
      <c r="E113" s="156"/>
      <c r="F113" s="156"/>
      <c r="G113" s="156"/>
      <c r="H113" s="156"/>
    </row>
    <row r="114" spans="1:8" x14ac:dyDescent="0.2">
      <c r="A114" s="42"/>
      <c r="B114" s="156" t="s">
        <v>623</v>
      </c>
      <c r="C114" s="156"/>
      <c r="D114" s="156"/>
      <c r="E114" s="156"/>
      <c r="F114" s="156"/>
      <c r="G114" s="156"/>
      <c r="H114" s="156"/>
    </row>
    <row r="115" spans="1:8" x14ac:dyDescent="0.2">
      <c r="A115" s="42"/>
      <c r="B115" s="156" t="s">
        <v>624</v>
      </c>
      <c r="C115" s="156"/>
      <c r="D115" s="156"/>
      <c r="E115" s="156"/>
      <c r="F115" s="156"/>
      <c r="G115" s="156"/>
      <c r="H115" s="156"/>
    </row>
    <row r="116" spans="1:8" x14ac:dyDescent="0.2">
      <c r="A116" s="42"/>
      <c r="B116" s="42"/>
      <c r="C116" s="42"/>
      <c r="D116" s="44"/>
      <c r="E116" s="44"/>
      <c r="F116" s="44"/>
      <c r="G116" s="44"/>
    </row>
    <row r="117" spans="1:8" x14ac:dyDescent="0.2">
      <c r="A117" s="42"/>
      <c r="B117" s="164" t="s">
        <v>122</v>
      </c>
      <c r="C117" s="165"/>
      <c r="D117" s="166"/>
      <c r="E117" s="45"/>
      <c r="F117" s="44"/>
      <c r="G117" s="44"/>
    </row>
    <row r="118" spans="1:8" ht="27" customHeight="1" x14ac:dyDescent="0.2">
      <c r="A118" s="42"/>
      <c r="B118" s="157" t="s">
        <v>123</v>
      </c>
      <c r="C118" s="158"/>
      <c r="D118" s="13" t="s">
        <v>124</v>
      </c>
      <c r="E118" s="45"/>
      <c r="F118" s="44"/>
      <c r="G118" s="44"/>
    </row>
    <row r="119" spans="1:8" x14ac:dyDescent="0.2">
      <c r="A119" s="42"/>
      <c r="B119" s="157" t="s">
        <v>125</v>
      </c>
      <c r="C119" s="158"/>
      <c r="D119" s="13" t="s">
        <v>124</v>
      </c>
      <c r="E119" s="45"/>
      <c r="F119" s="44"/>
      <c r="G119" s="44"/>
    </row>
    <row r="120" spans="1:8" x14ac:dyDescent="0.2">
      <c r="A120" s="42"/>
      <c r="B120" s="157" t="s">
        <v>126</v>
      </c>
      <c r="C120" s="158"/>
      <c r="D120" s="29" t="s">
        <v>12</v>
      </c>
      <c r="E120" s="45"/>
      <c r="F120" s="44"/>
      <c r="G120" s="44"/>
    </row>
    <row r="121" spans="1:8" x14ac:dyDescent="0.2">
      <c r="A121" s="46"/>
      <c r="B121" s="47" t="s">
        <v>12</v>
      </c>
      <c r="C121" s="47" t="s">
        <v>625</v>
      </c>
      <c r="D121" s="47" t="s">
        <v>127</v>
      </c>
      <c r="E121" s="46"/>
      <c r="F121" s="46"/>
      <c r="G121" s="46"/>
    </row>
    <row r="122" spans="1:8" x14ac:dyDescent="0.2">
      <c r="A122" s="46"/>
      <c r="B122" s="48" t="s">
        <v>128</v>
      </c>
      <c r="C122" s="49">
        <v>45838</v>
      </c>
      <c r="D122" s="49">
        <v>45869</v>
      </c>
      <c r="E122" s="46"/>
      <c r="F122" s="46"/>
      <c r="G122" s="46"/>
    </row>
    <row r="123" spans="1:8" x14ac:dyDescent="0.2">
      <c r="A123" s="50"/>
      <c r="B123" s="23" t="s">
        <v>129</v>
      </c>
      <c r="C123" s="51">
        <v>41.675800000000002</v>
      </c>
      <c r="D123" s="51">
        <v>41.933500000000002</v>
      </c>
      <c r="E123" s="50"/>
      <c r="F123" s="52"/>
      <c r="G123" s="53"/>
    </row>
    <row r="124" spans="1:8" ht="25.5" x14ac:dyDescent="0.2">
      <c r="A124" s="50"/>
      <c r="B124" s="23" t="s">
        <v>747</v>
      </c>
      <c r="C124" s="51">
        <v>19.955300000000001</v>
      </c>
      <c r="D124" s="51">
        <v>20.078600000000002</v>
      </c>
      <c r="E124" s="50"/>
      <c r="F124" s="52"/>
      <c r="G124" s="53"/>
    </row>
    <row r="125" spans="1:8" x14ac:dyDescent="0.2">
      <c r="A125" s="50"/>
      <c r="B125" s="23" t="s">
        <v>130</v>
      </c>
      <c r="C125" s="51">
        <v>40.300800000000002</v>
      </c>
      <c r="D125" s="51">
        <v>40.542400000000001</v>
      </c>
      <c r="E125" s="50"/>
      <c r="F125" s="52"/>
      <c r="G125" s="53"/>
    </row>
    <row r="126" spans="1:8" ht="25.5" x14ac:dyDescent="0.2">
      <c r="A126" s="50"/>
      <c r="B126" s="23" t="s">
        <v>748</v>
      </c>
      <c r="C126" s="51">
        <v>19.332899999999999</v>
      </c>
      <c r="D126" s="51">
        <v>19.448799999999999</v>
      </c>
      <c r="E126" s="50"/>
      <c r="F126" s="52"/>
      <c r="G126" s="53"/>
    </row>
    <row r="127" spans="1:8" x14ac:dyDescent="0.2">
      <c r="A127" s="50"/>
      <c r="B127" s="50"/>
      <c r="C127" s="50"/>
      <c r="D127" s="50"/>
      <c r="E127" s="50"/>
      <c r="F127" s="50"/>
      <c r="G127" s="50"/>
    </row>
    <row r="128" spans="1:8" x14ac:dyDescent="0.2">
      <c r="A128" s="50"/>
      <c r="B128" s="159" t="s">
        <v>626</v>
      </c>
      <c r="C128" s="160"/>
      <c r="D128" s="13" t="s">
        <v>124</v>
      </c>
      <c r="E128" s="50"/>
      <c r="F128" s="50"/>
      <c r="G128" s="50"/>
    </row>
    <row r="129" spans="1:14" x14ac:dyDescent="0.2">
      <c r="A129" s="46"/>
      <c r="B129" s="54"/>
      <c r="C129" s="54"/>
      <c r="D129" s="55"/>
      <c r="E129" s="46"/>
      <c r="F129" s="43"/>
      <c r="G129" s="56"/>
    </row>
    <row r="130" spans="1:14" x14ac:dyDescent="0.2">
      <c r="A130" s="46"/>
      <c r="B130" s="157" t="s">
        <v>131</v>
      </c>
      <c r="C130" s="158"/>
      <c r="D130" s="13" t="s">
        <v>124</v>
      </c>
      <c r="E130" s="57"/>
      <c r="F130" s="46"/>
      <c r="G130" s="46"/>
    </row>
    <row r="131" spans="1:14" x14ac:dyDescent="0.2">
      <c r="A131" s="46"/>
      <c r="B131" s="157" t="s">
        <v>132</v>
      </c>
      <c r="C131" s="158"/>
      <c r="D131" s="13" t="s">
        <v>124</v>
      </c>
      <c r="E131" s="57"/>
      <c r="F131" s="46"/>
      <c r="G131" s="46"/>
    </row>
    <row r="132" spans="1:14" x14ac:dyDescent="0.2">
      <c r="A132" s="46"/>
      <c r="B132" s="157" t="s">
        <v>627</v>
      </c>
      <c r="C132" s="158"/>
      <c r="D132" s="13" t="s">
        <v>124</v>
      </c>
      <c r="E132" s="57"/>
      <c r="F132" s="46"/>
      <c r="G132" s="46"/>
    </row>
    <row r="133" spans="1:14" x14ac:dyDescent="0.2">
      <c r="A133" s="58"/>
      <c r="B133" s="58"/>
      <c r="C133" s="58"/>
      <c r="D133" s="58"/>
      <c r="E133" s="58"/>
      <c r="F133" s="58"/>
      <c r="G133" s="58"/>
    </row>
    <row r="134" spans="1:14" s="59" customFormat="1" x14ac:dyDescent="0.2">
      <c r="B134" s="161" t="s">
        <v>628</v>
      </c>
      <c r="C134" s="162"/>
      <c r="D134" s="163"/>
      <c r="H134"/>
      <c r="I134"/>
      <c r="J134" s="30"/>
      <c r="K134" s="30"/>
      <c r="L134" s="30"/>
      <c r="M134" s="30"/>
      <c r="N134" s="30"/>
    </row>
    <row r="135" spans="1:14" s="59" customFormat="1" ht="38.25" x14ac:dyDescent="0.2">
      <c r="B135" s="167" t="s">
        <v>629</v>
      </c>
      <c r="C135" s="167"/>
      <c r="D135" s="60" t="s">
        <v>1</v>
      </c>
      <c r="H135"/>
      <c r="I135"/>
      <c r="J135" s="30"/>
      <c r="K135" s="30"/>
      <c r="L135" s="30"/>
      <c r="M135" s="30"/>
      <c r="N135" s="30"/>
    </row>
    <row r="136" spans="1:14" s="59" customFormat="1" x14ac:dyDescent="0.2">
      <c r="B136" s="153" t="s">
        <v>630</v>
      </c>
      <c r="C136" s="153"/>
      <c r="D136" s="61"/>
      <c r="H136"/>
      <c r="I136"/>
      <c r="J136" s="30"/>
      <c r="K136" s="30"/>
      <c r="L136" s="30"/>
      <c r="M136" s="30"/>
      <c r="N136" s="30"/>
    </row>
    <row r="137" spans="1:14" s="59" customFormat="1" x14ac:dyDescent="0.2">
      <c r="B137" s="151"/>
      <c r="C137" s="152"/>
      <c r="D137" s="62"/>
      <c r="H137"/>
      <c r="I137"/>
      <c r="J137" s="30"/>
      <c r="K137" s="30"/>
      <c r="L137" s="30"/>
      <c r="M137" s="30"/>
      <c r="N137" s="30"/>
    </row>
    <row r="138" spans="1:14" s="59" customFormat="1" x14ac:dyDescent="0.2">
      <c r="B138" s="153" t="s">
        <v>631</v>
      </c>
      <c r="C138" s="153"/>
      <c r="D138" s="63">
        <v>6.652073325399301</v>
      </c>
      <c r="H138"/>
      <c r="I138"/>
      <c r="J138" s="30"/>
      <c r="K138" s="30"/>
      <c r="L138" s="30"/>
      <c r="M138" s="30"/>
      <c r="N138" s="30"/>
    </row>
    <row r="139" spans="1:14" s="59" customFormat="1" x14ac:dyDescent="0.2">
      <c r="B139" s="151"/>
      <c r="C139" s="152"/>
      <c r="D139" s="62"/>
      <c r="H139"/>
      <c r="I139"/>
      <c r="J139" s="30"/>
      <c r="K139" s="30"/>
      <c r="L139" s="30"/>
      <c r="M139" s="30"/>
      <c r="N139" s="30"/>
    </row>
    <row r="140" spans="1:14" s="59" customFormat="1" x14ac:dyDescent="0.2">
      <c r="B140" s="153" t="s">
        <v>632</v>
      </c>
      <c r="C140" s="153"/>
      <c r="D140" s="63">
        <v>3.3216150657930776</v>
      </c>
      <c r="H140"/>
      <c r="I140"/>
      <c r="J140" s="30"/>
      <c r="K140" s="30"/>
      <c r="L140" s="30"/>
      <c r="M140" s="30"/>
      <c r="N140" s="30"/>
    </row>
    <row r="141" spans="1:14" s="59" customFormat="1" x14ac:dyDescent="0.2">
      <c r="B141" s="153" t="s">
        <v>633</v>
      </c>
      <c r="C141" s="153"/>
      <c r="D141" s="63">
        <v>4.3050381801447397</v>
      </c>
      <c r="H141"/>
      <c r="I141"/>
      <c r="J141" s="30"/>
      <c r="K141" s="30"/>
      <c r="L141" s="30"/>
      <c r="M141" s="30"/>
      <c r="N141" s="30"/>
    </row>
    <row r="142" spans="1:14" s="59" customFormat="1" x14ac:dyDescent="0.2">
      <c r="B142" s="151"/>
      <c r="C142" s="152"/>
      <c r="D142" s="62"/>
      <c r="I142"/>
      <c r="J142" s="30"/>
      <c r="K142" s="30"/>
      <c r="L142" s="30"/>
      <c r="M142" s="30"/>
      <c r="N142" s="30"/>
    </row>
    <row r="143" spans="1:14" s="59" customFormat="1" x14ac:dyDescent="0.2">
      <c r="B143" s="153" t="s">
        <v>634</v>
      </c>
      <c r="C143" s="153"/>
      <c r="D143" s="64" t="s">
        <v>742</v>
      </c>
      <c r="I143"/>
      <c r="J143" s="30"/>
      <c r="K143" s="30"/>
      <c r="L143" s="30"/>
      <c r="M143" s="30"/>
      <c r="N143" s="65"/>
    </row>
    <row r="144" spans="1:14" s="59" customFormat="1" x14ac:dyDescent="0.2">
      <c r="B144" s="151" t="s">
        <v>635</v>
      </c>
      <c r="C144" s="154"/>
      <c r="D144" s="152"/>
      <c r="I144"/>
      <c r="J144" s="30"/>
      <c r="K144" s="30"/>
      <c r="L144" s="30"/>
      <c r="M144" s="30"/>
      <c r="N144" s="30"/>
    </row>
    <row r="146" spans="2:4" ht="25.5" x14ac:dyDescent="0.2">
      <c r="B146" s="66" t="s">
        <v>636</v>
      </c>
    </row>
    <row r="148" spans="2:4" ht="153.75" customHeight="1" x14ac:dyDescent="0.2"/>
    <row r="151" spans="2:4" x14ac:dyDescent="0.2">
      <c r="B151" s="67" t="s">
        <v>637</v>
      </c>
      <c r="C151" s="68"/>
      <c r="D151" s="67"/>
    </row>
    <row r="152" spans="2:4" x14ac:dyDescent="0.2">
      <c r="B152" s="67" t="s">
        <v>638</v>
      </c>
      <c r="D152" s="67"/>
    </row>
    <row r="153" spans="2:4" ht="165" customHeight="1" x14ac:dyDescent="0.2"/>
  </sheetData>
  <mergeCells count="25">
    <mergeCell ref="B136:C136"/>
    <mergeCell ref="A3:H3"/>
    <mergeCell ref="B130:C130"/>
    <mergeCell ref="B128:C128"/>
    <mergeCell ref="B132:C132"/>
    <mergeCell ref="B131:C131"/>
    <mergeCell ref="B134:D134"/>
    <mergeCell ref="B117:D117"/>
    <mergeCell ref="B118:C118"/>
    <mergeCell ref="B119:C119"/>
    <mergeCell ref="B120:C120"/>
    <mergeCell ref="B135:C135"/>
    <mergeCell ref="A1:H1"/>
    <mergeCell ref="A2:H2"/>
    <mergeCell ref="B113:H113"/>
    <mergeCell ref="B114:H114"/>
    <mergeCell ref="B115:H115"/>
    <mergeCell ref="B142:C142"/>
    <mergeCell ref="B143:C143"/>
    <mergeCell ref="B144:D144"/>
    <mergeCell ref="B137:C137"/>
    <mergeCell ref="B138:C138"/>
    <mergeCell ref="B139:C139"/>
    <mergeCell ref="B140:C140"/>
    <mergeCell ref="B141:C141"/>
  </mergeCells>
  <hyperlinks>
    <hyperlink ref="I1" location="Index!B2" display="Index" xr:uid="{9201E43B-8653-4538-9DA0-D5085995E48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83566-D667-48DB-866E-0EF516B2BFE1}">
  <sheetPr>
    <outlinePr summaryBelow="0" summaryRight="0"/>
  </sheetPr>
  <dimension ref="A1:R170"/>
  <sheetViews>
    <sheetView showGridLines="0" topLeftCell="A111" workbookViewId="0">
      <selection activeCell="C122" sqref="C122:C125"/>
    </sheetView>
  </sheetViews>
  <sheetFormatPr defaultRowHeight="12.75" x14ac:dyDescent="0.2"/>
  <cols>
    <col min="1" max="1" width="5.85546875" bestFit="1" customWidth="1"/>
    <col min="2" max="2" width="19.28515625" bestFit="1" customWidth="1"/>
    <col min="3" max="3" width="44.28515625" customWidth="1"/>
    <col min="4" max="4" width="10.7109375" bestFit="1" customWidth="1"/>
    <col min="5" max="5" width="9.42578125" bestFit="1" customWidth="1"/>
    <col min="6" max="6" width="10.140625" bestFit="1" customWidth="1"/>
    <col min="7" max="7" width="14" bestFit="1" customWidth="1"/>
    <col min="8" max="8" width="9.5703125" customWidth="1"/>
  </cols>
  <sheetData>
    <row r="1" spans="1:9" ht="15" x14ac:dyDescent="0.2">
      <c r="A1" s="155" t="s">
        <v>0</v>
      </c>
      <c r="B1" s="155"/>
      <c r="C1" s="155"/>
      <c r="D1" s="155"/>
      <c r="E1" s="155"/>
      <c r="F1" s="155"/>
      <c r="G1" s="155"/>
      <c r="H1" s="155"/>
      <c r="I1" s="1" t="s">
        <v>607</v>
      </c>
    </row>
    <row r="2" spans="1:9" ht="15" x14ac:dyDescent="0.2">
      <c r="A2" s="155" t="s">
        <v>133</v>
      </c>
      <c r="B2" s="155"/>
      <c r="C2" s="155"/>
      <c r="D2" s="155"/>
      <c r="E2" s="155"/>
      <c r="F2" s="155"/>
      <c r="G2" s="155"/>
      <c r="H2" s="155"/>
    </row>
    <row r="3" spans="1:9" ht="15" x14ac:dyDescent="0.2">
      <c r="A3" s="155" t="s">
        <v>756</v>
      </c>
      <c r="B3" s="155"/>
      <c r="C3" s="155"/>
      <c r="D3" s="155"/>
      <c r="E3" s="155"/>
      <c r="F3" s="155"/>
      <c r="G3" s="155"/>
      <c r="H3" s="155"/>
    </row>
    <row r="4" spans="1:9" s="11" customFormat="1" ht="30" x14ac:dyDescent="0.2">
      <c r="A4" s="9" t="s">
        <v>2</v>
      </c>
      <c r="B4" s="9" t="s">
        <v>3</v>
      </c>
      <c r="C4" s="9" t="s">
        <v>4</v>
      </c>
      <c r="D4" s="9" t="s">
        <v>5</v>
      </c>
      <c r="E4" s="9" t="s">
        <v>6</v>
      </c>
      <c r="F4" s="9" t="s">
        <v>7</v>
      </c>
      <c r="G4" s="9" t="s">
        <v>8</v>
      </c>
      <c r="H4" s="10" t="s">
        <v>606</v>
      </c>
    </row>
    <row r="5" spans="1:9" x14ac:dyDescent="0.2">
      <c r="A5" s="12"/>
      <c r="B5" s="12"/>
      <c r="C5" s="13" t="s">
        <v>9</v>
      </c>
      <c r="D5" s="12"/>
      <c r="E5" s="12"/>
      <c r="F5" s="12"/>
      <c r="G5" s="12"/>
      <c r="H5" s="14" t="s">
        <v>12</v>
      </c>
    </row>
    <row r="6" spans="1:9" x14ac:dyDescent="0.2">
      <c r="A6" s="15"/>
      <c r="B6" s="15"/>
      <c r="C6" s="16" t="s">
        <v>10</v>
      </c>
      <c r="D6" s="15"/>
      <c r="E6" s="15"/>
      <c r="F6" s="15"/>
      <c r="G6" s="15"/>
      <c r="H6" s="14" t="s">
        <v>12</v>
      </c>
    </row>
    <row r="7" spans="1:9" x14ac:dyDescent="0.2">
      <c r="A7" s="15"/>
      <c r="B7" s="15"/>
      <c r="C7" s="16" t="s">
        <v>11</v>
      </c>
      <c r="D7" s="15"/>
      <c r="E7" s="15" t="s">
        <v>12</v>
      </c>
      <c r="F7" s="17" t="s">
        <v>13</v>
      </c>
      <c r="G7" s="18">
        <v>0</v>
      </c>
      <c r="H7" s="14" t="s">
        <v>12</v>
      </c>
    </row>
    <row r="8" spans="1:9" x14ac:dyDescent="0.2">
      <c r="A8" s="15"/>
      <c r="B8" s="15"/>
      <c r="C8" s="19"/>
      <c r="D8" s="15"/>
      <c r="E8" s="15"/>
      <c r="F8" s="20"/>
      <c r="G8" s="20"/>
      <c r="H8" s="14" t="s">
        <v>12</v>
      </c>
    </row>
    <row r="9" spans="1:9" x14ac:dyDescent="0.2">
      <c r="A9" s="15"/>
      <c r="B9" s="15"/>
      <c r="C9" s="16" t="s">
        <v>14</v>
      </c>
      <c r="D9" s="15"/>
      <c r="E9" s="15"/>
      <c r="F9" s="15"/>
      <c r="G9" s="15"/>
      <c r="H9" s="14" t="s">
        <v>12</v>
      </c>
    </row>
    <row r="10" spans="1:9" x14ac:dyDescent="0.2">
      <c r="A10" s="15"/>
      <c r="B10" s="15"/>
      <c r="C10" s="16" t="s">
        <v>11</v>
      </c>
      <c r="D10" s="15"/>
      <c r="E10" s="15" t="s">
        <v>12</v>
      </c>
      <c r="F10" s="17" t="s">
        <v>13</v>
      </c>
      <c r="G10" s="18">
        <v>0</v>
      </c>
      <c r="H10" s="14" t="s">
        <v>12</v>
      </c>
    </row>
    <row r="11" spans="1:9" x14ac:dyDescent="0.2">
      <c r="A11" s="15"/>
      <c r="B11" s="15"/>
      <c r="C11" s="19"/>
      <c r="D11" s="15"/>
      <c r="E11" s="15"/>
      <c r="F11" s="20"/>
      <c r="G11" s="20"/>
      <c r="H11" s="14" t="s">
        <v>12</v>
      </c>
    </row>
    <row r="12" spans="1:9" x14ac:dyDescent="0.2">
      <c r="A12" s="15"/>
      <c r="B12" s="15"/>
      <c r="C12" s="16" t="s">
        <v>15</v>
      </c>
      <c r="D12" s="15"/>
      <c r="E12" s="15"/>
      <c r="F12" s="15"/>
      <c r="G12" s="15"/>
      <c r="H12" s="14" t="s">
        <v>12</v>
      </c>
    </row>
    <row r="13" spans="1:9" x14ac:dyDescent="0.2">
      <c r="A13" s="15"/>
      <c r="B13" s="15"/>
      <c r="C13" s="16" t="s">
        <v>11</v>
      </c>
      <c r="D13" s="15"/>
      <c r="E13" s="15" t="s">
        <v>12</v>
      </c>
      <c r="F13" s="17" t="s">
        <v>13</v>
      </c>
      <c r="G13" s="18">
        <v>0</v>
      </c>
      <c r="H13" s="14" t="s">
        <v>12</v>
      </c>
    </row>
    <row r="14" spans="1:9" x14ac:dyDescent="0.2">
      <c r="A14" s="15"/>
      <c r="B14" s="15"/>
      <c r="C14" s="19"/>
      <c r="D14" s="15"/>
      <c r="E14" s="15"/>
      <c r="F14" s="20"/>
      <c r="G14" s="20"/>
      <c r="H14" s="14" t="s">
        <v>12</v>
      </c>
    </row>
    <row r="15" spans="1:9" x14ac:dyDescent="0.2">
      <c r="A15" s="15"/>
      <c r="B15" s="15"/>
      <c r="C15" s="16" t="s">
        <v>16</v>
      </c>
      <c r="D15" s="15"/>
      <c r="E15" s="15"/>
      <c r="F15" s="15"/>
      <c r="G15" s="15"/>
      <c r="H15" s="14" t="s">
        <v>12</v>
      </c>
    </row>
    <row r="16" spans="1:9" x14ac:dyDescent="0.2">
      <c r="A16" s="15"/>
      <c r="B16" s="15"/>
      <c r="C16" s="16" t="s">
        <v>11</v>
      </c>
      <c r="D16" s="15"/>
      <c r="E16" s="15" t="s">
        <v>12</v>
      </c>
      <c r="F16" s="17" t="s">
        <v>13</v>
      </c>
      <c r="G16" s="18">
        <v>0</v>
      </c>
      <c r="H16" s="14" t="s">
        <v>12</v>
      </c>
    </row>
    <row r="17" spans="1:8" x14ac:dyDescent="0.2">
      <c r="A17" s="15"/>
      <c r="B17" s="15"/>
      <c r="C17" s="19"/>
      <c r="D17" s="15"/>
      <c r="E17" s="15"/>
      <c r="F17" s="20"/>
      <c r="G17" s="20"/>
      <c r="H17" s="14" t="s">
        <v>12</v>
      </c>
    </row>
    <row r="18" spans="1:8" x14ac:dyDescent="0.2">
      <c r="A18" s="15"/>
      <c r="B18" s="15"/>
      <c r="C18" s="16" t="s">
        <v>17</v>
      </c>
      <c r="D18" s="15"/>
      <c r="E18" s="15"/>
      <c r="F18" s="20"/>
      <c r="G18" s="20"/>
      <c r="H18" s="14" t="s">
        <v>12</v>
      </c>
    </row>
    <row r="19" spans="1:8" x14ac:dyDescent="0.2">
      <c r="A19" s="15"/>
      <c r="B19" s="15"/>
      <c r="C19" s="16" t="s">
        <v>11</v>
      </c>
      <c r="D19" s="15"/>
      <c r="E19" s="15" t="s">
        <v>12</v>
      </c>
      <c r="F19" s="17" t="s">
        <v>13</v>
      </c>
      <c r="G19" s="18">
        <v>0</v>
      </c>
      <c r="H19" s="14" t="s">
        <v>12</v>
      </c>
    </row>
    <row r="20" spans="1:8" x14ac:dyDescent="0.2">
      <c r="A20" s="15"/>
      <c r="B20" s="15"/>
      <c r="C20" s="19"/>
      <c r="D20" s="15"/>
      <c r="E20" s="15"/>
      <c r="F20" s="20"/>
      <c r="G20" s="20"/>
      <c r="H20" s="14" t="s">
        <v>12</v>
      </c>
    </row>
    <row r="21" spans="1:8" x14ac:dyDescent="0.2">
      <c r="A21" s="15"/>
      <c r="B21" s="15"/>
      <c r="C21" s="16" t="s">
        <v>18</v>
      </c>
      <c r="D21" s="15"/>
      <c r="E21" s="15"/>
      <c r="F21" s="20"/>
      <c r="G21" s="20"/>
      <c r="H21" s="14" t="s">
        <v>12</v>
      </c>
    </row>
    <row r="22" spans="1:8" x14ac:dyDescent="0.2">
      <c r="A22" s="15"/>
      <c r="B22" s="15"/>
      <c r="C22" s="16" t="s">
        <v>11</v>
      </c>
      <c r="D22" s="15"/>
      <c r="E22" s="15" t="s">
        <v>12</v>
      </c>
      <c r="F22" s="17" t="s">
        <v>13</v>
      </c>
      <c r="G22" s="18">
        <v>0</v>
      </c>
      <c r="H22" s="14" t="s">
        <v>12</v>
      </c>
    </row>
    <row r="23" spans="1:8" x14ac:dyDescent="0.2">
      <c r="A23" s="15"/>
      <c r="B23" s="15"/>
      <c r="C23" s="19"/>
      <c r="D23" s="15"/>
      <c r="E23" s="15"/>
      <c r="F23" s="20"/>
      <c r="G23" s="20"/>
      <c r="H23" s="14" t="s">
        <v>12</v>
      </c>
    </row>
    <row r="24" spans="1:8" x14ac:dyDescent="0.2">
      <c r="A24" s="15"/>
      <c r="B24" s="15"/>
      <c r="C24" s="16" t="s">
        <v>19</v>
      </c>
      <c r="D24" s="15"/>
      <c r="E24" s="15"/>
      <c r="F24" s="21">
        <v>0</v>
      </c>
      <c r="G24" s="18">
        <v>0</v>
      </c>
      <c r="H24" s="14" t="s">
        <v>12</v>
      </c>
    </row>
    <row r="25" spans="1:8" x14ac:dyDescent="0.2">
      <c r="A25" s="15"/>
      <c r="B25" s="15"/>
      <c r="C25" s="19"/>
      <c r="D25" s="15"/>
      <c r="E25" s="15"/>
      <c r="F25" s="20"/>
      <c r="G25" s="20"/>
      <c r="H25" s="14" t="s">
        <v>12</v>
      </c>
    </row>
    <row r="26" spans="1:8" x14ac:dyDescent="0.2">
      <c r="A26" s="15"/>
      <c r="B26" s="15"/>
      <c r="C26" s="16" t="s">
        <v>20</v>
      </c>
      <c r="D26" s="15"/>
      <c r="E26" s="15"/>
      <c r="F26" s="20"/>
      <c r="G26" s="20"/>
      <c r="H26" s="14" t="s">
        <v>12</v>
      </c>
    </row>
    <row r="27" spans="1:8" x14ac:dyDescent="0.2">
      <c r="A27" s="15"/>
      <c r="B27" s="15"/>
      <c r="C27" s="16" t="s">
        <v>10</v>
      </c>
      <c r="D27" s="15"/>
      <c r="E27" s="15"/>
      <c r="F27" s="20"/>
      <c r="G27" s="20"/>
      <c r="H27" s="14" t="s">
        <v>12</v>
      </c>
    </row>
    <row r="28" spans="1:8" x14ac:dyDescent="0.2">
      <c r="A28" s="22">
        <v>1</v>
      </c>
      <c r="B28" s="23" t="s">
        <v>51</v>
      </c>
      <c r="C28" s="23" t="s">
        <v>52</v>
      </c>
      <c r="D28" s="23" t="s">
        <v>26</v>
      </c>
      <c r="E28" s="24">
        <v>300</v>
      </c>
      <c r="F28" s="25">
        <v>3061.866</v>
      </c>
      <c r="G28" s="26">
        <v>6.4985249999999994E-2</v>
      </c>
      <c r="H28" s="14">
        <v>6.43</v>
      </c>
    </row>
    <row r="29" spans="1:8" x14ac:dyDescent="0.2">
      <c r="A29" s="22">
        <v>2</v>
      </c>
      <c r="B29" s="23" t="s">
        <v>134</v>
      </c>
      <c r="C29" s="23" t="s">
        <v>135</v>
      </c>
      <c r="D29" s="23" t="s">
        <v>26</v>
      </c>
      <c r="E29" s="24">
        <v>250</v>
      </c>
      <c r="F29" s="25">
        <v>2554.5949999999998</v>
      </c>
      <c r="G29" s="26">
        <v>5.42189E-2</v>
      </c>
      <c r="H29" s="14">
        <v>6.6063000000000001</v>
      </c>
    </row>
    <row r="30" spans="1:8" x14ac:dyDescent="0.2">
      <c r="A30" s="22">
        <v>3</v>
      </c>
      <c r="B30" s="23" t="s">
        <v>136</v>
      </c>
      <c r="C30" s="23" t="s">
        <v>137</v>
      </c>
      <c r="D30" s="23" t="s">
        <v>26</v>
      </c>
      <c r="E30" s="24">
        <v>2500</v>
      </c>
      <c r="F30" s="25">
        <v>2550.0374999999999</v>
      </c>
      <c r="G30" s="26">
        <v>5.4122169999999997E-2</v>
      </c>
      <c r="H30" s="14">
        <v>6.87</v>
      </c>
    </row>
    <row r="31" spans="1:8" ht="25.5" x14ac:dyDescent="0.2">
      <c r="A31" s="22">
        <v>4</v>
      </c>
      <c r="B31" s="23" t="s">
        <v>138</v>
      </c>
      <c r="C31" s="23" t="s">
        <v>139</v>
      </c>
      <c r="D31" s="23" t="s">
        <v>26</v>
      </c>
      <c r="E31" s="24">
        <v>2500</v>
      </c>
      <c r="F31" s="25">
        <v>2494.9324999999999</v>
      </c>
      <c r="G31" s="26">
        <v>5.2952619999999999E-2</v>
      </c>
      <c r="H31" s="14">
        <v>6.93</v>
      </c>
    </row>
    <row r="32" spans="1:8" x14ac:dyDescent="0.2">
      <c r="A32" s="22">
        <v>5</v>
      </c>
      <c r="B32" s="23" t="s">
        <v>140</v>
      </c>
      <c r="C32" s="23" t="s">
        <v>141</v>
      </c>
      <c r="D32" s="23" t="s">
        <v>23</v>
      </c>
      <c r="E32" s="24">
        <v>2000</v>
      </c>
      <c r="F32" s="25">
        <v>2039.27</v>
      </c>
      <c r="G32" s="26">
        <v>4.3281609999999998E-2</v>
      </c>
      <c r="H32" s="14">
        <v>6.48</v>
      </c>
    </row>
    <row r="33" spans="1:8" ht="25.5" x14ac:dyDescent="0.2">
      <c r="A33" s="22">
        <v>6</v>
      </c>
      <c r="B33" s="23" t="s">
        <v>142</v>
      </c>
      <c r="C33" s="23" t="s">
        <v>143</v>
      </c>
      <c r="D33" s="23" t="s">
        <v>26</v>
      </c>
      <c r="E33" s="24">
        <v>200</v>
      </c>
      <c r="F33" s="25">
        <v>2009.59</v>
      </c>
      <c r="G33" s="26">
        <v>4.2651679999999997E-2</v>
      </c>
      <c r="H33" s="14">
        <v>6.3550000000000004</v>
      </c>
    </row>
    <row r="34" spans="1:8" ht="25.5" x14ac:dyDescent="0.2">
      <c r="A34" s="22">
        <v>7</v>
      </c>
      <c r="B34" s="23" t="s">
        <v>144</v>
      </c>
      <c r="C34" s="23" t="s">
        <v>145</v>
      </c>
      <c r="D34" s="23" t="s">
        <v>26</v>
      </c>
      <c r="E34" s="24">
        <v>200</v>
      </c>
      <c r="F34" s="25">
        <v>1992.14</v>
      </c>
      <c r="G34" s="26">
        <v>4.2281319999999997E-2</v>
      </c>
      <c r="H34" s="14">
        <v>6.4687999999999999</v>
      </c>
    </row>
    <row r="35" spans="1:8" ht="25.5" x14ac:dyDescent="0.2">
      <c r="A35" s="22">
        <v>8</v>
      </c>
      <c r="B35" s="23" t="s">
        <v>35</v>
      </c>
      <c r="C35" s="23" t="s">
        <v>36</v>
      </c>
      <c r="D35" s="23" t="s">
        <v>23</v>
      </c>
      <c r="E35" s="24">
        <v>1500</v>
      </c>
      <c r="F35" s="25">
        <v>1540.5840000000001</v>
      </c>
      <c r="G35" s="26">
        <v>3.2697459999999998E-2</v>
      </c>
      <c r="H35" s="14">
        <v>6.77</v>
      </c>
    </row>
    <row r="36" spans="1:8" x14ac:dyDescent="0.2">
      <c r="A36" s="22">
        <v>9</v>
      </c>
      <c r="B36" s="23" t="s">
        <v>146</v>
      </c>
      <c r="C36" s="23" t="s">
        <v>147</v>
      </c>
      <c r="D36" s="23" t="s">
        <v>26</v>
      </c>
      <c r="E36" s="24">
        <v>1500</v>
      </c>
      <c r="F36" s="25">
        <v>1533.2925</v>
      </c>
      <c r="G36" s="26">
        <v>3.2542700000000001E-2</v>
      </c>
      <c r="H36" s="14">
        <v>6.5049999999999999</v>
      </c>
    </row>
    <row r="37" spans="1:8" ht="25.5" x14ac:dyDescent="0.2">
      <c r="A37" s="22">
        <v>10</v>
      </c>
      <c r="B37" s="23" t="s">
        <v>41</v>
      </c>
      <c r="C37" s="23" t="s">
        <v>42</v>
      </c>
      <c r="D37" s="23" t="s">
        <v>26</v>
      </c>
      <c r="E37" s="24">
        <v>1500</v>
      </c>
      <c r="F37" s="25">
        <v>1513.9290000000001</v>
      </c>
      <c r="G37" s="26">
        <v>3.2131729999999997E-2</v>
      </c>
      <c r="H37" s="14">
        <v>6.41</v>
      </c>
    </row>
    <row r="38" spans="1:8" ht="25.5" x14ac:dyDescent="0.2">
      <c r="A38" s="22">
        <v>11</v>
      </c>
      <c r="B38" s="23" t="s">
        <v>148</v>
      </c>
      <c r="C38" s="23" t="s">
        <v>149</v>
      </c>
      <c r="D38" s="23" t="s">
        <v>26</v>
      </c>
      <c r="E38" s="24">
        <v>1000</v>
      </c>
      <c r="F38" s="25">
        <v>1029.114</v>
      </c>
      <c r="G38" s="26">
        <v>2.1841989999999999E-2</v>
      </c>
      <c r="H38" s="14">
        <v>6.8849999999999998</v>
      </c>
    </row>
    <row r="39" spans="1:8" ht="25.5" x14ac:dyDescent="0.2">
      <c r="A39" s="22">
        <v>12</v>
      </c>
      <c r="B39" s="23" t="s">
        <v>24</v>
      </c>
      <c r="C39" s="23" t="s">
        <v>25</v>
      </c>
      <c r="D39" s="23" t="s">
        <v>26</v>
      </c>
      <c r="E39" s="24">
        <v>1000</v>
      </c>
      <c r="F39" s="25">
        <v>1024.453</v>
      </c>
      <c r="G39" s="26">
        <v>2.1743060000000002E-2</v>
      </c>
      <c r="H39" s="14">
        <v>6.65</v>
      </c>
    </row>
    <row r="40" spans="1:8" ht="25.5" x14ac:dyDescent="0.2">
      <c r="A40" s="22">
        <v>13</v>
      </c>
      <c r="B40" s="23" t="s">
        <v>150</v>
      </c>
      <c r="C40" s="23" t="s">
        <v>151</v>
      </c>
      <c r="D40" s="23" t="s">
        <v>26</v>
      </c>
      <c r="E40" s="24">
        <v>1000</v>
      </c>
      <c r="F40" s="25">
        <v>1019.779</v>
      </c>
      <c r="G40" s="26">
        <v>2.1643860000000001E-2</v>
      </c>
      <c r="H40" s="14">
        <v>6.6657999999999999</v>
      </c>
    </row>
    <row r="41" spans="1:8" ht="25.5" x14ac:dyDescent="0.2">
      <c r="A41" s="22">
        <v>14</v>
      </c>
      <c r="B41" s="23" t="s">
        <v>63</v>
      </c>
      <c r="C41" s="23" t="s">
        <v>64</v>
      </c>
      <c r="D41" s="23" t="s">
        <v>26</v>
      </c>
      <c r="E41" s="24">
        <v>1000</v>
      </c>
      <c r="F41" s="25">
        <v>1002.4880000000001</v>
      </c>
      <c r="G41" s="26">
        <v>2.127687E-2</v>
      </c>
      <c r="H41" s="14">
        <v>6.9</v>
      </c>
    </row>
    <row r="42" spans="1:8" x14ac:dyDescent="0.2">
      <c r="A42" s="22">
        <v>15</v>
      </c>
      <c r="B42" s="23" t="s">
        <v>152</v>
      </c>
      <c r="C42" s="23" t="s">
        <v>153</v>
      </c>
      <c r="D42" s="23" t="s">
        <v>23</v>
      </c>
      <c r="E42" s="24">
        <v>1000</v>
      </c>
      <c r="F42" s="25">
        <v>1000.354</v>
      </c>
      <c r="G42" s="26">
        <v>2.123158E-2</v>
      </c>
      <c r="H42" s="14">
        <v>7.09</v>
      </c>
    </row>
    <row r="43" spans="1:8" ht="25.5" x14ac:dyDescent="0.2">
      <c r="A43" s="22">
        <v>16</v>
      </c>
      <c r="B43" s="23" t="s">
        <v>67</v>
      </c>
      <c r="C43" s="23" t="s">
        <v>68</v>
      </c>
      <c r="D43" s="23" t="s">
        <v>26</v>
      </c>
      <c r="E43" s="24">
        <v>1000</v>
      </c>
      <c r="F43" s="25">
        <v>997.80600000000004</v>
      </c>
      <c r="G43" s="26">
        <v>2.1177499999999998E-2</v>
      </c>
      <c r="H43" s="14">
        <v>6.69</v>
      </c>
    </row>
    <row r="44" spans="1:8" x14ac:dyDescent="0.2">
      <c r="A44" s="22">
        <v>17</v>
      </c>
      <c r="B44" s="23" t="s">
        <v>47</v>
      </c>
      <c r="C44" s="23" t="s">
        <v>48</v>
      </c>
      <c r="D44" s="23" t="s">
        <v>26</v>
      </c>
      <c r="E44" s="24">
        <v>500</v>
      </c>
      <c r="F44" s="25">
        <v>513.32299999999998</v>
      </c>
      <c r="G44" s="26">
        <v>1.08948E-2</v>
      </c>
      <c r="H44" s="14">
        <v>6.75</v>
      </c>
    </row>
    <row r="45" spans="1:8" ht="25.5" x14ac:dyDescent="0.2">
      <c r="A45" s="22">
        <v>18</v>
      </c>
      <c r="B45" s="23" t="s">
        <v>57</v>
      </c>
      <c r="C45" s="23" t="s">
        <v>58</v>
      </c>
      <c r="D45" s="23" t="s">
        <v>23</v>
      </c>
      <c r="E45" s="24">
        <v>500</v>
      </c>
      <c r="F45" s="25">
        <v>510.762</v>
      </c>
      <c r="G45" s="26">
        <v>1.084045E-2</v>
      </c>
      <c r="H45" s="14">
        <v>6.6950000000000003</v>
      </c>
    </row>
    <row r="46" spans="1:8" x14ac:dyDescent="0.2">
      <c r="A46" s="22">
        <v>19</v>
      </c>
      <c r="B46" s="23" t="s">
        <v>154</v>
      </c>
      <c r="C46" s="23" t="s">
        <v>155</v>
      </c>
      <c r="D46" s="23" t="s">
        <v>23</v>
      </c>
      <c r="E46" s="24">
        <v>500</v>
      </c>
      <c r="F46" s="25">
        <v>510.46899999999999</v>
      </c>
      <c r="G46" s="26">
        <v>1.083423E-2</v>
      </c>
      <c r="H46" s="14">
        <v>6.7975000000000003</v>
      </c>
    </row>
    <row r="47" spans="1:8" ht="25.5" x14ac:dyDescent="0.2">
      <c r="A47" s="22">
        <v>20</v>
      </c>
      <c r="B47" s="23" t="s">
        <v>156</v>
      </c>
      <c r="C47" s="23" t="s">
        <v>157</v>
      </c>
      <c r="D47" s="23" t="s">
        <v>26</v>
      </c>
      <c r="E47" s="24">
        <v>500</v>
      </c>
      <c r="F47" s="25">
        <v>508.8725</v>
      </c>
      <c r="G47" s="26">
        <v>1.080035E-2</v>
      </c>
      <c r="H47" s="14">
        <v>6.57</v>
      </c>
    </row>
    <row r="48" spans="1:8" x14ac:dyDescent="0.2">
      <c r="A48" s="22">
        <v>21</v>
      </c>
      <c r="B48" s="23" t="s">
        <v>71</v>
      </c>
      <c r="C48" s="23" t="s">
        <v>72</v>
      </c>
      <c r="D48" s="23" t="s">
        <v>23</v>
      </c>
      <c r="E48" s="24">
        <v>500</v>
      </c>
      <c r="F48" s="25">
        <v>508.41250000000002</v>
      </c>
      <c r="G48" s="26">
        <v>1.0790579999999999E-2</v>
      </c>
      <c r="H48" s="14">
        <v>7.1</v>
      </c>
    </row>
    <row r="49" spans="1:8" ht="25.5" x14ac:dyDescent="0.2">
      <c r="A49" s="22">
        <v>22</v>
      </c>
      <c r="B49" s="23" t="s">
        <v>158</v>
      </c>
      <c r="C49" s="23" t="s">
        <v>159</v>
      </c>
      <c r="D49" s="23" t="s">
        <v>26</v>
      </c>
      <c r="E49" s="24">
        <v>500</v>
      </c>
      <c r="F49" s="25">
        <v>507.6825</v>
      </c>
      <c r="G49" s="26">
        <v>1.0775089999999999E-2</v>
      </c>
      <c r="H49" s="14">
        <v>6.41</v>
      </c>
    </row>
    <row r="50" spans="1:8" x14ac:dyDescent="0.2">
      <c r="A50" s="22">
        <v>23</v>
      </c>
      <c r="B50" s="23" t="s">
        <v>59</v>
      </c>
      <c r="C50" s="23" t="s">
        <v>60</v>
      </c>
      <c r="D50" s="23" t="s">
        <v>26</v>
      </c>
      <c r="E50" s="24">
        <v>500</v>
      </c>
      <c r="F50" s="25">
        <v>507.01499999999999</v>
      </c>
      <c r="G50" s="26">
        <v>1.076092E-2</v>
      </c>
      <c r="H50" s="14">
        <v>6.45</v>
      </c>
    </row>
    <row r="51" spans="1:8" x14ac:dyDescent="0.2">
      <c r="A51" s="22">
        <v>24</v>
      </c>
      <c r="B51" s="23" t="s">
        <v>53</v>
      </c>
      <c r="C51" s="23" t="s">
        <v>54</v>
      </c>
      <c r="D51" s="23" t="s">
        <v>23</v>
      </c>
      <c r="E51" s="24">
        <v>500</v>
      </c>
      <c r="F51" s="25">
        <v>504.36250000000001</v>
      </c>
      <c r="G51" s="26">
        <v>1.070462E-2</v>
      </c>
      <c r="H51" s="14">
        <v>6.42</v>
      </c>
    </row>
    <row r="52" spans="1:8" ht="25.5" x14ac:dyDescent="0.2">
      <c r="A52" s="22">
        <v>25</v>
      </c>
      <c r="B52" s="23" t="s">
        <v>61</v>
      </c>
      <c r="C52" s="23" t="s">
        <v>62</v>
      </c>
      <c r="D52" s="23" t="s">
        <v>26</v>
      </c>
      <c r="E52" s="24">
        <v>50</v>
      </c>
      <c r="F52" s="25">
        <v>504.23</v>
      </c>
      <c r="G52" s="26">
        <v>1.0701810000000001E-2</v>
      </c>
      <c r="H52" s="14">
        <v>6.5549999999999997</v>
      </c>
    </row>
    <row r="53" spans="1:8" x14ac:dyDescent="0.2">
      <c r="A53" s="22">
        <v>26</v>
      </c>
      <c r="B53" s="23" t="s">
        <v>55</v>
      </c>
      <c r="C53" s="23" t="s">
        <v>56</v>
      </c>
      <c r="D53" s="23" t="s">
        <v>23</v>
      </c>
      <c r="E53" s="24">
        <v>500</v>
      </c>
      <c r="F53" s="25">
        <v>503.10449999999997</v>
      </c>
      <c r="G53" s="26">
        <v>1.067792E-2</v>
      </c>
      <c r="H53" s="14">
        <v>7.09</v>
      </c>
    </row>
    <row r="54" spans="1:8" x14ac:dyDescent="0.2">
      <c r="A54" s="15"/>
      <c r="B54" s="15"/>
      <c r="C54" s="16" t="s">
        <v>11</v>
      </c>
      <c r="D54" s="15"/>
      <c r="E54" s="15" t="s">
        <v>12</v>
      </c>
      <c r="F54" s="21">
        <v>32442.464</v>
      </c>
      <c r="G54" s="18">
        <v>0.68856107</v>
      </c>
      <c r="H54" s="14" t="s">
        <v>12</v>
      </c>
    </row>
    <row r="55" spans="1:8" x14ac:dyDescent="0.2">
      <c r="A55" s="15"/>
      <c r="B55" s="15"/>
      <c r="C55" s="19"/>
      <c r="D55" s="15"/>
      <c r="E55" s="15"/>
      <c r="F55" s="20"/>
      <c r="G55" s="20"/>
      <c r="H55" s="14" t="s">
        <v>12</v>
      </c>
    </row>
    <row r="56" spans="1:8" x14ac:dyDescent="0.2">
      <c r="A56" s="15"/>
      <c r="B56" s="15"/>
      <c r="C56" s="16" t="s">
        <v>79</v>
      </c>
      <c r="D56" s="15"/>
      <c r="E56" s="15"/>
      <c r="F56" s="15"/>
      <c r="G56" s="15"/>
      <c r="H56" s="14" t="s">
        <v>12</v>
      </c>
    </row>
    <row r="57" spans="1:8" x14ac:dyDescent="0.2">
      <c r="A57" s="15"/>
      <c r="B57" s="15"/>
      <c r="C57" s="16" t="s">
        <v>11</v>
      </c>
      <c r="D57" s="15"/>
      <c r="E57" s="15" t="s">
        <v>12</v>
      </c>
      <c r="F57" s="17" t="s">
        <v>13</v>
      </c>
      <c r="G57" s="18">
        <v>0</v>
      </c>
      <c r="H57" s="14" t="s">
        <v>12</v>
      </c>
    </row>
    <row r="58" spans="1:8" x14ac:dyDescent="0.2">
      <c r="A58" s="15"/>
      <c r="B58" s="15"/>
      <c r="C58" s="19"/>
      <c r="D58" s="15"/>
      <c r="E58" s="15"/>
      <c r="F58" s="20"/>
      <c r="G58" s="20"/>
      <c r="H58" s="14" t="s">
        <v>12</v>
      </c>
    </row>
    <row r="59" spans="1:8" x14ac:dyDescent="0.2">
      <c r="A59" s="15"/>
      <c r="B59" s="15"/>
      <c r="C59" s="16" t="s">
        <v>80</v>
      </c>
      <c r="D59" s="15"/>
      <c r="E59" s="15"/>
      <c r="F59" s="15"/>
      <c r="G59" s="15"/>
      <c r="H59" s="14" t="s">
        <v>12</v>
      </c>
    </row>
    <row r="60" spans="1:8" x14ac:dyDescent="0.2">
      <c r="A60" s="22">
        <v>1</v>
      </c>
      <c r="B60" s="23" t="s">
        <v>81</v>
      </c>
      <c r="C60" s="23" t="s">
        <v>82</v>
      </c>
      <c r="D60" s="23" t="s">
        <v>83</v>
      </c>
      <c r="E60" s="24">
        <v>3000000</v>
      </c>
      <c r="F60" s="25">
        <v>3075.681</v>
      </c>
      <c r="G60" s="26">
        <v>6.5278459999999996E-2</v>
      </c>
      <c r="H60" s="14">
        <v>6.5233999999999996</v>
      </c>
    </row>
    <row r="61" spans="1:8" x14ac:dyDescent="0.2">
      <c r="A61" s="22">
        <v>2</v>
      </c>
      <c r="B61" s="23" t="s">
        <v>86</v>
      </c>
      <c r="C61" s="23" t="s">
        <v>87</v>
      </c>
      <c r="D61" s="23" t="s">
        <v>83</v>
      </c>
      <c r="E61" s="24">
        <v>1000000</v>
      </c>
      <c r="F61" s="25">
        <v>1053.751</v>
      </c>
      <c r="G61" s="26">
        <v>2.236488E-2</v>
      </c>
      <c r="H61" s="14">
        <v>6.2046000000000001</v>
      </c>
    </row>
    <row r="62" spans="1:8" ht="25.5" x14ac:dyDescent="0.2">
      <c r="A62" s="22">
        <v>3</v>
      </c>
      <c r="B62" s="23" t="s">
        <v>88</v>
      </c>
      <c r="C62" s="23" t="s">
        <v>89</v>
      </c>
      <c r="D62" s="23" t="s">
        <v>83</v>
      </c>
      <c r="E62" s="24">
        <v>1000000</v>
      </c>
      <c r="F62" s="25">
        <v>1026.105</v>
      </c>
      <c r="G62" s="26">
        <v>2.1778120000000002E-2</v>
      </c>
      <c r="H62" s="14">
        <v>6.1737000000000002</v>
      </c>
    </row>
    <row r="63" spans="1:8" x14ac:dyDescent="0.2">
      <c r="A63" s="22">
        <v>4</v>
      </c>
      <c r="B63" s="23" t="s">
        <v>84</v>
      </c>
      <c r="C63" s="23" t="s">
        <v>85</v>
      </c>
      <c r="D63" s="23" t="s">
        <v>83</v>
      </c>
      <c r="E63" s="24">
        <v>1000000</v>
      </c>
      <c r="F63" s="25">
        <v>996.58600000000001</v>
      </c>
      <c r="G63" s="26">
        <v>2.1151610000000001E-2</v>
      </c>
      <c r="H63" s="14">
        <v>6.4774000000000003</v>
      </c>
    </row>
    <row r="64" spans="1:8" x14ac:dyDescent="0.2">
      <c r="A64" s="22">
        <v>5</v>
      </c>
      <c r="B64" s="23" t="s">
        <v>160</v>
      </c>
      <c r="C64" s="23" t="s">
        <v>161</v>
      </c>
      <c r="D64" s="23" t="s">
        <v>83</v>
      </c>
      <c r="E64" s="24">
        <v>500000</v>
      </c>
      <c r="F64" s="25">
        <v>524.95100000000002</v>
      </c>
      <c r="G64" s="26">
        <v>1.11416E-2</v>
      </c>
      <c r="H64" s="14">
        <v>6.7784000000000004</v>
      </c>
    </row>
    <row r="65" spans="1:8" x14ac:dyDescent="0.2">
      <c r="A65" s="22">
        <v>6</v>
      </c>
      <c r="B65" s="23" t="s">
        <v>162</v>
      </c>
      <c r="C65" s="23" t="s">
        <v>163</v>
      </c>
      <c r="D65" s="23" t="s">
        <v>83</v>
      </c>
      <c r="E65" s="24">
        <v>500000</v>
      </c>
      <c r="F65" s="25">
        <v>517.75049999999999</v>
      </c>
      <c r="G65" s="26">
        <v>1.098877E-2</v>
      </c>
      <c r="H65" s="14">
        <v>6.0773999999999999</v>
      </c>
    </row>
    <row r="66" spans="1:8" x14ac:dyDescent="0.2">
      <c r="A66" s="22">
        <v>7</v>
      </c>
      <c r="B66" s="23" t="s">
        <v>96</v>
      </c>
      <c r="C66" s="23" t="s">
        <v>97</v>
      </c>
      <c r="D66" s="23" t="s">
        <v>83</v>
      </c>
      <c r="E66" s="24">
        <v>500000</v>
      </c>
      <c r="F66" s="25">
        <v>487.92849999999999</v>
      </c>
      <c r="G66" s="26">
        <v>1.035583E-2</v>
      </c>
      <c r="H66" s="14">
        <v>7.2068000000000003</v>
      </c>
    </row>
    <row r="67" spans="1:8" x14ac:dyDescent="0.2">
      <c r="A67" s="15"/>
      <c r="B67" s="15"/>
      <c r="C67" s="16" t="s">
        <v>11</v>
      </c>
      <c r="D67" s="15"/>
      <c r="E67" s="15" t="s">
        <v>12</v>
      </c>
      <c r="F67" s="21">
        <v>7682.7529999999997</v>
      </c>
      <c r="G67" s="18">
        <v>0.16305927000000001</v>
      </c>
      <c r="H67" s="14" t="s">
        <v>12</v>
      </c>
    </row>
    <row r="68" spans="1:8" x14ac:dyDescent="0.2">
      <c r="A68" s="15"/>
      <c r="B68" s="15"/>
      <c r="C68" s="19"/>
      <c r="D68" s="15"/>
      <c r="E68" s="15"/>
      <c r="F68" s="20"/>
      <c r="G68" s="20"/>
      <c r="H68" s="14" t="s">
        <v>12</v>
      </c>
    </row>
    <row r="69" spans="1:8" x14ac:dyDescent="0.2">
      <c r="A69" s="15"/>
      <c r="B69" s="15"/>
      <c r="C69" s="16" t="s">
        <v>98</v>
      </c>
      <c r="D69" s="15"/>
      <c r="E69" s="15"/>
      <c r="F69" s="20"/>
      <c r="G69" s="20"/>
      <c r="H69" s="14" t="s">
        <v>12</v>
      </c>
    </row>
    <row r="70" spans="1:8" x14ac:dyDescent="0.2">
      <c r="A70" s="15"/>
      <c r="B70" s="15"/>
      <c r="C70" s="16" t="s">
        <v>11</v>
      </c>
      <c r="D70" s="15"/>
      <c r="E70" s="15" t="s">
        <v>12</v>
      </c>
      <c r="F70" s="17" t="s">
        <v>13</v>
      </c>
      <c r="G70" s="18">
        <v>0</v>
      </c>
      <c r="H70" s="14" t="s">
        <v>12</v>
      </c>
    </row>
    <row r="71" spans="1:8" x14ac:dyDescent="0.2">
      <c r="A71" s="15"/>
      <c r="B71" s="15"/>
      <c r="C71" s="19"/>
      <c r="D71" s="15"/>
      <c r="E71" s="15"/>
      <c r="F71" s="20"/>
      <c r="G71" s="20"/>
      <c r="H71" s="14" t="s">
        <v>12</v>
      </c>
    </row>
    <row r="72" spans="1:8" x14ac:dyDescent="0.2">
      <c r="A72" s="15"/>
      <c r="B72" s="15"/>
      <c r="C72" s="16" t="s">
        <v>99</v>
      </c>
      <c r="D72" s="15"/>
      <c r="E72" s="15"/>
      <c r="F72" s="21">
        <v>40125.216999999997</v>
      </c>
      <c r="G72" s="18">
        <v>0.85162033999999998</v>
      </c>
      <c r="H72" s="14" t="s">
        <v>12</v>
      </c>
    </row>
    <row r="73" spans="1:8" x14ac:dyDescent="0.2">
      <c r="A73" s="15"/>
      <c r="B73" s="15"/>
      <c r="C73" s="19"/>
      <c r="D73" s="15"/>
      <c r="E73" s="15"/>
      <c r="F73" s="20"/>
      <c r="G73" s="20"/>
      <c r="H73" s="14" t="s">
        <v>12</v>
      </c>
    </row>
    <row r="74" spans="1:8" x14ac:dyDescent="0.2">
      <c r="A74" s="15"/>
      <c r="B74" s="15"/>
      <c r="C74" s="16" t="s">
        <v>100</v>
      </c>
      <c r="D74" s="15"/>
      <c r="E74" s="15"/>
      <c r="F74" s="20"/>
      <c r="G74" s="20"/>
      <c r="H74" s="14" t="s">
        <v>12</v>
      </c>
    </row>
    <row r="75" spans="1:8" x14ac:dyDescent="0.2">
      <c r="A75" s="15"/>
      <c r="B75" s="15"/>
      <c r="C75" s="16" t="s">
        <v>101</v>
      </c>
      <c r="D75" s="15"/>
      <c r="E75" s="15"/>
      <c r="F75" s="20"/>
      <c r="G75" s="20"/>
      <c r="H75" s="14" t="s">
        <v>12</v>
      </c>
    </row>
    <row r="76" spans="1:8" x14ac:dyDescent="0.2">
      <c r="A76" s="22">
        <v>1</v>
      </c>
      <c r="B76" s="23" t="s">
        <v>164</v>
      </c>
      <c r="C76" s="23" t="s">
        <v>165</v>
      </c>
      <c r="D76" s="23" t="s">
        <v>107</v>
      </c>
      <c r="E76" s="24">
        <v>400</v>
      </c>
      <c r="F76" s="25">
        <v>1924.95</v>
      </c>
      <c r="G76" s="26">
        <v>4.0855269999999999E-2</v>
      </c>
      <c r="H76" s="14">
        <v>6.0301</v>
      </c>
    </row>
    <row r="77" spans="1:8" x14ac:dyDescent="0.2">
      <c r="A77" s="22">
        <v>2</v>
      </c>
      <c r="B77" s="23" t="s">
        <v>166</v>
      </c>
      <c r="C77" s="23" t="s">
        <v>167</v>
      </c>
      <c r="D77" s="23" t="s">
        <v>107</v>
      </c>
      <c r="E77" s="24">
        <v>200</v>
      </c>
      <c r="F77" s="25">
        <v>965.75400000000002</v>
      </c>
      <c r="G77" s="26">
        <v>2.0497230000000002E-2</v>
      </c>
      <c r="H77" s="14">
        <v>6.0201000000000002</v>
      </c>
    </row>
    <row r="78" spans="1:8" x14ac:dyDescent="0.2">
      <c r="A78" s="22">
        <v>3</v>
      </c>
      <c r="B78" s="23" t="s">
        <v>168</v>
      </c>
      <c r="C78" s="23" t="s">
        <v>169</v>
      </c>
      <c r="D78" s="23" t="s">
        <v>107</v>
      </c>
      <c r="E78" s="24">
        <v>100</v>
      </c>
      <c r="F78" s="25">
        <v>484.91399999999999</v>
      </c>
      <c r="G78" s="26">
        <v>1.029185E-2</v>
      </c>
      <c r="H78" s="14">
        <v>6.0724999999999998</v>
      </c>
    </row>
    <row r="79" spans="1:8" x14ac:dyDescent="0.2">
      <c r="A79" s="22">
        <v>4</v>
      </c>
      <c r="B79" s="23" t="s">
        <v>170</v>
      </c>
      <c r="C79" s="23" t="s">
        <v>171</v>
      </c>
      <c r="D79" s="23" t="s">
        <v>107</v>
      </c>
      <c r="E79" s="24">
        <v>100</v>
      </c>
      <c r="F79" s="25">
        <v>481.64949999999999</v>
      </c>
      <c r="G79" s="26">
        <v>1.022256E-2</v>
      </c>
      <c r="H79" s="14">
        <v>6.0201000000000002</v>
      </c>
    </row>
    <row r="80" spans="1:8" x14ac:dyDescent="0.2">
      <c r="A80" s="15"/>
      <c r="B80" s="15"/>
      <c r="C80" s="16" t="s">
        <v>11</v>
      </c>
      <c r="D80" s="15"/>
      <c r="E80" s="15" t="s">
        <v>12</v>
      </c>
      <c r="F80" s="21">
        <v>3857.2674999999999</v>
      </c>
      <c r="G80" s="18">
        <v>8.1866910000000001E-2</v>
      </c>
      <c r="H80" s="14" t="s">
        <v>12</v>
      </c>
    </row>
    <row r="81" spans="1:8" x14ac:dyDescent="0.2">
      <c r="A81" s="15"/>
      <c r="B81" s="15"/>
      <c r="C81" s="19"/>
      <c r="D81" s="15"/>
      <c r="E81" s="15"/>
      <c r="F81" s="20"/>
      <c r="G81" s="20"/>
      <c r="H81" s="14" t="s">
        <v>12</v>
      </c>
    </row>
    <row r="82" spans="1:8" x14ac:dyDescent="0.2">
      <c r="A82" s="15"/>
      <c r="B82" s="15"/>
      <c r="C82" s="16" t="s">
        <v>108</v>
      </c>
      <c r="D82" s="15"/>
      <c r="E82" s="15"/>
      <c r="F82" s="20"/>
      <c r="G82" s="20"/>
      <c r="H82" s="14" t="s">
        <v>12</v>
      </c>
    </row>
    <row r="83" spans="1:8" x14ac:dyDescent="0.2">
      <c r="A83" s="15"/>
      <c r="B83" s="15"/>
      <c r="C83" s="16" t="s">
        <v>11</v>
      </c>
      <c r="D83" s="15"/>
      <c r="E83" s="15" t="s">
        <v>12</v>
      </c>
      <c r="F83" s="17" t="s">
        <v>13</v>
      </c>
      <c r="G83" s="18">
        <v>0</v>
      </c>
      <c r="H83" s="14" t="s">
        <v>12</v>
      </c>
    </row>
    <row r="84" spans="1:8" x14ac:dyDescent="0.2">
      <c r="A84" s="15"/>
      <c r="B84" s="15"/>
      <c r="C84" s="19"/>
      <c r="D84" s="15"/>
      <c r="E84" s="15"/>
      <c r="F84" s="20"/>
      <c r="G84" s="20"/>
      <c r="H84" s="14" t="s">
        <v>12</v>
      </c>
    </row>
    <row r="85" spans="1:8" x14ac:dyDescent="0.2">
      <c r="A85" s="15"/>
      <c r="B85" s="15"/>
      <c r="C85" s="16" t="s">
        <v>109</v>
      </c>
      <c r="D85" s="15"/>
      <c r="E85" s="15"/>
      <c r="F85" s="20"/>
      <c r="G85" s="20"/>
      <c r="H85" s="14" t="s">
        <v>12</v>
      </c>
    </row>
    <row r="86" spans="1:8" x14ac:dyDescent="0.2">
      <c r="A86" s="15"/>
      <c r="B86" s="15"/>
      <c r="C86" s="16" t="s">
        <v>11</v>
      </c>
      <c r="D86" s="15"/>
      <c r="E86" s="15" t="s">
        <v>12</v>
      </c>
      <c r="F86" s="17" t="s">
        <v>13</v>
      </c>
      <c r="G86" s="18">
        <v>0</v>
      </c>
      <c r="H86" s="14" t="s">
        <v>12</v>
      </c>
    </row>
    <row r="87" spans="1:8" x14ac:dyDescent="0.2">
      <c r="A87" s="15"/>
      <c r="B87" s="15"/>
      <c r="C87" s="19"/>
      <c r="D87" s="15"/>
      <c r="E87" s="15"/>
      <c r="F87" s="20"/>
      <c r="G87" s="20"/>
      <c r="H87" s="14" t="s">
        <v>12</v>
      </c>
    </row>
    <row r="88" spans="1:8" x14ac:dyDescent="0.2">
      <c r="A88" s="15"/>
      <c r="B88" s="15"/>
      <c r="C88" s="16" t="s">
        <v>110</v>
      </c>
      <c r="D88" s="15"/>
      <c r="E88" s="15"/>
      <c r="F88" s="20"/>
      <c r="G88" s="20"/>
      <c r="H88" s="14" t="s">
        <v>12</v>
      </c>
    </row>
    <row r="89" spans="1:8" x14ac:dyDescent="0.2">
      <c r="A89" s="22">
        <v>1</v>
      </c>
      <c r="B89" s="23"/>
      <c r="C89" s="23" t="s">
        <v>111</v>
      </c>
      <c r="D89" s="23"/>
      <c r="E89" s="27"/>
      <c r="F89" s="25">
        <v>1925.498470001</v>
      </c>
      <c r="G89" s="26">
        <v>4.0866909999999999E-2</v>
      </c>
      <c r="H89" s="14">
        <v>5.41</v>
      </c>
    </row>
    <row r="90" spans="1:8" x14ac:dyDescent="0.2">
      <c r="A90" s="15"/>
      <c r="B90" s="15"/>
      <c r="C90" s="16" t="s">
        <v>11</v>
      </c>
      <c r="D90" s="15"/>
      <c r="E90" s="15" t="s">
        <v>12</v>
      </c>
      <c r="F90" s="21">
        <v>1925.498470001</v>
      </c>
      <c r="G90" s="18">
        <v>4.0866909999999999E-2</v>
      </c>
      <c r="H90" s="14" t="s">
        <v>12</v>
      </c>
    </row>
    <row r="91" spans="1:8" x14ac:dyDescent="0.2">
      <c r="A91" s="15"/>
      <c r="B91" s="15"/>
      <c r="C91" s="19"/>
      <c r="D91" s="15"/>
      <c r="E91" s="15"/>
      <c r="F91" s="20"/>
      <c r="G91" s="20"/>
      <c r="H91" s="14" t="s">
        <v>12</v>
      </c>
    </row>
    <row r="92" spans="1:8" x14ac:dyDescent="0.2">
      <c r="A92" s="15"/>
      <c r="B92" s="15"/>
      <c r="C92" s="16" t="s">
        <v>112</v>
      </c>
      <c r="D92" s="15"/>
      <c r="E92" s="15"/>
      <c r="F92" s="21">
        <v>5782.7659700009999</v>
      </c>
      <c r="G92" s="18">
        <v>0.12273381999999999</v>
      </c>
      <c r="H92" s="14" t="s">
        <v>12</v>
      </c>
    </row>
    <row r="93" spans="1:8" x14ac:dyDescent="0.2">
      <c r="A93" s="15"/>
      <c r="B93" s="15"/>
      <c r="C93" s="20"/>
      <c r="D93" s="15"/>
      <c r="E93" s="15"/>
      <c r="F93" s="15"/>
      <c r="G93" s="15"/>
      <c r="H93" s="14" t="s">
        <v>12</v>
      </c>
    </row>
    <row r="94" spans="1:8" x14ac:dyDescent="0.2">
      <c r="A94" s="15"/>
      <c r="B94" s="15"/>
      <c r="C94" s="16" t="s">
        <v>113</v>
      </c>
      <c r="D94" s="15"/>
      <c r="E94" s="15"/>
      <c r="F94" s="15"/>
      <c r="G94" s="15"/>
      <c r="H94" s="14" t="s">
        <v>12</v>
      </c>
    </row>
    <row r="95" spans="1:8" x14ac:dyDescent="0.2">
      <c r="A95" s="15"/>
      <c r="B95" s="15"/>
      <c r="C95" s="16" t="s">
        <v>114</v>
      </c>
      <c r="D95" s="15"/>
      <c r="E95" s="15"/>
      <c r="F95" s="15"/>
      <c r="G95" s="15"/>
      <c r="H95" s="14" t="s">
        <v>12</v>
      </c>
    </row>
    <row r="96" spans="1:8" x14ac:dyDescent="0.2">
      <c r="A96" s="15"/>
      <c r="B96" s="15"/>
      <c r="C96" s="16" t="s">
        <v>11</v>
      </c>
      <c r="D96" s="15"/>
      <c r="E96" s="15" t="s">
        <v>12</v>
      </c>
      <c r="F96" s="17" t="s">
        <v>13</v>
      </c>
      <c r="G96" s="18">
        <v>0</v>
      </c>
      <c r="H96" s="14" t="s">
        <v>12</v>
      </c>
    </row>
    <row r="97" spans="1:17" x14ac:dyDescent="0.2">
      <c r="A97" s="12"/>
      <c r="B97" s="12"/>
      <c r="C97" s="28"/>
      <c r="D97" s="12"/>
      <c r="E97" s="12"/>
      <c r="F97" s="29"/>
      <c r="G97" s="29"/>
      <c r="H97" s="14" t="s">
        <v>12</v>
      </c>
    </row>
    <row r="98" spans="1:17" x14ac:dyDescent="0.2">
      <c r="A98" s="12"/>
      <c r="B98" s="12"/>
      <c r="C98" s="13" t="s">
        <v>608</v>
      </c>
      <c r="D98" s="12"/>
      <c r="E98" s="12"/>
      <c r="F98" s="29"/>
      <c r="G98" s="29"/>
      <c r="H98" s="14" t="s">
        <v>12</v>
      </c>
      <c r="K98" s="30"/>
      <c r="L98" s="30"/>
      <c r="M98" s="30"/>
      <c r="N98" s="30"/>
      <c r="O98" s="31"/>
      <c r="P98" s="31"/>
      <c r="Q98" s="31"/>
    </row>
    <row r="99" spans="1:17" x14ac:dyDescent="0.2">
      <c r="A99" s="32">
        <v>1</v>
      </c>
      <c r="B99" s="33" t="s">
        <v>115</v>
      </c>
      <c r="C99" s="33" t="s">
        <v>116</v>
      </c>
      <c r="D99" s="33"/>
      <c r="E99" s="34">
        <v>1167.5340000000001</v>
      </c>
      <c r="F99" s="35">
        <v>131.81212043299999</v>
      </c>
      <c r="G99" s="36">
        <v>2.79759E-3</v>
      </c>
      <c r="H99" s="14"/>
    </row>
    <row r="100" spans="1:17" x14ac:dyDescent="0.2">
      <c r="A100" s="12"/>
      <c r="B100" s="12"/>
      <c r="C100" s="13" t="s">
        <v>11</v>
      </c>
      <c r="D100" s="12"/>
      <c r="E100" s="12" t="s">
        <v>12</v>
      </c>
      <c r="F100" s="37">
        <f>SUM(F99)</f>
        <v>131.81212043299999</v>
      </c>
      <c r="G100" s="38">
        <f>SUM(G99)</f>
        <v>2.79759E-3</v>
      </c>
      <c r="H100" s="14" t="s">
        <v>12</v>
      </c>
    </row>
    <row r="101" spans="1:17" x14ac:dyDescent="0.2">
      <c r="A101" s="12"/>
      <c r="B101" s="12"/>
      <c r="C101" s="28"/>
      <c r="D101" s="12"/>
      <c r="E101" s="12"/>
      <c r="F101" s="29"/>
      <c r="G101" s="29"/>
      <c r="H101" s="14" t="s">
        <v>12</v>
      </c>
    </row>
    <row r="102" spans="1:17" x14ac:dyDescent="0.2">
      <c r="A102" s="15"/>
      <c r="B102" s="15"/>
      <c r="C102" s="16" t="s">
        <v>117</v>
      </c>
      <c r="D102" s="15"/>
      <c r="E102" s="15"/>
      <c r="F102" s="15"/>
      <c r="G102" s="15"/>
      <c r="H102" s="14" t="s">
        <v>12</v>
      </c>
    </row>
    <row r="103" spans="1:17" x14ac:dyDescent="0.2">
      <c r="A103" s="15"/>
      <c r="B103" s="15"/>
      <c r="C103" s="16" t="s">
        <v>118</v>
      </c>
      <c r="D103" s="15"/>
      <c r="E103" s="15"/>
      <c r="F103" s="15"/>
      <c r="G103" s="15"/>
      <c r="H103" s="14" t="s">
        <v>12</v>
      </c>
    </row>
    <row r="104" spans="1:17" x14ac:dyDescent="0.2">
      <c r="A104" s="15"/>
      <c r="B104" s="15"/>
      <c r="C104" s="16" t="s">
        <v>11</v>
      </c>
      <c r="D104" s="15"/>
      <c r="E104" s="15" t="s">
        <v>12</v>
      </c>
      <c r="F104" s="17" t="s">
        <v>13</v>
      </c>
      <c r="G104" s="18">
        <v>0</v>
      </c>
      <c r="H104" s="14" t="s">
        <v>12</v>
      </c>
    </row>
    <row r="105" spans="1:17" x14ac:dyDescent="0.2">
      <c r="A105" s="15"/>
      <c r="B105" s="15"/>
      <c r="C105" s="19"/>
      <c r="D105" s="15"/>
      <c r="E105" s="15"/>
      <c r="F105" s="20"/>
      <c r="G105" s="20"/>
      <c r="H105" s="14" t="s">
        <v>12</v>
      </c>
    </row>
    <row r="106" spans="1:17" x14ac:dyDescent="0.2">
      <c r="A106" s="15"/>
      <c r="B106" s="15"/>
      <c r="C106" s="16" t="s">
        <v>119</v>
      </c>
      <c r="D106" s="15"/>
      <c r="E106" s="15"/>
      <c r="F106" s="20"/>
      <c r="G106" s="20"/>
      <c r="H106" s="14" t="s">
        <v>12</v>
      </c>
    </row>
    <row r="107" spans="1:17" x14ac:dyDescent="0.2">
      <c r="A107" s="15"/>
      <c r="B107" s="15"/>
      <c r="C107" s="16" t="s">
        <v>11</v>
      </c>
      <c r="D107" s="15"/>
      <c r="E107" s="15" t="s">
        <v>12</v>
      </c>
      <c r="F107" s="17" t="s">
        <v>13</v>
      </c>
      <c r="G107" s="18">
        <v>0</v>
      </c>
      <c r="H107" s="14" t="s">
        <v>12</v>
      </c>
    </row>
    <row r="108" spans="1:17" x14ac:dyDescent="0.2">
      <c r="A108" s="15"/>
      <c r="B108" s="23"/>
      <c r="C108" s="23"/>
      <c r="D108" s="16"/>
      <c r="E108" s="15"/>
      <c r="F108" s="23"/>
      <c r="G108" s="27"/>
      <c r="H108" s="14" t="s">
        <v>12</v>
      </c>
    </row>
    <row r="109" spans="1:17" x14ac:dyDescent="0.2">
      <c r="A109" s="27"/>
      <c r="B109" s="23"/>
      <c r="C109" s="23" t="s">
        <v>120</v>
      </c>
      <c r="D109" s="23"/>
      <c r="E109" s="27"/>
      <c r="F109" s="25">
        <v>1076.5258783899999</v>
      </c>
      <c r="G109" s="26">
        <v>2.2848259999999999E-2</v>
      </c>
      <c r="H109" s="14" t="s">
        <v>12</v>
      </c>
    </row>
    <row r="110" spans="1:17" x14ac:dyDescent="0.2">
      <c r="A110" s="19"/>
      <c r="B110" s="19"/>
      <c r="C110" s="16" t="s">
        <v>121</v>
      </c>
      <c r="D110" s="20"/>
      <c r="E110" s="20"/>
      <c r="F110" s="21">
        <v>47116.320968824002</v>
      </c>
      <c r="G110" s="39">
        <v>1.0000000099999999</v>
      </c>
      <c r="H110" s="14" t="s">
        <v>12</v>
      </c>
    </row>
    <row r="111" spans="1:17" x14ac:dyDescent="0.2">
      <c r="A111" s="40"/>
      <c r="B111" s="40"/>
      <c r="C111" s="40"/>
      <c r="D111" s="41"/>
      <c r="E111" s="41"/>
      <c r="F111" s="41"/>
      <c r="G111" s="41"/>
    </row>
    <row r="112" spans="1:17" x14ac:dyDescent="0.2">
      <c r="A112" s="42"/>
      <c r="B112" s="156" t="s">
        <v>622</v>
      </c>
      <c r="C112" s="156"/>
      <c r="D112" s="156"/>
      <c r="E112" s="156"/>
      <c r="F112" s="156"/>
      <c r="G112" s="156"/>
      <c r="H112" s="156"/>
    </row>
    <row r="113" spans="1:8" x14ac:dyDescent="0.2">
      <c r="A113" s="42"/>
      <c r="B113" s="156" t="s">
        <v>623</v>
      </c>
      <c r="C113" s="156"/>
      <c r="D113" s="156"/>
      <c r="E113" s="156"/>
      <c r="F113" s="156"/>
      <c r="G113" s="156"/>
      <c r="H113" s="156"/>
    </row>
    <row r="114" spans="1:8" x14ac:dyDescent="0.2">
      <c r="A114" s="42"/>
      <c r="B114" s="156" t="s">
        <v>624</v>
      </c>
      <c r="C114" s="156"/>
      <c r="D114" s="156"/>
      <c r="E114" s="156"/>
      <c r="F114" s="156"/>
      <c r="G114" s="156"/>
      <c r="H114" s="156"/>
    </row>
    <row r="115" spans="1:8" x14ac:dyDescent="0.2">
      <c r="A115" s="42"/>
      <c r="B115" s="42"/>
      <c r="C115" s="42"/>
      <c r="D115" s="44"/>
      <c r="E115" s="44"/>
      <c r="F115" s="44"/>
      <c r="G115" s="44"/>
    </row>
    <row r="116" spans="1:8" x14ac:dyDescent="0.2">
      <c r="A116" s="42"/>
      <c r="B116" s="164" t="s">
        <v>122</v>
      </c>
      <c r="C116" s="165"/>
      <c r="D116" s="166"/>
      <c r="E116" s="45"/>
      <c r="F116" s="44"/>
      <c r="G116" s="44"/>
    </row>
    <row r="117" spans="1:8" ht="27" customHeight="1" x14ac:dyDescent="0.2">
      <c r="A117" s="42"/>
      <c r="B117" s="157" t="s">
        <v>123</v>
      </c>
      <c r="C117" s="158"/>
      <c r="D117" s="13" t="s">
        <v>124</v>
      </c>
      <c r="E117" s="45"/>
      <c r="F117" s="44"/>
      <c r="G117" s="44"/>
    </row>
    <row r="118" spans="1:8" x14ac:dyDescent="0.2">
      <c r="A118" s="42"/>
      <c r="B118" s="157" t="s">
        <v>125</v>
      </c>
      <c r="C118" s="158"/>
      <c r="D118" s="13" t="s">
        <v>124</v>
      </c>
      <c r="E118" s="45"/>
      <c r="F118" s="44"/>
      <c r="G118" s="44"/>
    </row>
    <row r="119" spans="1:8" x14ac:dyDescent="0.2">
      <c r="A119" s="42"/>
      <c r="B119" s="157" t="s">
        <v>126</v>
      </c>
      <c r="C119" s="158"/>
      <c r="D119" s="29" t="s">
        <v>12</v>
      </c>
      <c r="E119" s="45"/>
      <c r="F119" s="44"/>
      <c r="G119" s="44"/>
    </row>
    <row r="120" spans="1:8" x14ac:dyDescent="0.2">
      <c r="A120" s="46"/>
      <c r="B120" s="47" t="s">
        <v>12</v>
      </c>
      <c r="C120" s="47" t="s">
        <v>625</v>
      </c>
      <c r="D120" s="47" t="s">
        <v>127</v>
      </c>
      <c r="E120" s="46"/>
      <c r="F120" s="46"/>
      <c r="G120" s="46"/>
    </row>
    <row r="121" spans="1:8" x14ac:dyDescent="0.2">
      <c r="A121" s="46"/>
      <c r="B121" s="48" t="s">
        <v>128</v>
      </c>
      <c r="C121" s="49">
        <v>45838</v>
      </c>
      <c r="D121" s="49">
        <v>45869</v>
      </c>
      <c r="E121" s="46"/>
      <c r="F121" s="46"/>
      <c r="G121" s="46"/>
    </row>
    <row r="122" spans="1:8" x14ac:dyDescent="0.2">
      <c r="A122" s="50"/>
      <c r="B122" s="23" t="s">
        <v>129</v>
      </c>
      <c r="C122" s="51">
        <v>43.807400000000001</v>
      </c>
      <c r="D122" s="51">
        <v>44.052100000000003</v>
      </c>
      <c r="E122" s="50"/>
      <c r="F122" s="52"/>
      <c r="G122" s="53"/>
    </row>
    <row r="123" spans="1:8" ht="25.5" x14ac:dyDescent="0.2">
      <c r="A123" s="50"/>
      <c r="B123" s="23" t="s">
        <v>749</v>
      </c>
      <c r="C123" s="51">
        <v>11.7004</v>
      </c>
      <c r="D123" s="51">
        <v>11.7658</v>
      </c>
      <c r="E123" s="50"/>
      <c r="F123" s="52"/>
      <c r="G123" s="53"/>
    </row>
    <row r="124" spans="1:8" x14ac:dyDescent="0.2">
      <c r="A124" s="50"/>
      <c r="B124" s="23" t="s">
        <v>130</v>
      </c>
      <c r="C124" s="51">
        <v>43.194000000000003</v>
      </c>
      <c r="D124" s="51">
        <v>43.430100000000003</v>
      </c>
      <c r="E124" s="50"/>
      <c r="F124" s="52"/>
      <c r="G124" s="53"/>
    </row>
    <row r="125" spans="1:8" ht="25.5" x14ac:dyDescent="0.2">
      <c r="A125" s="50"/>
      <c r="B125" s="23" t="s">
        <v>750</v>
      </c>
      <c r="C125" s="51">
        <v>11.744999999999999</v>
      </c>
      <c r="D125" s="51">
        <v>11.809200000000001</v>
      </c>
      <c r="E125" s="50"/>
      <c r="F125" s="52"/>
      <c r="G125" s="53"/>
    </row>
    <row r="126" spans="1:8" x14ac:dyDescent="0.2">
      <c r="A126" s="50"/>
      <c r="B126" s="50"/>
      <c r="C126" s="50"/>
      <c r="D126" s="50"/>
      <c r="E126" s="50"/>
      <c r="F126" s="50"/>
      <c r="G126" s="50"/>
    </row>
    <row r="127" spans="1:8" x14ac:dyDescent="0.2">
      <c r="A127" s="50"/>
      <c r="B127" s="159" t="s">
        <v>626</v>
      </c>
      <c r="C127" s="160"/>
      <c r="D127" s="16" t="s">
        <v>124</v>
      </c>
      <c r="E127" s="50"/>
      <c r="F127" s="50"/>
      <c r="G127" s="50"/>
    </row>
    <row r="128" spans="1:8" x14ac:dyDescent="0.2">
      <c r="A128" s="50"/>
      <c r="B128" s="58"/>
      <c r="C128" s="58"/>
      <c r="D128" s="58"/>
      <c r="E128" s="50"/>
      <c r="F128" s="50"/>
      <c r="G128" s="50"/>
    </row>
    <row r="129" spans="1:18" x14ac:dyDescent="0.2">
      <c r="A129" s="46"/>
      <c r="B129" s="157" t="s">
        <v>131</v>
      </c>
      <c r="C129" s="158"/>
      <c r="D129" s="13" t="s">
        <v>124</v>
      </c>
      <c r="E129" s="57"/>
      <c r="F129" s="46"/>
      <c r="G129" s="46"/>
    </row>
    <row r="130" spans="1:18" x14ac:dyDescent="0.2">
      <c r="A130" s="46"/>
      <c r="B130" s="157" t="s">
        <v>132</v>
      </c>
      <c r="C130" s="158"/>
      <c r="D130" s="13" t="s">
        <v>124</v>
      </c>
      <c r="E130" s="57"/>
      <c r="F130" s="46"/>
      <c r="G130" s="46"/>
    </row>
    <row r="131" spans="1:18" x14ac:dyDescent="0.2">
      <c r="A131" s="46"/>
      <c r="B131" s="157" t="s">
        <v>627</v>
      </c>
      <c r="C131" s="158"/>
      <c r="D131" s="13" t="s">
        <v>124</v>
      </c>
      <c r="E131" s="57"/>
      <c r="F131" s="46"/>
      <c r="G131" s="46"/>
    </row>
    <row r="132" spans="1:18" x14ac:dyDescent="0.2">
      <c r="A132" s="58"/>
      <c r="B132" s="58"/>
      <c r="C132" s="58"/>
      <c r="D132" s="58"/>
      <c r="E132" s="58"/>
      <c r="F132" s="58"/>
      <c r="G132" s="58"/>
    </row>
    <row r="133" spans="1:18" s="59" customFormat="1" x14ac:dyDescent="0.2">
      <c r="B133" s="161" t="s">
        <v>628</v>
      </c>
      <c r="C133" s="162"/>
      <c r="D133" s="163"/>
      <c r="I133"/>
      <c r="J133" s="11"/>
      <c r="K133" s="30"/>
      <c r="L133" s="30"/>
      <c r="M133" s="30"/>
      <c r="N133" s="30"/>
      <c r="O133" s="65"/>
    </row>
    <row r="134" spans="1:18" s="59" customFormat="1" ht="38.25" x14ac:dyDescent="0.2">
      <c r="B134" s="167" t="s">
        <v>629</v>
      </c>
      <c r="C134" s="167"/>
      <c r="D134" s="60" t="s">
        <v>133</v>
      </c>
      <c r="I134"/>
      <c r="J134" s="11"/>
      <c r="K134" s="30"/>
      <c r="L134" s="30"/>
      <c r="M134" s="30"/>
      <c r="N134" s="30"/>
      <c r="O134" s="65"/>
    </row>
    <row r="135" spans="1:18" s="59" customFormat="1" x14ac:dyDescent="0.2">
      <c r="B135" s="153" t="s">
        <v>630</v>
      </c>
      <c r="C135" s="153"/>
      <c r="D135" s="61"/>
      <c r="I135"/>
      <c r="J135" s="11"/>
      <c r="K135" s="30"/>
      <c r="L135" s="30"/>
      <c r="M135" s="30"/>
      <c r="N135" s="30"/>
      <c r="O135" s="65"/>
    </row>
    <row r="136" spans="1:18" s="59" customFormat="1" x14ac:dyDescent="0.2">
      <c r="B136" s="153"/>
      <c r="C136" s="153"/>
      <c r="D136" s="62"/>
      <c r="I136"/>
      <c r="J136"/>
      <c r="K136" s="30"/>
      <c r="L136" s="30"/>
      <c r="M136" s="30"/>
      <c r="N136" s="30"/>
      <c r="O136" s="65"/>
    </row>
    <row r="137" spans="1:18" s="59" customFormat="1" x14ac:dyDescent="0.2">
      <c r="B137" s="153" t="s">
        <v>631</v>
      </c>
      <c r="C137" s="153"/>
      <c r="D137" s="63">
        <v>6.5139226808931552</v>
      </c>
      <c r="I137"/>
      <c r="J137"/>
      <c r="K137" s="30"/>
      <c r="L137" s="30"/>
      <c r="M137" s="30"/>
      <c r="N137" s="30"/>
      <c r="O137" s="65"/>
    </row>
    <row r="138" spans="1:18" s="59" customFormat="1" x14ac:dyDescent="0.2">
      <c r="B138" s="153"/>
      <c r="C138" s="153"/>
      <c r="D138" s="62"/>
      <c r="I138"/>
      <c r="J138" s="11"/>
      <c r="K138" s="30"/>
      <c r="L138" s="30"/>
      <c r="M138" s="30"/>
      <c r="N138" s="30"/>
      <c r="O138" s="65"/>
    </row>
    <row r="139" spans="1:18" s="59" customFormat="1" x14ac:dyDescent="0.2">
      <c r="B139" s="153" t="s">
        <v>632</v>
      </c>
      <c r="C139" s="153"/>
      <c r="D139" s="63">
        <v>3.0142981869744543</v>
      </c>
      <c r="I139"/>
      <c r="J139" s="11"/>
      <c r="K139" s="30"/>
      <c r="L139" s="30"/>
      <c r="M139" s="30"/>
      <c r="N139" s="30"/>
      <c r="O139" s="65"/>
    </row>
    <row r="140" spans="1:18" s="59" customFormat="1" x14ac:dyDescent="0.2">
      <c r="B140" s="153" t="s">
        <v>633</v>
      </c>
      <c r="C140" s="153"/>
      <c r="D140" s="63">
        <v>3.8693637198666595</v>
      </c>
      <c r="I140"/>
      <c r="J140" s="11"/>
      <c r="K140" s="30"/>
      <c r="L140" s="30"/>
      <c r="M140" s="30"/>
      <c r="N140" s="30"/>
      <c r="O140" s="65"/>
    </row>
    <row r="141" spans="1:18" s="59" customFormat="1" x14ac:dyDescent="0.2">
      <c r="B141" s="153"/>
      <c r="C141" s="153"/>
      <c r="D141" s="62"/>
      <c r="I141"/>
      <c r="J141" s="11"/>
      <c r="K141" s="30"/>
      <c r="L141" s="30"/>
      <c r="M141" s="30"/>
      <c r="N141" s="30"/>
      <c r="O141" s="65"/>
      <c r="R141"/>
    </row>
    <row r="142" spans="1:18" s="59" customFormat="1" x14ac:dyDescent="0.2">
      <c r="B142" s="153" t="s">
        <v>634</v>
      </c>
      <c r="C142" s="153"/>
      <c r="D142" s="64" t="s">
        <v>742</v>
      </c>
      <c r="I142"/>
      <c r="J142" s="11"/>
      <c r="K142" s="30"/>
      <c r="L142" s="30"/>
      <c r="M142" s="30"/>
      <c r="N142" s="30"/>
      <c r="O142" s="65"/>
    </row>
    <row r="143" spans="1:18" s="59" customFormat="1" x14ac:dyDescent="0.2">
      <c r="B143" s="151" t="s">
        <v>635</v>
      </c>
      <c r="C143" s="154"/>
      <c r="D143" s="152"/>
      <c r="I143"/>
      <c r="J143" s="11"/>
      <c r="K143" s="30"/>
      <c r="L143" s="30"/>
      <c r="M143" s="30"/>
      <c r="N143" s="30"/>
      <c r="O143" s="65"/>
      <c r="R143"/>
    </row>
    <row r="144" spans="1:18" x14ac:dyDescent="0.2">
      <c r="J144" s="11"/>
    </row>
    <row r="145" spans="2:10" x14ac:dyDescent="0.2">
      <c r="B145" s="67" t="s">
        <v>636</v>
      </c>
    </row>
    <row r="146" spans="2:10" ht="5.25" customHeight="1" x14ac:dyDescent="0.2"/>
    <row r="147" spans="2:10" ht="168" customHeight="1" x14ac:dyDescent="0.2"/>
    <row r="150" spans="2:10" x14ac:dyDescent="0.2">
      <c r="B150" s="67" t="s">
        <v>637</v>
      </c>
      <c r="C150" s="68"/>
      <c r="D150" s="67"/>
    </row>
    <row r="151" spans="2:10" x14ac:dyDescent="0.2">
      <c r="B151" s="67" t="s">
        <v>639</v>
      </c>
      <c r="D151" s="67"/>
    </row>
    <row r="153" spans="2:10" x14ac:dyDescent="0.2">
      <c r="J153" s="11"/>
    </row>
    <row r="154" spans="2:10" x14ac:dyDescent="0.2">
      <c r="J154" s="11"/>
    </row>
    <row r="155" spans="2:10" x14ac:dyDescent="0.2">
      <c r="J155" s="11"/>
    </row>
    <row r="161" customFormat="1" x14ac:dyDescent="0.2"/>
    <row r="162" customFormat="1" x14ac:dyDescent="0.2"/>
    <row r="163" customFormat="1" x14ac:dyDescent="0.2"/>
    <row r="164" customFormat="1" x14ac:dyDescent="0.2"/>
    <row r="165" customFormat="1" x14ac:dyDescent="0.2"/>
    <row r="166" customFormat="1" x14ac:dyDescent="0.2"/>
    <row r="167" customFormat="1" x14ac:dyDescent="0.2"/>
    <row r="168" customFormat="1" x14ac:dyDescent="0.2"/>
    <row r="169" customFormat="1" x14ac:dyDescent="0.2"/>
    <row r="170" customFormat="1" x14ac:dyDescent="0.2"/>
  </sheetData>
  <mergeCells count="25">
    <mergeCell ref="B135:C135"/>
    <mergeCell ref="B136:C136"/>
    <mergeCell ref="B133:D133"/>
    <mergeCell ref="B127:C127"/>
    <mergeCell ref="B131:C131"/>
    <mergeCell ref="B129:C129"/>
    <mergeCell ref="B130:C130"/>
    <mergeCell ref="B116:D116"/>
    <mergeCell ref="B117:C117"/>
    <mergeCell ref="B118:C118"/>
    <mergeCell ref="B119:C119"/>
    <mergeCell ref="B134:C134"/>
    <mergeCell ref="A1:H1"/>
    <mergeCell ref="A2:H2"/>
    <mergeCell ref="B112:H112"/>
    <mergeCell ref="B113:H113"/>
    <mergeCell ref="B114:H114"/>
    <mergeCell ref="A3:H3"/>
    <mergeCell ref="B142:C142"/>
    <mergeCell ref="B143:D143"/>
    <mergeCell ref="B137:C137"/>
    <mergeCell ref="B138:C138"/>
    <mergeCell ref="B139:C139"/>
    <mergeCell ref="B140:C140"/>
    <mergeCell ref="B141:C141"/>
  </mergeCells>
  <hyperlinks>
    <hyperlink ref="I1" location="Index!B2" display="Index" xr:uid="{0A36048B-3C22-4513-B83B-81A1FD2E59C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A41AE-0223-4F5D-86FE-6A5C60F99D21}">
  <sheetPr>
    <outlinePr summaryBelow="0" summaryRight="0"/>
  </sheetPr>
  <dimension ref="A1:Q179"/>
  <sheetViews>
    <sheetView showGridLines="0" topLeftCell="A139" workbookViewId="0">
      <selection activeCell="C144" sqref="C144:C147"/>
    </sheetView>
  </sheetViews>
  <sheetFormatPr defaultRowHeight="12.75" x14ac:dyDescent="0.2"/>
  <cols>
    <col min="1" max="1" width="5.85546875" bestFit="1" customWidth="1"/>
    <col min="2" max="2" width="19.28515625" bestFit="1" customWidth="1"/>
    <col min="3" max="3" width="44.28515625" customWidth="1"/>
    <col min="4" max="4" width="10.7109375" bestFit="1" customWidth="1"/>
    <col min="5" max="5" width="9.42578125" bestFit="1" customWidth="1"/>
    <col min="6" max="6" width="10.140625" bestFit="1" customWidth="1"/>
    <col min="7" max="7" width="14" bestFit="1" customWidth="1"/>
    <col min="8" max="8" width="9.5703125" customWidth="1"/>
  </cols>
  <sheetData>
    <row r="1" spans="1:9" ht="15" x14ac:dyDescent="0.2">
      <c r="A1" s="155" t="s">
        <v>0</v>
      </c>
      <c r="B1" s="155"/>
      <c r="C1" s="155"/>
      <c r="D1" s="155"/>
      <c r="E1" s="155"/>
      <c r="F1" s="155"/>
      <c r="G1" s="155"/>
      <c r="H1" s="155"/>
      <c r="I1" s="1" t="s">
        <v>607</v>
      </c>
    </row>
    <row r="2" spans="1:9" ht="15" x14ac:dyDescent="0.2">
      <c r="A2" s="155" t="s">
        <v>172</v>
      </c>
      <c r="B2" s="155"/>
      <c r="C2" s="155"/>
      <c r="D2" s="155"/>
      <c r="E2" s="155"/>
      <c r="F2" s="155"/>
      <c r="G2" s="155"/>
      <c r="H2" s="155"/>
    </row>
    <row r="3" spans="1:9" ht="15" x14ac:dyDescent="0.2">
      <c r="A3" s="155" t="s">
        <v>756</v>
      </c>
      <c r="B3" s="155"/>
      <c r="C3" s="155"/>
      <c r="D3" s="155"/>
      <c r="E3" s="155"/>
      <c r="F3" s="155"/>
      <c r="G3" s="155"/>
      <c r="H3" s="155"/>
    </row>
    <row r="4" spans="1:9" s="11" customFormat="1" ht="30" x14ac:dyDescent="0.2">
      <c r="A4" s="9" t="s">
        <v>2</v>
      </c>
      <c r="B4" s="9" t="s">
        <v>3</v>
      </c>
      <c r="C4" s="9" t="s">
        <v>4</v>
      </c>
      <c r="D4" s="9" t="s">
        <v>5</v>
      </c>
      <c r="E4" s="9" t="s">
        <v>6</v>
      </c>
      <c r="F4" s="9" t="s">
        <v>7</v>
      </c>
      <c r="G4" s="9" t="s">
        <v>8</v>
      </c>
      <c r="H4" s="10" t="s">
        <v>606</v>
      </c>
    </row>
    <row r="5" spans="1:9" x14ac:dyDescent="0.2">
      <c r="A5" s="12"/>
      <c r="B5" s="12"/>
      <c r="C5" s="13" t="s">
        <v>9</v>
      </c>
      <c r="D5" s="12"/>
      <c r="E5" s="12"/>
      <c r="F5" s="12"/>
      <c r="G5" s="12"/>
      <c r="H5" s="14" t="s">
        <v>12</v>
      </c>
    </row>
    <row r="6" spans="1:9" x14ac:dyDescent="0.2">
      <c r="A6" s="15"/>
      <c r="B6" s="15"/>
      <c r="C6" s="16" t="s">
        <v>10</v>
      </c>
      <c r="D6" s="15"/>
      <c r="E6" s="15"/>
      <c r="F6" s="15"/>
      <c r="G6" s="15"/>
      <c r="H6" s="14" t="s">
        <v>12</v>
      </c>
    </row>
    <row r="7" spans="1:9" x14ac:dyDescent="0.2">
      <c r="A7" s="15"/>
      <c r="B7" s="15"/>
      <c r="C7" s="16" t="s">
        <v>11</v>
      </c>
      <c r="D7" s="15"/>
      <c r="E7" s="15" t="s">
        <v>12</v>
      </c>
      <c r="F7" s="17" t="s">
        <v>13</v>
      </c>
      <c r="G7" s="18">
        <v>0</v>
      </c>
      <c r="H7" s="14" t="s">
        <v>12</v>
      </c>
    </row>
    <row r="8" spans="1:9" x14ac:dyDescent="0.2">
      <c r="A8" s="15"/>
      <c r="B8" s="15"/>
      <c r="C8" s="19"/>
      <c r="D8" s="15"/>
      <c r="E8" s="15"/>
      <c r="F8" s="20"/>
      <c r="G8" s="20"/>
      <c r="H8" s="14" t="s">
        <v>12</v>
      </c>
    </row>
    <row r="9" spans="1:9" x14ac:dyDescent="0.2">
      <c r="A9" s="15"/>
      <c r="B9" s="15"/>
      <c r="C9" s="16" t="s">
        <v>14</v>
      </c>
      <c r="D9" s="15"/>
      <c r="E9" s="15"/>
      <c r="F9" s="15"/>
      <c r="G9" s="15"/>
      <c r="H9" s="14" t="s">
        <v>12</v>
      </c>
    </row>
    <row r="10" spans="1:9" x14ac:dyDescent="0.2">
      <c r="A10" s="15"/>
      <c r="B10" s="15"/>
      <c r="C10" s="16" t="s">
        <v>11</v>
      </c>
      <c r="D10" s="15"/>
      <c r="E10" s="15" t="s">
        <v>12</v>
      </c>
      <c r="F10" s="17" t="s">
        <v>13</v>
      </c>
      <c r="G10" s="18">
        <v>0</v>
      </c>
      <c r="H10" s="14" t="s">
        <v>12</v>
      </c>
    </row>
    <row r="11" spans="1:9" x14ac:dyDescent="0.2">
      <c r="A11" s="15"/>
      <c r="B11" s="15"/>
      <c r="C11" s="19"/>
      <c r="D11" s="15"/>
      <c r="E11" s="15"/>
      <c r="F11" s="20"/>
      <c r="G11" s="20"/>
      <c r="H11" s="14" t="s">
        <v>12</v>
      </c>
    </row>
    <row r="12" spans="1:9" x14ac:dyDescent="0.2">
      <c r="A12" s="15"/>
      <c r="B12" s="15"/>
      <c r="C12" s="16" t="s">
        <v>15</v>
      </c>
      <c r="D12" s="15"/>
      <c r="E12" s="15"/>
      <c r="F12" s="15"/>
      <c r="G12" s="15"/>
      <c r="H12" s="14" t="s">
        <v>12</v>
      </c>
    </row>
    <row r="13" spans="1:9" x14ac:dyDescent="0.2">
      <c r="A13" s="15"/>
      <c r="B13" s="15"/>
      <c r="C13" s="16" t="s">
        <v>11</v>
      </c>
      <c r="D13" s="15"/>
      <c r="E13" s="15" t="s">
        <v>12</v>
      </c>
      <c r="F13" s="17" t="s">
        <v>13</v>
      </c>
      <c r="G13" s="18">
        <v>0</v>
      </c>
      <c r="H13" s="14" t="s">
        <v>12</v>
      </c>
    </row>
    <row r="14" spans="1:9" x14ac:dyDescent="0.2">
      <c r="A14" s="15"/>
      <c r="B14" s="15"/>
      <c r="C14" s="19"/>
      <c r="D14" s="15"/>
      <c r="E14" s="15"/>
      <c r="F14" s="20"/>
      <c r="G14" s="20"/>
      <c r="H14" s="14" t="s">
        <v>12</v>
      </c>
    </row>
    <row r="15" spans="1:9" x14ac:dyDescent="0.2">
      <c r="A15" s="15"/>
      <c r="B15" s="15"/>
      <c r="C15" s="16" t="s">
        <v>16</v>
      </c>
      <c r="D15" s="15"/>
      <c r="E15" s="15"/>
      <c r="F15" s="15"/>
      <c r="G15" s="15"/>
      <c r="H15" s="14" t="s">
        <v>12</v>
      </c>
    </row>
    <row r="16" spans="1:9" x14ac:dyDescent="0.2">
      <c r="A16" s="15"/>
      <c r="B16" s="15"/>
      <c r="C16" s="16" t="s">
        <v>11</v>
      </c>
      <c r="D16" s="15"/>
      <c r="E16" s="15" t="s">
        <v>12</v>
      </c>
      <c r="F16" s="17" t="s">
        <v>13</v>
      </c>
      <c r="G16" s="18">
        <v>0</v>
      </c>
      <c r="H16" s="14" t="s">
        <v>12</v>
      </c>
    </row>
    <row r="17" spans="1:8" x14ac:dyDescent="0.2">
      <c r="A17" s="15"/>
      <c r="B17" s="15"/>
      <c r="C17" s="19"/>
      <c r="D17" s="15"/>
      <c r="E17" s="15"/>
      <c r="F17" s="20"/>
      <c r="G17" s="20"/>
      <c r="H17" s="14" t="s">
        <v>12</v>
      </c>
    </row>
    <row r="18" spans="1:8" x14ac:dyDescent="0.2">
      <c r="A18" s="15"/>
      <c r="B18" s="15"/>
      <c r="C18" s="16" t="s">
        <v>17</v>
      </c>
      <c r="D18" s="15"/>
      <c r="E18" s="15"/>
      <c r="F18" s="20"/>
      <c r="G18" s="20"/>
      <c r="H18" s="14" t="s">
        <v>12</v>
      </c>
    </row>
    <row r="19" spans="1:8" x14ac:dyDescent="0.2">
      <c r="A19" s="15"/>
      <c r="B19" s="15"/>
      <c r="C19" s="16" t="s">
        <v>11</v>
      </c>
      <c r="D19" s="15"/>
      <c r="E19" s="15" t="s">
        <v>12</v>
      </c>
      <c r="F19" s="17" t="s">
        <v>13</v>
      </c>
      <c r="G19" s="18">
        <v>0</v>
      </c>
      <c r="H19" s="14" t="s">
        <v>12</v>
      </c>
    </row>
    <row r="20" spans="1:8" x14ac:dyDescent="0.2">
      <c r="A20" s="15"/>
      <c r="B20" s="15"/>
      <c r="C20" s="19"/>
      <c r="D20" s="15"/>
      <c r="E20" s="15"/>
      <c r="F20" s="20"/>
      <c r="G20" s="20"/>
      <c r="H20" s="14" t="s">
        <v>12</v>
      </c>
    </row>
    <row r="21" spans="1:8" x14ac:dyDescent="0.2">
      <c r="A21" s="15"/>
      <c r="B21" s="15"/>
      <c r="C21" s="16" t="s">
        <v>18</v>
      </c>
      <c r="D21" s="15"/>
      <c r="E21" s="15"/>
      <c r="F21" s="20"/>
      <c r="G21" s="20"/>
      <c r="H21" s="14" t="s">
        <v>12</v>
      </c>
    </row>
    <row r="22" spans="1:8" x14ac:dyDescent="0.2">
      <c r="A22" s="15"/>
      <c r="B22" s="15"/>
      <c r="C22" s="16" t="s">
        <v>11</v>
      </c>
      <c r="D22" s="15"/>
      <c r="E22" s="15" t="s">
        <v>12</v>
      </c>
      <c r="F22" s="17" t="s">
        <v>13</v>
      </c>
      <c r="G22" s="18">
        <v>0</v>
      </c>
      <c r="H22" s="14" t="s">
        <v>12</v>
      </c>
    </row>
    <row r="23" spans="1:8" x14ac:dyDescent="0.2">
      <c r="A23" s="15"/>
      <c r="B23" s="15"/>
      <c r="C23" s="19"/>
      <c r="D23" s="15"/>
      <c r="E23" s="15"/>
      <c r="F23" s="20"/>
      <c r="G23" s="20"/>
      <c r="H23" s="14" t="s">
        <v>12</v>
      </c>
    </row>
    <row r="24" spans="1:8" x14ac:dyDescent="0.2">
      <c r="A24" s="15"/>
      <c r="B24" s="15"/>
      <c r="C24" s="16" t="s">
        <v>19</v>
      </c>
      <c r="D24" s="15"/>
      <c r="E24" s="15"/>
      <c r="F24" s="21">
        <v>0</v>
      </c>
      <c r="G24" s="18">
        <v>0</v>
      </c>
      <c r="H24" s="14" t="s">
        <v>12</v>
      </c>
    </row>
    <row r="25" spans="1:8" x14ac:dyDescent="0.2">
      <c r="A25" s="15"/>
      <c r="B25" s="15"/>
      <c r="C25" s="19"/>
      <c r="D25" s="15"/>
      <c r="E25" s="15"/>
      <c r="F25" s="20"/>
      <c r="G25" s="20"/>
      <c r="H25" s="14" t="s">
        <v>12</v>
      </c>
    </row>
    <row r="26" spans="1:8" x14ac:dyDescent="0.2">
      <c r="A26" s="15"/>
      <c r="B26" s="15"/>
      <c r="C26" s="16" t="s">
        <v>20</v>
      </c>
      <c r="D26" s="15"/>
      <c r="E26" s="15"/>
      <c r="F26" s="20"/>
      <c r="G26" s="20"/>
      <c r="H26" s="14" t="s">
        <v>12</v>
      </c>
    </row>
    <row r="27" spans="1:8" x14ac:dyDescent="0.2">
      <c r="A27" s="15"/>
      <c r="B27" s="15"/>
      <c r="C27" s="16" t="s">
        <v>10</v>
      </c>
      <c r="D27" s="15"/>
      <c r="E27" s="15"/>
      <c r="F27" s="20"/>
      <c r="G27" s="20"/>
      <c r="H27" s="14" t="s">
        <v>12</v>
      </c>
    </row>
    <row r="28" spans="1:8" x14ac:dyDescent="0.2">
      <c r="A28" s="15"/>
      <c r="B28" s="15"/>
      <c r="C28" s="16" t="s">
        <v>11</v>
      </c>
      <c r="D28" s="15"/>
      <c r="E28" s="15" t="s">
        <v>12</v>
      </c>
      <c r="F28" s="17" t="s">
        <v>13</v>
      </c>
      <c r="G28" s="18">
        <v>0</v>
      </c>
      <c r="H28" s="14" t="s">
        <v>12</v>
      </c>
    </row>
    <row r="29" spans="1:8" x14ac:dyDescent="0.2">
      <c r="A29" s="15"/>
      <c r="B29" s="15"/>
      <c r="C29" s="19"/>
      <c r="D29" s="15"/>
      <c r="E29" s="15"/>
      <c r="F29" s="20"/>
      <c r="G29" s="20"/>
      <c r="H29" s="14" t="s">
        <v>12</v>
      </c>
    </row>
    <row r="30" spans="1:8" x14ac:dyDescent="0.2">
      <c r="A30" s="15"/>
      <c r="B30" s="15"/>
      <c r="C30" s="16" t="s">
        <v>79</v>
      </c>
      <c r="D30" s="15"/>
      <c r="E30" s="15"/>
      <c r="F30" s="15"/>
      <c r="G30" s="15"/>
      <c r="H30" s="14" t="s">
        <v>12</v>
      </c>
    </row>
    <row r="31" spans="1:8" x14ac:dyDescent="0.2">
      <c r="A31" s="15"/>
      <c r="B31" s="15"/>
      <c r="C31" s="16" t="s">
        <v>11</v>
      </c>
      <c r="D31" s="15"/>
      <c r="E31" s="15" t="s">
        <v>12</v>
      </c>
      <c r="F31" s="17" t="s">
        <v>13</v>
      </c>
      <c r="G31" s="18">
        <v>0</v>
      </c>
      <c r="H31" s="14" t="s">
        <v>12</v>
      </c>
    </row>
    <row r="32" spans="1:8" x14ac:dyDescent="0.2">
      <c r="A32" s="15"/>
      <c r="B32" s="15"/>
      <c r="C32" s="19"/>
      <c r="D32" s="15"/>
      <c r="E32" s="15"/>
      <c r="F32" s="20"/>
      <c r="G32" s="20"/>
      <c r="H32" s="14" t="s">
        <v>12</v>
      </c>
    </row>
    <row r="33" spans="1:8" x14ac:dyDescent="0.2">
      <c r="A33" s="15"/>
      <c r="B33" s="15"/>
      <c r="C33" s="16" t="s">
        <v>80</v>
      </c>
      <c r="D33" s="15"/>
      <c r="E33" s="15"/>
      <c r="F33" s="15"/>
      <c r="G33" s="15"/>
      <c r="H33" s="14" t="s">
        <v>12</v>
      </c>
    </row>
    <row r="34" spans="1:8" ht="25.5" x14ac:dyDescent="0.2">
      <c r="A34" s="22">
        <v>1</v>
      </c>
      <c r="B34" s="23" t="s">
        <v>173</v>
      </c>
      <c r="C34" s="23" t="s">
        <v>174</v>
      </c>
      <c r="D34" s="23" t="s">
        <v>83</v>
      </c>
      <c r="E34" s="24">
        <v>5000000</v>
      </c>
      <c r="F34" s="25">
        <v>5096.3549999999996</v>
      </c>
      <c r="G34" s="26">
        <v>2.6158000000000001E-2</v>
      </c>
      <c r="H34" s="14">
        <v>5.8429000000000002</v>
      </c>
    </row>
    <row r="35" spans="1:8" ht="25.5" x14ac:dyDescent="0.2">
      <c r="A35" s="22">
        <v>2</v>
      </c>
      <c r="B35" s="23" t="s">
        <v>175</v>
      </c>
      <c r="C35" s="23" t="s">
        <v>176</v>
      </c>
      <c r="D35" s="23" t="s">
        <v>83</v>
      </c>
      <c r="E35" s="24">
        <v>4000000</v>
      </c>
      <c r="F35" s="25">
        <v>4051.5120000000002</v>
      </c>
      <c r="G35" s="26">
        <v>2.079514E-2</v>
      </c>
      <c r="H35" s="14">
        <v>5.65</v>
      </c>
    </row>
    <row r="36" spans="1:8" x14ac:dyDescent="0.2">
      <c r="A36" s="22">
        <v>3</v>
      </c>
      <c r="B36" s="23" t="s">
        <v>177</v>
      </c>
      <c r="C36" s="23" t="s">
        <v>178</v>
      </c>
      <c r="D36" s="23" t="s">
        <v>83</v>
      </c>
      <c r="E36" s="24">
        <v>2500000</v>
      </c>
      <c r="F36" s="25">
        <v>2541.3775000000001</v>
      </c>
      <c r="G36" s="26">
        <v>1.3044099999999999E-2</v>
      </c>
      <c r="H36" s="14">
        <v>5.8377999999999997</v>
      </c>
    </row>
    <row r="37" spans="1:8" x14ac:dyDescent="0.2">
      <c r="A37" s="15"/>
      <c r="B37" s="15"/>
      <c r="C37" s="16" t="s">
        <v>11</v>
      </c>
      <c r="D37" s="15"/>
      <c r="E37" s="15" t="s">
        <v>12</v>
      </c>
      <c r="F37" s="21">
        <v>11689.244500000001</v>
      </c>
      <c r="G37" s="18">
        <v>5.999724E-2</v>
      </c>
      <c r="H37" s="14" t="s">
        <v>12</v>
      </c>
    </row>
    <row r="38" spans="1:8" x14ac:dyDescent="0.2">
      <c r="A38" s="15"/>
      <c r="B38" s="15"/>
      <c r="C38" s="19"/>
      <c r="D38" s="15"/>
      <c r="E38" s="15"/>
      <c r="F38" s="20"/>
      <c r="G38" s="20"/>
      <c r="H38" s="14" t="s">
        <v>12</v>
      </c>
    </row>
    <row r="39" spans="1:8" x14ac:dyDescent="0.2">
      <c r="A39" s="15"/>
      <c r="B39" s="15"/>
      <c r="C39" s="16" t="s">
        <v>98</v>
      </c>
      <c r="D39" s="15"/>
      <c r="E39" s="15"/>
      <c r="F39" s="20"/>
      <c r="G39" s="20"/>
      <c r="H39" s="14" t="s">
        <v>12</v>
      </c>
    </row>
    <row r="40" spans="1:8" x14ac:dyDescent="0.2">
      <c r="A40" s="15"/>
      <c r="B40" s="15"/>
      <c r="C40" s="16" t="s">
        <v>11</v>
      </c>
      <c r="D40" s="15"/>
      <c r="E40" s="15" t="s">
        <v>12</v>
      </c>
      <c r="F40" s="17" t="s">
        <v>13</v>
      </c>
      <c r="G40" s="18">
        <v>0</v>
      </c>
      <c r="H40" s="14" t="s">
        <v>12</v>
      </c>
    </row>
    <row r="41" spans="1:8" x14ac:dyDescent="0.2">
      <c r="A41" s="15"/>
      <c r="B41" s="15"/>
      <c r="C41" s="19"/>
      <c r="D41" s="15"/>
      <c r="E41" s="15"/>
      <c r="F41" s="20"/>
      <c r="G41" s="20"/>
      <c r="H41" s="14" t="s">
        <v>12</v>
      </c>
    </row>
    <row r="42" spans="1:8" x14ac:dyDescent="0.2">
      <c r="A42" s="15"/>
      <c r="B42" s="15"/>
      <c r="C42" s="16" t="s">
        <v>99</v>
      </c>
      <c r="D42" s="15"/>
      <c r="E42" s="15"/>
      <c r="F42" s="21">
        <v>11689.244500000001</v>
      </c>
      <c r="G42" s="18">
        <v>5.999724E-2</v>
      </c>
      <c r="H42" s="14" t="s">
        <v>12</v>
      </c>
    </row>
    <row r="43" spans="1:8" x14ac:dyDescent="0.2">
      <c r="A43" s="15"/>
      <c r="B43" s="15"/>
      <c r="C43" s="19"/>
      <c r="D43" s="15"/>
      <c r="E43" s="15"/>
      <c r="F43" s="20"/>
      <c r="G43" s="20"/>
      <c r="H43" s="14" t="s">
        <v>12</v>
      </c>
    </row>
    <row r="44" spans="1:8" x14ac:dyDescent="0.2">
      <c r="A44" s="15"/>
      <c r="B44" s="15"/>
      <c r="C44" s="16" t="s">
        <v>100</v>
      </c>
      <c r="D44" s="15"/>
      <c r="E44" s="15"/>
      <c r="F44" s="20"/>
      <c r="G44" s="20"/>
      <c r="H44" s="14" t="s">
        <v>12</v>
      </c>
    </row>
    <row r="45" spans="1:8" x14ac:dyDescent="0.2">
      <c r="A45" s="15"/>
      <c r="B45" s="15"/>
      <c r="C45" s="16" t="s">
        <v>101</v>
      </c>
      <c r="D45" s="15"/>
      <c r="E45" s="15"/>
      <c r="F45" s="20"/>
      <c r="G45" s="20"/>
      <c r="H45" s="14" t="s">
        <v>12</v>
      </c>
    </row>
    <row r="46" spans="1:8" x14ac:dyDescent="0.2">
      <c r="A46" s="22">
        <v>1</v>
      </c>
      <c r="B46" s="23" t="s">
        <v>170</v>
      </c>
      <c r="C46" s="23" t="s">
        <v>171</v>
      </c>
      <c r="D46" s="23" t="s">
        <v>107</v>
      </c>
      <c r="E46" s="24">
        <v>2200</v>
      </c>
      <c r="F46" s="25">
        <v>10596.289000000001</v>
      </c>
      <c r="G46" s="26">
        <v>5.4387440000000002E-2</v>
      </c>
      <c r="H46" s="14">
        <v>6.0201000000000002</v>
      </c>
    </row>
    <row r="47" spans="1:8" x14ac:dyDescent="0.2">
      <c r="A47" s="22">
        <v>2</v>
      </c>
      <c r="B47" s="23" t="s">
        <v>179</v>
      </c>
      <c r="C47" s="23" t="s">
        <v>180</v>
      </c>
      <c r="D47" s="23" t="s">
        <v>107</v>
      </c>
      <c r="E47" s="24">
        <v>2000</v>
      </c>
      <c r="F47" s="25">
        <v>9654.1200000000008</v>
      </c>
      <c r="G47" s="26">
        <v>4.9551579999999998E-2</v>
      </c>
      <c r="H47" s="14">
        <v>6.0824999999999996</v>
      </c>
    </row>
    <row r="48" spans="1:8" x14ac:dyDescent="0.2">
      <c r="A48" s="22">
        <v>3</v>
      </c>
      <c r="B48" s="23" t="s">
        <v>181</v>
      </c>
      <c r="C48" s="23" t="s">
        <v>182</v>
      </c>
      <c r="D48" s="23" t="s">
        <v>107</v>
      </c>
      <c r="E48" s="24">
        <v>1500</v>
      </c>
      <c r="F48" s="25">
        <v>7226.1674999999996</v>
      </c>
      <c r="G48" s="26">
        <v>3.7089660000000003E-2</v>
      </c>
      <c r="H48" s="14">
        <v>6.04</v>
      </c>
    </row>
    <row r="49" spans="1:8" x14ac:dyDescent="0.2">
      <c r="A49" s="22">
        <v>4</v>
      </c>
      <c r="B49" s="23" t="s">
        <v>183</v>
      </c>
      <c r="C49" s="23" t="s">
        <v>184</v>
      </c>
      <c r="D49" s="23" t="s">
        <v>107</v>
      </c>
      <c r="E49" s="24">
        <v>1500</v>
      </c>
      <c r="F49" s="25">
        <v>7217.0174999999999</v>
      </c>
      <c r="G49" s="26">
        <v>3.7042690000000003E-2</v>
      </c>
      <c r="H49" s="14">
        <v>6.0900999999999996</v>
      </c>
    </row>
    <row r="50" spans="1:8" x14ac:dyDescent="0.2">
      <c r="A50" s="22">
        <v>5</v>
      </c>
      <c r="B50" s="23" t="s">
        <v>185</v>
      </c>
      <c r="C50" s="23" t="s">
        <v>186</v>
      </c>
      <c r="D50" s="23" t="s">
        <v>107</v>
      </c>
      <c r="E50" s="24">
        <v>1000</v>
      </c>
      <c r="F50" s="25">
        <v>4899.7</v>
      </c>
      <c r="G50" s="26">
        <v>2.5148630000000002E-2</v>
      </c>
      <c r="H50" s="14">
        <v>5.93</v>
      </c>
    </row>
    <row r="51" spans="1:8" x14ac:dyDescent="0.2">
      <c r="A51" s="22">
        <v>6</v>
      </c>
      <c r="B51" s="23" t="s">
        <v>187</v>
      </c>
      <c r="C51" s="23" t="s">
        <v>188</v>
      </c>
      <c r="D51" s="23" t="s">
        <v>189</v>
      </c>
      <c r="E51" s="24">
        <v>1000</v>
      </c>
      <c r="F51" s="25">
        <v>4894.6400000000003</v>
      </c>
      <c r="G51" s="26">
        <v>2.5122660000000002E-2</v>
      </c>
      <c r="H51" s="14">
        <v>5.9074</v>
      </c>
    </row>
    <row r="52" spans="1:8" x14ac:dyDescent="0.2">
      <c r="A52" s="22">
        <v>7</v>
      </c>
      <c r="B52" s="23" t="s">
        <v>190</v>
      </c>
      <c r="C52" s="23" t="s">
        <v>191</v>
      </c>
      <c r="D52" s="23" t="s">
        <v>107</v>
      </c>
      <c r="E52" s="24">
        <v>1000</v>
      </c>
      <c r="F52" s="25">
        <v>4826.9549999999999</v>
      </c>
      <c r="G52" s="26">
        <v>2.4775249999999999E-2</v>
      </c>
      <c r="H52" s="14">
        <v>6.0301</v>
      </c>
    </row>
    <row r="53" spans="1:8" ht="25.5" x14ac:dyDescent="0.2">
      <c r="A53" s="22">
        <v>8</v>
      </c>
      <c r="B53" s="23" t="s">
        <v>192</v>
      </c>
      <c r="C53" s="23" t="s">
        <v>193</v>
      </c>
      <c r="D53" s="23" t="s">
        <v>107</v>
      </c>
      <c r="E53" s="24">
        <v>1000</v>
      </c>
      <c r="F53" s="25">
        <v>4822.47</v>
      </c>
      <c r="G53" s="26">
        <v>2.475223E-2</v>
      </c>
      <c r="H53" s="14">
        <v>6.08</v>
      </c>
    </row>
    <row r="54" spans="1:8" x14ac:dyDescent="0.2">
      <c r="A54" s="22">
        <v>9</v>
      </c>
      <c r="B54" s="23" t="s">
        <v>194</v>
      </c>
      <c r="C54" s="23" t="s">
        <v>195</v>
      </c>
      <c r="D54" s="23" t="s">
        <v>107</v>
      </c>
      <c r="E54" s="24">
        <v>1000</v>
      </c>
      <c r="F54" s="25">
        <v>4822.34</v>
      </c>
      <c r="G54" s="26">
        <v>2.4751559999999999E-2</v>
      </c>
      <c r="H54" s="14">
        <v>6.0301</v>
      </c>
    </row>
    <row r="55" spans="1:8" x14ac:dyDescent="0.2">
      <c r="A55" s="22">
        <v>10</v>
      </c>
      <c r="B55" s="23" t="s">
        <v>196</v>
      </c>
      <c r="C55" s="23" t="s">
        <v>197</v>
      </c>
      <c r="D55" s="23" t="s">
        <v>107</v>
      </c>
      <c r="E55" s="24">
        <v>1000</v>
      </c>
      <c r="F55" s="25">
        <v>4817.59</v>
      </c>
      <c r="G55" s="26">
        <v>2.4727180000000001E-2</v>
      </c>
      <c r="H55" s="14">
        <v>6.0350000000000001</v>
      </c>
    </row>
    <row r="56" spans="1:8" x14ac:dyDescent="0.2">
      <c r="A56" s="22">
        <v>11</v>
      </c>
      <c r="B56" s="23" t="s">
        <v>198</v>
      </c>
      <c r="C56" s="23" t="s">
        <v>199</v>
      </c>
      <c r="D56" s="23" t="s">
        <v>107</v>
      </c>
      <c r="E56" s="24">
        <v>1000</v>
      </c>
      <c r="F56" s="25">
        <v>4817.4049999999997</v>
      </c>
      <c r="G56" s="26">
        <v>2.4726229999999998E-2</v>
      </c>
      <c r="H56" s="14">
        <v>6.0151000000000003</v>
      </c>
    </row>
    <row r="57" spans="1:8" ht="25.5" x14ac:dyDescent="0.2">
      <c r="A57" s="22">
        <v>12</v>
      </c>
      <c r="B57" s="23" t="s">
        <v>200</v>
      </c>
      <c r="C57" s="23" t="s">
        <v>201</v>
      </c>
      <c r="D57" s="23" t="s">
        <v>107</v>
      </c>
      <c r="E57" s="24">
        <v>900</v>
      </c>
      <c r="F57" s="25">
        <v>4329.0945000000002</v>
      </c>
      <c r="G57" s="26">
        <v>2.2219889999999999E-2</v>
      </c>
      <c r="H57" s="14">
        <v>6.08</v>
      </c>
    </row>
    <row r="58" spans="1:8" ht="25.5" x14ac:dyDescent="0.2">
      <c r="A58" s="22">
        <v>13</v>
      </c>
      <c r="B58" s="23" t="s">
        <v>202</v>
      </c>
      <c r="C58" s="23" t="s">
        <v>203</v>
      </c>
      <c r="D58" s="23" t="s">
        <v>107</v>
      </c>
      <c r="E58" s="24">
        <v>800</v>
      </c>
      <c r="F58" s="25">
        <v>3864.8760000000002</v>
      </c>
      <c r="G58" s="26">
        <v>1.9837199999999999E-2</v>
      </c>
      <c r="H58" s="14">
        <v>6.0766999999999998</v>
      </c>
    </row>
    <row r="59" spans="1:8" ht="25.5" x14ac:dyDescent="0.2">
      <c r="A59" s="22">
        <v>14</v>
      </c>
      <c r="B59" s="23" t="s">
        <v>204</v>
      </c>
      <c r="C59" s="23" t="s">
        <v>205</v>
      </c>
      <c r="D59" s="23" t="s">
        <v>107</v>
      </c>
      <c r="E59" s="24">
        <v>800</v>
      </c>
      <c r="F59" s="25">
        <v>3864.7</v>
      </c>
      <c r="G59" s="26">
        <v>1.9836300000000001E-2</v>
      </c>
      <c r="H59" s="14">
        <v>6.085</v>
      </c>
    </row>
    <row r="60" spans="1:8" x14ac:dyDescent="0.2">
      <c r="A60" s="22">
        <v>15</v>
      </c>
      <c r="B60" s="23" t="s">
        <v>206</v>
      </c>
      <c r="C60" s="23" t="s">
        <v>207</v>
      </c>
      <c r="D60" s="23" t="s">
        <v>107</v>
      </c>
      <c r="E60" s="24">
        <v>600</v>
      </c>
      <c r="F60" s="25">
        <v>2909.4839999999999</v>
      </c>
      <c r="G60" s="26">
        <v>1.4933470000000001E-2</v>
      </c>
      <c r="H60" s="14">
        <v>6.0724999999999998</v>
      </c>
    </row>
    <row r="61" spans="1:8" x14ac:dyDescent="0.2">
      <c r="A61" s="22">
        <v>16</v>
      </c>
      <c r="B61" s="23" t="s">
        <v>208</v>
      </c>
      <c r="C61" s="23" t="s">
        <v>209</v>
      </c>
      <c r="D61" s="23" t="s">
        <v>107</v>
      </c>
      <c r="E61" s="24">
        <v>500</v>
      </c>
      <c r="F61" s="25">
        <v>2464.1275000000001</v>
      </c>
      <c r="G61" s="26">
        <v>1.26476E-2</v>
      </c>
      <c r="H61" s="14">
        <v>6.0384000000000002</v>
      </c>
    </row>
    <row r="62" spans="1:8" x14ac:dyDescent="0.2">
      <c r="A62" s="22">
        <v>17</v>
      </c>
      <c r="B62" s="23" t="s">
        <v>210</v>
      </c>
      <c r="C62" s="23" t="s">
        <v>211</v>
      </c>
      <c r="D62" s="23" t="s">
        <v>107</v>
      </c>
      <c r="E62" s="24">
        <v>500</v>
      </c>
      <c r="F62" s="25">
        <v>2447.0574999999999</v>
      </c>
      <c r="G62" s="26">
        <v>1.255998E-2</v>
      </c>
      <c r="H62" s="14">
        <v>6.2675000000000001</v>
      </c>
    </row>
    <row r="63" spans="1:8" x14ac:dyDescent="0.2">
      <c r="A63" s="22">
        <v>18</v>
      </c>
      <c r="B63" s="23" t="s">
        <v>212</v>
      </c>
      <c r="C63" s="23" t="s">
        <v>213</v>
      </c>
      <c r="D63" s="23" t="s">
        <v>107</v>
      </c>
      <c r="E63" s="24">
        <v>500</v>
      </c>
      <c r="F63" s="25">
        <v>2445.2199999999998</v>
      </c>
      <c r="G63" s="26">
        <v>1.2550550000000001E-2</v>
      </c>
      <c r="H63" s="14">
        <v>5.9686000000000003</v>
      </c>
    </row>
    <row r="64" spans="1:8" x14ac:dyDescent="0.2">
      <c r="A64" s="22">
        <v>19</v>
      </c>
      <c r="B64" s="23" t="s">
        <v>214</v>
      </c>
      <c r="C64" s="23" t="s">
        <v>215</v>
      </c>
      <c r="D64" s="23" t="s">
        <v>107</v>
      </c>
      <c r="E64" s="24">
        <v>500</v>
      </c>
      <c r="F64" s="25">
        <v>2425.08</v>
      </c>
      <c r="G64" s="26">
        <v>1.244718E-2</v>
      </c>
      <c r="H64" s="14">
        <v>6.0301</v>
      </c>
    </row>
    <row r="65" spans="1:8" ht="25.5" x14ac:dyDescent="0.2">
      <c r="A65" s="22">
        <v>20</v>
      </c>
      <c r="B65" s="23" t="s">
        <v>216</v>
      </c>
      <c r="C65" s="23" t="s">
        <v>217</v>
      </c>
      <c r="D65" s="23" t="s">
        <v>107</v>
      </c>
      <c r="E65" s="24">
        <v>500</v>
      </c>
      <c r="F65" s="25">
        <v>2424.0275000000001</v>
      </c>
      <c r="G65" s="26">
        <v>1.244177E-2</v>
      </c>
      <c r="H65" s="14">
        <v>6.085</v>
      </c>
    </row>
    <row r="66" spans="1:8" x14ac:dyDescent="0.2">
      <c r="A66" s="22">
        <v>21</v>
      </c>
      <c r="B66" s="23" t="s">
        <v>218</v>
      </c>
      <c r="C66" s="23" t="s">
        <v>219</v>
      </c>
      <c r="D66" s="23" t="s">
        <v>107</v>
      </c>
      <c r="E66" s="24">
        <v>500</v>
      </c>
      <c r="F66" s="25">
        <v>2423.3325</v>
      </c>
      <c r="G66" s="26">
        <v>1.243821E-2</v>
      </c>
      <c r="H66" s="14">
        <v>6.11</v>
      </c>
    </row>
    <row r="67" spans="1:8" x14ac:dyDescent="0.2">
      <c r="A67" s="22">
        <v>22</v>
      </c>
      <c r="B67" s="23" t="s">
        <v>220</v>
      </c>
      <c r="C67" s="23" t="s">
        <v>221</v>
      </c>
      <c r="D67" s="23" t="s">
        <v>107</v>
      </c>
      <c r="E67" s="24">
        <v>500</v>
      </c>
      <c r="F67" s="25">
        <v>2419.91</v>
      </c>
      <c r="G67" s="26">
        <v>1.242064E-2</v>
      </c>
      <c r="H67" s="14">
        <v>6.0101000000000004</v>
      </c>
    </row>
    <row r="68" spans="1:8" ht="25.5" x14ac:dyDescent="0.2">
      <c r="A68" s="22">
        <v>23</v>
      </c>
      <c r="B68" s="23" t="s">
        <v>222</v>
      </c>
      <c r="C68" s="23" t="s">
        <v>223</v>
      </c>
      <c r="D68" s="23" t="s">
        <v>107</v>
      </c>
      <c r="E68" s="24">
        <v>500</v>
      </c>
      <c r="F68" s="25">
        <v>2419.335</v>
      </c>
      <c r="G68" s="26">
        <v>1.241769E-2</v>
      </c>
      <c r="H68" s="14">
        <v>6.085</v>
      </c>
    </row>
    <row r="69" spans="1:8" x14ac:dyDescent="0.2">
      <c r="A69" s="22">
        <v>24</v>
      </c>
      <c r="B69" s="23" t="s">
        <v>224</v>
      </c>
      <c r="C69" s="23" t="s">
        <v>225</v>
      </c>
      <c r="D69" s="23" t="s">
        <v>107</v>
      </c>
      <c r="E69" s="24">
        <v>500</v>
      </c>
      <c r="F69" s="25">
        <v>2416.4450000000002</v>
      </c>
      <c r="G69" s="26">
        <v>1.240286E-2</v>
      </c>
      <c r="H69" s="14">
        <v>6.0101000000000004</v>
      </c>
    </row>
    <row r="70" spans="1:8" x14ac:dyDescent="0.2">
      <c r="A70" s="22">
        <v>25</v>
      </c>
      <c r="B70" s="23" t="s">
        <v>226</v>
      </c>
      <c r="C70" s="23" t="s">
        <v>227</v>
      </c>
      <c r="D70" s="23" t="s">
        <v>107</v>
      </c>
      <c r="E70" s="24">
        <v>500</v>
      </c>
      <c r="F70" s="25">
        <v>2415.3474999999999</v>
      </c>
      <c r="G70" s="26">
        <v>1.239722E-2</v>
      </c>
      <c r="H70" s="14">
        <v>6.21</v>
      </c>
    </row>
    <row r="71" spans="1:8" x14ac:dyDescent="0.2">
      <c r="A71" s="22">
        <v>26</v>
      </c>
      <c r="B71" s="23" t="s">
        <v>228</v>
      </c>
      <c r="C71" s="23" t="s">
        <v>229</v>
      </c>
      <c r="D71" s="23" t="s">
        <v>107</v>
      </c>
      <c r="E71" s="24">
        <v>500</v>
      </c>
      <c r="F71" s="25">
        <v>2411</v>
      </c>
      <c r="G71" s="26">
        <v>1.2374909999999999E-2</v>
      </c>
      <c r="H71" s="14">
        <v>6.0151000000000003</v>
      </c>
    </row>
    <row r="72" spans="1:8" x14ac:dyDescent="0.2">
      <c r="A72" s="22">
        <v>27</v>
      </c>
      <c r="B72" s="23" t="s">
        <v>230</v>
      </c>
      <c r="C72" s="23" t="s">
        <v>231</v>
      </c>
      <c r="D72" s="23" t="s">
        <v>107</v>
      </c>
      <c r="E72" s="24">
        <v>500</v>
      </c>
      <c r="F72" s="25">
        <v>2410.7150000000001</v>
      </c>
      <c r="G72" s="26">
        <v>1.2373449999999999E-2</v>
      </c>
      <c r="H72" s="14">
        <v>6.0350000000000001</v>
      </c>
    </row>
    <row r="73" spans="1:8" x14ac:dyDescent="0.2">
      <c r="A73" s="22">
        <v>28</v>
      </c>
      <c r="B73" s="23" t="s">
        <v>232</v>
      </c>
      <c r="C73" s="23" t="s">
        <v>233</v>
      </c>
      <c r="D73" s="23" t="s">
        <v>107</v>
      </c>
      <c r="E73" s="24">
        <v>500</v>
      </c>
      <c r="F73" s="25">
        <v>2381.16</v>
      </c>
      <c r="G73" s="26">
        <v>1.222175E-2</v>
      </c>
      <c r="H73" s="14">
        <v>6.26</v>
      </c>
    </row>
    <row r="74" spans="1:8" x14ac:dyDescent="0.2">
      <c r="A74" s="22">
        <v>29</v>
      </c>
      <c r="B74" s="23" t="s">
        <v>234</v>
      </c>
      <c r="C74" s="23" t="s">
        <v>235</v>
      </c>
      <c r="D74" s="23" t="s">
        <v>107</v>
      </c>
      <c r="E74" s="24">
        <v>500</v>
      </c>
      <c r="F74" s="25">
        <v>2372.2474999999999</v>
      </c>
      <c r="G74" s="26">
        <v>1.2175999999999999E-2</v>
      </c>
      <c r="H74" s="14">
        <v>6.26</v>
      </c>
    </row>
    <row r="75" spans="1:8" x14ac:dyDescent="0.2">
      <c r="A75" s="22">
        <v>30</v>
      </c>
      <c r="B75" s="23" t="s">
        <v>236</v>
      </c>
      <c r="C75" s="23" t="s">
        <v>237</v>
      </c>
      <c r="D75" s="23" t="s">
        <v>107</v>
      </c>
      <c r="E75" s="24">
        <v>500</v>
      </c>
      <c r="F75" s="25">
        <v>2367.2399999999998</v>
      </c>
      <c r="G75" s="26">
        <v>1.2150299999999999E-2</v>
      </c>
      <c r="H75" s="14">
        <v>6.26</v>
      </c>
    </row>
    <row r="76" spans="1:8" x14ac:dyDescent="0.2">
      <c r="A76" s="22">
        <v>31</v>
      </c>
      <c r="B76" s="23" t="s">
        <v>168</v>
      </c>
      <c r="C76" s="23" t="s">
        <v>169</v>
      </c>
      <c r="D76" s="23" t="s">
        <v>107</v>
      </c>
      <c r="E76" s="24">
        <v>400</v>
      </c>
      <c r="F76" s="25">
        <v>1939.6559999999999</v>
      </c>
      <c r="G76" s="26">
        <v>9.9556499999999999E-3</v>
      </c>
      <c r="H76" s="14">
        <v>6.0724999999999998</v>
      </c>
    </row>
    <row r="77" spans="1:8" x14ac:dyDescent="0.2">
      <c r="A77" s="22">
        <v>32</v>
      </c>
      <c r="B77" s="23" t="s">
        <v>238</v>
      </c>
      <c r="C77" s="23" t="s">
        <v>239</v>
      </c>
      <c r="D77" s="23" t="s">
        <v>107</v>
      </c>
      <c r="E77" s="24">
        <v>300</v>
      </c>
      <c r="F77" s="25">
        <v>1466.9159999999999</v>
      </c>
      <c r="G77" s="26">
        <v>7.5292199999999997E-3</v>
      </c>
      <c r="H77" s="14">
        <v>5.9225000000000003</v>
      </c>
    </row>
    <row r="78" spans="1:8" x14ac:dyDescent="0.2">
      <c r="A78" s="22">
        <v>33</v>
      </c>
      <c r="B78" s="23" t="s">
        <v>240</v>
      </c>
      <c r="C78" s="23" t="s">
        <v>241</v>
      </c>
      <c r="D78" s="23" t="s">
        <v>107</v>
      </c>
      <c r="E78" s="24">
        <v>300</v>
      </c>
      <c r="F78" s="25">
        <v>1456.614</v>
      </c>
      <c r="G78" s="26">
        <v>7.4763399999999997E-3</v>
      </c>
      <c r="H78" s="14">
        <v>6.2125000000000004</v>
      </c>
    </row>
    <row r="79" spans="1:8" x14ac:dyDescent="0.2">
      <c r="A79" s="22">
        <v>34</v>
      </c>
      <c r="B79" s="23" t="s">
        <v>242</v>
      </c>
      <c r="C79" s="23" t="s">
        <v>243</v>
      </c>
      <c r="D79" s="23" t="s">
        <v>107</v>
      </c>
      <c r="E79" s="24">
        <v>300</v>
      </c>
      <c r="F79" s="25">
        <v>1450.3995</v>
      </c>
      <c r="G79" s="26">
        <v>7.44445E-3</v>
      </c>
      <c r="H79" s="14">
        <v>6.03</v>
      </c>
    </row>
    <row r="80" spans="1:8" x14ac:dyDescent="0.2">
      <c r="A80" s="22">
        <v>35</v>
      </c>
      <c r="B80" s="23" t="s">
        <v>166</v>
      </c>
      <c r="C80" s="23" t="s">
        <v>167</v>
      </c>
      <c r="D80" s="23" t="s">
        <v>107</v>
      </c>
      <c r="E80" s="24">
        <v>300</v>
      </c>
      <c r="F80" s="25">
        <v>1448.6310000000001</v>
      </c>
      <c r="G80" s="26">
        <v>7.4353700000000002E-3</v>
      </c>
      <c r="H80" s="14">
        <v>6.0201000000000002</v>
      </c>
    </row>
    <row r="81" spans="1:8" ht="25.5" x14ac:dyDescent="0.2">
      <c r="A81" s="22">
        <v>36</v>
      </c>
      <c r="B81" s="23" t="s">
        <v>244</v>
      </c>
      <c r="C81" s="23" t="s">
        <v>245</v>
      </c>
      <c r="D81" s="23" t="s">
        <v>107</v>
      </c>
      <c r="E81" s="24">
        <v>200</v>
      </c>
      <c r="F81" s="25">
        <v>969.49400000000003</v>
      </c>
      <c r="G81" s="26">
        <v>4.9761099999999997E-3</v>
      </c>
      <c r="H81" s="14">
        <v>6.0766999999999998</v>
      </c>
    </row>
    <row r="82" spans="1:8" x14ac:dyDescent="0.2">
      <c r="A82" s="22">
        <v>37</v>
      </c>
      <c r="B82" s="23" t="s">
        <v>164</v>
      </c>
      <c r="C82" s="23" t="s">
        <v>165</v>
      </c>
      <c r="D82" s="23" t="s">
        <v>107</v>
      </c>
      <c r="E82" s="24">
        <v>100</v>
      </c>
      <c r="F82" s="25">
        <v>481.23750000000001</v>
      </c>
      <c r="G82" s="26">
        <v>2.4700400000000002E-3</v>
      </c>
      <c r="H82" s="14">
        <v>6.0301</v>
      </c>
    </row>
    <row r="83" spans="1:8" x14ac:dyDescent="0.2">
      <c r="A83" s="15"/>
      <c r="B83" s="15"/>
      <c r="C83" s="16" t="s">
        <v>11</v>
      </c>
      <c r="D83" s="15"/>
      <c r="E83" s="15" t="s">
        <v>12</v>
      </c>
      <c r="F83" s="21">
        <v>129018.04150000001</v>
      </c>
      <c r="G83" s="18">
        <v>0.66220926000000002</v>
      </c>
      <c r="H83" s="14" t="s">
        <v>12</v>
      </c>
    </row>
    <row r="84" spans="1:8" x14ac:dyDescent="0.2">
      <c r="A84" s="15"/>
      <c r="B84" s="15"/>
      <c r="C84" s="19"/>
      <c r="D84" s="15"/>
      <c r="E84" s="15"/>
      <c r="F84" s="20"/>
      <c r="G84" s="20"/>
      <c r="H84" s="14" t="s">
        <v>12</v>
      </c>
    </row>
    <row r="85" spans="1:8" x14ac:dyDescent="0.2">
      <c r="A85" s="15"/>
      <c r="B85" s="15"/>
      <c r="C85" s="16" t="s">
        <v>108</v>
      </c>
      <c r="D85" s="15"/>
      <c r="E85" s="15"/>
      <c r="F85" s="20"/>
      <c r="G85" s="20"/>
      <c r="H85" s="14" t="s">
        <v>12</v>
      </c>
    </row>
    <row r="86" spans="1:8" x14ac:dyDescent="0.2">
      <c r="A86" s="22">
        <v>1</v>
      </c>
      <c r="B86" s="23" t="s">
        <v>246</v>
      </c>
      <c r="C86" s="23" t="s">
        <v>247</v>
      </c>
      <c r="D86" s="23" t="s">
        <v>107</v>
      </c>
      <c r="E86" s="24">
        <v>1000</v>
      </c>
      <c r="F86" s="25">
        <v>4809.6049999999996</v>
      </c>
      <c r="G86" s="26">
        <v>2.4686199999999998E-2</v>
      </c>
      <c r="H86" s="14">
        <v>6.2550999999999997</v>
      </c>
    </row>
    <row r="87" spans="1:8" x14ac:dyDescent="0.2">
      <c r="A87" s="22">
        <v>2</v>
      </c>
      <c r="B87" s="23" t="s">
        <v>248</v>
      </c>
      <c r="C87" s="23" t="s">
        <v>249</v>
      </c>
      <c r="D87" s="23" t="s">
        <v>107</v>
      </c>
      <c r="E87" s="24">
        <v>800</v>
      </c>
      <c r="F87" s="25">
        <v>3854.7919999999999</v>
      </c>
      <c r="G87" s="26">
        <v>1.9785440000000001E-2</v>
      </c>
      <c r="H87" s="14">
        <v>6.4250999999999996</v>
      </c>
    </row>
    <row r="88" spans="1:8" ht="25.5" x14ac:dyDescent="0.2">
      <c r="A88" s="22">
        <v>3</v>
      </c>
      <c r="B88" s="23" t="s">
        <v>250</v>
      </c>
      <c r="C88" s="23" t="s">
        <v>251</v>
      </c>
      <c r="D88" s="23" t="s">
        <v>107</v>
      </c>
      <c r="E88" s="24">
        <v>700</v>
      </c>
      <c r="F88" s="25">
        <v>3412.1044999999999</v>
      </c>
      <c r="G88" s="26">
        <v>1.7513259999999999E-2</v>
      </c>
      <c r="H88" s="14">
        <v>6.5750000000000002</v>
      </c>
    </row>
    <row r="89" spans="1:8" ht="25.5" x14ac:dyDescent="0.2">
      <c r="A89" s="22">
        <v>4</v>
      </c>
      <c r="B89" s="23" t="s">
        <v>252</v>
      </c>
      <c r="C89" s="23" t="s">
        <v>253</v>
      </c>
      <c r="D89" s="23" t="s">
        <v>107</v>
      </c>
      <c r="E89" s="24">
        <v>700</v>
      </c>
      <c r="F89" s="25">
        <v>3370.4650000000001</v>
      </c>
      <c r="G89" s="26">
        <v>1.7299539999999999E-2</v>
      </c>
      <c r="H89" s="14">
        <v>6.68</v>
      </c>
    </row>
    <row r="90" spans="1:8" ht="25.5" x14ac:dyDescent="0.2">
      <c r="A90" s="22">
        <v>5</v>
      </c>
      <c r="B90" s="23" t="s">
        <v>254</v>
      </c>
      <c r="C90" s="23" t="s">
        <v>255</v>
      </c>
      <c r="D90" s="23" t="s">
        <v>107</v>
      </c>
      <c r="E90" s="24">
        <v>700</v>
      </c>
      <c r="F90" s="25">
        <v>3315.5255000000002</v>
      </c>
      <c r="G90" s="26">
        <v>1.7017560000000001E-2</v>
      </c>
      <c r="H90" s="14">
        <v>6.8150000000000004</v>
      </c>
    </row>
    <row r="91" spans="1:8" x14ac:dyDescent="0.2">
      <c r="A91" s="22">
        <v>6</v>
      </c>
      <c r="B91" s="23" t="s">
        <v>256</v>
      </c>
      <c r="C91" s="23" t="s">
        <v>257</v>
      </c>
      <c r="D91" s="23" t="s">
        <v>107</v>
      </c>
      <c r="E91" s="24">
        <v>500</v>
      </c>
      <c r="F91" s="25">
        <v>2466.5075000000002</v>
      </c>
      <c r="G91" s="26">
        <v>1.2659810000000001E-2</v>
      </c>
      <c r="H91" s="14">
        <v>6.4370000000000003</v>
      </c>
    </row>
    <row r="92" spans="1:8" x14ac:dyDescent="0.2">
      <c r="A92" s="22">
        <v>7</v>
      </c>
      <c r="B92" s="23" t="s">
        <v>258</v>
      </c>
      <c r="C92" s="23" t="s">
        <v>259</v>
      </c>
      <c r="D92" s="23" t="s">
        <v>107</v>
      </c>
      <c r="E92" s="24">
        <v>500</v>
      </c>
      <c r="F92" s="25">
        <v>2418.2350000000001</v>
      </c>
      <c r="G92" s="26">
        <v>1.2412039999999999E-2</v>
      </c>
      <c r="H92" s="14">
        <v>6.14</v>
      </c>
    </row>
    <row r="93" spans="1:8" x14ac:dyDescent="0.2">
      <c r="A93" s="22">
        <v>8</v>
      </c>
      <c r="B93" s="23" t="s">
        <v>260</v>
      </c>
      <c r="C93" s="23" t="s">
        <v>261</v>
      </c>
      <c r="D93" s="23" t="s">
        <v>107</v>
      </c>
      <c r="E93" s="24">
        <v>500</v>
      </c>
      <c r="F93" s="25">
        <v>2403.2775000000001</v>
      </c>
      <c r="G93" s="26">
        <v>1.2335270000000001E-2</v>
      </c>
      <c r="H93" s="14">
        <v>7.0625</v>
      </c>
    </row>
    <row r="94" spans="1:8" x14ac:dyDescent="0.2">
      <c r="A94" s="22">
        <v>9</v>
      </c>
      <c r="B94" s="23" t="s">
        <v>262</v>
      </c>
      <c r="C94" s="23" t="s">
        <v>263</v>
      </c>
      <c r="D94" s="23" t="s">
        <v>107</v>
      </c>
      <c r="E94" s="24">
        <v>500</v>
      </c>
      <c r="F94" s="25">
        <v>2375.7725</v>
      </c>
      <c r="G94" s="26">
        <v>1.2194099999999999E-2</v>
      </c>
      <c r="H94" s="14">
        <v>6.65</v>
      </c>
    </row>
    <row r="95" spans="1:8" x14ac:dyDescent="0.2">
      <c r="A95" s="22">
        <v>10</v>
      </c>
      <c r="B95" s="23" t="s">
        <v>264</v>
      </c>
      <c r="C95" s="23" t="s">
        <v>265</v>
      </c>
      <c r="D95" s="23" t="s">
        <v>107</v>
      </c>
      <c r="E95" s="24">
        <v>500</v>
      </c>
      <c r="F95" s="25">
        <v>2369.0050000000001</v>
      </c>
      <c r="G95" s="26">
        <v>1.2159359999999999E-2</v>
      </c>
      <c r="H95" s="14">
        <v>6.8650000000000002</v>
      </c>
    </row>
    <row r="96" spans="1:8" ht="25.5" x14ac:dyDescent="0.2">
      <c r="A96" s="22">
        <v>11</v>
      </c>
      <c r="B96" s="23" t="s">
        <v>266</v>
      </c>
      <c r="C96" s="23" t="s">
        <v>267</v>
      </c>
      <c r="D96" s="23" t="s">
        <v>107</v>
      </c>
      <c r="E96" s="24">
        <v>400</v>
      </c>
      <c r="F96" s="25">
        <v>1929.742</v>
      </c>
      <c r="G96" s="26">
        <v>9.9047600000000003E-3</v>
      </c>
      <c r="H96" s="14">
        <v>6.78</v>
      </c>
    </row>
    <row r="97" spans="1:8" ht="25.5" x14ac:dyDescent="0.2">
      <c r="A97" s="22">
        <v>12</v>
      </c>
      <c r="B97" s="23" t="s">
        <v>268</v>
      </c>
      <c r="C97" s="23" t="s">
        <v>269</v>
      </c>
      <c r="D97" s="23" t="s">
        <v>107</v>
      </c>
      <c r="E97" s="24">
        <v>300</v>
      </c>
      <c r="F97" s="25">
        <v>1472.508</v>
      </c>
      <c r="G97" s="26">
        <v>7.5579200000000001E-3</v>
      </c>
      <c r="H97" s="14">
        <v>6.49</v>
      </c>
    </row>
    <row r="98" spans="1:8" x14ac:dyDescent="0.2">
      <c r="A98" s="22">
        <v>13</v>
      </c>
      <c r="B98" s="23" t="s">
        <v>270</v>
      </c>
      <c r="C98" s="23" t="s">
        <v>271</v>
      </c>
      <c r="D98" s="23" t="s">
        <v>107</v>
      </c>
      <c r="E98" s="24">
        <v>300</v>
      </c>
      <c r="F98" s="25">
        <v>1465.77</v>
      </c>
      <c r="G98" s="26">
        <v>7.5233399999999999E-3</v>
      </c>
      <c r="H98" s="14">
        <v>6.7649999999999997</v>
      </c>
    </row>
    <row r="99" spans="1:8" x14ac:dyDescent="0.2">
      <c r="A99" s="22">
        <v>14</v>
      </c>
      <c r="B99" s="23" t="s">
        <v>272</v>
      </c>
      <c r="C99" s="23" t="s">
        <v>273</v>
      </c>
      <c r="D99" s="23" t="s">
        <v>107</v>
      </c>
      <c r="E99" s="24">
        <v>300</v>
      </c>
      <c r="F99" s="25">
        <v>1447.0815</v>
      </c>
      <c r="G99" s="26">
        <v>7.4274199999999997E-3</v>
      </c>
      <c r="H99" s="14">
        <v>7.0625</v>
      </c>
    </row>
    <row r="100" spans="1:8" ht="25.5" x14ac:dyDescent="0.2">
      <c r="A100" s="22">
        <v>15</v>
      </c>
      <c r="B100" s="23" t="s">
        <v>274</v>
      </c>
      <c r="C100" s="23" t="s">
        <v>275</v>
      </c>
      <c r="D100" s="23" t="s">
        <v>107</v>
      </c>
      <c r="E100" s="24">
        <v>100</v>
      </c>
      <c r="F100" s="25">
        <v>473.98200000000003</v>
      </c>
      <c r="G100" s="26">
        <v>2.4328000000000002E-3</v>
      </c>
      <c r="H100" s="14">
        <v>6.8150000000000004</v>
      </c>
    </row>
    <row r="101" spans="1:8" x14ac:dyDescent="0.2">
      <c r="A101" s="15"/>
      <c r="B101" s="15"/>
      <c r="C101" s="16" t="s">
        <v>11</v>
      </c>
      <c r="D101" s="15"/>
      <c r="E101" s="15" t="s">
        <v>12</v>
      </c>
      <c r="F101" s="21">
        <v>37584.373</v>
      </c>
      <c r="G101" s="18">
        <v>0.19290882000000001</v>
      </c>
      <c r="H101" s="14" t="s">
        <v>12</v>
      </c>
    </row>
    <row r="102" spans="1:8" x14ac:dyDescent="0.2">
      <c r="A102" s="15"/>
      <c r="B102" s="15"/>
      <c r="C102" s="19"/>
      <c r="D102" s="15"/>
      <c r="E102" s="15"/>
      <c r="F102" s="20"/>
      <c r="G102" s="20"/>
      <c r="H102" s="14" t="s">
        <v>12</v>
      </c>
    </row>
    <row r="103" spans="1:8" x14ac:dyDescent="0.2">
      <c r="A103" s="15"/>
      <c r="B103" s="15"/>
      <c r="C103" s="16" t="s">
        <v>109</v>
      </c>
      <c r="D103" s="15"/>
      <c r="E103" s="15"/>
      <c r="F103" s="20"/>
      <c r="G103" s="20"/>
      <c r="H103" s="14" t="s">
        <v>12</v>
      </c>
    </row>
    <row r="104" spans="1:8" x14ac:dyDescent="0.2">
      <c r="A104" s="22">
        <v>1</v>
      </c>
      <c r="B104" s="23" t="s">
        <v>276</v>
      </c>
      <c r="C104" s="23" t="s">
        <v>277</v>
      </c>
      <c r="D104" s="23" t="s">
        <v>83</v>
      </c>
      <c r="E104" s="24">
        <v>5000000</v>
      </c>
      <c r="F104" s="25">
        <v>4979.6949999999997</v>
      </c>
      <c r="G104" s="26">
        <v>2.5559220000000001E-2</v>
      </c>
      <c r="H104" s="14">
        <v>5.3151999999999999</v>
      </c>
    </row>
    <row r="105" spans="1:8" x14ac:dyDescent="0.2">
      <c r="A105" s="22">
        <v>2</v>
      </c>
      <c r="B105" s="23" t="s">
        <v>278</v>
      </c>
      <c r="C105" s="23" t="s">
        <v>279</v>
      </c>
      <c r="D105" s="23" t="s">
        <v>83</v>
      </c>
      <c r="E105" s="24">
        <v>2500000</v>
      </c>
      <c r="F105" s="25">
        <v>2425.58</v>
      </c>
      <c r="G105" s="26">
        <v>1.2449740000000001E-2</v>
      </c>
      <c r="H105" s="14">
        <v>5.5166000000000004</v>
      </c>
    </row>
    <row r="106" spans="1:8" x14ac:dyDescent="0.2">
      <c r="A106" s="15"/>
      <c r="B106" s="15"/>
      <c r="C106" s="16" t="s">
        <v>11</v>
      </c>
      <c r="D106" s="15"/>
      <c r="E106" s="15" t="s">
        <v>12</v>
      </c>
      <c r="F106" s="21">
        <v>7405.2749999999996</v>
      </c>
      <c r="G106" s="18">
        <v>3.8008960000000001E-2</v>
      </c>
      <c r="H106" s="14" t="s">
        <v>12</v>
      </c>
    </row>
    <row r="107" spans="1:8" x14ac:dyDescent="0.2">
      <c r="A107" s="15"/>
      <c r="B107" s="15"/>
      <c r="C107" s="19"/>
      <c r="D107" s="15"/>
      <c r="E107" s="15"/>
      <c r="F107" s="20"/>
      <c r="G107" s="20"/>
      <c r="H107" s="14" t="s">
        <v>12</v>
      </c>
    </row>
    <row r="108" spans="1:8" x14ac:dyDescent="0.2">
      <c r="A108" s="15"/>
      <c r="B108" s="15"/>
      <c r="C108" s="16" t="s">
        <v>110</v>
      </c>
      <c r="D108" s="15"/>
      <c r="E108" s="15"/>
      <c r="F108" s="20"/>
      <c r="G108" s="20"/>
      <c r="H108" s="14" t="s">
        <v>12</v>
      </c>
    </row>
    <row r="109" spans="1:8" x14ac:dyDescent="0.2">
      <c r="A109" s="22">
        <v>1</v>
      </c>
      <c r="B109" s="23"/>
      <c r="C109" s="23" t="s">
        <v>111</v>
      </c>
      <c r="D109" s="23"/>
      <c r="E109" s="27"/>
      <c r="F109" s="25">
        <v>14287.845324004</v>
      </c>
      <c r="G109" s="26">
        <v>7.3335040000000004E-2</v>
      </c>
      <c r="H109" s="14">
        <v>5.41</v>
      </c>
    </row>
    <row r="110" spans="1:8" x14ac:dyDescent="0.2">
      <c r="A110" s="15"/>
      <c r="B110" s="15"/>
      <c r="C110" s="16" t="s">
        <v>11</v>
      </c>
      <c r="D110" s="15"/>
      <c r="E110" s="15" t="s">
        <v>12</v>
      </c>
      <c r="F110" s="21">
        <v>14287.845324004</v>
      </c>
      <c r="G110" s="18">
        <v>7.3335040000000004E-2</v>
      </c>
      <c r="H110" s="14" t="s">
        <v>12</v>
      </c>
    </row>
    <row r="111" spans="1:8" x14ac:dyDescent="0.2">
      <c r="A111" s="15"/>
      <c r="B111" s="15"/>
      <c r="C111" s="19"/>
      <c r="D111" s="15"/>
      <c r="E111" s="15"/>
      <c r="F111" s="20"/>
      <c r="G111" s="20"/>
      <c r="H111" s="14" t="s">
        <v>12</v>
      </c>
    </row>
    <row r="112" spans="1:8" x14ac:dyDescent="0.2">
      <c r="A112" s="15"/>
      <c r="B112" s="15"/>
      <c r="C112" s="16" t="s">
        <v>112</v>
      </c>
      <c r="D112" s="15"/>
      <c r="E112" s="15"/>
      <c r="F112" s="21">
        <v>188295.53482400399</v>
      </c>
      <c r="G112" s="18">
        <v>0.96646208</v>
      </c>
      <c r="H112" s="14" t="s">
        <v>12</v>
      </c>
    </row>
    <row r="113" spans="1:17" x14ac:dyDescent="0.2">
      <c r="A113" s="15"/>
      <c r="B113" s="15"/>
      <c r="C113" s="20"/>
      <c r="D113" s="15"/>
      <c r="E113" s="15"/>
      <c r="F113" s="15"/>
      <c r="G113" s="15"/>
      <c r="H113" s="14" t="s">
        <v>12</v>
      </c>
    </row>
    <row r="114" spans="1:17" x14ac:dyDescent="0.2">
      <c r="A114" s="15"/>
      <c r="B114" s="15"/>
      <c r="C114" s="16" t="s">
        <v>113</v>
      </c>
      <c r="D114" s="15"/>
      <c r="E114" s="15"/>
      <c r="F114" s="15"/>
      <c r="G114" s="15"/>
      <c r="H114" s="14" t="s">
        <v>12</v>
      </c>
    </row>
    <row r="115" spans="1:17" x14ac:dyDescent="0.2">
      <c r="A115" s="15"/>
      <c r="B115" s="15"/>
      <c r="C115" s="16" t="s">
        <v>114</v>
      </c>
      <c r="D115" s="15"/>
      <c r="E115" s="15"/>
      <c r="F115" s="15"/>
      <c r="G115" s="15"/>
      <c r="H115" s="14" t="s">
        <v>12</v>
      </c>
    </row>
    <row r="116" spans="1:17" x14ac:dyDescent="0.2">
      <c r="A116" s="15"/>
      <c r="B116" s="15"/>
      <c r="C116" s="16" t="s">
        <v>11</v>
      </c>
      <c r="D116" s="15"/>
      <c r="E116" s="15" t="s">
        <v>12</v>
      </c>
      <c r="F116" s="17" t="s">
        <v>13</v>
      </c>
      <c r="G116" s="18">
        <v>0</v>
      </c>
      <c r="H116" s="14" t="s">
        <v>12</v>
      </c>
    </row>
    <row r="117" spans="1:17" x14ac:dyDescent="0.2">
      <c r="A117" s="12"/>
      <c r="B117" s="12"/>
      <c r="C117" s="28"/>
      <c r="D117" s="12"/>
      <c r="E117" s="12"/>
      <c r="F117" s="29"/>
      <c r="G117" s="29"/>
      <c r="H117" s="14" t="s">
        <v>12</v>
      </c>
    </row>
    <row r="118" spans="1:17" x14ac:dyDescent="0.2">
      <c r="A118" s="12"/>
      <c r="B118" s="12"/>
      <c r="C118" s="13" t="s">
        <v>608</v>
      </c>
      <c r="D118" s="12"/>
      <c r="E118" s="12"/>
      <c r="F118" s="29"/>
      <c r="G118" s="29"/>
      <c r="H118" s="14" t="s">
        <v>12</v>
      </c>
      <c r="K118" s="30"/>
      <c r="L118" s="30"/>
      <c r="M118" s="30"/>
      <c r="N118" s="30"/>
      <c r="O118" s="31"/>
      <c r="P118" s="31"/>
      <c r="Q118" s="31"/>
    </row>
    <row r="119" spans="1:17" x14ac:dyDescent="0.2">
      <c r="A119" s="32">
        <v>1</v>
      </c>
      <c r="B119" s="33" t="s">
        <v>115</v>
      </c>
      <c r="C119" s="33" t="s">
        <v>116</v>
      </c>
      <c r="D119" s="33"/>
      <c r="E119" s="34">
        <v>3208.866</v>
      </c>
      <c r="F119" s="35">
        <v>362.27418785700002</v>
      </c>
      <c r="G119" s="36">
        <v>1.85944E-3</v>
      </c>
      <c r="H119" s="14"/>
    </row>
    <row r="120" spans="1:17" x14ac:dyDescent="0.2">
      <c r="A120" s="12"/>
      <c r="B120" s="12"/>
      <c r="C120" s="13" t="s">
        <v>11</v>
      </c>
      <c r="D120" s="12"/>
      <c r="E120" s="12" t="s">
        <v>12</v>
      </c>
      <c r="F120" s="37">
        <f>SUM(F119)</f>
        <v>362.27418785700002</v>
      </c>
      <c r="G120" s="38">
        <f>SUM(G119)</f>
        <v>1.85944E-3</v>
      </c>
      <c r="H120" s="14" t="s">
        <v>12</v>
      </c>
    </row>
    <row r="121" spans="1:17" x14ac:dyDescent="0.2">
      <c r="A121" s="15"/>
      <c r="B121" s="15"/>
      <c r="C121" s="19"/>
      <c r="D121" s="15"/>
      <c r="E121" s="15"/>
      <c r="F121" s="20"/>
      <c r="G121" s="20"/>
      <c r="H121" s="14" t="s">
        <v>12</v>
      </c>
    </row>
    <row r="122" spans="1:17" x14ac:dyDescent="0.2">
      <c r="A122" s="15"/>
      <c r="B122" s="15"/>
      <c r="C122" s="16" t="s">
        <v>117</v>
      </c>
      <c r="D122" s="15"/>
      <c r="E122" s="15"/>
      <c r="F122" s="15"/>
      <c r="G122" s="15"/>
      <c r="H122" s="14" t="s">
        <v>12</v>
      </c>
    </row>
    <row r="123" spans="1:17" x14ac:dyDescent="0.2">
      <c r="A123" s="15"/>
      <c r="B123" s="15"/>
      <c r="C123" s="16" t="s">
        <v>118</v>
      </c>
      <c r="D123" s="15"/>
      <c r="E123" s="15"/>
      <c r="F123" s="15"/>
      <c r="G123" s="15"/>
      <c r="H123" s="14" t="s">
        <v>12</v>
      </c>
    </row>
    <row r="124" spans="1:17" x14ac:dyDescent="0.2">
      <c r="A124" s="15"/>
      <c r="B124" s="15"/>
      <c r="C124" s="16" t="s">
        <v>11</v>
      </c>
      <c r="D124" s="15"/>
      <c r="E124" s="15" t="s">
        <v>12</v>
      </c>
      <c r="F124" s="17" t="s">
        <v>13</v>
      </c>
      <c r="G124" s="18">
        <v>0</v>
      </c>
      <c r="H124" s="14" t="s">
        <v>12</v>
      </c>
    </row>
    <row r="125" spans="1:17" x14ac:dyDescent="0.2">
      <c r="A125" s="15"/>
      <c r="B125" s="15"/>
      <c r="C125" s="19"/>
      <c r="D125" s="15"/>
      <c r="E125" s="15"/>
      <c r="F125" s="20"/>
      <c r="G125" s="20"/>
      <c r="H125" s="14" t="s">
        <v>12</v>
      </c>
    </row>
    <row r="126" spans="1:17" x14ac:dyDescent="0.2">
      <c r="A126" s="15"/>
      <c r="B126" s="15"/>
      <c r="C126" s="16" t="s">
        <v>119</v>
      </c>
      <c r="D126" s="15"/>
      <c r="E126" s="15"/>
      <c r="F126" s="20"/>
      <c r="G126" s="20"/>
      <c r="H126" s="14" t="s">
        <v>12</v>
      </c>
    </row>
    <row r="127" spans="1:17" x14ac:dyDescent="0.2">
      <c r="A127" s="15"/>
      <c r="B127" s="15"/>
      <c r="C127" s="16" t="s">
        <v>11</v>
      </c>
      <c r="D127" s="15"/>
      <c r="E127" s="15" t="s">
        <v>12</v>
      </c>
      <c r="F127" s="17" t="s">
        <v>13</v>
      </c>
      <c r="G127" s="18">
        <v>0</v>
      </c>
      <c r="H127" s="14" t="s">
        <v>12</v>
      </c>
    </row>
    <row r="128" spans="1:17" x14ac:dyDescent="0.2">
      <c r="A128" s="15"/>
      <c r="B128" s="15"/>
      <c r="C128" s="19"/>
      <c r="D128" s="15"/>
      <c r="E128" s="15"/>
      <c r="F128" s="20"/>
      <c r="G128" s="20"/>
      <c r="H128" s="14" t="s">
        <v>12</v>
      </c>
    </row>
    <row r="129" spans="1:8" x14ac:dyDescent="0.2">
      <c r="A129" s="15"/>
      <c r="B129" s="23"/>
      <c r="C129" s="23"/>
      <c r="D129" s="16"/>
      <c r="E129" s="15"/>
      <c r="F129" s="23"/>
      <c r="G129" s="27"/>
      <c r="H129" s="14" t="s">
        <v>12</v>
      </c>
    </row>
    <row r="130" spans="1:8" x14ac:dyDescent="0.2">
      <c r="A130" s="27"/>
      <c r="B130" s="23"/>
      <c r="C130" s="23" t="s">
        <v>120</v>
      </c>
      <c r="D130" s="23"/>
      <c r="E130" s="27"/>
      <c r="F130" s="25">
        <v>-5517.3271007000003</v>
      </c>
      <c r="G130" s="26">
        <v>-2.831871E-2</v>
      </c>
      <c r="H130" s="14" t="s">
        <v>12</v>
      </c>
    </row>
    <row r="131" spans="1:8" x14ac:dyDescent="0.2">
      <c r="A131" s="19"/>
      <c r="B131" s="19"/>
      <c r="C131" s="16" t="s">
        <v>121</v>
      </c>
      <c r="D131" s="20"/>
      <c r="E131" s="20"/>
      <c r="F131" s="21">
        <v>194829.72641116101</v>
      </c>
      <c r="G131" s="39">
        <v>1.0000000499999999</v>
      </c>
      <c r="H131" s="14" t="s">
        <v>12</v>
      </c>
    </row>
    <row r="132" spans="1:8" x14ac:dyDescent="0.2">
      <c r="A132" s="40"/>
      <c r="B132" s="40"/>
      <c r="C132" s="40"/>
      <c r="D132" s="41"/>
      <c r="E132" s="41"/>
      <c r="F132" s="41"/>
      <c r="G132" s="41"/>
    </row>
    <row r="133" spans="1:8" x14ac:dyDescent="0.2">
      <c r="A133" s="42"/>
      <c r="B133" s="156" t="s">
        <v>622</v>
      </c>
      <c r="C133" s="156"/>
      <c r="D133" s="156"/>
      <c r="E133" s="156"/>
      <c r="F133" s="156"/>
      <c r="G133" s="156"/>
      <c r="H133" s="156"/>
    </row>
    <row r="134" spans="1:8" x14ac:dyDescent="0.2">
      <c r="A134" s="42"/>
      <c r="B134" s="156" t="s">
        <v>623</v>
      </c>
      <c r="C134" s="156"/>
      <c r="D134" s="156"/>
      <c r="E134" s="156"/>
      <c r="F134" s="156"/>
      <c r="G134" s="156"/>
      <c r="H134" s="156"/>
    </row>
    <row r="135" spans="1:8" x14ac:dyDescent="0.2">
      <c r="A135" s="42"/>
      <c r="B135" s="156" t="s">
        <v>624</v>
      </c>
      <c r="C135" s="156"/>
      <c r="D135" s="156"/>
      <c r="E135" s="156"/>
      <c r="F135" s="156"/>
      <c r="G135" s="156"/>
      <c r="H135" s="156"/>
    </row>
    <row r="136" spans="1:8" x14ac:dyDescent="0.2">
      <c r="A136" s="145"/>
      <c r="B136" s="171" t="s">
        <v>755</v>
      </c>
      <c r="C136" s="172"/>
      <c r="D136" s="172"/>
      <c r="E136" s="172"/>
      <c r="F136" s="172"/>
      <c r="G136" s="172"/>
      <c r="H136" s="172"/>
    </row>
    <row r="137" spans="1:8" x14ac:dyDescent="0.2">
      <c r="A137" s="42"/>
      <c r="B137" s="42"/>
      <c r="C137" s="42"/>
      <c r="D137" s="44"/>
      <c r="E137" s="44"/>
      <c r="F137" s="44"/>
      <c r="G137" s="44"/>
    </row>
    <row r="138" spans="1:8" x14ac:dyDescent="0.2">
      <c r="A138" s="42"/>
      <c r="B138" s="164" t="s">
        <v>122</v>
      </c>
      <c r="C138" s="165"/>
      <c r="D138" s="166"/>
      <c r="E138" s="45"/>
      <c r="F138" s="44"/>
      <c r="G138" s="44"/>
    </row>
    <row r="139" spans="1:8" ht="27" customHeight="1" x14ac:dyDescent="0.2">
      <c r="A139" s="42"/>
      <c r="B139" s="157" t="s">
        <v>123</v>
      </c>
      <c r="C139" s="158"/>
      <c r="D139" s="13" t="s">
        <v>124</v>
      </c>
      <c r="E139" s="45"/>
      <c r="F139" s="44"/>
      <c r="G139" s="44"/>
    </row>
    <row r="140" spans="1:8" x14ac:dyDescent="0.2">
      <c r="A140" s="42"/>
      <c r="B140" s="157" t="s">
        <v>125</v>
      </c>
      <c r="C140" s="158"/>
      <c r="D140" s="13" t="s">
        <v>124</v>
      </c>
      <c r="E140" s="45"/>
      <c r="F140" s="44"/>
      <c r="G140" s="44"/>
    </row>
    <row r="141" spans="1:8" x14ac:dyDescent="0.2">
      <c r="A141" s="42"/>
      <c r="B141" s="157" t="s">
        <v>126</v>
      </c>
      <c r="C141" s="158"/>
      <c r="D141" s="29" t="s">
        <v>12</v>
      </c>
      <c r="E141" s="45"/>
      <c r="F141" s="44"/>
      <c r="G141" s="44"/>
    </row>
    <row r="142" spans="1:8" x14ac:dyDescent="0.2">
      <c r="A142" s="46"/>
      <c r="B142" s="47" t="s">
        <v>12</v>
      </c>
      <c r="C142" s="47" t="s">
        <v>625</v>
      </c>
      <c r="D142" s="47" t="s">
        <v>127</v>
      </c>
      <c r="E142" s="46"/>
      <c r="F142" s="46"/>
      <c r="G142" s="46"/>
    </row>
    <row r="143" spans="1:8" x14ac:dyDescent="0.2">
      <c r="A143" s="46"/>
      <c r="B143" s="48" t="s">
        <v>128</v>
      </c>
      <c r="C143" s="49">
        <v>45838</v>
      </c>
      <c r="D143" s="49">
        <v>45869</v>
      </c>
      <c r="E143" s="46"/>
      <c r="F143" s="46"/>
      <c r="G143" s="46"/>
    </row>
    <row r="144" spans="1:8" x14ac:dyDescent="0.2">
      <c r="A144" s="50"/>
      <c r="B144" s="23" t="s">
        <v>129</v>
      </c>
      <c r="C144" s="51">
        <v>15.1282</v>
      </c>
      <c r="D144" s="51">
        <v>15.2164</v>
      </c>
      <c r="E144" s="50"/>
      <c r="F144" s="52"/>
      <c r="G144" s="53"/>
    </row>
    <row r="145" spans="1:14" ht="25.5" x14ac:dyDescent="0.2">
      <c r="A145" s="50"/>
      <c r="B145" s="23" t="s">
        <v>749</v>
      </c>
      <c r="C145" s="51">
        <v>11.296900000000001</v>
      </c>
      <c r="D145" s="51">
        <v>11.3628</v>
      </c>
      <c r="E145" s="50"/>
      <c r="F145" s="52"/>
      <c r="G145" s="53"/>
    </row>
    <row r="146" spans="1:14" x14ac:dyDescent="0.2">
      <c r="A146" s="50"/>
      <c r="B146" s="23" t="s">
        <v>130</v>
      </c>
      <c r="C146" s="51">
        <v>15.0274</v>
      </c>
      <c r="D146" s="51">
        <v>15.1136</v>
      </c>
      <c r="E146" s="50"/>
      <c r="F146" s="52"/>
      <c r="G146" s="53"/>
    </row>
    <row r="147" spans="1:14" ht="25.5" x14ac:dyDescent="0.2">
      <c r="A147" s="50"/>
      <c r="B147" s="23" t="s">
        <v>750</v>
      </c>
      <c r="C147" s="51">
        <v>11.2689</v>
      </c>
      <c r="D147" s="51">
        <v>11.333500000000001</v>
      </c>
      <c r="E147" s="50"/>
      <c r="F147" s="52"/>
      <c r="G147" s="53"/>
    </row>
    <row r="148" spans="1:14" x14ac:dyDescent="0.2">
      <c r="A148" s="50"/>
      <c r="B148" s="50"/>
      <c r="C148" s="50"/>
      <c r="D148" s="50"/>
      <c r="E148" s="50"/>
      <c r="F148" s="50"/>
      <c r="G148" s="50"/>
    </row>
    <row r="149" spans="1:14" x14ac:dyDescent="0.2">
      <c r="A149" s="50"/>
      <c r="B149" s="159" t="s">
        <v>626</v>
      </c>
      <c r="C149" s="160"/>
      <c r="D149" s="16" t="s">
        <v>124</v>
      </c>
      <c r="E149" s="50"/>
      <c r="F149" s="50"/>
      <c r="G149" s="50"/>
    </row>
    <row r="150" spans="1:14" x14ac:dyDescent="0.2">
      <c r="A150" s="50"/>
      <c r="B150" s="58"/>
      <c r="C150" s="58"/>
      <c r="D150" s="58"/>
      <c r="E150" s="50"/>
      <c r="F150" s="50"/>
      <c r="G150" s="50"/>
    </row>
    <row r="151" spans="1:14" x14ac:dyDescent="0.2">
      <c r="A151" s="46"/>
      <c r="B151" s="157" t="s">
        <v>131</v>
      </c>
      <c r="C151" s="158"/>
      <c r="D151" s="13" t="s">
        <v>124</v>
      </c>
      <c r="E151" s="57"/>
      <c r="F151" s="46"/>
      <c r="G151" s="46"/>
      <c r="I151" s="104"/>
    </row>
    <row r="152" spans="1:14" x14ac:dyDescent="0.2">
      <c r="A152" s="46"/>
      <c r="B152" s="157" t="s">
        <v>132</v>
      </c>
      <c r="C152" s="158"/>
      <c r="D152" s="13" t="s">
        <v>124</v>
      </c>
      <c r="E152" s="57"/>
      <c r="F152" s="46"/>
      <c r="G152" s="46"/>
      <c r="I152" s="104"/>
    </row>
    <row r="153" spans="1:14" x14ac:dyDescent="0.2">
      <c r="A153" s="46"/>
      <c r="B153" s="157" t="s">
        <v>627</v>
      </c>
      <c r="C153" s="158"/>
      <c r="D153" s="13" t="s">
        <v>124</v>
      </c>
      <c r="E153" s="57"/>
      <c r="F153" s="46"/>
      <c r="G153" s="46"/>
      <c r="I153" s="104"/>
    </row>
    <row r="154" spans="1:14" x14ac:dyDescent="0.2">
      <c r="A154" s="58"/>
      <c r="B154" s="58"/>
      <c r="C154" s="58"/>
      <c r="D154" s="58"/>
      <c r="E154" s="58"/>
      <c r="F154" s="58"/>
      <c r="G154" s="58"/>
      <c r="I154" s="104"/>
    </row>
    <row r="155" spans="1:14" s="59" customFormat="1" x14ac:dyDescent="0.2">
      <c r="B155" s="161" t="s">
        <v>628</v>
      </c>
      <c r="C155" s="162"/>
      <c r="D155" s="163"/>
      <c r="I155" s="104"/>
      <c r="J155" s="30"/>
      <c r="K155" s="30"/>
      <c r="L155" s="30"/>
      <c r="M155" s="30"/>
      <c r="N155" s="65"/>
    </row>
    <row r="156" spans="1:14" s="59" customFormat="1" ht="51" x14ac:dyDescent="0.2">
      <c r="B156" s="169" t="s">
        <v>629</v>
      </c>
      <c r="C156" s="170"/>
      <c r="D156" s="60" t="s">
        <v>172</v>
      </c>
      <c r="I156" s="104"/>
      <c r="J156" s="30"/>
      <c r="K156" s="30"/>
      <c r="L156" s="30"/>
      <c r="M156" s="30"/>
      <c r="N156" s="65"/>
    </row>
    <row r="157" spans="1:14" s="59" customFormat="1" x14ac:dyDescent="0.2">
      <c r="B157" s="151" t="s">
        <v>630</v>
      </c>
      <c r="C157" s="152"/>
      <c r="D157" s="61"/>
      <c r="I157" s="104"/>
      <c r="J157" s="30"/>
      <c r="K157" s="30"/>
      <c r="L157" s="30"/>
      <c r="M157" s="30"/>
      <c r="N157" s="65"/>
    </row>
    <row r="158" spans="1:14" s="59" customFormat="1" x14ac:dyDescent="0.2">
      <c r="B158" s="151"/>
      <c r="C158" s="152"/>
      <c r="D158" s="62"/>
      <c r="I158" s="104"/>
      <c r="J158" s="30"/>
      <c r="K158" s="30"/>
      <c r="L158" s="30"/>
      <c r="M158" s="30"/>
      <c r="N158" s="65"/>
    </row>
    <row r="159" spans="1:14" s="59" customFormat="1" x14ac:dyDescent="0.2">
      <c r="B159" s="151" t="s">
        <v>631</v>
      </c>
      <c r="C159" s="168"/>
      <c r="D159" s="63">
        <v>6.0931101109259735</v>
      </c>
      <c r="I159" s="104"/>
      <c r="J159" s="30"/>
      <c r="K159" s="30"/>
      <c r="L159" s="30"/>
      <c r="M159" s="30"/>
      <c r="N159" s="65"/>
    </row>
    <row r="160" spans="1:14" s="59" customFormat="1" x14ac:dyDescent="0.2">
      <c r="B160" s="151"/>
      <c r="C160" s="152"/>
      <c r="D160" s="62"/>
      <c r="I160" s="104"/>
      <c r="J160" s="30"/>
      <c r="K160" s="30"/>
      <c r="L160" s="30"/>
      <c r="M160" s="30"/>
      <c r="N160" s="65"/>
    </row>
    <row r="161" spans="2:16" s="59" customFormat="1" x14ac:dyDescent="0.2">
      <c r="B161" s="151" t="s">
        <v>632</v>
      </c>
      <c r="C161" s="168"/>
      <c r="D161" s="63">
        <v>0.54466798473253619</v>
      </c>
      <c r="I161" s="104"/>
      <c r="J161" s="30"/>
      <c r="K161" s="30"/>
      <c r="L161" s="30"/>
      <c r="M161" s="30"/>
      <c r="N161" s="65"/>
    </row>
    <row r="162" spans="2:16" s="59" customFormat="1" x14ac:dyDescent="0.2">
      <c r="B162" s="151" t="s">
        <v>633</v>
      </c>
      <c r="C162" s="168"/>
      <c r="D162" s="63">
        <v>0.54539722992263906</v>
      </c>
      <c r="I162" s="104"/>
      <c r="J162" s="30"/>
      <c r="K162" s="30"/>
      <c r="L162" s="30"/>
      <c r="M162" s="30"/>
      <c r="N162" s="65"/>
    </row>
    <row r="163" spans="2:16" s="59" customFormat="1" x14ac:dyDescent="0.2">
      <c r="B163" s="151"/>
      <c r="C163" s="152"/>
      <c r="D163" s="62"/>
      <c r="I163" s="104"/>
      <c r="J163" s="30"/>
      <c r="K163" s="30"/>
      <c r="L163" s="30"/>
      <c r="M163" s="30"/>
      <c r="N163" s="65"/>
    </row>
    <row r="164" spans="2:16" s="59" customFormat="1" x14ac:dyDescent="0.2">
      <c r="B164" s="153" t="s">
        <v>634</v>
      </c>
      <c r="C164" s="153"/>
      <c r="D164" s="64" t="s">
        <v>742</v>
      </c>
      <c r="I164" s="104"/>
      <c r="J164" s="30"/>
      <c r="K164" s="30"/>
      <c r="L164" s="30"/>
      <c r="M164" s="30"/>
      <c r="N164" s="65"/>
    </row>
    <row r="165" spans="2:16" s="59" customFormat="1" x14ac:dyDescent="0.2">
      <c r="B165" s="151" t="s">
        <v>635</v>
      </c>
      <c r="C165" s="154"/>
      <c r="D165" s="152"/>
      <c r="I165" s="104"/>
      <c r="J165" s="30"/>
      <c r="K165" s="30"/>
      <c r="L165" s="30"/>
      <c r="M165" s="30"/>
      <c r="N165" s="65"/>
      <c r="O165"/>
      <c r="P165"/>
    </row>
    <row r="166" spans="2:16" x14ac:dyDescent="0.2">
      <c r="I166" s="104"/>
    </row>
    <row r="167" spans="2:16" x14ac:dyDescent="0.2">
      <c r="B167" s="67" t="s">
        <v>636</v>
      </c>
      <c r="I167" s="104"/>
    </row>
    <row r="168" spans="2:16" x14ac:dyDescent="0.2">
      <c r="I168" s="104"/>
    </row>
    <row r="169" spans="2:16" ht="153.75" customHeight="1" x14ac:dyDescent="0.2">
      <c r="I169" s="104"/>
    </row>
    <row r="170" spans="2:16" x14ac:dyDescent="0.2">
      <c r="I170" s="104"/>
    </row>
    <row r="171" spans="2:16" x14ac:dyDescent="0.2">
      <c r="I171" s="104"/>
    </row>
    <row r="172" spans="2:16" x14ac:dyDescent="0.2">
      <c r="B172" s="67" t="s">
        <v>637</v>
      </c>
      <c r="C172" s="68"/>
      <c r="D172" s="67"/>
      <c r="I172" s="104"/>
    </row>
    <row r="173" spans="2:16" x14ac:dyDescent="0.2">
      <c r="B173" s="67" t="s">
        <v>640</v>
      </c>
      <c r="C173" s="68"/>
      <c r="D173" s="67"/>
      <c r="I173" s="104"/>
    </row>
    <row r="174" spans="2:16" x14ac:dyDescent="0.2">
      <c r="D174" s="67"/>
      <c r="I174" s="104"/>
    </row>
    <row r="175" spans="2:16" ht="165" customHeight="1" x14ac:dyDescent="0.2">
      <c r="I175" s="104"/>
    </row>
    <row r="176" spans="2:16" x14ac:dyDescent="0.2">
      <c r="I176" s="104"/>
    </row>
    <row r="177" spans="9:9" x14ac:dyDescent="0.2">
      <c r="I177" s="104"/>
    </row>
    <row r="178" spans="9:9" x14ac:dyDescent="0.2">
      <c r="I178" s="104"/>
    </row>
    <row r="179" spans="9:9" x14ac:dyDescent="0.2">
      <c r="I179" s="104"/>
    </row>
  </sheetData>
  <mergeCells count="26">
    <mergeCell ref="B156:C156"/>
    <mergeCell ref="B157:C157"/>
    <mergeCell ref="A3:H3"/>
    <mergeCell ref="B151:C151"/>
    <mergeCell ref="B149:C149"/>
    <mergeCell ref="B153:C153"/>
    <mergeCell ref="B152:C152"/>
    <mergeCell ref="B155:D155"/>
    <mergeCell ref="B138:D138"/>
    <mergeCell ref="B139:C139"/>
    <mergeCell ref="B140:C140"/>
    <mergeCell ref="B141:C141"/>
    <mergeCell ref="B136:H136"/>
    <mergeCell ref="A1:H1"/>
    <mergeCell ref="A2:H2"/>
    <mergeCell ref="B133:H133"/>
    <mergeCell ref="B134:H134"/>
    <mergeCell ref="B135:H135"/>
    <mergeCell ref="B163:C163"/>
    <mergeCell ref="B164:C164"/>
    <mergeCell ref="B165:D165"/>
    <mergeCell ref="B158:C158"/>
    <mergeCell ref="B159:C159"/>
    <mergeCell ref="B160:C160"/>
    <mergeCell ref="B161:C161"/>
    <mergeCell ref="B162:C162"/>
  </mergeCells>
  <hyperlinks>
    <hyperlink ref="I1" location="Index!B2" display="Index" xr:uid="{9306E70E-BFBF-45B9-83F6-FAF10A42935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D2404-589E-4B0D-9E09-80ED693CA2E8}">
  <sheetPr>
    <outlinePr summaryBelow="0" summaryRight="0"/>
  </sheetPr>
  <dimension ref="A1:T180"/>
  <sheetViews>
    <sheetView showGridLines="0" topLeftCell="A111" workbookViewId="0">
      <selection activeCell="C120" sqref="C120:C123"/>
    </sheetView>
  </sheetViews>
  <sheetFormatPr defaultRowHeight="12.75" x14ac:dyDescent="0.2"/>
  <cols>
    <col min="1" max="1" width="5.85546875" bestFit="1" customWidth="1"/>
    <col min="2" max="2" width="19.28515625" bestFit="1" customWidth="1"/>
    <col min="3" max="3" width="44.28515625" customWidth="1"/>
    <col min="4" max="4" width="10.7109375" bestFit="1" customWidth="1"/>
    <col min="5" max="5" width="9.42578125" bestFit="1" customWidth="1"/>
    <col min="6" max="6" width="10.140625" bestFit="1" customWidth="1"/>
    <col min="7" max="7" width="14" bestFit="1" customWidth="1"/>
    <col min="8" max="8" width="9.5703125" customWidth="1"/>
  </cols>
  <sheetData>
    <row r="1" spans="1:9" ht="15" x14ac:dyDescent="0.2">
      <c r="A1" s="155" t="s">
        <v>0</v>
      </c>
      <c r="B1" s="155"/>
      <c r="C1" s="155"/>
      <c r="D1" s="155"/>
      <c r="E1" s="155"/>
      <c r="F1" s="155"/>
      <c r="G1" s="155"/>
      <c r="H1" s="155"/>
      <c r="I1" s="1" t="s">
        <v>607</v>
      </c>
    </row>
    <row r="2" spans="1:9" ht="15" x14ac:dyDescent="0.2">
      <c r="A2" s="155" t="s">
        <v>280</v>
      </c>
      <c r="B2" s="155"/>
      <c r="C2" s="155"/>
      <c r="D2" s="155"/>
      <c r="E2" s="155"/>
      <c r="F2" s="155"/>
      <c r="G2" s="155"/>
      <c r="H2" s="155"/>
    </row>
    <row r="3" spans="1:9" ht="15" x14ac:dyDescent="0.2">
      <c r="A3" s="155" t="s">
        <v>756</v>
      </c>
      <c r="B3" s="155"/>
      <c r="C3" s="155"/>
      <c r="D3" s="155"/>
      <c r="E3" s="155"/>
      <c r="F3" s="155"/>
      <c r="G3" s="155"/>
      <c r="H3" s="155"/>
    </row>
    <row r="4" spans="1:9" s="11" customFormat="1" ht="30" x14ac:dyDescent="0.2">
      <c r="A4" s="9" t="s">
        <v>2</v>
      </c>
      <c r="B4" s="9" t="s">
        <v>3</v>
      </c>
      <c r="C4" s="9" t="s">
        <v>4</v>
      </c>
      <c r="D4" s="9" t="s">
        <v>5</v>
      </c>
      <c r="E4" s="9" t="s">
        <v>6</v>
      </c>
      <c r="F4" s="9" t="s">
        <v>7</v>
      </c>
      <c r="G4" s="9" t="s">
        <v>8</v>
      </c>
      <c r="H4" s="10" t="s">
        <v>606</v>
      </c>
    </row>
    <row r="5" spans="1:9" x14ac:dyDescent="0.2">
      <c r="A5" s="12"/>
      <c r="B5" s="12"/>
      <c r="C5" s="13" t="s">
        <v>9</v>
      </c>
      <c r="D5" s="12"/>
      <c r="E5" s="12"/>
      <c r="F5" s="12"/>
      <c r="G5" s="12"/>
      <c r="H5" s="14" t="s">
        <v>12</v>
      </c>
    </row>
    <row r="6" spans="1:9" x14ac:dyDescent="0.2">
      <c r="A6" s="15"/>
      <c r="B6" s="15"/>
      <c r="C6" s="16" t="s">
        <v>10</v>
      </c>
      <c r="D6" s="15"/>
      <c r="E6" s="15"/>
      <c r="F6" s="15"/>
      <c r="G6" s="15"/>
      <c r="H6" s="14" t="s">
        <v>12</v>
      </c>
    </row>
    <row r="7" spans="1:9" x14ac:dyDescent="0.2">
      <c r="A7" s="32">
        <v>1</v>
      </c>
      <c r="B7" s="33" t="s">
        <v>641</v>
      </c>
      <c r="C7" s="33" t="s">
        <v>642</v>
      </c>
      <c r="D7" s="33" t="s">
        <v>643</v>
      </c>
      <c r="E7" s="73">
        <v>8000</v>
      </c>
      <c r="F7" s="35">
        <v>0.01</v>
      </c>
      <c r="G7" s="102" t="s">
        <v>644</v>
      </c>
      <c r="H7" s="14" t="s">
        <v>12</v>
      </c>
      <c r="I7" s="104"/>
    </row>
    <row r="8" spans="1:9" x14ac:dyDescent="0.2">
      <c r="A8" s="12"/>
      <c r="B8" s="12"/>
      <c r="C8" s="13" t="s">
        <v>11</v>
      </c>
      <c r="D8" s="12"/>
      <c r="E8" s="12" t="s">
        <v>12</v>
      </c>
      <c r="F8" s="37">
        <f>SUM(F7)</f>
        <v>0.01</v>
      </c>
      <c r="G8" s="38">
        <v>0</v>
      </c>
      <c r="H8" s="14" t="s">
        <v>12</v>
      </c>
    </row>
    <row r="9" spans="1:9" x14ac:dyDescent="0.2">
      <c r="A9" s="15"/>
      <c r="B9" s="15"/>
      <c r="C9" s="19"/>
      <c r="D9" s="15"/>
      <c r="E9" s="15"/>
      <c r="F9" s="20"/>
      <c r="G9" s="20"/>
      <c r="H9" s="14" t="s">
        <v>12</v>
      </c>
    </row>
    <row r="10" spans="1:9" x14ac:dyDescent="0.2">
      <c r="A10" s="15"/>
      <c r="B10" s="15"/>
      <c r="C10" s="16" t="s">
        <v>14</v>
      </c>
      <c r="D10" s="15"/>
      <c r="E10" s="15"/>
      <c r="F10" s="15"/>
      <c r="G10" s="15"/>
      <c r="H10" s="14" t="s">
        <v>12</v>
      </c>
    </row>
    <row r="11" spans="1:9" x14ac:dyDescent="0.2">
      <c r="A11" s="15"/>
      <c r="B11" s="15"/>
      <c r="C11" s="16" t="s">
        <v>11</v>
      </c>
      <c r="D11" s="15"/>
      <c r="E11" s="15" t="s">
        <v>12</v>
      </c>
      <c r="F11" s="17" t="s">
        <v>13</v>
      </c>
      <c r="G11" s="18">
        <v>0</v>
      </c>
      <c r="H11" s="14" t="s">
        <v>12</v>
      </c>
    </row>
    <row r="12" spans="1:9" x14ac:dyDescent="0.2">
      <c r="A12" s="15"/>
      <c r="B12" s="15"/>
      <c r="C12" s="19"/>
      <c r="D12" s="15"/>
      <c r="E12" s="15"/>
      <c r="F12" s="20"/>
      <c r="G12" s="20"/>
      <c r="H12" s="14" t="s">
        <v>12</v>
      </c>
    </row>
    <row r="13" spans="1:9" x14ac:dyDescent="0.2">
      <c r="A13" s="15"/>
      <c r="B13" s="15"/>
      <c r="C13" s="16" t="s">
        <v>15</v>
      </c>
      <c r="D13" s="15"/>
      <c r="E13" s="15"/>
      <c r="F13" s="15"/>
      <c r="G13" s="15"/>
      <c r="H13" s="14" t="s">
        <v>12</v>
      </c>
    </row>
    <row r="14" spans="1:9" x14ac:dyDescent="0.2">
      <c r="A14" s="15"/>
      <c r="B14" s="15"/>
      <c r="C14" s="16" t="s">
        <v>11</v>
      </c>
      <c r="D14" s="15"/>
      <c r="E14" s="15" t="s">
        <v>12</v>
      </c>
      <c r="F14" s="17" t="s">
        <v>13</v>
      </c>
      <c r="G14" s="18">
        <v>0</v>
      </c>
      <c r="H14" s="14" t="s">
        <v>12</v>
      </c>
    </row>
    <row r="15" spans="1:9" x14ac:dyDescent="0.2">
      <c r="A15" s="15"/>
      <c r="B15" s="15"/>
      <c r="C15" s="19"/>
      <c r="D15" s="15"/>
      <c r="E15" s="15"/>
      <c r="F15" s="20"/>
      <c r="G15" s="20"/>
      <c r="H15" s="14" t="s">
        <v>12</v>
      </c>
    </row>
    <row r="16" spans="1:9" x14ac:dyDescent="0.2">
      <c r="A16" s="15"/>
      <c r="B16" s="15"/>
      <c r="C16" s="16" t="s">
        <v>16</v>
      </c>
      <c r="D16" s="15"/>
      <c r="E16" s="15"/>
      <c r="F16" s="15"/>
      <c r="G16" s="15"/>
      <c r="H16" s="14" t="s">
        <v>12</v>
      </c>
    </row>
    <row r="17" spans="1:8" x14ac:dyDescent="0.2">
      <c r="A17" s="15"/>
      <c r="B17" s="15"/>
      <c r="C17" s="16" t="s">
        <v>11</v>
      </c>
      <c r="D17" s="15"/>
      <c r="E17" s="15" t="s">
        <v>12</v>
      </c>
      <c r="F17" s="17" t="s">
        <v>13</v>
      </c>
      <c r="G17" s="18">
        <v>0</v>
      </c>
      <c r="H17" s="14" t="s">
        <v>12</v>
      </c>
    </row>
    <row r="18" spans="1:8" x14ac:dyDescent="0.2">
      <c r="A18" s="15"/>
      <c r="B18" s="15"/>
      <c r="C18" s="19"/>
      <c r="D18" s="15"/>
      <c r="E18" s="15"/>
      <c r="F18" s="20"/>
      <c r="G18" s="20"/>
      <c r="H18" s="14" t="s">
        <v>12</v>
      </c>
    </row>
    <row r="19" spans="1:8" x14ac:dyDescent="0.2">
      <c r="A19" s="15"/>
      <c r="B19" s="15"/>
      <c r="C19" s="16" t="s">
        <v>17</v>
      </c>
      <c r="D19" s="15"/>
      <c r="E19" s="15"/>
      <c r="F19" s="20"/>
      <c r="G19" s="20"/>
      <c r="H19" s="14" t="s">
        <v>12</v>
      </c>
    </row>
    <row r="20" spans="1:8" x14ac:dyDescent="0.2">
      <c r="A20" s="15"/>
      <c r="B20" s="15"/>
      <c r="C20" s="16" t="s">
        <v>11</v>
      </c>
      <c r="D20" s="15"/>
      <c r="E20" s="15" t="s">
        <v>12</v>
      </c>
      <c r="F20" s="17" t="s">
        <v>13</v>
      </c>
      <c r="G20" s="18">
        <v>0</v>
      </c>
      <c r="H20" s="14" t="s">
        <v>12</v>
      </c>
    </row>
    <row r="21" spans="1:8" x14ac:dyDescent="0.2">
      <c r="A21" s="15"/>
      <c r="B21" s="15"/>
      <c r="C21" s="19"/>
      <c r="D21" s="15"/>
      <c r="E21" s="15"/>
      <c r="F21" s="20"/>
      <c r="G21" s="20"/>
      <c r="H21" s="14" t="s">
        <v>12</v>
      </c>
    </row>
    <row r="22" spans="1:8" x14ac:dyDescent="0.2">
      <c r="A22" s="15"/>
      <c r="B22" s="15"/>
      <c r="C22" s="16" t="s">
        <v>18</v>
      </c>
      <c r="D22" s="15"/>
      <c r="E22" s="15"/>
      <c r="F22" s="20"/>
      <c r="G22" s="20"/>
      <c r="H22" s="14" t="s">
        <v>12</v>
      </c>
    </row>
    <row r="23" spans="1:8" x14ac:dyDescent="0.2">
      <c r="A23" s="15"/>
      <c r="B23" s="15"/>
      <c r="C23" s="16" t="s">
        <v>11</v>
      </c>
      <c r="D23" s="15"/>
      <c r="E23" s="15" t="s">
        <v>12</v>
      </c>
      <c r="F23" s="17" t="s">
        <v>13</v>
      </c>
      <c r="G23" s="18">
        <v>0</v>
      </c>
      <c r="H23" s="14" t="s">
        <v>12</v>
      </c>
    </row>
    <row r="24" spans="1:8" x14ac:dyDescent="0.2">
      <c r="A24" s="15"/>
      <c r="B24" s="15"/>
      <c r="C24" s="19"/>
      <c r="D24" s="15"/>
      <c r="E24" s="15"/>
      <c r="F24" s="20"/>
      <c r="G24" s="20"/>
      <c r="H24" s="14" t="s">
        <v>12</v>
      </c>
    </row>
    <row r="25" spans="1:8" x14ac:dyDescent="0.2">
      <c r="A25" s="15"/>
      <c r="B25" s="15"/>
      <c r="C25" s="16" t="s">
        <v>19</v>
      </c>
      <c r="D25" s="15"/>
      <c r="E25" s="15"/>
      <c r="F25" s="21">
        <f>F8</f>
        <v>0.01</v>
      </c>
      <c r="G25" s="18">
        <v>0</v>
      </c>
      <c r="H25" s="14" t="s">
        <v>12</v>
      </c>
    </row>
    <row r="26" spans="1:8" x14ac:dyDescent="0.2">
      <c r="A26" s="15"/>
      <c r="B26" s="15"/>
      <c r="C26" s="19"/>
      <c r="D26" s="15"/>
      <c r="E26" s="15"/>
      <c r="F26" s="20"/>
      <c r="G26" s="20"/>
      <c r="H26" s="14" t="s">
        <v>12</v>
      </c>
    </row>
    <row r="27" spans="1:8" x14ac:dyDescent="0.2">
      <c r="A27" s="15"/>
      <c r="B27" s="15"/>
      <c r="C27" s="16" t="s">
        <v>20</v>
      </c>
      <c r="D27" s="15"/>
      <c r="E27" s="15"/>
      <c r="F27" s="20"/>
      <c r="G27" s="20"/>
      <c r="H27" s="14" t="s">
        <v>12</v>
      </c>
    </row>
    <row r="28" spans="1:8" x14ac:dyDescent="0.2">
      <c r="A28" s="15"/>
      <c r="B28" s="15"/>
      <c r="C28" s="16" t="s">
        <v>10</v>
      </c>
      <c r="D28" s="15"/>
      <c r="E28" s="15"/>
      <c r="F28" s="20"/>
      <c r="G28" s="20"/>
      <c r="H28" s="14" t="s">
        <v>12</v>
      </c>
    </row>
    <row r="29" spans="1:8" x14ac:dyDescent="0.2">
      <c r="A29" s="22">
        <v>1</v>
      </c>
      <c r="B29" s="23" t="s">
        <v>281</v>
      </c>
      <c r="C29" s="23" t="s">
        <v>282</v>
      </c>
      <c r="D29" s="23" t="s">
        <v>283</v>
      </c>
      <c r="E29" s="24">
        <v>1500</v>
      </c>
      <c r="F29" s="25">
        <v>1518.663</v>
      </c>
      <c r="G29" s="26">
        <v>2.9416649999999999E-2</v>
      </c>
      <c r="H29" s="14">
        <v>7.43</v>
      </c>
    </row>
    <row r="30" spans="1:8" x14ac:dyDescent="0.2">
      <c r="A30" s="22">
        <v>2</v>
      </c>
      <c r="B30" s="23" t="s">
        <v>284</v>
      </c>
      <c r="C30" s="23" t="s">
        <v>285</v>
      </c>
      <c r="D30" s="23" t="s">
        <v>286</v>
      </c>
      <c r="E30" s="24">
        <v>1500</v>
      </c>
      <c r="F30" s="25">
        <v>1517.6265000000001</v>
      </c>
      <c r="G30" s="26">
        <v>2.939657E-2</v>
      </c>
      <c r="H30" s="14">
        <v>6.9</v>
      </c>
    </row>
    <row r="31" spans="1:8" x14ac:dyDescent="0.2">
      <c r="A31" s="22">
        <v>3</v>
      </c>
      <c r="B31" s="23" t="s">
        <v>287</v>
      </c>
      <c r="C31" s="23" t="s">
        <v>288</v>
      </c>
      <c r="D31" s="23" t="s">
        <v>26</v>
      </c>
      <c r="E31" s="24">
        <v>1500</v>
      </c>
      <c r="F31" s="25">
        <v>1514.1869999999999</v>
      </c>
      <c r="G31" s="26">
        <v>2.932995E-2</v>
      </c>
      <c r="H31" s="14">
        <v>6.42</v>
      </c>
    </row>
    <row r="32" spans="1:8" x14ac:dyDescent="0.2">
      <c r="A32" s="22">
        <v>4</v>
      </c>
      <c r="B32" s="23" t="s">
        <v>289</v>
      </c>
      <c r="C32" s="23" t="s">
        <v>290</v>
      </c>
      <c r="D32" s="23" t="s">
        <v>23</v>
      </c>
      <c r="E32" s="24">
        <v>1200</v>
      </c>
      <c r="F32" s="25">
        <v>1207.05</v>
      </c>
      <c r="G32" s="26">
        <v>2.3380669999999999E-2</v>
      </c>
      <c r="H32" s="14">
        <v>6.75</v>
      </c>
    </row>
    <row r="33" spans="1:8" ht="25.5" x14ac:dyDescent="0.2">
      <c r="A33" s="22">
        <v>5</v>
      </c>
      <c r="B33" s="23" t="s">
        <v>77</v>
      </c>
      <c r="C33" s="23" t="s">
        <v>78</v>
      </c>
      <c r="D33" s="23" t="s">
        <v>23</v>
      </c>
      <c r="E33" s="24">
        <v>1000</v>
      </c>
      <c r="F33" s="25">
        <v>1019.95</v>
      </c>
      <c r="G33" s="26">
        <v>1.9756530000000001E-2</v>
      </c>
      <c r="H33" s="14">
        <v>6.5925000000000002</v>
      </c>
    </row>
    <row r="34" spans="1:8" x14ac:dyDescent="0.2">
      <c r="A34" s="22">
        <v>6</v>
      </c>
      <c r="B34" s="23" t="s">
        <v>71</v>
      </c>
      <c r="C34" s="23" t="s">
        <v>72</v>
      </c>
      <c r="D34" s="23" t="s">
        <v>23</v>
      </c>
      <c r="E34" s="24">
        <v>1000</v>
      </c>
      <c r="F34" s="25">
        <v>1016.825</v>
      </c>
      <c r="G34" s="26">
        <v>1.9696000000000002E-2</v>
      </c>
      <c r="H34" s="14">
        <v>7.1</v>
      </c>
    </row>
    <row r="35" spans="1:8" x14ac:dyDescent="0.2">
      <c r="A35" s="22">
        <v>7</v>
      </c>
      <c r="B35" s="23" t="s">
        <v>291</v>
      </c>
      <c r="C35" s="23" t="s">
        <v>292</v>
      </c>
      <c r="D35" s="23" t="s">
        <v>293</v>
      </c>
      <c r="E35" s="24">
        <v>1000</v>
      </c>
      <c r="F35" s="25">
        <v>1016.577</v>
      </c>
      <c r="G35" s="26">
        <v>1.9691190000000001E-2</v>
      </c>
      <c r="H35" s="14">
        <v>7.2255000000000003</v>
      </c>
    </row>
    <row r="36" spans="1:8" x14ac:dyDescent="0.2">
      <c r="A36" s="22">
        <v>8</v>
      </c>
      <c r="B36" s="23" t="s">
        <v>294</v>
      </c>
      <c r="C36" s="23" t="s">
        <v>295</v>
      </c>
      <c r="D36" s="23" t="s">
        <v>296</v>
      </c>
      <c r="E36" s="24">
        <v>1000</v>
      </c>
      <c r="F36" s="25">
        <v>1013.163</v>
      </c>
      <c r="G36" s="26">
        <v>1.962506E-2</v>
      </c>
      <c r="H36" s="14">
        <v>7.8928000000000003</v>
      </c>
    </row>
    <row r="37" spans="1:8" ht="25.5" x14ac:dyDescent="0.2">
      <c r="A37" s="22">
        <v>9</v>
      </c>
      <c r="B37" s="23" t="s">
        <v>297</v>
      </c>
      <c r="C37" s="23" t="s">
        <v>298</v>
      </c>
      <c r="D37" s="23" t="s">
        <v>26</v>
      </c>
      <c r="E37" s="24">
        <v>100</v>
      </c>
      <c r="F37" s="25">
        <v>1010.61</v>
      </c>
      <c r="G37" s="26">
        <v>1.957561E-2</v>
      </c>
      <c r="H37" s="14">
        <v>6.42</v>
      </c>
    </row>
    <row r="38" spans="1:8" ht="25.5" x14ac:dyDescent="0.2">
      <c r="A38" s="22">
        <v>10</v>
      </c>
      <c r="B38" s="23" t="s">
        <v>41</v>
      </c>
      <c r="C38" s="23" t="s">
        <v>42</v>
      </c>
      <c r="D38" s="23" t="s">
        <v>26</v>
      </c>
      <c r="E38" s="24">
        <v>1000</v>
      </c>
      <c r="F38" s="25">
        <v>1009.2859999999999</v>
      </c>
      <c r="G38" s="26">
        <v>1.954997E-2</v>
      </c>
      <c r="H38" s="14">
        <v>6.41</v>
      </c>
    </row>
    <row r="39" spans="1:8" ht="25.5" x14ac:dyDescent="0.2">
      <c r="A39" s="22">
        <v>11</v>
      </c>
      <c r="B39" s="23" t="s">
        <v>73</v>
      </c>
      <c r="C39" s="23" t="s">
        <v>74</v>
      </c>
      <c r="D39" s="23" t="s">
        <v>23</v>
      </c>
      <c r="E39" s="24">
        <v>1000</v>
      </c>
      <c r="F39" s="25">
        <v>1009.043</v>
      </c>
      <c r="G39" s="26">
        <v>1.9545259999999998E-2</v>
      </c>
      <c r="H39" s="14">
        <v>6.52</v>
      </c>
    </row>
    <row r="40" spans="1:8" x14ac:dyDescent="0.2">
      <c r="A40" s="22">
        <v>12</v>
      </c>
      <c r="B40" s="23" t="s">
        <v>299</v>
      </c>
      <c r="C40" s="23" t="s">
        <v>300</v>
      </c>
      <c r="D40" s="23" t="s">
        <v>301</v>
      </c>
      <c r="E40" s="24">
        <v>1000</v>
      </c>
      <c r="F40" s="25">
        <v>1007.825</v>
      </c>
      <c r="G40" s="26">
        <v>1.9521670000000001E-2</v>
      </c>
      <c r="H40" s="14">
        <v>8.375</v>
      </c>
    </row>
    <row r="41" spans="1:8" x14ac:dyDescent="0.2">
      <c r="A41" s="22">
        <v>13</v>
      </c>
      <c r="B41" s="23" t="s">
        <v>302</v>
      </c>
      <c r="C41" s="23" t="s">
        <v>303</v>
      </c>
      <c r="D41" s="23" t="s">
        <v>296</v>
      </c>
      <c r="E41" s="24">
        <v>900</v>
      </c>
      <c r="F41" s="25">
        <v>912.53790000000004</v>
      </c>
      <c r="G41" s="26">
        <v>1.7675949999999999E-2</v>
      </c>
      <c r="H41" s="14">
        <v>6.95</v>
      </c>
    </row>
    <row r="42" spans="1:8" x14ac:dyDescent="0.2">
      <c r="A42" s="22">
        <v>14</v>
      </c>
      <c r="B42" s="23" t="s">
        <v>304</v>
      </c>
      <c r="C42" s="23" t="s">
        <v>305</v>
      </c>
      <c r="D42" s="23" t="s">
        <v>26</v>
      </c>
      <c r="E42" s="24">
        <v>900</v>
      </c>
      <c r="F42" s="25">
        <v>910.68389999999999</v>
      </c>
      <c r="G42" s="26">
        <v>1.7640030000000001E-2</v>
      </c>
      <c r="H42" s="14">
        <v>7.1624999999999996</v>
      </c>
    </row>
    <row r="43" spans="1:8" x14ac:dyDescent="0.2">
      <c r="A43" s="22">
        <v>15</v>
      </c>
      <c r="B43" s="23" t="s">
        <v>306</v>
      </c>
      <c r="C43" s="23" t="s">
        <v>307</v>
      </c>
      <c r="D43" s="23" t="s">
        <v>26</v>
      </c>
      <c r="E43" s="24">
        <v>500</v>
      </c>
      <c r="F43" s="25">
        <v>509.39</v>
      </c>
      <c r="G43" s="26">
        <v>9.8669299999999995E-3</v>
      </c>
      <c r="H43" s="14">
        <v>6.5563000000000002</v>
      </c>
    </row>
    <row r="44" spans="1:8" ht="25.5" x14ac:dyDescent="0.2">
      <c r="A44" s="22">
        <v>16</v>
      </c>
      <c r="B44" s="23" t="s">
        <v>156</v>
      </c>
      <c r="C44" s="23" t="s">
        <v>157</v>
      </c>
      <c r="D44" s="23" t="s">
        <v>26</v>
      </c>
      <c r="E44" s="24">
        <v>500</v>
      </c>
      <c r="F44" s="25">
        <v>508.8725</v>
      </c>
      <c r="G44" s="26">
        <v>9.85691E-3</v>
      </c>
      <c r="H44" s="14">
        <v>6.57</v>
      </c>
    </row>
    <row r="45" spans="1:8" x14ac:dyDescent="0.2">
      <c r="A45" s="22">
        <v>17</v>
      </c>
      <c r="B45" s="23" t="s">
        <v>59</v>
      </c>
      <c r="C45" s="23" t="s">
        <v>60</v>
      </c>
      <c r="D45" s="23" t="s">
        <v>26</v>
      </c>
      <c r="E45" s="24">
        <v>500</v>
      </c>
      <c r="F45" s="25">
        <v>507.01499999999999</v>
      </c>
      <c r="G45" s="26">
        <v>9.8209300000000003E-3</v>
      </c>
      <c r="H45" s="14">
        <v>6.45</v>
      </c>
    </row>
    <row r="46" spans="1:8" ht="25.5" x14ac:dyDescent="0.2">
      <c r="A46" s="22">
        <v>18</v>
      </c>
      <c r="B46" s="23" t="s">
        <v>308</v>
      </c>
      <c r="C46" s="23" t="s">
        <v>309</v>
      </c>
      <c r="D46" s="23" t="s">
        <v>296</v>
      </c>
      <c r="E46" s="24">
        <v>50</v>
      </c>
      <c r="F46" s="25">
        <v>501.8895</v>
      </c>
      <c r="G46" s="26">
        <v>9.7216500000000001E-3</v>
      </c>
      <c r="H46" s="14">
        <v>6.7949999999999999</v>
      </c>
    </row>
    <row r="47" spans="1:8" x14ac:dyDescent="0.2">
      <c r="A47" s="22">
        <v>19</v>
      </c>
      <c r="B47" s="23" t="s">
        <v>310</v>
      </c>
      <c r="C47" s="23" t="s">
        <v>311</v>
      </c>
      <c r="D47" s="23" t="s">
        <v>296</v>
      </c>
      <c r="E47" s="24">
        <v>350</v>
      </c>
      <c r="F47" s="25">
        <v>355.67734999999999</v>
      </c>
      <c r="G47" s="26">
        <v>6.8894999999999998E-3</v>
      </c>
      <c r="H47" s="14">
        <v>7.8731</v>
      </c>
    </row>
    <row r="48" spans="1:8" x14ac:dyDescent="0.2">
      <c r="A48" s="15"/>
      <c r="B48" s="15"/>
      <c r="C48" s="16" t="s">
        <v>11</v>
      </c>
      <c r="D48" s="15"/>
      <c r="E48" s="15" t="s">
        <v>12</v>
      </c>
      <c r="F48" s="21">
        <v>18066.871650000001</v>
      </c>
      <c r="G48" s="18">
        <v>0.34995703</v>
      </c>
      <c r="H48" s="14" t="s">
        <v>12</v>
      </c>
    </row>
    <row r="49" spans="1:8" x14ac:dyDescent="0.2">
      <c r="A49" s="15"/>
      <c r="B49" s="15"/>
      <c r="C49" s="19"/>
      <c r="D49" s="15"/>
      <c r="E49" s="15"/>
      <c r="F49" s="20"/>
      <c r="G49" s="20"/>
      <c r="H49" s="14" t="s">
        <v>12</v>
      </c>
    </row>
    <row r="50" spans="1:8" x14ac:dyDescent="0.2">
      <c r="A50" s="15"/>
      <c r="B50" s="15"/>
      <c r="C50" s="16" t="s">
        <v>79</v>
      </c>
      <c r="D50" s="15"/>
      <c r="E50" s="15"/>
      <c r="F50" s="15"/>
      <c r="G50" s="15"/>
      <c r="H50" s="14" t="s">
        <v>12</v>
      </c>
    </row>
    <row r="51" spans="1:8" x14ac:dyDescent="0.2">
      <c r="A51" s="15"/>
      <c r="B51" s="15"/>
      <c r="C51" s="16" t="s">
        <v>11</v>
      </c>
      <c r="D51" s="15"/>
      <c r="E51" s="15" t="s">
        <v>12</v>
      </c>
      <c r="F51" s="17" t="s">
        <v>13</v>
      </c>
      <c r="G51" s="18">
        <v>0</v>
      </c>
      <c r="H51" s="14" t="s">
        <v>12</v>
      </c>
    </row>
    <row r="52" spans="1:8" x14ac:dyDescent="0.2">
      <c r="A52" s="15"/>
      <c r="B52" s="15"/>
      <c r="C52" s="19"/>
      <c r="D52" s="15"/>
      <c r="E52" s="15"/>
      <c r="F52" s="20"/>
      <c r="G52" s="20"/>
      <c r="H52" s="14" t="s">
        <v>12</v>
      </c>
    </row>
    <row r="53" spans="1:8" x14ac:dyDescent="0.2">
      <c r="A53" s="15"/>
      <c r="B53" s="15"/>
      <c r="C53" s="16" t="s">
        <v>80</v>
      </c>
      <c r="D53" s="15"/>
      <c r="E53" s="15"/>
      <c r="F53" s="15"/>
      <c r="G53" s="15"/>
      <c r="H53" s="14" t="s">
        <v>12</v>
      </c>
    </row>
    <row r="54" spans="1:8" x14ac:dyDescent="0.2">
      <c r="A54" s="22">
        <v>1</v>
      </c>
      <c r="B54" s="23" t="s">
        <v>162</v>
      </c>
      <c r="C54" s="23" t="s">
        <v>163</v>
      </c>
      <c r="D54" s="23" t="s">
        <v>83</v>
      </c>
      <c r="E54" s="24">
        <v>400000</v>
      </c>
      <c r="F54" s="25">
        <v>414.2004</v>
      </c>
      <c r="G54" s="26">
        <v>8.0231E-3</v>
      </c>
      <c r="H54" s="14">
        <v>6.0773999999999999</v>
      </c>
    </row>
    <row r="55" spans="1:8" x14ac:dyDescent="0.2">
      <c r="A55" s="22">
        <v>2</v>
      </c>
      <c r="B55" s="23" t="s">
        <v>312</v>
      </c>
      <c r="C55" s="23" t="s">
        <v>313</v>
      </c>
      <c r="D55" s="23" t="s">
        <v>83</v>
      </c>
      <c r="E55" s="24">
        <v>300000</v>
      </c>
      <c r="F55" s="25">
        <v>308.82029999999997</v>
      </c>
      <c r="G55" s="26">
        <v>5.9818800000000002E-3</v>
      </c>
      <c r="H55" s="14">
        <v>5.79</v>
      </c>
    </row>
    <row r="56" spans="1:8" x14ac:dyDescent="0.2">
      <c r="A56" s="15"/>
      <c r="B56" s="15"/>
      <c r="C56" s="16" t="s">
        <v>11</v>
      </c>
      <c r="D56" s="15"/>
      <c r="E56" s="15" t="s">
        <v>12</v>
      </c>
      <c r="F56" s="21">
        <v>723.02070000000003</v>
      </c>
      <c r="G56" s="18">
        <v>1.400498E-2</v>
      </c>
      <c r="H56" s="14" t="s">
        <v>12</v>
      </c>
    </row>
    <row r="57" spans="1:8" x14ac:dyDescent="0.2">
      <c r="A57" s="15"/>
      <c r="B57" s="15"/>
      <c r="C57" s="19"/>
      <c r="D57" s="15"/>
      <c r="E57" s="15"/>
      <c r="F57" s="20"/>
      <c r="G57" s="20"/>
      <c r="H57" s="14" t="s">
        <v>12</v>
      </c>
    </row>
    <row r="58" spans="1:8" x14ac:dyDescent="0.2">
      <c r="A58" s="15"/>
      <c r="B58" s="15"/>
      <c r="C58" s="16" t="s">
        <v>98</v>
      </c>
      <c r="D58" s="15"/>
      <c r="E58" s="15"/>
      <c r="F58" s="20"/>
      <c r="G58" s="20"/>
      <c r="H58" s="14" t="s">
        <v>12</v>
      </c>
    </row>
    <row r="59" spans="1:8" x14ac:dyDescent="0.2">
      <c r="A59" s="15"/>
      <c r="B59" s="15"/>
      <c r="C59" s="16" t="s">
        <v>11</v>
      </c>
      <c r="D59" s="15"/>
      <c r="E59" s="15" t="s">
        <v>12</v>
      </c>
      <c r="F59" s="17" t="s">
        <v>13</v>
      </c>
      <c r="G59" s="18">
        <v>0</v>
      </c>
      <c r="H59" s="14" t="s">
        <v>12</v>
      </c>
    </row>
    <row r="60" spans="1:8" x14ac:dyDescent="0.2">
      <c r="A60" s="15"/>
      <c r="B60" s="15"/>
      <c r="C60" s="19"/>
      <c r="D60" s="15"/>
      <c r="E60" s="15"/>
      <c r="F60" s="20"/>
      <c r="G60" s="20"/>
      <c r="H60" s="14" t="s">
        <v>12</v>
      </c>
    </row>
    <row r="61" spans="1:8" x14ac:dyDescent="0.2">
      <c r="A61" s="15"/>
      <c r="B61" s="15"/>
      <c r="C61" s="16" t="s">
        <v>99</v>
      </c>
      <c r="D61" s="15"/>
      <c r="E61" s="15"/>
      <c r="F61" s="21">
        <v>18789.892349999998</v>
      </c>
      <c r="G61" s="18">
        <v>0.36396201</v>
      </c>
      <c r="H61" s="14" t="s">
        <v>12</v>
      </c>
    </row>
    <row r="62" spans="1:8" x14ac:dyDescent="0.2">
      <c r="A62" s="15"/>
      <c r="B62" s="15"/>
      <c r="C62" s="19"/>
      <c r="D62" s="15"/>
      <c r="E62" s="15"/>
      <c r="F62" s="20"/>
      <c r="G62" s="20"/>
      <c r="H62" s="14" t="s">
        <v>12</v>
      </c>
    </row>
    <row r="63" spans="1:8" x14ac:dyDescent="0.2">
      <c r="A63" s="15"/>
      <c r="B63" s="15"/>
      <c r="C63" s="16" t="s">
        <v>100</v>
      </c>
      <c r="D63" s="15"/>
      <c r="E63" s="15"/>
      <c r="F63" s="20"/>
      <c r="G63" s="20"/>
      <c r="H63" s="14" t="s">
        <v>12</v>
      </c>
    </row>
    <row r="64" spans="1:8" x14ac:dyDescent="0.2">
      <c r="A64" s="15"/>
      <c r="B64" s="15"/>
      <c r="C64" s="16" t="s">
        <v>101</v>
      </c>
      <c r="D64" s="15"/>
      <c r="E64" s="15"/>
      <c r="F64" s="20"/>
      <c r="G64" s="20"/>
      <c r="H64" s="14" t="s">
        <v>12</v>
      </c>
    </row>
    <row r="65" spans="1:8" x14ac:dyDescent="0.2">
      <c r="A65" s="22">
        <v>1</v>
      </c>
      <c r="B65" s="23" t="s">
        <v>212</v>
      </c>
      <c r="C65" s="23" t="s">
        <v>213</v>
      </c>
      <c r="D65" s="23" t="s">
        <v>107</v>
      </c>
      <c r="E65" s="24">
        <v>500</v>
      </c>
      <c r="F65" s="25">
        <v>2445.2199999999998</v>
      </c>
      <c r="G65" s="26">
        <v>4.7364139999999999E-2</v>
      </c>
      <c r="H65" s="14">
        <v>5.9686000000000003</v>
      </c>
    </row>
    <row r="66" spans="1:8" x14ac:dyDescent="0.2">
      <c r="A66" s="22">
        <v>2</v>
      </c>
      <c r="B66" s="23" t="s">
        <v>181</v>
      </c>
      <c r="C66" s="23" t="s">
        <v>182</v>
      </c>
      <c r="D66" s="23" t="s">
        <v>107</v>
      </c>
      <c r="E66" s="24">
        <v>500</v>
      </c>
      <c r="F66" s="25">
        <v>2408.7224999999999</v>
      </c>
      <c r="G66" s="26">
        <v>4.6657179999999999E-2</v>
      </c>
      <c r="H66" s="14">
        <v>6.04</v>
      </c>
    </row>
    <row r="67" spans="1:8" x14ac:dyDescent="0.2">
      <c r="A67" s="22">
        <v>3</v>
      </c>
      <c r="B67" s="23" t="s">
        <v>187</v>
      </c>
      <c r="C67" s="23" t="s">
        <v>188</v>
      </c>
      <c r="D67" s="23" t="s">
        <v>189</v>
      </c>
      <c r="E67" s="24">
        <v>400</v>
      </c>
      <c r="F67" s="25">
        <v>1957.856</v>
      </c>
      <c r="G67" s="26">
        <v>3.7923859999999997E-2</v>
      </c>
      <c r="H67" s="14">
        <v>5.9074</v>
      </c>
    </row>
    <row r="68" spans="1:8" x14ac:dyDescent="0.2">
      <c r="A68" s="22">
        <v>4</v>
      </c>
      <c r="B68" s="23" t="s">
        <v>314</v>
      </c>
      <c r="C68" s="23" t="s">
        <v>315</v>
      </c>
      <c r="D68" s="23" t="s">
        <v>107</v>
      </c>
      <c r="E68" s="24">
        <v>400</v>
      </c>
      <c r="F68" s="25">
        <v>1901.5920000000001</v>
      </c>
      <c r="G68" s="26">
        <v>3.6834020000000002E-2</v>
      </c>
      <c r="H68" s="14">
        <v>6.36</v>
      </c>
    </row>
    <row r="69" spans="1:8" x14ac:dyDescent="0.2">
      <c r="A69" s="22">
        <v>5</v>
      </c>
      <c r="B69" s="23" t="s">
        <v>105</v>
      </c>
      <c r="C69" s="23" t="s">
        <v>106</v>
      </c>
      <c r="D69" s="23" t="s">
        <v>107</v>
      </c>
      <c r="E69" s="24">
        <v>300</v>
      </c>
      <c r="F69" s="25">
        <v>1470.1935000000001</v>
      </c>
      <c r="G69" s="26">
        <v>2.8477789999999999E-2</v>
      </c>
      <c r="H69" s="14">
        <v>5.92</v>
      </c>
    </row>
    <row r="70" spans="1:8" x14ac:dyDescent="0.2">
      <c r="A70" s="22">
        <v>6</v>
      </c>
      <c r="B70" s="23" t="s">
        <v>316</v>
      </c>
      <c r="C70" s="23" t="s">
        <v>317</v>
      </c>
      <c r="D70" s="23" t="s">
        <v>107</v>
      </c>
      <c r="E70" s="24">
        <v>200</v>
      </c>
      <c r="F70" s="25">
        <v>969.50300000000004</v>
      </c>
      <c r="G70" s="26">
        <v>1.877937E-2</v>
      </c>
      <c r="H70" s="14">
        <v>6.0749000000000004</v>
      </c>
    </row>
    <row r="71" spans="1:8" ht="25.5" x14ac:dyDescent="0.2">
      <c r="A71" s="22">
        <v>7</v>
      </c>
      <c r="B71" s="23" t="s">
        <v>202</v>
      </c>
      <c r="C71" s="23" t="s">
        <v>203</v>
      </c>
      <c r="D71" s="23" t="s">
        <v>107</v>
      </c>
      <c r="E71" s="24">
        <v>200</v>
      </c>
      <c r="F71" s="25">
        <v>966.21900000000005</v>
      </c>
      <c r="G71" s="26">
        <v>1.871575E-2</v>
      </c>
      <c r="H71" s="14">
        <v>6.0766999999999998</v>
      </c>
    </row>
    <row r="72" spans="1:8" ht="25.5" x14ac:dyDescent="0.2">
      <c r="A72" s="22">
        <v>8</v>
      </c>
      <c r="B72" s="23" t="s">
        <v>204</v>
      </c>
      <c r="C72" s="23" t="s">
        <v>205</v>
      </c>
      <c r="D72" s="23" t="s">
        <v>107</v>
      </c>
      <c r="E72" s="24">
        <v>200</v>
      </c>
      <c r="F72" s="25">
        <v>966.17499999999995</v>
      </c>
      <c r="G72" s="26">
        <v>1.87149E-2</v>
      </c>
      <c r="H72" s="14">
        <v>6.085</v>
      </c>
    </row>
    <row r="73" spans="1:8" ht="25.5" x14ac:dyDescent="0.2">
      <c r="A73" s="22">
        <v>9</v>
      </c>
      <c r="B73" s="23" t="s">
        <v>318</v>
      </c>
      <c r="C73" s="23" t="s">
        <v>319</v>
      </c>
      <c r="D73" s="23" t="s">
        <v>107</v>
      </c>
      <c r="E73" s="24">
        <v>200</v>
      </c>
      <c r="F73" s="25">
        <v>963.96400000000006</v>
      </c>
      <c r="G73" s="26">
        <v>1.8672069999999999E-2</v>
      </c>
      <c r="H73" s="14">
        <v>6.0914999999999999</v>
      </c>
    </row>
    <row r="74" spans="1:8" x14ac:dyDescent="0.2">
      <c r="A74" s="22">
        <v>10</v>
      </c>
      <c r="B74" s="23" t="s">
        <v>170</v>
      </c>
      <c r="C74" s="23" t="s">
        <v>171</v>
      </c>
      <c r="D74" s="23" t="s">
        <v>107</v>
      </c>
      <c r="E74" s="24">
        <v>200</v>
      </c>
      <c r="F74" s="25">
        <v>963.29899999999998</v>
      </c>
      <c r="G74" s="26">
        <v>1.8659189999999999E-2</v>
      </c>
      <c r="H74" s="14">
        <v>6.0201000000000002</v>
      </c>
    </row>
    <row r="75" spans="1:8" ht="25.5" x14ac:dyDescent="0.2">
      <c r="A75" s="22">
        <v>11</v>
      </c>
      <c r="B75" s="23" t="s">
        <v>320</v>
      </c>
      <c r="C75" s="23" t="s">
        <v>321</v>
      </c>
      <c r="D75" s="23" t="s">
        <v>107</v>
      </c>
      <c r="E75" s="24">
        <v>100</v>
      </c>
      <c r="F75" s="25">
        <v>481.05349999999999</v>
      </c>
      <c r="G75" s="26">
        <v>9.3180499999999996E-3</v>
      </c>
      <c r="H75" s="14">
        <v>6.0914999999999999</v>
      </c>
    </row>
    <row r="76" spans="1:8" x14ac:dyDescent="0.2">
      <c r="A76" s="15"/>
      <c r="B76" s="15"/>
      <c r="C76" s="16" t="s">
        <v>11</v>
      </c>
      <c r="D76" s="15"/>
      <c r="E76" s="15" t="s">
        <v>12</v>
      </c>
      <c r="F76" s="21">
        <v>15493.797500000001</v>
      </c>
      <c r="G76" s="18">
        <v>0.30011631999999999</v>
      </c>
      <c r="H76" s="14" t="s">
        <v>12</v>
      </c>
    </row>
    <row r="77" spans="1:8" x14ac:dyDescent="0.2">
      <c r="A77" s="15"/>
      <c r="B77" s="15"/>
      <c r="C77" s="19"/>
      <c r="D77" s="15"/>
      <c r="E77" s="15"/>
      <c r="F77" s="20"/>
      <c r="G77" s="20"/>
      <c r="H77" s="14" t="s">
        <v>12</v>
      </c>
    </row>
    <row r="78" spans="1:8" x14ac:dyDescent="0.2">
      <c r="A78" s="15"/>
      <c r="B78" s="15"/>
      <c r="C78" s="16" t="s">
        <v>108</v>
      </c>
      <c r="D78" s="15"/>
      <c r="E78" s="15"/>
      <c r="F78" s="20"/>
      <c r="G78" s="20"/>
      <c r="H78" s="14" t="s">
        <v>12</v>
      </c>
    </row>
    <row r="79" spans="1:8" x14ac:dyDescent="0.2">
      <c r="A79" s="15"/>
      <c r="B79" s="15"/>
      <c r="C79" s="16" t="s">
        <v>11</v>
      </c>
      <c r="D79" s="15"/>
      <c r="E79" s="15" t="s">
        <v>12</v>
      </c>
      <c r="F79" s="17" t="s">
        <v>13</v>
      </c>
      <c r="G79" s="18">
        <v>0</v>
      </c>
      <c r="H79" s="14" t="s">
        <v>12</v>
      </c>
    </row>
    <row r="80" spans="1:8" x14ac:dyDescent="0.2">
      <c r="A80" s="15"/>
      <c r="B80" s="15"/>
      <c r="C80" s="19"/>
      <c r="D80" s="15"/>
      <c r="E80" s="15"/>
      <c r="F80" s="20"/>
      <c r="G80" s="20"/>
      <c r="H80" s="14" t="s">
        <v>12</v>
      </c>
    </row>
    <row r="81" spans="1:17" x14ac:dyDescent="0.2">
      <c r="A81" s="15"/>
      <c r="B81" s="15"/>
      <c r="C81" s="16" t="s">
        <v>109</v>
      </c>
      <c r="D81" s="15"/>
      <c r="E81" s="15"/>
      <c r="F81" s="20"/>
      <c r="G81" s="20"/>
      <c r="H81" s="14" t="s">
        <v>12</v>
      </c>
    </row>
    <row r="82" spans="1:17" x14ac:dyDescent="0.2">
      <c r="A82" s="22">
        <v>1</v>
      </c>
      <c r="B82" s="23" t="s">
        <v>322</v>
      </c>
      <c r="C82" s="23" t="s">
        <v>323</v>
      </c>
      <c r="D82" s="23" t="s">
        <v>83</v>
      </c>
      <c r="E82" s="24">
        <v>10000000</v>
      </c>
      <c r="F82" s="25">
        <v>9991.2999999999993</v>
      </c>
      <c r="G82" s="26">
        <v>0.19353243000000001</v>
      </c>
      <c r="H82" s="14">
        <v>5.3</v>
      </c>
    </row>
    <row r="83" spans="1:17" x14ac:dyDescent="0.2">
      <c r="A83" s="15"/>
      <c r="B83" s="15"/>
      <c r="C83" s="16" t="s">
        <v>11</v>
      </c>
      <c r="D83" s="15"/>
      <c r="E83" s="15" t="s">
        <v>12</v>
      </c>
      <c r="F83" s="21">
        <v>9991.2999999999993</v>
      </c>
      <c r="G83" s="18">
        <v>0.19353243000000001</v>
      </c>
      <c r="H83" s="14" t="s">
        <v>12</v>
      </c>
    </row>
    <row r="84" spans="1:17" x14ac:dyDescent="0.2">
      <c r="A84" s="15"/>
      <c r="B84" s="15"/>
      <c r="C84" s="19"/>
      <c r="D84" s="15"/>
      <c r="E84" s="15"/>
      <c r="F84" s="20"/>
      <c r="G84" s="20"/>
      <c r="H84" s="14" t="s">
        <v>12</v>
      </c>
    </row>
    <row r="85" spans="1:17" x14ac:dyDescent="0.2">
      <c r="A85" s="15"/>
      <c r="B85" s="15"/>
      <c r="C85" s="16" t="s">
        <v>110</v>
      </c>
      <c r="D85" s="15"/>
      <c r="E85" s="15"/>
      <c r="F85" s="20"/>
      <c r="G85" s="20"/>
      <c r="H85" s="14" t="s">
        <v>12</v>
      </c>
    </row>
    <row r="86" spans="1:17" x14ac:dyDescent="0.2">
      <c r="A86" s="22">
        <v>1</v>
      </c>
      <c r="B86" s="23"/>
      <c r="C86" s="23" t="s">
        <v>111</v>
      </c>
      <c r="D86" s="23"/>
      <c r="E86" s="27"/>
      <c r="F86" s="25">
        <v>6626.4792550060001</v>
      </c>
      <c r="G86" s="26">
        <v>0.12835553</v>
      </c>
      <c r="H86" s="14">
        <v>5.41</v>
      </c>
    </row>
    <row r="87" spans="1:17" x14ac:dyDescent="0.2">
      <c r="A87" s="15"/>
      <c r="B87" s="15"/>
      <c r="C87" s="16" t="s">
        <v>11</v>
      </c>
      <c r="D87" s="15"/>
      <c r="E87" s="15" t="s">
        <v>12</v>
      </c>
      <c r="F87" s="21">
        <v>6626.4792550060001</v>
      </c>
      <c r="G87" s="18">
        <v>0.12835553</v>
      </c>
      <c r="H87" s="14" t="s">
        <v>12</v>
      </c>
    </row>
    <row r="88" spans="1:17" x14ac:dyDescent="0.2">
      <c r="A88" s="15"/>
      <c r="B88" s="15"/>
      <c r="C88" s="19"/>
      <c r="D88" s="15"/>
      <c r="E88" s="15"/>
      <c r="F88" s="20"/>
      <c r="G88" s="20"/>
      <c r="H88" s="14" t="s">
        <v>12</v>
      </c>
    </row>
    <row r="89" spans="1:17" x14ac:dyDescent="0.2">
      <c r="A89" s="15"/>
      <c r="B89" s="15"/>
      <c r="C89" s="16" t="s">
        <v>112</v>
      </c>
      <c r="D89" s="15"/>
      <c r="E89" s="15"/>
      <c r="F89" s="21">
        <v>32111.576755006001</v>
      </c>
      <c r="G89" s="18">
        <v>0.62200427999999996</v>
      </c>
      <c r="H89" s="14" t="s">
        <v>12</v>
      </c>
    </row>
    <row r="90" spans="1:17" x14ac:dyDescent="0.2">
      <c r="A90" s="15"/>
      <c r="B90" s="15"/>
      <c r="C90" s="20"/>
      <c r="D90" s="15"/>
      <c r="E90" s="15"/>
      <c r="F90" s="15"/>
      <c r="G90" s="15"/>
      <c r="H90" s="14" t="s">
        <v>12</v>
      </c>
    </row>
    <row r="91" spans="1:17" x14ac:dyDescent="0.2">
      <c r="A91" s="15"/>
      <c r="B91" s="15"/>
      <c r="C91" s="16" t="s">
        <v>113</v>
      </c>
      <c r="D91" s="15"/>
      <c r="E91" s="15"/>
      <c r="F91" s="15"/>
      <c r="G91" s="15"/>
      <c r="H91" s="14" t="s">
        <v>12</v>
      </c>
    </row>
    <row r="92" spans="1:17" x14ac:dyDescent="0.2">
      <c r="A92" s="15"/>
      <c r="B92" s="15"/>
      <c r="C92" s="16" t="s">
        <v>114</v>
      </c>
      <c r="D92" s="15"/>
      <c r="E92" s="15"/>
      <c r="F92" s="15"/>
      <c r="G92" s="15"/>
      <c r="H92" s="14" t="s">
        <v>12</v>
      </c>
    </row>
    <row r="93" spans="1:17" x14ac:dyDescent="0.2">
      <c r="A93" s="15"/>
      <c r="B93" s="15"/>
      <c r="C93" s="16" t="s">
        <v>11</v>
      </c>
      <c r="D93" s="15"/>
      <c r="E93" s="15" t="s">
        <v>12</v>
      </c>
      <c r="F93" s="17" t="s">
        <v>13</v>
      </c>
      <c r="G93" s="18">
        <v>0</v>
      </c>
      <c r="H93" s="14" t="s">
        <v>12</v>
      </c>
    </row>
    <row r="94" spans="1:17" x14ac:dyDescent="0.2">
      <c r="A94" s="12"/>
      <c r="B94" s="12"/>
      <c r="C94" s="28"/>
      <c r="D94" s="12"/>
      <c r="E94" s="12"/>
      <c r="F94" s="29"/>
      <c r="G94" s="29"/>
      <c r="H94" s="14" t="s">
        <v>12</v>
      </c>
    </row>
    <row r="95" spans="1:17" x14ac:dyDescent="0.2">
      <c r="A95" s="12"/>
      <c r="B95" s="12"/>
      <c r="C95" s="13" t="s">
        <v>608</v>
      </c>
      <c r="D95" s="12"/>
      <c r="E95" s="12"/>
      <c r="F95" s="29"/>
      <c r="G95" s="29"/>
      <c r="H95" s="14" t="s">
        <v>12</v>
      </c>
      <c r="K95" s="30"/>
      <c r="L95" s="30"/>
      <c r="M95" s="30"/>
      <c r="N95" s="30"/>
      <c r="O95" s="31"/>
      <c r="P95" s="31"/>
      <c r="Q95" s="31"/>
    </row>
    <row r="96" spans="1:17" x14ac:dyDescent="0.2">
      <c r="A96" s="32">
        <v>1</v>
      </c>
      <c r="B96" s="33" t="s">
        <v>115</v>
      </c>
      <c r="C96" s="33" t="s">
        <v>116</v>
      </c>
      <c r="D96" s="33"/>
      <c r="E96" s="34">
        <v>1043.4449999999999</v>
      </c>
      <c r="F96" s="35">
        <v>117.802734657</v>
      </c>
      <c r="G96" s="36">
        <v>2.2818500000000002E-3</v>
      </c>
      <c r="H96" s="14"/>
    </row>
    <row r="97" spans="1:9" x14ac:dyDescent="0.2">
      <c r="A97" s="12"/>
      <c r="B97" s="12"/>
      <c r="C97" s="13" t="s">
        <v>11</v>
      </c>
      <c r="D97" s="12"/>
      <c r="E97" s="12" t="s">
        <v>12</v>
      </c>
      <c r="F97" s="37">
        <f>SUM(F96)</f>
        <v>117.802734657</v>
      </c>
      <c r="G97" s="38">
        <f>SUM(G96)</f>
        <v>2.2818500000000002E-3</v>
      </c>
      <c r="H97" s="14" t="s">
        <v>12</v>
      </c>
    </row>
    <row r="98" spans="1:9" x14ac:dyDescent="0.2">
      <c r="A98" s="15"/>
      <c r="B98" s="15"/>
      <c r="C98" s="19"/>
      <c r="D98" s="15"/>
      <c r="E98" s="15"/>
      <c r="F98" s="20"/>
      <c r="G98" s="20"/>
      <c r="H98" s="14" t="s">
        <v>12</v>
      </c>
    </row>
    <row r="99" spans="1:9" x14ac:dyDescent="0.2">
      <c r="A99" s="15"/>
      <c r="B99" s="15"/>
      <c r="C99" s="16" t="s">
        <v>117</v>
      </c>
      <c r="D99" s="15"/>
      <c r="E99" s="15"/>
      <c r="F99" s="15"/>
      <c r="G99" s="15"/>
      <c r="H99" s="14" t="s">
        <v>12</v>
      </c>
    </row>
    <row r="100" spans="1:9" x14ac:dyDescent="0.2">
      <c r="A100" s="15"/>
      <c r="B100" s="15"/>
      <c r="C100" s="16" t="s">
        <v>118</v>
      </c>
      <c r="D100" s="15"/>
      <c r="E100" s="15"/>
      <c r="F100" s="15"/>
      <c r="G100" s="15"/>
      <c r="H100" s="14" t="s">
        <v>12</v>
      </c>
    </row>
    <row r="101" spans="1:9" x14ac:dyDescent="0.2">
      <c r="A101" s="15"/>
      <c r="B101" s="15"/>
      <c r="C101" s="16" t="s">
        <v>11</v>
      </c>
      <c r="D101" s="15"/>
      <c r="E101" s="15" t="s">
        <v>12</v>
      </c>
      <c r="F101" s="17" t="s">
        <v>13</v>
      </c>
      <c r="G101" s="18">
        <v>0</v>
      </c>
      <c r="H101" s="14" t="s">
        <v>12</v>
      </c>
    </row>
    <row r="102" spans="1:9" x14ac:dyDescent="0.2">
      <c r="A102" s="15"/>
      <c r="B102" s="15"/>
      <c r="C102" s="19"/>
      <c r="D102" s="15"/>
      <c r="E102" s="15"/>
      <c r="F102" s="20"/>
      <c r="G102" s="20"/>
      <c r="H102" s="14" t="s">
        <v>12</v>
      </c>
    </row>
    <row r="103" spans="1:9" x14ac:dyDescent="0.2">
      <c r="A103" s="15"/>
      <c r="B103" s="15"/>
      <c r="C103" s="16" t="s">
        <v>119</v>
      </c>
      <c r="D103" s="15"/>
      <c r="E103" s="15"/>
      <c r="F103" s="20"/>
      <c r="G103" s="20"/>
      <c r="H103" s="14" t="s">
        <v>12</v>
      </c>
    </row>
    <row r="104" spans="1:9" x14ac:dyDescent="0.2">
      <c r="A104" s="15"/>
      <c r="B104" s="15"/>
      <c r="C104" s="16" t="s">
        <v>11</v>
      </c>
      <c r="D104" s="15"/>
      <c r="E104" s="15" t="s">
        <v>12</v>
      </c>
      <c r="F104" s="17" t="s">
        <v>13</v>
      </c>
      <c r="G104" s="18">
        <v>0</v>
      </c>
      <c r="H104" s="14" t="s">
        <v>12</v>
      </c>
    </row>
    <row r="105" spans="1:9" x14ac:dyDescent="0.2">
      <c r="A105" s="15"/>
      <c r="B105" s="15"/>
      <c r="C105" s="19"/>
      <c r="D105" s="15"/>
      <c r="E105" s="15"/>
      <c r="F105" s="20"/>
      <c r="G105" s="20"/>
      <c r="H105" s="14" t="s">
        <v>12</v>
      </c>
    </row>
    <row r="106" spans="1:9" x14ac:dyDescent="0.2">
      <c r="A106" s="27"/>
      <c r="B106" s="23"/>
      <c r="C106" s="23" t="s">
        <v>120</v>
      </c>
      <c r="D106" s="23"/>
      <c r="E106" s="27"/>
      <c r="F106" s="25">
        <f>606.70225721-0.0043523129940033</f>
        <v>606.69790489700597</v>
      </c>
      <c r="G106" s="26">
        <v>1.1751879999999999E-2</v>
      </c>
      <c r="H106" s="14" t="s">
        <v>12</v>
      </c>
    </row>
    <row r="107" spans="1:9" x14ac:dyDescent="0.2">
      <c r="A107" s="19"/>
      <c r="B107" s="19"/>
      <c r="C107" s="16" t="s">
        <v>121</v>
      </c>
      <c r="D107" s="20"/>
      <c r="E107" s="20"/>
      <c r="F107" s="21">
        <f>51625.974096873-0.0043523129940033</f>
        <v>51625.969744560003</v>
      </c>
      <c r="G107" s="39">
        <v>1.0000000200000001</v>
      </c>
      <c r="H107" s="14" t="s">
        <v>12</v>
      </c>
    </row>
    <row r="108" spans="1:9" x14ac:dyDescent="0.2">
      <c r="A108" s="40"/>
      <c r="B108" s="40"/>
      <c r="C108" s="40"/>
      <c r="D108" s="41"/>
      <c r="E108" s="41"/>
      <c r="F108" s="41"/>
      <c r="G108" s="41"/>
    </row>
    <row r="109" spans="1:9" x14ac:dyDescent="0.2">
      <c r="A109" s="42"/>
      <c r="B109" s="156" t="s">
        <v>622</v>
      </c>
      <c r="C109" s="156"/>
      <c r="D109" s="156"/>
      <c r="E109" s="156"/>
      <c r="F109" s="156"/>
      <c r="G109" s="156"/>
      <c r="H109" s="156"/>
    </row>
    <row r="110" spans="1:9" x14ac:dyDescent="0.2">
      <c r="A110" s="42"/>
      <c r="B110" s="156" t="s">
        <v>623</v>
      </c>
      <c r="C110" s="156"/>
      <c r="D110" s="156"/>
      <c r="E110" s="156"/>
      <c r="F110" s="156"/>
      <c r="G110" s="156"/>
      <c r="H110" s="156"/>
    </row>
    <row r="111" spans="1:9" x14ac:dyDescent="0.2">
      <c r="A111" s="42"/>
      <c r="B111" s="156" t="s">
        <v>624</v>
      </c>
      <c r="C111" s="156"/>
      <c r="D111" s="156"/>
      <c r="E111" s="156"/>
      <c r="F111" s="156"/>
      <c r="G111" s="156"/>
      <c r="H111" s="156"/>
    </row>
    <row r="112" spans="1:9" x14ac:dyDescent="0.2">
      <c r="A112" s="42"/>
      <c r="B112" s="174" t="s">
        <v>754</v>
      </c>
      <c r="C112" s="156"/>
      <c r="D112" s="156"/>
      <c r="E112" s="156"/>
      <c r="F112" s="156"/>
      <c r="G112" s="156"/>
      <c r="H112" s="156"/>
      <c r="I112" s="104"/>
    </row>
    <row r="113" spans="1:7" x14ac:dyDescent="0.2">
      <c r="A113" s="42"/>
      <c r="B113" s="42"/>
      <c r="C113" s="42"/>
      <c r="D113" s="44"/>
      <c r="E113" s="44"/>
      <c r="F113" s="44"/>
      <c r="G113" s="44"/>
    </row>
    <row r="114" spans="1:7" x14ac:dyDescent="0.2">
      <c r="A114" s="42"/>
      <c r="B114" s="164" t="s">
        <v>122</v>
      </c>
      <c r="C114" s="165"/>
      <c r="D114" s="166"/>
      <c r="E114" s="45"/>
      <c r="F114" s="44"/>
      <c r="G114" s="44"/>
    </row>
    <row r="115" spans="1:7" ht="27" customHeight="1" x14ac:dyDescent="0.2">
      <c r="A115" s="42"/>
      <c r="B115" s="157" t="s">
        <v>123</v>
      </c>
      <c r="C115" s="158"/>
      <c r="D115" s="110" t="s">
        <v>645</v>
      </c>
      <c r="E115" s="45"/>
      <c r="F115" s="44"/>
      <c r="G115" s="44"/>
    </row>
    <row r="116" spans="1:7" x14ac:dyDescent="0.2">
      <c r="A116" s="42"/>
      <c r="B116" s="157" t="s">
        <v>125</v>
      </c>
      <c r="C116" s="158"/>
      <c r="D116" s="13" t="s">
        <v>124</v>
      </c>
      <c r="E116" s="45"/>
      <c r="F116" s="44"/>
      <c r="G116" s="44"/>
    </row>
    <row r="117" spans="1:7" x14ac:dyDescent="0.2">
      <c r="A117" s="42"/>
      <c r="B117" s="157" t="s">
        <v>126</v>
      </c>
      <c r="C117" s="158"/>
      <c r="D117" s="29" t="s">
        <v>12</v>
      </c>
      <c r="E117" s="45"/>
      <c r="F117" s="44"/>
      <c r="G117" s="44"/>
    </row>
    <row r="118" spans="1:7" x14ac:dyDescent="0.2">
      <c r="A118" s="46"/>
      <c r="B118" s="47" t="s">
        <v>12</v>
      </c>
      <c r="C118" s="47" t="s">
        <v>625</v>
      </c>
      <c r="D118" s="47" t="s">
        <v>127</v>
      </c>
      <c r="E118" s="46"/>
      <c r="F118" s="46"/>
      <c r="G118" s="46"/>
    </row>
    <row r="119" spans="1:7" x14ac:dyDescent="0.2">
      <c r="A119" s="46"/>
      <c r="B119" s="48" t="s">
        <v>128</v>
      </c>
      <c r="C119" s="49">
        <v>45838</v>
      </c>
      <c r="D119" s="49">
        <v>45869</v>
      </c>
      <c r="E119" s="46"/>
      <c r="F119" s="46"/>
      <c r="G119" s="46"/>
    </row>
    <row r="120" spans="1:7" x14ac:dyDescent="0.2">
      <c r="A120" s="50"/>
      <c r="B120" s="23" t="s">
        <v>129</v>
      </c>
      <c r="C120" s="51">
        <v>3716.6248000000001</v>
      </c>
      <c r="D120" s="51">
        <v>3739.4166</v>
      </c>
      <c r="E120" s="50"/>
      <c r="F120" s="52"/>
      <c r="G120" s="53"/>
    </row>
    <row r="121" spans="1:7" ht="25.5" x14ac:dyDescent="0.2">
      <c r="A121" s="50"/>
      <c r="B121" s="23" t="s">
        <v>749</v>
      </c>
      <c r="C121" s="51">
        <v>1106.1357</v>
      </c>
      <c r="D121" s="51">
        <v>1112.9188999999999</v>
      </c>
      <c r="E121" s="50"/>
      <c r="F121" s="52"/>
      <c r="G121" s="53"/>
    </row>
    <row r="122" spans="1:7" x14ac:dyDescent="0.2">
      <c r="A122" s="50"/>
      <c r="B122" s="23" t="s">
        <v>130</v>
      </c>
      <c r="C122" s="51">
        <v>3466.3467000000001</v>
      </c>
      <c r="D122" s="51">
        <v>3485.3824</v>
      </c>
      <c r="E122" s="50"/>
      <c r="F122" s="52"/>
      <c r="G122" s="53"/>
    </row>
    <row r="123" spans="1:7" ht="25.5" x14ac:dyDescent="0.2">
      <c r="A123" s="50"/>
      <c r="B123" s="23" t="s">
        <v>750</v>
      </c>
      <c r="C123" s="51">
        <v>1093.2005999999999</v>
      </c>
      <c r="D123" s="51">
        <v>1099.204</v>
      </c>
      <c r="E123" s="50"/>
      <c r="F123" s="52"/>
      <c r="G123" s="53"/>
    </row>
    <row r="124" spans="1:7" x14ac:dyDescent="0.2">
      <c r="A124" s="50"/>
      <c r="B124" s="50"/>
      <c r="C124" s="50"/>
      <c r="D124" s="50"/>
      <c r="E124" s="50"/>
      <c r="F124" s="50"/>
      <c r="G124" s="50"/>
    </row>
    <row r="125" spans="1:7" x14ac:dyDescent="0.2">
      <c r="A125" s="50"/>
      <c r="B125" s="159" t="s">
        <v>626</v>
      </c>
      <c r="C125" s="160"/>
      <c r="D125" s="13" t="s">
        <v>124</v>
      </c>
      <c r="E125" s="50"/>
      <c r="F125" s="50"/>
      <c r="G125" s="50"/>
    </row>
    <row r="126" spans="1:7" x14ac:dyDescent="0.2">
      <c r="A126" s="50"/>
      <c r="B126" s="58"/>
      <c r="C126" s="58"/>
      <c r="D126" s="58"/>
      <c r="E126" s="50"/>
      <c r="F126" s="50"/>
      <c r="G126" s="50"/>
    </row>
    <row r="127" spans="1:7" x14ac:dyDescent="0.2">
      <c r="A127" s="46"/>
      <c r="B127" s="157" t="s">
        <v>131</v>
      </c>
      <c r="C127" s="158"/>
      <c r="D127" s="13" t="s">
        <v>124</v>
      </c>
      <c r="E127" s="57"/>
      <c r="F127" s="46"/>
      <c r="G127" s="46"/>
    </row>
    <row r="128" spans="1:7" x14ac:dyDescent="0.2">
      <c r="A128" s="46"/>
      <c r="B128" s="157" t="s">
        <v>132</v>
      </c>
      <c r="C128" s="158"/>
      <c r="D128" s="13" t="s">
        <v>124</v>
      </c>
      <c r="E128" s="57"/>
      <c r="F128" s="46"/>
      <c r="G128" s="46"/>
    </row>
    <row r="129" spans="1:20" x14ac:dyDescent="0.2">
      <c r="A129" s="46"/>
      <c r="B129" s="157" t="s">
        <v>627</v>
      </c>
      <c r="C129" s="158"/>
      <c r="D129" s="13" t="s">
        <v>124</v>
      </c>
      <c r="E129" s="57"/>
      <c r="F129" s="46"/>
      <c r="G129" s="46"/>
    </row>
    <row r="130" spans="1:20" x14ac:dyDescent="0.2">
      <c r="A130" s="46"/>
      <c r="B130" s="43"/>
      <c r="C130" s="43"/>
      <c r="D130" s="144"/>
      <c r="E130" s="46"/>
      <c r="F130" s="46"/>
      <c r="G130" s="46"/>
      <c r="J130" s="11"/>
    </row>
    <row r="131" spans="1:20" s="59" customFormat="1" x14ac:dyDescent="0.2">
      <c r="B131" s="161" t="s">
        <v>628</v>
      </c>
      <c r="C131" s="162"/>
      <c r="D131" s="163"/>
      <c r="I131"/>
      <c r="J131" s="11"/>
      <c r="K131" s="30"/>
      <c r="L131" s="30"/>
      <c r="M131" s="30"/>
      <c r="N131" s="30"/>
      <c r="O131" s="65"/>
    </row>
    <row r="132" spans="1:20" s="59" customFormat="1" ht="51" x14ac:dyDescent="0.2">
      <c r="B132" s="167" t="s">
        <v>629</v>
      </c>
      <c r="C132" s="167"/>
      <c r="D132" s="60" t="s">
        <v>280</v>
      </c>
      <c r="I132"/>
      <c r="J132" s="11"/>
      <c r="K132" s="30"/>
      <c r="L132" s="30"/>
      <c r="M132" s="30"/>
      <c r="N132" s="30"/>
      <c r="O132" s="65"/>
    </row>
    <row r="133" spans="1:20" s="59" customFormat="1" x14ac:dyDescent="0.2">
      <c r="B133" s="153" t="s">
        <v>630</v>
      </c>
      <c r="C133" s="153"/>
      <c r="D133" s="61"/>
      <c r="I133"/>
      <c r="J133" s="11"/>
      <c r="K133" s="30"/>
      <c r="L133" s="30"/>
      <c r="M133" s="30"/>
      <c r="N133" s="30"/>
      <c r="O133" s="65"/>
    </row>
    <row r="134" spans="1:20" s="59" customFormat="1" x14ac:dyDescent="0.2">
      <c r="B134" s="153"/>
      <c r="C134" s="153"/>
      <c r="D134" s="62"/>
      <c r="I134"/>
      <c r="J134" s="11"/>
      <c r="K134" s="30"/>
      <c r="L134" s="30"/>
      <c r="M134" s="30"/>
      <c r="N134" s="30"/>
      <c r="O134" s="65"/>
    </row>
    <row r="135" spans="1:20" s="59" customFormat="1" x14ac:dyDescent="0.2">
      <c r="B135" s="153" t="s">
        <v>631</v>
      </c>
      <c r="C135" s="153"/>
      <c r="D135" s="63">
        <v>6.130965598327605</v>
      </c>
      <c r="I135"/>
      <c r="J135" s="11"/>
      <c r="K135" s="30"/>
      <c r="L135" s="30"/>
      <c r="M135" s="30"/>
      <c r="N135" s="30"/>
      <c r="O135" s="65"/>
    </row>
    <row r="136" spans="1:20" s="59" customFormat="1" x14ac:dyDescent="0.2">
      <c r="B136" s="153"/>
      <c r="C136" s="153"/>
      <c r="D136" s="62"/>
      <c r="I136"/>
      <c r="J136" s="11"/>
      <c r="K136" s="30"/>
      <c r="L136" s="30"/>
      <c r="M136" s="30"/>
      <c r="N136" s="30"/>
      <c r="O136" s="65"/>
      <c r="P136"/>
      <c r="Q136"/>
    </row>
    <row r="137" spans="1:20" s="59" customFormat="1" x14ac:dyDescent="0.2">
      <c r="B137" s="153" t="s">
        <v>632</v>
      </c>
      <c r="C137" s="153"/>
      <c r="D137" s="63">
        <v>0.62610637146244352</v>
      </c>
      <c r="I137"/>
      <c r="J137" s="11"/>
      <c r="K137" s="30"/>
      <c r="L137" s="30"/>
      <c r="M137" s="30"/>
      <c r="N137" s="30"/>
      <c r="O137" s="65"/>
      <c r="P137"/>
      <c r="Q137"/>
    </row>
    <row r="138" spans="1:20" s="59" customFormat="1" x14ac:dyDescent="0.2">
      <c r="B138" s="153" t="s">
        <v>646</v>
      </c>
      <c r="C138" s="153"/>
      <c r="D138" s="63">
        <v>0.66285414035433232</v>
      </c>
      <c r="I138"/>
      <c r="J138" s="11"/>
      <c r="K138" s="30"/>
      <c r="L138" s="30"/>
      <c r="M138" s="30"/>
      <c r="N138" s="30"/>
      <c r="O138"/>
      <c r="P138"/>
      <c r="Q138"/>
    </row>
    <row r="139" spans="1:20" s="59" customFormat="1" x14ac:dyDescent="0.2">
      <c r="B139" s="153"/>
      <c r="C139" s="153"/>
      <c r="D139" s="62"/>
      <c r="I139"/>
      <c r="J139" s="11"/>
      <c r="K139" s="30"/>
      <c r="L139" s="30"/>
      <c r="M139" s="30"/>
      <c r="N139" s="30"/>
      <c r="O139"/>
      <c r="P139"/>
      <c r="Q139"/>
    </row>
    <row r="140" spans="1:20" s="59" customFormat="1" x14ac:dyDescent="0.2">
      <c r="B140" s="153" t="s">
        <v>634</v>
      </c>
      <c r="C140" s="153"/>
      <c r="D140" s="64" t="s">
        <v>742</v>
      </c>
      <c r="I140"/>
      <c r="J140" s="11"/>
      <c r="K140" s="30"/>
      <c r="L140" s="30"/>
      <c r="M140" s="30"/>
      <c r="N140" s="30"/>
      <c r="O140" s="65"/>
    </row>
    <row r="141" spans="1:20" s="59" customFormat="1" x14ac:dyDescent="0.2">
      <c r="B141" s="151" t="s">
        <v>635</v>
      </c>
      <c r="C141" s="154"/>
      <c r="D141" s="152"/>
      <c r="I141"/>
      <c r="J141" s="11"/>
      <c r="K141" s="30"/>
      <c r="L141" s="30"/>
      <c r="M141" s="30"/>
      <c r="N141" s="30"/>
      <c r="O141"/>
      <c r="P141"/>
      <c r="Q141"/>
      <c r="R141"/>
      <c r="S141"/>
      <c r="T141"/>
    </row>
    <row r="142" spans="1:20" x14ac:dyDescent="0.2">
      <c r="A142" s="58"/>
      <c r="B142" s="58"/>
      <c r="C142" s="58"/>
      <c r="D142" s="58"/>
      <c r="E142" s="58"/>
      <c r="F142" s="58"/>
      <c r="G142" s="58"/>
      <c r="J142" s="11"/>
    </row>
    <row r="143" spans="1:20" s="59" customFormat="1" x14ac:dyDescent="0.2">
      <c r="B143" s="125" t="s">
        <v>743</v>
      </c>
      <c r="C143" s="125"/>
      <c r="D143" s="125"/>
      <c r="E143" s="125"/>
      <c r="F143" s="125"/>
      <c r="G143" s="125"/>
      <c r="H143" s="125"/>
      <c r="I143"/>
      <c r="J143" s="11"/>
      <c r="K143" s="30"/>
      <c r="L143" s="30"/>
      <c r="M143" s="30"/>
      <c r="N143" s="30"/>
      <c r="O143" s="65"/>
    </row>
    <row r="144" spans="1:20" s="59" customFormat="1" ht="6.75" customHeight="1" x14ac:dyDescent="0.2">
      <c r="B144" s="125"/>
      <c r="C144" s="125"/>
      <c r="D144" s="125"/>
      <c r="E144" s="125"/>
      <c r="F144" s="125"/>
      <c r="G144" s="125"/>
      <c r="H144" s="125"/>
      <c r="I144"/>
      <c r="J144" s="11"/>
      <c r="K144" s="30"/>
      <c r="L144" s="30"/>
      <c r="M144" s="30"/>
      <c r="N144" s="30"/>
      <c r="O144" s="65"/>
    </row>
    <row r="145" spans="2:16" ht="13.5" x14ac:dyDescent="0.25">
      <c r="B145" s="82" t="s">
        <v>647</v>
      </c>
      <c r="C145" s="82" t="s">
        <v>648</v>
      </c>
      <c r="D145" s="193" t="s">
        <v>649</v>
      </c>
      <c r="E145" s="193"/>
      <c r="F145" s="193"/>
      <c r="G145" s="190" t="s">
        <v>650</v>
      </c>
      <c r="H145" s="190"/>
      <c r="J145" s="11"/>
      <c r="K145" s="30"/>
      <c r="L145" s="30"/>
      <c r="M145" s="30"/>
      <c r="N145" s="30"/>
      <c r="P145" s="30"/>
    </row>
    <row r="146" spans="2:16" ht="27" x14ac:dyDescent="0.25">
      <c r="B146" s="81" t="s">
        <v>651</v>
      </c>
      <c r="C146" s="80" t="s">
        <v>652</v>
      </c>
      <c r="D146" s="192">
        <v>0</v>
      </c>
      <c r="E146" s="192"/>
      <c r="F146" s="192"/>
      <c r="G146" s="192">
        <v>0</v>
      </c>
      <c r="H146" s="192"/>
      <c r="J146" s="11"/>
      <c r="K146" s="30"/>
      <c r="L146" s="30"/>
      <c r="M146" s="30"/>
      <c r="N146" s="30"/>
      <c r="P146" s="30"/>
    </row>
    <row r="147" spans="2:16" ht="27" x14ac:dyDescent="0.25">
      <c r="B147" s="81" t="s">
        <v>653</v>
      </c>
      <c r="C147" s="80" t="s">
        <v>654</v>
      </c>
      <c r="D147" s="192">
        <v>0</v>
      </c>
      <c r="E147" s="192"/>
      <c r="F147" s="192"/>
      <c r="G147" s="192">
        <v>0</v>
      </c>
      <c r="H147" s="192"/>
      <c r="J147" s="11"/>
      <c r="K147" s="30"/>
      <c r="L147" s="30"/>
      <c r="M147" s="30"/>
      <c r="N147" s="30"/>
      <c r="P147" s="30"/>
    </row>
    <row r="148" spans="2:16" ht="27" x14ac:dyDescent="0.25">
      <c r="B148" s="81" t="s">
        <v>655</v>
      </c>
      <c r="C148" s="80" t="s">
        <v>656</v>
      </c>
      <c r="D148" s="192">
        <v>0</v>
      </c>
      <c r="E148" s="192"/>
      <c r="F148" s="192"/>
      <c r="G148" s="192">
        <v>0</v>
      </c>
      <c r="H148" s="192"/>
      <c r="J148" s="11"/>
      <c r="K148" s="30"/>
      <c r="L148" s="30"/>
      <c r="M148" s="30"/>
      <c r="N148" s="30"/>
      <c r="P148" s="30"/>
    </row>
    <row r="149" spans="2:16" ht="13.5" x14ac:dyDescent="0.25">
      <c r="B149" s="81"/>
      <c r="C149" s="81"/>
      <c r="D149" s="189"/>
      <c r="E149" s="189"/>
      <c r="F149" s="189"/>
      <c r="G149" s="189"/>
      <c r="H149" s="189"/>
      <c r="J149" s="11"/>
      <c r="K149" s="30"/>
      <c r="L149" s="30"/>
      <c r="M149" s="30"/>
      <c r="N149" s="30"/>
      <c r="P149" s="30"/>
    </row>
    <row r="150" spans="2:16" ht="13.5" x14ac:dyDescent="0.25">
      <c r="B150" s="190" t="s">
        <v>657</v>
      </c>
      <c r="C150" s="190"/>
      <c r="D150" s="190"/>
      <c r="E150" s="190"/>
      <c r="F150" s="190"/>
      <c r="G150" s="190"/>
      <c r="H150" s="190"/>
      <c r="J150" s="11"/>
      <c r="K150" s="30"/>
      <c r="L150" s="30"/>
      <c r="M150" s="30"/>
      <c r="N150" s="30"/>
      <c r="P150" s="30"/>
    </row>
    <row r="151" spans="2:16" ht="13.5" customHeight="1" x14ac:dyDescent="0.2">
      <c r="B151" s="191" t="s">
        <v>647</v>
      </c>
      <c r="C151" s="191" t="s">
        <v>648</v>
      </c>
      <c r="D151" s="191" t="s">
        <v>658</v>
      </c>
      <c r="E151" s="191"/>
      <c r="F151" s="191"/>
      <c r="G151" s="191"/>
      <c r="H151" s="175" t="s">
        <v>659</v>
      </c>
      <c r="I151" s="175" t="s">
        <v>660</v>
      </c>
      <c r="J151" s="176" t="s">
        <v>661</v>
      </c>
      <c r="K151" s="30"/>
      <c r="L151" s="30"/>
      <c r="M151" s="30"/>
      <c r="N151" s="30"/>
      <c r="O151" s="30"/>
      <c r="P151" s="30"/>
    </row>
    <row r="152" spans="2:16" ht="94.5" customHeight="1" x14ac:dyDescent="0.2">
      <c r="B152" s="191"/>
      <c r="C152" s="191"/>
      <c r="D152" s="77" t="s">
        <v>662</v>
      </c>
      <c r="E152" s="77" t="s">
        <v>663</v>
      </c>
      <c r="F152" s="77" t="s">
        <v>664</v>
      </c>
      <c r="G152" s="77" t="s">
        <v>665</v>
      </c>
      <c r="H152" s="175"/>
      <c r="I152" s="175"/>
      <c r="J152" s="177"/>
      <c r="K152" s="30"/>
      <c r="L152" s="30"/>
      <c r="M152" s="30"/>
      <c r="N152" s="30"/>
      <c r="O152" s="30"/>
      <c r="P152" s="30"/>
    </row>
    <row r="153" spans="2:16" ht="27" x14ac:dyDescent="0.25">
      <c r="B153" s="81" t="s">
        <v>651</v>
      </c>
      <c r="C153" s="80" t="s">
        <v>652</v>
      </c>
      <c r="D153" s="83">
        <v>1500</v>
      </c>
      <c r="E153" s="83">
        <v>99.850684900000005</v>
      </c>
      <c r="F153" s="140">
        <v>36.275342200000004</v>
      </c>
      <c r="G153" s="141">
        <v>1636.1260271000001</v>
      </c>
      <c r="H153" s="3">
        <v>726.67232000000001</v>
      </c>
      <c r="I153" s="3">
        <f>1250521/10^5</f>
        <v>12.50521</v>
      </c>
      <c r="J153" s="3">
        <f>H153+I153</f>
        <v>739.17753000000005</v>
      </c>
      <c r="K153" s="30"/>
      <c r="L153" s="30"/>
      <c r="M153" s="30"/>
      <c r="N153" s="30"/>
      <c r="O153" s="30"/>
      <c r="P153" s="30"/>
    </row>
    <row r="154" spans="2:16" ht="27" x14ac:dyDescent="0.25">
      <c r="B154" s="81" t="s">
        <v>653</v>
      </c>
      <c r="C154" s="80" t="s">
        <v>654</v>
      </c>
      <c r="D154" s="83">
        <v>2517.2199999999998</v>
      </c>
      <c r="E154" s="83">
        <v>183.25361600000002</v>
      </c>
      <c r="F154" s="140">
        <v>45.813405699999997</v>
      </c>
      <c r="G154" s="141">
        <v>2746.2870217</v>
      </c>
      <c r="H154" s="3">
        <v>1225.53333</v>
      </c>
      <c r="I154" s="3">
        <f>2109013/10^5</f>
        <v>21.090129999999998</v>
      </c>
      <c r="J154" s="3">
        <f>H154+I154</f>
        <v>1246.62346</v>
      </c>
      <c r="K154" s="30"/>
      <c r="L154" s="30"/>
      <c r="M154" s="30"/>
      <c r="N154" s="30"/>
      <c r="O154" s="30"/>
      <c r="P154" s="30"/>
    </row>
    <row r="155" spans="2:16" ht="27" x14ac:dyDescent="0.25">
      <c r="B155" s="81" t="s">
        <v>655</v>
      </c>
      <c r="C155" s="80" t="s">
        <v>656</v>
      </c>
      <c r="D155" s="83">
        <v>4882.25</v>
      </c>
      <c r="E155" s="83">
        <v>323.21163799999999</v>
      </c>
      <c r="F155" s="140">
        <v>117.42144879999999</v>
      </c>
      <c r="G155" s="141">
        <v>5322.8830868000005</v>
      </c>
      <c r="H155" s="3">
        <v>2364.0489899999998</v>
      </c>
      <c r="I155" s="3">
        <f>4068280/10^5</f>
        <v>40.6828</v>
      </c>
      <c r="J155" s="3">
        <f>H155+I155</f>
        <v>2404.7317899999998</v>
      </c>
      <c r="K155" s="30"/>
      <c r="L155" s="30"/>
      <c r="M155" s="30"/>
      <c r="N155" s="30"/>
      <c r="O155" s="30"/>
      <c r="P155" s="30"/>
    </row>
    <row r="156" spans="2:16" ht="13.5" x14ac:dyDescent="0.25">
      <c r="B156" s="131"/>
      <c r="C156" s="132"/>
      <c r="D156" s="142"/>
      <c r="E156" s="142"/>
      <c r="F156" s="6"/>
      <c r="G156" s="134"/>
      <c r="H156" s="4"/>
      <c r="I156" s="4"/>
      <c r="J156" s="4"/>
      <c r="K156" s="30"/>
      <c r="L156" s="30"/>
      <c r="M156" s="30"/>
      <c r="N156" s="30"/>
      <c r="O156" s="30"/>
      <c r="P156" s="30"/>
    </row>
    <row r="157" spans="2:16" ht="13.5" customHeight="1" x14ac:dyDescent="0.2">
      <c r="B157" s="178" t="s">
        <v>647</v>
      </c>
      <c r="C157" s="178" t="s">
        <v>648</v>
      </c>
      <c r="D157" s="181" t="s">
        <v>658</v>
      </c>
      <c r="E157" s="182"/>
      <c r="F157" s="183"/>
      <c r="G157" s="184" t="s">
        <v>666</v>
      </c>
      <c r="H157" s="185"/>
      <c r="I157" s="186"/>
      <c r="J157" s="30"/>
      <c r="K157" s="30"/>
      <c r="L157" s="30"/>
      <c r="M157" s="30"/>
      <c r="N157" s="30"/>
      <c r="O157" s="30"/>
    </row>
    <row r="158" spans="2:16" ht="46.5" customHeight="1" x14ac:dyDescent="0.2">
      <c r="B158" s="179"/>
      <c r="C158" s="179"/>
      <c r="D158" s="176" t="s">
        <v>667</v>
      </c>
      <c r="E158" s="176" t="s">
        <v>668</v>
      </c>
      <c r="F158" s="176" t="s">
        <v>669</v>
      </c>
      <c r="G158" s="187" t="s">
        <v>670</v>
      </c>
      <c r="H158" s="188"/>
      <c r="I158" s="176" t="s">
        <v>671</v>
      </c>
      <c r="J158" s="30"/>
      <c r="K158" s="30"/>
      <c r="L158" s="30"/>
      <c r="M158" s="30"/>
      <c r="N158" s="30"/>
      <c r="O158" s="30"/>
    </row>
    <row r="159" spans="2:16" ht="21" customHeight="1" x14ac:dyDescent="0.2">
      <c r="B159" s="180"/>
      <c r="C159" s="180"/>
      <c r="D159" s="177"/>
      <c r="E159" s="177"/>
      <c r="F159" s="177"/>
      <c r="G159" s="77" t="s">
        <v>672</v>
      </c>
      <c r="H159" s="77" t="s">
        <v>673</v>
      </c>
      <c r="I159" s="177"/>
      <c r="J159" s="30"/>
      <c r="K159" s="30"/>
      <c r="L159" s="30"/>
      <c r="M159" s="30"/>
      <c r="N159" s="30"/>
      <c r="O159" s="30"/>
    </row>
    <row r="160" spans="2:16" ht="13.5" x14ac:dyDescent="0.25">
      <c r="B160" s="81" t="s">
        <v>674</v>
      </c>
      <c r="C160" s="80" t="s">
        <v>675</v>
      </c>
      <c r="D160" s="143">
        <v>293.30880000000002</v>
      </c>
      <c r="E160" s="5">
        <v>6.6912000000000003</v>
      </c>
      <c r="F160" s="141">
        <f>D160+E160</f>
        <v>300</v>
      </c>
      <c r="G160" s="3">
        <v>12.699082800000001</v>
      </c>
      <c r="H160" s="3">
        <v>8</v>
      </c>
      <c r="I160" s="3">
        <f>G160+H160</f>
        <v>20.699082799999999</v>
      </c>
      <c r="J160" s="30"/>
      <c r="K160" s="30"/>
      <c r="L160" s="30"/>
      <c r="M160" s="30"/>
      <c r="N160" s="30"/>
      <c r="O160" s="30"/>
    </row>
    <row r="161" spans="2:16" ht="6.75" customHeight="1" x14ac:dyDescent="0.25">
      <c r="B161" s="131"/>
      <c r="C161" s="132"/>
      <c r="D161" s="133"/>
      <c r="E161" s="6"/>
      <c r="F161" s="134"/>
      <c r="G161" s="4"/>
      <c r="H161" s="4"/>
      <c r="I161" s="4"/>
      <c r="J161" s="30"/>
      <c r="K161" s="30"/>
      <c r="L161" s="30"/>
      <c r="M161" s="30"/>
      <c r="N161" s="30"/>
      <c r="O161" s="30"/>
    </row>
    <row r="162" spans="2:16" ht="45" customHeight="1" x14ac:dyDescent="0.2">
      <c r="B162" s="173" t="s">
        <v>676</v>
      </c>
      <c r="C162" s="173"/>
      <c r="D162" s="173"/>
      <c r="E162" s="173"/>
      <c r="F162" s="173"/>
      <c r="G162" s="173"/>
      <c r="H162" s="173"/>
      <c r="I162" s="173"/>
      <c r="J162" s="135"/>
      <c r="K162" s="30"/>
      <c r="L162" s="30"/>
      <c r="M162" s="30"/>
      <c r="N162" s="30"/>
      <c r="O162" s="30"/>
    </row>
    <row r="163" spans="2:16" ht="13.5" x14ac:dyDescent="0.25">
      <c r="B163" s="86" t="s">
        <v>677</v>
      </c>
      <c r="I163" s="30"/>
      <c r="J163" s="11"/>
      <c r="K163" s="30"/>
      <c r="L163" s="30"/>
      <c r="M163" s="30"/>
      <c r="N163" s="30"/>
      <c r="O163" s="30"/>
      <c r="P163" s="30"/>
    </row>
    <row r="164" spans="2:16" x14ac:dyDescent="0.2">
      <c r="B164" s="30"/>
      <c r="C164" s="30"/>
      <c r="D164" s="30"/>
      <c r="E164" s="30"/>
      <c r="F164" s="30"/>
      <c r="G164" s="30"/>
      <c r="H164" s="30"/>
      <c r="I164" s="30"/>
      <c r="J164" s="11"/>
      <c r="K164" s="30"/>
      <c r="L164" s="30"/>
      <c r="M164" s="30"/>
      <c r="N164" s="30"/>
      <c r="O164" s="30"/>
      <c r="P164" s="30"/>
    </row>
    <row r="165" spans="2:16" x14ac:dyDescent="0.2">
      <c r="B165" s="87" t="s">
        <v>678</v>
      </c>
      <c r="C165" s="30"/>
      <c r="D165" s="30"/>
      <c r="E165" s="30"/>
      <c r="F165" s="30"/>
      <c r="G165" s="30"/>
      <c r="H165" s="30"/>
      <c r="I165" s="30"/>
      <c r="J165" s="11"/>
      <c r="K165" s="30"/>
      <c r="L165" s="30"/>
      <c r="M165" s="30"/>
      <c r="N165" s="30"/>
      <c r="O165" s="30"/>
      <c r="P165" s="30"/>
    </row>
    <row r="166" spans="2:16" x14ac:dyDescent="0.2">
      <c r="B166" s="30"/>
      <c r="C166" s="30"/>
      <c r="D166" s="30"/>
      <c r="E166" s="30"/>
      <c r="F166" s="30"/>
      <c r="G166" s="30"/>
      <c r="H166" s="30"/>
      <c r="I166" s="30"/>
      <c r="J166" s="11"/>
      <c r="K166" s="30"/>
      <c r="L166" s="30"/>
      <c r="M166" s="30"/>
      <c r="N166" s="30"/>
      <c r="O166" s="30"/>
      <c r="P166" s="30"/>
    </row>
    <row r="167" spans="2:16" x14ac:dyDescent="0.2">
      <c r="B167" s="87" t="s">
        <v>679</v>
      </c>
      <c r="C167" s="30"/>
      <c r="D167" s="30"/>
      <c r="E167" s="30"/>
      <c r="F167" s="30"/>
      <c r="G167" s="30"/>
      <c r="H167" s="30"/>
      <c r="I167" s="30"/>
      <c r="J167" s="11"/>
      <c r="K167" s="30"/>
      <c r="L167" s="30"/>
      <c r="M167" s="30"/>
      <c r="N167" s="30"/>
      <c r="O167" s="30"/>
      <c r="P167" s="30"/>
    </row>
    <row r="168" spans="2:16" x14ac:dyDescent="0.2">
      <c r="J168" s="11"/>
    </row>
    <row r="169" spans="2:16" x14ac:dyDescent="0.2">
      <c r="B169" s="87" t="s">
        <v>680</v>
      </c>
      <c r="J169" s="11"/>
      <c r="K169" s="30"/>
      <c r="L169" s="30"/>
      <c r="M169" s="30"/>
      <c r="N169" s="30"/>
      <c r="O169" s="30"/>
    </row>
    <row r="170" spans="2:16" x14ac:dyDescent="0.2">
      <c r="B170" s="87"/>
      <c r="J170" s="11"/>
      <c r="K170" s="30"/>
      <c r="L170" s="30"/>
      <c r="M170" s="30"/>
      <c r="N170" s="30"/>
      <c r="O170" s="30"/>
    </row>
    <row r="171" spans="2:16" x14ac:dyDescent="0.2">
      <c r="B171" s="87" t="s">
        <v>681</v>
      </c>
      <c r="J171" s="11"/>
      <c r="K171" s="30"/>
      <c r="L171" s="30"/>
      <c r="M171" s="30"/>
      <c r="N171" s="30"/>
      <c r="O171" s="30"/>
    </row>
    <row r="172" spans="2:16" x14ac:dyDescent="0.2">
      <c r="J172" s="11"/>
    </row>
    <row r="173" spans="2:16" x14ac:dyDescent="0.2">
      <c r="B173" s="67" t="s">
        <v>636</v>
      </c>
    </row>
    <row r="175" spans="2:16" ht="153.75" customHeight="1" x14ac:dyDescent="0.2"/>
    <row r="178" spans="2:4" x14ac:dyDescent="0.2">
      <c r="B178" s="67" t="s">
        <v>637</v>
      </c>
      <c r="C178" s="68"/>
      <c r="D178" s="67"/>
    </row>
    <row r="179" spans="2:4" x14ac:dyDescent="0.2">
      <c r="B179" s="67" t="s">
        <v>682</v>
      </c>
      <c r="D179" s="67"/>
    </row>
    <row r="180" spans="2:4" ht="180" customHeight="1" x14ac:dyDescent="0.2"/>
  </sheetData>
  <mergeCells count="53">
    <mergeCell ref="B133:C133"/>
    <mergeCell ref="A3:H3"/>
    <mergeCell ref="B127:C127"/>
    <mergeCell ref="B125:C125"/>
    <mergeCell ref="B129:C129"/>
    <mergeCell ref="B128:C128"/>
    <mergeCell ref="B131:D131"/>
    <mergeCell ref="B114:D114"/>
    <mergeCell ref="B115:C115"/>
    <mergeCell ref="B116:C116"/>
    <mergeCell ref="B117:C117"/>
    <mergeCell ref="B132:C132"/>
    <mergeCell ref="A1:H1"/>
    <mergeCell ref="A2:H2"/>
    <mergeCell ref="B109:H109"/>
    <mergeCell ref="B110:H110"/>
    <mergeCell ref="B111:H111"/>
    <mergeCell ref="B134:C134"/>
    <mergeCell ref="B135:C135"/>
    <mergeCell ref="B136:C136"/>
    <mergeCell ref="B137:C137"/>
    <mergeCell ref="B138:C138"/>
    <mergeCell ref="B139:C139"/>
    <mergeCell ref="B140:C140"/>
    <mergeCell ref="B141:D141"/>
    <mergeCell ref="D145:F145"/>
    <mergeCell ref="G145:H145"/>
    <mergeCell ref="B151:B152"/>
    <mergeCell ref="C151:C152"/>
    <mergeCell ref="D151:G151"/>
    <mergeCell ref="H151:H152"/>
    <mergeCell ref="D146:F146"/>
    <mergeCell ref="G146:H146"/>
    <mergeCell ref="D147:F147"/>
    <mergeCell ref="G147:H147"/>
    <mergeCell ref="D148:F148"/>
    <mergeCell ref="G148:H148"/>
    <mergeCell ref="B162:I162"/>
    <mergeCell ref="B112:H112"/>
    <mergeCell ref="I151:I152"/>
    <mergeCell ref="J151:J152"/>
    <mergeCell ref="B157:B159"/>
    <mergeCell ref="C157:C159"/>
    <mergeCell ref="D157:F157"/>
    <mergeCell ref="G157:I157"/>
    <mergeCell ref="D158:D159"/>
    <mergeCell ref="E158:E159"/>
    <mergeCell ref="F158:F159"/>
    <mergeCell ref="G158:H158"/>
    <mergeCell ref="I158:I159"/>
    <mergeCell ref="D149:F149"/>
    <mergeCell ref="G149:H149"/>
    <mergeCell ref="B150:H150"/>
  </mergeCells>
  <hyperlinks>
    <hyperlink ref="I1" location="Index!B2" display="Index" xr:uid="{260A3781-6554-4F9B-BD86-8B715F70A8AE}"/>
    <hyperlink ref="B165" r:id="rId1" xr:uid="{505090B8-9522-4C97-AF35-1ADD5E1804F8}"/>
    <hyperlink ref="B167" r:id="rId2" xr:uid="{BAA0CEDF-D28D-4D4B-B8CC-9140472FCC3F}"/>
    <hyperlink ref="B169" r:id="rId3" xr:uid="{9A7DC0A2-D3E7-4CB2-9CCD-2FBE2989C888}"/>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86410-78A3-4ECB-95C8-E48D77A7EFD4}">
  <sheetPr>
    <outlinePr summaryBelow="0" summaryRight="0"/>
  </sheetPr>
  <dimension ref="A1:R214"/>
  <sheetViews>
    <sheetView showGridLines="0" topLeftCell="A152" workbookViewId="0">
      <selection activeCell="C162" sqref="C162:C165"/>
    </sheetView>
  </sheetViews>
  <sheetFormatPr defaultRowHeight="12.75" x14ac:dyDescent="0.2"/>
  <cols>
    <col min="1" max="1" width="5.85546875" bestFit="1" customWidth="1"/>
    <col min="2" max="2" width="19.28515625" bestFit="1" customWidth="1"/>
    <col min="3" max="3" width="46.28515625" customWidth="1"/>
    <col min="4" max="4" width="10.7109375" bestFit="1" customWidth="1"/>
    <col min="5" max="5" width="10.42578125" bestFit="1" customWidth="1"/>
    <col min="6" max="6" width="10.140625" bestFit="1" customWidth="1"/>
    <col min="7" max="7" width="14" bestFit="1" customWidth="1"/>
    <col min="8" max="8" width="9.5703125" customWidth="1"/>
  </cols>
  <sheetData>
    <row r="1" spans="1:10" ht="15" x14ac:dyDescent="0.2">
      <c r="A1" s="155" t="s">
        <v>0</v>
      </c>
      <c r="B1" s="155"/>
      <c r="C1" s="155"/>
      <c r="D1" s="155"/>
      <c r="E1" s="155"/>
      <c r="F1" s="155"/>
      <c r="G1" s="155"/>
      <c r="H1" s="155"/>
      <c r="I1" s="1" t="s">
        <v>607</v>
      </c>
    </row>
    <row r="2" spans="1:10" ht="15" x14ac:dyDescent="0.2">
      <c r="A2" s="155" t="s">
        <v>324</v>
      </c>
      <c r="B2" s="155"/>
      <c r="C2" s="155"/>
      <c r="D2" s="155"/>
      <c r="E2" s="155"/>
      <c r="F2" s="155"/>
      <c r="G2" s="155"/>
      <c r="H2" s="155"/>
    </row>
    <row r="3" spans="1:10" ht="15" x14ac:dyDescent="0.2">
      <c r="A3" s="155" t="s">
        <v>756</v>
      </c>
      <c r="B3" s="155"/>
      <c r="C3" s="155"/>
      <c r="D3" s="155"/>
      <c r="E3" s="155"/>
      <c r="F3" s="155"/>
      <c r="G3" s="155"/>
      <c r="H3" s="155"/>
    </row>
    <row r="4" spans="1:10" s="11" customFormat="1" ht="30" x14ac:dyDescent="0.2">
      <c r="A4" s="9" t="s">
        <v>2</v>
      </c>
      <c r="B4" s="9" t="s">
        <v>3</v>
      </c>
      <c r="C4" s="9" t="s">
        <v>4</v>
      </c>
      <c r="D4" s="9" t="s">
        <v>5</v>
      </c>
      <c r="E4" s="9" t="s">
        <v>6</v>
      </c>
      <c r="F4" s="9" t="s">
        <v>7</v>
      </c>
      <c r="G4" s="9" t="s">
        <v>8</v>
      </c>
      <c r="H4" s="10" t="s">
        <v>752</v>
      </c>
    </row>
    <row r="5" spans="1:10" x14ac:dyDescent="0.2">
      <c r="A5" s="12"/>
      <c r="B5" s="12"/>
      <c r="C5" s="13" t="s">
        <v>9</v>
      </c>
      <c r="D5" s="12"/>
      <c r="E5" s="12"/>
      <c r="F5" s="12"/>
      <c r="G5" s="12"/>
      <c r="H5" s="14" t="s">
        <v>12</v>
      </c>
    </row>
    <row r="6" spans="1:10" x14ac:dyDescent="0.2">
      <c r="A6" s="15"/>
      <c r="B6" s="15"/>
      <c r="C6" s="16" t="s">
        <v>10</v>
      </c>
      <c r="D6" s="15"/>
      <c r="E6" s="15"/>
      <c r="F6" s="15"/>
      <c r="G6" s="15"/>
      <c r="H6" s="14" t="s">
        <v>12</v>
      </c>
    </row>
    <row r="7" spans="1:10" x14ac:dyDescent="0.2">
      <c r="A7" s="32">
        <v>1</v>
      </c>
      <c r="B7" s="33" t="s">
        <v>641</v>
      </c>
      <c r="C7" s="33" t="s">
        <v>642</v>
      </c>
      <c r="D7" s="33" t="s">
        <v>643</v>
      </c>
      <c r="E7" s="73">
        <v>150667</v>
      </c>
      <c r="F7" s="35">
        <v>0.15</v>
      </c>
      <c r="G7" s="102" t="s">
        <v>644</v>
      </c>
      <c r="H7" s="14" t="s">
        <v>12</v>
      </c>
      <c r="J7" s="104"/>
    </row>
    <row r="8" spans="1:10" x14ac:dyDescent="0.2">
      <c r="A8" s="12"/>
      <c r="B8" s="12"/>
      <c r="C8" s="13" t="s">
        <v>11</v>
      </c>
      <c r="D8" s="12"/>
      <c r="E8" s="12" t="s">
        <v>12</v>
      </c>
      <c r="F8" s="37">
        <f>SUM(F7)</f>
        <v>0.15</v>
      </c>
      <c r="G8" s="38">
        <v>0</v>
      </c>
      <c r="H8" s="14" t="s">
        <v>12</v>
      </c>
    </row>
    <row r="9" spans="1:10" x14ac:dyDescent="0.2">
      <c r="A9" s="15"/>
      <c r="B9" s="15"/>
      <c r="C9" s="19"/>
      <c r="D9" s="15"/>
      <c r="E9" s="15"/>
      <c r="F9" s="20"/>
      <c r="G9" s="20"/>
      <c r="H9" s="14" t="s">
        <v>12</v>
      </c>
    </row>
    <row r="10" spans="1:10" x14ac:dyDescent="0.2">
      <c r="A10" s="15"/>
      <c r="B10" s="15"/>
      <c r="C10" s="16" t="s">
        <v>14</v>
      </c>
      <c r="D10" s="15"/>
      <c r="E10" s="15"/>
      <c r="F10" s="15"/>
      <c r="G10" s="15"/>
      <c r="H10" s="14" t="s">
        <v>12</v>
      </c>
    </row>
    <row r="11" spans="1:10" x14ac:dyDescent="0.2">
      <c r="A11" s="15"/>
      <c r="B11" s="15"/>
      <c r="C11" s="16" t="s">
        <v>11</v>
      </c>
      <c r="D11" s="15"/>
      <c r="E11" s="15" t="s">
        <v>12</v>
      </c>
      <c r="F11" s="17" t="s">
        <v>13</v>
      </c>
      <c r="G11" s="18">
        <v>0</v>
      </c>
      <c r="H11" s="14" t="s">
        <v>12</v>
      </c>
    </row>
    <row r="12" spans="1:10" x14ac:dyDescent="0.2">
      <c r="A12" s="15"/>
      <c r="B12" s="15"/>
      <c r="C12" s="19"/>
      <c r="D12" s="15"/>
      <c r="E12" s="15"/>
      <c r="F12" s="20"/>
      <c r="G12" s="20"/>
      <c r="H12" s="14" t="s">
        <v>12</v>
      </c>
    </row>
    <row r="13" spans="1:10" x14ac:dyDescent="0.2">
      <c r="A13" s="15"/>
      <c r="B13" s="15"/>
      <c r="C13" s="16" t="s">
        <v>15</v>
      </c>
      <c r="D13" s="15"/>
      <c r="E13" s="15"/>
      <c r="F13" s="15"/>
      <c r="G13" s="15"/>
      <c r="H13" s="14" t="s">
        <v>12</v>
      </c>
    </row>
    <row r="14" spans="1:10" x14ac:dyDescent="0.2">
      <c r="A14" s="15"/>
      <c r="B14" s="15"/>
      <c r="C14" s="16" t="s">
        <v>11</v>
      </c>
      <c r="D14" s="15"/>
      <c r="E14" s="15" t="s">
        <v>12</v>
      </c>
      <c r="F14" s="17" t="s">
        <v>13</v>
      </c>
      <c r="G14" s="18">
        <v>0</v>
      </c>
      <c r="H14" s="14" t="s">
        <v>12</v>
      </c>
    </row>
    <row r="15" spans="1:10" x14ac:dyDescent="0.2">
      <c r="A15" s="15"/>
      <c r="B15" s="15"/>
      <c r="C15" s="19"/>
      <c r="D15" s="15"/>
      <c r="E15" s="15"/>
      <c r="F15" s="20"/>
      <c r="G15" s="20"/>
      <c r="H15" s="14" t="s">
        <v>12</v>
      </c>
    </row>
    <row r="16" spans="1:10" x14ac:dyDescent="0.2">
      <c r="A16" s="15"/>
      <c r="B16" s="15"/>
      <c r="C16" s="16" t="s">
        <v>16</v>
      </c>
      <c r="D16" s="15"/>
      <c r="E16" s="15"/>
      <c r="F16" s="15"/>
      <c r="G16" s="15"/>
      <c r="H16" s="14" t="s">
        <v>12</v>
      </c>
    </row>
    <row r="17" spans="1:8" x14ac:dyDescent="0.2">
      <c r="A17" s="15"/>
      <c r="B17" s="15"/>
      <c r="C17" s="16" t="s">
        <v>11</v>
      </c>
      <c r="D17" s="15"/>
      <c r="E17" s="15" t="s">
        <v>12</v>
      </c>
      <c r="F17" s="17" t="s">
        <v>13</v>
      </c>
      <c r="G17" s="18">
        <v>0</v>
      </c>
      <c r="H17" s="14" t="s">
        <v>12</v>
      </c>
    </row>
    <row r="18" spans="1:8" x14ac:dyDescent="0.2">
      <c r="A18" s="15"/>
      <c r="B18" s="15"/>
      <c r="C18" s="19"/>
      <c r="D18" s="15"/>
      <c r="E18" s="15"/>
      <c r="F18" s="20"/>
      <c r="G18" s="20"/>
      <c r="H18" s="14" t="s">
        <v>12</v>
      </c>
    </row>
    <row r="19" spans="1:8" x14ac:dyDescent="0.2">
      <c r="A19" s="15"/>
      <c r="B19" s="15"/>
      <c r="C19" s="16" t="s">
        <v>17</v>
      </c>
      <c r="D19" s="15"/>
      <c r="E19" s="15"/>
      <c r="F19" s="20"/>
      <c r="G19" s="20"/>
      <c r="H19" s="14" t="s">
        <v>12</v>
      </c>
    </row>
    <row r="20" spans="1:8" x14ac:dyDescent="0.2">
      <c r="A20" s="15"/>
      <c r="B20" s="15"/>
      <c r="C20" s="16" t="s">
        <v>11</v>
      </c>
      <c r="D20" s="15"/>
      <c r="E20" s="15" t="s">
        <v>12</v>
      </c>
      <c r="F20" s="17" t="s">
        <v>13</v>
      </c>
      <c r="G20" s="18">
        <v>0</v>
      </c>
      <c r="H20" s="14" t="s">
        <v>12</v>
      </c>
    </row>
    <row r="21" spans="1:8" x14ac:dyDescent="0.2">
      <c r="A21" s="15"/>
      <c r="B21" s="15"/>
      <c r="C21" s="19"/>
      <c r="D21" s="15"/>
      <c r="E21" s="15"/>
      <c r="F21" s="20"/>
      <c r="G21" s="20"/>
      <c r="H21" s="14" t="s">
        <v>12</v>
      </c>
    </row>
    <row r="22" spans="1:8" x14ac:dyDescent="0.2">
      <c r="A22" s="15"/>
      <c r="B22" s="15"/>
      <c r="C22" s="16" t="s">
        <v>18</v>
      </c>
      <c r="D22" s="15"/>
      <c r="E22" s="15"/>
      <c r="F22" s="20"/>
      <c r="G22" s="20"/>
      <c r="H22" s="14" t="s">
        <v>12</v>
      </c>
    </row>
    <row r="23" spans="1:8" x14ac:dyDescent="0.2">
      <c r="A23" s="15"/>
      <c r="B23" s="15"/>
      <c r="C23" s="16" t="s">
        <v>11</v>
      </c>
      <c r="D23" s="15"/>
      <c r="E23" s="15" t="s">
        <v>12</v>
      </c>
      <c r="F23" s="17" t="s">
        <v>13</v>
      </c>
      <c r="G23" s="18">
        <v>0</v>
      </c>
      <c r="H23" s="14" t="s">
        <v>12</v>
      </c>
    </row>
    <row r="24" spans="1:8" x14ac:dyDescent="0.2">
      <c r="A24" s="15"/>
      <c r="B24" s="15"/>
      <c r="C24" s="19"/>
      <c r="D24" s="15"/>
      <c r="E24" s="15"/>
      <c r="F24" s="20"/>
      <c r="G24" s="20"/>
      <c r="H24" s="14" t="s">
        <v>12</v>
      </c>
    </row>
    <row r="25" spans="1:8" x14ac:dyDescent="0.2">
      <c r="A25" s="15"/>
      <c r="B25" s="15"/>
      <c r="C25" s="16" t="s">
        <v>19</v>
      </c>
      <c r="D25" s="15"/>
      <c r="E25" s="15"/>
      <c r="F25" s="21">
        <f>F8</f>
        <v>0.15</v>
      </c>
      <c r="G25" s="18">
        <v>0</v>
      </c>
      <c r="H25" s="14" t="s">
        <v>12</v>
      </c>
    </row>
    <row r="26" spans="1:8" x14ac:dyDescent="0.2">
      <c r="A26" s="15"/>
      <c r="B26" s="15"/>
      <c r="C26" s="19"/>
      <c r="D26" s="15"/>
      <c r="E26" s="15"/>
      <c r="F26" s="20"/>
      <c r="G26" s="20"/>
      <c r="H26" s="14" t="s">
        <v>12</v>
      </c>
    </row>
    <row r="27" spans="1:8" x14ac:dyDescent="0.2">
      <c r="A27" s="15"/>
      <c r="B27" s="15"/>
      <c r="C27" s="16" t="s">
        <v>20</v>
      </c>
      <c r="D27" s="15"/>
      <c r="E27" s="15"/>
      <c r="F27" s="20"/>
      <c r="G27" s="20"/>
      <c r="H27" s="14" t="s">
        <v>12</v>
      </c>
    </row>
    <row r="28" spans="1:8" x14ac:dyDescent="0.2">
      <c r="A28" s="15"/>
      <c r="B28" s="15"/>
      <c r="C28" s="16" t="s">
        <v>10</v>
      </c>
      <c r="D28" s="15"/>
      <c r="E28" s="15"/>
      <c r="F28" s="20"/>
      <c r="G28" s="20"/>
      <c r="H28" s="14" t="s">
        <v>12</v>
      </c>
    </row>
    <row r="29" spans="1:8" x14ac:dyDescent="0.2">
      <c r="A29" s="22">
        <v>1</v>
      </c>
      <c r="B29" s="23" t="s">
        <v>325</v>
      </c>
      <c r="C29" s="23" t="s">
        <v>326</v>
      </c>
      <c r="D29" s="23" t="s">
        <v>23</v>
      </c>
      <c r="E29" s="24">
        <v>750</v>
      </c>
      <c r="F29" s="25">
        <v>7503.2849999999999</v>
      </c>
      <c r="G29" s="26">
        <v>1.281933E-2</v>
      </c>
      <c r="H29" s="14">
        <v>6.0149999999999997</v>
      </c>
    </row>
    <row r="30" spans="1:8" x14ac:dyDescent="0.2">
      <c r="A30" s="22">
        <v>2</v>
      </c>
      <c r="B30" s="23" t="s">
        <v>327</v>
      </c>
      <c r="C30" s="23" t="s">
        <v>328</v>
      </c>
      <c r="D30" s="23" t="s">
        <v>296</v>
      </c>
      <c r="E30" s="24">
        <v>5000</v>
      </c>
      <c r="F30" s="25">
        <v>5004.6350000000002</v>
      </c>
      <c r="G30" s="26">
        <v>8.5503999999999997E-3</v>
      </c>
      <c r="H30" s="14">
        <v>6.65</v>
      </c>
    </row>
    <row r="31" spans="1:8" x14ac:dyDescent="0.2">
      <c r="A31" s="22">
        <v>3</v>
      </c>
      <c r="B31" s="23" t="s">
        <v>329</v>
      </c>
      <c r="C31" s="23" t="s">
        <v>330</v>
      </c>
      <c r="D31" s="23" t="s">
        <v>26</v>
      </c>
      <c r="E31" s="24">
        <v>250</v>
      </c>
      <c r="F31" s="25">
        <v>2500.3375000000001</v>
      </c>
      <c r="G31" s="26">
        <v>4.27182E-3</v>
      </c>
      <c r="H31" s="14">
        <v>6.01</v>
      </c>
    </row>
    <row r="32" spans="1:8" x14ac:dyDescent="0.2">
      <c r="A32" s="15"/>
      <c r="B32" s="15"/>
      <c r="C32" s="16" t="s">
        <v>11</v>
      </c>
      <c r="D32" s="15"/>
      <c r="E32" s="15" t="s">
        <v>12</v>
      </c>
      <c r="F32" s="21">
        <v>15008.2575</v>
      </c>
      <c r="G32" s="18">
        <v>2.5641549999999999E-2</v>
      </c>
      <c r="H32" s="14" t="s">
        <v>12</v>
      </c>
    </row>
    <row r="33" spans="1:8" x14ac:dyDescent="0.2">
      <c r="A33" s="15"/>
      <c r="B33" s="15"/>
      <c r="C33" s="19"/>
      <c r="D33" s="15"/>
      <c r="E33" s="15"/>
      <c r="F33" s="20"/>
      <c r="G33" s="20"/>
      <c r="H33" s="14" t="s">
        <v>12</v>
      </c>
    </row>
    <row r="34" spans="1:8" x14ac:dyDescent="0.2">
      <c r="A34" s="15"/>
      <c r="B34" s="15"/>
      <c r="C34" s="16" t="s">
        <v>79</v>
      </c>
      <c r="D34" s="15"/>
      <c r="E34" s="15"/>
      <c r="F34" s="15"/>
      <c r="G34" s="15"/>
      <c r="H34" s="14" t="s">
        <v>12</v>
      </c>
    </row>
    <row r="35" spans="1:8" x14ac:dyDescent="0.2">
      <c r="A35" s="15"/>
      <c r="B35" s="15"/>
      <c r="C35" s="16" t="s">
        <v>11</v>
      </c>
      <c r="D35" s="15"/>
      <c r="E35" s="15" t="s">
        <v>12</v>
      </c>
      <c r="F35" s="17" t="s">
        <v>13</v>
      </c>
      <c r="G35" s="18">
        <v>0</v>
      </c>
      <c r="H35" s="14" t="s">
        <v>12</v>
      </c>
    </row>
    <row r="36" spans="1:8" x14ac:dyDescent="0.2">
      <c r="A36" s="15"/>
      <c r="B36" s="15"/>
      <c r="C36" s="19"/>
      <c r="D36" s="15"/>
      <c r="E36" s="15"/>
      <c r="F36" s="20"/>
      <c r="G36" s="20"/>
      <c r="H36" s="14" t="s">
        <v>12</v>
      </c>
    </row>
    <row r="37" spans="1:8" x14ac:dyDescent="0.2">
      <c r="A37" s="15"/>
      <c r="B37" s="15"/>
      <c r="C37" s="16" t="s">
        <v>80</v>
      </c>
      <c r="D37" s="15"/>
      <c r="E37" s="15"/>
      <c r="F37" s="15"/>
      <c r="G37" s="15"/>
      <c r="H37" s="14" t="s">
        <v>12</v>
      </c>
    </row>
    <row r="38" spans="1:8" x14ac:dyDescent="0.2">
      <c r="A38" s="15"/>
      <c r="B38" s="15"/>
      <c r="C38" s="16" t="s">
        <v>11</v>
      </c>
      <c r="D38" s="15"/>
      <c r="E38" s="15" t="s">
        <v>12</v>
      </c>
      <c r="F38" s="17" t="s">
        <v>13</v>
      </c>
      <c r="G38" s="18">
        <v>0</v>
      </c>
      <c r="H38" s="14" t="s">
        <v>12</v>
      </c>
    </row>
    <row r="39" spans="1:8" x14ac:dyDescent="0.2">
      <c r="A39" s="15"/>
      <c r="B39" s="15"/>
      <c r="C39" s="19"/>
      <c r="D39" s="15"/>
      <c r="E39" s="15"/>
      <c r="F39" s="20"/>
      <c r="G39" s="20"/>
      <c r="H39" s="14" t="s">
        <v>12</v>
      </c>
    </row>
    <row r="40" spans="1:8" x14ac:dyDescent="0.2">
      <c r="A40" s="15"/>
      <c r="B40" s="15"/>
      <c r="C40" s="16" t="s">
        <v>98</v>
      </c>
      <c r="D40" s="15"/>
      <c r="E40" s="15"/>
      <c r="F40" s="20"/>
      <c r="G40" s="20"/>
      <c r="H40" s="14" t="s">
        <v>12</v>
      </c>
    </row>
    <row r="41" spans="1:8" x14ac:dyDescent="0.2">
      <c r="A41" s="15"/>
      <c r="B41" s="15"/>
      <c r="C41" s="16" t="s">
        <v>11</v>
      </c>
      <c r="D41" s="15"/>
      <c r="E41" s="15" t="s">
        <v>12</v>
      </c>
      <c r="F41" s="17" t="s">
        <v>13</v>
      </c>
      <c r="G41" s="18">
        <v>0</v>
      </c>
      <c r="H41" s="14" t="s">
        <v>12</v>
      </c>
    </row>
    <row r="42" spans="1:8" x14ac:dyDescent="0.2">
      <c r="A42" s="15"/>
      <c r="B42" s="15"/>
      <c r="C42" s="19"/>
      <c r="D42" s="15"/>
      <c r="E42" s="15"/>
      <c r="F42" s="20"/>
      <c r="G42" s="20"/>
      <c r="H42" s="14" t="s">
        <v>12</v>
      </c>
    </row>
    <row r="43" spans="1:8" x14ac:dyDescent="0.2">
      <c r="A43" s="15"/>
      <c r="B43" s="15"/>
      <c r="C43" s="16" t="s">
        <v>99</v>
      </c>
      <c r="D43" s="15"/>
      <c r="E43" s="15"/>
      <c r="F43" s="21">
        <v>15008.2575</v>
      </c>
      <c r="G43" s="18">
        <v>2.5641549999999999E-2</v>
      </c>
      <c r="H43" s="14" t="s">
        <v>12</v>
      </c>
    </row>
    <row r="44" spans="1:8" x14ac:dyDescent="0.2">
      <c r="A44" s="15"/>
      <c r="B44" s="15"/>
      <c r="C44" s="19"/>
      <c r="D44" s="15"/>
      <c r="E44" s="15"/>
      <c r="F44" s="20"/>
      <c r="G44" s="20"/>
      <c r="H44" s="14" t="s">
        <v>12</v>
      </c>
    </row>
    <row r="45" spans="1:8" x14ac:dyDescent="0.2">
      <c r="A45" s="15"/>
      <c r="B45" s="15"/>
      <c r="C45" s="16" t="s">
        <v>100</v>
      </c>
      <c r="D45" s="15"/>
      <c r="E45" s="15"/>
      <c r="F45" s="20"/>
      <c r="G45" s="20"/>
      <c r="H45" s="14" t="s">
        <v>12</v>
      </c>
    </row>
    <row r="46" spans="1:8" x14ac:dyDescent="0.2">
      <c r="A46" s="15"/>
      <c r="B46" s="15"/>
      <c r="C46" s="16" t="s">
        <v>101</v>
      </c>
      <c r="D46" s="15"/>
      <c r="E46" s="15"/>
      <c r="F46" s="20"/>
      <c r="G46" s="20"/>
      <c r="H46" s="14" t="s">
        <v>12</v>
      </c>
    </row>
    <row r="47" spans="1:8" x14ac:dyDescent="0.2">
      <c r="A47" s="22">
        <v>1</v>
      </c>
      <c r="B47" s="23" t="s">
        <v>331</v>
      </c>
      <c r="C47" s="23" t="s">
        <v>332</v>
      </c>
      <c r="D47" s="23" t="s">
        <v>107</v>
      </c>
      <c r="E47" s="24">
        <v>3000</v>
      </c>
      <c r="F47" s="25">
        <v>14874.615</v>
      </c>
      <c r="G47" s="26">
        <v>2.541322E-2</v>
      </c>
      <c r="H47" s="14">
        <v>5.8049999999999997</v>
      </c>
    </row>
    <row r="48" spans="1:8" x14ac:dyDescent="0.2">
      <c r="A48" s="22">
        <v>2</v>
      </c>
      <c r="B48" s="23" t="s">
        <v>333</v>
      </c>
      <c r="C48" s="23" t="s">
        <v>334</v>
      </c>
      <c r="D48" s="23" t="s">
        <v>107</v>
      </c>
      <c r="E48" s="24">
        <v>2500</v>
      </c>
      <c r="F48" s="25">
        <v>12352.112499999999</v>
      </c>
      <c r="G48" s="26">
        <v>2.1103529999999999E-2</v>
      </c>
      <c r="H48" s="14">
        <v>5.75</v>
      </c>
    </row>
    <row r="49" spans="1:8" x14ac:dyDescent="0.2">
      <c r="A49" s="22">
        <v>3</v>
      </c>
      <c r="B49" s="23" t="s">
        <v>335</v>
      </c>
      <c r="C49" s="23" t="s">
        <v>336</v>
      </c>
      <c r="D49" s="23" t="s">
        <v>337</v>
      </c>
      <c r="E49" s="24">
        <v>2000</v>
      </c>
      <c r="F49" s="25">
        <v>9966.74</v>
      </c>
      <c r="G49" s="26">
        <v>1.7028129999999999E-2</v>
      </c>
      <c r="H49" s="14">
        <v>5.8000999999999996</v>
      </c>
    </row>
    <row r="50" spans="1:8" x14ac:dyDescent="0.2">
      <c r="A50" s="22">
        <v>4</v>
      </c>
      <c r="B50" s="23" t="s">
        <v>338</v>
      </c>
      <c r="C50" s="23" t="s">
        <v>339</v>
      </c>
      <c r="D50" s="23" t="s">
        <v>337</v>
      </c>
      <c r="E50" s="24">
        <v>2000</v>
      </c>
      <c r="F50" s="25">
        <v>9938.33</v>
      </c>
      <c r="G50" s="26">
        <v>1.6979589999999999E-2</v>
      </c>
      <c r="H50" s="14">
        <v>5.8075999999999999</v>
      </c>
    </row>
    <row r="51" spans="1:8" x14ac:dyDescent="0.2">
      <c r="A51" s="22">
        <v>5</v>
      </c>
      <c r="B51" s="23" t="s">
        <v>340</v>
      </c>
      <c r="C51" s="23" t="s">
        <v>341</v>
      </c>
      <c r="D51" s="23" t="s">
        <v>107</v>
      </c>
      <c r="E51" s="24">
        <v>2000</v>
      </c>
      <c r="F51" s="25">
        <v>9923.67</v>
      </c>
      <c r="G51" s="26">
        <v>1.6954549999999999E-2</v>
      </c>
      <c r="H51" s="14">
        <v>5.7298</v>
      </c>
    </row>
    <row r="52" spans="1:8" x14ac:dyDescent="0.2">
      <c r="A52" s="22">
        <v>6</v>
      </c>
      <c r="B52" s="23" t="s">
        <v>342</v>
      </c>
      <c r="C52" s="23" t="s">
        <v>343</v>
      </c>
      <c r="D52" s="23" t="s">
        <v>189</v>
      </c>
      <c r="E52" s="24">
        <v>1500</v>
      </c>
      <c r="F52" s="25">
        <v>7460.3249999999998</v>
      </c>
      <c r="G52" s="26">
        <v>1.2745930000000001E-2</v>
      </c>
      <c r="H52" s="14">
        <v>5.7099000000000002</v>
      </c>
    </row>
    <row r="53" spans="1:8" x14ac:dyDescent="0.2">
      <c r="A53" s="22">
        <v>7</v>
      </c>
      <c r="B53" s="23" t="s">
        <v>344</v>
      </c>
      <c r="C53" s="23" t="s">
        <v>345</v>
      </c>
      <c r="D53" s="23" t="s">
        <v>107</v>
      </c>
      <c r="E53" s="24">
        <v>1500</v>
      </c>
      <c r="F53" s="25">
        <v>7460.25</v>
      </c>
      <c r="G53" s="26">
        <v>1.274581E-2</v>
      </c>
      <c r="H53" s="14">
        <v>5.7205000000000004</v>
      </c>
    </row>
    <row r="54" spans="1:8" x14ac:dyDescent="0.2">
      <c r="A54" s="22">
        <v>8</v>
      </c>
      <c r="B54" s="23" t="s">
        <v>346</v>
      </c>
      <c r="C54" s="23" t="s">
        <v>347</v>
      </c>
      <c r="D54" s="23" t="s">
        <v>107</v>
      </c>
      <c r="E54" s="24">
        <v>1500</v>
      </c>
      <c r="F54" s="25">
        <v>7454.4375</v>
      </c>
      <c r="G54" s="26">
        <v>1.273587E-2</v>
      </c>
      <c r="H54" s="14">
        <v>5.7205000000000004</v>
      </c>
    </row>
    <row r="55" spans="1:8" x14ac:dyDescent="0.2">
      <c r="A55" s="22">
        <v>9</v>
      </c>
      <c r="B55" s="23" t="s">
        <v>348</v>
      </c>
      <c r="C55" s="23" t="s">
        <v>349</v>
      </c>
      <c r="D55" s="23" t="s">
        <v>189</v>
      </c>
      <c r="E55" s="24">
        <v>1500</v>
      </c>
      <c r="F55" s="25">
        <v>7451.0474999999997</v>
      </c>
      <c r="G55" s="26">
        <v>1.273008E-2</v>
      </c>
      <c r="H55" s="14">
        <v>5.7099000000000002</v>
      </c>
    </row>
    <row r="56" spans="1:8" x14ac:dyDescent="0.2">
      <c r="A56" s="22">
        <v>10</v>
      </c>
      <c r="B56" s="23" t="s">
        <v>350</v>
      </c>
      <c r="C56" s="23" t="s">
        <v>351</v>
      </c>
      <c r="D56" s="23" t="s">
        <v>189</v>
      </c>
      <c r="E56" s="24">
        <v>1500</v>
      </c>
      <c r="F56" s="25">
        <v>7444.1025</v>
      </c>
      <c r="G56" s="26">
        <v>1.2718220000000001E-2</v>
      </c>
      <c r="H56" s="14">
        <v>5.7099000000000002</v>
      </c>
    </row>
    <row r="57" spans="1:8" x14ac:dyDescent="0.2">
      <c r="A57" s="22">
        <v>11</v>
      </c>
      <c r="B57" s="23" t="s">
        <v>352</v>
      </c>
      <c r="C57" s="23" t="s">
        <v>353</v>
      </c>
      <c r="D57" s="23" t="s">
        <v>107</v>
      </c>
      <c r="E57" s="24">
        <v>1500</v>
      </c>
      <c r="F57" s="25">
        <v>7443.8625000000002</v>
      </c>
      <c r="G57" s="26">
        <v>1.271781E-2</v>
      </c>
      <c r="H57" s="14">
        <v>5.7350000000000003</v>
      </c>
    </row>
    <row r="58" spans="1:8" x14ac:dyDescent="0.2">
      <c r="A58" s="22">
        <v>12</v>
      </c>
      <c r="B58" s="23" t="s">
        <v>354</v>
      </c>
      <c r="C58" s="23" t="s">
        <v>355</v>
      </c>
      <c r="D58" s="23" t="s">
        <v>107</v>
      </c>
      <c r="E58" s="24">
        <v>1000</v>
      </c>
      <c r="F58" s="25">
        <v>4983.63</v>
      </c>
      <c r="G58" s="26">
        <v>8.5145099999999994E-3</v>
      </c>
      <c r="H58" s="14">
        <v>5.7100999999999997</v>
      </c>
    </row>
    <row r="59" spans="1:8" x14ac:dyDescent="0.2">
      <c r="A59" s="22">
        <v>13</v>
      </c>
      <c r="B59" s="23" t="s">
        <v>356</v>
      </c>
      <c r="C59" s="23" t="s">
        <v>357</v>
      </c>
      <c r="D59" s="23" t="s">
        <v>107</v>
      </c>
      <c r="E59" s="24">
        <v>1000</v>
      </c>
      <c r="F59" s="25">
        <v>4983.5150000000003</v>
      </c>
      <c r="G59" s="26">
        <v>8.5143100000000006E-3</v>
      </c>
      <c r="H59" s="14">
        <v>5.75</v>
      </c>
    </row>
    <row r="60" spans="1:8" x14ac:dyDescent="0.2">
      <c r="A60" s="22">
        <v>14</v>
      </c>
      <c r="B60" s="23" t="s">
        <v>358</v>
      </c>
      <c r="C60" s="23" t="s">
        <v>359</v>
      </c>
      <c r="D60" s="23" t="s">
        <v>107</v>
      </c>
      <c r="E60" s="24">
        <v>1000</v>
      </c>
      <c r="F60" s="25">
        <v>4983.4849999999997</v>
      </c>
      <c r="G60" s="26">
        <v>8.5142599999999992E-3</v>
      </c>
      <c r="H60" s="14">
        <v>5.7598000000000003</v>
      </c>
    </row>
    <row r="61" spans="1:8" x14ac:dyDescent="0.2">
      <c r="A61" s="22">
        <v>15</v>
      </c>
      <c r="B61" s="23" t="s">
        <v>360</v>
      </c>
      <c r="C61" s="23" t="s">
        <v>361</v>
      </c>
      <c r="D61" s="23" t="s">
        <v>107</v>
      </c>
      <c r="E61" s="24">
        <v>1000</v>
      </c>
      <c r="F61" s="25">
        <v>4973.4449999999997</v>
      </c>
      <c r="G61" s="26">
        <v>8.4971100000000004E-3</v>
      </c>
      <c r="H61" s="14">
        <v>5.7317999999999998</v>
      </c>
    </row>
    <row r="62" spans="1:8" x14ac:dyDescent="0.2">
      <c r="A62" s="22">
        <v>16</v>
      </c>
      <c r="B62" s="23" t="s">
        <v>362</v>
      </c>
      <c r="C62" s="23" t="s">
        <v>363</v>
      </c>
      <c r="D62" s="23" t="s">
        <v>107</v>
      </c>
      <c r="E62" s="24">
        <v>1000</v>
      </c>
      <c r="F62" s="25">
        <v>4968.7049999999999</v>
      </c>
      <c r="G62" s="26">
        <v>8.48901E-3</v>
      </c>
      <c r="H62" s="14">
        <v>5.7474999999999996</v>
      </c>
    </row>
    <row r="63" spans="1:8" x14ac:dyDescent="0.2">
      <c r="A63" s="22">
        <v>17</v>
      </c>
      <c r="B63" s="23" t="s">
        <v>364</v>
      </c>
      <c r="C63" s="23" t="s">
        <v>365</v>
      </c>
      <c r="D63" s="23" t="s">
        <v>107</v>
      </c>
      <c r="E63" s="24">
        <v>500</v>
      </c>
      <c r="F63" s="25">
        <v>2492.5275000000001</v>
      </c>
      <c r="G63" s="26">
        <v>4.2584700000000003E-3</v>
      </c>
      <c r="H63" s="14">
        <v>5.7602000000000002</v>
      </c>
    </row>
    <row r="64" spans="1:8" x14ac:dyDescent="0.2">
      <c r="A64" s="22">
        <v>18</v>
      </c>
      <c r="B64" s="23" t="s">
        <v>366</v>
      </c>
      <c r="C64" s="23" t="s">
        <v>367</v>
      </c>
      <c r="D64" s="23" t="s">
        <v>107</v>
      </c>
      <c r="E64" s="24">
        <v>500</v>
      </c>
      <c r="F64" s="25">
        <v>2490.1925000000001</v>
      </c>
      <c r="G64" s="26">
        <v>4.2544799999999997E-3</v>
      </c>
      <c r="H64" s="14">
        <v>5.7496999999999998</v>
      </c>
    </row>
    <row r="65" spans="1:8" x14ac:dyDescent="0.2">
      <c r="A65" s="22">
        <v>19</v>
      </c>
      <c r="B65" s="23" t="s">
        <v>368</v>
      </c>
      <c r="C65" s="23" t="s">
        <v>369</v>
      </c>
      <c r="D65" s="23" t="s">
        <v>107</v>
      </c>
      <c r="E65" s="24">
        <v>500</v>
      </c>
      <c r="F65" s="25">
        <v>2472.4499999999998</v>
      </c>
      <c r="G65" s="26">
        <v>4.2241700000000002E-3</v>
      </c>
      <c r="H65" s="14">
        <v>5.81</v>
      </c>
    </row>
    <row r="66" spans="1:8" x14ac:dyDescent="0.2">
      <c r="A66" s="15"/>
      <c r="B66" s="15"/>
      <c r="C66" s="16" t="s">
        <v>11</v>
      </c>
      <c r="D66" s="15"/>
      <c r="E66" s="15" t="s">
        <v>12</v>
      </c>
      <c r="F66" s="21">
        <v>134117.4425</v>
      </c>
      <c r="G66" s="18">
        <v>0.22913906000000001</v>
      </c>
      <c r="H66" s="14" t="s">
        <v>12</v>
      </c>
    </row>
    <row r="67" spans="1:8" x14ac:dyDescent="0.2">
      <c r="A67" s="15"/>
      <c r="B67" s="15"/>
      <c r="C67" s="19"/>
      <c r="D67" s="15"/>
      <c r="E67" s="15"/>
      <c r="F67" s="20"/>
      <c r="G67" s="20"/>
      <c r="H67" s="14" t="s">
        <v>12</v>
      </c>
    </row>
    <row r="68" spans="1:8" x14ac:dyDescent="0.2">
      <c r="A68" s="15"/>
      <c r="B68" s="15"/>
      <c r="C68" s="16" t="s">
        <v>108</v>
      </c>
      <c r="D68" s="15"/>
      <c r="E68" s="15"/>
      <c r="F68" s="20"/>
      <c r="G68" s="20"/>
      <c r="H68" s="14" t="s">
        <v>12</v>
      </c>
    </row>
    <row r="69" spans="1:8" x14ac:dyDescent="0.2">
      <c r="A69" s="22">
        <v>1</v>
      </c>
      <c r="B69" s="23" t="s">
        <v>370</v>
      </c>
      <c r="C69" s="23" t="s">
        <v>371</v>
      </c>
      <c r="D69" s="23" t="s">
        <v>107</v>
      </c>
      <c r="E69" s="24">
        <v>4000</v>
      </c>
      <c r="F69" s="25">
        <v>19835.82</v>
      </c>
      <c r="G69" s="26">
        <v>3.3889410000000002E-2</v>
      </c>
      <c r="H69" s="14">
        <v>5.8098999999999998</v>
      </c>
    </row>
    <row r="70" spans="1:8" x14ac:dyDescent="0.2">
      <c r="A70" s="22">
        <v>2</v>
      </c>
      <c r="B70" s="23" t="s">
        <v>372</v>
      </c>
      <c r="C70" s="23" t="s">
        <v>373</v>
      </c>
      <c r="D70" s="23" t="s">
        <v>107</v>
      </c>
      <c r="E70" s="24">
        <v>3000</v>
      </c>
      <c r="F70" s="25">
        <v>14893.5</v>
      </c>
      <c r="G70" s="26">
        <v>2.5445479999999999E-2</v>
      </c>
      <c r="H70" s="14">
        <v>5.8003</v>
      </c>
    </row>
    <row r="71" spans="1:8" x14ac:dyDescent="0.2">
      <c r="A71" s="22">
        <v>3</v>
      </c>
      <c r="B71" s="23" t="s">
        <v>374</v>
      </c>
      <c r="C71" s="23" t="s">
        <v>375</v>
      </c>
      <c r="D71" s="23" t="s">
        <v>107</v>
      </c>
      <c r="E71" s="24">
        <v>2500</v>
      </c>
      <c r="F71" s="25">
        <v>12474.0875</v>
      </c>
      <c r="G71" s="26">
        <v>2.1311920000000002E-2</v>
      </c>
      <c r="H71" s="14">
        <v>5.8324999999999996</v>
      </c>
    </row>
    <row r="72" spans="1:8" x14ac:dyDescent="0.2">
      <c r="A72" s="22">
        <v>4</v>
      </c>
      <c r="B72" s="23" t="s">
        <v>376</v>
      </c>
      <c r="C72" s="23" t="s">
        <v>377</v>
      </c>
      <c r="D72" s="23" t="s">
        <v>107</v>
      </c>
      <c r="E72" s="24">
        <v>2500</v>
      </c>
      <c r="F72" s="25">
        <v>12436.7875</v>
      </c>
      <c r="G72" s="26">
        <v>2.1248199999999998E-2</v>
      </c>
      <c r="H72" s="14">
        <v>5.9850000000000003</v>
      </c>
    </row>
    <row r="73" spans="1:8" x14ac:dyDescent="0.2">
      <c r="A73" s="22">
        <v>5</v>
      </c>
      <c r="B73" s="23" t="s">
        <v>378</v>
      </c>
      <c r="C73" s="23" t="s">
        <v>379</v>
      </c>
      <c r="D73" s="23" t="s">
        <v>107</v>
      </c>
      <c r="E73" s="24">
        <v>2500</v>
      </c>
      <c r="F73" s="25">
        <v>12403.3375</v>
      </c>
      <c r="G73" s="26">
        <v>2.1191049999999999E-2</v>
      </c>
      <c r="H73" s="14">
        <v>5.8049999999999997</v>
      </c>
    </row>
    <row r="74" spans="1:8" x14ac:dyDescent="0.2">
      <c r="A74" s="22">
        <v>6</v>
      </c>
      <c r="B74" s="23" t="s">
        <v>380</v>
      </c>
      <c r="C74" s="23" t="s">
        <v>381</v>
      </c>
      <c r="D74" s="23" t="s">
        <v>107</v>
      </c>
      <c r="E74" s="24">
        <v>2500</v>
      </c>
      <c r="F74" s="25">
        <v>12386.8375</v>
      </c>
      <c r="G74" s="26">
        <v>2.1162859999999999E-2</v>
      </c>
      <c r="H74" s="14">
        <v>6.1748000000000003</v>
      </c>
    </row>
    <row r="75" spans="1:8" x14ac:dyDescent="0.2">
      <c r="A75" s="22">
        <v>7</v>
      </c>
      <c r="B75" s="23" t="s">
        <v>382</v>
      </c>
      <c r="C75" s="23" t="s">
        <v>383</v>
      </c>
      <c r="D75" s="23" t="s">
        <v>107</v>
      </c>
      <c r="E75" s="24">
        <v>2000</v>
      </c>
      <c r="F75" s="25">
        <v>9988.32</v>
      </c>
      <c r="G75" s="26">
        <v>1.7065E-2</v>
      </c>
      <c r="H75" s="14">
        <v>6.1002000000000001</v>
      </c>
    </row>
    <row r="76" spans="1:8" x14ac:dyDescent="0.2">
      <c r="A76" s="22">
        <v>8</v>
      </c>
      <c r="B76" s="23" t="s">
        <v>384</v>
      </c>
      <c r="C76" s="23" t="s">
        <v>385</v>
      </c>
      <c r="D76" s="23" t="s">
        <v>107</v>
      </c>
      <c r="E76" s="24">
        <v>2000</v>
      </c>
      <c r="F76" s="25">
        <v>9981.4699999999993</v>
      </c>
      <c r="G76" s="26">
        <v>1.70533E-2</v>
      </c>
      <c r="H76" s="14">
        <v>6.1599000000000004</v>
      </c>
    </row>
    <row r="77" spans="1:8" x14ac:dyDescent="0.2">
      <c r="A77" s="22">
        <v>9</v>
      </c>
      <c r="B77" s="23" t="s">
        <v>386</v>
      </c>
      <c r="C77" s="23" t="s">
        <v>387</v>
      </c>
      <c r="D77" s="23" t="s">
        <v>107</v>
      </c>
      <c r="E77" s="24">
        <v>2000</v>
      </c>
      <c r="F77" s="25">
        <v>9979.82</v>
      </c>
      <c r="G77" s="26">
        <v>1.705048E-2</v>
      </c>
      <c r="H77" s="14">
        <v>6.15</v>
      </c>
    </row>
    <row r="78" spans="1:8" x14ac:dyDescent="0.2">
      <c r="A78" s="22">
        <v>10</v>
      </c>
      <c r="B78" s="23" t="s">
        <v>388</v>
      </c>
      <c r="C78" s="23" t="s">
        <v>389</v>
      </c>
      <c r="D78" s="23" t="s">
        <v>107</v>
      </c>
      <c r="E78" s="24">
        <v>2000</v>
      </c>
      <c r="F78" s="25">
        <v>9958.4599999999991</v>
      </c>
      <c r="G78" s="26">
        <v>1.701399E-2</v>
      </c>
      <c r="H78" s="14">
        <v>6.09</v>
      </c>
    </row>
    <row r="79" spans="1:8" ht="25.5" x14ac:dyDescent="0.2">
      <c r="A79" s="22">
        <v>11</v>
      </c>
      <c r="B79" s="23" t="s">
        <v>390</v>
      </c>
      <c r="C79" s="23" t="s">
        <v>391</v>
      </c>
      <c r="D79" s="23" t="s">
        <v>107</v>
      </c>
      <c r="E79" s="24">
        <v>2000</v>
      </c>
      <c r="F79" s="25">
        <v>9957.41</v>
      </c>
      <c r="G79" s="26">
        <v>1.701219E-2</v>
      </c>
      <c r="H79" s="14">
        <v>6.2450000000000001</v>
      </c>
    </row>
    <row r="80" spans="1:8" ht="25.5" x14ac:dyDescent="0.2">
      <c r="A80" s="22">
        <v>12</v>
      </c>
      <c r="B80" s="23" t="s">
        <v>392</v>
      </c>
      <c r="C80" s="23" t="s">
        <v>393</v>
      </c>
      <c r="D80" s="23" t="s">
        <v>107</v>
      </c>
      <c r="E80" s="24">
        <v>2000</v>
      </c>
      <c r="F80" s="25">
        <v>9940.39</v>
      </c>
      <c r="G80" s="26">
        <v>1.6983109999999999E-2</v>
      </c>
      <c r="H80" s="14">
        <v>5.7599</v>
      </c>
    </row>
    <row r="81" spans="1:8" x14ac:dyDescent="0.2">
      <c r="A81" s="22">
        <v>13</v>
      </c>
      <c r="B81" s="23" t="s">
        <v>394</v>
      </c>
      <c r="C81" s="23" t="s">
        <v>395</v>
      </c>
      <c r="D81" s="23" t="s">
        <v>107</v>
      </c>
      <c r="E81" s="24">
        <v>2000</v>
      </c>
      <c r="F81" s="25">
        <v>9933.7000000000007</v>
      </c>
      <c r="G81" s="26">
        <v>1.6971679999999999E-2</v>
      </c>
      <c r="H81" s="14">
        <v>5.8003</v>
      </c>
    </row>
    <row r="82" spans="1:8" ht="25.5" x14ac:dyDescent="0.2">
      <c r="A82" s="22">
        <v>14</v>
      </c>
      <c r="B82" s="23" t="s">
        <v>396</v>
      </c>
      <c r="C82" s="23" t="s">
        <v>397</v>
      </c>
      <c r="D82" s="23" t="s">
        <v>107</v>
      </c>
      <c r="E82" s="24">
        <v>2000</v>
      </c>
      <c r="F82" s="25">
        <v>9925.8700000000008</v>
      </c>
      <c r="G82" s="26">
        <v>1.6958310000000001E-2</v>
      </c>
      <c r="H82" s="14">
        <v>5.8</v>
      </c>
    </row>
    <row r="83" spans="1:8" x14ac:dyDescent="0.2">
      <c r="A83" s="22">
        <v>15</v>
      </c>
      <c r="B83" s="23" t="s">
        <v>398</v>
      </c>
      <c r="C83" s="23" t="s">
        <v>399</v>
      </c>
      <c r="D83" s="23" t="s">
        <v>107</v>
      </c>
      <c r="E83" s="24">
        <v>2000</v>
      </c>
      <c r="F83" s="25">
        <v>9925.76</v>
      </c>
      <c r="G83" s="26">
        <v>1.695812E-2</v>
      </c>
      <c r="H83" s="14">
        <v>5.9349999999999996</v>
      </c>
    </row>
    <row r="84" spans="1:8" x14ac:dyDescent="0.2">
      <c r="A84" s="22">
        <v>16</v>
      </c>
      <c r="B84" s="23" t="s">
        <v>400</v>
      </c>
      <c r="C84" s="23" t="s">
        <v>401</v>
      </c>
      <c r="D84" s="23" t="s">
        <v>107</v>
      </c>
      <c r="E84" s="24">
        <v>2000</v>
      </c>
      <c r="F84" s="25">
        <v>9922.61</v>
      </c>
      <c r="G84" s="26">
        <v>1.6952740000000001E-2</v>
      </c>
      <c r="H84" s="14">
        <v>5.8097000000000003</v>
      </c>
    </row>
    <row r="85" spans="1:8" x14ac:dyDescent="0.2">
      <c r="A85" s="22">
        <v>17</v>
      </c>
      <c r="B85" s="23" t="s">
        <v>402</v>
      </c>
      <c r="C85" s="23" t="s">
        <v>403</v>
      </c>
      <c r="D85" s="23" t="s">
        <v>107</v>
      </c>
      <c r="E85" s="24">
        <v>2000</v>
      </c>
      <c r="F85" s="25">
        <v>9911.8799999999992</v>
      </c>
      <c r="G85" s="26">
        <v>1.6934399999999999E-2</v>
      </c>
      <c r="H85" s="14">
        <v>6.24</v>
      </c>
    </row>
    <row r="86" spans="1:8" ht="25.5" x14ac:dyDescent="0.2">
      <c r="A86" s="22">
        <v>18</v>
      </c>
      <c r="B86" s="23" t="s">
        <v>404</v>
      </c>
      <c r="C86" s="23" t="s">
        <v>405</v>
      </c>
      <c r="D86" s="23" t="s">
        <v>107</v>
      </c>
      <c r="E86" s="24">
        <v>2000</v>
      </c>
      <c r="F86" s="25">
        <v>9867.57</v>
      </c>
      <c r="G86" s="26">
        <v>1.6858700000000001E-2</v>
      </c>
      <c r="H86" s="14">
        <v>5.8318000000000003</v>
      </c>
    </row>
    <row r="87" spans="1:8" x14ac:dyDescent="0.2">
      <c r="A87" s="22">
        <v>19</v>
      </c>
      <c r="B87" s="23" t="s">
        <v>406</v>
      </c>
      <c r="C87" s="23" t="s">
        <v>407</v>
      </c>
      <c r="D87" s="23" t="s">
        <v>104</v>
      </c>
      <c r="E87" s="24">
        <v>1500</v>
      </c>
      <c r="F87" s="25">
        <v>7484.3175000000001</v>
      </c>
      <c r="G87" s="26">
        <v>1.278692E-2</v>
      </c>
      <c r="H87" s="14">
        <v>5.8851000000000004</v>
      </c>
    </row>
    <row r="88" spans="1:8" x14ac:dyDescent="0.2">
      <c r="A88" s="22">
        <v>20</v>
      </c>
      <c r="B88" s="23" t="s">
        <v>408</v>
      </c>
      <c r="C88" s="23" t="s">
        <v>409</v>
      </c>
      <c r="D88" s="23" t="s">
        <v>107</v>
      </c>
      <c r="E88" s="24">
        <v>1500</v>
      </c>
      <c r="F88" s="25">
        <v>7475.2875000000004</v>
      </c>
      <c r="G88" s="26">
        <v>1.27715E-2</v>
      </c>
      <c r="H88" s="14">
        <v>6.3501000000000003</v>
      </c>
    </row>
    <row r="89" spans="1:8" x14ac:dyDescent="0.2">
      <c r="A89" s="22">
        <v>21</v>
      </c>
      <c r="B89" s="23" t="s">
        <v>410</v>
      </c>
      <c r="C89" s="23" t="s">
        <v>411</v>
      </c>
      <c r="D89" s="23" t="s">
        <v>104</v>
      </c>
      <c r="E89" s="24">
        <v>1500</v>
      </c>
      <c r="F89" s="25">
        <v>7467.5474999999997</v>
      </c>
      <c r="G89" s="26">
        <v>1.275827E-2</v>
      </c>
      <c r="H89" s="14">
        <v>5.875</v>
      </c>
    </row>
    <row r="90" spans="1:8" x14ac:dyDescent="0.2">
      <c r="A90" s="22">
        <v>22</v>
      </c>
      <c r="B90" s="23" t="s">
        <v>412</v>
      </c>
      <c r="C90" s="23" t="s">
        <v>413</v>
      </c>
      <c r="D90" s="23" t="s">
        <v>107</v>
      </c>
      <c r="E90" s="24">
        <v>1500</v>
      </c>
      <c r="F90" s="25">
        <v>7464.9375</v>
      </c>
      <c r="G90" s="26">
        <v>1.2753810000000001E-2</v>
      </c>
      <c r="H90" s="14">
        <v>6.3501000000000003</v>
      </c>
    </row>
    <row r="91" spans="1:8" x14ac:dyDescent="0.2">
      <c r="A91" s="22">
        <v>23</v>
      </c>
      <c r="B91" s="23" t="s">
        <v>414</v>
      </c>
      <c r="C91" s="23" t="s">
        <v>415</v>
      </c>
      <c r="D91" s="23" t="s">
        <v>107</v>
      </c>
      <c r="E91" s="24">
        <v>1500</v>
      </c>
      <c r="F91" s="25">
        <v>7457.1075000000001</v>
      </c>
      <c r="G91" s="26">
        <v>1.274044E-2</v>
      </c>
      <c r="H91" s="14">
        <v>6.1748000000000003</v>
      </c>
    </row>
    <row r="92" spans="1:8" x14ac:dyDescent="0.2">
      <c r="A92" s="22">
        <v>24</v>
      </c>
      <c r="B92" s="23" t="s">
        <v>416</v>
      </c>
      <c r="C92" s="23" t="s">
        <v>417</v>
      </c>
      <c r="D92" s="23" t="s">
        <v>107</v>
      </c>
      <c r="E92" s="24">
        <v>1500</v>
      </c>
      <c r="F92" s="25">
        <v>7444.0874999999996</v>
      </c>
      <c r="G92" s="26">
        <v>1.2718190000000001E-2</v>
      </c>
      <c r="H92" s="14">
        <v>5.96</v>
      </c>
    </row>
    <row r="93" spans="1:8" x14ac:dyDescent="0.2">
      <c r="A93" s="22">
        <v>25</v>
      </c>
      <c r="B93" s="23" t="s">
        <v>418</v>
      </c>
      <c r="C93" s="23" t="s">
        <v>419</v>
      </c>
      <c r="D93" s="23" t="s">
        <v>107</v>
      </c>
      <c r="E93" s="24">
        <v>1500</v>
      </c>
      <c r="F93" s="25">
        <v>7442.3549999999996</v>
      </c>
      <c r="G93" s="26">
        <v>1.2715229999999999E-2</v>
      </c>
      <c r="H93" s="14">
        <v>5.89</v>
      </c>
    </row>
    <row r="94" spans="1:8" x14ac:dyDescent="0.2">
      <c r="A94" s="22">
        <v>26</v>
      </c>
      <c r="B94" s="23" t="s">
        <v>420</v>
      </c>
      <c r="C94" s="23" t="s">
        <v>421</v>
      </c>
      <c r="D94" s="23" t="s">
        <v>104</v>
      </c>
      <c r="E94" s="24">
        <v>1500</v>
      </c>
      <c r="F94" s="25">
        <v>7399.3649999999998</v>
      </c>
      <c r="G94" s="26">
        <v>1.264178E-2</v>
      </c>
      <c r="H94" s="14">
        <v>5.9100999999999999</v>
      </c>
    </row>
    <row r="95" spans="1:8" x14ac:dyDescent="0.2">
      <c r="A95" s="22">
        <v>27</v>
      </c>
      <c r="B95" s="23" t="s">
        <v>422</v>
      </c>
      <c r="C95" s="23" t="s">
        <v>423</v>
      </c>
      <c r="D95" s="23" t="s">
        <v>107</v>
      </c>
      <c r="E95" s="24">
        <v>1000</v>
      </c>
      <c r="F95" s="25">
        <v>4993.8850000000002</v>
      </c>
      <c r="G95" s="26">
        <v>8.5320299999999995E-3</v>
      </c>
      <c r="H95" s="14">
        <v>6.3851000000000004</v>
      </c>
    </row>
    <row r="96" spans="1:8" x14ac:dyDescent="0.2">
      <c r="A96" s="22">
        <v>28</v>
      </c>
      <c r="B96" s="23" t="s">
        <v>424</v>
      </c>
      <c r="C96" s="23" t="s">
        <v>425</v>
      </c>
      <c r="D96" s="23" t="s">
        <v>107</v>
      </c>
      <c r="E96" s="24">
        <v>1000</v>
      </c>
      <c r="F96" s="25">
        <v>4989.91</v>
      </c>
      <c r="G96" s="26">
        <v>8.5252399999999999E-3</v>
      </c>
      <c r="H96" s="14">
        <v>6.1496000000000004</v>
      </c>
    </row>
    <row r="97" spans="1:8" x14ac:dyDescent="0.2">
      <c r="A97" s="22">
        <v>29</v>
      </c>
      <c r="B97" s="23" t="s">
        <v>426</v>
      </c>
      <c r="C97" s="23" t="s">
        <v>427</v>
      </c>
      <c r="D97" s="23" t="s">
        <v>107</v>
      </c>
      <c r="E97" s="24">
        <v>1000</v>
      </c>
      <c r="F97" s="25">
        <v>4986.3100000000004</v>
      </c>
      <c r="G97" s="26">
        <v>8.51909E-3</v>
      </c>
      <c r="H97" s="14">
        <v>5.8948</v>
      </c>
    </row>
    <row r="98" spans="1:8" x14ac:dyDescent="0.2">
      <c r="A98" s="22">
        <v>30</v>
      </c>
      <c r="B98" s="23" t="s">
        <v>428</v>
      </c>
      <c r="C98" s="23" t="s">
        <v>429</v>
      </c>
      <c r="D98" s="23" t="s">
        <v>107</v>
      </c>
      <c r="E98" s="24">
        <v>1000</v>
      </c>
      <c r="F98" s="25">
        <v>4984.3450000000003</v>
      </c>
      <c r="G98" s="26">
        <v>8.5157299999999991E-3</v>
      </c>
      <c r="H98" s="14">
        <v>6.3700999999999999</v>
      </c>
    </row>
    <row r="99" spans="1:8" ht="25.5" x14ac:dyDescent="0.2">
      <c r="A99" s="22">
        <v>31</v>
      </c>
      <c r="B99" s="23" t="s">
        <v>430</v>
      </c>
      <c r="C99" s="23" t="s">
        <v>431</v>
      </c>
      <c r="D99" s="23" t="s">
        <v>107</v>
      </c>
      <c r="E99" s="24">
        <v>1000</v>
      </c>
      <c r="F99" s="25">
        <v>4983.33</v>
      </c>
      <c r="G99" s="26">
        <v>8.5140000000000007E-3</v>
      </c>
      <c r="H99" s="14">
        <v>5.8150000000000004</v>
      </c>
    </row>
    <row r="100" spans="1:8" x14ac:dyDescent="0.2">
      <c r="A100" s="22">
        <v>32</v>
      </c>
      <c r="B100" s="23" t="s">
        <v>432</v>
      </c>
      <c r="C100" s="23" t="s">
        <v>433</v>
      </c>
      <c r="D100" s="23" t="s">
        <v>107</v>
      </c>
      <c r="E100" s="24">
        <v>1000</v>
      </c>
      <c r="F100" s="25">
        <v>4979.625</v>
      </c>
      <c r="G100" s="26">
        <v>8.5076700000000002E-3</v>
      </c>
      <c r="H100" s="14">
        <v>5.9749999999999996</v>
      </c>
    </row>
    <row r="101" spans="1:8" x14ac:dyDescent="0.2">
      <c r="A101" s="22">
        <v>33</v>
      </c>
      <c r="B101" s="23" t="s">
        <v>434</v>
      </c>
      <c r="C101" s="23" t="s">
        <v>435</v>
      </c>
      <c r="D101" s="23" t="s">
        <v>107</v>
      </c>
      <c r="E101" s="24">
        <v>1000</v>
      </c>
      <c r="F101" s="25">
        <v>4979.375</v>
      </c>
      <c r="G101" s="26">
        <v>8.5072399999999992E-3</v>
      </c>
      <c r="H101" s="14">
        <v>6.3</v>
      </c>
    </row>
    <row r="102" spans="1:8" x14ac:dyDescent="0.2">
      <c r="A102" s="22">
        <v>34</v>
      </c>
      <c r="B102" s="23" t="s">
        <v>436</v>
      </c>
      <c r="C102" s="23" t="s">
        <v>437</v>
      </c>
      <c r="D102" s="23" t="s">
        <v>107</v>
      </c>
      <c r="E102" s="24">
        <v>1000</v>
      </c>
      <c r="F102" s="25">
        <v>4976.4849999999997</v>
      </c>
      <c r="G102" s="26">
        <v>8.5023000000000008E-3</v>
      </c>
      <c r="H102" s="14">
        <v>6.16</v>
      </c>
    </row>
    <row r="103" spans="1:8" ht="25.5" x14ac:dyDescent="0.2">
      <c r="A103" s="22">
        <v>35</v>
      </c>
      <c r="B103" s="23" t="s">
        <v>438</v>
      </c>
      <c r="C103" s="23" t="s">
        <v>439</v>
      </c>
      <c r="D103" s="23" t="s">
        <v>107</v>
      </c>
      <c r="E103" s="24">
        <v>1000</v>
      </c>
      <c r="F103" s="25">
        <v>4973.92</v>
      </c>
      <c r="G103" s="26">
        <v>8.4979200000000008E-3</v>
      </c>
      <c r="H103" s="14">
        <v>5.8</v>
      </c>
    </row>
    <row r="104" spans="1:8" x14ac:dyDescent="0.2">
      <c r="A104" s="22">
        <v>36</v>
      </c>
      <c r="B104" s="23" t="s">
        <v>440</v>
      </c>
      <c r="C104" s="23" t="s">
        <v>441</v>
      </c>
      <c r="D104" s="23" t="s">
        <v>107</v>
      </c>
      <c r="E104" s="24">
        <v>1000</v>
      </c>
      <c r="F104" s="25">
        <v>4973.1350000000002</v>
      </c>
      <c r="G104" s="26">
        <v>8.4965800000000001E-3</v>
      </c>
      <c r="H104" s="14">
        <v>5.7999000000000001</v>
      </c>
    </row>
    <row r="105" spans="1:8" x14ac:dyDescent="0.2">
      <c r="A105" s="22">
        <v>37</v>
      </c>
      <c r="B105" s="23" t="s">
        <v>442</v>
      </c>
      <c r="C105" s="23" t="s">
        <v>443</v>
      </c>
      <c r="D105" s="23" t="s">
        <v>107</v>
      </c>
      <c r="E105" s="24">
        <v>1000</v>
      </c>
      <c r="F105" s="25">
        <v>4973.1099999999997</v>
      </c>
      <c r="G105" s="26">
        <v>8.4965400000000003E-3</v>
      </c>
      <c r="H105" s="14">
        <v>5.8049999999999997</v>
      </c>
    </row>
    <row r="106" spans="1:8" x14ac:dyDescent="0.2">
      <c r="A106" s="22">
        <v>38</v>
      </c>
      <c r="B106" s="23" t="s">
        <v>444</v>
      </c>
      <c r="C106" s="23" t="s">
        <v>445</v>
      </c>
      <c r="D106" s="23" t="s">
        <v>104</v>
      </c>
      <c r="E106" s="24">
        <v>1000</v>
      </c>
      <c r="F106" s="25">
        <v>4972.9449999999997</v>
      </c>
      <c r="G106" s="26">
        <v>8.4962600000000003E-3</v>
      </c>
      <c r="H106" s="14">
        <v>5.84</v>
      </c>
    </row>
    <row r="107" spans="1:8" x14ac:dyDescent="0.2">
      <c r="A107" s="22">
        <v>39</v>
      </c>
      <c r="B107" s="23" t="s">
        <v>446</v>
      </c>
      <c r="C107" s="23" t="s">
        <v>447</v>
      </c>
      <c r="D107" s="23" t="s">
        <v>107</v>
      </c>
      <c r="E107" s="24">
        <v>1000</v>
      </c>
      <c r="F107" s="25">
        <v>4968.0649999999996</v>
      </c>
      <c r="G107" s="26">
        <v>8.4879199999999995E-3</v>
      </c>
      <c r="H107" s="14">
        <v>6.1749999999999998</v>
      </c>
    </row>
    <row r="108" spans="1:8" x14ac:dyDescent="0.2">
      <c r="A108" s="22">
        <v>40</v>
      </c>
      <c r="B108" s="23" t="s">
        <v>448</v>
      </c>
      <c r="C108" s="23" t="s">
        <v>449</v>
      </c>
      <c r="D108" s="23" t="s">
        <v>107</v>
      </c>
      <c r="E108" s="24">
        <v>1000</v>
      </c>
      <c r="F108" s="25">
        <v>4961.7349999999997</v>
      </c>
      <c r="G108" s="26">
        <v>8.4770999999999996E-3</v>
      </c>
      <c r="H108" s="14">
        <v>5.8650000000000002</v>
      </c>
    </row>
    <row r="109" spans="1:8" x14ac:dyDescent="0.2">
      <c r="A109" s="22">
        <v>41</v>
      </c>
      <c r="B109" s="23" t="s">
        <v>450</v>
      </c>
      <c r="C109" s="23" t="s">
        <v>451</v>
      </c>
      <c r="D109" s="23" t="s">
        <v>107</v>
      </c>
      <c r="E109" s="24">
        <v>1000</v>
      </c>
      <c r="F109" s="25">
        <v>4961.04</v>
      </c>
      <c r="G109" s="26">
        <v>8.4759199999999996E-3</v>
      </c>
      <c r="H109" s="14">
        <v>5.85</v>
      </c>
    </row>
    <row r="110" spans="1:8" x14ac:dyDescent="0.2">
      <c r="A110" s="22">
        <v>42</v>
      </c>
      <c r="B110" s="23" t="s">
        <v>452</v>
      </c>
      <c r="C110" s="23" t="s">
        <v>453</v>
      </c>
      <c r="D110" s="23" t="s">
        <v>107</v>
      </c>
      <c r="E110" s="24">
        <v>1000</v>
      </c>
      <c r="F110" s="25">
        <v>4959.7250000000004</v>
      </c>
      <c r="G110" s="26">
        <v>8.4736700000000009E-3</v>
      </c>
      <c r="H110" s="14">
        <v>6.1749999999999998</v>
      </c>
    </row>
    <row r="111" spans="1:8" x14ac:dyDescent="0.2">
      <c r="A111" s="22">
        <v>43</v>
      </c>
      <c r="B111" s="23" t="s">
        <v>454</v>
      </c>
      <c r="C111" s="23" t="s">
        <v>455</v>
      </c>
      <c r="D111" s="23" t="s">
        <v>107</v>
      </c>
      <c r="E111" s="24">
        <v>1000</v>
      </c>
      <c r="F111" s="25">
        <v>4958.3500000000004</v>
      </c>
      <c r="G111" s="26">
        <v>8.4713199999999992E-3</v>
      </c>
      <c r="H111" s="14">
        <v>5.7850000000000001</v>
      </c>
    </row>
    <row r="112" spans="1:8" x14ac:dyDescent="0.2">
      <c r="A112" s="22">
        <v>44</v>
      </c>
      <c r="B112" s="23" t="s">
        <v>456</v>
      </c>
      <c r="C112" s="23" t="s">
        <v>457</v>
      </c>
      <c r="D112" s="23" t="s">
        <v>107</v>
      </c>
      <c r="E112" s="24">
        <v>500</v>
      </c>
      <c r="F112" s="25">
        <v>2494.3200000000002</v>
      </c>
      <c r="G112" s="26">
        <v>4.2615400000000003E-3</v>
      </c>
      <c r="H112" s="14">
        <v>6.3951000000000002</v>
      </c>
    </row>
    <row r="113" spans="1:8" ht="25.5" x14ac:dyDescent="0.2">
      <c r="A113" s="22">
        <v>45</v>
      </c>
      <c r="B113" s="23" t="s">
        <v>458</v>
      </c>
      <c r="C113" s="23" t="s">
        <v>459</v>
      </c>
      <c r="D113" s="23" t="s">
        <v>107</v>
      </c>
      <c r="E113" s="24">
        <v>500</v>
      </c>
      <c r="F113" s="25">
        <v>2491.0225</v>
      </c>
      <c r="G113" s="26">
        <v>4.2559E-3</v>
      </c>
      <c r="H113" s="14">
        <v>6.2649999999999997</v>
      </c>
    </row>
    <row r="114" spans="1:8" x14ac:dyDescent="0.2">
      <c r="A114" s="22">
        <v>46</v>
      </c>
      <c r="B114" s="23" t="s">
        <v>460</v>
      </c>
      <c r="C114" s="23" t="s">
        <v>461</v>
      </c>
      <c r="D114" s="23" t="s">
        <v>107</v>
      </c>
      <c r="E114" s="24">
        <v>500</v>
      </c>
      <c r="F114" s="25">
        <v>2484.0949999999998</v>
      </c>
      <c r="G114" s="26">
        <v>4.24407E-3</v>
      </c>
      <c r="H114" s="14">
        <v>6.15</v>
      </c>
    </row>
    <row r="115" spans="1:8" x14ac:dyDescent="0.2">
      <c r="A115" s="22">
        <v>47</v>
      </c>
      <c r="B115" s="23" t="s">
        <v>462</v>
      </c>
      <c r="C115" s="23" t="s">
        <v>463</v>
      </c>
      <c r="D115" s="23" t="s">
        <v>107</v>
      </c>
      <c r="E115" s="24">
        <v>500</v>
      </c>
      <c r="F115" s="25">
        <v>2477.4749999999999</v>
      </c>
      <c r="G115" s="26">
        <v>4.2327600000000003E-3</v>
      </c>
      <c r="H115" s="14">
        <v>6.3825000000000003</v>
      </c>
    </row>
    <row r="116" spans="1:8" x14ac:dyDescent="0.2">
      <c r="A116" s="15"/>
      <c r="B116" s="15"/>
      <c r="C116" s="16" t="s">
        <v>11</v>
      </c>
      <c r="D116" s="15"/>
      <c r="E116" s="15" t="s">
        <v>12</v>
      </c>
      <c r="F116" s="21">
        <v>357880.83750000002</v>
      </c>
      <c r="G116" s="18">
        <v>0.61143787999999999</v>
      </c>
      <c r="H116" s="14" t="s">
        <v>12</v>
      </c>
    </row>
    <row r="117" spans="1:8" x14ac:dyDescent="0.2">
      <c r="A117" s="15"/>
      <c r="B117" s="15"/>
      <c r="C117" s="19"/>
      <c r="D117" s="15"/>
      <c r="E117" s="15"/>
      <c r="F117" s="20"/>
      <c r="G117" s="20"/>
      <c r="H117" s="14" t="s">
        <v>12</v>
      </c>
    </row>
    <row r="118" spans="1:8" x14ac:dyDescent="0.2">
      <c r="A118" s="15"/>
      <c r="B118" s="15"/>
      <c r="C118" s="16" t="s">
        <v>109</v>
      </c>
      <c r="D118" s="15"/>
      <c r="E118" s="15"/>
      <c r="F118" s="20"/>
      <c r="G118" s="20"/>
      <c r="H118" s="14" t="s">
        <v>12</v>
      </c>
    </row>
    <row r="119" spans="1:8" x14ac:dyDescent="0.2">
      <c r="A119" s="22">
        <v>1</v>
      </c>
      <c r="B119" s="23" t="s">
        <v>464</v>
      </c>
      <c r="C119" s="23" t="s">
        <v>465</v>
      </c>
      <c r="D119" s="23" t="s">
        <v>83</v>
      </c>
      <c r="E119" s="24">
        <v>20000000</v>
      </c>
      <c r="F119" s="25">
        <v>19921.740000000002</v>
      </c>
      <c r="G119" s="26">
        <v>3.4036209999999997E-2</v>
      </c>
      <c r="H119" s="14">
        <v>5.31</v>
      </c>
    </row>
    <row r="120" spans="1:8" x14ac:dyDescent="0.2">
      <c r="A120" s="22">
        <v>2</v>
      </c>
      <c r="B120" s="23" t="s">
        <v>466</v>
      </c>
      <c r="C120" s="23" t="s">
        <v>467</v>
      </c>
      <c r="D120" s="23" t="s">
        <v>83</v>
      </c>
      <c r="E120" s="24">
        <v>19000000</v>
      </c>
      <c r="F120" s="25">
        <v>18868.330000000002</v>
      </c>
      <c r="G120" s="26">
        <v>3.2236460000000002E-2</v>
      </c>
      <c r="H120" s="14">
        <v>5.3067000000000002</v>
      </c>
    </row>
    <row r="121" spans="1:8" x14ac:dyDescent="0.2">
      <c r="A121" s="22">
        <v>3</v>
      </c>
      <c r="B121" s="23" t="s">
        <v>468</v>
      </c>
      <c r="C121" s="23" t="s">
        <v>469</v>
      </c>
      <c r="D121" s="23" t="s">
        <v>83</v>
      </c>
      <c r="E121" s="24">
        <v>10000000</v>
      </c>
      <c r="F121" s="25">
        <v>9889.2199999999993</v>
      </c>
      <c r="G121" s="26">
        <v>1.6895690000000001E-2</v>
      </c>
      <c r="H121" s="14">
        <v>5.38</v>
      </c>
    </row>
    <row r="122" spans="1:8" x14ac:dyDescent="0.2">
      <c r="A122" s="22">
        <v>4</v>
      </c>
      <c r="B122" s="23" t="s">
        <v>470</v>
      </c>
      <c r="C122" s="23" t="s">
        <v>471</v>
      </c>
      <c r="D122" s="23" t="s">
        <v>83</v>
      </c>
      <c r="E122" s="24">
        <v>5000000</v>
      </c>
      <c r="F122" s="25">
        <v>4960.16</v>
      </c>
      <c r="G122" s="26">
        <v>8.4744099999999999E-3</v>
      </c>
      <c r="H122" s="14">
        <v>5.33</v>
      </c>
    </row>
    <row r="123" spans="1:8" x14ac:dyDescent="0.2">
      <c r="A123" s="22">
        <v>5</v>
      </c>
      <c r="B123" s="23" t="s">
        <v>472</v>
      </c>
      <c r="C123" s="23" t="s">
        <v>473</v>
      </c>
      <c r="D123" s="23" t="s">
        <v>83</v>
      </c>
      <c r="E123" s="24">
        <v>5000000</v>
      </c>
      <c r="F123" s="25">
        <v>4949.75</v>
      </c>
      <c r="G123" s="26">
        <v>8.4566299999999997E-3</v>
      </c>
      <c r="H123" s="14">
        <v>5.3705999999999996</v>
      </c>
    </row>
    <row r="124" spans="1:8" x14ac:dyDescent="0.2">
      <c r="A124" s="22">
        <v>6</v>
      </c>
      <c r="B124" s="23" t="s">
        <v>474</v>
      </c>
      <c r="C124" s="23" t="s">
        <v>475</v>
      </c>
      <c r="D124" s="23" t="s">
        <v>83</v>
      </c>
      <c r="E124" s="24">
        <v>3000000</v>
      </c>
      <c r="F124" s="25">
        <v>2991.279</v>
      </c>
      <c r="G124" s="26">
        <v>5.1105899999999999E-3</v>
      </c>
      <c r="H124" s="14">
        <v>5.32</v>
      </c>
    </row>
    <row r="125" spans="1:8" x14ac:dyDescent="0.2">
      <c r="A125" s="15"/>
      <c r="B125" s="15"/>
      <c r="C125" s="16" t="s">
        <v>11</v>
      </c>
      <c r="D125" s="15"/>
      <c r="E125" s="15" t="s">
        <v>12</v>
      </c>
      <c r="F125" s="21">
        <v>61580.478999999999</v>
      </c>
      <c r="G125" s="18">
        <v>0.10520999</v>
      </c>
      <c r="H125" s="14" t="s">
        <v>12</v>
      </c>
    </row>
    <row r="126" spans="1:8" x14ac:dyDescent="0.2">
      <c r="A126" s="15"/>
      <c r="B126" s="15"/>
      <c r="C126" s="19"/>
      <c r="D126" s="15"/>
      <c r="E126" s="15"/>
      <c r="F126" s="20"/>
      <c r="G126" s="20"/>
      <c r="H126" s="14" t="s">
        <v>12</v>
      </c>
    </row>
    <row r="127" spans="1:8" x14ac:dyDescent="0.2">
      <c r="A127" s="15"/>
      <c r="B127" s="15"/>
      <c r="C127" s="16" t="s">
        <v>110</v>
      </c>
      <c r="D127" s="15"/>
      <c r="E127" s="15"/>
      <c r="F127" s="20"/>
      <c r="G127" s="20"/>
      <c r="H127" s="14" t="s">
        <v>12</v>
      </c>
    </row>
    <row r="128" spans="1:8" x14ac:dyDescent="0.2">
      <c r="A128" s="22">
        <v>1</v>
      </c>
      <c r="B128" s="23"/>
      <c r="C128" s="23" t="s">
        <v>111</v>
      </c>
      <c r="D128" s="23"/>
      <c r="E128" s="27"/>
      <c r="F128" s="25">
        <v>4204.3439989910003</v>
      </c>
      <c r="G128" s="26">
        <v>7.1831000000000004E-3</v>
      </c>
      <c r="H128" s="14">
        <v>5.41</v>
      </c>
    </row>
    <row r="129" spans="1:17" x14ac:dyDescent="0.2">
      <c r="A129" s="15"/>
      <c r="B129" s="15"/>
      <c r="C129" s="16" t="s">
        <v>11</v>
      </c>
      <c r="D129" s="15"/>
      <c r="E129" s="15" t="s">
        <v>12</v>
      </c>
      <c r="F129" s="21">
        <v>4204.3439989910003</v>
      </c>
      <c r="G129" s="18">
        <v>7.1831000000000004E-3</v>
      </c>
      <c r="H129" s="14" t="s">
        <v>12</v>
      </c>
    </row>
    <row r="130" spans="1:17" x14ac:dyDescent="0.2">
      <c r="A130" s="15"/>
      <c r="B130" s="15"/>
      <c r="C130" s="19"/>
      <c r="D130" s="15"/>
      <c r="E130" s="15"/>
      <c r="F130" s="20"/>
      <c r="G130" s="20"/>
      <c r="H130" s="14" t="s">
        <v>12</v>
      </c>
    </row>
    <row r="131" spans="1:17" x14ac:dyDescent="0.2">
      <c r="A131" s="15"/>
      <c r="B131" s="15"/>
      <c r="C131" s="16" t="s">
        <v>112</v>
      </c>
      <c r="D131" s="15"/>
      <c r="E131" s="15"/>
      <c r="F131" s="21">
        <v>557783.10299899103</v>
      </c>
      <c r="G131" s="18">
        <v>0.95297003000000002</v>
      </c>
      <c r="H131" s="14" t="s">
        <v>12</v>
      </c>
    </row>
    <row r="132" spans="1:17" x14ac:dyDescent="0.2">
      <c r="A132" s="15"/>
      <c r="B132" s="15"/>
      <c r="C132" s="20"/>
      <c r="D132" s="15"/>
      <c r="E132" s="15"/>
      <c r="F132" s="15"/>
      <c r="G132" s="15"/>
      <c r="H132" s="14" t="s">
        <v>12</v>
      </c>
    </row>
    <row r="133" spans="1:17" x14ac:dyDescent="0.2">
      <c r="A133" s="15"/>
      <c r="B133" s="15"/>
      <c r="C133" s="16" t="s">
        <v>113</v>
      </c>
      <c r="D133" s="15"/>
      <c r="E133" s="15"/>
      <c r="F133" s="15"/>
      <c r="G133" s="15"/>
      <c r="H133" s="14" t="s">
        <v>12</v>
      </c>
    </row>
    <row r="134" spans="1:17" x14ac:dyDescent="0.2">
      <c r="A134" s="15"/>
      <c r="B134" s="15"/>
      <c r="C134" s="16" t="s">
        <v>114</v>
      </c>
      <c r="D134" s="15"/>
      <c r="E134" s="15"/>
      <c r="F134" s="15"/>
      <c r="G134" s="15"/>
      <c r="H134" s="14" t="s">
        <v>12</v>
      </c>
    </row>
    <row r="135" spans="1:17" x14ac:dyDescent="0.2">
      <c r="A135" s="15"/>
      <c r="B135" s="15"/>
      <c r="C135" s="16" t="s">
        <v>11</v>
      </c>
      <c r="D135" s="15"/>
      <c r="E135" s="15" t="s">
        <v>12</v>
      </c>
      <c r="F135" s="17" t="s">
        <v>13</v>
      </c>
      <c r="G135" s="18">
        <v>0</v>
      </c>
      <c r="H135" s="14" t="s">
        <v>12</v>
      </c>
    </row>
    <row r="136" spans="1:17" x14ac:dyDescent="0.2">
      <c r="A136" s="12"/>
      <c r="B136" s="12"/>
      <c r="C136" s="28"/>
      <c r="D136" s="12"/>
      <c r="E136" s="12"/>
      <c r="F136" s="29"/>
      <c r="G136" s="29"/>
      <c r="H136" s="14" t="s">
        <v>12</v>
      </c>
    </row>
    <row r="137" spans="1:17" x14ac:dyDescent="0.2">
      <c r="A137" s="12"/>
      <c r="B137" s="12"/>
      <c r="C137" s="13" t="s">
        <v>608</v>
      </c>
      <c r="D137" s="12"/>
      <c r="E137" s="12"/>
      <c r="F137" s="29"/>
      <c r="G137" s="29"/>
      <c r="H137" s="14" t="s">
        <v>12</v>
      </c>
      <c r="K137" s="30"/>
      <c r="L137" s="30"/>
      <c r="M137" s="30"/>
      <c r="N137" s="30"/>
      <c r="O137" s="31"/>
      <c r="P137" s="31"/>
      <c r="Q137" s="31"/>
    </row>
    <row r="138" spans="1:17" x14ac:dyDescent="0.2">
      <c r="A138" s="32">
        <v>1</v>
      </c>
      <c r="B138" s="33" t="s">
        <v>115</v>
      </c>
      <c r="C138" s="33" t="s">
        <v>116</v>
      </c>
      <c r="D138" s="33"/>
      <c r="E138" s="34">
        <v>13881.0234</v>
      </c>
      <c r="F138" s="35">
        <v>1567.1381973770001</v>
      </c>
      <c r="G138" s="36">
        <v>2.6774500000000001E-3</v>
      </c>
      <c r="H138" s="14"/>
    </row>
    <row r="139" spans="1:17" x14ac:dyDescent="0.2">
      <c r="A139" s="12"/>
      <c r="B139" s="12"/>
      <c r="C139" s="13" t="s">
        <v>11</v>
      </c>
      <c r="D139" s="12"/>
      <c r="E139" s="12" t="s">
        <v>12</v>
      </c>
      <c r="F139" s="37">
        <f>SUM(F138)</f>
        <v>1567.1381973770001</v>
      </c>
      <c r="G139" s="38">
        <f>SUM(G138)</f>
        <v>2.6774500000000001E-3</v>
      </c>
      <c r="H139" s="14" t="s">
        <v>12</v>
      </c>
    </row>
    <row r="140" spans="1:17" x14ac:dyDescent="0.2">
      <c r="A140" s="12"/>
      <c r="B140" s="12"/>
      <c r="C140" s="28"/>
      <c r="D140" s="12"/>
      <c r="E140" s="12"/>
      <c r="F140" s="29"/>
      <c r="G140" s="29"/>
      <c r="H140" s="14" t="s">
        <v>12</v>
      </c>
    </row>
    <row r="141" spans="1:17" x14ac:dyDescent="0.2">
      <c r="A141" s="15"/>
      <c r="B141" s="15"/>
      <c r="C141" s="16" t="s">
        <v>117</v>
      </c>
      <c r="D141" s="15"/>
      <c r="E141" s="15"/>
      <c r="F141" s="15"/>
      <c r="G141" s="15"/>
      <c r="H141" s="14" t="s">
        <v>12</v>
      </c>
    </row>
    <row r="142" spans="1:17" x14ac:dyDescent="0.2">
      <c r="A142" s="15"/>
      <c r="B142" s="15"/>
      <c r="C142" s="16" t="s">
        <v>118</v>
      </c>
      <c r="D142" s="15"/>
      <c r="E142" s="15"/>
      <c r="F142" s="15"/>
      <c r="G142" s="15"/>
      <c r="H142" s="14" t="s">
        <v>12</v>
      </c>
    </row>
    <row r="143" spans="1:17" x14ac:dyDescent="0.2">
      <c r="A143" s="15"/>
      <c r="B143" s="15"/>
      <c r="C143" s="16" t="s">
        <v>11</v>
      </c>
      <c r="D143" s="15"/>
      <c r="E143" s="15" t="s">
        <v>12</v>
      </c>
      <c r="F143" s="17" t="s">
        <v>13</v>
      </c>
      <c r="G143" s="18">
        <v>0</v>
      </c>
      <c r="H143" s="14" t="s">
        <v>12</v>
      </c>
    </row>
    <row r="144" spans="1:17" x14ac:dyDescent="0.2">
      <c r="A144" s="15"/>
      <c r="B144" s="15"/>
      <c r="C144" s="19"/>
      <c r="D144" s="15"/>
      <c r="E144" s="15"/>
      <c r="F144" s="20"/>
      <c r="G144" s="20"/>
      <c r="H144" s="14" t="s">
        <v>12</v>
      </c>
    </row>
    <row r="145" spans="1:9" x14ac:dyDescent="0.2">
      <c r="A145" s="15"/>
      <c r="B145" s="15"/>
      <c r="C145" s="16" t="s">
        <v>119</v>
      </c>
      <c r="D145" s="15"/>
      <c r="E145" s="15"/>
      <c r="F145" s="20"/>
      <c r="G145" s="20"/>
      <c r="H145" s="14" t="s">
        <v>12</v>
      </c>
    </row>
    <row r="146" spans="1:9" x14ac:dyDescent="0.2">
      <c r="A146" s="15"/>
      <c r="B146" s="15"/>
      <c r="C146" s="16" t="s">
        <v>11</v>
      </c>
      <c r="D146" s="15"/>
      <c r="E146" s="15" t="s">
        <v>12</v>
      </c>
      <c r="F146" s="17" t="s">
        <v>13</v>
      </c>
      <c r="G146" s="18">
        <v>0</v>
      </c>
      <c r="H146" s="14" t="s">
        <v>12</v>
      </c>
    </row>
    <row r="147" spans="1:9" x14ac:dyDescent="0.2">
      <c r="A147" s="15"/>
      <c r="B147" s="23"/>
      <c r="C147" s="23"/>
      <c r="D147" s="16"/>
      <c r="E147" s="15"/>
      <c r="F147" s="23"/>
      <c r="G147" s="27"/>
      <c r="H147" s="14" t="s">
        <v>12</v>
      </c>
    </row>
    <row r="148" spans="1:9" x14ac:dyDescent="0.2">
      <c r="A148" s="27"/>
      <c r="B148" s="23"/>
      <c r="C148" s="23" t="s">
        <v>120</v>
      </c>
      <c r="D148" s="23"/>
      <c r="E148" s="27"/>
      <c r="F148" s="25">
        <f>10951.7355275-0.00325524803161621</f>
        <v>10951.732272251969</v>
      </c>
      <c r="G148" s="26">
        <v>1.871099E-2</v>
      </c>
      <c r="H148" s="14" t="s">
        <v>12</v>
      </c>
    </row>
    <row r="149" spans="1:9" x14ac:dyDescent="0.2">
      <c r="A149" s="19"/>
      <c r="B149" s="19"/>
      <c r="C149" s="16" t="s">
        <v>121</v>
      </c>
      <c r="D149" s="20"/>
      <c r="E149" s="20"/>
      <c r="F149" s="21">
        <f>585310.234223868-0.00325524803161621</f>
        <v>585310.23096861993</v>
      </c>
      <c r="G149" s="39">
        <v>1.0000000200000001</v>
      </c>
      <c r="H149" s="14" t="s">
        <v>12</v>
      </c>
    </row>
    <row r="150" spans="1:9" x14ac:dyDescent="0.2">
      <c r="A150" s="40"/>
      <c r="B150" s="40"/>
      <c r="C150" s="40"/>
      <c r="D150" s="41"/>
      <c r="E150" s="41"/>
      <c r="F150" s="41"/>
      <c r="G150" s="41"/>
    </row>
    <row r="151" spans="1:9" x14ac:dyDescent="0.2">
      <c r="A151" s="42"/>
      <c r="B151" s="156" t="s">
        <v>622</v>
      </c>
      <c r="C151" s="156"/>
      <c r="D151" s="156"/>
      <c r="E151" s="156"/>
      <c r="F151" s="156"/>
      <c r="G151" s="156"/>
      <c r="H151" s="156"/>
    </row>
    <row r="152" spans="1:9" x14ac:dyDescent="0.2">
      <c r="A152" s="42"/>
      <c r="B152" s="156" t="s">
        <v>623</v>
      </c>
      <c r="C152" s="156"/>
      <c r="D152" s="156"/>
      <c r="E152" s="156"/>
      <c r="F152" s="156"/>
      <c r="G152" s="156"/>
      <c r="H152" s="156"/>
    </row>
    <row r="153" spans="1:9" x14ac:dyDescent="0.2">
      <c r="A153" s="42"/>
      <c r="B153" s="156" t="s">
        <v>624</v>
      </c>
      <c r="C153" s="156"/>
      <c r="D153" s="156"/>
      <c r="E153" s="156"/>
      <c r="F153" s="156"/>
      <c r="G153" s="156"/>
      <c r="H153" s="156"/>
    </row>
    <row r="154" spans="1:9" x14ac:dyDescent="0.2">
      <c r="A154" s="42"/>
      <c r="B154" s="174" t="s">
        <v>753</v>
      </c>
      <c r="C154" s="156"/>
      <c r="D154" s="156"/>
      <c r="E154" s="156"/>
      <c r="F154" s="156"/>
      <c r="G154" s="156"/>
      <c r="H154" s="156"/>
      <c r="I154" s="104"/>
    </row>
    <row r="155" spans="1:9" x14ac:dyDescent="0.2">
      <c r="A155" s="42"/>
      <c r="B155" s="42"/>
      <c r="C155" s="42"/>
      <c r="D155" s="44"/>
      <c r="E155" s="44"/>
      <c r="F155" s="44"/>
      <c r="G155" s="44"/>
    </row>
    <row r="156" spans="1:9" x14ac:dyDescent="0.2">
      <c r="A156" s="42"/>
      <c r="B156" s="164" t="s">
        <v>122</v>
      </c>
      <c r="C156" s="165"/>
      <c r="D156" s="166"/>
      <c r="E156" s="45"/>
      <c r="F156" s="44"/>
      <c r="G156" s="44"/>
    </row>
    <row r="157" spans="1:9" ht="27" customHeight="1" x14ac:dyDescent="0.2">
      <c r="A157" s="42"/>
      <c r="B157" s="157" t="s">
        <v>123</v>
      </c>
      <c r="C157" s="158"/>
      <c r="D157" s="110" t="s">
        <v>645</v>
      </c>
      <c r="E157" s="45"/>
      <c r="F157" s="44"/>
      <c r="G157" s="44"/>
    </row>
    <row r="158" spans="1:9" x14ac:dyDescent="0.2">
      <c r="A158" s="42"/>
      <c r="B158" s="157" t="s">
        <v>125</v>
      </c>
      <c r="C158" s="158"/>
      <c r="D158" s="13" t="s">
        <v>124</v>
      </c>
      <c r="E158" s="45"/>
      <c r="F158" s="44"/>
      <c r="G158" s="44"/>
    </row>
    <row r="159" spans="1:9" x14ac:dyDescent="0.2">
      <c r="A159" s="42"/>
      <c r="B159" s="157" t="s">
        <v>126</v>
      </c>
      <c r="C159" s="158"/>
      <c r="D159" s="29" t="s">
        <v>12</v>
      </c>
      <c r="E159" s="45"/>
      <c r="F159" s="44"/>
      <c r="G159" s="44"/>
    </row>
    <row r="160" spans="1:9" x14ac:dyDescent="0.2">
      <c r="A160" s="46"/>
      <c r="B160" s="47" t="s">
        <v>12</v>
      </c>
      <c r="C160" s="47" t="s">
        <v>625</v>
      </c>
      <c r="D160" s="47" t="s">
        <v>127</v>
      </c>
      <c r="E160" s="46"/>
      <c r="F160" s="46"/>
      <c r="G160" s="46"/>
    </row>
    <row r="161" spans="1:15" x14ac:dyDescent="0.2">
      <c r="A161" s="46"/>
      <c r="B161" s="48" t="s">
        <v>128</v>
      </c>
      <c r="C161" s="49">
        <v>45838</v>
      </c>
      <c r="D161" s="49">
        <v>45869</v>
      </c>
      <c r="E161" s="46"/>
      <c r="F161" s="46"/>
      <c r="G161" s="46"/>
    </row>
    <row r="162" spans="1:15" x14ac:dyDescent="0.2">
      <c r="A162" s="50"/>
      <c r="B162" s="23" t="s">
        <v>129</v>
      </c>
      <c r="C162" s="51">
        <v>2330.1052</v>
      </c>
      <c r="D162" s="51">
        <v>2341.5232000000001</v>
      </c>
      <c r="E162" s="50"/>
      <c r="F162" s="52"/>
      <c r="G162" s="53"/>
    </row>
    <row r="163" spans="1:15" ht="25.5" x14ac:dyDescent="0.2">
      <c r="A163" s="50"/>
      <c r="B163" s="23" t="s">
        <v>749</v>
      </c>
      <c r="C163" s="51">
        <v>1030.1125</v>
      </c>
      <c r="D163" s="51">
        <v>1035.1601000000001</v>
      </c>
      <c r="E163" s="50"/>
      <c r="F163" s="52"/>
      <c r="G163" s="53"/>
    </row>
    <row r="164" spans="1:15" x14ac:dyDescent="0.2">
      <c r="A164" s="50"/>
      <c r="B164" s="23" t="s">
        <v>130</v>
      </c>
      <c r="C164" s="51">
        <v>2303.1855</v>
      </c>
      <c r="D164" s="51">
        <v>2314.0978</v>
      </c>
      <c r="E164" s="50"/>
      <c r="F164" s="52"/>
      <c r="G164" s="53"/>
    </row>
    <row r="165" spans="1:15" ht="25.5" x14ac:dyDescent="0.2">
      <c r="A165" s="50"/>
      <c r="B165" s="23" t="s">
        <v>750</v>
      </c>
      <c r="C165" s="51">
        <v>1029.3322000000001</v>
      </c>
      <c r="D165" s="51">
        <v>1034.2092</v>
      </c>
      <c r="E165" s="50"/>
      <c r="F165" s="52"/>
      <c r="G165" s="53"/>
    </row>
    <row r="166" spans="1:15" x14ac:dyDescent="0.2">
      <c r="A166" s="50"/>
      <c r="B166" s="50"/>
      <c r="C166" s="50"/>
      <c r="D166" s="50"/>
      <c r="E166" s="50"/>
      <c r="F166" s="50"/>
      <c r="G166" s="50"/>
    </row>
    <row r="167" spans="1:15" x14ac:dyDescent="0.2">
      <c r="A167" s="50"/>
      <c r="B167" s="159" t="s">
        <v>626</v>
      </c>
      <c r="C167" s="160"/>
      <c r="D167" s="13" t="s">
        <v>124</v>
      </c>
      <c r="E167" s="50"/>
      <c r="F167" s="50"/>
      <c r="G167" s="50"/>
    </row>
    <row r="168" spans="1:15" x14ac:dyDescent="0.2">
      <c r="A168" s="50"/>
      <c r="B168" s="58"/>
      <c r="C168" s="58"/>
      <c r="D168" s="58"/>
      <c r="E168" s="50"/>
      <c r="F168" s="50"/>
      <c r="G168" s="50"/>
    </row>
    <row r="169" spans="1:15" x14ac:dyDescent="0.2">
      <c r="A169" s="46"/>
      <c r="B169" s="157" t="s">
        <v>131</v>
      </c>
      <c r="C169" s="158"/>
      <c r="D169" s="13" t="s">
        <v>124</v>
      </c>
      <c r="E169" s="57"/>
      <c r="F169" s="46"/>
      <c r="G169" s="46"/>
    </row>
    <row r="170" spans="1:15" x14ac:dyDescent="0.2">
      <c r="A170" s="46"/>
      <c r="B170" s="157" t="s">
        <v>132</v>
      </c>
      <c r="C170" s="158"/>
      <c r="D170" s="13" t="s">
        <v>124</v>
      </c>
      <c r="E170" s="57"/>
      <c r="F170" s="46"/>
      <c r="G170" s="46"/>
    </row>
    <row r="171" spans="1:15" x14ac:dyDescent="0.2">
      <c r="A171" s="46"/>
      <c r="B171" s="157" t="s">
        <v>627</v>
      </c>
      <c r="C171" s="158"/>
      <c r="D171" s="13" t="s">
        <v>124</v>
      </c>
      <c r="E171" s="57"/>
      <c r="F171" s="46"/>
      <c r="G171" s="46"/>
    </row>
    <row r="172" spans="1:15" x14ac:dyDescent="0.2">
      <c r="A172" s="58"/>
      <c r="B172" s="58"/>
      <c r="C172" s="58"/>
      <c r="D172" s="58"/>
      <c r="E172" s="58"/>
      <c r="F172" s="58"/>
      <c r="G172" s="58"/>
      <c r="I172" s="104"/>
      <c r="J172" s="11"/>
    </row>
    <row r="173" spans="1:15" s="59" customFormat="1" x14ac:dyDescent="0.2">
      <c r="B173" s="125" t="s">
        <v>743</v>
      </c>
      <c r="C173" s="125"/>
      <c r="D173" s="125"/>
      <c r="E173" s="125"/>
      <c r="F173" s="125"/>
      <c r="G173" s="125"/>
      <c r="I173" s="104"/>
      <c r="J173" s="11"/>
      <c r="K173" s="30"/>
      <c r="L173" s="30"/>
      <c r="M173" s="30"/>
      <c r="N173" s="30"/>
      <c r="O173"/>
    </row>
    <row r="174" spans="1:15" ht="13.5" customHeight="1" x14ac:dyDescent="0.2">
      <c r="B174" s="178" t="s">
        <v>647</v>
      </c>
      <c r="C174" s="178" t="s">
        <v>648</v>
      </c>
      <c r="D174" s="181" t="s">
        <v>658</v>
      </c>
      <c r="E174" s="182"/>
      <c r="F174" s="183"/>
      <c r="G174" s="184" t="s">
        <v>666</v>
      </c>
      <c r="H174" s="185"/>
      <c r="I174" s="186"/>
      <c r="J174" s="30"/>
      <c r="K174" s="30"/>
      <c r="L174" s="30"/>
      <c r="M174" s="30"/>
      <c r="N174" s="30"/>
      <c r="O174" s="30"/>
    </row>
    <row r="175" spans="1:15" ht="46.5" customHeight="1" x14ac:dyDescent="0.2">
      <c r="B175" s="179"/>
      <c r="C175" s="179"/>
      <c r="D175" s="176" t="s">
        <v>667</v>
      </c>
      <c r="E175" s="176" t="s">
        <v>668</v>
      </c>
      <c r="F175" s="176" t="s">
        <v>669</v>
      </c>
      <c r="G175" s="187" t="s">
        <v>683</v>
      </c>
      <c r="H175" s="188"/>
      <c r="I175" s="176" t="s">
        <v>671</v>
      </c>
      <c r="J175" s="30"/>
      <c r="K175" s="30"/>
      <c r="L175" s="30"/>
      <c r="M175" s="30"/>
      <c r="N175" s="30"/>
      <c r="O175" s="30"/>
    </row>
    <row r="176" spans="1:15" ht="21" customHeight="1" x14ac:dyDescent="0.2">
      <c r="B176" s="180"/>
      <c r="C176" s="180"/>
      <c r="D176" s="177"/>
      <c r="E176" s="177"/>
      <c r="F176" s="177"/>
      <c r="G176" s="77" t="s">
        <v>672</v>
      </c>
      <c r="H176" s="77" t="s">
        <v>673</v>
      </c>
      <c r="I176" s="177"/>
      <c r="J176" s="30"/>
      <c r="K176" s="30"/>
      <c r="L176" s="30"/>
      <c r="M176" s="30"/>
      <c r="N176" s="30"/>
      <c r="O176" s="30"/>
    </row>
    <row r="177" spans="2:18" ht="13.5" x14ac:dyDescent="0.25">
      <c r="B177" s="81" t="s">
        <v>674</v>
      </c>
      <c r="C177" s="80" t="s">
        <v>675</v>
      </c>
      <c r="D177" s="143">
        <v>5523.9823999999999</v>
      </c>
      <c r="E177" s="5">
        <v>126.0176</v>
      </c>
      <c r="F177" s="141">
        <f>D177+E177</f>
        <v>5650</v>
      </c>
      <c r="G177" s="3">
        <v>239.15547683099999</v>
      </c>
      <c r="H177" s="3">
        <v>150.66</v>
      </c>
      <c r="I177" s="3">
        <f>G177+H177</f>
        <v>389.81547683099996</v>
      </c>
      <c r="J177" s="30"/>
      <c r="K177" s="30"/>
      <c r="L177" s="30"/>
      <c r="M177" s="30"/>
      <c r="N177" s="30"/>
      <c r="O177" s="30"/>
    </row>
    <row r="178" spans="2:18" ht="6.75" customHeight="1" x14ac:dyDescent="0.25">
      <c r="B178" s="131"/>
      <c r="C178" s="132"/>
      <c r="D178" s="133"/>
      <c r="E178" s="6"/>
      <c r="F178" s="134"/>
      <c r="G178" s="4"/>
      <c r="H178" s="4"/>
      <c r="I178" s="4"/>
      <c r="J178" s="30"/>
      <c r="K178" s="30"/>
      <c r="L178" s="30"/>
      <c r="M178" s="30"/>
      <c r="N178" s="30"/>
      <c r="O178" s="30"/>
    </row>
    <row r="179" spans="2:18" ht="51" customHeight="1" x14ac:dyDescent="0.2">
      <c r="B179" s="173" t="s">
        <v>676</v>
      </c>
      <c r="C179" s="173"/>
      <c r="D179" s="173"/>
      <c r="E179" s="173"/>
      <c r="F179" s="173"/>
      <c r="G179" s="173"/>
      <c r="H179" s="173"/>
      <c r="I179" s="173"/>
      <c r="J179" s="135"/>
      <c r="K179" s="30"/>
      <c r="L179" s="30"/>
      <c r="M179" s="30"/>
      <c r="N179" s="30"/>
      <c r="O179" s="30"/>
    </row>
    <row r="180" spans="2:18" ht="13.5" x14ac:dyDescent="0.25">
      <c r="B180" s="86" t="s">
        <v>677</v>
      </c>
      <c r="I180" s="30"/>
      <c r="J180" s="11"/>
      <c r="K180" s="30"/>
      <c r="L180" s="30"/>
      <c r="M180" s="30"/>
      <c r="N180" s="30"/>
      <c r="O180" s="30"/>
      <c r="P180" s="30"/>
    </row>
    <row r="181" spans="2:18" x14ac:dyDescent="0.2">
      <c r="B181" s="87"/>
      <c r="J181" s="11"/>
      <c r="K181" s="30"/>
      <c r="L181" s="30"/>
      <c r="M181" s="30"/>
      <c r="N181" s="30"/>
      <c r="O181" s="30"/>
    </row>
    <row r="182" spans="2:18" x14ac:dyDescent="0.2">
      <c r="B182" s="87" t="s">
        <v>681</v>
      </c>
      <c r="J182" s="11"/>
      <c r="K182" s="30"/>
      <c r="L182" s="30"/>
      <c r="M182" s="30"/>
      <c r="N182" s="30"/>
      <c r="O182" s="30"/>
    </row>
    <row r="183" spans="2:18" s="59" customFormat="1" x14ac:dyDescent="0.2">
      <c r="I183" s="104"/>
      <c r="J183" s="11"/>
      <c r="K183" s="30"/>
      <c r="L183" s="30"/>
      <c r="M183" s="30"/>
      <c r="N183" s="30"/>
      <c r="O183"/>
      <c r="R183"/>
    </row>
    <row r="184" spans="2:18" s="59" customFormat="1" x14ac:dyDescent="0.2">
      <c r="B184" s="161" t="s">
        <v>628</v>
      </c>
      <c r="C184" s="162"/>
      <c r="D184" s="163"/>
      <c r="I184" s="104"/>
      <c r="J184" s="11"/>
      <c r="K184" s="30"/>
      <c r="L184" s="30"/>
      <c r="M184" s="30"/>
      <c r="N184" s="30"/>
      <c r="O184"/>
      <c r="R184"/>
    </row>
    <row r="185" spans="2:18" s="59" customFormat="1" ht="25.5" x14ac:dyDescent="0.2">
      <c r="B185" s="167" t="s">
        <v>629</v>
      </c>
      <c r="C185" s="167"/>
      <c r="D185" s="60" t="s">
        <v>324</v>
      </c>
      <c r="I185" s="104"/>
      <c r="J185" s="11"/>
      <c r="K185" s="30"/>
      <c r="L185" s="30"/>
      <c r="M185" s="30"/>
      <c r="N185" s="30"/>
      <c r="O185"/>
      <c r="R185"/>
    </row>
    <row r="186" spans="2:18" s="59" customFormat="1" x14ac:dyDescent="0.2">
      <c r="B186" s="153" t="s">
        <v>630</v>
      </c>
      <c r="C186" s="153"/>
      <c r="D186" s="61"/>
      <c r="I186" s="104"/>
      <c r="J186" s="11"/>
      <c r="K186" s="30"/>
      <c r="L186" s="30"/>
      <c r="M186" s="30"/>
      <c r="N186" s="30"/>
      <c r="O186"/>
      <c r="R186"/>
    </row>
    <row r="187" spans="2:18" s="59" customFormat="1" x14ac:dyDescent="0.2">
      <c r="B187" s="153"/>
      <c r="C187" s="153"/>
      <c r="D187" s="62"/>
      <c r="I187" s="104"/>
      <c r="J187" s="11"/>
      <c r="K187" s="30"/>
      <c r="L187" s="30"/>
      <c r="M187" s="30"/>
      <c r="N187" s="30"/>
      <c r="O187"/>
      <c r="R187"/>
    </row>
    <row r="188" spans="2:18" s="59" customFormat="1" x14ac:dyDescent="0.2">
      <c r="B188" s="153" t="s">
        <v>631</v>
      </c>
      <c r="C188" s="153"/>
      <c r="D188" s="63">
        <v>5.8625590061846937</v>
      </c>
      <c r="I188" s="104"/>
      <c r="J188" s="11"/>
      <c r="K188" s="30"/>
      <c r="L188" s="30"/>
      <c r="M188" s="30"/>
      <c r="N188" s="30"/>
      <c r="O188"/>
      <c r="R188"/>
    </row>
    <row r="189" spans="2:18" s="59" customFormat="1" x14ac:dyDescent="0.2">
      <c r="B189" s="153"/>
      <c r="C189" s="153"/>
      <c r="D189" s="62"/>
      <c r="I189" s="104"/>
      <c r="J189" s="11"/>
      <c r="K189" s="30"/>
      <c r="L189" s="30"/>
      <c r="M189" s="30"/>
      <c r="N189" s="30"/>
      <c r="O189"/>
      <c r="R189"/>
    </row>
    <row r="190" spans="2:18" s="59" customFormat="1" x14ac:dyDescent="0.2">
      <c r="B190" s="153" t="s">
        <v>632</v>
      </c>
      <c r="C190" s="153"/>
      <c r="D190" s="63">
        <v>0.11155437966563463</v>
      </c>
      <c r="I190" s="104"/>
      <c r="J190" s="11"/>
      <c r="K190" s="30"/>
      <c r="L190" s="30"/>
      <c r="M190" s="30"/>
      <c r="N190" s="30"/>
      <c r="O190"/>
      <c r="R190"/>
    </row>
    <row r="191" spans="2:18" s="59" customFormat="1" x14ac:dyDescent="0.2">
      <c r="B191" s="153" t="s">
        <v>633</v>
      </c>
      <c r="C191" s="153"/>
      <c r="D191" s="63">
        <v>0.11158340214027068</v>
      </c>
      <c r="I191" s="104"/>
      <c r="J191" s="11"/>
      <c r="K191" s="30"/>
      <c r="L191" s="30"/>
      <c r="M191" s="30"/>
      <c r="N191" s="30"/>
      <c r="O191"/>
      <c r="R191"/>
    </row>
    <row r="192" spans="2:18" s="59" customFormat="1" x14ac:dyDescent="0.2">
      <c r="B192" s="153"/>
      <c r="C192" s="153"/>
      <c r="D192" s="62"/>
      <c r="I192" s="104"/>
      <c r="J192" s="11"/>
      <c r="K192" s="30"/>
      <c r="L192" s="30"/>
      <c r="M192" s="30"/>
      <c r="N192" s="30"/>
      <c r="O192"/>
      <c r="P192"/>
      <c r="Q192"/>
      <c r="R192"/>
    </row>
    <row r="193" spans="2:18" s="59" customFormat="1" x14ac:dyDescent="0.2">
      <c r="B193" s="153" t="s">
        <v>634</v>
      </c>
      <c r="C193" s="153"/>
      <c r="D193" s="64" t="s">
        <v>742</v>
      </c>
      <c r="I193" s="104"/>
      <c r="J193" s="11"/>
      <c r="K193" s="30"/>
      <c r="L193" s="30"/>
      <c r="M193" s="30"/>
      <c r="N193" s="30"/>
      <c r="O193" s="65"/>
    </row>
    <row r="194" spans="2:18" s="59" customFormat="1" x14ac:dyDescent="0.2">
      <c r="B194" s="151" t="s">
        <v>635</v>
      </c>
      <c r="C194" s="154"/>
      <c r="D194" s="152"/>
      <c r="I194" s="104"/>
      <c r="J194" s="11"/>
      <c r="K194" s="30"/>
      <c r="L194" s="30"/>
      <c r="M194" s="30"/>
      <c r="N194" s="30"/>
      <c r="O194"/>
      <c r="P194"/>
      <c r="Q194"/>
      <c r="R194"/>
    </row>
    <row r="195" spans="2:18" x14ac:dyDescent="0.2">
      <c r="I195" s="104"/>
      <c r="J195" s="11"/>
    </row>
    <row r="196" spans="2:18" x14ac:dyDescent="0.2">
      <c r="B196" s="67" t="s">
        <v>636</v>
      </c>
      <c r="I196" s="104"/>
    </row>
    <row r="197" spans="2:18" x14ac:dyDescent="0.2">
      <c r="I197" s="104"/>
    </row>
    <row r="198" spans="2:18" ht="153.75" customHeight="1" x14ac:dyDescent="0.2">
      <c r="I198" s="104"/>
    </row>
    <row r="199" spans="2:18" x14ac:dyDescent="0.2">
      <c r="I199" s="104"/>
    </row>
    <row r="200" spans="2:18" x14ac:dyDescent="0.2">
      <c r="I200" s="104"/>
    </row>
    <row r="201" spans="2:18" x14ac:dyDescent="0.2">
      <c r="B201" s="67" t="s">
        <v>637</v>
      </c>
      <c r="C201" s="68"/>
      <c r="D201" s="67"/>
      <c r="I201" s="104"/>
    </row>
    <row r="202" spans="2:18" x14ac:dyDescent="0.2">
      <c r="B202" s="67" t="s">
        <v>684</v>
      </c>
      <c r="D202" s="67"/>
      <c r="I202" s="104"/>
    </row>
    <row r="203" spans="2:18" ht="165" customHeight="1" x14ac:dyDescent="0.2">
      <c r="I203" s="104"/>
    </row>
    <row r="204" spans="2:18" x14ac:dyDescent="0.2">
      <c r="I204" s="104"/>
    </row>
    <row r="205" spans="2:18" x14ac:dyDescent="0.2">
      <c r="I205" s="104"/>
      <c r="J205" s="11"/>
    </row>
    <row r="209" customFormat="1" x14ac:dyDescent="0.2"/>
    <row r="210" customFormat="1" x14ac:dyDescent="0.2"/>
    <row r="211" customFormat="1" x14ac:dyDescent="0.2"/>
    <row r="212" customFormat="1" x14ac:dyDescent="0.2"/>
    <row r="213" customFormat="1" x14ac:dyDescent="0.2"/>
    <row r="214" customFormat="1" x14ac:dyDescent="0.2"/>
  </sheetData>
  <mergeCells count="36">
    <mergeCell ref="D174:F174"/>
    <mergeCell ref="G174:I174"/>
    <mergeCell ref="D175:D176"/>
    <mergeCell ref="E175:E176"/>
    <mergeCell ref="F175:F176"/>
    <mergeCell ref="G175:H175"/>
    <mergeCell ref="I175:I176"/>
    <mergeCell ref="B169:C169"/>
    <mergeCell ref="B167:C167"/>
    <mergeCell ref="B171:C171"/>
    <mergeCell ref="B170:C170"/>
    <mergeCell ref="B174:B176"/>
    <mergeCell ref="C174:C176"/>
    <mergeCell ref="B156:D156"/>
    <mergeCell ref="B157:C157"/>
    <mergeCell ref="B158:C158"/>
    <mergeCell ref="B159:C159"/>
    <mergeCell ref="B154:H154"/>
    <mergeCell ref="A1:H1"/>
    <mergeCell ref="A2:H2"/>
    <mergeCell ref="B151:H151"/>
    <mergeCell ref="B152:H152"/>
    <mergeCell ref="B153:H153"/>
    <mergeCell ref="A3:H3"/>
    <mergeCell ref="B179:I179"/>
    <mergeCell ref="B184:D184"/>
    <mergeCell ref="B185:C185"/>
    <mergeCell ref="B191:C191"/>
    <mergeCell ref="B192:C192"/>
    <mergeCell ref="B193:C193"/>
    <mergeCell ref="B194:D194"/>
    <mergeCell ref="B186:C186"/>
    <mergeCell ref="B187:C187"/>
    <mergeCell ref="B188:C188"/>
    <mergeCell ref="B189:C189"/>
    <mergeCell ref="B190:C190"/>
  </mergeCells>
  <hyperlinks>
    <hyperlink ref="I1" location="Index!B2" display="Index" xr:uid="{C21A9E6C-81A7-44B7-8B70-E05FB42F736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C0709-99F9-404D-BCAD-4366CFA15F10}">
  <sheetPr>
    <outlinePr summaryBelow="0" summaryRight="0"/>
  </sheetPr>
  <dimension ref="A1:S170"/>
  <sheetViews>
    <sheetView showGridLines="0" topLeftCell="A95" workbookViewId="0">
      <selection activeCell="C112" sqref="C112:C115"/>
    </sheetView>
  </sheetViews>
  <sheetFormatPr defaultRowHeight="12.75" x14ac:dyDescent="0.2"/>
  <cols>
    <col min="1" max="1" width="5.85546875" bestFit="1" customWidth="1"/>
    <col min="2" max="2" width="19.28515625" bestFit="1" customWidth="1"/>
    <col min="3" max="3" width="44.28515625" customWidth="1"/>
    <col min="4" max="4" width="10.7109375" bestFit="1" customWidth="1"/>
    <col min="5" max="5" width="8.7109375" bestFit="1" customWidth="1"/>
    <col min="6" max="6" width="10.140625" bestFit="1" customWidth="1"/>
    <col min="7" max="7" width="14" bestFit="1" customWidth="1"/>
    <col min="8" max="8" width="9.5703125" customWidth="1"/>
  </cols>
  <sheetData>
    <row r="1" spans="1:9" ht="15" x14ac:dyDescent="0.2">
      <c r="A1" s="155" t="s">
        <v>0</v>
      </c>
      <c r="B1" s="155"/>
      <c r="C1" s="155"/>
      <c r="D1" s="155"/>
      <c r="E1" s="155"/>
      <c r="F1" s="155"/>
      <c r="G1" s="155"/>
      <c r="H1" s="155"/>
      <c r="I1" s="1" t="s">
        <v>607</v>
      </c>
    </row>
    <row r="2" spans="1:9" ht="15" x14ac:dyDescent="0.2">
      <c r="A2" s="155" t="s">
        <v>476</v>
      </c>
      <c r="B2" s="155"/>
      <c r="C2" s="155"/>
      <c r="D2" s="155"/>
      <c r="E2" s="155"/>
      <c r="F2" s="155"/>
      <c r="G2" s="155"/>
      <c r="H2" s="155"/>
    </row>
    <row r="3" spans="1:9" ht="15" x14ac:dyDescent="0.2">
      <c r="A3" s="155" t="s">
        <v>756</v>
      </c>
      <c r="B3" s="155"/>
      <c r="C3" s="155"/>
      <c r="D3" s="155"/>
      <c r="E3" s="155"/>
      <c r="F3" s="155"/>
      <c r="G3" s="155"/>
      <c r="H3" s="155"/>
    </row>
    <row r="4" spans="1:9" s="11" customFormat="1" ht="30" x14ac:dyDescent="0.2">
      <c r="A4" s="9" t="s">
        <v>2</v>
      </c>
      <c r="B4" s="9" t="s">
        <v>3</v>
      </c>
      <c r="C4" s="9" t="s">
        <v>4</v>
      </c>
      <c r="D4" s="9" t="s">
        <v>5</v>
      </c>
      <c r="E4" s="9" t="s">
        <v>6</v>
      </c>
      <c r="F4" s="9" t="s">
        <v>7</v>
      </c>
      <c r="G4" s="9" t="s">
        <v>8</v>
      </c>
      <c r="H4" s="10" t="s">
        <v>606</v>
      </c>
    </row>
    <row r="5" spans="1:9" x14ac:dyDescent="0.2">
      <c r="A5" s="12"/>
      <c r="B5" s="12"/>
      <c r="C5" s="13" t="s">
        <v>9</v>
      </c>
      <c r="D5" s="12"/>
      <c r="E5" s="12"/>
      <c r="F5" s="12"/>
      <c r="G5" s="12"/>
      <c r="H5" s="14" t="s">
        <v>12</v>
      </c>
    </row>
    <row r="6" spans="1:9" x14ac:dyDescent="0.2">
      <c r="A6" s="15"/>
      <c r="B6" s="15"/>
      <c r="C6" s="16" t="s">
        <v>10</v>
      </c>
      <c r="D6" s="15"/>
      <c r="E6" s="15"/>
      <c r="F6" s="15"/>
      <c r="G6" s="15"/>
      <c r="H6" s="14" t="s">
        <v>12</v>
      </c>
    </row>
    <row r="7" spans="1:9" x14ac:dyDescent="0.2">
      <c r="A7" s="15"/>
      <c r="B7" s="15"/>
      <c r="C7" s="16" t="s">
        <v>11</v>
      </c>
      <c r="D7" s="15"/>
      <c r="E7" s="15" t="s">
        <v>12</v>
      </c>
      <c r="F7" s="17" t="s">
        <v>13</v>
      </c>
      <c r="G7" s="18">
        <v>0</v>
      </c>
      <c r="H7" s="14" t="s">
        <v>12</v>
      </c>
    </row>
    <row r="8" spans="1:9" x14ac:dyDescent="0.2">
      <c r="A8" s="15"/>
      <c r="B8" s="15"/>
      <c r="C8" s="19"/>
      <c r="D8" s="15"/>
      <c r="E8" s="15"/>
      <c r="F8" s="20"/>
      <c r="G8" s="20"/>
      <c r="H8" s="14" t="s">
        <v>12</v>
      </c>
    </row>
    <row r="9" spans="1:9" x14ac:dyDescent="0.2">
      <c r="A9" s="15"/>
      <c r="B9" s="15"/>
      <c r="C9" s="16" t="s">
        <v>14</v>
      </c>
      <c r="D9" s="15"/>
      <c r="E9" s="15"/>
      <c r="F9" s="15"/>
      <c r="G9" s="15"/>
      <c r="H9" s="14" t="s">
        <v>12</v>
      </c>
    </row>
    <row r="10" spans="1:9" x14ac:dyDescent="0.2">
      <c r="A10" s="15"/>
      <c r="B10" s="15"/>
      <c r="C10" s="16" t="s">
        <v>11</v>
      </c>
      <c r="D10" s="15"/>
      <c r="E10" s="15" t="s">
        <v>12</v>
      </c>
      <c r="F10" s="17" t="s">
        <v>13</v>
      </c>
      <c r="G10" s="18">
        <v>0</v>
      </c>
      <c r="H10" s="14" t="s">
        <v>12</v>
      </c>
    </row>
    <row r="11" spans="1:9" x14ac:dyDescent="0.2">
      <c r="A11" s="15"/>
      <c r="B11" s="15"/>
      <c r="C11" s="19"/>
      <c r="D11" s="15"/>
      <c r="E11" s="15"/>
      <c r="F11" s="20"/>
      <c r="G11" s="20"/>
      <c r="H11" s="14" t="s">
        <v>12</v>
      </c>
    </row>
    <row r="12" spans="1:9" x14ac:dyDescent="0.2">
      <c r="A12" s="15"/>
      <c r="B12" s="15"/>
      <c r="C12" s="16" t="s">
        <v>15</v>
      </c>
      <c r="D12" s="15"/>
      <c r="E12" s="15"/>
      <c r="F12" s="15"/>
      <c r="G12" s="15"/>
      <c r="H12" s="14" t="s">
        <v>12</v>
      </c>
    </row>
    <row r="13" spans="1:9" x14ac:dyDescent="0.2">
      <c r="A13" s="15"/>
      <c r="B13" s="15"/>
      <c r="C13" s="16" t="s">
        <v>11</v>
      </c>
      <c r="D13" s="15"/>
      <c r="E13" s="15" t="s">
        <v>12</v>
      </c>
      <c r="F13" s="17" t="s">
        <v>13</v>
      </c>
      <c r="G13" s="18">
        <v>0</v>
      </c>
      <c r="H13" s="14" t="s">
        <v>12</v>
      </c>
    </row>
    <row r="14" spans="1:9" x14ac:dyDescent="0.2">
      <c r="A14" s="15"/>
      <c r="B14" s="15"/>
      <c r="C14" s="19"/>
      <c r="D14" s="15"/>
      <c r="E14" s="15"/>
      <c r="F14" s="20"/>
      <c r="G14" s="20"/>
      <c r="H14" s="14" t="s">
        <v>12</v>
      </c>
    </row>
    <row r="15" spans="1:9" x14ac:dyDescent="0.2">
      <c r="A15" s="15"/>
      <c r="B15" s="15"/>
      <c r="C15" s="16" t="s">
        <v>16</v>
      </c>
      <c r="D15" s="15"/>
      <c r="E15" s="15"/>
      <c r="F15" s="15"/>
      <c r="G15" s="15"/>
      <c r="H15" s="14" t="s">
        <v>12</v>
      </c>
    </row>
    <row r="16" spans="1:9" x14ac:dyDescent="0.2">
      <c r="A16" s="15"/>
      <c r="B16" s="15"/>
      <c r="C16" s="16" t="s">
        <v>11</v>
      </c>
      <c r="D16" s="15"/>
      <c r="E16" s="15" t="s">
        <v>12</v>
      </c>
      <c r="F16" s="17" t="s">
        <v>13</v>
      </c>
      <c r="G16" s="18">
        <v>0</v>
      </c>
      <c r="H16" s="14" t="s">
        <v>12</v>
      </c>
    </row>
    <row r="17" spans="1:8" x14ac:dyDescent="0.2">
      <c r="A17" s="15"/>
      <c r="B17" s="15"/>
      <c r="C17" s="19"/>
      <c r="D17" s="15"/>
      <c r="E17" s="15"/>
      <c r="F17" s="20"/>
      <c r="G17" s="20"/>
      <c r="H17" s="14" t="s">
        <v>12</v>
      </c>
    </row>
    <row r="18" spans="1:8" x14ac:dyDescent="0.2">
      <c r="A18" s="15"/>
      <c r="B18" s="15"/>
      <c r="C18" s="16" t="s">
        <v>17</v>
      </c>
      <c r="D18" s="15"/>
      <c r="E18" s="15"/>
      <c r="F18" s="20"/>
      <c r="G18" s="20"/>
      <c r="H18" s="14" t="s">
        <v>12</v>
      </c>
    </row>
    <row r="19" spans="1:8" x14ac:dyDescent="0.2">
      <c r="A19" s="15"/>
      <c r="B19" s="15"/>
      <c r="C19" s="16" t="s">
        <v>11</v>
      </c>
      <c r="D19" s="15"/>
      <c r="E19" s="15" t="s">
        <v>12</v>
      </c>
      <c r="F19" s="17" t="s">
        <v>13</v>
      </c>
      <c r="G19" s="18">
        <v>0</v>
      </c>
      <c r="H19" s="14" t="s">
        <v>12</v>
      </c>
    </row>
    <row r="20" spans="1:8" x14ac:dyDescent="0.2">
      <c r="A20" s="15"/>
      <c r="B20" s="15"/>
      <c r="C20" s="19"/>
      <c r="D20" s="15"/>
      <c r="E20" s="15"/>
      <c r="F20" s="20"/>
      <c r="G20" s="20"/>
      <c r="H20" s="14" t="s">
        <v>12</v>
      </c>
    </row>
    <row r="21" spans="1:8" x14ac:dyDescent="0.2">
      <c r="A21" s="15"/>
      <c r="B21" s="15"/>
      <c r="C21" s="16" t="s">
        <v>18</v>
      </c>
      <c r="D21" s="15"/>
      <c r="E21" s="15"/>
      <c r="F21" s="20"/>
      <c r="G21" s="20"/>
      <c r="H21" s="14" t="s">
        <v>12</v>
      </c>
    </row>
    <row r="22" spans="1:8" x14ac:dyDescent="0.2">
      <c r="A22" s="15"/>
      <c r="B22" s="15"/>
      <c r="C22" s="16" t="s">
        <v>11</v>
      </c>
      <c r="D22" s="15"/>
      <c r="E22" s="15" t="s">
        <v>12</v>
      </c>
      <c r="F22" s="17" t="s">
        <v>13</v>
      </c>
      <c r="G22" s="18">
        <v>0</v>
      </c>
      <c r="H22" s="14" t="s">
        <v>12</v>
      </c>
    </row>
    <row r="23" spans="1:8" x14ac:dyDescent="0.2">
      <c r="A23" s="15"/>
      <c r="B23" s="15"/>
      <c r="C23" s="19"/>
      <c r="D23" s="15"/>
      <c r="E23" s="15"/>
      <c r="F23" s="20"/>
      <c r="G23" s="20"/>
      <c r="H23" s="14" t="s">
        <v>12</v>
      </c>
    </row>
    <row r="24" spans="1:8" x14ac:dyDescent="0.2">
      <c r="A24" s="15"/>
      <c r="B24" s="15"/>
      <c r="C24" s="16" t="s">
        <v>19</v>
      </c>
      <c r="D24" s="15"/>
      <c r="E24" s="15"/>
      <c r="F24" s="21">
        <v>0</v>
      </c>
      <c r="G24" s="18">
        <v>0</v>
      </c>
      <c r="H24" s="14" t="s">
        <v>12</v>
      </c>
    </row>
    <row r="25" spans="1:8" x14ac:dyDescent="0.2">
      <c r="A25" s="15"/>
      <c r="B25" s="15"/>
      <c r="C25" s="19"/>
      <c r="D25" s="15"/>
      <c r="E25" s="15"/>
      <c r="F25" s="20"/>
      <c r="G25" s="20"/>
      <c r="H25" s="14" t="s">
        <v>12</v>
      </c>
    </row>
    <row r="26" spans="1:8" x14ac:dyDescent="0.2">
      <c r="A26" s="15"/>
      <c r="B26" s="15"/>
      <c r="C26" s="16" t="s">
        <v>20</v>
      </c>
      <c r="D26" s="15"/>
      <c r="E26" s="15"/>
      <c r="F26" s="20"/>
      <c r="G26" s="20"/>
      <c r="H26" s="14" t="s">
        <v>12</v>
      </c>
    </row>
    <row r="27" spans="1:8" x14ac:dyDescent="0.2">
      <c r="A27" s="15"/>
      <c r="B27" s="15"/>
      <c r="C27" s="16" t="s">
        <v>10</v>
      </c>
      <c r="D27" s="15"/>
      <c r="E27" s="15"/>
      <c r="F27" s="20"/>
      <c r="G27" s="20"/>
      <c r="H27" s="14" t="s">
        <v>12</v>
      </c>
    </row>
    <row r="28" spans="1:8" x14ac:dyDescent="0.2">
      <c r="A28" s="22">
        <v>1</v>
      </c>
      <c r="B28" s="23" t="s">
        <v>289</v>
      </c>
      <c r="C28" s="23" t="s">
        <v>290</v>
      </c>
      <c r="D28" s="23" t="s">
        <v>23</v>
      </c>
      <c r="E28" s="24">
        <v>1100</v>
      </c>
      <c r="F28" s="25">
        <v>1106.4625000000001</v>
      </c>
      <c r="G28" s="26">
        <v>5.1352450000000001E-2</v>
      </c>
      <c r="H28" s="14">
        <v>6.75</v>
      </c>
    </row>
    <row r="29" spans="1:8" ht="25.5" x14ac:dyDescent="0.2">
      <c r="A29" s="22">
        <v>2</v>
      </c>
      <c r="B29" s="23" t="s">
        <v>35</v>
      </c>
      <c r="C29" s="23" t="s">
        <v>36</v>
      </c>
      <c r="D29" s="23" t="s">
        <v>23</v>
      </c>
      <c r="E29" s="24">
        <v>1000</v>
      </c>
      <c r="F29" s="25">
        <v>1027.056</v>
      </c>
      <c r="G29" s="26">
        <v>4.7667090000000002E-2</v>
      </c>
      <c r="H29" s="14">
        <v>6.77</v>
      </c>
    </row>
    <row r="30" spans="1:8" x14ac:dyDescent="0.2">
      <c r="A30" s="22">
        <v>3</v>
      </c>
      <c r="B30" s="23" t="s">
        <v>477</v>
      </c>
      <c r="C30" s="23" t="s">
        <v>478</v>
      </c>
      <c r="D30" s="23" t="s">
        <v>26</v>
      </c>
      <c r="E30" s="24">
        <v>1000</v>
      </c>
      <c r="F30" s="25">
        <v>1025.7</v>
      </c>
      <c r="G30" s="26">
        <v>4.7604149999999998E-2</v>
      </c>
      <c r="H30" s="14">
        <v>6.68</v>
      </c>
    </row>
    <row r="31" spans="1:8" x14ac:dyDescent="0.2">
      <c r="A31" s="22">
        <v>4</v>
      </c>
      <c r="B31" s="23" t="s">
        <v>146</v>
      </c>
      <c r="C31" s="23" t="s">
        <v>147</v>
      </c>
      <c r="D31" s="23" t="s">
        <v>26</v>
      </c>
      <c r="E31" s="24">
        <v>1000</v>
      </c>
      <c r="F31" s="25">
        <v>1022.1950000000001</v>
      </c>
      <c r="G31" s="26">
        <v>4.7441480000000001E-2</v>
      </c>
      <c r="H31" s="14">
        <v>6.5049999999999999</v>
      </c>
    </row>
    <row r="32" spans="1:8" x14ac:dyDescent="0.2">
      <c r="A32" s="22">
        <v>5</v>
      </c>
      <c r="B32" s="23" t="s">
        <v>291</v>
      </c>
      <c r="C32" s="23" t="s">
        <v>292</v>
      </c>
      <c r="D32" s="23" t="s">
        <v>293</v>
      </c>
      <c r="E32" s="24">
        <v>1000</v>
      </c>
      <c r="F32" s="25">
        <v>1016.577</v>
      </c>
      <c r="G32" s="26">
        <v>4.7180739999999999E-2</v>
      </c>
      <c r="H32" s="14">
        <v>7.2255000000000003</v>
      </c>
    </row>
    <row r="33" spans="1:8" ht="25.5" x14ac:dyDescent="0.2">
      <c r="A33" s="22">
        <v>6</v>
      </c>
      <c r="B33" s="23" t="s">
        <v>479</v>
      </c>
      <c r="C33" s="23" t="s">
        <v>480</v>
      </c>
      <c r="D33" s="23" t="s">
        <v>296</v>
      </c>
      <c r="E33" s="24">
        <v>500</v>
      </c>
      <c r="F33" s="25">
        <v>514.17949999999996</v>
      </c>
      <c r="G33" s="26">
        <v>2.3863780000000001E-2</v>
      </c>
      <c r="H33" s="14">
        <v>7.61</v>
      </c>
    </row>
    <row r="34" spans="1:8" x14ac:dyDescent="0.2">
      <c r="A34" s="22">
        <v>7</v>
      </c>
      <c r="B34" s="23" t="s">
        <v>69</v>
      </c>
      <c r="C34" s="23" t="s">
        <v>70</v>
      </c>
      <c r="D34" s="23" t="s">
        <v>23</v>
      </c>
      <c r="E34" s="24">
        <v>50</v>
      </c>
      <c r="F34" s="25">
        <v>512.25</v>
      </c>
      <c r="G34" s="26">
        <v>2.377423E-2</v>
      </c>
      <c r="H34" s="14">
        <v>6.82</v>
      </c>
    </row>
    <row r="35" spans="1:8" x14ac:dyDescent="0.2">
      <c r="A35" s="22">
        <v>8</v>
      </c>
      <c r="B35" s="23" t="s">
        <v>140</v>
      </c>
      <c r="C35" s="23" t="s">
        <v>141</v>
      </c>
      <c r="D35" s="23" t="s">
        <v>23</v>
      </c>
      <c r="E35" s="24">
        <v>500</v>
      </c>
      <c r="F35" s="25">
        <v>509.8175</v>
      </c>
      <c r="G35" s="26">
        <v>2.3661330000000001E-2</v>
      </c>
      <c r="H35" s="14">
        <v>6.48</v>
      </c>
    </row>
    <row r="36" spans="1:8" ht="25.5" x14ac:dyDescent="0.2">
      <c r="A36" s="22">
        <v>9</v>
      </c>
      <c r="B36" s="23" t="s">
        <v>156</v>
      </c>
      <c r="C36" s="23" t="s">
        <v>157</v>
      </c>
      <c r="D36" s="23" t="s">
        <v>26</v>
      </c>
      <c r="E36" s="24">
        <v>500</v>
      </c>
      <c r="F36" s="25">
        <v>508.8725</v>
      </c>
      <c r="G36" s="26">
        <v>2.361748E-2</v>
      </c>
      <c r="H36" s="14">
        <v>6.57</v>
      </c>
    </row>
    <row r="37" spans="1:8" x14ac:dyDescent="0.2">
      <c r="A37" s="22">
        <v>10</v>
      </c>
      <c r="B37" s="23" t="s">
        <v>310</v>
      </c>
      <c r="C37" s="23" t="s">
        <v>311</v>
      </c>
      <c r="D37" s="23" t="s">
        <v>296</v>
      </c>
      <c r="E37" s="24">
        <v>500</v>
      </c>
      <c r="F37" s="25">
        <v>508.1105</v>
      </c>
      <c r="G37" s="26">
        <v>2.358211E-2</v>
      </c>
      <c r="H37" s="14">
        <v>7.8731</v>
      </c>
    </row>
    <row r="38" spans="1:8" x14ac:dyDescent="0.2">
      <c r="A38" s="22">
        <v>11</v>
      </c>
      <c r="B38" s="23" t="s">
        <v>281</v>
      </c>
      <c r="C38" s="23" t="s">
        <v>282</v>
      </c>
      <c r="D38" s="23" t="s">
        <v>283</v>
      </c>
      <c r="E38" s="24">
        <v>500</v>
      </c>
      <c r="F38" s="25">
        <v>506.221</v>
      </c>
      <c r="G38" s="26">
        <v>2.3494419999999998E-2</v>
      </c>
      <c r="H38" s="14">
        <v>7.43</v>
      </c>
    </row>
    <row r="39" spans="1:8" x14ac:dyDescent="0.2">
      <c r="A39" s="22">
        <v>12</v>
      </c>
      <c r="B39" s="23" t="s">
        <v>304</v>
      </c>
      <c r="C39" s="23" t="s">
        <v>305</v>
      </c>
      <c r="D39" s="23" t="s">
        <v>26</v>
      </c>
      <c r="E39" s="24">
        <v>500</v>
      </c>
      <c r="F39" s="25">
        <v>505.93549999999999</v>
      </c>
      <c r="G39" s="26">
        <v>2.3481169999999999E-2</v>
      </c>
      <c r="H39" s="14">
        <v>7.1624999999999996</v>
      </c>
    </row>
    <row r="40" spans="1:8" ht="25.5" x14ac:dyDescent="0.2">
      <c r="A40" s="22">
        <v>13</v>
      </c>
      <c r="B40" s="23" t="s">
        <v>297</v>
      </c>
      <c r="C40" s="23" t="s">
        <v>298</v>
      </c>
      <c r="D40" s="23" t="s">
        <v>26</v>
      </c>
      <c r="E40" s="24">
        <v>50</v>
      </c>
      <c r="F40" s="25">
        <v>505.30500000000001</v>
      </c>
      <c r="G40" s="26">
        <v>2.3451900000000001E-2</v>
      </c>
      <c r="H40" s="14">
        <v>6.42</v>
      </c>
    </row>
    <row r="41" spans="1:8" x14ac:dyDescent="0.2">
      <c r="A41" s="22">
        <v>14</v>
      </c>
      <c r="B41" s="23" t="s">
        <v>481</v>
      </c>
      <c r="C41" s="23" t="s">
        <v>482</v>
      </c>
      <c r="D41" s="23" t="s">
        <v>26</v>
      </c>
      <c r="E41" s="24">
        <v>500</v>
      </c>
      <c r="F41" s="25">
        <v>505.00150000000002</v>
      </c>
      <c r="G41" s="26">
        <v>2.3437820000000002E-2</v>
      </c>
      <c r="H41" s="14">
        <v>6.4413</v>
      </c>
    </row>
    <row r="42" spans="1:8" x14ac:dyDescent="0.2">
      <c r="A42" s="22">
        <v>15</v>
      </c>
      <c r="B42" s="23" t="s">
        <v>287</v>
      </c>
      <c r="C42" s="23" t="s">
        <v>288</v>
      </c>
      <c r="D42" s="23" t="s">
        <v>26</v>
      </c>
      <c r="E42" s="24">
        <v>500</v>
      </c>
      <c r="F42" s="25">
        <v>504.72899999999998</v>
      </c>
      <c r="G42" s="26">
        <v>2.3425169999999999E-2</v>
      </c>
      <c r="H42" s="14">
        <v>6.42</v>
      </c>
    </row>
    <row r="43" spans="1:8" ht="25.5" x14ac:dyDescent="0.2">
      <c r="A43" s="22">
        <v>16</v>
      </c>
      <c r="B43" s="23" t="s">
        <v>73</v>
      </c>
      <c r="C43" s="23" t="s">
        <v>74</v>
      </c>
      <c r="D43" s="23" t="s">
        <v>23</v>
      </c>
      <c r="E43" s="24">
        <v>500</v>
      </c>
      <c r="F43" s="25">
        <v>504.5215</v>
      </c>
      <c r="G43" s="26">
        <v>2.3415539999999999E-2</v>
      </c>
      <c r="H43" s="14">
        <v>6.52</v>
      </c>
    </row>
    <row r="44" spans="1:8" x14ac:dyDescent="0.2">
      <c r="A44" s="22">
        <v>17</v>
      </c>
      <c r="B44" s="23" t="s">
        <v>483</v>
      </c>
      <c r="C44" s="23" t="s">
        <v>484</v>
      </c>
      <c r="D44" s="23" t="s">
        <v>283</v>
      </c>
      <c r="E44" s="24">
        <v>500</v>
      </c>
      <c r="F44" s="25">
        <v>504.14100000000002</v>
      </c>
      <c r="G44" s="26">
        <v>2.3397879999999999E-2</v>
      </c>
      <c r="H44" s="14">
        <v>7.8425000000000002</v>
      </c>
    </row>
    <row r="45" spans="1:8" ht="25.5" x14ac:dyDescent="0.2">
      <c r="A45" s="22">
        <v>18</v>
      </c>
      <c r="B45" s="23" t="s">
        <v>485</v>
      </c>
      <c r="C45" s="23" t="s">
        <v>486</v>
      </c>
      <c r="D45" s="23" t="s">
        <v>26</v>
      </c>
      <c r="E45" s="24">
        <v>50</v>
      </c>
      <c r="F45" s="25">
        <v>503.04149999999998</v>
      </c>
      <c r="G45" s="26">
        <v>2.3346849999999999E-2</v>
      </c>
      <c r="H45" s="14">
        <v>6.46</v>
      </c>
    </row>
    <row r="46" spans="1:8" x14ac:dyDescent="0.2">
      <c r="A46" s="22">
        <v>19</v>
      </c>
      <c r="B46" s="23" t="s">
        <v>487</v>
      </c>
      <c r="C46" s="23" t="s">
        <v>488</v>
      </c>
      <c r="D46" s="23" t="s">
        <v>23</v>
      </c>
      <c r="E46" s="24">
        <v>50</v>
      </c>
      <c r="F46" s="25">
        <v>497.5985</v>
      </c>
      <c r="G46" s="26">
        <v>2.309423E-2</v>
      </c>
      <c r="H46" s="14">
        <v>6.625</v>
      </c>
    </row>
    <row r="47" spans="1:8" x14ac:dyDescent="0.2">
      <c r="A47" s="22">
        <v>20</v>
      </c>
      <c r="B47" s="23" t="s">
        <v>284</v>
      </c>
      <c r="C47" s="23" t="s">
        <v>285</v>
      </c>
      <c r="D47" s="23" t="s">
        <v>286</v>
      </c>
      <c r="E47" s="24">
        <v>300</v>
      </c>
      <c r="F47" s="25">
        <v>303.52530000000002</v>
      </c>
      <c r="G47" s="26">
        <v>1.408703E-2</v>
      </c>
      <c r="H47" s="14">
        <v>6.9</v>
      </c>
    </row>
    <row r="48" spans="1:8" x14ac:dyDescent="0.2">
      <c r="A48" s="15"/>
      <c r="B48" s="15"/>
      <c r="C48" s="16" t="s">
        <v>11</v>
      </c>
      <c r="D48" s="15"/>
      <c r="E48" s="15" t="s">
        <v>12</v>
      </c>
      <c r="F48" s="21">
        <v>12591.240299999999</v>
      </c>
      <c r="G48" s="18">
        <v>0.58437684999999995</v>
      </c>
      <c r="H48" s="14" t="s">
        <v>12</v>
      </c>
    </row>
    <row r="49" spans="1:8" x14ac:dyDescent="0.2">
      <c r="A49" s="15"/>
      <c r="B49" s="15"/>
      <c r="C49" s="19"/>
      <c r="D49" s="15"/>
      <c r="E49" s="15"/>
      <c r="F49" s="20"/>
      <c r="G49" s="20"/>
      <c r="H49" s="14" t="s">
        <v>12</v>
      </c>
    </row>
    <row r="50" spans="1:8" x14ac:dyDescent="0.2">
      <c r="A50" s="15"/>
      <c r="B50" s="15"/>
      <c r="C50" s="16" t="s">
        <v>79</v>
      </c>
      <c r="D50" s="15"/>
      <c r="E50" s="15"/>
      <c r="F50" s="15"/>
      <c r="G50" s="15"/>
      <c r="H50" s="14" t="s">
        <v>12</v>
      </c>
    </row>
    <row r="51" spans="1:8" x14ac:dyDescent="0.2">
      <c r="A51" s="15"/>
      <c r="B51" s="15"/>
      <c r="C51" s="16" t="s">
        <v>11</v>
      </c>
      <c r="D51" s="15"/>
      <c r="E51" s="15" t="s">
        <v>12</v>
      </c>
      <c r="F51" s="17" t="s">
        <v>13</v>
      </c>
      <c r="G51" s="18">
        <v>0</v>
      </c>
      <c r="H51" s="14" t="s">
        <v>12</v>
      </c>
    </row>
    <row r="52" spans="1:8" x14ac:dyDescent="0.2">
      <c r="A52" s="15"/>
      <c r="B52" s="15"/>
      <c r="C52" s="19"/>
      <c r="D52" s="15"/>
      <c r="E52" s="15"/>
      <c r="F52" s="20"/>
      <c r="G52" s="20"/>
      <c r="H52" s="14" t="s">
        <v>12</v>
      </c>
    </row>
    <row r="53" spans="1:8" x14ac:dyDescent="0.2">
      <c r="A53" s="15"/>
      <c r="B53" s="15"/>
      <c r="C53" s="16" t="s">
        <v>80</v>
      </c>
      <c r="D53" s="15"/>
      <c r="E53" s="15"/>
      <c r="F53" s="15"/>
      <c r="G53" s="15"/>
      <c r="H53" s="14" t="s">
        <v>12</v>
      </c>
    </row>
    <row r="54" spans="1:8" x14ac:dyDescent="0.2">
      <c r="A54" s="22">
        <v>1</v>
      </c>
      <c r="B54" s="23" t="s">
        <v>489</v>
      </c>
      <c r="C54" s="23" t="s">
        <v>490</v>
      </c>
      <c r="D54" s="23" t="s">
        <v>83</v>
      </c>
      <c r="E54" s="24">
        <v>2500000</v>
      </c>
      <c r="F54" s="25">
        <v>2605.63</v>
      </c>
      <c r="G54" s="26">
        <v>0.12093089</v>
      </c>
      <c r="H54" s="14">
        <v>6.5590999999999999</v>
      </c>
    </row>
    <row r="55" spans="1:8" x14ac:dyDescent="0.2">
      <c r="A55" s="22">
        <v>2</v>
      </c>
      <c r="B55" s="23" t="s">
        <v>94</v>
      </c>
      <c r="C55" s="23" t="s">
        <v>95</v>
      </c>
      <c r="D55" s="23" t="s">
        <v>83</v>
      </c>
      <c r="E55" s="24">
        <v>1500000</v>
      </c>
      <c r="F55" s="25">
        <v>1564.0005000000001</v>
      </c>
      <c r="G55" s="26">
        <v>7.258742E-2</v>
      </c>
      <c r="H55" s="14">
        <v>5.9813999999999998</v>
      </c>
    </row>
    <row r="56" spans="1:8" x14ac:dyDescent="0.2">
      <c r="A56" s="22">
        <v>3</v>
      </c>
      <c r="B56" s="23" t="s">
        <v>312</v>
      </c>
      <c r="C56" s="23" t="s">
        <v>313</v>
      </c>
      <c r="D56" s="23" t="s">
        <v>83</v>
      </c>
      <c r="E56" s="24">
        <v>700000</v>
      </c>
      <c r="F56" s="25">
        <v>720.58069999999998</v>
      </c>
      <c r="G56" s="26">
        <v>3.3443149999999998E-2</v>
      </c>
      <c r="H56" s="14">
        <v>5.79</v>
      </c>
    </row>
    <row r="57" spans="1:8" x14ac:dyDescent="0.2">
      <c r="A57" s="22">
        <v>4</v>
      </c>
      <c r="B57" s="23" t="s">
        <v>86</v>
      </c>
      <c r="C57" s="23" t="s">
        <v>87</v>
      </c>
      <c r="D57" s="23" t="s">
        <v>83</v>
      </c>
      <c r="E57" s="24">
        <v>500000</v>
      </c>
      <c r="F57" s="25">
        <v>526.87549999999999</v>
      </c>
      <c r="G57" s="26">
        <v>2.4453019999999999E-2</v>
      </c>
      <c r="H57" s="14">
        <v>6.2046000000000001</v>
      </c>
    </row>
    <row r="58" spans="1:8" x14ac:dyDescent="0.2">
      <c r="A58" s="22">
        <v>5</v>
      </c>
      <c r="B58" s="23" t="s">
        <v>92</v>
      </c>
      <c r="C58" s="23" t="s">
        <v>93</v>
      </c>
      <c r="D58" s="23" t="s">
        <v>83</v>
      </c>
      <c r="E58" s="24">
        <v>500000</v>
      </c>
      <c r="F58" s="25">
        <v>522.00099999999998</v>
      </c>
      <c r="G58" s="26">
        <v>2.4226790000000002E-2</v>
      </c>
      <c r="H58" s="14">
        <v>6.7516999999999996</v>
      </c>
    </row>
    <row r="59" spans="1:8" ht="25.5" x14ac:dyDescent="0.2">
      <c r="A59" s="22">
        <v>6</v>
      </c>
      <c r="B59" s="23" t="s">
        <v>491</v>
      </c>
      <c r="C59" s="23" t="s">
        <v>492</v>
      </c>
      <c r="D59" s="23" t="s">
        <v>83</v>
      </c>
      <c r="E59" s="24">
        <v>500000</v>
      </c>
      <c r="F59" s="25">
        <v>518.44050000000004</v>
      </c>
      <c r="G59" s="26">
        <v>2.4061539999999999E-2</v>
      </c>
      <c r="H59" s="14">
        <v>6.9827000000000004</v>
      </c>
    </row>
    <row r="60" spans="1:8" x14ac:dyDescent="0.2">
      <c r="A60" s="22">
        <v>7</v>
      </c>
      <c r="B60" s="23" t="s">
        <v>162</v>
      </c>
      <c r="C60" s="23" t="s">
        <v>163</v>
      </c>
      <c r="D60" s="23" t="s">
        <v>83</v>
      </c>
      <c r="E60" s="24">
        <v>500000</v>
      </c>
      <c r="F60" s="25">
        <v>517.75049999999999</v>
      </c>
      <c r="G60" s="26">
        <v>2.4029519999999999E-2</v>
      </c>
      <c r="H60" s="14">
        <v>6.0773999999999999</v>
      </c>
    </row>
    <row r="61" spans="1:8" x14ac:dyDescent="0.2">
      <c r="A61" s="15"/>
      <c r="B61" s="15"/>
      <c r="C61" s="16" t="s">
        <v>11</v>
      </c>
      <c r="D61" s="15"/>
      <c r="E61" s="15" t="s">
        <v>12</v>
      </c>
      <c r="F61" s="21">
        <v>6975.2786999999998</v>
      </c>
      <c r="G61" s="18">
        <v>0.32373233000000001</v>
      </c>
      <c r="H61" s="14" t="s">
        <v>12</v>
      </c>
    </row>
    <row r="62" spans="1:8" x14ac:dyDescent="0.2">
      <c r="A62" s="15"/>
      <c r="B62" s="15"/>
      <c r="C62" s="19"/>
      <c r="D62" s="15"/>
      <c r="E62" s="15"/>
      <c r="F62" s="20"/>
      <c r="G62" s="20"/>
      <c r="H62" s="14" t="s">
        <v>12</v>
      </c>
    </row>
    <row r="63" spans="1:8" x14ac:dyDescent="0.2">
      <c r="A63" s="15"/>
      <c r="B63" s="15"/>
      <c r="C63" s="16" t="s">
        <v>98</v>
      </c>
      <c r="D63" s="15"/>
      <c r="E63" s="15"/>
      <c r="F63" s="20"/>
      <c r="G63" s="20"/>
      <c r="H63" s="14" t="s">
        <v>12</v>
      </c>
    </row>
    <row r="64" spans="1:8" x14ac:dyDescent="0.2">
      <c r="A64" s="15"/>
      <c r="B64" s="15"/>
      <c r="C64" s="16" t="s">
        <v>11</v>
      </c>
      <c r="D64" s="15"/>
      <c r="E64" s="15" t="s">
        <v>12</v>
      </c>
      <c r="F64" s="17" t="s">
        <v>13</v>
      </c>
      <c r="G64" s="18">
        <v>0</v>
      </c>
      <c r="H64" s="14" t="s">
        <v>12</v>
      </c>
    </row>
    <row r="65" spans="1:8" x14ac:dyDescent="0.2">
      <c r="A65" s="15"/>
      <c r="B65" s="15"/>
      <c r="C65" s="19"/>
      <c r="D65" s="15"/>
      <c r="E65" s="15"/>
      <c r="F65" s="20"/>
      <c r="G65" s="20"/>
      <c r="H65" s="14" t="s">
        <v>12</v>
      </c>
    </row>
    <row r="66" spans="1:8" x14ac:dyDescent="0.2">
      <c r="A66" s="15"/>
      <c r="B66" s="15"/>
      <c r="C66" s="16" t="s">
        <v>99</v>
      </c>
      <c r="D66" s="15"/>
      <c r="E66" s="15"/>
      <c r="F66" s="21">
        <v>19566.519</v>
      </c>
      <c r="G66" s="18">
        <v>0.90810917999999996</v>
      </c>
      <c r="H66" s="14" t="s">
        <v>12</v>
      </c>
    </row>
    <row r="67" spans="1:8" x14ac:dyDescent="0.2">
      <c r="A67" s="15"/>
      <c r="B67" s="15"/>
      <c r="C67" s="19"/>
      <c r="D67" s="15"/>
      <c r="E67" s="15"/>
      <c r="F67" s="20"/>
      <c r="G67" s="20"/>
      <c r="H67" s="14" t="s">
        <v>12</v>
      </c>
    </row>
    <row r="68" spans="1:8" x14ac:dyDescent="0.2">
      <c r="A68" s="15"/>
      <c r="B68" s="15"/>
      <c r="C68" s="16" t="s">
        <v>100</v>
      </c>
      <c r="D68" s="15"/>
      <c r="E68" s="15"/>
      <c r="F68" s="20"/>
      <c r="G68" s="20"/>
      <c r="H68" s="14" t="s">
        <v>12</v>
      </c>
    </row>
    <row r="69" spans="1:8" x14ac:dyDescent="0.2">
      <c r="A69" s="15"/>
      <c r="B69" s="15"/>
      <c r="C69" s="16" t="s">
        <v>101</v>
      </c>
      <c r="D69" s="15"/>
      <c r="E69" s="15"/>
      <c r="F69" s="20"/>
      <c r="G69" s="20"/>
      <c r="H69" s="14" t="s">
        <v>12</v>
      </c>
    </row>
    <row r="70" spans="1:8" x14ac:dyDescent="0.2">
      <c r="A70" s="15"/>
      <c r="B70" s="15"/>
      <c r="C70" s="16" t="s">
        <v>11</v>
      </c>
      <c r="D70" s="15"/>
      <c r="E70" s="15" t="s">
        <v>12</v>
      </c>
      <c r="F70" s="17" t="s">
        <v>13</v>
      </c>
      <c r="G70" s="18">
        <v>0</v>
      </c>
      <c r="H70" s="14" t="s">
        <v>12</v>
      </c>
    </row>
    <row r="71" spans="1:8" x14ac:dyDescent="0.2">
      <c r="A71" s="15"/>
      <c r="B71" s="15"/>
      <c r="C71" s="19"/>
      <c r="D71" s="15"/>
      <c r="E71" s="15"/>
      <c r="F71" s="20"/>
      <c r="G71" s="20"/>
      <c r="H71" s="14" t="s">
        <v>12</v>
      </c>
    </row>
    <row r="72" spans="1:8" x14ac:dyDescent="0.2">
      <c r="A72" s="15"/>
      <c r="B72" s="15"/>
      <c r="C72" s="16" t="s">
        <v>108</v>
      </c>
      <c r="D72" s="15"/>
      <c r="E72" s="15"/>
      <c r="F72" s="20"/>
      <c r="G72" s="20"/>
      <c r="H72" s="14" t="s">
        <v>12</v>
      </c>
    </row>
    <row r="73" spans="1:8" x14ac:dyDescent="0.2">
      <c r="A73" s="15"/>
      <c r="B73" s="15"/>
      <c r="C73" s="16" t="s">
        <v>11</v>
      </c>
      <c r="D73" s="15"/>
      <c r="E73" s="15" t="s">
        <v>12</v>
      </c>
      <c r="F73" s="17" t="s">
        <v>13</v>
      </c>
      <c r="G73" s="18">
        <v>0</v>
      </c>
      <c r="H73" s="14" t="s">
        <v>12</v>
      </c>
    </row>
    <row r="74" spans="1:8" x14ac:dyDescent="0.2">
      <c r="A74" s="15"/>
      <c r="B74" s="15"/>
      <c r="C74" s="19"/>
      <c r="D74" s="15"/>
      <c r="E74" s="15"/>
      <c r="F74" s="20"/>
      <c r="G74" s="20"/>
      <c r="H74" s="14" t="s">
        <v>12</v>
      </c>
    </row>
    <row r="75" spans="1:8" x14ac:dyDescent="0.2">
      <c r="A75" s="15"/>
      <c r="B75" s="15"/>
      <c r="C75" s="16" t="s">
        <v>109</v>
      </c>
      <c r="D75" s="15"/>
      <c r="E75" s="15"/>
      <c r="F75" s="20"/>
      <c r="G75" s="20"/>
      <c r="H75" s="14" t="s">
        <v>12</v>
      </c>
    </row>
    <row r="76" spans="1:8" x14ac:dyDescent="0.2">
      <c r="A76" s="15"/>
      <c r="B76" s="15"/>
      <c r="C76" s="16" t="s">
        <v>11</v>
      </c>
      <c r="D76" s="15"/>
      <c r="E76" s="15" t="s">
        <v>12</v>
      </c>
      <c r="F76" s="17" t="s">
        <v>13</v>
      </c>
      <c r="G76" s="18">
        <v>0</v>
      </c>
      <c r="H76" s="14" t="s">
        <v>12</v>
      </c>
    </row>
    <row r="77" spans="1:8" x14ac:dyDescent="0.2">
      <c r="A77" s="15"/>
      <c r="B77" s="15"/>
      <c r="C77" s="19"/>
      <c r="D77" s="15"/>
      <c r="E77" s="15"/>
      <c r="F77" s="20"/>
      <c r="G77" s="20"/>
      <c r="H77" s="14" t="s">
        <v>12</v>
      </c>
    </row>
    <row r="78" spans="1:8" x14ac:dyDescent="0.2">
      <c r="A78" s="15"/>
      <c r="B78" s="15"/>
      <c r="C78" s="16" t="s">
        <v>110</v>
      </c>
      <c r="D78" s="15"/>
      <c r="E78" s="15"/>
      <c r="F78" s="20"/>
      <c r="G78" s="20"/>
      <c r="H78" s="14" t="s">
        <v>12</v>
      </c>
    </row>
    <row r="79" spans="1:8" x14ac:dyDescent="0.2">
      <c r="A79" s="22">
        <v>1</v>
      </c>
      <c r="B79" s="23"/>
      <c r="C79" s="23" t="s">
        <v>111</v>
      </c>
      <c r="D79" s="23"/>
      <c r="E79" s="27"/>
      <c r="F79" s="25">
        <v>1453.9010979940001</v>
      </c>
      <c r="G79" s="26">
        <v>6.7477560000000006E-2</v>
      </c>
      <c r="H79" s="14">
        <v>5.41</v>
      </c>
    </row>
    <row r="80" spans="1:8" x14ac:dyDescent="0.2">
      <c r="A80" s="15"/>
      <c r="B80" s="15"/>
      <c r="C80" s="16" t="s">
        <v>11</v>
      </c>
      <c r="D80" s="15"/>
      <c r="E80" s="15" t="s">
        <v>12</v>
      </c>
      <c r="F80" s="21">
        <v>1453.9010979940001</v>
      </c>
      <c r="G80" s="18">
        <v>6.7477560000000006E-2</v>
      </c>
      <c r="H80" s="14" t="s">
        <v>12</v>
      </c>
    </row>
    <row r="81" spans="1:17" x14ac:dyDescent="0.2">
      <c r="A81" s="15"/>
      <c r="B81" s="15"/>
      <c r="C81" s="19"/>
      <c r="D81" s="15"/>
      <c r="E81" s="15"/>
      <c r="F81" s="20"/>
      <c r="G81" s="20"/>
      <c r="H81" s="14" t="s">
        <v>12</v>
      </c>
    </row>
    <row r="82" spans="1:17" x14ac:dyDescent="0.2">
      <c r="A82" s="15"/>
      <c r="B82" s="15"/>
      <c r="C82" s="16" t="s">
        <v>112</v>
      </c>
      <c r="D82" s="15"/>
      <c r="E82" s="15"/>
      <c r="F82" s="21">
        <v>1453.9010979940001</v>
      </c>
      <c r="G82" s="18">
        <v>6.7477560000000006E-2</v>
      </c>
      <c r="H82" s="14" t="s">
        <v>12</v>
      </c>
    </row>
    <row r="83" spans="1:17" x14ac:dyDescent="0.2">
      <c r="A83" s="15"/>
      <c r="B83" s="15"/>
      <c r="C83" s="20"/>
      <c r="D83" s="15"/>
      <c r="E83" s="15"/>
      <c r="F83" s="15"/>
      <c r="G83" s="15"/>
      <c r="H83" s="14" t="s">
        <v>12</v>
      </c>
    </row>
    <row r="84" spans="1:17" x14ac:dyDescent="0.2">
      <c r="A84" s="15"/>
      <c r="B84" s="15"/>
      <c r="C84" s="16" t="s">
        <v>113</v>
      </c>
      <c r="D84" s="15"/>
      <c r="E84" s="15"/>
      <c r="F84" s="15"/>
      <c r="G84" s="15"/>
      <c r="H84" s="14" t="s">
        <v>12</v>
      </c>
    </row>
    <row r="85" spans="1:17" x14ac:dyDescent="0.2">
      <c r="A85" s="15"/>
      <c r="B85" s="15"/>
      <c r="C85" s="16" t="s">
        <v>114</v>
      </c>
      <c r="D85" s="15"/>
      <c r="E85" s="15"/>
      <c r="F85" s="15"/>
      <c r="G85" s="15"/>
      <c r="H85" s="14" t="s">
        <v>12</v>
      </c>
    </row>
    <row r="86" spans="1:17" x14ac:dyDescent="0.2">
      <c r="A86" s="15"/>
      <c r="B86" s="15"/>
      <c r="C86" s="16" t="s">
        <v>11</v>
      </c>
      <c r="D86" s="15"/>
      <c r="E86" s="15" t="s">
        <v>12</v>
      </c>
      <c r="F86" s="17" t="s">
        <v>13</v>
      </c>
      <c r="G86" s="18">
        <v>0</v>
      </c>
      <c r="H86" s="14" t="s">
        <v>12</v>
      </c>
    </row>
    <row r="87" spans="1:17" x14ac:dyDescent="0.2">
      <c r="A87" s="12"/>
      <c r="B87" s="12"/>
      <c r="C87" s="28"/>
      <c r="D87" s="12"/>
      <c r="E87" s="12"/>
      <c r="F87" s="29"/>
      <c r="G87" s="29"/>
      <c r="H87" s="14" t="s">
        <v>12</v>
      </c>
    </row>
    <row r="88" spans="1:17" x14ac:dyDescent="0.2">
      <c r="A88" s="12"/>
      <c r="B88" s="12"/>
      <c r="C88" s="13" t="s">
        <v>608</v>
      </c>
      <c r="D88" s="12"/>
      <c r="E88" s="12"/>
      <c r="F88" s="29"/>
      <c r="G88" s="29"/>
      <c r="H88" s="14" t="s">
        <v>12</v>
      </c>
      <c r="K88" s="30"/>
      <c r="L88" s="30"/>
      <c r="M88" s="30"/>
      <c r="N88" s="30"/>
      <c r="O88" s="31"/>
      <c r="P88" s="31"/>
      <c r="Q88" s="31"/>
    </row>
    <row r="89" spans="1:17" x14ac:dyDescent="0.2">
      <c r="A89" s="32">
        <v>1</v>
      </c>
      <c r="B89" s="33" t="s">
        <v>115</v>
      </c>
      <c r="C89" s="33" t="s">
        <v>116</v>
      </c>
      <c r="D89" s="33"/>
      <c r="E89" s="34">
        <v>543.85400000000004</v>
      </c>
      <c r="F89" s="35">
        <v>61.399966892999998</v>
      </c>
      <c r="G89" s="36">
        <v>2.84966E-3</v>
      </c>
      <c r="H89" s="14"/>
    </row>
    <row r="90" spans="1:17" x14ac:dyDescent="0.2">
      <c r="A90" s="12"/>
      <c r="B90" s="12"/>
      <c r="C90" s="13" t="s">
        <v>11</v>
      </c>
      <c r="D90" s="12"/>
      <c r="E90" s="12" t="s">
        <v>12</v>
      </c>
      <c r="F90" s="37">
        <f>SUM(F89)</f>
        <v>61.399966892999998</v>
      </c>
      <c r="G90" s="38">
        <f>SUM(G89)</f>
        <v>2.84966E-3</v>
      </c>
      <c r="H90" s="14" t="s">
        <v>12</v>
      </c>
    </row>
    <row r="91" spans="1:17" x14ac:dyDescent="0.2">
      <c r="A91" s="15"/>
      <c r="B91" s="15"/>
      <c r="C91" s="19"/>
      <c r="D91" s="15"/>
      <c r="E91" s="15"/>
      <c r="F91" s="20"/>
      <c r="G91" s="20"/>
      <c r="H91" s="14" t="s">
        <v>12</v>
      </c>
    </row>
    <row r="92" spans="1:17" x14ac:dyDescent="0.2">
      <c r="A92" s="15"/>
      <c r="B92" s="15"/>
      <c r="C92" s="16" t="s">
        <v>117</v>
      </c>
      <c r="D92" s="15"/>
      <c r="E92" s="15"/>
      <c r="F92" s="15"/>
      <c r="G92" s="15"/>
      <c r="H92" s="14" t="s">
        <v>12</v>
      </c>
    </row>
    <row r="93" spans="1:17" x14ac:dyDescent="0.2">
      <c r="A93" s="15"/>
      <c r="B93" s="15"/>
      <c r="C93" s="16" t="s">
        <v>118</v>
      </c>
      <c r="D93" s="15"/>
      <c r="E93" s="15"/>
      <c r="F93" s="15"/>
      <c r="G93" s="15"/>
      <c r="H93" s="14" t="s">
        <v>12</v>
      </c>
    </row>
    <row r="94" spans="1:17" x14ac:dyDescent="0.2">
      <c r="A94" s="15"/>
      <c r="B94" s="15"/>
      <c r="C94" s="16" t="s">
        <v>11</v>
      </c>
      <c r="D94" s="15"/>
      <c r="E94" s="15" t="s">
        <v>12</v>
      </c>
      <c r="F94" s="17" t="s">
        <v>13</v>
      </c>
      <c r="G94" s="18">
        <v>0</v>
      </c>
      <c r="H94" s="14" t="s">
        <v>12</v>
      </c>
    </row>
    <row r="95" spans="1:17" x14ac:dyDescent="0.2">
      <c r="A95" s="15"/>
      <c r="B95" s="15"/>
      <c r="C95" s="19"/>
      <c r="D95" s="15"/>
      <c r="E95" s="15"/>
      <c r="F95" s="20"/>
      <c r="G95" s="20"/>
      <c r="H95" s="14" t="s">
        <v>12</v>
      </c>
    </row>
    <row r="96" spans="1:17" x14ac:dyDescent="0.2">
      <c r="A96" s="15"/>
      <c r="B96" s="15"/>
      <c r="C96" s="16" t="s">
        <v>119</v>
      </c>
      <c r="D96" s="15"/>
      <c r="E96" s="15"/>
      <c r="F96" s="20"/>
      <c r="G96" s="20"/>
      <c r="H96" s="14" t="s">
        <v>12</v>
      </c>
    </row>
    <row r="97" spans="1:8" x14ac:dyDescent="0.2">
      <c r="A97" s="15"/>
      <c r="B97" s="15"/>
      <c r="C97" s="16" t="s">
        <v>11</v>
      </c>
      <c r="D97" s="15"/>
      <c r="E97" s="15" t="s">
        <v>12</v>
      </c>
      <c r="F97" s="17" t="s">
        <v>13</v>
      </c>
      <c r="G97" s="18">
        <v>0</v>
      </c>
      <c r="H97" s="14" t="s">
        <v>12</v>
      </c>
    </row>
    <row r="98" spans="1:8" x14ac:dyDescent="0.2">
      <c r="A98" s="15"/>
      <c r="B98" s="15"/>
      <c r="C98" s="19"/>
      <c r="D98" s="15"/>
      <c r="E98" s="15"/>
      <c r="F98" s="20"/>
      <c r="G98" s="20"/>
      <c r="H98" s="14" t="s">
        <v>12</v>
      </c>
    </row>
    <row r="99" spans="1:8" x14ac:dyDescent="0.2">
      <c r="A99" s="27"/>
      <c r="B99" s="23"/>
      <c r="C99" s="23" t="s">
        <v>120</v>
      </c>
      <c r="D99" s="23"/>
      <c r="E99" s="27"/>
      <c r="F99" s="25">
        <f>464.6193615-0.00230619699954987</f>
        <v>464.61705530300048</v>
      </c>
      <c r="G99" s="26">
        <v>2.156363E-2</v>
      </c>
      <c r="H99" s="14" t="s">
        <v>12</v>
      </c>
    </row>
    <row r="100" spans="1:8" x14ac:dyDescent="0.2">
      <c r="A100" s="19"/>
      <c r="B100" s="19"/>
      <c r="C100" s="16" t="s">
        <v>121</v>
      </c>
      <c r="D100" s="20"/>
      <c r="E100" s="20"/>
      <c r="F100" s="21">
        <f>21546.439426387-0.00230619699954987</f>
        <v>21546.437120190003</v>
      </c>
      <c r="G100" s="39">
        <v>1.00000003</v>
      </c>
      <c r="H100" s="14" t="s">
        <v>12</v>
      </c>
    </row>
    <row r="101" spans="1:8" x14ac:dyDescent="0.2">
      <c r="A101" s="40"/>
      <c r="B101" s="40"/>
      <c r="C101" s="40"/>
      <c r="D101" s="41"/>
      <c r="E101" s="41"/>
      <c r="F101" s="41"/>
      <c r="G101" s="41"/>
    </row>
    <row r="102" spans="1:8" x14ac:dyDescent="0.2">
      <c r="A102" s="42"/>
      <c r="B102" s="156" t="s">
        <v>622</v>
      </c>
      <c r="C102" s="156"/>
      <c r="D102" s="156"/>
      <c r="E102" s="156"/>
      <c r="F102" s="156"/>
      <c r="G102" s="156"/>
      <c r="H102" s="156"/>
    </row>
    <row r="103" spans="1:8" x14ac:dyDescent="0.2">
      <c r="A103" s="42"/>
      <c r="B103" s="156" t="s">
        <v>623</v>
      </c>
      <c r="C103" s="156"/>
      <c r="D103" s="156"/>
      <c r="E103" s="156"/>
      <c r="F103" s="156"/>
      <c r="G103" s="156"/>
      <c r="H103" s="156"/>
    </row>
    <row r="104" spans="1:8" x14ac:dyDescent="0.2">
      <c r="A104" s="42"/>
      <c r="B104" s="156" t="s">
        <v>624</v>
      </c>
      <c r="C104" s="156"/>
      <c r="D104" s="156"/>
      <c r="E104" s="156"/>
      <c r="F104" s="156"/>
      <c r="G104" s="156"/>
      <c r="H104" s="156"/>
    </row>
    <row r="105" spans="1:8" x14ac:dyDescent="0.2">
      <c r="A105" s="42"/>
      <c r="B105" s="42"/>
      <c r="C105" s="42"/>
      <c r="D105" s="44"/>
      <c r="E105" s="44"/>
      <c r="F105" s="44"/>
      <c r="G105" s="44"/>
    </row>
    <row r="106" spans="1:8" x14ac:dyDescent="0.2">
      <c r="A106" s="42"/>
      <c r="B106" s="164" t="s">
        <v>122</v>
      </c>
      <c r="C106" s="165"/>
      <c r="D106" s="166"/>
      <c r="E106" s="45"/>
      <c r="F106" s="44"/>
      <c r="G106" s="44"/>
    </row>
    <row r="107" spans="1:8" ht="27" customHeight="1" x14ac:dyDescent="0.2">
      <c r="A107" s="42"/>
      <c r="B107" s="157" t="s">
        <v>123</v>
      </c>
      <c r="C107" s="158"/>
      <c r="D107" s="110" t="s">
        <v>645</v>
      </c>
      <c r="E107" s="45"/>
      <c r="F107" s="44"/>
      <c r="G107" s="44"/>
    </row>
    <row r="108" spans="1:8" x14ac:dyDescent="0.2">
      <c r="A108" s="42"/>
      <c r="B108" s="157" t="s">
        <v>125</v>
      </c>
      <c r="C108" s="158"/>
      <c r="D108" s="13" t="s">
        <v>124</v>
      </c>
      <c r="E108" s="45"/>
      <c r="F108" s="44"/>
      <c r="G108" s="44"/>
    </row>
    <row r="109" spans="1:8" x14ac:dyDescent="0.2">
      <c r="A109" s="42"/>
      <c r="B109" s="157" t="s">
        <v>126</v>
      </c>
      <c r="C109" s="158"/>
      <c r="D109" s="29" t="s">
        <v>12</v>
      </c>
      <c r="E109" s="45"/>
      <c r="F109" s="44"/>
      <c r="G109" s="44"/>
    </row>
    <row r="110" spans="1:8" x14ac:dyDescent="0.2">
      <c r="A110" s="46"/>
      <c r="B110" s="47" t="s">
        <v>12</v>
      </c>
      <c r="C110" s="47" t="s">
        <v>625</v>
      </c>
      <c r="D110" s="47" t="s">
        <v>127</v>
      </c>
      <c r="E110" s="46"/>
      <c r="F110" s="46"/>
      <c r="G110" s="46"/>
    </row>
    <row r="111" spans="1:8" x14ac:dyDescent="0.2">
      <c r="A111" s="46"/>
      <c r="B111" s="48" t="s">
        <v>128</v>
      </c>
      <c r="C111" s="49">
        <v>45838</v>
      </c>
      <c r="D111" s="49">
        <v>45869</v>
      </c>
      <c r="E111" s="46"/>
      <c r="F111" s="46"/>
      <c r="G111" s="46"/>
    </row>
    <row r="112" spans="1:8" x14ac:dyDescent="0.2">
      <c r="A112" s="50"/>
      <c r="B112" s="23" t="s">
        <v>129</v>
      </c>
      <c r="C112" s="51">
        <v>48.070799999999998</v>
      </c>
      <c r="D112" s="51">
        <v>48.344499999999996</v>
      </c>
      <c r="E112" s="50"/>
      <c r="F112" s="52"/>
      <c r="G112" s="53"/>
    </row>
    <row r="113" spans="1:19" ht="25.5" x14ac:dyDescent="0.2">
      <c r="A113" s="50"/>
      <c r="B113" s="23" t="s">
        <v>749</v>
      </c>
      <c r="C113" s="51">
        <v>13.0945</v>
      </c>
      <c r="D113" s="51">
        <v>13.1691</v>
      </c>
      <c r="E113" s="50"/>
      <c r="F113" s="52"/>
      <c r="G113" s="53"/>
    </row>
    <row r="114" spans="1:19" x14ac:dyDescent="0.2">
      <c r="A114" s="50"/>
      <c r="B114" s="23" t="s">
        <v>130</v>
      </c>
      <c r="C114" s="51">
        <v>44.4193</v>
      </c>
      <c r="D114" s="51">
        <v>44.649799999999999</v>
      </c>
      <c r="E114" s="50"/>
      <c r="F114" s="52"/>
      <c r="G114" s="53"/>
    </row>
    <row r="115" spans="1:19" ht="25.5" x14ac:dyDescent="0.2">
      <c r="A115" s="50"/>
      <c r="B115" s="23" t="s">
        <v>750</v>
      </c>
      <c r="C115" s="51">
        <v>13.026899999999999</v>
      </c>
      <c r="D115" s="51">
        <v>13.0945</v>
      </c>
      <c r="E115" s="50"/>
      <c r="F115" s="52"/>
      <c r="G115" s="53"/>
    </row>
    <row r="116" spans="1:19" x14ac:dyDescent="0.2">
      <c r="A116" s="50"/>
      <c r="B116" s="50"/>
      <c r="C116" s="50"/>
      <c r="D116" s="50"/>
      <c r="E116" s="50"/>
      <c r="F116" s="50"/>
      <c r="G116" s="50"/>
    </row>
    <row r="117" spans="1:19" x14ac:dyDescent="0.2">
      <c r="A117" s="50"/>
      <c r="B117" s="159" t="s">
        <v>626</v>
      </c>
      <c r="C117" s="160"/>
      <c r="D117" s="16" t="s">
        <v>124</v>
      </c>
      <c r="E117" s="50"/>
      <c r="F117" s="50"/>
      <c r="G117" s="50"/>
    </row>
    <row r="118" spans="1:19" x14ac:dyDescent="0.2">
      <c r="A118" s="50"/>
      <c r="B118" s="58"/>
      <c r="C118" s="58"/>
      <c r="D118" s="58"/>
      <c r="E118" s="50"/>
      <c r="F118" s="50"/>
      <c r="G118" s="50"/>
    </row>
    <row r="119" spans="1:19" x14ac:dyDescent="0.2">
      <c r="A119" s="46"/>
      <c r="B119" s="157" t="s">
        <v>131</v>
      </c>
      <c r="C119" s="158"/>
      <c r="D119" s="13" t="s">
        <v>124</v>
      </c>
      <c r="E119" s="57"/>
      <c r="F119" s="46"/>
      <c r="G119" s="46"/>
    </row>
    <row r="120" spans="1:19" x14ac:dyDescent="0.2">
      <c r="A120" s="46"/>
      <c r="B120" s="157" t="s">
        <v>132</v>
      </c>
      <c r="C120" s="158"/>
      <c r="D120" s="13" t="s">
        <v>124</v>
      </c>
      <c r="E120" s="57"/>
      <c r="F120" s="46"/>
      <c r="G120" s="46"/>
    </row>
    <row r="121" spans="1:19" x14ac:dyDescent="0.2">
      <c r="A121" s="46"/>
      <c r="B121" s="157" t="s">
        <v>627</v>
      </c>
      <c r="C121" s="158"/>
      <c r="D121" s="13" t="s">
        <v>124</v>
      </c>
      <c r="E121" s="57"/>
      <c r="F121" s="46"/>
      <c r="G121" s="46"/>
    </row>
    <row r="122" spans="1:19" x14ac:dyDescent="0.2">
      <c r="A122" s="58"/>
      <c r="B122" s="58"/>
      <c r="C122" s="58"/>
      <c r="D122" s="58"/>
      <c r="E122" s="58"/>
      <c r="F122" s="58"/>
      <c r="G122" s="58"/>
      <c r="J122" s="11"/>
    </row>
    <row r="123" spans="1:19" s="59" customFormat="1" x14ac:dyDescent="0.2">
      <c r="B123" s="161" t="s">
        <v>628</v>
      </c>
      <c r="C123" s="162"/>
      <c r="D123" s="163"/>
      <c r="I123"/>
      <c r="J123" s="11"/>
      <c r="K123"/>
      <c r="L123" s="30"/>
      <c r="M123" s="30"/>
      <c r="N123" s="30"/>
      <c r="O123" s="65"/>
      <c r="R123"/>
      <c r="S123"/>
    </row>
    <row r="124" spans="1:19" s="59" customFormat="1" ht="51" x14ac:dyDescent="0.2">
      <c r="B124" s="167" t="s">
        <v>629</v>
      </c>
      <c r="C124" s="167"/>
      <c r="D124" s="60" t="s">
        <v>476</v>
      </c>
      <c r="I124"/>
      <c r="J124" s="11"/>
      <c r="K124"/>
      <c r="L124" s="30"/>
      <c r="M124" s="30"/>
      <c r="N124" s="30"/>
      <c r="O124" s="65"/>
      <c r="R124"/>
      <c r="S124"/>
    </row>
    <row r="125" spans="1:19" s="59" customFormat="1" x14ac:dyDescent="0.2">
      <c r="B125" s="153" t="s">
        <v>630</v>
      </c>
      <c r="C125" s="153"/>
      <c r="D125" s="61"/>
      <c r="I125"/>
      <c r="J125" s="11"/>
      <c r="K125"/>
      <c r="L125" s="30"/>
      <c r="M125" s="30"/>
      <c r="N125" s="30"/>
      <c r="O125" s="65"/>
      <c r="R125"/>
      <c r="S125"/>
    </row>
    <row r="126" spans="1:19" s="59" customFormat="1" x14ac:dyDescent="0.2">
      <c r="B126" s="153"/>
      <c r="C126" s="153"/>
      <c r="D126" s="62"/>
      <c r="I126"/>
      <c r="J126" s="11"/>
      <c r="K126"/>
      <c r="L126" s="30"/>
      <c r="M126" s="30"/>
      <c r="N126" s="30"/>
      <c r="O126" s="65"/>
      <c r="R126"/>
      <c r="S126"/>
    </row>
    <row r="127" spans="1:19" s="59" customFormat="1" x14ac:dyDescent="0.2">
      <c r="B127" s="153" t="s">
        <v>631</v>
      </c>
      <c r="C127" s="153"/>
      <c r="D127" s="63">
        <v>6.5879704977481834</v>
      </c>
      <c r="I127"/>
      <c r="J127" s="11"/>
      <c r="K127"/>
      <c r="L127" s="30"/>
      <c r="M127" s="30"/>
      <c r="N127" s="30"/>
      <c r="O127" s="65"/>
    </row>
    <row r="128" spans="1:19" s="59" customFormat="1" x14ac:dyDescent="0.2">
      <c r="B128" s="153"/>
      <c r="C128" s="153"/>
      <c r="D128" s="62"/>
      <c r="I128"/>
      <c r="J128" s="11"/>
      <c r="K128"/>
      <c r="L128" s="30"/>
      <c r="M128" s="30"/>
      <c r="N128" s="30"/>
      <c r="O128" s="65"/>
    </row>
    <row r="129" spans="2:15" s="59" customFormat="1" x14ac:dyDescent="0.2">
      <c r="B129" s="153" t="s">
        <v>632</v>
      </c>
      <c r="C129" s="153"/>
      <c r="D129" s="63">
        <v>2.6822708140951037</v>
      </c>
      <c r="I129"/>
      <c r="J129" s="11"/>
      <c r="K129"/>
      <c r="L129" s="30"/>
      <c r="M129" s="30"/>
      <c r="N129" s="30"/>
      <c r="O129" s="65"/>
    </row>
    <row r="130" spans="2:15" s="59" customFormat="1" x14ac:dyDescent="0.2">
      <c r="B130" s="153" t="s">
        <v>646</v>
      </c>
      <c r="C130" s="153"/>
      <c r="D130" s="63">
        <v>3.2380195547979689</v>
      </c>
      <c r="I130"/>
      <c r="J130" s="11"/>
      <c r="K130"/>
      <c r="L130" s="30"/>
      <c r="M130" s="30"/>
      <c r="N130" s="30"/>
      <c r="O130" s="65"/>
    </row>
    <row r="131" spans="2:15" s="59" customFormat="1" x14ac:dyDescent="0.2">
      <c r="B131" s="153"/>
      <c r="C131" s="153"/>
      <c r="D131" s="62"/>
      <c r="I131"/>
      <c r="J131" s="11"/>
      <c r="K131"/>
      <c r="L131" s="30"/>
      <c r="M131" s="30"/>
      <c r="N131" s="30"/>
      <c r="O131" s="65"/>
    </row>
    <row r="132" spans="2:15" s="59" customFormat="1" x14ac:dyDescent="0.2">
      <c r="B132" s="153" t="s">
        <v>634</v>
      </c>
      <c r="C132" s="153"/>
      <c r="D132" s="64" t="s">
        <v>742</v>
      </c>
      <c r="I132"/>
      <c r="J132" s="11"/>
      <c r="K132" s="30"/>
      <c r="L132" s="30"/>
      <c r="M132" s="30"/>
      <c r="N132" s="30"/>
      <c r="O132" s="65"/>
    </row>
    <row r="133" spans="2:15" s="59" customFormat="1" x14ac:dyDescent="0.2">
      <c r="B133" s="151" t="s">
        <v>635</v>
      </c>
      <c r="C133" s="154"/>
      <c r="D133" s="152"/>
      <c r="I133"/>
      <c r="J133" s="11"/>
      <c r="K133"/>
      <c r="L133" s="30"/>
      <c r="M133" s="30"/>
      <c r="N133" s="30"/>
      <c r="O133" s="65"/>
    </row>
    <row r="134" spans="2:15" x14ac:dyDescent="0.2">
      <c r="J134" s="11"/>
    </row>
    <row r="135" spans="2:15" ht="13.5" x14ac:dyDescent="0.2">
      <c r="B135" s="200" t="s">
        <v>743</v>
      </c>
      <c r="C135" s="200"/>
      <c r="D135" s="200"/>
      <c r="E135" s="200"/>
      <c r="F135" s="200"/>
      <c r="G135" s="200"/>
      <c r="H135" s="200"/>
    </row>
    <row r="136" spans="2:15" ht="13.5" x14ac:dyDescent="0.2">
      <c r="B136" s="139"/>
      <c r="C136" s="139"/>
      <c r="D136" s="139"/>
      <c r="E136" s="139"/>
      <c r="F136" s="139"/>
      <c r="G136" s="139"/>
      <c r="H136" s="139"/>
      <c r="J136" s="30"/>
      <c r="K136" s="30"/>
      <c r="L136" s="30"/>
      <c r="M136" s="30"/>
      <c r="N136" s="30"/>
      <c r="O136" s="30"/>
    </row>
    <row r="137" spans="2:15" ht="13.5" x14ac:dyDescent="0.25">
      <c r="B137" s="82" t="s">
        <v>647</v>
      </c>
      <c r="C137" s="82" t="s">
        <v>648</v>
      </c>
      <c r="D137" s="201" t="s">
        <v>649</v>
      </c>
      <c r="E137" s="202"/>
      <c r="F137" s="203"/>
      <c r="G137" s="204" t="s">
        <v>650</v>
      </c>
      <c r="H137" s="205"/>
      <c r="J137" s="30"/>
      <c r="K137" s="30"/>
      <c r="L137" s="30"/>
      <c r="M137" s="30"/>
      <c r="N137" s="30"/>
      <c r="O137" s="30"/>
    </row>
    <row r="138" spans="2:15" ht="27" x14ac:dyDescent="0.25">
      <c r="B138" s="81" t="s">
        <v>655</v>
      </c>
      <c r="C138" s="80" t="s">
        <v>685</v>
      </c>
      <c r="D138" s="197">
        <v>0</v>
      </c>
      <c r="E138" s="198"/>
      <c r="F138" s="199"/>
      <c r="G138" s="197">
        <v>0</v>
      </c>
      <c r="H138" s="199"/>
      <c r="J138" s="30"/>
      <c r="K138" s="30"/>
      <c r="L138" s="30"/>
      <c r="M138" s="30"/>
      <c r="N138" s="30"/>
      <c r="O138" s="30"/>
    </row>
    <row r="139" spans="2:15" ht="27" x14ac:dyDescent="0.25">
      <c r="B139" s="81" t="s">
        <v>651</v>
      </c>
      <c r="C139" s="80" t="s">
        <v>686</v>
      </c>
      <c r="D139" s="197">
        <v>0</v>
      </c>
      <c r="E139" s="198"/>
      <c r="F139" s="199"/>
      <c r="G139" s="197">
        <v>0</v>
      </c>
      <c r="H139" s="199"/>
      <c r="J139" s="30"/>
      <c r="K139" s="30"/>
      <c r="L139" s="30"/>
      <c r="M139" s="30"/>
      <c r="N139" s="30"/>
      <c r="O139" s="30"/>
    </row>
    <row r="140" spans="2:15" ht="27" x14ac:dyDescent="0.25">
      <c r="B140" s="81" t="s">
        <v>687</v>
      </c>
      <c r="C140" s="80" t="s">
        <v>688</v>
      </c>
      <c r="D140" s="197">
        <v>0</v>
      </c>
      <c r="E140" s="198"/>
      <c r="F140" s="199"/>
      <c r="G140" s="197">
        <v>0</v>
      </c>
      <c r="H140" s="199"/>
      <c r="J140" s="30"/>
      <c r="K140" s="30"/>
      <c r="L140" s="30"/>
      <c r="M140" s="30"/>
      <c r="N140" s="30"/>
      <c r="O140" s="30"/>
    </row>
    <row r="141" spans="2:15" ht="27" x14ac:dyDescent="0.25">
      <c r="B141" s="81" t="s">
        <v>653</v>
      </c>
      <c r="C141" s="80" t="s">
        <v>689</v>
      </c>
      <c r="D141" s="192">
        <v>0</v>
      </c>
      <c r="E141" s="192"/>
      <c r="F141" s="192"/>
      <c r="G141" s="192">
        <v>0</v>
      </c>
      <c r="H141" s="192"/>
      <c r="J141" s="30"/>
      <c r="K141" s="30"/>
      <c r="L141" s="30"/>
      <c r="M141" s="30"/>
      <c r="N141" s="30"/>
      <c r="O141" s="30"/>
    </row>
    <row r="142" spans="2:15" ht="13.5" x14ac:dyDescent="0.25">
      <c r="B142" s="131"/>
      <c r="C142" s="131"/>
      <c r="D142" s="195"/>
      <c r="E142" s="195"/>
      <c r="F142" s="195"/>
      <c r="G142" s="195"/>
      <c r="H142" s="195"/>
      <c r="J142" s="30"/>
      <c r="K142" s="30"/>
      <c r="L142" s="30"/>
      <c r="M142" s="30"/>
      <c r="N142" s="30"/>
      <c r="O142" s="30"/>
    </row>
    <row r="143" spans="2:15" ht="13.5" x14ac:dyDescent="0.25">
      <c r="B143" s="196" t="s">
        <v>657</v>
      </c>
      <c r="C143" s="196"/>
      <c r="D143" s="196"/>
      <c r="E143" s="196"/>
      <c r="F143" s="196"/>
      <c r="G143" s="196"/>
      <c r="H143" s="196"/>
      <c r="J143" s="30"/>
      <c r="K143" s="30"/>
      <c r="L143" s="30"/>
      <c r="M143" s="30"/>
      <c r="N143" s="30"/>
      <c r="O143" s="30"/>
    </row>
    <row r="144" spans="2:15" ht="13.5" x14ac:dyDescent="0.2">
      <c r="B144" s="191" t="s">
        <v>647</v>
      </c>
      <c r="C144" s="191" t="s">
        <v>648</v>
      </c>
      <c r="D144" s="191" t="s">
        <v>690</v>
      </c>
      <c r="E144" s="191"/>
      <c r="F144" s="191"/>
      <c r="G144" s="191"/>
      <c r="H144" s="175" t="s">
        <v>691</v>
      </c>
      <c r="I144" s="175" t="s">
        <v>692</v>
      </c>
      <c r="J144" s="175" t="s">
        <v>693</v>
      </c>
      <c r="K144" s="30"/>
      <c r="L144" s="30"/>
      <c r="M144" s="30"/>
      <c r="N144" s="30"/>
      <c r="O144" s="30"/>
    </row>
    <row r="145" spans="2:15" ht="121.5" x14ac:dyDescent="0.2">
      <c r="B145" s="191"/>
      <c r="C145" s="191"/>
      <c r="D145" s="77" t="s">
        <v>694</v>
      </c>
      <c r="E145" s="77" t="s">
        <v>695</v>
      </c>
      <c r="F145" s="77" t="s">
        <v>696</v>
      </c>
      <c r="G145" s="77" t="s">
        <v>697</v>
      </c>
      <c r="H145" s="175"/>
      <c r="I145" s="175"/>
      <c r="J145" s="175"/>
      <c r="K145" s="30"/>
      <c r="L145" s="30"/>
      <c r="M145" s="30"/>
      <c r="N145" s="30"/>
      <c r="O145" s="30"/>
    </row>
    <row r="146" spans="2:15" ht="27" x14ac:dyDescent="0.25">
      <c r="B146" s="81" t="s">
        <v>655</v>
      </c>
      <c r="C146" s="80" t="s">
        <v>685</v>
      </c>
      <c r="D146" s="83">
        <v>3000</v>
      </c>
      <c r="E146" s="83">
        <v>198.60410960000002</v>
      </c>
      <c r="F146" s="140">
        <v>72.152053199999997</v>
      </c>
      <c r="G146" s="141">
        <v>3270.7561627999999</v>
      </c>
      <c r="H146" s="3">
        <v>1452.6372699999999</v>
      </c>
      <c r="I146" s="3">
        <f>2499839/10^5</f>
        <v>24.998390000000001</v>
      </c>
      <c r="J146" s="3">
        <f>H146+I146</f>
        <v>1477.6356599999999</v>
      </c>
      <c r="K146" s="30"/>
      <c r="L146" s="30"/>
      <c r="M146" s="30"/>
      <c r="N146" s="30"/>
      <c r="O146" s="30"/>
    </row>
    <row r="147" spans="2:15" ht="27" x14ac:dyDescent="0.25">
      <c r="B147" s="81" t="s">
        <v>651</v>
      </c>
      <c r="C147" s="80" t="s">
        <v>686</v>
      </c>
      <c r="D147" s="83">
        <v>500</v>
      </c>
      <c r="E147" s="83">
        <v>33.283561599999999</v>
      </c>
      <c r="F147" s="140">
        <v>12.091777499999999</v>
      </c>
      <c r="G147" s="141">
        <f>D147+E147+F147</f>
        <v>545.37533910000002</v>
      </c>
      <c r="H147" s="3">
        <v>242.22076999999999</v>
      </c>
      <c r="I147" s="3">
        <f>416840/10^5</f>
        <v>4.1684000000000001</v>
      </c>
      <c r="J147" s="3">
        <f>H147+I147</f>
        <v>246.38916999999998</v>
      </c>
      <c r="K147" s="30"/>
      <c r="L147" s="30"/>
      <c r="M147" s="30"/>
      <c r="N147" s="30"/>
      <c r="O147" s="30"/>
    </row>
    <row r="148" spans="2:15" ht="27" x14ac:dyDescent="0.25">
      <c r="B148" s="81" t="s">
        <v>687</v>
      </c>
      <c r="C148" s="80" t="s">
        <v>698</v>
      </c>
      <c r="D148" s="83">
        <v>2000</v>
      </c>
      <c r="E148" s="83">
        <v>39.762295099999996</v>
      </c>
      <c r="F148" s="140">
        <v>64.029485721917808</v>
      </c>
      <c r="G148" s="141">
        <v>2103.7917808219199</v>
      </c>
      <c r="H148" s="3">
        <v>933.64715000000001</v>
      </c>
      <c r="I148" s="3">
        <f>1606686/10^5</f>
        <v>16.066859999999998</v>
      </c>
      <c r="J148" s="3">
        <f>H148+I148</f>
        <v>949.71401000000003</v>
      </c>
      <c r="K148" s="30"/>
      <c r="L148" s="30"/>
      <c r="M148" s="30"/>
      <c r="N148" s="30"/>
      <c r="O148" s="30"/>
    </row>
    <row r="149" spans="2:15" ht="27" x14ac:dyDescent="0.25">
      <c r="B149" s="81" t="s">
        <v>653</v>
      </c>
      <c r="C149" s="80" t="s">
        <v>689</v>
      </c>
      <c r="D149" s="83">
        <v>1882.78</v>
      </c>
      <c r="E149" s="83">
        <v>137.066384</v>
      </c>
      <c r="F149" s="140">
        <v>34.266601500000007</v>
      </c>
      <c r="G149" s="141">
        <v>2054.1129854999999</v>
      </c>
      <c r="H149" s="3">
        <v>916.65184999999997</v>
      </c>
      <c r="I149" s="3">
        <f>1577458/10^5</f>
        <v>15.77458</v>
      </c>
      <c r="J149" s="3">
        <f>H149+I149</f>
        <v>932.42642999999998</v>
      </c>
      <c r="K149" s="30"/>
      <c r="L149" s="30"/>
      <c r="M149" s="30"/>
      <c r="N149" s="30"/>
      <c r="O149" s="30"/>
    </row>
    <row r="150" spans="2:15" ht="13.5" x14ac:dyDescent="0.25">
      <c r="B150" s="131"/>
      <c r="C150" s="132"/>
      <c r="D150" s="142"/>
      <c r="E150" s="142"/>
      <c r="F150" s="6"/>
      <c r="G150" s="134"/>
      <c r="H150" s="4"/>
      <c r="J150" s="11"/>
      <c r="K150" s="30"/>
      <c r="L150" s="30"/>
      <c r="M150" s="30"/>
      <c r="N150" s="30"/>
      <c r="O150" s="30"/>
    </row>
    <row r="151" spans="2:15" ht="39" customHeight="1" x14ac:dyDescent="0.2">
      <c r="B151" s="194" t="s">
        <v>699</v>
      </c>
      <c r="C151" s="194"/>
      <c r="D151" s="194"/>
      <c r="E151" s="194"/>
      <c r="F151" s="194"/>
      <c r="G151" s="194"/>
      <c r="H151" s="194"/>
      <c r="I151" s="194"/>
      <c r="J151" s="11"/>
      <c r="K151" s="30"/>
      <c r="L151" s="30"/>
      <c r="M151" s="30"/>
      <c r="N151" s="30"/>
      <c r="O151" s="30"/>
    </row>
    <row r="152" spans="2:15" x14ac:dyDescent="0.2">
      <c r="B152" s="30"/>
      <c r="C152" s="30"/>
      <c r="D152" s="30"/>
      <c r="E152" s="30"/>
      <c r="F152" s="30"/>
      <c r="G152" s="30"/>
      <c r="H152" s="30"/>
      <c r="J152" s="11"/>
      <c r="K152" s="30"/>
      <c r="L152" s="30"/>
      <c r="M152" s="30"/>
      <c r="N152" s="30"/>
      <c r="O152" s="30"/>
    </row>
    <row r="153" spans="2:15" ht="13.5" x14ac:dyDescent="0.25">
      <c r="B153" s="86" t="s">
        <v>677</v>
      </c>
      <c r="C153" s="30"/>
      <c r="D153" s="30"/>
      <c r="E153" s="30"/>
      <c r="F153" s="30"/>
      <c r="G153" s="30"/>
      <c r="H153" s="30"/>
      <c r="J153" s="11"/>
      <c r="K153" s="30"/>
      <c r="L153" s="30"/>
      <c r="M153" s="30"/>
      <c r="N153" s="30"/>
      <c r="O153" s="30"/>
    </row>
    <row r="154" spans="2:15" x14ac:dyDescent="0.2">
      <c r="B154" s="30"/>
      <c r="C154" s="30"/>
      <c r="D154" s="30"/>
      <c r="E154" s="30"/>
      <c r="F154" s="30"/>
      <c r="G154" s="30"/>
      <c r="H154" s="30"/>
      <c r="I154" s="30"/>
      <c r="J154" s="11"/>
      <c r="K154" s="30"/>
      <c r="L154" s="30"/>
      <c r="M154" s="30"/>
      <c r="N154" s="30"/>
      <c r="O154" s="30"/>
    </row>
    <row r="155" spans="2:15" x14ac:dyDescent="0.2">
      <c r="B155" s="87" t="s">
        <v>678</v>
      </c>
      <c r="C155" s="30"/>
      <c r="D155" s="30"/>
      <c r="E155" s="30"/>
      <c r="F155" s="30"/>
      <c r="G155" s="30"/>
      <c r="H155" s="30"/>
      <c r="I155" s="30"/>
      <c r="J155" s="11"/>
      <c r="K155" s="30"/>
      <c r="L155" s="30"/>
      <c r="M155" s="30"/>
      <c r="N155" s="30"/>
      <c r="O155" s="30"/>
    </row>
    <row r="156" spans="2:15" x14ac:dyDescent="0.2">
      <c r="B156" s="30"/>
      <c r="C156" s="30"/>
      <c r="D156" s="30"/>
      <c r="E156" s="30"/>
      <c r="F156" s="30"/>
      <c r="G156" s="30"/>
      <c r="H156" s="30"/>
      <c r="I156" s="30"/>
      <c r="J156" s="11"/>
      <c r="K156" s="30"/>
      <c r="L156" s="30"/>
      <c r="M156" s="30"/>
      <c r="N156" s="30"/>
      <c r="O156" s="30"/>
    </row>
    <row r="157" spans="2:15" x14ac:dyDescent="0.2">
      <c r="B157" s="87" t="s">
        <v>679</v>
      </c>
      <c r="C157" s="30"/>
      <c r="D157" s="30"/>
      <c r="E157" s="30"/>
      <c r="F157" s="30"/>
      <c r="G157" s="30"/>
      <c r="H157" s="30"/>
      <c r="I157" s="30"/>
      <c r="J157" s="11"/>
      <c r="K157" s="30"/>
      <c r="L157" s="30"/>
      <c r="M157" s="30"/>
      <c r="N157" s="30"/>
      <c r="O157" s="30"/>
    </row>
    <row r="158" spans="2:15" x14ac:dyDescent="0.2">
      <c r="I158" s="30"/>
      <c r="J158" s="11"/>
      <c r="K158" s="30"/>
      <c r="L158" s="30"/>
      <c r="M158" s="30"/>
      <c r="N158" s="30"/>
      <c r="O158" s="30"/>
    </row>
    <row r="159" spans="2:15" x14ac:dyDescent="0.2">
      <c r="B159" s="87" t="s">
        <v>680</v>
      </c>
      <c r="J159" s="11"/>
      <c r="K159" s="30"/>
      <c r="L159" s="30"/>
      <c r="M159" s="30"/>
      <c r="N159" s="30"/>
      <c r="O159" s="30"/>
    </row>
    <row r="160" spans="2:15" x14ac:dyDescent="0.2">
      <c r="I160" s="30"/>
      <c r="J160" s="11"/>
      <c r="K160" s="30"/>
      <c r="L160" s="30"/>
      <c r="M160" s="30"/>
      <c r="N160" s="30"/>
      <c r="O160" s="30"/>
    </row>
    <row r="161" spans="2:10" x14ac:dyDescent="0.2">
      <c r="B161" s="67" t="s">
        <v>636</v>
      </c>
    </row>
    <row r="163" spans="2:10" ht="153.75" customHeight="1" x14ac:dyDescent="0.2"/>
    <row r="166" spans="2:10" x14ac:dyDescent="0.2">
      <c r="B166" s="67" t="s">
        <v>637</v>
      </c>
      <c r="C166" s="68"/>
      <c r="D166" s="67"/>
    </row>
    <row r="167" spans="2:10" x14ac:dyDescent="0.2">
      <c r="B167" s="67" t="s">
        <v>700</v>
      </c>
      <c r="D167" s="67"/>
    </row>
    <row r="168" spans="2:10" ht="165" customHeight="1" x14ac:dyDescent="0.2"/>
    <row r="170" spans="2:10" x14ac:dyDescent="0.2">
      <c r="J170" s="11"/>
    </row>
  </sheetData>
  <mergeCells count="46">
    <mergeCell ref="B125:C125"/>
    <mergeCell ref="A3:H3"/>
    <mergeCell ref="B119:C119"/>
    <mergeCell ref="B117:C117"/>
    <mergeCell ref="B121:C121"/>
    <mergeCell ref="B120:C120"/>
    <mergeCell ref="B123:D123"/>
    <mergeCell ref="B106:D106"/>
    <mergeCell ref="B107:C107"/>
    <mergeCell ref="B108:C108"/>
    <mergeCell ref="B109:C109"/>
    <mergeCell ref="B124:C124"/>
    <mergeCell ref="A1:H1"/>
    <mergeCell ref="A2:H2"/>
    <mergeCell ref="B102:H102"/>
    <mergeCell ref="B103:H103"/>
    <mergeCell ref="B104:H104"/>
    <mergeCell ref="B126:C126"/>
    <mergeCell ref="B127:C127"/>
    <mergeCell ref="B128:C128"/>
    <mergeCell ref="B129:C129"/>
    <mergeCell ref="B130:C130"/>
    <mergeCell ref="B131:C131"/>
    <mergeCell ref="B132:C132"/>
    <mergeCell ref="B133:D133"/>
    <mergeCell ref="B135:H135"/>
    <mergeCell ref="D137:F137"/>
    <mergeCell ref="G137:H137"/>
    <mergeCell ref="D138:F138"/>
    <mergeCell ref="G138:H138"/>
    <mergeCell ref="D139:F139"/>
    <mergeCell ref="G139:H139"/>
    <mergeCell ref="D140:F140"/>
    <mergeCell ref="G140:H140"/>
    <mergeCell ref="D141:F141"/>
    <mergeCell ref="G141:H141"/>
    <mergeCell ref="D142:F142"/>
    <mergeCell ref="G142:H142"/>
    <mergeCell ref="B143:H143"/>
    <mergeCell ref="J144:J145"/>
    <mergeCell ref="B151:I151"/>
    <mergeCell ref="B144:B145"/>
    <mergeCell ref="C144:C145"/>
    <mergeCell ref="D144:G144"/>
    <mergeCell ref="H144:H145"/>
    <mergeCell ref="I144:I145"/>
  </mergeCells>
  <hyperlinks>
    <hyperlink ref="I1" location="Index!B2" display="Index" xr:uid="{BC987163-CE0E-4D5A-B4B4-AF035940F63E}"/>
    <hyperlink ref="B155" r:id="rId1" xr:uid="{712C50FA-B5AD-448F-AD15-D73F1BD82BFE}"/>
    <hyperlink ref="B157" r:id="rId2" xr:uid="{1EFF90C2-EB5B-4D16-B476-0A2B39DDECC1}"/>
    <hyperlink ref="B159" r:id="rId3" xr:uid="{AD375BCB-B4D7-423E-8814-4269287DA5FA}"/>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57E5F-2286-4376-A030-0EC04ED9500A}">
  <sheetPr>
    <outlinePr summaryBelow="0" summaryRight="0"/>
  </sheetPr>
  <dimension ref="A1:Q210"/>
  <sheetViews>
    <sheetView showGridLines="0" topLeftCell="A148" workbookViewId="0">
      <selection activeCell="C154" sqref="C154:C157"/>
    </sheetView>
  </sheetViews>
  <sheetFormatPr defaultRowHeight="12.75" x14ac:dyDescent="0.2"/>
  <cols>
    <col min="1" max="1" width="5.85546875" bestFit="1" customWidth="1"/>
    <col min="2" max="2" width="19.28515625" bestFit="1" customWidth="1"/>
    <col min="3" max="3" width="44.28515625" customWidth="1"/>
    <col min="4" max="4" width="10.7109375" bestFit="1" customWidth="1"/>
    <col min="5" max="5" width="9.42578125" bestFit="1" customWidth="1"/>
    <col min="6" max="6" width="10.140625" bestFit="1" customWidth="1"/>
    <col min="7" max="7" width="14" bestFit="1" customWidth="1"/>
    <col min="8" max="8" width="9.5703125" customWidth="1"/>
  </cols>
  <sheetData>
    <row r="1" spans="1:9" ht="15" x14ac:dyDescent="0.2">
      <c r="A1" s="155" t="s">
        <v>0</v>
      </c>
      <c r="B1" s="155"/>
      <c r="C1" s="155"/>
      <c r="D1" s="155"/>
      <c r="E1" s="155"/>
      <c r="F1" s="155"/>
      <c r="G1" s="155"/>
      <c r="H1" s="155"/>
      <c r="I1" s="1" t="s">
        <v>607</v>
      </c>
    </row>
    <row r="2" spans="1:9" ht="15" x14ac:dyDescent="0.2">
      <c r="A2" s="155" t="s">
        <v>493</v>
      </c>
      <c r="B2" s="155"/>
      <c r="C2" s="155"/>
      <c r="D2" s="155"/>
      <c r="E2" s="155"/>
      <c r="F2" s="155"/>
      <c r="G2" s="155"/>
      <c r="H2" s="155"/>
    </row>
    <row r="3" spans="1:9" ht="15" x14ac:dyDescent="0.2">
      <c r="A3" s="155" t="s">
        <v>756</v>
      </c>
      <c r="B3" s="155"/>
      <c r="C3" s="155"/>
      <c r="D3" s="155"/>
      <c r="E3" s="155"/>
      <c r="F3" s="155"/>
      <c r="G3" s="155"/>
      <c r="H3" s="155"/>
    </row>
    <row r="4" spans="1:9" s="11" customFormat="1" ht="30" x14ac:dyDescent="0.2">
      <c r="A4" s="9" t="s">
        <v>2</v>
      </c>
      <c r="B4" s="9" t="s">
        <v>3</v>
      </c>
      <c r="C4" s="9" t="s">
        <v>4</v>
      </c>
      <c r="D4" s="9" t="s">
        <v>5</v>
      </c>
      <c r="E4" s="9" t="s">
        <v>6</v>
      </c>
      <c r="F4" s="9" t="s">
        <v>7</v>
      </c>
      <c r="G4" s="9" t="s">
        <v>8</v>
      </c>
      <c r="H4" s="10" t="s">
        <v>752</v>
      </c>
    </row>
    <row r="5" spans="1:9" x14ac:dyDescent="0.2">
      <c r="A5" s="12"/>
      <c r="B5" s="12"/>
      <c r="C5" s="13" t="s">
        <v>9</v>
      </c>
      <c r="D5" s="12"/>
      <c r="E5" s="12"/>
      <c r="F5" s="12"/>
      <c r="G5" s="12"/>
      <c r="H5" s="14" t="s">
        <v>12</v>
      </c>
    </row>
    <row r="6" spans="1:9" x14ac:dyDescent="0.2">
      <c r="A6" s="15"/>
      <c r="B6" s="15"/>
      <c r="C6" s="16" t="s">
        <v>10</v>
      </c>
      <c r="D6" s="15"/>
      <c r="E6" s="15"/>
      <c r="F6" s="15"/>
      <c r="G6" s="15"/>
      <c r="H6" s="14" t="s">
        <v>12</v>
      </c>
    </row>
    <row r="7" spans="1:9" x14ac:dyDescent="0.2">
      <c r="A7" s="32">
        <v>1</v>
      </c>
      <c r="B7" s="33" t="s">
        <v>641</v>
      </c>
      <c r="C7" s="33" t="s">
        <v>642</v>
      </c>
      <c r="D7" s="33" t="s">
        <v>643</v>
      </c>
      <c r="E7" s="73">
        <v>13333</v>
      </c>
      <c r="F7" s="35">
        <v>0.01</v>
      </c>
      <c r="G7" s="102" t="s">
        <v>644</v>
      </c>
      <c r="H7" s="14" t="s">
        <v>12</v>
      </c>
    </row>
    <row r="8" spans="1:9" x14ac:dyDescent="0.2">
      <c r="A8" s="12"/>
      <c r="B8" s="12"/>
      <c r="C8" s="13" t="s">
        <v>11</v>
      </c>
      <c r="D8" s="12"/>
      <c r="E8" s="12" t="s">
        <v>12</v>
      </c>
      <c r="F8" s="37">
        <f>SUM(F7)</f>
        <v>0.01</v>
      </c>
      <c r="G8" s="38">
        <v>0</v>
      </c>
      <c r="H8" s="14" t="s">
        <v>12</v>
      </c>
    </row>
    <row r="9" spans="1:9" x14ac:dyDescent="0.2">
      <c r="A9" s="15"/>
      <c r="B9" s="15"/>
      <c r="C9" s="19"/>
      <c r="D9" s="15"/>
      <c r="E9" s="15"/>
      <c r="F9" s="20"/>
      <c r="G9" s="20"/>
      <c r="H9" s="14" t="s">
        <v>12</v>
      </c>
    </row>
    <row r="10" spans="1:9" x14ac:dyDescent="0.2">
      <c r="A10" s="15"/>
      <c r="B10" s="15"/>
      <c r="C10" s="16" t="s">
        <v>14</v>
      </c>
      <c r="D10" s="15"/>
      <c r="E10" s="15"/>
      <c r="F10" s="15"/>
      <c r="G10" s="15"/>
      <c r="H10" s="14" t="s">
        <v>12</v>
      </c>
    </row>
    <row r="11" spans="1:9" x14ac:dyDescent="0.2">
      <c r="A11" s="15"/>
      <c r="B11" s="15"/>
      <c r="C11" s="16" t="s">
        <v>11</v>
      </c>
      <c r="D11" s="15"/>
      <c r="E11" s="15" t="s">
        <v>12</v>
      </c>
      <c r="F11" s="17" t="s">
        <v>13</v>
      </c>
      <c r="G11" s="18">
        <v>0</v>
      </c>
      <c r="H11" s="14" t="s">
        <v>12</v>
      </c>
    </row>
    <row r="12" spans="1:9" x14ac:dyDescent="0.2">
      <c r="A12" s="15"/>
      <c r="B12" s="15"/>
      <c r="C12" s="19"/>
      <c r="D12" s="15"/>
      <c r="E12" s="15"/>
      <c r="F12" s="20"/>
      <c r="G12" s="20"/>
      <c r="H12" s="14" t="s">
        <v>12</v>
      </c>
    </row>
    <row r="13" spans="1:9" x14ac:dyDescent="0.2">
      <c r="A13" s="15"/>
      <c r="B13" s="15"/>
      <c r="C13" s="16" t="s">
        <v>15</v>
      </c>
      <c r="D13" s="15"/>
      <c r="E13" s="15"/>
      <c r="F13" s="15"/>
      <c r="G13" s="15"/>
      <c r="H13" s="14" t="s">
        <v>12</v>
      </c>
    </row>
    <row r="14" spans="1:9" x14ac:dyDescent="0.2">
      <c r="A14" s="15"/>
      <c r="B14" s="15"/>
      <c r="C14" s="16" t="s">
        <v>11</v>
      </c>
      <c r="D14" s="15"/>
      <c r="E14" s="15" t="s">
        <v>12</v>
      </c>
      <c r="F14" s="17" t="s">
        <v>13</v>
      </c>
      <c r="G14" s="18">
        <v>0</v>
      </c>
      <c r="H14" s="14" t="s">
        <v>12</v>
      </c>
    </row>
    <row r="15" spans="1:9" x14ac:dyDescent="0.2">
      <c r="A15" s="15"/>
      <c r="B15" s="15"/>
      <c r="C15" s="19"/>
      <c r="D15" s="15"/>
      <c r="E15" s="15"/>
      <c r="F15" s="20"/>
      <c r="G15" s="20"/>
      <c r="H15" s="14" t="s">
        <v>12</v>
      </c>
    </row>
    <row r="16" spans="1:9" x14ac:dyDescent="0.2">
      <c r="A16" s="15"/>
      <c r="B16" s="15"/>
      <c r="C16" s="16" t="s">
        <v>16</v>
      </c>
      <c r="D16" s="15"/>
      <c r="E16" s="15"/>
      <c r="F16" s="15"/>
      <c r="G16" s="15"/>
      <c r="H16" s="14" t="s">
        <v>12</v>
      </c>
    </row>
    <row r="17" spans="1:8" x14ac:dyDescent="0.2">
      <c r="A17" s="15"/>
      <c r="B17" s="15"/>
      <c r="C17" s="16" t="s">
        <v>11</v>
      </c>
      <c r="D17" s="15"/>
      <c r="E17" s="15" t="s">
        <v>12</v>
      </c>
      <c r="F17" s="17" t="s">
        <v>13</v>
      </c>
      <c r="G17" s="18">
        <v>0</v>
      </c>
      <c r="H17" s="14" t="s">
        <v>12</v>
      </c>
    </row>
    <row r="18" spans="1:8" x14ac:dyDescent="0.2">
      <c r="A18" s="15"/>
      <c r="B18" s="15"/>
      <c r="C18" s="19"/>
      <c r="D18" s="15"/>
      <c r="E18" s="15"/>
      <c r="F18" s="20"/>
      <c r="G18" s="20"/>
      <c r="H18" s="14" t="s">
        <v>12</v>
      </c>
    </row>
    <row r="19" spans="1:8" x14ac:dyDescent="0.2">
      <c r="A19" s="15"/>
      <c r="B19" s="15"/>
      <c r="C19" s="16" t="s">
        <v>17</v>
      </c>
      <c r="D19" s="15"/>
      <c r="E19" s="15"/>
      <c r="F19" s="20"/>
      <c r="G19" s="20"/>
      <c r="H19" s="14" t="s">
        <v>12</v>
      </c>
    </row>
    <row r="20" spans="1:8" x14ac:dyDescent="0.2">
      <c r="A20" s="15"/>
      <c r="B20" s="15"/>
      <c r="C20" s="16" t="s">
        <v>11</v>
      </c>
      <c r="D20" s="15"/>
      <c r="E20" s="15" t="s">
        <v>12</v>
      </c>
      <c r="F20" s="17" t="s">
        <v>13</v>
      </c>
      <c r="G20" s="18">
        <v>0</v>
      </c>
      <c r="H20" s="14" t="s">
        <v>12</v>
      </c>
    </row>
    <row r="21" spans="1:8" x14ac:dyDescent="0.2">
      <c r="A21" s="15"/>
      <c r="B21" s="15"/>
      <c r="C21" s="19"/>
      <c r="D21" s="15"/>
      <c r="E21" s="15"/>
      <c r="F21" s="20"/>
      <c r="G21" s="20"/>
      <c r="H21" s="14" t="s">
        <v>12</v>
      </c>
    </row>
    <row r="22" spans="1:8" x14ac:dyDescent="0.2">
      <c r="A22" s="15"/>
      <c r="B22" s="15"/>
      <c r="C22" s="16" t="s">
        <v>18</v>
      </c>
      <c r="D22" s="15"/>
      <c r="E22" s="15"/>
      <c r="F22" s="20"/>
      <c r="G22" s="20"/>
      <c r="H22" s="14" t="s">
        <v>12</v>
      </c>
    </row>
    <row r="23" spans="1:8" x14ac:dyDescent="0.2">
      <c r="A23" s="15"/>
      <c r="B23" s="15"/>
      <c r="C23" s="16" t="s">
        <v>11</v>
      </c>
      <c r="D23" s="15"/>
      <c r="E23" s="15" t="s">
        <v>12</v>
      </c>
      <c r="F23" s="17" t="s">
        <v>13</v>
      </c>
      <c r="G23" s="18">
        <v>0</v>
      </c>
      <c r="H23" s="14" t="s">
        <v>12</v>
      </c>
    </row>
    <row r="24" spans="1:8" x14ac:dyDescent="0.2">
      <c r="A24" s="15"/>
      <c r="B24" s="15"/>
      <c r="C24" s="19"/>
      <c r="D24" s="15"/>
      <c r="E24" s="15"/>
      <c r="F24" s="20"/>
      <c r="G24" s="20"/>
      <c r="H24" s="14" t="s">
        <v>12</v>
      </c>
    </row>
    <row r="25" spans="1:8" x14ac:dyDescent="0.2">
      <c r="A25" s="15"/>
      <c r="B25" s="15"/>
      <c r="C25" s="16" t="s">
        <v>19</v>
      </c>
      <c r="D25" s="15"/>
      <c r="E25" s="15"/>
      <c r="F25" s="21">
        <f>F8</f>
        <v>0.01</v>
      </c>
      <c r="G25" s="18">
        <v>0</v>
      </c>
      <c r="H25" s="14" t="s">
        <v>12</v>
      </c>
    </row>
    <row r="26" spans="1:8" x14ac:dyDescent="0.2">
      <c r="A26" s="15"/>
      <c r="B26" s="15"/>
      <c r="C26" s="19"/>
      <c r="D26" s="15"/>
      <c r="E26" s="15"/>
      <c r="F26" s="20"/>
      <c r="G26" s="20"/>
      <c r="H26" s="14" t="s">
        <v>12</v>
      </c>
    </row>
    <row r="27" spans="1:8" x14ac:dyDescent="0.2">
      <c r="A27" s="15"/>
      <c r="B27" s="15"/>
      <c r="C27" s="16" t="s">
        <v>20</v>
      </c>
      <c r="D27" s="15"/>
      <c r="E27" s="15"/>
      <c r="F27" s="20"/>
      <c r="G27" s="20"/>
      <c r="H27" s="14" t="s">
        <v>12</v>
      </c>
    </row>
    <row r="28" spans="1:8" x14ac:dyDescent="0.2">
      <c r="A28" s="15"/>
      <c r="B28" s="15"/>
      <c r="C28" s="16" t="s">
        <v>10</v>
      </c>
      <c r="D28" s="15"/>
      <c r="E28" s="15"/>
      <c r="F28" s="20"/>
      <c r="G28" s="20"/>
      <c r="H28" s="14" t="s">
        <v>12</v>
      </c>
    </row>
    <row r="29" spans="1:8" x14ac:dyDescent="0.2">
      <c r="A29" s="22">
        <v>1</v>
      </c>
      <c r="B29" s="23" t="s">
        <v>287</v>
      </c>
      <c r="C29" s="23" t="s">
        <v>288</v>
      </c>
      <c r="D29" s="23" t="s">
        <v>26</v>
      </c>
      <c r="E29" s="24">
        <v>8000</v>
      </c>
      <c r="F29" s="25">
        <v>8075.6639999999998</v>
      </c>
      <c r="G29" s="26">
        <v>3.62875E-2</v>
      </c>
      <c r="H29" s="14">
        <v>6.42</v>
      </c>
    </row>
    <row r="30" spans="1:8" x14ac:dyDescent="0.2">
      <c r="A30" s="22">
        <v>2</v>
      </c>
      <c r="B30" s="23" t="s">
        <v>289</v>
      </c>
      <c r="C30" s="23" t="s">
        <v>290</v>
      </c>
      <c r="D30" s="23" t="s">
        <v>23</v>
      </c>
      <c r="E30" s="24">
        <v>7000</v>
      </c>
      <c r="F30" s="25">
        <v>7041.125</v>
      </c>
      <c r="G30" s="26">
        <v>3.1638869999999999E-2</v>
      </c>
      <c r="H30" s="14">
        <v>6.75</v>
      </c>
    </row>
    <row r="31" spans="1:8" ht="25.5" x14ac:dyDescent="0.2">
      <c r="A31" s="22">
        <v>3</v>
      </c>
      <c r="B31" s="23" t="s">
        <v>494</v>
      </c>
      <c r="C31" s="23" t="s">
        <v>495</v>
      </c>
      <c r="D31" s="23" t="s">
        <v>26</v>
      </c>
      <c r="E31" s="24">
        <v>5000</v>
      </c>
      <c r="F31" s="25">
        <v>5044.78</v>
      </c>
      <c r="G31" s="26">
        <v>2.266841E-2</v>
      </c>
      <c r="H31" s="14">
        <v>6.4349999999999996</v>
      </c>
    </row>
    <row r="32" spans="1:8" x14ac:dyDescent="0.2">
      <c r="A32" s="22">
        <v>4</v>
      </c>
      <c r="B32" s="23" t="s">
        <v>281</v>
      </c>
      <c r="C32" s="23" t="s">
        <v>282</v>
      </c>
      <c r="D32" s="23" t="s">
        <v>283</v>
      </c>
      <c r="E32" s="24">
        <v>3000</v>
      </c>
      <c r="F32" s="25">
        <v>3037.326</v>
      </c>
      <c r="G32" s="26">
        <v>1.364804E-2</v>
      </c>
      <c r="H32" s="14">
        <v>7.43</v>
      </c>
    </row>
    <row r="33" spans="1:8" ht="25.5" x14ac:dyDescent="0.2">
      <c r="A33" s="22">
        <v>5</v>
      </c>
      <c r="B33" s="23" t="s">
        <v>496</v>
      </c>
      <c r="C33" s="23" t="s">
        <v>497</v>
      </c>
      <c r="D33" s="23" t="s">
        <v>23</v>
      </c>
      <c r="E33" s="24">
        <v>2500</v>
      </c>
      <c r="F33" s="25">
        <v>2525.0174999999999</v>
      </c>
      <c r="G33" s="26">
        <v>1.134601E-2</v>
      </c>
      <c r="H33" s="14">
        <v>6.51</v>
      </c>
    </row>
    <row r="34" spans="1:8" x14ac:dyDescent="0.2">
      <c r="A34" s="22">
        <v>6</v>
      </c>
      <c r="B34" s="23" t="s">
        <v>498</v>
      </c>
      <c r="C34" s="23" t="s">
        <v>499</v>
      </c>
      <c r="D34" s="23" t="s">
        <v>23</v>
      </c>
      <c r="E34" s="24">
        <v>250</v>
      </c>
      <c r="F34" s="25">
        <v>2524.9699999999998</v>
      </c>
      <c r="G34" s="26">
        <v>1.13458E-2</v>
      </c>
      <c r="H34" s="14">
        <v>7.11</v>
      </c>
    </row>
    <row r="35" spans="1:8" ht="25.5" x14ac:dyDescent="0.2">
      <c r="A35" s="22">
        <v>7</v>
      </c>
      <c r="B35" s="23" t="s">
        <v>308</v>
      </c>
      <c r="C35" s="23" t="s">
        <v>309</v>
      </c>
      <c r="D35" s="23" t="s">
        <v>296</v>
      </c>
      <c r="E35" s="24">
        <v>200</v>
      </c>
      <c r="F35" s="25">
        <v>2007.558</v>
      </c>
      <c r="G35" s="26">
        <v>9.0208400000000005E-3</v>
      </c>
      <c r="H35" s="14">
        <v>6.7949999999999999</v>
      </c>
    </row>
    <row r="36" spans="1:8" x14ac:dyDescent="0.2">
      <c r="A36" s="22">
        <v>8</v>
      </c>
      <c r="B36" s="23" t="s">
        <v>284</v>
      </c>
      <c r="C36" s="23" t="s">
        <v>285</v>
      </c>
      <c r="D36" s="23" t="s">
        <v>286</v>
      </c>
      <c r="E36" s="24">
        <v>1600</v>
      </c>
      <c r="F36" s="25">
        <v>1618.8016</v>
      </c>
      <c r="G36" s="26">
        <v>7.2739900000000001E-3</v>
      </c>
      <c r="H36" s="14">
        <v>6.9</v>
      </c>
    </row>
    <row r="37" spans="1:8" x14ac:dyDescent="0.2">
      <c r="A37" s="22">
        <v>9</v>
      </c>
      <c r="B37" s="23" t="s">
        <v>310</v>
      </c>
      <c r="C37" s="23" t="s">
        <v>311</v>
      </c>
      <c r="D37" s="23" t="s">
        <v>296</v>
      </c>
      <c r="E37" s="24">
        <v>1500</v>
      </c>
      <c r="F37" s="25">
        <v>1524.3315</v>
      </c>
      <c r="G37" s="26">
        <v>6.8494899999999997E-3</v>
      </c>
      <c r="H37" s="14">
        <v>7.8731</v>
      </c>
    </row>
    <row r="38" spans="1:8" x14ac:dyDescent="0.2">
      <c r="A38" s="22">
        <v>10</v>
      </c>
      <c r="B38" s="23" t="s">
        <v>500</v>
      </c>
      <c r="C38" s="23" t="s">
        <v>501</v>
      </c>
      <c r="D38" s="23" t="s">
        <v>23</v>
      </c>
      <c r="E38" s="24">
        <v>150</v>
      </c>
      <c r="F38" s="25">
        <v>1512.6975</v>
      </c>
      <c r="G38" s="26">
        <v>6.7972099999999997E-3</v>
      </c>
      <c r="H38" s="14">
        <v>6.8650000000000002</v>
      </c>
    </row>
    <row r="39" spans="1:8" ht="25.5" x14ac:dyDescent="0.2">
      <c r="A39" s="22">
        <v>11</v>
      </c>
      <c r="B39" s="23" t="s">
        <v>502</v>
      </c>
      <c r="C39" s="23" t="s">
        <v>503</v>
      </c>
      <c r="D39" s="23" t="s">
        <v>296</v>
      </c>
      <c r="E39" s="24">
        <v>1300</v>
      </c>
      <c r="F39" s="25">
        <v>1301.7666999999999</v>
      </c>
      <c r="G39" s="26">
        <v>5.8494100000000002E-3</v>
      </c>
      <c r="H39" s="14">
        <v>7.2750000000000004</v>
      </c>
    </row>
    <row r="40" spans="1:8" ht="25.5" x14ac:dyDescent="0.2">
      <c r="A40" s="22">
        <v>12</v>
      </c>
      <c r="B40" s="23" t="s">
        <v>73</v>
      </c>
      <c r="C40" s="23" t="s">
        <v>74</v>
      </c>
      <c r="D40" s="23" t="s">
        <v>23</v>
      </c>
      <c r="E40" s="24">
        <v>1000</v>
      </c>
      <c r="F40" s="25">
        <v>1009.043</v>
      </c>
      <c r="G40" s="26">
        <v>4.5340700000000003E-3</v>
      </c>
      <c r="H40" s="14">
        <v>6.52</v>
      </c>
    </row>
    <row r="41" spans="1:8" x14ac:dyDescent="0.2">
      <c r="A41" s="15"/>
      <c r="B41" s="15"/>
      <c r="C41" s="16" t="s">
        <v>11</v>
      </c>
      <c r="D41" s="15"/>
      <c r="E41" s="15" t="s">
        <v>12</v>
      </c>
      <c r="F41" s="21">
        <v>37223.080800000003</v>
      </c>
      <c r="G41" s="18">
        <v>0.16725963999999999</v>
      </c>
      <c r="H41" s="14" t="s">
        <v>12</v>
      </c>
    </row>
    <row r="42" spans="1:8" x14ac:dyDescent="0.2">
      <c r="A42" s="15"/>
      <c r="B42" s="15"/>
      <c r="C42" s="19"/>
      <c r="D42" s="15"/>
      <c r="E42" s="15"/>
      <c r="F42" s="20"/>
      <c r="G42" s="20"/>
      <c r="H42" s="14" t="s">
        <v>12</v>
      </c>
    </row>
    <row r="43" spans="1:8" x14ac:dyDescent="0.2">
      <c r="A43" s="15"/>
      <c r="B43" s="15"/>
      <c r="C43" s="16" t="s">
        <v>79</v>
      </c>
      <c r="D43" s="15"/>
      <c r="E43" s="15"/>
      <c r="F43" s="15"/>
      <c r="G43" s="15"/>
      <c r="H43" s="14" t="s">
        <v>12</v>
      </c>
    </row>
    <row r="44" spans="1:8" x14ac:dyDescent="0.2">
      <c r="A44" s="15"/>
      <c r="B44" s="15"/>
      <c r="C44" s="16" t="s">
        <v>11</v>
      </c>
      <c r="D44" s="15"/>
      <c r="E44" s="15" t="s">
        <v>12</v>
      </c>
      <c r="F44" s="17" t="s">
        <v>13</v>
      </c>
      <c r="G44" s="18">
        <v>0</v>
      </c>
      <c r="H44" s="14" t="s">
        <v>12</v>
      </c>
    </row>
    <row r="45" spans="1:8" x14ac:dyDescent="0.2">
      <c r="A45" s="15"/>
      <c r="B45" s="15"/>
      <c r="C45" s="19"/>
      <c r="D45" s="15"/>
      <c r="E45" s="15"/>
      <c r="F45" s="20"/>
      <c r="G45" s="20"/>
      <c r="H45" s="14" t="s">
        <v>12</v>
      </c>
    </row>
    <row r="46" spans="1:8" x14ac:dyDescent="0.2">
      <c r="A46" s="15"/>
      <c r="B46" s="15"/>
      <c r="C46" s="16" t="s">
        <v>80</v>
      </c>
      <c r="D46" s="15"/>
      <c r="E46" s="15"/>
      <c r="F46" s="15"/>
      <c r="G46" s="15"/>
      <c r="H46" s="14" t="s">
        <v>12</v>
      </c>
    </row>
    <row r="47" spans="1:8" x14ac:dyDescent="0.2">
      <c r="A47" s="15"/>
      <c r="B47" s="15"/>
      <c r="C47" s="16" t="s">
        <v>11</v>
      </c>
      <c r="D47" s="15"/>
      <c r="E47" s="15" t="s">
        <v>12</v>
      </c>
      <c r="F47" s="17" t="s">
        <v>13</v>
      </c>
      <c r="G47" s="18">
        <v>0</v>
      </c>
      <c r="H47" s="14" t="s">
        <v>12</v>
      </c>
    </row>
    <row r="48" spans="1:8" x14ac:dyDescent="0.2">
      <c r="A48" s="15"/>
      <c r="B48" s="15"/>
      <c r="C48" s="19"/>
      <c r="D48" s="15"/>
      <c r="E48" s="15"/>
      <c r="F48" s="20"/>
      <c r="G48" s="20"/>
      <c r="H48" s="14" t="s">
        <v>12</v>
      </c>
    </row>
    <row r="49" spans="1:8" x14ac:dyDescent="0.2">
      <c r="A49" s="15"/>
      <c r="B49" s="15"/>
      <c r="C49" s="16" t="s">
        <v>98</v>
      </c>
      <c r="D49" s="15"/>
      <c r="E49" s="15"/>
      <c r="F49" s="20"/>
      <c r="G49" s="20"/>
      <c r="H49" s="14" t="s">
        <v>12</v>
      </c>
    </row>
    <row r="50" spans="1:8" x14ac:dyDescent="0.2">
      <c r="A50" s="15"/>
      <c r="B50" s="15"/>
      <c r="C50" s="16" t="s">
        <v>11</v>
      </c>
      <c r="D50" s="15"/>
      <c r="E50" s="15" t="s">
        <v>12</v>
      </c>
      <c r="F50" s="17" t="s">
        <v>13</v>
      </c>
      <c r="G50" s="18">
        <v>0</v>
      </c>
      <c r="H50" s="14" t="s">
        <v>12</v>
      </c>
    </row>
    <row r="51" spans="1:8" x14ac:dyDescent="0.2">
      <c r="A51" s="15"/>
      <c r="B51" s="15"/>
      <c r="C51" s="19"/>
      <c r="D51" s="15"/>
      <c r="E51" s="15"/>
      <c r="F51" s="20"/>
      <c r="G51" s="20"/>
      <c r="H51" s="14" t="s">
        <v>12</v>
      </c>
    </row>
    <row r="52" spans="1:8" x14ac:dyDescent="0.2">
      <c r="A52" s="15"/>
      <c r="B52" s="15"/>
      <c r="C52" s="16" t="s">
        <v>99</v>
      </c>
      <c r="D52" s="15"/>
      <c r="E52" s="15"/>
      <c r="F52" s="21">
        <v>37223.080800000003</v>
      </c>
      <c r="G52" s="18">
        <v>0.16725963999999999</v>
      </c>
      <c r="H52" s="14" t="s">
        <v>12</v>
      </c>
    </row>
    <row r="53" spans="1:8" x14ac:dyDescent="0.2">
      <c r="A53" s="15"/>
      <c r="B53" s="15"/>
      <c r="C53" s="19"/>
      <c r="D53" s="15"/>
      <c r="E53" s="15"/>
      <c r="F53" s="20"/>
      <c r="G53" s="20"/>
      <c r="H53" s="14" t="s">
        <v>12</v>
      </c>
    </row>
    <row r="54" spans="1:8" x14ac:dyDescent="0.2">
      <c r="A54" s="15"/>
      <c r="B54" s="15"/>
      <c r="C54" s="16" t="s">
        <v>100</v>
      </c>
      <c r="D54" s="15"/>
      <c r="E54" s="15"/>
      <c r="F54" s="20"/>
      <c r="G54" s="20"/>
      <c r="H54" s="14" t="s">
        <v>12</v>
      </c>
    </row>
    <row r="55" spans="1:8" x14ac:dyDescent="0.2">
      <c r="A55" s="15"/>
      <c r="B55" s="15"/>
      <c r="C55" s="16" t="s">
        <v>101</v>
      </c>
      <c r="D55" s="15"/>
      <c r="E55" s="15"/>
      <c r="F55" s="20"/>
      <c r="G55" s="20"/>
      <c r="H55" s="14" t="s">
        <v>12</v>
      </c>
    </row>
    <row r="56" spans="1:8" x14ac:dyDescent="0.2">
      <c r="A56" s="22">
        <v>1</v>
      </c>
      <c r="B56" s="23" t="s">
        <v>187</v>
      </c>
      <c r="C56" s="23" t="s">
        <v>188</v>
      </c>
      <c r="D56" s="23" t="s">
        <v>189</v>
      </c>
      <c r="E56" s="24">
        <v>2600</v>
      </c>
      <c r="F56" s="25">
        <v>12726.064</v>
      </c>
      <c r="G56" s="26">
        <v>5.7183789999999998E-2</v>
      </c>
      <c r="H56" s="14">
        <v>5.9074</v>
      </c>
    </row>
    <row r="57" spans="1:8" ht="25.5" x14ac:dyDescent="0.2">
      <c r="A57" s="22">
        <v>2</v>
      </c>
      <c r="B57" s="23" t="s">
        <v>504</v>
      </c>
      <c r="C57" s="23" t="s">
        <v>505</v>
      </c>
      <c r="D57" s="23" t="s">
        <v>107</v>
      </c>
      <c r="E57" s="24">
        <v>2000</v>
      </c>
      <c r="F57" s="25">
        <v>9798.07</v>
      </c>
      <c r="G57" s="26">
        <v>4.4027030000000002E-2</v>
      </c>
      <c r="H57" s="14">
        <v>5.9701000000000004</v>
      </c>
    </row>
    <row r="58" spans="1:8" x14ac:dyDescent="0.2">
      <c r="A58" s="22">
        <v>3</v>
      </c>
      <c r="B58" s="23" t="s">
        <v>340</v>
      </c>
      <c r="C58" s="23" t="s">
        <v>341</v>
      </c>
      <c r="D58" s="23" t="s">
        <v>107</v>
      </c>
      <c r="E58" s="24">
        <v>1500</v>
      </c>
      <c r="F58" s="25">
        <v>7442.7524999999996</v>
      </c>
      <c r="G58" s="26">
        <v>3.3443550000000002E-2</v>
      </c>
      <c r="H58" s="14">
        <v>5.7298</v>
      </c>
    </row>
    <row r="59" spans="1:8" x14ac:dyDescent="0.2">
      <c r="A59" s="22">
        <v>4</v>
      </c>
      <c r="B59" s="23" t="s">
        <v>506</v>
      </c>
      <c r="C59" s="23" t="s">
        <v>507</v>
      </c>
      <c r="D59" s="23" t="s">
        <v>107</v>
      </c>
      <c r="E59" s="24">
        <v>1500</v>
      </c>
      <c r="F59" s="25">
        <v>7356.165</v>
      </c>
      <c r="G59" s="26">
        <v>3.3054479999999997E-2</v>
      </c>
      <c r="H59" s="14">
        <v>5.9974999999999996</v>
      </c>
    </row>
    <row r="60" spans="1:8" x14ac:dyDescent="0.2">
      <c r="A60" s="22">
        <v>5</v>
      </c>
      <c r="B60" s="23" t="s">
        <v>508</v>
      </c>
      <c r="C60" s="23" t="s">
        <v>509</v>
      </c>
      <c r="D60" s="23" t="s">
        <v>107</v>
      </c>
      <c r="E60" s="24">
        <v>1000</v>
      </c>
      <c r="F60" s="25">
        <v>4917.9250000000002</v>
      </c>
      <c r="G60" s="26">
        <v>2.2098400000000001E-2</v>
      </c>
      <c r="H60" s="14">
        <v>5.9142999999999999</v>
      </c>
    </row>
    <row r="61" spans="1:8" x14ac:dyDescent="0.2">
      <c r="A61" s="22">
        <v>6</v>
      </c>
      <c r="B61" s="23" t="s">
        <v>510</v>
      </c>
      <c r="C61" s="23" t="s">
        <v>511</v>
      </c>
      <c r="D61" s="23" t="s">
        <v>107</v>
      </c>
      <c r="E61" s="24">
        <v>1000</v>
      </c>
      <c r="F61" s="25">
        <v>4917.1400000000003</v>
      </c>
      <c r="G61" s="26">
        <v>2.2094869999999999E-2</v>
      </c>
      <c r="H61" s="14">
        <v>5.9142999999999999</v>
      </c>
    </row>
    <row r="62" spans="1:8" x14ac:dyDescent="0.2">
      <c r="A62" s="22">
        <v>7</v>
      </c>
      <c r="B62" s="23" t="s">
        <v>512</v>
      </c>
      <c r="C62" s="23" t="s">
        <v>513</v>
      </c>
      <c r="D62" s="23" t="s">
        <v>104</v>
      </c>
      <c r="E62" s="24">
        <v>1000</v>
      </c>
      <c r="F62" s="25">
        <v>4900.6750000000002</v>
      </c>
      <c r="G62" s="26">
        <v>2.202088E-2</v>
      </c>
      <c r="H62" s="14">
        <v>5.9180999999999999</v>
      </c>
    </row>
    <row r="63" spans="1:8" x14ac:dyDescent="0.2">
      <c r="A63" s="22">
        <v>8</v>
      </c>
      <c r="B63" s="23" t="s">
        <v>514</v>
      </c>
      <c r="C63" s="23" t="s">
        <v>515</v>
      </c>
      <c r="D63" s="23" t="s">
        <v>107</v>
      </c>
      <c r="E63" s="24">
        <v>1000</v>
      </c>
      <c r="F63" s="25">
        <v>4894.375</v>
      </c>
      <c r="G63" s="26">
        <v>2.1992580000000001E-2</v>
      </c>
      <c r="H63" s="14">
        <v>5.9225000000000003</v>
      </c>
    </row>
    <row r="64" spans="1:8" x14ac:dyDescent="0.2">
      <c r="A64" s="22">
        <v>9</v>
      </c>
      <c r="B64" s="23" t="s">
        <v>210</v>
      </c>
      <c r="C64" s="23" t="s">
        <v>211</v>
      </c>
      <c r="D64" s="23" t="s">
        <v>107</v>
      </c>
      <c r="E64" s="24">
        <v>1000</v>
      </c>
      <c r="F64" s="25">
        <v>4894.1149999999998</v>
      </c>
      <c r="G64" s="26">
        <v>2.1991409999999999E-2</v>
      </c>
      <c r="H64" s="14">
        <v>6.2675000000000001</v>
      </c>
    </row>
    <row r="65" spans="1:8" x14ac:dyDescent="0.2">
      <c r="A65" s="22">
        <v>10</v>
      </c>
      <c r="B65" s="23" t="s">
        <v>212</v>
      </c>
      <c r="C65" s="23" t="s">
        <v>213</v>
      </c>
      <c r="D65" s="23" t="s">
        <v>107</v>
      </c>
      <c r="E65" s="24">
        <v>1000</v>
      </c>
      <c r="F65" s="25">
        <v>4890.4399999999996</v>
      </c>
      <c r="G65" s="26">
        <v>2.197489E-2</v>
      </c>
      <c r="H65" s="14">
        <v>5.9686000000000003</v>
      </c>
    </row>
    <row r="66" spans="1:8" x14ac:dyDescent="0.2">
      <c r="A66" s="22">
        <v>11</v>
      </c>
      <c r="B66" s="23" t="s">
        <v>516</v>
      </c>
      <c r="C66" s="23" t="s">
        <v>517</v>
      </c>
      <c r="D66" s="23" t="s">
        <v>107</v>
      </c>
      <c r="E66" s="24">
        <v>1000</v>
      </c>
      <c r="F66" s="25">
        <v>4850.9399999999996</v>
      </c>
      <c r="G66" s="26">
        <v>2.1797400000000001E-2</v>
      </c>
      <c r="H66" s="14">
        <v>6.03</v>
      </c>
    </row>
    <row r="67" spans="1:8" x14ac:dyDescent="0.2">
      <c r="A67" s="22">
        <v>12</v>
      </c>
      <c r="B67" s="23" t="s">
        <v>214</v>
      </c>
      <c r="C67" s="23" t="s">
        <v>215</v>
      </c>
      <c r="D67" s="23" t="s">
        <v>107</v>
      </c>
      <c r="E67" s="24">
        <v>1000</v>
      </c>
      <c r="F67" s="25">
        <v>4850.16</v>
      </c>
      <c r="G67" s="26">
        <v>2.1793900000000001E-2</v>
      </c>
      <c r="H67" s="14">
        <v>6.0301</v>
      </c>
    </row>
    <row r="68" spans="1:8" x14ac:dyDescent="0.2">
      <c r="A68" s="22">
        <v>13</v>
      </c>
      <c r="B68" s="23" t="s">
        <v>518</v>
      </c>
      <c r="C68" s="23" t="s">
        <v>519</v>
      </c>
      <c r="D68" s="23" t="s">
        <v>107</v>
      </c>
      <c r="E68" s="24">
        <v>1000</v>
      </c>
      <c r="F68" s="25">
        <v>4842.3999999999996</v>
      </c>
      <c r="G68" s="26">
        <v>2.1759029999999999E-2</v>
      </c>
      <c r="H68" s="14">
        <v>6.3525</v>
      </c>
    </row>
    <row r="69" spans="1:8" x14ac:dyDescent="0.2">
      <c r="A69" s="22">
        <v>14</v>
      </c>
      <c r="B69" s="23" t="s">
        <v>220</v>
      </c>
      <c r="C69" s="23" t="s">
        <v>221</v>
      </c>
      <c r="D69" s="23" t="s">
        <v>107</v>
      </c>
      <c r="E69" s="24">
        <v>1000</v>
      </c>
      <c r="F69" s="25">
        <v>4839.82</v>
      </c>
      <c r="G69" s="26">
        <v>2.174744E-2</v>
      </c>
      <c r="H69" s="14">
        <v>6.0101000000000004</v>
      </c>
    </row>
    <row r="70" spans="1:8" ht="25.5" x14ac:dyDescent="0.2">
      <c r="A70" s="22">
        <v>15</v>
      </c>
      <c r="B70" s="23" t="s">
        <v>318</v>
      </c>
      <c r="C70" s="23" t="s">
        <v>319</v>
      </c>
      <c r="D70" s="23" t="s">
        <v>107</v>
      </c>
      <c r="E70" s="24">
        <v>800</v>
      </c>
      <c r="F70" s="25">
        <v>3855.8560000000002</v>
      </c>
      <c r="G70" s="26">
        <v>1.7326049999999999E-2</v>
      </c>
      <c r="H70" s="14">
        <v>6.0914999999999999</v>
      </c>
    </row>
    <row r="71" spans="1:8" x14ac:dyDescent="0.2">
      <c r="A71" s="22">
        <v>16</v>
      </c>
      <c r="B71" s="23" t="s">
        <v>238</v>
      </c>
      <c r="C71" s="23" t="s">
        <v>239</v>
      </c>
      <c r="D71" s="23" t="s">
        <v>107</v>
      </c>
      <c r="E71" s="24">
        <v>700</v>
      </c>
      <c r="F71" s="25">
        <v>3422.8040000000001</v>
      </c>
      <c r="G71" s="26">
        <v>1.538016E-2</v>
      </c>
      <c r="H71" s="14">
        <v>5.9225000000000003</v>
      </c>
    </row>
    <row r="72" spans="1:8" x14ac:dyDescent="0.2">
      <c r="A72" s="22">
        <v>17</v>
      </c>
      <c r="B72" s="23" t="s">
        <v>240</v>
      </c>
      <c r="C72" s="23" t="s">
        <v>241</v>
      </c>
      <c r="D72" s="23" t="s">
        <v>107</v>
      </c>
      <c r="E72" s="24">
        <v>700</v>
      </c>
      <c r="F72" s="25">
        <v>3398.7660000000001</v>
      </c>
      <c r="G72" s="26">
        <v>1.527215E-2</v>
      </c>
      <c r="H72" s="14">
        <v>6.2125000000000004</v>
      </c>
    </row>
    <row r="73" spans="1:8" x14ac:dyDescent="0.2">
      <c r="A73" s="22">
        <v>18</v>
      </c>
      <c r="B73" s="23" t="s">
        <v>242</v>
      </c>
      <c r="C73" s="23" t="s">
        <v>243</v>
      </c>
      <c r="D73" s="23" t="s">
        <v>107</v>
      </c>
      <c r="E73" s="24">
        <v>700</v>
      </c>
      <c r="F73" s="25">
        <v>3384.2655</v>
      </c>
      <c r="G73" s="26">
        <v>1.520699E-2</v>
      </c>
      <c r="H73" s="14">
        <v>6.03</v>
      </c>
    </row>
    <row r="74" spans="1:8" x14ac:dyDescent="0.2">
      <c r="A74" s="22">
        <v>19</v>
      </c>
      <c r="B74" s="23" t="s">
        <v>314</v>
      </c>
      <c r="C74" s="23" t="s">
        <v>315</v>
      </c>
      <c r="D74" s="23" t="s">
        <v>107</v>
      </c>
      <c r="E74" s="24">
        <v>600</v>
      </c>
      <c r="F74" s="25">
        <v>2852.3879999999999</v>
      </c>
      <c r="G74" s="26">
        <v>1.281703E-2</v>
      </c>
      <c r="H74" s="14">
        <v>6.36</v>
      </c>
    </row>
    <row r="75" spans="1:8" x14ac:dyDescent="0.2">
      <c r="A75" s="22">
        <v>20</v>
      </c>
      <c r="B75" s="23" t="s">
        <v>520</v>
      </c>
      <c r="C75" s="23" t="s">
        <v>521</v>
      </c>
      <c r="D75" s="23" t="s">
        <v>107</v>
      </c>
      <c r="E75" s="24">
        <v>500</v>
      </c>
      <c r="F75" s="25">
        <v>2453.2399999999998</v>
      </c>
      <c r="G75" s="26">
        <v>1.102348E-2</v>
      </c>
      <c r="H75" s="14">
        <v>5.9974999999999996</v>
      </c>
    </row>
    <row r="76" spans="1:8" x14ac:dyDescent="0.2">
      <c r="A76" s="22">
        <v>21</v>
      </c>
      <c r="B76" s="23" t="s">
        <v>522</v>
      </c>
      <c r="C76" s="23" t="s">
        <v>523</v>
      </c>
      <c r="D76" s="23" t="s">
        <v>107</v>
      </c>
      <c r="E76" s="24">
        <v>500</v>
      </c>
      <c r="F76" s="25">
        <v>2450.0749999999998</v>
      </c>
      <c r="G76" s="26">
        <v>1.100926E-2</v>
      </c>
      <c r="H76" s="14">
        <v>5.95</v>
      </c>
    </row>
    <row r="77" spans="1:8" x14ac:dyDescent="0.2">
      <c r="A77" s="22">
        <v>22</v>
      </c>
      <c r="B77" s="23" t="s">
        <v>185</v>
      </c>
      <c r="C77" s="23" t="s">
        <v>186</v>
      </c>
      <c r="D77" s="23" t="s">
        <v>107</v>
      </c>
      <c r="E77" s="24">
        <v>500</v>
      </c>
      <c r="F77" s="25">
        <v>2449.85</v>
      </c>
      <c r="G77" s="26">
        <v>1.1008250000000001E-2</v>
      </c>
      <c r="H77" s="14">
        <v>5.93</v>
      </c>
    </row>
    <row r="78" spans="1:8" x14ac:dyDescent="0.2">
      <c r="A78" s="22">
        <v>23</v>
      </c>
      <c r="B78" s="23" t="s">
        <v>102</v>
      </c>
      <c r="C78" s="23" t="s">
        <v>103</v>
      </c>
      <c r="D78" s="23" t="s">
        <v>104</v>
      </c>
      <c r="E78" s="24">
        <v>500</v>
      </c>
      <c r="F78" s="25">
        <v>2444.8975</v>
      </c>
      <c r="G78" s="26">
        <v>1.0985999999999999E-2</v>
      </c>
      <c r="H78" s="14">
        <v>5.9181999999999997</v>
      </c>
    </row>
    <row r="79" spans="1:8" ht="25.5" x14ac:dyDescent="0.2">
      <c r="A79" s="22">
        <v>24</v>
      </c>
      <c r="B79" s="23" t="s">
        <v>524</v>
      </c>
      <c r="C79" s="23" t="s">
        <v>525</v>
      </c>
      <c r="D79" s="23" t="s">
        <v>107</v>
      </c>
      <c r="E79" s="24">
        <v>500</v>
      </c>
      <c r="F79" s="25">
        <v>2433.1624999999999</v>
      </c>
      <c r="G79" s="26">
        <v>1.093327E-2</v>
      </c>
      <c r="H79" s="14">
        <v>6.0766999999999998</v>
      </c>
    </row>
    <row r="80" spans="1:8" ht="25.5" x14ac:dyDescent="0.2">
      <c r="A80" s="22">
        <v>25</v>
      </c>
      <c r="B80" s="23" t="s">
        <v>216</v>
      </c>
      <c r="C80" s="23" t="s">
        <v>217</v>
      </c>
      <c r="D80" s="23" t="s">
        <v>107</v>
      </c>
      <c r="E80" s="24">
        <v>500</v>
      </c>
      <c r="F80" s="25">
        <v>2424.0275000000001</v>
      </c>
      <c r="G80" s="26">
        <v>1.0892219999999999E-2</v>
      </c>
      <c r="H80" s="14">
        <v>6.085</v>
      </c>
    </row>
    <row r="81" spans="1:8" x14ac:dyDescent="0.2">
      <c r="A81" s="22">
        <v>26</v>
      </c>
      <c r="B81" s="23" t="s">
        <v>226</v>
      </c>
      <c r="C81" s="23" t="s">
        <v>227</v>
      </c>
      <c r="D81" s="23" t="s">
        <v>107</v>
      </c>
      <c r="E81" s="24">
        <v>500</v>
      </c>
      <c r="F81" s="25">
        <v>2415.3474999999999</v>
      </c>
      <c r="G81" s="26">
        <v>1.085322E-2</v>
      </c>
      <c r="H81" s="14">
        <v>6.21</v>
      </c>
    </row>
    <row r="82" spans="1:8" ht="25.5" x14ac:dyDescent="0.2">
      <c r="A82" s="22">
        <v>27</v>
      </c>
      <c r="B82" s="23" t="s">
        <v>192</v>
      </c>
      <c r="C82" s="23" t="s">
        <v>193</v>
      </c>
      <c r="D82" s="23" t="s">
        <v>107</v>
      </c>
      <c r="E82" s="24">
        <v>500</v>
      </c>
      <c r="F82" s="25">
        <v>2411.2350000000001</v>
      </c>
      <c r="G82" s="26">
        <v>1.0834740000000001E-2</v>
      </c>
      <c r="H82" s="14">
        <v>6.08</v>
      </c>
    </row>
    <row r="83" spans="1:8" x14ac:dyDescent="0.2">
      <c r="A83" s="22">
        <v>28</v>
      </c>
      <c r="B83" s="23" t="s">
        <v>228</v>
      </c>
      <c r="C83" s="23" t="s">
        <v>229</v>
      </c>
      <c r="D83" s="23" t="s">
        <v>107</v>
      </c>
      <c r="E83" s="24">
        <v>500</v>
      </c>
      <c r="F83" s="25">
        <v>2411</v>
      </c>
      <c r="G83" s="26">
        <v>1.083368E-2</v>
      </c>
      <c r="H83" s="14">
        <v>6.0151000000000003</v>
      </c>
    </row>
    <row r="84" spans="1:8" ht="25.5" x14ac:dyDescent="0.2">
      <c r="A84" s="22">
        <v>29</v>
      </c>
      <c r="B84" s="23" t="s">
        <v>526</v>
      </c>
      <c r="C84" s="23" t="s">
        <v>527</v>
      </c>
      <c r="D84" s="23" t="s">
        <v>107</v>
      </c>
      <c r="E84" s="24">
        <v>500</v>
      </c>
      <c r="F84" s="25">
        <v>2410.9175</v>
      </c>
      <c r="G84" s="26">
        <v>1.0833310000000001E-2</v>
      </c>
      <c r="H84" s="14">
        <v>6.0750999999999999</v>
      </c>
    </row>
    <row r="85" spans="1:8" x14ac:dyDescent="0.2">
      <c r="A85" s="22">
        <v>30</v>
      </c>
      <c r="B85" s="23" t="s">
        <v>230</v>
      </c>
      <c r="C85" s="23" t="s">
        <v>231</v>
      </c>
      <c r="D85" s="23" t="s">
        <v>107</v>
      </c>
      <c r="E85" s="24">
        <v>500</v>
      </c>
      <c r="F85" s="25">
        <v>2410.7150000000001</v>
      </c>
      <c r="G85" s="26">
        <v>1.0832400000000001E-2</v>
      </c>
      <c r="H85" s="14">
        <v>6.0350000000000001</v>
      </c>
    </row>
    <row r="86" spans="1:8" x14ac:dyDescent="0.2">
      <c r="A86" s="22">
        <v>31</v>
      </c>
      <c r="B86" s="23" t="s">
        <v>232</v>
      </c>
      <c r="C86" s="23" t="s">
        <v>233</v>
      </c>
      <c r="D86" s="23" t="s">
        <v>107</v>
      </c>
      <c r="E86" s="24">
        <v>500</v>
      </c>
      <c r="F86" s="25">
        <v>2381.16</v>
      </c>
      <c r="G86" s="26">
        <v>1.06996E-2</v>
      </c>
      <c r="H86" s="14">
        <v>6.26</v>
      </c>
    </row>
    <row r="87" spans="1:8" ht="25.5" x14ac:dyDescent="0.2">
      <c r="A87" s="22">
        <v>32</v>
      </c>
      <c r="B87" s="23" t="s">
        <v>320</v>
      </c>
      <c r="C87" s="23" t="s">
        <v>321</v>
      </c>
      <c r="D87" s="23" t="s">
        <v>107</v>
      </c>
      <c r="E87" s="24">
        <v>400</v>
      </c>
      <c r="F87" s="25">
        <v>1924.2139999999999</v>
      </c>
      <c r="G87" s="26">
        <v>8.6463400000000006E-3</v>
      </c>
      <c r="H87" s="14">
        <v>6.0914999999999999</v>
      </c>
    </row>
    <row r="88" spans="1:8" x14ac:dyDescent="0.2">
      <c r="A88" s="22">
        <v>33</v>
      </c>
      <c r="B88" s="23" t="s">
        <v>316</v>
      </c>
      <c r="C88" s="23" t="s">
        <v>317</v>
      </c>
      <c r="D88" s="23" t="s">
        <v>107</v>
      </c>
      <c r="E88" s="24">
        <v>300</v>
      </c>
      <c r="F88" s="25">
        <v>1454.2545</v>
      </c>
      <c r="G88" s="26">
        <v>6.5345999999999998E-3</v>
      </c>
      <c r="H88" s="14">
        <v>6.0749000000000004</v>
      </c>
    </row>
    <row r="89" spans="1:8" ht="25.5" x14ac:dyDescent="0.2">
      <c r="A89" s="22">
        <v>34</v>
      </c>
      <c r="B89" s="23" t="s">
        <v>244</v>
      </c>
      <c r="C89" s="23" t="s">
        <v>245</v>
      </c>
      <c r="D89" s="23" t="s">
        <v>107</v>
      </c>
      <c r="E89" s="24">
        <v>300</v>
      </c>
      <c r="F89" s="25">
        <v>1454.241</v>
      </c>
      <c r="G89" s="26">
        <v>6.5345400000000001E-3</v>
      </c>
      <c r="H89" s="14">
        <v>6.0766999999999998</v>
      </c>
    </row>
    <row r="90" spans="1:8" ht="25.5" x14ac:dyDescent="0.2">
      <c r="A90" s="22">
        <v>35</v>
      </c>
      <c r="B90" s="23" t="s">
        <v>200</v>
      </c>
      <c r="C90" s="23" t="s">
        <v>201</v>
      </c>
      <c r="D90" s="23" t="s">
        <v>107</v>
      </c>
      <c r="E90" s="24">
        <v>100</v>
      </c>
      <c r="F90" s="25">
        <v>481.01049999999998</v>
      </c>
      <c r="G90" s="26">
        <v>2.16139E-3</v>
      </c>
      <c r="H90" s="14">
        <v>6.08</v>
      </c>
    </row>
    <row r="91" spans="1:8" x14ac:dyDescent="0.2">
      <c r="A91" s="15"/>
      <c r="B91" s="15"/>
      <c r="C91" s="16" t="s">
        <v>11</v>
      </c>
      <c r="D91" s="15"/>
      <c r="E91" s="15" t="s">
        <v>12</v>
      </c>
      <c r="F91" s="21">
        <v>137444.46849999999</v>
      </c>
      <c r="G91" s="18">
        <v>0.61759832999999997</v>
      </c>
      <c r="H91" s="14" t="s">
        <v>12</v>
      </c>
    </row>
    <row r="92" spans="1:8" x14ac:dyDescent="0.2">
      <c r="A92" s="15"/>
      <c r="B92" s="15"/>
      <c r="C92" s="19"/>
      <c r="D92" s="15"/>
      <c r="E92" s="15"/>
      <c r="F92" s="20"/>
      <c r="G92" s="20"/>
      <c r="H92" s="14" t="s">
        <v>12</v>
      </c>
    </row>
    <row r="93" spans="1:8" x14ac:dyDescent="0.2">
      <c r="A93" s="15"/>
      <c r="B93" s="15"/>
      <c r="C93" s="16" t="s">
        <v>108</v>
      </c>
      <c r="D93" s="15"/>
      <c r="E93" s="15"/>
      <c r="F93" s="20"/>
      <c r="G93" s="20"/>
      <c r="H93" s="14" t="s">
        <v>12</v>
      </c>
    </row>
    <row r="94" spans="1:8" ht="25.5" x14ac:dyDescent="0.2">
      <c r="A94" s="22">
        <v>1</v>
      </c>
      <c r="B94" s="23" t="s">
        <v>266</v>
      </c>
      <c r="C94" s="23" t="s">
        <v>267</v>
      </c>
      <c r="D94" s="23" t="s">
        <v>107</v>
      </c>
      <c r="E94" s="24">
        <v>1100</v>
      </c>
      <c r="F94" s="25">
        <v>5306.7905000000001</v>
      </c>
      <c r="G94" s="26">
        <v>2.3845740000000001E-2</v>
      </c>
      <c r="H94" s="14">
        <v>6.78</v>
      </c>
    </row>
    <row r="95" spans="1:8" x14ac:dyDescent="0.2">
      <c r="A95" s="22">
        <v>2</v>
      </c>
      <c r="B95" s="23" t="s">
        <v>528</v>
      </c>
      <c r="C95" s="23" t="s">
        <v>529</v>
      </c>
      <c r="D95" s="23" t="s">
        <v>107</v>
      </c>
      <c r="E95" s="24">
        <v>1000</v>
      </c>
      <c r="F95" s="25">
        <v>4733.3649999999998</v>
      </c>
      <c r="G95" s="26">
        <v>2.1269090000000001E-2</v>
      </c>
      <c r="H95" s="14">
        <v>6.59</v>
      </c>
    </row>
    <row r="96" spans="1:8" ht="25.5" x14ac:dyDescent="0.2">
      <c r="A96" s="22">
        <v>3</v>
      </c>
      <c r="B96" s="23" t="s">
        <v>268</v>
      </c>
      <c r="C96" s="23" t="s">
        <v>269</v>
      </c>
      <c r="D96" s="23" t="s">
        <v>107</v>
      </c>
      <c r="E96" s="24">
        <v>700</v>
      </c>
      <c r="F96" s="25">
        <v>3435.8519999999999</v>
      </c>
      <c r="G96" s="26">
        <v>1.5438790000000001E-2</v>
      </c>
      <c r="H96" s="14">
        <v>6.49</v>
      </c>
    </row>
    <row r="97" spans="1:8" x14ac:dyDescent="0.2">
      <c r="A97" s="22">
        <v>4</v>
      </c>
      <c r="B97" s="23" t="s">
        <v>270</v>
      </c>
      <c r="C97" s="23" t="s">
        <v>271</v>
      </c>
      <c r="D97" s="23" t="s">
        <v>107</v>
      </c>
      <c r="E97" s="24">
        <v>700</v>
      </c>
      <c r="F97" s="25">
        <v>3420.13</v>
      </c>
      <c r="G97" s="26">
        <v>1.5368150000000001E-2</v>
      </c>
      <c r="H97" s="14">
        <v>6.7649999999999997</v>
      </c>
    </row>
    <row r="98" spans="1:8" x14ac:dyDescent="0.2">
      <c r="A98" s="22">
        <v>5</v>
      </c>
      <c r="B98" s="23" t="s">
        <v>272</v>
      </c>
      <c r="C98" s="23" t="s">
        <v>273</v>
      </c>
      <c r="D98" s="23" t="s">
        <v>107</v>
      </c>
      <c r="E98" s="24">
        <v>700</v>
      </c>
      <c r="F98" s="25">
        <v>3376.5234999999998</v>
      </c>
      <c r="G98" s="26">
        <v>1.51722E-2</v>
      </c>
      <c r="H98" s="14">
        <v>7.0625</v>
      </c>
    </row>
    <row r="99" spans="1:8" ht="25.5" x14ac:dyDescent="0.2">
      <c r="A99" s="22">
        <v>6</v>
      </c>
      <c r="B99" s="23" t="s">
        <v>274</v>
      </c>
      <c r="C99" s="23" t="s">
        <v>275</v>
      </c>
      <c r="D99" s="23" t="s">
        <v>107</v>
      </c>
      <c r="E99" s="24">
        <v>600</v>
      </c>
      <c r="F99" s="25">
        <v>2843.8919999999998</v>
      </c>
      <c r="G99" s="26">
        <v>1.277886E-2</v>
      </c>
      <c r="H99" s="14">
        <v>6.8150000000000004</v>
      </c>
    </row>
    <row r="100" spans="1:8" x14ac:dyDescent="0.2">
      <c r="A100" s="22">
        <v>7</v>
      </c>
      <c r="B100" s="23" t="s">
        <v>258</v>
      </c>
      <c r="C100" s="23" t="s">
        <v>259</v>
      </c>
      <c r="D100" s="23" t="s">
        <v>107</v>
      </c>
      <c r="E100" s="24">
        <v>500</v>
      </c>
      <c r="F100" s="25">
        <v>2418.2350000000001</v>
      </c>
      <c r="G100" s="26">
        <v>1.086619E-2</v>
      </c>
      <c r="H100" s="14">
        <v>6.14</v>
      </c>
    </row>
    <row r="101" spans="1:8" x14ac:dyDescent="0.2">
      <c r="A101" s="22">
        <v>8</v>
      </c>
      <c r="B101" s="23" t="s">
        <v>260</v>
      </c>
      <c r="C101" s="23" t="s">
        <v>261</v>
      </c>
      <c r="D101" s="23" t="s">
        <v>107</v>
      </c>
      <c r="E101" s="24">
        <v>500</v>
      </c>
      <c r="F101" s="25">
        <v>2403.2775000000001</v>
      </c>
      <c r="G101" s="26">
        <v>1.079898E-2</v>
      </c>
      <c r="H101" s="14">
        <v>7.0625</v>
      </c>
    </row>
    <row r="102" spans="1:8" ht="25.5" x14ac:dyDescent="0.2">
      <c r="A102" s="22">
        <v>9</v>
      </c>
      <c r="B102" s="23" t="s">
        <v>530</v>
      </c>
      <c r="C102" s="23" t="s">
        <v>531</v>
      </c>
      <c r="D102" s="23" t="s">
        <v>107</v>
      </c>
      <c r="E102" s="24">
        <v>500</v>
      </c>
      <c r="F102" s="25">
        <v>2367.395</v>
      </c>
      <c r="G102" s="26">
        <v>1.063775E-2</v>
      </c>
      <c r="H102" s="14">
        <v>6.8150000000000004</v>
      </c>
    </row>
    <row r="103" spans="1:8" ht="25.5" x14ac:dyDescent="0.2">
      <c r="A103" s="22">
        <v>10</v>
      </c>
      <c r="B103" s="23" t="s">
        <v>250</v>
      </c>
      <c r="C103" s="23" t="s">
        <v>251</v>
      </c>
      <c r="D103" s="23" t="s">
        <v>107</v>
      </c>
      <c r="E103" s="24">
        <v>300</v>
      </c>
      <c r="F103" s="25">
        <v>1462.3305</v>
      </c>
      <c r="G103" s="26">
        <v>6.5708900000000002E-3</v>
      </c>
      <c r="H103" s="14">
        <v>6.5750000000000002</v>
      </c>
    </row>
    <row r="104" spans="1:8" x14ac:dyDescent="0.2">
      <c r="A104" s="22">
        <v>11</v>
      </c>
      <c r="B104" s="23" t="s">
        <v>248</v>
      </c>
      <c r="C104" s="23" t="s">
        <v>249</v>
      </c>
      <c r="D104" s="23" t="s">
        <v>107</v>
      </c>
      <c r="E104" s="24">
        <v>200</v>
      </c>
      <c r="F104" s="25">
        <v>963.69799999999998</v>
      </c>
      <c r="G104" s="26">
        <v>4.3303200000000003E-3</v>
      </c>
      <c r="H104" s="14">
        <v>6.4250999999999996</v>
      </c>
    </row>
    <row r="105" spans="1:8" x14ac:dyDescent="0.2">
      <c r="A105" s="15"/>
      <c r="B105" s="15"/>
      <c r="C105" s="16" t="s">
        <v>11</v>
      </c>
      <c r="D105" s="15"/>
      <c r="E105" s="15" t="s">
        <v>12</v>
      </c>
      <c r="F105" s="21">
        <v>32731.489000000001</v>
      </c>
      <c r="G105" s="18">
        <v>0.14707696000000001</v>
      </c>
      <c r="H105" s="14" t="s">
        <v>12</v>
      </c>
    </row>
    <row r="106" spans="1:8" x14ac:dyDescent="0.2">
      <c r="A106" s="15"/>
      <c r="B106" s="15"/>
      <c r="C106" s="19"/>
      <c r="D106" s="15"/>
      <c r="E106" s="15"/>
      <c r="F106" s="20"/>
      <c r="G106" s="20"/>
      <c r="H106" s="14" t="s">
        <v>12</v>
      </c>
    </row>
    <row r="107" spans="1:8" x14ac:dyDescent="0.2">
      <c r="A107" s="15"/>
      <c r="B107" s="15"/>
      <c r="C107" s="16" t="s">
        <v>109</v>
      </c>
      <c r="D107" s="15"/>
      <c r="E107" s="15"/>
      <c r="F107" s="20"/>
      <c r="G107" s="20"/>
      <c r="H107" s="14" t="s">
        <v>12</v>
      </c>
    </row>
    <row r="108" spans="1:8" x14ac:dyDescent="0.2">
      <c r="A108" s="22">
        <v>1</v>
      </c>
      <c r="B108" s="23" t="s">
        <v>532</v>
      </c>
      <c r="C108" s="23" t="s">
        <v>533</v>
      </c>
      <c r="D108" s="23" t="s">
        <v>83</v>
      </c>
      <c r="E108" s="24">
        <v>5000000</v>
      </c>
      <c r="F108" s="25">
        <v>4934.54</v>
      </c>
      <c r="G108" s="26">
        <v>2.217305E-2</v>
      </c>
      <c r="H108" s="14">
        <v>5.38</v>
      </c>
    </row>
    <row r="109" spans="1:8" x14ac:dyDescent="0.2">
      <c r="A109" s="22">
        <v>2</v>
      </c>
      <c r="B109" s="23" t="s">
        <v>534</v>
      </c>
      <c r="C109" s="23" t="s">
        <v>535</v>
      </c>
      <c r="D109" s="23" t="s">
        <v>83</v>
      </c>
      <c r="E109" s="24">
        <v>3000000</v>
      </c>
      <c r="F109" s="25">
        <v>2982.1709999999998</v>
      </c>
      <c r="G109" s="26">
        <v>1.3400199999999999E-2</v>
      </c>
      <c r="H109" s="14">
        <v>5.3226000000000004</v>
      </c>
    </row>
    <row r="110" spans="1:8" x14ac:dyDescent="0.2">
      <c r="A110" s="22">
        <v>3</v>
      </c>
      <c r="B110" s="23" t="s">
        <v>536</v>
      </c>
      <c r="C110" s="23" t="s">
        <v>537</v>
      </c>
      <c r="D110" s="23" t="s">
        <v>83</v>
      </c>
      <c r="E110" s="24">
        <v>1000000</v>
      </c>
      <c r="F110" s="25">
        <v>1000</v>
      </c>
      <c r="G110" s="26">
        <v>4.4934399999999996E-3</v>
      </c>
      <c r="H110" s="14">
        <v>5.2938999999999998</v>
      </c>
    </row>
    <row r="111" spans="1:8" x14ac:dyDescent="0.2">
      <c r="A111" s="15"/>
      <c r="B111" s="15"/>
      <c r="C111" s="16" t="s">
        <v>11</v>
      </c>
      <c r="D111" s="15"/>
      <c r="E111" s="15" t="s">
        <v>12</v>
      </c>
      <c r="F111" s="21">
        <v>8916.7109999999993</v>
      </c>
      <c r="G111" s="18">
        <v>4.0066690000000002E-2</v>
      </c>
      <c r="H111" s="14" t="s">
        <v>12</v>
      </c>
    </row>
    <row r="112" spans="1:8" x14ac:dyDescent="0.2">
      <c r="A112" s="15"/>
      <c r="B112" s="15"/>
      <c r="C112" s="19"/>
      <c r="D112" s="15"/>
      <c r="E112" s="15"/>
      <c r="F112" s="20"/>
      <c r="G112" s="20"/>
      <c r="H112" s="14" t="s">
        <v>12</v>
      </c>
    </row>
    <row r="113" spans="1:17" x14ac:dyDescent="0.2">
      <c r="A113" s="15"/>
      <c r="B113" s="15"/>
      <c r="C113" s="16" t="s">
        <v>110</v>
      </c>
      <c r="D113" s="15"/>
      <c r="E113" s="15"/>
      <c r="F113" s="20"/>
      <c r="G113" s="20"/>
      <c r="H113" s="14" t="s">
        <v>12</v>
      </c>
    </row>
    <row r="114" spans="1:17" x14ac:dyDescent="0.2">
      <c r="A114" s="22">
        <v>1</v>
      </c>
      <c r="B114" s="23"/>
      <c r="C114" s="23" t="s">
        <v>111</v>
      </c>
      <c r="D114" s="23"/>
      <c r="E114" s="27"/>
      <c r="F114" s="25">
        <v>14601.713808031</v>
      </c>
      <c r="G114" s="26">
        <v>6.5611909999999996E-2</v>
      </c>
      <c r="H114" s="14">
        <v>5.41</v>
      </c>
    </row>
    <row r="115" spans="1:17" x14ac:dyDescent="0.2">
      <c r="A115" s="15"/>
      <c r="B115" s="15"/>
      <c r="C115" s="16" t="s">
        <v>11</v>
      </c>
      <c r="D115" s="15"/>
      <c r="E115" s="15" t="s">
        <v>12</v>
      </c>
      <c r="F115" s="21">
        <v>14601.713808031</v>
      </c>
      <c r="G115" s="18">
        <v>6.5611909999999996E-2</v>
      </c>
      <c r="H115" s="14" t="s">
        <v>12</v>
      </c>
    </row>
    <row r="116" spans="1:17" x14ac:dyDescent="0.2">
      <c r="A116" s="15"/>
      <c r="B116" s="15"/>
      <c r="C116" s="19"/>
      <c r="D116" s="15"/>
      <c r="E116" s="15"/>
      <c r="F116" s="20"/>
      <c r="G116" s="20"/>
      <c r="H116" s="14" t="s">
        <v>12</v>
      </c>
    </row>
    <row r="117" spans="1:17" x14ac:dyDescent="0.2">
      <c r="A117" s="15"/>
      <c r="B117" s="15"/>
      <c r="C117" s="16" t="s">
        <v>112</v>
      </c>
      <c r="D117" s="15"/>
      <c r="E117" s="15"/>
      <c r="F117" s="21">
        <v>193694.382308031</v>
      </c>
      <c r="G117" s="18">
        <v>0.87035388999999996</v>
      </c>
      <c r="H117" s="14" t="s">
        <v>12</v>
      </c>
    </row>
    <row r="118" spans="1:17" x14ac:dyDescent="0.2">
      <c r="A118" s="15"/>
      <c r="B118" s="15"/>
      <c r="C118" s="20"/>
      <c r="D118" s="15"/>
      <c r="E118" s="15"/>
      <c r="F118" s="15"/>
      <c r="G118" s="15"/>
      <c r="H118" s="14" t="s">
        <v>12</v>
      </c>
    </row>
    <row r="119" spans="1:17" x14ac:dyDescent="0.2">
      <c r="A119" s="15"/>
      <c r="B119" s="15"/>
      <c r="C119" s="16" t="s">
        <v>113</v>
      </c>
      <c r="D119" s="15"/>
      <c r="E119" s="15"/>
      <c r="F119" s="15"/>
      <c r="G119" s="15"/>
      <c r="H119" s="14" t="s">
        <v>12</v>
      </c>
    </row>
    <row r="120" spans="1:17" x14ac:dyDescent="0.2">
      <c r="A120" s="15"/>
      <c r="B120" s="15"/>
      <c r="C120" s="16" t="s">
        <v>114</v>
      </c>
      <c r="D120" s="15"/>
      <c r="E120" s="15"/>
      <c r="F120" s="15"/>
      <c r="G120" s="15"/>
      <c r="H120" s="14" t="s">
        <v>12</v>
      </c>
    </row>
    <row r="121" spans="1:17" x14ac:dyDescent="0.2">
      <c r="A121" s="15"/>
      <c r="B121" s="15"/>
      <c r="C121" s="16" t="s">
        <v>11</v>
      </c>
      <c r="D121" s="15"/>
      <c r="E121" s="15" t="s">
        <v>12</v>
      </c>
      <c r="F121" s="17" t="s">
        <v>13</v>
      </c>
      <c r="G121" s="18">
        <v>0</v>
      </c>
      <c r="H121" s="14" t="s">
        <v>12</v>
      </c>
    </row>
    <row r="122" spans="1:17" x14ac:dyDescent="0.2">
      <c r="A122" s="12"/>
      <c r="B122" s="12"/>
      <c r="C122" s="28"/>
      <c r="D122" s="12"/>
      <c r="E122" s="12"/>
      <c r="F122" s="29"/>
      <c r="G122" s="29"/>
      <c r="H122" s="14" t="s">
        <v>12</v>
      </c>
    </row>
    <row r="123" spans="1:17" x14ac:dyDescent="0.2">
      <c r="A123" s="12"/>
      <c r="B123" s="12"/>
      <c r="C123" s="13" t="s">
        <v>608</v>
      </c>
      <c r="D123" s="12"/>
      <c r="E123" s="12"/>
      <c r="F123" s="29"/>
      <c r="G123" s="29"/>
      <c r="H123" s="14" t="s">
        <v>12</v>
      </c>
      <c r="K123" s="30"/>
      <c r="L123" s="30"/>
      <c r="M123" s="30"/>
      <c r="N123" s="30"/>
      <c r="O123" s="31"/>
      <c r="P123" s="31"/>
      <c r="Q123" s="31"/>
    </row>
    <row r="124" spans="1:17" x14ac:dyDescent="0.2">
      <c r="A124" s="32">
        <v>1</v>
      </c>
      <c r="B124" s="33" t="s">
        <v>115</v>
      </c>
      <c r="C124" s="33" t="s">
        <v>116</v>
      </c>
      <c r="D124" s="33"/>
      <c r="E124" s="34">
        <v>5925.4179999999997</v>
      </c>
      <c r="F124" s="35">
        <v>668.96716586599996</v>
      </c>
      <c r="G124" s="36">
        <v>3.0059599999999998E-3</v>
      </c>
      <c r="H124" s="14"/>
    </row>
    <row r="125" spans="1:17" x14ac:dyDescent="0.2">
      <c r="A125" s="12"/>
      <c r="B125" s="12"/>
      <c r="C125" s="13" t="s">
        <v>11</v>
      </c>
      <c r="D125" s="12"/>
      <c r="E125" s="12" t="s">
        <v>12</v>
      </c>
      <c r="F125" s="37">
        <f>SUM(F124)</f>
        <v>668.96716586599996</v>
      </c>
      <c r="G125" s="38">
        <f>SUM(G124)</f>
        <v>3.0059599999999998E-3</v>
      </c>
      <c r="H125" s="14" t="s">
        <v>12</v>
      </c>
    </row>
    <row r="126" spans="1:17" x14ac:dyDescent="0.2">
      <c r="A126" s="12"/>
      <c r="B126" s="12"/>
      <c r="C126" s="28"/>
      <c r="D126" s="12"/>
      <c r="E126" s="12"/>
      <c r="F126" s="29"/>
      <c r="G126" s="29"/>
      <c r="H126" s="14" t="s">
        <v>12</v>
      </c>
    </row>
    <row r="127" spans="1:17" x14ac:dyDescent="0.2">
      <c r="A127" s="15"/>
      <c r="B127" s="15"/>
      <c r="C127" s="16" t="s">
        <v>117</v>
      </c>
      <c r="D127" s="15"/>
      <c r="E127" s="15"/>
      <c r="F127" s="15"/>
      <c r="G127" s="15"/>
      <c r="H127" s="14" t="s">
        <v>12</v>
      </c>
    </row>
    <row r="128" spans="1:17" x14ac:dyDescent="0.2">
      <c r="A128" s="15"/>
      <c r="B128" s="15"/>
      <c r="C128" s="16" t="s">
        <v>118</v>
      </c>
      <c r="D128" s="15"/>
      <c r="E128" s="15"/>
      <c r="F128" s="15"/>
      <c r="G128" s="15"/>
      <c r="H128" s="14" t="s">
        <v>12</v>
      </c>
    </row>
    <row r="129" spans="1:9" x14ac:dyDescent="0.2">
      <c r="A129" s="15"/>
      <c r="B129" s="15"/>
      <c r="C129" s="16" t="s">
        <v>11</v>
      </c>
      <c r="D129" s="15"/>
      <c r="E129" s="15" t="s">
        <v>12</v>
      </c>
      <c r="F129" s="17" t="s">
        <v>13</v>
      </c>
      <c r="G129" s="18">
        <v>0</v>
      </c>
      <c r="H129" s="14" t="s">
        <v>12</v>
      </c>
    </row>
    <row r="130" spans="1:9" x14ac:dyDescent="0.2">
      <c r="A130" s="15"/>
      <c r="B130" s="15"/>
      <c r="C130" s="19"/>
      <c r="D130" s="15"/>
      <c r="E130" s="15"/>
      <c r="F130" s="20"/>
      <c r="G130" s="20"/>
      <c r="H130" s="14" t="s">
        <v>12</v>
      </c>
    </row>
    <row r="131" spans="1:9" x14ac:dyDescent="0.2">
      <c r="A131" s="15"/>
      <c r="B131" s="15"/>
      <c r="C131" s="16" t="s">
        <v>119</v>
      </c>
      <c r="D131" s="15"/>
      <c r="E131" s="15"/>
      <c r="F131" s="20"/>
      <c r="G131" s="20"/>
      <c r="H131" s="14" t="s">
        <v>12</v>
      </c>
    </row>
    <row r="132" spans="1:9" x14ac:dyDescent="0.2">
      <c r="A132" s="15"/>
      <c r="B132" s="15"/>
      <c r="C132" s="16" t="s">
        <v>11</v>
      </c>
      <c r="D132" s="15"/>
      <c r="E132" s="15" t="s">
        <v>12</v>
      </c>
      <c r="F132" s="17" t="s">
        <v>13</v>
      </c>
      <c r="G132" s="18">
        <v>0</v>
      </c>
      <c r="H132" s="14" t="s">
        <v>12</v>
      </c>
    </row>
    <row r="133" spans="1:9" x14ac:dyDescent="0.2">
      <c r="A133" s="12"/>
      <c r="B133" s="12"/>
      <c r="C133" s="28"/>
      <c r="D133" s="12"/>
      <c r="E133" s="12"/>
      <c r="F133" s="29"/>
      <c r="G133" s="29"/>
      <c r="H133" s="103" t="s">
        <v>12</v>
      </c>
      <c r="I133" s="104"/>
    </row>
    <row r="134" spans="1:9" x14ac:dyDescent="0.2">
      <c r="A134" s="105"/>
      <c r="B134" s="105"/>
      <c r="C134" s="106" t="s">
        <v>701</v>
      </c>
      <c r="D134" s="107"/>
      <c r="E134" s="108"/>
      <c r="F134" s="108"/>
      <c r="G134" s="107"/>
      <c r="H134" s="108"/>
      <c r="I134" s="104"/>
    </row>
    <row r="135" spans="1:9" ht="25.5" x14ac:dyDescent="0.2">
      <c r="A135" s="32"/>
      <c r="B135" s="33"/>
      <c r="C135" s="33" t="s">
        <v>702</v>
      </c>
      <c r="D135" s="33"/>
      <c r="E135" s="73">
        <v>2500000</v>
      </c>
      <c r="F135" s="35">
        <f>-626000/10^5</f>
        <v>-6.26</v>
      </c>
      <c r="G135" s="36" t="s">
        <v>644</v>
      </c>
      <c r="H135" s="14"/>
    </row>
    <row r="136" spans="1:9" ht="25.5" x14ac:dyDescent="0.2">
      <c r="A136" s="32"/>
      <c r="B136" s="33"/>
      <c r="C136" s="33" t="s">
        <v>703</v>
      </c>
      <c r="D136" s="33"/>
      <c r="E136" s="73">
        <v>2500000</v>
      </c>
      <c r="F136" s="35">
        <f>-885250/10^5</f>
        <v>-8.8524999999999991</v>
      </c>
      <c r="G136" s="36" t="s">
        <v>644</v>
      </c>
      <c r="H136" s="14"/>
    </row>
    <row r="137" spans="1:9" ht="25.5" x14ac:dyDescent="0.2">
      <c r="A137" s="32"/>
      <c r="B137" s="33"/>
      <c r="C137" s="33" t="s">
        <v>704</v>
      </c>
      <c r="D137" s="33"/>
      <c r="E137" s="73">
        <v>2500000</v>
      </c>
      <c r="F137" s="35">
        <f>-787500/10^5</f>
        <v>-7.875</v>
      </c>
      <c r="G137" s="36" t="s">
        <v>644</v>
      </c>
      <c r="H137" s="14"/>
    </row>
    <row r="138" spans="1:9" ht="25.5" x14ac:dyDescent="0.2">
      <c r="A138" s="32"/>
      <c r="B138" s="33"/>
      <c r="C138" s="33" t="s">
        <v>705</v>
      </c>
      <c r="D138" s="33"/>
      <c r="E138" s="73">
        <v>2500000</v>
      </c>
      <c r="F138" s="35">
        <f>-19750.0000000298/10^5</f>
        <v>-0.19750000000029799</v>
      </c>
      <c r="G138" s="36" t="s">
        <v>644</v>
      </c>
      <c r="H138" s="14"/>
    </row>
    <row r="139" spans="1:9" x14ac:dyDescent="0.2">
      <c r="A139" s="12"/>
      <c r="B139" s="33"/>
      <c r="C139" s="33"/>
      <c r="D139" s="13"/>
      <c r="E139" s="12"/>
      <c r="F139" s="33"/>
      <c r="G139" s="109"/>
      <c r="H139" s="14" t="s">
        <v>12</v>
      </c>
    </row>
    <row r="140" spans="1:9" x14ac:dyDescent="0.2">
      <c r="A140" s="27"/>
      <c r="B140" s="23"/>
      <c r="C140" s="23" t="s">
        <v>120</v>
      </c>
      <c r="D140" s="23"/>
      <c r="E140" s="27"/>
      <c r="F140" s="25">
        <f>-19016.54784268-F25+2500+2500+2500+2500</f>
        <v>-9016.5578426799984</v>
      </c>
      <c r="G140" s="26">
        <f>F140/F141</f>
        <v>-4.0515352268782896E-2</v>
      </c>
      <c r="H140" s="14" t="s">
        <v>12</v>
      </c>
    </row>
    <row r="141" spans="1:9" x14ac:dyDescent="0.2">
      <c r="A141" s="19"/>
      <c r="B141" s="19"/>
      <c r="C141" s="16" t="s">
        <v>121</v>
      </c>
      <c r="D141" s="20"/>
      <c r="E141" s="20"/>
      <c r="F141" s="21">
        <f>F140+F138+F137+F136+F135+F125+F117+F52+F25</f>
        <v>222546.69743121701</v>
      </c>
      <c r="G141" s="39">
        <f>G140+G125+G117+G52+G25-0.0001</f>
        <v>1.000004137731217</v>
      </c>
      <c r="H141" s="14" t="s">
        <v>12</v>
      </c>
    </row>
    <row r="142" spans="1:9" x14ac:dyDescent="0.2">
      <c r="A142" s="40"/>
      <c r="B142" s="40"/>
      <c r="C142" s="40"/>
      <c r="D142" s="41"/>
      <c r="E142" s="41"/>
      <c r="F142" s="41"/>
      <c r="G142" s="41"/>
    </row>
    <row r="143" spans="1:9" x14ac:dyDescent="0.2">
      <c r="A143" s="42"/>
      <c r="B143" s="156" t="s">
        <v>622</v>
      </c>
      <c r="C143" s="156"/>
      <c r="D143" s="156"/>
      <c r="E143" s="156"/>
      <c r="F143" s="156"/>
      <c r="G143" s="156"/>
      <c r="H143" s="156"/>
    </row>
    <row r="144" spans="1:9" x14ac:dyDescent="0.2">
      <c r="A144" s="42"/>
      <c r="B144" s="156" t="s">
        <v>623</v>
      </c>
      <c r="C144" s="156"/>
      <c r="D144" s="156"/>
      <c r="E144" s="156"/>
      <c r="F144" s="156"/>
      <c r="G144" s="156"/>
      <c r="H144" s="156"/>
    </row>
    <row r="145" spans="1:9" x14ac:dyDescent="0.2">
      <c r="A145" s="42"/>
      <c r="B145" s="156" t="s">
        <v>624</v>
      </c>
      <c r="C145" s="156"/>
      <c r="D145" s="156"/>
      <c r="E145" s="156"/>
      <c r="F145" s="156"/>
      <c r="G145" s="156"/>
      <c r="H145" s="156"/>
    </row>
    <row r="146" spans="1:9" ht="66" customHeight="1" x14ac:dyDescent="0.2">
      <c r="A146" s="42"/>
      <c r="B146" s="219" t="s">
        <v>706</v>
      </c>
      <c r="C146" s="219"/>
      <c r="D146" s="219"/>
      <c r="E146" s="219"/>
      <c r="F146" s="219"/>
      <c r="G146" s="219"/>
      <c r="H146" s="219"/>
      <c r="I146" s="104"/>
    </row>
    <row r="147" spans="1:9" x14ac:dyDescent="0.2">
      <c r="A147" s="42"/>
      <c r="B147" s="42"/>
      <c r="C147" s="42"/>
      <c r="D147" s="44"/>
      <c r="E147" s="44"/>
      <c r="F147" s="44"/>
      <c r="G147" s="44"/>
    </row>
    <row r="148" spans="1:9" x14ac:dyDescent="0.2">
      <c r="A148" s="42"/>
      <c r="B148" s="164" t="s">
        <v>122</v>
      </c>
      <c r="C148" s="165"/>
      <c r="D148" s="166"/>
      <c r="E148" s="45"/>
      <c r="F148" s="44"/>
      <c r="G148" s="44"/>
    </row>
    <row r="149" spans="1:9" ht="27" customHeight="1" x14ac:dyDescent="0.2">
      <c r="A149" s="42"/>
      <c r="B149" s="157" t="s">
        <v>123</v>
      </c>
      <c r="C149" s="158"/>
      <c r="D149" s="110" t="s">
        <v>707</v>
      </c>
      <c r="E149" s="45"/>
      <c r="F149" s="44"/>
      <c r="G149" s="44"/>
    </row>
    <row r="150" spans="1:9" x14ac:dyDescent="0.2">
      <c r="A150" s="42"/>
      <c r="B150" s="157" t="s">
        <v>125</v>
      </c>
      <c r="C150" s="158"/>
      <c r="D150" s="13" t="s">
        <v>124</v>
      </c>
      <c r="E150" s="45"/>
      <c r="F150" s="44"/>
      <c r="G150" s="44"/>
    </row>
    <row r="151" spans="1:9" x14ac:dyDescent="0.2">
      <c r="A151" s="42"/>
      <c r="B151" s="157" t="s">
        <v>126</v>
      </c>
      <c r="C151" s="158"/>
      <c r="D151" s="29" t="s">
        <v>12</v>
      </c>
      <c r="E151" s="45"/>
      <c r="F151" s="44"/>
      <c r="G151" s="44"/>
    </row>
    <row r="152" spans="1:9" x14ac:dyDescent="0.2">
      <c r="A152" s="46"/>
      <c r="B152" s="47" t="s">
        <v>12</v>
      </c>
      <c r="C152" s="47" t="s">
        <v>625</v>
      </c>
      <c r="D152" s="47" t="s">
        <v>127</v>
      </c>
      <c r="E152" s="46"/>
      <c r="F152" s="46"/>
      <c r="G152" s="46"/>
    </row>
    <row r="153" spans="1:9" x14ac:dyDescent="0.2">
      <c r="A153" s="46"/>
      <c r="B153" s="48" t="s">
        <v>128</v>
      </c>
      <c r="C153" s="49">
        <v>45838</v>
      </c>
      <c r="D153" s="49">
        <v>45869</v>
      </c>
      <c r="E153" s="46"/>
      <c r="F153" s="46"/>
      <c r="G153" s="46"/>
    </row>
    <row r="154" spans="1:9" x14ac:dyDescent="0.2">
      <c r="A154" s="50"/>
      <c r="B154" s="23" t="s">
        <v>129</v>
      </c>
      <c r="C154" s="51">
        <v>2931.5954999999999</v>
      </c>
      <c r="D154" s="51">
        <v>2948.7635</v>
      </c>
      <c r="E154" s="50"/>
      <c r="F154" s="52"/>
      <c r="G154" s="53"/>
    </row>
    <row r="155" spans="1:9" ht="25.5" x14ac:dyDescent="0.2">
      <c r="A155" s="50"/>
      <c r="B155" s="23" t="s">
        <v>749</v>
      </c>
      <c r="C155" s="51">
        <v>1071.3610000000001</v>
      </c>
      <c r="D155" s="51">
        <v>1077.6361999999999</v>
      </c>
      <c r="E155" s="50"/>
      <c r="F155" s="52"/>
      <c r="G155" s="53"/>
    </row>
    <row r="156" spans="1:9" x14ac:dyDescent="0.2">
      <c r="A156" s="50"/>
      <c r="B156" s="23" t="s">
        <v>130</v>
      </c>
      <c r="C156" s="51">
        <v>2687.8328000000001</v>
      </c>
      <c r="D156" s="51">
        <v>2700.7046</v>
      </c>
      <c r="E156" s="50"/>
      <c r="F156" s="52"/>
      <c r="G156" s="53"/>
    </row>
    <row r="157" spans="1:9" ht="25.5" x14ac:dyDescent="0.2">
      <c r="A157" s="50"/>
      <c r="B157" s="23" t="s">
        <v>750</v>
      </c>
      <c r="C157" s="51">
        <v>1066.0245</v>
      </c>
      <c r="D157" s="51">
        <v>1071.1296</v>
      </c>
      <c r="E157" s="50"/>
      <c r="F157" s="52"/>
      <c r="G157" s="53"/>
    </row>
    <row r="158" spans="1:9" x14ac:dyDescent="0.2">
      <c r="A158" s="50"/>
      <c r="B158" s="50"/>
      <c r="C158" s="50"/>
      <c r="D158" s="50"/>
      <c r="E158" s="50"/>
      <c r="F158" s="50"/>
      <c r="G158" s="50"/>
    </row>
    <row r="159" spans="1:9" x14ac:dyDescent="0.2">
      <c r="A159" s="50"/>
      <c r="B159" s="159" t="s">
        <v>626</v>
      </c>
      <c r="C159" s="160"/>
      <c r="D159" s="13" t="s">
        <v>124</v>
      </c>
      <c r="E159" s="50"/>
      <c r="F159" s="50"/>
      <c r="G159" s="50"/>
    </row>
    <row r="160" spans="1:9" x14ac:dyDescent="0.2">
      <c r="A160" s="50"/>
      <c r="B160" s="58"/>
      <c r="C160" s="58"/>
      <c r="D160" s="58"/>
      <c r="E160" s="50"/>
      <c r="F160" s="50"/>
      <c r="G160" s="50"/>
    </row>
    <row r="161" spans="1:15" ht="25.5" x14ac:dyDescent="0.2">
      <c r="A161" s="46"/>
      <c r="B161" s="157" t="s">
        <v>131</v>
      </c>
      <c r="C161" s="158"/>
      <c r="D161" s="110" t="s">
        <v>645</v>
      </c>
      <c r="E161" s="57"/>
      <c r="F161" s="46"/>
      <c r="G161" s="46"/>
      <c r="I161" s="104"/>
    </row>
    <row r="162" spans="1:15" x14ac:dyDescent="0.2">
      <c r="A162" s="46"/>
      <c r="B162" s="157" t="s">
        <v>132</v>
      </c>
      <c r="C162" s="158"/>
      <c r="D162" s="13" t="s">
        <v>124</v>
      </c>
      <c r="E162" s="57"/>
      <c r="F162" s="46"/>
      <c r="G162" s="46"/>
      <c r="I162" s="104"/>
    </row>
    <row r="163" spans="1:15" x14ac:dyDescent="0.2">
      <c r="A163" s="46"/>
      <c r="B163" s="157" t="s">
        <v>627</v>
      </c>
      <c r="C163" s="158"/>
      <c r="D163" s="13" t="s">
        <v>124</v>
      </c>
      <c r="E163" s="57"/>
      <c r="F163" s="46"/>
      <c r="G163" s="46"/>
      <c r="I163" s="104"/>
      <c r="J163" s="11"/>
    </row>
    <row r="164" spans="1:15" ht="12.75" customHeight="1" x14ac:dyDescent="0.2">
      <c r="A164" s="58"/>
      <c r="B164" s="58"/>
      <c r="C164" s="58"/>
      <c r="D164" s="58"/>
      <c r="E164" s="58"/>
      <c r="F164" s="58"/>
      <c r="G164" s="58"/>
      <c r="I164" s="104"/>
      <c r="J164" s="11"/>
    </row>
    <row r="165" spans="1:15" ht="13.5" x14ac:dyDescent="0.25">
      <c r="A165" s="58"/>
      <c r="B165" s="111" t="s">
        <v>744</v>
      </c>
      <c r="C165" s="58"/>
      <c r="D165" s="58"/>
      <c r="E165" s="58"/>
      <c r="F165" s="58"/>
      <c r="G165" s="58"/>
      <c r="H165" s="58"/>
      <c r="I165" s="104"/>
      <c r="J165" s="11"/>
    </row>
    <row r="166" spans="1:15" s="11" customFormat="1" ht="51" x14ac:dyDescent="0.2">
      <c r="A166" s="112"/>
      <c r="B166" s="113" t="s">
        <v>708</v>
      </c>
      <c r="C166" s="113" t="s">
        <v>709</v>
      </c>
      <c r="D166" s="114" t="s">
        <v>710</v>
      </c>
      <c r="E166" s="114" t="s">
        <v>711</v>
      </c>
      <c r="F166" s="113" t="s">
        <v>712</v>
      </c>
      <c r="G166" s="113" t="s">
        <v>713</v>
      </c>
      <c r="H166" s="113" t="s">
        <v>8</v>
      </c>
      <c r="I166" s="115"/>
    </row>
    <row r="167" spans="1:15" s="65" customFormat="1" ht="25.5" x14ac:dyDescent="0.2">
      <c r="A167" s="116"/>
      <c r="B167" s="117" t="s">
        <v>714</v>
      </c>
      <c r="C167" s="117" t="s">
        <v>715</v>
      </c>
      <c r="D167" s="118" t="s">
        <v>716</v>
      </c>
      <c r="E167" s="119" t="s">
        <v>717</v>
      </c>
      <c r="F167" s="120">
        <v>2500</v>
      </c>
      <c r="G167" s="121">
        <v>46002</v>
      </c>
      <c r="H167" s="102">
        <f>F167/$F$141</f>
        <v>1.1233597392622195E-2</v>
      </c>
      <c r="I167" s="122"/>
      <c r="J167" s="11"/>
    </row>
    <row r="168" spans="1:15" s="65" customFormat="1" ht="25.5" x14ac:dyDescent="0.2">
      <c r="A168" s="116"/>
      <c r="B168" s="117" t="s">
        <v>714</v>
      </c>
      <c r="C168" s="117" t="s">
        <v>718</v>
      </c>
      <c r="D168" s="118" t="s">
        <v>716</v>
      </c>
      <c r="E168" s="119" t="s">
        <v>717</v>
      </c>
      <c r="F168" s="120">
        <v>2500</v>
      </c>
      <c r="G168" s="121">
        <v>46087</v>
      </c>
      <c r="H168" s="102">
        <f>F168/$F$141</f>
        <v>1.1233597392622195E-2</v>
      </c>
      <c r="I168" s="122"/>
      <c r="J168" s="11"/>
    </row>
    <row r="169" spans="1:15" s="65" customFormat="1" ht="25.5" x14ac:dyDescent="0.2">
      <c r="A169" s="116"/>
      <c r="B169" s="117" t="s">
        <v>714</v>
      </c>
      <c r="C169" s="117" t="s">
        <v>719</v>
      </c>
      <c r="D169" s="118" t="s">
        <v>716</v>
      </c>
      <c r="E169" s="119" t="s">
        <v>717</v>
      </c>
      <c r="F169" s="120">
        <v>2500</v>
      </c>
      <c r="G169" s="121">
        <v>46101</v>
      </c>
      <c r="H169" s="102">
        <f>F169/$F$141</f>
        <v>1.1233597392622195E-2</v>
      </c>
      <c r="I169" s="122"/>
      <c r="J169" s="11"/>
    </row>
    <row r="170" spans="1:15" s="65" customFormat="1" ht="25.5" x14ac:dyDescent="0.2">
      <c r="A170" s="116"/>
      <c r="B170" s="117" t="s">
        <v>714</v>
      </c>
      <c r="C170" s="117" t="s">
        <v>719</v>
      </c>
      <c r="D170" s="118" t="s">
        <v>716</v>
      </c>
      <c r="E170" s="119" t="s">
        <v>717</v>
      </c>
      <c r="F170" s="120">
        <v>2500</v>
      </c>
      <c r="G170" s="121">
        <v>46168</v>
      </c>
      <c r="H170" s="102">
        <f>F170/$F$141</f>
        <v>1.1233597392622195E-2</v>
      </c>
      <c r="I170" s="122"/>
      <c r="J170" s="11"/>
    </row>
    <row r="171" spans="1:15" s="68" customFormat="1" x14ac:dyDescent="0.2">
      <c r="A171" s="58"/>
      <c r="B171" s="58"/>
      <c r="C171" s="58"/>
      <c r="D171" s="58"/>
      <c r="E171" s="58"/>
      <c r="F171" s="58"/>
      <c r="G171" s="58"/>
      <c r="H171"/>
      <c r="I171" s="123"/>
      <c r="J171" s="124"/>
      <c r="K171" s="124"/>
      <c r="L171" s="124"/>
      <c r="M171" s="124"/>
      <c r="N171" s="124"/>
      <c r="O171" s="124"/>
    </row>
    <row r="172" spans="1:15" x14ac:dyDescent="0.2">
      <c r="A172" s="59"/>
      <c r="B172" s="125" t="s">
        <v>745</v>
      </c>
      <c r="C172" s="125"/>
      <c r="D172" s="125"/>
      <c r="E172" s="125"/>
      <c r="F172" s="125"/>
      <c r="G172" s="125"/>
      <c r="H172" s="59"/>
      <c r="I172" s="104"/>
      <c r="J172" s="11"/>
    </row>
    <row r="173" spans="1:15" ht="13.5" customHeight="1" x14ac:dyDescent="0.2">
      <c r="B173" s="211" t="s">
        <v>647</v>
      </c>
      <c r="C173" s="211" t="s">
        <v>648</v>
      </c>
      <c r="D173" s="212" t="s">
        <v>658</v>
      </c>
      <c r="E173" s="213"/>
      <c r="F173" s="214"/>
      <c r="G173" s="215" t="s">
        <v>666</v>
      </c>
      <c r="H173" s="216"/>
      <c r="I173" s="217"/>
      <c r="J173" s="30"/>
      <c r="K173" s="30"/>
      <c r="L173" s="30"/>
      <c r="M173" s="30"/>
      <c r="N173" s="30"/>
      <c r="O173" s="30"/>
    </row>
    <row r="174" spans="1:15" ht="46.5" customHeight="1" x14ac:dyDescent="0.2">
      <c r="B174" s="179"/>
      <c r="C174" s="179"/>
      <c r="D174" s="218" t="s">
        <v>667</v>
      </c>
      <c r="E174" s="218" t="s">
        <v>668</v>
      </c>
      <c r="F174" s="218" t="s">
        <v>669</v>
      </c>
      <c r="G174" s="187" t="s">
        <v>683</v>
      </c>
      <c r="H174" s="188"/>
      <c r="I174" s="218" t="s">
        <v>671</v>
      </c>
      <c r="J174" s="30"/>
      <c r="K174" s="30"/>
      <c r="L174" s="30"/>
      <c r="M174" s="30"/>
      <c r="N174" s="30"/>
      <c r="O174" s="30"/>
    </row>
    <row r="175" spans="1:15" ht="21" customHeight="1" x14ac:dyDescent="0.2">
      <c r="B175" s="180"/>
      <c r="C175" s="180"/>
      <c r="D175" s="177"/>
      <c r="E175" s="177"/>
      <c r="F175" s="177"/>
      <c r="G175" s="126" t="s">
        <v>672</v>
      </c>
      <c r="H175" s="126" t="s">
        <v>673</v>
      </c>
      <c r="I175" s="177"/>
      <c r="J175" s="30"/>
      <c r="K175" s="30"/>
      <c r="L175" s="30"/>
      <c r="M175" s="30"/>
      <c r="N175" s="30"/>
      <c r="O175" s="30"/>
    </row>
    <row r="176" spans="1:15" ht="13.5" x14ac:dyDescent="0.25">
      <c r="B176" s="127" t="s">
        <v>674</v>
      </c>
      <c r="C176" s="128" t="s">
        <v>675</v>
      </c>
      <c r="D176" s="129">
        <v>488.84800000000001</v>
      </c>
      <c r="E176" s="7">
        <v>11.151999999999999</v>
      </c>
      <c r="F176" s="130">
        <f>D176+E176</f>
        <v>500</v>
      </c>
      <c r="G176" s="8">
        <v>21.175720568999996</v>
      </c>
      <c r="H176" s="8">
        <v>13.34</v>
      </c>
      <c r="I176" s="8">
        <f>G176+H176</f>
        <v>34.515720568999996</v>
      </c>
      <c r="J176" s="30"/>
      <c r="K176" s="30"/>
      <c r="L176" s="30"/>
      <c r="M176" s="30"/>
      <c r="N176" s="30"/>
      <c r="O176" s="30"/>
    </row>
    <row r="177" spans="2:16" ht="6.75" customHeight="1" x14ac:dyDescent="0.25">
      <c r="B177" s="131"/>
      <c r="C177" s="132"/>
      <c r="D177" s="133"/>
      <c r="E177" s="6"/>
      <c r="F177" s="134"/>
      <c r="G177" s="4"/>
      <c r="H177" s="4"/>
      <c r="I177" s="4"/>
      <c r="J177" s="30"/>
      <c r="K177" s="30"/>
      <c r="L177" s="30"/>
      <c r="M177" s="30"/>
      <c r="N177" s="30"/>
      <c r="O177" s="30"/>
    </row>
    <row r="178" spans="2:16" ht="51" customHeight="1" x14ac:dyDescent="0.2">
      <c r="B178" s="173" t="s">
        <v>676</v>
      </c>
      <c r="C178" s="173"/>
      <c r="D178" s="173"/>
      <c r="E178" s="173"/>
      <c r="F178" s="173"/>
      <c r="G178" s="173"/>
      <c r="H178" s="173"/>
      <c r="I178" s="173"/>
      <c r="J178" s="135"/>
      <c r="K178" s="30"/>
      <c r="L178" s="30"/>
      <c r="M178" s="30"/>
      <c r="N178" s="30"/>
      <c r="O178" s="30"/>
    </row>
    <row r="179" spans="2:16" ht="13.5" x14ac:dyDescent="0.25">
      <c r="B179" s="86" t="s">
        <v>677</v>
      </c>
      <c r="I179" s="30"/>
      <c r="J179" s="11"/>
      <c r="K179" s="30"/>
      <c r="L179" s="30"/>
      <c r="M179" s="30"/>
      <c r="N179" s="30"/>
      <c r="O179" s="30"/>
      <c r="P179" s="30"/>
    </row>
    <row r="180" spans="2:16" ht="7.5" customHeight="1" x14ac:dyDescent="0.2">
      <c r="B180" s="87"/>
      <c r="J180" s="11"/>
      <c r="K180" s="30"/>
      <c r="L180" s="30"/>
      <c r="M180" s="30"/>
      <c r="N180" s="30"/>
      <c r="O180" s="30"/>
    </row>
    <row r="181" spans="2:16" x14ac:dyDescent="0.2">
      <c r="B181" s="87" t="s">
        <v>681</v>
      </c>
      <c r="J181" s="11"/>
      <c r="K181" s="30"/>
      <c r="L181" s="30"/>
      <c r="M181" s="30"/>
      <c r="N181" s="30"/>
      <c r="O181" s="30"/>
    </row>
    <row r="182" spans="2:16" s="59" customFormat="1" x14ac:dyDescent="0.2">
      <c r="I182" s="104"/>
      <c r="J182" s="11"/>
      <c r="K182" s="30"/>
      <c r="L182" s="30"/>
      <c r="M182" s="30"/>
      <c r="N182" s="30"/>
      <c r="O182" s="65"/>
    </row>
    <row r="183" spans="2:16" s="59" customFormat="1" x14ac:dyDescent="0.2">
      <c r="B183" s="207" t="s">
        <v>628</v>
      </c>
      <c r="C183" s="208"/>
      <c r="D183" s="209"/>
      <c r="I183" s="104"/>
      <c r="J183" s="11"/>
      <c r="K183" s="30"/>
      <c r="L183" s="30"/>
      <c r="M183" s="30"/>
      <c r="N183" s="30"/>
      <c r="O183" s="65"/>
    </row>
    <row r="184" spans="2:16" s="59" customFormat="1" ht="51" x14ac:dyDescent="0.2">
      <c r="B184" s="210" t="s">
        <v>629</v>
      </c>
      <c r="C184" s="210"/>
      <c r="D184" s="136" t="s">
        <v>493</v>
      </c>
      <c r="I184" s="104"/>
      <c r="J184" s="11"/>
      <c r="K184" s="30"/>
      <c r="L184" s="30"/>
      <c r="M184" s="30"/>
      <c r="N184" s="30"/>
      <c r="O184" s="65"/>
    </row>
    <row r="185" spans="2:16" s="59" customFormat="1" x14ac:dyDescent="0.2">
      <c r="B185" s="206" t="s">
        <v>630</v>
      </c>
      <c r="C185" s="206"/>
      <c r="D185" s="137"/>
      <c r="I185" s="104"/>
      <c r="J185" s="11"/>
      <c r="K185" s="30"/>
      <c r="L185" s="30"/>
      <c r="M185" s="30"/>
      <c r="N185" s="30"/>
      <c r="O185" s="65"/>
    </row>
    <row r="186" spans="2:16" s="59" customFormat="1" x14ac:dyDescent="0.2">
      <c r="B186" s="206"/>
      <c r="C186" s="206"/>
      <c r="D186" s="138"/>
      <c r="I186" s="104"/>
      <c r="J186" s="11"/>
      <c r="K186" s="30"/>
      <c r="L186" s="30"/>
      <c r="M186" s="30"/>
      <c r="N186" s="30"/>
      <c r="O186" s="65"/>
    </row>
    <row r="187" spans="2:16" s="59" customFormat="1" x14ac:dyDescent="0.2">
      <c r="B187" s="206" t="s">
        <v>631</v>
      </c>
      <c r="C187" s="206"/>
      <c r="D187" s="63">
        <v>6.2103108155202431</v>
      </c>
      <c r="I187" s="104"/>
      <c r="J187" s="11"/>
      <c r="K187" s="30"/>
      <c r="L187" s="30"/>
      <c r="M187" s="30"/>
      <c r="N187" s="30"/>
      <c r="O187" s="65"/>
    </row>
    <row r="188" spans="2:16" s="59" customFormat="1" x14ac:dyDescent="0.2">
      <c r="B188" s="153"/>
      <c r="C188" s="153"/>
      <c r="D188" s="62"/>
      <c r="I188" s="104"/>
      <c r="J188" s="11"/>
      <c r="K188" s="30"/>
      <c r="L188" s="30"/>
      <c r="M188" s="30"/>
      <c r="N188" s="30"/>
      <c r="O188" s="65"/>
    </row>
    <row r="189" spans="2:16" s="59" customFormat="1" x14ac:dyDescent="0.2">
      <c r="B189" s="153" t="s">
        <v>632</v>
      </c>
      <c r="C189" s="153"/>
      <c r="D189" s="63">
        <v>0.50565356940340112</v>
      </c>
      <c r="I189" s="104"/>
      <c r="J189" s="11"/>
      <c r="K189" s="30"/>
      <c r="L189" s="30"/>
      <c r="M189" s="30"/>
      <c r="N189" s="30"/>
      <c r="O189" s="65"/>
    </row>
    <row r="190" spans="2:16" s="59" customFormat="1" x14ac:dyDescent="0.2">
      <c r="B190" s="153" t="s">
        <v>633</v>
      </c>
      <c r="C190" s="153"/>
      <c r="D190" s="63">
        <v>0.51871914318216583</v>
      </c>
      <c r="I190" s="104"/>
      <c r="J190" s="11"/>
      <c r="K190" s="30"/>
      <c r="L190" s="30"/>
      <c r="M190" s="30"/>
      <c r="N190" s="30"/>
      <c r="O190" s="65"/>
    </row>
    <row r="191" spans="2:16" s="59" customFormat="1" x14ac:dyDescent="0.2">
      <c r="B191" s="153"/>
      <c r="C191" s="153"/>
      <c r="D191" s="62"/>
      <c r="I191" s="104"/>
      <c r="J191" s="11"/>
      <c r="K191" s="30"/>
      <c r="L191" s="30"/>
      <c r="M191" s="30"/>
      <c r="N191" s="30"/>
      <c r="O191" s="65"/>
    </row>
    <row r="192" spans="2:16" s="59" customFormat="1" x14ac:dyDescent="0.2">
      <c r="B192" s="153" t="s">
        <v>634</v>
      </c>
      <c r="C192" s="153"/>
      <c r="D192" s="64" t="s">
        <v>742</v>
      </c>
      <c r="I192" s="104"/>
      <c r="J192" s="11"/>
      <c r="K192" s="30"/>
      <c r="L192" s="30"/>
      <c r="M192" s="30"/>
      <c r="N192" s="30"/>
      <c r="O192" s="65"/>
    </row>
    <row r="193" spans="1:17" s="59" customFormat="1" x14ac:dyDescent="0.2">
      <c r="B193" s="151" t="s">
        <v>635</v>
      </c>
      <c r="C193" s="154"/>
      <c r="D193" s="152"/>
      <c r="I193" s="104"/>
      <c r="J193" s="11"/>
      <c r="K193" s="30"/>
      <c r="L193" s="30"/>
      <c r="M193" s="30"/>
      <c r="N193" s="30"/>
      <c r="O193" s="65"/>
    </row>
    <row r="194" spans="1:17" s="59" customFormat="1" x14ac:dyDescent="0.2">
      <c r="B194" s="43"/>
      <c r="C194" s="43"/>
      <c r="D194" s="43"/>
      <c r="I194" s="104"/>
      <c r="J194" s="11"/>
      <c r="K194" s="30"/>
      <c r="L194" s="30"/>
      <c r="M194" s="30"/>
      <c r="N194" s="30"/>
      <c r="O194" s="65"/>
    </row>
    <row r="195" spans="1:17" s="59" customFormat="1" x14ac:dyDescent="0.2">
      <c r="A195"/>
      <c r="B195" s="67" t="s">
        <v>636</v>
      </c>
      <c r="C195"/>
      <c r="D195"/>
      <c r="E195"/>
      <c r="F195"/>
      <c r="G195"/>
      <c r="H195"/>
      <c r="I195" s="104"/>
      <c r="J195" s="11"/>
      <c r="K195" s="30"/>
      <c r="L195" s="30"/>
      <c r="M195" s="30"/>
      <c r="N195" s="30"/>
      <c r="O195" s="65"/>
      <c r="P195"/>
      <c r="Q195"/>
    </row>
    <row r="196" spans="1:17" x14ac:dyDescent="0.2">
      <c r="I196" s="104"/>
    </row>
    <row r="197" spans="1:17" ht="153.75" customHeight="1" x14ac:dyDescent="0.2">
      <c r="I197" s="104"/>
    </row>
    <row r="198" spans="1:17" ht="25.5" customHeight="1" x14ac:dyDescent="0.2">
      <c r="I198" s="104"/>
    </row>
    <row r="199" spans="1:17" x14ac:dyDescent="0.2">
      <c r="B199" s="67" t="s">
        <v>637</v>
      </c>
      <c r="C199" s="68"/>
      <c r="D199" s="67"/>
      <c r="I199" s="104"/>
    </row>
    <row r="200" spans="1:17" x14ac:dyDescent="0.2">
      <c r="B200" s="67" t="s">
        <v>720</v>
      </c>
      <c r="D200" s="67"/>
      <c r="I200" s="104"/>
    </row>
    <row r="201" spans="1:17" x14ac:dyDescent="0.2">
      <c r="I201" s="104"/>
    </row>
    <row r="202" spans="1:17" x14ac:dyDescent="0.2">
      <c r="I202" s="104"/>
    </row>
    <row r="203" spans="1:17" ht="165" customHeight="1" x14ac:dyDescent="0.2">
      <c r="I203" s="104"/>
    </row>
    <row r="204" spans="1:17" x14ac:dyDescent="0.2">
      <c r="I204" s="104"/>
    </row>
    <row r="205" spans="1:17" x14ac:dyDescent="0.2">
      <c r="I205" s="104"/>
      <c r="J205" s="11"/>
    </row>
    <row r="206" spans="1:17" x14ac:dyDescent="0.2">
      <c r="I206" s="104"/>
    </row>
    <row r="207" spans="1:17" x14ac:dyDescent="0.2">
      <c r="I207" s="104"/>
    </row>
    <row r="208" spans="1:17" x14ac:dyDescent="0.2">
      <c r="I208" s="104"/>
    </row>
    <row r="209" spans="9:9" x14ac:dyDescent="0.2">
      <c r="I209" s="104"/>
    </row>
    <row r="210" spans="9:9" x14ac:dyDescent="0.2">
      <c r="I210" s="104"/>
    </row>
  </sheetData>
  <mergeCells count="36">
    <mergeCell ref="B161:C161"/>
    <mergeCell ref="B159:C159"/>
    <mergeCell ref="B163:C163"/>
    <mergeCell ref="B162:C162"/>
    <mergeCell ref="B148:D148"/>
    <mergeCell ref="B149:C149"/>
    <mergeCell ref="B150:C150"/>
    <mergeCell ref="B151:C151"/>
    <mergeCell ref="B146:H146"/>
    <mergeCell ref="A1:H1"/>
    <mergeCell ref="A2:H2"/>
    <mergeCell ref="B143:H143"/>
    <mergeCell ref="B144:H144"/>
    <mergeCell ref="B145:H145"/>
    <mergeCell ref="A3:H3"/>
    <mergeCell ref="B173:B175"/>
    <mergeCell ref="C173:C175"/>
    <mergeCell ref="D173:F173"/>
    <mergeCell ref="G173:I173"/>
    <mergeCell ref="D174:D175"/>
    <mergeCell ref="E174:E175"/>
    <mergeCell ref="F174:F175"/>
    <mergeCell ref="G174:H174"/>
    <mergeCell ref="I174:I175"/>
    <mergeCell ref="B178:I178"/>
    <mergeCell ref="B183:D183"/>
    <mergeCell ref="B184:C184"/>
    <mergeCell ref="B185:C185"/>
    <mergeCell ref="B186:C186"/>
    <mergeCell ref="B192:C192"/>
    <mergeCell ref="B193:D193"/>
    <mergeCell ref="B187:C187"/>
    <mergeCell ref="B188:C188"/>
    <mergeCell ref="B189:C189"/>
    <mergeCell ref="B190:C190"/>
    <mergeCell ref="B191:C191"/>
  </mergeCells>
  <hyperlinks>
    <hyperlink ref="I1" location="Index!B2" display="Index" xr:uid="{A19938A7-0BDC-4803-B89E-1E63072DB36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05228-C92A-4912-AC9C-DA60C48CD164}">
  <sheetPr>
    <outlinePr summaryBelow="0" summaryRight="0"/>
  </sheetPr>
  <dimension ref="A1:Q136"/>
  <sheetViews>
    <sheetView showGridLines="0" topLeftCell="A84" workbookViewId="0">
      <selection activeCell="C98" sqref="C98:C101"/>
    </sheetView>
  </sheetViews>
  <sheetFormatPr defaultRowHeight="12.75" x14ac:dyDescent="0.2"/>
  <cols>
    <col min="1" max="1" width="5.85546875" bestFit="1" customWidth="1"/>
    <col min="2" max="2" width="19.7109375" bestFit="1" customWidth="1"/>
    <col min="3" max="3" width="44.28515625" customWidth="1"/>
    <col min="4" max="4" width="10.7109375" bestFit="1" customWidth="1"/>
    <col min="5" max="5" width="8.7109375" bestFit="1" customWidth="1"/>
    <col min="6" max="6" width="10.140625" bestFit="1" customWidth="1"/>
    <col min="7" max="7" width="14" bestFit="1" customWidth="1"/>
    <col min="8" max="8" width="9.5703125" customWidth="1"/>
  </cols>
  <sheetData>
    <row r="1" spans="1:9" ht="15" x14ac:dyDescent="0.2">
      <c r="A1" s="155" t="s">
        <v>0</v>
      </c>
      <c r="B1" s="155"/>
      <c r="C1" s="155"/>
      <c r="D1" s="155"/>
      <c r="E1" s="155"/>
      <c r="F1" s="155"/>
      <c r="G1" s="155"/>
      <c r="H1" s="155"/>
      <c r="I1" s="1" t="s">
        <v>607</v>
      </c>
    </row>
    <row r="2" spans="1:9" ht="15" x14ac:dyDescent="0.2">
      <c r="A2" s="155" t="s">
        <v>538</v>
      </c>
      <c r="B2" s="155"/>
      <c r="C2" s="155"/>
      <c r="D2" s="155"/>
      <c r="E2" s="155"/>
      <c r="F2" s="155"/>
      <c r="G2" s="155"/>
      <c r="H2" s="155"/>
    </row>
    <row r="3" spans="1:9" ht="15" x14ac:dyDescent="0.2">
      <c r="A3" s="155" t="s">
        <v>756</v>
      </c>
      <c r="B3" s="155"/>
      <c r="C3" s="155"/>
      <c r="D3" s="155"/>
      <c r="E3" s="155"/>
      <c r="F3" s="155"/>
      <c r="G3" s="155"/>
      <c r="H3" s="155"/>
    </row>
    <row r="4" spans="1:9" s="11" customFormat="1" ht="30" x14ac:dyDescent="0.2">
      <c r="A4" s="9" t="s">
        <v>2</v>
      </c>
      <c r="B4" s="9" t="s">
        <v>3</v>
      </c>
      <c r="C4" s="9" t="s">
        <v>4</v>
      </c>
      <c r="D4" s="9" t="s">
        <v>5</v>
      </c>
      <c r="E4" s="9" t="s">
        <v>6</v>
      </c>
      <c r="F4" s="9" t="s">
        <v>7</v>
      </c>
      <c r="G4" s="9" t="s">
        <v>8</v>
      </c>
      <c r="H4" s="10" t="s">
        <v>606</v>
      </c>
    </row>
    <row r="5" spans="1:9" x14ac:dyDescent="0.2">
      <c r="A5" s="12"/>
      <c r="B5" s="12"/>
      <c r="C5" s="13" t="s">
        <v>9</v>
      </c>
      <c r="D5" s="12"/>
      <c r="E5" s="12"/>
      <c r="F5" s="12"/>
      <c r="G5" s="12"/>
      <c r="H5" s="14" t="s">
        <v>12</v>
      </c>
    </row>
    <row r="6" spans="1:9" x14ac:dyDescent="0.2">
      <c r="A6" s="15"/>
      <c r="B6" s="15"/>
      <c r="C6" s="16" t="s">
        <v>10</v>
      </c>
      <c r="D6" s="15"/>
      <c r="E6" s="15"/>
      <c r="F6" s="15"/>
      <c r="G6" s="15"/>
      <c r="H6" s="14" t="s">
        <v>12</v>
      </c>
    </row>
    <row r="7" spans="1:9" x14ac:dyDescent="0.2">
      <c r="A7" s="15"/>
      <c r="B7" s="15"/>
      <c r="C7" s="16" t="s">
        <v>11</v>
      </c>
      <c r="D7" s="15"/>
      <c r="E7" s="15" t="s">
        <v>12</v>
      </c>
      <c r="F7" s="17" t="s">
        <v>13</v>
      </c>
      <c r="G7" s="18">
        <v>0</v>
      </c>
      <c r="H7" s="14" t="s">
        <v>12</v>
      </c>
    </row>
    <row r="8" spans="1:9" x14ac:dyDescent="0.2">
      <c r="A8" s="15"/>
      <c r="B8" s="15"/>
      <c r="C8" s="19"/>
      <c r="D8" s="15"/>
      <c r="E8" s="15"/>
      <c r="F8" s="20"/>
      <c r="G8" s="20"/>
      <c r="H8" s="14" t="s">
        <v>12</v>
      </c>
    </row>
    <row r="9" spans="1:9" x14ac:dyDescent="0.2">
      <c r="A9" s="15"/>
      <c r="B9" s="15"/>
      <c r="C9" s="16" t="s">
        <v>14</v>
      </c>
      <c r="D9" s="15"/>
      <c r="E9" s="15"/>
      <c r="F9" s="15"/>
      <c r="G9" s="15"/>
      <c r="H9" s="14" t="s">
        <v>12</v>
      </c>
    </row>
    <row r="10" spans="1:9" x14ac:dyDescent="0.2">
      <c r="A10" s="15"/>
      <c r="B10" s="15"/>
      <c r="C10" s="16" t="s">
        <v>11</v>
      </c>
      <c r="D10" s="15"/>
      <c r="E10" s="15" t="s">
        <v>12</v>
      </c>
      <c r="F10" s="17" t="s">
        <v>13</v>
      </c>
      <c r="G10" s="18">
        <v>0</v>
      </c>
      <c r="H10" s="14" t="s">
        <v>12</v>
      </c>
    </row>
    <row r="11" spans="1:9" x14ac:dyDescent="0.2">
      <c r="A11" s="15"/>
      <c r="B11" s="15"/>
      <c r="C11" s="19"/>
      <c r="D11" s="15"/>
      <c r="E11" s="15"/>
      <c r="F11" s="20"/>
      <c r="G11" s="20"/>
      <c r="H11" s="14" t="s">
        <v>12</v>
      </c>
    </row>
    <row r="12" spans="1:9" x14ac:dyDescent="0.2">
      <c r="A12" s="15"/>
      <c r="B12" s="15"/>
      <c r="C12" s="16" t="s">
        <v>15</v>
      </c>
      <c r="D12" s="15"/>
      <c r="E12" s="15"/>
      <c r="F12" s="15"/>
      <c r="G12" s="15"/>
      <c r="H12" s="14" t="s">
        <v>12</v>
      </c>
    </row>
    <row r="13" spans="1:9" x14ac:dyDescent="0.2">
      <c r="A13" s="15"/>
      <c r="B13" s="15"/>
      <c r="C13" s="16" t="s">
        <v>11</v>
      </c>
      <c r="D13" s="15"/>
      <c r="E13" s="15" t="s">
        <v>12</v>
      </c>
      <c r="F13" s="17" t="s">
        <v>13</v>
      </c>
      <c r="G13" s="18">
        <v>0</v>
      </c>
      <c r="H13" s="14" t="s">
        <v>12</v>
      </c>
    </row>
    <row r="14" spans="1:9" x14ac:dyDescent="0.2">
      <c r="A14" s="15"/>
      <c r="B14" s="15"/>
      <c r="C14" s="19"/>
      <c r="D14" s="15"/>
      <c r="E14" s="15"/>
      <c r="F14" s="20"/>
      <c r="G14" s="20"/>
      <c r="H14" s="14" t="s">
        <v>12</v>
      </c>
    </row>
    <row r="15" spans="1:9" x14ac:dyDescent="0.2">
      <c r="A15" s="15"/>
      <c r="B15" s="15"/>
      <c r="C15" s="16" t="s">
        <v>16</v>
      </c>
      <c r="D15" s="15"/>
      <c r="E15" s="15"/>
      <c r="F15" s="15"/>
      <c r="G15" s="15"/>
      <c r="H15" s="14" t="s">
        <v>12</v>
      </c>
    </row>
    <row r="16" spans="1:9" x14ac:dyDescent="0.2">
      <c r="A16" s="15"/>
      <c r="B16" s="15"/>
      <c r="C16" s="16" t="s">
        <v>11</v>
      </c>
      <c r="D16" s="15"/>
      <c r="E16" s="15" t="s">
        <v>12</v>
      </c>
      <c r="F16" s="17" t="s">
        <v>13</v>
      </c>
      <c r="G16" s="18">
        <v>0</v>
      </c>
      <c r="H16" s="14" t="s">
        <v>12</v>
      </c>
    </row>
    <row r="17" spans="1:8" x14ac:dyDescent="0.2">
      <c r="A17" s="15"/>
      <c r="B17" s="15"/>
      <c r="C17" s="19"/>
      <c r="D17" s="15"/>
      <c r="E17" s="15"/>
      <c r="F17" s="20"/>
      <c r="G17" s="20"/>
      <c r="H17" s="14" t="s">
        <v>12</v>
      </c>
    </row>
    <row r="18" spans="1:8" x14ac:dyDescent="0.2">
      <c r="A18" s="15"/>
      <c r="B18" s="15"/>
      <c r="C18" s="16" t="s">
        <v>17</v>
      </c>
      <c r="D18" s="15"/>
      <c r="E18" s="15"/>
      <c r="F18" s="20"/>
      <c r="G18" s="20"/>
      <c r="H18" s="14" t="s">
        <v>12</v>
      </c>
    </row>
    <row r="19" spans="1:8" x14ac:dyDescent="0.2">
      <c r="A19" s="15"/>
      <c r="B19" s="15"/>
      <c r="C19" s="16" t="s">
        <v>11</v>
      </c>
      <c r="D19" s="15"/>
      <c r="E19" s="15" t="s">
        <v>12</v>
      </c>
      <c r="F19" s="17" t="s">
        <v>13</v>
      </c>
      <c r="G19" s="18">
        <v>0</v>
      </c>
      <c r="H19" s="14" t="s">
        <v>12</v>
      </c>
    </row>
    <row r="20" spans="1:8" x14ac:dyDescent="0.2">
      <c r="A20" s="15"/>
      <c r="B20" s="15"/>
      <c r="C20" s="19"/>
      <c r="D20" s="15"/>
      <c r="E20" s="15"/>
      <c r="F20" s="20"/>
      <c r="G20" s="20"/>
      <c r="H20" s="14" t="s">
        <v>12</v>
      </c>
    </row>
    <row r="21" spans="1:8" x14ac:dyDescent="0.2">
      <c r="A21" s="15"/>
      <c r="B21" s="15"/>
      <c r="C21" s="16" t="s">
        <v>18</v>
      </c>
      <c r="D21" s="15"/>
      <c r="E21" s="15"/>
      <c r="F21" s="20"/>
      <c r="G21" s="20"/>
      <c r="H21" s="14" t="s">
        <v>12</v>
      </c>
    </row>
    <row r="22" spans="1:8" x14ac:dyDescent="0.2">
      <c r="A22" s="15"/>
      <c r="B22" s="15"/>
      <c r="C22" s="16" t="s">
        <v>11</v>
      </c>
      <c r="D22" s="15"/>
      <c r="E22" s="15" t="s">
        <v>12</v>
      </c>
      <c r="F22" s="17" t="s">
        <v>13</v>
      </c>
      <c r="G22" s="18">
        <v>0</v>
      </c>
      <c r="H22" s="14" t="s">
        <v>12</v>
      </c>
    </row>
    <row r="23" spans="1:8" x14ac:dyDescent="0.2">
      <c r="A23" s="15"/>
      <c r="B23" s="15"/>
      <c r="C23" s="19"/>
      <c r="D23" s="15"/>
      <c r="E23" s="15"/>
      <c r="F23" s="20"/>
      <c r="G23" s="20"/>
      <c r="H23" s="14" t="s">
        <v>12</v>
      </c>
    </row>
    <row r="24" spans="1:8" x14ac:dyDescent="0.2">
      <c r="A24" s="15"/>
      <c r="B24" s="15"/>
      <c r="C24" s="16" t="s">
        <v>19</v>
      </c>
      <c r="D24" s="15"/>
      <c r="E24" s="15"/>
      <c r="F24" s="21">
        <v>0</v>
      </c>
      <c r="G24" s="18">
        <v>0</v>
      </c>
      <c r="H24" s="14" t="s">
        <v>12</v>
      </c>
    </row>
    <row r="25" spans="1:8" x14ac:dyDescent="0.2">
      <c r="A25" s="15"/>
      <c r="B25" s="15"/>
      <c r="C25" s="19"/>
      <c r="D25" s="15"/>
      <c r="E25" s="15"/>
      <c r="F25" s="20"/>
      <c r="G25" s="20"/>
      <c r="H25" s="14" t="s">
        <v>12</v>
      </c>
    </row>
    <row r="26" spans="1:8" x14ac:dyDescent="0.2">
      <c r="A26" s="15"/>
      <c r="B26" s="15"/>
      <c r="C26" s="16" t="s">
        <v>20</v>
      </c>
      <c r="D26" s="15"/>
      <c r="E26" s="15"/>
      <c r="F26" s="20"/>
      <c r="G26" s="20"/>
      <c r="H26" s="14" t="s">
        <v>12</v>
      </c>
    </row>
    <row r="27" spans="1:8" x14ac:dyDescent="0.2">
      <c r="A27" s="15"/>
      <c r="B27" s="15"/>
      <c r="C27" s="16" t="s">
        <v>10</v>
      </c>
      <c r="D27" s="15"/>
      <c r="E27" s="15"/>
      <c r="F27" s="20"/>
      <c r="G27" s="20"/>
      <c r="H27" s="14" t="s">
        <v>12</v>
      </c>
    </row>
    <row r="28" spans="1:8" x14ac:dyDescent="0.2">
      <c r="A28" s="22">
        <v>1</v>
      </c>
      <c r="B28" s="23" t="s">
        <v>289</v>
      </c>
      <c r="C28" s="23" t="s">
        <v>290</v>
      </c>
      <c r="D28" s="23" t="s">
        <v>23</v>
      </c>
      <c r="E28" s="24">
        <v>200</v>
      </c>
      <c r="F28" s="25">
        <v>201.17500000000001</v>
      </c>
      <c r="G28" s="26">
        <v>4.6461559999999999E-2</v>
      </c>
      <c r="H28" s="14">
        <v>6.75</v>
      </c>
    </row>
    <row r="29" spans="1:8" ht="25.5" x14ac:dyDescent="0.2">
      <c r="A29" s="22">
        <v>2</v>
      </c>
      <c r="B29" s="23" t="s">
        <v>502</v>
      </c>
      <c r="C29" s="23" t="s">
        <v>503</v>
      </c>
      <c r="D29" s="23" t="s">
        <v>296</v>
      </c>
      <c r="E29" s="24">
        <v>200</v>
      </c>
      <c r="F29" s="25">
        <v>200.27180000000001</v>
      </c>
      <c r="G29" s="26">
        <v>4.6252969999999997E-2</v>
      </c>
      <c r="H29" s="14">
        <v>7.2750000000000004</v>
      </c>
    </row>
    <row r="30" spans="1:8" ht="25.5" x14ac:dyDescent="0.2">
      <c r="A30" s="22">
        <v>3</v>
      </c>
      <c r="B30" s="23" t="s">
        <v>67</v>
      </c>
      <c r="C30" s="23" t="s">
        <v>68</v>
      </c>
      <c r="D30" s="23" t="s">
        <v>26</v>
      </c>
      <c r="E30" s="24">
        <v>200</v>
      </c>
      <c r="F30" s="25">
        <v>199.56120000000001</v>
      </c>
      <c r="G30" s="26">
        <v>4.6088850000000001E-2</v>
      </c>
      <c r="H30" s="14">
        <v>6.69</v>
      </c>
    </row>
    <row r="31" spans="1:8" x14ac:dyDescent="0.2">
      <c r="A31" s="22">
        <v>4</v>
      </c>
      <c r="B31" s="23" t="s">
        <v>310</v>
      </c>
      <c r="C31" s="23" t="s">
        <v>311</v>
      </c>
      <c r="D31" s="23" t="s">
        <v>296</v>
      </c>
      <c r="E31" s="24">
        <v>150</v>
      </c>
      <c r="F31" s="25">
        <v>152.43315000000001</v>
      </c>
      <c r="G31" s="26">
        <v>3.5204579999999999E-2</v>
      </c>
      <c r="H31" s="14">
        <v>7.8731</v>
      </c>
    </row>
    <row r="32" spans="1:8" x14ac:dyDescent="0.2">
      <c r="A32" s="22">
        <v>5</v>
      </c>
      <c r="B32" s="23" t="s">
        <v>302</v>
      </c>
      <c r="C32" s="23" t="s">
        <v>303</v>
      </c>
      <c r="D32" s="23" t="s">
        <v>296</v>
      </c>
      <c r="E32" s="24">
        <v>100</v>
      </c>
      <c r="F32" s="25">
        <v>101.3931</v>
      </c>
      <c r="G32" s="26">
        <v>2.3416840000000001E-2</v>
      </c>
      <c r="H32" s="14">
        <v>6.95</v>
      </c>
    </row>
    <row r="33" spans="1:8" x14ac:dyDescent="0.2">
      <c r="A33" s="22">
        <v>6</v>
      </c>
      <c r="B33" s="23" t="s">
        <v>304</v>
      </c>
      <c r="C33" s="23" t="s">
        <v>305</v>
      </c>
      <c r="D33" s="23" t="s">
        <v>26</v>
      </c>
      <c r="E33" s="24">
        <v>100</v>
      </c>
      <c r="F33" s="25">
        <v>101.1871</v>
      </c>
      <c r="G33" s="26">
        <v>2.3369259999999999E-2</v>
      </c>
      <c r="H33" s="14">
        <v>7.1624999999999996</v>
      </c>
    </row>
    <row r="34" spans="1:8" x14ac:dyDescent="0.2">
      <c r="A34" s="22">
        <v>7</v>
      </c>
      <c r="B34" s="23" t="s">
        <v>284</v>
      </c>
      <c r="C34" s="23" t="s">
        <v>285</v>
      </c>
      <c r="D34" s="23" t="s">
        <v>286</v>
      </c>
      <c r="E34" s="24">
        <v>100</v>
      </c>
      <c r="F34" s="25">
        <v>101.1751</v>
      </c>
      <c r="G34" s="26">
        <v>2.336649E-2</v>
      </c>
      <c r="H34" s="14">
        <v>6.9</v>
      </c>
    </row>
    <row r="35" spans="1:8" x14ac:dyDescent="0.2">
      <c r="A35" s="22">
        <v>8</v>
      </c>
      <c r="B35" s="23" t="s">
        <v>65</v>
      </c>
      <c r="C35" s="23" t="s">
        <v>66</v>
      </c>
      <c r="D35" s="23" t="s">
        <v>23</v>
      </c>
      <c r="E35" s="24">
        <v>100</v>
      </c>
      <c r="F35" s="25">
        <v>100.5637</v>
      </c>
      <c r="G35" s="26">
        <v>2.3225280000000001E-2</v>
      </c>
      <c r="H35" s="14">
        <v>7.165</v>
      </c>
    </row>
    <row r="36" spans="1:8" x14ac:dyDescent="0.2">
      <c r="A36" s="15"/>
      <c r="B36" s="15"/>
      <c r="C36" s="16" t="s">
        <v>11</v>
      </c>
      <c r="D36" s="15"/>
      <c r="E36" s="15" t="s">
        <v>12</v>
      </c>
      <c r="F36" s="21">
        <v>1157.7601500000001</v>
      </c>
      <c r="G36" s="18">
        <v>0.26738582999999999</v>
      </c>
      <c r="H36" s="14" t="s">
        <v>12</v>
      </c>
    </row>
    <row r="37" spans="1:8" x14ac:dyDescent="0.2">
      <c r="A37" s="15"/>
      <c r="B37" s="15"/>
      <c r="C37" s="19"/>
      <c r="D37" s="15"/>
      <c r="E37" s="15"/>
      <c r="F37" s="20"/>
      <c r="G37" s="20"/>
      <c r="H37" s="14" t="s">
        <v>12</v>
      </c>
    </row>
    <row r="38" spans="1:8" x14ac:dyDescent="0.2">
      <c r="A38" s="15"/>
      <c r="B38" s="15"/>
      <c r="C38" s="16" t="s">
        <v>79</v>
      </c>
      <c r="D38" s="15"/>
      <c r="E38" s="15"/>
      <c r="F38" s="15"/>
      <c r="G38" s="15"/>
      <c r="H38" s="14" t="s">
        <v>12</v>
      </c>
    </row>
    <row r="39" spans="1:8" x14ac:dyDescent="0.2">
      <c r="A39" s="15"/>
      <c r="B39" s="15"/>
      <c r="C39" s="16" t="s">
        <v>11</v>
      </c>
      <c r="D39" s="15"/>
      <c r="E39" s="15" t="s">
        <v>12</v>
      </c>
      <c r="F39" s="17" t="s">
        <v>13</v>
      </c>
      <c r="G39" s="18">
        <v>0</v>
      </c>
      <c r="H39" s="14" t="s">
        <v>12</v>
      </c>
    </row>
    <row r="40" spans="1:8" x14ac:dyDescent="0.2">
      <c r="A40" s="15"/>
      <c r="B40" s="15"/>
      <c r="C40" s="19"/>
      <c r="D40" s="15"/>
      <c r="E40" s="15"/>
      <c r="F40" s="20"/>
      <c r="G40" s="20"/>
      <c r="H40" s="14" t="s">
        <v>12</v>
      </c>
    </row>
    <row r="41" spans="1:8" x14ac:dyDescent="0.2">
      <c r="A41" s="15"/>
      <c r="B41" s="15"/>
      <c r="C41" s="16" t="s">
        <v>80</v>
      </c>
      <c r="D41" s="15"/>
      <c r="E41" s="15"/>
      <c r="F41" s="15"/>
      <c r="G41" s="15"/>
      <c r="H41" s="14" t="s">
        <v>12</v>
      </c>
    </row>
    <row r="42" spans="1:8" x14ac:dyDescent="0.2">
      <c r="A42" s="22">
        <v>1</v>
      </c>
      <c r="B42" s="23" t="s">
        <v>489</v>
      </c>
      <c r="C42" s="23" t="s">
        <v>490</v>
      </c>
      <c r="D42" s="23" t="s">
        <v>83</v>
      </c>
      <c r="E42" s="24">
        <v>1400000</v>
      </c>
      <c r="F42" s="25">
        <v>1459.1528000000001</v>
      </c>
      <c r="G42" s="26">
        <v>0.33699275000000001</v>
      </c>
      <c r="H42" s="14">
        <v>6.5590999999999999</v>
      </c>
    </row>
    <row r="43" spans="1:8" x14ac:dyDescent="0.2">
      <c r="A43" s="22">
        <v>2</v>
      </c>
      <c r="B43" s="23" t="s">
        <v>94</v>
      </c>
      <c r="C43" s="23" t="s">
        <v>95</v>
      </c>
      <c r="D43" s="23" t="s">
        <v>83</v>
      </c>
      <c r="E43" s="24">
        <v>500000</v>
      </c>
      <c r="F43" s="25">
        <v>521.33349999999996</v>
      </c>
      <c r="G43" s="26">
        <v>0.12040248000000001</v>
      </c>
      <c r="H43" s="14">
        <v>5.9813999999999998</v>
      </c>
    </row>
    <row r="44" spans="1:8" x14ac:dyDescent="0.2">
      <c r="A44" s="22">
        <v>3</v>
      </c>
      <c r="B44" s="23" t="s">
        <v>539</v>
      </c>
      <c r="C44" s="23" t="s">
        <v>540</v>
      </c>
      <c r="D44" s="23" t="s">
        <v>83</v>
      </c>
      <c r="E44" s="24">
        <v>500000</v>
      </c>
      <c r="F44" s="25">
        <v>500.59899999999999</v>
      </c>
      <c r="G44" s="26">
        <v>0.11561382000000001</v>
      </c>
      <c r="H44" s="14">
        <v>5.7138</v>
      </c>
    </row>
    <row r="45" spans="1:8" ht="25.5" x14ac:dyDescent="0.2">
      <c r="A45" s="22">
        <v>4</v>
      </c>
      <c r="B45" s="23" t="s">
        <v>491</v>
      </c>
      <c r="C45" s="23" t="s">
        <v>492</v>
      </c>
      <c r="D45" s="23" t="s">
        <v>83</v>
      </c>
      <c r="E45" s="24">
        <v>230000</v>
      </c>
      <c r="F45" s="25">
        <v>238.48263</v>
      </c>
      <c r="G45" s="26">
        <v>5.5077790000000001E-2</v>
      </c>
      <c r="H45" s="14">
        <v>6.9827000000000004</v>
      </c>
    </row>
    <row r="46" spans="1:8" x14ac:dyDescent="0.2">
      <c r="A46" s="22">
        <v>5</v>
      </c>
      <c r="B46" s="23" t="s">
        <v>162</v>
      </c>
      <c r="C46" s="23" t="s">
        <v>163</v>
      </c>
      <c r="D46" s="23" t="s">
        <v>83</v>
      </c>
      <c r="E46" s="24">
        <v>100000</v>
      </c>
      <c r="F46" s="25">
        <v>103.5501</v>
      </c>
      <c r="G46" s="26">
        <v>2.3914999999999999E-2</v>
      </c>
      <c r="H46" s="14">
        <v>6.0773999999999999</v>
      </c>
    </row>
    <row r="47" spans="1:8" x14ac:dyDescent="0.2">
      <c r="A47" s="15"/>
      <c r="B47" s="15"/>
      <c r="C47" s="16" t="s">
        <v>11</v>
      </c>
      <c r="D47" s="15"/>
      <c r="E47" s="15" t="s">
        <v>12</v>
      </c>
      <c r="F47" s="21">
        <v>2823.1180300000001</v>
      </c>
      <c r="G47" s="18">
        <v>0.65200184000000005</v>
      </c>
      <c r="H47" s="14" t="s">
        <v>12</v>
      </c>
    </row>
    <row r="48" spans="1:8" x14ac:dyDescent="0.2">
      <c r="A48" s="15"/>
      <c r="B48" s="15"/>
      <c r="C48" s="19"/>
      <c r="D48" s="15"/>
      <c r="E48" s="15"/>
      <c r="F48" s="20"/>
      <c r="G48" s="20"/>
      <c r="H48" s="14" t="s">
        <v>12</v>
      </c>
    </row>
    <row r="49" spans="1:8" x14ac:dyDescent="0.2">
      <c r="A49" s="15"/>
      <c r="B49" s="15"/>
      <c r="C49" s="16" t="s">
        <v>98</v>
      </c>
      <c r="D49" s="15"/>
      <c r="E49" s="15"/>
      <c r="F49" s="20"/>
      <c r="G49" s="20"/>
      <c r="H49" s="14" t="s">
        <v>12</v>
      </c>
    </row>
    <row r="50" spans="1:8" x14ac:dyDescent="0.2">
      <c r="A50" s="15"/>
      <c r="B50" s="15"/>
      <c r="C50" s="16" t="s">
        <v>11</v>
      </c>
      <c r="D50" s="15"/>
      <c r="E50" s="15" t="s">
        <v>12</v>
      </c>
      <c r="F50" s="17" t="s">
        <v>13</v>
      </c>
      <c r="G50" s="18">
        <v>0</v>
      </c>
      <c r="H50" s="14" t="s">
        <v>12</v>
      </c>
    </row>
    <row r="51" spans="1:8" x14ac:dyDescent="0.2">
      <c r="A51" s="15"/>
      <c r="B51" s="15"/>
      <c r="C51" s="19"/>
      <c r="D51" s="15"/>
      <c r="E51" s="15"/>
      <c r="F51" s="20"/>
      <c r="G51" s="20"/>
      <c r="H51" s="14" t="s">
        <v>12</v>
      </c>
    </row>
    <row r="52" spans="1:8" x14ac:dyDescent="0.2">
      <c r="A52" s="15"/>
      <c r="B52" s="15"/>
      <c r="C52" s="16" t="s">
        <v>99</v>
      </c>
      <c r="D52" s="15"/>
      <c r="E52" s="15"/>
      <c r="F52" s="21">
        <v>3980.8781800000002</v>
      </c>
      <c r="G52" s="18">
        <v>0.91938766999999999</v>
      </c>
      <c r="H52" s="14" t="s">
        <v>12</v>
      </c>
    </row>
    <row r="53" spans="1:8" x14ac:dyDescent="0.2">
      <c r="A53" s="15"/>
      <c r="B53" s="15"/>
      <c r="C53" s="19"/>
      <c r="D53" s="15"/>
      <c r="E53" s="15"/>
      <c r="F53" s="20"/>
      <c r="G53" s="20"/>
      <c r="H53" s="14" t="s">
        <v>12</v>
      </c>
    </row>
    <row r="54" spans="1:8" x14ac:dyDescent="0.2">
      <c r="A54" s="15"/>
      <c r="B54" s="15"/>
      <c r="C54" s="16" t="s">
        <v>100</v>
      </c>
      <c r="D54" s="15"/>
      <c r="E54" s="15"/>
      <c r="F54" s="20"/>
      <c r="G54" s="20"/>
      <c r="H54" s="14" t="s">
        <v>12</v>
      </c>
    </row>
    <row r="55" spans="1:8" x14ac:dyDescent="0.2">
      <c r="A55" s="15"/>
      <c r="B55" s="15"/>
      <c r="C55" s="16" t="s">
        <v>101</v>
      </c>
      <c r="D55" s="15"/>
      <c r="E55" s="15"/>
      <c r="F55" s="20"/>
      <c r="G55" s="20"/>
      <c r="H55" s="14" t="s">
        <v>12</v>
      </c>
    </row>
    <row r="56" spans="1:8" x14ac:dyDescent="0.2">
      <c r="A56" s="15"/>
      <c r="B56" s="15"/>
      <c r="C56" s="16" t="s">
        <v>11</v>
      </c>
      <c r="D56" s="15"/>
      <c r="E56" s="15" t="s">
        <v>12</v>
      </c>
      <c r="F56" s="17" t="s">
        <v>13</v>
      </c>
      <c r="G56" s="18">
        <v>0</v>
      </c>
      <c r="H56" s="14" t="s">
        <v>12</v>
      </c>
    </row>
    <row r="57" spans="1:8" x14ac:dyDescent="0.2">
      <c r="A57" s="15"/>
      <c r="B57" s="15"/>
      <c r="C57" s="19"/>
      <c r="D57" s="15"/>
      <c r="E57" s="15"/>
      <c r="F57" s="20"/>
      <c r="G57" s="20"/>
      <c r="H57" s="14" t="s">
        <v>12</v>
      </c>
    </row>
    <row r="58" spans="1:8" x14ac:dyDescent="0.2">
      <c r="A58" s="15"/>
      <c r="B58" s="15"/>
      <c r="C58" s="16" t="s">
        <v>108</v>
      </c>
      <c r="D58" s="15"/>
      <c r="E58" s="15"/>
      <c r="F58" s="20"/>
      <c r="G58" s="20"/>
      <c r="H58" s="14" t="s">
        <v>12</v>
      </c>
    </row>
    <row r="59" spans="1:8" x14ac:dyDescent="0.2">
      <c r="A59" s="15"/>
      <c r="B59" s="15"/>
      <c r="C59" s="16" t="s">
        <v>11</v>
      </c>
      <c r="D59" s="15"/>
      <c r="E59" s="15" t="s">
        <v>12</v>
      </c>
      <c r="F59" s="17" t="s">
        <v>13</v>
      </c>
      <c r="G59" s="18">
        <v>0</v>
      </c>
      <c r="H59" s="14" t="s">
        <v>12</v>
      </c>
    </row>
    <row r="60" spans="1:8" x14ac:dyDescent="0.2">
      <c r="A60" s="15"/>
      <c r="B60" s="15"/>
      <c r="C60" s="19"/>
      <c r="D60" s="15"/>
      <c r="E60" s="15"/>
      <c r="F60" s="20"/>
      <c r="G60" s="20"/>
      <c r="H60" s="14" t="s">
        <v>12</v>
      </c>
    </row>
    <row r="61" spans="1:8" x14ac:dyDescent="0.2">
      <c r="A61" s="15"/>
      <c r="B61" s="15"/>
      <c r="C61" s="16" t="s">
        <v>109</v>
      </c>
      <c r="D61" s="15"/>
      <c r="E61" s="15"/>
      <c r="F61" s="20"/>
      <c r="G61" s="20"/>
      <c r="H61" s="14" t="s">
        <v>12</v>
      </c>
    </row>
    <row r="62" spans="1:8" x14ac:dyDescent="0.2">
      <c r="A62" s="15"/>
      <c r="B62" s="15"/>
      <c r="C62" s="16" t="s">
        <v>11</v>
      </c>
      <c r="D62" s="15"/>
      <c r="E62" s="15" t="s">
        <v>12</v>
      </c>
      <c r="F62" s="17" t="s">
        <v>13</v>
      </c>
      <c r="G62" s="18">
        <v>0</v>
      </c>
      <c r="H62" s="14" t="s">
        <v>12</v>
      </c>
    </row>
    <row r="63" spans="1:8" x14ac:dyDescent="0.2">
      <c r="A63" s="15"/>
      <c r="B63" s="15"/>
      <c r="C63" s="19"/>
      <c r="D63" s="15"/>
      <c r="E63" s="15"/>
      <c r="F63" s="20"/>
      <c r="G63" s="20"/>
      <c r="H63" s="14" t="s">
        <v>12</v>
      </c>
    </row>
    <row r="64" spans="1:8" x14ac:dyDescent="0.2">
      <c r="A64" s="15"/>
      <c r="B64" s="15"/>
      <c r="C64" s="16" t="s">
        <v>110</v>
      </c>
      <c r="D64" s="15"/>
      <c r="E64" s="15"/>
      <c r="F64" s="20"/>
      <c r="G64" s="20"/>
      <c r="H64" s="14" t="s">
        <v>12</v>
      </c>
    </row>
    <row r="65" spans="1:17" x14ac:dyDescent="0.2">
      <c r="A65" s="22">
        <v>1</v>
      </c>
      <c r="B65" s="23"/>
      <c r="C65" s="23" t="s">
        <v>111</v>
      </c>
      <c r="D65" s="23"/>
      <c r="E65" s="27"/>
      <c r="F65" s="25">
        <v>242.67763399899999</v>
      </c>
      <c r="G65" s="26">
        <v>5.6046640000000002E-2</v>
      </c>
      <c r="H65" s="14">
        <v>5.41</v>
      </c>
    </row>
    <row r="66" spans="1:17" x14ac:dyDescent="0.2">
      <c r="A66" s="15"/>
      <c r="B66" s="15"/>
      <c r="C66" s="16" t="s">
        <v>11</v>
      </c>
      <c r="D66" s="15"/>
      <c r="E66" s="15" t="s">
        <v>12</v>
      </c>
      <c r="F66" s="21">
        <v>242.67763399899999</v>
      </c>
      <c r="G66" s="18">
        <v>5.6046640000000002E-2</v>
      </c>
      <c r="H66" s="14" t="s">
        <v>12</v>
      </c>
    </row>
    <row r="67" spans="1:17" x14ac:dyDescent="0.2">
      <c r="A67" s="15"/>
      <c r="B67" s="15"/>
      <c r="C67" s="19"/>
      <c r="D67" s="15"/>
      <c r="E67" s="15"/>
      <c r="F67" s="20"/>
      <c r="G67" s="20"/>
      <c r="H67" s="14" t="s">
        <v>12</v>
      </c>
    </row>
    <row r="68" spans="1:17" x14ac:dyDescent="0.2">
      <c r="A68" s="15"/>
      <c r="B68" s="15"/>
      <c r="C68" s="16" t="s">
        <v>112</v>
      </c>
      <c r="D68" s="15"/>
      <c r="E68" s="15"/>
      <c r="F68" s="21">
        <v>242.67763399899999</v>
      </c>
      <c r="G68" s="18">
        <v>5.6046640000000002E-2</v>
      </c>
      <c r="H68" s="14" t="s">
        <v>12</v>
      </c>
    </row>
    <row r="69" spans="1:17" x14ac:dyDescent="0.2">
      <c r="A69" s="15"/>
      <c r="B69" s="15"/>
      <c r="C69" s="20"/>
      <c r="D69" s="15"/>
      <c r="E69" s="15"/>
      <c r="F69" s="15"/>
      <c r="G69" s="15"/>
      <c r="H69" s="14" t="s">
        <v>12</v>
      </c>
    </row>
    <row r="70" spans="1:17" x14ac:dyDescent="0.2">
      <c r="A70" s="15"/>
      <c r="B70" s="15"/>
      <c r="C70" s="16" t="s">
        <v>113</v>
      </c>
      <c r="D70" s="15"/>
      <c r="E70" s="15"/>
      <c r="F70" s="15"/>
      <c r="G70" s="15"/>
      <c r="H70" s="14" t="s">
        <v>12</v>
      </c>
    </row>
    <row r="71" spans="1:17" x14ac:dyDescent="0.2">
      <c r="A71" s="15"/>
      <c r="B71" s="15"/>
      <c r="C71" s="16" t="s">
        <v>114</v>
      </c>
      <c r="D71" s="15"/>
      <c r="E71" s="15"/>
      <c r="F71" s="15"/>
      <c r="G71" s="15"/>
      <c r="H71" s="14" t="s">
        <v>12</v>
      </c>
    </row>
    <row r="72" spans="1:17" x14ac:dyDescent="0.2">
      <c r="A72" s="15"/>
      <c r="B72" s="15"/>
      <c r="C72" s="16" t="s">
        <v>11</v>
      </c>
      <c r="D72" s="15"/>
      <c r="E72" s="15" t="s">
        <v>12</v>
      </c>
      <c r="F72" s="17" t="s">
        <v>13</v>
      </c>
      <c r="G72" s="18">
        <v>0</v>
      </c>
      <c r="H72" s="14" t="s">
        <v>12</v>
      </c>
    </row>
    <row r="73" spans="1:17" x14ac:dyDescent="0.2">
      <c r="A73" s="12"/>
      <c r="B73" s="12"/>
      <c r="C73" s="28"/>
      <c r="D73" s="12"/>
      <c r="E73" s="12"/>
      <c r="F73" s="29"/>
      <c r="G73" s="29"/>
      <c r="H73" s="14" t="s">
        <v>12</v>
      </c>
    </row>
    <row r="74" spans="1:17" x14ac:dyDescent="0.2">
      <c r="A74" s="12"/>
      <c r="B74" s="12"/>
      <c r="C74" s="13" t="s">
        <v>608</v>
      </c>
      <c r="D74" s="12"/>
      <c r="E74" s="12"/>
      <c r="F74" s="29"/>
      <c r="G74" s="29"/>
      <c r="H74" s="14" t="s">
        <v>12</v>
      </c>
      <c r="K74" s="30"/>
      <c r="L74" s="30"/>
      <c r="M74" s="30"/>
      <c r="N74" s="30"/>
      <c r="O74" s="31"/>
      <c r="P74" s="31"/>
      <c r="Q74" s="31"/>
    </row>
    <row r="75" spans="1:17" x14ac:dyDescent="0.2">
      <c r="A75" s="32">
        <v>1</v>
      </c>
      <c r="B75" s="33" t="s">
        <v>115</v>
      </c>
      <c r="C75" s="33" t="s">
        <v>116</v>
      </c>
      <c r="D75" s="33"/>
      <c r="E75" s="34">
        <v>112.994</v>
      </c>
      <c r="F75" s="35">
        <v>12.756783731000001</v>
      </c>
      <c r="G75" s="36">
        <v>2.94619E-3</v>
      </c>
      <c r="H75" s="14"/>
    </row>
    <row r="76" spans="1:17" x14ac:dyDescent="0.2">
      <c r="A76" s="12"/>
      <c r="B76" s="12"/>
      <c r="C76" s="13" t="s">
        <v>11</v>
      </c>
      <c r="D76" s="12"/>
      <c r="E76" s="12" t="s">
        <v>12</v>
      </c>
      <c r="F76" s="37">
        <f>SUM(F75)</f>
        <v>12.756783731000001</v>
      </c>
      <c r="G76" s="38">
        <f>SUM(G75)</f>
        <v>2.94619E-3</v>
      </c>
      <c r="H76" s="14" t="s">
        <v>12</v>
      </c>
    </row>
    <row r="77" spans="1:17" x14ac:dyDescent="0.2">
      <c r="A77" s="12"/>
      <c r="B77" s="12"/>
      <c r="C77" s="28"/>
      <c r="D77" s="12"/>
      <c r="E77" s="12"/>
      <c r="F77" s="29"/>
      <c r="G77" s="29"/>
      <c r="H77" s="14" t="s">
        <v>12</v>
      </c>
    </row>
    <row r="78" spans="1:17" x14ac:dyDescent="0.2">
      <c r="A78" s="15"/>
      <c r="B78" s="15"/>
      <c r="C78" s="16" t="s">
        <v>117</v>
      </c>
      <c r="D78" s="15"/>
      <c r="E78" s="15"/>
      <c r="F78" s="15"/>
      <c r="G78" s="15"/>
      <c r="H78" s="14" t="s">
        <v>12</v>
      </c>
    </row>
    <row r="79" spans="1:17" x14ac:dyDescent="0.2">
      <c r="A79" s="15"/>
      <c r="B79" s="15"/>
      <c r="C79" s="16" t="s">
        <v>118</v>
      </c>
      <c r="D79" s="15"/>
      <c r="E79" s="15"/>
      <c r="F79" s="15"/>
      <c r="G79" s="15"/>
      <c r="H79" s="14" t="s">
        <v>12</v>
      </c>
    </row>
    <row r="80" spans="1:17" x14ac:dyDescent="0.2">
      <c r="A80" s="15"/>
      <c r="B80" s="15"/>
      <c r="C80" s="16" t="s">
        <v>11</v>
      </c>
      <c r="D80" s="15"/>
      <c r="E80" s="15" t="s">
        <v>12</v>
      </c>
      <c r="F80" s="17" t="s">
        <v>13</v>
      </c>
      <c r="G80" s="18">
        <v>0</v>
      </c>
      <c r="H80" s="14" t="s">
        <v>12</v>
      </c>
    </row>
    <row r="81" spans="1:8" x14ac:dyDescent="0.2">
      <c r="A81" s="15"/>
      <c r="B81" s="15"/>
      <c r="C81" s="19"/>
      <c r="D81" s="15"/>
      <c r="E81" s="15"/>
      <c r="F81" s="20"/>
      <c r="G81" s="20"/>
      <c r="H81" s="14" t="s">
        <v>12</v>
      </c>
    </row>
    <row r="82" spans="1:8" x14ac:dyDescent="0.2">
      <c r="A82" s="15"/>
      <c r="B82" s="15"/>
      <c r="C82" s="16" t="s">
        <v>119</v>
      </c>
      <c r="D82" s="15"/>
      <c r="E82" s="15"/>
      <c r="F82" s="20"/>
      <c r="G82" s="20"/>
      <c r="H82" s="14" t="s">
        <v>12</v>
      </c>
    </row>
    <row r="83" spans="1:8" x14ac:dyDescent="0.2">
      <c r="A83" s="15"/>
      <c r="B83" s="15"/>
      <c r="C83" s="16" t="s">
        <v>11</v>
      </c>
      <c r="D83" s="15"/>
      <c r="E83" s="15" t="s">
        <v>12</v>
      </c>
      <c r="F83" s="17" t="s">
        <v>13</v>
      </c>
      <c r="G83" s="18">
        <v>0</v>
      </c>
      <c r="H83" s="14" t="s">
        <v>12</v>
      </c>
    </row>
    <row r="84" spans="1:8" x14ac:dyDescent="0.2">
      <c r="A84" s="15"/>
      <c r="B84" s="23"/>
      <c r="C84" s="23"/>
      <c r="D84" s="16"/>
      <c r="E84" s="15"/>
      <c r="F84" s="23"/>
      <c r="G84" s="27"/>
      <c r="H84" s="14" t="s">
        <v>12</v>
      </c>
    </row>
    <row r="85" spans="1:8" x14ac:dyDescent="0.2">
      <c r="A85" s="27"/>
      <c r="B85" s="23"/>
      <c r="C85" s="23" t="s">
        <v>120</v>
      </c>
      <c r="D85" s="23"/>
      <c r="E85" s="27"/>
      <c r="F85" s="25">
        <v>93.610786059999995</v>
      </c>
      <c r="G85" s="26">
        <v>2.16195E-2</v>
      </c>
      <c r="H85" s="14" t="s">
        <v>12</v>
      </c>
    </row>
    <row r="86" spans="1:8" x14ac:dyDescent="0.2">
      <c r="A86" s="19"/>
      <c r="B86" s="19"/>
      <c r="C86" s="16" t="s">
        <v>121</v>
      </c>
      <c r="D86" s="20"/>
      <c r="E86" s="20"/>
      <c r="F86" s="21">
        <v>4329.9233837900001</v>
      </c>
      <c r="G86" s="39">
        <v>1</v>
      </c>
      <c r="H86" s="14" t="s">
        <v>12</v>
      </c>
    </row>
    <row r="87" spans="1:8" x14ac:dyDescent="0.2">
      <c r="A87" s="40"/>
      <c r="B87" s="40"/>
      <c r="C87" s="40"/>
      <c r="D87" s="41"/>
      <c r="E87" s="41"/>
      <c r="F87" s="41"/>
      <c r="G87" s="41"/>
    </row>
    <row r="88" spans="1:8" x14ac:dyDescent="0.2">
      <c r="A88" s="42"/>
      <c r="B88" s="156" t="s">
        <v>622</v>
      </c>
      <c r="C88" s="156"/>
      <c r="D88" s="156"/>
      <c r="E88" s="156"/>
      <c r="F88" s="156"/>
      <c r="G88" s="156"/>
      <c r="H88" s="156"/>
    </row>
    <row r="89" spans="1:8" x14ac:dyDescent="0.2">
      <c r="A89" s="42"/>
      <c r="B89" s="156" t="s">
        <v>623</v>
      </c>
      <c r="C89" s="156"/>
      <c r="D89" s="156"/>
      <c r="E89" s="156"/>
      <c r="F89" s="156"/>
      <c r="G89" s="156"/>
      <c r="H89" s="156"/>
    </row>
    <row r="90" spans="1:8" x14ac:dyDescent="0.2">
      <c r="A90" s="42"/>
      <c r="B90" s="156" t="s">
        <v>624</v>
      </c>
      <c r="C90" s="156"/>
      <c r="D90" s="156"/>
      <c r="E90" s="156"/>
      <c r="F90" s="156"/>
      <c r="G90" s="156"/>
      <c r="H90" s="156"/>
    </row>
    <row r="91" spans="1:8" x14ac:dyDescent="0.2">
      <c r="A91" s="42"/>
      <c r="B91" s="42"/>
      <c r="C91" s="42"/>
      <c r="D91" s="44"/>
      <c r="E91" s="44"/>
      <c r="F91" s="44"/>
      <c r="G91" s="44"/>
    </row>
    <row r="92" spans="1:8" x14ac:dyDescent="0.2">
      <c r="A92" s="42"/>
      <c r="B92" s="164" t="s">
        <v>122</v>
      </c>
      <c r="C92" s="165"/>
      <c r="D92" s="166"/>
      <c r="E92" s="45"/>
      <c r="F92" s="44"/>
      <c r="G92" s="44"/>
    </row>
    <row r="93" spans="1:8" ht="27" customHeight="1" x14ac:dyDescent="0.2">
      <c r="A93" s="42"/>
      <c r="B93" s="157" t="s">
        <v>123</v>
      </c>
      <c r="C93" s="158"/>
      <c r="D93" s="13" t="s">
        <v>645</v>
      </c>
      <c r="E93" s="45"/>
      <c r="F93" s="44"/>
      <c r="G93" s="44"/>
    </row>
    <row r="94" spans="1:8" x14ac:dyDescent="0.2">
      <c r="A94" s="42"/>
      <c r="B94" s="157" t="s">
        <v>125</v>
      </c>
      <c r="C94" s="158"/>
      <c r="D94" s="13" t="s">
        <v>124</v>
      </c>
      <c r="E94" s="45"/>
      <c r="F94" s="44"/>
      <c r="G94" s="44"/>
    </row>
    <row r="95" spans="1:8" x14ac:dyDescent="0.2">
      <c r="A95" s="42"/>
      <c r="B95" s="157" t="s">
        <v>126</v>
      </c>
      <c r="C95" s="158"/>
      <c r="D95" s="29" t="s">
        <v>12</v>
      </c>
      <c r="E95" s="45"/>
      <c r="F95" s="44"/>
      <c r="G95" s="44"/>
    </row>
    <row r="96" spans="1:8" x14ac:dyDescent="0.2">
      <c r="A96" s="46"/>
      <c r="B96" s="47" t="s">
        <v>12</v>
      </c>
      <c r="C96" s="47" t="s">
        <v>625</v>
      </c>
      <c r="D96" s="47" t="s">
        <v>127</v>
      </c>
      <c r="E96" s="46"/>
      <c r="F96" s="46"/>
      <c r="G96" s="46"/>
    </row>
    <row r="97" spans="1:14" x14ac:dyDescent="0.2">
      <c r="A97" s="46"/>
      <c r="B97" s="48" t="s">
        <v>128</v>
      </c>
      <c r="C97" s="49">
        <v>45838</v>
      </c>
      <c r="D97" s="49">
        <v>45869</v>
      </c>
      <c r="E97" s="46"/>
      <c r="F97" s="46"/>
      <c r="G97" s="46"/>
    </row>
    <row r="98" spans="1:14" x14ac:dyDescent="0.2">
      <c r="A98" s="50"/>
      <c r="B98" s="23" t="s">
        <v>129</v>
      </c>
      <c r="C98" s="51">
        <v>77.3001</v>
      </c>
      <c r="D98" s="51">
        <v>77.572699999999998</v>
      </c>
      <c r="E98" s="50"/>
      <c r="F98" s="52"/>
      <c r="G98" s="53"/>
    </row>
    <row r="99" spans="1:14" ht="25.5" x14ac:dyDescent="0.2">
      <c r="A99" s="50"/>
      <c r="B99" s="23" t="s">
        <v>747</v>
      </c>
      <c r="C99" s="51">
        <v>27.188700000000001</v>
      </c>
      <c r="D99" s="51">
        <v>27.284600000000001</v>
      </c>
      <c r="E99" s="50"/>
      <c r="F99" s="52"/>
      <c r="G99" s="53"/>
    </row>
    <row r="100" spans="1:14" x14ac:dyDescent="0.2">
      <c r="A100" s="50"/>
      <c r="B100" s="23" t="s">
        <v>130</v>
      </c>
      <c r="C100" s="51">
        <v>69.227599999999995</v>
      </c>
      <c r="D100" s="51">
        <v>69.428100000000001</v>
      </c>
      <c r="E100" s="50"/>
      <c r="F100" s="52"/>
      <c r="G100" s="53"/>
    </row>
    <row r="101" spans="1:14" x14ac:dyDescent="0.2">
      <c r="A101" s="50"/>
      <c r="B101" s="23" t="s">
        <v>751</v>
      </c>
      <c r="C101" s="51">
        <v>13.366199999999999</v>
      </c>
      <c r="D101" s="51">
        <v>13.4049</v>
      </c>
      <c r="E101" s="50"/>
      <c r="F101" s="52"/>
      <c r="G101" s="53"/>
    </row>
    <row r="102" spans="1:14" x14ac:dyDescent="0.2">
      <c r="A102" s="50"/>
      <c r="B102" s="50"/>
      <c r="C102" s="50"/>
      <c r="D102" s="50"/>
      <c r="E102" s="50"/>
      <c r="F102" s="50"/>
      <c r="G102" s="50"/>
    </row>
    <row r="103" spans="1:14" x14ac:dyDescent="0.2">
      <c r="A103" s="50"/>
      <c r="B103" s="159" t="s">
        <v>626</v>
      </c>
      <c r="C103" s="160"/>
      <c r="D103" s="16" t="s">
        <v>124</v>
      </c>
      <c r="E103" s="50"/>
      <c r="F103" s="50"/>
      <c r="G103" s="50"/>
    </row>
    <row r="104" spans="1:14" x14ac:dyDescent="0.2">
      <c r="A104" s="50"/>
      <c r="B104" s="58"/>
      <c r="C104" s="58"/>
      <c r="D104" s="58"/>
      <c r="E104" s="50"/>
      <c r="F104" s="50"/>
      <c r="G104" s="50"/>
    </row>
    <row r="105" spans="1:14" x14ac:dyDescent="0.2">
      <c r="A105" s="46"/>
      <c r="B105" s="157" t="s">
        <v>131</v>
      </c>
      <c r="C105" s="158"/>
      <c r="D105" s="13" t="s">
        <v>124</v>
      </c>
      <c r="E105" s="57"/>
      <c r="F105" s="46"/>
      <c r="G105" s="46"/>
    </row>
    <row r="106" spans="1:14" x14ac:dyDescent="0.2">
      <c r="A106" s="46"/>
      <c r="B106" s="157" t="s">
        <v>132</v>
      </c>
      <c r="C106" s="158"/>
      <c r="D106" s="13" t="s">
        <v>124</v>
      </c>
      <c r="E106" s="57"/>
      <c r="F106" s="46"/>
      <c r="G106" s="46"/>
    </row>
    <row r="107" spans="1:14" x14ac:dyDescent="0.2">
      <c r="A107" s="46"/>
      <c r="B107" s="157" t="s">
        <v>627</v>
      </c>
      <c r="C107" s="158"/>
      <c r="D107" s="13" t="s">
        <v>124</v>
      </c>
      <c r="E107" s="57"/>
      <c r="F107" s="46"/>
      <c r="G107" s="46"/>
    </row>
    <row r="108" spans="1:14" x14ac:dyDescent="0.2">
      <c r="A108" s="58"/>
      <c r="B108" s="58"/>
      <c r="C108" s="58"/>
      <c r="D108" s="58"/>
      <c r="E108" s="58"/>
      <c r="F108" s="58"/>
      <c r="G108" s="58"/>
    </row>
    <row r="109" spans="1:14" s="59" customFormat="1" ht="15" x14ac:dyDescent="0.25">
      <c r="B109" s="227" t="s">
        <v>743</v>
      </c>
      <c r="C109" s="228"/>
      <c r="D109" s="228"/>
      <c r="E109" s="228"/>
      <c r="F109" s="228"/>
      <c r="G109" s="229"/>
      <c r="I109"/>
      <c r="J109" s="88"/>
      <c r="K109" s="88"/>
      <c r="L109" s="88"/>
      <c r="M109" s="88"/>
      <c r="N109"/>
    </row>
    <row r="110" spans="1:14" s="59" customFormat="1" ht="45" customHeight="1" x14ac:dyDescent="0.25">
      <c r="B110" s="89" t="s">
        <v>647</v>
      </c>
      <c r="C110" s="89" t="s">
        <v>648</v>
      </c>
      <c r="D110" s="230" t="s">
        <v>649</v>
      </c>
      <c r="E110" s="231"/>
      <c r="F110" s="220" t="s">
        <v>650</v>
      </c>
      <c r="G110" s="220"/>
      <c r="H110" s="90"/>
      <c r="I110"/>
      <c r="J110" s="88"/>
      <c r="K110" s="88"/>
      <c r="L110" s="88"/>
      <c r="M110" s="88"/>
      <c r="N110"/>
    </row>
    <row r="111" spans="1:14" s="59" customFormat="1" ht="25.5" x14ac:dyDescent="0.25">
      <c r="B111" s="91" t="s">
        <v>721</v>
      </c>
      <c r="C111" s="92" t="s">
        <v>722</v>
      </c>
      <c r="D111" s="232">
        <v>0</v>
      </c>
      <c r="E111" s="233"/>
      <c r="F111" s="232">
        <v>0</v>
      </c>
      <c r="G111" s="233"/>
      <c r="H111" s="93"/>
      <c r="I111"/>
      <c r="J111" s="88"/>
      <c r="K111" s="88"/>
      <c r="L111" s="88"/>
      <c r="M111" s="88"/>
      <c r="N111"/>
    </row>
    <row r="112" spans="1:14" s="59" customFormat="1" ht="15" x14ac:dyDescent="0.25">
      <c r="B112" s="221" t="s">
        <v>723</v>
      </c>
      <c r="C112" s="222"/>
      <c r="D112" s="222"/>
      <c r="E112" s="222"/>
      <c r="F112" s="222"/>
      <c r="G112" s="223"/>
      <c r="H112" s="93"/>
      <c r="I112"/>
      <c r="J112" s="94"/>
      <c r="K112" s="94"/>
      <c r="L112" s="94"/>
      <c r="M112" s="88"/>
      <c r="N112"/>
    </row>
    <row r="113" spans="2:16" s="59" customFormat="1" ht="15" x14ac:dyDescent="0.25">
      <c r="B113" s="220" t="s">
        <v>647</v>
      </c>
      <c r="C113" s="220" t="s">
        <v>648</v>
      </c>
      <c r="D113" s="221" t="s">
        <v>690</v>
      </c>
      <c r="E113" s="222"/>
      <c r="F113" s="223"/>
      <c r="G113" s="91"/>
      <c r="H113" s="93"/>
      <c r="I113"/>
      <c r="J113" s="94"/>
      <c r="K113" s="94"/>
      <c r="L113" s="94"/>
      <c r="M113" s="88"/>
      <c r="N113"/>
    </row>
    <row r="114" spans="2:16" s="59" customFormat="1" ht="76.5" x14ac:dyDescent="0.25">
      <c r="B114" s="220"/>
      <c r="C114" s="220"/>
      <c r="D114" s="95" t="s">
        <v>694</v>
      </c>
      <c r="E114" s="95" t="s">
        <v>724</v>
      </c>
      <c r="F114" s="95" t="s">
        <v>725</v>
      </c>
      <c r="G114" s="95" t="s">
        <v>746</v>
      </c>
      <c r="H114" s="96"/>
      <c r="I114"/>
      <c r="J114" s="94"/>
      <c r="K114" s="94"/>
      <c r="L114" s="94"/>
      <c r="M114" s="88"/>
      <c r="N114"/>
    </row>
    <row r="115" spans="2:16" s="59" customFormat="1" ht="25.5" x14ac:dyDescent="0.2">
      <c r="B115" s="97" t="s">
        <v>721</v>
      </c>
      <c r="C115" s="92" t="s">
        <v>722</v>
      </c>
      <c r="D115" s="98">
        <v>200</v>
      </c>
      <c r="E115" s="98">
        <v>6.8852450999999997</v>
      </c>
      <c r="F115" s="98">
        <v>206.88524509999999</v>
      </c>
      <c r="G115" s="99">
        <f>F115/F86</f>
        <v>4.778034777116829E-2</v>
      </c>
      <c r="H115" s="100"/>
      <c r="I115"/>
      <c r="J115"/>
      <c r="K115"/>
      <c r="L115"/>
      <c r="M115"/>
      <c r="N115"/>
    </row>
    <row r="116" spans="2:16" s="59" customFormat="1" ht="33" customHeight="1" x14ac:dyDescent="0.2">
      <c r="B116" s="224" t="s">
        <v>726</v>
      </c>
      <c r="C116" s="225"/>
      <c r="D116" s="225"/>
      <c r="E116" s="225"/>
      <c r="F116" s="225"/>
      <c r="G116" s="226"/>
      <c r="H116" s="101"/>
      <c r="I116"/>
      <c r="J116"/>
      <c r="K116"/>
      <c r="L116"/>
      <c r="M116"/>
      <c r="N116"/>
    </row>
    <row r="117" spans="2:16" s="59" customFormat="1" x14ac:dyDescent="0.2">
      <c r="H117" s="101"/>
      <c r="I117"/>
      <c r="J117"/>
      <c r="K117"/>
      <c r="L117"/>
      <c r="M117"/>
      <c r="N117"/>
    </row>
    <row r="118" spans="2:16" s="59" customFormat="1" x14ac:dyDescent="0.2">
      <c r="B118" s="161" t="s">
        <v>628</v>
      </c>
      <c r="C118" s="162"/>
      <c r="D118" s="163"/>
      <c r="I118"/>
      <c r="J118"/>
      <c r="K118"/>
      <c r="L118"/>
      <c r="M118"/>
      <c r="N118"/>
    </row>
    <row r="119" spans="2:16" s="59" customFormat="1" ht="51" x14ac:dyDescent="0.2">
      <c r="B119" s="167" t="s">
        <v>629</v>
      </c>
      <c r="C119" s="167"/>
      <c r="D119" s="60" t="s">
        <v>538</v>
      </c>
      <c r="I119"/>
      <c r="J119"/>
      <c r="K119"/>
      <c r="L119"/>
      <c r="M119"/>
      <c r="N119"/>
    </row>
    <row r="120" spans="2:16" s="59" customFormat="1" x14ac:dyDescent="0.2">
      <c r="B120" s="153" t="s">
        <v>630</v>
      </c>
      <c r="C120" s="153"/>
      <c r="D120" s="61"/>
      <c r="I120"/>
      <c r="J120"/>
      <c r="K120"/>
      <c r="L120"/>
      <c r="M120"/>
      <c r="N120"/>
    </row>
    <row r="121" spans="2:16" s="59" customFormat="1" x14ac:dyDescent="0.2">
      <c r="B121" s="153"/>
      <c r="C121" s="153"/>
      <c r="D121" s="62"/>
      <c r="I121"/>
      <c r="J121"/>
      <c r="K121"/>
      <c r="L121"/>
      <c r="M121"/>
      <c r="N121"/>
    </row>
    <row r="122" spans="2:16" s="59" customFormat="1" x14ac:dyDescent="0.2">
      <c r="B122" s="153" t="s">
        <v>631</v>
      </c>
      <c r="C122" s="153"/>
      <c r="D122" s="63">
        <v>6.4817710701703586</v>
      </c>
      <c r="I122"/>
      <c r="J122"/>
      <c r="K122"/>
      <c r="L122"/>
      <c r="M122"/>
      <c r="N122"/>
    </row>
    <row r="123" spans="2:16" s="59" customFormat="1" x14ac:dyDescent="0.2">
      <c r="B123" s="153"/>
      <c r="C123" s="153"/>
      <c r="D123" s="62"/>
      <c r="I123"/>
      <c r="J123"/>
      <c r="K123"/>
      <c r="L123"/>
      <c r="M123"/>
      <c r="N123"/>
    </row>
    <row r="124" spans="2:16" s="59" customFormat="1" x14ac:dyDescent="0.2">
      <c r="B124" s="153" t="s">
        <v>632</v>
      </c>
      <c r="C124" s="153"/>
      <c r="D124" s="63">
        <v>3.6560410547927651</v>
      </c>
      <c r="I124"/>
      <c r="J124"/>
      <c r="K124"/>
      <c r="L124"/>
      <c r="M124"/>
      <c r="N124"/>
    </row>
    <row r="125" spans="2:16" s="59" customFormat="1" x14ac:dyDescent="0.2">
      <c r="B125" s="153" t="s">
        <v>633</v>
      </c>
      <c r="C125" s="153"/>
      <c r="D125" s="63">
        <v>4.6142262284706774</v>
      </c>
      <c r="I125"/>
      <c r="J125"/>
      <c r="K125"/>
      <c r="L125"/>
      <c r="M125"/>
      <c r="N125"/>
    </row>
    <row r="126" spans="2:16" s="59" customFormat="1" x14ac:dyDescent="0.2">
      <c r="B126" s="153"/>
      <c r="C126" s="153"/>
      <c r="D126" s="62"/>
      <c r="I126"/>
      <c r="J126"/>
      <c r="K126"/>
      <c r="L126"/>
      <c r="M126"/>
      <c r="N126"/>
    </row>
    <row r="127" spans="2:16" s="59" customFormat="1" x14ac:dyDescent="0.2">
      <c r="B127" s="153" t="s">
        <v>634</v>
      </c>
      <c r="C127" s="153"/>
      <c r="D127" s="64" t="s">
        <v>742</v>
      </c>
      <c r="I127"/>
      <c r="J127" s="30"/>
      <c r="K127" s="30"/>
      <c r="L127" s="30"/>
      <c r="M127" s="30"/>
      <c r="N127" s="65"/>
    </row>
    <row r="128" spans="2:16" s="59" customFormat="1" x14ac:dyDescent="0.2">
      <c r="B128" s="151" t="s">
        <v>635</v>
      </c>
      <c r="C128" s="154"/>
      <c r="D128" s="152"/>
      <c r="I128"/>
      <c r="J128"/>
      <c r="K128"/>
      <c r="L128"/>
      <c r="M128"/>
      <c r="N128"/>
      <c r="O128"/>
      <c r="P128"/>
    </row>
    <row r="130" spans="2:4" x14ac:dyDescent="0.2">
      <c r="B130" s="67" t="s">
        <v>636</v>
      </c>
    </row>
    <row r="131" spans="2:4" ht="153.75" customHeight="1" x14ac:dyDescent="0.2"/>
    <row r="134" spans="2:4" x14ac:dyDescent="0.2">
      <c r="B134" s="67" t="s">
        <v>637</v>
      </c>
      <c r="C134" s="68"/>
      <c r="D134" s="67"/>
    </row>
    <row r="135" spans="2:4" x14ac:dyDescent="0.2">
      <c r="B135" s="67" t="s">
        <v>727</v>
      </c>
      <c r="D135" s="67"/>
    </row>
    <row r="136" spans="2:4" ht="165" customHeight="1" x14ac:dyDescent="0.2"/>
  </sheetData>
  <mergeCells count="35">
    <mergeCell ref="B112:G112"/>
    <mergeCell ref="B109:G109"/>
    <mergeCell ref="D110:E110"/>
    <mergeCell ref="F110:G110"/>
    <mergeCell ref="D111:E111"/>
    <mergeCell ref="F111:G111"/>
    <mergeCell ref="B103:C103"/>
    <mergeCell ref="B107:C107"/>
    <mergeCell ref="B105:C105"/>
    <mergeCell ref="B106:C106"/>
    <mergeCell ref="A3:H3"/>
    <mergeCell ref="B92:D92"/>
    <mergeCell ref="B93:C93"/>
    <mergeCell ref="B94:C94"/>
    <mergeCell ref="B95:C95"/>
    <mergeCell ref="A1:H1"/>
    <mergeCell ref="A2:H2"/>
    <mergeCell ref="B88:H88"/>
    <mergeCell ref="B89:H89"/>
    <mergeCell ref="B90:H90"/>
    <mergeCell ref="B113:B114"/>
    <mergeCell ref="C113:C114"/>
    <mergeCell ref="D113:F113"/>
    <mergeCell ref="B116:G116"/>
    <mergeCell ref="B118:D118"/>
    <mergeCell ref="B119:C119"/>
    <mergeCell ref="B120:C120"/>
    <mergeCell ref="B121:C121"/>
    <mergeCell ref="B122:C122"/>
    <mergeCell ref="B123:C123"/>
    <mergeCell ref="B124:C124"/>
    <mergeCell ref="B125:C125"/>
    <mergeCell ref="B126:C126"/>
    <mergeCell ref="B127:C127"/>
    <mergeCell ref="B128:D128"/>
  </mergeCells>
  <hyperlinks>
    <hyperlink ref="I1" location="Index!B2" display="Index" xr:uid="{0160E616-CD50-42F5-80A8-70E4B9C685B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8F4E0-2207-41BF-ADCB-62C261CD54E2}">
  <sheetPr>
    <outlinePr summaryBelow="0" summaryRight="0"/>
  </sheetPr>
  <dimension ref="A1:R162"/>
  <sheetViews>
    <sheetView showGridLines="0" topLeftCell="A94" workbookViewId="0">
      <selection activeCell="C108" sqref="C108:C111"/>
    </sheetView>
  </sheetViews>
  <sheetFormatPr defaultRowHeight="12.75" x14ac:dyDescent="0.2"/>
  <cols>
    <col min="1" max="1" width="5.85546875" bestFit="1" customWidth="1"/>
    <col min="2" max="2" width="20.28515625" bestFit="1" customWidth="1"/>
    <col min="3" max="3" width="44.28515625" customWidth="1"/>
    <col min="4" max="4" width="16.5703125" bestFit="1" customWidth="1"/>
    <col min="5" max="5" width="8.7109375" bestFit="1" customWidth="1"/>
    <col min="6" max="6" width="10.140625" bestFit="1" customWidth="1"/>
    <col min="7" max="7" width="14" bestFit="1" customWidth="1"/>
    <col min="8" max="8" width="9.5703125" customWidth="1"/>
  </cols>
  <sheetData>
    <row r="1" spans="1:10" ht="15" x14ac:dyDescent="0.2">
      <c r="A1" s="155" t="s">
        <v>0</v>
      </c>
      <c r="B1" s="155"/>
      <c r="C1" s="155"/>
      <c r="D1" s="155"/>
      <c r="E1" s="155"/>
      <c r="F1" s="155"/>
      <c r="G1" s="155"/>
      <c r="H1" s="155"/>
      <c r="I1" s="1" t="s">
        <v>607</v>
      </c>
    </row>
    <row r="2" spans="1:10" ht="15" x14ac:dyDescent="0.2">
      <c r="A2" s="155" t="s">
        <v>541</v>
      </c>
      <c r="B2" s="155"/>
      <c r="C2" s="155"/>
      <c r="D2" s="155"/>
      <c r="E2" s="155"/>
      <c r="F2" s="155"/>
      <c r="G2" s="155"/>
      <c r="H2" s="155"/>
    </row>
    <row r="3" spans="1:10" ht="15" x14ac:dyDescent="0.2">
      <c r="A3" s="155" t="s">
        <v>756</v>
      </c>
      <c r="B3" s="155"/>
      <c r="C3" s="155"/>
      <c r="D3" s="155"/>
      <c r="E3" s="155"/>
      <c r="F3" s="155"/>
      <c r="G3" s="155"/>
      <c r="H3" s="155"/>
    </row>
    <row r="4" spans="1:10" s="11" customFormat="1" ht="30" x14ac:dyDescent="0.2">
      <c r="A4" s="9" t="s">
        <v>2</v>
      </c>
      <c r="B4" s="9" t="s">
        <v>3</v>
      </c>
      <c r="C4" s="9" t="s">
        <v>4</v>
      </c>
      <c r="D4" s="9" t="s">
        <v>5</v>
      </c>
      <c r="E4" s="9" t="s">
        <v>6</v>
      </c>
      <c r="F4" s="9" t="s">
        <v>7</v>
      </c>
      <c r="G4" s="9" t="s">
        <v>8</v>
      </c>
      <c r="H4" s="10" t="s">
        <v>606</v>
      </c>
    </row>
    <row r="5" spans="1:10" x14ac:dyDescent="0.2">
      <c r="A5" s="12"/>
      <c r="B5" s="12"/>
      <c r="C5" s="13" t="s">
        <v>9</v>
      </c>
      <c r="D5" s="12"/>
      <c r="E5" s="12"/>
      <c r="F5" s="12"/>
      <c r="G5" s="12"/>
      <c r="H5" s="14" t="s">
        <v>12</v>
      </c>
    </row>
    <row r="6" spans="1:10" x14ac:dyDescent="0.2">
      <c r="A6" s="15"/>
      <c r="B6" s="15"/>
      <c r="C6" s="16" t="s">
        <v>10</v>
      </c>
      <c r="D6" s="15"/>
      <c r="E6" s="15"/>
      <c r="F6" s="15"/>
      <c r="G6" s="15"/>
      <c r="H6" s="14" t="s">
        <v>12</v>
      </c>
    </row>
    <row r="7" spans="1:10" x14ac:dyDescent="0.2">
      <c r="A7" s="22">
        <v>1</v>
      </c>
      <c r="B7" s="23" t="s">
        <v>542</v>
      </c>
      <c r="C7" s="23" t="s">
        <v>543</v>
      </c>
      <c r="D7" s="23" t="s">
        <v>544</v>
      </c>
      <c r="E7" s="24">
        <v>3500</v>
      </c>
      <c r="F7" s="25">
        <v>70.637</v>
      </c>
      <c r="G7" s="26">
        <v>3.3021200000000001E-2</v>
      </c>
      <c r="H7" s="14" t="s">
        <v>12</v>
      </c>
    </row>
    <row r="8" spans="1:10" x14ac:dyDescent="0.2">
      <c r="A8" s="22">
        <v>2</v>
      </c>
      <c r="B8" s="23" t="s">
        <v>545</v>
      </c>
      <c r="C8" s="23" t="s">
        <v>546</v>
      </c>
      <c r="D8" s="23" t="s">
        <v>544</v>
      </c>
      <c r="E8" s="24">
        <v>4000</v>
      </c>
      <c r="F8" s="25">
        <v>59.256</v>
      </c>
      <c r="G8" s="26">
        <v>2.7700840000000001E-2</v>
      </c>
      <c r="H8" s="14" t="s">
        <v>12</v>
      </c>
    </row>
    <row r="9" spans="1:10" x14ac:dyDescent="0.2">
      <c r="A9" s="22">
        <v>3</v>
      </c>
      <c r="B9" s="23" t="s">
        <v>547</v>
      </c>
      <c r="C9" s="23" t="s">
        <v>548</v>
      </c>
      <c r="D9" s="23" t="s">
        <v>549</v>
      </c>
      <c r="E9" s="24">
        <v>3400</v>
      </c>
      <c r="F9" s="25">
        <v>47.266800000000003</v>
      </c>
      <c r="G9" s="26">
        <v>2.209616E-2</v>
      </c>
      <c r="H9" s="14" t="s">
        <v>12</v>
      </c>
    </row>
    <row r="10" spans="1:10" x14ac:dyDescent="0.2">
      <c r="A10" s="22">
        <v>4</v>
      </c>
      <c r="B10" s="23" t="s">
        <v>550</v>
      </c>
      <c r="C10" s="23" t="s">
        <v>551</v>
      </c>
      <c r="D10" s="23" t="s">
        <v>552</v>
      </c>
      <c r="E10" s="24">
        <v>2400</v>
      </c>
      <c r="F10" s="25">
        <v>45.943199999999997</v>
      </c>
      <c r="G10" s="26">
        <v>2.1477409999999999E-2</v>
      </c>
      <c r="H10" s="14" t="s">
        <v>12</v>
      </c>
    </row>
    <row r="11" spans="1:10" x14ac:dyDescent="0.2">
      <c r="A11" s="32">
        <v>7</v>
      </c>
      <c r="B11" s="33" t="s">
        <v>728</v>
      </c>
      <c r="C11" s="33" t="s">
        <v>729</v>
      </c>
      <c r="D11" s="33" t="s">
        <v>730</v>
      </c>
      <c r="E11" s="73">
        <v>30000</v>
      </c>
      <c r="F11" s="35">
        <f>2745600/10^5</f>
        <v>27.456</v>
      </c>
      <c r="G11" s="36">
        <f>F11/F96</f>
        <v>1.2835060689001875E-2</v>
      </c>
      <c r="H11" s="14" t="s">
        <v>12</v>
      </c>
      <c r="J11" s="74"/>
    </row>
    <row r="12" spans="1:10" x14ac:dyDescent="0.2">
      <c r="A12" s="22">
        <v>5</v>
      </c>
      <c r="B12" s="23" t="s">
        <v>553</v>
      </c>
      <c r="C12" s="23" t="s">
        <v>554</v>
      </c>
      <c r="D12" s="23" t="s">
        <v>555</v>
      </c>
      <c r="E12" s="24">
        <v>1750</v>
      </c>
      <c r="F12" s="25">
        <v>26.407499999999999</v>
      </c>
      <c r="G12" s="26">
        <v>1.2344910000000001E-2</v>
      </c>
      <c r="H12" s="14" t="s">
        <v>12</v>
      </c>
    </row>
    <row r="13" spans="1:10" x14ac:dyDescent="0.2">
      <c r="A13" s="22">
        <v>6</v>
      </c>
      <c r="B13" s="23" t="s">
        <v>556</v>
      </c>
      <c r="C13" s="23" t="s">
        <v>557</v>
      </c>
      <c r="D13" s="23" t="s">
        <v>544</v>
      </c>
      <c r="E13" s="24">
        <v>2600</v>
      </c>
      <c r="F13" s="25">
        <v>20.7103</v>
      </c>
      <c r="G13" s="26">
        <v>9.6816000000000003E-3</v>
      </c>
      <c r="H13" s="14" t="s">
        <v>12</v>
      </c>
    </row>
    <row r="14" spans="1:10" x14ac:dyDescent="0.2">
      <c r="A14" s="22">
        <v>8</v>
      </c>
      <c r="B14" s="23" t="s">
        <v>558</v>
      </c>
      <c r="C14" s="23" t="s">
        <v>559</v>
      </c>
      <c r="D14" s="23" t="s">
        <v>555</v>
      </c>
      <c r="E14" s="24">
        <v>1400</v>
      </c>
      <c r="F14" s="25">
        <v>20.550599999999999</v>
      </c>
      <c r="G14" s="26">
        <v>9.6069399999999996E-3</v>
      </c>
      <c r="H14" s="14" t="s">
        <v>12</v>
      </c>
    </row>
    <row r="15" spans="1:10" ht="25.5" x14ac:dyDescent="0.2">
      <c r="A15" s="22">
        <v>9</v>
      </c>
      <c r="B15" s="23" t="s">
        <v>560</v>
      </c>
      <c r="C15" s="23" t="s">
        <v>561</v>
      </c>
      <c r="D15" s="23" t="s">
        <v>562</v>
      </c>
      <c r="E15" s="24">
        <v>125</v>
      </c>
      <c r="F15" s="25">
        <v>15.311249999999999</v>
      </c>
      <c r="G15" s="26">
        <v>7.1576599999999997E-3</v>
      </c>
      <c r="H15" s="14" t="s">
        <v>12</v>
      </c>
    </row>
    <row r="16" spans="1:10" ht="25.5" x14ac:dyDescent="0.2">
      <c r="A16" s="22">
        <v>10</v>
      </c>
      <c r="B16" s="23" t="s">
        <v>563</v>
      </c>
      <c r="C16" s="23" t="s">
        <v>564</v>
      </c>
      <c r="D16" s="23" t="s">
        <v>565</v>
      </c>
      <c r="E16" s="24">
        <v>320</v>
      </c>
      <c r="F16" s="25">
        <v>13.602880000000001</v>
      </c>
      <c r="G16" s="26">
        <v>6.3590399999999998E-3</v>
      </c>
      <c r="H16" s="14" t="s">
        <v>12</v>
      </c>
    </row>
    <row r="17" spans="1:8" x14ac:dyDescent="0.2">
      <c r="A17" s="22">
        <v>11</v>
      </c>
      <c r="B17" s="23" t="s">
        <v>566</v>
      </c>
      <c r="C17" s="23" t="s">
        <v>567</v>
      </c>
      <c r="D17" s="23" t="s">
        <v>544</v>
      </c>
      <c r="E17" s="24">
        <v>675</v>
      </c>
      <c r="F17" s="25">
        <v>13.355549999999999</v>
      </c>
      <c r="G17" s="26">
        <v>6.2434200000000004E-3</v>
      </c>
      <c r="H17" s="14" t="s">
        <v>12</v>
      </c>
    </row>
    <row r="18" spans="1:8" x14ac:dyDescent="0.2">
      <c r="A18" s="22">
        <v>12</v>
      </c>
      <c r="B18" s="23" t="s">
        <v>568</v>
      </c>
      <c r="C18" s="23" t="s">
        <v>569</v>
      </c>
      <c r="D18" s="23" t="s">
        <v>549</v>
      </c>
      <c r="E18" s="24">
        <v>4000</v>
      </c>
      <c r="F18" s="25">
        <v>13.172000000000001</v>
      </c>
      <c r="G18" s="26">
        <v>6.15761E-3</v>
      </c>
      <c r="H18" s="14" t="s">
        <v>12</v>
      </c>
    </row>
    <row r="19" spans="1:8" x14ac:dyDescent="0.2">
      <c r="A19" s="22">
        <v>13</v>
      </c>
      <c r="B19" s="23" t="s">
        <v>570</v>
      </c>
      <c r="C19" s="23" t="s">
        <v>571</v>
      </c>
      <c r="D19" s="23" t="s">
        <v>572</v>
      </c>
      <c r="E19" s="24">
        <v>2000</v>
      </c>
      <c r="F19" s="25">
        <v>13.11</v>
      </c>
      <c r="G19" s="26">
        <v>6.1286300000000004E-3</v>
      </c>
      <c r="H19" s="14" t="s">
        <v>12</v>
      </c>
    </row>
    <row r="20" spans="1:8" x14ac:dyDescent="0.2">
      <c r="A20" s="22">
        <v>14</v>
      </c>
      <c r="B20" s="23" t="s">
        <v>573</v>
      </c>
      <c r="C20" s="23" t="s">
        <v>574</v>
      </c>
      <c r="D20" s="23" t="s">
        <v>575</v>
      </c>
      <c r="E20" s="24">
        <v>160</v>
      </c>
      <c r="F20" s="25">
        <v>12.812799999999999</v>
      </c>
      <c r="G20" s="26">
        <v>5.9896999999999997E-3</v>
      </c>
      <c r="H20" s="14" t="s">
        <v>12</v>
      </c>
    </row>
    <row r="21" spans="1:8" x14ac:dyDescent="0.2">
      <c r="A21" s="22">
        <v>15</v>
      </c>
      <c r="B21" s="23" t="s">
        <v>576</v>
      </c>
      <c r="C21" s="23" t="s">
        <v>577</v>
      </c>
      <c r="D21" s="23" t="s">
        <v>575</v>
      </c>
      <c r="E21" s="24">
        <v>100</v>
      </c>
      <c r="F21" s="25">
        <v>12.608000000000001</v>
      </c>
      <c r="G21" s="26">
        <v>5.8939600000000002E-3</v>
      </c>
      <c r="H21" s="14" t="s">
        <v>12</v>
      </c>
    </row>
    <row r="22" spans="1:8" ht="25.5" x14ac:dyDescent="0.2">
      <c r="A22" s="22">
        <v>16</v>
      </c>
      <c r="B22" s="23" t="s">
        <v>578</v>
      </c>
      <c r="C22" s="23" t="s">
        <v>579</v>
      </c>
      <c r="D22" s="23" t="s">
        <v>580</v>
      </c>
      <c r="E22" s="24">
        <v>250</v>
      </c>
      <c r="F22" s="25">
        <v>12.57775</v>
      </c>
      <c r="G22" s="26">
        <v>5.8798100000000001E-3</v>
      </c>
      <c r="H22" s="14" t="s">
        <v>12</v>
      </c>
    </row>
    <row r="23" spans="1:8" ht="25.5" x14ac:dyDescent="0.2">
      <c r="A23" s="22">
        <v>17</v>
      </c>
      <c r="B23" s="23" t="s">
        <v>581</v>
      </c>
      <c r="C23" s="23" t="s">
        <v>582</v>
      </c>
      <c r="D23" s="23" t="s">
        <v>562</v>
      </c>
      <c r="E23" s="24">
        <v>450</v>
      </c>
      <c r="F23" s="25">
        <v>12.3588</v>
      </c>
      <c r="G23" s="26">
        <v>5.7774599999999999E-3</v>
      </c>
      <c r="H23" s="14" t="s">
        <v>12</v>
      </c>
    </row>
    <row r="24" spans="1:8" x14ac:dyDescent="0.2">
      <c r="A24" s="22">
        <v>18</v>
      </c>
      <c r="B24" s="23" t="s">
        <v>583</v>
      </c>
      <c r="C24" s="23" t="s">
        <v>584</v>
      </c>
      <c r="D24" s="23" t="s">
        <v>585</v>
      </c>
      <c r="E24" s="24">
        <v>3000</v>
      </c>
      <c r="F24" s="25">
        <v>12.358499999999999</v>
      </c>
      <c r="G24" s="26">
        <v>5.7773199999999999E-3</v>
      </c>
      <c r="H24" s="14" t="s">
        <v>12</v>
      </c>
    </row>
    <row r="25" spans="1:8" x14ac:dyDescent="0.2">
      <c r="A25" s="22">
        <v>19</v>
      </c>
      <c r="B25" s="23" t="s">
        <v>586</v>
      </c>
      <c r="C25" s="23" t="s">
        <v>587</v>
      </c>
      <c r="D25" s="23" t="s">
        <v>544</v>
      </c>
      <c r="E25" s="24">
        <v>1150</v>
      </c>
      <c r="F25" s="25">
        <v>12.2866</v>
      </c>
      <c r="G25" s="26">
        <v>5.74371E-3</v>
      </c>
      <c r="H25" s="14" t="s">
        <v>12</v>
      </c>
    </row>
    <row r="26" spans="1:8" ht="25.5" x14ac:dyDescent="0.2">
      <c r="A26" s="22">
        <v>20</v>
      </c>
      <c r="B26" s="23" t="s">
        <v>588</v>
      </c>
      <c r="C26" s="23" t="s">
        <v>589</v>
      </c>
      <c r="D26" s="23" t="s">
        <v>590</v>
      </c>
      <c r="E26" s="24">
        <v>1500</v>
      </c>
      <c r="F26" s="25">
        <v>10.647</v>
      </c>
      <c r="G26" s="26">
        <v>4.97723E-3</v>
      </c>
      <c r="H26" s="14" t="s">
        <v>12</v>
      </c>
    </row>
    <row r="27" spans="1:8" x14ac:dyDescent="0.2">
      <c r="A27" s="22">
        <v>21</v>
      </c>
      <c r="B27" s="23" t="s">
        <v>591</v>
      </c>
      <c r="C27" s="23" t="s">
        <v>592</v>
      </c>
      <c r="D27" s="23" t="s">
        <v>593</v>
      </c>
      <c r="E27" s="24">
        <v>250</v>
      </c>
      <c r="F27" s="25">
        <v>9.0912500000000005</v>
      </c>
      <c r="G27" s="26">
        <v>4.2499499999999997E-3</v>
      </c>
      <c r="H27" s="14" t="s">
        <v>12</v>
      </c>
    </row>
    <row r="28" spans="1:8" x14ac:dyDescent="0.2">
      <c r="A28" s="15"/>
      <c r="B28" s="15"/>
      <c r="C28" s="16" t="s">
        <v>11</v>
      </c>
      <c r="D28" s="15"/>
      <c r="E28" s="15" t="s">
        <v>12</v>
      </c>
      <c r="F28" s="21">
        <f>SUM(F7:F27)</f>
        <v>481.51977999999997</v>
      </c>
      <c r="G28" s="18">
        <f>SUM(G7:G27)</f>
        <v>0.22509962068900197</v>
      </c>
      <c r="H28" s="14" t="s">
        <v>12</v>
      </c>
    </row>
    <row r="29" spans="1:8" x14ac:dyDescent="0.2">
      <c r="A29" s="15"/>
      <c r="B29" s="15"/>
      <c r="C29" s="19"/>
      <c r="D29" s="15"/>
      <c r="E29" s="15"/>
      <c r="F29" s="20"/>
      <c r="G29" s="20"/>
      <c r="H29" s="14" t="s">
        <v>12</v>
      </c>
    </row>
    <row r="30" spans="1:8" x14ac:dyDescent="0.2">
      <c r="A30" s="15"/>
      <c r="B30" s="15"/>
      <c r="C30" s="16" t="s">
        <v>14</v>
      </c>
      <c r="D30" s="15"/>
      <c r="E30" s="15"/>
      <c r="F30" s="15"/>
      <c r="G30" s="15"/>
      <c r="H30" s="14" t="s">
        <v>12</v>
      </c>
    </row>
    <row r="31" spans="1:8" x14ac:dyDescent="0.2">
      <c r="A31" s="15"/>
      <c r="B31" s="15"/>
      <c r="C31" s="16" t="s">
        <v>11</v>
      </c>
      <c r="D31" s="15"/>
      <c r="E31" s="15" t="s">
        <v>12</v>
      </c>
      <c r="F31" s="17" t="s">
        <v>13</v>
      </c>
      <c r="G31" s="18">
        <v>0</v>
      </c>
      <c r="H31" s="14" t="s">
        <v>12</v>
      </c>
    </row>
    <row r="32" spans="1:8" x14ac:dyDescent="0.2">
      <c r="A32" s="15"/>
      <c r="B32" s="15"/>
      <c r="C32" s="19"/>
      <c r="D32" s="15"/>
      <c r="E32" s="15"/>
      <c r="F32" s="20"/>
      <c r="G32" s="20"/>
      <c r="H32" s="14" t="s">
        <v>12</v>
      </c>
    </row>
    <row r="33" spans="1:8" x14ac:dyDescent="0.2">
      <c r="A33" s="15"/>
      <c r="B33" s="15"/>
      <c r="C33" s="16" t="s">
        <v>15</v>
      </c>
      <c r="D33" s="15"/>
      <c r="E33" s="15"/>
      <c r="F33" s="15"/>
      <c r="G33" s="15"/>
      <c r="H33" s="14" t="s">
        <v>12</v>
      </c>
    </row>
    <row r="34" spans="1:8" x14ac:dyDescent="0.2">
      <c r="A34" s="15"/>
      <c r="B34" s="15"/>
      <c r="C34" s="16" t="s">
        <v>11</v>
      </c>
      <c r="D34" s="15"/>
      <c r="E34" s="15" t="s">
        <v>12</v>
      </c>
      <c r="F34" s="17" t="s">
        <v>13</v>
      </c>
      <c r="G34" s="18">
        <v>0</v>
      </c>
      <c r="H34" s="14" t="s">
        <v>12</v>
      </c>
    </row>
    <row r="35" spans="1:8" x14ac:dyDescent="0.2">
      <c r="A35" s="15"/>
      <c r="B35" s="15"/>
      <c r="C35" s="19"/>
      <c r="D35" s="15"/>
      <c r="E35" s="15"/>
      <c r="F35" s="20"/>
      <c r="G35" s="20"/>
      <c r="H35" s="14" t="s">
        <v>12</v>
      </c>
    </row>
    <row r="36" spans="1:8" x14ac:dyDescent="0.2">
      <c r="A36" s="15"/>
      <c r="B36" s="15"/>
      <c r="C36" s="16" t="s">
        <v>16</v>
      </c>
      <c r="D36" s="15"/>
      <c r="E36" s="15"/>
      <c r="F36" s="15"/>
      <c r="G36" s="15"/>
      <c r="H36" s="14" t="s">
        <v>12</v>
      </c>
    </row>
    <row r="37" spans="1:8" x14ac:dyDescent="0.2">
      <c r="A37" s="15"/>
      <c r="B37" s="15"/>
      <c r="C37" s="16" t="s">
        <v>11</v>
      </c>
      <c r="D37" s="15"/>
      <c r="E37" s="15" t="s">
        <v>12</v>
      </c>
      <c r="F37" s="17" t="s">
        <v>13</v>
      </c>
      <c r="G37" s="18">
        <v>0</v>
      </c>
      <c r="H37" s="14" t="s">
        <v>12</v>
      </c>
    </row>
    <row r="38" spans="1:8" x14ac:dyDescent="0.2">
      <c r="A38" s="15"/>
      <c r="B38" s="15"/>
      <c r="C38" s="19"/>
      <c r="D38" s="15"/>
      <c r="E38" s="15"/>
      <c r="F38" s="20"/>
      <c r="G38" s="20"/>
      <c r="H38" s="14" t="s">
        <v>12</v>
      </c>
    </row>
    <row r="39" spans="1:8" x14ac:dyDescent="0.2">
      <c r="A39" s="15"/>
      <c r="B39" s="15"/>
      <c r="C39" s="16" t="s">
        <v>17</v>
      </c>
      <c r="D39" s="15"/>
      <c r="E39" s="15"/>
      <c r="F39" s="20"/>
      <c r="G39" s="20"/>
      <c r="H39" s="14" t="s">
        <v>12</v>
      </c>
    </row>
    <row r="40" spans="1:8" x14ac:dyDescent="0.2">
      <c r="A40" s="15"/>
      <c r="B40" s="15"/>
      <c r="C40" s="16" t="s">
        <v>11</v>
      </c>
      <c r="D40" s="15"/>
      <c r="E40" s="15" t="s">
        <v>12</v>
      </c>
      <c r="F40" s="17" t="s">
        <v>13</v>
      </c>
      <c r="G40" s="18">
        <v>0</v>
      </c>
      <c r="H40" s="14" t="s">
        <v>12</v>
      </c>
    </row>
    <row r="41" spans="1:8" x14ac:dyDescent="0.2">
      <c r="A41" s="15"/>
      <c r="B41" s="15"/>
      <c r="C41" s="19"/>
      <c r="D41" s="15"/>
      <c r="E41" s="15"/>
      <c r="F41" s="20"/>
      <c r="G41" s="20"/>
      <c r="H41" s="14" t="s">
        <v>12</v>
      </c>
    </row>
    <row r="42" spans="1:8" x14ac:dyDescent="0.2">
      <c r="A42" s="15"/>
      <c r="B42" s="15"/>
      <c r="C42" s="16" t="s">
        <v>18</v>
      </c>
      <c r="D42" s="15"/>
      <c r="E42" s="15"/>
      <c r="F42" s="20"/>
      <c r="G42" s="20"/>
      <c r="H42" s="14" t="s">
        <v>12</v>
      </c>
    </row>
    <row r="43" spans="1:8" x14ac:dyDescent="0.2">
      <c r="A43" s="15"/>
      <c r="B43" s="15"/>
      <c r="C43" s="16" t="s">
        <v>11</v>
      </c>
      <c r="D43" s="15"/>
      <c r="E43" s="15" t="s">
        <v>12</v>
      </c>
      <c r="F43" s="17" t="s">
        <v>13</v>
      </c>
      <c r="G43" s="18">
        <v>0</v>
      </c>
      <c r="H43" s="14" t="s">
        <v>12</v>
      </c>
    </row>
    <row r="44" spans="1:8" x14ac:dyDescent="0.2">
      <c r="A44" s="15"/>
      <c r="B44" s="15"/>
      <c r="C44" s="19"/>
      <c r="D44" s="15"/>
      <c r="E44" s="15"/>
      <c r="F44" s="20"/>
      <c r="G44" s="20"/>
      <c r="H44" s="14" t="s">
        <v>12</v>
      </c>
    </row>
    <row r="45" spans="1:8" x14ac:dyDescent="0.2">
      <c r="A45" s="15"/>
      <c r="B45" s="15"/>
      <c r="C45" s="16" t="s">
        <v>19</v>
      </c>
      <c r="D45" s="15"/>
      <c r="E45" s="15"/>
      <c r="F45" s="21">
        <f>F28</f>
        <v>481.51977999999997</v>
      </c>
      <c r="G45" s="18">
        <f>G28</f>
        <v>0.22509962068900197</v>
      </c>
      <c r="H45" s="14" t="s">
        <v>12</v>
      </c>
    </row>
    <row r="46" spans="1:8" x14ac:dyDescent="0.2">
      <c r="A46" s="15"/>
      <c r="B46" s="15"/>
      <c r="C46" s="19"/>
      <c r="D46" s="15"/>
      <c r="E46" s="15"/>
      <c r="F46" s="20"/>
      <c r="G46" s="20"/>
      <c r="H46" s="14" t="s">
        <v>12</v>
      </c>
    </row>
    <row r="47" spans="1:8" x14ac:dyDescent="0.2">
      <c r="A47" s="15"/>
      <c r="B47" s="15"/>
      <c r="C47" s="16" t="s">
        <v>20</v>
      </c>
      <c r="D47" s="15"/>
      <c r="E47" s="15"/>
      <c r="F47" s="20"/>
      <c r="G47" s="20"/>
      <c r="H47" s="14" t="s">
        <v>12</v>
      </c>
    </row>
    <row r="48" spans="1:8" x14ac:dyDescent="0.2">
      <c r="A48" s="15"/>
      <c r="B48" s="15"/>
      <c r="C48" s="16" t="s">
        <v>10</v>
      </c>
      <c r="D48" s="15"/>
      <c r="E48" s="15"/>
      <c r="F48" s="20"/>
      <c r="G48" s="20"/>
      <c r="H48" s="14" t="s">
        <v>12</v>
      </c>
    </row>
    <row r="49" spans="1:8" x14ac:dyDescent="0.2">
      <c r="A49" s="15"/>
      <c r="B49" s="15"/>
      <c r="C49" s="16" t="s">
        <v>11</v>
      </c>
      <c r="D49" s="15"/>
      <c r="E49" s="15" t="s">
        <v>12</v>
      </c>
      <c r="F49" s="17" t="s">
        <v>13</v>
      </c>
      <c r="G49" s="18">
        <v>0</v>
      </c>
      <c r="H49" s="14" t="s">
        <v>12</v>
      </c>
    </row>
    <row r="50" spans="1:8" x14ac:dyDescent="0.2">
      <c r="A50" s="15"/>
      <c r="B50" s="15"/>
      <c r="C50" s="19"/>
      <c r="D50" s="15"/>
      <c r="E50" s="15"/>
      <c r="F50" s="20"/>
      <c r="G50" s="20"/>
      <c r="H50" s="14" t="s">
        <v>12</v>
      </c>
    </row>
    <row r="51" spans="1:8" x14ac:dyDescent="0.2">
      <c r="A51" s="15"/>
      <c r="B51" s="15"/>
      <c r="C51" s="16" t="s">
        <v>79</v>
      </c>
      <c r="D51" s="15"/>
      <c r="E51" s="15"/>
      <c r="F51" s="15"/>
      <c r="G51" s="15"/>
      <c r="H51" s="14" t="s">
        <v>12</v>
      </c>
    </row>
    <row r="52" spans="1:8" x14ac:dyDescent="0.2">
      <c r="A52" s="15"/>
      <c r="B52" s="15"/>
      <c r="C52" s="16" t="s">
        <v>11</v>
      </c>
      <c r="D52" s="15"/>
      <c r="E52" s="15" t="s">
        <v>12</v>
      </c>
      <c r="F52" s="17" t="s">
        <v>13</v>
      </c>
      <c r="G52" s="18">
        <v>0</v>
      </c>
      <c r="H52" s="14" t="s">
        <v>12</v>
      </c>
    </row>
    <row r="53" spans="1:8" x14ac:dyDescent="0.2">
      <c r="A53" s="15"/>
      <c r="B53" s="15"/>
      <c r="C53" s="19"/>
      <c r="D53" s="15"/>
      <c r="E53" s="15"/>
      <c r="F53" s="20"/>
      <c r="G53" s="20"/>
      <c r="H53" s="14" t="s">
        <v>12</v>
      </c>
    </row>
    <row r="54" spans="1:8" x14ac:dyDescent="0.2">
      <c r="A54" s="15"/>
      <c r="B54" s="15"/>
      <c r="C54" s="16" t="s">
        <v>80</v>
      </c>
      <c r="D54" s="15"/>
      <c r="E54" s="15"/>
      <c r="F54" s="15"/>
      <c r="G54" s="15"/>
      <c r="H54" s="14" t="s">
        <v>12</v>
      </c>
    </row>
    <row r="55" spans="1:8" x14ac:dyDescent="0.2">
      <c r="A55" s="22">
        <v>1</v>
      </c>
      <c r="B55" s="23" t="s">
        <v>594</v>
      </c>
      <c r="C55" s="23" t="s">
        <v>595</v>
      </c>
      <c r="D55" s="23" t="s">
        <v>83</v>
      </c>
      <c r="E55" s="24">
        <v>500000</v>
      </c>
      <c r="F55" s="25">
        <v>503.74799999999999</v>
      </c>
      <c r="G55" s="26">
        <v>0.23549083000000001</v>
      </c>
      <c r="H55" s="14">
        <v>7.1524999999999999</v>
      </c>
    </row>
    <row r="56" spans="1:8" x14ac:dyDescent="0.2">
      <c r="A56" s="22">
        <v>2</v>
      </c>
      <c r="B56" s="23" t="s">
        <v>489</v>
      </c>
      <c r="C56" s="23" t="s">
        <v>490</v>
      </c>
      <c r="D56" s="23" t="s">
        <v>83</v>
      </c>
      <c r="E56" s="24">
        <v>100000</v>
      </c>
      <c r="F56" s="25">
        <v>104.2252</v>
      </c>
      <c r="G56" s="26">
        <v>4.8722929999999998E-2</v>
      </c>
      <c r="H56" s="14">
        <v>6.5590999999999999</v>
      </c>
    </row>
    <row r="57" spans="1:8" x14ac:dyDescent="0.2">
      <c r="A57" s="15"/>
      <c r="B57" s="15"/>
      <c r="C57" s="16" t="s">
        <v>11</v>
      </c>
      <c r="D57" s="15"/>
      <c r="E57" s="15" t="s">
        <v>12</v>
      </c>
      <c r="F57" s="21">
        <v>607.97320000000002</v>
      </c>
      <c r="G57" s="18">
        <v>0.28421375999999998</v>
      </c>
      <c r="H57" s="14" t="s">
        <v>12</v>
      </c>
    </row>
    <row r="58" spans="1:8" x14ac:dyDescent="0.2">
      <c r="A58" s="15"/>
      <c r="B58" s="15"/>
      <c r="C58" s="19"/>
      <c r="D58" s="15"/>
      <c r="E58" s="15"/>
      <c r="F58" s="20"/>
      <c r="G58" s="20"/>
      <c r="H58" s="14" t="s">
        <v>12</v>
      </c>
    </row>
    <row r="59" spans="1:8" x14ac:dyDescent="0.2">
      <c r="A59" s="15"/>
      <c r="B59" s="15"/>
      <c r="C59" s="16" t="s">
        <v>98</v>
      </c>
      <c r="D59" s="15"/>
      <c r="E59" s="15"/>
      <c r="F59" s="20"/>
      <c r="G59" s="20"/>
      <c r="H59" s="14" t="s">
        <v>12</v>
      </c>
    </row>
    <row r="60" spans="1:8" x14ac:dyDescent="0.2">
      <c r="A60" s="15"/>
      <c r="B60" s="15"/>
      <c r="C60" s="16" t="s">
        <v>11</v>
      </c>
      <c r="D60" s="15"/>
      <c r="E60" s="15" t="s">
        <v>12</v>
      </c>
      <c r="F60" s="17" t="s">
        <v>13</v>
      </c>
      <c r="G60" s="18">
        <v>0</v>
      </c>
      <c r="H60" s="14" t="s">
        <v>12</v>
      </c>
    </row>
    <row r="61" spans="1:8" x14ac:dyDescent="0.2">
      <c r="A61" s="15"/>
      <c r="B61" s="15"/>
      <c r="C61" s="19"/>
      <c r="D61" s="15"/>
      <c r="E61" s="15"/>
      <c r="F61" s="20"/>
      <c r="G61" s="20"/>
      <c r="H61" s="14" t="s">
        <v>12</v>
      </c>
    </row>
    <row r="62" spans="1:8" x14ac:dyDescent="0.2">
      <c r="A62" s="15"/>
      <c r="B62" s="15"/>
      <c r="C62" s="16" t="s">
        <v>99</v>
      </c>
      <c r="D62" s="15"/>
      <c r="E62" s="15"/>
      <c r="F62" s="21">
        <v>607.97320000000002</v>
      </c>
      <c r="G62" s="18">
        <v>0.28421375999999998</v>
      </c>
      <c r="H62" s="14" t="s">
        <v>12</v>
      </c>
    </row>
    <row r="63" spans="1:8" x14ac:dyDescent="0.2">
      <c r="A63" s="15"/>
      <c r="B63" s="15"/>
      <c r="C63" s="19"/>
      <c r="D63" s="15"/>
      <c r="E63" s="15"/>
      <c r="F63" s="20"/>
      <c r="G63" s="20"/>
      <c r="H63" s="14" t="s">
        <v>12</v>
      </c>
    </row>
    <row r="64" spans="1:8" x14ac:dyDescent="0.2">
      <c r="A64" s="15"/>
      <c r="B64" s="15"/>
      <c r="C64" s="16" t="s">
        <v>100</v>
      </c>
      <c r="D64" s="15"/>
      <c r="E64" s="15"/>
      <c r="F64" s="20"/>
      <c r="G64" s="20"/>
      <c r="H64" s="14" t="s">
        <v>12</v>
      </c>
    </row>
    <row r="65" spans="1:8" x14ac:dyDescent="0.2">
      <c r="A65" s="15"/>
      <c r="B65" s="15"/>
      <c r="C65" s="16" t="s">
        <v>101</v>
      </c>
      <c r="D65" s="15"/>
      <c r="E65" s="15"/>
      <c r="F65" s="20"/>
      <c r="G65" s="20"/>
      <c r="H65" s="14" t="s">
        <v>12</v>
      </c>
    </row>
    <row r="66" spans="1:8" x14ac:dyDescent="0.2">
      <c r="A66" s="15"/>
      <c r="B66" s="15"/>
      <c r="C66" s="16" t="s">
        <v>11</v>
      </c>
      <c r="D66" s="15"/>
      <c r="E66" s="15" t="s">
        <v>12</v>
      </c>
      <c r="F66" s="17" t="s">
        <v>13</v>
      </c>
      <c r="G66" s="18">
        <v>0</v>
      </c>
      <c r="H66" s="14" t="s">
        <v>12</v>
      </c>
    </row>
    <row r="67" spans="1:8" x14ac:dyDescent="0.2">
      <c r="A67" s="15"/>
      <c r="B67" s="15"/>
      <c r="C67" s="19"/>
      <c r="D67" s="15"/>
      <c r="E67" s="15"/>
      <c r="F67" s="20"/>
      <c r="G67" s="20"/>
      <c r="H67" s="14" t="s">
        <v>12</v>
      </c>
    </row>
    <row r="68" spans="1:8" x14ac:dyDescent="0.2">
      <c r="A68" s="15"/>
      <c r="B68" s="15"/>
      <c r="C68" s="16" t="s">
        <v>108</v>
      </c>
      <c r="D68" s="15"/>
      <c r="E68" s="15"/>
      <c r="F68" s="20"/>
      <c r="G68" s="20"/>
      <c r="H68" s="14" t="s">
        <v>12</v>
      </c>
    </row>
    <row r="69" spans="1:8" x14ac:dyDescent="0.2">
      <c r="A69" s="15"/>
      <c r="B69" s="15"/>
      <c r="C69" s="16" t="s">
        <v>11</v>
      </c>
      <c r="D69" s="15"/>
      <c r="E69" s="15" t="s">
        <v>12</v>
      </c>
      <c r="F69" s="17" t="s">
        <v>13</v>
      </c>
      <c r="G69" s="18">
        <v>0</v>
      </c>
      <c r="H69" s="14" t="s">
        <v>12</v>
      </c>
    </row>
    <row r="70" spans="1:8" x14ac:dyDescent="0.2">
      <c r="A70" s="15"/>
      <c r="B70" s="15"/>
      <c r="C70" s="19"/>
      <c r="D70" s="15"/>
      <c r="E70" s="15"/>
      <c r="F70" s="20"/>
      <c r="G70" s="20"/>
      <c r="H70" s="14" t="s">
        <v>12</v>
      </c>
    </row>
    <row r="71" spans="1:8" x14ac:dyDescent="0.2">
      <c r="A71" s="15"/>
      <c r="B71" s="15"/>
      <c r="C71" s="16" t="s">
        <v>109</v>
      </c>
      <c r="D71" s="15"/>
      <c r="E71" s="15"/>
      <c r="F71" s="20"/>
      <c r="G71" s="20"/>
      <c r="H71" s="14" t="s">
        <v>12</v>
      </c>
    </row>
    <row r="72" spans="1:8" x14ac:dyDescent="0.2">
      <c r="A72" s="15"/>
      <c r="B72" s="15"/>
      <c r="C72" s="16" t="s">
        <v>11</v>
      </c>
      <c r="D72" s="15"/>
      <c r="E72" s="15" t="s">
        <v>12</v>
      </c>
      <c r="F72" s="17" t="s">
        <v>13</v>
      </c>
      <c r="G72" s="18">
        <v>0</v>
      </c>
      <c r="H72" s="14" t="s">
        <v>12</v>
      </c>
    </row>
    <row r="73" spans="1:8" x14ac:dyDescent="0.2">
      <c r="A73" s="15"/>
      <c r="B73" s="15"/>
      <c r="C73" s="19"/>
      <c r="D73" s="15"/>
      <c r="E73" s="15"/>
      <c r="F73" s="20"/>
      <c r="G73" s="20"/>
      <c r="H73" s="14" t="s">
        <v>12</v>
      </c>
    </row>
    <row r="74" spans="1:8" x14ac:dyDescent="0.2">
      <c r="A74" s="15"/>
      <c r="B74" s="15"/>
      <c r="C74" s="16" t="s">
        <v>110</v>
      </c>
      <c r="D74" s="15"/>
      <c r="E74" s="15"/>
      <c r="F74" s="20"/>
      <c r="G74" s="20"/>
      <c r="H74" s="14" t="s">
        <v>12</v>
      </c>
    </row>
    <row r="75" spans="1:8" x14ac:dyDescent="0.2">
      <c r="A75" s="22">
        <v>1</v>
      </c>
      <c r="B75" s="23"/>
      <c r="C75" s="23" t="s">
        <v>111</v>
      </c>
      <c r="D75" s="23"/>
      <c r="E75" s="27"/>
      <c r="F75" s="25">
        <v>496.69157099799997</v>
      </c>
      <c r="G75" s="26">
        <v>0.23219211000000001</v>
      </c>
      <c r="H75" s="14">
        <v>5.41</v>
      </c>
    </row>
    <row r="76" spans="1:8" x14ac:dyDescent="0.2">
      <c r="A76" s="15"/>
      <c r="B76" s="15"/>
      <c r="C76" s="16" t="s">
        <v>11</v>
      </c>
      <c r="D76" s="15"/>
      <c r="E76" s="15" t="s">
        <v>12</v>
      </c>
      <c r="F76" s="21">
        <v>496.69157099799997</v>
      </c>
      <c r="G76" s="18">
        <v>0.23219211000000001</v>
      </c>
      <c r="H76" s="14" t="s">
        <v>12</v>
      </c>
    </row>
    <row r="77" spans="1:8" x14ac:dyDescent="0.2">
      <c r="A77" s="15"/>
      <c r="B77" s="15"/>
      <c r="C77" s="19"/>
      <c r="D77" s="15"/>
      <c r="E77" s="15"/>
      <c r="F77" s="20"/>
      <c r="G77" s="20"/>
      <c r="H77" s="14" t="s">
        <v>12</v>
      </c>
    </row>
    <row r="78" spans="1:8" x14ac:dyDescent="0.2">
      <c r="A78" s="15"/>
      <c r="B78" s="15"/>
      <c r="C78" s="16" t="s">
        <v>112</v>
      </c>
      <c r="D78" s="15"/>
      <c r="E78" s="15"/>
      <c r="F78" s="21">
        <v>496.69157099799997</v>
      </c>
      <c r="G78" s="18">
        <v>0.23219211000000001</v>
      </c>
      <c r="H78" s="14" t="s">
        <v>12</v>
      </c>
    </row>
    <row r="79" spans="1:8" x14ac:dyDescent="0.2">
      <c r="A79" s="15"/>
      <c r="B79" s="15"/>
      <c r="C79" s="20"/>
      <c r="D79" s="15"/>
      <c r="E79" s="15"/>
      <c r="F79" s="15"/>
      <c r="G79" s="15"/>
      <c r="H79" s="14" t="s">
        <v>12</v>
      </c>
    </row>
    <row r="80" spans="1:8" x14ac:dyDescent="0.2">
      <c r="A80" s="15"/>
      <c r="B80" s="15"/>
      <c r="C80" s="16" t="s">
        <v>113</v>
      </c>
      <c r="D80" s="15"/>
      <c r="E80" s="15"/>
      <c r="F80" s="15"/>
      <c r="G80" s="15"/>
      <c r="H80" s="14" t="s">
        <v>12</v>
      </c>
    </row>
    <row r="81" spans="1:17" x14ac:dyDescent="0.2">
      <c r="A81" s="15"/>
      <c r="B81" s="15"/>
      <c r="C81" s="16" t="s">
        <v>114</v>
      </c>
      <c r="D81" s="15"/>
      <c r="E81" s="15"/>
      <c r="F81" s="15"/>
      <c r="G81" s="15"/>
      <c r="H81" s="14" t="s">
        <v>12</v>
      </c>
    </row>
    <row r="82" spans="1:17" x14ac:dyDescent="0.2">
      <c r="A82" s="15"/>
      <c r="B82" s="15"/>
      <c r="C82" s="16" t="s">
        <v>11</v>
      </c>
      <c r="D82" s="15"/>
      <c r="E82" s="15" t="s">
        <v>12</v>
      </c>
      <c r="F82" s="17" t="s">
        <v>13</v>
      </c>
      <c r="G82" s="18">
        <v>0</v>
      </c>
      <c r="H82" s="14" t="s">
        <v>12</v>
      </c>
    </row>
    <row r="83" spans="1:17" x14ac:dyDescent="0.2">
      <c r="A83" s="12"/>
      <c r="B83" s="12"/>
      <c r="C83" s="28"/>
      <c r="D83" s="12"/>
      <c r="E83" s="12"/>
      <c r="F83" s="29"/>
      <c r="G83" s="29"/>
      <c r="H83" s="14" t="s">
        <v>12</v>
      </c>
    </row>
    <row r="84" spans="1:17" x14ac:dyDescent="0.2">
      <c r="A84" s="12"/>
      <c r="B84" s="12"/>
      <c r="C84" s="13" t="s">
        <v>608</v>
      </c>
      <c r="D84" s="12"/>
      <c r="E84" s="12"/>
      <c r="F84" s="29"/>
      <c r="G84" s="29"/>
      <c r="H84" s="14" t="s">
        <v>12</v>
      </c>
      <c r="K84" s="30"/>
      <c r="L84" s="30"/>
      <c r="M84" s="30"/>
      <c r="N84" s="30"/>
      <c r="O84" s="31"/>
      <c r="P84" s="31"/>
      <c r="Q84" s="31"/>
    </row>
    <row r="85" spans="1:17" x14ac:dyDescent="0.2">
      <c r="A85" s="32">
        <v>1</v>
      </c>
      <c r="B85" s="33" t="s">
        <v>115</v>
      </c>
      <c r="C85" s="33" t="s">
        <v>116</v>
      </c>
      <c r="D85" s="33"/>
      <c r="E85" s="34">
        <v>76.796000000000006</v>
      </c>
      <c r="F85" s="35">
        <v>8.6701060529999996</v>
      </c>
      <c r="G85" s="36">
        <v>4.0530799999999997E-3</v>
      </c>
      <c r="H85" s="14"/>
    </row>
    <row r="86" spans="1:17" x14ac:dyDescent="0.2">
      <c r="A86" s="12"/>
      <c r="B86" s="12"/>
      <c r="C86" s="13" t="s">
        <v>11</v>
      </c>
      <c r="D86" s="12"/>
      <c r="E86" s="12" t="s">
        <v>12</v>
      </c>
      <c r="F86" s="37">
        <f>SUM(F85)</f>
        <v>8.6701060529999996</v>
      </c>
      <c r="G86" s="38">
        <f>SUM(G85)</f>
        <v>4.0530799999999997E-3</v>
      </c>
      <c r="H86" s="14" t="s">
        <v>12</v>
      </c>
    </row>
    <row r="87" spans="1:17" x14ac:dyDescent="0.2">
      <c r="A87" s="12"/>
      <c r="B87" s="12"/>
      <c r="C87" s="28"/>
      <c r="D87" s="12"/>
      <c r="E87" s="12"/>
      <c r="F87" s="29"/>
      <c r="G87" s="29"/>
      <c r="H87" s="14" t="s">
        <v>12</v>
      </c>
    </row>
    <row r="88" spans="1:17" x14ac:dyDescent="0.2">
      <c r="A88" s="15"/>
      <c r="B88" s="15"/>
      <c r="C88" s="16" t="s">
        <v>117</v>
      </c>
      <c r="D88" s="15"/>
      <c r="E88" s="15"/>
      <c r="F88" s="15"/>
      <c r="G88" s="15"/>
      <c r="H88" s="14" t="s">
        <v>12</v>
      </c>
    </row>
    <row r="89" spans="1:17" x14ac:dyDescent="0.2">
      <c r="A89" s="15"/>
      <c r="B89" s="15"/>
      <c r="C89" s="16" t="s">
        <v>118</v>
      </c>
      <c r="D89" s="15"/>
      <c r="E89" s="15"/>
      <c r="F89" s="15"/>
      <c r="G89" s="15"/>
      <c r="H89" s="14" t="s">
        <v>12</v>
      </c>
    </row>
    <row r="90" spans="1:17" x14ac:dyDescent="0.2">
      <c r="A90" s="15"/>
      <c r="B90" s="15"/>
      <c r="C90" s="16" t="s">
        <v>11</v>
      </c>
      <c r="D90" s="15"/>
      <c r="E90" s="15" t="s">
        <v>12</v>
      </c>
      <c r="F90" s="17" t="s">
        <v>13</v>
      </c>
      <c r="G90" s="18">
        <v>0</v>
      </c>
      <c r="H90" s="14" t="s">
        <v>12</v>
      </c>
    </row>
    <row r="91" spans="1:17" x14ac:dyDescent="0.2">
      <c r="A91" s="15"/>
      <c r="B91" s="15"/>
      <c r="C91" s="19"/>
      <c r="D91" s="15"/>
      <c r="E91" s="15"/>
      <c r="F91" s="20"/>
      <c r="G91" s="20"/>
      <c r="H91" s="14" t="s">
        <v>12</v>
      </c>
    </row>
    <row r="92" spans="1:17" x14ac:dyDescent="0.2">
      <c r="A92" s="15"/>
      <c r="B92" s="15"/>
      <c r="C92" s="16" t="s">
        <v>119</v>
      </c>
      <c r="D92" s="15"/>
      <c r="E92" s="15"/>
      <c r="F92" s="20"/>
      <c r="G92" s="20"/>
      <c r="H92" s="14" t="s">
        <v>12</v>
      </c>
    </row>
    <row r="93" spans="1:17" x14ac:dyDescent="0.2">
      <c r="A93" s="15"/>
      <c r="B93" s="15"/>
      <c r="C93" s="16" t="s">
        <v>11</v>
      </c>
      <c r="D93" s="15"/>
      <c r="E93" s="15" t="s">
        <v>12</v>
      </c>
      <c r="F93" s="17" t="s">
        <v>13</v>
      </c>
      <c r="G93" s="18">
        <v>0</v>
      </c>
      <c r="H93" s="14" t="s">
        <v>12</v>
      </c>
    </row>
    <row r="94" spans="1:17" x14ac:dyDescent="0.2">
      <c r="A94" s="15"/>
      <c r="B94" s="15"/>
      <c r="C94" s="19"/>
      <c r="D94" s="15"/>
      <c r="E94" s="15"/>
      <c r="F94" s="20"/>
      <c r="G94" s="20"/>
      <c r="H94" s="14" t="s">
        <v>12</v>
      </c>
    </row>
    <row r="95" spans="1:17" x14ac:dyDescent="0.2">
      <c r="A95" s="27"/>
      <c r="B95" s="23"/>
      <c r="C95" s="23" t="s">
        <v>120</v>
      </c>
      <c r="D95" s="23"/>
      <c r="E95" s="27"/>
      <c r="F95" s="25">
        <v>544.28598787999999</v>
      </c>
      <c r="G95" s="26">
        <v>0.25444141999999997</v>
      </c>
      <c r="H95" s="14" t="s">
        <v>12</v>
      </c>
    </row>
    <row r="96" spans="1:17" x14ac:dyDescent="0.2">
      <c r="A96" s="19"/>
      <c r="B96" s="19"/>
      <c r="C96" s="16" t="s">
        <v>121</v>
      </c>
      <c r="D96" s="20"/>
      <c r="E96" s="20"/>
      <c r="F96" s="21">
        <f>F95+F86+F78+F62+F45</f>
        <v>2139.1406449310002</v>
      </c>
      <c r="G96" s="39">
        <f>G95+G86+G78+G62+G45</f>
        <v>0.99999999068900181</v>
      </c>
      <c r="H96" s="14" t="s">
        <v>12</v>
      </c>
    </row>
    <row r="97" spans="1:8" x14ac:dyDescent="0.2">
      <c r="A97" s="40"/>
      <c r="B97" s="40"/>
      <c r="C97" s="40"/>
      <c r="D97" s="41"/>
      <c r="E97" s="41"/>
      <c r="F97" s="41"/>
      <c r="G97" s="41"/>
    </row>
    <row r="98" spans="1:8" x14ac:dyDescent="0.2">
      <c r="A98" s="42"/>
      <c r="B98" s="156" t="s">
        <v>622</v>
      </c>
      <c r="C98" s="156"/>
      <c r="D98" s="156"/>
      <c r="E98" s="156"/>
      <c r="F98" s="156"/>
      <c r="G98" s="156"/>
      <c r="H98" s="156"/>
    </row>
    <row r="99" spans="1:8" x14ac:dyDescent="0.2">
      <c r="A99" s="42"/>
      <c r="B99" s="156" t="s">
        <v>623</v>
      </c>
      <c r="C99" s="156"/>
      <c r="D99" s="156"/>
      <c r="E99" s="156"/>
      <c r="F99" s="156"/>
      <c r="G99" s="156"/>
      <c r="H99" s="156"/>
    </row>
    <row r="100" spans="1:8" x14ac:dyDescent="0.2">
      <c r="A100" s="42"/>
      <c r="B100" s="156" t="s">
        <v>624</v>
      </c>
      <c r="C100" s="156"/>
      <c r="D100" s="156"/>
      <c r="E100" s="156"/>
      <c r="F100" s="156"/>
      <c r="G100" s="156"/>
      <c r="H100" s="156"/>
    </row>
    <row r="101" spans="1:8" x14ac:dyDescent="0.2">
      <c r="A101" s="42"/>
      <c r="B101" s="42"/>
      <c r="C101" s="42"/>
      <c r="D101" s="44"/>
      <c r="E101" s="44"/>
      <c r="F101" s="44"/>
      <c r="G101" s="44"/>
    </row>
    <row r="102" spans="1:8" x14ac:dyDescent="0.2">
      <c r="A102" s="42"/>
      <c r="B102" s="164" t="s">
        <v>122</v>
      </c>
      <c r="C102" s="165"/>
      <c r="D102" s="166"/>
      <c r="E102" s="45"/>
      <c r="F102" s="44"/>
      <c r="G102" s="44"/>
    </row>
    <row r="103" spans="1:8" ht="27" customHeight="1" x14ac:dyDescent="0.2">
      <c r="A103" s="42"/>
      <c r="B103" s="157" t="s">
        <v>123</v>
      </c>
      <c r="C103" s="158"/>
      <c r="D103" s="13" t="s">
        <v>645</v>
      </c>
      <c r="E103" s="45"/>
      <c r="F103" s="44"/>
      <c r="G103" s="44"/>
    </row>
    <row r="104" spans="1:8" x14ac:dyDescent="0.2">
      <c r="A104" s="42"/>
      <c r="B104" s="157" t="s">
        <v>125</v>
      </c>
      <c r="C104" s="158"/>
      <c r="D104" s="13" t="s">
        <v>124</v>
      </c>
      <c r="E104" s="45"/>
      <c r="F104" s="44"/>
      <c r="G104" s="44"/>
    </row>
    <row r="105" spans="1:8" x14ac:dyDescent="0.2">
      <c r="A105" s="42"/>
      <c r="B105" s="157" t="s">
        <v>126</v>
      </c>
      <c r="C105" s="158"/>
      <c r="D105" s="29" t="s">
        <v>12</v>
      </c>
      <c r="E105" s="45"/>
      <c r="F105" s="44"/>
      <c r="G105" s="44"/>
    </row>
    <row r="106" spans="1:8" x14ac:dyDescent="0.2">
      <c r="A106" s="46"/>
      <c r="B106" s="47" t="s">
        <v>12</v>
      </c>
      <c r="C106" s="47" t="s">
        <v>625</v>
      </c>
      <c r="D106" s="47" t="s">
        <v>127</v>
      </c>
      <c r="E106" s="46"/>
      <c r="F106" s="46"/>
      <c r="G106" s="46"/>
    </row>
    <row r="107" spans="1:8" x14ac:dyDescent="0.2">
      <c r="A107" s="46"/>
      <c r="B107" s="48" t="s">
        <v>128</v>
      </c>
      <c r="C107" s="49">
        <v>45838</v>
      </c>
      <c r="D107" s="49">
        <v>45869</v>
      </c>
      <c r="E107" s="46"/>
      <c r="F107" s="46"/>
      <c r="G107" s="46"/>
    </row>
    <row r="108" spans="1:8" x14ac:dyDescent="0.2">
      <c r="A108" s="50"/>
      <c r="B108" s="23" t="s">
        <v>129</v>
      </c>
      <c r="C108" s="51">
        <v>32.731000000000002</v>
      </c>
      <c r="D108" s="51">
        <v>32.647300000000001</v>
      </c>
      <c r="E108" s="50"/>
      <c r="F108" s="52"/>
      <c r="G108" s="53"/>
    </row>
    <row r="109" spans="1:8" ht="25.5" x14ac:dyDescent="0.2">
      <c r="A109" s="50"/>
      <c r="B109" s="23" t="s">
        <v>747</v>
      </c>
      <c r="C109" s="51">
        <v>21.183399999999999</v>
      </c>
      <c r="D109" s="51">
        <v>21.129300000000001</v>
      </c>
      <c r="E109" s="50"/>
      <c r="F109" s="52"/>
      <c r="G109" s="53"/>
    </row>
    <row r="110" spans="1:8" x14ac:dyDescent="0.2">
      <c r="A110" s="50"/>
      <c r="B110" s="23" t="s">
        <v>130</v>
      </c>
      <c r="C110" s="51">
        <v>29.696899999999999</v>
      </c>
      <c r="D110" s="51">
        <v>29.5961</v>
      </c>
      <c r="E110" s="50"/>
      <c r="F110" s="52"/>
      <c r="G110" s="53"/>
    </row>
    <row r="111" spans="1:8" ht="25.5" x14ac:dyDescent="0.2">
      <c r="A111" s="50"/>
      <c r="B111" s="23" t="s">
        <v>748</v>
      </c>
      <c r="C111" s="51">
        <v>19.107099999999999</v>
      </c>
      <c r="D111" s="51">
        <v>19.042300000000001</v>
      </c>
      <c r="E111" s="50"/>
      <c r="F111" s="52"/>
      <c r="G111" s="53"/>
    </row>
    <row r="112" spans="1:8" x14ac:dyDescent="0.2">
      <c r="A112" s="50"/>
      <c r="B112" s="50"/>
      <c r="C112" s="50"/>
      <c r="D112" s="50"/>
      <c r="E112" s="50"/>
      <c r="F112" s="50"/>
      <c r="G112" s="50"/>
    </row>
    <row r="113" spans="1:18" x14ac:dyDescent="0.2">
      <c r="A113" s="50"/>
      <c r="B113" s="159" t="s">
        <v>626</v>
      </c>
      <c r="C113" s="236"/>
      <c r="D113" s="16" t="s">
        <v>124</v>
      </c>
      <c r="E113" s="50"/>
      <c r="F113" s="50"/>
      <c r="G113" s="50"/>
    </row>
    <row r="114" spans="1:18" x14ac:dyDescent="0.2">
      <c r="A114" s="50"/>
      <c r="B114" s="58"/>
      <c r="C114" s="58"/>
      <c r="D114" s="58"/>
      <c r="E114" s="50"/>
      <c r="F114" s="50"/>
      <c r="G114" s="50"/>
    </row>
    <row r="115" spans="1:18" x14ac:dyDescent="0.2">
      <c r="A115" s="46"/>
      <c r="B115" s="157" t="s">
        <v>131</v>
      </c>
      <c r="C115" s="235"/>
      <c r="D115" s="13" t="s">
        <v>124</v>
      </c>
      <c r="E115" s="57"/>
      <c r="F115" s="46"/>
      <c r="G115" s="46"/>
      <c r="J115" s="11"/>
    </row>
    <row r="116" spans="1:18" x14ac:dyDescent="0.2">
      <c r="A116" s="46"/>
      <c r="B116" s="157" t="s">
        <v>132</v>
      </c>
      <c r="C116" s="235"/>
      <c r="D116" s="13" t="s">
        <v>124</v>
      </c>
      <c r="E116" s="57"/>
      <c r="F116" s="46"/>
      <c r="G116" s="46"/>
      <c r="J116" s="11"/>
    </row>
    <row r="117" spans="1:18" x14ac:dyDescent="0.2">
      <c r="A117" s="46"/>
      <c r="B117" s="157" t="s">
        <v>627</v>
      </c>
      <c r="C117" s="235"/>
      <c r="D117" s="13" t="s">
        <v>124</v>
      </c>
      <c r="E117" s="57"/>
      <c r="F117" s="46"/>
      <c r="G117" s="46"/>
      <c r="J117" s="11"/>
    </row>
    <row r="118" spans="1:18" x14ac:dyDescent="0.2">
      <c r="A118" s="58"/>
      <c r="B118" s="58"/>
      <c r="C118" s="58"/>
      <c r="D118" s="58"/>
      <c r="E118" s="58"/>
      <c r="F118" s="58"/>
      <c r="G118" s="58"/>
      <c r="J118" s="11"/>
    </row>
    <row r="119" spans="1:18" s="59" customFormat="1" x14ac:dyDescent="0.2">
      <c r="B119" s="161" t="s">
        <v>628</v>
      </c>
      <c r="C119" s="162"/>
      <c r="D119" s="163"/>
      <c r="I119"/>
      <c r="J119" s="11"/>
      <c r="K119" s="30"/>
      <c r="L119" s="30"/>
      <c r="M119" s="30"/>
      <c r="N119" s="30"/>
      <c r="O119"/>
      <c r="R119"/>
    </row>
    <row r="120" spans="1:18" s="59" customFormat="1" ht="38.25" x14ac:dyDescent="0.2">
      <c r="B120" s="167" t="s">
        <v>629</v>
      </c>
      <c r="C120" s="167"/>
      <c r="D120" s="60" t="s">
        <v>541</v>
      </c>
      <c r="I120"/>
      <c r="J120" s="11"/>
      <c r="K120" s="30"/>
      <c r="L120" s="30"/>
      <c r="M120" s="30"/>
      <c r="N120" s="30"/>
      <c r="O120"/>
      <c r="R120"/>
    </row>
    <row r="121" spans="1:18" s="59" customFormat="1" x14ac:dyDescent="0.2">
      <c r="B121" s="153" t="s">
        <v>630</v>
      </c>
      <c r="C121" s="153"/>
      <c r="D121" s="61"/>
      <c r="I121"/>
      <c r="J121" s="11"/>
      <c r="K121" s="30"/>
      <c r="L121" s="30"/>
      <c r="M121" s="30"/>
      <c r="N121" s="30"/>
      <c r="O121"/>
      <c r="R121"/>
    </row>
    <row r="122" spans="1:18" s="59" customFormat="1" x14ac:dyDescent="0.2">
      <c r="B122" s="153"/>
      <c r="C122" s="153"/>
      <c r="D122" s="62"/>
      <c r="I122"/>
      <c r="J122" s="11"/>
      <c r="K122" s="30"/>
      <c r="L122" s="30"/>
      <c r="M122" s="30"/>
      <c r="N122" s="30"/>
      <c r="O122"/>
    </row>
    <row r="123" spans="1:18" s="59" customFormat="1" x14ac:dyDescent="0.2">
      <c r="B123" s="153" t="s">
        <v>631</v>
      </c>
      <c r="C123" s="153"/>
      <c r="D123" s="63">
        <v>6.3625432389508685</v>
      </c>
      <c r="I123"/>
      <c r="J123" s="11"/>
      <c r="K123" s="30"/>
      <c r="L123" s="30"/>
      <c r="M123" s="30"/>
      <c r="N123" s="30"/>
      <c r="O123"/>
    </row>
    <row r="124" spans="1:18" s="59" customFormat="1" x14ac:dyDescent="0.2">
      <c r="B124" s="153"/>
      <c r="C124" s="153"/>
      <c r="D124" s="62"/>
      <c r="I124"/>
      <c r="J124" s="11"/>
      <c r="K124" s="30"/>
      <c r="L124" s="30"/>
      <c r="M124" s="30"/>
      <c r="N124" s="30"/>
      <c r="O124"/>
    </row>
    <row r="125" spans="1:18" s="59" customFormat="1" x14ac:dyDescent="0.2">
      <c r="B125" s="153" t="s">
        <v>731</v>
      </c>
      <c r="C125" s="153"/>
      <c r="D125" s="63">
        <v>6.5556259609974568</v>
      </c>
      <c r="I125"/>
      <c r="J125" s="11"/>
      <c r="K125" s="30"/>
      <c r="L125" s="30"/>
      <c r="M125" s="30"/>
      <c r="N125" s="30"/>
      <c r="O125"/>
    </row>
    <row r="126" spans="1:18" s="59" customFormat="1" x14ac:dyDescent="0.2">
      <c r="B126" s="153" t="s">
        <v>732</v>
      </c>
      <c r="C126" s="153"/>
      <c r="D126" s="63">
        <v>12.73353831005717</v>
      </c>
      <c r="I126"/>
      <c r="J126" s="11"/>
      <c r="K126" s="30"/>
      <c r="L126" s="30"/>
      <c r="M126" s="30"/>
      <c r="N126" s="30"/>
      <c r="O126"/>
    </row>
    <row r="127" spans="1:18" s="59" customFormat="1" x14ac:dyDescent="0.2">
      <c r="B127" s="153"/>
      <c r="C127" s="153"/>
      <c r="D127" s="62"/>
      <c r="I127"/>
      <c r="J127" s="11"/>
      <c r="K127" s="30"/>
      <c r="L127" s="30"/>
      <c r="M127" s="30"/>
      <c r="N127" s="30"/>
      <c r="O127"/>
    </row>
    <row r="128" spans="1:18" s="59" customFormat="1" x14ac:dyDescent="0.2">
      <c r="B128" s="153" t="s">
        <v>634</v>
      </c>
      <c r="C128" s="153"/>
      <c r="D128" s="75" t="s">
        <v>742</v>
      </c>
      <c r="I128"/>
      <c r="J128" s="11"/>
      <c r="K128" s="30"/>
      <c r="L128" s="30"/>
      <c r="M128" s="30"/>
      <c r="N128" s="30"/>
      <c r="O128"/>
    </row>
    <row r="129" spans="2:16" s="59" customFormat="1" x14ac:dyDescent="0.2">
      <c r="B129" s="151" t="s">
        <v>635</v>
      </c>
      <c r="C129" s="154"/>
      <c r="D129" s="152"/>
      <c r="I129"/>
      <c r="J129" s="11"/>
      <c r="K129" s="30"/>
      <c r="L129" s="30"/>
      <c r="M129" s="30"/>
      <c r="N129" s="30"/>
      <c r="O129"/>
    </row>
    <row r="130" spans="2:16" x14ac:dyDescent="0.2">
      <c r="J130" s="11"/>
    </row>
    <row r="131" spans="2:16" ht="13.5" x14ac:dyDescent="0.2">
      <c r="B131" s="234" t="s">
        <v>743</v>
      </c>
      <c r="C131" s="234"/>
      <c r="D131" s="234"/>
      <c r="E131" s="234"/>
      <c r="F131" s="234"/>
      <c r="G131" s="234"/>
      <c r="H131" s="234"/>
      <c r="I131" s="30"/>
      <c r="J131" s="11"/>
      <c r="K131" s="30"/>
      <c r="L131" s="30"/>
      <c r="M131" s="30"/>
      <c r="N131" s="30"/>
      <c r="O131" s="30"/>
      <c r="P131" s="30"/>
    </row>
    <row r="132" spans="2:16" s="65" customFormat="1" ht="26.25" customHeight="1" x14ac:dyDescent="0.2">
      <c r="B132" s="76" t="s">
        <v>647</v>
      </c>
      <c r="C132" s="76" t="s">
        <v>648</v>
      </c>
      <c r="D132" s="175" t="s">
        <v>733</v>
      </c>
      <c r="E132" s="175"/>
      <c r="F132" s="175"/>
      <c r="G132" s="191" t="s">
        <v>650</v>
      </c>
      <c r="H132" s="191"/>
      <c r="J132" s="11"/>
      <c r="K132" s="78"/>
      <c r="L132" s="78"/>
      <c r="M132" s="78"/>
      <c r="N132" s="78"/>
      <c r="O132" s="78"/>
      <c r="P132" s="78"/>
    </row>
    <row r="133" spans="2:16" ht="27" x14ac:dyDescent="0.25">
      <c r="B133" s="79" t="s">
        <v>687</v>
      </c>
      <c r="C133" s="80" t="s">
        <v>734</v>
      </c>
      <c r="D133" s="192">
        <v>0</v>
      </c>
      <c r="E133" s="192"/>
      <c r="F133" s="192"/>
      <c r="G133" s="192">
        <v>0</v>
      </c>
      <c r="H133" s="192"/>
      <c r="J133" s="11"/>
      <c r="K133" s="30"/>
      <c r="L133" s="30"/>
      <c r="M133" s="30"/>
      <c r="N133" s="30"/>
      <c r="O133" s="30"/>
      <c r="P133" s="30"/>
    </row>
    <row r="134" spans="2:16" ht="13.5" x14ac:dyDescent="0.25">
      <c r="B134" s="81"/>
      <c r="C134" s="81"/>
      <c r="D134" s="189"/>
      <c r="E134" s="189"/>
      <c r="F134" s="189"/>
      <c r="G134" s="189"/>
      <c r="H134" s="189"/>
      <c r="J134" s="11"/>
      <c r="K134" s="30"/>
      <c r="L134" s="30"/>
      <c r="M134" s="30"/>
      <c r="N134" s="30"/>
      <c r="O134" s="30"/>
      <c r="P134" s="30"/>
    </row>
    <row r="135" spans="2:16" ht="13.5" x14ac:dyDescent="0.25">
      <c r="B135" s="190" t="s">
        <v>657</v>
      </c>
      <c r="C135" s="190"/>
      <c r="D135" s="190"/>
      <c r="E135" s="190"/>
      <c r="F135" s="190"/>
      <c r="G135" s="190"/>
      <c r="H135" s="190"/>
      <c r="J135" s="11"/>
      <c r="K135" s="30"/>
      <c r="L135" s="30"/>
      <c r="M135" s="30"/>
      <c r="N135" s="30"/>
      <c r="O135" s="30"/>
      <c r="P135" s="30"/>
    </row>
    <row r="136" spans="2:16" ht="13.5" customHeight="1" x14ac:dyDescent="0.2">
      <c r="B136" s="191" t="s">
        <v>647</v>
      </c>
      <c r="C136" s="191" t="s">
        <v>648</v>
      </c>
      <c r="D136" s="191" t="s">
        <v>690</v>
      </c>
      <c r="E136" s="191"/>
      <c r="F136" s="191"/>
      <c r="G136" s="191"/>
      <c r="H136" s="175" t="s">
        <v>735</v>
      </c>
      <c r="I136" s="175" t="s">
        <v>736</v>
      </c>
      <c r="J136" s="175" t="s">
        <v>693</v>
      </c>
      <c r="K136" s="30"/>
      <c r="L136" s="30"/>
      <c r="M136" s="30"/>
      <c r="N136" s="30"/>
      <c r="O136" s="30"/>
      <c r="P136" s="30"/>
    </row>
    <row r="137" spans="2:16" ht="121.5" x14ac:dyDescent="0.2">
      <c r="B137" s="191"/>
      <c r="C137" s="191"/>
      <c r="D137" s="77" t="s">
        <v>694</v>
      </c>
      <c r="E137" s="77" t="s">
        <v>695</v>
      </c>
      <c r="F137" s="77" t="s">
        <v>696</v>
      </c>
      <c r="G137" s="77" t="s">
        <v>725</v>
      </c>
      <c r="H137" s="175"/>
      <c r="I137" s="175"/>
      <c r="J137" s="175"/>
      <c r="K137" s="30"/>
      <c r="L137" s="30"/>
      <c r="M137" s="30"/>
      <c r="N137" s="30"/>
      <c r="O137" s="30"/>
    </row>
    <row r="138" spans="2:16" ht="27" x14ac:dyDescent="0.25">
      <c r="B138" s="81" t="s">
        <v>687</v>
      </c>
      <c r="C138" s="80" t="s">
        <v>737</v>
      </c>
      <c r="D138" s="83">
        <v>500</v>
      </c>
      <c r="E138" s="83">
        <v>9.9405737999999992</v>
      </c>
      <c r="F138" s="84">
        <v>16.00737140547945</v>
      </c>
      <c r="G138" s="83">
        <v>525.94794520547941</v>
      </c>
      <c r="H138" s="3">
        <v>233.40679</v>
      </c>
      <c r="I138" s="3">
        <v>4.01</v>
      </c>
      <c r="J138" s="85">
        <f>H138+I138</f>
        <v>237.41678999999999</v>
      </c>
      <c r="K138" s="30"/>
      <c r="L138" s="30"/>
      <c r="M138" s="30"/>
      <c r="N138" s="30"/>
      <c r="O138" s="30"/>
      <c r="P138" s="30"/>
    </row>
    <row r="139" spans="2:16" x14ac:dyDescent="0.2">
      <c r="J139" s="11"/>
      <c r="P139" s="30"/>
    </row>
    <row r="140" spans="2:16" x14ac:dyDescent="0.2">
      <c r="J140" s="11"/>
      <c r="K140" s="30"/>
      <c r="L140" s="30"/>
      <c r="M140" s="30"/>
      <c r="N140" s="30"/>
      <c r="O140" s="30"/>
      <c r="P140" s="30"/>
    </row>
    <row r="141" spans="2:16" ht="13.5" x14ac:dyDescent="0.25">
      <c r="B141" s="86" t="s">
        <v>677</v>
      </c>
      <c r="J141" s="11"/>
      <c r="K141" s="30"/>
      <c r="L141" s="30"/>
      <c r="M141" s="30"/>
      <c r="N141" s="30"/>
      <c r="O141" s="30"/>
      <c r="P141" s="30"/>
    </row>
    <row r="142" spans="2:16" x14ac:dyDescent="0.2">
      <c r="B142" s="30"/>
      <c r="C142" s="30"/>
      <c r="D142" s="30"/>
      <c r="E142" s="30"/>
      <c r="F142" s="30"/>
      <c r="G142" s="30"/>
      <c r="H142" s="30"/>
      <c r="J142" s="11"/>
      <c r="K142" s="30"/>
      <c r="L142" s="30"/>
      <c r="M142" s="30"/>
      <c r="N142" s="30"/>
      <c r="O142" s="30"/>
      <c r="P142" s="30"/>
    </row>
    <row r="143" spans="2:16" x14ac:dyDescent="0.2">
      <c r="B143" s="87" t="s">
        <v>678</v>
      </c>
      <c r="C143" s="30"/>
      <c r="D143" s="30"/>
      <c r="E143" s="30"/>
      <c r="F143" s="30"/>
      <c r="G143" s="30"/>
      <c r="H143" s="30"/>
      <c r="J143" s="11"/>
      <c r="K143" s="30"/>
      <c r="L143" s="30"/>
      <c r="M143" s="30"/>
      <c r="N143" s="30"/>
      <c r="O143" s="30"/>
      <c r="P143" s="30"/>
    </row>
    <row r="144" spans="2:16" x14ac:dyDescent="0.2">
      <c r="B144" s="30"/>
      <c r="C144" s="30"/>
      <c r="D144" s="30"/>
      <c r="E144" s="30"/>
      <c r="F144" s="30"/>
      <c r="G144" s="30"/>
      <c r="H144" s="30"/>
      <c r="J144" s="11"/>
      <c r="K144" s="30"/>
      <c r="L144" s="30"/>
      <c r="M144" s="30"/>
      <c r="N144" s="30"/>
      <c r="O144" s="30"/>
      <c r="P144" s="30"/>
    </row>
    <row r="145" spans="2:16" x14ac:dyDescent="0.2">
      <c r="B145" s="87" t="s">
        <v>679</v>
      </c>
      <c r="C145" s="30"/>
      <c r="D145" s="30"/>
      <c r="E145" s="30"/>
      <c r="F145" s="30"/>
      <c r="G145" s="30"/>
      <c r="H145" s="30"/>
      <c r="J145" s="11"/>
      <c r="K145" s="30"/>
      <c r="L145" s="30"/>
      <c r="M145" s="30"/>
      <c r="N145" s="30"/>
      <c r="O145" s="30"/>
      <c r="P145" s="30"/>
    </row>
    <row r="146" spans="2:16" x14ac:dyDescent="0.2">
      <c r="J146" s="11"/>
      <c r="K146" s="30"/>
      <c r="L146" s="30"/>
      <c r="M146" s="30"/>
      <c r="N146" s="30"/>
      <c r="O146" s="30"/>
    </row>
    <row r="147" spans="2:16" x14ac:dyDescent="0.2">
      <c r="B147" s="87" t="s">
        <v>680</v>
      </c>
      <c r="J147" s="11"/>
      <c r="K147" s="30"/>
      <c r="L147" s="30"/>
      <c r="M147" s="30"/>
      <c r="N147" s="30"/>
      <c r="O147" s="30"/>
    </row>
    <row r="148" spans="2:16" x14ac:dyDescent="0.2">
      <c r="J148" s="11"/>
    </row>
    <row r="149" spans="2:16" ht="25.5" x14ac:dyDescent="0.2">
      <c r="B149" s="66" t="s">
        <v>636</v>
      </c>
    </row>
    <row r="151" spans="2:16" ht="153.75" customHeight="1" x14ac:dyDescent="0.2"/>
    <row r="154" spans="2:16" x14ac:dyDescent="0.2">
      <c r="B154" s="67" t="s">
        <v>637</v>
      </c>
      <c r="C154" s="68"/>
      <c r="D154" s="67"/>
    </row>
    <row r="155" spans="2:16" x14ac:dyDescent="0.2">
      <c r="B155" s="67" t="s">
        <v>738</v>
      </c>
      <c r="D155" s="67"/>
    </row>
    <row r="156" spans="2:16" ht="165" customHeight="1" x14ac:dyDescent="0.2"/>
    <row r="158" spans="2:16" x14ac:dyDescent="0.2">
      <c r="J158" s="11"/>
    </row>
    <row r="159" spans="2:16" x14ac:dyDescent="0.2">
      <c r="J159" s="11"/>
    </row>
    <row r="160" spans="2:16" x14ac:dyDescent="0.2">
      <c r="J160" s="11"/>
    </row>
    <row r="161" spans="10:10" x14ac:dyDescent="0.2">
      <c r="J161" s="11"/>
    </row>
    <row r="162" spans="10:10" x14ac:dyDescent="0.2">
      <c r="J162" s="11"/>
    </row>
  </sheetData>
  <mergeCells count="39">
    <mergeCell ref="B121:C121"/>
    <mergeCell ref="A3:H3"/>
    <mergeCell ref="B115:C115"/>
    <mergeCell ref="B113:C113"/>
    <mergeCell ref="B117:C117"/>
    <mergeCell ref="B116:C116"/>
    <mergeCell ref="B119:D119"/>
    <mergeCell ref="B102:D102"/>
    <mergeCell ref="B103:C103"/>
    <mergeCell ref="B104:C104"/>
    <mergeCell ref="B105:C105"/>
    <mergeCell ref="B120:C120"/>
    <mergeCell ref="A1:H1"/>
    <mergeCell ref="A2:H2"/>
    <mergeCell ref="B98:H98"/>
    <mergeCell ref="B99:H99"/>
    <mergeCell ref="B100:H100"/>
    <mergeCell ref="B122:C122"/>
    <mergeCell ref="B123:C123"/>
    <mergeCell ref="B124:C124"/>
    <mergeCell ref="B125:C125"/>
    <mergeCell ref="B126:C126"/>
    <mergeCell ref="B127:C127"/>
    <mergeCell ref="B128:C128"/>
    <mergeCell ref="B129:D129"/>
    <mergeCell ref="B131:H131"/>
    <mergeCell ref="D132:F132"/>
    <mergeCell ref="G132:H132"/>
    <mergeCell ref="D133:F133"/>
    <mergeCell ref="G133:H133"/>
    <mergeCell ref="D134:F134"/>
    <mergeCell ref="G134:H134"/>
    <mergeCell ref="B135:H135"/>
    <mergeCell ref="J136:J137"/>
    <mergeCell ref="B136:B137"/>
    <mergeCell ref="C136:C137"/>
    <mergeCell ref="D136:G136"/>
    <mergeCell ref="H136:H137"/>
    <mergeCell ref="I136:I137"/>
  </mergeCells>
  <hyperlinks>
    <hyperlink ref="I1" location="Index!B2" display="Index" xr:uid="{DF692428-A19C-43E5-AF2B-B8C6317C1CFB}"/>
    <hyperlink ref="B143" r:id="rId1" xr:uid="{F68AF2A3-2B40-4EBD-B14E-0A43AA9A68BC}"/>
    <hyperlink ref="B145" r:id="rId2" xr:uid="{3FDA49B9-B118-4228-B23C-9DB66BE63032}"/>
    <hyperlink ref="B147" r:id="rId3" xr:uid="{945C1149-7330-4E8E-A526-D536FCCB054D}"/>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64C34-B973-43CD-A2B0-30FB42A2B822}">
  <sheetPr>
    <outlinePr summaryBelow="0" summaryRight="0"/>
  </sheetPr>
  <dimension ref="A1:U118"/>
  <sheetViews>
    <sheetView showGridLines="0" tabSelected="1" topLeftCell="A79" workbookViewId="0">
      <selection activeCell="C88" sqref="C88"/>
    </sheetView>
  </sheetViews>
  <sheetFormatPr defaultRowHeight="12.75" x14ac:dyDescent="0.2"/>
  <cols>
    <col min="1" max="1" width="5.85546875" bestFit="1" customWidth="1"/>
    <col min="2" max="2" width="19.28515625" bestFit="1" customWidth="1"/>
    <col min="3" max="3" width="44.28515625" customWidth="1"/>
    <col min="4" max="4" width="10.7109375" bestFit="1" customWidth="1"/>
    <col min="5" max="5" width="8.7109375" bestFit="1" customWidth="1"/>
    <col min="6" max="6" width="10.140625" bestFit="1" customWidth="1"/>
    <col min="7" max="7" width="14" bestFit="1" customWidth="1"/>
    <col min="8" max="8" width="9.5703125" customWidth="1"/>
  </cols>
  <sheetData>
    <row r="1" spans="1:9" ht="15" x14ac:dyDescent="0.2">
      <c r="A1" s="155" t="s">
        <v>0</v>
      </c>
      <c r="B1" s="155"/>
      <c r="C1" s="155"/>
      <c r="D1" s="155"/>
      <c r="E1" s="155"/>
      <c r="F1" s="155"/>
      <c r="G1" s="155"/>
      <c r="H1" s="155"/>
      <c r="I1" s="1" t="s">
        <v>607</v>
      </c>
    </row>
    <row r="2" spans="1:9" ht="15" x14ac:dyDescent="0.2">
      <c r="A2" s="155" t="s">
        <v>596</v>
      </c>
      <c r="B2" s="155"/>
      <c r="C2" s="155"/>
      <c r="D2" s="155"/>
      <c r="E2" s="155"/>
      <c r="F2" s="155"/>
      <c r="G2" s="155"/>
      <c r="H2" s="155"/>
    </row>
    <row r="3" spans="1:9" ht="15" x14ac:dyDescent="0.2">
      <c r="A3" s="155" t="s">
        <v>756</v>
      </c>
      <c r="B3" s="155"/>
      <c r="C3" s="155"/>
      <c r="D3" s="155"/>
      <c r="E3" s="155"/>
      <c r="F3" s="155"/>
      <c r="G3" s="155"/>
      <c r="H3" s="155"/>
    </row>
    <row r="4" spans="1:9" s="11" customFormat="1" ht="30" x14ac:dyDescent="0.2">
      <c r="A4" s="9" t="s">
        <v>2</v>
      </c>
      <c r="B4" s="9" t="s">
        <v>3</v>
      </c>
      <c r="C4" s="9" t="s">
        <v>4</v>
      </c>
      <c r="D4" s="9" t="s">
        <v>5</v>
      </c>
      <c r="E4" s="9" t="s">
        <v>6</v>
      </c>
      <c r="F4" s="9" t="s">
        <v>7</v>
      </c>
      <c r="G4" s="9" t="s">
        <v>8</v>
      </c>
      <c r="H4" s="10" t="s">
        <v>752</v>
      </c>
    </row>
    <row r="5" spans="1:9" x14ac:dyDescent="0.2">
      <c r="A5" s="12"/>
      <c r="B5" s="12"/>
      <c r="C5" s="13" t="s">
        <v>9</v>
      </c>
      <c r="D5" s="12"/>
      <c r="E5" s="12"/>
      <c r="F5" s="12"/>
      <c r="G5" s="12"/>
      <c r="H5" s="14" t="s">
        <v>12</v>
      </c>
    </row>
    <row r="6" spans="1:9" x14ac:dyDescent="0.2">
      <c r="A6" s="15"/>
      <c r="B6" s="15"/>
      <c r="C6" s="16" t="s">
        <v>10</v>
      </c>
      <c r="D6" s="15"/>
      <c r="E6" s="15"/>
      <c r="F6" s="15"/>
      <c r="G6" s="15"/>
      <c r="H6" s="14" t="s">
        <v>12</v>
      </c>
    </row>
    <row r="7" spans="1:9" x14ac:dyDescent="0.2">
      <c r="A7" s="15"/>
      <c r="B7" s="15"/>
      <c r="C7" s="16" t="s">
        <v>11</v>
      </c>
      <c r="D7" s="15"/>
      <c r="E7" s="15" t="s">
        <v>12</v>
      </c>
      <c r="F7" s="17" t="s">
        <v>13</v>
      </c>
      <c r="G7" s="18">
        <v>0</v>
      </c>
      <c r="H7" s="14" t="s">
        <v>12</v>
      </c>
    </row>
    <row r="8" spans="1:9" x14ac:dyDescent="0.2">
      <c r="A8" s="15"/>
      <c r="B8" s="15"/>
      <c r="C8" s="19"/>
      <c r="D8" s="15"/>
      <c r="E8" s="15"/>
      <c r="F8" s="20"/>
      <c r="G8" s="20"/>
      <c r="H8" s="14" t="s">
        <v>12</v>
      </c>
    </row>
    <row r="9" spans="1:9" x14ac:dyDescent="0.2">
      <c r="A9" s="15"/>
      <c r="B9" s="15"/>
      <c r="C9" s="16" t="s">
        <v>14</v>
      </c>
      <c r="D9" s="15"/>
      <c r="E9" s="15"/>
      <c r="F9" s="15"/>
      <c r="G9" s="15"/>
      <c r="H9" s="14" t="s">
        <v>12</v>
      </c>
    </row>
    <row r="10" spans="1:9" x14ac:dyDescent="0.2">
      <c r="A10" s="15"/>
      <c r="B10" s="15"/>
      <c r="C10" s="16" t="s">
        <v>11</v>
      </c>
      <c r="D10" s="15"/>
      <c r="E10" s="15" t="s">
        <v>12</v>
      </c>
      <c r="F10" s="17" t="s">
        <v>13</v>
      </c>
      <c r="G10" s="18">
        <v>0</v>
      </c>
      <c r="H10" s="14" t="s">
        <v>12</v>
      </c>
    </row>
    <row r="11" spans="1:9" x14ac:dyDescent="0.2">
      <c r="A11" s="15"/>
      <c r="B11" s="15"/>
      <c r="C11" s="19"/>
      <c r="D11" s="15"/>
      <c r="E11" s="15"/>
      <c r="F11" s="20"/>
      <c r="G11" s="20"/>
      <c r="H11" s="14" t="s">
        <v>12</v>
      </c>
    </row>
    <row r="12" spans="1:9" x14ac:dyDescent="0.2">
      <c r="A12" s="15"/>
      <c r="B12" s="15"/>
      <c r="C12" s="16" t="s">
        <v>15</v>
      </c>
      <c r="D12" s="15"/>
      <c r="E12" s="15"/>
      <c r="F12" s="15"/>
      <c r="G12" s="15"/>
      <c r="H12" s="14" t="s">
        <v>12</v>
      </c>
    </row>
    <row r="13" spans="1:9" x14ac:dyDescent="0.2">
      <c r="A13" s="15"/>
      <c r="B13" s="15"/>
      <c r="C13" s="16" t="s">
        <v>11</v>
      </c>
      <c r="D13" s="15"/>
      <c r="E13" s="15" t="s">
        <v>12</v>
      </c>
      <c r="F13" s="17" t="s">
        <v>13</v>
      </c>
      <c r="G13" s="18">
        <v>0</v>
      </c>
      <c r="H13" s="14" t="s">
        <v>12</v>
      </c>
    </row>
    <row r="14" spans="1:9" x14ac:dyDescent="0.2">
      <c r="A14" s="15"/>
      <c r="B14" s="15"/>
      <c r="C14" s="19"/>
      <c r="D14" s="15"/>
      <c r="E14" s="15"/>
      <c r="F14" s="20"/>
      <c r="G14" s="20"/>
      <c r="H14" s="14" t="s">
        <v>12</v>
      </c>
    </row>
    <row r="15" spans="1:9" x14ac:dyDescent="0.2">
      <c r="A15" s="15"/>
      <c r="B15" s="15"/>
      <c r="C15" s="16" t="s">
        <v>16</v>
      </c>
      <c r="D15" s="15"/>
      <c r="E15" s="15"/>
      <c r="F15" s="15"/>
      <c r="G15" s="15"/>
      <c r="H15" s="14" t="s">
        <v>12</v>
      </c>
    </row>
    <row r="16" spans="1:9" x14ac:dyDescent="0.2">
      <c r="A16" s="15"/>
      <c r="B16" s="15"/>
      <c r="C16" s="16" t="s">
        <v>11</v>
      </c>
      <c r="D16" s="15"/>
      <c r="E16" s="15" t="s">
        <v>12</v>
      </c>
      <c r="F16" s="17" t="s">
        <v>13</v>
      </c>
      <c r="G16" s="18">
        <v>0</v>
      </c>
      <c r="H16" s="14" t="s">
        <v>12</v>
      </c>
    </row>
    <row r="17" spans="1:8" x14ac:dyDescent="0.2">
      <c r="A17" s="15"/>
      <c r="B17" s="15"/>
      <c r="C17" s="19"/>
      <c r="D17" s="15"/>
      <c r="E17" s="15"/>
      <c r="F17" s="20"/>
      <c r="G17" s="20"/>
      <c r="H17" s="14" t="s">
        <v>12</v>
      </c>
    </row>
    <row r="18" spans="1:8" x14ac:dyDescent="0.2">
      <c r="A18" s="15"/>
      <c r="B18" s="15"/>
      <c r="C18" s="16" t="s">
        <v>17</v>
      </c>
      <c r="D18" s="15"/>
      <c r="E18" s="15"/>
      <c r="F18" s="20"/>
      <c r="G18" s="20"/>
      <c r="H18" s="14" t="s">
        <v>12</v>
      </c>
    </row>
    <row r="19" spans="1:8" x14ac:dyDescent="0.2">
      <c r="A19" s="15"/>
      <c r="B19" s="15"/>
      <c r="C19" s="16" t="s">
        <v>11</v>
      </c>
      <c r="D19" s="15"/>
      <c r="E19" s="15" t="s">
        <v>12</v>
      </c>
      <c r="F19" s="17" t="s">
        <v>13</v>
      </c>
      <c r="G19" s="18">
        <v>0</v>
      </c>
      <c r="H19" s="14" t="s">
        <v>12</v>
      </c>
    </row>
    <row r="20" spans="1:8" x14ac:dyDescent="0.2">
      <c r="A20" s="15"/>
      <c r="B20" s="15"/>
      <c r="C20" s="19"/>
      <c r="D20" s="15"/>
      <c r="E20" s="15"/>
      <c r="F20" s="20"/>
      <c r="G20" s="20"/>
      <c r="H20" s="14" t="s">
        <v>12</v>
      </c>
    </row>
    <row r="21" spans="1:8" x14ac:dyDescent="0.2">
      <c r="A21" s="15"/>
      <c r="B21" s="15"/>
      <c r="C21" s="16" t="s">
        <v>18</v>
      </c>
      <c r="D21" s="15"/>
      <c r="E21" s="15"/>
      <c r="F21" s="20"/>
      <c r="G21" s="20"/>
      <c r="H21" s="14" t="s">
        <v>12</v>
      </c>
    </row>
    <row r="22" spans="1:8" x14ac:dyDescent="0.2">
      <c r="A22" s="15"/>
      <c r="B22" s="15"/>
      <c r="C22" s="16" t="s">
        <v>11</v>
      </c>
      <c r="D22" s="15"/>
      <c r="E22" s="15" t="s">
        <v>12</v>
      </c>
      <c r="F22" s="17" t="s">
        <v>13</v>
      </c>
      <c r="G22" s="18">
        <v>0</v>
      </c>
      <c r="H22" s="14" t="s">
        <v>12</v>
      </c>
    </row>
    <row r="23" spans="1:8" x14ac:dyDescent="0.2">
      <c r="A23" s="15"/>
      <c r="B23" s="15"/>
      <c r="C23" s="19"/>
      <c r="D23" s="15"/>
      <c r="E23" s="15"/>
      <c r="F23" s="20"/>
      <c r="G23" s="20"/>
      <c r="H23" s="14" t="s">
        <v>12</v>
      </c>
    </row>
    <row r="24" spans="1:8" x14ac:dyDescent="0.2">
      <c r="A24" s="15"/>
      <c r="B24" s="15"/>
      <c r="C24" s="16" t="s">
        <v>19</v>
      </c>
      <c r="D24" s="15"/>
      <c r="E24" s="15"/>
      <c r="F24" s="21">
        <v>0</v>
      </c>
      <c r="G24" s="18">
        <v>0</v>
      </c>
      <c r="H24" s="14" t="s">
        <v>12</v>
      </c>
    </row>
    <row r="25" spans="1:8" x14ac:dyDescent="0.2">
      <c r="A25" s="15"/>
      <c r="B25" s="15"/>
      <c r="C25" s="19"/>
      <c r="D25" s="15"/>
      <c r="E25" s="15"/>
      <c r="F25" s="20"/>
      <c r="G25" s="20"/>
      <c r="H25" s="14" t="s">
        <v>12</v>
      </c>
    </row>
    <row r="26" spans="1:8" x14ac:dyDescent="0.2">
      <c r="A26" s="15"/>
      <c r="B26" s="15"/>
      <c r="C26" s="16" t="s">
        <v>20</v>
      </c>
      <c r="D26" s="15"/>
      <c r="E26" s="15"/>
      <c r="F26" s="20"/>
      <c r="G26" s="20"/>
      <c r="H26" s="14" t="s">
        <v>12</v>
      </c>
    </row>
    <row r="27" spans="1:8" x14ac:dyDescent="0.2">
      <c r="A27" s="15"/>
      <c r="B27" s="15"/>
      <c r="C27" s="16" t="s">
        <v>10</v>
      </c>
      <c r="D27" s="15"/>
      <c r="E27" s="15"/>
      <c r="F27" s="20"/>
      <c r="G27" s="20"/>
      <c r="H27" s="14" t="s">
        <v>12</v>
      </c>
    </row>
    <row r="28" spans="1:8" x14ac:dyDescent="0.2">
      <c r="A28" s="15"/>
      <c r="B28" s="15"/>
      <c r="C28" s="16" t="s">
        <v>11</v>
      </c>
      <c r="D28" s="15"/>
      <c r="E28" s="15" t="s">
        <v>12</v>
      </c>
      <c r="F28" s="17" t="s">
        <v>13</v>
      </c>
      <c r="G28" s="18">
        <v>0</v>
      </c>
      <c r="H28" s="14" t="s">
        <v>12</v>
      </c>
    </row>
    <row r="29" spans="1:8" x14ac:dyDescent="0.2">
      <c r="A29" s="15"/>
      <c r="B29" s="15"/>
      <c r="C29" s="19"/>
      <c r="D29" s="15"/>
      <c r="E29" s="15"/>
      <c r="F29" s="20"/>
      <c r="G29" s="20"/>
      <c r="H29" s="14" t="s">
        <v>12</v>
      </c>
    </row>
    <row r="30" spans="1:8" x14ac:dyDescent="0.2">
      <c r="A30" s="15"/>
      <c r="B30" s="15"/>
      <c r="C30" s="16" t="s">
        <v>79</v>
      </c>
      <c r="D30" s="15"/>
      <c r="E30" s="15"/>
      <c r="F30" s="15"/>
      <c r="G30" s="15"/>
      <c r="H30" s="14" t="s">
        <v>12</v>
      </c>
    </row>
    <row r="31" spans="1:8" x14ac:dyDescent="0.2">
      <c r="A31" s="15"/>
      <c r="B31" s="15"/>
      <c r="C31" s="16" t="s">
        <v>11</v>
      </c>
      <c r="D31" s="15"/>
      <c r="E31" s="15" t="s">
        <v>12</v>
      </c>
      <c r="F31" s="17" t="s">
        <v>13</v>
      </c>
      <c r="G31" s="18">
        <v>0</v>
      </c>
      <c r="H31" s="14" t="s">
        <v>12</v>
      </c>
    </row>
    <row r="32" spans="1:8" x14ac:dyDescent="0.2">
      <c r="A32" s="15"/>
      <c r="B32" s="15"/>
      <c r="C32" s="19"/>
      <c r="D32" s="15"/>
      <c r="E32" s="15"/>
      <c r="F32" s="20"/>
      <c r="G32" s="20"/>
      <c r="H32" s="14" t="s">
        <v>12</v>
      </c>
    </row>
    <row r="33" spans="1:8" x14ac:dyDescent="0.2">
      <c r="A33" s="15"/>
      <c r="B33" s="15"/>
      <c r="C33" s="16" t="s">
        <v>80</v>
      </c>
      <c r="D33" s="15"/>
      <c r="E33" s="15"/>
      <c r="F33" s="15"/>
      <c r="G33" s="15"/>
      <c r="H33" s="14" t="s">
        <v>12</v>
      </c>
    </row>
    <row r="34" spans="1:8" x14ac:dyDescent="0.2">
      <c r="A34" s="15"/>
      <c r="B34" s="15"/>
      <c r="C34" s="16" t="s">
        <v>11</v>
      </c>
      <c r="D34" s="15"/>
      <c r="E34" s="15" t="s">
        <v>12</v>
      </c>
      <c r="F34" s="17" t="s">
        <v>13</v>
      </c>
      <c r="G34" s="18">
        <v>0</v>
      </c>
      <c r="H34" s="14" t="s">
        <v>12</v>
      </c>
    </row>
    <row r="35" spans="1:8" x14ac:dyDescent="0.2">
      <c r="A35" s="15"/>
      <c r="B35" s="15"/>
      <c r="C35" s="19"/>
      <c r="D35" s="15"/>
      <c r="E35" s="15"/>
      <c r="F35" s="20"/>
      <c r="G35" s="20"/>
      <c r="H35" s="14" t="s">
        <v>12</v>
      </c>
    </row>
    <row r="36" spans="1:8" x14ac:dyDescent="0.2">
      <c r="A36" s="15"/>
      <c r="B36" s="15"/>
      <c r="C36" s="16" t="s">
        <v>98</v>
      </c>
      <c r="D36" s="15"/>
      <c r="E36" s="15"/>
      <c r="F36" s="20"/>
      <c r="G36" s="20"/>
      <c r="H36" s="14" t="s">
        <v>12</v>
      </c>
    </row>
    <row r="37" spans="1:8" x14ac:dyDescent="0.2">
      <c r="A37" s="15"/>
      <c r="B37" s="15"/>
      <c r="C37" s="16" t="s">
        <v>11</v>
      </c>
      <c r="D37" s="15"/>
      <c r="E37" s="15" t="s">
        <v>12</v>
      </c>
      <c r="F37" s="17" t="s">
        <v>13</v>
      </c>
      <c r="G37" s="18">
        <v>0</v>
      </c>
      <c r="H37" s="14" t="s">
        <v>12</v>
      </c>
    </row>
    <row r="38" spans="1:8" x14ac:dyDescent="0.2">
      <c r="A38" s="15"/>
      <c r="B38" s="15"/>
      <c r="C38" s="19"/>
      <c r="D38" s="15"/>
      <c r="E38" s="15"/>
      <c r="F38" s="20"/>
      <c r="G38" s="20"/>
      <c r="H38" s="14" t="s">
        <v>12</v>
      </c>
    </row>
    <row r="39" spans="1:8" x14ac:dyDescent="0.2">
      <c r="A39" s="15"/>
      <c r="B39" s="15"/>
      <c r="C39" s="16" t="s">
        <v>99</v>
      </c>
      <c r="D39" s="15"/>
      <c r="E39" s="15"/>
      <c r="F39" s="21">
        <v>0</v>
      </c>
      <c r="G39" s="18">
        <v>0</v>
      </c>
      <c r="H39" s="14" t="s">
        <v>12</v>
      </c>
    </row>
    <row r="40" spans="1:8" x14ac:dyDescent="0.2">
      <c r="A40" s="15"/>
      <c r="B40" s="15"/>
      <c r="C40" s="19"/>
      <c r="D40" s="15"/>
      <c r="E40" s="15"/>
      <c r="F40" s="20"/>
      <c r="G40" s="20"/>
      <c r="H40" s="14" t="s">
        <v>12</v>
      </c>
    </row>
    <row r="41" spans="1:8" x14ac:dyDescent="0.2">
      <c r="A41" s="15"/>
      <c r="B41" s="15"/>
      <c r="C41" s="16" t="s">
        <v>100</v>
      </c>
      <c r="D41" s="15"/>
      <c r="E41" s="15"/>
      <c r="F41" s="20"/>
      <c r="G41" s="20"/>
      <c r="H41" s="14" t="s">
        <v>12</v>
      </c>
    </row>
    <row r="42" spans="1:8" x14ac:dyDescent="0.2">
      <c r="A42" s="15"/>
      <c r="B42" s="15"/>
      <c r="C42" s="16" t="s">
        <v>101</v>
      </c>
      <c r="D42" s="15"/>
      <c r="E42" s="15"/>
      <c r="F42" s="20"/>
      <c r="G42" s="20"/>
      <c r="H42" s="14" t="s">
        <v>12</v>
      </c>
    </row>
    <row r="43" spans="1:8" x14ac:dyDescent="0.2">
      <c r="A43" s="15"/>
      <c r="B43" s="15"/>
      <c r="C43" s="16" t="s">
        <v>11</v>
      </c>
      <c r="D43" s="15"/>
      <c r="E43" s="15" t="s">
        <v>12</v>
      </c>
      <c r="F43" s="17" t="s">
        <v>13</v>
      </c>
      <c r="G43" s="18">
        <v>0</v>
      </c>
      <c r="H43" s="14" t="s">
        <v>12</v>
      </c>
    </row>
    <row r="44" spans="1:8" x14ac:dyDescent="0.2">
      <c r="A44" s="15"/>
      <c r="B44" s="15"/>
      <c r="C44" s="19"/>
      <c r="D44" s="15"/>
      <c r="E44" s="15"/>
      <c r="F44" s="20"/>
      <c r="G44" s="20"/>
      <c r="H44" s="14" t="s">
        <v>12</v>
      </c>
    </row>
    <row r="45" spans="1:8" x14ac:dyDescent="0.2">
      <c r="A45" s="15"/>
      <c r="B45" s="15"/>
      <c r="C45" s="16" t="s">
        <v>108</v>
      </c>
      <c r="D45" s="15"/>
      <c r="E45" s="15"/>
      <c r="F45" s="20"/>
      <c r="G45" s="20"/>
      <c r="H45" s="14" t="s">
        <v>12</v>
      </c>
    </row>
    <row r="46" spans="1:8" x14ac:dyDescent="0.2">
      <c r="A46" s="15"/>
      <c r="B46" s="15"/>
      <c r="C46" s="16" t="s">
        <v>11</v>
      </c>
      <c r="D46" s="15"/>
      <c r="E46" s="15" t="s">
        <v>12</v>
      </c>
      <c r="F46" s="17" t="s">
        <v>13</v>
      </c>
      <c r="G46" s="18">
        <v>0</v>
      </c>
      <c r="H46" s="14" t="s">
        <v>12</v>
      </c>
    </row>
    <row r="47" spans="1:8" x14ac:dyDescent="0.2">
      <c r="A47" s="15"/>
      <c r="B47" s="15"/>
      <c r="C47" s="19"/>
      <c r="D47" s="15"/>
      <c r="E47" s="15"/>
      <c r="F47" s="20"/>
      <c r="G47" s="20"/>
      <c r="H47" s="14" t="s">
        <v>12</v>
      </c>
    </row>
    <row r="48" spans="1:8" x14ac:dyDescent="0.2">
      <c r="A48" s="15"/>
      <c r="B48" s="15"/>
      <c r="C48" s="16" t="s">
        <v>109</v>
      </c>
      <c r="D48" s="15"/>
      <c r="E48" s="15"/>
      <c r="F48" s="20"/>
      <c r="G48" s="20"/>
      <c r="H48" s="14" t="s">
        <v>12</v>
      </c>
    </row>
    <row r="49" spans="1:8" x14ac:dyDescent="0.2">
      <c r="A49" s="22">
        <v>1</v>
      </c>
      <c r="B49" s="23" t="s">
        <v>597</v>
      </c>
      <c r="C49" s="23" t="s">
        <v>598</v>
      </c>
      <c r="D49" s="23" t="s">
        <v>83</v>
      </c>
      <c r="E49" s="24">
        <v>2000000</v>
      </c>
      <c r="F49" s="25">
        <v>1996.24</v>
      </c>
      <c r="G49" s="26">
        <v>6.9765129999999995E-2</v>
      </c>
      <c r="H49" s="14">
        <v>5.29</v>
      </c>
    </row>
    <row r="50" spans="1:8" x14ac:dyDescent="0.2">
      <c r="A50" s="22">
        <v>2</v>
      </c>
      <c r="B50" s="23" t="s">
        <v>599</v>
      </c>
      <c r="C50" s="23" t="s">
        <v>600</v>
      </c>
      <c r="D50" s="23" t="s">
        <v>83</v>
      </c>
      <c r="E50" s="24">
        <v>1500000</v>
      </c>
      <c r="F50" s="25">
        <v>1498.6949999999999</v>
      </c>
      <c r="G50" s="26">
        <v>5.2376800000000001E-2</v>
      </c>
      <c r="H50" s="14">
        <v>5.3</v>
      </c>
    </row>
    <row r="51" spans="1:8" x14ac:dyDescent="0.2">
      <c r="A51" s="22">
        <v>3</v>
      </c>
      <c r="B51" s="23" t="s">
        <v>601</v>
      </c>
      <c r="C51" s="23" t="s">
        <v>602</v>
      </c>
      <c r="D51" s="23" t="s">
        <v>83</v>
      </c>
      <c r="E51" s="24">
        <v>1000000</v>
      </c>
      <c r="F51" s="25">
        <v>997.09900000000005</v>
      </c>
      <c r="G51" s="26">
        <v>3.4846879999999997E-2</v>
      </c>
      <c r="H51" s="14">
        <v>5.31</v>
      </c>
    </row>
    <row r="52" spans="1:8" x14ac:dyDescent="0.2">
      <c r="A52" s="22">
        <v>4</v>
      </c>
      <c r="B52" s="23" t="s">
        <v>603</v>
      </c>
      <c r="C52" s="23" t="s">
        <v>604</v>
      </c>
      <c r="D52" s="23" t="s">
        <v>83</v>
      </c>
      <c r="E52" s="24">
        <v>500000</v>
      </c>
      <c r="F52" s="25">
        <v>499.565</v>
      </c>
      <c r="G52" s="26">
        <v>1.7458930000000001E-2</v>
      </c>
      <c r="H52" s="14">
        <v>5.3</v>
      </c>
    </row>
    <row r="53" spans="1:8" x14ac:dyDescent="0.2">
      <c r="A53" s="15"/>
      <c r="B53" s="15"/>
      <c r="C53" s="16" t="s">
        <v>11</v>
      </c>
      <c r="D53" s="15"/>
      <c r="E53" s="15" t="s">
        <v>12</v>
      </c>
      <c r="F53" s="21">
        <v>4991.5990000000002</v>
      </c>
      <c r="G53" s="18">
        <v>0.17444773999999999</v>
      </c>
      <c r="H53" s="14" t="s">
        <v>12</v>
      </c>
    </row>
    <row r="54" spans="1:8" x14ac:dyDescent="0.2">
      <c r="A54" s="15"/>
      <c r="B54" s="15"/>
      <c r="C54" s="19"/>
      <c r="D54" s="15"/>
      <c r="E54" s="15"/>
      <c r="F54" s="20"/>
      <c r="G54" s="20"/>
      <c r="H54" s="14" t="s">
        <v>12</v>
      </c>
    </row>
    <row r="55" spans="1:8" x14ac:dyDescent="0.2">
      <c r="A55" s="15"/>
      <c r="B55" s="15"/>
      <c r="C55" s="16" t="s">
        <v>110</v>
      </c>
      <c r="D55" s="15"/>
      <c r="E55" s="15"/>
      <c r="F55" s="20"/>
      <c r="G55" s="20"/>
      <c r="H55" s="14" t="s">
        <v>12</v>
      </c>
    </row>
    <row r="56" spans="1:8" x14ac:dyDescent="0.2">
      <c r="A56" s="22">
        <v>1</v>
      </c>
      <c r="B56" s="23"/>
      <c r="C56" s="23" t="s">
        <v>605</v>
      </c>
      <c r="D56" s="23"/>
      <c r="E56" s="27"/>
      <c r="F56" s="25">
        <v>19599.5609611</v>
      </c>
      <c r="G56" s="26">
        <v>0.68497072000000003</v>
      </c>
      <c r="H56" s="14">
        <v>5.5</v>
      </c>
    </row>
    <row r="57" spans="1:8" x14ac:dyDescent="0.2">
      <c r="A57" s="22">
        <v>2</v>
      </c>
      <c r="B57" s="23"/>
      <c r="C57" s="23" t="s">
        <v>111</v>
      </c>
      <c r="D57" s="23"/>
      <c r="E57" s="27"/>
      <c r="F57" s="25">
        <v>3908.152650992</v>
      </c>
      <c r="G57" s="26">
        <v>0.13658317</v>
      </c>
      <c r="H57" s="14">
        <v>5.41</v>
      </c>
    </row>
    <row r="58" spans="1:8" x14ac:dyDescent="0.2">
      <c r="A58" s="15"/>
      <c r="B58" s="15"/>
      <c r="C58" s="16" t="s">
        <v>11</v>
      </c>
      <c r="D58" s="15"/>
      <c r="E58" s="15" t="s">
        <v>12</v>
      </c>
      <c r="F58" s="21">
        <v>23507.713612092</v>
      </c>
      <c r="G58" s="18">
        <v>0.82155389000000001</v>
      </c>
      <c r="H58" s="14" t="s">
        <v>12</v>
      </c>
    </row>
    <row r="59" spans="1:8" x14ac:dyDescent="0.2">
      <c r="A59" s="15"/>
      <c r="B59" s="15"/>
      <c r="C59" s="19"/>
      <c r="D59" s="15"/>
      <c r="E59" s="15"/>
      <c r="F59" s="20"/>
      <c r="G59" s="20"/>
      <c r="H59" s="14" t="s">
        <v>12</v>
      </c>
    </row>
    <row r="60" spans="1:8" x14ac:dyDescent="0.2">
      <c r="A60" s="15"/>
      <c r="B60" s="15"/>
      <c r="C60" s="16" t="s">
        <v>112</v>
      </c>
      <c r="D60" s="15"/>
      <c r="E60" s="15"/>
      <c r="F60" s="21">
        <v>28499.312612091999</v>
      </c>
      <c r="G60" s="18">
        <v>0.99600162999999997</v>
      </c>
      <c r="H60" s="14" t="s">
        <v>12</v>
      </c>
    </row>
    <row r="61" spans="1:8" x14ac:dyDescent="0.2">
      <c r="A61" s="15"/>
      <c r="B61" s="15"/>
      <c r="C61" s="20"/>
      <c r="D61" s="15"/>
      <c r="E61" s="15"/>
      <c r="F61" s="15"/>
      <c r="G61" s="15"/>
      <c r="H61" s="14" t="s">
        <v>12</v>
      </c>
    </row>
    <row r="62" spans="1:8" x14ac:dyDescent="0.2">
      <c r="A62" s="15"/>
      <c r="B62" s="15"/>
      <c r="C62" s="16" t="s">
        <v>113</v>
      </c>
      <c r="D62" s="15"/>
      <c r="E62" s="15"/>
      <c r="F62" s="15"/>
      <c r="G62" s="15"/>
      <c r="H62" s="14" t="s">
        <v>12</v>
      </c>
    </row>
    <row r="63" spans="1:8" x14ac:dyDescent="0.2">
      <c r="A63" s="15"/>
      <c r="B63" s="15"/>
      <c r="C63" s="16" t="s">
        <v>114</v>
      </c>
      <c r="D63" s="15"/>
      <c r="E63" s="15"/>
      <c r="F63" s="15"/>
      <c r="G63" s="15"/>
      <c r="H63" s="14" t="s">
        <v>12</v>
      </c>
    </row>
    <row r="64" spans="1:8" x14ac:dyDescent="0.2">
      <c r="A64" s="15"/>
      <c r="B64" s="15"/>
      <c r="C64" s="16" t="s">
        <v>11</v>
      </c>
      <c r="D64" s="15"/>
      <c r="E64" s="15" t="s">
        <v>12</v>
      </c>
      <c r="F64" s="17" t="s">
        <v>13</v>
      </c>
      <c r="G64" s="18">
        <v>0</v>
      </c>
      <c r="H64" s="14" t="s">
        <v>12</v>
      </c>
    </row>
    <row r="65" spans="1:8" x14ac:dyDescent="0.2">
      <c r="A65" s="15"/>
      <c r="B65" s="15"/>
      <c r="C65" s="19"/>
      <c r="D65" s="15"/>
      <c r="E65" s="15"/>
      <c r="F65" s="20"/>
      <c r="G65" s="20"/>
      <c r="H65" s="14" t="s">
        <v>12</v>
      </c>
    </row>
    <row r="66" spans="1:8" x14ac:dyDescent="0.2">
      <c r="A66" s="15"/>
      <c r="B66" s="15"/>
      <c r="C66" s="16" t="s">
        <v>117</v>
      </c>
      <c r="D66" s="15"/>
      <c r="E66" s="15"/>
      <c r="F66" s="15"/>
      <c r="G66" s="15"/>
      <c r="H66" s="14" t="s">
        <v>12</v>
      </c>
    </row>
    <row r="67" spans="1:8" x14ac:dyDescent="0.2">
      <c r="A67" s="15"/>
      <c r="B67" s="15"/>
      <c r="C67" s="16" t="s">
        <v>118</v>
      </c>
      <c r="D67" s="15"/>
      <c r="E67" s="15"/>
      <c r="F67" s="15"/>
      <c r="G67" s="15"/>
      <c r="H67" s="14" t="s">
        <v>12</v>
      </c>
    </row>
    <row r="68" spans="1:8" x14ac:dyDescent="0.2">
      <c r="A68" s="15"/>
      <c r="B68" s="15"/>
      <c r="C68" s="16" t="s">
        <v>11</v>
      </c>
      <c r="D68" s="15"/>
      <c r="E68" s="15" t="s">
        <v>12</v>
      </c>
      <c r="F68" s="17" t="s">
        <v>13</v>
      </c>
      <c r="G68" s="18">
        <v>0</v>
      </c>
      <c r="H68" s="14" t="s">
        <v>12</v>
      </c>
    </row>
    <row r="69" spans="1:8" x14ac:dyDescent="0.2">
      <c r="A69" s="15"/>
      <c r="B69" s="15"/>
      <c r="C69" s="19"/>
      <c r="D69" s="15"/>
      <c r="E69" s="15"/>
      <c r="F69" s="20"/>
      <c r="G69" s="20"/>
      <c r="H69" s="14" t="s">
        <v>12</v>
      </c>
    </row>
    <row r="70" spans="1:8" x14ac:dyDescent="0.2">
      <c r="A70" s="15"/>
      <c r="B70" s="15"/>
      <c r="C70" s="16" t="s">
        <v>119</v>
      </c>
      <c r="D70" s="15"/>
      <c r="E70" s="15"/>
      <c r="F70" s="20"/>
      <c r="G70" s="20"/>
      <c r="H70" s="14" t="s">
        <v>12</v>
      </c>
    </row>
    <row r="71" spans="1:8" x14ac:dyDescent="0.2">
      <c r="A71" s="15"/>
      <c r="B71" s="15"/>
      <c r="C71" s="16" t="s">
        <v>11</v>
      </c>
      <c r="D71" s="15"/>
      <c r="E71" s="15" t="s">
        <v>12</v>
      </c>
      <c r="F71" s="17" t="s">
        <v>13</v>
      </c>
      <c r="G71" s="18">
        <v>0</v>
      </c>
      <c r="H71" s="14" t="s">
        <v>12</v>
      </c>
    </row>
    <row r="72" spans="1:8" x14ac:dyDescent="0.2">
      <c r="A72" s="15"/>
      <c r="B72" s="15"/>
      <c r="C72" s="19"/>
      <c r="D72" s="15"/>
      <c r="E72" s="15"/>
      <c r="F72" s="20"/>
      <c r="G72" s="20"/>
      <c r="H72" s="14" t="s">
        <v>12</v>
      </c>
    </row>
    <row r="73" spans="1:8" x14ac:dyDescent="0.2">
      <c r="A73" s="27"/>
      <c r="B73" s="23"/>
      <c r="C73" s="23" t="s">
        <v>120</v>
      </c>
      <c r="D73" s="23"/>
      <c r="E73" s="27"/>
      <c r="F73" s="25">
        <v>114.40819719</v>
      </c>
      <c r="G73" s="26">
        <v>3.9983700000000002E-3</v>
      </c>
      <c r="H73" s="14" t="s">
        <v>12</v>
      </c>
    </row>
    <row r="74" spans="1:8" x14ac:dyDescent="0.2">
      <c r="A74" s="19"/>
      <c r="B74" s="19"/>
      <c r="C74" s="16" t="s">
        <v>121</v>
      </c>
      <c r="D74" s="20"/>
      <c r="E74" s="20"/>
      <c r="F74" s="21">
        <v>28613.720809282</v>
      </c>
      <c r="G74" s="39">
        <v>1</v>
      </c>
      <c r="H74" s="14" t="s">
        <v>12</v>
      </c>
    </row>
    <row r="75" spans="1:8" x14ac:dyDescent="0.2">
      <c r="A75" s="40"/>
      <c r="B75" s="40"/>
      <c r="C75" s="40"/>
      <c r="D75" s="41"/>
      <c r="E75" s="41"/>
      <c r="F75" s="41"/>
      <c r="G75" s="41"/>
    </row>
    <row r="76" spans="1:8" x14ac:dyDescent="0.2">
      <c r="A76" s="42"/>
      <c r="B76" s="156" t="s">
        <v>622</v>
      </c>
      <c r="C76" s="156"/>
      <c r="D76" s="156"/>
      <c r="E76" s="156"/>
      <c r="F76" s="156"/>
      <c r="G76" s="156"/>
      <c r="H76" s="156"/>
    </row>
    <row r="77" spans="1:8" x14ac:dyDescent="0.2">
      <c r="A77" s="42"/>
      <c r="B77" s="156" t="s">
        <v>623</v>
      </c>
      <c r="C77" s="156"/>
      <c r="D77" s="156"/>
      <c r="E77" s="156"/>
      <c r="F77" s="156"/>
      <c r="G77" s="156"/>
      <c r="H77" s="156"/>
    </row>
    <row r="78" spans="1:8" x14ac:dyDescent="0.2">
      <c r="A78" s="42"/>
      <c r="B78" s="156" t="s">
        <v>624</v>
      </c>
      <c r="C78" s="156"/>
      <c r="D78" s="156"/>
      <c r="E78" s="156"/>
      <c r="F78" s="156"/>
      <c r="G78" s="156"/>
      <c r="H78" s="156"/>
    </row>
    <row r="79" spans="1:8" x14ac:dyDescent="0.2">
      <c r="A79" s="42"/>
      <c r="B79" s="42"/>
      <c r="C79" s="42"/>
      <c r="D79" s="44"/>
      <c r="E79" s="44"/>
      <c r="F79" s="44"/>
      <c r="G79" s="44"/>
    </row>
    <row r="80" spans="1:8" x14ac:dyDescent="0.2">
      <c r="A80" s="42"/>
      <c r="B80" s="164" t="s">
        <v>122</v>
      </c>
      <c r="C80" s="165"/>
      <c r="D80" s="166"/>
      <c r="E80" s="45"/>
      <c r="F80" s="44"/>
      <c r="G80" s="44"/>
    </row>
    <row r="81" spans="1:9" ht="27" customHeight="1" x14ac:dyDescent="0.2">
      <c r="A81" s="42"/>
      <c r="B81" s="157" t="s">
        <v>123</v>
      </c>
      <c r="C81" s="158"/>
      <c r="D81" s="13" t="s">
        <v>124</v>
      </c>
      <c r="E81" s="45"/>
      <c r="F81" s="44"/>
      <c r="G81" s="44"/>
    </row>
    <row r="82" spans="1:9" x14ac:dyDescent="0.2">
      <c r="A82" s="42"/>
      <c r="B82" s="157" t="s">
        <v>125</v>
      </c>
      <c r="C82" s="158"/>
      <c r="D82" s="13" t="s">
        <v>124</v>
      </c>
      <c r="E82" s="45"/>
      <c r="F82" s="44"/>
      <c r="G82" s="44"/>
    </row>
    <row r="83" spans="1:9" x14ac:dyDescent="0.2">
      <c r="A83" s="42"/>
      <c r="B83" s="157" t="s">
        <v>126</v>
      </c>
      <c r="C83" s="158"/>
      <c r="D83" s="29" t="s">
        <v>12</v>
      </c>
      <c r="E83" s="45"/>
      <c r="F83" s="44"/>
      <c r="G83" s="44"/>
    </row>
    <row r="84" spans="1:9" x14ac:dyDescent="0.2">
      <c r="A84" s="46"/>
      <c r="B84" s="47" t="s">
        <v>12</v>
      </c>
      <c r="C84" s="47" t="s">
        <v>625</v>
      </c>
      <c r="D84" s="47" t="s">
        <v>127</v>
      </c>
      <c r="E84" s="46"/>
      <c r="F84" s="46"/>
      <c r="G84" s="46"/>
    </row>
    <row r="85" spans="1:9" x14ac:dyDescent="0.2">
      <c r="A85" s="46"/>
      <c r="B85" s="48" t="s">
        <v>128</v>
      </c>
      <c r="C85" s="49">
        <v>45838</v>
      </c>
      <c r="D85" s="49">
        <v>45869</v>
      </c>
      <c r="E85" s="46"/>
      <c r="F85" s="46"/>
      <c r="G85" s="46"/>
    </row>
    <row r="86" spans="1:9" x14ac:dyDescent="0.2">
      <c r="A86" s="50"/>
      <c r="B86" s="23" t="s">
        <v>129</v>
      </c>
      <c r="C86" s="51">
        <v>1375.8294000000001</v>
      </c>
      <c r="D86" s="51">
        <v>1382.0053</v>
      </c>
      <c r="E86" s="50"/>
      <c r="F86" s="52"/>
      <c r="G86" s="53"/>
    </row>
    <row r="87" spans="1:9" ht="25.5" x14ac:dyDescent="0.2">
      <c r="A87" s="50"/>
      <c r="B87" s="23" t="s">
        <v>749</v>
      </c>
      <c r="C87" s="51">
        <v>1043.6790000000001</v>
      </c>
      <c r="D87" s="51">
        <v>1048.3634999999999</v>
      </c>
      <c r="E87" s="50"/>
      <c r="F87" s="52"/>
      <c r="G87" s="53"/>
    </row>
    <row r="88" spans="1:9" x14ac:dyDescent="0.2">
      <c r="A88" s="50"/>
      <c r="B88" s="23" t="s">
        <v>130</v>
      </c>
      <c r="C88" s="51">
        <v>1367.3851</v>
      </c>
      <c r="D88" s="51">
        <v>1373.4057</v>
      </c>
      <c r="E88" s="50"/>
      <c r="F88" s="52"/>
      <c r="G88" s="53"/>
    </row>
    <row r="89" spans="1:9" ht="25.5" x14ac:dyDescent="0.2">
      <c r="A89" s="50"/>
      <c r="B89" s="23" t="s">
        <v>750</v>
      </c>
      <c r="C89" s="51">
        <v>1039.7447999999999</v>
      </c>
      <c r="D89" s="51">
        <v>1044.3244</v>
      </c>
      <c r="E89" s="50"/>
      <c r="F89" s="52"/>
      <c r="G89" s="53"/>
    </row>
    <row r="90" spans="1:9" x14ac:dyDescent="0.2">
      <c r="A90" s="50"/>
      <c r="B90" s="50"/>
      <c r="C90" s="50"/>
      <c r="D90" s="50"/>
      <c r="E90" s="50"/>
      <c r="F90" s="50"/>
      <c r="G90" s="50"/>
    </row>
    <row r="91" spans="1:9" x14ac:dyDescent="0.2">
      <c r="A91" s="50"/>
      <c r="B91" s="159" t="s">
        <v>626</v>
      </c>
      <c r="C91" s="236"/>
      <c r="D91" s="16" t="s">
        <v>124</v>
      </c>
      <c r="E91" s="50"/>
      <c r="F91" s="50"/>
      <c r="G91" s="50"/>
    </row>
    <row r="92" spans="1:9" x14ac:dyDescent="0.2">
      <c r="A92" s="50"/>
      <c r="B92" s="58"/>
      <c r="C92" s="58"/>
      <c r="D92" s="58"/>
      <c r="E92" s="50"/>
      <c r="F92" s="50"/>
      <c r="G92" s="50"/>
    </row>
    <row r="93" spans="1:9" x14ac:dyDescent="0.2">
      <c r="A93" s="46"/>
      <c r="B93" s="153" t="s">
        <v>131</v>
      </c>
      <c r="C93" s="153"/>
      <c r="D93" s="69" t="s">
        <v>124</v>
      </c>
      <c r="E93" s="46"/>
      <c r="F93" s="46"/>
      <c r="G93" s="46"/>
    </row>
    <row r="94" spans="1:9" x14ac:dyDescent="0.2">
      <c r="A94" s="46"/>
      <c r="B94" s="237" t="s">
        <v>132</v>
      </c>
      <c r="C94" s="238"/>
      <c r="D94" s="70" t="s">
        <v>124</v>
      </c>
      <c r="E94" s="57"/>
      <c r="F94" s="46"/>
      <c r="G94" s="46"/>
    </row>
    <row r="95" spans="1:9" x14ac:dyDescent="0.2">
      <c r="A95" s="46"/>
      <c r="B95" s="157" t="s">
        <v>627</v>
      </c>
      <c r="C95" s="235"/>
      <c r="D95" s="13" t="s">
        <v>124</v>
      </c>
      <c r="E95" s="57"/>
      <c r="F95" s="46"/>
      <c r="G95" s="46"/>
      <c r="I95" s="30"/>
    </row>
    <row r="96" spans="1:9" x14ac:dyDescent="0.2">
      <c r="A96" s="58"/>
      <c r="B96" s="58"/>
      <c r="C96" s="58"/>
      <c r="D96" s="58"/>
      <c r="E96" s="58"/>
      <c r="F96" s="58"/>
      <c r="G96" s="58"/>
      <c r="I96" s="30"/>
    </row>
    <row r="97" spans="2:21" s="59" customFormat="1" x14ac:dyDescent="0.2">
      <c r="B97" s="161" t="s">
        <v>628</v>
      </c>
      <c r="C97" s="162"/>
      <c r="D97" s="163"/>
      <c r="I97" s="30"/>
      <c r="J97"/>
      <c r="K97" s="30"/>
      <c r="L97" s="30"/>
      <c r="M97" s="30"/>
      <c r="N97" s="65"/>
      <c r="Q97"/>
      <c r="R97"/>
      <c r="S97"/>
      <c r="T97"/>
      <c r="U97"/>
    </row>
    <row r="98" spans="2:21" s="59" customFormat="1" ht="38.25" x14ac:dyDescent="0.2">
      <c r="B98" s="167" t="s">
        <v>629</v>
      </c>
      <c r="C98" s="167"/>
      <c r="D98" s="60" t="s">
        <v>596</v>
      </c>
      <c r="I98" s="30"/>
      <c r="J98"/>
      <c r="K98" s="30"/>
      <c r="L98" s="30"/>
      <c r="M98" s="30"/>
      <c r="N98" s="65"/>
      <c r="Q98"/>
      <c r="R98"/>
      <c r="S98"/>
      <c r="T98"/>
      <c r="U98"/>
    </row>
    <row r="99" spans="2:21" s="59" customFormat="1" x14ac:dyDescent="0.2">
      <c r="B99" s="153" t="s">
        <v>630</v>
      </c>
      <c r="C99" s="153"/>
      <c r="D99" s="61"/>
      <c r="I99" s="30"/>
      <c r="J99"/>
      <c r="K99" s="30"/>
      <c r="L99" s="30"/>
      <c r="M99" s="30"/>
      <c r="N99" s="65"/>
    </row>
    <row r="100" spans="2:21" s="59" customFormat="1" x14ac:dyDescent="0.2">
      <c r="B100" s="153"/>
      <c r="C100" s="153"/>
      <c r="D100" s="62"/>
      <c r="I100"/>
      <c r="J100"/>
      <c r="K100" s="30"/>
      <c r="L100" s="30"/>
      <c r="M100" s="30"/>
      <c r="N100" s="65"/>
    </row>
    <row r="101" spans="2:21" s="59" customFormat="1" x14ac:dyDescent="0.2">
      <c r="B101" s="153" t="s">
        <v>631</v>
      </c>
      <c r="C101" s="153"/>
      <c r="D101" s="63">
        <v>5.3987170884185725</v>
      </c>
      <c r="I101"/>
      <c r="J101"/>
      <c r="K101" s="30"/>
      <c r="L101" s="30"/>
      <c r="M101" s="30"/>
      <c r="N101" s="65"/>
    </row>
    <row r="102" spans="2:21" s="59" customFormat="1" x14ac:dyDescent="0.2">
      <c r="B102" s="153"/>
      <c r="C102" s="153"/>
      <c r="D102" s="62"/>
      <c r="I102"/>
      <c r="J102"/>
      <c r="K102" s="30"/>
      <c r="L102" s="30"/>
      <c r="M102" s="30"/>
      <c r="N102" s="65"/>
    </row>
    <row r="103" spans="2:21" s="59" customFormat="1" x14ac:dyDescent="0.2">
      <c r="B103" s="153" t="s">
        <v>739</v>
      </c>
      <c r="C103" s="153"/>
      <c r="D103" s="71">
        <v>1</v>
      </c>
      <c r="I103"/>
      <c r="J103"/>
      <c r="K103" s="30"/>
      <c r="L103" s="30"/>
      <c r="M103" s="30"/>
      <c r="N103" s="65"/>
    </row>
    <row r="104" spans="2:21" s="59" customFormat="1" x14ac:dyDescent="0.2">
      <c r="B104" s="153" t="s">
        <v>740</v>
      </c>
      <c r="C104" s="153"/>
      <c r="D104" s="71">
        <v>1</v>
      </c>
      <c r="I104"/>
      <c r="J104"/>
      <c r="K104" s="30"/>
      <c r="L104" s="30"/>
      <c r="M104" s="30"/>
      <c r="N104" s="65"/>
    </row>
    <row r="105" spans="2:21" s="59" customFormat="1" x14ac:dyDescent="0.2">
      <c r="B105" s="153"/>
      <c r="C105" s="153"/>
      <c r="D105" s="62"/>
      <c r="I105"/>
      <c r="J105"/>
      <c r="K105" s="30"/>
      <c r="L105" s="30"/>
      <c r="M105" s="30"/>
      <c r="N105" s="65"/>
    </row>
    <row r="106" spans="2:21" s="59" customFormat="1" x14ac:dyDescent="0.2">
      <c r="B106" s="153" t="s">
        <v>634</v>
      </c>
      <c r="C106" s="153"/>
      <c r="D106" s="64" t="s">
        <v>742</v>
      </c>
      <c r="I106"/>
      <c r="J106"/>
      <c r="K106" s="30"/>
      <c r="L106" s="30"/>
      <c r="M106" s="30"/>
      <c r="N106" s="65"/>
    </row>
    <row r="107" spans="2:21" s="59" customFormat="1" x14ac:dyDescent="0.2">
      <c r="B107" s="151" t="s">
        <v>635</v>
      </c>
      <c r="C107" s="154"/>
      <c r="D107" s="152"/>
      <c r="I107"/>
      <c r="J107"/>
      <c r="K107" s="30"/>
      <c r="L107" s="30"/>
      <c r="M107" s="30"/>
      <c r="N107" s="65"/>
    </row>
    <row r="108" spans="2:21" x14ac:dyDescent="0.2">
      <c r="H108" s="72"/>
    </row>
    <row r="109" spans="2:21" x14ac:dyDescent="0.2">
      <c r="B109" s="67" t="s">
        <v>636</v>
      </c>
    </row>
    <row r="111" spans="2:21" ht="153.75" customHeight="1" x14ac:dyDescent="0.2"/>
    <row r="114" spans="2:10" x14ac:dyDescent="0.2">
      <c r="B114" s="67" t="s">
        <v>637</v>
      </c>
      <c r="C114" s="68"/>
      <c r="D114" s="67"/>
    </row>
    <row r="115" spans="2:10" x14ac:dyDescent="0.2">
      <c r="B115" s="67" t="s">
        <v>741</v>
      </c>
      <c r="D115" s="67"/>
    </row>
    <row r="118" spans="2:10" x14ac:dyDescent="0.2">
      <c r="J118" s="11"/>
    </row>
  </sheetData>
  <mergeCells count="25">
    <mergeCell ref="B99:C99"/>
    <mergeCell ref="A3:H3"/>
    <mergeCell ref="B93:C93"/>
    <mergeCell ref="B91:C91"/>
    <mergeCell ref="B95:C95"/>
    <mergeCell ref="B94:C94"/>
    <mergeCell ref="B97:D97"/>
    <mergeCell ref="B80:D80"/>
    <mergeCell ref="B81:C81"/>
    <mergeCell ref="B82:C82"/>
    <mergeCell ref="B83:C83"/>
    <mergeCell ref="B98:C98"/>
    <mergeCell ref="A1:H1"/>
    <mergeCell ref="A2:H2"/>
    <mergeCell ref="B76:H76"/>
    <mergeCell ref="B77:H77"/>
    <mergeCell ref="B78:H78"/>
    <mergeCell ref="B105:C105"/>
    <mergeCell ref="B106:C106"/>
    <mergeCell ref="B107:D107"/>
    <mergeCell ref="B100:C100"/>
    <mergeCell ref="B101:C101"/>
    <mergeCell ref="B102:C102"/>
    <mergeCell ref="B103:C103"/>
    <mergeCell ref="B104:C104"/>
  </mergeCells>
  <hyperlinks>
    <hyperlink ref="I1" location="Index!B2" display="Index" xr:uid="{71861FA2-A871-4F53-8179-604FC847F20F}"/>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Bala Subramani P - Sundaram Mutual</cp:lastModifiedBy>
  <dcterms:created xsi:type="dcterms:W3CDTF">2025-08-01T11:34:04Z</dcterms:created>
  <dcterms:modified xsi:type="dcterms:W3CDTF">2025-08-08T08:51:07Z</dcterms:modified>
</cp:coreProperties>
</file>